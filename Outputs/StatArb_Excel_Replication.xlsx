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thon vs Excel" sheetId="1" state="visible" r:id="rId3"/>
    <sheet name="Inputs" sheetId="2" state="visible" r:id="rId4"/>
    <sheet name="Panel" sheetId="3" state="visible" r:id="rId5"/>
    <sheet name="1 ADF" sheetId="4" state="visible" r:id="rId6"/>
    <sheet name="2 Hedge ratio" sheetId="5" state="visible" r:id="rId7"/>
    <sheet name="3 Cointegration" sheetId="6" state="visible" r:id="rId8"/>
    <sheet name="Carry" sheetId="7" state="visible" r:id="rId9"/>
    <sheet name="5 Re-specification" sheetId="8" state="visible" r:id="rId10"/>
    <sheet name="5b EG with trend" sheetId="9" state="visible" r:id="rId11"/>
    <sheet name="6 ECM" sheetId="10" state="visible" r:id="rId12"/>
    <sheet name="7 Signal backtest" sheetId="11" state="visible" r:id="rId13"/>
    <sheet name="7a Trade walkthrough" sheetId="12" state="visible" r:id="rId14"/>
    <sheet name="8 Four people" sheetId="13" state="visible" r:id="rId15"/>
    <sheet name="9 Trades 15-min" sheetId="14" state="visible" r:id="rId16"/>
    <sheet name="10 Course test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<sst xmlns="http://schemas.openxmlformats.org/spreadsheetml/2006/main" count="896" uniqueCount="540">
  <si>
    <t xml:space="preserve">Matching outputs: Python (statsmodels) vs Excel (formulas in this workbook)</t>
  </si>
  <si>
    <t xml:space="preserve">Python values are pasted from results.json. Excel values are live formulas. Difference should be ~0.</t>
  </si>
  <si>
    <t xml:space="preserve">Statistic</t>
  </si>
  <si>
    <t xml:space="preserve">Python</t>
  </si>
  <si>
    <t xml:space="preserve">Excel</t>
  </si>
  <si>
    <t xml:space="preserve">Difference</t>
  </si>
  <si>
    <t xml:space="preserve">Match</t>
  </si>
  <si>
    <t xml:space="preserve">Excel location</t>
  </si>
  <si>
    <t xml:space="preserve">ADF, ln F level</t>
  </si>
  <si>
    <t xml:space="preserve">1 ADF!B16</t>
  </si>
  <si>
    <t xml:space="preserve">ADF, ln B level</t>
  </si>
  <si>
    <t xml:space="preserve">1 ADF!B26</t>
  </si>
  <si>
    <t xml:space="preserve">Hedge ratio β</t>
  </si>
  <si>
    <t xml:space="preserve">2 Hedge ratio!B5</t>
  </si>
  <si>
    <t xml:space="preserve">R² (Step 2)</t>
  </si>
  <si>
    <t xml:space="preserve">2 Hedge ratio!B8</t>
  </si>
  <si>
    <t xml:space="preserve">Mean ratio F/B</t>
  </si>
  <si>
    <t xml:space="preserve">2 Hedge ratio!B9</t>
  </si>
  <si>
    <t xml:space="preserve">Engle–Granger, constant only</t>
  </si>
  <si>
    <t xml:space="preserve">3 Cointegration!B7</t>
  </si>
  <si>
    <t xml:space="preserve">Trend in ln(F/B), % per year</t>
  </si>
  <si>
    <t xml:space="preserve">Carry!B5</t>
  </si>
  <si>
    <t xml:space="preserve">Implied financing rate r</t>
  </si>
  <si>
    <t xml:space="preserve">Carry!B9</t>
  </si>
  <si>
    <t xml:space="preserve">β with trend</t>
  </si>
  <si>
    <t xml:space="preserve">5 Re-specification!B5</t>
  </si>
  <si>
    <t xml:space="preserve">δ, % per year</t>
  </si>
  <si>
    <t xml:space="preserve">5 Re-specification!B8</t>
  </si>
  <si>
    <t xml:space="preserve">Engle–Granger, constant + trend</t>
  </si>
  <si>
    <t xml:space="preserve">5b EG with trend!B7</t>
  </si>
  <si>
    <t xml:space="preserve">ECM γ</t>
  </si>
  <si>
    <t xml:space="preserve">6 ECM!B5</t>
  </si>
  <si>
    <t xml:space="preserve">Half-life (sessions)</t>
  </si>
  <si>
    <t xml:space="preserve">6 ECM!B8</t>
  </si>
  <si>
    <t xml:space="preserve">Signal: trades</t>
  </si>
  <si>
    <t xml:space="preserve">7 Signal backtest!B5</t>
  </si>
  <si>
    <t xml:space="preserve">Signal: annual excess return</t>
  </si>
  <si>
    <t xml:space="preserve">7 Signal backtest!B6</t>
  </si>
  <si>
    <t xml:space="preserve">Signal: Sharpe ratio</t>
  </si>
  <si>
    <t xml:space="preserve">7 Signal backtest!B8</t>
  </si>
  <si>
    <t xml:space="preserve">Aarav: return above risk-free</t>
  </si>
  <si>
    <t xml:space="preserve">8 Four people!B11</t>
  </si>
  <si>
    <t xml:space="preserve">Meera: return above risk-free</t>
  </si>
  <si>
    <t xml:space="preserve">8 Four people!C11</t>
  </si>
  <si>
    <t xml:space="preserve">Rohan: return on incremental cash</t>
  </si>
  <si>
    <t xml:space="preserve">8 Four people!D11</t>
  </si>
  <si>
    <t xml:space="preserve">Kavya: return on incremental capital</t>
  </si>
  <si>
    <t xml:space="preserve">8 Four people!E11</t>
  </si>
  <si>
    <t xml:space="preserve">15-min signal: annual net, % of notional</t>
  </si>
  <si>
    <t xml:space="preserve">9 Trades 15-min, summary</t>
  </si>
  <si>
    <t xml:space="preserve">15-min Aarav: return above risk-free</t>
  </si>
  <si>
    <t xml:space="preserve">15-min Meera: return above risk-free</t>
  </si>
  <si>
    <t xml:space="preserve">15-min Rohan: return on extra cash</t>
  </si>
  <si>
    <t xml:space="preserve">15-min Kavya: return on margin</t>
  </si>
  <si>
    <t xml:space="preserve">Course test: one-sample t on trades</t>
  </si>
  <si>
    <t xml:space="preserve">10 Course tests!B7</t>
  </si>
  <si>
    <t xml:space="preserve">Course test: Welch p, two halves</t>
  </si>
  <si>
    <t xml:space="preserve">10 Course tests!B15</t>
  </si>
  <si>
    <t xml:space="preserve">Course test: chi-square p</t>
  </si>
  <si>
    <t xml:space="preserve">10 Course tests!B24</t>
  </si>
  <si>
    <t xml:space="preserve">Tolerance reflects display rounding of the pasted Python values (3–5 decimals).</t>
  </si>
  <si>
    <t xml:space="preserve">Inputs and assumptions</t>
  </si>
  <si>
    <t xml:space="preserve">Blue = input you may change. Every other sheet recalculates from these.</t>
  </si>
  <si>
    <t xml:space="preserve">Parameter</t>
  </si>
  <si>
    <t xml:space="preserve">Value</t>
  </si>
  <si>
    <t xml:space="preserve">Source / note</t>
  </si>
  <si>
    <t xml:space="preserve">Entry threshold |z| &gt;</t>
  </si>
  <si>
    <t xml:space="preserve">Rule, fixed before any results were seen</t>
  </si>
  <si>
    <t xml:space="preserve">Exit threshold |z| &lt;</t>
  </si>
  <si>
    <t xml:space="preserve">Stop-loss |z| &gt;</t>
  </si>
  <si>
    <t xml:space="preserve">Time stop (sessions)</t>
  </si>
  <si>
    <t xml:space="preserve">≈ 7 half-lives</t>
  </si>
  <si>
    <t xml:space="preserve">Rolling estimation window (sessions)</t>
  </si>
  <si>
    <t xml:space="preserve">Walk-forward: only the previous 250 sessions are used</t>
  </si>
  <si>
    <t xml:space="preserve">Minimum observations before trading</t>
  </si>
  <si>
    <t xml:space="preserve">NIFTY lot size (units)</t>
  </si>
  <si>
    <t xml:space="preserve">NSE circular FAOP70616: 75 → 65 from the January 2026 series</t>
  </si>
  <si>
    <t xml:space="preserve">Futures margin, % of notional</t>
  </si>
  <si>
    <t xml:space="preserve">Assumption: SPAN + exposure margin</t>
  </si>
  <si>
    <t xml:space="preserve">Retail MTF interest rate</t>
  </si>
  <si>
    <t xml:space="preserve">Assumption: within the 12–18% p.a. range charged by Indian brokers</t>
  </si>
  <si>
    <t xml:space="preserve">Institutional funding spread over repo</t>
  </si>
  <si>
    <t xml:space="preserve">Assumption</t>
  </si>
  <si>
    <t xml:space="preserve">Cross-margin relief (institution)</t>
  </si>
  <si>
    <t xml:space="preserve">Assumption; NSE Clearing permits index futures vs ETF cross-margining</t>
  </si>
  <si>
    <t xml:space="preserve">Trading days per year</t>
  </si>
  <si>
    <t xml:space="preserve">Annualisation convention</t>
  </si>
  <si>
    <t xml:space="preserve">Futures stamp duty (buy side)</t>
  </si>
  <si>
    <t xml:space="preserve">Indian Stamp Act: 0.002% on futures purchases</t>
  </si>
  <si>
    <t xml:space="preserve">Futures other charges per side — retail</t>
  </si>
  <si>
    <t xml:space="preserve">Exchange txn + SEBI fee + GST + brokerage (approx.)</t>
  </si>
  <si>
    <t xml:space="preserve">Futures slippage per side — retail</t>
  </si>
  <si>
    <t xml:space="preserve">Assumption: 1.0 bp</t>
  </si>
  <si>
    <t xml:space="preserve">ETF stamp duty (buy side)</t>
  </si>
  <si>
    <t xml:space="preserve">Indian Stamp Act: 0.015% on delivery purchases</t>
  </si>
  <si>
    <t xml:space="preserve">ETF STT (sell side)</t>
  </si>
  <si>
    <t xml:space="preserve">0.001% on sale of equity-oriented fund units</t>
  </si>
  <si>
    <t xml:space="preserve">ETF other charges per side — retail</t>
  </si>
  <si>
    <t xml:space="preserve">Exchange txn + SEBI fee + GST + DP (approx.)</t>
  </si>
  <si>
    <t xml:space="preserve">ETF slippage per side — retail</t>
  </si>
  <si>
    <t xml:space="preserve">Assumption: 1.5 bp</t>
  </si>
  <si>
    <t xml:space="preserve">Futures other charges per side — institution</t>
  </si>
  <si>
    <t xml:space="preserve">Futures slippage per side — institution</t>
  </si>
  <si>
    <t xml:space="preserve">Assumption: 0.5 bp</t>
  </si>
  <si>
    <t xml:space="preserve">ETF other charges per side — institution</t>
  </si>
  <si>
    <t xml:space="preserve">ETF slippage per side — institution</t>
  </si>
  <si>
    <t xml:space="preserve">Assumption: 0.75 bp</t>
  </si>
  <si>
    <t xml:space="preserve">Implied volatility for the ATM option premium</t>
  </si>
  <si>
    <t xml:space="preserve">Premium ≈ 0.3989 × IV × √(days to expiry ÷ 365), as a share of notional</t>
  </si>
  <si>
    <t xml:space="preserve">Brokerage per option order — retail</t>
  </si>
  <si>
    <t xml:space="preserve">≈ ₹20 on ₹16 lakh</t>
  </si>
  <si>
    <t xml:space="preserve">Brokerage per option order — institution</t>
  </si>
  <si>
    <t xml:space="preserve">Futures STT (sell side) is time-varying and sits in Panel column O: 0.0125% to 30-Sep-2024, 0.02% to 31-Mar-2026, 0.05% from 1-Apr-2026 (Union Budgets 2024 and 2026).</t>
  </si>
  <si>
    <t xml:space="preserve">Risk-free rate = RBI policy repo path (Panel column N): 6.50% → 6.25% (7-Feb-25) → 6.00% (9-Apr-25) → 5.50% (6-Jun-25) → 5.25% (5-Dec-25).</t>
  </si>
  <si>
    <t xml:space="preserve">Daily panel and walk-forward backtest (811 sessions)</t>
  </si>
  <si>
    <t xml:space="preserve">Columns B, C, G, K, L, N, O are data. Everything else is a formula. Row 5 is the first session.</t>
  </si>
  <si>
    <t xml:space="preserve">Date</t>
  </si>
  <si>
    <t xml:space="preserve">FUT close</t>
  </si>
  <si>
    <t xml:space="preserve">BEES close</t>
  </si>
  <si>
    <t xml:space="preserve">ln F</t>
  </si>
  <si>
    <t xml:space="preserve">ln B</t>
  </si>
  <si>
    <t xml:space="preserve">t</t>
  </si>
  <si>
    <t xml:space="preserve">DTE</t>
  </si>
  <si>
    <t xml:space="preserve">ln(F/B)</t>
  </si>
  <si>
    <t xml:space="preserve">Δ ln F</t>
  </si>
  <si>
    <t xml:space="preserve">Δ ln B</t>
  </si>
  <si>
    <t xml:space="preserve">Expiry</t>
  </si>
  <si>
    <t xml:space="preserve">Splice</t>
  </si>
  <si>
    <t xml:space="preserve">Δ ln F adj</t>
  </si>
  <si>
    <t xml:space="preserve">Repo</t>
  </si>
  <si>
    <t xml:space="preserve">STT fut</t>
  </si>
  <si>
    <t xml:space="preserve">Resid naive</t>
  </si>
  <si>
    <t xml:space="preserve">Resid trend</t>
  </si>
  <si>
    <t xml:space="preserve">Window</t>
  </si>
  <si>
    <t xml:space="preserve">δ roll</t>
  </si>
  <si>
    <t xml:space="preserve">β roll</t>
  </si>
  <si>
    <t xml:space="preserve">α roll</t>
  </si>
  <si>
    <t xml:space="preserve">σ roll</t>
  </si>
  <si>
    <t xml:space="preserve">z</t>
  </si>
  <si>
    <t xml:space="preserve">held pre</t>
  </si>
  <si>
    <t xml:space="preserve">exit</t>
  </si>
  <si>
    <t xml:space="preserve">cur after</t>
  </si>
  <si>
    <t xml:space="preserve">entry</t>
  </si>
  <si>
    <t xml:space="preserve">POS</t>
  </si>
  <si>
    <t xml:space="preserve">held</t>
  </si>
  <si>
    <t xml:space="preserve">β hold</t>
  </si>
  <si>
    <t xml:space="preserve">ΔqF</t>
  </si>
  <si>
    <t xml:space="preserve">qB</t>
  </si>
  <si>
    <t xml:space="preserve">ΔqB</t>
  </si>
  <si>
    <t xml:space="preserve">Cost retail</t>
  </si>
  <si>
    <t xml:space="preserve">x SIGNAL</t>
  </si>
  <si>
    <t xml:space="preserve">Cost inst</t>
  </si>
  <si>
    <t xml:space="preserve">x KAVYA</t>
  </si>
  <si>
    <t xml:space="preserve">held pre S</t>
  </si>
  <si>
    <t xml:space="preserve">exit S</t>
  </si>
  <si>
    <t xml:space="preserve">cur after S</t>
  </si>
  <si>
    <t xml:space="preserve">entry S</t>
  </si>
  <si>
    <t xml:space="preserve">POS S</t>
  </si>
  <si>
    <t xml:space="preserve">held S</t>
  </si>
  <si>
    <t xml:space="preserve">β hold S</t>
  </si>
  <si>
    <t xml:space="preserve">ΔqF S</t>
  </si>
  <si>
    <t xml:space="preserve">qB S</t>
  </si>
  <si>
    <t xml:space="preserve">ΔqB S</t>
  </si>
  <si>
    <t xml:space="preserve">Cost S</t>
  </si>
  <si>
    <t xml:space="preserve">x AARAV</t>
  </si>
  <si>
    <t xml:space="preserve">x MEERA</t>
  </si>
  <si>
    <t xml:space="preserve">Cost fut S</t>
  </si>
  <si>
    <t xml:space="preserve">x ROHAN</t>
  </si>
  <si>
    <t xml:space="preserve">Cum signal</t>
  </si>
  <si>
    <t xml:space="preserve">Run max</t>
  </si>
  <si>
    <t xml:space="preserve">Drawdown</t>
  </si>
  <si>
    <t xml:space="preserve">Cal days</t>
  </si>
  <si>
    <t xml:space="preserve">Step 1 · Augmented Dickey–Fuller test, built by hand with LINEST</t>
  </si>
  <si>
    <t xml:space="preserve">Δy(t) = α + γ·y(t−1) + Σ δi·Δy(t−i) + ε(t).  ADF statistic = γ̂ / se(γ̂).  H0: γ = 0 (unit root). Lags k chosen by AIC in Python.</t>
  </si>
  <si>
    <t xml:space="preserve">Why: cointegration is only defined for series that are individually I(1). Both levels must fail to reject; their differences must reject.</t>
  </si>
  <si>
    <t xml:space="preserve">Excel cannot compute the MacKinnon p-value; compare the statistic with the critical value instead. p-values come from Python.</t>
  </si>
  <si>
    <t xml:space="preserve">ln F (level) — k = 5 lagged differences</t>
  </si>
  <si>
    <t xml:space="preserve">Observations used</t>
  </si>
  <si>
    <t xml:space="preserve">γ̂ (coefficient on y(t−1))</t>
  </si>
  <si>
    <t xml:space="preserve">se(γ̂)</t>
  </si>
  <si>
    <t xml:space="preserve">ADF statistic = γ̂ / se(γ̂)</t>
  </si>
  <si>
    <t xml:space="preserve">Python (statsmodels): -2.309</t>
  </si>
  <si>
    <t xml:space="preserve">5% critical value (MacKinnon)</t>
  </si>
  <si>
    <t xml:space="preserve">Decision</t>
  </si>
  <si>
    <t xml:space="preserve">ln B (level) — k = 0 lagged differences</t>
  </si>
  <si>
    <t xml:space="preserve">Python (statsmodels): -2.367</t>
  </si>
  <si>
    <t xml:space="preserve">Design matrix: ln F (level)</t>
  </si>
  <si>
    <t xml:space="preserve">Design matrix: ln B (level)</t>
  </si>
  <si>
    <t xml:space="preserve">Δy(t)</t>
  </si>
  <si>
    <t xml:space="preserve">y(t−1)</t>
  </si>
  <si>
    <t xml:space="preserve">Δy(t−1)</t>
  </si>
  <si>
    <t xml:space="preserve">Δy(t−2)</t>
  </si>
  <si>
    <t xml:space="preserve">Δy(t−3)</t>
  </si>
  <si>
    <t xml:space="preserve">Δy(t−4)</t>
  </si>
  <si>
    <t xml:space="preserve">Δy(t−5)</t>
  </si>
  <si>
    <t xml:space="preserve">Step 2 · Hedge ratio by OLS (Engle–Granger stage 1)</t>
  </si>
  <si>
    <t xml:space="preserve">ln F = α + β · ln B + ε</t>
  </si>
  <si>
    <t xml:space="preserve">β (hedge ratio)</t>
  </si>
  <si>
    <t xml:space="preserve">Python: 0.91613</t>
  </si>
  <si>
    <t xml:space="preserve">α (intercept)</t>
  </si>
  <si>
    <t xml:space="preserve">Python: 4.96182</t>
  </si>
  <si>
    <t xml:space="preserve">se(β)</t>
  </si>
  <si>
    <t xml:space="preserve">Python: 0.00213</t>
  </si>
  <si>
    <t xml:space="preserve">R²</t>
  </si>
  <si>
    <t xml:space="preserve">Python: 0.99564</t>
  </si>
  <si>
    <t xml:space="preserve">Mean price ratio F / B</t>
  </si>
  <si>
    <t xml:space="preserve">Contract sizes 65 : 6500 imply 100.0</t>
  </si>
  <si>
    <t xml:space="preserve">Error in the assumed ratio</t>
  </si>
  <si>
    <t xml:space="preserve">Correlation of daily log returns (raw)</t>
  </si>
  <si>
    <t xml:space="preserve">Python: 0.9459</t>
  </si>
  <si>
    <t xml:space="preserve">…with contract switches removed</t>
  </si>
  <si>
    <t xml:space="preserve">Python: 0.9559</t>
  </si>
  <si>
    <t xml:space="preserve">Step 3 · Engle–Granger residual test (constant only)</t>
  </si>
  <si>
    <t xml:space="preserve">Δε̂(t) = ρ·ε̂(t−1) + Σ φi·Δε̂(t−i) + u(t), no constant. H0: ρ = 0 (no cointegration). Residuals from sheet 2 (Panel column P).</t>
  </si>
  <si>
    <t xml:space="preserve">ρ̂ (coefficient on ε(t−1))</t>
  </si>
  <si>
    <t xml:space="preserve">se(ρ̂)</t>
  </si>
  <si>
    <t xml:space="preserve">Engle–Granger statistic</t>
  </si>
  <si>
    <t xml:space="preserve">Python: -3.096</t>
  </si>
  <si>
    <t xml:space="preserve">5% critical value (MacKinnon, 2 variables)</t>
  </si>
  <si>
    <t xml:space="preserve">Not the ordinary ADF value: β was estimated</t>
  </si>
  <si>
    <t xml:space="preserve">Δε(t)</t>
  </si>
  <si>
    <t xml:space="preserve">ε(t−1)</t>
  </si>
  <si>
    <t xml:space="preserve">Δε(t−1)</t>
  </si>
  <si>
    <t xml:space="preserve">Δε(t−2)</t>
  </si>
  <si>
    <t xml:space="preserve">Δε(t−3)</t>
  </si>
  <si>
    <t xml:space="preserve">Step 4 · Diagnosis and cost-of-carry decomposition</t>
  </si>
  <si>
    <t xml:space="preserve">ln(F/B) = c + a·DTE + b·t  →  r − q = 365a,  q = −252b,  r = (r − q) + q</t>
  </si>
  <si>
    <t xml:space="preserve">Trend in ln(F/B) per trading day (b, trend only)</t>
  </si>
  <si>
    <t xml:space="preserve">…annualised (× 252)</t>
  </si>
  <si>
    <t xml:space="preserve">Python: -1.161%</t>
  </si>
  <si>
    <t xml:space="preserve">R² of the trend-only regression</t>
  </si>
  <si>
    <t xml:space="preserve">Python: 0.9334</t>
  </si>
  <si>
    <t xml:space="preserve">Annualised basis r − q  (= 365 × DTE coefficient)</t>
  </si>
  <si>
    <t xml:space="preserve">Python: 5.37%</t>
  </si>
  <si>
    <t xml:space="preserve">Dividend drift q  (= −252 × t coefficient)</t>
  </si>
  <si>
    <t xml:space="preserve">Python: 1.16%</t>
  </si>
  <si>
    <t xml:space="preserve">Python: 6.54%  — used to neutralise the 39 contract switches</t>
  </si>
  <si>
    <t xml:space="preserve">R² of the carry regression</t>
  </si>
  <si>
    <t xml:space="preserve">Python: 0.9476</t>
  </si>
  <si>
    <t xml:space="preserve">Average RBI repo over the sample</t>
  </si>
  <si>
    <t xml:space="preserve">Python: 6.054%</t>
  </si>
  <si>
    <t xml:space="preserve">Step 5 · Trend-augmented cointegrating regression</t>
  </si>
  <si>
    <t xml:space="preserve">ln F = α + β·ln B + δ·t + ε.  Theory predicts β → 1 and δ → −q.</t>
  </si>
  <si>
    <t xml:space="preserve">β</t>
  </si>
  <si>
    <t xml:space="preserve">Python: 0.99697</t>
  </si>
  <si>
    <t xml:space="preserve">δ (per trading day)</t>
  </si>
  <si>
    <t xml:space="preserve">Python: -4.4929e-05</t>
  </si>
  <si>
    <t xml:space="preserve">α</t>
  </si>
  <si>
    <t xml:space="preserve">Python: 4.5312</t>
  </si>
  <si>
    <t xml:space="preserve">δ annualised</t>
  </si>
  <si>
    <t xml:space="preserve">Python: -1.13%</t>
  </si>
  <si>
    <t xml:space="preserve">Python: 0.99916</t>
  </si>
  <si>
    <t xml:space="preserve">Step 5 · Engle–Granger test on the trend-augmented residual</t>
  </si>
  <si>
    <t xml:space="preserve">Residuals from sheet 5 (Panel column Q). Critical value for constant + trend.</t>
  </si>
  <si>
    <t xml:space="preserve">Python: -8.06</t>
  </si>
  <si>
    <t xml:space="preserve">Step 6 · Error-correction model</t>
  </si>
  <si>
    <t xml:space="preserve">Δln F(t) = c + γ·ε̂(t−1) + u(t)</t>
  </si>
  <si>
    <t xml:space="preserve">γ (speed of adjustment)</t>
  </si>
  <si>
    <t xml:space="preserve">Python: -0.4832</t>
  </si>
  <si>
    <t xml:space="preserve">se(γ), ordinary OLS</t>
  </si>
  <si>
    <t xml:space="preserve">t-statistic, ordinary OLS</t>
  </si>
  <si>
    <t xml:space="preserve">Python OLS: -4.741   ·   Python HAC (reported): -3.302</t>
  </si>
  <si>
    <t xml:space="preserve">Half-life = ln 2 / |γ|  (sessions)</t>
  </si>
  <si>
    <t xml:space="preserve">Python: 1.43</t>
  </si>
  <si>
    <t xml:space="preserve">Exact discrete half-life = ln 0.5 / ln(1+γ)</t>
  </si>
  <si>
    <t xml:space="preserve">Python: 1.05</t>
  </si>
  <si>
    <t xml:space="preserve">Excel has no Newey–West estimator, so it reproduces γ and the ordinary t; the HAC t-statistic in the deck comes from Python.</t>
  </si>
  <si>
    <t xml:space="preserve">Step 7 · Walk-forward backtest — the signal's own quality</t>
  </si>
  <si>
    <t xml:space="preserve">x(t) = p(t−1)·[Δln F adj − βh·Δln B + βh·repo/252] − cost(t).  Both directions, retail costs.  Panel columns S–AI.</t>
  </si>
  <si>
    <t xml:space="preserve">Trades (entries)</t>
  </si>
  <si>
    <t xml:space="preserve">Python: 29</t>
  </si>
  <si>
    <t xml:space="preserve">Annual excess return (mean × 252)</t>
  </si>
  <si>
    <t xml:space="preserve">Python: 0.515%</t>
  </si>
  <si>
    <t xml:space="preserve">Annual volatility</t>
  </si>
  <si>
    <t xml:space="preserve">Python: 1.328%</t>
  </si>
  <si>
    <t xml:space="preserve">Sharpe ratio = mean / sd × √252</t>
  </si>
  <si>
    <t xml:space="preserve">Python: 0.39</t>
  </si>
  <si>
    <t xml:space="preserve">Maximum drawdown</t>
  </si>
  <si>
    <t xml:space="preserve">Python: -1.28%</t>
  </si>
  <si>
    <t xml:space="preserve">Share of sessions holding a position</t>
  </si>
  <si>
    <t xml:space="preserve">Python: 21.1%</t>
  </si>
  <si>
    <t xml:space="preserve">Total costs paid, % of notional</t>
  </si>
  <si>
    <t xml:space="preserve">Step 7 · One trade, session by session (first signal in the sample)</t>
  </si>
  <si>
    <t xml:space="preserve">Every cell links to the Panel sheet. Long spread = buy futures, sell ₹β of ETF per ₹1 of futures.  x = p(t−1)·[Δln F adj − βh·Δln B + βh·repo/252] − cost</t>
  </si>
  <si>
    <t xml:space="preserve">z-score</t>
  </si>
  <si>
    <t xml:space="preserve">Entry</t>
  </si>
  <si>
    <t xml:space="preserve">Exit</t>
  </si>
  <si>
    <t xml:space="preserve">Position</t>
  </si>
  <si>
    <t xml:space="preserve">β at entry</t>
  </si>
  <si>
    <t xml:space="preserve">Cost</t>
  </si>
  <si>
    <t xml:space="preserve">Daily excess P&amp;L</t>
  </si>
  <si>
    <t xml:space="preserve">Cumulative</t>
  </si>
  <si>
    <t xml:space="preserve">Reading it: z falls below −2 → enter long spread (futures cheap). z rises back inside ±0.5 → exit. Costs are charged on entry, exit, and the expiry roll (27-Jul-23).</t>
  </si>
  <si>
    <t xml:space="preserve">From β to lots and units (entry day, today's lot of 65)</t>
  </si>
  <si>
    <t xml:space="preserve">Units per futures lot</t>
  </si>
  <si>
    <t xml:space="preserve">Futures price at entry (F)</t>
  </si>
  <si>
    <t xml:space="preserve">NIFTYBEES price at entry (B)</t>
  </si>
  <si>
    <t xml:space="preserve">β at entry (rupee hedge ratio)</t>
  </si>
  <si>
    <t xml:space="preserve">Futures notional = lot × F</t>
  </si>
  <si>
    <t xml:space="preserve">ETF notional = β × futures notional</t>
  </si>
  <si>
    <t xml:space="preserve">NIFTYBEES units = ETF notional ÷ B</t>
  </si>
  <si>
    <t xml:space="preserve">i.e. units = β × 65 × F ÷ B</t>
  </si>
  <si>
    <t xml:space="preserve">Rounding error, % of notional</t>
  </si>
  <si>
    <t xml:space="preserve">β comes from a log–log regression, so it is a ratio of rupee exposures, not of units. Prices convert it to units.</t>
  </si>
  <si>
    <t xml:space="preserve">Step 7 · Same signal, four balance sheets</t>
  </si>
  <si>
    <t xml:space="preserve">Return above the risk-free rate on the capital each person must commit.  Profit = Σx / years × N.</t>
  </si>
  <si>
    <t xml:space="preserve">Notional N = lot × last futures price</t>
  </si>
  <si>
    <t xml:space="preserve">Years in sample (sessions / 252)</t>
  </si>
  <si>
    <t xml:space="preserve">Aarav</t>
  </si>
  <si>
    <t xml:space="preserve">Meera</t>
  </si>
  <si>
    <t xml:space="preserve">Rohan</t>
  </si>
  <si>
    <t xml:space="preserve">Kavya</t>
  </si>
  <si>
    <t xml:space="preserve">How the capital is defined</t>
  </si>
  <si>
    <t xml:space="preserve">Σ daily excess P&amp;L, per ₹1 of notional</t>
  </si>
  <si>
    <t xml:space="preserve">Annual excess profit (₹)</t>
  </si>
  <si>
    <t xml:space="preserve">Capital committed (₹)</t>
  </si>
  <si>
    <t xml:space="preserve">Return above risk-free on capital</t>
  </si>
  <si>
    <t xml:space="preserve">Python: 0.19%</t>
  </si>
  <si>
    <t xml:space="preserve">Python: -1.65%</t>
  </si>
  <si>
    <t xml:space="preserve">Python: -45.99%</t>
  </si>
  <si>
    <t xml:space="preserve">Python: 20.6%</t>
  </si>
  <si>
    <t xml:space="preserve">Aarav: ETF bought in cash (1.00) + futures margin</t>
  </si>
  <si>
    <t xml:space="preserve">Meera: 25% of ETF own money (75% MTF) + margin</t>
  </si>
  <si>
    <t xml:space="preserve">Rohan: Only the 50% cash part of margin; he already owns the ETF</t>
  </si>
  <si>
    <t xml:space="preserve">Kavya: Margin after cross-margin relief; inventory already held</t>
  </si>
  <si>
    <t xml:space="preserve">Step 7 · Every 15-minute trade, recomputed with formulas</t>
  </si>
  <si>
    <t xml:space="preserve">z at the signal bar uses Excel's own rolling regression (Panel S–V). Price P&amp;L, option and ETF costs and financing are all formulas.</t>
  </si>
  <si>
    <t xml:space="preserve">Who</t>
  </si>
  <si>
    <t xml:space="preserve">Side</t>
  </si>
  <si>
    <t xml:space="preserve">Signal bar</t>
  </si>
  <si>
    <t xml:space="preserve">Day t</t>
  </si>
  <si>
    <t xml:space="preserve">δ</t>
  </si>
  <si>
    <t xml:space="preserve">σ</t>
  </si>
  <si>
    <t xml:space="preserve">Entry |z| &gt;</t>
  </si>
  <si>
    <t xml:space="preserve">Signal?</t>
  </si>
  <si>
    <t xml:space="preserve">Entry bar</t>
  </si>
  <si>
    <t xml:space="preserve">t entry</t>
  </si>
  <si>
    <t xml:space="preserve">F entry</t>
  </si>
  <si>
    <t xml:space="preserve">B entry</t>
  </si>
  <si>
    <t xml:space="preserve">Exit bar</t>
  </si>
  <si>
    <t xml:space="preserve">t exit</t>
  </si>
  <si>
    <t xml:space="preserve">F exit</t>
  </si>
  <si>
    <t xml:space="preserve">B exit</t>
  </si>
  <si>
    <t xml:space="preserve">Price P&amp;L</t>
  </si>
  <si>
    <t xml:space="preserve">Entry cost</t>
  </si>
  <si>
    <t xml:space="preserve">Exit cost</t>
  </si>
  <si>
    <t xml:space="preserve">Financing</t>
  </si>
  <si>
    <t xml:space="preserve">Net (Excel)</t>
  </si>
  <si>
    <t xml:space="preserve">Net (Python)</t>
  </si>
  <si>
    <t xml:space="preserve">signal</t>
  </si>
  <si>
    <t xml:space="preserve">2023-07-26 14:00</t>
  </si>
  <si>
    <t xml:space="preserve">2023-07-26 14:15</t>
  </si>
  <si>
    <t xml:space="preserve">2023-07-27 15:15</t>
  </si>
  <si>
    <t xml:space="preserve">expiry</t>
  </si>
  <si>
    <t xml:space="preserve">2023-07-28 09:15</t>
  </si>
  <si>
    <t xml:space="preserve">2023-07-28 09:30</t>
  </si>
  <si>
    <t xml:space="preserve">2023-08-31 15:15</t>
  </si>
  <si>
    <t xml:space="preserve">2023-09-01 09:15</t>
  </si>
  <si>
    <t xml:space="preserve">2023-09-01 09:30</t>
  </si>
  <si>
    <t xml:space="preserve">2023-09-28 15:15</t>
  </si>
  <si>
    <t xml:space="preserve">2023-09-29 09:30</t>
  </si>
  <si>
    <t xml:space="preserve">2023-09-29 09:45</t>
  </si>
  <si>
    <t xml:space="preserve">2023-10-26 15:15</t>
  </si>
  <si>
    <t xml:space="preserve">2023-10-27 09:15</t>
  </si>
  <si>
    <t xml:space="preserve">2023-10-27 09:30</t>
  </si>
  <si>
    <t xml:space="preserve">2023-11-30 15:15</t>
  </si>
  <si>
    <t xml:space="preserve">2023-12-01 09:15</t>
  </si>
  <si>
    <t xml:space="preserve">2023-12-01 09:30</t>
  </si>
  <si>
    <t xml:space="preserve">2023-12-28 15:15</t>
  </si>
  <si>
    <t xml:space="preserve">2023-12-29 09:15</t>
  </si>
  <si>
    <t xml:space="preserve">2023-12-29 09:30</t>
  </si>
  <si>
    <t xml:space="preserve">2024-01-25 15:15</t>
  </si>
  <si>
    <t xml:space="preserve">2024-01-29 09:15</t>
  </si>
  <si>
    <t xml:space="preserve">2024-01-29 09:30</t>
  </si>
  <si>
    <t xml:space="preserve">2024-02-29 15:15</t>
  </si>
  <si>
    <t xml:space="preserve">2024-03-01 11:15</t>
  </si>
  <si>
    <t xml:space="preserve">2024-03-01 11:30</t>
  </si>
  <si>
    <t xml:space="preserve">2024-03-28 15:15</t>
  </si>
  <si>
    <t xml:space="preserve">2024-04-01 11:45</t>
  </si>
  <si>
    <t xml:space="preserve">2024-04-01 12:00</t>
  </si>
  <si>
    <t xml:space="preserve">2024-04-25 15:15</t>
  </si>
  <si>
    <t xml:space="preserve">2024-04-26 11:15</t>
  </si>
  <si>
    <t xml:space="preserve">2024-04-26 11:30</t>
  </si>
  <si>
    <t xml:space="preserve">2024-05-30 15:15</t>
  </si>
  <si>
    <t xml:space="preserve">2024-06-04 10:45</t>
  </si>
  <si>
    <t xml:space="preserve">2024-06-04 11:00</t>
  </si>
  <si>
    <t xml:space="preserve">2024-06-27 15:15</t>
  </si>
  <si>
    <t xml:space="preserve">2024-07-23 13:15</t>
  </si>
  <si>
    <t xml:space="preserve">2024-07-23 13:30</t>
  </si>
  <si>
    <t xml:space="preserve">2024-07-25 15:15</t>
  </si>
  <si>
    <t xml:space="preserve">2024-08-05 09:15</t>
  </si>
  <si>
    <t xml:space="preserve">2024-08-05 09:30</t>
  </si>
  <si>
    <t xml:space="preserve">2024-08-29 15:15</t>
  </si>
  <si>
    <t xml:space="preserve">2024-11-29 11:00</t>
  </si>
  <si>
    <t xml:space="preserve">2024-11-29 11:15</t>
  </si>
  <si>
    <t xml:space="preserve">2024-12-26 15:15</t>
  </si>
  <si>
    <t xml:space="preserve">2024-12-27 09:30</t>
  </si>
  <si>
    <t xml:space="preserve">2024-12-27 09:45</t>
  </si>
  <si>
    <t xml:space="preserve">2025-01-30 15:15</t>
  </si>
  <si>
    <t xml:space="preserve">2025-03-28 09:15</t>
  </si>
  <si>
    <t xml:space="preserve">2025-03-28 09:30</t>
  </si>
  <si>
    <t xml:space="preserve">2025-04-24 15:15</t>
  </si>
  <si>
    <t xml:space="preserve">2025-04-25 09:15</t>
  </si>
  <si>
    <t xml:space="preserve">2025-04-25 09:30</t>
  </si>
  <si>
    <t xml:space="preserve">2025-05-29 15:15</t>
  </si>
  <si>
    <t xml:space="preserve">2025-06-23 15:15</t>
  </si>
  <si>
    <t xml:space="preserve">2025-06-24 09:15</t>
  </si>
  <si>
    <t xml:space="preserve">2025-06-26 15:15</t>
  </si>
  <si>
    <t xml:space="preserve">2025-07-18 10:45</t>
  </si>
  <si>
    <t xml:space="preserve">2025-07-18 11:00</t>
  </si>
  <si>
    <t xml:space="preserve">2025-07-31 15:15</t>
  </si>
  <si>
    <t xml:space="preserve">2025-08-01 15:15</t>
  </si>
  <si>
    <t xml:space="preserve">2025-08-04 09:15</t>
  </si>
  <si>
    <t xml:space="preserve">2025-08-28 15:15</t>
  </si>
  <si>
    <t xml:space="preserve">2025-11-26 09:45</t>
  </si>
  <si>
    <t xml:space="preserve">2025-11-26 10:00</t>
  </si>
  <si>
    <t xml:space="preserve">2025-12-30 15:15</t>
  </si>
  <si>
    <t xml:space="preserve">2025-12-31 09:15</t>
  </si>
  <si>
    <t xml:space="preserve">2025-12-31 09:30</t>
  </si>
  <si>
    <t xml:space="preserve">2026-01-27 15:15</t>
  </si>
  <si>
    <t xml:space="preserve">2026-01-28 09:15</t>
  </si>
  <si>
    <t xml:space="preserve">2026-01-28 09:30</t>
  </si>
  <si>
    <t xml:space="preserve">2026-02-24 15:15</t>
  </si>
  <si>
    <t xml:space="preserve">2026-02-25 09:15</t>
  </si>
  <si>
    <t xml:space="preserve">2026-02-25 09:30</t>
  </si>
  <si>
    <t xml:space="preserve">2026-03-30 15:15</t>
  </si>
  <si>
    <t xml:space="preserve">2026-04-01 09:45</t>
  </si>
  <si>
    <t xml:space="preserve">2026-04-01 10:00</t>
  </si>
  <si>
    <t xml:space="preserve">2026-04-28 15:15</t>
  </si>
  <si>
    <t xml:space="preserve">2026-04-29 09:15</t>
  </si>
  <si>
    <t xml:space="preserve">2026-04-29 09:30</t>
  </si>
  <si>
    <t xml:space="preserve">2026-05-26 15:15</t>
  </si>
  <si>
    <t xml:space="preserve">2026-05-29 15:00</t>
  </si>
  <si>
    <t xml:space="preserve">2026-05-29 15:15</t>
  </si>
  <si>
    <t xml:space="preserve">2026-06-30 15:15</t>
  </si>
  <si>
    <t xml:space="preserve">2026-07-20 09:45</t>
  </si>
  <si>
    <t xml:space="preserve">2026-07-20 10:00</t>
  </si>
  <si>
    <t xml:space="preserve">2026-07-28 15:15</t>
  </si>
  <si>
    <t xml:space="preserve">aarav</t>
  </si>
  <si>
    <t xml:space="preserve">2023-09-29 09:15</t>
  </si>
  <si>
    <t xml:space="preserve">2024-03-01 09:15</t>
  </si>
  <si>
    <t xml:space="preserve">2024-03-01 09:30</t>
  </si>
  <si>
    <t xml:space="preserve">2024-04-01 09:15</t>
  </si>
  <si>
    <t xml:space="preserve">2024-04-01 09:30</t>
  </si>
  <si>
    <t xml:space="preserve">2024-04-26 09:15</t>
  </si>
  <si>
    <t xml:space="preserve">2024-04-26 09:30</t>
  </si>
  <si>
    <t xml:space="preserve">2024-06-03 15:15</t>
  </si>
  <si>
    <t xml:space="preserve">2024-06-04 09:15</t>
  </si>
  <si>
    <t xml:space="preserve">2024-10-03 14:00</t>
  </si>
  <si>
    <t xml:space="preserve">2024-10-03 14:15</t>
  </si>
  <si>
    <t xml:space="preserve">2024-10-31 15:15</t>
  </si>
  <si>
    <t xml:space="preserve">2024-11-05 09:45</t>
  </si>
  <si>
    <t xml:space="preserve">2024-11-05 10:00</t>
  </si>
  <si>
    <t xml:space="preserve">2024-11-28 15:15</t>
  </si>
  <si>
    <t xml:space="preserve">2024-11-29 09:15</t>
  </si>
  <si>
    <t xml:space="preserve">2024-11-29 09:30</t>
  </si>
  <si>
    <t xml:space="preserve">2024-12-27 09:15</t>
  </si>
  <si>
    <t xml:space="preserve">2025-01-31 09:30</t>
  </si>
  <si>
    <t xml:space="preserve">2025-01-31 09:45</t>
  </si>
  <si>
    <t xml:space="preserve">2025-02-27 15:15</t>
  </si>
  <si>
    <t xml:space="preserve">2025-10-29 13:00</t>
  </si>
  <si>
    <t xml:space="preserve">2025-10-29 13:15</t>
  </si>
  <si>
    <t xml:space="preserve">2025-11-25 15:15</t>
  </si>
  <si>
    <t xml:space="preserve">2025-11-26 09:15</t>
  </si>
  <si>
    <t xml:space="preserve">2025-11-26 09:30</t>
  </si>
  <si>
    <t xml:space="preserve">2026-04-01 09:15</t>
  </si>
  <si>
    <t xml:space="preserve">2026-04-01 09:30</t>
  </si>
  <si>
    <t xml:space="preserve">2026-05-27 10:00</t>
  </si>
  <si>
    <t xml:space="preserve">2026-05-27 10:15</t>
  </si>
  <si>
    <t xml:space="preserve">meera</t>
  </si>
  <si>
    <t xml:space="preserve">2023-07-28 12:30</t>
  </si>
  <si>
    <t xml:space="preserve">2023-07-28 12:45</t>
  </si>
  <si>
    <t xml:space="preserve">2023-08-01 11:30</t>
  </si>
  <si>
    <t xml:space="preserve">closed</t>
  </si>
  <si>
    <t xml:space="preserve">2023-09-14 10:30</t>
  </si>
  <si>
    <t xml:space="preserve">2023-09-29 13:30</t>
  </si>
  <si>
    <t xml:space="preserve">2023-09-29 13:45</t>
  </si>
  <si>
    <t xml:space="preserve">2023-10-03 09:15</t>
  </si>
  <si>
    <t xml:space="preserve">2023-10-27 09:45</t>
  </si>
  <si>
    <t xml:space="preserve">2023-10-27 10:00</t>
  </si>
  <si>
    <t xml:space="preserve">2023-11-30 10:00</t>
  </si>
  <si>
    <t xml:space="preserve">2023-12-19 09:15</t>
  </si>
  <si>
    <t xml:space="preserve">2024-01-05 13:00</t>
  </si>
  <si>
    <t xml:space="preserve">2026-01-09 09:15</t>
  </si>
  <si>
    <t xml:space="preserve">2026-01-29 10:00</t>
  </si>
  <si>
    <t xml:space="preserve">2026-01-29 10:15</t>
  </si>
  <si>
    <t xml:space="preserve">2026-02-01 09:45</t>
  </si>
  <si>
    <t xml:space="preserve">2026-03-09 09:15</t>
  </si>
  <si>
    <t xml:space="preserve">2026-04-01 11:30</t>
  </si>
  <si>
    <t xml:space="preserve">2026-04-01 11:45</t>
  </si>
  <si>
    <t xml:space="preserve">2026-04-01 14:45</t>
  </si>
  <si>
    <t xml:space="preserve">2026-04-01 15:00</t>
  </si>
  <si>
    <t xml:space="preserve">2026-04-01 15:15</t>
  </si>
  <si>
    <t xml:space="preserve">2026-04-16 14:00</t>
  </si>
  <si>
    <t xml:space="preserve">2026-05-11 09:45</t>
  </si>
  <si>
    <t xml:space="preserve">rohan</t>
  </si>
  <si>
    <t xml:space="preserve">kavya</t>
  </si>
  <si>
    <t xml:space="preserve">2024-06-04 11:15</t>
  </si>
  <si>
    <t xml:space="preserve">2024-08-05 14:15</t>
  </si>
  <si>
    <t xml:space="preserve">2024-08-05 14:30</t>
  </si>
  <si>
    <t xml:space="preserve">2025-04-07 09:15</t>
  </si>
  <si>
    <t xml:space="preserve">2025-04-07 09:30</t>
  </si>
  <si>
    <t xml:space="preserve">2025-07-25 12:15</t>
  </si>
  <si>
    <t xml:space="preserve">2025-07-25 12:30</t>
  </si>
  <si>
    <t xml:space="preserve">Summary</t>
  </si>
  <si>
    <t xml:space="preserve">Trades</t>
  </si>
  <si>
    <t xml:space="preserve">Σ net</t>
  </si>
  <si>
    <t xml:space="preserve">₹ a year</t>
  </si>
  <si>
    <t xml:space="preserve">Capital</t>
  </si>
  <si>
    <t xml:space="preserve">Return above risk-free</t>
  </si>
  <si>
    <t xml:space="preserve">Course-outline tests on the 29 signal trades (sessions 7–12)</t>
  </si>
  <si>
    <t xml:space="preserve">Computed from sheet 9, rows of the base signal: entry 2σ, hold to expiry, both directions, retail costs.</t>
  </si>
  <si>
    <t xml:space="preserve">Trades n</t>
  </si>
  <si>
    <t xml:space="preserve">Mean net per trade (bp)</t>
  </si>
  <si>
    <t xml:space="preserve">Standard deviation (bp)</t>
  </si>
  <si>
    <t xml:space="preserve">One-sample t (H0: mean = 0)</t>
  </si>
  <si>
    <t xml:space="preserve">Python: 3.06</t>
  </si>
  <si>
    <t xml:space="preserve">p-value, two-sided</t>
  </si>
  <si>
    <t xml:space="preserve">Python: 0.0049</t>
  </si>
  <si>
    <t xml:space="preserve">95% CI, lower (bp)</t>
  </si>
  <si>
    <t xml:space="preserve">95% CI, upper (bp)</t>
  </si>
  <si>
    <t xml:space="preserve">Winning trades</t>
  </si>
  <si>
    <t xml:space="preserve">Proportion test z (H0: win rate = 50%)</t>
  </si>
  <si>
    <t xml:space="preserve">Python: 3.25</t>
  </si>
  <si>
    <t xml:space="preserve">p-value, one-sided</t>
  </si>
  <si>
    <t xml:space="preserve">Trades in the first half</t>
  </si>
  <si>
    <t xml:space="preserve">Welch two-sample t-test p (1st vs 2nd half)</t>
  </si>
  <si>
    <t xml:space="preserve">Python: 0.663</t>
  </si>
  <si>
    <t xml:space="preserve">F-test for equal variances p</t>
  </si>
  <si>
    <t xml:space="preserve">Python: 0.4074</t>
  </si>
  <si>
    <t xml:space="preserve">Chi-square: direction × outcome (Yates-corrected, as in Python)</t>
  </si>
  <si>
    <t xml:space="preserve">Loss</t>
  </si>
  <si>
    <t xml:space="preserve">Win</t>
  </si>
  <si>
    <t xml:space="preserve">buy futures, sell ETF</t>
  </si>
  <si>
    <t xml:space="preserve">sell futures, buy ETF</t>
  </si>
  <si>
    <t xml:space="preserve">χ² (Yates)</t>
  </si>
  <si>
    <t xml:space="preserve">Python: 2.321</t>
  </si>
  <si>
    <t xml:space="preserve">p-value</t>
  </si>
  <si>
    <t xml:space="preserve">Python: 0.1277</t>
  </si>
  <si>
    <t xml:space="preserve">Wilcoxon signed-rank, ANOVA, regression diagnostics and the classifiers are in the notebook (Python/Jamovi); plain Excel has no built-in functions for them.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</si>
</sst>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.000"/>
    <numFmt numFmtId="166" formatCode="0.00000"/>
    <numFmt numFmtId="167" formatCode="0.0000"/>
    <numFmt numFmtId="168" formatCode="0.00%"/>
    <numFmt numFmtId="169" formatCode="0.00"/>
    <numFmt numFmtId="170" formatCode="0"/>
    <numFmt numFmtId="171" formatCode="0.000%"/>
    <numFmt numFmtId="172" formatCode="0.0%"/>
    <numFmt numFmtId="173" formatCode="0%"/>
    <numFmt numFmtId="174" formatCode="0.0000%"/>
    <numFmt numFmtId="175" formatCode="0.00000%"/>
    <numFmt numFmtId="176" formatCode="dd\-mmm\-yy"/>
    <numFmt numFmtId="177" formatCode="0.000000"/>
    <numFmt numFmtId="178" formatCode="General"/>
    <numFmt numFmtId="179" formatCode="@"/>
    <numFmt numFmtId="180" formatCode="0.000E+00"/>
    <numFmt numFmtId="181" formatCode="#,##0.00"/>
    <numFmt numFmtId="182" formatCode="\₹#,##0"/>
    <numFmt numFmtId="183" formatCode="#,##0"/>
    <numFmt numFmtId="184" formatCode="0.0E+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-2.309</v>
      </c>
      <c r="C5" s="6" t="n">
        <f aca="false">'1 ADF'!B16</f>
        <v>-2.3091090292518</v>
      </c>
      <c r="D5" s="7" t="n">
        <f aca="false">C5-B5</f>
        <v>-0.000109029251797121</v>
      </c>
      <c r="E5" s="8" t="str">
        <f aca="false">IF(ABS(D5)&lt;=0.0015,"Yes","No")</f>
        <v>Yes</v>
      </c>
      <c r="F5" s="9" t="s">
        <v>9</v>
      </c>
    </row>
    <row r="6" customFormat="false" ht="15" hidden="false" customHeight="false" outlineLevel="0" collapsed="false">
      <c r="A6" s="4" t="s">
        <v>10</v>
      </c>
      <c r="B6" s="5" t="n">
        <v>-2.367</v>
      </c>
      <c r="C6" s="6" t="n">
        <f aca="false">'1 ADF'!B26</f>
        <v>-2.36714366898643</v>
      </c>
      <c r="D6" s="7" t="n">
        <f aca="false">C6-B6</f>
        <v>-0.000143668986434253</v>
      </c>
      <c r="E6" s="8" t="str">
        <f aca="false">IF(ABS(D6)&lt;=0.0015,"Yes","No")</f>
        <v>Yes</v>
      </c>
      <c r="F6" s="9" t="s">
        <v>11</v>
      </c>
    </row>
    <row r="7" customFormat="false" ht="15" hidden="false" customHeight="false" outlineLevel="0" collapsed="false">
      <c r="A7" s="4" t="s">
        <v>12</v>
      </c>
      <c r="B7" s="10" t="n">
        <v>0.91613</v>
      </c>
      <c r="C7" s="11" t="n">
        <f aca="false">'2 Hedge ratio'!B5</f>
        <v>0.916126759246726</v>
      </c>
      <c r="D7" s="7" t="n">
        <f aca="false">C7-B7</f>
        <v>-3.24075327395867E-006</v>
      </c>
      <c r="E7" s="8" t="str">
        <f aca="false">IF(ABS(D7)&lt;=0.0015,"Yes","No")</f>
        <v>Yes</v>
      </c>
      <c r="F7" s="9" t="s">
        <v>13</v>
      </c>
    </row>
    <row r="8" customFormat="false" ht="15" hidden="false" customHeight="false" outlineLevel="0" collapsed="false">
      <c r="A8" s="4" t="s">
        <v>14</v>
      </c>
      <c r="B8" s="10" t="n">
        <v>0.99564</v>
      </c>
      <c r="C8" s="11" t="n">
        <f aca="false">'2 Hedge ratio'!B8</f>
        <v>0.995635626902396</v>
      </c>
      <c r="D8" s="7" t="n">
        <f aca="false">C8-B8</f>
        <v>-4.37309760448201E-006</v>
      </c>
      <c r="E8" s="8" t="str">
        <f aca="false">IF(ABS(D8)&lt;=0.0015,"Yes","No")</f>
        <v>Yes</v>
      </c>
      <c r="F8" s="9" t="s">
        <v>15</v>
      </c>
    </row>
    <row r="9" customFormat="false" ht="15" hidden="false" customHeight="false" outlineLevel="0" collapsed="false">
      <c r="A9" s="4" t="s">
        <v>16</v>
      </c>
      <c r="B9" s="12" t="n">
        <v>89.6795</v>
      </c>
      <c r="C9" s="13" t="n">
        <f aca="false">'2 Hedge ratio'!B9</f>
        <v>89.6795322235331</v>
      </c>
      <c r="D9" s="7" t="n">
        <f aca="false">C9-B9</f>
        <v>3.22235330969534E-005</v>
      </c>
      <c r="E9" s="8" t="str">
        <f aca="false">IF(ABS(D9)&lt;=0.0015,"Yes","No")</f>
        <v>Yes</v>
      </c>
      <c r="F9" s="9" t="s">
        <v>17</v>
      </c>
    </row>
    <row r="10" customFormat="false" ht="15" hidden="false" customHeight="false" outlineLevel="0" collapsed="false">
      <c r="A10" s="4" t="s">
        <v>18</v>
      </c>
      <c r="B10" s="5" t="n">
        <v>-3.096</v>
      </c>
      <c r="C10" s="6" t="n">
        <f aca="false">'3 Cointegration'!B7</f>
        <v>-3.09612495994817</v>
      </c>
      <c r="D10" s="7" t="n">
        <f aca="false">C10-B10</f>
        <v>-0.000124959948169412</v>
      </c>
      <c r="E10" s="8" t="str">
        <f aca="false">IF(ABS(D10)&lt;=0.0015,"Yes","No")</f>
        <v>Yes</v>
      </c>
      <c r="F10" s="9" t="s">
        <v>19</v>
      </c>
    </row>
    <row r="11" customFormat="false" ht="15" hidden="false" customHeight="false" outlineLevel="0" collapsed="false">
      <c r="A11" s="4" t="s">
        <v>20</v>
      </c>
      <c r="B11" s="14" t="n">
        <v>-0.01161</v>
      </c>
      <c r="C11" s="15" t="n">
        <f aca="false">Carry!B5</f>
        <v>-0.0116140560556988</v>
      </c>
      <c r="D11" s="7" t="n">
        <f aca="false">C11-B11</f>
        <v>-4.05605569879508E-006</v>
      </c>
      <c r="E11" s="8" t="str">
        <f aca="false">IF(ABS(D11)&lt;=0.00015,"Yes","No")</f>
        <v>Yes</v>
      </c>
      <c r="F11" s="9" t="s">
        <v>21</v>
      </c>
    </row>
    <row r="12" customFormat="false" ht="15" hidden="false" customHeight="false" outlineLevel="0" collapsed="false">
      <c r="A12" s="4" t="s">
        <v>22</v>
      </c>
      <c r="B12" s="14" t="n">
        <v>0.0654</v>
      </c>
      <c r="C12" s="15" t="n">
        <f aca="false">Carry!B9</f>
        <v>0.0653834617937252</v>
      </c>
      <c r="D12" s="7" t="n">
        <f aca="false">C12-B12</f>
        <v>-1.65382062748132E-005</v>
      </c>
      <c r="E12" s="8" t="str">
        <f aca="false">IF(ABS(D12)&lt;=0.00015,"Yes","No")</f>
        <v>Yes</v>
      </c>
      <c r="F12" s="9" t="s">
        <v>23</v>
      </c>
    </row>
    <row r="13" customFormat="false" ht="15" hidden="false" customHeight="false" outlineLevel="0" collapsed="false">
      <c r="A13" s="4" t="s">
        <v>24</v>
      </c>
      <c r="B13" s="10" t="n">
        <v>0.99697</v>
      </c>
      <c r="C13" s="11" t="n">
        <f aca="false">'5 Re-specification'!B5</f>
        <v>0.996969499978785</v>
      </c>
      <c r="D13" s="7" t="n">
        <f aca="false">C13-B13</f>
        <v>-5.00021214655533E-007</v>
      </c>
      <c r="E13" s="8" t="str">
        <f aca="false">IF(ABS(D13)&lt;=0.0015,"Yes","No")</f>
        <v>Yes</v>
      </c>
      <c r="F13" s="9" t="s">
        <v>25</v>
      </c>
    </row>
    <row r="14" customFormat="false" ht="15" hidden="false" customHeight="false" outlineLevel="0" collapsed="false">
      <c r="A14" s="4" t="s">
        <v>26</v>
      </c>
      <c r="B14" s="14" t="n">
        <v>-0.0113</v>
      </c>
      <c r="C14" s="15" t="n">
        <f aca="false">'5 Re-specification'!B8</f>
        <v>-0.0113221881603818</v>
      </c>
      <c r="D14" s="7" t="n">
        <f aca="false">C14-B14</f>
        <v>-2.21881603818391E-005</v>
      </c>
      <c r="E14" s="8" t="str">
        <f aca="false">IF(ABS(D14)&lt;=0.00015,"Yes","No")</f>
        <v>Yes</v>
      </c>
      <c r="F14" s="9" t="s">
        <v>27</v>
      </c>
    </row>
    <row r="15" customFormat="false" ht="15" hidden="false" customHeight="false" outlineLevel="0" collapsed="false">
      <c r="A15" s="4" t="s">
        <v>28</v>
      </c>
      <c r="B15" s="5" t="n">
        <v>-8.06</v>
      </c>
      <c r="C15" s="6" t="n">
        <f aca="false">'5b EG with trend'!B7</f>
        <v>-8.06042484856706</v>
      </c>
      <c r="D15" s="7" t="n">
        <f aca="false">C15-B15</f>
        <v>-0.000424848567062597</v>
      </c>
      <c r="E15" s="8" t="str">
        <f aca="false">IF(ABS(D15)&lt;=0.0015,"Yes","No")</f>
        <v>Yes</v>
      </c>
      <c r="F15" s="9" t="s">
        <v>29</v>
      </c>
    </row>
    <row r="16" customFormat="false" ht="15" hidden="false" customHeight="false" outlineLevel="0" collapsed="false">
      <c r="A16" s="4" t="s">
        <v>30</v>
      </c>
      <c r="B16" s="12" t="n">
        <v>-0.4832</v>
      </c>
      <c r="C16" s="13" t="n">
        <f aca="false">'6 ECM'!B5</f>
        <v>-0.483201839041744</v>
      </c>
      <c r="D16" s="7" t="n">
        <f aca="false">C16-B16</f>
        <v>-1.83904174444471E-006</v>
      </c>
      <c r="E16" s="8" t="str">
        <f aca="false">IF(ABS(D16)&lt;=0.0015,"Yes","No")</f>
        <v>Yes</v>
      </c>
      <c r="F16" s="9" t="s">
        <v>31</v>
      </c>
    </row>
    <row r="17" customFormat="false" ht="15" hidden="false" customHeight="false" outlineLevel="0" collapsed="false">
      <c r="A17" s="4" t="s">
        <v>32</v>
      </c>
      <c r="B17" s="16" t="n">
        <v>1.43</v>
      </c>
      <c r="C17" s="17" t="n">
        <f aca="false">'6 ECM'!B8</f>
        <v>1.4344878776425</v>
      </c>
      <c r="D17" s="7" t="n">
        <f aca="false">C17-B17</f>
        <v>0.0044878776425008</v>
      </c>
      <c r="E17" s="8" t="str">
        <f aca="false">IF(ABS(D17)&lt;=0.01,"Yes","No")</f>
        <v>Yes</v>
      </c>
      <c r="F17" s="9" t="s">
        <v>33</v>
      </c>
    </row>
    <row r="18" customFormat="false" ht="15" hidden="false" customHeight="false" outlineLevel="0" collapsed="false">
      <c r="A18" s="4" t="s">
        <v>34</v>
      </c>
      <c r="B18" s="18" t="n">
        <v>29</v>
      </c>
      <c r="C18" s="19" t="n">
        <f aca="false">'7 Signal backtest'!B5</f>
        <v>29</v>
      </c>
      <c r="D18" s="7" t="n">
        <f aca="false">C18-B18</f>
        <v>0</v>
      </c>
      <c r="E18" s="8" t="str">
        <f aca="false">IF(ABS(D18)&lt;=0.0015,"Yes","No")</f>
        <v>Yes</v>
      </c>
      <c r="F18" s="9" t="s">
        <v>35</v>
      </c>
    </row>
    <row r="19" customFormat="false" ht="15" hidden="false" customHeight="false" outlineLevel="0" collapsed="false">
      <c r="A19" s="4" t="s">
        <v>36</v>
      </c>
      <c r="B19" s="20" t="n">
        <v>0.00515</v>
      </c>
      <c r="C19" s="21" t="n">
        <f aca="false">'7 Signal backtest'!B6</f>
        <v>0.00514701985485613</v>
      </c>
      <c r="D19" s="7" t="n">
        <f aca="false">C19-B19</f>
        <v>-2.98014514387313E-006</v>
      </c>
      <c r="E19" s="8" t="str">
        <f aca="false">IF(ABS(D19)&lt;=0.00015,"Yes","No")</f>
        <v>Yes</v>
      </c>
      <c r="F19" s="9" t="s">
        <v>37</v>
      </c>
    </row>
    <row r="20" customFormat="false" ht="15" hidden="false" customHeight="false" outlineLevel="0" collapsed="false">
      <c r="A20" s="4" t="s">
        <v>38</v>
      </c>
      <c r="B20" s="16" t="n">
        <v>0.39</v>
      </c>
      <c r="C20" s="17" t="n">
        <f aca="false">'7 Signal backtest'!B8</f>
        <v>0.387463600995347</v>
      </c>
      <c r="D20" s="7" t="n">
        <f aca="false">C20-B20</f>
        <v>-0.00253639900465275</v>
      </c>
      <c r="E20" s="8" t="str">
        <f aca="false">IF(ABS(D20)&lt;=0.01,"Yes","No")</f>
        <v>Yes</v>
      </c>
      <c r="F20" s="9" t="s">
        <v>39</v>
      </c>
    </row>
    <row r="21" customFormat="false" ht="15" hidden="false" customHeight="false" outlineLevel="0" collapsed="false">
      <c r="A21" s="4" t="s">
        <v>40</v>
      </c>
      <c r="B21" s="14" t="n">
        <v>0.0019</v>
      </c>
      <c r="C21" s="15" t="n">
        <f aca="false">'8 Four people'!B11</f>
        <v>0.00189383141785814</v>
      </c>
      <c r="D21" s="7" t="n">
        <f aca="false">C21-B21</f>
        <v>-6.16858214185639E-006</v>
      </c>
      <c r="E21" s="8" t="str">
        <f aca="false">IF(ABS(D21)&lt;=0.00015,"Yes","No")</f>
        <v>Yes</v>
      </c>
      <c r="F21" s="9" t="s">
        <v>41</v>
      </c>
    </row>
    <row r="22" customFormat="false" ht="15" hidden="false" customHeight="false" outlineLevel="0" collapsed="false">
      <c r="A22" s="4" t="s">
        <v>42</v>
      </c>
      <c r="B22" s="14" t="n">
        <v>-0.0165</v>
      </c>
      <c r="C22" s="15" t="n">
        <f aca="false">'8 Four people'!C11</f>
        <v>-0.0164783150207068</v>
      </c>
      <c r="D22" s="7" t="n">
        <f aca="false">C22-B22</f>
        <v>2.1684979293158E-005</v>
      </c>
      <c r="E22" s="8" t="str">
        <f aca="false">IF(ABS(D22)&lt;=0.00015,"Yes","No")</f>
        <v>Yes</v>
      </c>
      <c r="F22" s="9" t="s">
        <v>43</v>
      </c>
    </row>
    <row r="23" customFormat="false" ht="15" hidden="false" customHeight="false" outlineLevel="0" collapsed="false">
      <c r="A23" s="4" t="s">
        <v>44</v>
      </c>
      <c r="B23" s="14" t="n">
        <v>-0.4599</v>
      </c>
      <c r="C23" s="15" t="n">
        <f aca="false">'8 Four people'!D11</f>
        <v>-0.459876953912827</v>
      </c>
      <c r="D23" s="7" t="n">
        <f aca="false">C23-B23</f>
        <v>2.30460871730176E-005</v>
      </c>
      <c r="E23" s="8" t="str">
        <f aca="false">IF(ABS(D23)&lt;=0.00015,"Yes","No")</f>
        <v>Yes</v>
      </c>
      <c r="F23" s="9" t="s">
        <v>45</v>
      </c>
    </row>
    <row r="24" customFormat="false" ht="15" hidden="false" customHeight="false" outlineLevel="0" collapsed="false">
      <c r="A24" s="4" t="s">
        <v>46</v>
      </c>
      <c r="B24" s="14" t="n">
        <v>0.206</v>
      </c>
      <c r="C24" s="15" t="n">
        <f aca="false">'8 Four people'!E11</f>
        <v>0.205963505833535</v>
      </c>
      <c r="D24" s="7" t="n">
        <f aca="false">C24-B24</f>
        <v>-3.64941664650342E-005</v>
      </c>
      <c r="E24" s="8" t="str">
        <f aca="false">IF(ABS(D24)&lt;=0.00015,"Yes","No")</f>
        <v>Yes</v>
      </c>
      <c r="F24" s="9" t="s">
        <v>47</v>
      </c>
    </row>
    <row r="25" customFormat="false" ht="15" hidden="false" customHeight="false" outlineLevel="0" collapsed="false">
      <c r="A25" s="4" t="s">
        <v>48</v>
      </c>
      <c r="B25" s="14" t="n">
        <v>0.0213</v>
      </c>
      <c r="C25" s="15" t="n">
        <f aca="false">'9 Trades 15-min'!F102</f>
        <v>0.0213388683230656</v>
      </c>
      <c r="D25" s="7" t="n">
        <f aca="false">C25-B25</f>
        <v>3.88683230655891E-005</v>
      </c>
      <c r="E25" s="8" t="str">
        <f aca="false">IF(ABS(D25)&lt;=0.00015,"Yes","No")</f>
        <v>Yes</v>
      </c>
      <c r="F25" s="9" t="s">
        <v>49</v>
      </c>
    </row>
    <row r="26" customFormat="false" ht="15" hidden="false" customHeight="false" outlineLevel="0" collapsed="false">
      <c r="A26" s="4" t="s">
        <v>50</v>
      </c>
      <c r="B26" s="14" t="n">
        <v>0.0172</v>
      </c>
      <c r="C26" s="15" t="n">
        <f aca="false">'9 Trades 15-min'!F103</f>
        <v>0.0172200431890343</v>
      </c>
      <c r="D26" s="7" t="n">
        <f aca="false">C26-B26</f>
        <v>2.00431890343411E-005</v>
      </c>
      <c r="E26" s="8" t="str">
        <f aca="false">IF(ABS(D26)&lt;=0.00015,"Yes","No")</f>
        <v>Yes</v>
      </c>
      <c r="F26" s="9" t="s">
        <v>49</v>
      </c>
    </row>
    <row r="27" customFormat="false" ht="15" hidden="false" customHeight="false" outlineLevel="0" collapsed="false">
      <c r="A27" s="4" t="s">
        <v>51</v>
      </c>
      <c r="B27" s="14" t="n">
        <v>-0.0096</v>
      </c>
      <c r="C27" s="15" t="n">
        <f aca="false">'9 Trades 15-min'!F104</f>
        <v>-0.00959326725131309</v>
      </c>
      <c r="D27" s="7" t="n">
        <f aca="false">C27-B27</f>
        <v>6.73274868690996E-006</v>
      </c>
      <c r="E27" s="8" t="str">
        <f aca="false">IF(ABS(D27)&lt;=0.00015,"Yes","No")</f>
        <v>Yes</v>
      </c>
      <c r="F27" s="9" t="s">
        <v>49</v>
      </c>
    </row>
    <row r="28" customFormat="false" ht="15" hidden="false" customHeight="false" outlineLevel="0" collapsed="false">
      <c r="A28" s="4" t="s">
        <v>52</v>
      </c>
      <c r="B28" s="14" t="n">
        <v>0.5044</v>
      </c>
      <c r="C28" s="15" t="n">
        <f aca="false">'9 Trades 15-min'!F105</f>
        <v>0.504383682774094</v>
      </c>
      <c r="D28" s="7" t="n">
        <f aca="false">C28-B28</f>
        <v>-1.6317225906004E-005</v>
      </c>
      <c r="E28" s="8" t="str">
        <f aca="false">IF(ABS(D28)&lt;=0.00015,"Yes","No")</f>
        <v>Yes</v>
      </c>
      <c r="F28" s="9" t="s">
        <v>49</v>
      </c>
    </row>
    <row r="29" customFormat="false" ht="15" hidden="false" customHeight="false" outlineLevel="0" collapsed="false">
      <c r="A29" s="4" t="s">
        <v>53</v>
      </c>
      <c r="B29" s="14" t="n">
        <v>0.4948</v>
      </c>
      <c r="C29" s="15" t="n">
        <f aca="false">'9 Trades 15-min'!F106</f>
        <v>0.494817468837816</v>
      </c>
      <c r="D29" s="7" t="n">
        <f aca="false">C29-B29</f>
        <v>1.74688378155041E-005</v>
      </c>
      <c r="E29" s="8" t="str">
        <f aca="false">IF(ABS(D29)&lt;=0.00015,"Yes","No")</f>
        <v>Yes</v>
      </c>
      <c r="F29" s="9" t="s">
        <v>49</v>
      </c>
    </row>
    <row r="30" customFormat="false" ht="15" hidden="false" customHeight="false" outlineLevel="0" collapsed="false">
      <c r="A30" s="4" t="s">
        <v>54</v>
      </c>
      <c r="B30" s="16" t="n">
        <v>3.06</v>
      </c>
      <c r="C30" s="17" t="n">
        <f aca="false">'10 Course tests'!B7</f>
        <v>3.05792286907744</v>
      </c>
      <c r="D30" s="7" t="n">
        <f aca="false">C30-B30</f>
        <v>-0.00207713092256201</v>
      </c>
      <c r="E30" s="8" t="str">
        <f aca="false">IF(ABS(D30)&lt;=0.01,"Yes","No")</f>
        <v>Yes</v>
      </c>
      <c r="F30" s="9" t="s">
        <v>55</v>
      </c>
    </row>
    <row r="31" customFormat="false" ht="15" hidden="false" customHeight="false" outlineLevel="0" collapsed="false">
      <c r="A31" s="4" t="s">
        <v>56</v>
      </c>
      <c r="B31" s="12" t="n">
        <v>0.663</v>
      </c>
      <c r="C31" s="13" t="n">
        <f aca="false">'10 Course tests'!B15</f>
        <v>0.663015794896552</v>
      </c>
      <c r="D31" s="7" t="n">
        <f aca="false">C31-B31</f>
        <v>1.57948965522348E-005</v>
      </c>
      <c r="E31" s="8" t="str">
        <f aca="false">IF(ABS(D31)&lt;=0.01,"Yes","No")</f>
        <v>Yes</v>
      </c>
      <c r="F31" s="9" t="s">
        <v>57</v>
      </c>
    </row>
    <row r="32" customFormat="false" ht="15" hidden="false" customHeight="false" outlineLevel="0" collapsed="false">
      <c r="A32" s="4" t="s">
        <v>58</v>
      </c>
      <c r="B32" s="12" t="n">
        <v>0.1277</v>
      </c>
      <c r="C32" s="13" t="n">
        <f aca="false">'10 Course tests'!B24</f>
        <v>0.127674937896864</v>
      </c>
      <c r="D32" s="7" t="n">
        <f aca="false">C32-B32</f>
        <v>-2.50621031361031E-005</v>
      </c>
      <c r="E32" s="8" t="str">
        <f aca="false">IF(ABS(D32)&lt;=0.01,"Yes","No")</f>
        <v>Yes</v>
      </c>
      <c r="F32" s="9" t="s">
        <v>59</v>
      </c>
    </row>
    <row r="34" customFormat="false" ht="15" hidden="false" customHeight="false" outlineLevel="0" collapsed="false">
      <c r="A34" s="2" t="s">
        <v>60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</row>
    <row r="5" customFormat="false" ht="15" hidden="false" customHeight="false" outlineLevel="0" collapsed="false">
      <c r="A5" s="22" t="s">
        <v>66</v>
      </c>
      <c r="B5" s="16" t="n">
        <v>2</v>
      </c>
      <c r="C5" s="2" t="s">
        <v>67</v>
      </c>
    </row>
    <row r="6" customFormat="false" ht="15" hidden="false" customHeight="false" outlineLevel="0" collapsed="false">
      <c r="A6" s="22" t="s">
        <v>68</v>
      </c>
      <c r="B6" s="16" t="n">
        <v>0.5</v>
      </c>
    </row>
    <row r="7" customFormat="false" ht="15" hidden="false" customHeight="false" outlineLevel="0" collapsed="false">
      <c r="A7" s="22" t="s">
        <v>69</v>
      </c>
      <c r="B7" s="16" t="n">
        <v>3.5</v>
      </c>
    </row>
    <row r="8" customFormat="false" ht="15" hidden="false" customHeight="false" outlineLevel="0" collapsed="false">
      <c r="A8" s="22" t="s">
        <v>70</v>
      </c>
      <c r="B8" s="18" t="n">
        <v>10</v>
      </c>
      <c r="C8" s="2" t="s">
        <v>71</v>
      </c>
    </row>
    <row r="9" customFormat="false" ht="15" hidden="false" customHeight="false" outlineLevel="0" collapsed="false">
      <c r="A9" s="22" t="s">
        <v>72</v>
      </c>
      <c r="B9" s="18" t="n">
        <v>250</v>
      </c>
      <c r="C9" s="2" t="s">
        <v>73</v>
      </c>
    </row>
    <row r="10" customFormat="false" ht="15" hidden="false" customHeight="false" outlineLevel="0" collapsed="false">
      <c r="A10" s="22" t="s">
        <v>74</v>
      </c>
      <c r="B10" s="18" t="n">
        <v>60</v>
      </c>
    </row>
    <row r="11" customFormat="false" ht="15" hidden="false" customHeight="false" outlineLevel="0" collapsed="false">
      <c r="A11" s="22" t="s">
        <v>75</v>
      </c>
      <c r="B11" s="18" t="n">
        <v>65</v>
      </c>
      <c r="C11" s="2" t="s">
        <v>76</v>
      </c>
    </row>
    <row r="12" customFormat="false" ht="15" hidden="false" customHeight="false" outlineLevel="0" collapsed="false">
      <c r="A12" s="22" t="s">
        <v>77</v>
      </c>
      <c r="B12" s="23" t="n">
        <v>0.13</v>
      </c>
      <c r="C12" s="2" t="s">
        <v>78</v>
      </c>
    </row>
    <row r="13" customFormat="false" ht="15" hidden="false" customHeight="false" outlineLevel="0" collapsed="false">
      <c r="A13" s="22" t="s">
        <v>79</v>
      </c>
      <c r="B13" s="23" t="n">
        <v>0.14</v>
      </c>
      <c r="C13" s="2" t="s">
        <v>80</v>
      </c>
    </row>
    <row r="14" customFormat="false" ht="15" hidden="false" customHeight="false" outlineLevel="0" collapsed="false">
      <c r="A14" s="22" t="s">
        <v>81</v>
      </c>
      <c r="B14" s="14" t="n">
        <v>0.0075</v>
      </c>
      <c r="C14" s="2" t="s">
        <v>82</v>
      </c>
    </row>
    <row r="15" customFormat="false" ht="15" hidden="false" customHeight="false" outlineLevel="0" collapsed="false">
      <c r="A15" s="22" t="s">
        <v>83</v>
      </c>
      <c r="B15" s="24" t="n">
        <v>0.7</v>
      </c>
      <c r="C15" s="2" t="s">
        <v>84</v>
      </c>
    </row>
    <row r="16" customFormat="false" ht="15" hidden="false" customHeight="false" outlineLevel="0" collapsed="false">
      <c r="A16" s="22" t="s">
        <v>85</v>
      </c>
      <c r="B16" s="18" t="n">
        <v>252</v>
      </c>
      <c r="C16" s="2" t="s">
        <v>86</v>
      </c>
    </row>
    <row r="17" customFormat="false" ht="15" hidden="false" customHeight="false" outlineLevel="0" collapsed="false">
      <c r="A17" s="22" t="s">
        <v>87</v>
      </c>
      <c r="B17" s="25" t="n">
        <v>2E-005</v>
      </c>
      <c r="C17" s="2" t="s">
        <v>88</v>
      </c>
    </row>
    <row r="18" customFormat="false" ht="15" hidden="false" customHeight="false" outlineLevel="0" collapsed="false">
      <c r="A18" s="22" t="s">
        <v>89</v>
      </c>
      <c r="B18" s="25" t="n">
        <v>3.5E-005</v>
      </c>
      <c r="C18" s="2" t="s">
        <v>90</v>
      </c>
    </row>
    <row r="19" customFormat="false" ht="15" hidden="false" customHeight="false" outlineLevel="0" collapsed="false">
      <c r="A19" s="22" t="s">
        <v>91</v>
      </c>
      <c r="B19" s="25" t="n">
        <v>0.0001</v>
      </c>
      <c r="C19" s="2" t="s">
        <v>92</v>
      </c>
    </row>
    <row r="20" customFormat="false" ht="15" hidden="false" customHeight="false" outlineLevel="0" collapsed="false">
      <c r="A20" s="22" t="s">
        <v>93</v>
      </c>
      <c r="B20" s="25" t="n">
        <v>0.00015</v>
      </c>
      <c r="C20" s="2" t="s">
        <v>94</v>
      </c>
    </row>
    <row r="21" customFormat="false" ht="15" hidden="false" customHeight="false" outlineLevel="0" collapsed="false">
      <c r="A21" s="22" t="s">
        <v>95</v>
      </c>
      <c r="B21" s="25" t="n">
        <v>1E-005</v>
      </c>
      <c r="C21" s="2" t="s">
        <v>96</v>
      </c>
    </row>
    <row r="22" customFormat="false" ht="15" hidden="false" customHeight="false" outlineLevel="0" collapsed="false">
      <c r="A22" s="22" t="s">
        <v>97</v>
      </c>
      <c r="B22" s="25" t="n">
        <v>5E-005</v>
      </c>
      <c r="C22" s="2" t="s">
        <v>98</v>
      </c>
    </row>
    <row r="23" customFormat="false" ht="15" hidden="false" customHeight="false" outlineLevel="0" collapsed="false">
      <c r="A23" s="22" t="s">
        <v>99</v>
      </c>
      <c r="B23" s="25" t="n">
        <v>0.00015</v>
      </c>
      <c r="C23" s="2" t="s">
        <v>100</v>
      </c>
    </row>
    <row r="24" customFormat="false" ht="15" hidden="false" customHeight="false" outlineLevel="0" collapsed="false">
      <c r="A24" s="22" t="s">
        <v>101</v>
      </c>
      <c r="B24" s="25" t="n">
        <v>2E-005</v>
      </c>
      <c r="C24" s="2" t="s">
        <v>82</v>
      </c>
    </row>
    <row r="25" customFormat="false" ht="15" hidden="false" customHeight="false" outlineLevel="0" collapsed="false">
      <c r="A25" s="22" t="s">
        <v>102</v>
      </c>
      <c r="B25" s="25" t="n">
        <v>5E-005</v>
      </c>
      <c r="C25" s="2" t="s">
        <v>103</v>
      </c>
    </row>
    <row r="26" customFormat="false" ht="15" hidden="false" customHeight="false" outlineLevel="0" collapsed="false">
      <c r="A26" s="22" t="s">
        <v>104</v>
      </c>
      <c r="B26" s="25" t="n">
        <v>3E-005</v>
      </c>
      <c r="C26" s="2" t="s">
        <v>82</v>
      </c>
    </row>
    <row r="27" customFormat="false" ht="15" hidden="false" customHeight="false" outlineLevel="0" collapsed="false">
      <c r="A27" s="22" t="s">
        <v>105</v>
      </c>
      <c r="B27" s="25" t="n">
        <v>7.5E-005</v>
      </c>
      <c r="C27" s="2" t="s">
        <v>106</v>
      </c>
    </row>
    <row r="28" customFormat="false" ht="15" hidden="false" customHeight="false" outlineLevel="0" collapsed="false">
      <c r="A28" s="22" t="s">
        <v>107</v>
      </c>
      <c r="B28" s="24" t="n">
        <v>0.14</v>
      </c>
      <c r="C28" s="2" t="s">
        <v>108</v>
      </c>
    </row>
    <row r="29" customFormat="false" ht="15" hidden="false" customHeight="false" outlineLevel="0" collapsed="false">
      <c r="A29" s="22" t="s">
        <v>109</v>
      </c>
      <c r="B29" s="26" t="n">
        <v>2.5E-006</v>
      </c>
      <c r="C29" s="2" t="s">
        <v>110</v>
      </c>
    </row>
    <row r="30" customFormat="false" ht="15" hidden="false" customHeight="false" outlineLevel="0" collapsed="false">
      <c r="A30" s="22" t="s">
        <v>111</v>
      </c>
      <c r="B30" s="26" t="n">
        <v>1E-006</v>
      </c>
      <c r="C30" s="2" t="s">
        <v>82</v>
      </c>
    </row>
    <row r="32" customFormat="false" ht="15" hidden="false" customHeight="false" outlineLevel="0" collapsed="false">
      <c r="A32" s="2" t="s">
        <v>112</v>
      </c>
    </row>
    <row r="33" customFormat="false" ht="15" hidden="false" customHeight="false" outlineLevel="0" collapsed="false">
      <c r="A33" s="2" t="s">
        <v>113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D8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5" min="2" style="0" width="10"/>
  </cols>
  <sheetData>
    <row r="1" customFormat="false" ht="16.1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23.85" hidden="false" customHeight="false" outlineLevel="0" collapsed="false">
      <c r="A4" s="3" t="s">
        <v>116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  <c r="G4" s="3" t="s">
        <v>122</v>
      </c>
      <c r="H4" s="3" t="s">
        <v>123</v>
      </c>
      <c r="I4" s="3" t="s">
        <v>124</v>
      </c>
      <c r="J4" s="3" t="s">
        <v>125</v>
      </c>
      <c r="K4" s="3" t="s">
        <v>126</v>
      </c>
      <c r="L4" s="3" t="s">
        <v>127</v>
      </c>
      <c r="M4" s="3" t="s">
        <v>128</v>
      </c>
      <c r="N4" s="3" t="s">
        <v>129</v>
      </c>
      <c r="O4" s="3" t="s">
        <v>130</v>
      </c>
      <c r="P4" s="3" t="s">
        <v>131</v>
      </c>
      <c r="Q4" s="3" t="s">
        <v>132</v>
      </c>
      <c r="R4" s="3" t="s">
        <v>133</v>
      </c>
      <c r="S4" s="3" t="s">
        <v>134</v>
      </c>
      <c r="T4" s="3" t="s">
        <v>135</v>
      </c>
      <c r="U4" s="3" t="s">
        <v>136</v>
      </c>
      <c r="V4" s="3" t="s">
        <v>137</v>
      </c>
      <c r="W4" s="3" t="s">
        <v>138</v>
      </c>
      <c r="X4" s="3" t="s">
        <v>139</v>
      </c>
      <c r="Y4" s="3" t="s">
        <v>140</v>
      </c>
      <c r="Z4" s="3" t="s">
        <v>141</v>
      </c>
      <c r="AA4" s="3" t="s">
        <v>142</v>
      </c>
      <c r="AB4" s="3" t="s">
        <v>143</v>
      </c>
      <c r="AC4" s="3" t="s">
        <v>144</v>
      </c>
      <c r="AD4" s="3" t="s">
        <v>145</v>
      </c>
      <c r="AE4" s="3" t="s">
        <v>146</v>
      </c>
      <c r="AF4" s="3" t="s">
        <v>147</v>
      </c>
      <c r="AG4" s="3" t="s">
        <v>148</v>
      </c>
      <c r="AH4" s="3" t="s">
        <v>149</v>
      </c>
      <c r="AI4" s="3" t="s">
        <v>150</v>
      </c>
      <c r="AJ4" s="3" t="s">
        <v>151</v>
      </c>
      <c r="AK4" s="3" t="s">
        <v>152</v>
      </c>
      <c r="AL4" s="3" t="s">
        <v>153</v>
      </c>
      <c r="AM4" s="3" t="s">
        <v>154</v>
      </c>
      <c r="AN4" s="3" t="s">
        <v>155</v>
      </c>
      <c r="AO4" s="3" t="s">
        <v>156</v>
      </c>
      <c r="AP4" s="3" t="s">
        <v>157</v>
      </c>
      <c r="AQ4" s="3" t="s">
        <v>158</v>
      </c>
      <c r="AR4" s="3" t="s">
        <v>159</v>
      </c>
      <c r="AS4" s="3" t="s">
        <v>160</v>
      </c>
      <c r="AT4" s="3" t="s">
        <v>161</v>
      </c>
      <c r="AU4" s="3" t="s">
        <v>162</v>
      </c>
      <c r="AV4" s="3" t="s">
        <v>163</v>
      </c>
      <c r="AW4" s="3" t="s">
        <v>164</v>
      </c>
      <c r="AX4" s="3" t="s">
        <v>165</v>
      </c>
      <c r="AY4" s="3" t="s">
        <v>166</v>
      </c>
      <c r="AZ4" s="3" t="s">
        <v>167</v>
      </c>
      <c r="BA4" s="3" t="s">
        <v>168</v>
      </c>
      <c r="BB4" s="3" t="s">
        <v>169</v>
      </c>
      <c r="BC4" s="3" t="s">
        <v>170</v>
      </c>
      <c r="BD4" s="27" t="s">
        <v>171</v>
      </c>
    </row>
    <row r="5" customFormat="false" ht="15" hidden="false" customHeight="false" outlineLevel="0" collapsed="false">
      <c r="A5" s="28" t="n">
        <v>45048</v>
      </c>
      <c r="B5" s="0" t="n">
        <v>18202</v>
      </c>
      <c r="C5" s="0" t="n">
        <v>198.2</v>
      </c>
      <c r="D5" s="29" t="n">
        <f aca="false">LN(B5)</f>
        <v>9.8092867571373</v>
      </c>
      <c r="E5" s="29" t="n">
        <f aca="false">LN(C5)</f>
        <v>5.28927662189589</v>
      </c>
      <c r="F5" s="0" t="n">
        <v>0</v>
      </c>
      <c r="G5" s="0" t="n">
        <v>23</v>
      </c>
      <c r="H5" s="29" t="n">
        <f aca="false">D5-E5</f>
        <v>4.52001013524141</v>
      </c>
      <c r="I5" s="29" t="n">
        <v>0</v>
      </c>
      <c r="J5" s="29" t="n">
        <v>0</v>
      </c>
      <c r="K5" s="0" t="n">
        <v>0</v>
      </c>
      <c r="L5" s="0" t="n">
        <v>0</v>
      </c>
      <c r="M5" s="29" t="n">
        <v>0</v>
      </c>
      <c r="N5" s="0" t="n">
        <v>0.065</v>
      </c>
      <c r="O5" s="0" t="n">
        <v>0.000125</v>
      </c>
      <c r="P5" s="29" t="n">
        <f aca="false">D5-('2 Hedge ratio'!$B$6+'2 Hedge ratio'!$B$5*E5)</f>
        <v>0.00181882541219025</v>
      </c>
      <c r="Q5" s="29" t="n">
        <f aca="false">D5-('5 Re-specification'!$B$7+'5 Re-specification'!$B$5*E5+'5 Re-specification'!$B$6*F5)</f>
        <v>0.00483826720825675</v>
      </c>
      <c r="R5" s="30" t="n">
        <f aca="false">MIN(F5,Inputs!$B$9)</f>
        <v>0</v>
      </c>
      <c r="S5" s="29" t="str">
        <f aca="true">IF(AND(F5&gt;=1,R5&gt;=Inputs!$B$10),INDEX(LINEST(OFFSET(D5,-R5,0,R5,1),OFFSET(E5,-R5,0,R5,2)),1,1),"")</f>
        <v/>
      </c>
      <c r="T5" s="29" t="str">
        <f aca="true">IF(AND(F5&gt;=1,R5&gt;=Inputs!$B$10),INDEX(LINEST(OFFSET(D5,-R5,0,R5,1),OFFSET(E5,-R5,0,R5,2)),1,2),"")</f>
        <v/>
      </c>
      <c r="U5" s="29" t="str">
        <f aca="true">IF(AND(F5&gt;=1,R5&gt;=Inputs!$B$10),INDEX(LINEST(OFFSET(D5,-R5,0,R5,1),OFFSET(E5,-R5,0,R5,2)),1,3),"")</f>
        <v/>
      </c>
      <c r="V5" s="29" t="str">
        <f aca="true">IF(AND(F5&gt;=1,R5&gt;=Inputs!$B$10),SQRT(SUMPRODUCT((OFFSET(D5,-R5,0,R5,1)-U5-T5*OFFSET(E5,-R5,0,R5,1)-S5*OFFSET(F5,-R5,0,R5,1))^2)/(R5-3)),"")</f>
        <v/>
      </c>
      <c r="W5" s="31" t="str">
        <f aca="false">IF(AND(F5&gt;=1,R5&gt;=Inputs!$B$10),(D5-U5-T5*E5-S5*F5)/V5,"")</f>
        <v/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30" t="n">
        <f aca="false">AI5</f>
        <v>0</v>
      </c>
      <c r="BB5" s="30" t="n">
        <f aca="false">MAX(0,BA5)</f>
        <v>0</v>
      </c>
      <c r="BC5" s="30" t="n">
        <f aca="false">BA5-BB5</f>
        <v>0</v>
      </c>
      <c r="BD5" s="30" t="n">
        <f aca="false">A6-A5</f>
        <v>1</v>
      </c>
    </row>
    <row r="6" customFormat="false" ht="15" hidden="false" customHeight="false" outlineLevel="0" collapsed="false">
      <c r="A6" s="28" t="n">
        <v>45049</v>
      </c>
      <c r="B6" s="0" t="n">
        <v>18147.3</v>
      </c>
      <c r="C6" s="0" t="n">
        <v>197.58</v>
      </c>
      <c r="D6" s="29" t="n">
        <f aca="false">LN(B6)</f>
        <v>9.8062770682965</v>
      </c>
      <c r="E6" s="29" t="n">
        <f aca="false">LN(C6)</f>
        <v>5.28614356561633</v>
      </c>
      <c r="F6" s="0" t="n">
        <v>1</v>
      </c>
      <c r="G6" s="0" t="n">
        <v>22</v>
      </c>
      <c r="H6" s="29" t="n">
        <f aca="false">D6-E6</f>
        <v>4.52013350268017</v>
      </c>
      <c r="I6" s="29" t="n">
        <f aca="false">D6-D5</f>
        <v>-0.00300968884079822</v>
      </c>
      <c r="J6" s="29" t="n">
        <f aca="false">E6-E5</f>
        <v>-0.00313305627955973</v>
      </c>
      <c r="K6" s="0" t="n">
        <v>0</v>
      </c>
      <c r="L6" s="0" t="n">
        <v>0</v>
      </c>
      <c r="M6" s="29" t="n">
        <f aca="false">IF(L6=1,J6-Carry!$B$9/Inputs!$B$16,I6)</f>
        <v>-0.00300968884079822</v>
      </c>
      <c r="N6" s="0" t="n">
        <v>0.065</v>
      </c>
      <c r="O6" s="0" t="n">
        <v>0.000125</v>
      </c>
      <c r="P6" s="29" t="n">
        <f aca="false">D6-('2 Hedge ratio'!$B$6+'2 Hedge ratio'!$B$5*E6)</f>
        <v>0.00167941326732191</v>
      </c>
      <c r="Q6" s="29" t="n">
        <f aca="false">D6-('5 Re-specification'!$B$7+'5 Re-specification'!$B$5*E6+'5 Re-specification'!$B$6*F6)</f>
        <v>0.00499706923799437</v>
      </c>
      <c r="R6" s="30" t="n">
        <f aca="false">MIN(F6,Inputs!$B$9)</f>
        <v>1</v>
      </c>
      <c r="S6" s="29" t="str">
        <f aca="true">IF(AND(F6&gt;=1,R6&gt;=Inputs!$B$10),INDEX(LINEST(OFFSET(D6,-R6,0,R6,1),OFFSET(E6,-R6,0,R6,2)),1,1),"")</f>
        <v/>
      </c>
      <c r="T6" s="29" t="str">
        <f aca="true">IF(AND(F6&gt;=1,R6&gt;=Inputs!$B$10),INDEX(LINEST(OFFSET(D6,-R6,0,R6,1),OFFSET(E6,-R6,0,R6,2)),1,2),"")</f>
        <v/>
      </c>
      <c r="U6" s="29" t="str">
        <f aca="true">IF(AND(F6&gt;=1,R6&gt;=Inputs!$B$10),INDEX(LINEST(OFFSET(D6,-R6,0,R6,1),OFFSET(E6,-R6,0,R6,2)),1,3),"")</f>
        <v/>
      </c>
      <c r="V6" s="29" t="str">
        <f aca="true">IF(AND(F6&gt;=1,R6&gt;=Inputs!$B$10),SQRT(SUMPRODUCT((OFFSET(D6,-R6,0,R6,1)-U6-T6*OFFSET(E6,-R6,0,R6,1)-S6*OFFSET(F6,-R6,0,R6,1))^2)/(R6-3)),"")</f>
        <v/>
      </c>
      <c r="W6" s="31" t="str">
        <f aca="false">IF(AND(F6&gt;=1,R6&gt;=Inputs!$B$10),(D6-U6-T6*E6-S6*F6)/V6,"")</f>
        <v/>
      </c>
      <c r="X6" s="30" t="n">
        <f aca="false">IF(AB5&lt;&gt;0,AC5+1,0)</f>
        <v>0</v>
      </c>
      <c r="Y6" s="30" t="n">
        <f aca="false">IF(W6="",0,IF(AND(AB5&lt;&gt;0,OR(ABS(W6)&gt;Inputs!$B$7,X6&gt;=Inputs!$B$8,ABS(W6)&lt;Inputs!$B$6)),1,0))</f>
        <v>0</v>
      </c>
      <c r="Z6" s="30" t="n">
        <f aca="false">IF(Y6=1,0,AB5)</f>
        <v>0</v>
      </c>
      <c r="AA6" s="30" t="n">
        <f aca="false">IF(W6="",0,IF(AND(Z6=0,ABS(W6)&gt;Inputs!$B$5,ABS(W6)&lt;=Inputs!$B$7),1,0))</f>
        <v>0</v>
      </c>
      <c r="AB6" s="30" t="n">
        <f aca="false">IF(W6="",0,IF(AA6=1,-SIGN(W6),Z6))</f>
        <v>0</v>
      </c>
      <c r="AC6" s="30" t="n">
        <f aca="false">IF(W6="",0,IF(AA6=1,0,IF(Y6=1,0,X6)))</f>
        <v>0</v>
      </c>
      <c r="AD6" s="30" t="n">
        <f aca="false">IF(AB6=0,0,IF(AB5=AB6,AD5,T6))</f>
        <v>0</v>
      </c>
      <c r="AE6" s="30" t="n">
        <f aca="false">AB6-AB5</f>
        <v>0</v>
      </c>
      <c r="AF6" s="30" t="n">
        <f aca="false">-AD6*AB6</f>
        <v>-0</v>
      </c>
      <c r="AG6" s="30" t="n">
        <f aca="false">AF6-AF5</f>
        <v>-0</v>
      </c>
      <c r="AH6" s="30" t="n">
        <f aca="false">MAX(AE6,0)*(Inputs!$B$17+Inputs!$B$18+Inputs!$B$19)+MAX(-AE6,0)*(O6+Inputs!$B$18+Inputs!$B$19)+IF(AND(K6=1,AB6&lt;&gt;0),(Inputs!$B$17+Inputs!$B$18+Inputs!$B$19)+(O6+Inputs!$B$18+Inputs!$B$19),0)+MAX(AG6,0)*(Inputs!$B$20+Inputs!$B$22+Inputs!$B$23)+MAX(-AG6,0)*(Inputs!$B$21+Inputs!$B$22+Inputs!$B$23)</f>
        <v>0</v>
      </c>
      <c r="AI6" s="30" t="n">
        <f aca="false">AB5*(M6-AD5*J6)+AB5*AD5*N6/Inputs!$B$16-AH6</f>
        <v>0</v>
      </c>
      <c r="AJ6" s="30" t="n">
        <f aca="false">MAX(AE6,0)*(Inputs!$B$17+Inputs!$B$24+Inputs!$B$25)+MAX(-AE6,0)*(O6+Inputs!$B$24+Inputs!$B$25)+IF(AND(K6=1,AB6&lt;&gt;0),(Inputs!$B$17+Inputs!$B$24+Inputs!$B$25)+(O6+Inputs!$B$24+Inputs!$B$25),0)+MAX(AG6,0)*(Inputs!$B$20+Inputs!$B$26+Inputs!$B$27)+MAX(-AG6,0)*(Inputs!$B$21+Inputs!$B$26+Inputs!$B$27)</f>
        <v>0</v>
      </c>
      <c r="AK6" s="30" t="n">
        <f aca="false">AB5*(M6-AD5*J6)+AB5*AD5*(N6+Inputs!$B$14)/Inputs!$B$16-AJ6</f>
        <v>0</v>
      </c>
      <c r="AL6" s="30" t="n">
        <f aca="false">IF(AP5&lt;&gt;0,AQ5+1,0)</f>
        <v>0</v>
      </c>
      <c r="AM6" s="30" t="n">
        <f aca="false">IF(W6="",0,IF(AND(AP5&lt;&gt;0,OR(ABS(W6)&gt;Inputs!$B$7,AL6&gt;=Inputs!$B$8,ABS(W6)&lt;Inputs!$B$6)),1,0))</f>
        <v>0</v>
      </c>
      <c r="AN6" s="30" t="n">
        <f aca="false">IF(AM6=1,0,AP5)</f>
        <v>0</v>
      </c>
      <c r="AO6" s="30" t="n">
        <f aca="false">IF(W6="",0,IF(AND(AN6=0,ABS(W6)&gt;Inputs!$B$5,ABS(W6)&lt;=Inputs!$B$7,W6&gt;0),1,0))</f>
        <v>0</v>
      </c>
      <c r="AP6" s="30" t="n">
        <f aca="false">IF(W6="",0,IF(AO6=1,-SIGN(W6),AN6))</f>
        <v>0</v>
      </c>
      <c r="AQ6" s="30" t="n">
        <f aca="false">IF(W6="",0,IF(AO6=1,0,IF(AM6=1,0,AL6)))</f>
        <v>0</v>
      </c>
      <c r="AR6" s="30" t="n">
        <f aca="false">IF(AP6=0,0,IF(AP5=AP6,AR5,T6))</f>
        <v>0</v>
      </c>
      <c r="AS6" s="30" t="n">
        <f aca="false">AP6-AP5</f>
        <v>0</v>
      </c>
      <c r="AT6" s="30" t="n">
        <f aca="false">-AR6*AP6</f>
        <v>-0</v>
      </c>
      <c r="AU6" s="30" t="n">
        <f aca="false">AT6-AT5</f>
        <v>-0</v>
      </c>
      <c r="AV6" s="30" t="n">
        <f aca="false">MAX(AS6,0)*(Inputs!$B$17+Inputs!$B$18+Inputs!$B$19)+MAX(-AS6,0)*(O6+Inputs!$B$18+Inputs!$B$19)+IF(AND(K6=1,AP6&lt;&gt;0),(Inputs!$B$17+Inputs!$B$18+Inputs!$B$19)+(O6+Inputs!$B$18+Inputs!$B$19),0)+MAX(AU6,0)*(Inputs!$B$20+Inputs!$B$22+Inputs!$B$23)+MAX(-AU6,0)*(Inputs!$B$21+Inputs!$B$22+Inputs!$B$23)</f>
        <v>0</v>
      </c>
      <c r="AW6" s="30" t="n">
        <f aca="false">AP5*(M6-AR5*J6)+AP5*AR5*N6/Inputs!$B$16-AV6</f>
        <v>0</v>
      </c>
      <c r="AX6" s="30" t="n">
        <f aca="false">AW6-IF(AP5&lt;&gt;0,0.75*AR5*(Inputs!$B$13-N6)/Inputs!$B$16,0)</f>
        <v>0</v>
      </c>
      <c r="AY6" s="30" t="n">
        <f aca="false">MAX(AS6,0)*(Inputs!$B$17+Inputs!$B$18+Inputs!$B$19)+MAX(-AS6,0)*(O6+Inputs!$B$18+Inputs!$B$19)+IF(AND(K6=1,AP6&lt;&gt;0),(Inputs!$B$17+Inputs!$B$18+Inputs!$B$19)+(O6+Inputs!$B$18+Inputs!$B$19),0)</f>
        <v>0</v>
      </c>
      <c r="AZ6" s="30" t="n">
        <f aca="false">AP5*M6-AY6</f>
        <v>-0</v>
      </c>
      <c r="BA6" s="30" t="n">
        <f aca="false">BA5+AI6</f>
        <v>0</v>
      </c>
      <c r="BB6" s="30" t="n">
        <f aca="false">MAX(BB5,BA6)</f>
        <v>0</v>
      </c>
      <c r="BC6" s="30" t="n">
        <f aca="false">BA6-BB6</f>
        <v>0</v>
      </c>
      <c r="BD6" s="30" t="n">
        <f aca="false">A7-A6</f>
        <v>1</v>
      </c>
    </row>
    <row r="7" customFormat="false" ht="15" hidden="false" customHeight="false" outlineLevel="0" collapsed="false">
      <c r="A7" s="28" t="n">
        <v>45050</v>
      </c>
      <c r="B7" s="0" t="n">
        <v>18287</v>
      </c>
      <c r="C7" s="0" t="n">
        <v>199.36</v>
      </c>
      <c r="D7" s="29" t="n">
        <f aca="false">LN(B7)</f>
        <v>9.81394570387463</v>
      </c>
      <c r="E7" s="29" t="n">
        <f aca="false">LN(C7)</f>
        <v>5.29511223559909</v>
      </c>
      <c r="F7" s="0" t="n">
        <v>2</v>
      </c>
      <c r="G7" s="0" t="n">
        <v>21</v>
      </c>
      <c r="H7" s="29" t="n">
        <f aca="false">D7-E7</f>
        <v>4.51883346827555</v>
      </c>
      <c r="I7" s="29" t="n">
        <f aca="false">D7-D6</f>
        <v>0.00766863557813124</v>
      </c>
      <c r="J7" s="29" t="n">
        <f aca="false">E7-E6</f>
        <v>0.00896866998276025</v>
      </c>
      <c r="K7" s="0" t="n">
        <v>0</v>
      </c>
      <c r="L7" s="0" t="n">
        <v>0</v>
      </c>
      <c r="M7" s="29" t="n">
        <f aca="false">IF(L7=1,J7-Carry!$B$9/Inputs!$B$16,I7)</f>
        <v>0.00766863557813124</v>
      </c>
      <c r="N7" s="0" t="n">
        <v>0.065</v>
      </c>
      <c r="O7" s="0" t="n">
        <v>0.000125</v>
      </c>
      <c r="P7" s="29" t="n">
        <f aca="false">D7-('2 Hedge ratio'!$B$6+'2 Hedge ratio'!$B$5*E7)</f>
        <v>0.00113161027939412</v>
      </c>
      <c r="Q7" s="29" t="n">
        <f aca="false">D7-('5 Re-specification'!$B$7+'5 Re-specification'!$B$5*E7+'5 Re-specification'!$B$6*F7)</f>
        <v>0.00376914370603387</v>
      </c>
      <c r="R7" s="30" t="n">
        <f aca="false">MIN(F7,Inputs!$B$9)</f>
        <v>2</v>
      </c>
      <c r="S7" s="29" t="str">
        <f aca="true">IF(AND(F7&gt;=1,R7&gt;=Inputs!$B$10),INDEX(LINEST(OFFSET(D7,-R7,0,R7,1),OFFSET(E7,-R7,0,R7,2)),1,1),"")</f>
        <v/>
      </c>
      <c r="T7" s="29" t="str">
        <f aca="true">IF(AND(F7&gt;=1,R7&gt;=Inputs!$B$10),INDEX(LINEST(OFFSET(D7,-R7,0,R7,1),OFFSET(E7,-R7,0,R7,2)),1,2),"")</f>
        <v/>
      </c>
      <c r="U7" s="29" t="str">
        <f aca="true">IF(AND(F7&gt;=1,R7&gt;=Inputs!$B$10),INDEX(LINEST(OFFSET(D7,-R7,0,R7,1),OFFSET(E7,-R7,0,R7,2)),1,3),"")</f>
        <v/>
      </c>
      <c r="V7" s="29" t="str">
        <f aca="true">IF(AND(F7&gt;=1,R7&gt;=Inputs!$B$10),SQRT(SUMPRODUCT((OFFSET(D7,-R7,0,R7,1)-U7-T7*OFFSET(E7,-R7,0,R7,1)-S7*OFFSET(F7,-R7,0,R7,1))^2)/(R7-3)),"")</f>
        <v/>
      </c>
      <c r="W7" s="31" t="str">
        <f aca="false">IF(AND(F7&gt;=1,R7&gt;=Inputs!$B$10),(D7-U7-T7*E7-S7*F7)/V7,"")</f>
        <v/>
      </c>
      <c r="X7" s="30" t="n">
        <f aca="false">IF(AB6&lt;&gt;0,AC6+1,0)</f>
        <v>0</v>
      </c>
      <c r="Y7" s="30" t="n">
        <f aca="false">IF(W7="",0,IF(AND(AB6&lt;&gt;0,OR(ABS(W7)&gt;Inputs!$B$7,X7&gt;=Inputs!$B$8,ABS(W7)&lt;Inputs!$B$6)),1,0))</f>
        <v>0</v>
      </c>
      <c r="Z7" s="30" t="n">
        <f aca="false">IF(Y7=1,0,AB6)</f>
        <v>0</v>
      </c>
      <c r="AA7" s="30" t="n">
        <f aca="false">IF(W7="",0,IF(AND(Z7=0,ABS(W7)&gt;Inputs!$B$5,ABS(W7)&lt;=Inputs!$B$7),1,0))</f>
        <v>0</v>
      </c>
      <c r="AB7" s="30" t="n">
        <f aca="false">IF(W7="",0,IF(AA7=1,-SIGN(W7),Z7))</f>
        <v>0</v>
      </c>
      <c r="AC7" s="30" t="n">
        <f aca="false">IF(W7="",0,IF(AA7=1,0,IF(Y7=1,0,X7)))</f>
        <v>0</v>
      </c>
      <c r="AD7" s="30" t="n">
        <f aca="false">IF(AB7=0,0,IF(AB6=AB7,AD6,T7))</f>
        <v>0</v>
      </c>
      <c r="AE7" s="30" t="n">
        <f aca="false">AB7-AB6</f>
        <v>0</v>
      </c>
      <c r="AF7" s="30" t="n">
        <f aca="false">-AD7*AB7</f>
        <v>-0</v>
      </c>
      <c r="AG7" s="30" t="n">
        <f aca="false">AF7-AF6</f>
        <v>0</v>
      </c>
      <c r="AH7" s="30" t="n">
        <f aca="false">MAX(AE7,0)*(Inputs!$B$17+Inputs!$B$18+Inputs!$B$19)+MAX(-AE7,0)*(O7+Inputs!$B$18+Inputs!$B$19)+IF(AND(K7=1,AB7&lt;&gt;0),(Inputs!$B$17+Inputs!$B$18+Inputs!$B$19)+(O7+Inputs!$B$18+Inputs!$B$19),0)+MAX(AG7,0)*(Inputs!$B$20+Inputs!$B$22+Inputs!$B$23)+MAX(-AG7,0)*(Inputs!$B$21+Inputs!$B$22+Inputs!$B$23)</f>
        <v>0</v>
      </c>
      <c r="AI7" s="30" t="n">
        <f aca="false">AB6*(M7-AD6*J7)+AB6*AD6*N7/Inputs!$B$16-AH7</f>
        <v>0</v>
      </c>
      <c r="AJ7" s="30" t="n">
        <f aca="false">MAX(AE7,0)*(Inputs!$B$17+Inputs!$B$24+Inputs!$B$25)+MAX(-AE7,0)*(O7+Inputs!$B$24+Inputs!$B$25)+IF(AND(K7=1,AB7&lt;&gt;0),(Inputs!$B$17+Inputs!$B$24+Inputs!$B$25)+(O7+Inputs!$B$24+Inputs!$B$25),0)+MAX(AG7,0)*(Inputs!$B$20+Inputs!$B$26+Inputs!$B$27)+MAX(-AG7,0)*(Inputs!$B$21+Inputs!$B$26+Inputs!$B$27)</f>
        <v>0</v>
      </c>
      <c r="AK7" s="30" t="n">
        <f aca="false">AB6*(M7-AD6*J7)+AB6*AD6*(N7+Inputs!$B$14)/Inputs!$B$16-AJ7</f>
        <v>0</v>
      </c>
      <c r="AL7" s="30" t="n">
        <f aca="false">IF(AP6&lt;&gt;0,AQ6+1,0)</f>
        <v>0</v>
      </c>
      <c r="AM7" s="30" t="n">
        <f aca="false">IF(W7="",0,IF(AND(AP6&lt;&gt;0,OR(ABS(W7)&gt;Inputs!$B$7,AL7&gt;=Inputs!$B$8,ABS(W7)&lt;Inputs!$B$6)),1,0))</f>
        <v>0</v>
      </c>
      <c r="AN7" s="30" t="n">
        <f aca="false">IF(AM7=1,0,AP6)</f>
        <v>0</v>
      </c>
      <c r="AO7" s="30" t="n">
        <f aca="false">IF(W7="",0,IF(AND(AN7=0,ABS(W7)&gt;Inputs!$B$5,ABS(W7)&lt;=Inputs!$B$7,W7&gt;0),1,0))</f>
        <v>0</v>
      </c>
      <c r="AP7" s="30" t="n">
        <f aca="false">IF(W7="",0,IF(AO7=1,-SIGN(W7),AN7))</f>
        <v>0</v>
      </c>
      <c r="AQ7" s="30" t="n">
        <f aca="false">IF(W7="",0,IF(AO7=1,0,IF(AM7=1,0,AL7)))</f>
        <v>0</v>
      </c>
      <c r="AR7" s="30" t="n">
        <f aca="false">IF(AP7=0,0,IF(AP6=AP7,AR6,T7))</f>
        <v>0</v>
      </c>
      <c r="AS7" s="30" t="n">
        <f aca="false">AP7-AP6</f>
        <v>0</v>
      </c>
      <c r="AT7" s="30" t="n">
        <f aca="false">-AR7*AP7</f>
        <v>-0</v>
      </c>
      <c r="AU7" s="30" t="n">
        <f aca="false">AT7-AT6</f>
        <v>0</v>
      </c>
      <c r="AV7" s="30" t="n">
        <f aca="false">MAX(AS7,0)*(Inputs!$B$17+Inputs!$B$18+Inputs!$B$19)+MAX(-AS7,0)*(O7+Inputs!$B$18+Inputs!$B$19)+IF(AND(K7=1,AP7&lt;&gt;0),(Inputs!$B$17+Inputs!$B$18+Inputs!$B$19)+(O7+Inputs!$B$18+Inputs!$B$19),0)+MAX(AU7,0)*(Inputs!$B$20+Inputs!$B$22+Inputs!$B$23)+MAX(-AU7,0)*(Inputs!$B$21+Inputs!$B$22+Inputs!$B$23)</f>
        <v>0</v>
      </c>
      <c r="AW7" s="30" t="n">
        <f aca="false">AP6*(M7-AR6*J7)+AP6*AR6*N7/Inputs!$B$16-AV7</f>
        <v>0</v>
      </c>
      <c r="AX7" s="30" t="n">
        <f aca="false">AW7-IF(AP6&lt;&gt;0,0.75*AR6*(Inputs!$B$13-N7)/Inputs!$B$16,0)</f>
        <v>0</v>
      </c>
      <c r="AY7" s="30" t="n">
        <f aca="false">MAX(AS7,0)*(Inputs!$B$17+Inputs!$B$18+Inputs!$B$19)+MAX(-AS7,0)*(O7+Inputs!$B$18+Inputs!$B$19)+IF(AND(K7=1,AP7&lt;&gt;0),(Inputs!$B$17+Inputs!$B$18+Inputs!$B$19)+(O7+Inputs!$B$18+Inputs!$B$19),0)</f>
        <v>0</v>
      </c>
      <c r="AZ7" s="30" t="n">
        <f aca="false">AP6*M7-AY7</f>
        <v>0</v>
      </c>
      <c r="BA7" s="30" t="n">
        <f aca="false">BA6+AI7</f>
        <v>0</v>
      </c>
      <c r="BB7" s="30" t="n">
        <f aca="false">MAX(BB6,BA7)</f>
        <v>0</v>
      </c>
      <c r="BC7" s="30" t="n">
        <f aca="false">BA7-BB7</f>
        <v>0</v>
      </c>
      <c r="BD7" s="30" t="n">
        <f aca="false">A8-A7</f>
        <v>1</v>
      </c>
    </row>
    <row r="8" customFormat="false" ht="15" hidden="false" customHeight="false" outlineLevel="0" collapsed="false">
      <c r="A8" s="28" t="n">
        <v>45051</v>
      </c>
      <c r="B8" s="0" t="n">
        <v>18130.1</v>
      </c>
      <c r="C8" s="0" t="n">
        <v>197.89</v>
      </c>
      <c r="D8" s="29" t="n">
        <f aca="false">LN(B8)</f>
        <v>9.80532881945349</v>
      </c>
      <c r="E8" s="29" t="n">
        <f aca="false">LN(C8)</f>
        <v>5.28771132076081</v>
      </c>
      <c r="F8" s="0" t="n">
        <v>3</v>
      </c>
      <c r="G8" s="0" t="n">
        <v>20</v>
      </c>
      <c r="H8" s="29" t="n">
        <f aca="false">D8-E8</f>
        <v>4.51761749869267</v>
      </c>
      <c r="I8" s="29" t="n">
        <f aca="false">D8-D7</f>
        <v>-0.00861688442114783</v>
      </c>
      <c r="J8" s="29" t="n">
        <f aca="false">E8-E7</f>
        <v>-0.00740091483827587</v>
      </c>
      <c r="K8" s="0" t="n">
        <v>0</v>
      </c>
      <c r="L8" s="0" t="n">
        <v>0</v>
      </c>
      <c r="M8" s="29" t="n">
        <f aca="false">IF(L8=1,J8-Carry!$B$9/Inputs!$B$16,I8)</f>
        <v>-0.00861688442114783</v>
      </c>
      <c r="N8" s="0" t="n">
        <v>0.065</v>
      </c>
      <c r="O8" s="0" t="n">
        <v>0.000125</v>
      </c>
      <c r="P8" s="29" t="n">
        <f aca="false">D8-('2 Hedge ratio'!$B$6+'2 Hedge ratio'!$B$5*E8)</f>
        <v>-0.000705098015503225</v>
      </c>
      <c r="Q8" s="29" t="n">
        <f aca="false">D8-('5 Re-specification'!$B$7+'5 Re-specification'!$B$5*E8+'5 Re-specification'!$B$6*F8)</f>
        <v>0.00257567496868383</v>
      </c>
      <c r="R8" s="30" t="n">
        <f aca="false">MIN(F8,Inputs!$B$9)</f>
        <v>3</v>
      </c>
      <c r="S8" s="29" t="str">
        <f aca="true">IF(AND(F8&gt;=1,R8&gt;=Inputs!$B$10),INDEX(LINEST(OFFSET(D8,-R8,0,R8,1),OFFSET(E8,-R8,0,R8,2)),1,1),"")</f>
        <v/>
      </c>
      <c r="T8" s="29" t="str">
        <f aca="true">IF(AND(F8&gt;=1,R8&gt;=Inputs!$B$10),INDEX(LINEST(OFFSET(D8,-R8,0,R8,1),OFFSET(E8,-R8,0,R8,2)),1,2),"")</f>
        <v/>
      </c>
      <c r="U8" s="29" t="str">
        <f aca="true">IF(AND(F8&gt;=1,R8&gt;=Inputs!$B$10),INDEX(LINEST(OFFSET(D8,-R8,0,R8,1),OFFSET(E8,-R8,0,R8,2)),1,3),"")</f>
        <v/>
      </c>
      <c r="V8" s="29" t="str">
        <f aca="true">IF(AND(F8&gt;=1,R8&gt;=Inputs!$B$10),SQRT(SUMPRODUCT((OFFSET(D8,-R8,0,R8,1)-U8-T8*OFFSET(E8,-R8,0,R8,1)-S8*OFFSET(F8,-R8,0,R8,1))^2)/(R8-3)),"")</f>
        <v/>
      </c>
      <c r="W8" s="31" t="str">
        <f aca="false">IF(AND(F8&gt;=1,R8&gt;=Inputs!$B$10),(D8-U8-T8*E8-S8*F8)/V8,"")</f>
        <v/>
      </c>
      <c r="X8" s="30" t="n">
        <f aca="false">IF(AB7&lt;&gt;0,AC7+1,0)</f>
        <v>0</v>
      </c>
      <c r="Y8" s="30" t="n">
        <f aca="false">IF(W8="",0,IF(AND(AB7&lt;&gt;0,OR(ABS(W8)&gt;Inputs!$B$7,X8&gt;=Inputs!$B$8,ABS(W8)&lt;Inputs!$B$6)),1,0))</f>
        <v>0</v>
      </c>
      <c r="Z8" s="30" t="n">
        <f aca="false">IF(Y8=1,0,AB7)</f>
        <v>0</v>
      </c>
      <c r="AA8" s="30" t="n">
        <f aca="false">IF(W8="",0,IF(AND(Z8=0,ABS(W8)&gt;Inputs!$B$5,ABS(W8)&lt;=Inputs!$B$7),1,0))</f>
        <v>0</v>
      </c>
      <c r="AB8" s="30" t="n">
        <f aca="false">IF(W8="",0,IF(AA8=1,-SIGN(W8),Z8))</f>
        <v>0</v>
      </c>
      <c r="AC8" s="30" t="n">
        <f aca="false">IF(W8="",0,IF(AA8=1,0,IF(Y8=1,0,X8)))</f>
        <v>0</v>
      </c>
      <c r="AD8" s="30" t="n">
        <f aca="false">IF(AB8=0,0,IF(AB7=AB8,AD7,T8))</f>
        <v>0</v>
      </c>
      <c r="AE8" s="30" t="n">
        <f aca="false">AB8-AB7</f>
        <v>0</v>
      </c>
      <c r="AF8" s="30" t="n">
        <f aca="false">-AD8*AB8</f>
        <v>-0</v>
      </c>
      <c r="AG8" s="30" t="n">
        <f aca="false">AF8-AF7</f>
        <v>0</v>
      </c>
      <c r="AH8" s="30" t="n">
        <f aca="false">MAX(AE8,0)*(Inputs!$B$17+Inputs!$B$18+Inputs!$B$19)+MAX(-AE8,0)*(O8+Inputs!$B$18+Inputs!$B$19)+IF(AND(K8=1,AB8&lt;&gt;0),(Inputs!$B$17+Inputs!$B$18+Inputs!$B$19)+(O8+Inputs!$B$18+Inputs!$B$19),0)+MAX(AG8,0)*(Inputs!$B$20+Inputs!$B$22+Inputs!$B$23)+MAX(-AG8,0)*(Inputs!$B$21+Inputs!$B$22+Inputs!$B$23)</f>
        <v>0</v>
      </c>
      <c r="AI8" s="30" t="n">
        <f aca="false">AB7*(M8-AD7*J8)+AB7*AD7*N8/Inputs!$B$16-AH8</f>
        <v>0</v>
      </c>
      <c r="AJ8" s="30" t="n">
        <f aca="false">MAX(AE8,0)*(Inputs!$B$17+Inputs!$B$24+Inputs!$B$25)+MAX(-AE8,0)*(O8+Inputs!$B$24+Inputs!$B$25)+IF(AND(K8=1,AB8&lt;&gt;0),(Inputs!$B$17+Inputs!$B$24+Inputs!$B$25)+(O8+Inputs!$B$24+Inputs!$B$25),0)+MAX(AG8,0)*(Inputs!$B$20+Inputs!$B$26+Inputs!$B$27)+MAX(-AG8,0)*(Inputs!$B$21+Inputs!$B$26+Inputs!$B$27)</f>
        <v>0</v>
      </c>
      <c r="AK8" s="30" t="n">
        <f aca="false">AB7*(M8-AD7*J8)+AB7*AD7*(N8+Inputs!$B$14)/Inputs!$B$16-AJ8</f>
        <v>0</v>
      </c>
      <c r="AL8" s="30" t="n">
        <f aca="false">IF(AP7&lt;&gt;0,AQ7+1,0)</f>
        <v>0</v>
      </c>
      <c r="AM8" s="30" t="n">
        <f aca="false">IF(W8="",0,IF(AND(AP7&lt;&gt;0,OR(ABS(W8)&gt;Inputs!$B$7,AL8&gt;=Inputs!$B$8,ABS(W8)&lt;Inputs!$B$6)),1,0))</f>
        <v>0</v>
      </c>
      <c r="AN8" s="30" t="n">
        <f aca="false">IF(AM8=1,0,AP7)</f>
        <v>0</v>
      </c>
      <c r="AO8" s="30" t="n">
        <f aca="false">IF(W8="",0,IF(AND(AN8=0,ABS(W8)&gt;Inputs!$B$5,ABS(W8)&lt;=Inputs!$B$7,W8&gt;0),1,0))</f>
        <v>0</v>
      </c>
      <c r="AP8" s="30" t="n">
        <f aca="false">IF(W8="",0,IF(AO8=1,-SIGN(W8),AN8))</f>
        <v>0</v>
      </c>
      <c r="AQ8" s="30" t="n">
        <f aca="false">IF(W8="",0,IF(AO8=1,0,IF(AM8=1,0,AL8)))</f>
        <v>0</v>
      </c>
      <c r="AR8" s="30" t="n">
        <f aca="false">IF(AP8=0,0,IF(AP7=AP8,AR7,T8))</f>
        <v>0</v>
      </c>
      <c r="AS8" s="30" t="n">
        <f aca="false">AP8-AP7</f>
        <v>0</v>
      </c>
      <c r="AT8" s="30" t="n">
        <f aca="false">-AR8*AP8</f>
        <v>-0</v>
      </c>
      <c r="AU8" s="30" t="n">
        <f aca="false">AT8-AT7</f>
        <v>0</v>
      </c>
      <c r="AV8" s="30" t="n">
        <f aca="false">MAX(AS8,0)*(Inputs!$B$17+Inputs!$B$18+Inputs!$B$19)+MAX(-AS8,0)*(O8+Inputs!$B$18+Inputs!$B$19)+IF(AND(K8=1,AP8&lt;&gt;0),(Inputs!$B$17+Inputs!$B$18+Inputs!$B$19)+(O8+Inputs!$B$18+Inputs!$B$19),0)+MAX(AU8,0)*(Inputs!$B$20+Inputs!$B$22+Inputs!$B$23)+MAX(-AU8,0)*(Inputs!$B$21+Inputs!$B$22+Inputs!$B$23)</f>
        <v>0</v>
      </c>
      <c r="AW8" s="30" t="n">
        <f aca="false">AP7*(M8-AR7*J8)+AP7*AR7*N8/Inputs!$B$16-AV8</f>
        <v>0</v>
      </c>
      <c r="AX8" s="30" t="n">
        <f aca="false">AW8-IF(AP7&lt;&gt;0,0.75*AR7*(Inputs!$B$13-N8)/Inputs!$B$16,0)</f>
        <v>0</v>
      </c>
      <c r="AY8" s="30" t="n">
        <f aca="false">MAX(AS8,0)*(Inputs!$B$17+Inputs!$B$18+Inputs!$B$19)+MAX(-AS8,0)*(O8+Inputs!$B$18+Inputs!$B$19)+IF(AND(K8=1,AP8&lt;&gt;0),(Inputs!$B$17+Inputs!$B$18+Inputs!$B$19)+(O8+Inputs!$B$18+Inputs!$B$19),0)</f>
        <v>0</v>
      </c>
      <c r="AZ8" s="30" t="n">
        <f aca="false">AP7*M8-AY8</f>
        <v>-0</v>
      </c>
      <c r="BA8" s="30" t="n">
        <f aca="false">BA7+AI8</f>
        <v>0</v>
      </c>
      <c r="BB8" s="30" t="n">
        <f aca="false">MAX(BB7,BA8)</f>
        <v>0</v>
      </c>
      <c r="BC8" s="30" t="n">
        <f aca="false">BA8-BB8</f>
        <v>0</v>
      </c>
      <c r="BD8" s="30" t="n">
        <f aca="false">A9-A8</f>
        <v>3</v>
      </c>
    </row>
    <row r="9" customFormat="false" ht="15" hidden="false" customHeight="false" outlineLevel="0" collapsed="false">
      <c r="A9" s="28" t="n">
        <v>45054</v>
      </c>
      <c r="B9" s="0" t="n">
        <v>18317.5</v>
      </c>
      <c r="C9" s="0" t="n">
        <v>199.9</v>
      </c>
      <c r="D9" s="29" t="n">
        <f aca="false">LN(B9)</f>
        <v>9.81561216603412</v>
      </c>
      <c r="E9" s="29" t="n">
        <f aca="false">LN(C9)</f>
        <v>5.29781724150636</v>
      </c>
      <c r="F9" s="0" t="n">
        <v>4</v>
      </c>
      <c r="G9" s="0" t="n">
        <v>17</v>
      </c>
      <c r="H9" s="29" t="n">
        <f aca="false">D9-E9</f>
        <v>4.51779492452777</v>
      </c>
      <c r="I9" s="29" t="n">
        <f aca="false">D9-D8</f>
        <v>0.0102833465806338</v>
      </c>
      <c r="J9" s="29" t="n">
        <f aca="false">E9-E8</f>
        <v>0.0101059207455423</v>
      </c>
      <c r="K9" s="0" t="n">
        <v>0</v>
      </c>
      <c r="L9" s="0" t="n">
        <v>0</v>
      </c>
      <c r="M9" s="29" t="n">
        <f aca="false">IF(L9=1,J9-Carry!$B$9/Inputs!$B$16,I9)</f>
        <v>0.0102833465806338</v>
      </c>
      <c r="N9" s="0" t="n">
        <v>0.065</v>
      </c>
      <c r="O9" s="0" t="n">
        <v>0.000125</v>
      </c>
      <c r="P9" s="29" t="n">
        <f aca="false">D9-('2 Hedge ratio'!$B$6+'2 Hedge ratio'!$B$5*E9)</f>
        <v>0.000319944143312156</v>
      </c>
      <c r="Q9" s="29" t="n">
        <f aca="false">D9-('5 Re-specification'!$B$7+'5 Re-specification'!$B$5*E9+'5 Re-specification'!$B$6*F9)</f>
        <v>0.00282865611490557</v>
      </c>
      <c r="R9" s="30" t="n">
        <f aca="false">MIN(F9,Inputs!$B$9)</f>
        <v>4</v>
      </c>
      <c r="S9" s="29" t="str">
        <f aca="true">IF(AND(F9&gt;=1,R9&gt;=Inputs!$B$10),INDEX(LINEST(OFFSET(D9,-R9,0,R9,1),OFFSET(E9,-R9,0,R9,2)),1,1),"")</f>
        <v/>
      </c>
      <c r="T9" s="29" t="str">
        <f aca="true">IF(AND(F9&gt;=1,R9&gt;=Inputs!$B$10),INDEX(LINEST(OFFSET(D9,-R9,0,R9,1),OFFSET(E9,-R9,0,R9,2)),1,2),"")</f>
        <v/>
      </c>
      <c r="U9" s="29" t="str">
        <f aca="true">IF(AND(F9&gt;=1,R9&gt;=Inputs!$B$10),INDEX(LINEST(OFFSET(D9,-R9,0,R9,1),OFFSET(E9,-R9,0,R9,2)),1,3),"")</f>
        <v/>
      </c>
      <c r="V9" s="29" t="str">
        <f aca="true">IF(AND(F9&gt;=1,R9&gt;=Inputs!$B$10),SQRT(SUMPRODUCT((OFFSET(D9,-R9,0,R9,1)-U9-T9*OFFSET(E9,-R9,0,R9,1)-S9*OFFSET(F9,-R9,0,R9,1))^2)/(R9-3)),"")</f>
        <v/>
      </c>
      <c r="W9" s="31" t="str">
        <f aca="false">IF(AND(F9&gt;=1,R9&gt;=Inputs!$B$10),(D9-U9-T9*E9-S9*F9)/V9,"")</f>
        <v/>
      </c>
      <c r="X9" s="30" t="n">
        <f aca="false">IF(AB8&lt;&gt;0,AC8+1,0)</f>
        <v>0</v>
      </c>
      <c r="Y9" s="30" t="n">
        <f aca="false">IF(W9="",0,IF(AND(AB8&lt;&gt;0,OR(ABS(W9)&gt;Inputs!$B$7,X9&gt;=Inputs!$B$8,ABS(W9)&lt;Inputs!$B$6)),1,0))</f>
        <v>0</v>
      </c>
      <c r="Z9" s="30" t="n">
        <f aca="false">IF(Y9=1,0,AB8)</f>
        <v>0</v>
      </c>
      <c r="AA9" s="30" t="n">
        <f aca="false">IF(W9="",0,IF(AND(Z9=0,ABS(W9)&gt;Inputs!$B$5,ABS(W9)&lt;=Inputs!$B$7),1,0))</f>
        <v>0</v>
      </c>
      <c r="AB9" s="30" t="n">
        <f aca="false">IF(W9="",0,IF(AA9=1,-SIGN(W9),Z9))</f>
        <v>0</v>
      </c>
      <c r="AC9" s="30" t="n">
        <f aca="false">IF(W9="",0,IF(AA9=1,0,IF(Y9=1,0,X9)))</f>
        <v>0</v>
      </c>
      <c r="AD9" s="30" t="n">
        <f aca="false">IF(AB9=0,0,IF(AB8=AB9,AD8,T9))</f>
        <v>0</v>
      </c>
      <c r="AE9" s="30" t="n">
        <f aca="false">AB9-AB8</f>
        <v>0</v>
      </c>
      <c r="AF9" s="30" t="n">
        <f aca="false">-AD9*AB9</f>
        <v>-0</v>
      </c>
      <c r="AG9" s="30" t="n">
        <f aca="false">AF9-AF8</f>
        <v>0</v>
      </c>
      <c r="AH9" s="30" t="n">
        <f aca="false">MAX(AE9,0)*(Inputs!$B$17+Inputs!$B$18+Inputs!$B$19)+MAX(-AE9,0)*(O9+Inputs!$B$18+Inputs!$B$19)+IF(AND(K9=1,AB9&lt;&gt;0),(Inputs!$B$17+Inputs!$B$18+Inputs!$B$19)+(O9+Inputs!$B$18+Inputs!$B$19),0)+MAX(AG9,0)*(Inputs!$B$20+Inputs!$B$22+Inputs!$B$23)+MAX(-AG9,0)*(Inputs!$B$21+Inputs!$B$22+Inputs!$B$23)</f>
        <v>0</v>
      </c>
      <c r="AI9" s="30" t="n">
        <f aca="false">AB8*(M9-AD8*J9)+AB8*AD8*N9/Inputs!$B$16-AH9</f>
        <v>0</v>
      </c>
      <c r="AJ9" s="30" t="n">
        <f aca="false">MAX(AE9,0)*(Inputs!$B$17+Inputs!$B$24+Inputs!$B$25)+MAX(-AE9,0)*(O9+Inputs!$B$24+Inputs!$B$25)+IF(AND(K9=1,AB9&lt;&gt;0),(Inputs!$B$17+Inputs!$B$24+Inputs!$B$25)+(O9+Inputs!$B$24+Inputs!$B$25),0)+MAX(AG9,0)*(Inputs!$B$20+Inputs!$B$26+Inputs!$B$27)+MAX(-AG9,0)*(Inputs!$B$21+Inputs!$B$26+Inputs!$B$27)</f>
        <v>0</v>
      </c>
      <c r="AK9" s="30" t="n">
        <f aca="false">AB8*(M9-AD8*J9)+AB8*AD8*(N9+Inputs!$B$14)/Inputs!$B$16-AJ9</f>
        <v>0</v>
      </c>
      <c r="AL9" s="30" t="n">
        <f aca="false">IF(AP8&lt;&gt;0,AQ8+1,0)</f>
        <v>0</v>
      </c>
      <c r="AM9" s="30" t="n">
        <f aca="false">IF(W9="",0,IF(AND(AP8&lt;&gt;0,OR(ABS(W9)&gt;Inputs!$B$7,AL9&gt;=Inputs!$B$8,ABS(W9)&lt;Inputs!$B$6)),1,0))</f>
        <v>0</v>
      </c>
      <c r="AN9" s="30" t="n">
        <f aca="false">IF(AM9=1,0,AP8)</f>
        <v>0</v>
      </c>
      <c r="AO9" s="30" t="n">
        <f aca="false">IF(W9="",0,IF(AND(AN9=0,ABS(W9)&gt;Inputs!$B$5,ABS(W9)&lt;=Inputs!$B$7,W9&gt;0),1,0))</f>
        <v>0</v>
      </c>
      <c r="AP9" s="30" t="n">
        <f aca="false">IF(W9="",0,IF(AO9=1,-SIGN(W9),AN9))</f>
        <v>0</v>
      </c>
      <c r="AQ9" s="30" t="n">
        <f aca="false">IF(W9="",0,IF(AO9=1,0,IF(AM9=1,0,AL9)))</f>
        <v>0</v>
      </c>
      <c r="AR9" s="30" t="n">
        <f aca="false">IF(AP9=0,0,IF(AP8=AP9,AR8,T9))</f>
        <v>0</v>
      </c>
      <c r="AS9" s="30" t="n">
        <f aca="false">AP9-AP8</f>
        <v>0</v>
      </c>
      <c r="AT9" s="30" t="n">
        <f aca="false">-AR9*AP9</f>
        <v>-0</v>
      </c>
      <c r="AU9" s="30" t="n">
        <f aca="false">AT9-AT8</f>
        <v>0</v>
      </c>
      <c r="AV9" s="30" t="n">
        <f aca="false">MAX(AS9,0)*(Inputs!$B$17+Inputs!$B$18+Inputs!$B$19)+MAX(-AS9,0)*(O9+Inputs!$B$18+Inputs!$B$19)+IF(AND(K9=1,AP9&lt;&gt;0),(Inputs!$B$17+Inputs!$B$18+Inputs!$B$19)+(O9+Inputs!$B$18+Inputs!$B$19),0)+MAX(AU9,0)*(Inputs!$B$20+Inputs!$B$22+Inputs!$B$23)+MAX(-AU9,0)*(Inputs!$B$21+Inputs!$B$22+Inputs!$B$23)</f>
        <v>0</v>
      </c>
      <c r="AW9" s="30" t="n">
        <f aca="false">AP8*(M9-AR8*J9)+AP8*AR8*N9/Inputs!$B$16-AV9</f>
        <v>0</v>
      </c>
      <c r="AX9" s="30" t="n">
        <f aca="false">AW9-IF(AP8&lt;&gt;0,0.75*AR8*(Inputs!$B$13-N9)/Inputs!$B$16,0)</f>
        <v>0</v>
      </c>
      <c r="AY9" s="30" t="n">
        <f aca="false">MAX(AS9,0)*(Inputs!$B$17+Inputs!$B$18+Inputs!$B$19)+MAX(-AS9,0)*(O9+Inputs!$B$18+Inputs!$B$19)+IF(AND(K9=1,AP9&lt;&gt;0),(Inputs!$B$17+Inputs!$B$18+Inputs!$B$19)+(O9+Inputs!$B$18+Inputs!$B$19),0)</f>
        <v>0</v>
      </c>
      <c r="AZ9" s="30" t="n">
        <f aca="false">AP8*M9-AY9</f>
        <v>0</v>
      </c>
      <c r="BA9" s="30" t="n">
        <f aca="false">BA8+AI9</f>
        <v>0</v>
      </c>
      <c r="BB9" s="30" t="n">
        <f aca="false">MAX(BB8,BA9)</f>
        <v>0</v>
      </c>
      <c r="BC9" s="30" t="n">
        <f aca="false">BA9-BB9</f>
        <v>0</v>
      </c>
      <c r="BD9" s="30" t="n">
        <f aca="false">A10-A9</f>
        <v>1</v>
      </c>
    </row>
    <row r="10" customFormat="false" ht="15" hidden="false" customHeight="false" outlineLevel="0" collapsed="false">
      <c r="A10" s="28" t="n">
        <v>45055</v>
      </c>
      <c r="B10" s="0" t="n">
        <v>18303.8</v>
      </c>
      <c r="C10" s="0" t="n">
        <v>199.75</v>
      </c>
      <c r="D10" s="29" t="n">
        <f aca="false">LN(B10)</f>
        <v>9.8148639675464</v>
      </c>
      <c r="E10" s="29" t="n">
        <f aca="false">LN(C10)</f>
        <v>5.29706658464638</v>
      </c>
      <c r="F10" s="0" t="n">
        <v>5</v>
      </c>
      <c r="G10" s="0" t="n">
        <v>16</v>
      </c>
      <c r="H10" s="29" t="n">
        <f aca="false">D10-E10</f>
        <v>4.51779738290002</v>
      </c>
      <c r="I10" s="29" t="n">
        <f aca="false">D10-D9</f>
        <v>-0.000748198487716678</v>
      </c>
      <c r="J10" s="29" t="n">
        <f aca="false">E10-E9</f>
        <v>-0.000750656859970889</v>
      </c>
      <c r="K10" s="0" t="n">
        <v>0</v>
      </c>
      <c r="L10" s="0" t="n">
        <v>0</v>
      </c>
      <c r="M10" s="29" t="n">
        <f aca="false">IF(L10=1,J10-Carry!$B$9/Inputs!$B$16,I10)</f>
        <v>-0.000748198487716678</v>
      </c>
      <c r="N10" s="0" t="n">
        <v>0.065</v>
      </c>
      <c r="O10" s="0" t="n">
        <v>0.000125</v>
      </c>
      <c r="P10" s="29" t="n">
        <f aca="false">D10-('2 Hedge ratio'!$B$6+'2 Hedge ratio'!$B$5*E10)</f>
        <v>0.000259442492028583</v>
      </c>
      <c r="Q10" s="29" t="n">
        <f aca="false">D10-('5 Re-specification'!$B$7+'5 Re-specification'!$B$5*E10+'5 Re-specification'!$B$6*F10)</f>
        <v>0.00287376893962588</v>
      </c>
      <c r="R10" s="30" t="n">
        <f aca="false">MIN(F10,Inputs!$B$9)</f>
        <v>5</v>
      </c>
      <c r="S10" s="29" t="str">
        <f aca="true">IF(AND(F10&gt;=1,R10&gt;=Inputs!$B$10),INDEX(LINEST(OFFSET(D10,-R10,0,R10,1),OFFSET(E10,-R10,0,R10,2)),1,1),"")</f>
        <v/>
      </c>
      <c r="T10" s="29" t="str">
        <f aca="true">IF(AND(F10&gt;=1,R10&gt;=Inputs!$B$10),INDEX(LINEST(OFFSET(D10,-R10,0,R10,1),OFFSET(E10,-R10,0,R10,2)),1,2),"")</f>
        <v/>
      </c>
      <c r="U10" s="29" t="str">
        <f aca="true">IF(AND(F10&gt;=1,R10&gt;=Inputs!$B$10),INDEX(LINEST(OFFSET(D10,-R10,0,R10,1),OFFSET(E10,-R10,0,R10,2)),1,3),"")</f>
        <v/>
      </c>
      <c r="V10" s="29" t="str">
        <f aca="true">IF(AND(F10&gt;=1,R10&gt;=Inputs!$B$10),SQRT(SUMPRODUCT((OFFSET(D10,-R10,0,R10,1)-U10-T10*OFFSET(E10,-R10,0,R10,1)-S10*OFFSET(F10,-R10,0,R10,1))^2)/(R10-3)),"")</f>
        <v/>
      </c>
      <c r="W10" s="31" t="str">
        <f aca="false">IF(AND(F10&gt;=1,R10&gt;=Inputs!$B$10),(D10-U10-T10*E10-S10*F10)/V10,"")</f>
        <v/>
      </c>
      <c r="X10" s="30" t="n">
        <f aca="false">IF(AB9&lt;&gt;0,AC9+1,0)</f>
        <v>0</v>
      </c>
      <c r="Y10" s="30" t="n">
        <f aca="false">IF(W10="",0,IF(AND(AB9&lt;&gt;0,OR(ABS(W10)&gt;Inputs!$B$7,X10&gt;=Inputs!$B$8,ABS(W10)&lt;Inputs!$B$6)),1,0))</f>
        <v>0</v>
      </c>
      <c r="Z10" s="30" t="n">
        <f aca="false">IF(Y10=1,0,AB9)</f>
        <v>0</v>
      </c>
      <c r="AA10" s="30" t="n">
        <f aca="false">IF(W10="",0,IF(AND(Z10=0,ABS(W10)&gt;Inputs!$B$5,ABS(W10)&lt;=Inputs!$B$7),1,0))</f>
        <v>0</v>
      </c>
      <c r="AB10" s="30" t="n">
        <f aca="false">IF(W10="",0,IF(AA10=1,-SIGN(W10),Z10))</f>
        <v>0</v>
      </c>
      <c r="AC10" s="30" t="n">
        <f aca="false">IF(W10="",0,IF(AA10=1,0,IF(Y10=1,0,X10)))</f>
        <v>0</v>
      </c>
      <c r="AD10" s="30" t="n">
        <f aca="false">IF(AB10=0,0,IF(AB9=AB10,AD9,T10))</f>
        <v>0</v>
      </c>
      <c r="AE10" s="30" t="n">
        <f aca="false">AB10-AB9</f>
        <v>0</v>
      </c>
      <c r="AF10" s="30" t="n">
        <f aca="false">-AD10*AB10</f>
        <v>-0</v>
      </c>
      <c r="AG10" s="30" t="n">
        <f aca="false">AF10-AF9</f>
        <v>0</v>
      </c>
      <c r="AH10" s="30" t="n">
        <f aca="false">MAX(AE10,0)*(Inputs!$B$17+Inputs!$B$18+Inputs!$B$19)+MAX(-AE10,0)*(O10+Inputs!$B$18+Inputs!$B$19)+IF(AND(K10=1,AB10&lt;&gt;0),(Inputs!$B$17+Inputs!$B$18+Inputs!$B$19)+(O10+Inputs!$B$18+Inputs!$B$19),0)+MAX(AG10,0)*(Inputs!$B$20+Inputs!$B$22+Inputs!$B$23)+MAX(-AG10,0)*(Inputs!$B$21+Inputs!$B$22+Inputs!$B$23)</f>
        <v>0</v>
      </c>
      <c r="AI10" s="30" t="n">
        <f aca="false">AB9*(M10-AD9*J10)+AB9*AD9*N10/Inputs!$B$16-AH10</f>
        <v>0</v>
      </c>
      <c r="AJ10" s="30" t="n">
        <f aca="false">MAX(AE10,0)*(Inputs!$B$17+Inputs!$B$24+Inputs!$B$25)+MAX(-AE10,0)*(O10+Inputs!$B$24+Inputs!$B$25)+IF(AND(K10=1,AB10&lt;&gt;0),(Inputs!$B$17+Inputs!$B$24+Inputs!$B$25)+(O10+Inputs!$B$24+Inputs!$B$25),0)+MAX(AG10,0)*(Inputs!$B$20+Inputs!$B$26+Inputs!$B$27)+MAX(-AG10,0)*(Inputs!$B$21+Inputs!$B$26+Inputs!$B$27)</f>
        <v>0</v>
      </c>
      <c r="AK10" s="30" t="n">
        <f aca="false">AB9*(M10-AD9*J10)+AB9*AD9*(N10+Inputs!$B$14)/Inputs!$B$16-AJ10</f>
        <v>0</v>
      </c>
      <c r="AL10" s="30" t="n">
        <f aca="false">IF(AP9&lt;&gt;0,AQ9+1,0)</f>
        <v>0</v>
      </c>
      <c r="AM10" s="30" t="n">
        <f aca="false">IF(W10="",0,IF(AND(AP9&lt;&gt;0,OR(ABS(W10)&gt;Inputs!$B$7,AL10&gt;=Inputs!$B$8,ABS(W10)&lt;Inputs!$B$6)),1,0))</f>
        <v>0</v>
      </c>
      <c r="AN10" s="30" t="n">
        <f aca="false">IF(AM10=1,0,AP9)</f>
        <v>0</v>
      </c>
      <c r="AO10" s="30" t="n">
        <f aca="false">IF(W10="",0,IF(AND(AN10=0,ABS(W10)&gt;Inputs!$B$5,ABS(W10)&lt;=Inputs!$B$7,W10&gt;0),1,0))</f>
        <v>0</v>
      </c>
      <c r="AP10" s="30" t="n">
        <f aca="false">IF(W10="",0,IF(AO10=1,-SIGN(W10),AN10))</f>
        <v>0</v>
      </c>
      <c r="AQ10" s="30" t="n">
        <f aca="false">IF(W10="",0,IF(AO10=1,0,IF(AM10=1,0,AL10)))</f>
        <v>0</v>
      </c>
      <c r="AR10" s="30" t="n">
        <f aca="false">IF(AP10=0,0,IF(AP9=AP10,AR9,T10))</f>
        <v>0</v>
      </c>
      <c r="AS10" s="30" t="n">
        <f aca="false">AP10-AP9</f>
        <v>0</v>
      </c>
      <c r="AT10" s="30" t="n">
        <f aca="false">-AR10*AP10</f>
        <v>-0</v>
      </c>
      <c r="AU10" s="30" t="n">
        <f aca="false">AT10-AT9</f>
        <v>0</v>
      </c>
      <c r="AV10" s="30" t="n">
        <f aca="false">MAX(AS10,0)*(Inputs!$B$17+Inputs!$B$18+Inputs!$B$19)+MAX(-AS10,0)*(O10+Inputs!$B$18+Inputs!$B$19)+IF(AND(K10=1,AP10&lt;&gt;0),(Inputs!$B$17+Inputs!$B$18+Inputs!$B$19)+(O10+Inputs!$B$18+Inputs!$B$19),0)+MAX(AU10,0)*(Inputs!$B$20+Inputs!$B$22+Inputs!$B$23)+MAX(-AU10,0)*(Inputs!$B$21+Inputs!$B$22+Inputs!$B$23)</f>
        <v>0</v>
      </c>
      <c r="AW10" s="30" t="n">
        <f aca="false">AP9*(M10-AR9*J10)+AP9*AR9*N10/Inputs!$B$16-AV10</f>
        <v>0</v>
      </c>
      <c r="AX10" s="30" t="n">
        <f aca="false">AW10-IF(AP9&lt;&gt;0,0.75*AR9*(Inputs!$B$13-N10)/Inputs!$B$16,0)</f>
        <v>0</v>
      </c>
      <c r="AY10" s="30" t="n">
        <f aca="false">MAX(AS10,0)*(Inputs!$B$17+Inputs!$B$18+Inputs!$B$19)+MAX(-AS10,0)*(O10+Inputs!$B$18+Inputs!$B$19)+IF(AND(K10=1,AP10&lt;&gt;0),(Inputs!$B$17+Inputs!$B$18+Inputs!$B$19)+(O10+Inputs!$B$18+Inputs!$B$19),0)</f>
        <v>0</v>
      </c>
      <c r="AZ10" s="30" t="n">
        <f aca="false">AP9*M10-AY10</f>
        <v>-0</v>
      </c>
      <c r="BA10" s="30" t="n">
        <f aca="false">BA9+AI10</f>
        <v>0</v>
      </c>
      <c r="BB10" s="30" t="n">
        <f aca="false">MAX(BB9,BA10)</f>
        <v>0</v>
      </c>
      <c r="BC10" s="30" t="n">
        <f aca="false">BA10-BB10</f>
        <v>0</v>
      </c>
      <c r="BD10" s="30" t="n">
        <f aca="false">A11-A10</f>
        <v>1</v>
      </c>
    </row>
    <row r="11" customFormat="false" ht="15" hidden="false" customHeight="false" outlineLevel="0" collapsed="false">
      <c r="A11" s="28" t="n">
        <v>45056</v>
      </c>
      <c r="B11" s="0" t="n">
        <v>18343</v>
      </c>
      <c r="C11" s="0" t="n">
        <v>200.21</v>
      </c>
      <c r="D11" s="29" t="n">
        <f aca="false">LN(B11)</f>
        <v>9.81700330931435</v>
      </c>
      <c r="E11" s="29" t="n">
        <f aca="false">LN(C11)</f>
        <v>5.29936681568361</v>
      </c>
      <c r="F11" s="0" t="n">
        <v>6</v>
      </c>
      <c r="G11" s="0" t="n">
        <v>15</v>
      </c>
      <c r="H11" s="29" t="n">
        <f aca="false">D11-E11</f>
        <v>4.51763649363074</v>
      </c>
      <c r="I11" s="29" t="n">
        <f aca="false">D11-D10</f>
        <v>0.00213934176794872</v>
      </c>
      <c r="J11" s="29" t="n">
        <f aca="false">E11-E10</f>
        <v>0.00230023103722399</v>
      </c>
      <c r="K11" s="0" t="n">
        <v>0</v>
      </c>
      <c r="L11" s="0" t="n">
        <v>0</v>
      </c>
      <c r="M11" s="29" t="n">
        <f aca="false">IF(L11=1,J11-Carry!$B$9/Inputs!$B$16,I11)</f>
        <v>0.00213934176794872</v>
      </c>
      <c r="N11" s="0" t="n">
        <v>0.065</v>
      </c>
      <c r="O11" s="0" t="n">
        <v>0.000125</v>
      </c>
      <c r="P11" s="29" t="n">
        <f aca="false">D11-('2 Hedge ratio'!$B$6+'2 Hedge ratio'!$B$5*E11)</f>
        <v>0.000291481054325971</v>
      </c>
      <c r="Q11" s="29" t="n">
        <f aca="false">D11-('5 Re-specification'!$B$7+'5 Re-specification'!$B$5*E11+'5 Re-specification'!$B$6*F11)</f>
        <v>0.00276477983865497</v>
      </c>
      <c r="R11" s="30" t="n">
        <f aca="false">MIN(F11,Inputs!$B$9)</f>
        <v>6</v>
      </c>
      <c r="S11" s="29" t="str">
        <f aca="true">IF(AND(F11&gt;=1,R11&gt;=Inputs!$B$10),INDEX(LINEST(OFFSET(D11,-R11,0,R11,1),OFFSET(E11,-R11,0,R11,2)),1,1),"")</f>
        <v/>
      </c>
      <c r="T11" s="29" t="str">
        <f aca="true">IF(AND(F11&gt;=1,R11&gt;=Inputs!$B$10),INDEX(LINEST(OFFSET(D11,-R11,0,R11,1),OFFSET(E11,-R11,0,R11,2)),1,2),"")</f>
        <v/>
      </c>
      <c r="U11" s="29" t="str">
        <f aca="true">IF(AND(F11&gt;=1,R11&gt;=Inputs!$B$10),INDEX(LINEST(OFFSET(D11,-R11,0,R11,1),OFFSET(E11,-R11,0,R11,2)),1,3),"")</f>
        <v/>
      </c>
      <c r="V11" s="29" t="str">
        <f aca="true">IF(AND(F11&gt;=1,R11&gt;=Inputs!$B$10),SQRT(SUMPRODUCT((OFFSET(D11,-R11,0,R11,1)-U11-T11*OFFSET(E11,-R11,0,R11,1)-S11*OFFSET(F11,-R11,0,R11,1))^2)/(R11-3)),"")</f>
        <v/>
      </c>
      <c r="W11" s="31" t="str">
        <f aca="false">IF(AND(F11&gt;=1,R11&gt;=Inputs!$B$10),(D11-U11-T11*E11-S11*F11)/V11,"")</f>
        <v/>
      </c>
      <c r="X11" s="30" t="n">
        <f aca="false">IF(AB10&lt;&gt;0,AC10+1,0)</f>
        <v>0</v>
      </c>
      <c r="Y11" s="30" t="n">
        <f aca="false">IF(W11="",0,IF(AND(AB10&lt;&gt;0,OR(ABS(W11)&gt;Inputs!$B$7,X11&gt;=Inputs!$B$8,ABS(W11)&lt;Inputs!$B$6)),1,0))</f>
        <v>0</v>
      </c>
      <c r="Z11" s="30" t="n">
        <f aca="false">IF(Y11=1,0,AB10)</f>
        <v>0</v>
      </c>
      <c r="AA11" s="30" t="n">
        <f aca="false">IF(W11="",0,IF(AND(Z11=0,ABS(W11)&gt;Inputs!$B$5,ABS(W11)&lt;=Inputs!$B$7),1,0))</f>
        <v>0</v>
      </c>
      <c r="AB11" s="30" t="n">
        <f aca="false">IF(W11="",0,IF(AA11=1,-SIGN(W11),Z11))</f>
        <v>0</v>
      </c>
      <c r="AC11" s="30" t="n">
        <f aca="false">IF(W11="",0,IF(AA11=1,0,IF(Y11=1,0,X11)))</f>
        <v>0</v>
      </c>
      <c r="AD11" s="30" t="n">
        <f aca="false">IF(AB11=0,0,IF(AB10=AB11,AD10,T11))</f>
        <v>0</v>
      </c>
      <c r="AE11" s="30" t="n">
        <f aca="false">AB11-AB10</f>
        <v>0</v>
      </c>
      <c r="AF11" s="30" t="n">
        <f aca="false">-AD11*AB11</f>
        <v>-0</v>
      </c>
      <c r="AG11" s="30" t="n">
        <f aca="false">AF11-AF10</f>
        <v>0</v>
      </c>
      <c r="AH11" s="30" t="n">
        <f aca="false">MAX(AE11,0)*(Inputs!$B$17+Inputs!$B$18+Inputs!$B$19)+MAX(-AE11,0)*(O11+Inputs!$B$18+Inputs!$B$19)+IF(AND(K11=1,AB11&lt;&gt;0),(Inputs!$B$17+Inputs!$B$18+Inputs!$B$19)+(O11+Inputs!$B$18+Inputs!$B$19),0)+MAX(AG11,0)*(Inputs!$B$20+Inputs!$B$22+Inputs!$B$23)+MAX(-AG11,0)*(Inputs!$B$21+Inputs!$B$22+Inputs!$B$23)</f>
        <v>0</v>
      </c>
      <c r="AI11" s="30" t="n">
        <f aca="false">AB10*(M11-AD10*J11)+AB10*AD10*N11/Inputs!$B$16-AH11</f>
        <v>0</v>
      </c>
      <c r="AJ11" s="30" t="n">
        <f aca="false">MAX(AE11,0)*(Inputs!$B$17+Inputs!$B$24+Inputs!$B$25)+MAX(-AE11,0)*(O11+Inputs!$B$24+Inputs!$B$25)+IF(AND(K11=1,AB11&lt;&gt;0),(Inputs!$B$17+Inputs!$B$24+Inputs!$B$25)+(O11+Inputs!$B$24+Inputs!$B$25),0)+MAX(AG11,0)*(Inputs!$B$20+Inputs!$B$26+Inputs!$B$27)+MAX(-AG11,0)*(Inputs!$B$21+Inputs!$B$26+Inputs!$B$27)</f>
        <v>0</v>
      </c>
      <c r="AK11" s="30" t="n">
        <f aca="false">AB10*(M11-AD10*J11)+AB10*AD10*(N11+Inputs!$B$14)/Inputs!$B$16-AJ11</f>
        <v>0</v>
      </c>
      <c r="AL11" s="30" t="n">
        <f aca="false">IF(AP10&lt;&gt;0,AQ10+1,0)</f>
        <v>0</v>
      </c>
      <c r="AM11" s="30" t="n">
        <f aca="false">IF(W11="",0,IF(AND(AP10&lt;&gt;0,OR(ABS(W11)&gt;Inputs!$B$7,AL11&gt;=Inputs!$B$8,ABS(W11)&lt;Inputs!$B$6)),1,0))</f>
        <v>0</v>
      </c>
      <c r="AN11" s="30" t="n">
        <f aca="false">IF(AM11=1,0,AP10)</f>
        <v>0</v>
      </c>
      <c r="AO11" s="30" t="n">
        <f aca="false">IF(W11="",0,IF(AND(AN11=0,ABS(W11)&gt;Inputs!$B$5,ABS(W11)&lt;=Inputs!$B$7,W11&gt;0),1,0))</f>
        <v>0</v>
      </c>
      <c r="AP11" s="30" t="n">
        <f aca="false">IF(W11="",0,IF(AO11=1,-SIGN(W11),AN11))</f>
        <v>0</v>
      </c>
      <c r="AQ11" s="30" t="n">
        <f aca="false">IF(W11="",0,IF(AO11=1,0,IF(AM11=1,0,AL11)))</f>
        <v>0</v>
      </c>
      <c r="AR11" s="30" t="n">
        <f aca="false">IF(AP11=0,0,IF(AP10=AP11,AR10,T11))</f>
        <v>0</v>
      </c>
      <c r="AS11" s="30" t="n">
        <f aca="false">AP11-AP10</f>
        <v>0</v>
      </c>
      <c r="AT11" s="30" t="n">
        <f aca="false">-AR11*AP11</f>
        <v>-0</v>
      </c>
      <c r="AU11" s="30" t="n">
        <f aca="false">AT11-AT10</f>
        <v>0</v>
      </c>
      <c r="AV11" s="30" t="n">
        <f aca="false">MAX(AS11,0)*(Inputs!$B$17+Inputs!$B$18+Inputs!$B$19)+MAX(-AS11,0)*(O11+Inputs!$B$18+Inputs!$B$19)+IF(AND(K11=1,AP11&lt;&gt;0),(Inputs!$B$17+Inputs!$B$18+Inputs!$B$19)+(O11+Inputs!$B$18+Inputs!$B$19),0)+MAX(AU11,0)*(Inputs!$B$20+Inputs!$B$22+Inputs!$B$23)+MAX(-AU11,0)*(Inputs!$B$21+Inputs!$B$22+Inputs!$B$23)</f>
        <v>0</v>
      </c>
      <c r="AW11" s="30" t="n">
        <f aca="false">AP10*(M11-AR10*J11)+AP10*AR10*N11/Inputs!$B$16-AV11</f>
        <v>0</v>
      </c>
      <c r="AX11" s="30" t="n">
        <f aca="false">AW11-IF(AP10&lt;&gt;0,0.75*AR10*(Inputs!$B$13-N11)/Inputs!$B$16,0)</f>
        <v>0</v>
      </c>
      <c r="AY11" s="30" t="n">
        <f aca="false">MAX(AS11,0)*(Inputs!$B$17+Inputs!$B$18+Inputs!$B$19)+MAX(-AS11,0)*(O11+Inputs!$B$18+Inputs!$B$19)+IF(AND(K11=1,AP11&lt;&gt;0),(Inputs!$B$17+Inputs!$B$18+Inputs!$B$19)+(O11+Inputs!$B$18+Inputs!$B$19),0)</f>
        <v>0</v>
      </c>
      <c r="AZ11" s="30" t="n">
        <f aca="false">AP10*M11-AY11</f>
        <v>0</v>
      </c>
      <c r="BA11" s="30" t="n">
        <f aca="false">BA10+AI11</f>
        <v>0</v>
      </c>
      <c r="BB11" s="30" t="n">
        <f aca="false">MAX(BB10,BA11)</f>
        <v>0</v>
      </c>
      <c r="BC11" s="30" t="n">
        <f aca="false">BA11-BB11</f>
        <v>0</v>
      </c>
      <c r="BD11" s="30" t="n">
        <f aca="false">A12-A11</f>
        <v>1</v>
      </c>
    </row>
    <row r="12" customFormat="false" ht="15" hidden="false" customHeight="false" outlineLevel="0" collapsed="false">
      <c r="A12" s="28" t="n">
        <v>45057</v>
      </c>
      <c r="B12" s="0" t="n">
        <v>18359</v>
      </c>
      <c r="C12" s="0" t="n">
        <v>200.4</v>
      </c>
      <c r="D12" s="29" t="n">
        <f aca="false">LN(B12)</f>
        <v>9.81787519646021</v>
      </c>
      <c r="E12" s="29" t="n">
        <f aca="false">LN(C12)</f>
        <v>5.30031536921071</v>
      </c>
      <c r="F12" s="0" t="n">
        <v>7</v>
      </c>
      <c r="G12" s="0" t="n">
        <v>14</v>
      </c>
      <c r="H12" s="29" t="n">
        <f aca="false">D12-E12</f>
        <v>4.5175598272495</v>
      </c>
      <c r="I12" s="29" t="n">
        <f aca="false">D12-D11</f>
        <v>0.000871887145853734</v>
      </c>
      <c r="J12" s="29" t="n">
        <f aca="false">E12-E11</f>
        <v>0.000948553527101659</v>
      </c>
      <c r="K12" s="0" t="n">
        <v>0</v>
      </c>
      <c r="L12" s="0" t="n">
        <v>0</v>
      </c>
      <c r="M12" s="29" t="n">
        <f aca="false">IF(L12=1,J12-Carry!$B$9/Inputs!$B$16,I12)</f>
        <v>0.000871887145853734</v>
      </c>
      <c r="N12" s="0" t="n">
        <v>0.065</v>
      </c>
      <c r="O12" s="0" t="n">
        <v>0.000125</v>
      </c>
      <c r="P12" s="29" t="n">
        <f aca="false">D12-('2 Hedge ratio'!$B$6+'2 Hedge ratio'!$B$5*E12)</f>
        <v>0.00029437293142287</v>
      </c>
      <c r="Q12" s="29" t="n">
        <f aca="false">D12-('5 Re-specification'!$B$7+'5 Re-specification'!$B$5*E12+'5 Re-specification'!$B$6*F12)</f>
        <v>0.00273591736698897</v>
      </c>
      <c r="R12" s="30" t="n">
        <f aca="false">MIN(F12,Inputs!$B$9)</f>
        <v>7</v>
      </c>
      <c r="S12" s="29" t="str">
        <f aca="true">IF(AND(F12&gt;=1,R12&gt;=Inputs!$B$10),INDEX(LINEST(OFFSET(D12,-R12,0,R12,1),OFFSET(E12,-R12,0,R12,2)),1,1),"")</f>
        <v/>
      </c>
      <c r="T12" s="29" t="str">
        <f aca="true">IF(AND(F12&gt;=1,R12&gt;=Inputs!$B$10),INDEX(LINEST(OFFSET(D12,-R12,0,R12,1),OFFSET(E12,-R12,0,R12,2)),1,2),"")</f>
        <v/>
      </c>
      <c r="U12" s="29" t="str">
        <f aca="true">IF(AND(F12&gt;=1,R12&gt;=Inputs!$B$10),INDEX(LINEST(OFFSET(D12,-R12,0,R12,1),OFFSET(E12,-R12,0,R12,2)),1,3),"")</f>
        <v/>
      </c>
      <c r="V12" s="29" t="str">
        <f aca="true">IF(AND(F12&gt;=1,R12&gt;=Inputs!$B$10),SQRT(SUMPRODUCT((OFFSET(D12,-R12,0,R12,1)-U12-T12*OFFSET(E12,-R12,0,R12,1)-S12*OFFSET(F12,-R12,0,R12,1))^2)/(R12-3)),"")</f>
        <v/>
      </c>
      <c r="W12" s="31" t="str">
        <f aca="false">IF(AND(F12&gt;=1,R12&gt;=Inputs!$B$10),(D12-U12-T12*E12-S12*F12)/V12,"")</f>
        <v/>
      </c>
      <c r="X12" s="30" t="n">
        <f aca="false">IF(AB11&lt;&gt;0,AC11+1,0)</f>
        <v>0</v>
      </c>
      <c r="Y12" s="30" t="n">
        <f aca="false">IF(W12="",0,IF(AND(AB11&lt;&gt;0,OR(ABS(W12)&gt;Inputs!$B$7,X12&gt;=Inputs!$B$8,ABS(W12)&lt;Inputs!$B$6)),1,0))</f>
        <v>0</v>
      </c>
      <c r="Z12" s="30" t="n">
        <f aca="false">IF(Y12=1,0,AB11)</f>
        <v>0</v>
      </c>
      <c r="AA12" s="30" t="n">
        <f aca="false">IF(W12="",0,IF(AND(Z12=0,ABS(W12)&gt;Inputs!$B$5,ABS(W12)&lt;=Inputs!$B$7),1,0))</f>
        <v>0</v>
      </c>
      <c r="AB12" s="30" t="n">
        <f aca="false">IF(W12="",0,IF(AA12=1,-SIGN(W12),Z12))</f>
        <v>0</v>
      </c>
      <c r="AC12" s="30" t="n">
        <f aca="false">IF(W12="",0,IF(AA12=1,0,IF(Y12=1,0,X12)))</f>
        <v>0</v>
      </c>
      <c r="AD12" s="30" t="n">
        <f aca="false">IF(AB12=0,0,IF(AB11=AB12,AD11,T12))</f>
        <v>0</v>
      </c>
      <c r="AE12" s="30" t="n">
        <f aca="false">AB12-AB11</f>
        <v>0</v>
      </c>
      <c r="AF12" s="30" t="n">
        <f aca="false">-AD12*AB12</f>
        <v>-0</v>
      </c>
      <c r="AG12" s="30" t="n">
        <f aca="false">AF12-AF11</f>
        <v>0</v>
      </c>
      <c r="AH12" s="30" t="n">
        <f aca="false">MAX(AE12,0)*(Inputs!$B$17+Inputs!$B$18+Inputs!$B$19)+MAX(-AE12,0)*(O12+Inputs!$B$18+Inputs!$B$19)+IF(AND(K12=1,AB12&lt;&gt;0),(Inputs!$B$17+Inputs!$B$18+Inputs!$B$19)+(O12+Inputs!$B$18+Inputs!$B$19),0)+MAX(AG12,0)*(Inputs!$B$20+Inputs!$B$22+Inputs!$B$23)+MAX(-AG12,0)*(Inputs!$B$21+Inputs!$B$22+Inputs!$B$23)</f>
        <v>0</v>
      </c>
      <c r="AI12" s="30" t="n">
        <f aca="false">AB11*(M12-AD11*J12)+AB11*AD11*N12/Inputs!$B$16-AH12</f>
        <v>0</v>
      </c>
      <c r="AJ12" s="30" t="n">
        <f aca="false">MAX(AE12,0)*(Inputs!$B$17+Inputs!$B$24+Inputs!$B$25)+MAX(-AE12,0)*(O12+Inputs!$B$24+Inputs!$B$25)+IF(AND(K12=1,AB12&lt;&gt;0),(Inputs!$B$17+Inputs!$B$24+Inputs!$B$25)+(O12+Inputs!$B$24+Inputs!$B$25),0)+MAX(AG12,0)*(Inputs!$B$20+Inputs!$B$26+Inputs!$B$27)+MAX(-AG12,0)*(Inputs!$B$21+Inputs!$B$26+Inputs!$B$27)</f>
        <v>0</v>
      </c>
      <c r="AK12" s="30" t="n">
        <f aca="false">AB11*(M12-AD11*J12)+AB11*AD11*(N12+Inputs!$B$14)/Inputs!$B$16-AJ12</f>
        <v>0</v>
      </c>
      <c r="AL12" s="30" t="n">
        <f aca="false">IF(AP11&lt;&gt;0,AQ11+1,0)</f>
        <v>0</v>
      </c>
      <c r="AM12" s="30" t="n">
        <f aca="false">IF(W12="",0,IF(AND(AP11&lt;&gt;0,OR(ABS(W12)&gt;Inputs!$B$7,AL12&gt;=Inputs!$B$8,ABS(W12)&lt;Inputs!$B$6)),1,0))</f>
        <v>0</v>
      </c>
      <c r="AN12" s="30" t="n">
        <f aca="false">IF(AM12=1,0,AP11)</f>
        <v>0</v>
      </c>
      <c r="AO12" s="30" t="n">
        <f aca="false">IF(W12="",0,IF(AND(AN12=0,ABS(W12)&gt;Inputs!$B$5,ABS(W12)&lt;=Inputs!$B$7,W12&gt;0),1,0))</f>
        <v>0</v>
      </c>
      <c r="AP12" s="30" t="n">
        <f aca="false">IF(W12="",0,IF(AO12=1,-SIGN(W12),AN12))</f>
        <v>0</v>
      </c>
      <c r="AQ12" s="30" t="n">
        <f aca="false">IF(W12="",0,IF(AO12=1,0,IF(AM12=1,0,AL12)))</f>
        <v>0</v>
      </c>
      <c r="AR12" s="30" t="n">
        <f aca="false">IF(AP12=0,0,IF(AP11=AP12,AR11,T12))</f>
        <v>0</v>
      </c>
      <c r="AS12" s="30" t="n">
        <f aca="false">AP12-AP11</f>
        <v>0</v>
      </c>
      <c r="AT12" s="30" t="n">
        <f aca="false">-AR12*AP12</f>
        <v>-0</v>
      </c>
      <c r="AU12" s="30" t="n">
        <f aca="false">AT12-AT11</f>
        <v>0</v>
      </c>
      <c r="AV12" s="30" t="n">
        <f aca="false">MAX(AS12,0)*(Inputs!$B$17+Inputs!$B$18+Inputs!$B$19)+MAX(-AS12,0)*(O12+Inputs!$B$18+Inputs!$B$19)+IF(AND(K12=1,AP12&lt;&gt;0),(Inputs!$B$17+Inputs!$B$18+Inputs!$B$19)+(O12+Inputs!$B$18+Inputs!$B$19),0)+MAX(AU12,0)*(Inputs!$B$20+Inputs!$B$22+Inputs!$B$23)+MAX(-AU12,0)*(Inputs!$B$21+Inputs!$B$22+Inputs!$B$23)</f>
        <v>0</v>
      </c>
      <c r="AW12" s="30" t="n">
        <f aca="false">AP11*(M12-AR11*J12)+AP11*AR11*N12/Inputs!$B$16-AV12</f>
        <v>0</v>
      </c>
      <c r="AX12" s="30" t="n">
        <f aca="false">AW12-IF(AP11&lt;&gt;0,0.75*AR11*(Inputs!$B$13-N12)/Inputs!$B$16,0)</f>
        <v>0</v>
      </c>
      <c r="AY12" s="30" t="n">
        <f aca="false">MAX(AS12,0)*(Inputs!$B$17+Inputs!$B$18+Inputs!$B$19)+MAX(-AS12,0)*(O12+Inputs!$B$18+Inputs!$B$19)+IF(AND(K12=1,AP12&lt;&gt;0),(Inputs!$B$17+Inputs!$B$18+Inputs!$B$19)+(O12+Inputs!$B$18+Inputs!$B$19),0)</f>
        <v>0</v>
      </c>
      <c r="AZ12" s="30" t="n">
        <f aca="false">AP11*M12-AY12</f>
        <v>0</v>
      </c>
      <c r="BA12" s="30" t="n">
        <f aca="false">BA11+AI12</f>
        <v>0</v>
      </c>
      <c r="BB12" s="30" t="n">
        <f aca="false">MAX(BB11,BA12)</f>
        <v>0</v>
      </c>
      <c r="BC12" s="30" t="n">
        <f aca="false">BA12-BB12</f>
        <v>0</v>
      </c>
      <c r="BD12" s="30" t="n">
        <f aca="false">A13-A12</f>
        <v>1</v>
      </c>
    </row>
    <row r="13" customFormat="false" ht="15" hidden="false" customHeight="false" outlineLevel="0" collapsed="false">
      <c r="A13" s="28" t="n">
        <v>45058</v>
      </c>
      <c r="B13" s="0" t="n">
        <v>18334</v>
      </c>
      <c r="C13" s="0" t="n">
        <v>200.1</v>
      </c>
      <c r="D13" s="29" t="n">
        <f aca="false">LN(B13)</f>
        <v>9.81651253852172</v>
      </c>
      <c r="E13" s="29" t="n">
        <f aca="false">LN(C13)</f>
        <v>5.29881724158969</v>
      </c>
      <c r="F13" s="0" t="n">
        <v>8</v>
      </c>
      <c r="G13" s="0" t="n">
        <v>13</v>
      </c>
      <c r="H13" s="29" t="n">
        <f aca="false">D13-E13</f>
        <v>4.51769529693203</v>
      </c>
      <c r="I13" s="29" t="n">
        <f aca="false">D13-D12</f>
        <v>-0.00136265793848445</v>
      </c>
      <c r="J13" s="29" t="n">
        <f aca="false">E13-E12</f>
        <v>-0.00149812762102197</v>
      </c>
      <c r="K13" s="0" t="n">
        <v>0</v>
      </c>
      <c r="L13" s="0" t="n">
        <v>0</v>
      </c>
      <c r="M13" s="29" t="n">
        <f aca="false">IF(L13=1,J13-Carry!$B$9/Inputs!$B$16,I13)</f>
        <v>-0.00136265793848445</v>
      </c>
      <c r="N13" s="0" t="n">
        <v>0.065</v>
      </c>
      <c r="O13" s="0" t="n">
        <v>0.000125</v>
      </c>
      <c r="P13" s="29" t="n">
        <f aca="false">D13-('2 Hedge ratio'!$B$6+'2 Hedge ratio'!$B$5*E13)</f>
        <v>0.000304189795322429</v>
      </c>
      <c r="Q13" s="29" t="n">
        <f aca="false">D13-('5 Re-specification'!$B$7+'5 Re-specification'!$B$5*E13+'5 Re-specification'!$B$6*F13)</f>
        <v>0.00291177629183714</v>
      </c>
      <c r="R13" s="30" t="n">
        <f aca="false">MIN(F13,Inputs!$B$9)</f>
        <v>8</v>
      </c>
      <c r="S13" s="29" t="str">
        <f aca="true">IF(AND(F13&gt;=1,R13&gt;=Inputs!$B$10),INDEX(LINEST(OFFSET(D13,-R13,0,R13,1),OFFSET(E13,-R13,0,R13,2)),1,1),"")</f>
        <v/>
      </c>
      <c r="T13" s="29" t="str">
        <f aca="true">IF(AND(F13&gt;=1,R13&gt;=Inputs!$B$10),INDEX(LINEST(OFFSET(D13,-R13,0,R13,1),OFFSET(E13,-R13,0,R13,2)),1,2),"")</f>
        <v/>
      </c>
      <c r="U13" s="29" t="str">
        <f aca="true">IF(AND(F13&gt;=1,R13&gt;=Inputs!$B$10),INDEX(LINEST(OFFSET(D13,-R13,0,R13,1),OFFSET(E13,-R13,0,R13,2)),1,3),"")</f>
        <v/>
      </c>
      <c r="V13" s="29" t="str">
        <f aca="true">IF(AND(F13&gt;=1,R13&gt;=Inputs!$B$10),SQRT(SUMPRODUCT((OFFSET(D13,-R13,0,R13,1)-U13-T13*OFFSET(E13,-R13,0,R13,1)-S13*OFFSET(F13,-R13,0,R13,1))^2)/(R13-3)),"")</f>
        <v/>
      </c>
      <c r="W13" s="31" t="str">
        <f aca="false">IF(AND(F13&gt;=1,R13&gt;=Inputs!$B$10),(D13-U13-T13*E13-S13*F13)/V13,"")</f>
        <v/>
      </c>
      <c r="X13" s="30" t="n">
        <f aca="false">IF(AB12&lt;&gt;0,AC12+1,0)</f>
        <v>0</v>
      </c>
      <c r="Y13" s="30" t="n">
        <f aca="false">IF(W13="",0,IF(AND(AB12&lt;&gt;0,OR(ABS(W13)&gt;Inputs!$B$7,X13&gt;=Inputs!$B$8,ABS(W13)&lt;Inputs!$B$6)),1,0))</f>
        <v>0</v>
      </c>
      <c r="Z13" s="30" t="n">
        <f aca="false">IF(Y13=1,0,AB12)</f>
        <v>0</v>
      </c>
      <c r="AA13" s="30" t="n">
        <f aca="false">IF(W13="",0,IF(AND(Z13=0,ABS(W13)&gt;Inputs!$B$5,ABS(W13)&lt;=Inputs!$B$7),1,0))</f>
        <v>0</v>
      </c>
      <c r="AB13" s="30" t="n">
        <f aca="false">IF(W13="",0,IF(AA13=1,-SIGN(W13),Z13))</f>
        <v>0</v>
      </c>
      <c r="AC13" s="30" t="n">
        <f aca="false">IF(W13="",0,IF(AA13=1,0,IF(Y13=1,0,X13)))</f>
        <v>0</v>
      </c>
      <c r="AD13" s="30" t="n">
        <f aca="false">IF(AB13=0,0,IF(AB12=AB13,AD12,T13))</f>
        <v>0</v>
      </c>
      <c r="AE13" s="30" t="n">
        <f aca="false">AB13-AB12</f>
        <v>0</v>
      </c>
      <c r="AF13" s="30" t="n">
        <f aca="false">-AD13*AB13</f>
        <v>-0</v>
      </c>
      <c r="AG13" s="30" t="n">
        <f aca="false">AF13-AF12</f>
        <v>0</v>
      </c>
      <c r="AH13" s="30" t="n">
        <f aca="false">MAX(AE13,0)*(Inputs!$B$17+Inputs!$B$18+Inputs!$B$19)+MAX(-AE13,0)*(O13+Inputs!$B$18+Inputs!$B$19)+IF(AND(K13=1,AB13&lt;&gt;0),(Inputs!$B$17+Inputs!$B$18+Inputs!$B$19)+(O13+Inputs!$B$18+Inputs!$B$19),0)+MAX(AG13,0)*(Inputs!$B$20+Inputs!$B$22+Inputs!$B$23)+MAX(-AG13,0)*(Inputs!$B$21+Inputs!$B$22+Inputs!$B$23)</f>
        <v>0</v>
      </c>
      <c r="AI13" s="30" t="n">
        <f aca="false">AB12*(M13-AD12*J13)+AB12*AD12*N13/Inputs!$B$16-AH13</f>
        <v>0</v>
      </c>
      <c r="AJ13" s="30" t="n">
        <f aca="false">MAX(AE13,0)*(Inputs!$B$17+Inputs!$B$24+Inputs!$B$25)+MAX(-AE13,0)*(O13+Inputs!$B$24+Inputs!$B$25)+IF(AND(K13=1,AB13&lt;&gt;0),(Inputs!$B$17+Inputs!$B$24+Inputs!$B$25)+(O13+Inputs!$B$24+Inputs!$B$25),0)+MAX(AG13,0)*(Inputs!$B$20+Inputs!$B$26+Inputs!$B$27)+MAX(-AG13,0)*(Inputs!$B$21+Inputs!$B$26+Inputs!$B$27)</f>
        <v>0</v>
      </c>
      <c r="AK13" s="30" t="n">
        <f aca="false">AB12*(M13-AD12*J13)+AB12*AD12*(N13+Inputs!$B$14)/Inputs!$B$16-AJ13</f>
        <v>0</v>
      </c>
      <c r="AL13" s="30" t="n">
        <f aca="false">IF(AP12&lt;&gt;0,AQ12+1,0)</f>
        <v>0</v>
      </c>
      <c r="AM13" s="30" t="n">
        <f aca="false">IF(W13="",0,IF(AND(AP12&lt;&gt;0,OR(ABS(W13)&gt;Inputs!$B$7,AL13&gt;=Inputs!$B$8,ABS(W13)&lt;Inputs!$B$6)),1,0))</f>
        <v>0</v>
      </c>
      <c r="AN13" s="30" t="n">
        <f aca="false">IF(AM13=1,0,AP12)</f>
        <v>0</v>
      </c>
      <c r="AO13" s="30" t="n">
        <f aca="false">IF(W13="",0,IF(AND(AN13=0,ABS(W13)&gt;Inputs!$B$5,ABS(W13)&lt;=Inputs!$B$7,W13&gt;0),1,0))</f>
        <v>0</v>
      </c>
      <c r="AP13" s="30" t="n">
        <f aca="false">IF(W13="",0,IF(AO13=1,-SIGN(W13),AN13))</f>
        <v>0</v>
      </c>
      <c r="AQ13" s="30" t="n">
        <f aca="false">IF(W13="",0,IF(AO13=1,0,IF(AM13=1,0,AL13)))</f>
        <v>0</v>
      </c>
      <c r="AR13" s="30" t="n">
        <f aca="false">IF(AP13=0,0,IF(AP12=AP13,AR12,T13))</f>
        <v>0</v>
      </c>
      <c r="AS13" s="30" t="n">
        <f aca="false">AP13-AP12</f>
        <v>0</v>
      </c>
      <c r="AT13" s="30" t="n">
        <f aca="false">-AR13*AP13</f>
        <v>-0</v>
      </c>
      <c r="AU13" s="30" t="n">
        <f aca="false">AT13-AT12</f>
        <v>0</v>
      </c>
      <c r="AV13" s="30" t="n">
        <f aca="false">MAX(AS13,0)*(Inputs!$B$17+Inputs!$B$18+Inputs!$B$19)+MAX(-AS13,0)*(O13+Inputs!$B$18+Inputs!$B$19)+IF(AND(K13=1,AP13&lt;&gt;0),(Inputs!$B$17+Inputs!$B$18+Inputs!$B$19)+(O13+Inputs!$B$18+Inputs!$B$19),0)+MAX(AU13,0)*(Inputs!$B$20+Inputs!$B$22+Inputs!$B$23)+MAX(-AU13,0)*(Inputs!$B$21+Inputs!$B$22+Inputs!$B$23)</f>
        <v>0</v>
      </c>
      <c r="AW13" s="30" t="n">
        <f aca="false">AP12*(M13-AR12*J13)+AP12*AR12*N13/Inputs!$B$16-AV13</f>
        <v>0</v>
      </c>
      <c r="AX13" s="30" t="n">
        <f aca="false">AW13-IF(AP12&lt;&gt;0,0.75*AR12*(Inputs!$B$13-N13)/Inputs!$B$16,0)</f>
        <v>0</v>
      </c>
      <c r="AY13" s="30" t="n">
        <f aca="false">MAX(AS13,0)*(Inputs!$B$17+Inputs!$B$18+Inputs!$B$19)+MAX(-AS13,0)*(O13+Inputs!$B$18+Inputs!$B$19)+IF(AND(K13=1,AP13&lt;&gt;0),(Inputs!$B$17+Inputs!$B$18+Inputs!$B$19)+(O13+Inputs!$B$18+Inputs!$B$19),0)</f>
        <v>0</v>
      </c>
      <c r="AZ13" s="30" t="n">
        <f aca="false">AP12*M13-AY13</f>
        <v>-0</v>
      </c>
      <c r="BA13" s="30" t="n">
        <f aca="false">BA12+AI13</f>
        <v>0</v>
      </c>
      <c r="BB13" s="30" t="n">
        <f aca="false">MAX(BB12,BA13)</f>
        <v>0</v>
      </c>
      <c r="BC13" s="30" t="n">
        <f aca="false">BA13-BB13</f>
        <v>0</v>
      </c>
      <c r="BD13" s="30" t="n">
        <f aca="false">A14-A13</f>
        <v>3</v>
      </c>
    </row>
    <row r="14" customFormat="false" ht="15" hidden="false" customHeight="false" outlineLevel="0" collapsed="false">
      <c r="A14" s="28" t="n">
        <v>45061</v>
      </c>
      <c r="B14" s="0" t="n">
        <v>18408</v>
      </c>
      <c r="C14" s="0" t="n">
        <v>201.38</v>
      </c>
      <c r="D14" s="29" t="n">
        <f aca="false">LN(B14)</f>
        <v>9.8205406317152</v>
      </c>
      <c r="E14" s="29" t="n">
        <f aca="false">LN(C14)</f>
        <v>5.30519367048747</v>
      </c>
      <c r="F14" s="0" t="n">
        <v>9</v>
      </c>
      <c r="G14" s="0" t="n">
        <v>10</v>
      </c>
      <c r="H14" s="29" t="n">
        <f aca="false">D14-E14</f>
        <v>4.51534696122773</v>
      </c>
      <c r="I14" s="29" t="n">
        <f aca="false">D14-D13</f>
        <v>0.0040280931934813</v>
      </c>
      <c r="J14" s="29" t="n">
        <f aca="false">E14-E13</f>
        <v>0.00637642889778167</v>
      </c>
      <c r="K14" s="0" t="n">
        <v>0</v>
      </c>
      <c r="L14" s="0" t="n">
        <v>0</v>
      </c>
      <c r="M14" s="29" t="n">
        <f aca="false">IF(L14=1,J14-Carry!$B$9/Inputs!$B$16,I14)</f>
        <v>0.0040280931934813</v>
      </c>
      <c r="N14" s="0" t="n">
        <v>0.065</v>
      </c>
      <c r="O14" s="0" t="n">
        <v>0.000125</v>
      </c>
      <c r="P14" s="29" t="n">
        <f aca="false">D14-('2 Hedge ratio'!$B$6+'2 Hedge ratio'!$B$5*E14)</f>
        <v>-0.00150933415288712</v>
      </c>
      <c r="Q14" s="29" t="n">
        <f aca="false">D14-('5 Re-specification'!$B$7+'5 Re-specification'!$B$5*E14+'5 Re-specification'!$B$6*F14)</f>
        <v>0.00062769367354143</v>
      </c>
      <c r="R14" s="30" t="n">
        <f aca="false">MIN(F14,Inputs!$B$9)</f>
        <v>9</v>
      </c>
      <c r="S14" s="29" t="str">
        <f aca="true">IF(AND(F14&gt;=1,R14&gt;=Inputs!$B$10),INDEX(LINEST(OFFSET(D14,-R14,0,R14,1),OFFSET(E14,-R14,0,R14,2)),1,1),"")</f>
        <v/>
      </c>
      <c r="T14" s="29" t="str">
        <f aca="true">IF(AND(F14&gt;=1,R14&gt;=Inputs!$B$10),INDEX(LINEST(OFFSET(D14,-R14,0,R14,1),OFFSET(E14,-R14,0,R14,2)),1,2),"")</f>
        <v/>
      </c>
      <c r="U14" s="29" t="str">
        <f aca="true">IF(AND(F14&gt;=1,R14&gt;=Inputs!$B$10),INDEX(LINEST(OFFSET(D14,-R14,0,R14,1),OFFSET(E14,-R14,0,R14,2)),1,3),"")</f>
        <v/>
      </c>
      <c r="V14" s="29" t="str">
        <f aca="true">IF(AND(F14&gt;=1,R14&gt;=Inputs!$B$10),SQRT(SUMPRODUCT((OFFSET(D14,-R14,0,R14,1)-U14-T14*OFFSET(E14,-R14,0,R14,1)-S14*OFFSET(F14,-R14,0,R14,1))^2)/(R14-3)),"")</f>
        <v/>
      </c>
      <c r="W14" s="31" t="str">
        <f aca="false">IF(AND(F14&gt;=1,R14&gt;=Inputs!$B$10),(D14-U14-T14*E14-S14*F14)/V14,"")</f>
        <v/>
      </c>
      <c r="X14" s="30" t="n">
        <f aca="false">IF(AB13&lt;&gt;0,AC13+1,0)</f>
        <v>0</v>
      </c>
      <c r="Y14" s="30" t="n">
        <f aca="false">IF(W14="",0,IF(AND(AB13&lt;&gt;0,OR(ABS(W14)&gt;Inputs!$B$7,X14&gt;=Inputs!$B$8,ABS(W14)&lt;Inputs!$B$6)),1,0))</f>
        <v>0</v>
      </c>
      <c r="Z14" s="30" t="n">
        <f aca="false">IF(Y14=1,0,AB13)</f>
        <v>0</v>
      </c>
      <c r="AA14" s="30" t="n">
        <f aca="false">IF(W14="",0,IF(AND(Z14=0,ABS(W14)&gt;Inputs!$B$5,ABS(W14)&lt;=Inputs!$B$7),1,0))</f>
        <v>0</v>
      </c>
      <c r="AB14" s="30" t="n">
        <f aca="false">IF(W14="",0,IF(AA14=1,-SIGN(W14),Z14))</f>
        <v>0</v>
      </c>
      <c r="AC14" s="30" t="n">
        <f aca="false">IF(W14="",0,IF(AA14=1,0,IF(Y14=1,0,X14)))</f>
        <v>0</v>
      </c>
      <c r="AD14" s="30" t="n">
        <f aca="false">IF(AB14=0,0,IF(AB13=AB14,AD13,T14))</f>
        <v>0</v>
      </c>
      <c r="AE14" s="30" t="n">
        <f aca="false">AB14-AB13</f>
        <v>0</v>
      </c>
      <c r="AF14" s="30" t="n">
        <f aca="false">-AD14*AB14</f>
        <v>-0</v>
      </c>
      <c r="AG14" s="30" t="n">
        <f aca="false">AF14-AF13</f>
        <v>0</v>
      </c>
      <c r="AH14" s="30" t="n">
        <f aca="false">MAX(AE14,0)*(Inputs!$B$17+Inputs!$B$18+Inputs!$B$19)+MAX(-AE14,0)*(O14+Inputs!$B$18+Inputs!$B$19)+IF(AND(K14=1,AB14&lt;&gt;0),(Inputs!$B$17+Inputs!$B$18+Inputs!$B$19)+(O14+Inputs!$B$18+Inputs!$B$19),0)+MAX(AG14,0)*(Inputs!$B$20+Inputs!$B$22+Inputs!$B$23)+MAX(-AG14,0)*(Inputs!$B$21+Inputs!$B$22+Inputs!$B$23)</f>
        <v>0</v>
      </c>
      <c r="AI14" s="30" t="n">
        <f aca="false">AB13*(M14-AD13*J14)+AB13*AD13*N14/Inputs!$B$16-AH14</f>
        <v>0</v>
      </c>
      <c r="AJ14" s="30" t="n">
        <f aca="false">MAX(AE14,0)*(Inputs!$B$17+Inputs!$B$24+Inputs!$B$25)+MAX(-AE14,0)*(O14+Inputs!$B$24+Inputs!$B$25)+IF(AND(K14=1,AB14&lt;&gt;0),(Inputs!$B$17+Inputs!$B$24+Inputs!$B$25)+(O14+Inputs!$B$24+Inputs!$B$25),0)+MAX(AG14,0)*(Inputs!$B$20+Inputs!$B$26+Inputs!$B$27)+MAX(-AG14,0)*(Inputs!$B$21+Inputs!$B$26+Inputs!$B$27)</f>
        <v>0</v>
      </c>
      <c r="AK14" s="30" t="n">
        <f aca="false">AB13*(M14-AD13*J14)+AB13*AD13*(N14+Inputs!$B$14)/Inputs!$B$16-AJ14</f>
        <v>0</v>
      </c>
      <c r="AL14" s="30" t="n">
        <f aca="false">IF(AP13&lt;&gt;0,AQ13+1,0)</f>
        <v>0</v>
      </c>
      <c r="AM14" s="30" t="n">
        <f aca="false">IF(W14="",0,IF(AND(AP13&lt;&gt;0,OR(ABS(W14)&gt;Inputs!$B$7,AL14&gt;=Inputs!$B$8,ABS(W14)&lt;Inputs!$B$6)),1,0))</f>
        <v>0</v>
      </c>
      <c r="AN14" s="30" t="n">
        <f aca="false">IF(AM14=1,0,AP13)</f>
        <v>0</v>
      </c>
      <c r="AO14" s="30" t="n">
        <f aca="false">IF(W14="",0,IF(AND(AN14=0,ABS(W14)&gt;Inputs!$B$5,ABS(W14)&lt;=Inputs!$B$7,W14&gt;0),1,0))</f>
        <v>0</v>
      </c>
      <c r="AP14" s="30" t="n">
        <f aca="false">IF(W14="",0,IF(AO14=1,-SIGN(W14),AN14))</f>
        <v>0</v>
      </c>
      <c r="AQ14" s="30" t="n">
        <f aca="false">IF(W14="",0,IF(AO14=1,0,IF(AM14=1,0,AL14)))</f>
        <v>0</v>
      </c>
      <c r="AR14" s="30" t="n">
        <f aca="false">IF(AP14=0,0,IF(AP13=AP14,AR13,T14))</f>
        <v>0</v>
      </c>
      <c r="AS14" s="30" t="n">
        <f aca="false">AP14-AP13</f>
        <v>0</v>
      </c>
      <c r="AT14" s="30" t="n">
        <f aca="false">-AR14*AP14</f>
        <v>-0</v>
      </c>
      <c r="AU14" s="30" t="n">
        <f aca="false">AT14-AT13</f>
        <v>0</v>
      </c>
      <c r="AV14" s="30" t="n">
        <f aca="false">MAX(AS14,0)*(Inputs!$B$17+Inputs!$B$18+Inputs!$B$19)+MAX(-AS14,0)*(O14+Inputs!$B$18+Inputs!$B$19)+IF(AND(K14=1,AP14&lt;&gt;0),(Inputs!$B$17+Inputs!$B$18+Inputs!$B$19)+(O14+Inputs!$B$18+Inputs!$B$19),0)+MAX(AU14,0)*(Inputs!$B$20+Inputs!$B$22+Inputs!$B$23)+MAX(-AU14,0)*(Inputs!$B$21+Inputs!$B$22+Inputs!$B$23)</f>
        <v>0</v>
      </c>
      <c r="AW14" s="30" t="n">
        <f aca="false">AP13*(M14-AR13*J14)+AP13*AR13*N14/Inputs!$B$16-AV14</f>
        <v>0</v>
      </c>
      <c r="AX14" s="30" t="n">
        <f aca="false">AW14-IF(AP13&lt;&gt;0,0.75*AR13*(Inputs!$B$13-N14)/Inputs!$B$16,0)</f>
        <v>0</v>
      </c>
      <c r="AY14" s="30" t="n">
        <f aca="false">MAX(AS14,0)*(Inputs!$B$17+Inputs!$B$18+Inputs!$B$19)+MAX(-AS14,0)*(O14+Inputs!$B$18+Inputs!$B$19)+IF(AND(K14=1,AP14&lt;&gt;0),(Inputs!$B$17+Inputs!$B$18+Inputs!$B$19)+(O14+Inputs!$B$18+Inputs!$B$19),0)</f>
        <v>0</v>
      </c>
      <c r="AZ14" s="30" t="n">
        <f aca="false">AP13*M14-AY14</f>
        <v>0</v>
      </c>
      <c r="BA14" s="30" t="n">
        <f aca="false">BA13+AI14</f>
        <v>0</v>
      </c>
      <c r="BB14" s="30" t="n">
        <f aca="false">MAX(BB13,BA14)</f>
        <v>0</v>
      </c>
      <c r="BC14" s="30" t="n">
        <f aca="false">BA14-BB14</f>
        <v>0</v>
      </c>
      <c r="BD14" s="30" t="n">
        <f aca="false">A15-A14</f>
        <v>1</v>
      </c>
    </row>
    <row r="15" customFormat="false" ht="15" hidden="false" customHeight="false" outlineLevel="0" collapsed="false">
      <c r="A15" s="28" t="n">
        <v>45062</v>
      </c>
      <c r="B15" s="0" t="n">
        <v>18326.1</v>
      </c>
      <c r="C15" s="0" t="n">
        <v>200.5</v>
      </c>
      <c r="D15" s="29" t="n">
        <f aca="false">LN(B15)</f>
        <v>9.81608155223842</v>
      </c>
      <c r="E15" s="29" t="n">
        <f aca="false">LN(C15)</f>
        <v>5.30081424674662</v>
      </c>
      <c r="F15" s="0" t="n">
        <v>10</v>
      </c>
      <c r="G15" s="0" t="n">
        <v>9</v>
      </c>
      <c r="H15" s="29" t="n">
        <f aca="false">D15-E15</f>
        <v>4.51526730549179</v>
      </c>
      <c r="I15" s="29" t="n">
        <f aca="false">D15-D14</f>
        <v>-0.0044590794767867</v>
      </c>
      <c r="J15" s="29" t="n">
        <f aca="false">E15-E14</f>
        <v>-0.00437942374084521</v>
      </c>
      <c r="K15" s="0" t="n">
        <v>0</v>
      </c>
      <c r="L15" s="0" t="n">
        <v>0</v>
      </c>
      <c r="M15" s="29" t="n">
        <f aca="false">IF(L15=1,J15-Carry!$B$9/Inputs!$B$16,I15)</f>
        <v>-0.0044590794767867</v>
      </c>
      <c r="N15" s="0" t="n">
        <v>0.065</v>
      </c>
      <c r="O15" s="0" t="n">
        <v>0.000125</v>
      </c>
      <c r="P15" s="29" t="n">
        <f aca="false">D15-('2 Hedge ratio'!$B$6+'2 Hedge ratio'!$B$5*E15)</f>
        <v>-0.00195630635060517</v>
      </c>
      <c r="Q15" s="29" t="n">
        <f aca="false">D15-('5 Re-specification'!$B$7+'5 Re-specification'!$B$5*E15+'5 Re-specification'!$B$6*F15)</f>
        <v>0.000579695411957459</v>
      </c>
      <c r="R15" s="30" t="n">
        <f aca="false">MIN(F15,Inputs!$B$9)</f>
        <v>10</v>
      </c>
      <c r="S15" s="29" t="str">
        <f aca="true">IF(AND(F15&gt;=1,R15&gt;=Inputs!$B$10),INDEX(LINEST(OFFSET(D15,-R15,0,R15,1),OFFSET(E15,-R15,0,R15,2)),1,1),"")</f>
        <v/>
      </c>
      <c r="T15" s="29" t="str">
        <f aca="true">IF(AND(F15&gt;=1,R15&gt;=Inputs!$B$10),INDEX(LINEST(OFFSET(D15,-R15,0,R15,1),OFFSET(E15,-R15,0,R15,2)),1,2),"")</f>
        <v/>
      </c>
      <c r="U15" s="29" t="str">
        <f aca="true">IF(AND(F15&gt;=1,R15&gt;=Inputs!$B$10),INDEX(LINEST(OFFSET(D15,-R15,0,R15,1),OFFSET(E15,-R15,0,R15,2)),1,3),"")</f>
        <v/>
      </c>
      <c r="V15" s="29" t="str">
        <f aca="true">IF(AND(F15&gt;=1,R15&gt;=Inputs!$B$10),SQRT(SUMPRODUCT((OFFSET(D15,-R15,0,R15,1)-U15-T15*OFFSET(E15,-R15,0,R15,1)-S15*OFFSET(F15,-R15,0,R15,1))^2)/(R15-3)),"")</f>
        <v/>
      </c>
      <c r="W15" s="31" t="str">
        <f aca="false">IF(AND(F15&gt;=1,R15&gt;=Inputs!$B$10),(D15-U15-T15*E15-S15*F15)/V15,"")</f>
        <v/>
      </c>
      <c r="X15" s="30" t="n">
        <f aca="false">IF(AB14&lt;&gt;0,AC14+1,0)</f>
        <v>0</v>
      </c>
      <c r="Y15" s="30" t="n">
        <f aca="false">IF(W15="",0,IF(AND(AB14&lt;&gt;0,OR(ABS(W15)&gt;Inputs!$B$7,X15&gt;=Inputs!$B$8,ABS(W15)&lt;Inputs!$B$6)),1,0))</f>
        <v>0</v>
      </c>
      <c r="Z15" s="30" t="n">
        <f aca="false">IF(Y15=1,0,AB14)</f>
        <v>0</v>
      </c>
      <c r="AA15" s="30" t="n">
        <f aca="false">IF(W15="",0,IF(AND(Z15=0,ABS(W15)&gt;Inputs!$B$5,ABS(W15)&lt;=Inputs!$B$7),1,0))</f>
        <v>0</v>
      </c>
      <c r="AB15" s="30" t="n">
        <f aca="false">IF(W15="",0,IF(AA15=1,-SIGN(W15),Z15))</f>
        <v>0</v>
      </c>
      <c r="AC15" s="30" t="n">
        <f aca="false">IF(W15="",0,IF(AA15=1,0,IF(Y15=1,0,X15)))</f>
        <v>0</v>
      </c>
      <c r="AD15" s="30" t="n">
        <f aca="false">IF(AB15=0,0,IF(AB14=AB15,AD14,T15))</f>
        <v>0</v>
      </c>
      <c r="AE15" s="30" t="n">
        <f aca="false">AB15-AB14</f>
        <v>0</v>
      </c>
      <c r="AF15" s="30" t="n">
        <f aca="false">-AD15*AB15</f>
        <v>-0</v>
      </c>
      <c r="AG15" s="30" t="n">
        <f aca="false">AF15-AF14</f>
        <v>0</v>
      </c>
      <c r="AH15" s="30" t="n">
        <f aca="false">MAX(AE15,0)*(Inputs!$B$17+Inputs!$B$18+Inputs!$B$19)+MAX(-AE15,0)*(O15+Inputs!$B$18+Inputs!$B$19)+IF(AND(K15=1,AB15&lt;&gt;0),(Inputs!$B$17+Inputs!$B$18+Inputs!$B$19)+(O15+Inputs!$B$18+Inputs!$B$19),0)+MAX(AG15,0)*(Inputs!$B$20+Inputs!$B$22+Inputs!$B$23)+MAX(-AG15,0)*(Inputs!$B$21+Inputs!$B$22+Inputs!$B$23)</f>
        <v>0</v>
      </c>
      <c r="AI15" s="30" t="n">
        <f aca="false">AB14*(M15-AD14*J15)+AB14*AD14*N15/Inputs!$B$16-AH15</f>
        <v>0</v>
      </c>
      <c r="AJ15" s="30" t="n">
        <f aca="false">MAX(AE15,0)*(Inputs!$B$17+Inputs!$B$24+Inputs!$B$25)+MAX(-AE15,0)*(O15+Inputs!$B$24+Inputs!$B$25)+IF(AND(K15=1,AB15&lt;&gt;0),(Inputs!$B$17+Inputs!$B$24+Inputs!$B$25)+(O15+Inputs!$B$24+Inputs!$B$25),0)+MAX(AG15,0)*(Inputs!$B$20+Inputs!$B$26+Inputs!$B$27)+MAX(-AG15,0)*(Inputs!$B$21+Inputs!$B$26+Inputs!$B$27)</f>
        <v>0</v>
      </c>
      <c r="AK15" s="30" t="n">
        <f aca="false">AB14*(M15-AD14*J15)+AB14*AD14*(N15+Inputs!$B$14)/Inputs!$B$16-AJ15</f>
        <v>0</v>
      </c>
      <c r="AL15" s="30" t="n">
        <f aca="false">IF(AP14&lt;&gt;0,AQ14+1,0)</f>
        <v>0</v>
      </c>
      <c r="AM15" s="30" t="n">
        <f aca="false">IF(W15="",0,IF(AND(AP14&lt;&gt;0,OR(ABS(W15)&gt;Inputs!$B$7,AL15&gt;=Inputs!$B$8,ABS(W15)&lt;Inputs!$B$6)),1,0))</f>
        <v>0</v>
      </c>
      <c r="AN15" s="30" t="n">
        <f aca="false">IF(AM15=1,0,AP14)</f>
        <v>0</v>
      </c>
      <c r="AO15" s="30" t="n">
        <f aca="false">IF(W15="",0,IF(AND(AN15=0,ABS(W15)&gt;Inputs!$B$5,ABS(W15)&lt;=Inputs!$B$7,W15&gt;0),1,0))</f>
        <v>0</v>
      </c>
      <c r="AP15" s="30" t="n">
        <f aca="false">IF(W15="",0,IF(AO15=1,-SIGN(W15),AN15))</f>
        <v>0</v>
      </c>
      <c r="AQ15" s="30" t="n">
        <f aca="false">IF(W15="",0,IF(AO15=1,0,IF(AM15=1,0,AL15)))</f>
        <v>0</v>
      </c>
      <c r="AR15" s="30" t="n">
        <f aca="false">IF(AP15=0,0,IF(AP14=AP15,AR14,T15))</f>
        <v>0</v>
      </c>
      <c r="AS15" s="30" t="n">
        <f aca="false">AP15-AP14</f>
        <v>0</v>
      </c>
      <c r="AT15" s="30" t="n">
        <f aca="false">-AR15*AP15</f>
        <v>-0</v>
      </c>
      <c r="AU15" s="30" t="n">
        <f aca="false">AT15-AT14</f>
        <v>0</v>
      </c>
      <c r="AV15" s="30" t="n">
        <f aca="false">MAX(AS15,0)*(Inputs!$B$17+Inputs!$B$18+Inputs!$B$19)+MAX(-AS15,0)*(O15+Inputs!$B$18+Inputs!$B$19)+IF(AND(K15=1,AP15&lt;&gt;0),(Inputs!$B$17+Inputs!$B$18+Inputs!$B$19)+(O15+Inputs!$B$18+Inputs!$B$19),0)+MAX(AU15,0)*(Inputs!$B$20+Inputs!$B$22+Inputs!$B$23)+MAX(-AU15,0)*(Inputs!$B$21+Inputs!$B$22+Inputs!$B$23)</f>
        <v>0</v>
      </c>
      <c r="AW15" s="30" t="n">
        <f aca="false">AP14*(M15-AR14*J15)+AP14*AR14*N15/Inputs!$B$16-AV15</f>
        <v>0</v>
      </c>
      <c r="AX15" s="30" t="n">
        <f aca="false">AW15-IF(AP14&lt;&gt;0,0.75*AR14*(Inputs!$B$13-N15)/Inputs!$B$16,0)</f>
        <v>0</v>
      </c>
      <c r="AY15" s="30" t="n">
        <f aca="false">MAX(AS15,0)*(Inputs!$B$17+Inputs!$B$18+Inputs!$B$19)+MAX(-AS15,0)*(O15+Inputs!$B$18+Inputs!$B$19)+IF(AND(K15=1,AP15&lt;&gt;0),(Inputs!$B$17+Inputs!$B$18+Inputs!$B$19)+(O15+Inputs!$B$18+Inputs!$B$19),0)</f>
        <v>0</v>
      </c>
      <c r="AZ15" s="30" t="n">
        <f aca="false">AP14*M15-AY15</f>
        <v>-0</v>
      </c>
      <c r="BA15" s="30" t="n">
        <f aca="false">BA14+AI15</f>
        <v>0</v>
      </c>
      <c r="BB15" s="30" t="n">
        <f aca="false">MAX(BB14,BA15)</f>
        <v>0</v>
      </c>
      <c r="BC15" s="30" t="n">
        <f aca="false">BA15-BB15</f>
        <v>0</v>
      </c>
      <c r="BD15" s="30" t="n">
        <f aca="false">A16-A15</f>
        <v>1</v>
      </c>
    </row>
    <row r="16" customFormat="false" ht="15" hidden="false" customHeight="false" outlineLevel="0" collapsed="false">
      <c r="A16" s="28" t="n">
        <v>45063</v>
      </c>
      <c r="B16" s="0" t="n">
        <v>18231.95</v>
      </c>
      <c r="C16" s="0" t="n">
        <v>199.9</v>
      </c>
      <c r="D16" s="29" t="n">
        <f aca="false">LN(B16)</f>
        <v>9.81093082849087</v>
      </c>
      <c r="E16" s="29" t="n">
        <f aca="false">LN(C16)</f>
        <v>5.29781724150636</v>
      </c>
      <c r="F16" s="0" t="n">
        <v>11</v>
      </c>
      <c r="G16" s="0" t="n">
        <v>8</v>
      </c>
      <c r="H16" s="29" t="n">
        <f aca="false">D16-E16</f>
        <v>4.51311358698452</v>
      </c>
      <c r="I16" s="29" t="n">
        <f aca="false">D16-D15</f>
        <v>-0.00515072374754588</v>
      </c>
      <c r="J16" s="29" t="n">
        <f aca="false">E16-E15</f>
        <v>-0.00299700524026925</v>
      </c>
      <c r="K16" s="0" t="n">
        <v>0</v>
      </c>
      <c r="L16" s="0" t="n">
        <v>0</v>
      </c>
      <c r="M16" s="29" t="n">
        <f aca="false">IF(L16=1,J16-Carry!$B$9/Inputs!$B$16,I16)</f>
        <v>-0.00515072374754588</v>
      </c>
      <c r="N16" s="0" t="n">
        <v>0.065</v>
      </c>
      <c r="O16" s="0" t="n">
        <v>0.000125</v>
      </c>
      <c r="P16" s="29" t="n">
        <f aca="false">D16-('2 Hedge ratio'!$B$6+'2 Hedge ratio'!$B$5*E16)</f>
        <v>-0.0043613933999378</v>
      </c>
      <c r="Q16" s="29" t="n">
        <f aca="false">D16-('5 Re-specification'!$B$7+'5 Re-specification'!$B$5*E16+'5 Re-specification'!$B$6*F16)</f>
        <v>-0.00153817620166663</v>
      </c>
      <c r="R16" s="30" t="n">
        <f aca="false">MIN(F16,Inputs!$B$9)</f>
        <v>11</v>
      </c>
      <c r="S16" s="29" t="str">
        <f aca="true">IF(AND(F16&gt;=1,R16&gt;=Inputs!$B$10),INDEX(LINEST(OFFSET(D16,-R16,0,R16,1),OFFSET(E16,-R16,0,R16,2)),1,1),"")</f>
        <v/>
      </c>
      <c r="T16" s="29" t="str">
        <f aca="true">IF(AND(F16&gt;=1,R16&gt;=Inputs!$B$10),INDEX(LINEST(OFFSET(D16,-R16,0,R16,1),OFFSET(E16,-R16,0,R16,2)),1,2),"")</f>
        <v/>
      </c>
      <c r="U16" s="29" t="str">
        <f aca="true">IF(AND(F16&gt;=1,R16&gt;=Inputs!$B$10),INDEX(LINEST(OFFSET(D16,-R16,0,R16,1),OFFSET(E16,-R16,0,R16,2)),1,3),"")</f>
        <v/>
      </c>
      <c r="V16" s="29" t="str">
        <f aca="true">IF(AND(F16&gt;=1,R16&gt;=Inputs!$B$10),SQRT(SUMPRODUCT((OFFSET(D16,-R16,0,R16,1)-U16-T16*OFFSET(E16,-R16,0,R16,1)-S16*OFFSET(F16,-R16,0,R16,1))^2)/(R16-3)),"")</f>
        <v/>
      </c>
      <c r="W16" s="31" t="str">
        <f aca="false">IF(AND(F16&gt;=1,R16&gt;=Inputs!$B$10),(D16-U16-T16*E16-S16*F16)/V16,"")</f>
        <v/>
      </c>
      <c r="X16" s="30" t="n">
        <f aca="false">IF(AB15&lt;&gt;0,AC15+1,0)</f>
        <v>0</v>
      </c>
      <c r="Y16" s="30" t="n">
        <f aca="false">IF(W16="",0,IF(AND(AB15&lt;&gt;0,OR(ABS(W16)&gt;Inputs!$B$7,X16&gt;=Inputs!$B$8,ABS(W16)&lt;Inputs!$B$6)),1,0))</f>
        <v>0</v>
      </c>
      <c r="Z16" s="30" t="n">
        <f aca="false">IF(Y16=1,0,AB15)</f>
        <v>0</v>
      </c>
      <c r="AA16" s="30" t="n">
        <f aca="false">IF(W16="",0,IF(AND(Z16=0,ABS(W16)&gt;Inputs!$B$5,ABS(W16)&lt;=Inputs!$B$7),1,0))</f>
        <v>0</v>
      </c>
      <c r="AB16" s="30" t="n">
        <f aca="false">IF(W16="",0,IF(AA16=1,-SIGN(W16),Z16))</f>
        <v>0</v>
      </c>
      <c r="AC16" s="30" t="n">
        <f aca="false">IF(W16="",0,IF(AA16=1,0,IF(Y16=1,0,X16)))</f>
        <v>0</v>
      </c>
      <c r="AD16" s="30" t="n">
        <f aca="false">IF(AB16=0,0,IF(AB15=AB16,AD15,T16))</f>
        <v>0</v>
      </c>
      <c r="AE16" s="30" t="n">
        <f aca="false">AB16-AB15</f>
        <v>0</v>
      </c>
      <c r="AF16" s="30" t="n">
        <f aca="false">-AD16*AB16</f>
        <v>-0</v>
      </c>
      <c r="AG16" s="30" t="n">
        <f aca="false">AF16-AF15</f>
        <v>0</v>
      </c>
      <c r="AH16" s="30" t="n">
        <f aca="false">MAX(AE16,0)*(Inputs!$B$17+Inputs!$B$18+Inputs!$B$19)+MAX(-AE16,0)*(O16+Inputs!$B$18+Inputs!$B$19)+IF(AND(K16=1,AB16&lt;&gt;0),(Inputs!$B$17+Inputs!$B$18+Inputs!$B$19)+(O16+Inputs!$B$18+Inputs!$B$19),0)+MAX(AG16,0)*(Inputs!$B$20+Inputs!$B$22+Inputs!$B$23)+MAX(-AG16,0)*(Inputs!$B$21+Inputs!$B$22+Inputs!$B$23)</f>
        <v>0</v>
      </c>
      <c r="AI16" s="30" t="n">
        <f aca="false">AB15*(M16-AD15*J16)+AB15*AD15*N16/Inputs!$B$16-AH16</f>
        <v>0</v>
      </c>
      <c r="AJ16" s="30" t="n">
        <f aca="false">MAX(AE16,0)*(Inputs!$B$17+Inputs!$B$24+Inputs!$B$25)+MAX(-AE16,0)*(O16+Inputs!$B$24+Inputs!$B$25)+IF(AND(K16=1,AB16&lt;&gt;0),(Inputs!$B$17+Inputs!$B$24+Inputs!$B$25)+(O16+Inputs!$B$24+Inputs!$B$25),0)+MAX(AG16,0)*(Inputs!$B$20+Inputs!$B$26+Inputs!$B$27)+MAX(-AG16,0)*(Inputs!$B$21+Inputs!$B$26+Inputs!$B$27)</f>
        <v>0</v>
      </c>
      <c r="AK16" s="30" t="n">
        <f aca="false">AB15*(M16-AD15*J16)+AB15*AD15*(N16+Inputs!$B$14)/Inputs!$B$16-AJ16</f>
        <v>0</v>
      </c>
      <c r="AL16" s="30" t="n">
        <f aca="false">IF(AP15&lt;&gt;0,AQ15+1,0)</f>
        <v>0</v>
      </c>
      <c r="AM16" s="30" t="n">
        <f aca="false">IF(W16="",0,IF(AND(AP15&lt;&gt;0,OR(ABS(W16)&gt;Inputs!$B$7,AL16&gt;=Inputs!$B$8,ABS(W16)&lt;Inputs!$B$6)),1,0))</f>
        <v>0</v>
      </c>
      <c r="AN16" s="30" t="n">
        <f aca="false">IF(AM16=1,0,AP15)</f>
        <v>0</v>
      </c>
      <c r="AO16" s="30" t="n">
        <f aca="false">IF(W16="",0,IF(AND(AN16=0,ABS(W16)&gt;Inputs!$B$5,ABS(W16)&lt;=Inputs!$B$7,W16&gt;0),1,0))</f>
        <v>0</v>
      </c>
      <c r="AP16" s="30" t="n">
        <f aca="false">IF(W16="",0,IF(AO16=1,-SIGN(W16),AN16))</f>
        <v>0</v>
      </c>
      <c r="AQ16" s="30" t="n">
        <f aca="false">IF(W16="",0,IF(AO16=1,0,IF(AM16=1,0,AL16)))</f>
        <v>0</v>
      </c>
      <c r="AR16" s="30" t="n">
        <f aca="false">IF(AP16=0,0,IF(AP15=AP16,AR15,T16))</f>
        <v>0</v>
      </c>
      <c r="AS16" s="30" t="n">
        <f aca="false">AP16-AP15</f>
        <v>0</v>
      </c>
      <c r="AT16" s="30" t="n">
        <f aca="false">-AR16*AP16</f>
        <v>-0</v>
      </c>
      <c r="AU16" s="30" t="n">
        <f aca="false">AT16-AT15</f>
        <v>0</v>
      </c>
      <c r="AV16" s="30" t="n">
        <f aca="false">MAX(AS16,0)*(Inputs!$B$17+Inputs!$B$18+Inputs!$B$19)+MAX(-AS16,0)*(O16+Inputs!$B$18+Inputs!$B$19)+IF(AND(K16=1,AP16&lt;&gt;0),(Inputs!$B$17+Inputs!$B$18+Inputs!$B$19)+(O16+Inputs!$B$18+Inputs!$B$19),0)+MAX(AU16,0)*(Inputs!$B$20+Inputs!$B$22+Inputs!$B$23)+MAX(-AU16,0)*(Inputs!$B$21+Inputs!$B$22+Inputs!$B$23)</f>
        <v>0</v>
      </c>
      <c r="AW16" s="30" t="n">
        <f aca="false">AP15*(M16-AR15*J16)+AP15*AR15*N16/Inputs!$B$16-AV16</f>
        <v>0</v>
      </c>
      <c r="AX16" s="30" t="n">
        <f aca="false">AW16-IF(AP15&lt;&gt;0,0.75*AR15*(Inputs!$B$13-N16)/Inputs!$B$16,0)</f>
        <v>0</v>
      </c>
      <c r="AY16" s="30" t="n">
        <f aca="false">MAX(AS16,0)*(Inputs!$B$17+Inputs!$B$18+Inputs!$B$19)+MAX(-AS16,0)*(O16+Inputs!$B$18+Inputs!$B$19)+IF(AND(K16=1,AP16&lt;&gt;0),(Inputs!$B$17+Inputs!$B$18+Inputs!$B$19)+(O16+Inputs!$B$18+Inputs!$B$19),0)</f>
        <v>0</v>
      </c>
      <c r="AZ16" s="30" t="n">
        <f aca="false">AP15*M16-AY16</f>
        <v>-0</v>
      </c>
      <c r="BA16" s="30" t="n">
        <f aca="false">BA15+AI16</f>
        <v>0</v>
      </c>
      <c r="BB16" s="30" t="n">
        <f aca="false">MAX(BB15,BA16)</f>
        <v>0</v>
      </c>
      <c r="BC16" s="30" t="n">
        <f aca="false">BA16-BB16</f>
        <v>0</v>
      </c>
      <c r="BD16" s="30" t="n">
        <f aca="false">A17-A16</f>
        <v>1</v>
      </c>
    </row>
    <row r="17" customFormat="false" ht="15" hidden="false" customHeight="false" outlineLevel="0" collapsed="false">
      <c r="A17" s="28" t="n">
        <v>45064</v>
      </c>
      <c r="B17" s="0" t="n">
        <v>18180</v>
      </c>
      <c r="C17" s="0" t="n">
        <v>199.19</v>
      </c>
      <c r="D17" s="29" t="n">
        <f aca="false">LN(B17)</f>
        <v>9.80807736773147</v>
      </c>
      <c r="E17" s="29" t="n">
        <f aca="false">LN(C17)</f>
        <v>5.29425914308718</v>
      </c>
      <c r="F17" s="0" t="n">
        <v>12</v>
      </c>
      <c r="G17" s="0" t="n">
        <v>7</v>
      </c>
      <c r="H17" s="29" t="n">
        <f aca="false">D17-E17</f>
        <v>4.51381822464429</v>
      </c>
      <c r="I17" s="29" t="n">
        <f aca="false">D17-D16</f>
        <v>-0.00285346075940041</v>
      </c>
      <c r="J17" s="29" t="n">
        <f aca="false">E17-E16</f>
        <v>-0.00355809841917232</v>
      </c>
      <c r="K17" s="0" t="n">
        <v>0</v>
      </c>
      <c r="L17" s="0" t="n">
        <v>0</v>
      </c>
      <c r="M17" s="29" t="n">
        <f aca="false">IF(L17=1,J17-Carry!$B$9/Inputs!$B$16,I17)</f>
        <v>-0.00285346075940041</v>
      </c>
      <c r="N17" s="0" t="n">
        <v>0.065</v>
      </c>
      <c r="O17" s="0" t="n">
        <v>0.000125</v>
      </c>
      <c r="P17" s="29" t="n">
        <f aca="false">D17-('2 Hedge ratio'!$B$6+'2 Hedge ratio'!$B$5*E17)</f>
        <v>-0.00395518498550018</v>
      </c>
      <c r="Q17" s="29" t="n">
        <f aca="false">D17-('5 Re-specification'!$B$7+'5 Re-specification'!$B$5*E17+'5 Re-specification'!$B$6*F17)</f>
        <v>-0.000799392041132663</v>
      </c>
      <c r="R17" s="30" t="n">
        <f aca="false">MIN(F17,Inputs!$B$9)</f>
        <v>12</v>
      </c>
      <c r="S17" s="29" t="str">
        <f aca="true">IF(AND(F17&gt;=1,R17&gt;=Inputs!$B$10),INDEX(LINEST(OFFSET(D17,-R17,0,R17,1),OFFSET(E17,-R17,0,R17,2)),1,1),"")</f>
        <v/>
      </c>
      <c r="T17" s="29" t="str">
        <f aca="true">IF(AND(F17&gt;=1,R17&gt;=Inputs!$B$10),INDEX(LINEST(OFFSET(D17,-R17,0,R17,1),OFFSET(E17,-R17,0,R17,2)),1,2),"")</f>
        <v/>
      </c>
      <c r="U17" s="29" t="str">
        <f aca="true">IF(AND(F17&gt;=1,R17&gt;=Inputs!$B$10),INDEX(LINEST(OFFSET(D17,-R17,0,R17,1),OFFSET(E17,-R17,0,R17,2)),1,3),"")</f>
        <v/>
      </c>
      <c r="V17" s="29" t="str">
        <f aca="true">IF(AND(F17&gt;=1,R17&gt;=Inputs!$B$10),SQRT(SUMPRODUCT((OFFSET(D17,-R17,0,R17,1)-U17-T17*OFFSET(E17,-R17,0,R17,1)-S17*OFFSET(F17,-R17,0,R17,1))^2)/(R17-3)),"")</f>
        <v/>
      </c>
      <c r="W17" s="31" t="str">
        <f aca="false">IF(AND(F17&gt;=1,R17&gt;=Inputs!$B$10),(D17-U17-T17*E17-S17*F17)/V17,"")</f>
        <v/>
      </c>
      <c r="X17" s="30" t="n">
        <f aca="false">IF(AB16&lt;&gt;0,AC16+1,0)</f>
        <v>0</v>
      </c>
      <c r="Y17" s="30" t="n">
        <f aca="false">IF(W17="",0,IF(AND(AB16&lt;&gt;0,OR(ABS(W17)&gt;Inputs!$B$7,X17&gt;=Inputs!$B$8,ABS(W17)&lt;Inputs!$B$6)),1,0))</f>
        <v>0</v>
      </c>
      <c r="Z17" s="30" t="n">
        <f aca="false">IF(Y17=1,0,AB16)</f>
        <v>0</v>
      </c>
      <c r="AA17" s="30" t="n">
        <f aca="false">IF(W17="",0,IF(AND(Z17=0,ABS(W17)&gt;Inputs!$B$5,ABS(W17)&lt;=Inputs!$B$7),1,0))</f>
        <v>0</v>
      </c>
      <c r="AB17" s="30" t="n">
        <f aca="false">IF(W17="",0,IF(AA17=1,-SIGN(W17),Z17))</f>
        <v>0</v>
      </c>
      <c r="AC17" s="30" t="n">
        <f aca="false">IF(W17="",0,IF(AA17=1,0,IF(Y17=1,0,X17)))</f>
        <v>0</v>
      </c>
      <c r="AD17" s="30" t="n">
        <f aca="false">IF(AB17=0,0,IF(AB16=AB17,AD16,T17))</f>
        <v>0</v>
      </c>
      <c r="AE17" s="30" t="n">
        <f aca="false">AB17-AB16</f>
        <v>0</v>
      </c>
      <c r="AF17" s="30" t="n">
        <f aca="false">-AD17*AB17</f>
        <v>-0</v>
      </c>
      <c r="AG17" s="30" t="n">
        <f aca="false">AF17-AF16</f>
        <v>0</v>
      </c>
      <c r="AH17" s="30" t="n">
        <f aca="false">MAX(AE17,0)*(Inputs!$B$17+Inputs!$B$18+Inputs!$B$19)+MAX(-AE17,0)*(O17+Inputs!$B$18+Inputs!$B$19)+IF(AND(K17=1,AB17&lt;&gt;0),(Inputs!$B$17+Inputs!$B$18+Inputs!$B$19)+(O17+Inputs!$B$18+Inputs!$B$19),0)+MAX(AG17,0)*(Inputs!$B$20+Inputs!$B$22+Inputs!$B$23)+MAX(-AG17,0)*(Inputs!$B$21+Inputs!$B$22+Inputs!$B$23)</f>
        <v>0</v>
      </c>
      <c r="AI17" s="30" t="n">
        <f aca="false">AB16*(M17-AD16*J17)+AB16*AD16*N17/Inputs!$B$16-AH17</f>
        <v>0</v>
      </c>
      <c r="AJ17" s="30" t="n">
        <f aca="false">MAX(AE17,0)*(Inputs!$B$17+Inputs!$B$24+Inputs!$B$25)+MAX(-AE17,0)*(O17+Inputs!$B$24+Inputs!$B$25)+IF(AND(K17=1,AB17&lt;&gt;0),(Inputs!$B$17+Inputs!$B$24+Inputs!$B$25)+(O17+Inputs!$B$24+Inputs!$B$25),0)+MAX(AG17,0)*(Inputs!$B$20+Inputs!$B$26+Inputs!$B$27)+MAX(-AG17,0)*(Inputs!$B$21+Inputs!$B$26+Inputs!$B$27)</f>
        <v>0</v>
      </c>
      <c r="AK17" s="30" t="n">
        <f aca="false">AB16*(M17-AD16*J17)+AB16*AD16*(N17+Inputs!$B$14)/Inputs!$B$16-AJ17</f>
        <v>0</v>
      </c>
      <c r="AL17" s="30" t="n">
        <f aca="false">IF(AP16&lt;&gt;0,AQ16+1,0)</f>
        <v>0</v>
      </c>
      <c r="AM17" s="30" t="n">
        <f aca="false">IF(W17="",0,IF(AND(AP16&lt;&gt;0,OR(ABS(W17)&gt;Inputs!$B$7,AL17&gt;=Inputs!$B$8,ABS(W17)&lt;Inputs!$B$6)),1,0))</f>
        <v>0</v>
      </c>
      <c r="AN17" s="30" t="n">
        <f aca="false">IF(AM17=1,0,AP16)</f>
        <v>0</v>
      </c>
      <c r="AO17" s="30" t="n">
        <f aca="false">IF(W17="",0,IF(AND(AN17=0,ABS(W17)&gt;Inputs!$B$5,ABS(W17)&lt;=Inputs!$B$7,W17&gt;0),1,0))</f>
        <v>0</v>
      </c>
      <c r="AP17" s="30" t="n">
        <f aca="false">IF(W17="",0,IF(AO17=1,-SIGN(W17),AN17))</f>
        <v>0</v>
      </c>
      <c r="AQ17" s="30" t="n">
        <f aca="false">IF(W17="",0,IF(AO17=1,0,IF(AM17=1,0,AL17)))</f>
        <v>0</v>
      </c>
      <c r="AR17" s="30" t="n">
        <f aca="false">IF(AP17=0,0,IF(AP16=AP17,AR16,T17))</f>
        <v>0</v>
      </c>
      <c r="AS17" s="30" t="n">
        <f aca="false">AP17-AP16</f>
        <v>0</v>
      </c>
      <c r="AT17" s="30" t="n">
        <f aca="false">-AR17*AP17</f>
        <v>-0</v>
      </c>
      <c r="AU17" s="30" t="n">
        <f aca="false">AT17-AT16</f>
        <v>0</v>
      </c>
      <c r="AV17" s="30" t="n">
        <f aca="false">MAX(AS17,0)*(Inputs!$B$17+Inputs!$B$18+Inputs!$B$19)+MAX(-AS17,0)*(O17+Inputs!$B$18+Inputs!$B$19)+IF(AND(K17=1,AP17&lt;&gt;0),(Inputs!$B$17+Inputs!$B$18+Inputs!$B$19)+(O17+Inputs!$B$18+Inputs!$B$19),0)+MAX(AU17,0)*(Inputs!$B$20+Inputs!$B$22+Inputs!$B$23)+MAX(-AU17,0)*(Inputs!$B$21+Inputs!$B$22+Inputs!$B$23)</f>
        <v>0</v>
      </c>
      <c r="AW17" s="30" t="n">
        <f aca="false">AP16*(M17-AR16*J17)+AP16*AR16*N17/Inputs!$B$16-AV17</f>
        <v>0</v>
      </c>
      <c r="AX17" s="30" t="n">
        <f aca="false">AW17-IF(AP16&lt;&gt;0,0.75*AR16*(Inputs!$B$13-N17)/Inputs!$B$16,0)</f>
        <v>0</v>
      </c>
      <c r="AY17" s="30" t="n">
        <f aca="false">MAX(AS17,0)*(Inputs!$B$17+Inputs!$B$18+Inputs!$B$19)+MAX(-AS17,0)*(O17+Inputs!$B$18+Inputs!$B$19)+IF(AND(K17=1,AP17&lt;&gt;0),(Inputs!$B$17+Inputs!$B$18+Inputs!$B$19)+(O17+Inputs!$B$18+Inputs!$B$19),0)</f>
        <v>0</v>
      </c>
      <c r="AZ17" s="30" t="n">
        <f aca="false">AP16*M17-AY17</f>
        <v>-0</v>
      </c>
      <c r="BA17" s="30" t="n">
        <f aca="false">BA16+AI17</f>
        <v>0</v>
      </c>
      <c r="BB17" s="30" t="n">
        <f aca="false">MAX(BB16,BA17)</f>
        <v>0</v>
      </c>
      <c r="BC17" s="30" t="n">
        <f aca="false">BA17-BB17</f>
        <v>0</v>
      </c>
      <c r="BD17" s="30" t="n">
        <f aca="false">A18-A17</f>
        <v>1</v>
      </c>
    </row>
    <row r="18" customFormat="false" ht="15" hidden="false" customHeight="false" outlineLevel="0" collapsed="false">
      <c r="A18" s="28" t="n">
        <v>45065</v>
      </c>
      <c r="B18" s="0" t="n">
        <v>18231</v>
      </c>
      <c r="C18" s="0" t="n">
        <v>199.65</v>
      </c>
      <c r="D18" s="29" t="n">
        <f aca="false">LN(B18)</f>
        <v>9.81087872080347</v>
      </c>
      <c r="E18" s="29" t="n">
        <f aca="false">LN(C18)</f>
        <v>5.29656583350923</v>
      </c>
      <c r="F18" s="0" t="n">
        <v>13</v>
      </c>
      <c r="G18" s="0" t="n">
        <v>6</v>
      </c>
      <c r="H18" s="29" t="n">
        <f aca="false">D18-E18</f>
        <v>4.51431288729424</v>
      </c>
      <c r="I18" s="29" t="n">
        <f aca="false">D18-D17</f>
        <v>0.00280135307199636</v>
      </c>
      <c r="J18" s="29" t="n">
        <f aca="false">E18-E17</f>
        <v>0.00230669042204834</v>
      </c>
      <c r="K18" s="0" t="n">
        <v>0</v>
      </c>
      <c r="L18" s="0" t="n">
        <v>0</v>
      </c>
      <c r="M18" s="29" t="n">
        <f aca="false">IF(L18=1,J18-Carry!$B$9/Inputs!$B$16,I18)</f>
        <v>0.00280135307199636</v>
      </c>
      <c r="N18" s="0" t="n">
        <v>0.065</v>
      </c>
      <c r="O18" s="0" t="n">
        <v>0.000125</v>
      </c>
      <c r="P18" s="29" t="n">
        <f aca="false">D18-('2 Hedge ratio'!$B$6+'2 Hedge ratio'!$B$5*E18)</f>
        <v>-0.00326705273444006</v>
      </c>
      <c r="Q18" s="29" t="n">
        <f aca="false">D18-('5 Re-specification'!$B$7+'5 Re-specification'!$B$5*E18+'5 Re-specification'!$B$6*F18)</f>
        <v>-0.000252809647715679</v>
      </c>
      <c r="R18" s="30" t="n">
        <f aca="false">MIN(F18,Inputs!$B$9)</f>
        <v>13</v>
      </c>
      <c r="S18" s="29" t="str">
        <f aca="true">IF(AND(F18&gt;=1,R18&gt;=Inputs!$B$10),INDEX(LINEST(OFFSET(D18,-R18,0,R18,1),OFFSET(E18,-R18,0,R18,2)),1,1),"")</f>
        <v/>
      </c>
      <c r="T18" s="29" t="str">
        <f aca="true">IF(AND(F18&gt;=1,R18&gt;=Inputs!$B$10),INDEX(LINEST(OFFSET(D18,-R18,0,R18,1),OFFSET(E18,-R18,0,R18,2)),1,2),"")</f>
        <v/>
      </c>
      <c r="U18" s="29" t="str">
        <f aca="true">IF(AND(F18&gt;=1,R18&gt;=Inputs!$B$10),INDEX(LINEST(OFFSET(D18,-R18,0,R18,1),OFFSET(E18,-R18,0,R18,2)),1,3),"")</f>
        <v/>
      </c>
      <c r="V18" s="29" t="str">
        <f aca="true">IF(AND(F18&gt;=1,R18&gt;=Inputs!$B$10),SQRT(SUMPRODUCT((OFFSET(D18,-R18,0,R18,1)-U18-T18*OFFSET(E18,-R18,0,R18,1)-S18*OFFSET(F18,-R18,0,R18,1))^2)/(R18-3)),"")</f>
        <v/>
      </c>
      <c r="W18" s="31" t="str">
        <f aca="false">IF(AND(F18&gt;=1,R18&gt;=Inputs!$B$10),(D18-U18-T18*E18-S18*F18)/V18,"")</f>
        <v/>
      </c>
      <c r="X18" s="30" t="n">
        <f aca="false">IF(AB17&lt;&gt;0,AC17+1,0)</f>
        <v>0</v>
      </c>
      <c r="Y18" s="30" t="n">
        <f aca="false">IF(W18="",0,IF(AND(AB17&lt;&gt;0,OR(ABS(W18)&gt;Inputs!$B$7,X18&gt;=Inputs!$B$8,ABS(W18)&lt;Inputs!$B$6)),1,0))</f>
        <v>0</v>
      </c>
      <c r="Z18" s="30" t="n">
        <f aca="false">IF(Y18=1,0,AB17)</f>
        <v>0</v>
      </c>
      <c r="AA18" s="30" t="n">
        <f aca="false">IF(W18="",0,IF(AND(Z18=0,ABS(W18)&gt;Inputs!$B$5,ABS(W18)&lt;=Inputs!$B$7),1,0))</f>
        <v>0</v>
      </c>
      <c r="AB18" s="30" t="n">
        <f aca="false">IF(W18="",0,IF(AA18=1,-SIGN(W18),Z18))</f>
        <v>0</v>
      </c>
      <c r="AC18" s="30" t="n">
        <f aca="false">IF(W18="",0,IF(AA18=1,0,IF(Y18=1,0,X18)))</f>
        <v>0</v>
      </c>
      <c r="AD18" s="30" t="n">
        <f aca="false">IF(AB18=0,0,IF(AB17=AB18,AD17,T18))</f>
        <v>0</v>
      </c>
      <c r="AE18" s="30" t="n">
        <f aca="false">AB18-AB17</f>
        <v>0</v>
      </c>
      <c r="AF18" s="30" t="n">
        <f aca="false">-AD18*AB18</f>
        <v>-0</v>
      </c>
      <c r="AG18" s="30" t="n">
        <f aca="false">AF18-AF17</f>
        <v>0</v>
      </c>
      <c r="AH18" s="30" t="n">
        <f aca="false">MAX(AE18,0)*(Inputs!$B$17+Inputs!$B$18+Inputs!$B$19)+MAX(-AE18,0)*(O18+Inputs!$B$18+Inputs!$B$19)+IF(AND(K18=1,AB18&lt;&gt;0),(Inputs!$B$17+Inputs!$B$18+Inputs!$B$19)+(O18+Inputs!$B$18+Inputs!$B$19),0)+MAX(AG18,0)*(Inputs!$B$20+Inputs!$B$22+Inputs!$B$23)+MAX(-AG18,0)*(Inputs!$B$21+Inputs!$B$22+Inputs!$B$23)</f>
        <v>0</v>
      </c>
      <c r="AI18" s="30" t="n">
        <f aca="false">AB17*(M18-AD17*J18)+AB17*AD17*N18/Inputs!$B$16-AH18</f>
        <v>0</v>
      </c>
      <c r="AJ18" s="30" t="n">
        <f aca="false">MAX(AE18,0)*(Inputs!$B$17+Inputs!$B$24+Inputs!$B$25)+MAX(-AE18,0)*(O18+Inputs!$B$24+Inputs!$B$25)+IF(AND(K18=1,AB18&lt;&gt;0),(Inputs!$B$17+Inputs!$B$24+Inputs!$B$25)+(O18+Inputs!$B$24+Inputs!$B$25),0)+MAX(AG18,0)*(Inputs!$B$20+Inputs!$B$26+Inputs!$B$27)+MAX(-AG18,0)*(Inputs!$B$21+Inputs!$B$26+Inputs!$B$27)</f>
        <v>0</v>
      </c>
      <c r="AK18" s="30" t="n">
        <f aca="false">AB17*(M18-AD17*J18)+AB17*AD17*(N18+Inputs!$B$14)/Inputs!$B$16-AJ18</f>
        <v>0</v>
      </c>
      <c r="AL18" s="30" t="n">
        <f aca="false">IF(AP17&lt;&gt;0,AQ17+1,0)</f>
        <v>0</v>
      </c>
      <c r="AM18" s="30" t="n">
        <f aca="false">IF(W18="",0,IF(AND(AP17&lt;&gt;0,OR(ABS(W18)&gt;Inputs!$B$7,AL18&gt;=Inputs!$B$8,ABS(W18)&lt;Inputs!$B$6)),1,0))</f>
        <v>0</v>
      </c>
      <c r="AN18" s="30" t="n">
        <f aca="false">IF(AM18=1,0,AP17)</f>
        <v>0</v>
      </c>
      <c r="AO18" s="30" t="n">
        <f aca="false">IF(W18="",0,IF(AND(AN18=0,ABS(W18)&gt;Inputs!$B$5,ABS(W18)&lt;=Inputs!$B$7,W18&gt;0),1,0))</f>
        <v>0</v>
      </c>
      <c r="AP18" s="30" t="n">
        <f aca="false">IF(W18="",0,IF(AO18=1,-SIGN(W18),AN18))</f>
        <v>0</v>
      </c>
      <c r="AQ18" s="30" t="n">
        <f aca="false">IF(W18="",0,IF(AO18=1,0,IF(AM18=1,0,AL18)))</f>
        <v>0</v>
      </c>
      <c r="AR18" s="30" t="n">
        <f aca="false">IF(AP18=0,0,IF(AP17=AP18,AR17,T18))</f>
        <v>0</v>
      </c>
      <c r="AS18" s="30" t="n">
        <f aca="false">AP18-AP17</f>
        <v>0</v>
      </c>
      <c r="AT18" s="30" t="n">
        <f aca="false">-AR18*AP18</f>
        <v>-0</v>
      </c>
      <c r="AU18" s="30" t="n">
        <f aca="false">AT18-AT17</f>
        <v>0</v>
      </c>
      <c r="AV18" s="30" t="n">
        <f aca="false">MAX(AS18,0)*(Inputs!$B$17+Inputs!$B$18+Inputs!$B$19)+MAX(-AS18,0)*(O18+Inputs!$B$18+Inputs!$B$19)+IF(AND(K18=1,AP18&lt;&gt;0),(Inputs!$B$17+Inputs!$B$18+Inputs!$B$19)+(O18+Inputs!$B$18+Inputs!$B$19),0)+MAX(AU18,0)*(Inputs!$B$20+Inputs!$B$22+Inputs!$B$23)+MAX(-AU18,0)*(Inputs!$B$21+Inputs!$B$22+Inputs!$B$23)</f>
        <v>0</v>
      </c>
      <c r="AW18" s="30" t="n">
        <f aca="false">AP17*(M18-AR17*J18)+AP17*AR17*N18/Inputs!$B$16-AV18</f>
        <v>0</v>
      </c>
      <c r="AX18" s="30" t="n">
        <f aca="false">AW18-IF(AP17&lt;&gt;0,0.75*AR17*(Inputs!$B$13-N18)/Inputs!$B$16,0)</f>
        <v>0</v>
      </c>
      <c r="AY18" s="30" t="n">
        <f aca="false">MAX(AS18,0)*(Inputs!$B$17+Inputs!$B$18+Inputs!$B$19)+MAX(-AS18,0)*(O18+Inputs!$B$18+Inputs!$B$19)+IF(AND(K18=1,AP18&lt;&gt;0),(Inputs!$B$17+Inputs!$B$18+Inputs!$B$19)+(O18+Inputs!$B$18+Inputs!$B$19),0)</f>
        <v>0</v>
      </c>
      <c r="AZ18" s="30" t="n">
        <f aca="false">AP17*M18-AY18</f>
        <v>0</v>
      </c>
      <c r="BA18" s="30" t="n">
        <f aca="false">BA17+AI18</f>
        <v>0</v>
      </c>
      <c r="BB18" s="30" t="n">
        <f aca="false">MAX(BB17,BA18)</f>
        <v>0</v>
      </c>
      <c r="BC18" s="30" t="n">
        <f aca="false">BA18-BB18</f>
        <v>0</v>
      </c>
      <c r="BD18" s="30" t="n">
        <f aca="false">A19-A18</f>
        <v>3</v>
      </c>
    </row>
    <row r="19" customFormat="false" ht="15" hidden="false" customHeight="false" outlineLevel="0" collapsed="false">
      <c r="A19" s="28" t="n">
        <v>45068</v>
      </c>
      <c r="B19" s="0" t="n">
        <v>18324.9</v>
      </c>
      <c r="C19" s="0" t="n">
        <v>200.7</v>
      </c>
      <c r="D19" s="29" t="n">
        <f aca="false">LN(B19)</f>
        <v>9.81601606971404</v>
      </c>
      <c r="E19" s="29" t="n">
        <f aca="false">LN(C19)</f>
        <v>5.30181125580229</v>
      </c>
      <c r="F19" s="0" t="n">
        <v>14</v>
      </c>
      <c r="G19" s="0" t="n">
        <v>3</v>
      </c>
      <c r="H19" s="29" t="n">
        <f aca="false">D19-E19</f>
        <v>4.51420481391175</v>
      </c>
      <c r="I19" s="29" t="n">
        <f aca="false">D19-D18</f>
        <v>0.00513734891057638</v>
      </c>
      <c r="J19" s="29" t="n">
        <f aca="false">E19-E18</f>
        <v>0.00524542229306135</v>
      </c>
      <c r="K19" s="0" t="n">
        <v>0</v>
      </c>
      <c r="L19" s="0" t="n">
        <v>0</v>
      </c>
      <c r="M19" s="29" t="n">
        <f aca="false">IF(L19=1,J19-Carry!$B$9/Inputs!$B$16,I19)</f>
        <v>0.00513734891057638</v>
      </c>
      <c r="N19" s="0" t="n">
        <v>0.065</v>
      </c>
      <c r="O19" s="0" t="n">
        <v>0.000125</v>
      </c>
      <c r="P19" s="29" t="n">
        <f aca="false">D19-('2 Hedge ratio'!$B$6+'2 Hedge ratio'!$B$5*E19)</f>
        <v>-0.00293517555008727</v>
      </c>
      <c r="Q19" s="29" t="n">
        <f aca="false">D19-('5 Re-specification'!$B$7+'5 Re-specification'!$B$5*E19+'5 Re-specification'!$B$6*F19)</f>
        <v>-0.000300057459734049</v>
      </c>
      <c r="R19" s="30" t="n">
        <f aca="false">MIN(F19,Inputs!$B$9)</f>
        <v>14</v>
      </c>
      <c r="S19" s="29" t="str">
        <f aca="true">IF(AND(F19&gt;=1,R19&gt;=Inputs!$B$10),INDEX(LINEST(OFFSET(D19,-R19,0,R19,1),OFFSET(E19,-R19,0,R19,2)),1,1),"")</f>
        <v/>
      </c>
      <c r="T19" s="29" t="str">
        <f aca="true">IF(AND(F19&gt;=1,R19&gt;=Inputs!$B$10),INDEX(LINEST(OFFSET(D19,-R19,0,R19,1),OFFSET(E19,-R19,0,R19,2)),1,2),"")</f>
        <v/>
      </c>
      <c r="U19" s="29" t="str">
        <f aca="true">IF(AND(F19&gt;=1,R19&gt;=Inputs!$B$10),INDEX(LINEST(OFFSET(D19,-R19,0,R19,1),OFFSET(E19,-R19,0,R19,2)),1,3),"")</f>
        <v/>
      </c>
      <c r="V19" s="29" t="str">
        <f aca="true">IF(AND(F19&gt;=1,R19&gt;=Inputs!$B$10),SQRT(SUMPRODUCT((OFFSET(D19,-R19,0,R19,1)-U19-T19*OFFSET(E19,-R19,0,R19,1)-S19*OFFSET(F19,-R19,0,R19,1))^2)/(R19-3)),"")</f>
        <v/>
      </c>
      <c r="W19" s="31" t="str">
        <f aca="false">IF(AND(F19&gt;=1,R19&gt;=Inputs!$B$10),(D19-U19-T19*E19-S19*F19)/V19,"")</f>
        <v/>
      </c>
      <c r="X19" s="30" t="n">
        <f aca="false">IF(AB18&lt;&gt;0,AC18+1,0)</f>
        <v>0</v>
      </c>
      <c r="Y19" s="30" t="n">
        <f aca="false">IF(W19="",0,IF(AND(AB18&lt;&gt;0,OR(ABS(W19)&gt;Inputs!$B$7,X19&gt;=Inputs!$B$8,ABS(W19)&lt;Inputs!$B$6)),1,0))</f>
        <v>0</v>
      </c>
      <c r="Z19" s="30" t="n">
        <f aca="false">IF(Y19=1,0,AB18)</f>
        <v>0</v>
      </c>
      <c r="AA19" s="30" t="n">
        <f aca="false">IF(W19="",0,IF(AND(Z19=0,ABS(W19)&gt;Inputs!$B$5,ABS(W19)&lt;=Inputs!$B$7),1,0))</f>
        <v>0</v>
      </c>
      <c r="AB19" s="30" t="n">
        <f aca="false">IF(W19="",0,IF(AA19=1,-SIGN(W19),Z19))</f>
        <v>0</v>
      </c>
      <c r="AC19" s="30" t="n">
        <f aca="false">IF(W19="",0,IF(AA19=1,0,IF(Y19=1,0,X19)))</f>
        <v>0</v>
      </c>
      <c r="AD19" s="30" t="n">
        <f aca="false">IF(AB19=0,0,IF(AB18=AB19,AD18,T19))</f>
        <v>0</v>
      </c>
      <c r="AE19" s="30" t="n">
        <f aca="false">AB19-AB18</f>
        <v>0</v>
      </c>
      <c r="AF19" s="30" t="n">
        <f aca="false">-AD19*AB19</f>
        <v>-0</v>
      </c>
      <c r="AG19" s="30" t="n">
        <f aca="false">AF19-AF18</f>
        <v>0</v>
      </c>
      <c r="AH19" s="30" t="n">
        <f aca="false">MAX(AE19,0)*(Inputs!$B$17+Inputs!$B$18+Inputs!$B$19)+MAX(-AE19,0)*(O19+Inputs!$B$18+Inputs!$B$19)+IF(AND(K19=1,AB19&lt;&gt;0),(Inputs!$B$17+Inputs!$B$18+Inputs!$B$19)+(O19+Inputs!$B$18+Inputs!$B$19),0)+MAX(AG19,0)*(Inputs!$B$20+Inputs!$B$22+Inputs!$B$23)+MAX(-AG19,0)*(Inputs!$B$21+Inputs!$B$22+Inputs!$B$23)</f>
        <v>0</v>
      </c>
      <c r="AI19" s="30" t="n">
        <f aca="false">AB18*(M19-AD18*J19)+AB18*AD18*N19/Inputs!$B$16-AH19</f>
        <v>0</v>
      </c>
      <c r="AJ19" s="30" t="n">
        <f aca="false">MAX(AE19,0)*(Inputs!$B$17+Inputs!$B$24+Inputs!$B$25)+MAX(-AE19,0)*(O19+Inputs!$B$24+Inputs!$B$25)+IF(AND(K19=1,AB19&lt;&gt;0),(Inputs!$B$17+Inputs!$B$24+Inputs!$B$25)+(O19+Inputs!$B$24+Inputs!$B$25),0)+MAX(AG19,0)*(Inputs!$B$20+Inputs!$B$26+Inputs!$B$27)+MAX(-AG19,0)*(Inputs!$B$21+Inputs!$B$26+Inputs!$B$27)</f>
        <v>0</v>
      </c>
      <c r="AK19" s="30" t="n">
        <f aca="false">AB18*(M19-AD18*J19)+AB18*AD18*(N19+Inputs!$B$14)/Inputs!$B$16-AJ19</f>
        <v>0</v>
      </c>
      <c r="AL19" s="30" t="n">
        <f aca="false">IF(AP18&lt;&gt;0,AQ18+1,0)</f>
        <v>0</v>
      </c>
      <c r="AM19" s="30" t="n">
        <f aca="false">IF(W19="",0,IF(AND(AP18&lt;&gt;0,OR(ABS(W19)&gt;Inputs!$B$7,AL19&gt;=Inputs!$B$8,ABS(W19)&lt;Inputs!$B$6)),1,0))</f>
        <v>0</v>
      </c>
      <c r="AN19" s="30" t="n">
        <f aca="false">IF(AM19=1,0,AP18)</f>
        <v>0</v>
      </c>
      <c r="AO19" s="30" t="n">
        <f aca="false">IF(W19="",0,IF(AND(AN19=0,ABS(W19)&gt;Inputs!$B$5,ABS(W19)&lt;=Inputs!$B$7,W19&gt;0),1,0))</f>
        <v>0</v>
      </c>
      <c r="AP19" s="30" t="n">
        <f aca="false">IF(W19="",0,IF(AO19=1,-SIGN(W19),AN19))</f>
        <v>0</v>
      </c>
      <c r="AQ19" s="30" t="n">
        <f aca="false">IF(W19="",0,IF(AO19=1,0,IF(AM19=1,0,AL19)))</f>
        <v>0</v>
      </c>
      <c r="AR19" s="30" t="n">
        <f aca="false">IF(AP19=0,0,IF(AP18=AP19,AR18,T19))</f>
        <v>0</v>
      </c>
      <c r="AS19" s="30" t="n">
        <f aca="false">AP19-AP18</f>
        <v>0</v>
      </c>
      <c r="AT19" s="30" t="n">
        <f aca="false">-AR19*AP19</f>
        <v>-0</v>
      </c>
      <c r="AU19" s="30" t="n">
        <f aca="false">AT19-AT18</f>
        <v>0</v>
      </c>
      <c r="AV19" s="30" t="n">
        <f aca="false">MAX(AS19,0)*(Inputs!$B$17+Inputs!$B$18+Inputs!$B$19)+MAX(-AS19,0)*(O19+Inputs!$B$18+Inputs!$B$19)+IF(AND(K19=1,AP19&lt;&gt;0),(Inputs!$B$17+Inputs!$B$18+Inputs!$B$19)+(O19+Inputs!$B$18+Inputs!$B$19),0)+MAX(AU19,0)*(Inputs!$B$20+Inputs!$B$22+Inputs!$B$23)+MAX(-AU19,0)*(Inputs!$B$21+Inputs!$B$22+Inputs!$B$23)</f>
        <v>0</v>
      </c>
      <c r="AW19" s="30" t="n">
        <f aca="false">AP18*(M19-AR18*J19)+AP18*AR18*N19/Inputs!$B$16-AV19</f>
        <v>0</v>
      </c>
      <c r="AX19" s="30" t="n">
        <f aca="false">AW19-IF(AP18&lt;&gt;0,0.75*AR18*(Inputs!$B$13-N19)/Inputs!$B$16,0)</f>
        <v>0</v>
      </c>
      <c r="AY19" s="30" t="n">
        <f aca="false">MAX(AS19,0)*(Inputs!$B$17+Inputs!$B$18+Inputs!$B$19)+MAX(-AS19,0)*(O19+Inputs!$B$18+Inputs!$B$19)+IF(AND(K19=1,AP19&lt;&gt;0),(Inputs!$B$17+Inputs!$B$18+Inputs!$B$19)+(O19+Inputs!$B$18+Inputs!$B$19),0)</f>
        <v>0</v>
      </c>
      <c r="AZ19" s="30" t="n">
        <f aca="false">AP18*M19-AY19</f>
        <v>0</v>
      </c>
      <c r="BA19" s="30" t="n">
        <f aca="false">BA18+AI19</f>
        <v>0</v>
      </c>
      <c r="BB19" s="30" t="n">
        <f aca="false">MAX(BB18,BA19)</f>
        <v>0</v>
      </c>
      <c r="BC19" s="30" t="n">
        <f aca="false">BA19-BB19</f>
        <v>0</v>
      </c>
      <c r="BD19" s="30" t="n">
        <f aca="false">A20-A19</f>
        <v>1</v>
      </c>
    </row>
    <row r="20" customFormat="false" ht="15" hidden="false" customHeight="false" outlineLevel="0" collapsed="false">
      <c r="A20" s="28" t="n">
        <v>45069</v>
      </c>
      <c r="B20" s="0" t="n">
        <v>18358.1</v>
      </c>
      <c r="C20" s="0" t="n">
        <v>200.9</v>
      </c>
      <c r="D20" s="29" t="n">
        <f aca="false">LN(B20)</f>
        <v>9.81782617298067</v>
      </c>
      <c r="E20" s="29" t="n">
        <f aca="false">LN(C20)</f>
        <v>5.30280727182089</v>
      </c>
      <c r="F20" s="0" t="n">
        <v>15</v>
      </c>
      <c r="G20" s="0" t="n">
        <v>2</v>
      </c>
      <c r="H20" s="29" t="n">
        <f aca="false">D20-E20</f>
        <v>4.51501890115978</v>
      </c>
      <c r="I20" s="29" t="n">
        <f aca="false">D20-D19</f>
        <v>0.00181010326662978</v>
      </c>
      <c r="J20" s="29" t="n">
        <f aca="false">E20-E19</f>
        <v>0.00099601601859689</v>
      </c>
      <c r="K20" s="0" t="n">
        <v>0</v>
      </c>
      <c r="L20" s="0" t="n">
        <v>0</v>
      </c>
      <c r="M20" s="29" t="n">
        <f aca="false">IF(L20=1,J20-Carry!$B$9/Inputs!$B$16,I20)</f>
        <v>0.00181010326662978</v>
      </c>
      <c r="N20" s="0" t="n">
        <v>0.065</v>
      </c>
      <c r="O20" s="0" t="n">
        <v>0.000125</v>
      </c>
      <c r="P20" s="29" t="n">
        <f aca="false">D20-('2 Hedge ratio'!$B$6+'2 Hedge ratio'!$B$5*E20)</f>
        <v>-0.00203754921073163</v>
      </c>
      <c r="Q20" s="29" t="n">
        <f aca="false">D20-('5 Re-specification'!$B$7+'5 Re-specification'!$B$5*E20+'5 Re-specification'!$B$6*F20)</f>
        <v>0.000561977532960611</v>
      </c>
      <c r="R20" s="30" t="n">
        <f aca="false">MIN(F20,Inputs!$B$9)</f>
        <v>15</v>
      </c>
      <c r="S20" s="29" t="str">
        <f aca="true">IF(AND(F20&gt;=1,R20&gt;=Inputs!$B$10),INDEX(LINEST(OFFSET(D20,-R20,0,R20,1),OFFSET(E20,-R20,0,R20,2)),1,1),"")</f>
        <v/>
      </c>
      <c r="T20" s="29" t="str">
        <f aca="true">IF(AND(F20&gt;=1,R20&gt;=Inputs!$B$10),INDEX(LINEST(OFFSET(D20,-R20,0,R20,1),OFFSET(E20,-R20,0,R20,2)),1,2),"")</f>
        <v/>
      </c>
      <c r="U20" s="29" t="str">
        <f aca="true">IF(AND(F20&gt;=1,R20&gt;=Inputs!$B$10),INDEX(LINEST(OFFSET(D20,-R20,0,R20,1),OFFSET(E20,-R20,0,R20,2)),1,3),"")</f>
        <v/>
      </c>
      <c r="V20" s="29" t="str">
        <f aca="true">IF(AND(F20&gt;=1,R20&gt;=Inputs!$B$10),SQRT(SUMPRODUCT((OFFSET(D20,-R20,0,R20,1)-U20-T20*OFFSET(E20,-R20,0,R20,1)-S20*OFFSET(F20,-R20,0,R20,1))^2)/(R20-3)),"")</f>
        <v/>
      </c>
      <c r="W20" s="31" t="str">
        <f aca="false">IF(AND(F20&gt;=1,R20&gt;=Inputs!$B$10),(D20-U20-T20*E20-S20*F20)/V20,"")</f>
        <v/>
      </c>
      <c r="X20" s="30" t="n">
        <f aca="false">IF(AB19&lt;&gt;0,AC19+1,0)</f>
        <v>0</v>
      </c>
      <c r="Y20" s="30" t="n">
        <f aca="false">IF(W20="",0,IF(AND(AB19&lt;&gt;0,OR(ABS(W20)&gt;Inputs!$B$7,X20&gt;=Inputs!$B$8,ABS(W20)&lt;Inputs!$B$6)),1,0))</f>
        <v>0</v>
      </c>
      <c r="Z20" s="30" t="n">
        <f aca="false">IF(Y20=1,0,AB19)</f>
        <v>0</v>
      </c>
      <c r="AA20" s="30" t="n">
        <f aca="false">IF(W20="",0,IF(AND(Z20=0,ABS(W20)&gt;Inputs!$B$5,ABS(W20)&lt;=Inputs!$B$7),1,0))</f>
        <v>0</v>
      </c>
      <c r="AB20" s="30" t="n">
        <f aca="false">IF(W20="",0,IF(AA20=1,-SIGN(W20),Z20))</f>
        <v>0</v>
      </c>
      <c r="AC20" s="30" t="n">
        <f aca="false">IF(W20="",0,IF(AA20=1,0,IF(Y20=1,0,X20)))</f>
        <v>0</v>
      </c>
      <c r="AD20" s="30" t="n">
        <f aca="false">IF(AB20=0,0,IF(AB19=AB20,AD19,T20))</f>
        <v>0</v>
      </c>
      <c r="AE20" s="30" t="n">
        <f aca="false">AB20-AB19</f>
        <v>0</v>
      </c>
      <c r="AF20" s="30" t="n">
        <f aca="false">-AD20*AB20</f>
        <v>-0</v>
      </c>
      <c r="AG20" s="30" t="n">
        <f aca="false">AF20-AF19</f>
        <v>0</v>
      </c>
      <c r="AH20" s="30" t="n">
        <f aca="false">MAX(AE20,0)*(Inputs!$B$17+Inputs!$B$18+Inputs!$B$19)+MAX(-AE20,0)*(O20+Inputs!$B$18+Inputs!$B$19)+IF(AND(K20=1,AB20&lt;&gt;0),(Inputs!$B$17+Inputs!$B$18+Inputs!$B$19)+(O20+Inputs!$B$18+Inputs!$B$19),0)+MAX(AG20,0)*(Inputs!$B$20+Inputs!$B$22+Inputs!$B$23)+MAX(-AG20,0)*(Inputs!$B$21+Inputs!$B$22+Inputs!$B$23)</f>
        <v>0</v>
      </c>
      <c r="AI20" s="30" t="n">
        <f aca="false">AB19*(M20-AD19*J20)+AB19*AD19*N20/Inputs!$B$16-AH20</f>
        <v>0</v>
      </c>
      <c r="AJ20" s="30" t="n">
        <f aca="false">MAX(AE20,0)*(Inputs!$B$17+Inputs!$B$24+Inputs!$B$25)+MAX(-AE20,0)*(O20+Inputs!$B$24+Inputs!$B$25)+IF(AND(K20=1,AB20&lt;&gt;0),(Inputs!$B$17+Inputs!$B$24+Inputs!$B$25)+(O20+Inputs!$B$24+Inputs!$B$25),0)+MAX(AG20,0)*(Inputs!$B$20+Inputs!$B$26+Inputs!$B$27)+MAX(-AG20,0)*(Inputs!$B$21+Inputs!$B$26+Inputs!$B$27)</f>
        <v>0</v>
      </c>
      <c r="AK20" s="30" t="n">
        <f aca="false">AB19*(M20-AD19*J20)+AB19*AD19*(N20+Inputs!$B$14)/Inputs!$B$16-AJ20</f>
        <v>0</v>
      </c>
      <c r="AL20" s="30" t="n">
        <f aca="false">IF(AP19&lt;&gt;0,AQ19+1,0)</f>
        <v>0</v>
      </c>
      <c r="AM20" s="30" t="n">
        <f aca="false">IF(W20="",0,IF(AND(AP19&lt;&gt;0,OR(ABS(W20)&gt;Inputs!$B$7,AL20&gt;=Inputs!$B$8,ABS(W20)&lt;Inputs!$B$6)),1,0))</f>
        <v>0</v>
      </c>
      <c r="AN20" s="30" t="n">
        <f aca="false">IF(AM20=1,0,AP19)</f>
        <v>0</v>
      </c>
      <c r="AO20" s="30" t="n">
        <f aca="false">IF(W20="",0,IF(AND(AN20=0,ABS(W20)&gt;Inputs!$B$5,ABS(W20)&lt;=Inputs!$B$7,W20&gt;0),1,0))</f>
        <v>0</v>
      </c>
      <c r="AP20" s="30" t="n">
        <f aca="false">IF(W20="",0,IF(AO20=1,-SIGN(W20),AN20))</f>
        <v>0</v>
      </c>
      <c r="AQ20" s="30" t="n">
        <f aca="false">IF(W20="",0,IF(AO20=1,0,IF(AM20=1,0,AL20)))</f>
        <v>0</v>
      </c>
      <c r="AR20" s="30" t="n">
        <f aca="false">IF(AP20=0,0,IF(AP19=AP20,AR19,T20))</f>
        <v>0</v>
      </c>
      <c r="AS20" s="30" t="n">
        <f aca="false">AP20-AP19</f>
        <v>0</v>
      </c>
      <c r="AT20" s="30" t="n">
        <f aca="false">-AR20*AP20</f>
        <v>-0</v>
      </c>
      <c r="AU20" s="30" t="n">
        <f aca="false">AT20-AT19</f>
        <v>0</v>
      </c>
      <c r="AV20" s="30" t="n">
        <f aca="false">MAX(AS20,0)*(Inputs!$B$17+Inputs!$B$18+Inputs!$B$19)+MAX(-AS20,0)*(O20+Inputs!$B$18+Inputs!$B$19)+IF(AND(K20=1,AP20&lt;&gt;0),(Inputs!$B$17+Inputs!$B$18+Inputs!$B$19)+(O20+Inputs!$B$18+Inputs!$B$19),0)+MAX(AU20,0)*(Inputs!$B$20+Inputs!$B$22+Inputs!$B$23)+MAX(-AU20,0)*(Inputs!$B$21+Inputs!$B$22+Inputs!$B$23)</f>
        <v>0</v>
      </c>
      <c r="AW20" s="30" t="n">
        <f aca="false">AP19*(M20-AR19*J20)+AP19*AR19*N20/Inputs!$B$16-AV20</f>
        <v>0</v>
      </c>
      <c r="AX20" s="30" t="n">
        <f aca="false">AW20-IF(AP19&lt;&gt;0,0.75*AR19*(Inputs!$B$13-N20)/Inputs!$B$16,0)</f>
        <v>0</v>
      </c>
      <c r="AY20" s="30" t="n">
        <f aca="false">MAX(AS20,0)*(Inputs!$B$17+Inputs!$B$18+Inputs!$B$19)+MAX(-AS20,0)*(O20+Inputs!$B$18+Inputs!$B$19)+IF(AND(K20=1,AP20&lt;&gt;0),(Inputs!$B$17+Inputs!$B$18+Inputs!$B$19)+(O20+Inputs!$B$18+Inputs!$B$19),0)</f>
        <v>0</v>
      </c>
      <c r="AZ20" s="30" t="n">
        <f aca="false">AP19*M20-AY20</f>
        <v>0</v>
      </c>
      <c r="BA20" s="30" t="n">
        <f aca="false">BA19+AI20</f>
        <v>0</v>
      </c>
      <c r="BB20" s="30" t="n">
        <f aca="false">MAX(BB19,BA20)</f>
        <v>0</v>
      </c>
      <c r="BC20" s="30" t="n">
        <f aca="false">BA20-BB20</f>
        <v>0</v>
      </c>
      <c r="BD20" s="30" t="n">
        <f aca="false">A21-A20</f>
        <v>1</v>
      </c>
    </row>
    <row r="21" customFormat="false" ht="15" hidden="false" customHeight="false" outlineLevel="0" collapsed="false">
      <c r="A21" s="28" t="n">
        <v>45070</v>
      </c>
      <c r="B21" s="0" t="n">
        <v>18301</v>
      </c>
      <c r="C21" s="0" t="n">
        <v>200.49</v>
      </c>
      <c r="D21" s="29" t="n">
        <f aca="false">LN(B21)</f>
        <v>9.81471098214528</v>
      </c>
      <c r="E21" s="29" t="n">
        <f aca="false">LN(C21)</f>
        <v>5.30076437019109</v>
      </c>
      <c r="F21" s="0" t="n">
        <v>16</v>
      </c>
      <c r="G21" s="0" t="n">
        <v>1</v>
      </c>
      <c r="H21" s="29" t="n">
        <f aca="false">D21-E21</f>
        <v>4.51394661195419</v>
      </c>
      <c r="I21" s="29" t="n">
        <f aca="false">D21-D20</f>
        <v>-0.00311519083538947</v>
      </c>
      <c r="J21" s="29" t="n">
        <f aca="false">E21-E20</f>
        <v>-0.00204290162980048</v>
      </c>
      <c r="K21" s="0" t="n">
        <v>0</v>
      </c>
      <c r="L21" s="0" t="n">
        <v>0</v>
      </c>
      <c r="M21" s="29" t="n">
        <f aca="false">IF(L21=1,J21-Carry!$B$9/Inputs!$B$16,I21)</f>
        <v>-0.00311519083538947</v>
      </c>
      <c r="N21" s="0" t="n">
        <v>0.065</v>
      </c>
      <c r="O21" s="0" t="n">
        <v>0.000125</v>
      </c>
      <c r="P21" s="29" t="n">
        <f aca="false">D21-('2 Hedge ratio'!$B$6+'2 Hedge ratio'!$B$5*E21)</f>
        <v>-0.00328118319655246</v>
      </c>
      <c r="Q21" s="29" t="n">
        <f aca="false">D21-('5 Re-specification'!$B$7+'5 Re-specification'!$B$5*E21+'5 Re-specification'!$B$6*F21)</f>
        <v>-0.000471573367962108</v>
      </c>
      <c r="R21" s="30" t="n">
        <f aca="false">MIN(F21,Inputs!$B$9)</f>
        <v>16</v>
      </c>
      <c r="S21" s="29" t="str">
        <f aca="true">IF(AND(F21&gt;=1,R21&gt;=Inputs!$B$10),INDEX(LINEST(OFFSET(D21,-R21,0,R21,1),OFFSET(E21,-R21,0,R21,2)),1,1),"")</f>
        <v/>
      </c>
      <c r="T21" s="29" t="str">
        <f aca="true">IF(AND(F21&gt;=1,R21&gt;=Inputs!$B$10),INDEX(LINEST(OFFSET(D21,-R21,0,R21,1),OFFSET(E21,-R21,0,R21,2)),1,2),"")</f>
        <v/>
      </c>
      <c r="U21" s="29" t="str">
        <f aca="true">IF(AND(F21&gt;=1,R21&gt;=Inputs!$B$10),INDEX(LINEST(OFFSET(D21,-R21,0,R21,1),OFFSET(E21,-R21,0,R21,2)),1,3),"")</f>
        <v/>
      </c>
      <c r="V21" s="29" t="str">
        <f aca="true">IF(AND(F21&gt;=1,R21&gt;=Inputs!$B$10),SQRT(SUMPRODUCT((OFFSET(D21,-R21,0,R21,1)-U21-T21*OFFSET(E21,-R21,0,R21,1)-S21*OFFSET(F21,-R21,0,R21,1))^2)/(R21-3)),"")</f>
        <v/>
      </c>
      <c r="W21" s="31" t="str">
        <f aca="false">IF(AND(F21&gt;=1,R21&gt;=Inputs!$B$10),(D21-U21-T21*E21-S21*F21)/V21,"")</f>
        <v/>
      </c>
      <c r="X21" s="30" t="n">
        <f aca="false">IF(AB20&lt;&gt;0,AC20+1,0)</f>
        <v>0</v>
      </c>
      <c r="Y21" s="30" t="n">
        <f aca="false">IF(W21="",0,IF(AND(AB20&lt;&gt;0,OR(ABS(W21)&gt;Inputs!$B$7,X21&gt;=Inputs!$B$8,ABS(W21)&lt;Inputs!$B$6)),1,0))</f>
        <v>0</v>
      </c>
      <c r="Z21" s="30" t="n">
        <f aca="false">IF(Y21=1,0,AB20)</f>
        <v>0</v>
      </c>
      <c r="AA21" s="30" t="n">
        <f aca="false">IF(W21="",0,IF(AND(Z21=0,ABS(W21)&gt;Inputs!$B$5,ABS(W21)&lt;=Inputs!$B$7),1,0))</f>
        <v>0</v>
      </c>
      <c r="AB21" s="30" t="n">
        <f aca="false">IF(W21="",0,IF(AA21=1,-SIGN(W21),Z21))</f>
        <v>0</v>
      </c>
      <c r="AC21" s="30" t="n">
        <f aca="false">IF(W21="",0,IF(AA21=1,0,IF(Y21=1,0,X21)))</f>
        <v>0</v>
      </c>
      <c r="AD21" s="30" t="n">
        <f aca="false">IF(AB21=0,0,IF(AB20=AB21,AD20,T21))</f>
        <v>0</v>
      </c>
      <c r="AE21" s="30" t="n">
        <f aca="false">AB21-AB20</f>
        <v>0</v>
      </c>
      <c r="AF21" s="30" t="n">
        <f aca="false">-AD21*AB21</f>
        <v>-0</v>
      </c>
      <c r="AG21" s="30" t="n">
        <f aca="false">AF21-AF20</f>
        <v>0</v>
      </c>
      <c r="AH21" s="30" t="n">
        <f aca="false">MAX(AE21,0)*(Inputs!$B$17+Inputs!$B$18+Inputs!$B$19)+MAX(-AE21,0)*(O21+Inputs!$B$18+Inputs!$B$19)+IF(AND(K21=1,AB21&lt;&gt;0),(Inputs!$B$17+Inputs!$B$18+Inputs!$B$19)+(O21+Inputs!$B$18+Inputs!$B$19),0)+MAX(AG21,0)*(Inputs!$B$20+Inputs!$B$22+Inputs!$B$23)+MAX(-AG21,0)*(Inputs!$B$21+Inputs!$B$22+Inputs!$B$23)</f>
        <v>0</v>
      </c>
      <c r="AI21" s="30" t="n">
        <f aca="false">AB20*(M21-AD20*J21)+AB20*AD20*N21/Inputs!$B$16-AH21</f>
        <v>0</v>
      </c>
      <c r="AJ21" s="30" t="n">
        <f aca="false">MAX(AE21,0)*(Inputs!$B$17+Inputs!$B$24+Inputs!$B$25)+MAX(-AE21,0)*(O21+Inputs!$B$24+Inputs!$B$25)+IF(AND(K21=1,AB21&lt;&gt;0),(Inputs!$B$17+Inputs!$B$24+Inputs!$B$25)+(O21+Inputs!$B$24+Inputs!$B$25),0)+MAX(AG21,0)*(Inputs!$B$20+Inputs!$B$26+Inputs!$B$27)+MAX(-AG21,0)*(Inputs!$B$21+Inputs!$B$26+Inputs!$B$27)</f>
        <v>0</v>
      </c>
      <c r="AK21" s="30" t="n">
        <f aca="false">AB20*(M21-AD20*J21)+AB20*AD20*(N21+Inputs!$B$14)/Inputs!$B$16-AJ21</f>
        <v>0</v>
      </c>
      <c r="AL21" s="30" t="n">
        <f aca="false">IF(AP20&lt;&gt;0,AQ20+1,0)</f>
        <v>0</v>
      </c>
      <c r="AM21" s="30" t="n">
        <f aca="false">IF(W21="",0,IF(AND(AP20&lt;&gt;0,OR(ABS(W21)&gt;Inputs!$B$7,AL21&gt;=Inputs!$B$8,ABS(W21)&lt;Inputs!$B$6)),1,0))</f>
        <v>0</v>
      </c>
      <c r="AN21" s="30" t="n">
        <f aca="false">IF(AM21=1,0,AP20)</f>
        <v>0</v>
      </c>
      <c r="AO21" s="30" t="n">
        <f aca="false">IF(W21="",0,IF(AND(AN21=0,ABS(W21)&gt;Inputs!$B$5,ABS(W21)&lt;=Inputs!$B$7,W21&gt;0),1,0))</f>
        <v>0</v>
      </c>
      <c r="AP21" s="30" t="n">
        <f aca="false">IF(W21="",0,IF(AO21=1,-SIGN(W21),AN21))</f>
        <v>0</v>
      </c>
      <c r="AQ21" s="30" t="n">
        <f aca="false">IF(W21="",0,IF(AO21=1,0,IF(AM21=1,0,AL21)))</f>
        <v>0</v>
      </c>
      <c r="AR21" s="30" t="n">
        <f aca="false">IF(AP21=0,0,IF(AP20=AP21,AR20,T21))</f>
        <v>0</v>
      </c>
      <c r="AS21" s="30" t="n">
        <f aca="false">AP21-AP20</f>
        <v>0</v>
      </c>
      <c r="AT21" s="30" t="n">
        <f aca="false">-AR21*AP21</f>
        <v>-0</v>
      </c>
      <c r="AU21" s="30" t="n">
        <f aca="false">AT21-AT20</f>
        <v>0</v>
      </c>
      <c r="AV21" s="30" t="n">
        <f aca="false">MAX(AS21,0)*(Inputs!$B$17+Inputs!$B$18+Inputs!$B$19)+MAX(-AS21,0)*(O21+Inputs!$B$18+Inputs!$B$19)+IF(AND(K21=1,AP21&lt;&gt;0),(Inputs!$B$17+Inputs!$B$18+Inputs!$B$19)+(O21+Inputs!$B$18+Inputs!$B$19),0)+MAX(AU21,0)*(Inputs!$B$20+Inputs!$B$22+Inputs!$B$23)+MAX(-AU21,0)*(Inputs!$B$21+Inputs!$B$22+Inputs!$B$23)</f>
        <v>0</v>
      </c>
      <c r="AW21" s="30" t="n">
        <f aca="false">AP20*(M21-AR20*J21)+AP20*AR20*N21/Inputs!$B$16-AV21</f>
        <v>0</v>
      </c>
      <c r="AX21" s="30" t="n">
        <f aca="false">AW21-IF(AP20&lt;&gt;0,0.75*AR20*(Inputs!$B$13-N21)/Inputs!$B$16,0)</f>
        <v>0</v>
      </c>
      <c r="AY21" s="30" t="n">
        <f aca="false">MAX(AS21,0)*(Inputs!$B$17+Inputs!$B$18+Inputs!$B$19)+MAX(-AS21,0)*(O21+Inputs!$B$18+Inputs!$B$19)+IF(AND(K21=1,AP21&lt;&gt;0),(Inputs!$B$17+Inputs!$B$18+Inputs!$B$19)+(O21+Inputs!$B$18+Inputs!$B$19),0)</f>
        <v>0</v>
      </c>
      <c r="AZ21" s="30" t="n">
        <f aca="false">AP20*M21-AY21</f>
        <v>-0</v>
      </c>
      <c r="BA21" s="30" t="n">
        <f aca="false">BA20+AI21</f>
        <v>0</v>
      </c>
      <c r="BB21" s="30" t="n">
        <f aca="false">MAX(BB20,BA21)</f>
        <v>0</v>
      </c>
      <c r="BC21" s="30" t="n">
        <f aca="false">BA21-BB21</f>
        <v>0</v>
      </c>
      <c r="BD21" s="30" t="n">
        <f aca="false">A22-A21</f>
        <v>1</v>
      </c>
    </row>
    <row r="22" customFormat="false" ht="15" hidden="false" customHeight="false" outlineLevel="0" collapsed="false">
      <c r="A22" s="28" t="n">
        <v>45071</v>
      </c>
      <c r="B22" s="0" t="n">
        <v>18324.9</v>
      </c>
      <c r="C22" s="0" t="n">
        <v>200.94</v>
      </c>
      <c r="D22" s="29" t="n">
        <f aca="false">LN(B22)</f>
        <v>9.81601606971404</v>
      </c>
      <c r="E22" s="29" t="n">
        <f aca="false">LN(C22)</f>
        <v>5.30300635603417</v>
      </c>
      <c r="F22" s="0" t="n">
        <v>17</v>
      </c>
      <c r="G22" s="0" t="n">
        <v>0</v>
      </c>
      <c r="H22" s="29" t="n">
        <f aca="false">D22-E22</f>
        <v>4.51300971367987</v>
      </c>
      <c r="I22" s="29" t="n">
        <f aca="false">D22-D21</f>
        <v>0.00130508756875969</v>
      </c>
      <c r="J22" s="29" t="n">
        <f aca="false">E22-E21</f>
        <v>0.00224198584307977</v>
      </c>
      <c r="K22" s="0" t="n">
        <v>1</v>
      </c>
      <c r="L22" s="0" t="n">
        <v>0</v>
      </c>
      <c r="M22" s="29" t="n">
        <f aca="false">IF(L22=1,J22-Carry!$B$9/Inputs!$B$16,I22)</f>
        <v>0.00130508756875969</v>
      </c>
      <c r="N22" s="0" t="n">
        <v>0.065</v>
      </c>
      <c r="O22" s="0" t="n">
        <v>0.000125</v>
      </c>
      <c r="P22" s="29" t="n">
        <f aca="false">D22-('2 Hedge ratio'!$B$6+'2 Hedge ratio'!$B$5*E22)</f>
        <v>-0.0040300388524912</v>
      </c>
      <c r="Q22" s="29" t="n">
        <f aca="false">D22-('5 Re-specification'!$B$7+'5 Re-specification'!$B$5*E22+'5 Re-specification'!$B$6*F22)</f>
        <v>-0.00135674798604057</v>
      </c>
      <c r="R22" s="30" t="n">
        <f aca="false">MIN(F22,Inputs!$B$9)</f>
        <v>17</v>
      </c>
      <c r="S22" s="29" t="str">
        <f aca="true">IF(AND(F22&gt;=1,R22&gt;=Inputs!$B$10),INDEX(LINEST(OFFSET(D22,-R22,0,R22,1),OFFSET(E22,-R22,0,R22,2)),1,1),"")</f>
        <v/>
      </c>
      <c r="T22" s="29" t="str">
        <f aca="true">IF(AND(F22&gt;=1,R22&gt;=Inputs!$B$10),INDEX(LINEST(OFFSET(D22,-R22,0,R22,1),OFFSET(E22,-R22,0,R22,2)),1,2),"")</f>
        <v/>
      </c>
      <c r="U22" s="29" t="str">
        <f aca="true">IF(AND(F22&gt;=1,R22&gt;=Inputs!$B$10),INDEX(LINEST(OFFSET(D22,-R22,0,R22,1),OFFSET(E22,-R22,0,R22,2)),1,3),"")</f>
        <v/>
      </c>
      <c r="V22" s="29" t="str">
        <f aca="true">IF(AND(F22&gt;=1,R22&gt;=Inputs!$B$10),SQRT(SUMPRODUCT((OFFSET(D22,-R22,0,R22,1)-U22-T22*OFFSET(E22,-R22,0,R22,1)-S22*OFFSET(F22,-R22,0,R22,1))^2)/(R22-3)),"")</f>
        <v/>
      </c>
      <c r="W22" s="31" t="str">
        <f aca="false">IF(AND(F22&gt;=1,R22&gt;=Inputs!$B$10),(D22-U22-T22*E22-S22*F22)/V22,"")</f>
        <v/>
      </c>
      <c r="X22" s="30" t="n">
        <f aca="false">IF(AB21&lt;&gt;0,AC21+1,0)</f>
        <v>0</v>
      </c>
      <c r="Y22" s="30" t="n">
        <f aca="false">IF(W22="",0,IF(AND(AB21&lt;&gt;0,OR(ABS(W22)&gt;Inputs!$B$7,X22&gt;=Inputs!$B$8,ABS(W22)&lt;Inputs!$B$6)),1,0))</f>
        <v>0</v>
      </c>
      <c r="Z22" s="30" t="n">
        <f aca="false">IF(Y22=1,0,AB21)</f>
        <v>0</v>
      </c>
      <c r="AA22" s="30" t="n">
        <f aca="false">IF(W22="",0,IF(AND(Z22=0,ABS(W22)&gt;Inputs!$B$5,ABS(W22)&lt;=Inputs!$B$7),1,0))</f>
        <v>0</v>
      </c>
      <c r="AB22" s="30" t="n">
        <f aca="false">IF(W22="",0,IF(AA22=1,-SIGN(W22),Z22))</f>
        <v>0</v>
      </c>
      <c r="AC22" s="30" t="n">
        <f aca="false">IF(W22="",0,IF(AA22=1,0,IF(Y22=1,0,X22)))</f>
        <v>0</v>
      </c>
      <c r="AD22" s="30" t="n">
        <f aca="false">IF(AB22=0,0,IF(AB21=AB22,AD21,T22))</f>
        <v>0</v>
      </c>
      <c r="AE22" s="30" t="n">
        <f aca="false">AB22-AB21</f>
        <v>0</v>
      </c>
      <c r="AF22" s="30" t="n">
        <f aca="false">-AD22*AB22</f>
        <v>-0</v>
      </c>
      <c r="AG22" s="30" t="n">
        <f aca="false">AF22-AF21</f>
        <v>0</v>
      </c>
      <c r="AH22" s="30" t="n">
        <f aca="false">MAX(AE22,0)*(Inputs!$B$17+Inputs!$B$18+Inputs!$B$19)+MAX(-AE22,0)*(O22+Inputs!$B$18+Inputs!$B$19)+IF(AND(K22=1,AB22&lt;&gt;0),(Inputs!$B$17+Inputs!$B$18+Inputs!$B$19)+(O22+Inputs!$B$18+Inputs!$B$19),0)+MAX(AG22,0)*(Inputs!$B$20+Inputs!$B$22+Inputs!$B$23)+MAX(-AG22,0)*(Inputs!$B$21+Inputs!$B$22+Inputs!$B$23)</f>
        <v>0</v>
      </c>
      <c r="AI22" s="30" t="n">
        <f aca="false">AB21*(M22-AD21*J22)+AB21*AD21*N22/Inputs!$B$16-AH22</f>
        <v>0</v>
      </c>
      <c r="AJ22" s="30" t="n">
        <f aca="false">MAX(AE22,0)*(Inputs!$B$17+Inputs!$B$24+Inputs!$B$25)+MAX(-AE22,0)*(O22+Inputs!$B$24+Inputs!$B$25)+IF(AND(K22=1,AB22&lt;&gt;0),(Inputs!$B$17+Inputs!$B$24+Inputs!$B$25)+(O22+Inputs!$B$24+Inputs!$B$25),0)+MAX(AG22,0)*(Inputs!$B$20+Inputs!$B$26+Inputs!$B$27)+MAX(-AG22,0)*(Inputs!$B$21+Inputs!$B$26+Inputs!$B$27)</f>
        <v>0</v>
      </c>
      <c r="AK22" s="30" t="n">
        <f aca="false">AB21*(M22-AD21*J22)+AB21*AD21*(N22+Inputs!$B$14)/Inputs!$B$16-AJ22</f>
        <v>0</v>
      </c>
      <c r="AL22" s="30" t="n">
        <f aca="false">IF(AP21&lt;&gt;0,AQ21+1,0)</f>
        <v>0</v>
      </c>
      <c r="AM22" s="30" t="n">
        <f aca="false">IF(W22="",0,IF(AND(AP21&lt;&gt;0,OR(ABS(W22)&gt;Inputs!$B$7,AL22&gt;=Inputs!$B$8,ABS(W22)&lt;Inputs!$B$6)),1,0))</f>
        <v>0</v>
      </c>
      <c r="AN22" s="30" t="n">
        <f aca="false">IF(AM22=1,0,AP21)</f>
        <v>0</v>
      </c>
      <c r="AO22" s="30" t="n">
        <f aca="false">IF(W22="",0,IF(AND(AN22=0,ABS(W22)&gt;Inputs!$B$5,ABS(W22)&lt;=Inputs!$B$7,W22&gt;0),1,0))</f>
        <v>0</v>
      </c>
      <c r="AP22" s="30" t="n">
        <f aca="false">IF(W22="",0,IF(AO22=1,-SIGN(W22),AN22))</f>
        <v>0</v>
      </c>
      <c r="AQ22" s="30" t="n">
        <f aca="false">IF(W22="",0,IF(AO22=1,0,IF(AM22=1,0,AL22)))</f>
        <v>0</v>
      </c>
      <c r="AR22" s="30" t="n">
        <f aca="false">IF(AP22=0,0,IF(AP21=AP22,AR21,T22))</f>
        <v>0</v>
      </c>
      <c r="AS22" s="30" t="n">
        <f aca="false">AP22-AP21</f>
        <v>0</v>
      </c>
      <c r="AT22" s="30" t="n">
        <f aca="false">-AR22*AP22</f>
        <v>-0</v>
      </c>
      <c r="AU22" s="30" t="n">
        <f aca="false">AT22-AT21</f>
        <v>0</v>
      </c>
      <c r="AV22" s="30" t="n">
        <f aca="false">MAX(AS22,0)*(Inputs!$B$17+Inputs!$B$18+Inputs!$B$19)+MAX(-AS22,0)*(O22+Inputs!$B$18+Inputs!$B$19)+IF(AND(K22=1,AP22&lt;&gt;0),(Inputs!$B$17+Inputs!$B$18+Inputs!$B$19)+(O22+Inputs!$B$18+Inputs!$B$19),0)+MAX(AU22,0)*(Inputs!$B$20+Inputs!$B$22+Inputs!$B$23)+MAX(-AU22,0)*(Inputs!$B$21+Inputs!$B$22+Inputs!$B$23)</f>
        <v>0</v>
      </c>
      <c r="AW22" s="30" t="n">
        <f aca="false">AP21*(M22-AR21*J22)+AP21*AR21*N22/Inputs!$B$16-AV22</f>
        <v>0</v>
      </c>
      <c r="AX22" s="30" t="n">
        <f aca="false">AW22-IF(AP21&lt;&gt;0,0.75*AR21*(Inputs!$B$13-N22)/Inputs!$B$16,0)</f>
        <v>0</v>
      </c>
      <c r="AY22" s="30" t="n">
        <f aca="false">MAX(AS22,0)*(Inputs!$B$17+Inputs!$B$18+Inputs!$B$19)+MAX(-AS22,0)*(O22+Inputs!$B$18+Inputs!$B$19)+IF(AND(K22=1,AP22&lt;&gt;0),(Inputs!$B$17+Inputs!$B$18+Inputs!$B$19)+(O22+Inputs!$B$18+Inputs!$B$19),0)</f>
        <v>0</v>
      </c>
      <c r="AZ22" s="30" t="n">
        <f aca="false">AP21*M22-AY22</f>
        <v>0</v>
      </c>
      <c r="BA22" s="30" t="n">
        <f aca="false">BA21+AI22</f>
        <v>0</v>
      </c>
      <c r="BB22" s="30" t="n">
        <f aca="false">MAX(BB21,BA22)</f>
        <v>0</v>
      </c>
      <c r="BC22" s="30" t="n">
        <f aca="false">BA22-BB22</f>
        <v>0</v>
      </c>
      <c r="BD22" s="30" t="n">
        <f aca="false">A23-A22</f>
        <v>1</v>
      </c>
    </row>
    <row r="23" customFormat="false" ht="15" hidden="false" customHeight="false" outlineLevel="0" collapsed="false">
      <c r="A23" s="28" t="n">
        <v>45072</v>
      </c>
      <c r="B23" s="0" t="n">
        <v>18570.2</v>
      </c>
      <c r="C23" s="0" t="n">
        <v>203.1</v>
      </c>
      <c r="D23" s="29" t="n">
        <f aca="false">LN(B23)</f>
        <v>9.82931342434799</v>
      </c>
      <c r="E23" s="29" t="n">
        <f aca="false">LN(C23)</f>
        <v>5.31369846858634</v>
      </c>
      <c r="F23" s="0" t="n">
        <v>18</v>
      </c>
      <c r="G23" s="0" t="n">
        <v>33</v>
      </c>
      <c r="H23" s="29" t="n">
        <f aca="false">D23-E23</f>
        <v>4.51561495576165</v>
      </c>
      <c r="I23" s="29" t="n">
        <f aca="false">D23-D22</f>
        <v>0.0132973546339485</v>
      </c>
      <c r="J23" s="29" t="n">
        <f aca="false">E23-E22</f>
        <v>0.0106921125521708</v>
      </c>
      <c r="K23" s="0" t="n">
        <v>0</v>
      </c>
      <c r="L23" s="0" t="n">
        <v>1</v>
      </c>
      <c r="M23" s="29" t="n">
        <f aca="false">IF(L23=1,J23-Carry!$B$9/Inputs!$B$16,I23)</f>
        <v>0.0104326543704497</v>
      </c>
      <c r="N23" s="0" t="n">
        <v>0.065</v>
      </c>
      <c r="O23" s="0" t="n">
        <v>0.000125</v>
      </c>
      <c r="P23" s="29" t="n">
        <f aca="false">D23-('2 Hedge ratio'!$B$6+'2 Hedge ratio'!$B$5*E23)</f>
        <v>-0.000528014640464036</v>
      </c>
      <c r="Q23" s="29" t="n">
        <f aca="false">D23-('5 Re-specification'!$B$7+'5 Re-specification'!$B$5*E23+'5 Re-specification'!$B$6*F23)</f>
        <v>0.00132582586114971</v>
      </c>
      <c r="R23" s="30" t="n">
        <f aca="false">MIN(F23,Inputs!$B$9)</f>
        <v>18</v>
      </c>
      <c r="S23" s="29" t="str">
        <f aca="true">IF(AND(F23&gt;=1,R23&gt;=Inputs!$B$10),INDEX(LINEST(OFFSET(D23,-R23,0,R23,1),OFFSET(E23,-R23,0,R23,2)),1,1),"")</f>
        <v/>
      </c>
      <c r="T23" s="29" t="str">
        <f aca="true">IF(AND(F23&gt;=1,R23&gt;=Inputs!$B$10),INDEX(LINEST(OFFSET(D23,-R23,0,R23,1),OFFSET(E23,-R23,0,R23,2)),1,2),"")</f>
        <v/>
      </c>
      <c r="U23" s="29" t="str">
        <f aca="true">IF(AND(F23&gt;=1,R23&gt;=Inputs!$B$10),INDEX(LINEST(OFFSET(D23,-R23,0,R23,1),OFFSET(E23,-R23,0,R23,2)),1,3),"")</f>
        <v/>
      </c>
      <c r="V23" s="29" t="str">
        <f aca="true">IF(AND(F23&gt;=1,R23&gt;=Inputs!$B$10),SQRT(SUMPRODUCT((OFFSET(D23,-R23,0,R23,1)-U23-T23*OFFSET(E23,-R23,0,R23,1)-S23*OFFSET(F23,-R23,0,R23,1))^2)/(R23-3)),"")</f>
        <v/>
      </c>
      <c r="W23" s="31" t="str">
        <f aca="false">IF(AND(F23&gt;=1,R23&gt;=Inputs!$B$10),(D23-U23-T23*E23-S23*F23)/V23,"")</f>
        <v/>
      </c>
      <c r="X23" s="30" t="n">
        <f aca="false">IF(AB22&lt;&gt;0,AC22+1,0)</f>
        <v>0</v>
      </c>
      <c r="Y23" s="30" t="n">
        <f aca="false">IF(W23="",0,IF(AND(AB22&lt;&gt;0,OR(ABS(W23)&gt;Inputs!$B$7,X23&gt;=Inputs!$B$8,ABS(W23)&lt;Inputs!$B$6)),1,0))</f>
        <v>0</v>
      </c>
      <c r="Z23" s="30" t="n">
        <f aca="false">IF(Y23=1,0,AB22)</f>
        <v>0</v>
      </c>
      <c r="AA23" s="30" t="n">
        <f aca="false">IF(W23="",0,IF(AND(Z23=0,ABS(W23)&gt;Inputs!$B$5,ABS(W23)&lt;=Inputs!$B$7),1,0))</f>
        <v>0</v>
      </c>
      <c r="AB23" s="30" t="n">
        <f aca="false">IF(W23="",0,IF(AA23=1,-SIGN(W23),Z23))</f>
        <v>0</v>
      </c>
      <c r="AC23" s="30" t="n">
        <f aca="false">IF(W23="",0,IF(AA23=1,0,IF(Y23=1,0,X23)))</f>
        <v>0</v>
      </c>
      <c r="AD23" s="30" t="n">
        <f aca="false">IF(AB23=0,0,IF(AB22=AB23,AD22,T23))</f>
        <v>0</v>
      </c>
      <c r="AE23" s="30" t="n">
        <f aca="false">AB23-AB22</f>
        <v>0</v>
      </c>
      <c r="AF23" s="30" t="n">
        <f aca="false">-AD23*AB23</f>
        <v>-0</v>
      </c>
      <c r="AG23" s="30" t="n">
        <f aca="false">AF23-AF22</f>
        <v>0</v>
      </c>
      <c r="AH23" s="30" t="n">
        <f aca="false">MAX(AE23,0)*(Inputs!$B$17+Inputs!$B$18+Inputs!$B$19)+MAX(-AE23,0)*(O23+Inputs!$B$18+Inputs!$B$19)+IF(AND(K23=1,AB23&lt;&gt;0),(Inputs!$B$17+Inputs!$B$18+Inputs!$B$19)+(O23+Inputs!$B$18+Inputs!$B$19),0)+MAX(AG23,0)*(Inputs!$B$20+Inputs!$B$22+Inputs!$B$23)+MAX(-AG23,0)*(Inputs!$B$21+Inputs!$B$22+Inputs!$B$23)</f>
        <v>0</v>
      </c>
      <c r="AI23" s="30" t="n">
        <f aca="false">AB22*(M23-AD22*J23)+AB22*AD22*N23/Inputs!$B$16-AH23</f>
        <v>0</v>
      </c>
      <c r="AJ23" s="30" t="n">
        <f aca="false">MAX(AE23,0)*(Inputs!$B$17+Inputs!$B$24+Inputs!$B$25)+MAX(-AE23,0)*(O23+Inputs!$B$24+Inputs!$B$25)+IF(AND(K23=1,AB23&lt;&gt;0),(Inputs!$B$17+Inputs!$B$24+Inputs!$B$25)+(O23+Inputs!$B$24+Inputs!$B$25),0)+MAX(AG23,0)*(Inputs!$B$20+Inputs!$B$26+Inputs!$B$27)+MAX(-AG23,0)*(Inputs!$B$21+Inputs!$B$26+Inputs!$B$27)</f>
        <v>0</v>
      </c>
      <c r="AK23" s="30" t="n">
        <f aca="false">AB22*(M23-AD22*J23)+AB22*AD22*(N23+Inputs!$B$14)/Inputs!$B$16-AJ23</f>
        <v>0</v>
      </c>
      <c r="AL23" s="30" t="n">
        <f aca="false">IF(AP22&lt;&gt;0,AQ22+1,0)</f>
        <v>0</v>
      </c>
      <c r="AM23" s="30" t="n">
        <f aca="false">IF(W23="",0,IF(AND(AP22&lt;&gt;0,OR(ABS(W23)&gt;Inputs!$B$7,AL23&gt;=Inputs!$B$8,ABS(W23)&lt;Inputs!$B$6)),1,0))</f>
        <v>0</v>
      </c>
      <c r="AN23" s="30" t="n">
        <f aca="false">IF(AM23=1,0,AP22)</f>
        <v>0</v>
      </c>
      <c r="AO23" s="30" t="n">
        <f aca="false">IF(W23="",0,IF(AND(AN23=0,ABS(W23)&gt;Inputs!$B$5,ABS(W23)&lt;=Inputs!$B$7,W23&gt;0),1,0))</f>
        <v>0</v>
      </c>
      <c r="AP23" s="30" t="n">
        <f aca="false">IF(W23="",0,IF(AO23=1,-SIGN(W23),AN23))</f>
        <v>0</v>
      </c>
      <c r="AQ23" s="30" t="n">
        <f aca="false">IF(W23="",0,IF(AO23=1,0,IF(AM23=1,0,AL23)))</f>
        <v>0</v>
      </c>
      <c r="AR23" s="30" t="n">
        <f aca="false">IF(AP23=0,0,IF(AP22=AP23,AR22,T23))</f>
        <v>0</v>
      </c>
      <c r="AS23" s="30" t="n">
        <f aca="false">AP23-AP22</f>
        <v>0</v>
      </c>
      <c r="AT23" s="30" t="n">
        <f aca="false">-AR23*AP23</f>
        <v>-0</v>
      </c>
      <c r="AU23" s="30" t="n">
        <f aca="false">AT23-AT22</f>
        <v>0</v>
      </c>
      <c r="AV23" s="30" t="n">
        <f aca="false">MAX(AS23,0)*(Inputs!$B$17+Inputs!$B$18+Inputs!$B$19)+MAX(-AS23,0)*(O23+Inputs!$B$18+Inputs!$B$19)+IF(AND(K23=1,AP23&lt;&gt;0),(Inputs!$B$17+Inputs!$B$18+Inputs!$B$19)+(O23+Inputs!$B$18+Inputs!$B$19),0)+MAX(AU23,0)*(Inputs!$B$20+Inputs!$B$22+Inputs!$B$23)+MAX(-AU23,0)*(Inputs!$B$21+Inputs!$B$22+Inputs!$B$23)</f>
        <v>0</v>
      </c>
      <c r="AW23" s="30" t="n">
        <f aca="false">AP22*(M23-AR22*J23)+AP22*AR22*N23/Inputs!$B$16-AV23</f>
        <v>0</v>
      </c>
      <c r="AX23" s="30" t="n">
        <f aca="false">AW23-IF(AP22&lt;&gt;0,0.75*AR22*(Inputs!$B$13-N23)/Inputs!$B$16,0)</f>
        <v>0</v>
      </c>
      <c r="AY23" s="30" t="n">
        <f aca="false">MAX(AS23,0)*(Inputs!$B$17+Inputs!$B$18+Inputs!$B$19)+MAX(-AS23,0)*(O23+Inputs!$B$18+Inputs!$B$19)+IF(AND(K23=1,AP23&lt;&gt;0),(Inputs!$B$17+Inputs!$B$18+Inputs!$B$19)+(O23+Inputs!$B$18+Inputs!$B$19),0)</f>
        <v>0</v>
      </c>
      <c r="AZ23" s="30" t="n">
        <f aca="false">AP22*M23-AY23</f>
        <v>0</v>
      </c>
      <c r="BA23" s="30" t="n">
        <f aca="false">BA22+AI23</f>
        <v>0</v>
      </c>
      <c r="BB23" s="30" t="n">
        <f aca="false">MAX(BB22,BA23)</f>
        <v>0</v>
      </c>
      <c r="BC23" s="30" t="n">
        <f aca="false">BA23-BB23</f>
        <v>0</v>
      </c>
      <c r="BD23" s="30" t="n">
        <f aca="false">A24-A23</f>
        <v>3</v>
      </c>
    </row>
    <row r="24" customFormat="false" ht="15" hidden="false" customHeight="false" outlineLevel="0" collapsed="false">
      <c r="A24" s="28" t="n">
        <v>45075</v>
      </c>
      <c r="B24" s="0" t="n">
        <v>18675</v>
      </c>
      <c r="C24" s="0" t="n">
        <v>204.1</v>
      </c>
      <c r="D24" s="29" t="n">
        <f aca="false">LN(B24)</f>
        <v>9.83494101000102</v>
      </c>
      <c r="E24" s="29" t="n">
        <f aca="false">LN(C24)</f>
        <v>5.3186100698158</v>
      </c>
      <c r="F24" s="0" t="n">
        <v>19</v>
      </c>
      <c r="G24" s="0" t="n">
        <v>30</v>
      </c>
      <c r="H24" s="29" t="n">
        <f aca="false">D24-E24</f>
        <v>4.51633094018522</v>
      </c>
      <c r="I24" s="29" t="n">
        <f aca="false">D24-D23</f>
        <v>0.00562758565302701</v>
      </c>
      <c r="J24" s="29" t="n">
        <f aca="false">E24-E23</f>
        <v>0.00491160122945988</v>
      </c>
      <c r="K24" s="0" t="n">
        <v>0</v>
      </c>
      <c r="L24" s="0" t="n">
        <v>0</v>
      </c>
      <c r="M24" s="29" t="n">
        <f aca="false">IF(L24=1,J24-Carry!$B$9/Inputs!$B$16,I24)</f>
        <v>0.00562758565302701</v>
      </c>
      <c r="N24" s="0" t="n">
        <v>0.065</v>
      </c>
      <c r="O24" s="0" t="n">
        <v>0.000125</v>
      </c>
      <c r="P24" s="29" t="n">
        <f aca="false">D24-('2 Hedge ratio'!$B$6+'2 Hedge ratio'!$B$5*E24)</f>
        <v>0.000599921695506822</v>
      </c>
      <c r="Q24" s="29" t="n">
        <f aca="false">D24-('5 Re-specification'!$B$7+'5 Re-specification'!$B$5*E24+'5 Re-specification'!$B$6*F24)</f>
        <v>0.0021016242104448</v>
      </c>
      <c r="R24" s="30" t="n">
        <f aca="false">MIN(F24,Inputs!$B$9)</f>
        <v>19</v>
      </c>
      <c r="S24" s="29" t="str">
        <f aca="true">IF(AND(F24&gt;=1,R24&gt;=Inputs!$B$10),INDEX(LINEST(OFFSET(D24,-R24,0,R24,1),OFFSET(E24,-R24,0,R24,2)),1,1),"")</f>
        <v/>
      </c>
      <c r="T24" s="29" t="str">
        <f aca="true">IF(AND(F24&gt;=1,R24&gt;=Inputs!$B$10),INDEX(LINEST(OFFSET(D24,-R24,0,R24,1),OFFSET(E24,-R24,0,R24,2)),1,2),"")</f>
        <v/>
      </c>
      <c r="U24" s="29" t="str">
        <f aca="true">IF(AND(F24&gt;=1,R24&gt;=Inputs!$B$10),INDEX(LINEST(OFFSET(D24,-R24,0,R24,1),OFFSET(E24,-R24,0,R24,2)),1,3),"")</f>
        <v/>
      </c>
      <c r="V24" s="29" t="str">
        <f aca="true">IF(AND(F24&gt;=1,R24&gt;=Inputs!$B$10),SQRT(SUMPRODUCT((OFFSET(D24,-R24,0,R24,1)-U24-T24*OFFSET(E24,-R24,0,R24,1)-S24*OFFSET(F24,-R24,0,R24,1))^2)/(R24-3)),"")</f>
        <v/>
      </c>
      <c r="W24" s="31" t="str">
        <f aca="false">IF(AND(F24&gt;=1,R24&gt;=Inputs!$B$10),(D24-U24-T24*E24-S24*F24)/V24,"")</f>
        <v/>
      </c>
      <c r="X24" s="30" t="n">
        <f aca="false">IF(AB23&lt;&gt;0,AC23+1,0)</f>
        <v>0</v>
      </c>
      <c r="Y24" s="30" t="n">
        <f aca="false">IF(W24="",0,IF(AND(AB23&lt;&gt;0,OR(ABS(W24)&gt;Inputs!$B$7,X24&gt;=Inputs!$B$8,ABS(W24)&lt;Inputs!$B$6)),1,0))</f>
        <v>0</v>
      </c>
      <c r="Z24" s="30" t="n">
        <f aca="false">IF(Y24=1,0,AB23)</f>
        <v>0</v>
      </c>
      <c r="AA24" s="30" t="n">
        <f aca="false">IF(W24="",0,IF(AND(Z24=0,ABS(W24)&gt;Inputs!$B$5,ABS(W24)&lt;=Inputs!$B$7),1,0))</f>
        <v>0</v>
      </c>
      <c r="AB24" s="30" t="n">
        <f aca="false">IF(W24="",0,IF(AA24=1,-SIGN(W24),Z24))</f>
        <v>0</v>
      </c>
      <c r="AC24" s="30" t="n">
        <f aca="false">IF(W24="",0,IF(AA24=1,0,IF(Y24=1,0,X24)))</f>
        <v>0</v>
      </c>
      <c r="AD24" s="30" t="n">
        <f aca="false">IF(AB24=0,0,IF(AB23=AB24,AD23,T24))</f>
        <v>0</v>
      </c>
      <c r="AE24" s="30" t="n">
        <f aca="false">AB24-AB23</f>
        <v>0</v>
      </c>
      <c r="AF24" s="30" t="n">
        <f aca="false">-AD24*AB24</f>
        <v>-0</v>
      </c>
      <c r="AG24" s="30" t="n">
        <f aca="false">AF24-AF23</f>
        <v>0</v>
      </c>
      <c r="AH24" s="30" t="n">
        <f aca="false">MAX(AE24,0)*(Inputs!$B$17+Inputs!$B$18+Inputs!$B$19)+MAX(-AE24,0)*(O24+Inputs!$B$18+Inputs!$B$19)+IF(AND(K24=1,AB24&lt;&gt;0),(Inputs!$B$17+Inputs!$B$18+Inputs!$B$19)+(O24+Inputs!$B$18+Inputs!$B$19),0)+MAX(AG24,0)*(Inputs!$B$20+Inputs!$B$22+Inputs!$B$23)+MAX(-AG24,0)*(Inputs!$B$21+Inputs!$B$22+Inputs!$B$23)</f>
        <v>0</v>
      </c>
      <c r="AI24" s="30" t="n">
        <f aca="false">AB23*(M24-AD23*J24)+AB23*AD23*N24/Inputs!$B$16-AH24</f>
        <v>0</v>
      </c>
      <c r="AJ24" s="30" t="n">
        <f aca="false">MAX(AE24,0)*(Inputs!$B$17+Inputs!$B$24+Inputs!$B$25)+MAX(-AE24,0)*(O24+Inputs!$B$24+Inputs!$B$25)+IF(AND(K24=1,AB24&lt;&gt;0),(Inputs!$B$17+Inputs!$B$24+Inputs!$B$25)+(O24+Inputs!$B$24+Inputs!$B$25),0)+MAX(AG24,0)*(Inputs!$B$20+Inputs!$B$26+Inputs!$B$27)+MAX(-AG24,0)*(Inputs!$B$21+Inputs!$B$26+Inputs!$B$27)</f>
        <v>0</v>
      </c>
      <c r="AK24" s="30" t="n">
        <f aca="false">AB23*(M24-AD23*J24)+AB23*AD23*(N24+Inputs!$B$14)/Inputs!$B$16-AJ24</f>
        <v>0</v>
      </c>
      <c r="AL24" s="30" t="n">
        <f aca="false">IF(AP23&lt;&gt;0,AQ23+1,0)</f>
        <v>0</v>
      </c>
      <c r="AM24" s="30" t="n">
        <f aca="false">IF(W24="",0,IF(AND(AP23&lt;&gt;0,OR(ABS(W24)&gt;Inputs!$B$7,AL24&gt;=Inputs!$B$8,ABS(W24)&lt;Inputs!$B$6)),1,0))</f>
        <v>0</v>
      </c>
      <c r="AN24" s="30" t="n">
        <f aca="false">IF(AM24=1,0,AP23)</f>
        <v>0</v>
      </c>
      <c r="AO24" s="30" t="n">
        <f aca="false">IF(W24="",0,IF(AND(AN24=0,ABS(W24)&gt;Inputs!$B$5,ABS(W24)&lt;=Inputs!$B$7,W24&gt;0),1,0))</f>
        <v>0</v>
      </c>
      <c r="AP24" s="30" t="n">
        <f aca="false">IF(W24="",0,IF(AO24=1,-SIGN(W24),AN24))</f>
        <v>0</v>
      </c>
      <c r="AQ24" s="30" t="n">
        <f aca="false">IF(W24="",0,IF(AO24=1,0,IF(AM24=1,0,AL24)))</f>
        <v>0</v>
      </c>
      <c r="AR24" s="30" t="n">
        <f aca="false">IF(AP24=0,0,IF(AP23=AP24,AR23,T24))</f>
        <v>0</v>
      </c>
      <c r="AS24" s="30" t="n">
        <f aca="false">AP24-AP23</f>
        <v>0</v>
      </c>
      <c r="AT24" s="30" t="n">
        <f aca="false">-AR24*AP24</f>
        <v>-0</v>
      </c>
      <c r="AU24" s="30" t="n">
        <f aca="false">AT24-AT23</f>
        <v>0</v>
      </c>
      <c r="AV24" s="30" t="n">
        <f aca="false">MAX(AS24,0)*(Inputs!$B$17+Inputs!$B$18+Inputs!$B$19)+MAX(-AS24,0)*(O24+Inputs!$B$18+Inputs!$B$19)+IF(AND(K24=1,AP24&lt;&gt;0),(Inputs!$B$17+Inputs!$B$18+Inputs!$B$19)+(O24+Inputs!$B$18+Inputs!$B$19),0)+MAX(AU24,0)*(Inputs!$B$20+Inputs!$B$22+Inputs!$B$23)+MAX(-AU24,0)*(Inputs!$B$21+Inputs!$B$22+Inputs!$B$23)</f>
        <v>0</v>
      </c>
      <c r="AW24" s="30" t="n">
        <f aca="false">AP23*(M24-AR23*J24)+AP23*AR23*N24/Inputs!$B$16-AV24</f>
        <v>0</v>
      </c>
      <c r="AX24" s="30" t="n">
        <f aca="false">AW24-IF(AP23&lt;&gt;0,0.75*AR23*(Inputs!$B$13-N24)/Inputs!$B$16,0)</f>
        <v>0</v>
      </c>
      <c r="AY24" s="30" t="n">
        <f aca="false">MAX(AS24,0)*(Inputs!$B$17+Inputs!$B$18+Inputs!$B$19)+MAX(-AS24,0)*(O24+Inputs!$B$18+Inputs!$B$19)+IF(AND(K24=1,AP24&lt;&gt;0),(Inputs!$B$17+Inputs!$B$18+Inputs!$B$19)+(O24+Inputs!$B$18+Inputs!$B$19),0)</f>
        <v>0</v>
      </c>
      <c r="AZ24" s="30" t="n">
        <f aca="false">AP23*M24-AY24</f>
        <v>0</v>
      </c>
      <c r="BA24" s="30" t="n">
        <f aca="false">BA23+AI24</f>
        <v>0</v>
      </c>
      <c r="BB24" s="30" t="n">
        <f aca="false">MAX(BB23,BA24)</f>
        <v>0</v>
      </c>
      <c r="BC24" s="30" t="n">
        <f aca="false">BA24-BB24</f>
        <v>0</v>
      </c>
      <c r="BD24" s="30" t="n">
        <f aca="false">A25-A24</f>
        <v>1</v>
      </c>
    </row>
    <row r="25" customFormat="false" ht="15" hidden="false" customHeight="false" outlineLevel="0" collapsed="false">
      <c r="A25" s="28" t="n">
        <v>45076</v>
      </c>
      <c r="B25" s="0" t="n">
        <v>18720</v>
      </c>
      <c r="C25" s="0" t="n">
        <v>204.55</v>
      </c>
      <c r="D25" s="29" t="n">
        <f aca="false">LN(B25)</f>
        <v>9.83734775003158</v>
      </c>
      <c r="E25" s="29" t="n">
        <f aca="false">LN(C25)</f>
        <v>5.32081244437541</v>
      </c>
      <c r="F25" s="0" t="n">
        <v>20</v>
      </c>
      <c r="G25" s="0" t="n">
        <v>29</v>
      </c>
      <c r="H25" s="29" t="n">
        <f aca="false">D25-E25</f>
        <v>4.51653530565618</v>
      </c>
      <c r="I25" s="29" t="n">
        <f aca="false">D25-D24</f>
        <v>0.0024067400305654</v>
      </c>
      <c r="J25" s="29" t="n">
        <f aca="false">E25-E24</f>
        <v>0.0022023745596087</v>
      </c>
      <c r="K25" s="0" t="n">
        <v>0</v>
      </c>
      <c r="L25" s="0" t="n">
        <v>0</v>
      </c>
      <c r="M25" s="29" t="n">
        <f aca="false">IF(L25=1,J25-Carry!$B$9/Inputs!$B$16,I25)</f>
        <v>0.0024067400305654</v>
      </c>
      <c r="N25" s="0" t="n">
        <v>0.065</v>
      </c>
      <c r="O25" s="0" t="n">
        <v>0.000125</v>
      </c>
      <c r="P25" s="29" t="n">
        <f aca="false">D25-('2 Hedge ratio'!$B$6+'2 Hedge ratio'!$B$5*E25)</f>
        <v>0.00098900745812891</v>
      </c>
      <c r="Q25" s="29" t="n">
        <f aca="false">D25-('5 Re-specification'!$B$7+'5 Re-specification'!$B$5*E25+'5 Re-specification'!$B$6*F25)</f>
        <v>0.00235759329564544</v>
      </c>
      <c r="R25" s="30" t="n">
        <f aca="false">MIN(F25,Inputs!$B$9)</f>
        <v>20</v>
      </c>
      <c r="S25" s="29" t="str">
        <f aca="true">IF(AND(F25&gt;=1,R25&gt;=Inputs!$B$10),INDEX(LINEST(OFFSET(D25,-R25,0,R25,1),OFFSET(E25,-R25,0,R25,2)),1,1),"")</f>
        <v/>
      </c>
      <c r="T25" s="29" t="str">
        <f aca="true">IF(AND(F25&gt;=1,R25&gt;=Inputs!$B$10),INDEX(LINEST(OFFSET(D25,-R25,0,R25,1),OFFSET(E25,-R25,0,R25,2)),1,2),"")</f>
        <v/>
      </c>
      <c r="U25" s="29" t="str">
        <f aca="true">IF(AND(F25&gt;=1,R25&gt;=Inputs!$B$10),INDEX(LINEST(OFFSET(D25,-R25,0,R25,1),OFFSET(E25,-R25,0,R25,2)),1,3),"")</f>
        <v/>
      </c>
      <c r="V25" s="29" t="str">
        <f aca="true">IF(AND(F25&gt;=1,R25&gt;=Inputs!$B$10),SQRT(SUMPRODUCT((OFFSET(D25,-R25,0,R25,1)-U25-T25*OFFSET(E25,-R25,0,R25,1)-S25*OFFSET(F25,-R25,0,R25,1))^2)/(R25-3)),"")</f>
        <v/>
      </c>
      <c r="W25" s="31" t="str">
        <f aca="false">IF(AND(F25&gt;=1,R25&gt;=Inputs!$B$10),(D25-U25-T25*E25-S25*F25)/V25,"")</f>
        <v/>
      </c>
      <c r="X25" s="30" t="n">
        <f aca="false">IF(AB24&lt;&gt;0,AC24+1,0)</f>
        <v>0</v>
      </c>
      <c r="Y25" s="30" t="n">
        <f aca="false">IF(W25="",0,IF(AND(AB24&lt;&gt;0,OR(ABS(W25)&gt;Inputs!$B$7,X25&gt;=Inputs!$B$8,ABS(W25)&lt;Inputs!$B$6)),1,0))</f>
        <v>0</v>
      </c>
      <c r="Z25" s="30" t="n">
        <f aca="false">IF(Y25=1,0,AB24)</f>
        <v>0</v>
      </c>
      <c r="AA25" s="30" t="n">
        <f aca="false">IF(W25="",0,IF(AND(Z25=0,ABS(W25)&gt;Inputs!$B$5,ABS(W25)&lt;=Inputs!$B$7),1,0))</f>
        <v>0</v>
      </c>
      <c r="AB25" s="30" t="n">
        <f aca="false">IF(W25="",0,IF(AA25=1,-SIGN(W25),Z25))</f>
        <v>0</v>
      </c>
      <c r="AC25" s="30" t="n">
        <f aca="false">IF(W25="",0,IF(AA25=1,0,IF(Y25=1,0,X25)))</f>
        <v>0</v>
      </c>
      <c r="AD25" s="30" t="n">
        <f aca="false">IF(AB25=0,0,IF(AB24=AB25,AD24,T25))</f>
        <v>0</v>
      </c>
      <c r="AE25" s="30" t="n">
        <f aca="false">AB25-AB24</f>
        <v>0</v>
      </c>
      <c r="AF25" s="30" t="n">
        <f aca="false">-AD25*AB25</f>
        <v>-0</v>
      </c>
      <c r="AG25" s="30" t="n">
        <f aca="false">AF25-AF24</f>
        <v>0</v>
      </c>
      <c r="AH25" s="30" t="n">
        <f aca="false">MAX(AE25,0)*(Inputs!$B$17+Inputs!$B$18+Inputs!$B$19)+MAX(-AE25,0)*(O25+Inputs!$B$18+Inputs!$B$19)+IF(AND(K25=1,AB25&lt;&gt;0),(Inputs!$B$17+Inputs!$B$18+Inputs!$B$19)+(O25+Inputs!$B$18+Inputs!$B$19),0)+MAX(AG25,0)*(Inputs!$B$20+Inputs!$B$22+Inputs!$B$23)+MAX(-AG25,0)*(Inputs!$B$21+Inputs!$B$22+Inputs!$B$23)</f>
        <v>0</v>
      </c>
      <c r="AI25" s="30" t="n">
        <f aca="false">AB24*(M25-AD24*J25)+AB24*AD24*N25/Inputs!$B$16-AH25</f>
        <v>0</v>
      </c>
      <c r="AJ25" s="30" t="n">
        <f aca="false">MAX(AE25,0)*(Inputs!$B$17+Inputs!$B$24+Inputs!$B$25)+MAX(-AE25,0)*(O25+Inputs!$B$24+Inputs!$B$25)+IF(AND(K25=1,AB25&lt;&gt;0),(Inputs!$B$17+Inputs!$B$24+Inputs!$B$25)+(O25+Inputs!$B$24+Inputs!$B$25),0)+MAX(AG25,0)*(Inputs!$B$20+Inputs!$B$26+Inputs!$B$27)+MAX(-AG25,0)*(Inputs!$B$21+Inputs!$B$26+Inputs!$B$27)</f>
        <v>0</v>
      </c>
      <c r="AK25" s="30" t="n">
        <f aca="false">AB24*(M25-AD24*J25)+AB24*AD24*(N25+Inputs!$B$14)/Inputs!$B$16-AJ25</f>
        <v>0</v>
      </c>
      <c r="AL25" s="30" t="n">
        <f aca="false">IF(AP24&lt;&gt;0,AQ24+1,0)</f>
        <v>0</v>
      </c>
      <c r="AM25" s="30" t="n">
        <f aca="false">IF(W25="",0,IF(AND(AP24&lt;&gt;0,OR(ABS(W25)&gt;Inputs!$B$7,AL25&gt;=Inputs!$B$8,ABS(W25)&lt;Inputs!$B$6)),1,0))</f>
        <v>0</v>
      </c>
      <c r="AN25" s="30" t="n">
        <f aca="false">IF(AM25=1,0,AP24)</f>
        <v>0</v>
      </c>
      <c r="AO25" s="30" t="n">
        <f aca="false">IF(W25="",0,IF(AND(AN25=0,ABS(W25)&gt;Inputs!$B$5,ABS(W25)&lt;=Inputs!$B$7,W25&gt;0),1,0))</f>
        <v>0</v>
      </c>
      <c r="AP25" s="30" t="n">
        <f aca="false">IF(W25="",0,IF(AO25=1,-SIGN(W25),AN25))</f>
        <v>0</v>
      </c>
      <c r="AQ25" s="30" t="n">
        <f aca="false">IF(W25="",0,IF(AO25=1,0,IF(AM25=1,0,AL25)))</f>
        <v>0</v>
      </c>
      <c r="AR25" s="30" t="n">
        <f aca="false">IF(AP25=0,0,IF(AP24=AP25,AR24,T25))</f>
        <v>0</v>
      </c>
      <c r="AS25" s="30" t="n">
        <f aca="false">AP25-AP24</f>
        <v>0</v>
      </c>
      <c r="AT25" s="30" t="n">
        <f aca="false">-AR25*AP25</f>
        <v>-0</v>
      </c>
      <c r="AU25" s="30" t="n">
        <f aca="false">AT25-AT24</f>
        <v>0</v>
      </c>
      <c r="AV25" s="30" t="n">
        <f aca="false">MAX(AS25,0)*(Inputs!$B$17+Inputs!$B$18+Inputs!$B$19)+MAX(-AS25,0)*(O25+Inputs!$B$18+Inputs!$B$19)+IF(AND(K25=1,AP25&lt;&gt;0),(Inputs!$B$17+Inputs!$B$18+Inputs!$B$19)+(O25+Inputs!$B$18+Inputs!$B$19),0)+MAX(AU25,0)*(Inputs!$B$20+Inputs!$B$22+Inputs!$B$23)+MAX(-AU25,0)*(Inputs!$B$21+Inputs!$B$22+Inputs!$B$23)</f>
        <v>0</v>
      </c>
      <c r="AW25" s="30" t="n">
        <f aca="false">AP24*(M25-AR24*J25)+AP24*AR24*N25/Inputs!$B$16-AV25</f>
        <v>0</v>
      </c>
      <c r="AX25" s="30" t="n">
        <f aca="false">AW25-IF(AP24&lt;&gt;0,0.75*AR24*(Inputs!$B$13-N25)/Inputs!$B$16,0)</f>
        <v>0</v>
      </c>
      <c r="AY25" s="30" t="n">
        <f aca="false">MAX(AS25,0)*(Inputs!$B$17+Inputs!$B$18+Inputs!$B$19)+MAX(-AS25,0)*(O25+Inputs!$B$18+Inputs!$B$19)+IF(AND(K25=1,AP25&lt;&gt;0),(Inputs!$B$17+Inputs!$B$18+Inputs!$B$19)+(O25+Inputs!$B$18+Inputs!$B$19),0)</f>
        <v>0</v>
      </c>
      <c r="AZ25" s="30" t="n">
        <f aca="false">AP24*M25-AY25</f>
        <v>0</v>
      </c>
      <c r="BA25" s="30" t="n">
        <f aca="false">BA24+AI25</f>
        <v>0</v>
      </c>
      <c r="BB25" s="30" t="n">
        <f aca="false">MAX(BB24,BA25)</f>
        <v>0</v>
      </c>
      <c r="BC25" s="30" t="n">
        <f aca="false">BA25-BB25</f>
        <v>0</v>
      </c>
      <c r="BD25" s="30" t="n">
        <f aca="false">A26-A25</f>
        <v>1</v>
      </c>
    </row>
    <row r="26" customFormat="false" ht="15" hidden="false" customHeight="false" outlineLevel="0" collapsed="false">
      <c r="A26" s="28" t="n">
        <v>45077</v>
      </c>
      <c r="B26" s="0" t="n">
        <v>18624.95</v>
      </c>
      <c r="C26" s="0" t="n">
        <v>203.6</v>
      </c>
      <c r="D26" s="29" t="n">
        <f aca="false">LN(B26)</f>
        <v>9.8322573586804</v>
      </c>
      <c r="E26" s="29" t="n">
        <f aca="false">LN(C26)</f>
        <v>5.31615728467637</v>
      </c>
      <c r="F26" s="0" t="n">
        <v>21</v>
      </c>
      <c r="G26" s="0" t="n">
        <v>28</v>
      </c>
      <c r="H26" s="29" t="n">
        <f aca="false">D26-E26</f>
        <v>4.51610007400403</v>
      </c>
      <c r="I26" s="29" t="n">
        <f aca="false">D26-D25</f>
        <v>-0.00509039135118528</v>
      </c>
      <c r="J26" s="29" t="n">
        <f aca="false">E26-E25</f>
        <v>-0.00465515969904029</v>
      </c>
      <c r="K26" s="0" t="n">
        <v>0</v>
      </c>
      <c r="L26" s="0" t="n">
        <v>0</v>
      </c>
      <c r="M26" s="29" t="n">
        <f aca="false">IF(L26=1,J26-Carry!$B$9/Inputs!$B$16,I26)</f>
        <v>-0.00509039135118528</v>
      </c>
      <c r="N26" s="0" t="n">
        <v>0.065</v>
      </c>
      <c r="O26" s="0" t="n">
        <v>0.000125</v>
      </c>
      <c r="P26" s="29" t="n">
        <f aca="false">D26-('2 Hedge ratio'!$B$6+'2 Hedge ratio'!$B$5*E26)</f>
        <v>0.000163332475802136</v>
      </c>
      <c r="Q26" s="29" t="n">
        <f aca="false">D26-('5 Re-specification'!$B$7+'5 Re-specification'!$B$5*E26+'5 Re-specification'!$B$6*F26)</f>
        <v>0.00195318350003149</v>
      </c>
      <c r="R26" s="30" t="n">
        <f aca="false">MIN(F26,Inputs!$B$9)</f>
        <v>21</v>
      </c>
      <c r="S26" s="29" t="str">
        <f aca="true">IF(AND(F26&gt;=1,R26&gt;=Inputs!$B$10),INDEX(LINEST(OFFSET(D26,-R26,0,R26,1),OFFSET(E26,-R26,0,R26,2)),1,1),"")</f>
        <v/>
      </c>
      <c r="T26" s="29" t="str">
        <f aca="true">IF(AND(F26&gt;=1,R26&gt;=Inputs!$B$10),INDEX(LINEST(OFFSET(D26,-R26,0,R26,1),OFFSET(E26,-R26,0,R26,2)),1,2),"")</f>
        <v/>
      </c>
      <c r="U26" s="29" t="str">
        <f aca="true">IF(AND(F26&gt;=1,R26&gt;=Inputs!$B$10),INDEX(LINEST(OFFSET(D26,-R26,0,R26,1),OFFSET(E26,-R26,0,R26,2)),1,3),"")</f>
        <v/>
      </c>
      <c r="V26" s="29" t="str">
        <f aca="true">IF(AND(F26&gt;=1,R26&gt;=Inputs!$B$10),SQRT(SUMPRODUCT((OFFSET(D26,-R26,0,R26,1)-U26-T26*OFFSET(E26,-R26,0,R26,1)-S26*OFFSET(F26,-R26,0,R26,1))^2)/(R26-3)),"")</f>
        <v/>
      </c>
      <c r="W26" s="31" t="str">
        <f aca="false">IF(AND(F26&gt;=1,R26&gt;=Inputs!$B$10),(D26-U26-T26*E26-S26*F26)/V26,"")</f>
        <v/>
      </c>
      <c r="X26" s="30" t="n">
        <f aca="false">IF(AB25&lt;&gt;0,AC25+1,0)</f>
        <v>0</v>
      </c>
      <c r="Y26" s="30" t="n">
        <f aca="false">IF(W26="",0,IF(AND(AB25&lt;&gt;0,OR(ABS(W26)&gt;Inputs!$B$7,X26&gt;=Inputs!$B$8,ABS(W26)&lt;Inputs!$B$6)),1,0))</f>
        <v>0</v>
      </c>
      <c r="Z26" s="30" t="n">
        <f aca="false">IF(Y26=1,0,AB25)</f>
        <v>0</v>
      </c>
      <c r="AA26" s="30" t="n">
        <f aca="false">IF(W26="",0,IF(AND(Z26=0,ABS(W26)&gt;Inputs!$B$5,ABS(W26)&lt;=Inputs!$B$7),1,0))</f>
        <v>0</v>
      </c>
      <c r="AB26" s="30" t="n">
        <f aca="false">IF(W26="",0,IF(AA26=1,-SIGN(W26),Z26))</f>
        <v>0</v>
      </c>
      <c r="AC26" s="30" t="n">
        <f aca="false">IF(W26="",0,IF(AA26=1,0,IF(Y26=1,0,X26)))</f>
        <v>0</v>
      </c>
      <c r="AD26" s="30" t="n">
        <f aca="false">IF(AB26=0,0,IF(AB25=AB26,AD25,T26))</f>
        <v>0</v>
      </c>
      <c r="AE26" s="30" t="n">
        <f aca="false">AB26-AB25</f>
        <v>0</v>
      </c>
      <c r="AF26" s="30" t="n">
        <f aca="false">-AD26*AB26</f>
        <v>-0</v>
      </c>
      <c r="AG26" s="30" t="n">
        <f aca="false">AF26-AF25</f>
        <v>0</v>
      </c>
      <c r="AH26" s="30" t="n">
        <f aca="false">MAX(AE26,0)*(Inputs!$B$17+Inputs!$B$18+Inputs!$B$19)+MAX(-AE26,0)*(O26+Inputs!$B$18+Inputs!$B$19)+IF(AND(K26=1,AB26&lt;&gt;0),(Inputs!$B$17+Inputs!$B$18+Inputs!$B$19)+(O26+Inputs!$B$18+Inputs!$B$19),0)+MAX(AG26,0)*(Inputs!$B$20+Inputs!$B$22+Inputs!$B$23)+MAX(-AG26,0)*(Inputs!$B$21+Inputs!$B$22+Inputs!$B$23)</f>
        <v>0</v>
      </c>
      <c r="AI26" s="30" t="n">
        <f aca="false">AB25*(M26-AD25*J26)+AB25*AD25*N26/Inputs!$B$16-AH26</f>
        <v>0</v>
      </c>
      <c r="AJ26" s="30" t="n">
        <f aca="false">MAX(AE26,0)*(Inputs!$B$17+Inputs!$B$24+Inputs!$B$25)+MAX(-AE26,0)*(O26+Inputs!$B$24+Inputs!$B$25)+IF(AND(K26=1,AB26&lt;&gt;0),(Inputs!$B$17+Inputs!$B$24+Inputs!$B$25)+(O26+Inputs!$B$24+Inputs!$B$25),0)+MAX(AG26,0)*(Inputs!$B$20+Inputs!$B$26+Inputs!$B$27)+MAX(-AG26,0)*(Inputs!$B$21+Inputs!$B$26+Inputs!$B$27)</f>
        <v>0</v>
      </c>
      <c r="AK26" s="30" t="n">
        <f aca="false">AB25*(M26-AD25*J26)+AB25*AD25*(N26+Inputs!$B$14)/Inputs!$B$16-AJ26</f>
        <v>0</v>
      </c>
      <c r="AL26" s="30" t="n">
        <f aca="false">IF(AP25&lt;&gt;0,AQ25+1,0)</f>
        <v>0</v>
      </c>
      <c r="AM26" s="30" t="n">
        <f aca="false">IF(W26="",0,IF(AND(AP25&lt;&gt;0,OR(ABS(W26)&gt;Inputs!$B$7,AL26&gt;=Inputs!$B$8,ABS(W26)&lt;Inputs!$B$6)),1,0))</f>
        <v>0</v>
      </c>
      <c r="AN26" s="30" t="n">
        <f aca="false">IF(AM26=1,0,AP25)</f>
        <v>0</v>
      </c>
      <c r="AO26" s="30" t="n">
        <f aca="false">IF(W26="",0,IF(AND(AN26=0,ABS(W26)&gt;Inputs!$B$5,ABS(W26)&lt;=Inputs!$B$7,W26&gt;0),1,0))</f>
        <v>0</v>
      </c>
      <c r="AP26" s="30" t="n">
        <f aca="false">IF(W26="",0,IF(AO26=1,-SIGN(W26),AN26))</f>
        <v>0</v>
      </c>
      <c r="AQ26" s="30" t="n">
        <f aca="false">IF(W26="",0,IF(AO26=1,0,IF(AM26=1,0,AL26)))</f>
        <v>0</v>
      </c>
      <c r="AR26" s="30" t="n">
        <f aca="false">IF(AP26=0,0,IF(AP25=AP26,AR25,T26))</f>
        <v>0</v>
      </c>
      <c r="AS26" s="30" t="n">
        <f aca="false">AP26-AP25</f>
        <v>0</v>
      </c>
      <c r="AT26" s="30" t="n">
        <f aca="false">-AR26*AP26</f>
        <v>-0</v>
      </c>
      <c r="AU26" s="30" t="n">
        <f aca="false">AT26-AT25</f>
        <v>0</v>
      </c>
      <c r="AV26" s="30" t="n">
        <f aca="false">MAX(AS26,0)*(Inputs!$B$17+Inputs!$B$18+Inputs!$B$19)+MAX(-AS26,0)*(O26+Inputs!$B$18+Inputs!$B$19)+IF(AND(K26=1,AP26&lt;&gt;0),(Inputs!$B$17+Inputs!$B$18+Inputs!$B$19)+(O26+Inputs!$B$18+Inputs!$B$19),0)+MAX(AU26,0)*(Inputs!$B$20+Inputs!$B$22+Inputs!$B$23)+MAX(-AU26,0)*(Inputs!$B$21+Inputs!$B$22+Inputs!$B$23)</f>
        <v>0</v>
      </c>
      <c r="AW26" s="30" t="n">
        <f aca="false">AP25*(M26-AR25*J26)+AP25*AR25*N26/Inputs!$B$16-AV26</f>
        <v>0</v>
      </c>
      <c r="AX26" s="30" t="n">
        <f aca="false">AW26-IF(AP25&lt;&gt;0,0.75*AR25*(Inputs!$B$13-N26)/Inputs!$B$16,0)</f>
        <v>0</v>
      </c>
      <c r="AY26" s="30" t="n">
        <f aca="false">MAX(AS26,0)*(Inputs!$B$17+Inputs!$B$18+Inputs!$B$19)+MAX(-AS26,0)*(O26+Inputs!$B$18+Inputs!$B$19)+IF(AND(K26=1,AP26&lt;&gt;0),(Inputs!$B$17+Inputs!$B$18+Inputs!$B$19)+(O26+Inputs!$B$18+Inputs!$B$19),0)</f>
        <v>0</v>
      </c>
      <c r="AZ26" s="30" t="n">
        <f aca="false">AP25*M26-AY26</f>
        <v>-0</v>
      </c>
      <c r="BA26" s="30" t="n">
        <f aca="false">BA25+AI26</f>
        <v>0</v>
      </c>
      <c r="BB26" s="30" t="n">
        <f aca="false">MAX(BB25,BA26)</f>
        <v>0</v>
      </c>
      <c r="BC26" s="30" t="n">
        <f aca="false">BA26-BB26</f>
        <v>0</v>
      </c>
      <c r="BD26" s="30" t="n">
        <f aca="false">A27-A26</f>
        <v>1</v>
      </c>
    </row>
    <row r="27" customFormat="false" ht="15" hidden="false" customHeight="false" outlineLevel="0" collapsed="false">
      <c r="A27" s="28" t="n">
        <v>45078</v>
      </c>
      <c r="B27" s="0" t="n">
        <v>18573.95</v>
      </c>
      <c r="C27" s="0" t="n">
        <v>203.08</v>
      </c>
      <c r="D27" s="29" t="n">
        <f aca="false">LN(B27)</f>
        <v>9.82951534039737</v>
      </c>
      <c r="E27" s="29" t="n">
        <f aca="false">LN(C27)</f>
        <v>5.31359999007919</v>
      </c>
      <c r="F27" s="0" t="n">
        <v>22</v>
      </c>
      <c r="G27" s="0" t="n">
        <v>27</v>
      </c>
      <c r="H27" s="29" t="n">
        <f aca="false">D27-E27</f>
        <v>4.51591535031817</v>
      </c>
      <c r="I27" s="29" t="n">
        <f aca="false">D27-D26</f>
        <v>-0.00274201828302978</v>
      </c>
      <c r="J27" s="29" t="n">
        <f aca="false">E27-E26</f>
        <v>-0.00255729459717369</v>
      </c>
      <c r="K27" s="0" t="n">
        <v>0</v>
      </c>
      <c r="L27" s="0" t="n">
        <v>0</v>
      </c>
      <c r="M27" s="29" t="n">
        <f aca="false">IF(L27=1,J27-Carry!$B$9/Inputs!$B$16,I27)</f>
        <v>-0.00274201828302978</v>
      </c>
      <c r="N27" s="0" t="n">
        <v>0.065</v>
      </c>
      <c r="O27" s="0" t="n">
        <v>0.000125</v>
      </c>
      <c r="P27" s="29" t="n">
        <f aca="false">D27-('2 Hedge ratio'!$B$6+'2 Hedge ratio'!$B$5*E27)</f>
        <v>-0.000235879795479121</v>
      </c>
      <c r="Q27" s="29" t="n">
        <f aca="false">D27-('5 Re-specification'!$B$7+'5 Re-specification'!$B$5*E27+'5 Re-specification'!$B$6*F27)</f>
        <v>0.00180563925094113</v>
      </c>
      <c r="R27" s="30" t="n">
        <f aca="false">MIN(F27,Inputs!$B$9)</f>
        <v>22</v>
      </c>
      <c r="S27" s="29" t="str">
        <f aca="true">IF(AND(F27&gt;=1,R27&gt;=Inputs!$B$10),INDEX(LINEST(OFFSET(D27,-R27,0,R27,1),OFFSET(E27,-R27,0,R27,2)),1,1),"")</f>
        <v/>
      </c>
      <c r="T27" s="29" t="str">
        <f aca="true">IF(AND(F27&gt;=1,R27&gt;=Inputs!$B$10),INDEX(LINEST(OFFSET(D27,-R27,0,R27,1),OFFSET(E27,-R27,0,R27,2)),1,2),"")</f>
        <v/>
      </c>
      <c r="U27" s="29" t="str">
        <f aca="true">IF(AND(F27&gt;=1,R27&gt;=Inputs!$B$10),INDEX(LINEST(OFFSET(D27,-R27,0,R27,1),OFFSET(E27,-R27,0,R27,2)),1,3),"")</f>
        <v/>
      </c>
      <c r="V27" s="29" t="str">
        <f aca="true">IF(AND(F27&gt;=1,R27&gt;=Inputs!$B$10),SQRT(SUMPRODUCT((OFFSET(D27,-R27,0,R27,1)-U27-T27*OFFSET(E27,-R27,0,R27,1)-S27*OFFSET(F27,-R27,0,R27,1))^2)/(R27-3)),"")</f>
        <v/>
      </c>
      <c r="W27" s="31" t="str">
        <f aca="false">IF(AND(F27&gt;=1,R27&gt;=Inputs!$B$10),(D27-U27-T27*E27-S27*F27)/V27,"")</f>
        <v/>
      </c>
      <c r="X27" s="30" t="n">
        <f aca="false">IF(AB26&lt;&gt;0,AC26+1,0)</f>
        <v>0</v>
      </c>
      <c r="Y27" s="30" t="n">
        <f aca="false">IF(W27="",0,IF(AND(AB26&lt;&gt;0,OR(ABS(W27)&gt;Inputs!$B$7,X27&gt;=Inputs!$B$8,ABS(W27)&lt;Inputs!$B$6)),1,0))</f>
        <v>0</v>
      </c>
      <c r="Z27" s="30" t="n">
        <f aca="false">IF(Y27=1,0,AB26)</f>
        <v>0</v>
      </c>
      <c r="AA27" s="30" t="n">
        <f aca="false">IF(W27="",0,IF(AND(Z27=0,ABS(W27)&gt;Inputs!$B$5,ABS(W27)&lt;=Inputs!$B$7),1,0))</f>
        <v>0</v>
      </c>
      <c r="AB27" s="30" t="n">
        <f aca="false">IF(W27="",0,IF(AA27=1,-SIGN(W27),Z27))</f>
        <v>0</v>
      </c>
      <c r="AC27" s="30" t="n">
        <f aca="false">IF(W27="",0,IF(AA27=1,0,IF(Y27=1,0,X27)))</f>
        <v>0</v>
      </c>
      <c r="AD27" s="30" t="n">
        <f aca="false">IF(AB27=0,0,IF(AB26=AB27,AD26,T27))</f>
        <v>0</v>
      </c>
      <c r="AE27" s="30" t="n">
        <f aca="false">AB27-AB26</f>
        <v>0</v>
      </c>
      <c r="AF27" s="30" t="n">
        <f aca="false">-AD27*AB27</f>
        <v>-0</v>
      </c>
      <c r="AG27" s="30" t="n">
        <f aca="false">AF27-AF26</f>
        <v>0</v>
      </c>
      <c r="AH27" s="30" t="n">
        <f aca="false">MAX(AE27,0)*(Inputs!$B$17+Inputs!$B$18+Inputs!$B$19)+MAX(-AE27,0)*(O27+Inputs!$B$18+Inputs!$B$19)+IF(AND(K27=1,AB27&lt;&gt;0),(Inputs!$B$17+Inputs!$B$18+Inputs!$B$19)+(O27+Inputs!$B$18+Inputs!$B$19),0)+MAX(AG27,0)*(Inputs!$B$20+Inputs!$B$22+Inputs!$B$23)+MAX(-AG27,0)*(Inputs!$B$21+Inputs!$B$22+Inputs!$B$23)</f>
        <v>0</v>
      </c>
      <c r="AI27" s="30" t="n">
        <f aca="false">AB26*(M27-AD26*J27)+AB26*AD26*N27/Inputs!$B$16-AH27</f>
        <v>0</v>
      </c>
      <c r="AJ27" s="30" t="n">
        <f aca="false">MAX(AE27,0)*(Inputs!$B$17+Inputs!$B$24+Inputs!$B$25)+MAX(-AE27,0)*(O27+Inputs!$B$24+Inputs!$B$25)+IF(AND(K27=1,AB27&lt;&gt;0),(Inputs!$B$17+Inputs!$B$24+Inputs!$B$25)+(O27+Inputs!$B$24+Inputs!$B$25),0)+MAX(AG27,0)*(Inputs!$B$20+Inputs!$B$26+Inputs!$B$27)+MAX(-AG27,0)*(Inputs!$B$21+Inputs!$B$26+Inputs!$B$27)</f>
        <v>0</v>
      </c>
      <c r="AK27" s="30" t="n">
        <f aca="false">AB26*(M27-AD26*J27)+AB26*AD26*(N27+Inputs!$B$14)/Inputs!$B$16-AJ27</f>
        <v>0</v>
      </c>
      <c r="AL27" s="30" t="n">
        <f aca="false">IF(AP26&lt;&gt;0,AQ26+1,0)</f>
        <v>0</v>
      </c>
      <c r="AM27" s="30" t="n">
        <f aca="false">IF(W27="",0,IF(AND(AP26&lt;&gt;0,OR(ABS(W27)&gt;Inputs!$B$7,AL27&gt;=Inputs!$B$8,ABS(W27)&lt;Inputs!$B$6)),1,0))</f>
        <v>0</v>
      </c>
      <c r="AN27" s="30" t="n">
        <f aca="false">IF(AM27=1,0,AP26)</f>
        <v>0</v>
      </c>
      <c r="AO27" s="30" t="n">
        <f aca="false">IF(W27="",0,IF(AND(AN27=0,ABS(W27)&gt;Inputs!$B$5,ABS(W27)&lt;=Inputs!$B$7,W27&gt;0),1,0))</f>
        <v>0</v>
      </c>
      <c r="AP27" s="30" t="n">
        <f aca="false">IF(W27="",0,IF(AO27=1,-SIGN(W27),AN27))</f>
        <v>0</v>
      </c>
      <c r="AQ27" s="30" t="n">
        <f aca="false">IF(W27="",0,IF(AO27=1,0,IF(AM27=1,0,AL27)))</f>
        <v>0</v>
      </c>
      <c r="AR27" s="30" t="n">
        <f aca="false">IF(AP27=0,0,IF(AP26=AP27,AR26,T27))</f>
        <v>0</v>
      </c>
      <c r="AS27" s="30" t="n">
        <f aca="false">AP27-AP26</f>
        <v>0</v>
      </c>
      <c r="AT27" s="30" t="n">
        <f aca="false">-AR27*AP27</f>
        <v>-0</v>
      </c>
      <c r="AU27" s="30" t="n">
        <f aca="false">AT27-AT26</f>
        <v>0</v>
      </c>
      <c r="AV27" s="30" t="n">
        <f aca="false">MAX(AS27,0)*(Inputs!$B$17+Inputs!$B$18+Inputs!$B$19)+MAX(-AS27,0)*(O27+Inputs!$B$18+Inputs!$B$19)+IF(AND(K27=1,AP27&lt;&gt;0),(Inputs!$B$17+Inputs!$B$18+Inputs!$B$19)+(O27+Inputs!$B$18+Inputs!$B$19),0)+MAX(AU27,0)*(Inputs!$B$20+Inputs!$B$22+Inputs!$B$23)+MAX(-AU27,0)*(Inputs!$B$21+Inputs!$B$22+Inputs!$B$23)</f>
        <v>0</v>
      </c>
      <c r="AW27" s="30" t="n">
        <f aca="false">AP26*(M27-AR26*J27)+AP26*AR26*N27/Inputs!$B$16-AV27</f>
        <v>0</v>
      </c>
      <c r="AX27" s="30" t="n">
        <f aca="false">AW27-IF(AP26&lt;&gt;0,0.75*AR26*(Inputs!$B$13-N27)/Inputs!$B$16,0)</f>
        <v>0</v>
      </c>
      <c r="AY27" s="30" t="n">
        <f aca="false">MAX(AS27,0)*(Inputs!$B$17+Inputs!$B$18+Inputs!$B$19)+MAX(-AS27,0)*(O27+Inputs!$B$18+Inputs!$B$19)+IF(AND(K27=1,AP27&lt;&gt;0),(Inputs!$B$17+Inputs!$B$18+Inputs!$B$19)+(O27+Inputs!$B$18+Inputs!$B$19),0)</f>
        <v>0</v>
      </c>
      <c r="AZ27" s="30" t="n">
        <f aca="false">AP26*M27-AY27</f>
        <v>-0</v>
      </c>
      <c r="BA27" s="30" t="n">
        <f aca="false">BA26+AI27</f>
        <v>0</v>
      </c>
      <c r="BB27" s="30" t="n">
        <f aca="false">MAX(BB26,BA27)</f>
        <v>0</v>
      </c>
      <c r="BC27" s="30" t="n">
        <f aca="false">BA27-BB27</f>
        <v>0</v>
      </c>
      <c r="BD27" s="30" t="n">
        <f aca="false">A28-A27</f>
        <v>1</v>
      </c>
    </row>
    <row r="28" customFormat="false" ht="15" hidden="false" customHeight="false" outlineLevel="0" collapsed="false">
      <c r="A28" s="28" t="n">
        <v>45079</v>
      </c>
      <c r="B28" s="0" t="n">
        <v>18631.6</v>
      </c>
      <c r="C28" s="0" t="n">
        <v>203.6</v>
      </c>
      <c r="D28" s="29" t="n">
        <f aca="false">LN(B28)</f>
        <v>9.83261434289234</v>
      </c>
      <c r="E28" s="29" t="n">
        <f aca="false">LN(C28)</f>
        <v>5.31615728467637</v>
      </c>
      <c r="F28" s="0" t="n">
        <v>23</v>
      </c>
      <c r="G28" s="0" t="n">
        <v>26</v>
      </c>
      <c r="H28" s="29" t="n">
        <f aca="false">D28-E28</f>
        <v>4.51645705821597</v>
      </c>
      <c r="I28" s="29" t="n">
        <f aca="false">D28-D27</f>
        <v>0.00309900249496842</v>
      </c>
      <c r="J28" s="29" t="n">
        <f aca="false">E28-E27</f>
        <v>0.00255729459717369</v>
      </c>
      <c r="K28" s="0" t="n">
        <v>0</v>
      </c>
      <c r="L28" s="0" t="n">
        <v>0</v>
      </c>
      <c r="M28" s="29" t="n">
        <f aca="false">IF(L28=1,J28-Carry!$B$9/Inputs!$B$16,I28)</f>
        <v>0.00309900249496842</v>
      </c>
      <c r="N28" s="0" t="n">
        <v>0.065</v>
      </c>
      <c r="O28" s="0" t="n">
        <v>0.000125</v>
      </c>
      <c r="P28" s="29" t="n">
        <f aca="false">D28-('2 Hedge ratio'!$B$6+'2 Hedge ratio'!$B$5*E28)</f>
        <v>0.000520316687740774</v>
      </c>
      <c r="Q28" s="29" t="n">
        <f aca="false">D28-('5 Re-specification'!$B$7+'5 Re-specification'!$B$5*E28+'5 Re-specification'!$B$6*F28)</f>
        <v>0.00240002634816427</v>
      </c>
      <c r="R28" s="30" t="n">
        <f aca="false">MIN(F28,Inputs!$B$9)</f>
        <v>23</v>
      </c>
      <c r="S28" s="29" t="str">
        <f aca="true">IF(AND(F28&gt;=1,R28&gt;=Inputs!$B$10),INDEX(LINEST(OFFSET(D28,-R28,0,R28,1),OFFSET(E28,-R28,0,R28,2)),1,1),"")</f>
        <v/>
      </c>
      <c r="T28" s="29" t="str">
        <f aca="true">IF(AND(F28&gt;=1,R28&gt;=Inputs!$B$10),INDEX(LINEST(OFFSET(D28,-R28,0,R28,1),OFFSET(E28,-R28,0,R28,2)),1,2),"")</f>
        <v/>
      </c>
      <c r="U28" s="29" t="str">
        <f aca="true">IF(AND(F28&gt;=1,R28&gt;=Inputs!$B$10),INDEX(LINEST(OFFSET(D28,-R28,0,R28,1),OFFSET(E28,-R28,0,R28,2)),1,3),"")</f>
        <v/>
      </c>
      <c r="V28" s="29" t="str">
        <f aca="true">IF(AND(F28&gt;=1,R28&gt;=Inputs!$B$10),SQRT(SUMPRODUCT((OFFSET(D28,-R28,0,R28,1)-U28-T28*OFFSET(E28,-R28,0,R28,1)-S28*OFFSET(F28,-R28,0,R28,1))^2)/(R28-3)),"")</f>
        <v/>
      </c>
      <c r="W28" s="31" t="str">
        <f aca="false">IF(AND(F28&gt;=1,R28&gt;=Inputs!$B$10),(D28-U28-T28*E28-S28*F28)/V28,"")</f>
        <v/>
      </c>
      <c r="X28" s="30" t="n">
        <f aca="false">IF(AB27&lt;&gt;0,AC27+1,0)</f>
        <v>0</v>
      </c>
      <c r="Y28" s="30" t="n">
        <f aca="false">IF(W28="",0,IF(AND(AB27&lt;&gt;0,OR(ABS(W28)&gt;Inputs!$B$7,X28&gt;=Inputs!$B$8,ABS(W28)&lt;Inputs!$B$6)),1,0))</f>
        <v>0</v>
      </c>
      <c r="Z28" s="30" t="n">
        <f aca="false">IF(Y28=1,0,AB27)</f>
        <v>0</v>
      </c>
      <c r="AA28" s="30" t="n">
        <f aca="false">IF(W28="",0,IF(AND(Z28=0,ABS(W28)&gt;Inputs!$B$5,ABS(W28)&lt;=Inputs!$B$7),1,0))</f>
        <v>0</v>
      </c>
      <c r="AB28" s="30" t="n">
        <f aca="false">IF(W28="",0,IF(AA28=1,-SIGN(W28),Z28))</f>
        <v>0</v>
      </c>
      <c r="AC28" s="30" t="n">
        <f aca="false">IF(W28="",0,IF(AA28=1,0,IF(Y28=1,0,X28)))</f>
        <v>0</v>
      </c>
      <c r="AD28" s="30" t="n">
        <f aca="false">IF(AB28=0,0,IF(AB27=AB28,AD27,T28))</f>
        <v>0</v>
      </c>
      <c r="AE28" s="30" t="n">
        <f aca="false">AB28-AB27</f>
        <v>0</v>
      </c>
      <c r="AF28" s="30" t="n">
        <f aca="false">-AD28*AB28</f>
        <v>-0</v>
      </c>
      <c r="AG28" s="30" t="n">
        <f aca="false">AF28-AF27</f>
        <v>0</v>
      </c>
      <c r="AH28" s="30" t="n">
        <f aca="false">MAX(AE28,0)*(Inputs!$B$17+Inputs!$B$18+Inputs!$B$19)+MAX(-AE28,0)*(O28+Inputs!$B$18+Inputs!$B$19)+IF(AND(K28=1,AB28&lt;&gt;0),(Inputs!$B$17+Inputs!$B$18+Inputs!$B$19)+(O28+Inputs!$B$18+Inputs!$B$19),0)+MAX(AG28,0)*(Inputs!$B$20+Inputs!$B$22+Inputs!$B$23)+MAX(-AG28,0)*(Inputs!$B$21+Inputs!$B$22+Inputs!$B$23)</f>
        <v>0</v>
      </c>
      <c r="AI28" s="30" t="n">
        <f aca="false">AB27*(M28-AD27*J28)+AB27*AD27*N28/Inputs!$B$16-AH28</f>
        <v>0</v>
      </c>
      <c r="AJ28" s="30" t="n">
        <f aca="false">MAX(AE28,0)*(Inputs!$B$17+Inputs!$B$24+Inputs!$B$25)+MAX(-AE28,0)*(O28+Inputs!$B$24+Inputs!$B$25)+IF(AND(K28=1,AB28&lt;&gt;0),(Inputs!$B$17+Inputs!$B$24+Inputs!$B$25)+(O28+Inputs!$B$24+Inputs!$B$25),0)+MAX(AG28,0)*(Inputs!$B$20+Inputs!$B$26+Inputs!$B$27)+MAX(-AG28,0)*(Inputs!$B$21+Inputs!$B$26+Inputs!$B$27)</f>
        <v>0</v>
      </c>
      <c r="AK28" s="30" t="n">
        <f aca="false">AB27*(M28-AD27*J28)+AB27*AD27*(N28+Inputs!$B$14)/Inputs!$B$16-AJ28</f>
        <v>0</v>
      </c>
      <c r="AL28" s="30" t="n">
        <f aca="false">IF(AP27&lt;&gt;0,AQ27+1,0)</f>
        <v>0</v>
      </c>
      <c r="AM28" s="30" t="n">
        <f aca="false">IF(W28="",0,IF(AND(AP27&lt;&gt;0,OR(ABS(W28)&gt;Inputs!$B$7,AL28&gt;=Inputs!$B$8,ABS(W28)&lt;Inputs!$B$6)),1,0))</f>
        <v>0</v>
      </c>
      <c r="AN28" s="30" t="n">
        <f aca="false">IF(AM28=1,0,AP27)</f>
        <v>0</v>
      </c>
      <c r="AO28" s="30" t="n">
        <f aca="false">IF(W28="",0,IF(AND(AN28=0,ABS(W28)&gt;Inputs!$B$5,ABS(W28)&lt;=Inputs!$B$7,W28&gt;0),1,0))</f>
        <v>0</v>
      </c>
      <c r="AP28" s="30" t="n">
        <f aca="false">IF(W28="",0,IF(AO28=1,-SIGN(W28),AN28))</f>
        <v>0</v>
      </c>
      <c r="AQ28" s="30" t="n">
        <f aca="false">IF(W28="",0,IF(AO28=1,0,IF(AM28=1,0,AL28)))</f>
        <v>0</v>
      </c>
      <c r="AR28" s="30" t="n">
        <f aca="false">IF(AP28=0,0,IF(AP27=AP28,AR27,T28))</f>
        <v>0</v>
      </c>
      <c r="AS28" s="30" t="n">
        <f aca="false">AP28-AP27</f>
        <v>0</v>
      </c>
      <c r="AT28" s="30" t="n">
        <f aca="false">-AR28*AP28</f>
        <v>-0</v>
      </c>
      <c r="AU28" s="30" t="n">
        <f aca="false">AT28-AT27</f>
        <v>0</v>
      </c>
      <c r="AV28" s="30" t="n">
        <f aca="false">MAX(AS28,0)*(Inputs!$B$17+Inputs!$B$18+Inputs!$B$19)+MAX(-AS28,0)*(O28+Inputs!$B$18+Inputs!$B$19)+IF(AND(K28=1,AP28&lt;&gt;0),(Inputs!$B$17+Inputs!$B$18+Inputs!$B$19)+(O28+Inputs!$B$18+Inputs!$B$19),0)+MAX(AU28,0)*(Inputs!$B$20+Inputs!$B$22+Inputs!$B$23)+MAX(-AU28,0)*(Inputs!$B$21+Inputs!$B$22+Inputs!$B$23)</f>
        <v>0</v>
      </c>
      <c r="AW28" s="30" t="n">
        <f aca="false">AP27*(M28-AR27*J28)+AP27*AR27*N28/Inputs!$B$16-AV28</f>
        <v>0</v>
      </c>
      <c r="AX28" s="30" t="n">
        <f aca="false">AW28-IF(AP27&lt;&gt;0,0.75*AR27*(Inputs!$B$13-N28)/Inputs!$B$16,0)</f>
        <v>0</v>
      </c>
      <c r="AY28" s="30" t="n">
        <f aca="false">MAX(AS28,0)*(Inputs!$B$17+Inputs!$B$18+Inputs!$B$19)+MAX(-AS28,0)*(O28+Inputs!$B$18+Inputs!$B$19)+IF(AND(K28=1,AP28&lt;&gt;0),(Inputs!$B$17+Inputs!$B$18+Inputs!$B$19)+(O28+Inputs!$B$18+Inputs!$B$19),0)</f>
        <v>0</v>
      </c>
      <c r="AZ28" s="30" t="n">
        <f aca="false">AP27*M28-AY28</f>
        <v>0</v>
      </c>
      <c r="BA28" s="30" t="n">
        <f aca="false">BA27+AI28</f>
        <v>0</v>
      </c>
      <c r="BB28" s="30" t="n">
        <f aca="false">MAX(BB27,BA28)</f>
        <v>0</v>
      </c>
      <c r="BC28" s="30" t="n">
        <f aca="false">BA28-BB28</f>
        <v>0</v>
      </c>
      <c r="BD28" s="30" t="n">
        <f aca="false">A29-A28</f>
        <v>3</v>
      </c>
    </row>
    <row r="29" customFormat="false" ht="15" hidden="false" customHeight="false" outlineLevel="0" collapsed="false">
      <c r="A29" s="28" t="n">
        <v>45082</v>
      </c>
      <c r="B29" s="0" t="n">
        <v>18703</v>
      </c>
      <c r="C29" s="0" t="n">
        <v>204.3</v>
      </c>
      <c r="D29" s="29" t="n">
        <f aca="false">LN(B29)</f>
        <v>9.836439217783</v>
      </c>
      <c r="E29" s="29" t="n">
        <f aca="false">LN(C29)</f>
        <v>5.31958950182358</v>
      </c>
      <c r="F29" s="0" t="n">
        <v>24</v>
      </c>
      <c r="G29" s="0" t="n">
        <v>23</v>
      </c>
      <c r="H29" s="29" t="n">
        <f aca="false">D29-E29</f>
        <v>4.51684971595943</v>
      </c>
      <c r="I29" s="29" t="n">
        <f aca="false">D29-D28</f>
        <v>0.00382487489066463</v>
      </c>
      <c r="J29" s="29" t="n">
        <f aca="false">E29-E28</f>
        <v>0.00343221714720876</v>
      </c>
      <c r="K29" s="0" t="n">
        <v>0</v>
      </c>
      <c r="L29" s="0" t="n">
        <v>0</v>
      </c>
      <c r="M29" s="29" t="n">
        <f aca="false">IF(L29=1,J29-Carry!$B$9/Inputs!$B$16,I29)</f>
        <v>0.00382487489066463</v>
      </c>
      <c r="N29" s="0" t="n">
        <v>0.065</v>
      </c>
      <c r="O29" s="0" t="n">
        <v>0.000125</v>
      </c>
      <c r="P29" s="29" t="n">
        <f aca="false">D29-('2 Hedge ratio'!$B$6+'2 Hedge ratio'!$B$5*E29)</f>
        <v>0.0012008456063004</v>
      </c>
      <c r="Q29" s="29" t="n">
        <f aca="false">D29-('5 Re-specification'!$B$7+'5 Re-specification'!$B$5*E29+'5 Re-specification'!$B$6*F29)</f>
        <v>0.00284801474385432</v>
      </c>
      <c r="R29" s="30" t="n">
        <f aca="false">MIN(F29,Inputs!$B$9)</f>
        <v>24</v>
      </c>
      <c r="S29" s="29" t="str">
        <f aca="true">IF(AND(F29&gt;=1,R29&gt;=Inputs!$B$10),INDEX(LINEST(OFFSET(D29,-R29,0,R29,1),OFFSET(E29,-R29,0,R29,2)),1,1),"")</f>
        <v/>
      </c>
      <c r="T29" s="29" t="str">
        <f aca="true">IF(AND(F29&gt;=1,R29&gt;=Inputs!$B$10),INDEX(LINEST(OFFSET(D29,-R29,0,R29,1),OFFSET(E29,-R29,0,R29,2)),1,2),"")</f>
        <v/>
      </c>
      <c r="U29" s="29" t="str">
        <f aca="true">IF(AND(F29&gt;=1,R29&gt;=Inputs!$B$10),INDEX(LINEST(OFFSET(D29,-R29,0,R29,1),OFFSET(E29,-R29,0,R29,2)),1,3),"")</f>
        <v/>
      </c>
      <c r="V29" s="29" t="str">
        <f aca="true">IF(AND(F29&gt;=1,R29&gt;=Inputs!$B$10),SQRT(SUMPRODUCT((OFFSET(D29,-R29,0,R29,1)-U29-T29*OFFSET(E29,-R29,0,R29,1)-S29*OFFSET(F29,-R29,0,R29,1))^2)/(R29-3)),"")</f>
        <v/>
      </c>
      <c r="W29" s="31" t="str">
        <f aca="false">IF(AND(F29&gt;=1,R29&gt;=Inputs!$B$10),(D29-U29-T29*E29-S29*F29)/V29,"")</f>
        <v/>
      </c>
      <c r="X29" s="30" t="n">
        <f aca="false">IF(AB28&lt;&gt;0,AC28+1,0)</f>
        <v>0</v>
      </c>
      <c r="Y29" s="30" t="n">
        <f aca="false">IF(W29="",0,IF(AND(AB28&lt;&gt;0,OR(ABS(W29)&gt;Inputs!$B$7,X29&gt;=Inputs!$B$8,ABS(W29)&lt;Inputs!$B$6)),1,0))</f>
        <v>0</v>
      </c>
      <c r="Z29" s="30" t="n">
        <f aca="false">IF(Y29=1,0,AB28)</f>
        <v>0</v>
      </c>
      <c r="AA29" s="30" t="n">
        <f aca="false">IF(W29="",0,IF(AND(Z29=0,ABS(W29)&gt;Inputs!$B$5,ABS(W29)&lt;=Inputs!$B$7),1,0))</f>
        <v>0</v>
      </c>
      <c r="AB29" s="30" t="n">
        <f aca="false">IF(W29="",0,IF(AA29=1,-SIGN(W29),Z29))</f>
        <v>0</v>
      </c>
      <c r="AC29" s="30" t="n">
        <f aca="false">IF(W29="",0,IF(AA29=1,0,IF(Y29=1,0,X29)))</f>
        <v>0</v>
      </c>
      <c r="AD29" s="30" t="n">
        <f aca="false">IF(AB29=0,0,IF(AB28=AB29,AD28,T29))</f>
        <v>0</v>
      </c>
      <c r="AE29" s="30" t="n">
        <f aca="false">AB29-AB28</f>
        <v>0</v>
      </c>
      <c r="AF29" s="30" t="n">
        <f aca="false">-AD29*AB29</f>
        <v>-0</v>
      </c>
      <c r="AG29" s="30" t="n">
        <f aca="false">AF29-AF28</f>
        <v>0</v>
      </c>
      <c r="AH29" s="30" t="n">
        <f aca="false">MAX(AE29,0)*(Inputs!$B$17+Inputs!$B$18+Inputs!$B$19)+MAX(-AE29,0)*(O29+Inputs!$B$18+Inputs!$B$19)+IF(AND(K29=1,AB29&lt;&gt;0),(Inputs!$B$17+Inputs!$B$18+Inputs!$B$19)+(O29+Inputs!$B$18+Inputs!$B$19),0)+MAX(AG29,0)*(Inputs!$B$20+Inputs!$B$22+Inputs!$B$23)+MAX(-AG29,0)*(Inputs!$B$21+Inputs!$B$22+Inputs!$B$23)</f>
        <v>0</v>
      </c>
      <c r="AI29" s="30" t="n">
        <f aca="false">AB28*(M29-AD28*J29)+AB28*AD28*N29/Inputs!$B$16-AH29</f>
        <v>0</v>
      </c>
      <c r="AJ29" s="30" t="n">
        <f aca="false">MAX(AE29,0)*(Inputs!$B$17+Inputs!$B$24+Inputs!$B$25)+MAX(-AE29,0)*(O29+Inputs!$B$24+Inputs!$B$25)+IF(AND(K29=1,AB29&lt;&gt;0),(Inputs!$B$17+Inputs!$B$24+Inputs!$B$25)+(O29+Inputs!$B$24+Inputs!$B$25),0)+MAX(AG29,0)*(Inputs!$B$20+Inputs!$B$26+Inputs!$B$27)+MAX(-AG29,0)*(Inputs!$B$21+Inputs!$B$26+Inputs!$B$27)</f>
        <v>0</v>
      </c>
      <c r="AK29" s="30" t="n">
        <f aca="false">AB28*(M29-AD28*J29)+AB28*AD28*(N29+Inputs!$B$14)/Inputs!$B$16-AJ29</f>
        <v>0</v>
      </c>
      <c r="AL29" s="30" t="n">
        <f aca="false">IF(AP28&lt;&gt;0,AQ28+1,0)</f>
        <v>0</v>
      </c>
      <c r="AM29" s="30" t="n">
        <f aca="false">IF(W29="",0,IF(AND(AP28&lt;&gt;0,OR(ABS(W29)&gt;Inputs!$B$7,AL29&gt;=Inputs!$B$8,ABS(W29)&lt;Inputs!$B$6)),1,0))</f>
        <v>0</v>
      </c>
      <c r="AN29" s="30" t="n">
        <f aca="false">IF(AM29=1,0,AP28)</f>
        <v>0</v>
      </c>
      <c r="AO29" s="30" t="n">
        <f aca="false">IF(W29="",0,IF(AND(AN29=0,ABS(W29)&gt;Inputs!$B$5,ABS(W29)&lt;=Inputs!$B$7,W29&gt;0),1,0))</f>
        <v>0</v>
      </c>
      <c r="AP29" s="30" t="n">
        <f aca="false">IF(W29="",0,IF(AO29=1,-SIGN(W29),AN29))</f>
        <v>0</v>
      </c>
      <c r="AQ29" s="30" t="n">
        <f aca="false">IF(W29="",0,IF(AO29=1,0,IF(AM29=1,0,AL29)))</f>
        <v>0</v>
      </c>
      <c r="AR29" s="30" t="n">
        <f aca="false">IF(AP29=0,0,IF(AP28=AP29,AR28,T29))</f>
        <v>0</v>
      </c>
      <c r="AS29" s="30" t="n">
        <f aca="false">AP29-AP28</f>
        <v>0</v>
      </c>
      <c r="AT29" s="30" t="n">
        <f aca="false">-AR29*AP29</f>
        <v>-0</v>
      </c>
      <c r="AU29" s="30" t="n">
        <f aca="false">AT29-AT28</f>
        <v>0</v>
      </c>
      <c r="AV29" s="30" t="n">
        <f aca="false">MAX(AS29,0)*(Inputs!$B$17+Inputs!$B$18+Inputs!$B$19)+MAX(-AS29,0)*(O29+Inputs!$B$18+Inputs!$B$19)+IF(AND(K29=1,AP29&lt;&gt;0),(Inputs!$B$17+Inputs!$B$18+Inputs!$B$19)+(O29+Inputs!$B$18+Inputs!$B$19),0)+MAX(AU29,0)*(Inputs!$B$20+Inputs!$B$22+Inputs!$B$23)+MAX(-AU29,0)*(Inputs!$B$21+Inputs!$B$22+Inputs!$B$23)</f>
        <v>0</v>
      </c>
      <c r="AW29" s="30" t="n">
        <f aca="false">AP28*(M29-AR28*J29)+AP28*AR28*N29/Inputs!$B$16-AV29</f>
        <v>0</v>
      </c>
      <c r="AX29" s="30" t="n">
        <f aca="false">AW29-IF(AP28&lt;&gt;0,0.75*AR28*(Inputs!$B$13-N29)/Inputs!$B$16,0)</f>
        <v>0</v>
      </c>
      <c r="AY29" s="30" t="n">
        <f aca="false">MAX(AS29,0)*(Inputs!$B$17+Inputs!$B$18+Inputs!$B$19)+MAX(-AS29,0)*(O29+Inputs!$B$18+Inputs!$B$19)+IF(AND(K29=1,AP29&lt;&gt;0),(Inputs!$B$17+Inputs!$B$18+Inputs!$B$19)+(O29+Inputs!$B$18+Inputs!$B$19),0)</f>
        <v>0</v>
      </c>
      <c r="AZ29" s="30" t="n">
        <f aca="false">AP28*M29-AY29</f>
        <v>0</v>
      </c>
      <c r="BA29" s="30" t="n">
        <f aca="false">BA28+AI29</f>
        <v>0</v>
      </c>
      <c r="BB29" s="30" t="n">
        <f aca="false">MAX(BB28,BA29)</f>
        <v>0</v>
      </c>
      <c r="BC29" s="30" t="n">
        <f aca="false">BA29-BB29</f>
        <v>0</v>
      </c>
      <c r="BD29" s="30" t="n">
        <f aca="false">A30-A29</f>
        <v>1</v>
      </c>
    </row>
    <row r="30" customFormat="false" ht="15" hidden="false" customHeight="false" outlineLevel="0" collapsed="false">
      <c r="A30" s="28" t="n">
        <v>45083</v>
      </c>
      <c r="B30" s="0" t="n">
        <v>18683</v>
      </c>
      <c r="C30" s="0" t="n">
        <v>204.19</v>
      </c>
      <c r="D30" s="29" t="n">
        <f aca="false">LN(B30)</f>
        <v>9.83536929845984</v>
      </c>
      <c r="E30" s="29" t="n">
        <f aca="false">LN(C30)</f>
        <v>5.31905093293494</v>
      </c>
      <c r="F30" s="0" t="n">
        <v>25</v>
      </c>
      <c r="G30" s="0" t="n">
        <v>22</v>
      </c>
      <c r="H30" s="29" t="n">
        <f aca="false">D30-E30</f>
        <v>4.5163183655249</v>
      </c>
      <c r="I30" s="29" t="n">
        <f aca="false">D30-D29</f>
        <v>-0.00106991932316269</v>
      </c>
      <c r="J30" s="29" t="n">
        <f aca="false">E30-E29</f>
        <v>-0.000538568888632796</v>
      </c>
      <c r="K30" s="0" t="n">
        <v>0</v>
      </c>
      <c r="L30" s="0" t="n">
        <v>0</v>
      </c>
      <c r="M30" s="29" t="n">
        <f aca="false">IF(L30=1,J30-Carry!$B$9/Inputs!$B$16,I30)</f>
        <v>-0.00106991932316269</v>
      </c>
      <c r="N30" s="0" t="n">
        <v>0.065</v>
      </c>
      <c r="O30" s="0" t="n">
        <v>0.000125</v>
      </c>
      <c r="P30" s="29" t="n">
        <f aca="false">D30-('2 Hedge ratio'!$B$6+'2 Hedge ratio'!$B$5*E30)</f>
        <v>0.000624323653713788</v>
      </c>
      <c r="Q30" s="29" t="n">
        <f aca="false">D30-('5 Re-specification'!$B$7+'5 Re-specification'!$B$5*E30+'5 Re-specification'!$B$6*F30)</f>
        <v>0.00235996149439188</v>
      </c>
      <c r="R30" s="30" t="n">
        <f aca="false">MIN(F30,Inputs!$B$9)</f>
        <v>25</v>
      </c>
      <c r="S30" s="29" t="str">
        <f aca="true">IF(AND(F30&gt;=1,R30&gt;=Inputs!$B$10),INDEX(LINEST(OFFSET(D30,-R30,0,R30,1),OFFSET(E30,-R30,0,R30,2)),1,1),"")</f>
        <v/>
      </c>
      <c r="T30" s="29" t="str">
        <f aca="true">IF(AND(F30&gt;=1,R30&gt;=Inputs!$B$10),INDEX(LINEST(OFFSET(D30,-R30,0,R30,1),OFFSET(E30,-R30,0,R30,2)),1,2),"")</f>
        <v/>
      </c>
      <c r="U30" s="29" t="str">
        <f aca="true">IF(AND(F30&gt;=1,R30&gt;=Inputs!$B$10),INDEX(LINEST(OFFSET(D30,-R30,0,R30,1),OFFSET(E30,-R30,0,R30,2)),1,3),"")</f>
        <v/>
      </c>
      <c r="V30" s="29" t="str">
        <f aca="true">IF(AND(F30&gt;=1,R30&gt;=Inputs!$B$10),SQRT(SUMPRODUCT((OFFSET(D30,-R30,0,R30,1)-U30-T30*OFFSET(E30,-R30,0,R30,1)-S30*OFFSET(F30,-R30,0,R30,1))^2)/(R30-3)),"")</f>
        <v/>
      </c>
      <c r="W30" s="31" t="str">
        <f aca="false">IF(AND(F30&gt;=1,R30&gt;=Inputs!$B$10),(D30-U30-T30*E30-S30*F30)/V30,"")</f>
        <v/>
      </c>
      <c r="X30" s="30" t="n">
        <f aca="false">IF(AB29&lt;&gt;0,AC29+1,0)</f>
        <v>0</v>
      </c>
      <c r="Y30" s="30" t="n">
        <f aca="false">IF(W30="",0,IF(AND(AB29&lt;&gt;0,OR(ABS(W30)&gt;Inputs!$B$7,X30&gt;=Inputs!$B$8,ABS(W30)&lt;Inputs!$B$6)),1,0))</f>
        <v>0</v>
      </c>
      <c r="Z30" s="30" t="n">
        <f aca="false">IF(Y30=1,0,AB29)</f>
        <v>0</v>
      </c>
      <c r="AA30" s="30" t="n">
        <f aca="false">IF(W30="",0,IF(AND(Z30=0,ABS(W30)&gt;Inputs!$B$5,ABS(W30)&lt;=Inputs!$B$7),1,0))</f>
        <v>0</v>
      </c>
      <c r="AB30" s="30" t="n">
        <f aca="false">IF(W30="",0,IF(AA30=1,-SIGN(W30),Z30))</f>
        <v>0</v>
      </c>
      <c r="AC30" s="30" t="n">
        <f aca="false">IF(W30="",0,IF(AA30=1,0,IF(Y30=1,0,X30)))</f>
        <v>0</v>
      </c>
      <c r="AD30" s="30" t="n">
        <f aca="false">IF(AB30=0,0,IF(AB29=AB30,AD29,T30))</f>
        <v>0</v>
      </c>
      <c r="AE30" s="30" t="n">
        <f aca="false">AB30-AB29</f>
        <v>0</v>
      </c>
      <c r="AF30" s="30" t="n">
        <f aca="false">-AD30*AB30</f>
        <v>-0</v>
      </c>
      <c r="AG30" s="30" t="n">
        <f aca="false">AF30-AF29</f>
        <v>0</v>
      </c>
      <c r="AH30" s="30" t="n">
        <f aca="false">MAX(AE30,0)*(Inputs!$B$17+Inputs!$B$18+Inputs!$B$19)+MAX(-AE30,0)*(O30+Inputs!$B$18+Inputs!$B$19)+IF(AND(K30=1,AB30&lt;&gt;0),(Inputs!$B$17+Inputs!$B$18+Inputs!$B$19)+(O30+Inputs!$B$18+Inputs!$B$19),0)+MAX(AG30,0)*(Inputs!$B$20+Inputs!$B$22+Inputs!$B$23)+MAX(-AG30,0)*(Inputs!$B$21+Inputs!$B$22+Inputs!$B$23)</f>
        <v>0</v>
      </c>
      <c r="AI30" s="30" t="n">
        <f aca="false">AB29*(M30-AD29*J30)+AB29*AD29*N30/Inputs!$B$16-AH30</f>
        <v>0</v>
      </c>
      <c r="AJ30" s="30" t="n">
        <f aca="false">MAX(AE30,0)*(Inputs!$B$17+Inputs!$B$24+Inputs!$B$25)+MAX(-AE30,0)*(O30+Inputs!$B$24+Inputs!$B$25)+IF(AND(K30=1,AB30&lt;&gt;0),(Inputs!$B$17+Inputs!$B$24+Inputs!$B$25)+(O30+Inputs!$B$24+Inputs!$B$25),0)+MAX(AG30,0)*(Inputs!$B$20+Inputs!$B$26+Inputs!$B$27)+MAX(-AG30,0)*(Inputs!$B$21+Inputs!$B$26+Inputs!$B$27)</f>
        <v>0</v>
      </c>
      <c r="AK30" s="30" t="n">
        <f aca="false">AB29*(M30-AD29*J30)+AB29*AD29*(N30+Inputs!$B$14)/Inputs!$B$16-AJ30</f>
        <v>0</v>
      </c>
      <c r="AL30" s="30" t="n">
        <f aca="false">IF(AP29&lt;&gt;0,AQ29+1,0)</f>
        <v>0</v>
      </c>
      <c r="AM30" s="30" t="n">
        <f aca="false">IF(W30="",0,IF(AND(AP29&lt;&gt;0,OR(ABS(W30)&gt;Inputs!$B$7,AL30&gt;=Inputs!$B$8,ABS(W30)&lt;Inputs!$B$6)),1,0))</f>
        <v>0</v>
      </c>
      <c r="AN30" s="30" t="n">
        <f aca="false">IF(AM30=1,0,AP29)</f>
        <v>0</v>
      </c>
      <c r="AO30" s="30" t="n">
        <f aca="false">IF(W30="",0,IF(AND(AN30=0,ABS(W30)&gt;Inputs!$B$5,ABS(W30)&lt;=Inputs!$B$7,W30&gt;0),1,0))</f>
        <v>0</v>
      </c>
      <c r="AP30" s="30" t="n">
        <f aca="false">IF(W30="",0,IF(AO30=1,-SIGN(W30),AN30))</f>
        <v>0</v>
      </c>
      <c r="AQ30" s="30" t="n">
        <f aca="false">IF(W30="",0,IF(AO30=1,0,IF(AM30=1,0,AL30)))</f>
        <v>0</v>
      </c>
      <c r="AR30" s="30" t="n">
        <f aca="false">IF(AP30=0,0,IF(AP29=AP30,AR29,T30))</f>
        <v>0</v>
      </c>
      <c r="AS30" s="30" t="n">
        <f aca="false">AP30-AP29</f>
        <v>0</v>
      </c>
      <c r="AT30" s="30" t="n">
        <f aca="false">-AR30*AP30</f>
        <v>-0</v>
      </c>
      <c r="AU30" s="30" t="n">
        <f aca="false">AT30-AT29</f>
        <v>0</v>
      </c>
      <c r="AV30" s="30" t="n">
        <f aca="false">MAX(AS30,0)*(Inputs!$B$17+Inputs!$B$18+Inputs!$B$19)+MAX(-AS30,0)*(O30+Inputs!$B$18+Inputs!$B$19)+IF(AND(K30=1,AP30&lt;&gt;0),(Inputs!$B$17+Inputs!$B$18+Inputs!$B$19)+(O30+Inputs!$B$18+Inputs!$B$19),0)+MAX(AU30,0)*(Inputs!$B$20+Inputs!$B$22+Inputs!$B$23)+MAX(-AU30,0)*(Inputs!$B$21+Inputs!$B$22+Inputs!$B$23)</f>
        <v>0</v>
      </c>
      <c r="AW30" s="30" t="n">
        <f aca="false">AP29*(M30-AR29*J30)+AP29*AR29*N30/Inputs!$B$16-AV30</f>
        <v>0</v>
      </c>
      <c r="AX30" s="30" t="n">
        <f aca="false">AW30-IF(AP29&lt;&gt;0,0.75*AR29*(Inputs!$B$13-N30)/Inputs!$B$16,0)</f>
        <v>0</v>
      </c>
      <c r="AY30" s="30" t="n">
        <f aca="false">MAX(AS30,0)*(Inputs!$B$17+Inputs!$B$18+Inputs!$B$19)+MAX(-AS30,0)*(O30+Inputs!$B$18+Inputs!$B$19)+IF(AND(K30=1,AP30&lt;&gt;0),(Inputs!$B$17+Inputs!$B$18+Inputs!$B$19)+(O30+Inputs!$B$18+Inputs!$B$19),0)</f>
        <v>0</v>
      </c>
      <c r="AZ30" s="30" t="n">
        <f aca="false">AP29*M30-AY30</f>
        <v>-0</v>
      </c>
      <c r="BA30" s="30" t="n">
        <f aca="false">BA29+AI30</f>
        <v>0</v>
      </c>
      <c r="BB30" s="30" t="n">
        <f aca="false">MAX(BB29,BA30)</f>
        <v>0</v>
      </c>
      <c r="BC30" s="30" t="n">
        <f aca="false">BA30-BB30</f>
        <v>0</v>
      </c>
      <c r="BD30" s="30" t="n">
        <f aca="false">A31-A30</f>
        <v>1</v>
      </c>
    </row>
    <row r="31" customFormat="false" ht="15" hidden="false" customHeight="false" outlineLevel="0" collapsed="false">
      <c r="A31" s="28" t="n">
        <v>45084</v>
      </c>
      <c r="B31" s="0" t="n">
        <v>18800</v>
      </c>
      <c r="C31" s="0" t="n">
        <v>205.3</v>
      </c>
      <c r="D31" s="29" t="n">
        <f aca="false">LN(B31)</f>
        <v>9.84161214881804</v>
      </c>
      <c r="E31" s="29" t="n">
        <f aca="false">LN(C31)</f>
        <v>5.32447232402489</v>
      </c>
      <c r="F31" s="0" t="n">
        <v>26</v>
      </c>
      <c r="G31" s="0" t="n">
        <v>21</v>
      </c>
      <c r="H31" s="29" t="n">
        <f aca="false">D31-E31</f>
        <v>4.51713982479315</v>
      </c>
      <c r="I31" s="29" t="n">
        <f aca="false">D31-D30</f>
        <v>0.00624285035820194</v>
      </c>
      <c r="J31" s="29" t="n">
        <f aca="false">E31-E30</f>
        <v>0.00542139108994455</v>
      </c>
      <c r="K31" s="0" t="n">
        <v>0</v>
      </c>
      <c r="L31" s="0" t="n">
        <v>0</v>
      </c>
      <c r="M31" s="29" t="n">
        <f aca="false">IF(L31=1,J31-Carry!$B$9/Inputs!$B$16,I31)</f>
        <v>0.00624285035820194</v>
      </c>
      <c r="N31" s="0" t="n">
        <v>0.065</v>
      </c>
      <c r="O31" s="0" t="n">
        <v>0.000125</v>
      </c>
      <c r="P31" s="29" t="n">
        <f aca="false">D31-('2 Hedge ratio'!$B$6+'2 Hedge ratio'!$B$5*E31)</f>
        <v>0.00190049256207558</v>
      </c>
      <c r="Q31" s="29" t="n">
        <f aca="false">D31-('5 Re-specification'!$B$7+'5 Re-specification'!$B$5*E31+'5 Re-specification'!$B$6*F31)</f>
        <v>0.00324277960655905</v>
      </c>
      <c r="R31" s="30" t="n">
        <f aca="false">MIN(F31,Inputs!$B$9)</f>
        <v>26</v>
      </c>
      <c r="S31" s="29" t="str">
        <f aca="true">IF(AND(F31&gt;=1,R31&gt;=Inputs!$B$10),INDEX(LINEST(OFFSET(D31,-R31,0,R31,1),OFFSET(E31,-R31,0,R31,2)),1,1),"")</f>
        <v/>
      </c>
      <c r="T31" s="29" t="str">
        <f aca="true">IF(AND(F31&gt;=1,R31&gt;=Inputs!$B$10),INDEX(LINEST(OFFSET(D31,-R31,0,R31,1),OFFSET(E31,-R31,0,R31,2)),1,2),"")</f>
        <v/>
      </c>
      <c r="U31" s="29" t="str">
        <f aca="true">IF(AND(F31&gt;=1,R31&gt;=Inputs!$B$10),INDEX(LINEST(OFFSET(D31,-R31,0,R31,1),OFFSET(E31,-R31,0,R31,2)),1,3),"")</f>
        <v/>
      </c>
      <c r="V31" s="29" t="str">
        <f aca="true">IF(AND(F31&gt;=1,R31&gt;=Inputs!$B$10),SQRT(SUMPRODUCT((OFFSET(D31,-R31,0,R31,1)-U31-T31*OFFSET(E31,-R31,0,R31,1)-S31*OFFSET(F31,-R31,0,R31,1))^2)/(R31-3)),"")</f>
        <v/>
      </c>
      <c r="W31" s="31" t="str">
        <f aca="false">IF(AND(F31&gt;=1,R31&gt;=Inputs!$B$10),(D31-U31-T31*E31-S31*F31)/V31,"")</f>
        <v/>
      </c>
      <c r="X31" s="30" t="n">
        <f aca="false">IF(AB30&lt;&gt;0,AC30+1,0)</f>
        <v>0</v>
      </c>
      <c r="Y31" s="30" t="n">
        <f aca="false">IF(W31="",0,IF(AND(AB30&lt;&gt;0,OR(ABS(W31)&gt;Inputs!$B$7,X31&gt;=Inputs!$B$8,ABS(W31)&lt;Inputs!$B$6)),1,0))</f>
        <v>0</v>
      </c>
      <c r="Z31" s="30" t="n">
        <f aca="false">IF(Y31=1,0,AB30)</f>
        <v>0</v>
      </c>
      <c r="AA31" s="30" t="n">
        <f aca="false">IF(W31="",0,IF(AND(Z31=0,ABS(W31)&gt;Inputs!$B$5,ABS(W31)&lt;=Inputs!$B$7),1,0))</f>
        <v>0</v>
      </c>
      <c r="AB31" s="30" t="n">
        <f aca="false">IF(W31="",0,IF(AA31=1,-SIGN(W31),Z31))</f>
        <v>0</v>
      </c>
      <c r="AC31" s="30" t="n">
        <f aca="false">IF(W31="",0,IF(AA31=1,0,IF(Y31=1,0,X31)))</f>
        <v>0</v>
      </c>
      <c r="AD31" s="30" t="n">
        <f aca="false">IF(AB31=0,0,IF(AB30=AB31,AD30,T31))</f>
        <v>0</v>
      </c>
      <c r="AE31" s="30" t="n">
        <f aca="false">AB31-AB30</f>
        <v>0</v>
      </c>
      <c r="AF31" s="30" t="n">
        <f aca="false">-AD31*AB31</f>
        <v>-0</v>
      </c>
      <c r="AG31" s="30" t="n">
        <f aca="false">AF31-AF30</f>
        <v>0</v>
      </c>
      <c r="AH31" s="30" t="n">
        <f aca="false">MAX(AE31,0)*(Inputs!$B$17+Inputs!$B$18+Inputs!$B$19)+MAX(-AE31,0)*(O31+Inputs!$B$18+Inputs!$B$19)+IF(AND(K31=1,AB31&lt;&gt;0),(Inputs!$B$17+Inputs!$B$18+Inputs!$B$19)+(O31+Inputs!$B$18+Inputs!$B$19),0)+MAX(AG31,0)*(Inputs!$B$20+Inputs!$B$22+Inputs!$B$23)+MAX(-AG31,0)*(Inputs!$B$21+Inputs!$B$22+Inputs!$B$23)</f>
        <v>0</v>
      </c>
      <c r="AI31" s="30" t="n">
        <f aca="false">AB30*(M31-AD30*J31)+AB30*AD30*N31/Inputs!$B$16-AH31</f>
        <v>0</v>
      </c>
      <c r="AJ31" s="30" t="n">
        <f aca="false">MAX(AE31,0)*(Inputs!$B$17+Inputs!$B$24+Inputs!$B$25)+MAX(-AE31,0)*(O31+Inputs!$B$24+Inputs!$B$25)+IF(AND(K31=1,AB31&lt;&gt;0),(Inputs!$B$17+Inputs!$B$24+Inputs!$B$25)+(O31+Inputs!$B$24+Inputs!$B$25),0)+MAX(AG31,0)*(Inputs!$B$20+Inputs!$B$26+Inputs!$B$27)+MAX(-AG31,0)*(Inputs!$B$21+Inputs!$B$26+Inputs!$B$27)</f>
        <v>0</v>
      </c>
      <c r="AK31" s="30" t="n">
        <f aca="false">AB30*(M31-AD30*J31)+AB30*AD30*(N31+Inputs!$B$14)/Inputs!$B$16-AJ31</f>
        <v>0</v>
      </c>
      <c r="AL31" s="30" t="n">
        <f aca="false">IF(AP30&lt;&gt;0,AQ30+1,0)</f>
        <v>0</v>
      </c>
      <c r="AM31" s="30" t="n">
        <f aca="false">IF(W31="",0,IF(AND(AP30&lt;&gt;0,OR(ABS(W31)&gt;Inputs!$B$7,AL31&gt;=Inputs!$B$8,ABS(W31)&lt;Inputs!$B$6)),1,0))</f>
        <v>0</v>
      </c>
      <c r="AN31" s="30" t="n">
        <f aca="false">IF(AM31=1,0,AP30)</f>
        <v>0</v>
      </c>
      <c r="AO31" s="30" t="n">
        <f aca="false">IF(W31="",0,IF(AND(AN31=0,ABS(W31)&gt;Inputs!$B$5,ABS(W31)&lt;=Inputs!$B$7,W31&gt;0),1,0))</f>
        <v>0</v>
      </c>
      <c r="AP31" s="30" t="n">
        <f aca="false">IF(W31="",0,IF(AO31=1,-SIGN(W31),AN31))</f>
        <v>0</v>
      </c>
      <c r="AQ31" s="30" t="n">
        <f aca="false">IF(W31="",0,IF(AO31=1,0,IF(AM31=1,0,AL31)))</f>
        <v>0</v>
      </c>
      <c r="AR31" s="30" t="n">
        <f aca="false">IF(AP31=0,0,IF(AP30=AP31,AR30,T31))</f>
        <v>0</v>
      </c>
      <c r="AS31" s="30" t="n">
        <f aca="false">AP31-AP30</f>
        <v>0</v>
      </c>
      <c r="AT31" s="30" t="n">
        <f aca="false">-AR31*AP31</f>
        <v>-0</v>
      </c>
      <c r="AU31" s="30" t="n">
        <f aca="false">AT31-AT30</f>
        <v>0</v>
      </c>
      <c r="AV31" s="30" t="n">
        <f aca="false">MAX(AS31,0)*(Inputs!$B$17+Inputs!$B$18+Inputs!$B$19)+MAX(-AS31,0)*(O31+Inputs!$B$18+Inputs!$B$19)+IF(AND(K31=1,AP31&lt;&gt;0),(Inputs!$B$17+Inputs!$B$18+Inputs!$B$19)+(O31+Inputs!$B$18+Inputs!$B$19),0)+MAX(AU31,0)*(Inputs!$B$20+Inputs!$B$22+Inputs!$B$23)+MAX(-AU31,0)*(Inputs!$B$21+Inputs!$B$22+Inputs!$B$23)</f>
        <v>0</v>
      </c>
      <c r="AW31" s="30" t="n">
        <f aca="false">AP30*(M31-AR30*J31)+AP30*AR30*N31/Inputs!$B$16-AV31</f>
        <v>0</v>
      </c>
      <c r="AX31" s="30" t="n">
        <f aca="false">AW31-IF(AP30&lt;&gt;0,0.75*AR30*(Inputs!$B$13-N31)/Inputs!$B$16,0)</f>
        <v>0</v>
      </c>
      <c r="AY31" s="30" t="n">
        <f aca="false">MAX(AS31,0)*(Inputs!$B$17+Inputs!$B$18+Inputs!$B$19)+MAX(-AS31,0)*(O31+Inputs!$B$18+Inputs!$B$19)+IF(AND(K31=1,AP31&lt;&gt;0),(Inputs!$B$17+Inputs!$B$18+Inputs!$B$19)+(O31+Inputs!$B$18+Inputs!$B$19),0)</f>
        <v>0</v>
      </c>
      <c r="AZ31" s="30" t="n">
        <f aca="false">AP30*M31-AY31</f>
        <v>0</v>
      </c>
      <c r="BA31" s="30" t="n">
        <f aca="false">BA30+AI31</f>
        <v>0</v>
      </c>
      <c r="BB31" s="30" t="n">
        <f aca="false">MAX(BB30,BA31)</f>
        <v>0</v>
      </c>
      <c r="BC31" s="30" t="n">
        <f aca="false">BA31-BB31</f>
        <v>0</v>
      </c>
      <c r="BD31" s="30" t="n">
        <f aca="false">A32-A31</f>
        <v>1</v>
      </c>
    </row>
    <row r="32" customFormat="false" ht="15" hidden="false" customHeight="false" outlineLevel="0" collapsed="false">
      <c r="A32" s="28" t="n">
        <v>45085</v>
      </c>
      <c r="B32" s="0" t="n">
        <v>18722</v>
      </c>
      <c r="C32" s="0" t="n">
        <v>204.6</v>
      </c>
      <c r="D32" s="29" t="n">
        <f aca="false">LN(B32)</f>
        <v>9.83745458193169</v>
      </c>
      <c r="E32" s="29" t="n">
        <f aca="false">LN(C32)</f>
        <v>5.32105685351753</v>
      </c>
      <c r="F32" s="0" t="n">
        <v>27</v>
      </c>
      <c r="G32" s="0" t="n">
        <v>20</v>
      </c>
      <c r="H32" s="29" t="n">
        <f aca="false">D32-E32</f>
        <v>4.51639772841416</v>
      </c>
      <c r="I32" s="29" t="n">
        <f aca="false">D32-D31</f>
        <v>-0.00415756688635049</v>
      </c>
      <c r="J32" s="29" t="n">
        <f aca="false">E32-E31</f>
        <v>-0.00341547050736146</v>
      </c>
      <c r="K32" s="0" t="n">
        <v>0</v>
      </c>
      <c r="L32" s="0" t="n">
        <v>0</v>
      </c>
      <c r="M32" s="29" t="n">
        <f aca="false">IF(L32=1,J32-Carry!$B$9/Inputs!$B$16,I32)</f>
        <v>-0.00415756688635049</v>
      </c>
      <c r="N32" s="0" t="n">
        <v>0.065</v>
      </c>
      <c r="O32" s="0" t="n">
        <v>0.000125</v>
      </c>
      <c r="P32" s="29" t="n">
        <f aca="false">D32-('2 Hedge ratio'!$B$6+'2 Hedge ratio'!$B$5*E32)</f>
        <v>0.000871929602936916</v>
      </c>
      <c r="Q32" s="29" t="n">
        <f aca="false">D32-('5 Re-specification'!$B$7+'5 Re-specification'!$B$5*E32+'5 Re-specification'!$B$6*F32)</f>
        <v>0.00253526196222253</v>
      </c>
      <c r="R32" s="30" t="n">
        <f aca="false">MIN(F32,Inputs!$B$9)</f>
        <v>27</v>
      </c>
      <c r="S32" s="29" t="str">
        <f aca="true">IF(AND(F32&gt;=1,R32&gt;=Inputs!$B$10),INDEX(LINEST(OFFSET(D32,-R32,0,R32,1),OFFSET(E32,-R32,0,R32,2)),1,1),"")</f>
        <v/>
      </c>
      <c r="T32" s="29" t="str">
        <f aca="true">IF(AND(F32&gt;=1,R32&gt;=Inputs!$B$10),INDEX(LINEST(OFFSET(D32,-R32,0,R32,1),OFFSET(E32,-R32,0,R32,2)),1,2),"")</f>
        <v/>
      </c>
      <c r="U32" s="29" t="str">
        <f aca="true">IF(AND(F32&gt;=1,R32&gt;=Inputs!$B$10),INDEX(LINEST(OFFSET(D32,-R32,0,R32,1),OFFSET(E32,-R32,0,R32,2)),1,3),"")</f>
        <v/>
      </c>
      <c r="V32" s="29" t="str">
        <f aca="true">IF(AND(F32&gt;=1,R32&gt;=Inputs!$B$10),SQRT(SUMPRODUCT((OFFSET(D32,-R32,0,R32,1)-U32-T32*OFFSET(E32,-R32,0,R32,1)-S32*OFFSET(F32,-R32,0,R32,1))^2)/(R32-3)),"")</f>
        <v/>
      </c>
      <c r="W32" s="31" t="str">
        <f aca="false">IF(AND(F32&gt;=1,R32&gt;=Inputs!$B$10),(D32-U32-T32*E32-S32*F32)/V32,"")</f>
        <v/>
      </c>
      <c r="X32" s="30" t="n">
        <f aca="false">IF(AB31&lt;&gt;0,AC31+1,0)</f>
        <v>0</v>
      </c>
      <c r="Y32" s="30" t="n">
        <f aca="false">IF(W32="",0,IF(AND(AB31&lt;&gt;0,OR(ABS(W32)&gt;Inputs!$B$7,X32&gt;=Inputs!$B$8,ABS(W32)&lt;Inputs!$B$6)),1,0))</f>
        <v>0</v>
      </c>
      <c r="Z32" s="30" t="n">
        <f aca="false">IF(Y32=1,0,AB31)</f>
        <v>0</v>
      </c>
      <c r="AA32" s="30" t="n">
        <f aca="false">IF(W32="",0,IF(AND(Z32=0,ABS(W32)&gt;Inputs!$B$5,ABS(W32)&lt;=Inputs!$B$7),1,0))</f>
        <v>0</v>
      </c>
      <c r="AB32" s="30" t="n">
        <f aca="false">IF(W32="",0,IF(AA32=1,-SIGN(W32),Z32))</f>
        <v>0</v>
      </c>
      <c r="AC32" s="30" t="n">
        <f aca="false">IF(W32="",0,IF(AA32=1,0,IF(Y32=1,0,X32)))</f>
        <v>0</v>
      </c>
      <c r="AD32" s="30" t="n">
        <f aca="false">IF(AB32=0,0,IF(AB31=AB32,AD31,T32))</f>
        <v>0</v>
      </c>
      <c r="AE32" s="30" t="n">
        <f aca="false">AB32-AB31</f>
        <v>0</v>
      </c>
      <c r="AF32" s="30" t="n">
        <f aca="false">-AD32*AB32</f>
        <v>-0</v>
      </c>
      <c r="AG32" s="30" t="n">
        <f aca="false">AF32-AF31</f>
        <v>0</v>
      </c>
      <c r="AH32" s="30" t="n">
        <f aca="false">MAX(AE32,0)*(Inputs!$B$17+Inputs!$B$18+Inputs!$B$19)+MAX(-AE32,0)*(O32+Inputs!$B$18+Inputs!$B$19)+IF(AND(K32=1,AB32&lt;&gt;0),(Inputs!$B$17+Inputs!$B$18+Inputs!$B$19)+(O32+Inputs!$B$18+Inputs!$B$19),0)+MAX(AG32,0)*(Inputs!$B$20+Inputs!$B$22+Inputs!$B$23)+MAX(-AG32,0)*(Inputs!$B$21+Inputs!$B$22+Inputs!$B$23)</f>
        <v>0</v>
      </c>
      <c r="AI32" s="30" t="n">
        <f aca="false">AB31*(M32-AD31*J32)+AB31*AD31*N32/Inputs!$B$16-AH32</f>
        <v>0</v>
      </c>
      <c r="AJ32" s="30" t="n">
        <f aca="false">MAX(AE32,0)*(Inputs!$B$17+Inputs!$B$24+Inputs!$B$25)+MAX(-AE32,0)*(O32+Inputs!$B$24+Inputs!$B$25)+IF(AND(K32=1,AB32&lt;&gt;0),(Inputs!$B$17+Inputs!$B$24+Inputs!$B$25)+(O32+Inputs!$B$24+Inputs!$B$25),0)+MAX(AG32,0)*(Inputs!$B$20+Inputs!$B$26+Inputs!$B$27)+MAX(-AG32,0)*(Inputs!$B$21+Inputs!$B$26+Inputs!$B$27)</f>
        <v>0</v>
      </c>
      <c r="AK32" s="30" t="n">
        <f aca="false">AB31*(M32-AD31*J32)+AB31*AD31*(N32+Inputs!$B$14)/Inputs!$B$16-AJ32</f>
        <v>0</v>
      </c>
      <c r="AL32" s="30" t="n">
        <f aca="false">IF(AP31&lt;&gt;0,AQ31+1,0)</f>
        <v>0</v>
      </c>
      <c r="AM32" s="30" t="n">
        <f aca="false">IF(W32="",0,IF(AND(AP31&lt;&gt;0,OR(ABS(W32)&gt;Inputs!$B$7,AL32&gt;=Inputs!$B$8,ABS(W32)&lt;Inputs!$B$6)),1,0))</f>
        <v>0</v>
      </c>
      <c r="AN32" s="30" t="n">
        <f aca="false">IF(AM32=1,0,AP31)</f>
        <v>0</v>
      </c>
      <c r="AO32" s="30" t="n">
        <f aca="false">IF(W32="",0,IF(AND(AN32=0,ABS(W32)&gt;Inputs!$B$5,ABS(W32)&lt;=Inputs!$B$7,W32&gt;0),1,0))</f>
        <v>0</v>
      </c>
      <c r="AP32" s="30" t="n">
        <f aca="false">IF(W32="",0,IF(AO32=1,-SIGN(W32),AN32))</f>
        <v>0</v>
      </c>
      <c r="AQ32" s="30" t="n">
        <f aca="false">IF(W32="",0,IF(AO32=1,0,IF(AM32=1,0,AL32)))</f>
        <v>0</v>
      </c>
      <c r="AR32" s="30" t="n">
        <f aca="false">IF(AP32=0,0,IF(AP31=AP32,AR31,T32))</f>
        <v>0</v>
      </c>
      <c r="AS32" s="30" t="n">
        <f aca="false">AP32-AP31</f>
        <v>0</v>
      </c>
      <c r="AT32" s="30" t="n">
        <f aca="false">-AR32*AP32</f>
        <v>-0</v>
      </c>
      <c r="AU32" s="30" t="n">
        <f aca="false">AT32-AT31</f>
        <v>0</v>
      </c>
      <c r="AV32" s="30" t="n">
        <f aca="false">MAX(AS32,0)*(Inputs!$B$17+Inputs!$B$18+Inputs!$B$19)+MAX(-AS32,0)*(O32+Inputs!$B$18+Inputs!$B$19)+IF(AND(K32=1,AP32&lt;&gt;0),(Inputs!$B$17+Inputs!$B$18+Inputs!$B$19)+(O32+Inputs!$B$18+Inputs!$B$19),0)+MAX(AU32,0)*(Inputs!$B$20+Inputs!$B$22+Inputs!$B$23)+MAX(-AU32,0)*(Inputs!$B$21+Inputs!$B$22+Inputs!$B$23)</f>
        <v>0</v>
      </c>
      <c r="AW32" s="30" t="n">
        <f aca="false">AP31*(M32-AR31*J32)+AP31*AR31*N32/Inputs!$B$16-AV32</f>
        <v>0</v>
      </c>
      <c r="AX32" s="30" t="n">
        <f aca="false">AW32-IF(AP31&lt;&gt;0,0.75*AR31*(Inputs!$B$13-N32)/Inputs!$B$16,0)</f>
        <v>0</v>
      </c>
      <c r="AY32" s="30" t="n">
        <f aca="false">MAX(AS32,0)*(Inputs!$B$17+Inputs!$B$18+Inputs!$B$19)+MAX(-AS32,0)*(O32+Inputs!$B$18+Inputs!$B$19)+IF(AND(K32=1,AP32&lt;&gt;0),(Inputs!$B$17+Inputs!$B$18+Inputs!$B$19)+(O32+Inputs!$B$18+Inputs!$B$19),0)</f>
        <v>0</v>
      </c>
      <c r="AZ32" s="30" t="n">
        <f aca="false">AP31*M32-AY32</f>
        <v>-0</v>
      </c>
      <c r="BA32" s="30" t="n">
        <f aca="false">BA31+AI32</f>
        <v>0</v>
      </c>
      <c r="BB32" s="30" t="n">
        <f aca="false">MAX(BB31,BA32)</f>
        <v>0</v>
      </c>
      <c r="BC32" s="30" t="n">
        <f aca="false">BA32-BB32</f>
        <v>0</v>
      </c>
      <c r="BD32" s="30" t="n">
        <f aca="false">A33-A32</f>
        <v>1</v>
      </c>
    </row>
    <row r="33" customFormat="false" ht="15" hidden="false" customHeight="false" outlineLevel="0" collapsed="false">
      <c r="A33" s="28" t="n">
        <v>45086</v>
      </c>
      <c r="B33" s="0" t="n">
        <v>18630</v>
      </c>
      <c r="C33" s="0" t="n">
        <v>203.99</v>
      </c>
      <c r="D33" s="29" t="n">
        <f aca="false">LN(B33)</f>
        <v>9.83252846359564</v>
      </c>
      <c r="E33" s="29" t="n">
        <f aca="false">LN(C33)</f>
        <v>5.31807097303487</v>
      </c>
      <c r="F33" s="0" t="n">
        <v>28</v>
      </c>
      <c r="G33" s="0" t="n">
        <v>19</v>
      </c>
      <c r="H33" s="29" t="n">
        <f aca="false">D33-E33</f>
        <v>4.51445749056076</v>
      </c>
      <c r="I33" s="29" t="n">
        <f aca="false">D33-D32</f>
        <v>-0.00492611833605494</v>
      </c>
      <c r="J33" s="29" t="n">
        <f aca="false">E33-E32</f>
        <v>-0.00298588048265369</v>
      </c>
      <c r="K33" s="0" t="n">
        <v>0</v>
      </c>
      <c r="L33" s="0" t="n">
        <v>0</v>
      </c>
      <c r="M33" s="29" t="n">
        <f aca="false">IF(L33=1,J33-Carry!$B$9/Inputs!$B$16,I33)</f>
        <v>-0.00492611833605494</v>
      </c>
      <c r="N33" s="0" t="n">
        <v>0.065</v>
      </c>
      <c r="O33" s="0" t="n">
        <v>0.000125</v>
      </c>
      <c r="P33" s="29" t="n">
        <f aca="false">D33-('2 Hedge ratio'!$B$6+'2 Hedge ratio'!$B$5*E33)</f>
        <v>-0.00131874372304708</v>
      </c>
      <c r="Q33" s="29" t="n">
        <f aca="false">D33-('5 Re-specification'!$B$7+'5 Re-specification'!$B$5*E33+'5 Re-specification'!$B$6*F33)</f>
        <v>0.000630904716052427</v>
      </c>
      <c r="R33" s="30" t="n">
        <f aca="false">MIN(F33,Inputs!$B$9)</f>
        <v>28</v>
      </c>
      <c r="S33" s="29" t="str">
        <f aca="true">IF(AND(F33&gt;=1,R33&gt;=Inputs!$B$10),INDEX(LINEST(OFFSET(D33,-R33,0,R33,1),OFFSET(E33,-R33,0,R33,2)),1,1),"")</f>
        <v/>
      </c>
      <c r="T33" s="29" t="str">
        <f aca="true">IF(AND(F33&gt;=1,R33&gt;=Inputs!$B$10),INDEX(LINEST(OFFSET(D33,-R33,0,R33,1),OFFSET(E33,-R33,0,R33,2)),1,2),"")</f>
        <v/>
      </c>
      <c r="U33" s="29" t="str">
        <f aca="true">IF(AND(F33&gt;=1,R33&gt;=Inputs!$B$10),INDEX(LINEST(OFFSET(D33,-R33,0,R33,1),OFFSET(E33,-R33,0,R33,2)),1,3),"")</f>
        <v/>
      </c>
      <c r="V33" s="29" t="str">
        <f aca="true">IF(AND(F33&gt;=1,R33&gt;=Inputs!$B$10),SQRT(SUMPRODUCT((OFFSET(D33,-R33,0,R33,1)-U33-T33*OFFSET(E33,-R33,0,R33,1)-S33*OFFSET(F33,-R33,0,R33,1))^2)/(R33-3)),"")</f>
        <v/>
      </c>
      <c r="W33" s="31" t="str">
        <f aca="false">IF(AND(F33&gt;=1,R33&gt;=Inputs!$B$10),(D33-U33-T33*E33-S33*F33)/V33,"")</f>
        <v/>
      </c>
      <c r="X33" s="30" t="n">
        <f aca="false">IF(AB32&lt;&gt;0,AC32+1,0)</f>
        <v>0</v>
      </c>
      <c r="Y33" s="30" t="n">
        <f aca="false">IF(W33="",0,IF(AND(AB32&lt;&gt;0,OR(ABS(W33)&gt;Inputs!$B$7,X33&gt;=Inputs!$B$8,ABS(W33)&lt;Inputs!$B$6)),1,0))</f>
        <v>0</v>
      </c>
      <c r="Z33" s="30" t="n">
        <f aca="false">IF(Y33=1,0,AB32)</f>
        <v>0</v>
      </c>
      <c r="AA33" s="30" t="n">
        <f aca="false">IF(W33="",0,IF(AND(Z33=0,ABS(W33)&gt;Inputs!$B$5,ABS(W33)&lt;=Inputs!$B$7),1,0))</f>
        <v>0</v>
      </c>
      <c r="AB33" s="30" t="n">
        <f aca="false">IF(W33="",0,IF(AA33=1,-SIGN(W33),Z33))</f>
        <v>0</v>
      </c>
      <c r="AC33" s="30" t="n">
        <f aca="false">IF(W33="",0,IF(AA33=1,0,IF(Y33=1,0,X33)))</f>
        <v>0</v>
      </c>
      <c r="AD33" s="30" t="n">
        <f aca="false">IF(AB33=0,0,IF(AB32=AB33,AD32,T33))</f>
        <v>0</v>
      </c>
      <c r="AE33" s="30" t="n">
        <f aca="false">AB33-AB32</f>
        <v>0</v>
      </c>
      <c r="AF33" s="30" t="n">
        <f aca="false">-AD33*AB33</f>
        <v>-0</v>
      </c>
      <c r="AG33" s="30" t="n">
        <f aca="false">AF33-AF32</f>
        <v>0</v>
      </c>
      <c r="AH33" s="30" t="n">
        <f aca="false">MAX(AE33,0)*(Inputs!$B$17+Inputs!$B$18+Inputs!$B$19)+MAX(-AE33,0)*(O33+Inputs!$B$18+Inputs!$B$19)+IF(AND(K33=1,AB33&lt;&gt;0),(Inputs!$B$17+Inputs!$B$18+Inputs!$B$19)+(O33+Inputs!$B$18+Inputs!$B$19),0)+MAX(AG33,0)*(Inputs!$B$20+Inputs!$B$22+Inputs!$B$23)+MAX(-AG33,0)*(Inputs!$B$21+Inputs!$B$22+Inputs!$B$23)</f>
        <v>0</v>
      </c>
      <c r="AI33" s="30" t="n">
        <f aca="false">AB32*(M33-AD32*J33)+AB32*AD32*N33/Inputs!$B$16-AH33</f>
        <v>0</v>
      </c>
      <c r="AJ33" s="30" t="n">
        <f aca="false">MAX(AE33,0)*(Inputs!$B$17+Inputs!$B$24+Inputs!$B$25)+MAX(-AE33,0)*(O33+Inputs!$B$24+Inputs!$B$25)+IF(AND(K33=1,AB33&lt;&gt;0),(Inputs!$B$17+Inputs!$B$24+Inputs!$B$25)+(O33+Inputs!$B$24+Inputs!$B$25),0)+MAX(AG33,0)*(Inputs!$B$20+Inputs!$B$26+Inputs!$B$27)+MAX(-AG33,0)*(Inputs!$B$21+Inputs!$B$26+Inputs!$B$27)</f>
        <v>0</v>
      </c>
      <c r="AK33" s="30" t="n">
        <f aca="false">AB32*(M33-AD32*J33)+AB32*AD32*(N33+Inputs!$B$14)/Inputs!$B$16-AJ33</f>
        <v>0</v>
      </c>
      <c r="AL33" s="30" t="n">
        <f aca="false">IF(AP32&lt;&gt;0,AQ32+1,0)</f>
        <v>0</v>
      </c>
      <c r="AM33" s="30" t="n">
        <f aca="false">IF(W33="",0,IF(AND(AP32&lt;&gt;0,OR(ABS(W33)&gt;Inputs!$B$7,AL33&gt;=Inputs!$B$8,ABS(W33)&lt;Inputs!$B$6)),1,0))</f>
        <v>0</v>
      </c>
      <c r="AN33" s="30" t="n">
        <f aca="false">IF(AM33=1,0,AP32)</f>
        <v>0</v>
      </c>
      <c r="AO33" s="30" t="n">
        <f aca="false">IF(W33="",0,IF(AND(AN33=0,ABS(W33)&gt;Inputs!$B$5,ABS(W33)&lt;=Inputs!$B$7,W33&gt;0),1,0))</f>
        <v>0</v>
      </c>
      <c r="AP33" s="30" t="n">
        <f aca="false">IF(W33="",0,IF(AO33=1,-SIGN(W33),AN33))</f>
        <v>0</v>
      </c>
      <c r="AQ33" s="30" t="n">
        <f aca="false">IF(W33="",0,IF(AO33=1,0,IF(AM33=1,0,AL33)))</f>
        <v>0</v>
      </c>
      <c r="AR33" s="30" t="n">
        <f aca="false">IF(AP33=0,0,IF(AP32=AP33,AR32,T33))</f>
        <v>0</v>
      </c>
      <c r="AS33" s="30" t="n">
        <f aca="false">AP33-AP32</f>
        <v>0</v>
      </c>
      <c r="AT33" s="30" t="n">
        <f aca="false">-AR33*AP33</f>
        <v>-0</v>
      </c>
      <c r="AU33" s="30" t="n">
        <f aca="false">AT33-AT32</f>
        <v>0</v>
      </c>
      <c r="AV33" s="30" t="n">
        <f aca="false">MAX(AS33,0)*(Inputs!$B$17+Inputs!$B$18+Inputs!$B$19)+MAX(-AS33,0)*(O33+Inputs!$B$18+Inputs!$B$19)+IF(AND(K33=1,AP33&lt;&gt;0),(Inputs!$B$17+Inputs!$B$18+Inputs!$B$19)+(O33+Inputs!$B$18+Inputs!$B$19),0)+MAX(AU33,0)*(Inputs!$B$20+Inputs!$B$22+Inputs!$B$23)+MAX(-AU33,0)*(Inputs!$B$21+Inputs!$B$22+Inputs!$B$23)</f>
        <v>0</v>
      </c>
      <c r="AW33" s="30" t="n">
        <f aca="false">AP32*(M33-AR32*J33)+AP32*AR32*N33/Inputs!$B$16-AV33</f>
        <v>0</v>
      </c>
      <c r="AX33" s="30" t="n">
        <f aca="false">AW33-IF(AP32&lt;&gt;0,0.75*AR32*(Inputs!$B$13-N33)/Inputs!$B$16,0)</f>
        <v>0</v>
      </c>
      <c r="AY33" s="30" t="n">
        <f aca="false">MAX(AS33,0)*(Inputs!$B$17+Inputs!$B$18+Inputs!$B$19)+MAX(-AS33,0)*(O33+Inputs!$B$18+Inputs!$B$19)+IF(AND(K33=1,AP33&lt;&gt;0),(Inputs!$B$17+Inputs!$B$18+Inputs!$B$19)+(O33+Inputs!$B$18+Inputs!$B$19),0)</f>
        <v>0</v>
      </c>
      <c r="AZ33" s="30" t="n">
        <f aca="false">AP32*M33-AY33</f>
        <v>-0</v>
      </c>
      <c r="BA33" s="30" t="n">
        <f aca="false">BA32+AI33</f>
        <v>0</v>
      </c>
      <c r="BB33" s="30" t="n">
        <f aca="false">MAX(BB32,BA33)</f>
        <v>0</v>
      </c>
      <c r="BC33" s="30" t="n">
        <f aca="false">BA33-BB33</f>
        <v>0</v>
      </c>
      <c r="BD33" s="30" t="n">
        <f aca="false">A34-A33</f>
        <v>3</v>
      </c>
    </row>
    <row r="34" customFormat="false" ht="15" hidden="false" customHeight="false" outlineLevel="0" collapsed="false">
      <c r="A34" s="28" t="n">
        <v>45089</v>
      </c>
      <c r="B34" s="0" t="n">
        <v>18690.4</v>
      </c>
      <c r="C34" s="0" t="n">
        <v>204.55</v>
      </c>
      <c r="D34" s="29" t="n">
        <f aca="false">LN(B34)</f>
        <v>9.83576530203975</v>
      </c>
      <c r="E34" s="29" t="n">
        <f aca="false">LN(C34)</f>
        <v>5.32081244437541</v>
      </c>
      <c r="F34" s="0" t="n">
        <v>29</v>
      </c>
      <c r="G34" s="0" t="n">
        <v>16</v>
      </c>
      <c r="H34" s="29" t="n">
        <f aca="false">D34-E34</f>
        <v>4.51495285766434</v>
      </c>
      <c r="I34" s="29" t="n">
        <f aca="false">D34-D33</f>
        <v>0.00323683844411349</v>
      </c>
      <c r="J34" s="29" t="n">
        <f aca="false">E34-E33</f>
        <v>0.00274147134053493</v>
      </c>
      <c r="K34" s="0" t="n">
        <v>0</v>
      </c>
      <c r="L34" s="0" t="n">
        <v>0</v>
      </c>
      <c r="M34" s="29" t="n">
        <f aca="false">IF(L34=1,J34-Carry!$B$9/Inputs!$B$16,I34)</f>
        <v>0.00323683844411349</v>
      </c>
      <c r="N34" s="0" t="n">
        <v>0.065</v>
      </c>
      <c r="O34" s="0" t="n">
        <v>0.000125</v>
      </c>
      <c r="P34" s="29" t="n">
        <f aca="false">D34-('2 Hedge ratio'!$B$6+'2 Hedge ratio'!$B$5*E34)</f>
        <v>-0.000593440533705802</v>
      </c>
      <c r="Q34" s="29" t="n">
        <f aca="false">D34-('5 Re-specification'!$B$7+'5 Re-specification'!$B$5*E34+'5 Re-specification'!$B$6*F34)</f>
        <v>0.00117950916668264</v>
      </c>
      <c r="R34" s="30" t="n">
        <f aca="false">MIN(F34,Inputs!$B$9)</f>
        <v>29</v>
      </c>
      <c r="S34" s="29" t="str">
        <f aca="true">IF(AND(F34&gt;=1,R34&gt;=Inputs!$B$10),INDEX(LINEST(OFFSET(D34,-R34,0,R34,1),OFFSET(E34,-R34,0,R34,2)),1,1),"")</f>
        <v/>
      </c>
      <c r="T34" s="29" t="str">
        <f aca="true">IF(AND(F34&gt;=1,R34&gt;=Inputs!$B$10),INDEX(LINEST(OFFSET(D34,-R34,0,R34,1),OFFSET(E34,-R34,0,R34,2)),1,2),"")</f>
        <v/>
      </c>
      <c r="U34" s="29" t="str">
        <f aca="true">IF(AND(F34&gt;=1,R34&gt;=Inputs!$B$10),INDEX(LINEST(OFFSET(D34,-R34,0,R34,1),OFFSET(E34,-R34,0,R34,2)),1,3),"")</f>
        <v/>
      </c>
      <c r="V34" s="29" t="str">
        <f aca="true">IF(AND(F34&gt;=1,R34&gt;=Inputs!$B$10),SQRT(SUMPRODUCT((OFFSET(D34,-R34,0,R34,1)-U34-T34*OFFSET(E34,-R34,0,R34,1)-S34*OFFSET(F34,-R34,0,R34,1))^2)/(R34-3)),"")</f>
        <v/>
      </c>
      <c r="W34" s="31" t="str">
        <f aca="false">IF(AND(F34&gt;=1,R34&gt;=Inputs!$B$10),(D34-U34-T34*E34-S34*F34)/V34,"")</f>
        <v/>
      </c>
      <c r="X34" s="30" t="n">
        <f aca="false">IF(AB33&lt;&gt;0,AC33+1,0)</f>
        <v>0</v>
      </c>
      <c r="Y34" s="30" t="n">
        <f aca="false">IF(W34="",0,IF(AND(AB33&lt;&gt;0,OR(ABS(W34)&gt;Inputs!$B$7,X34&gt;=Inputs!$B$8,ABS(W34)&lt;Inputs!$B$6)),1,0))</f>
        <v>0</v>
      </c>
      <c r="Z34" s="30" t="n">
        <f aca="false">IF(Y34=1,0,AB33)</f>
        <v>0</v>
      </c>
      <c r="AA34" s="30" t="n">
        <f aca="false">IF(W34="",0,IF(AND(Z34=0,ABS(W34)&gt;Inputs!$B$5,ABS(W34)&lt;=Inputs!$B$7),1,0))</f>
        <v>0</v>
      </c>
      <c r="AB34" s="30" t="n">
        <f aca="false">IF(W34="",0,IF(AA34=1,-SIGN(W34),Z34))</f>
        <v>0</v>
      </c>
      <c r="AC34" s="30" t="n">
        <f aca="false">IF(W34="",0,IF(AA34=1,0,IF(Y34=1,0,X34)))</f>
        <v>0</v>
      </c>
      <c r="AD34" s="30" t="n">
        <f aca="false">IF(AB34=0,0,IF(AB33=AB34,AD33,T34))</f>
        <v>0</v>
      </c>
      <c r="AE34" s="30" t="n">
        <f aca="false">AB34-AB33</f>
        <v>0</v>
      </c>
      <c r="AF34" s="30" t="n">
        <f aca="false">-AD34*AB34</f>
        <v>-0</v>
      </c>
      <c r="AG34" s="30" t="n">
        <f aca="false">AF34-AF33</f>
        <v>0</v>
      </c>
      <c r="AH34" s="30" t="n">
        <f aca="false">MAX(AE34,0)*(Inputs!$B$17+Inputs!$B$18+Inputs!$B$19)+MAX(-AE34,0)*(O34+Inputs!$B$18+Inputs!$B$19)+IF(AND(K34=1,AB34&lt;&gt;0),(Inputs!$B$17+Inputs!$B$18+Inputs!$B$19)+(O34+Inputs!$B$18+Inputs!$B$19),0)+MAX(AG34,0)*(Inputs!$B$20+Inputs!$B$22+Inputs!$B$23)+MAX(-AG34,0)*(Inputs!$B$21+Inputs!$B$22+Inputs!$B$23)</f>
        <v>0</v>
      </c>
      <c r="AI34" s="30" t="n">
        <f aca="false">AB33*(M34-AD33*J34)+AB33*AD33*N34/Inputs!$B$16-AH34</f>
        <v>0</v>
      </c>
      <c r="AJ34" s="30" t="n">
        <f aca="false">MAX(AE34,0)*(Inputs!$B$17+Inputs!$B$24+Inputs!$B$25)+MAX(-AE34,0)*(O34+Inputs!$B$24+Inputs!$B$25)+IF(AND(K34=1,AB34&lt;&gt;0),(Inputs!$B$17+Inputs!$B$24+Inputs!$B$25)+(O34+Inputs!$B$24+Inputs!$B$25),0)+MAX(AG34,0)*(Inputs!$B$20+Inputs!$B$26+Inputs!$B$27)+MAX(-AG34,0)*(Inputs!$B$21+Inputs!$B$26+Inputs!$B$27)</f>
        <v>0</v>
      </c>
      <c r="AK34" s="30" t="n">
        <f aca="false">AB33*(M34-AD33*J34)+AB33*AD33*(N34+Inputs!$B$14)/Inputs!$B$16-AJ34</f>
        <v>0</v>
      </c>
      <c r="AL34" s="30" t="n">
        <f aca="false">IF(AP33&lt;&gt;0,AQ33+1,0)</f>
        <v>0</v>
      </c>
      <c r="AM34" s="30" t="n">
        <f aca="false">IF(W34="",0,IF(AND(AP33&lt;&gt;0,OR(ABS(W34)&gt;Inputs!$B$7,AL34&gt;=Inputs!$B$8,ABS(W34)&lt;Inputs!$B$6)),1,0))</f>
        <v>0</v>
      </c>
      <c r="AN34" s="30" t="n">
        <f aca="false">IF(AM34=1,0,AP33)</f>
        <v>0</v>
      </c>
      <c r="AO34" s="30" t="n">
        <f aca="false">IF(W34="",0,IF(AND(AN34=0,ABS(W34)&gt;Inputs!$B$5,ABS(W34)&lt;=Inputs!$B$7,W34&gt;0),1,0))</f>
        <v>0</v>
      </c>
      <c r="AP34" s="30" t="n">
        <f aca="false">IF(W34="",0,IF(AO34=1,-SIGN(W34),AN34))</f>
        <v>0</v>
      </c>
      <c r="AQ34" s="30" t="n">
        <f aca="false">IF(W34="",0,IF(AO34=1,0,IF(AM34=1,0,AL34)))</f>
        <v>0</v>
      </c>
      <c r="AR34" s="30" t="n">
        <f aca="false">IF(AP34=0,0,IF(AP33=AP34,AR33,T34))</f>
        <v>0</v>
      </c>
      <c r="AS34" s="30" t="n">
        <f aca="false">AP34-AP33</f>
        <v>0</v>
      </c>
      <c r="AT34" s="30" t="n">
        <f aca="false">-AR34*AP34</f>
        <v>-0</v>
      </c>
      <c r="AU34" s="30" t="n">
        <f aca="false">AT34-AT33</f>
        <v>0</v>
      </c>
      <c r="AV34" s="30" t="n">
        <f aca="false">MAX(AS34,0)*(Inputs!$B$17+Inputs!$B$18+Inputs!$B$19)+MAX(-AS34,0)*(O34+Inputs!$B$18+Inputs!$B$19)+IF(AND(K34=1,AP34&lt;&gt;0),(Inputs!$B$17+Inputs!$B$18+Inputs!$B$19)+(O34+Inputs!$B$18+Inputs!$B$19),0)+MAX(AU34,0)*(Inputs!$B$20+Inputs!$B$22+Inputs!$B$23)+MAX(-AU34,0)*(Inputs!$B$21+Inputs!$B$22+Inputs!$B$23)</f>
        <v>0</v>
      </c>
      <c r="AW34" s="30" t="n">
        <f aca="false">AP33*(M34-AR33*J34)+AP33*AR33*N34/Inputs!$B$16-AV34</f>
        <v>0</v>
      </c>
      <c r="AX34" s="30" t="n">
        <f aca="false">AW34-IF(AP33&lt;&gt;0,0.75*AR33*(Inputs!$B$13-N34)/Inputs!$B$16,0)</f>
        <v>0</v>
      </c>
      <c r="AY34" s="30" t="n">
        <f aca="false">MAX(AS34,0)*(Inputs!$B$17+Inputs!$B$18+Inputs!$B$19)+MAX(-AS34,0)*(O34+Inputs!$B$18+Inputs!$B$19)+IF(AND(K34=1,AP34&lt;&gt;0),(Inputs!$B$17+Inputs!$B$18+Inputs!$B$19)+(O34+Inputs!$B$18+Inputs!$B$19),0)</f>
        <v>0</v>
      </c>
      <c r="AZ34" s="30" t="n">
        <f aca="false">AP33*M34-AY34</f>
        <v>0</v>
      </c>
      <c r="BA34" s="30" t="n">
        <f aca="false">BA33+AI34</f>
        <v>0</v>
      </c>
      <c r="BB34" s="30" t="n">
        <f aca="false">MAX(BB33,BA34)</f>
        <v>0</v>
      </c>
      <c r="BC34" s="30" t="n">
        <f aca="false">BA34-BB34</f>
        <v>0</v>
      </c>
      <c r="BD34" s="30" t="n">
        <f aca="false">A35-A34</f>
        <v>1</v>
      </c>
    </row>
    <row r="35" customFormat="false" ht="15" hidden="false" customHeight="false" outlineLevel="0" collapsed="false">
      <c r="A35" s="28" t="n">
        <v>45090</v>
      </c>
      <c r="B35" s="0" t="n">
        <v>18775.9</v>
      </c>
      <c r="C35" s="0" t="n">
        <v>205.52</v>
      </c>
      <c r="D35" s="29" t="n">
        <f aca="false">LN(B35)</f>
        <v>9.84032941156866</v>
      </c>
      <c r="E35" s="29" t="n">
        <f aca="false">LN(C35)</f>
        <v>5.32554335280163</v>
      </c>
      <c r="F35" s="0" t="n">
        <v>30</v>
      </c>
      <c r="G35" s="0" t="n">
        <v>15</v>
      </c>
      <c r="H35" s="29" t="n">
        <f aca="false">D35-E35</f>
        <v>4.51478605876703</v>
      </c>
      <c r="I35" s="29" t="n">
        <f aca="false">D35-D34</f>
        <v>0.00456410952890884</v>
      </c>
      <c r="J35" s="29" t="n">
        <f aca="false">E35-E34</f>
        <v>0.00473090842622081</v>
      </c>
      <c r="K35" s="0" t="n">
        <v>0</v>
      </c>
      <c r="L35" s="0" t="n">
        <v>0</v>
      </c>
      <c r="M35" s="29" t="n">
        <f aca="false">IF(L35=1,J35-Carry!$B$9/Inputs!$B$16,I35)</f>
        <v>0.00456410952890884</v>
      </c>
      <c r="N35" s="0" t="n">
        <v>0.065</v>
      </c>
      <c r="O35" s="0" t="n">
        <v>0.000125</v>
      </c>
      <c r="P35" s="29" t="n">
        <f aca="false">D35-('2 Hedge ratio'!$B$6+'2 Hedge ratio'!$B$5*E35)</f>
        <v>-0.000363442809604209</v>
      </c>
      <c r="Q35" s="29" t="n">
        <f aca="false">D35-('5 Re-specification'!$B$7+'5 Re-specification'!$B$5*E35+'5 Re-specification'!$B$6*F35)</f>
        <v>0.00107197660555336</v>
      </c>
      <c r="R35" s="30" t="n">
        <f aca="false">MIN(F35,Inputs!$B$9)</f>
        <v>30</v>
      </c>
      <c r="S35" s="29" t="str">
        <f aca="true">IF(AND(F35&gt;=1,R35&gt;=Inputs!$B$10),INDEX(LINEST(OFFSET(D35,-R35,0,R35,1),OFFSET(E35,-R35,0,R35,2)),1,1),"")</f>
        <v/>
      </c>
      <c r="T35" s="29" t="str">
        <f aca="true">IF(AND(F35&gt;=1,R35&gt;=Inputs!$B$10),INDEX(LINEST(OFFSET(D35,-R35,0,R35,1),OFFSET(E35,-R35,0,R35,2)),1,2),"")</f>
        <v/>
      </c>
      <c r="U35" s="29" t="str">
        <f aca="true">IF(AND(F35&gt;=1,R35&gt;=Inputs!$B$10),INDEX(LINEST(OFFSET(D35,-R35,0,R35,1),OFFSET(E35,-R35,0,R35,2)),1,3),"")</f>
        <v/>
      </c>
      <c r="V35" s="29" t="str">
        <f aca="true">IF(AND(F35&gt;=1,R35&gt;=Inputs!$B$10),SQRT(SUMPRODUCT((OFFSET(D35,-R35,0,R35,1)-U35-T35*OFFSET(E35,-R35,0,R35,1)-S35*OFFSET(F35,-R35,0,R35,1))^2)/(R35-3)),"")</f>
        <v/>
      </c>
      <c r="W35" s="31" t="str">
        <f aca="false">IF(AND(F35&gt;=1,R35&gt;=Inputs!$B$10),(D35-U35-T35*E35-S35*F35)/V35,"")</f>
        <v/>
      </c>
      <c r="X35" s="30" t="n">
        <f aca="false">IF(AB34&lt;&gt;0,AC34+1,0)</f>
        <v>0</v>
      </c>
      <c r="Y35" s="30" t="n">
        <f aca="false">IF(W35="",0,IF(AND(AB34&lt;&gt;0,OR(ABS(W35)&gt;Inputs!$B$7,X35&gt;=Inputs!$B$8,ABS(W35)&lt;Inputs!$B$6)),1,0))</f>
        <v>0</v>
      </c>
      <c r="Z35" s="30" t="n">
        <f aca="false">IF(Y35=1,0,AB34)</f>
        <v>0</v>
      </c>
      <c r="AA35" s="30" t="n">
        <f aca="false">IF(W35="",0,IF(AND(Z35=0,ABS(W35)&gt;Inputs!$B$5,ABS(W35)&lt;=Inputs!$B$7),1,0))</f>
        <v>0</v>
      </c>
      <c r="AB35" s="30" t="n">
        <f aca="false">IF(W35="",0,IF(AA35=1,-SIGN(W35),Z35))</f>
        <v>0</v>
      </c>
      <c r="AC35" s="30" t="n">
        <f aca="false">IF(W35="",0,IF(AA35=1,0,IF(Y35=1,0,X35)))</f>
        <v>0</v>
      </c>
      <c r="AD35" s="30" t="n">
        <f aca="false">IF(AB35=0,0,IF(AB34=AB35,AD34,T35))</f>
        <v>0</v>
      </c>
      <c r="AE35" s="30" t="n">
        <f aca="false">AB35-AB34</f>
        <v>0</v>
      </c>
      <c r="AF35" s="30" t="n">
        <f aca="false">-AD35*AB35</f>
        <v>-0</v>
      </c>
      <c r="AG35" s="30" t="n">
        <f aca="false">AF35-AF34</f>
        <v>0</v>
      </c>
      <c r="AH35" s="30" t="n">
        <f aca="false">MAX(AE35,0)*(Inputs!$B$17+Inputs!$B$18+Inputs!$B$19)+MAX(-AE35,0)*(O35+Inputs!$B$18+Inputs!$B$19)+IF(AND(K35=1,AB35&lt;&gt;0),(Inputs!$B$17+Inputs!$B$18+Inputs!$B$19)+(O35+Inputs!$B$18+Inputs!$B$19),0)+MAX(AG35,0)*(Inputs!$B$20+Inputs!$B$22+Inputs!$B$23)+MAX(-AG35,0)*(Inputs!$B$21+Inputs!$B$22+Inputs!$B$23)</f>
        <v>0</v>
      </c>
      <c r="AI35" s="30" t="n">
        <f aca="false">AB34*(M35-AD34*J35)+AB34*AD34*N35/Inputs!$B$16-AH35</f>
        <v>0</v>
      </c>
      <c r="AJ35" s="30" t="n">
        <f aca="false">MAX(AE35,0)*(Inputs!$B$17+Inputs!$B$24+Inputs!$B$25)+MAX(-AE35,0)*(O35+Inputs!$B$24+Inputs!$B$25)+IF(AND(K35=1,AB35&lt;&gt;0),(Inputs!$B$17+Inputs!$B$24+Inputs!$B$25)+(O35+Inputs!$B$24+Inputs!$B$25),0)+MAX(AG35,0)*(Inputs!$B$20+Inputs!$B$26+Inputs!$B$27)+MAX(-AG35,0)*(Inputs!$B$21+Inputs!$B$26+Inputs!$B$27)</f>
        <v>0</v>
      </c>
      <c r="AK35" s="30" t="n">
        <f aca="false">AB34*(M35-AD34*J35)+AB34*AD34*(N35+Inputs!$B$14)/Inputs!$B$16-AJ35</f>
        <v>0</v>
      </c>
      <c r="AL35" s="30" t="n">
        <f aca="false">IF(AP34&lt;&gt;0,AQ34+1,0)</f>
        <v>0</v>
      </c>
      <c r="AM35" s="30" t="n">
        <f aca="false">IF(W35="",0,IF(AND(AP34&lt;&gt;0,OR(ABS(W35)&gt;Inputs!$B$7,AL35&gt;=Inputs!$B$8,ABS(W35)&lt;Inputs!$B$6)),1,0))</f>
        <v>0</v>
      </c>
      <c r="AN35" s="30" t="n">
        <f aca="false">IF(AM35=1,0,AP34)</f>
        <v>0</v>
      </c>
      <c r="AO35" s="30" t="n">
        <f aca="false">IF(W35="",0,IF(AND(AN35=0,ABS(W35)&gt;Inputs!$B$5,ABS(W35)&lt;=Inputs!$B$7,W35&gt;0),1,0))</f>
        <v>0</v>
      </c>
      <c r="AP35" s="30" t="n">
        <f aca="false">IF(W35="",0,IF(AO35=1,-SIGN(W35),AN35))</f>
        <v>0</v>
      </c>
      <c r="AQ35" s="30" t="n">
        <f aca="false">IF(W35="",0,IF(AO35=1,0,IF(AM35=1,0,AL35)))</f>
        <v>0</v>
      </c>
      <c r="AR35" s="30" t="n">
        <f aca="false">IF(AP35=0,0,IF(AP34=AP35,AR34,T35))</f>
        <v>0</v>
      </c>
      <c r="AS35" s="30" t="n">
        <f aca="false">AP35-AP34</f>
        <v>0</v>
      </c>
      <c r="AT35" s="30" t="n">
        <f aca="false">-AR35*AP35</f>
        <v>-0</v>
      </c>
      <c r="AU35" s="30" t="n">
        <f aca="false">AT35-AT34</f>
        <v>0</v>
      </c>
      <c r="AV35" s="30" t="n">
        <f aca="false">MAX(AS35,0)*(Inputs!$B$17+Inputs!$B$18+Inputs!$B$19)+MAX(-AS35,0)*(O35+Inputs!$B$18+Inputs!$B$19)+IF(AND(K35=1,AP35&lt;&gt;0),(Inputs!$B$17+Inputs!$B$18+Inputs!$B$19)+(O35+Inputs!$B$18+Inputs!$B$19),0)+MAX(AU35,0)*(Inputs!$B$20+Inputs!$B$22+Inputs!$B$23)+MAX(-AU35,0)*(Inputs!$B$21+Inputs!$B$22+Inputs!$B$23)</f>
        <v>0</v>
      </c>
      <c r="AW35" s="30" t="n">
        <f aca="false">AP34*(M35-AR34*J35)+AP34*AR34*N35/Inputs!$B$16-AV35</f>
        <v>0</v>
      </c>
      <c r="AX35" s="30" t="n">
        <f aca="false">AW35-IF(AP34&lt;&gt;0,0.75*AR34*(Inputs!$B$13-N35)/Inputs!$B$16,0)</f>
        <v>0</v>
      </c>
      <c r="AY35" s="30" t="n">
        <f aca="false">MAX(AS35,0)*(Inputs!$B$17+Inputs!$B$18+Inputs!$B$19)+MAX(-AS35,0)*(O35+Inputs!$B$18+Inputs!$B$19)+IF(AND(K35=1,AP35&lt;&gt;0),(Inputs!$B$17+Inputs!$B$18+Inputs!$B$19)+(O35+Inputs!$B$18+Inputs!$B$19),0)</f>
        <v>0</v>
      </c>
      <c r="AZ35" s="30" t="n">
        <f aca="false">AP34*M35-AY35</f>
        <v>0</v>
      </c>
      <c r="BA35" s="30" t="n">
        <f aca="false">BA34+AI35</f>
        <v>0</v>
      </c>
      <c r="BB35" s="30" t="n">
        <f aca="false">MAX(BB34,BA35)</f>
        <v>0</v>
      </c>
      <c r="BC35" s="30" t="n">
        <f aca="false">BA35-BB35</f>
        <v>0</v>
      </c>
      <c r="BD35" s="30" t="n">
        <f aca="false">A36-A35</f>
        <v>1</v>
      </c>
    </row>
    <row r="36" customFormat="false" ht="15" hidden="false" customHeight="false" outlineLevel="0" collapsed="false">
      <c r="A36" s="28" t="n">
        <v>45091</v>
      </c>
      <c r="B36" s="0" t="n">
        <v>18808.3</v>
      </c>
      <c r="C36" s="0" t="n">
        <v>205.79</v>
      </c>
      <c r="D36" s="29" t="n">
        <f aca="false">LN(B36)</f>
        <v>9.84205354075199</v>
      </c>
      <c r="E36" s="29" t="n">
        <f aca="false">LN(C36)</f>
        <v>5.32685623135446</v>
      </c>
      <c r="F36" s="0" t="n">
        <v>31</v>
      </c>
      <c r="G36" s="0" t="n">
        <v>14</v>
      </c>
      <c r="H36" s="29" t="n">
        <f aca="false">D36-E36</f>
        <v>4.51519730939753</v>
      </c>
      <c r="I36" s="29" t="n">
        <f aca="false">D36-D35</f>
        <v>0.00172412918333187</v>
      </c>
      <c r="J36" s="29" t="n">
        <f aca="false">E36-E35</f>
        <v>0.00131287855282913</v>
      </c>
      <c r="K36" s="0" t="n">
        <v>0</v>
      </c>
      <c r="L36" s="0" t="n">
        <v>0</v>
      </c>
      <c r="M36" s="29" t="n">
        <f aca="false">IF(L36=1,J36-Carry!$B$9/Inputs!$B$16,I36)</f>
        <v>0.00172412918333187</v>
      </c>
      <c r="N36" s="0" t="n">
        <v>0.065</v>
      </c>
      <c r="O36" s="0" t="n">
        <v>0.000125</v>
      </c>
      <c r="P36" s="29" t="n">
        <f aca="false">D36-('2 Hedge ratio'!$B$6+'2 Hedge ratio'!$B$5*E36)</f>
        <v>0.000157923199841648</v>
      </c>
      <c r="Q36" s="29" t="n">
        <f aca="false">D36-('5 Re-specification'!$B$7+'5 Re-specification'!$B$5*E36+'5 Re-specification'!$B$6*F36)</f>
        <v>0.00153213523263496</v>
      </c>
      <c r="R36" s="30" t="n">
        <f aca="false">MIN(F36,Inputs!$B$9)</f>
        <v>31</v>
      </c>
      <c r="S36" s="29" t="str">
        <f aca="true">IF(AND(F36&gt;=1,R36&gt;=Inputs!$B$10),INDEX(LINEST(OFFSET(D36,-R36,0,R36,1),OFFSET(E36,-R36,0,R36,2)),1,1),"")</f>
        <v/>
      </c>
      <c r="T36" s="29" t="str">
        <f aca="true">IF(AND(F36&gt;=1,R36&gt;=Inputs!$B$10),INDEX(LINEST(OFFSET(D36,-R36,0,R36,1),OFFSET(E36,-R36,0,R36,2)),1,2),"")</f>
        <v/>
      </c>
      <c r="U36" s="29" t="str">
        <f aca="true">IF(AND(F36&gt;=1,R36&gt;=Inputs!$B$10),INDEX(LINEST(OFFSET(D36,-R36,0,R36,1),OFFSET(E36,-R36,0,R36,2)),1,3),"")</f>
        <v/>
      </c>
      <c r="V36" s="29" t="str">
        <f aca="true">IF(AND(F36&gt;=1,R36&gt;=Inputs!$B$10),SQRT(SUMPRODUCT((OFFSET(D36,-R36,0,R36,1)-U36-T36*OFFSET(E36,-R36,0,R36,1)-S36*OFFSET(F36,-R36,0,R36,1))^2)/(R36-3)),"")</f>
        <v/>
      </c>
      <c r="W36" s="31" t="str">
        <f aca="false">IF(AND(F36&gt;=1,R36&gt;=Inputs!$B$10),(D36-U36-T36*E36-S36*F36)/V36,"")</f>
        <v/>
      </c>
      <c r="X36" s="30" t="n">
        <f aca="false">IF(AB35&lt;&gt;0,AC35+1,0)</f>
        <v>0</v>
      </c>
      <c r="Y36" s="30" t="n">
        <f aca="false">IF(W36="",0,IF(AND(AB35&lt;&gt;0,OR(ABS(W36)&gt;Inputs!$B$7,X36&gt;=Inputs!$B$8,ABS(W36)&lt;Inputs!$B$6)),1,0))</f>
        <v>0</v>
      </c>
      <c r="Z36" s="30" t="n">
        <f aca="false">IF(Y36=1,0,AB35)</f>
        <v>0</v>
      </c>
      <c r="AA36" s="30" t="n">
        <f aca="false">IF(W36="",0,IF(AND(Z36=0,ABS(W36)&gt;Inputs!$B$5,ABS(W36)&lt;=Inputs!$B$7),1,0))</f>
        <v>0</v>
      </c>
      <c r="AB36" s="30" t="n">
        <f aca="false">IF(W36="",0,IF(AA36=1,-SIGN(W36),Z36))</f>
        <v>0</v>
      </c>
      <c r="AC36" s="30" t="n">
        <f aca="false">IF(W36="",0,IF(AA36=1,0,IF(Y36=1,0,X36)))</f>
        <v>0</v>
      </c>
      <c r="AD36" s="30" t="n">
        <f aca="false">IF(AB36=0,0,IF(AB35=AB36,AD35,T36))</f>
        <v>0</v>
      </c>
      <c r="AE36" s="30" t="n">
        <f aca="false">AB36-AB35</f>
        <v>0</v>
      </c>
      <c r="AF36" s="30" t="n">
        <f aca="false">-AD36*AB36</f>
        <v>-0</v>
      </c>
      <c r="AG36" s="30" t="n">
        <f aca="false">AF36-AF35</f>
        <v>0</v>
      </c>
      <c r="AH36" s="30" t="n">
        <f aca="false">MAX(AE36,0)*(Inputs!$B$17+Inputs!$B$18+Inputs!$B$19)+MAX(-AE36,0)*(O36+Inputs!$B$18+Inputs!$B$19)+IF(AND(K36=1,AB36&lt;&gt;0),(Inputs!$B$17+Inputs!$B$18+Inputs!$B$19)+(O36+Inputs!$B$18+Inputs!$B$19),0)+MAX(AG36,0)*(Inputs!$B$20+Inputs!$B$22+Inputs!$B$23)+MAX(-AG36,0)*(Inputs!$B$21+Inputs!$B$22+Inputs!$B$23)</f>
        <v>0</v>
      </c>
      <c r="AI36" s="30" t="n">
        <f aca="false">AB35*(M36-AD35*J36)+AB35*AD35*N36/Inputs!$B$16-AH36</f>
        <v>0</v>
      </c>
      <c r="AJ36" s="30" t="n">
        <f aca="false">MAX(AE36,0)*(Inputs!$B$17+Inputs!$B$24+Inputs!$B$25)+MAX(-AE36,0)*(O36+Inputs!$B$24+Inputs!$B$25)+IF(AND(K36=1,AB36&lt;&gt;0),(Inputs!$B$17+Inputs!$B$24+Inputs!$B$25)+(O36+Inputs!$B$24+Inputs!$B$25),0)+MAX(AG36,0)*(Inputs!$B$20+Inputs!$B$26+Inputs!$B$27)+MAX(-AG36,0)*(Inputs!$B$21+Inputs!$B$26+Inputs!$B$27)</f>
        <v>0</v>
      </c>
      <c r="AK36" s="30" t="n">
        <f aca="false">AB35*(M36-AD35*J36)+AB35*AD35*(N36+Inputs!$B$14)/Inputs!$B$16-AJ36</f>
        <v>0</v>
      </c>
      <c r="AL36" s="30" t="n">
        <f aca="false">IF(AP35&lt;&gt;0,AQ35+1,0)</f>
        <v>0</v>
      </c>
      <c r="AM36" s="30" t="n">
        <f aca="false">IF(W36="",0,IF(AND(AP35&lt;&gt;0,OR(ABS(W36)&gt;Inputs!$B$7,AL36&gt;=Inputs!$B$8,ABS(W36)&lt;Inputs!$B$6)),1,0))</f>
        <v>0</v>
      </c>
      <c r="AN36" s="30" t="n">
        <f aca="false">IF(AM36=1,0,AP35)</f>
        <v>0</v>
      </c>
      <c r="AO36" s="30" t="n">
        <f aca="false">IF(W36="",0,IF(AND(AN36=0,ABS(W36)&gt;Inputs!$B$5,ABS(W36)&lt;=Inputs!$B$7,W36&gt;0),1,0))</f>
        <v>0</v>
      </c>
      <c r="AP36" s="30" t="n">
        <f aca="false">IF(W36="",0,IF(AO36=1,-SIGN(W36),AN36))</f>
        <v>0</v>
      </c>
      <c r="AQ36" s="30" t="n">
        <f aca="false">IF(W36="",0,IF(AO36=1,0,IF(AM36=1,0,AL36)))</f>
        <v>0</v>
      </c>
      <c r="AR36" s="30" t="n">
        <f aca="false">IF(AP36=0,0,IF(AP35=AP36,AR35,T36))</f>
        <v>0</v>
      </c>
      <c r="AS36" s="30" t="n">
        <f aca="false">AP36-AP35</f>
        <v>0</v>
      </c>
      <c r="AT36" s="30" t="n">
        <f aca="false">-AR36*AP36</f>
        <v>-0</v>
      </c>
      <c r="AU36" s="30" t="n">
        <f aca="false">AT36-AT35</f>
        <v>0</v>
      </c>
      <c r="AV36" s="30" t="n">
        <f aca="false">MAX(AS36,0)*(Inputs!$B$17+Inputs!$B$18+Inputs!$B$19)+MAX(-AS36,0)*(O36+Inputs!$B$18+Inputs!$B$19)+IF(AND(K36=1,AP36&lt;&gt;0),(Inputs!$B$17+Inputs!$B$18+Inputs!$B$19)+(O36+Inputs!$B$18+Inputs!$B$19),0)+MAX(AU36,0)*(Inputs!$B$20+Inputs!$B$22+Inputs!$B$23)+MAX(-AU36,0)*(Inputs!$B$21+Inputs!$B$22+Inputs!$B$23)</f>
        <v>0</v>
      </c>
      <c r="AW36" s="30" t="n">
        <f aca="false">AP35*(M36-AR35*J36)+AP35*AR35*N36/Inputs!$B$16-AV36</f>
        <v>0</v>
      </c>
      <c r="AX36" s="30" t="n">
        <f aca="false">AW36-IF(AP35&lt;&gt;0,0.75*AR35*(Inputs!$B$13-N36)/Inputs!$B$16,0)</f>
        <v>0</v>
      </c>
      <c r="AY36" s="30" t="n">
        <f aca="false">MAX(AS36,0)*(Inputs!$B$17+Inputs!$B$18+Inputs!$B$19)+MAX(-AS36,0)*(O36+Inputs!$B$18+Inputs!$B$19)+IF(AND(K36=1,AP36&lt;&gt;0),(Inputs!$B$17+Inputs!$B$18+Inputs!$B$19)+(O36+Inputs!$B$18+Inputs!$B$19),0)</f>
        <v>0</v>
      </c>
      <c r="AZ36" s="30" t="n">
        <f aca="false">AP35*M36-AY36</f>
        <v>0</v>
      </c>
      <c r="BA36" s="30" t="n">
        <f aca="false">BA35+AI36</f>
        <v>0</v>
      </c>
      <c r="BB36" s="30" t="n">
        <f aca="false">MAX(BB35,BA36)</f>
        <v>0</v>
      </c>
      <c r="BC36" s="30" t="n">
        <f aca="false">BA36-BB36</f>
        <v>0</v>
      </c>
      <c r="BD36" s="30" t="n">
        <f aca="false">A37-A36</f>
        <v>1</v>
      </c>
    </row>
    <row r="37" customFormat="false" ht="15" hidden="false" customHeight="false" outlineLevel="0" collapsed="false">
      <c r="A37" s="28" t="n">
        <v>45092</v>
      </c>
      <c r="B37" s="0" t="n">
        <v>18739</v>
      </c>
      <c r="C37" s="0" t="n">
        <v>205.3</v>
      </c>
      <c r="D37" s="29" t="n">
        <f aca="false">LN(B37)</f>
        <v>9.83836219257567</v>
      </c>
      <c r="E37" s="29" t="n">
        <f aca="false">LN(C37)</f>
        <v>5.32447232402489</v>
      </c>
      <c r="F37" s="0" t="n">
        <v>32</v>
      </c>
      <c r="G37" s="0" t="n">
        <v>13</v>
      </c>
      <c r="H37" s="29" t="n">
        <f aca="false">D37-E37</f>
        <v>4.51388986855078</v>
      </c>
      <c r="I37" s="29" t="n">
        <f aca="false">D37-D36</f>
        <v>-0.00369134817632322</v>
      </c>
      <c r="J37" s="29" t="n">
        <f aca="false">E37-E36</f>
        <v>-0.00238390732956972</v>
      </c>
      <c r="K37" s="0" t="n">
        <v>0</v>
      </c>
      <c r="L37" s="0" t="n">
        <v>0</v>
      </c>
      <c r="M37" s="29" t="n">
        <f aca="false">IF(L37=1,J37-Carry!$B$9/Inputs!$B$16,I37)</f>
        <v>-0.00369134817632322</v>
      </c>
      <c r="N37" s="0" t="n">
        <v>0.065</v>
      </c>
      <c r="O37" s="0" t="n">
        <v>0.000125</v>
      </c>
      <c r="P37" s="29" t="n">
        <f aca="false">D37-('2 Hedge ratio'!$B$6+'2 Hedge ratio'!$B$5*E37)</f>
        <v>-0.00134946368029887</v>
      </c>
      <c r="Q37" s="29" t="n">
        <f aca="false">D37-('5 Re-specification'!$B$7+'5 Re-specification'!$B$5*E37+'5 Re-specification'!$B$6*F37)</f>
        <v>0.000262399272765279</v>
      </c>
      <c r="R37" s="30" t="n">
        <f aca="false">MIN(F37,Inputs!$B$9)</f>
        <v>32</v>
      </c>
      <c r="S37" s="29" t="str">
        <f aca="true">IF(AND(F37&gt;=1,R37&gt;=Inputs!$B$10),INDEX(LINEST(OFFSET(D37,-R37,0,R37,1),OFFSET(E37,-R37,0,R37,2)),1,1),"")</f>
        <v/>
      </c>
      <c r="T37" s="29" t="str">
        <f aca="true">IF(AND(F37&gt;=1,R37&gt;=Inputs!$B$10),INDEX(LINEST(OFFSET(D37,-R37,0,R37,1),OFFSET(E37,-R37,0,R37,2)),1,2),"")</f>
        <v/>
      </c>
      <c r="U37" s="29" t="str">
        <f aca="true">IF(AND(F37&gt;=1,R37&gt;=Inputs!$B$10),INDEX(LINEST(OFFSET(D37,-R37,0,R37,1),OFFSET(E37,-R37,0,R37,2)),1,3),"")</f>
        <v/>
      </c>
      <c r="V37" s="29" t="str">
        <f aca="true">IF(AND(F37&gt;=1,R37&gt;=Inputs!$B$10),SQRT(SUMPRODUCT((OFFSET(D37,-R37,0,R37,1)-U37-T37*OFFSET(E37,-R37,0,R37,1)-S37*OFFSET(F37,-R37,0,R37,1))^2)/(R37-3)),"")</f>
        <v/>
      </c>
      <c r="W37" s="31" t="str">
        <f aca="false">IF(AND(F37&gt;=1,R37&gt;=Inputs!$B$10),(D37-U37-T37*E37-S37*F37)/V37,"")</f>
        <v/>
      </c>
      <c r="X37" s="30" t="n">
        <f aca="false">IF(AB36&lt;&gt;0,AC36+1,0)</f>
        <v>0</v>
      </c>
      <c r="Y37" s="30" t="n">
        <f aca="false">IF(W37="",0,IF(AND(AB36&lt;&gt;0,OR(ABS(W37)&gt;Inputs!$B$7,X37&gt;=Inputs!$B$8,ABS(W37)&lt;Inputs!$B$6)),1,0))</f>
        <v>0</v>
      </c>
      <c r="Z37" s="30" t="n">
        <f aca="false">IF(Y37=1,0,AB36)</f>
        <v>0</v>
      </c>
      <c r="AA37" s="30" t="n">
        <f aca="false">IF(W37="",0,IF(AND(Z37=0,ABS(W37)&gt;Inputs!$B$5,ABS(W37)&lt;=Inputs!$B$7),1,0))</f>
        <v>0</v>
      </c>
      <c r="AB37" s="30" t="n">
        <f aca="false">IF(W37="",0,IF(AA37=1,-SIGN(W37),Z37))</f>
        <v>0</v>
      </c>
      <c r="AC37" s="30" t="n">
        <f aca="false">IF(W37="",0,IF(AA37=1,0,IF(Y37=1,0,X37)))</f>
        <v>0</v>
      </c>
      <c r="AD37" s="30" t="n">
        <f aca="false">IF(AB37=0,0,IF(AB36=AB37,AD36,T37))</f>
        <v>0</v>
      </c>
      <c r="AE37" s="30" t="n">
        <f aca="false">AB37-AB36</f>
        <v>0</v>
      </c>
      <c r="AF37" s="30" t="n">
        <f aca="false">-AD37*AB37</f>
        <v>-0</v>
      </c>
      <c r="AG37" s="30" t="n">
        <f aca="false">AF37-AF36</f>
        <v>0</v>
      </c>
      <c r="AH37" s="30" t="n">
        <f aca="false">MAX(AE37,0)*(Inputs!$B$17+Inputs!$B$18+Inputs!$B$19)+MAX(-AE37,0)*(O37+Inputs!$B$18+Inputs!$B$19)+IF(AND(K37=1,AB37&lt;&gt;0),(Inputs!$B$17+Inputs!$B$18+Inputs!$B$19)+(O37+Inputs!$B$18+Inputs!$B$19),0)+MAX(AG37,0)*(Inputs!$B$20+Inputs!$B$22+Inputs!$B$23)+MAX(-AG37,0)*(Inputs!$B$21+Inputs!$B$22+Inputs!$B$23)</f>
        <v>0</v>
      </c>
      <c r="AI37" s="30" t="n">
        <f aca="false">AB36*(M37-AD36*J37)+AB36*AD36*N37/Inputs!$B$16-AH37</f>
        <v>0</v>
      </c>
      <c r="AJ37" s="30" t="n">
        <f aca="false">MAX(AE37,0)*(Inputs!$B$17+Inputs!$B$24+Inputs!$B$25)+MAX(-AE37,0)*(O37+Inputs!$B$24+Inputs!$B$25)+IF(AND(K37=1,AB37&lt;&gt;0),(Inputs!$B$17+Inputs!$B$24+Inputs!$B$25)+(O37+Inputs!$B$24+Inputs!$B$25),0)+MAX(AG37,0)*(Inputs!$B$20+Inputs!$B$26+Inputs!$B$27)+MAX(-AG37,0)*(Inputs!$B$21+Inputs!$B$26+Inputs!$B$27)</f>
        <v>0</v>
      </c>
      <c r="AK37" s="30" t="n">
        <f aca="false">AB36*(M37-AD36*J37)+AB36*AD36*(N37+Inputs!$B$14)/Inputs!$B$16-AJ37</f>
        <v>0</v>
      </c>
      <c r="AL37" s="30" t="n">
        <f aca="false">IF(AP36&lt;&gt;0,AQ36+1,0)</f>
        <v>0</v>
      </c>
      <c r="AM37" s="30" t="n">
        <f aca="false">IF(W37="",0,IF(AND(AP36&lt;&gt;0,OR(ABS(W37)&gt;Inputs!$B$7,AL37&gt;=Inputs!$B$8,ABS(W37)&lt;Inputs!$B$6)),1,0))</f>
        <v>0</v>
      </c>
      <c r="AN37" s="30" t="n">
        <f aca="false">IF(AM37=1,0,AP36)</f>
        <v>0</v>
      </c>
      <c r="AO37" s="30" t="n">
        <f aca="false">IF(W37="",0,IF(AND(AN37=0,ABS(W37)&gt;Inputs!$B$5,ABS(W37)&lt;=Inputs!$B$7,W37&gt;0),1,0))</f>
        <v>0</v>
      </c>
      <c r="AP37" s="30" t="n">
        <f aca="false">IF(W37="",0,IF(AO37=1,-SIGN(W37),AN37))</f>
        <v>0</v>
      </c>
      <c r="AQ37" s="30" t="n">
        <f aca="false">IF(W37="",0,IF(AO37=1,0,IF(AM37=1,0,AL37)))</f>
        <v>0</v>
      </c>
      <c r="AR37" s="30" t="n">
        <f aca="false">IF(AP37=0,0,IF(AP36=AP37,AR36,T37))</f>
        <v>0</v>
      </c>
      <c r="AS37" s="30" t="n">
        <f aca="false">AP37-AP36</f>
        <v>0</v>
      </c>
      <c r="AT37" s="30" t="n">
        <f aca="false">-AR37*AP37</f>
        <v>-0</v>
      </c>
      <c r="AU37" s="30" t="n">
        <f aca="false">AT37-AT36</f>
        <v>0</v>
      </c>
      <c r="AV37" s="30" t="n">
        <f aca="false">MAX(AS37,0)*(Inputs!$B$17+Inputs!$B$18+Inputs!$B$19)+MAX(-AS37,0)*(O37+Inputs!$B$18+Inputs!$B$19)+IF(AND(K37=1,AP37&lt;&gt;0),(Inputs!$B$17+Inputs!$B$18+Inputs!$B$19)+(O37+Inputs!$B$18+Inputs!$B$19),0)+MAX(AU37,0)*(Inputs!$B$20+Inputs!$B$22+Inputs!$B$23)+MAX(-AU37,0)*(Inputs!$B$21+Inputs!$B$22+Inputs!$B$23)</f>
        <v>0</v>
      </c>
      <c r="AW37" s="30" t="n">
        <f aca="false">AP36*(M37-AR36*J37)+AP36*AR36*N37/Inputs!$B$16-AV37</f>
        <v>0</v>
      </c>
      <c r="AX37" s="30" t="n">
        <f aca="false">AW37-IF(AP36&lt;&gt;0,0.75*AR36*(Inputs!$B$13-N37)/Inputs!$B$16,0)</f>
        <v>0</v>
      </c>
      <c r="AY37" s="30" t="n">
        <f aca="false">MAX(AS37,0)*(Inputs!$B$17+Inputs!$B$18+Inputs!$B$19)+MAX(-AS37,0)*(O37+Inputs!$B$18+Inputs!$B$19)+IF(AND(K37=1,AP37&lt;&gt;0),(Inputs!$B$17+Inputs!$B$18+Inputs!$B$19)+(O37+Inputs!$B$18+Inputs!$B$19),0)</f>
        <v>0</v>
      </c>
      <c r="AZ37" s="30" t="n">
        <f aca="false">AP36*M37-AY37</f>
        <v>-0</v>
      </c>
      <c r="BA37" s="30" t="n">
        <f aca="false">BA36+AI37</f>
        <v>0</v>
      </c>
      <c r="BB37" s="30" t="n">
        <f aca="false">MAX(BB36,BA37)</f>
        <v>0</v>
      </c>
      <c r="BC37" s="30" t="n">
        <f aca="false">BA37-BB37</f>
        <v>0</v>
      </c>
      <c r="BD37" s="30" t="n">
        <f aca="false">A38-A37</f>
        <v>1</v>
      </c>
    </row>
    <row r="38" customFormat="false" ht="15" hidden="false" customHeight="false" outlineLevel="0" collapsed="false">
      <c r="A38" s="28" t="n">
        <v>45093</v>
      </c>
      <c r="B38" s="0" t="n">
        <v>18895</v>
      </c>
      <c r="C38" s="0" t="n">
        <v>206.69</v>
      </c>
      <c r="D38" s="29" t="n">
        <f aca="false">LN(B38)</f>
        <v>9.84665261578359</v>
      </c>
      <c r="E38" s="29" t="n">
        <f aca="false">LN(C38)</f>
        <v>5.33122008622375</v>
      </c>
      <c r="F38" s="0" t="n">
        <v>33</v>
      </c>
      <c r="G38" s="0" t="n">
        <v>12</v>
      </c>
      <c r="H38" s="29" t="n">
        <f aca="false">D38-E38</f>
        <v>4.51543252955985</v>
      </c>
      <c r="I38" s="29" t="n">
        <f aca="false">D38-D37</f>
        <v>0.00829042320792439</v>
      </c>
      <c r="J38" s="29" t="n">
        <f aca="false">E38-E37</f>
        <v>0.00674776219885676</v>
      </c>
      <c r="K38" s="0" t="n">
        <v>0</v>
      </c>
      <c r="L38" s="0" t="n">
        <v>0</v>
      </c>
      <c r="M38" s="29" t="n">
        <f aca="false">IF(L38=1,J38-Carry!$B$9/Inputs!$B$16,I38)</f>
        <v>0.00829042320792439</v>
      </c>
      <c r="N38" s="0" t="n">
        <v>0.065</v>
      </c>
      <c r="O38" s="0" t="n">
        <v>0.000125</v>
      </c>
      <c r="P38" s="29" t="n">
        <f aca="false">D38-('2 Hedge ratio'!$B$6+'2 Hedge ratio'!$B$5*E38)</f>
        <v>0.000759154012218488</v>
      </c>
      <c r="Q38" s="29" t="n">
        <f aca="false">D38-('5 Re-specification'!$B$7+'5 Re-specification'!$B$5*E38+'5 Re-specification'!$B$6*F38)</f>
        <v>0.00187043869341608</v>
      </c>
      <c r="R38" s="30" t="n">
        <f aca="false">MIN(F38,Inputs!$B$9)</f>
        <v>33</v>
      </c>
      <c r="S38" s="29" t="str">
        <f aca="true">IF(AND(F38&gt;=1,R38&gt;=Inputs!$B$10),INDEX(LINEST(OFFSET(D38,-R38,0,R38,1),OFFSET(E38,-R38,0,R38,2)),1,1),"")</f>
        <v/>
      </c>
      <c r="T38" s="29" t="str">
        <f aca="true">IF(AND(F38&gt;=1,R38&gt;=Inputs!$B$10),INDEX(LINEST(OFFSET(D38,-R38,0,R38,1),OFFSET(E38,-R38,0,R38,2)),1,2),"")</f>
        <v/>
      </c>
      <c r="U38" s="29" t="str">
        <f aca="true">IF(AND(F38&gt;=1,R38&gt;=Inputs!$B$10),INDEX(LINEST(OFFSET(D38,-R38,0,R38,1),OFFSET(E38,-R38,0,R38,2)),1,3),"")</f>
        <v/>
      </c>
      <c r="V38" s="29" t="str">
        <f aca="true">IF(AND(F38&gt;=1,R38&gt;=Inputs!$B$10),SQRT(SUMPRODUCT((OFFSET(D38,-R38,0,R38,1)-U38-T38*OFFSET(E38,-R38,0,R38,1)-S38*OFFSET(F38,-R38,0,R38,1))^2)/(R38-3)),"")</f>
        <v/>
      </c>
      <c r="W38" s="31" t="str">
        <f aca="false">IF(AND(F38&gt;=1,R38&gt;=Inputs!$B$10),(D38-U38-T38*E38-S38*F38)/V38,"")</f>
        <v/>
      </c>
      <c r="X38" s="30" t="n">
        <f aca="false">IF(AB37&lt;&gt;0,AC37+1,0)</f>
        <v>0</v>
      </c>
      <c r="Y38" s="30" t="n">
        <f aca="false">IF(W38="",0,IF(AND(AB37&lt;&gt;0,OR(ABS(W38)&gt;Inputs!$B$7,X38&gt;=Inputs!$B$8,ABS(W38)&lt;Inputs!$B$6)),1,0))</f>
        <v>0</v>
      </c>
      <c r="Z38" s="30" t="n">
        <f aca="false">IF(Y38=1,0,AB37)</f>
        <v>0</v>
      </c>
      <c r="AA38" s="30" t="n">
        <f aca="false">IF(W38="",0,IF(AND(Z38=0,ABS(W38)&gt;Inputs!$B$5,ABS(W38)&lt;=Inputs!$B$7),1,0))</f>
        <v>0</v>
      </c>
      <c r="AB38" s="30" t="n">
        <f aca="false">IF(W38="",0,IF(AA38=1,-SIGN(W38),Z38))</f>
        <v>0</v>
      </c>
      <c r="AC38" s="30" t="n">
        <f aca="false">IF(W38="",0,IF(AA38=1,0,IF(Y38=1,0,X38)))</f>
        <v>0</v>
      </c>
      <c r="AD38" s="30" t="n">
        <f aca="false">IF(AB38=0,0,IF(AB37=AB38,AD37,T38))</f>
        <v>0</v>
      </c>
      <c r="AE38" s="30" t="n">
        <f aca="false">AB38-AB37</f>
        <v>0</v>
      </c>
      <c r="AF38" s="30" t="n">
        <f aca="false">-AD38*AB38</f>
        <v>-0</v>
      </c>
      <c r="AG38" s="30" t="n">
        <f aca="false">AF38-AF37</f>
        <v>0</v>
      </c>
      <c r="AH38" s="30" t="n">
        <f aca="false">MAX(AE38,0)*(Inputs!$B$17+Inputs!$B$18+Inputs!$B$19)+MAX(-AE38,0)*(O38+Inputs!$B$18+Inputs!$B$19)+IF(AND(K38=1,AB38&lt;&gt;0),(Inputs!$B$17+Inputs!$B$18+Inputs!$B$19)+(O38+Inputs!$B$18+Inputs!$B$19),0)+MAX(AG38,0)*(Inputs!$B$20+Inputs!$B$22+Inputs!$B$23)+MAX(-AG38,0)*(Inputs!$B$21+Inputs!$B$22+Inputs!$B$23)</f>
        <v>0</v>
      </c>
      <c r="AI38" s="30" t="n">
        <f aca="false">AB37*(M38-AD37*J38)+AB37*AD37*N38/Inputs!$B$16-AH38</f>
        <v>0</v>
      </c>
      <c r="AJ38" s="30" t="n">
        <f aca="false">MAX(AE38,0)*(Inputs!$B$17+Inputs!$B$24+Inputs!$B$25)+MAX(-AE38,0)*(O38+Inputs!$B$24+Inputs!$B$25)+IF(AND(K38=1,AB38&lt;&gt;0),(Inputs!$B$17+Inputs!$B$24+Inputs!$B$25)+(O38+Inputs!$B$24+Inputs!$B$25),0)+MAX(AG38,0)*(Inputs!$B$20+Inputs!$B$26+Inputs!$B$27)+MAX(-AG38,0)*(Inputs!$B$21+Inputs!$B$26+Inputs!$B$27)</f>
        <v>0</v>
      </c>
      <c r="AK38" s="30" t="n">
        <f aca="false">AB37*(M38-AD37*J38)+AB37*AD37*(N38+Inputs!$B$14)/Inputs!$B$16-AJ38</f>
        <v>0</v>
      </c>
      <c r="AL38" s="30" t="n">
        <f aca="false">IF(AP37&lt;&gt;0,AQ37+1,0)</f>
        <v>0</v>
      </c>
      <c r="AM38" s="30" t="n">
        <f aca="false">IF(W38="",0,IF(AND(AP37&lt;&gt;0,OR(ABS(W38)&gt;Inputs!$B$7,AL38&gt;=Inputs!$B$8,ABS(W38)&lt;Inputs!$B$6)),1,0))</f>
        <v>0</v>
      </c>
      <c r="AN38" s="30" t="n">
        <f aca="false">IF(AM38=1,0,AP37)</f>
        <v>0</v>
      </c>
      <c r="AO38" s="30" t="n">
        <f aca="false">IF(W38="",0,IF(AND(AN38=0,ABS(W38)&gt;Inputs!$B$5,ABS(W38)&lt;=Inputs!$B$7,W38&gt;0),1,0))</f>
        <v>0</v>
      </c>
      <c r="AP38" s="30" t="n">
        <f aca="false">IF(W38="",0,IF(AO38=1,-SIGN(W38),AN38))</f>
        <v>0</v>
      </c>
      <c r="AQ38" s="30" t="n">
        <f aca="false">IF(W38="",0,IF(AO38=1,0,IF(AM38=1,0,AL38)))</f>
        <v>0</v>
      </c>
      <c r="AR38" s="30" t="n">
        <f aca="false">IF(AP38=0,0,IF(AP37=AP38,AR37,T38))</f>
        <v>0</v>
      </c>
      <c r="AS38" s="30" t="n">
        <f aca="false">AP38-AP37</f>
        <v>0</v>
      </c>
      <c r="AT38" s="30" t="n">
        <f aca="false">-AR38*AP38</f>
        <v>-0</v>
      </c>
      <c r="AU38" s="30" t="n">
        <f aca="false">AT38-AT37</f>
        <v>0</v>
      </c>
      <c r="AV38" s="30" t="n">
        <f aca="false">MAX(AS38,0)*(Inputs!$B$17+Inputs!$B$18+Inputs!$B$19)+MAX(-AS38,0)*(O38+Inputs!$B$18+Inputs!$B$19)+IF(AND(K38=1,AP38&lt;&gt;0),(Inputs!$B$17+Inputs!$B$18+Inputs!$B$19)+(O38+Inputs!$B$18+Inputs!$B$19),0)+MAX(AU38,0)*(Inputs!$B$20+Inputs!$B$22+Inputs!$B$23)+MAX(-AU38,0)*(Inputs!$B$21+Inputs!$B$22+Inputs!$B$23)</f>
        <v>0</v>
      </c>
      <c r="AW38" s="30" t="n">
        <f aca="false">AP37*(M38-AR37*J38)+AP37*AR37*N38/Inputs!$B$16-AV38</f>
        <v>0</v>
      </c>
      <c r="AX38" s="30" t="n">
        <f aca="false">AW38-IF(AP37&lt;&gt;0,0.75*AR37*(Inputs!$B$13-N38)/Inputs!$B$16,0)</f>
        <v>0</v>
      </c>
      <c r="AY38" s="30" t="n">
        <f aca="false">MAX(AS38,0)*(Inputs!$B$17+Inputs!$B$18+Inputs!$B$19)+MAX(-AS38,0)*(O38+Inputs!$B$18+Inputs!$B$19)+IF(AND(K38=1,AP38&lt;&gt;0),(Inputs!$B$17+Inputs!$B$18+Inputs!$B$19)+(O38+Inputs!$B$18+Inputs!$B$19),0)</f>
        <v>0</v>
      </c>
      <c r="AZ38" s="30" t="n">
        <f aca="false">AP37*M38-AY38</f>
        <v>0</v>
      </c>
      <c r="BA38" s="30" t="n">
        <f aca="false">BA37+AI38</f>
        <v>0</v>
      </c>
      <c r="BB38" s="30" t="n">
        <f aca="false">MAX(BB37,BA38)</f>
        <v>0</v>
      </c>
      <c r="BC38" s="30" t="n">
        <f aca="false">BA38-BB38</f>
        <v>0</v>
      </c>
      <c r="BD38" s="30" t="n">
        <f aca="false">A39-A38</f>
        <v>3</v>
      </c>
    </row>
    <row r="39" customFormat="false" ht="15" hidden="false" customHeight="false" outlineLevel="0" collapsed="false">
      <c r="A39" s="28" t="n">
        <v>45096</v>
      </c>
      <c r="B39" s="0" t="n">
        <v>18842</v>
      </c>
      <c r="C39" s="0" t="n">
        <v>205.9</v>
      </c>
      <c r="D39" s="29" t="n">
        <f aca="false">LN(B39)</f>
        <v>9.84384369960861</v>
      </c>
      <c r="E39" s="29" t="n">
        <f aca="false">LN(C39)</f>
        <v>5.32739061403374</v>
      </c>
      <c r="F39" s="0" t="n">
        <v>34</v>
      </c>
      <c r="G39" s="0" t="n">
        <v>9</v>
      </c>
      <c r="H39" s="29" t="n">
        <f aca="false">D39-E39</f>
        <v>4.51645308557487</v>
      </c>
      <c r="I39" s="29" t="n">
        <f aca="false">D39-D38</f>
        <v>-0.00280891617497758</v>
      </c>
      <c r="J39" s="29" t="n">
        <f aca="false">E39-E38</f>
        <v>-0.00382947219000052</v>
      </c>
      <c r="K39" s="0" t="n">
        <v>0</v>
      </c>
      <c r="L39" s="0" t="n">
        <v>0</v>
      </c>
      <c r="M39" s="29" t="n">
        <f aca="false">IF(L39=1,J39-Carry!$B$9/Inputs!$B$16,I39)</f>
        <v>-0.00280891617497758</v>
      </c>
      <c r="N39" s="0" t="n">
        <v>0.065</v>
      </c>
      <c r="O39" s="0" t="n">
        <v>0.000125</v>
      </c>
      <c r="P39" s="29" t="n">
        <f aca="false">D39-('2 Hedge ratio'!$B$6+'2 Hedge ratio'!$B$5*E39)</f>
        <v>0.00145851978429334</v>
      </c>
      <c r="Q39" s="29" t="n">
        <f aca="false">D39-('5 Re-specification'!$B$7+'5 Re-specification'!$B$5*E39+'5 Re-specification'!$B$6*F39)</f>
        <v>0.0029243188109831</v>
      </c>
      <c r="R39" s="30" t="n">
        <f aca="false">MIN(F39,Inputs!$B$9)</f>
        <v>34</v>
      </c>
      <c r="S39" s="29" t="str">
        <f aca="true">IF(AND(F39&gt;=1,R39&gt;=Inputs!$B$10),INDEX(LINEST(OFFSET(D39,-R39,0,R39,1),OFFSET(E39,-R39,0,R39,2)),1,1),"")</f>
        <v/>
      </c>
      <c r="T39" s="29" t="str">
        <f aca="true">IF(AND(F39&gt;=1,R39&gt;=Inputs!$B$10),INDEX(LINEST(OFFSET(D39,-R39,0,R39,1),OFFSET(E39,-R39,0,R39,2)),1,2),"")</f>
        <v/>
      </c>
      <c r="U39" s="29" t="str">
        <f aca="true">IF(AND(F39&gt;=1,R39&gt;=Inputs!$B$10),INDEX(LINEST(OFFSET(D39,-R39,0,R39,1),OFFSET(E39,-R39,0,R39,2)),1,3),"")</f>
        <v/>
      </c>
      <c r="V39" s="29" t="str">
        <f aca="true">IF(AND(F39&gt;=1,R39&gt;=Inputs!$B$10),SQRT(SUMPRODUCT((OFFSET(D39,-R39,0,R39,1)-U39-T39*OFFSET(E39,-R39,0,R39,1)-S39*OFFSET(F39,-R39,0,R39,1))^2)/(R39-3)),"")</f>
        <v/>
      </c>
      <c r="W39" s="31" t="str">
        <f aca="false">IF(AND(F39&gt;=1,R39&gt;=Inputs!$B$10),(D39-U39-T39*E39-S39*F39)/V39,"")</f>
        <v/>
      </c>
      <c r="X39" s="30" t="n">
        <f aca="false">IF(AB38&lt;&gt;0,AC38+1,0)</f>
        <v>0</v>
      </c>
      <c r="Y39" s="30" t="n">
        <f aca="false">IF(W39="",0,IF(AND(AB38&lt;&gt;0,OR(ABS(W39)&gt;Inputs!$B$7,X39&gt;=Inputs!$B$8,ABS(W39)&lt;Inputs!$B$6)),1,0))</f>
        <v>0</v>
      </c>
      <c r="Z39" s="30" t="n">
        <f aca="false">IF(Y39=1,0,AB38)</f>
        <v>0</v>
      </c>
      <c r="AA39" s="30" t="n">
        <f aca="false">IF(W39="",0,IF(AND(Z39=0,ABS(W39)&gt;Inputs!$B$5,ABS(W39)&lt;=Inputs!$B$7),1,0))</f>
        <v>0</v>
      </c>
      <c r="AB39" s="30" t="n">
        <f aca="false">IF(W39="",0,IF(AA39=1,-SIGN(W39),Z39))</f>
        <v>0</v>
      </c>
      <c r="AC39" s="30" t="n">
        <f aca="false">IF(W39="",0,IF(AA39=1,0,IF(Y39=1,0,X39)))</f>
        <v>0</v>
      </c>
      <c r="AD39" s="30" t="n">
        <f aca="false">IF(AB39=0,0,IF(AB38=AB39,AD38,T39))</f>
        <v>0</v>
      </c>
      <c r="AE39" s="30" t="n">
        <f aca="false">AB39-AB38</f>
        <v>0</v>
      </c>
      <c r="AF39" s="30" t="n">
        <f aca="false">-AD39*AB39</f>
        <v>-0</v>
      </c>
      <c r="AG39" s="30" t="n">
        <f aca="false">AF39-AF38</f>
        <v>0</v>
      </c>
      <c r="AH39" s="30" t="n">
        <f aca="false">MAX(AE39,0)*(Inputs!$B$17+Inputs!$B$18+Inputs!$B$19)+MAX(-AE39,0)*(O39+Inputs!$B$18+Inputs!$B$19)+IF(AND(K39=1,AB39&lt;&gt;0),(Inputs!$B$17+Inputs!$B$18+Inputs!$B$19)+(O39+Inputs!$B$18+Inputs!$B$19),0)+MAX(AG39,0)*(Inputs!$B$20+Inputs!$B$22+Inputs!$B$23)+MAX(-AG39,0)*(Inputs!$B$21+Inputs!$B$22+Inputs!$B$23)</f>
        <v>0</v>
      </c>
      <c r="AI39" s="30" t="n">
        <f aca="false">AB38*(M39-AD38*J39)+AB38*AD38*N39/Inputs!$B$16-AH39</f>
        <v>0</v>
      </c>
      <c r="AJ39" s="30" t="n">
        <f aca="false">MAX(AE39,0)*(Inputs!$B$17+Inputs!$B$24+Inputs!$B$25)+MAX(-AE39,0)*(O39+Inputs!$B$24+Inputs!$B$25)+IF(AND(K39=1,AB39&lt;&gt;0),(Inputs!$B$17+Inputs!$B$24+Inputs!$B$25)+(O39+Inputs!$B$24+Inputs!$B$25),0)+MAX(AG39,0)*(Inputs!$B$20+Inputs!$B$26+Inputs!$B$27)+MAX(-AG39,0)*(Inputs!$B$21+Inputs!$B$26+Inputs!$B$27)</f>
        <v>0</v>
      </c>
      <c r="AK39" s="30" t="n">
        <f aca="false">AB38*(M39-AD38*J39)+AB38*AD38*(N39+Inputs!$B$14)/Inputs!$B$16-AJ39</f>
        <v>0</v>
      </c>
      <c r="AL39" s="30" t="n">
        <f aca="false">IF(AP38&lt;&gt;0,AQ38+1,0)</f>
        <v>0</v>
      </c>
      <c r="AM39" s="30" t="n">
        <f aca="false">IF(W39="",0,IF(AND(AP38&lt;&gt;0,OR(ABS(W39)&gt;Inputs!$B$7,AL39&gt;=Inputs!$B$8,ABS(W39)&lt;Inputs!$B$6)),1,0))</f>
        <v>0</v>
      </c>
      <c r="AN39" s="30" t="n">
        <f aca="false">IF(AM39=1,0,AP38)</f>
        <v>0</v>
      </c>
      <c r="AO39" s="30" t="n">
        <f aca="false">IF(W39="",0,IF(AND(AN39=0,ABS(W39)&gt;Inputs!$B$5,ABS(W39)&lt;=Inputs!$B$7,W39&gt;0),1,0))</f>
        <v>0</v>
      </c>
      <c r="AP39" s="30" t="n">
        <f aca="false">IF(W39="",0,IF(AO39=1,-SIGN(W39),AN39))</f>
        <v>0</v>
      </c>
      <c r="AQ39" s="30" t="n">
        <f aca="false">IF(W39="",0,IF(AO39=1,0,IF(AM39=1,0,AL39)))</f>
        <v>0</v>
      </c>
      <c r="AR39" s="30" t="n">
        <f aca="false">IF(AP39=0,0,IF(AP38=AP39,AR38,T39))</f>
        <v>0</v>
      </c>
      <c r="AS39" s="30" t="n">
        <f aca="false">AP39-AP38</f>
        <v>0</v>
      </c>
      <c r="AT39" s="30" t="n">
        <f aca="false">-AR39*AP39</f>
        <v>-0</v>
      </c>
      <c r="AU39" s="30" t="n">
        <f aca="false">AT39-AT38</f>
        <v>0</v>
      </c>
      <c r="AV39" s="30" t="n">
        <f aca="false">MAX(AS39,0)*(Inputs!$B$17+Inputs!$B$18+Inputs!$B$19)+MAX(-AS39,0)*(O39+Inputs!$B$18+Inputs!$B$19)+IF(AND(K39=1,AP39&lt;&gt;0),(Inputs!$B$17+Inputs!$B$18+Inputs!$B$19)+(O39+Inputs!$B$18+Inputs!$B$19),0)+MAX(AU39,0)*(Inputs!$B$20+Inputs!$B$22+Inputs!$B$23)+MAX(-AU39,0)*(Inputs!$B$21+Inputs!$B$22+Inputs!$B$23)</f>
        <v>0</v>
      </c>
      <c r="AW39" s="30" t="n">
        <f aca="false">AP38*(M39-AR38*J39)+AP38*AR38*N39/Inputs!$B$16-AV39</f>
        <v>0</v>
      </c>
      <c r="AX39" s="30" t="n">
        <f aca="false">AW39-IF(AP38&lt;&gt;0,0.75*AR38*(Inputs!$B$13-N39)/Inputs!$B$16,0)</f>
        <v>0</v>
      </c>
      <c r="AY39" s="30" t="n">
        <f aca="false">MAX(AS39,0)*(Inputs!$B$17+Inputs!$B$18+Inputs!$B$19)+MAX(-AS39,0)*(O39+Inputs!$B$18+Inputs!$B$19)+IF(AND(K39=1,AP39&lt;&gt;0),(Inputs!$B$17+Inputs!$B$18+Inputs!$B$19)+(O39+Inputs!$B$18+Inputs!$B$19),0)</f>
        <v>0</v>
      </c>
      <c r="AZ39" s="30" t="n">
        <f aca="false">AP38*M39-AY39</f>
        <v>-0</v>
      </c>
      <c r="BA39" s="30" t="n">
        <f aca="false">BA38+AI39</f>
        <v>0</v>
      </c>
      <c r="BB39" s="30" t="n">
        <f aca="false">MAX(BB38,BA39)</f>
        <v>0</v>
      </c>
      <c r="BC39" s="30" t="n">
        <f aca="false">BA39-BB39</f>
        <v>0</v>
      </c>
      <c r="BD39" s="30" t="n">
        <f aca="false">A40-A39</f>
        <v>1</v>
      </c>
    </row>
    <row r="40" customFormat="false" ht="15" hidden="false" customHeight="false" outlineLevel="0" collapsed="false">
      <c r="A40" s="28" t="n">
        <v>45097</v>
      </c>
      <c r="B40" s="0" t="n">
        <v>18879</v>
      </c>
      <c r="C40" s="0" t="n">
        <v>206.7</v>
      </c>
      <c r="D40" s="29" t="n">
        <f aca="false">LN(B40)</f>
        <v>9.84580547219504</v>
      </c>
      <c r="E40" s="29" t="n">
        <f aca="false">LN(C40)</f>
        <v>5.33126846668772</v>
      </c>
      <c r="F40" s="0" t="n">
        <v>35</v>
      </c>
      <c r="G40" s="0" t="n">
        <v>8</v>
      </c>
      <c r="H40" s="29" t="n">
        <f aca="false">D40-E40</f>
        <v>4.51453700550732</v>
      </c>
      <c r="I40" s="29" t="n">
        <f aca="false">D40-D39</f>
        <v>0.00196177258643004</v>
      </c>
      <c r="J40" s="29" t="n">
        <f aca="false">E40-E39</f>
        <v>0.00387785265397866</v>
      </c>
      <c r="K40" s="0" t="n">
        <v>0</v>
      </c>
      <c r="L40" s="0" t="n">
        <v>0</v>
      </c>
      <c r="M40" s="29" t="n">
        <f aca="false">IF(L40=1,J40-Carry!$B$9/Inputs!$B$16,I40)</f>
        <v>0.00196177258643004</v>
      </c>
      <c r="N40" s="0" t="n">
        <v>0.065</v>
      </c>
      <c r="O40" s="0" t="n">
        <v>0.000125</v>
      </c>
      <c r="P40" s="29" t="n">
        <f aca="false">D40-('2 Hedge ratio'!$B$6+'2 Hedge ratio'!$B$5*E40)</f>
        <v>-0.000132312214002894</v>
      </c>
      <c r="Q40" s="29" t="n">
        <f aca="false">D40-('5 Re-specification'!$B$7+'5 Re-specification'!$B$5*E40+'5 Re-specification'!$B$6*F40)</f>
        <v>0.00106491989408219</v>
      </c>
      <c r="R40" s="30" t="n">
        <f aca="false">MIN(F40,Inputs!$B$9)</f>
        <v>35</v>
      </c>
      <c r="S40" s="29" t="str">
        <f aca="true">IF(AND(F40&gt;=1,R40&gt;=Inputs!$B$10),INDEX(LINEST(OFFSET(D40,-R40,0,R40,1),OFFSET(E40,-R40,0,R40,2)),1,1),"")</f>
        <v/>
      </c>
      <c r="T40" s="29" t="str">
        <f aca="true">IF(AND(F40&gt;=1,R40&gt;=Inputs!$B$10),INDEX(LINEST(OFFSET(D40,-R40,0,R40,1),OFFSET(E40,-R40,0,R40,2)),1,2),"")</f>
        <v/>
      </c>
      <c r="U40" s="29" t="str">
        <f aca="true">IF(AND(F40&gt;=1,R40&gt;=Inputs!$B$10),INDEX(LINEST(OFFSET(D40,-R40,0,R40,1),OFFSET(E40,-R40,0,R40,2)),1,3),"")</f>
        <v/>
      </c>
      <c r="V40" s="29" t="str">
        <f aca="true">IF(AND(F40&gt;=1,R40&gt;=Inputs!$B$10),SQRT(SUMPRODUCT((OFFSET(D40,-R40,0,R40,1)-U40-T40*OFFSET(E40,-R40,0,R40,1)-S40*OFFSET(F40,-R40,0,R40,1))^2)/(R40-3)),"")</f>
        <v/>
      </c>
      <c r="W40" s="31" t="str">
        <f aca="false">IF(AND(F40&gt;=1,R40&gt;=Inputs!$B$10),(D40-U40-T40*E40-S40*F40)/V40,"")</f>
        <v/>
      </c>
      <c r="X40" s="30" t="n">
        <f aca="false">IF(AB39&lt;&gt;0,AC39+1,0)</f>
        <v>0</v>
      </c>
      <c r="Y40" s="30" t="n">
        <f aca="false">IF(W40="",0,IF(AND(AB39&lt;&gt;0,OR(ABS(W40)&gt;Inputs!$B$7,X40&gt;=Inputs!$B$8,ABS(W40)&lt;Inputs!$B$6)),1,0))</f>
        <v>0</v>
      </c>
      <c r="Z40" s="30" t="n">
        <f aca="false">IF(Y40=1,0,AB39)</f>
        <v>0</v>
      </c>
      <c r="AA40" s="30" t="n">
        <f aca="false">IF(W40="",0,IF(AND(Z40=0,ABS(W40)&gt;Inputs!$B$5,ABS(W40)&lt;=Inputs!$B$7),1,0))</f>
        <v>0</v>
      </c>
      <c r="AB40" s="30" t="n">
        <f aca="false">IF(W40="",0,IF(AA40=1,-SIGN(W40),Z40))</f>
        <v>0</v>
      </c>
      <c r="AC40" s="30" t="n">
        <f aca="false">IF(W40="",0,IF(AA40=1,0,IF(Y40=1,0,X40)))</f>
        <v>0</v>
      </c>
      <c r="AD40" s="30" t="n">
        <f aca="false">IF(AB40=0,0,IF(AB39=AB40,AD39,T40))</f>
        <v>0</v>
      </c>
      <c r="AE40" s="30" t="n">
        <f aca="false">AB40-AB39</f>
        <v>0</v>
      </c>
      <c r="AF40" s="30" t="n">
        <f aca="false">-AD40*AB40</f>
        <v>-0</v>
      </c>
      <c r="AG40" s="30" t="n">
        <f aca="false">AF40-AF39</f>
        <v>0</v>
      </c>
      <c r="AH40" s="30" t="n">
        <f aca="false">MAX(AE40,0)*(Inputs!$B$17+Inputs!$B$18+Inputs!$B$19)+MAX(-AE40,0)*(O40+Inputs!$B$18+Inputs!$B$19)+IF(AND(K40=1,AB40&lt;&gt;0),(Inputs!$B$17+Inputs!$B$18+Inputs!$B$19)+(O40+Inputs!$B$18+Inputs!$B$19),0)+MAX(AG40,0)*(Inputs!$B$20+Inputs!$B$22+Inputs!$B$23)+MAX(-AG40,0)*(Inputs!$B$21+Inputs!$B$22+Inputs!$B$23)</f>
        <v>0</v>
      </c>
      <c r="AI40" s="30" t="n">
        <f aca="false">AB39*(M40-AD39*J40)+AB39*AD39*N40/Inputs!$B$16-AH40</f>
        <v>0</v>
      </c>
      <c r="AJ40" s="30" t="n">
        <f aca="false">MAX(AE40,0)*(Inputs!$B$17+Inputs!$B$24+Inputs!$B$25)+MAX(-AE40,0)*(O40+Inputs!$B$24+Inputs!$B$25)+IF(AND(K40=1,AB40&lt;&gt;0),(Inputs!$B$17+Inputs!$B$24+Inputs!$B$25)+(O40+Inputs!$B$24+Inputs!$B$25),0)+MAX(AG40,0)*(Inputs!$B$20+Inputs!$B$26+Inputs!$B$27)+MAX(-AG40,0)*(Inputs!$B$21+Inputs!$B$26+Inputs!$B$27)</f>
        <v>0</v>
      </c>
      <c r="AK40" s="30" t="n">
        <f aca="false">AB39*(M40-AD39*J40)+AB39*AD39*(N40+Inputs!$B$14)/Inputs!$B$16-AJ40</f>
        <v>0</v>
      </c>
      <c r="AL40" s="30" t="n">
        <f aca="false">IF(AP39&lt;&gt;0,AQ39+1,0)</f>
        <v>0</v>
      </c>
      <c r="AM40" s="30" t="n">
        <f aca="false">IF(W40="",0,IF(AND(AP39&lt;&gt;0,OR(ABS(W40)&gt;Inputs!$B$7,AL40&gt;=Inputs!$B$8,ABS(W40)&lt;Inputs!$B$6)),1,0))</f>
        <v>0</v>
      </c>
      <c r="AN40" s="30" t="n">
        <f aca="false">IF(AM40=1,0,AP39)</f>
        <v>0</v>
      </c>
      <c r="AO40" s="30" t="n">
        <f aca="false">IF(W40="",0,IF(AND(AN40=0,ABS(W40)&gt;Inputs!$B$5,ABS(W40)&lt;=Inputs!$B$7,W40&gt;0),1,0))</f>
        <v>0</v>
      </c>
      <c r="AP40" s="30" t="n">
        <f aca="false">IF(W40="",0,IF(AO40=1,-SIGN(W40),AN40))</f>
        <v>0</v>
      </c>
      <c r="AQ40" s="30" t="n">
        <f aca="false">IF(W40="",0,IF(AO40=1,0,IF(AM40=1,0,AL40)))</f>
        <v>0</v>
      </c>
      <c r="AR40" s="30" t="n">
        <f aca="false">IF(AP40=0,0,IF(AP39=AP40,AR39,T40))</f>
        <v>0</v>
      </c>
      <c r="AS40" s="30" t="n">
        <f aca="false">AP40-AP39</f>
        <v>0</v>
      </c>
      <c r="AT40" s="30" t="n">
        <f aca="false">-AR40*AP40</f>
        <v>-0</v>
      </c>
      <c r="AU40" s="30" t="n">
        <f aca="false">AT40-AT39</f>
        <v>0</v>
      </c>
      <c r="AV40" s="30" t="n">
        <f aca="false">MAX(AS40,0)*(Inputs!$B$17+Inputs!$B$18+Inputs!$B$19)+MAX(-AS40,0)*(O40+Inputs!$B$18+Inputs!$B$19)+IF(AND(K40=1,AP40&lt;&gt;0),(Inputs!$B$17+Inputs!$B$18+Inputs!$B$19)+(O40+Inputs!$B$18+Inputs!$B$19),0)+MAX(AU40,0)*(Inputs!$B$20+Inputs!$B$22+Inputs!$B$23)+MAX(-AU40,0)*(Inputs!$B$21+Inputs!$B$22+Inputs!$B$23)</f>
        <v>0</v>
      </c>
      <c r="AW40" s="30" t="n">
        <f aca="false">AP39*(M40-AR39*J40)+AP39*AR39*N40/Inputs!$B$16-AV40</f>
        <v>0</v>
      </c>
      <c r="AX40" s="30" t="n">
        <f aca="false">AW40-IF(AP39&lt;&gt;0,0.75*AR39*(Inputs!$B$13-N40)/Inputs!$B$16,0)</f>
        <v>0</v>
      </c>
      <c r="AY40" s="30" t="n">
        <f aca="false">MAX(AS40,0)*(Inputs!$B$17+Inputs!$B$18+Inputs!$B$19)+MAX(-AS40,0)*(O40+Inputs!$B$18+Inputs!$B$19)+IF(AND(K40=1,AP40&lt;&gt;0),(Inputs!$B$17+Inputs!$B$18+Inputs!$B$19)+(O40+Inputs!$B$18+Inputs!$B$19),0)</f>
        <v>0</v>
      </c>
      <c r="AZ40" s="30" t="n">
        <f aca="false">AP39*M40-AY40</f>
        <v>0</v>
      </c>
      <c r="BA40" s="30" t="n">
        <f aca="false">BA39+AI40</f>
        <v>0</v>
      </c>
      <c r="BB40" s="30" t="n">
        <f aca="false">MAX(BB39,BA40)</f>
        <v>0</v>
      </c>
      <c r="BC40" s="30" t="n">
        <f aca="false">BA40-BB40</f>
        <v>0</v>
      </c>
      <c r="BD40" s="30" t="n">
        <f aca="false">A41-A40</f>
        <v>1</v>
      </c>
    </row>
    <row r="41" customFormat="false" ht="15" hidden="false" customHeight="false" outlineLevel="0" collapsed="false">
      <c r="A41" s="28" t="n">
        <v>45098</v>
      </c>
      <c r="B41" s="0" t="n">
        <v>18895.05</v>
      </c>
      <c r="C41" s="0" t="n">
        <v>207.01</v>
      </c>
      <c r="D41" s="29" t="n">
        <f aca="false">LN(B41)</f>
        <v>9.84665526198279</v>
      </c>
      <c r="E41" s="29" t="n">
        <f aca="false">LN(C41)</f>
        <v>5.33276710127726</v>
      </c>
      <c r="F41" s="0" t="n">
        <v>36</v>
      </c>
      <c r="G41" s="0" t="n">
        <v>7</v>
      </c>
      <c r="H41" s="29" t="n">
        <f aca="false">D41-E41</f>
        <v>4.51388816070553</v>
      </c>
      <c r="I41" s="29" t="n">
        <f aca="false">D41-D40</f>
        <v>0.000849789787745081</v>
      </c>
      <c r="J41" s="29" t="n">
        <f aca="false">E41-E40</f>
        <v>0.0014986345895398</v>
      </c>
      <c r="K41" s="0" t="n">
        <v>0</v>
      </c>
      <c r="L41" s="0" t="n">
        <v>0</v>
      </c>
      <c r="M41" s="29" t="n">
        <f aca="false">IF(L41=1,J41-Carry!$B$9/Inputs!$B$16,I41)</f>
        <v>0.000849789787745081</v>
      </c>
      <c r="N41" s="0" t="n">
        <v>0.065</v>
      </c>
      <c r="O41" s="0" t="n">
        <v>0.000125</v>
      </c>
      <c r="P41" s="29" t="n">
        <f aca="false">D41-('2 Hedge ratio'!$B$6+'2 Hedge ratio'!$B$5*E41)</f>
        <v>-0.000655461676069891</v>
      </c>
      <c r="Q41" s="29" t="n">
        <f aca="false">D41-('5 Re-specification'!$B$7+'5 Re-specification'!$B$5*E41+'5 Re-specification'!$B$6*F41)</f>
        <v>0.000465546022539343</v>
      </c>
      <c r="R41" s="30" t="n">
        <f aca="false">MIN(F41,Inputs!$B$9)</f>
        <v>36</v>
      </c>
      <c r="S41" s="29" t="str">
        <f aca="true">IF(AND(F41&gt;=1,R41&gt;=Inputs!$B$10),INDEX(LINEST(OFFSET(D41,-R41,0,R41,1),OFFSET(E41,-R41,0,R41,2)),1,1),"")</f>
        <v/>
      </c>
      <c r="T41" s="29" t="str">
        <f aca="true">IF(AND(F41&gt;=1,R41&gt;=Inputs!$B$10),INDEX(LINEST(OFFSET(D41,-R41,0,R41,1),OFFSET(E41,-R41,0,R41,2)),1,2),"")</f>
        <v/>
      </c>
      <c r="U41" s="29" t="str">
        <f aca="true">IF(AND(F41&gt;=1,R41&gt;=Inputs!$B$10),INDEX(LINEST(OFFSET(D41,-R41,0,R41,1),OFFSET(E41,-R41,0,R41,2)),1,3),"")</f>
        <v/>
      </c>
      <c r="V41" s="29" t="str">
        <f aca="true">IF(AND(F41&gt;=1,R41&gt;=Inputs!$B$10),SQRT(SUMPRODUCT((OFFSET(D41,-R41,0,R41,1)-U41-T41*OFFSET(E41,-R41,0,R41,1)-S41*OFFSET(F41,-R41,0,R41,1))^2)/(R41-3)),"")</f>
        <v/>
      </c>
      <c r="W41" s="31" t="str">
        <f aca="false">IF(AND(F41&gt;=1,R41&gt;=Inputs!$B$10),(D41-U41-T41*E41-S41*F41)/V41,"")</f>
        <v/>
      </c>
      <c r="X41" s="30" t="n">
        <f aca="false">IF(AB40&lt;&gt;0,AC40+1,0)</f>
        <v>0</v>
      </c>
      <c r="Y41" s="30" t="n">
        <f aca="false">IF(W41="",0,IF(AND(AB40&lt;&gt;0,OR(ABS(W41)&gt;Inputs!$B$7,X41&gt;=Inputs!$B$8,ABS(W41)&lt;Inputs!$B$6)),1,0))</f>
        <v>0</v>
      </c>
      <c r="Z41" s="30" t="n">
        <f aca="false">IF(Y41=1,0,AB40)</f>
        <v>0</v>
      </c>
      <c r="AA41" s="30" t="n">
        <f aca="false">IF(W41="",0,IF(AND(Z41=0,ABS(W41)&gt;Inputs!$B$5,ABS(W41)&lt;=Inputs!$B$7),1,0))</f>
        <v>0</v>
      </c>
      <c r="AB41" s="30" t="n">
        <f aca="false">IF(W41="",0,IF(AA41=1,-SIGN(W41),Z41))</f>
        <v>0</v>
      </c>
      <c r="AC41" s="30" t="n">
        <f aca="false">IF(W41="",0,IF(AA41=1,0,IF(Y41=1,0,X41)))</f>
        <v>0</v>
      </c>
      <c r="AD41" s="30" t="n">
        <f aca="false">IF(AB41=0,0,IF(AB40=AB41,AD40,T41))</f>
        <v>0</v>
      </c>
      <c r="AE41" s="30" t="n">
        <f aca="false">AB41-AB40</f>
        <v>0</v>
      </c>
      <c r="AF41" s="30" t="n">
        <f aca="false">-AD41*AB41</f>
        <v>-0</v>
      </c>
      <c r="AG41" s="30" t="n">
        <f aca="false">AF41-AF40</f>
        <v>0</v>
      </c>
      <c r="AH41" s="30" t="n">
        <f aca="false">MAX(AE41,0)*(Inputs!$B$17+Inputs!$B$18+Inputs!$B$19)+MAX(-AE41,0)*(O41+Inputs!$B$18+Inputs!$B$19)+IF(AND(K41=1,AB41&lt;&gt;0),(Inputs!$B$17+Inputs!$B$18+Inputs!$B$19)+(O41+Inputs!$B$18+Inputs!$B$19),0)+MAX(AG41,0)*(Inputs!$B$20+Inputs!$B$22+Inputs!$B$23)+MAX(-AG41,0)*(Inputs!$B$21+Inputs!$B$22+Inputs!$B$23)</f>
        <v>0</v>
      </c>
      <c r="AI41" s="30" t="n">
        <f aca="false">AB40*(M41-AD40*J41)+AB40*AD40*N41/Inputs!$B$16-AH41</f>
        <v>0</v>
      </c>
      <c r="AJ41" s="30" t="n">
        <f aca="false">MAX(AE41,0)*(Inputs!$B$17+Inputs!$B$24+Inputs!$B$25)+MAX(-AE41,0)*(O41+Inputs!$B$24+Inputs!$B$25)+IF(AND(K41=1,AB41&lt;&gt;0),(Inputs!$B$17+Inputs!$B$24+Inputs!$B$25)+(O41+Inputs!$B$24+Inputs!$B$25),0)+MAX(AG41,0)*(Inputs!$B$20+Inputs!$B$26+Inputs!$B$27)+MAX(-AG41,0)*(Inputs!$B$21+Inputs!$B$26+Inputs!$B$27)</f>
        <v>0</v>
      </c>
      <c r="AK41" s="30" t="n">
        <f aca="false">AB40*(M41-AD40*J41)+AB40*AD40*(N41+Inputs!$B$14)/Inputs!$B$16-AJ41</f>
        <v>0</v>
      </c>
      <c r="AL41" s="30" t="n">
        <f aca="false">IF(AP40&lt;&gt;0,AQ40+1,0)</f>
        <v>0</v>
      </c>
      <c r="AM41" s="30" t="n">
        <f aca="false">IF(W41="",0,IF(AND(AP40&lt;&gt;0,OR(ABS(W41)&gt;Inputs!$B$7,AL41&gt;=Inputs!$B$8,ABS(W41)&lt;Inputs!$B$6)),1,0))</f>
        <v>0</v>
      </c>
      <c r="AN41" s="30" t="n">
        <f aca="false">IF(AM41=1,0,AP40)</f>
        <v>0</v>
      </c>
      <c r="AO41" s="30" t="n">
        <f aca="false">IF(W41="",0,IF(AND(AN41=0,ABS(W41)&gt;Inputs!$B$5,ABS(W41)&lt;=Inputs!$B$7,W41&gt;0),1,0))</f>
        <v>0</v>
      </c>
      <c r="AP41" s="30" t="n">
        <f aca="false">IF(W41="",0,IF(AO41=1,-SIGN(W41),AN41))</f>
        <v>0</v>
      </c>
      <c r="AQ41" s="30" t="n">
        <f aca="false">IF(W41="",0,IF(AO41=1,0,IF(AM41=1,0,AL41)))</f>
        <v>0</v>
      </c>
      <c r="AR41" s="30" t="n">
        <f aca="false">IF(AP41=0,0,IF(AP40=AP41,AR40,T41))</f>
        <v>0</v>
      </c>
      <c r="AS41" s="30" t="n">
        <f aca="false">AP41-AP40</f>
        <v>0</v>
      </c>
      <c r="AT41" s="30" t="n">
        <f aca="false">-AR41*AP41</f>
        <v>-0</v>
      </c>
      <c r="AU41" s="30" t="n">
        <f aca="false">AT41-AT40</f>
        <v>0</v>
      </c>
      <c r="AV41" s="30" t="n">
        <f aca="false">MAX(AS41,0)*(Inputs!$B$17+Inputs!$B$18+Inputs!$B$19)+MAX(-AS41,0)*(O41+Inputs!$B$18+Inputs!$B$19)+IF(AND(K41=1,AP41&lt;&gt;0),(Inputs!$B$17+Inputs!$B$18+Inputs!$B$19)+(O41+Inputs!$B$18+Inputs!$B$19),0)+MAX(AU41,0)*(Inputs!$B$20+Inputs!$B$22+Inputs!$B$23)+MAX(-AU41,0)*(Inputs!$B$21+Inputs!$B$22+Inputs!$B$23)</f>
        <v>0</v>
      </c>
      <c r="AW41" s="30" t="n">
        <f aca="false">AP40*(M41-AR40*J41)+AP40*AR40*N41/Inputs!$B$16-AV41</f>
        <v>0</v>
      </c>
      <c r="AX41" s="30" t="n">
        <f aca="false">AW41-IF(AP40&lt;&gt;0,0.75*AR40*(Inputs!$B$13-N41)/Inputs!$B$16,0)</f>
        <v>0</v>
      </c>
      <c r="AY41" s="30" t="n">
        <f aca="false">MAX(AS41,0)*(Inputs!$B$17+Inputs!$B$18+Inputs!$B$19)+MAX(-AS41,0)*(O41+Inputs!$B$18+Inputs!$B$19)+IF(AND(K41=1,AP41&lt;&gt;0),(Inputs!$B$17+Inputs!$B$18+Inputs!$B$19)+(O41+Inputs!$B$18+Inputs!$B$19),0)</f>
        <v>0</v>
      </c>
      <c r="AZ41" s="30" t="n">
        <f aca="false">AP40*M41-AY41</f>
        <v>0</v>
      </c>
      <c r="BA41" s="30" t="n">
        <f aca="false">BA40+AI41</f>
        <v>0</v>
      </c>
      <c r="BB41" s="30" t="n">
        <f aca="false">MAX(BB40,BA41)</f>
        <v>0</v>
      </c>
      <c r="BC41" s="30" t="n">
        <f aca="false">BA41-BB41</f>
        <v>0</v>
      </c>
      <c r="BD41" s="30" t="n">
        <f aca="false">A42-A41</f>
        <v>1</v>
      </c>
    </row>
    <row r="42" customFormat="false" ht="15" hidden="false" customHeight="false" outlineLevel="0" collapsed="false">
      <c r="A42" s="28" t="n">
        <v>45099</v>
      </c>
      <c r="B42" s="0" t="n">
        <v>18834.55</v>
      </c>
      <c r="C42" s="0" t="n">
        <v>206.3</v>
      </c>
      <c r="D42" s="29" t="n">
        <f aca="false">LN(B42)</f>
        <v>9.84344822814973</v>
      </c>
      <c r="E42" s="29" t="n">
        <f aca="false">LN(C42)</f>
        <v>5.32933142007721</v>
      </c>
      <c r="F42" s="0" t="n">
        <v>37</v>
      </c>
      <c r="G42" s="0" t="n">
        <v>6</v>
      </c>
      <c r="H42" s="29" t="n">
        <f aca="false">D42-E42</f>
        <v>4.51411680807252</v>
      </c>
      <c r="I42" s="29" t="n">
        <f aca="false">D42-D41</f>
        <v>-0.00320703383305876</v>
      </c>
      <c r="J42" s="29" t="n">
        <f aca="false">E42-E41</f>
        <v>-0.003435681200056</v>
      </c>
      <c r="K42" s="0" t="n">
        <v>0</v>
      </c>
      <c r="L42" s="0" t="n">
        <v>0</v>
      </c>
      <c r="M42" s="29" t="n">
        <f aca="false">IF(L42=1,J42-Carry!$B$9/Inputs!$B$16,I42)</f>
        <v>-0.00320703383305876</v>
      </c>
      <c r="N42" s="0" t="n">
        <v>0.065</v>
      </c>
      <c r="O42" s="0" t="n">
        <v>0.000125</v>
      </c>
      <c r="P42" s="29" t="n">
        <f aca="false">D42-('2 Hedge ratio'!$B$6+'2 Hedge ratio'!$B$5*E42)</f>
        <v>-0.000714976025514957</v>
      </c>
      <c r="Q42" s="29" t="n">
        <f aca="false">D42-('5 Re-specification'!$B$7+'5 Re-specification'!$B$5*E42+'5 Re-specification'!$B$6*F42)</f>
        <v>0.000728710875682381</v>
      </c>
      <c r="R42" s="30" t="n">
        <f aca="false">MIN(F42,Inputs!$B$9)</f>
        <v>37</v>
      </c>
      <c r="S42" s="29" t="str">
        <f aca="true">IF(AND(F42&gt;=1,R42&gt;=Inputs!$B$10),INDEX(LINEST(OFFSET(D42,-R42,0,R42,1),OFFSET(E42,-R42,0,R42,2)),1,1),"")</f>
        <v/>
      </c>
      <c r="T42" s="29" t="str">
        <f aca="true">IF(AND(F42&gt;=1,R42&gt;=Inputs!$B$10),INDEX(LINEST(OFFSET(D42,-R42,0,R42,1),OFFSET(E42,-R42,0,R42,2)),1,2),"")</f>
        <v/>
      </c>
      <c r="U42" s="29" t="str">
        <f aca="true">IF(AND(F42&gt;=1,R42&gt;=Inputs!$B$10),INDEX(LINEST(OFFSET(D42,-R42,0,R42,1),OFFSET(E42,-R42,0,R42,2)),1,3),"")</f>
        <v/>
      </c>
      <c r="V42" s="29" t="str">
        <f aca="true">IF(AND(F42&gt;=1,R42&gt;=Inputs!$B$10),SQRT(SUMPRODUCT((OFFSET(D42,-R42,0,R42,1)-U42-T42*OFFSET(E42,-R42,0,R42,1)-S42*OFFSET(F42,-R42,0,R42,1))^2)/(R42-3)),"")</f>
        <v/>
      </c>
      <c r="W42" s="31" t="str">
        <f aca="false">IF(AND(F42&gt;=1,R42&gt;=Inputs!$B$10),(D42-U42-T42*E42-S42*F42)/V42,"")</f>
        <v/>
      </c>
      <c r="X42" s="30" t="n">
        <f aca="false">IF(AB41&lt;&gt;0,AC41+1,0)</f>
        <v>0</v>
      </c>
      <c r="Y42" s="30" t="n">
        <f aca="false">IF(W42="",0,IF(AND(AB41&lt;&gt;0,OR(ABS(W42)&gt;Inputs!$B$7,X42&gt;=Inputs!$B$8,ABS(W42)&lt;Inputs!$B$6)),1,0))</f>
        <v>0</v>
      </c>
      <c r="Z42" s="30" t="n">
        <f aca="false">IF(Y42=1,0,AB41)</f>
        <v>0</v>
      </c>
      <c r="AA42" s="30" t="n">
        <f aca="false">IF(W42="",0,IF(AND(Z42=0,ABS(W42)&gt;Inputs!$B$5,ABS(W42)&lt;=Inputs!$B$7),1,0))</f>
        <v>0</v>
      </c>
      <c r="AB42" s="30" t="n">
        <f aca="false">IF(W42="",0,IF(AA42=1,-SIGN(W42),Z42))</f>
        <v>0</v>
      </c>
      <c r="AC42" s="30" t="n">
        <f aca="false">IF(W42="",0,IF(AA42=1,0,IF(Y42=1,0,X42)))</f>
        <v>0</v>
      </c>
      <c r="AD42" s="30" t="n">
        <f aca="false">IF(AB42=0,0,IF(AB41=AB42,AD41,T42))</f>
        <v>0</v>
      </c>
      <c r="AE42" s="30" t="n">
        <f aca="false">AB42-AB41</f>
        <v>0</v>
      </c>
      <c r="AF42" s="30" t="n">
        <f aca="false">-AD42*AB42</f>
        <v>-0</v>
      </c>
      <c r="AG42" s="30" t="n">
        <f aca="false">AF42-AF41</f>
        <v>0</v>
      </c>
      <c r="AH42" s="30" t="n">
        <f aca="false">MAX(AE42,0)*(Inputs!$B$17+Inputs!$B$18+Inputs!$B$19)+MAX(-AE42,0)*(O42+Inputs!$B$18+Inputs!$B$19)+IF(AND(K42=1,AB42&lt;&gt;0),(Inputs!$B$17+Inputs!$B$18+Inputs!$B$19)+(O42+Inputs!$B$18+Inputs!$B$19),0)+MAX(AG42,0)*(Inputs!$B$20+Inputs!$B$22+Inputs!$B$23)+MAX(-AG42,0)*(Inputs!$B$21+Inputs!$B$22+Inputs!$B$23)</f>
        <v>0</v>
      </c>
      <c r="AI42" s="30" t="n">
        <f aca="false">AB41*(M42-AD41*J42)+AB41*AD41*N42/Inputs!$B$16-AH42</f>
        <v>0</v>
      </c>
      <c r="AJ42" s="30" t="n">
        <f aca="false">MAX(AE42,0)*(Inputs!$B$17+Inputs!$B$24+Inputs!$B$25)+MAX(-AE42,0)*(O42+Inputs!$B$24+Inputs!$B$25)+IF(AND(K42=1,AB42&lt;&gt;0),(Inputs!$B$17+Inputs!$B$24+Inputs!$B$25)+(O42+Inputs!$B$24+Inputs!$B$25),0)+MAX(AG42,0)*(Inputs!$B$20+Inputs!$B$26+Inputs!$B$27)+MAX(-AG42,0)*(Inputs!$B$21+Inputs!$B$26+Inputs!$B$27)</f>
        <v>0</v>
      </c>
      <c r="AK42" s="30" t="n">
        <f aca="false">AB41*(M42-AD41*J42)+AB41*AD41*(N42+Inputs!$B$14)/Inputs!$B$16-AJ42</f>
        <v>0</v>
      </c>
      <c r="AL42" s="30" t="n">
        <f aca="false">IF(AP41&lt;&gt;0,AQ41+1,0)</f>
        <v>0</v>
      </c>
      <c r="AM42" s="30" t="n">
        <f aca="false">IF(W42="",0,IF(AND(AP41&lt;&gt;0,OR(ABS(W42)&gt;Inputs!$B$7,AL42&gt;=Inputs!$B$8,ABS(W42)&lt;Inputs!$B$6)),1,0))</f>
        <v>0</v>
      </c>
      <c r="AN42" s="30" t="n">
        <f aca="false">IF(AM42=1,0,AP41)</f>
        <v>0</v>
      </c>
      <c r="AO42" s="30" t="n">
        <f aca="false">IF(W42="",0,IF(AND(AN42=0,ABS(W42)&gt;Inputs!$B$5,ABS(W42)&lt;=Inputs!$B$7,W42&gt;0),1,0))</f>
        <v>0</v>
      </c>
      <c r="AP42" s="30" t="n">
        <f aca="false">IF(W42="",0,IF(AO42=1,-SIGN(W42),AN42))</f>
        <v>0</v>
      </c>
      <c r="AQ42" s="30" t="n">
        <f aca="false">IF(W42="",0,IF(AO42=1,0,IF(AM42=1,0,AL42)))</f>
        <v>0</v>
      </c>
      <c r="AR42" s="30" t="n">
        <f aca="false">IF(AP42=0,0,IF(AP41=AP42,AR41,T42))</f>
        <v>0</v>
      </c>
      <c r="AS42" s="30" t="n">
        <f aca="false">AP42-AP41</f>
        <v>0</v>
      </c>
      <c r="AT42" s="30" t="n">
        <f aca="false">-AR42*AP42</f>
        <v>-0</v>
      </c>
      <c r="AU42" s="30" t="n">
        <f aca="false">AT42-AT41</f>
        <v>0</v>
      </c>
      <c r="AV42" s="30" t="n">
        <f aca="false">MAX(AS42,0)*(Inputs!$B$17+Inputs!$B$18+Inputs!$B$19)+MAX(-AS42,0)*(O42+Inputs!$B$18+Inputs!$B$19)+IF(AND(K42=1,AP42&lt;&gt;0),(Inputs!$B$17+Inputs!$B$18+Inputs!$B$19)+(O42+Inputs!$B$18+Inputs!$B$19),0)+MAX(AU42,0)*(Inputs!$B$20+Inputs!$B$22+Inputs!$B$23)+MAX(-AU42,0)*(Inputs!$B$21+Inputs!$B$22+Inputs!$B$23)</f>
        <v>0</v>
      </c>
      <c r="AW42" s="30" t="n">
        <f aca="false">AP41*(M42-AR41*J42)+AP41*AR41*N42/Inputs!$B$16-AV42</f>
        <v>0</v>
      </c>
      <c r="AX42" s="30" t="n">
        <f aca="false">AW42-IF(AP41&lt;&gt;0,0.75*AR41*(Inputs!$B$13-N42)/Inputs!$B$16,0)</f>
        <v>0</v>
      </c>
      <c r="AY42" s="30" t="n">
        <f aca="false">MAX(AS42,0)*(Inputs!$B$17+Inputs!$B$18+Inputs!$B$19)+MAX(-AS42,0)*(O42+Inputs!$B$18+Inputs!$B$19)+IF(AND(K42=1,AP42&lt;&gt;0),(Inputs!$B$17+Inputs!$B$18+Inputs!$B$19)+(O42+Inputs!$B$18+Inputs!$B$19),0)</f>
        <v>0</v>
      </c>
      <c r="AZ42" s="30" t="n">
        <f aca="false">AP41*M42-AY42</f>
        <v>-0</v>
      </c>
      <c r="BA42" s="30" t="n">
        <f aca="false">BA41+AI42</f>
        <v>0</v>
      </c>
      <c r="BB42" s="30" t="n">
        <f aca="false">MAX(BB41,BA42)</f>
        <v>0</v>
      </c>
      <c r="BC42" s="30" t="n">
        <f aca="false">BA42-BB42</f>
        <v>0</v>
      </c>
      <c r="BD42" s="30" t="n">
        <f aca="false">A43-A42</f>
        <v>1</v>
      </c>
    </row>
    <row r="43" customFormat="false" ht="15" hidden="false" customHeight="false" outlineLevel="0" collapsed="false">
      <c r="A43" s="28" t="n">
        <v>45100</v>
      </c>
      <c r="B43" s="0" t="n">
        <v>18702</v>
      </c>
      <c r="C43" s="0" t="n">
        <v>205.07</v>
      </c>
      <c r="D43" s="29" t="n">
        <f aca="false">LN(B43)</f>
        <v>9.83638574899539</v>
      </c>
      <c r="E43" s="29" t="n">
        <f aca="false">LN(C43)</f>
        <v>5.32335138426768</v>
      </c>
      <c r="F43" s="0" t="n">
        <v>38</v>
      </c>
      <c r="G43" s="0" t="n">
        <v>5</v>
      </c>
      <c r="H43" s="29" t="n">
        <f aca="false">D43-E43</f>
        <v>4.51303436472771</v>
      </c>
      <c r="I43" s="29" t="n">
        <f aca="false">D43-D42</f>
        <v>-0.007062479154337</v>
      </c>
      <c r="J43" s="29" t="n">
        <f aca="false">E43-E42</f>
        <v>-0.00598003580952788</v>
      </c>
      <c r="K43" s="0" t="n">
        <v>0</v>
      </c>
      <c r="L43" s="0" t="n">
        <v>0</v>
      </c>
      <c r="M43" s="29" t="n">
        <f aca="false">IF(L43=1,J43-Carry!$B$9/Inputs!$B$16,I43)</f>
        <v>-0.007062479154337</v>
      </c>
      <c r="N43" s="0" t="n">
        <v>0.065</v>
      </c>
      <c r="O43" s="0" t="n">
        <v>0.000125</v>
      </c>
      <c r="P43" s="29" t="n">
        <f aca="false">D43-('2 Hedge ratio'!$B$6+'2 Hedge ratio'!$B$5*E43)</f>
        <v>-0.00229898435348908</v>
      </c>
      <c r="Q43" s="29" t="n">
        <f aca="false">D43-('5 Re-specification'!$B$7+'5 Re-specification'!$B$5*E43+'5 Re-specification'!$B$6*F43)</f>
        <v>-0.000326925649677179</v>
      </c>
      <c r="R43" s="30" t="n">
        <f aca="false">MIN(F43,Inputs!$B$9)</f>
        <v>38</v>
      </c>
      <c r="S43" s="29" t="str">
        <f aca="true">IF(AND(F43&gt;=1,R43&gt;=Inputs!$B$10),INDEX(LINEST(OFFSET(D43,-R43,0,R43,1),OFFSET(E43,-R43,0,R43,2)),1,1),"")</f>
        <v/>
      </c>
      <c r="T43" s="29" t="str">
        <f aca="true">IF(AND(F43&gt;=1,R43&gt;=Inputs!$B$10),INDEX(LINEST(OFFSET(D43,-R43,0,R43,1),OFFSET(E43,-R43,0,R43,2)),1,2),"")</f>
        <v/>
      </c>
      <c r="U43" s="29" t="str">
        <f aca="true">IF(AND(F43&gt;=1,R43&gt;=Inputs!$B$10),INDEX(LINEST(OFFSET(D43,-R43,0,R43,1),OFFSET(E43,-R43,0,R43,2)),1,3),"")</f>
        <v/>
      </c>
      <c r="V43" s="29" t="str">
        <f aca="true">IF(AND(F43&gt;=1,R43&gt;=Inputs!$B$10),SQRT(SUMPRODUCT((OFFSET(D43,-R43,0,R43,1)-U43-T43*OFFSET(E43,-R43,0,R43,1)-S43*OFFSET(F43,-R43,0,R43,1))^2)/(R43-3)),"")</f>
        <v/>
      </c>
      <c r="W43" s="31" t="str">
        <f aca="false">IF(AND(F43&gt;=1,R43&gt;=Inputs!$B$10),(D43-U43-T43*E43-S43*F43)/V43,"")</f>
        <v/>
      </c>
      <c r="X43" s="30" t="n">
        <f aca="false">IF(AB42&lt;&gt;0,AC42+1,0)</f>
        <v>0</v>
      </c>
      <c r="Y43" s="30" t="n">
        <f aca="false">IF(W43="",0,IF(AND(AB42&lt;&gt;0,OR(ABS(W43)&gt;Inputs!$B$7,X43&gt;=Inputs!$B$8,ABS(W43)&lt;Inputs!$B$6)),1,0))</f>
        <v>0</v>
      </c>
      <c r="Z43" s="30" t="n">
        <f aca="false">IF(Y43=1,0,AB42)</f>
        <v>0</v>
      </c>
      <c r="AA43" s="30" t="n">
        <f aca="false">IF(W43="",0,IF(AND(Z43=0,ABS(W43)&gt;Inputs!$B$5,ABS(W43)&lt;=Inputs!$B$7),1,0))</f>
        <v>0</v>
      </c>
      <c r="AB43" s="30" t="n">
        <f aca="false">IF(W43="",0,IF(AA43=1,-SIGN(W43),Z43))</f>
        <v>0</v>
      </c>
      <c r="AC43" s="30" t="n">
        <f aca="false">IF(W43="",0,IF(AA43=1,0,IF(Y43=1,0,X43)))</f>
        <v>0</v>
      </c>
      <c r="AD43" s="30" t="n">
        <f aca="false">IF(AB43=0,0,IF(AB42=AB43,AD42,T43))</f>
        <v>0</v>
      </c>
      <c r="AE43" s="30" t="n">
        <f aca="false">AB43-AB42</f>
        <v>0</v>
      </c>
      <c r="AF43" s="30" t="n">
        <f aca="false">-AD43*AB43</f>
        <v>-0</v>
      </c>
      <c r="AG43" s="30" t="n">
        <f aca="false">AF43-AF42</f>
        <v>0</v>
      </c>
      <c r="AH43" s="30" t="n">
        <f aca="false">MAX(AE43,0)*(Inputs!$B$17+Inputs!$B$18+Inputs!$B$19)+MAX(-AE43,0)*(O43+Inputs!$B$18+Inputs!$B$19)+IF(AND(K43=1,AB43&lt;&gt;0),(Inputs!$B$17+Inputs!$B$18+Inputs!$B$19)+(O43+Inputs!$B$18+Inputs!$B$19),0)+MAX(AG43,0)*(Inputs!$B$20+Inputs!$B$22+Inputs!$B$23)+MAX(-AG43,0)*(Inputs!$B$21+Inputs!$B$22+Inputs!$B$23)</f>
        <v>0</v>
      </c>
      <c r="AI43" s="30" t="n">
        <f aca="false">AB42*(M43-AD42*J43)+AB42*AD42*N43/Inputs!$B$16-AH43</f>
        <v>0</v>
      </c>
      <c r="AJ43" s="30" t="n">
        <f aca="false">MAX(AE43,0)*(Inputs!$B$17+Inputs!$B$24+Inputs!$B$25)+MAX(-AE43,0)*(O43+Inputs!$B$24+Inputs!$B$25)+IF(AND(K43=1,AB43&lt;&gt;0),(Inputs!$B$17+Inputs!$B$24+Inputs!$B$25)+(O43+Inputs!$B$24+Inputs!$B$25),0)+MAX(AG43,0)*(Inputs!$B$20+Inputs!$B$26+Inputs!$B$27)+MAX(-AG43,0)*(Inputs!$B$21+Inputs!$B$26+Inputs!$B$27)</f>
        <v>0</v>
      </c>
      <c r="AK43" s="30" t="n">
        <f aca="false">AB42*(M43-AD42*J43)+AB42*AD42*(N43+Inputs!$B$14)/Inputs!$B$16-AJ43</f>
        <v>0</v>
      </c>
      <c r="AL43" s="30" t="n">
        <f aca="false">IF(AP42&lt;&gt;0,AQ42+1,0)</f>
        <v>0</v>
      </c>
      <c r="AM43" s="30" t="n">
        <f aca="false">IF(W43="",0,IF(AND(AP42&lt;&gt;0,OR(ABS(W43)&gt;Inputs!$B$7,AL43&gt;=Inputs!$B$8,ABS(W43)&lt;Inputs!$B$6)),1,0))</f>
        <v>0</v>
      </c>
      <c r="AN43" s="30" t="n">
        <f aca="false">IF(AM43=1,0,AP42)</f>
        <v>0</v>
      </c>
      <c r="AO43" s="30" t="n">
        <f aca="false">IF(W43="",0,IF(AND(AN43=0,ABS(W43)&gt;Inputs!$B$5,ABS(W43)&lt;=Inputs!$B$7,W43&gt;0),1,0))</f>
        <v>0</v>
      </c>
      <c r="AP43" s="30" t="n">
        <f aca="false">IF(W43="",0,IF(AO43=1,-SIGN(W43),AN43))</f>
        <v>0</v>
      </c>
      <c r="AQ43" s="30" t="n">
        <f aca="false">IF(W43="",0,IF(AO43=1,0,IF(AM43=1,0,AL43)))</f>
        <v>0</v>
      </c>
      <c r="AR43" s="30" t="n">
        <f aca="false">IF(AP43=0,0,IF(AP42=AP43,AR42,T43))</f>
        <v>0</v>
      </c>
      <c r="AS43" s="30" t="n">
        <f aca="false">AP43-AP42</f>
        <v>0</v>
      </c>
      <c r="AT43" s="30" t="n">
        <f aca="false">-AR43*AP43</f>
        <v>-0</v>
      </c>
      <c r="AU43" s="30" t="n">
        <f aca="false">AT43-AT42</f>
        <v>0</v>
      </c>
      <c r="AV43" s="30" t="n">
        <f aca="false">MAX(AS43,0)*(Inputs!$B$17+Inputs!$B$18+Inputs!$B$19)+MAX(-AS43,0)*(O43+Inputs!$B$18+Inputs!$B$19)+IF(AND(K43=1,AP43&lt;&gt;0),(Inputs!$B$17+Inputs!$B$18+Inputs!$B$19)+(O43+Inputs!$B$18+Inputs!$B$19),0)+MAX(AU43,0)*(Inputs!$B$20+Inputs!$B$22+Inputs!$B$23)+MAX(-AU43,0)*(Inputs!$B$21+Inputs!$B$22+Inputs!$B$23)</f>
        <v>0</v>
      </c>
      <c r="AW43" s="30" t="n">
        <f aca="false">AP42*(M43-AR42*J43)+AP42*AR42*N43/Inputs!$B$16-AV43</f>
        <v>0</v>
      </c>
      <c r="AX43" s="30" t="n">
        <f aca="false">AW43-IF(AP42&lt;&gt;0,0.75*AR42*(Inputs!$B$13-N43)/Inputs!$B$16,0)</f>
        <v>0</v>
      </c>
      <c r="AY43" s="30" t="n">
        <f aca="false">MAX(AS43,0)*(Inputs!$B$17+Inputs!$B$18+Inputs!$B$19)+MAX(-AS43,0)*(O43+Inputs!$B$18+Inputs!$B$19)+IF(AND(K43=1,AP43&lt;&gt;0),(Inputs!$B$17+Inputs!$B$18+Inputs!$B$19)+(O43+Inputs!$B$18+Inputs!$B$19),0)</f>
        <v>0</v>
      </c>
      <c r="AZ43" s="30" t="n">
        <f aca="false">AP42*M43-AY43</f>
        <v>-0</v>
      </c>
      <c r="BA43" s="30" t="n">
        <f aca="false">BA42+AI43</f>
        <v>0</v>
      </c>
      <c r="BB43" s="30" t="n">
        <f aca="false">MAX(BB42,BA43)</f>
        <v>0</v>
      </c>
      <c r="BC43" s="30" t="n">
        <f aca="false">BA43-BB43</f>
        <v>0</v>
      </c>
      <c r="BD43" s="30" t="n">
        <f aca="false">A44-A43</f>
        <v>3</v>
      </c>
    </row>
    <row r="44" customFormat="false" ht="15" hidden="false" customHeight="false" outlineLevel="0" collapsed="false">
      <c r="A44" s="28" t="n">
        <v>45103</v>
      </c>
      <c r="B44" s="0" t="n">
        <v>18717.65</v>
      </c>
      <c r="C44" s="0" t="n">
        <v>205.31</v>
      </c>
      <c r="D44" s="29" t="n">
        <f aca="false">LN(B44)</f>
        <v>9.83722220796347</v>
      </c>
      <c r="E44" s="29" t="n">
        <f aca="false">LN(C44)</f>
        <v>5.32452103204467</v>
      </c>
      <c r="F44" s="0" t="n">
        <v>39</v>
      </c>
      <c r="G44" s="0" t="n">
        <v>2</v>
      </c>
      <c r="H44" s="29" t="n">
        <f aca="false">D44-E44</f>
        <v>4.5127011759188</v>
      </c>
      <c r="I44" s="29" t="n">
        <f aca="false">D44-D43</f>
        <v>0.000836458968080933</v>
      </c>
      <c r="J44" s="29" t="n">
        <f aca="false">E44-E43</f>
        <v>0.00116964777699469</v>
      </c>
      <c r="K44" s="0" t="n">
        <v>0</v>
      </c>
      <c r="L44" s="0" t="n">
        <v>0</v>
      </c>
      <c r="M44" s="29" t="n">
        <f aca="false">IF(L44=1,J44-Carry!$B$9/Inputs!$B$16,I44)</f>
        <v>0.000836458968080933</v>
      </c>
      <c r="N44" s="0" t="n">
        <v>0.065</v>
      </c>
      <c r="O44" s="0" t="n">
        <v>0.000125</v>
      </c>
      <c r="P44" s="29" t="n">
        <f aca="false">D44-('2 Hedge ratio'!$B$6+'2 Hedge ratio'!$B$5*E44)</f>
        <v>-0.00253407101280878</v>
      </c>
      <c r="Q44" s="29" t="n">
        <f aca="false">D44-('5 Re-specification'!$B$7+'5 Re-specification'!$B$5*E44+'5 Re-specification'!$B$6*F44)</f>
        <v>-0.000611640522880208</v>
      </c>
      <c r="R44" s="30" t="n">
        <f aca="false">MIN(F44,Inputs!$B$9)</f>
        <v>39</v>
      </c>
      <c r="S44" s="29" t="str">
        <f aca="true">IF(AND(F44&gt;=1,R44&gt;=Inputs!$B$10),INDEX(LINEST(OFFSET(D44,-R44,0,R44,1),OFFSET(E44,-R44,0,R44,2)),1,1),"")</f>
        <v/>
      </c>
      <c r="T44" s="29" t="str">
        <f aca="true">IF(AND(F44&gt;=1,R44&gt;=Inputs!$B$10),INDEX(LINEST(OFFSET(D44,-R44,0,R44,1),OFFSET(E44,-R44,0,R44,2)),1,2),"")</f>
        <v/>
      </c>
      <c r="U44" s="29" t="str">
        <f aca="true">IF(AND(F44&gt;=1,R44&gt;=Inputs!$B$10),INDEX(LINEST(OFFSET(D44,-R44,0,R44,1),OFFSET(E44,-R44,0,R44,2)),1,3),"")</f>
        <v/>
      </c>
      <c r="V44" s="29" t="str">
        <f aca="true">IF(AND(F44&gt;=1,R44&gt;=Inputs!$B$10),SQRT(SUMPRODUCT((OFFSET(D44,-R44,0,R44,1)-U44-T44*OFFSET(E44,-R44,0,R44,1)-S44*OFFSET(F44,-R44,0,R44,1))^2)/(R44-3)),"")</f>
        <v/>
      </c>
      <c r="W44" s="31" t="str">
        <f aca="false">IF(AND(F44&gt;=1,R44&gt;=Inputs!$B$10),(D44-U44-T44*E44-S44*F44)/V44,"")</f>
        <v/>
      </c>
      <c r="X44" s="30" t="n">
        <f aca="false">IF(AB43&lt;&gt;0,AC43+1,0)</f>
        <v>0</v>
      </c>
      <c r="Y44" s="30" t="n">
        <f aca="false">IF(W44="",0,IF(AND(AB43&lt;&gt;0,OR(ABS(W44)&gt;Inputs!$B$7,X44&gt;=Inputs!$B$8,ABS(W44)&lt;Inputs!$B$6)),1,0))</f>
        <v>0</v>
      </c>
      <c r="Z44" s="30" t="n">
        <f aca="false">IF(Y44=1,0,AB43)</f>
        <v>0</v>
      </c>
      <c r="AA44" s="30" t="n">
        <f aca="false">IF(W44="",0,IF(AND(Z44=0,ABS(W44)&gt;Inputs!$B$5,ABS(W44)&lt;=Inputs!$B$7),1,0))</f>
        <v>0</v>
      </c>
      <c r="AB44" s="30" t="n">
        <f aca="false">IF(W44="",0,IF(AA44=1,-SIGN(W44),Z44))</f>
        <v>0</v>
      </c>
      <c r="AC44" s="30" t="n">
        <f aca="false">IF(W44="",0,IF(AA44=1,0,IF(Y44=1,0,X44)))</f>
        <v>0</v>
      </c>
      <c r="AD44" s="30" t="n">
        <f aca="false">IF(AB44=0,0,IF(AB43=AB44,AD43,T44))</f>
        <v>0</v>
      </c>
      <c r="AE44" s="30" t="n">
        <f aca="false">AB44-AB43</f>
        <v>0</v>
      </c>
      <c r="AF44" s="30" t="n">
        <f aca="false">-AD44*AB44</f>
        <v>-0</v>
      </c>
      <c r="AG44" s="30" t="n">
        <f aca="false">AF44-AF43</f>
        <v>0</v>
      </c>
      <c r="AH44" s="30" t="n">
        <f aca="false">MAX(AE44,0)*(Inputs!$B$17+Inputs!$B$18+Inputs!$B$19)+MAX(-AE44,0)*(O44+Inputs!$B$18+Inputs!$B$19)+IF(AND(K44=1,AB44&lt;&gt;0),(Inputs!$B$17+Inputs!$B$18+Inputs!$B$19)+(O44+Inputs!$B$18+Inputs!$B$19),0)+MAX(AG44,0)*(Inputs!$B$20+Inputs!$B$22+Inputs!$B$23)+MAX(-AG44,0)*(Inputs!$B$21+Inputs!$B$22+Inputs!$B$23)</f>
        <v>0</v>
      </c>
      <c r="AI44" s="30" t="n">
        <f aca="false">AB43*(M44-AD43*J44)+AB43*AD43*N44/Inputs!$B$16-AH44</f>
        <v>0</v>
      </c>
      <c r="AJ44" s="30" t="n">
        <f aca="false">MAX(AE44,0)*(Inputs!$B$17+Inputs!$B$24+Inputs!$B$25)+MAX(-AE44,0)*(O44+Inputs!$B$24+Inputs!$B$25)+IF(AND(K44=1,AB44&lt;&gt;0),(Inputs!$B$17+Inputs!$B$24+Inputs!$B$25)+(O44+Inputs!$B$24+Inputs!$B$25),0)+MAX(AG44,0)*(Inputs!$B$20+Inputs!$B$26+Inputs!$B$27)+MAX(-AG44,0)*(Inputs!$B$21+Inputs!$B$26+Inputs!$B$27)</f>
        <v>0</v>
      </c>
      <c r="AK44" s="30" t="n">
        <f aca="false">AB43*(M44-AD43*J44)+AB43*AD43*(N44+Inputs!$B$14)/Inputs!$B$16-AJ44</f>
        <v>0</v>
      </c>
      <c r="AL44" s="30" t="n">
        <f aca="false">IF(AP43&lt;&gt;0,AQ43+1,0)</f>
        <v>0</v>
      </c>
      <c r="AM44" s="30" t="n">
        <f aca="false">IF(W44="",0,IF(AND(AP43&lt;&gt;0,OR(ABS(W44)&gt;Inputs!$B$7,AL44&gt;=Inputs!$B$8,ABS(W44)&lt;Inputs!$B$6)),1,0))</f>
        <v>0</v>
      </c>
      <c r="AN44" s="30" t="n">
        <f aca="false">IF(AM44=1,0,AP43)</f>
        <v>0</v>
      </c>
      <c r="AO44" s="30" t="n">
        <f aca="false">IF(W44="",0,IF(AND(AN44=0,ABS(W44)&gt;Inputs!$B$5,ABS(W44)&lt;=Inputs!$B$7,W44&gt;0),1,0))</f>
        <v>0</v>
      </c>
      <c r="AP44" s="30" t="n">
        <f aca="false">IF(W44="",0,IF(AO44=1,-SIGN(W44),AN44))</f>
        <v>0</v>
      </c>
      <c r="AQ44" s="30" t="n">
        <f aca="false">IF(W44="",0,IF(AO44=1,0,IF(AM44=1,0,AL44)))</f>
        <v>0</v>
      </c>
      <c r="AR44" s="30" t="n">
        <f aca="false">IF(AP44=0,0,IF(AP43=AP44,AR43,T44))</f>
        <v>0</v>
      </c>
      <c r="AS44" s="30" t="n">
        <f aca="false">AP44-AP43</f>
        <v>0</v>
      </c>
      <c r="AT44" s="30" t="n">
        <f aca="false">-AR44*AP44</f>
        <v>-0</v>
      </c>
      <c r="AU44" s="30" t="n">
        <f aca="false">AT44-AT43</f>
        <v>0</v>
      </c>
      <c r="AV44" s="30" t="n">
        <f aca="false">MAX(AS44,0)*(Inputs!$B$17+Inputs!$B$18+Inputs!$B$19)+MAX(-AS44,0)*(O44+Inputs!$B$18+Inputs!$B$19)+IF(AND(K44=1,AP44&lt;&gt;0),(Inputs!$B$17+Inputs!$B$18+Inputs!$B$19)+(O44+Inputs!$B$18+Inputs!$B$19),0)+MAX(AU44,0)*(Inputs!$B$20+Inputs!$B$22+Inputs!$B$23)+MAX(-AU44,0)*(Inputs!$B$21+Inputs!$B$22+Inputs!$B$23)</f>
        <v>0</v>
      </c>
      <c r="AW44" s="30" t="n">
        <f aca="false">AP43*(M44-AR43*J44)+AP43*AR43*N44/Inputs!$B$16-AV44</f>
        <v>0</v>
      </c>
      <c r="AX44" s="30" t="n">
        <f aca="false">AW44-IF(AP43&lt;&gt;0,0.75*AR43*(Inputs!$B$13-N44)/Inputs!$B$16,0)</f>
        <v>0</v>
      </c>
      <c r="AY44" s="30" t="n">
        <f aca="false">MAX(AS44,0)*(Inputs!$B$17+Inputs!$B$18+Inputs!$B$19)+MAX(-AS44,0)*(O44+Inputs!$B$18+Inputs!$B$19)+IF(AND(K44=1,AP44&lt;&gt;0),(Inputs!$B$17+Inputs!$B$18+Inputs!$B$19)+(O44+Inputs!$B$18+Inputs!$B$19),0)</f>
        <v>0</v>
      </c>
      <c r="AZ44" s="30" t="n">
        <f aca="false">AP43*M44-AY44</f>
        <v>0</v>
      </c>
      <c r="BA44" s="30" t="n">
        <f aca="false">BA43+AI44</f>
        <v>0</v>
      </c>
      <c r="BB44" s="30" t="n">
        <f aca="false">MAX(BB43,BA44)</f>
        <v>0</v>
      </c>
      <c r="BC44" s="30" t="n">
        <f aca="false">BA44-BB44</f>
        <v>0</v>
      </c>
      <c r="BD44" s="30" t="n">
        <f aca="false">A45-A44</f>
        <v>1</v>
      </c>
    </row>
    <row r="45" customFormat="false" ht="15" hidden="false" customHeight="false" outlineLevel="0" collapsed="false">
      <c r="A45" s="28" t="n">
        <v>45104</v>
      </c>
      <c r="B45" s="0" t="n">
        <v>18815</v>
      </c>
      <c r="C45" s="0" t="n">
        <v>206.36</v>
      </c>
      <c r="D45" s="29" t="n">
        <f aca="false">LN(B45)</f>
        <v>9.84240970302754</v>
      </c>
      <c r="E45" s="29" t="n">
        <f aca="false">LN(C45)</f>
        <v>5.32962221637645</v>
      </c>
      <c r="F45" s="0" t="n">
        <v>40</v>
      </c>
      <c r="G45" s="0" t="n">
        <v>1</v>
      </c>
      <c r="H45" s="29" t="n">
        <f aca="false">D45-E45</f>
        <v>4.51278748665109</v>
      </c>
      <c r="I45" s="29" t="n">
        <f aca="false">D45-D44</f>
        <v>0.00518749506406557</v>
      </c>
      <c r="J45" s="29" t="n">
        <f aca="false">E45-E44</f>
        <v>0.00510118433177542</v>
      </c>
      <c r="K45" s="0" t="n">
        <v>0</v>
      </c>
      <c r="L45" s="0" t="n">
        <v>0</v>
      </c>
      <c r="M45" s="29" t="n">
        <f aca="false">IF(L45=1,J45-Carry!$B$9/Inputs!$B$16,I45)</f>
        <v>0.00518749506406557</v>
      </c>
      <c r="N45" s="0" t="n">
        <v>0.065</v>
      </c>
      <c r="O45" s="0" t="n">
        <v>0.000125</v>
      </c>
      <c r="P45" s="29" t="n">
        <f aca="false">D45-('2 Hedge ratio'!$B$6+'2 Hedge ratio'!$B$5*E45)</f>
        <v>-0.00201990741893177</v>
      </c>
      <c r="Q45" s="29" t="n">
        <f aca="false">D45-('5 Re-specification'!$B$7+'5 Re-specification'!$B$5*E45+'5 Re-specification'!$B$6*F45)</f>
        <v>-0.000464941333268243</v>
      </c>
      <c r="R45" s="30" t="n">
        <f aca="false">MIN(F45,Inputs!$B$9)</f>
        <v>40</v>
      </c>
      <c r="S45" s="29" t="str">
        <f aca="true">IF(AND(F45&gt;=1,R45&gt;=Inputs!$B$10),INDEX(LINEST(OFFSET(D45,-R45,0,R45,1),OFFSET(E45,-R45,0,R45,2)),1,1),"")</f>
        <v/>
      </c>
      <c r="T45" s="29" t="str">
        <f aca="true">IF(AND(F45&gt;=1,R45&gt;=Inputs!$B$10),INDEX(LINEST(OFFSET(D45,-R45,0,R45,1),OFFSET(E45,-R45,0,R45,2)),1,2),"")</f>
        <v/>
      </c>
      <c r="U45" s="29" t="str">
        <f aca="true">IF(AND(F45&gt;=1,R45&gt;=Inputs!$B$10),INDEX(LINEST(OFFSET(D45,-R45,0,R45,1),OFFSET(E45,-R45,0,R45,2)),1,3),"")</f>
        <v/>
      </c>
      <c r="V45" s="29" t="str">
        <f aca="true">IF(AND(F45&gt;=1,R45&gt;=Inputs!$B$10),SQRT(SUMPRODUCT((OFFSET(D45,-R45,0,R45,1)-U45-T45*OFFSET(E45,-R45,0,R45,1)-S45*OFFSET(F45,-R45,0,R45,1))^2)/(R45-3)),"")</f>
        <v/>
      </c>
      <c r="W45" s="31" t="str">
        <f aca="false">IF(AND(F45&gt;=1,R45&gt;=Inputs!$B$10),(D45-U45-T45*E45-S45*F45)/V45,"")</f>
        <v/>
      </c>
      <c r="X45" s="30" t="n">
        <f aca="false">IF(AB44&lt;&gt;0,AC44+1,0)</f>
        <v>0</v>
      </c>
      <c r="Y45" s="30" t="n">
        <f aca="false">IF(W45="",0,IF(AND(AB44&lt;&gt;0,OR(ABS(W45)&gt;Inputs!$B$7,X45&gt;=Inputs!$B$8,ABS(W45)&lt;Inputs!$B$6)),1,0))</f>
        <v>0</v>
      </c>
      <c r="Z45" s="30" t="n">
        <f aca="false">IF(Y45=1,0,AB44)</f>
        <v>0</v>
      </c>
      <c r="AA45" s="30" t="n">
        <f aca="false">IF(W45="",0,IF(AND(Z45=0,ABS(W45)&gt;Inputs!$B$5,ABS(W45)&lt;=Inputs!$B$7),1,0))</f>
        <v>0</v>
      </c>
      <c r="AB45" s="30" t="n">
        <f aca="false">IF(W45="",0,IF(AA45=1,-SIGN(W45),Z45))</f>
        <v>0</v>
      </c>
      <c r="AC45" s="30" t="n">
        <f aca="false">IF(W45="",0,IF(AA45=1,0,IF(Y45=1,0,X45)))</f>
        <v>0</v>
      </c>
      <c r="AD45" s="30" t="n">
        <f aca="false">IF(AB45=0,0,IF(AB44=AB45,AD44,T45))</f>
        <v>0</v>
      </c>
      <c r="AE45" s="30" t="n">
        <f aca="false">AB45-AB44</f>
        <v>0</v>
      </c>
      <c r="AF45" s="30" t="n">
        <f aca="false">-AD45*AB45</f>
        <v>-0</v>
      </c>
      <c r="AG45" s="30" t="n">
        <f aca="false">AF45-AF44</f>
        <v>0</v>
      </c>
      <c r="AH45" s="30" t="n">
        <f aca="false">MAX(AE45,0)*(Inputs!$B$17+Inputs!$B$18+Inputs!$B$19)+MAX(-AE45,0)*(O45+Inputs!$B$18+Inputs!$B$19)+IF(AND(K45=1,AB45&lt;&gt;0),(Inputs!$B$17+Inputs!$B$18+Inputs!$B$19)+(O45+Inputs!$B$18+Inputs!$B$19),0)+MAX(AG45,0)*(Inputs!$B$20+Inputs!$B$22+Inputs!$B$23)+MAX(-AG45,0)*(Inputs!$B$21+Inputs!$B$22+Inputs!$B$23)</f>
        <v>0</v>
      </c>
      <c r="AI45" s="30" t="n">
        <f aca="false">AB44*(M45-AD44*J45)+AB44*AD44*N45/Inputs!$B$16-AH45</f>
        <v>0</v>
      </c>
      <c r="AJ45" s="30" t="n">
        <f aca="false">MAX(AE45,0)*(Inputs!$B$17+Inputs!$B$24+Inputs!$B$25)+MAX(-AE45,0)*(O45+Inputs!$B$24+Inputs!$B$25)+IF(AND(K45=1,AB45&lt;&gt;0),(Inputs!$B$17+Inputs!$B$24+Inputs!$B$25)+(O45+Inputs!$B$24+Inputs!$B$25),0)+MAX(AG45,0)*(Inputs!$B$20+Inputs!$B$26+Inputs!$B$27)+MAX(-AG45,0)*(Inputs!$B$21+Inputs!$B$26+Inputs!$B$27)</f>
        <v>0</v>
      </c>
      <c r="AK45" s="30" t="n">
        <f aca="false">AB44*(M45-AD44*J45)+AB44*AD44*(N45+Inputs!$B$14)/Inputs!$B$16-AJ45</f>
        <v>0</v>
      </c>
      <c r="AL45" s="30" t="n">
        <f aca="false">IF(AP44&lt;&gt;0,AQ44+1,0)</f>
        <v>0</v>
      </c>
      <c r="AM45" s="30" t="n">
        <f aca="false">IF(W45="",0,IF(AND(AP44&lt;&gt;0,OR(ABS(W45)&gt;Inputs!$B$7,AL45&gt;=Inputs!$B$8,ABS(W45)&lt;Inputs!$B$6)),1,0))</f>
        <v>0</v>
      </c>
      <c r="AN45" s="30" t="n">
        <f aca="false">IF(AM45=1,0,AP44)</f>
        <v>0</v>
      </c>
      <c r="AO45" s="30" t="n">
        <f aca="false">IF(W45="",0,IF(AND(AN45=0,ABS(W45)&gt;Inputs!$B$5,ABS(W45)&lt;=Inputs!$B$7,W45&gt;0),1,0))</f>
        <v>0</v>
      </c>
      <c r="AP45" s="30" t="n">
        <f aca="false">IF(W45="",0,IF(AO45=1,-SIGN(W45),AN45))</f>
        <v>0</v>
      </c>
      <c r="AQ45" s="30" t="n">
        <f aca="false">IF(W45="",0,IF(AO45=1,0,IF(AM45=1,0,AL45)))</f>
        <v>0</v>
      </c>
      <c r="AR45" s="30" t="n">
        <f aca="false">IF(AP45=0,0,IF(AP44=AP45,AR44,T45))</f>
        <v>0</v>
      </c>
      <c r="AS45" s="30" t="n">
        <f aca="false">AP45-AP44</f>
        <v>0</v>
      </c>
      <c r="AT45" s="30" t="n">
        <f aca="false">-AR45*AP45</f>
        <v>-0</v>
      </c>
      <c r="AU45" s="30" t="n">
        <f aca="false">AT45-AT44</f>
        <v>0</v>
      </c>
      <c r="AV45" s="30" t="n">
        <f aca="false">MAX(AS45,0)*(Inputs!$B$17+Inputs!$B$18+Inputs!$B$19)+MAX(-AS45,0)*(O45+Inputs!$B$18+Inputs!$B$19)+IF(AND(K45=1,AP45&lt;&gt;0),(Inputs!$B$17+Inputs!$B$18+Inputs!$B$19)+(O45+Inputs!$B$18+Inputs!$B$19),0)+MAX(AU45,0)*(Inputs!$B$20+Inputs!$B$22+Inputs!$B$23)+MAX(-AU45,0)*(Inputs!$B$21+Inputs!$B$22+Inputs!$B$23)</f>
        <v>0</v>
      </c>
      <c r="AW45" s="30" t="n">
        <f aca="false">AP44*(M45-AR44*J45)+AP44*AR44*N45/Inputs!$B$16-AV45</f>
        <v>0</v>
      </c>
      <c r="AX45" s="30" t="n">
        <f aca="false">AW45-IF(AP44&lt;&gt;0,0.75*AR44*(Inputs!$B$13-N45)/Inputs!$B$16,0)</f>
        <v>0</v>
      </c>
      <c r="AY45" s="30" t="n">
        <f aca="false">MAX(AS45,0)*(Inputs!$B$17+Inputs!$B$18+Inputs!$B$19)+MAX(-AS45,0)*(O45+Inputs!$B$18+Inputs!$B$19)+IF(AND(K45=1,AP45&lt;&gt;0),(Inputs!$B$17+Inputs!$B$18+Inputs!$B$19)+(O45+Inputs!$B$18+Inputs!$B$19),0)</f>
        <v>0</v>
      </c>
      <c r="AZ45" s="30" t="n">
        <f aca="false">AP44*M45-AY45</f>
        <v>0</v>
      </c>
      <c r="BA45" s="30" t="n">
        <f aca="false">BA44+AI45</f>
        <v>0</v>
      </c>
      <c r="BB45" s="30" t="n">
        <f aca="false">MAX(BB44,BA45)</f>
        <v>0</v>
      </c>
      <c r="BC45" s="30" t="n">
        <f aca="false">BA45-BB45</f>
        <v>0</v>
      </c>
      <c r="BD45" s="30" t="n">
        <f aca="false">A46-A45</f>
        <v>1</v>
      </c>
    </row>
    <row r="46" customFormat="false" ht="15" hidden="false" customHeight="false" outlineLevel="0" collapsed="false">
      <c r="A46" s="28" t="n">
        <v>45105</v>
      </c>
      <c r="B46" s="0" t="n">
        <v>18972.05</v>
      </c>
      <c r="C46" s="0" t="n">
        <v>208.35</v>
      </c>
      <c r="D46" s="29" t="n">
        <f aca="false">LN(B46)</f>
        <v>9.85072212245679</v>
      </c>
      <c r="E46" s="29" t="n">
        <f aca="false">LN(C46)</f>
        <v>5.33921935786846</v>
      </c>
      <c r="F46" s="0" t="n">
        <v>41</v>
      </c>
      <c r="G46" s="0" t="n">
        <v>0</v>
      </c>
      <c r="H46" s="29" t="n">
        <f aca="false">D46-E46</f>
        <v>4.51150276458832</v>
      </c>
      <c r="I46" s="29" t="n">
        <f aca="false">D46-D45</f>
        <v>0.00831241942924876</v>
      </c>
      <c r="J46" s="29" t="n">
        <f aca="false">E46-E45</f>
        <v>0.00959714149201396</v>
      </c>
      <c r="K46" s="0" t="n">
        <v>1</v>
      </c>
      <c r="L46" s="0" t="n">
        <v>0</v>
      </c>
      <c r="M46" s="29" t="n">
        <f aca="false">IF(L46=1,J46-Carry!$B$9/Inputs!$B$16,I46)</f>
        <v>0.00831241942924876</v>
      </c>
      <c r="N46" s="0" t="n">
        <v>0.065</v>
      </c>
      <c r="O46" s="0" t="n">
        <v>0.000125</v>
      </c>
      <c r="P46" s="29" t="n">
        <f aca="false">D46-('2 Hedge ratio'!$B$6+'2 Hedge ratio'!$B$5*E46)</f>
        <v>-0.00249968612279261</v>
      </c>
      <c r="Q46" s="29" t="n">
        <f aca="false">D46-('5 Re-specification'!$B$7+'5 Re-specification'!$B$5*E46+'5 Re-specification'!$B$6*F46)</f>
        <v>-0.00167564994043978</v>
      </c>
      <c r="R46" s="30" t="n">
        <f aca="false">MIN(F46,Inputs!$B$9)</f>
        <v>41</v>
      </c>
      <c r="S46" s="29" t="str">
        <f aca="true">IF(AND(F46&gt;=1,R46&gt;=Inputs!$B$10),INDEX(LINEST(OFFSET(D46,-R46,0,R46,1),OFFSET(E46,-R46,0,R46,2)),1,1),"")</f>
        <v/>
      </c>
      <c r="T46" s="29" t="str">
        <f aca="true">IF(AND(F46&gt;=1,R46&gt;=Inputs!$B$10),INDEX(LINEST(OFFSET(D46,-R46,0,R46,1),OFFSET(E46,-R46,0,R46,2)),1,2),"")</f>
        <v/>
      </c>
      <c r="U46" s="29" t="str">
        <f aca="true">IF(AND(F46&gt;=1,R46&gt;=Inputs!$B$10),INDEX(LINEST(OFFSET(D46,-R46,0,R46,1),OFFSET(E46,-R46,0,R46,2)),1,3),"")</f>
        <v/>
      </c>
      <c r="V46" s="29" t="str">
        <f aca="true">IF(AND(F46&gt;=1,R46&gt;=Inputs!$B$10),SQRT(SUMPRODUCT((OFFSET(D46,-R46,0,R46,1)-U46-T46*OFFSET(E46,-R46,0,R46,1)-S46*OFFSET(F46,-R46,0,R46,1))^2)/(R46-3)),"")</f>
        <v/>
      </c>
      <c r="W46" s="31" t="str">
        <f aca="false">IF(AND(F46&gt;=1,R46&gt;=Inputs!$B$10),(D46-U46-T46*E46-S46*F46)/V46,"")</f>
        <v/>
      </c>
      <c r="X46" s="30" t="n">
        <f aca="false">IF(AB45&lt;&gt;0,AC45+1,0)</f>
        <v>0</v>
      </c>
      <c r="Y46" s="30" t="n">
        <f aca="false">IF(W46="",0,IF(AND(AB45&lt;&gt;0,OR(ABS(W46)&gt;Inputs!$B$7,X46&gt;=Inputs!$B$8,ABS(W46)&lt;Inputs!$B$6)),1,0))</f>
        <v>0</v>
      </c>
      <c r="Z46" s="30" t="n">
        <f aca="false">IF(Y46=1,0,AB45)</f>
        <v>0</v>
      </c>
      <c r="AA46" s="30" t="n">
        <f aca="false">IF(W46="",0,IF(AND(Z46=0,ABS(W46)&gt;Inputs!$B$5,ABS(W46)&lt;=Inputs!$B$7),1,0))</f>
        <v>0</v>
      </c>
      <c r="AB46" s="30" t="n">
        <f aca="false">IF(W46="",0,IF(AA46=1,-SIGN(W46),Z46))</f>
        <v>0</v>
      </c>
      <c r="AC46" s="30" t="n">
        <f aca="false">IF(W46="",0,IF(AA46=1,0,IF(Y46=1,0,X46)))</f>
        <v>0</v>
      </c>
      <c r="AD46" s="30" t="n">
        <f aca="false">IF(AB46=0,0,IF(AB45=AB46,AD45,T46))</f>
        <v>0</v>
      </c>
      <c r="AE46" s="30" t="n">
        <f aca="false">AB46-AB45</f>
        <v>0</v>
      </c>
      <c r="AF46" s="30" t="n">
        <f aca="false">-AD46*AB46</f>
        <v>-0</v>
      </c>
      <c r="AG46" s="30" t="n">
        <f aca="false">AF46-AF45</f>
        <v>0</v>
      </c>
      <c r="AH46" s="30" t="n">
        <f aca="false">MAX(AE46,0)*(Inputs!$B$17+Inputs!$B$18+Inputs!$B$19)+MAX(-AE46,0)*(O46+Inputs!$B$18+Inputs!$B$19)+IF(AND(K46=1,AB46&lt;&gt;0),(Inputs!$B$17+Inputs!$B$18+Inputs!$B$19)+(O46+Inputs!$B$18+Inputs!$B$19),0)+MAX(AG46,0)*(Inputs!$B$20+Inputs!$B$22+Inputs!$B$23)+MAX(-AG46,0)*(Inputs!$B$21+Inputs!$B$22+Inputs!$B$23)</f>
        <v>0</v>
      </c>
      <c r="AI46" s="30" t="n">
        <f aca="false">AB45*(M46-AD45*J46)+AB45*AD45*N46/Inputs!$B$16-AH46</f>
        <v>0</v>
      </c>
      <c r="AJ46" s="30" t="n">
        <f aca="false">MAX(AE46,0)*(Inputs!$B$17+Inputs!$B$24+Inputs!$B$25)+MAX(-AE46,0)*(O46+Inputs!$B$24+Inputs!$B$25)+IF(AND(K46=1,AB46&lt;&gt;0),(Inputs!$B$17+Inputs!$B$24+Inputs!$B$25)+(O46+Inputs!$B$24+Inputs!$B$25),0)+MAX(AG46,0)*(Inputs!$B$20+Inputs!$B$26+Inputs!$B$27)+MAX(-AG46,0)*(Inputs!$B$21+Inputs!$B$26+Inputs!$B$27)</f>
        <v>0</v>
      </c>
      <c r="AK46" s="30" t="n">
        <f aca="false">AB45*(M46-AD45*J46)+AB45*AD45*(N46+Inputs!$B$14)/Inputs!$B$16-AJ46</f>
        <v>0</v>
      </c>
      <c r="AL46" s="30" t="n">
        <f aca="false">IF(AP45&lt;&gt;0,AQ45+1,0)</f>
        <v>0</v>
      </c>
      <c r="AM46" s="30" t="n">
        <f aca="false">IF(W46="",0,IF(AND(AP45&lt;&gt;0,OR(ABS(W46)&gt;Inputs!$B$7,AL46&gt;=Inputs!$B$8,ABS(W46)&lt;Inputs!$B$6)),1,0))</f>
        <v>0</v>
      </c>
      <c r="AN46" s="30" t="n">
        <f aca="false">IF(AM46=1,0,AP45)</f>
        <v>0</v>
      </c>
      <c r="AO46" s="30" t="n">
        <f aca="false">IF(W46="",0,IF(AND(AN46=0,ABS(W46)&gt;Inputs!$B$5,ABS(W46)&lt;=Inputs!$B$7,W46&gt;0),1,0))</f>
        <v>0</v>
      </c>
      <c r="AP46" s="30" t="n">
        <f aca="false">IF(W46="",0,IF(AO46=1,-SIGN(W46),AN46))</f>
        <v>0</v>
      </c>
      <c r="AQ46" s="30" t="n">
        <f aca="false">IF(W46="",0,IF(AO46=1,0,IF(AM46=1,0,AL46)))</f>
        <v>0</v>
      </c>
      <c r="AR46" s="30" t="n">
        <f aca="false">IF(AP46=0,0,IF(AP45=AP46,AR45,T46))</f>
        <v>0</v>
      </c>
      <c r="AS46" s="30" t="n">
        <f aca="false">AP46-AP45</f>
        <v>0</v>
      </c>
      <c r="AT46" s="30" t="n">
        <f aca="false">-AR46*AP46</f>
        <v>-0</v>
      </c>
      <c r="AU46" s="30" t="n">
        <f aca="false">AT46-AT45</f>
        <v>0</v>
      </c>
      <c r="AV46" s="30" t="n">
        <f aca="false">MAX(AS46,0)*(Inputs!$B$17+Inputs!$B$18+Inputs!$B$19)+MAX(-AS46,0)*(O46+Inputs!$B$18+Inputs!$B$19)+IF(AND(K46=1,AP46&lt;&gt;0),(Inputs!$B$17+Inputs!$B$18+Inputs!$B$19)+(O46+Inputs!$B$18+Inputs!$B$19),0)+MAX(AU46,0)*(Inputs!$B$20+Inputs!$B$22+Inputs!$B$23)+MAX(-AU46,0)*(Inputs!$B$21+Inputs!$B$22+Inputs!$B$23)</f>
        <v>0</v>
      </c>
      <c r="AW46" s="30" t="n">
        <f aca="false">AP45*(M46-AR45*J46)+AP45*AR45*N46/Inputs!$B$16-AV46</f>
        <v>0</v>
      </c>
      <c r="AX46" s="30" t="n">
        <f aca="false">AW46-IF(AP45&lt;&gt;0,0.75*AR45*(Inputs!$B$13-N46)/Inputs!$B$16,0)</f>
        <v>0</v>
      </c>
      <c r="AY46" s="30" t="n">
        <f aca="false">MAX(AS46,0)*(Inputs!$B$17+Inputs!$B$18+Inputs!$B$19)+MAX(-AS46,0)*(O46+Inputs!$B$18+Inputs!$B$19)+IF(AND(K46=1,AP46&lt;&gt;0),(Inputs!$B$17+Inputs!$B$18+Inputs!$B$19)+(O46+Inputs!$B$18+Inputs!$B$19),0)</f>
        <v>0</v>
      </c>
      <c r="AZ46" s="30" t="n">
        <f aca="false">AP45*M46-AY46</f>
        <v>0</v>
      </c>
      <c r="BA46" s="30" t="n">
        <f aca="false">BA45+AI46</f>
        <v>0</v>
      </c>
      <c r="BB46" s="30" t="n">
        <f aca="false">MAX(BB45,BA46)</f>
        <v>0</v>
      </c>
      <c r="BC46" s="30" t="n">
        <f aca="false">BA46-BB46</f>
        <v>0</v>
      </c>
      <c r="BD46" s="30" t="n">
        <f aca="false">A47-A46</f>
        <v>2</v>
      </c>
    </row>
    <row r="47" customFormat="false" ht="15" hidden="false" customHeight="false" outlineLevel="0" collapsed="false">
      <c r="A47" s="28" t="n">
        <v>45107</v>
      </c>
      <c r="B47" s="0" t="n">
        <v>19267</v>
      </c>
      <c r="C47" s="0" t="n">
        <v>210.66</v>
      </c>
      <c r="D47" s="29" t="n">
        <f aca="false">LN(B47)</f>
        <v>9.86614906688076</v>
      </c>
      <c r="E47" s="29" t="n">
        <f aca="false">LN(C47)</f>
        <v>5.3502454594084</v>
      </c>
      <c r="F47" s="0" t="n">
        <v>42</v>
      </c>
      <c r="G47" s="0" t="n">
        <v>27</v>
      </c>
      <c r="H47" s="29" t="n">
        <f aca="false">D47-E47</f>
        <v>4.51590360747237</v>
      </c>
      <c r="I47" s="29" t="n">
        <f aca="false">D47-D46</f>
        <v>0.0154269444239734</v>
      </c>
      <c r="J47" s="29" t="n">
        <f aca="false">E47-E46</f>
        <v>0.0110261015399331</v>
      </c>
      <c r="K47" s="0" t="n">
        <v>0</v>
      </c>
      <c r="L47" s="0" t="n">
        <v>1</v>
      </c>
      <c r="M47" s="29" t="n">
        <f aca="false">IF(L47=1,J47-Carry!$B$9/Inputs!$B$16,I47)</f>
        <v>0.010766643358212</v>
      </c>
      <c r="N47" s="0" t="n">
        <v>0.065</v>
      </c>
      <c r="O47" s="0" t="n">
        <v>0.000125</v>
      </c>
      <c r="P47" s="29" t="n">
        <f aca="false">D47-('2 Hedge ratio'!$B$6+'2 Hedge ratio'!$B$5*E47)</f>
        <v>0.00282595163027644</v>
      </c>
      <c r="Q47" s="29" t="n">
        <f aca="false">D47-('5 Re-specification'!$B$7+'5 Re-specification'!$B$5*E47+'5 Re-specification'!$B$6*F47)</f>
        <v>0.00280353686264512</v>
      </c>
      <c r="R47" s="30" t="n">
        <f aca="false">MIN(F47,Inputs!$B$9)</f>
        <v>42</v>
      </c>
      <c r="S47" s="29" t="str">
        <f aca="true">IF(AND(F47&gt;=1,R47&gt;=Inputs!$B$10),INDEX(LINEST(OFFSET(D47,-R47,0,R47,1),OFFSET(E47,-R47,0,R47,2)),1,1),"")</f>
        <v/>
      </c>
      <c r="T47" s="29" t="str">
        <f aca="true">IF(AND(F47&gt;=1,R47&gt;=Inputs!$B$10),INDEX(LINEST(OFFSET(D47,-R47,0,R47,1),OFFSET(E47,-R47,0,R47,2)),1,2),"")</f>
        <v/>
      </c>
      <c r="U47" s="29" t="str">
        <f aca="true">IF(AND(F47&gt;=1,R47&gt;=Inputs!$B$10),INDEX(LINEST(OFFSET(D47,-R47,0,R47,1),OFFSET(E47,-R47,0,R47,2)),1,3),"")</f>
        <v/>
      </c>
      <c r="V47" s="29" t="str">
        <f aca="true">IF(AND(F47&gt;=1,R47&gt;=Inputs!$B$10),SQRT(SUMPRODUCT((OFFSET(D47,-R47,0,R47,1)-U47-T47*OFFSET(E47,-R47,0,R47,1)-S47*OFFSET(F47,-R47,0,R47,1))^2)/(R47-3)),"")</f>
        <v/>
      </c>
      <c r="W47" s="31" t="str">
        <f aca="false">IF(AND(F47&gt;=1,R47&gt;=Inputs!$B$10),(D47-U47-T47*E47-S47*F47)/V47,"")</f>
        <v/>
      </c>
      <c r="X47" s="30" t="n">
        <f aca="false">IF(AB46&lt;&gt;0,AC46+1,0)</f>
        <v>0</v>
      </c>
      <c r="Y47" s="30" t="n">
        <f aca="false">IF(W47="",0,IF(AND(AB46&lt;&gt;0,OR(ABS(W47)&gt;Inputs!$B$7,X47&gt;=Inputs!$B$8,ABS(W47)&lt;Inputs!$B$6)),1,0))</f>
        <v>0</v>
      </c>
      <c r="Z47" s="30" t="n">
        <f aca="false">IF(Y47=1,0,AB46)</f>
        <v>0</v>
      </c>
      <c r="AA47" s="30" t="n">
        <f aca="false">IF(W47="",0,IF(AND(Z47=0,ABS(W47)&gt;Inputs!$B$5,ABS(W47)&lt;=Inputs!$B$7),1,0))</f>
        <v>0</v>
      </c>
      <c r="AB47" s="30" t="n">
        <f aca="false">IF(W47="",0,IF(AA47=1,-SIGN(W47),Z47))</f>
        <v>0</v>
      </c>
      <c r="AC47" s="30" t="n">
        <f aca="false">IF(W47="",0,IF(AA47=1,0,IF(Y47=1,0,X47)))</f>
        <v>0</v>
      </c>
      <c r="AD47" s="30" t="n">
        <f aca="false">IF(AB47=0,0,IF(AB46=AB47,AD46,T47))</f>
        <v>0</v>
      </c>
      <c r="AE47" s="30" t="n">
        <f aca="false">AB47-AB46</f>
        <v>0</v>
      </c>
      <c r="AF47" s="30" t="n">
        <f aca="false">-AD47*AB47</f>
        <v>-0</v>
      </c>
      <c r="AG47" s="30" t="n">
        <f aca="false">AF47-AF46</f>
        <v>0</v>
      </c>
      <c r="AH47" s="30" t="n">
        <f aca="false">MAX(AE47,0)*(Inputs!$B$17+Inputs!$B$18+Inputs!$B$19)+MAX(-AE47,0)*(O47+Inputs!$B$18+Inputs!$B$19)+IF(AND(K47=1,AB47&lt;&gt;0),(Inputs!$B$17+Inputs!$B$18+Inputs!$B$19)+(O47+Inputs!$B$18+Inputs!$B$19),0)+MAX(AG47,0)*(Inputs!$B$20+Inputs!$B$22+Inputs!$B$23)+MAX(-AG47,0)*(Inputs!$B$21+Inputs!$B$22+Inputs!$B$23)</f>
        <v>0</v>
      </c>
      <c r="AI47" s="30" t="n">
        <f aca="false">AB46*(M47-AD46*J47)+AB46*AD46*N47/Inputs!$B$16-AH47</f>
        <v>0</v>
      </c>
      <c r="AJ47" s="30" t="n">
        <f aca="false">MAX(AE47,0)*(Inputs!$B$17+Inputs!$B$24+Inputs!$B$25)+MAX(-AE47,0)*(O47+Inputs!$B$24+Inputs!$B$25)+IF(AND(K47=1,AB47&lt;&gt;0),(Inputs!$B$17+Inputs!$B$24+Inputs!$B$25)+(O47+Inputs!$B$24+Inputs!$B$25),0)+MAX(AG47,0)*(Inputs!$B$20+Inputs!$B$26+Inputs!$B$27)+MAX(-AG47,0)*(Inputs!$B$21+Inputs!$B$26+Inputs!$B$27)</f>
        <v>0</v>
      </c>
      <c r="AK47" s="30" t="n">
        <f aca="false">AB46*(M47-AD46*J47)+AB46*AD46*(N47+Inputs!$B$14)/Inputs!$B$16-AJ47</f>
        <v>0</v>
      </c>
      <c r="AL47" s="30" t="n">
        <f aca="false">IF(AP46&lt;&gt;0,AQ46+1,0)</f>
        <v>0</v>
      </c>
      <c r="AM47" s="30" t="n">
        <f aca="false">IF(W47="",0,IF(AND(AP46&lt;&gt;0,OR(ABS(W47)&gt;Inputs!$B$7,AL47&gt;=Inputs!$B$8,ABS(W47)&lt;Inputs!$B$6)),1,0))</f>
        <v>0</v>
      </c>
      <c r="AN47" s="30" t="n">
        <f aca="false">IF(AM47=1,0,AP46)</f>
        <v>0</v>
      </c>
      <c r="AO47" s="30" t="n">
        <f aca="false">IF(W47="",0,IF(AND(AN47=0,ABS(W47)&gt;Inputs!$B$5,ABS(W47)&lt;=Inputs!$B$7,W47&gt;0),1,0))</f>
        <v>0</v>
      </c>
      <c r="AP47" s="30" t="n">
        <f aca="false">IF(W47="",0,IF(AO47=1,-SIGN(W47),AN47))</f>
        <v>0</v>
      </c>
      <c r="AQ47" s="30" t="n">
        <f aca="false">IF(W47="",0,IF(AO47=1,0,IF(AM47=1,0,AL47)))</f>
        <v>0</v>
      </c>
      <c r="AR47" s="30" t="n">
        <f aca="false">IF(AP47=0,0,IF(AP46=AP47,AR46,T47))</f>
        <v>0</v>
      </c>
      <c r="AS47" s="30" t="n">
        <f aca="false">AP47-AP46</f>
        <v>0</v>
      </c>
      <c r="AT47" s="30" t="n">
        <f aca="false">-AR47*AP47</f>
        <v>-0</v>
      </c>
      <c r="AU47" s="30" t="n">
        <f aca="false">AT47-AT46</f>
        <v>0</v>
      </c>
      <c r="AV47" s="30" t="n">
        <f aca="false">MAX(AS47,0)*(Inputs!$B$17+Inputs!$B$18+Inputs!$B$19)+MAX(-AS47,0)*(O47+Inputs!$B$18+Inputs!$B$19)+IF(AND(K47=1,AP47&lt;&gt;0),(Inputs!$B$17+Inputs!$B$18+Inputs!$B$19)+(O47+Inputs!$B$18+Inputs!$B$19),0)+MAX(AU47,0)*(Inputs!$B$20+Inputs!$B$22+Inputs!$B$23)+MAX(-AU47,0)*(Inputs!$B$21+Inputs!$B$22+Inputs!$B$23)</f>
        <v>0</v>
      </c>
      <c r="AW47" s="30" t="n">
        <f aca="false">AP46*(M47-AR46*J47)+AP46*AR46*N47/Inputs!$B$16-AV47</f>
        <v>0</v>
      </c>
      <c r="AX47" s="30" t="n">
        <f aca="false">AW47-IF(AP46&lt;&gt;0,0.75*AR46*(Inputs!$B$13-N47)/Inputs!$B$16,0)</f>
        <v>0</v>
      </c>
      <c r="AY47" s="30" t="n">
        <f aca="false">MAX(AS47,0)*(Inputs!$B$17+Inputs!$B$18+Inputs!$B$19)+MAX(-AS47,0)*(O47+Inputs!$B$18+Inputs!$B$19)+IF(AND(K47=1,AP47&lt;&gt;0),(Inputs!$B$17+Inputs!$B$18+Inputs!$B$19)+(O47+Inputs!$B$18+Inputs!$B$19),0)</f>
        <v>0</v>
      </c>
      <c r="AZ47" s="30" t="n">
        <f aca="false">AP46*M47-AY47</f>
        <v>0</v>
      </c>
      <c r="BA47" s="30" t="n">
        <f aca="false">BA46+AI47</f>
        <v>0</v>
      </c>
      <c r="BB47" s="30" t="n">
        <f aca="false">MAX(BB46,BA47)</f>
        <v>0</v>
      </c>
      <c r="BC47" s="30" t="n">
        <f aca="false">BA47-BB47</f>
        <v>0</v>
      </c>
      <c r="BD47" s="30" t="n">
        <f aca="false">A48-A47</f>
        <v>3</v>
      </c>
    </row>
    <row r="48" customFormat="false" ht="15" hidden="false" customHeight="false" outlineLevel="0" collapsed="false">
      <c r="A48" s="28" t="n">
        <v>45110</v>
      </c>
      <c r="B48" s="0" t="n">
        <v>19414</v>
      </c>
      <c r="C48" s="0" t="n">
        <v>212.12</v>
      </c>
      <c r="D48" s="29" t="n">
        <f aca="false">LN(B48)</f>
        <v>9.87374973427217</v>
      </c>
      <c r="E48" s="29" t="n">
        <f aca="false">LN(C48)</f>
        <v>5.35715215226893</v>
      </c>
      <c r="F48" s="0" t="n">
        <v>43</v>
      </c>
      <c r="G48" s="0" t="n">
        <v>24</v>
      </c>
      <c r="H48" s="29" t="n">
        <f aca="false">D48-E48</f>
        <v>4.51659758200324</v>
      </c>
      <c r="I48" s="29" t="n">
        <f aca="false">D48-D47</f>
        <v>0.00760066739141152</v>
      </c>
      <c r="J48" s="29" t="n">
        <f aca="false">E48-E47</f>
        <v>0.00690669286053325</v>
      </c>
      <c r="K48" s="0" t="n">
        <v>0</v>
      </c>
      <c r="L48" s="0" t="n">
        <v>0</v>
      </c>
      <c r="M48" s="29" t="n">
        <f aca="false">IF(L48=1,J48-Carry!$B$9/Inputs!$B$16,I48)</f>
        <v>0.00760066739141152</v>
      </c>
      <c r="N48" s="0" t="n">
        <v>0.065</v>
      </c>
      <c r="O48" s="0" t="n">
        <v>0.000125</v>
      </c>
      <c r="P48" s="29" t="n">
        <f aca="false">D48-('2 Hedge ratio'!$B$6+'2 Hedge ratio'!$B$5*E48)</f>
        <v>0.00409921287425341</v>
      </c>
      <c r="Q48" s="29" t="n">
        <f aca="false">D48-('5 Re-specification'!$B$7+'5 Re-specification'!$B$5*E48+'5 Re-specification'!$B$6*F48)</f>
        <v>0.00356337144448204</v>
      </c>
      <c r="R48" s="30" t="n">
        <f aca="false">MIN(F48,Inputs!$B$9)</f>
        <v>43</v>
      </c>
      <c r="S48" s="29" t="str">
        <f aca="true">IF(AND(F48&gt;=1,R48&gt;=Inputs!$B$10),INDEX(LINEST(OFFSET(D48,-R48,0,R48,1),OFFSET(E48,-R48,0,R48,2)),1,1),"")</f>
        <v/>
      </c>
      <c r="T48" s="29" t="str">
        <f aca="true">IF(AND(F48&gt;=1,R48&gt;=Inputs!$B$10),INDEX(LINEST(OFFSET(D48,-R48,0,R48,1),OFFSET(E48,-R48,0,R48,2)),1,2),"")</f>
        <v/>
      </c>
      <c r="U48" s="29" t="str">
        <f aca="true">IF(AND(F48&gt;=1,R48&gt;=Inputs!$B$10),INDEX(LINEST(OFFSET(D48,-R48,0,R48,1),OFFSET(E48,-R48,0,R48,2)),1,3),"")</f>
        <v/>
      </c>
      <c r="V48" s="29" t="str">
        <f aca="true">IF(AND(F48&gt;=1,R48&gt;=Inputs!$B$10),SQRT(SUMPRODUCT((OFFSET(D48,-R48,0,R48,1)-U48-T48*OFFSET(E48,-R48,0,R48,1)-S48*OFFSET(F48,-R48,0,R48,1))^2)/(R48-3)),"")</f>
        <v/>
      </c>
      <c r="W48" s="31" t="str">
        <f aca="false">IF(AND(F48&gt;=1,R48&gt;=Inputs!$B$10),(D48-U48-T48*E48-S48*F48)/V48,"")</f>
        <v/>
      </c>
      <c r="X48" s="30" t="n">
        <f aca="false">IF(AB47&lt;&gt;0,AC47+1,0)</f>
        <v>0</v>
      </c>
      <c r="Y48" s="30" t="n">
        <f aca="false">IF(W48="",0,IF(AND(AB47&lt;&gt;0,OR(ABS(W48)&gt;Inputs!$B$7,X48&gt;=Inputs!$B$8,ABS(W48)&lt;Inputs!$B$6)),1,0))</f>
        <v>0</v>
      </c>
      <c r="Z48" s="30" t="n">
        <f aca="false">IF(Y48=1,0,AB47)</f>
        <v>0</v>
      </c>
      <c r="AA48" s="30" t="n">
        <f aca="false">IF(W48="",0,IF(AND(Z48=0,ABS(W48)&gt;Inputs!$B$5,ABS(W48)&lt;=Inputs!$B$7),1,0))</f>
        <v>0</v>
      </c>
      <c r="AB48" s="30" t="n">
        <f aca="false">IF(W48="",0,IF(AA48=1,-SIGN(W48),Z48))</f>
        <v>0</v>
      </c>
      <c r="AC48" s="30" t="n">
        <f aca="false">IF(W48="",0,IF(AA48=1,0,IF(Y48=1,0,X48)))</f>
        <v>0</v>
      </c>
      <c r="AD48" s="30" t="n">
        <f aca="false">IF(AB48=0,0,IF(AB47=AB48,AD47,T48))</f>
        <v>0</v>
      </c>
      <c r="AE48" s="30" t="n">
        <f aca="false">AB48-AB47</f>
        <v>0</v>
      </c>
      <c r="AF48" s="30" t="n">
        <f aca="false">-AD48*AB48</f>
        <v>-0</v>
      </c>
      <c r="AG48" s="30" t="n">
        <f aca="false">AF48-AF47</f>
        <v>0</v>
      </c>
      <c r="AH48" s="30" t="n">
        <f aca="false">MAX(AE48,0)*(Inputs!$B$17+Inputs!$B$18+Inputs!$B$19)+MAX(-AE48,0)*(O48+Inputs!$B$18+Inputs!$B$19)+IF(AND(K48=1,AB48&lt;&gt;0),(Inputs!$B$17+Inputs!$B$18+Inputs!$B$19)+(O48+Inputs!$B$18+Inputs!$B$19),0)+MAX(AG48,0)*(Inputs!$B$20+Inputs!$B$22+Inputs!$B$23)+MAX(-AG48,0)*(Inputs!$B$21+Inputs!$B$22+Inputs!$B$23)</f>
        <v>0</v>
      </c>
      <c r="AI48" s="30" t="n">
        <f aca="false">AB47*(M48-AD47*J48)+AB47*AD47*N48/Inputs!$B$16-AH48</f>
        <v>0</v>
      </c>
      <c r="AJ48" s="30" t="n">
        <f aca="false">MAX(AE48,0)*(Inputs!$B$17+Inputs!$B$24+Inputs!$B$25)+MAX(-AE48,0)*(O48+Inputs!$B$24+Inputs!$B$25)+IF(AND(K48=1,AB48&lt;&gt;0),(Inputs!$B$17+Inputs!$B$24+Inputs!$B$25)+(O48+Inputs!$B$24+Inputs!$B$25),0)+MAX(AG48,0)*(Inputs!$B$20+Inputs!$B$26+Inputs!$B$27)+MAX(-AG48,0)*(Inputs!$B$21+Inputs!$B$26+Inputs!$B$27)</f>
        <v>0</v>
      </c>
      <c r="AK48" s="30" t="n">
        <f aca="false">AB47*(M48-AD47*J48)+AB47*AD47*(N48+Inputs!$B$14)/Inputs!$B$16-AJ48</f>
        <v>0</v>
      </c>
      <c r="AL48" s="30" t="n">
        <f aca="false">IF(AP47&lt;&gt;0,AQ47+1,0)</f>
        <v>0</v>
      </c>
      <c r="AM48" s="30" t="n">
        <f aca="false">IF(W48="",0,IF(AND(AP47&lt;&gt;0,OR(ABS(W48)&gt;Inputs!$B$7,AL48&gt;=Inputs!$B$8,ABS(W48)&lt;Inputs!$B$6)),1,0))</f>
        <v>0</v>
      </c>
      <c r="AN48" s="30" t="n">
        <f aca="false">IF(AM48=1,0,AP47)</f>
        <v>0</v>
      </c>
      <c r="AO48" s="30" t="n">
        <f aca="false">IF(W48="",0,IF(AND(AN48=0,ABS(W48)&gt;Inputs!$B$5,ABS(W48)&lt;=Inputs!$B$7,W48&gt;0),1,0))</f>
        <v>0</v>
      </c>
      <c r="AP48" s="30" t="n">
        <f aca="false">IF(W48="",0,IF(AO48=1,-SIGN(W48),AN48))</f>
        <v>0</v>
      </c>
      <c r="AQ48" s="30" t="n">
        <f aca="false">IF(W48="",0,IF(AO48=1,0,IF(AM48=1,0,AL48)))</f>
        <v>0</v>
      </c>
      <c r="AR48" s="30" t="n">
        <f aca="false">IF(AP48=0,0,IF(AP47=AP48,AR47,T48))</f>
        <v>0</v>
      </c>
      <c r="AS48" s="30" t="n">
        <f aca="false">AP48-AP47</f>
        <v>0</v>
      </c>
      <c r="AT48" s="30" t="n">
        <f aca="false">-AR48*AP48</f>
        <v>-0</v>
      </c>
      <c r="AU48" s="30" t="n">
        <f aca="false">AT48-AT47</f>
        <v>0</v>
      </c>
      <c r="AV48" s="30" t="n">
        <f aca="false">MAX(AS48,0)*(Inputs!$B$17+Inputs!$B$18+Inputs!$B$19)+MAX(-AS48,0)*(O48+Inputs!$B$18+Inputs!$B$19)+IF(AND(K48=1,AP48&lt;&gt;0),(Inputs!$B$17+Inputs!$B$18+Inputs!$B$19)+(O48+Inputs!$B$18+Inputs!$B$19),0)+MAX(AU48,0)*(Inputs!$B$20+Inputs!$B$22+Inputs!$B$23)+MAX(-AU48,0)*(Inputs!$B$21+Inputs!$B$22+Inputs!$B$23)</f>
        <v>0</v>
      </c>
      <c r="AW48" s="30" t="n">
        <f aca="false">AP47*(M48-AR47*J48)+AP47*AR47*N48/Inputs!$B$16-AV48</f>
        <v>0</v>
      </c>
      <c r="AX48" s="30" t="n">
        <f aca="false">AW48-IF(AP47&lt;&gt;0,0.75*AR47*(Inputs!$B$13-N48)/Inputs!$B$16,0)</f>
        <v>0</v>
      </c>
      <c r="AY48" s="30" t="n">
        <f aca="false">MAX(AS48,0)*(Inputs!$B$17+Inputs!$B$18+Inputs!$B$19)+MAX(-AS48,0)*(O48+Inputs!$B$18+Inputs!$B$19)+IF(AND(K48=1,AP48&lt;&gt;0),(Inputs!$B$17+Inputs!$B$18+Inputs!$B$19)+(O48+Inputs!$B$18+Inputs!$B$19),0)</f>
        <v>0</v>
      </c>
      <c r="AZ48" s="30" t="n">
        <f aca="false">AP47*M48-AY48</f>
        <v>0</v>
      </c>
      <c r="BA48" s="30" t="n">
        <f aca="false">BA47+AI48</f>
        <v>0</v>
      </c>
      <c r="BB48" s="30" t="n">
        <f aca="false">MAX(BB47,BA48)</f>
        <v>0</v>
      </c>
      <c r="BC48" s="30" t="n">
        <f aca="false">BA48-BB48</f>
        <v>0</v>
      </c>
      <c r="BD48" s="30" t="n">
        <f aca="false">A49-A48</f>
        <v>1</v>
      </c>
    </row>
    <row r="49" customFormat="false" ht="15" hidden="false" customHeight="false" outlineLevel="0" collapsed="false">
      <c r="A49" s="28" t="n">
        <v>45111</v>
      </c>
      <c r="B49" s="0" t="n">
        <v>19459.1</v>
      </c>
      <c r="C49" s="0" t="n">
        <v>213.08</v>
      </c>
      <c r="D49" s="29" t="n">
        <f aca="false">LN(B49)</f>
        <v>9.87607010595518</v>
      </c>
      <c r="E49" s="29" t="n">
        <f aca="false">LN(C49)</f>
        <v>5.3616676820488</v>
      </c>
      <c r="F49" s="0" t="n">
        <v>44</v>
      </c>
      <c r="G49" s="0" t="n">
        <v>23</v>
      </c>
      <c r="H49" s="29" t="n">
        <f aca="false">D49-E49</f>
        <v>4.51440242390638</v>
      </c>
      <c r="I49" s="29" t="n">
        <f aca="false">D49-D48</f>
        <v>0.00232037168300536</v>
      </c>
      <c r="J49" s="29" t="n">
        <f aca="false">E49-E48</f>
        <v>0.00451552977986935</v>
      </c>
      <c r="K49" s="0" t="n">
        <v>0</v>
      </c>
      <c r="L49" s="0" t="n">
        <v>0</v>
      </c>
      <c r="M49" s="29" t="n">
        <f aca="false">IF(L49=1,J49-Carry!$B$9/Inputs!$B$16,I49)</f>
        <v>0.00232037168300536</v>
      </c>
      <c r="N49" s="0" t="n">
        <v>0.065</v>
      </c>
      <c r="O49" s="0" t="n">
        <v>0.000125</v>
      </c>
      <c r="P49" s="29" t="n">
        <f aca="false">D49-('2 Hedge ratio'!$B$6+'2 Hedge ratio'!$B$5*E49)</f>
        <v>0.00228278689374584</v>
      </c>
      <c r="Q49" s="29" t="n">
        <f aca="false">D49-('5 Re-specification'!$B$7+'5 Re-specification'!$B$5*E49+'5 Re-specification'!$B$6*F49)</f>
        <v>0.00142682697880936</v>
      </c>
      <c r="R49" s="30" t="n">
        <f aca="false">MIN(F49,Inputs!$B$9)</f>
        <v>44</v>
      </c>
      <c r="S49" s="29" t="str">
        <f aca="true">IF(AND(F49&gt;=1,R49&gt;=Inputs!$B$10),INDEX(LINEST(OFFSET(D49,-R49,0,R49,1),OFFSET(E49,-R49,0,R49,2)),1,1),"")</f>
        <v/>
      </c>
      <c r="T49" s="29" t="str">
        <f aca="true">IF(AND(F49&gt;=1,R49&gt;=Inputs!$B$10),INDEX(LINEST(OFFSET(D49,-R49,0,R49,1),OFFSET(E49,-R49,0,R49,2)),1,2),"")</f>
        <v/>
      </c>
      <c r="U49" s="29" t="str">
        <f aca="true">IF(AND(F49&gt;=1,R49&gt;=Inputs!$B$10),INDEX(LINEST(OFFSET(D49,-R49,0,R49,1),OFFSET(E49,-R49,0,R49,2)),1,3),"")</f>
        <v/>
      </c>
      <c r="V49" s="29" t="str">
        <f aca="true">IF(AND(F49&gt;=1,R49&gt;=Inputs!$B$10),SQRT(SUMPRODUCT((OFFSET(D49,-R49,0,R49,1)-U49-T49*OFFSET(E49,-R49,0,R49,1)-S49*OFFSET(F49,-R49,0,R49,1))^2)/(R49-3)),"")</f>
        <v/>
      </c>
      <c r="W49" s="31" t="str">
        <f aca="false">IF(AND(F49&gt;=1,R49&gt;=Inputs!$B$10),(D49-U49-T49*E49-S49*F49)/V49,"")</f>
        <v/>
      </c>
      <c r="X49" s="30" t="n">
        <f aca="false">IF(AB48&lt;&gt;0,AC48+1,0)</f>
        <v>0</v>
      </c>
      <c r="Y49" s="30" t="n">
        <f aca="false">IF(W49="",0,IF(AND(AB48&lt;&gt;0,OR(ABS(W49)&gt;Inputs!$B$7,X49&gt;=Inputs!$B$8,ABS(W49)&lt;Inputs!$B$6)),1,0))</f>
        <v>0</v>
      </c>
      <c r="Z49" s="30" t="n">
        <f aca="false">IF(Y49=1,0,AB48)</f>
        <v>0</v>
      </c>
      <c r="AA49" s="30" t="n">
        <f aca="false">IF(W49="",0,IF(AND(Z49=0,ABS(W49)&gt;Inputs!$B$5,ABS(W49)&lt;=Inputs!$B$7),1,0))</f>
        <v>0</v>
      </c>
      <c r="AB49" s="30" t="n">
        <f aca="false">IF(W49="",0,IF(AA49=1,-SIGN(W49),Z49))</f>
        <v>0</v>
      </c>
      <c r="AC49" s="30" t="n">
        <f aca="false">IF(W49="",0,IF(AA49=1,0,IF(Y49=1,0,X49)))</f>
        <v>0</v>
      </c>
      <c r="AD49" s="30" t="n">
        <f aca="false">IF(AB49=0,0,IF(AB48=AB49,AD48,T49))</f>
        <v>0</v>
      </c>
      <c r="AE49" s="30" t="n">
        <f aca="false">AB49-AB48</f>
        <v>0</v>
      </c>
      <c r="AF49" s="30" t="n">
        <f aca="false">-AD49*AB49</f>
        <v>-0</v>
      </c>
      <c r="AG49" s="30" t="n">
        <f aca="false">AF49-AF48</f>
        <v>0</v>
      </c>
      <c r="AH49" s="30" t="n">
        <f aca="false">MAX(AE49,0)*(Inputs!$B$17+Inputs!$B$18+Inputs!$B$19)+MAX(-AE49,0)*(O49+Inputs!$B$18+Inputs!$B$19)+IF(AND(K49=1,AB49&lt;&gt;0),(Inputs!$B$17+Inputs!$B$18+Inputs!$B$19)+(O49+Inputs!$B$18+Inputs!$B$19),0)+MAX(AG49,0)*(Inputs!$B$20+Inputs!$B$22+Inputs!$B$23)+MAX(-AG49,0)*(Inputs!$B$21+Inputs!$B$22+Inputs!$B$23)</f>
        <v>0</v>
      </c>
      <c r="AI49" s="30" t="n">
        <f aca="false">AB48*(M49-AD48*J49)+AB48*AD48*N49/Inputs!$B$16-AH49</f>
        <v>0</v>
      </c>
      <c r="AJ49" s="30" t="n">
        <f aca="false">MAX(AE49,0)*(Inputs!$B$17+Inputs!$B$24+Inputs!$B$25)+MAX(-AE49,0)*(O49+Inputs!$B$24+Inputs!$B$25)+IF(AND(K49=1,AB49&lt;&gt;0),(Inputs!$B$17+Inputs!$B$24+Inputs!$B$25)+(O49+Inputs!$B$24+Inputs!$B$25),0)+MAX(AG49,0)*(Inputs!$B$20+Inputs!$B$26+Inputs!$B$27)+MAX(-AG49,0)*(Inputs!$B$21+Inputs!$B$26+Inputs!$B$27)</f>
        <v>0</v>
      </c>
      <c r="AK49" s="30" t="n">
        <f aca="false">AB48*(M49-AD48*J49)+AB48*AD48*(N49+Inputs!$B$14)/Inputs!$B$16-AJ49</f>
        <v>0</v>
      </c>
      <c r="AL49" s="30" t="n">
        <f aca="false">IF(AP48&lt;&gt;0,AQ48+1,0)</f>
        <v>0</v>
      </c>
      <c r="AM49" s="30" t="n">
        <f aca="false">IF(W49="",0,IF(AND(AP48&lt;&gt;0,OR(ABS(W49)&gt;Inputs!$B$7,AL49&gt;=Inputs!$B$8,ABS(W49)&lt;Inputs!$B$6)),1,0))</f>
        <v>0</v>
      </c>
      <c r="AN49" s="30" t="n">
        <f aca="false">IF(AM49=1,0,AP48)</f>
        <v>0</v>
      </c>
      <c r="AO49" s="30" t="n">
        <f aca="false">IF(W49="",0,IF(AND(AN49=0,ABS(W49)&gt;Inputs!$B$5,ABS(W49)&lt;=Inputs!$B$7,W49&gt;0),1,0))</f>
        <v>0</v>
      </c>
      <c r="AP49" s="30" t="n">
        <f aca="false">IF(W49="",0,IF(AO49=1,-SIGN(W49),AN49))</f>
        <v>0</v>
      </c>
      <c r="AQ49" s="30" t="n">
        <f aca="false">IF(W49="",0,IF(AO49=1,0,IF(AM49=1,0,AL49)))</f>
        <v>0</v>
      </c>
      <c r="AR49" s="30" t="n">
        <f aca="false">IF(AP49=0,0,IF(AP48=AP49,AR48,T49))</f>
        <v>0</v>
      </c>
      <c r="AS49" s="30" t="n">
        <f aca="false">AP49-AP48</f>
        <v>0</v>
      </c>
      <c r="AT49" s="30" t="n">
        <f aca="false">-AR49*AP49</f>
        <v>-0</v>
      </c>
      <c r="AU49" s="30" t="n">
        <f aca="false">AT49-AT48</f>
        <v>0</v>
      </c>
      <c r="AV49" s="30" t="n">
        <f aca="false">MAX(AS49,0)*(Inputs!$B$17+Inputs!$B$18+Inputs!$B$19)+MAX(-AS49,0)*(O49+Inputs!$B$18+Inputs!$B$19)+IF(AND(K49=1,AP49&lt;&gt;0),(Inputs!$B$17+Inputs!$B$18+Inputs!$B$19)+(O49+Inputs!$B$18+Inputs!$B$19),0)+MAX(AU49,0)*(Inputs!$B$20+Inputs!$B$22+Inputs!$B$23)+MAX(-AU49,0)*(Inputs!$B$21+Inputs!$B$22+Inputs!$B$23)</f>
        <v>0</v>
      </c>
      <c r="AW49" s="30" t="n">
        <f aca="false">AP48*(M49-AR48*J49)+AP48*AR48*N49/Inputs!$B$16-AV49</f>
        <v>0</v>
      </c>
      <c r="AX49" s="30" t="n">
        <f aca="false">AW49-IF(AP48&lt;&gt;0,0.75*AR48*(Inputs!$B$13-N49)/Inputs!$B$16,0)</f>
        <v>0</v>
      </c>
      <c r="AY49" s="30" t="n">
        <f aca="false">MAX(AS49,0)*(Inputs!$B$17+Inputs!$B$18+Inputs!$B$19)+MAX(-AS49,0)*(O49+Inputs!$B$18+Inputs!$B$19)+IF(AND(K49=1,AP49&lt;&gt;0),(Inputs!$B$17+Inputs!$B$18+Inputs!$B$19)+(O49+Inputs!$B$18+Inputs!$B$19),0)</f>
        <v>0</v>
      </c>
      <c r="AZ49" s="30" t="n">
        <f aca="false">AP48*M49-AY49</f>
        <v>0</v>
      </c>
      <c r="BA49" s="30" t="n">
        <f aca="false">BA48+AI49</f>
        <v>0</v>
      </c>
      <c r="BB49" s="30" t="n">
        <f aca="false">MAX(BB48,BA49)</f>
        <v>0</v>
      </c>
      <c r="BC49" s="30" t="n">
        <f aca="false">BA49-BB49</f>
        <v>0</v>
      </c>
      <c r="BD49" s="30" t="n">
        <f aca="false">A50-A49</f>
        <v>1</v>
      </c>
    </row>
    <row r="50" customFormat="false" ht="15" hidden="false" customHeight="false" outlineLevel="0" collapsed="false">
      <c r="A50" s="28" t="n">
        <v>45112</v>
      </c>
      <c r="B50" s="0" t="n">
        <v>19478.1</v>
      </c>
      <c r="C50" s="0" t="n">
        <v>213.02</v>
      </c>
      <c r="D50" s="29" t="n">
        <f aca="false">LN(B50)</f>
        <v>9.8770460365053</v>
      </c>
      <c r="E50" s="29" t="n">
        <f aca="false">LN(C50)</f>
        <v>5.36138605801502</v>
      </c>
      <c r="F50" s="0" t="n">
        <v>45</v>
      </c>
      <c r="G50" s="0" t="n">
        <v>22</v>
      </c>
      <c r="H50" s="29" t="n">
        <f aca="false">D50-E50</f>
        <v>4.51565997849028</v>
      </c>
      <c r="I50" s="29" t="n">
        <f aca="false">D50-D49</f>
        <v>0.000975930550119131</v>
      </c>
      <c r="J50" s="29" t="n">
        <f aca="false">E50-E49</f>
        <v>-0.000281624033778627</v>
      </c>
      <c r="K50" s="0" t="n">
        <v>0</v>
      </c>
      <c r="L50" s="0" t="n">
        <v>0</v>
      </c>
      <c r="M50" s="29" t="n">
        <f aca="false">IF(L50=1,J50-Carry!$B$9/Inputs!$B$16,I50)</f>
        <v>0.000975930550119131</v>
      </c>
      <c r="N50" s="0" t="n">
        <v>0.065</v>
      </c>
      <c r="O50" s="0" t="n">
        <v>0.000125</v>
      </c>
      <c r="P50" s="29" t="n">
        <f aca="false">D50-('2 Hedge ratio'!$B$6+'2 Hedge ratio'!$B$5*E50)</f>
        <v>0.00351672075725595</v>
      </c>
      <c r="Q50" s="29" t="n">
        <f aca="false">D50-('5 Re-specification'!$B$7+'5 Re-specification'!$B$5*E50+'5 Re-specification'!$B$6*F50)</f>
        <v>0.00272845741916328</v>
      </c>
      <c r="R50" s="30" t="n">
        <f aca="false">MIN(F50,Inputs!$B$9)</f>
        <v>45</v>
      </c>
      <c r="S50" s="29" t="str">
        <f aca="true">IF(AND(F50&gt;=1,R50&gt;=Inputs!$B$10),INDEX(LINEST(OFFSET(D50,-R50,0,R50,1),OFFSET(E50,-R50,0,R50,2)),1,1),"")</f>
        <v/>
      </c>
      <c r="T50" s="29" t="str">
        <f aca="true">IF(AND(F50&gt;=1,R50&gt;=Inputs!$B$10),INDEX(LINEST(OFFSET(D50,-R50,0,R50,1),OFFSET(E50,-R50,0,R50,2)),1,2),"")</f>
        <v/>
      </c>
      <c r="U50" s="29" t="str">
        <f aca="true">IF(AND(F50&gt;=1,R50&gt;=Inputs!$B$10),INDEX(LINEST(OFFSET(D50,-R50,0,R50,1),OFFSET(E50,-R50,0,R50,2)),1,3),"")</f>
        <v/>
      </c>
      <c r="V50" s="29" t="str">
        <f aca="true">IF(AND(F50&gt;=1,R50&gt;=Inputs!$B$10),SQRT(SUMPRODUCT((OFFSET(D50,-R50,0,R50,1)-U50-T50*OFFSET(E50,-R50,0,R50,1)-S50*OFFSET(F50,-R50,0,R50,1))^2)/(R50-3)),"")</f>
        <v/>
      </c>
      <c r="W50" s="31" t="str">
        <f aca="false">IF(AND(F50&gt;=1,R50&gt;=Inputs!$B$10),(D50-U50-T50*E50-S50*F50)/V50,"")</f>
        <v/>
      </c>
      <c r="X50" s="30" t="n">
        <f aca="false">IF(AB49&lt;&gt;0,AC49+1,0)</f>
        <v>0</v>
      </c>
      <c r="Y50" s="30" t="n">
        <f aca="false">IF(W50="",0,IF(AND(AB49&lt;&gt;0,OR(ABS(W50)&gt;Inputs!$B$7,X50&gt;=Inputs!$B$8,ABS(W50)&lt;Inputs!$B$6)),1,0))</f>
        <v>0</v>
      </c>
      <c r="Z50" s="30" t="n">
        <f aca="false">IF(Y50=1,0,AB49)</f>
        <v>0</v>
      </c>
      <c r="AA50" s="30" t="n">
        <f aca="false">IF(W50="",0,IF(AND(Z50=0,ABS(W50)&gt;Inputs!$B$5,ABS(W50)&lt;=Inputs!$B$7),1,0))</f>
        <v>0</v>
      </c>
      <c r="AB50" s="30" t="n">
        <f aca="false">IF(W50="",0,IF(AA50=1,-SIGN(W50),Z50))</f>
        <v>0</v>
      </c>
      <c r="AC50" s="30" t="n">
        <f aca="false">IF(W50="",0,IF(AA50=1,0,IF(Y50=1,0,X50)))</f>
        <v>0</v>
      </c>
      <c r="AD50" s="30" t="n">
        <f aca="false">IF(AB50=0,0,IF(AB49=AB50,AD49,T50))</f>
        <v>0</v>
      </c>
      <c r="AE50" s="30" t="n">
        <f aca="false">AB50-AB49</f>
        <v>0</v>
      </c>
      <c r="AF50" s="30" t="n">
        <f aca="false">-AD50*AB50</f>
        <v>-0</v>
      </c>
      <c r="AG50" s="30" t="n">
        <f aca="false">AF50-AF49</f>
        <v>0</v>
      </c>
      <c r="AH50" s="30" t="n">
        <f aca="false">MAX(AE50,0)*(Inputs!$B$17+Inputs!$B$18+Inputs!$B$19)+MAX(-AE50,0)*(O50+Inputs!$B$18+Inputs!$B$19)+IF(AND(K50=1,AB50&lt;&gt;0),(Inputs!$B$17+Inputs!$B$18+Inputs!$B$19)+(O50+Inputs!$B$18+Inputs!$B$19),0)+MAX(AG50,0)*(Inputs!$B$20+Inputs!$B$22+Inputs!$B$23)+MAX(-AG50,0)*(Inputs!$B$21+Inputs!$B$22+Inputs!$B$23)</f>
        <v>0</v>
      </c>
      <c r="AI50" s="30" t="n">
        <f aca="false">AB49*(M50-AD49*J50)+AB49*AD49*N50/Inputs!$B$16-AH50</f>
        <v>0</v>
      </c>
      <c r="AJ50" s="30" t="n">
        <f aca="false">MAX(AE50,0)*(Inputs!$B$17+Inputs!$B$24+Inputs!$B$25)+MAX(-AE50,0)*(O50+Inputs!$B$24+Inputs!$B$25)+IF(AND(K50=1,AB50&lt;&gt;0),(Inputs!$B$17+Inputs!$B$24+Inputs!$B$25)+(O50+Inputs!$B$24+Inputs!$B$25),0)+MAX(AG50,0)*(Inputs!$B$20+Inputs!$B$26+Inputs!$B$27)+MAX(-AG50,0)*(Inputs!$B$21+Inputs!$B$26+Inputs!$B$27)</f>
        <v>0</v>
      </c>
      <c r="AK50" s="30" t="n">
        <f aca="false">AB49*(M50-AD49*J50)+AB49*AD49*(N50+Inputs!$B$14)/Inputs!$B$16-AJ50</f>
        <v>0</v>
      </c>
      <c r="AL50" s="30" t="n">
        <f aca="false">IF(AP49&lt;&gt;0,AQ49+1,0)</f>
        <v>0</v>
      </c>
      <c r="AM50" s="30" t="n">
        <f aca="false">IF(W50="",0,IF(AND(AP49&lt;&gt;0,OR(ABS(W50)&gt;Inputs!$B$7,AL50&gt;=Inputs!$B$8,ABS(W50)&lt;Inputs!$B$6)),1,0))</f>
        <v>0</v>
      </c>
      <c r="AN50" s="30" t="n">
        <f aca="false">IF(AM50=1,0,AP49)</f>
        <v>0</v>
      </c>
      <c r="AO50" s="30" t="n">
        <f aca="false">IF(W50="",0,IF(AND(AN50=0,ABS(W50)&gt;Inputs!$B$5,ABS(W50)&lt;=Inputs!$B$7,W50&gt;0),1,0))</f>
        <v>0</v>
      </c>
      <c r="AP50" s="30" t="n">
        <f aca="false">IF(W50="",0,IF(AO50=1,-SIGN(W50),AN50))</f>
        <v>0</v>
      </c>
      <c r="AQ50" s="30" t="n">
        <f aca="false">IF(W50="",0,IF(AO50=1,0,IF(AM50=1,0,AL50)))</f>
        <v>0</v>
      </c>
      <c r="AR50" s="30" t="n">
        <f aca="false">IF(AP50=0,0,IF(AP49=AP50,AR49,T50))</f>
        <v>0</v>
      </c>
      <c r="AS50" s="30" t="n">
        <f aca="false">AP50-AP49</f>
        <v>0</v>
      </c>
      <c r="AT50" s="30" t="n">
        <f aca="false">-AR50*AP50</f>
        <v>-0</v>
      </c>
      <c r="AU50" s="30" t="n">
        <f aca="false">AT50-AT49</f>
        <v>0</v>
      </c>
      <c r="AV50" s="30" t="n">
        <f aca="false">MAX(AS50,0)*(Inputs!$B$17+Inputs!$B$18+Inputs!$B$19)+MAX(-AS50,0)*(O50+Inputs!$B$18+Inputs!$B$19)+IF(AND(K50=1,AP50&lt;&gt;0),(Inputs!$B$17+Inputs!$B$18+Inputs!$B$19)+(O50+Inputs!$B$18+Inputs!$B$19),0)+MAX(AU50,0)*(Inputs!$B$20+Inputs!$B$22+Inputs!$B$23)+MAX(-AU50,0)*(Inputs!$B$21+Inputs!$B$22+Inputs!$B$23)</f>
        <v>0</v>
      </c>
      <c r="AW50" s="30" t="n">
        <f aca="false">AP49*(M50-AR49*J50)+AP49*AR49*N50/Inputs!$B$16-AV50</f>
        <v>0</v>
      </c>
      <c r="AX50" s="30" t="n">
        <f aca="false">AW50-IF(AP49&lt;&gt;0,0.75*AR49*(Inputs!$B$13-N50)/Inputs!$B$16,0)</f>
        <v>0</v>
      </c>
      <c r="AY50" s="30" t="n">
        <f aca="false">MAX(AS50,0)*(Inputs!$B$17+Inputs!$B$18+Inputs!$B$19)+MAX(-AS50,0)*(O50+Inputs!$B$18+Inputs!$B$19)+IF(AND(K50=1,AP50&lt;&gt;0),(Inputs!$B$17+Inputs!$B$18+Inputs!$B$19)+(O50+Inputs!$B$18+Inputs!$B$19),0)</f>
        <v>0</v>
      </c>
      <c r="AZ50" s="30" t="n">
        <f aca="false">AP49*M50-AY50</f>
        <v>0</v>
      </c>
      <c r="BA50" s="30" t="n">
        <f aca="false">BA49+AI50</f>
        <v>0</v>
      </c>
      <c r="BB50" s="30" t="n">
        <f aca="false">MAX(BB49,BA50)</f>
        <v>0</v>
      </c>
      <c r="BC50" s="30" t="n">
        <f aca="false">BA50-BB50</f>
        <v>0</v>
      </c>
      <c r="BD50" s="30" t="n">
        <f aca="false">A51-A50</f>
        <v>1</v>
      </c>
    </row>
    <row r="51" customFormat="false" ht="15" hidden="false" customHeight="false" outlineLevel="0" collapsed="false">
      <c r="A51" s="28" t="n">
        <v>45113</v>
      </c>
      <c r="B51" s="0" t="n">
        <v>19538</v>
      </c>
      <c r="C51" s="0" t="n">
        <v>213.9</v>
      </c>
      <c r="D51" s="29" t="n">
        <f aca="false">LN(B51)</f>
        <v>9.88011656621289</v>
      </c>
      <c r="E51" s="29" t="n">
        <f aca="false">LN(C51)</f>
        <v>5.36550861608836</v>
      </c>
      <c r="F51" s="0" t="n">
        <v>46</v>
      </c>
      <c r="G51" s="0" t="n">
        <v>21</v>
      </c>
      <c r="H51" s="29" t="n">
        <f aca="false">D51-E51</f>
        <v>4.51460795012453</v>
      </c>
      <c r="I51" s="29" t="n">
        <f aca="false">D51-D50</f>
        <v>0.00307052970759081</v>
      </c>
      <c r="J51" s="29" t="n">
        <f aca="false">E51-E50</f>
        <v>0.00412255807334017</v>
      </c>
      <c r="K51" s="0" t="n">
        <v>0</v>
      </c>
      <c r="L51" s="0" t="n">
        <v>0</v>
      </c>
      <c r="M51" s="29" t="n">
        <f aca="false">IF(L51=1,J51-Carry!$B$9/Inputs!$B$16,I51)</f>
        <v>0.00307052970759081</v>
      </c>
      <c r="N51" s="0" t="n">
        <v>0.065</v>
      </c>
      <c r="O51" s="0" t="n">
        <v>0.000125</v>
      </c>
      <c r="P51" s="29" t="n">
        <f aca="false">D51-('2 Hedge ratio'!$B$6+'2 Hedge ratio'!$B$5*E51)</f>
        <v>0.00281046469731194</v>
      </c>
      <c r="Q51" s="29" t="n">
        <f aca="false">D51-('5 Re-specification'!$B$7+'5 Re-specification'!$B$5*E51+'5 Re-specification'!$B$6*F51)</f>
        <v>0.00173385178383967</v>
      </c>
      <c r="R51" s="30" t="n">
        <f aca="false">MIN(F51,Inputs!$B$9)</f>
        <v>46</v>
      </c>
      <c r="S51" s="29" t="str">
        <f aca="true">IF(AND(F51&gt;=1,R51&gt;=Inputs!$B$10),INDEX(LINEST(OFFSET(D51,-R51,0,R51,1),OFFSET(E51,-R51,0,R51,2)),1,1),"")</f>
        <v/>
      </c>
      <c r="T51" s="29" t="str">
        <f aca="true">IF(AND(F51&gt;=1,R51&gt;=Inputs!$B$10),INDEX(LINEST(OFFSET(D51,-R51,0,R51,1),OFFSET(E51,-R51,0,R51,2)),1,2),"")</f>
        <v/>
      </c>
      <c r="U51" s="29" t="str">
        <f aca="true">IF(AND(F51&gt;=1,R51&gt;=Inputs!$B$10),INDEX(LINEST(OFFSET(D51,-R51,0,R51,1),OFFSET(E51,-R51,0,R51,2)),1,3),"")</f>
        <v/>
      </c>
      <c r="V51" s="29" t="str">
        <f aca="true">IF(AND(F51&gt;=1,R51&gt;=Inputs!$B$10),SQRT(SUMPRODUCT((OFFSET(D51,-R51,0,R51,1)-U51-T51*OFFSET(E51,-R51,0,R51,1)-S51*OFFSET(F51,-R51,0,R51,1))^2)/(R51-3)),"")</f>
        <v/>
      </c>
      <c r="W51" s="31" t="str">
        <f aca="false">IF(AND(F51&gt;=1,R51&gt;=Inputs!$B$10),(D51-U51-T51*E51-S51*F51)/V51,"")</f>
        <v/>
      </c>
      <c r="X51" s="30" t="n">
        <f aca="false">IF(AB50&lt;&gt;0,AC50+1,0)</f>
        <v>0</v>
      </c>
      <c r="Y51" s="30" t="n">
        <f aca="false">IF(W51="",0,IF(AND(AB50&lt;&gt;0,OR(ABS(W51)&gt;Inputs!$B$7,X51&gt;=Inputs!$B$8,ABS(W51)&lt;Inputs!$B$6)),1,0))</f>
        <v>0</v>
      </c>
      <c r="Z51" s="30" t="n">
        <f aca="false">IF(Y51=1,0,AB50)</f>
        <v>0</v>
      </c>
      <c r="AA51" s="30" t="n">
        <f aca="false">IF(W51="",0,IF(AND(Z51=0,ABS(W51)&gt;Inputs!$B$5,ABS(W51)&lt;=Inputs!$B$7),1,0))</f>
        <v>0</v>
      </c>
      <c r="AB51" s="30" t="n">
        <f aca="false">IF(W51="",0,IF(AA51=1,-SIGN(W51),Z51))</f>
        <v>0</v>
      </c>
      <c r="AC51" s="30" t="n">
        <f aca="false">IF(W51="",0,IF(AA51=1,0,IF(Y51=1,0,X51)))</f>
        <v>0</v>
      </c>
      <c r="AD51" s="30" t="n">
        <f aca="false">IF(AB51=0,0,IF(AB50=AB51,AD50,T51))</f>
        <v>0</v>
      </c>
      <c r="AE51" s="30" t="n">
        <f aca="false">AB51-AB50</f>
        <v>0</v>
      </c>
      <c r="AF51" s="30" t="n">
        <f aca="false">-AD51*AB51</f>
        <v>-0</v>
      </c>
      <c r="AG51" s="30" t="n">
        <f aca="false">AF51-AF50</f>
        <v>0</v>
      </c>
      <c r="AH51" s="30" t="n">
        <f aca="false">MAX(AE51,0)*(Inputs!$B$17+Inputs!$B$18+Inputs!$B$19)+MAX(-AE51,0)*(O51+Inputs!$B$18+Inputs!$B$19)+IF(AND(K51=1,AB51&lt;&gt;0),(Inputs!$B$17+Inputs!$B$18+Inputs!$B$19)+(O51+Inputs!$B$18+Inputs!$B$19),0)+MAX(AG51,0)*(Inputs!$B$20+Inputs!$B$22+Inputs!$B$23)+MAX(-AG51,0)*(Inputs!$B$21+Inputs!$B$22+Inputs!$B$23)</f>
        <v>0</v>
      </c>
      <c r="AI51" s="30" t="n">
        <f aca="false">AB50*(M51-AD50*J51)+AB50*AD50*N51/Inputs!$B$16-AH51</f>
        <v>0</v>
      </c>
      <c r="AJ51" s="30" t="n">
        <f aca="false">MAX(AE51,0)*(Inputs!$B$17+Inputs!$B$24+Inputs!$B$25)+MAX(-AE51,0)*(O51+Inputs!$B$24+Inputs!$B$25)+IF(AND(K51=1,AB51&lt;&gt;0),(Inputs!$B$17+Inputs!$B$24+Inputs!$B$25)+(O51+Inputs!$B$24+Inputs!$B$25),0)+MAX(AG51,0)*(Inputs!$B$20+Inputs!$B$26+Inputs!$B$27)+MAX(-AG51,0)*(Inputs!$B$21+Inputs!$B$26+Inputs!$B$27)</f>
        <v>0</v>
      </c>
      <c r="AK51" s="30" t="n">
        <f aca="false">AB50*(M51-AD50*J51)+AB50*AD50*(N51+Inputs!$B$14)/Inputs!$B$16-AJ51</f>
        <v>0</v>
      </c>
      <c r="AL51" s="30" t="n">
        <f aca="false">IF(AP50&lt;&gt;0,AQ50+1,0)</f>
        <v>0</v>
      </c>
      <c r="AM51" s="30" t="n">
        <f aca="false">IF(W51="",0,IF(AND(AP50&lt;&gt;0,OR(ABS(W51)&gt;Inputs!$B$7,AL51&gt;=Inputs!$B$8,ABS(W51)&lt;Inputs!$B$6)),1,0))</f>
        <v>0</v>
      </c>
      <c r="AN51" s="30" t="n">
        <f aca="false">IF(AM51=1,0,AP50)</f>
        <v>0</v>
      </c>
      <c r="AO51" s="30" t="n">
        <f aca="false">IF(W51="",0,IF(AND(AN51=0,ABS(W51)&gt;Inputs!$B$5,ABS(W51)&lt;=Inputs!$B$7,W51&gt;0),1,0))</f>
        <v>0</v>
      </c>
      <c r="AP51" s="30" t="n">
        <f aca="false">IF(W51="",0,IF(AO51=1,-SIGN(W51),AN51))</f>
        <v>0</v>
      </c>
      <c r="AQ51" s="30" t="n">
        <f aca="false">IF(W51="",0,IF(AO51=1,0,IF(AM51=1,0,AL51)))</f>
        <v>0</v>
      </c>
      <c r="AR51" s="30" t="n">
        <f aca="false">IF(AP51=0,0,IF(AP50=AP51,AR50,T51))</f>
        <v>0</v>
      </c>
      <c r="AS51" s="30" t="n">
        <f aca="false">AP51-AP50</f>
        <v>0</v>
      </c>
      <c r="AT51" s="30" t="n">
        <f aca="false">-AR51*AP51</f>
        <v>-0</v>
      </c>
      <c r="AU51" s="30" t="n">
        <f aca="false">AT51-AT50</f>
        <v>0</v>
      </c>
      <c r="AV51" s="30" t="n">
        <f aca="false">MAX(AS51,0)*(Inputs!$B$17+Inputs!$B$18+Inputs!$B$19)+MAX(-AS51,0)*(O51+Inputs!$B$18+Inputs!$B$19)+IF(AND(K51=1,AP51&lt;&gt;0),(Inputs!$B$17+Inputs!$B$18+Inputs!$B$19)+(O51+Inputs!$B$18+Inputs!$B$19),0)+MAX(AU51,0)*(Inputs!$B$20+Inputs!$B$22+Inputs!$B$23)+MAX(-AU51,0)*(Inputs!$B$21+Inputs!$B$22+Inputs!$B$23)</f>
        <v>0</v>
      </c>
      <c r="AW51" s="30" t="n">
        <f aca="false">AP50*(M51-AR50*J51)+AP50*AR50*N51/Inputs!$B$16-AV51</f>
        <v>0</v>
      </c>
      <c r="AX51" s="30" t="n">
        <f aca="false">AW51-IF(AP50&lt;&gt;0,0.75*AR50*(Inputs!$B$13-N51)/Inputs!$B$16,0)</f>
        <v>0</v>
      </c>
      <c r="AY51" s="30" t="n">
        <f aca="false">MAX(AS51,0)*(Inputs!$B$17+Inputs!$B$18+Inputs!$B$19)+MAX(-AS51,0)*(O51+Inputs!$B$18+Inputs!$B$19)+IF(AND(K51=1,AP51&lt;&gt;0),(Inputs!$B$17+Inputs!$B$18+Inputs!$B$19)+(O51+Inputs!$B$18+Inputs!$B$19),0)</f>
        <v>0</v>
      </c>
      <c r="AZ51" s="30" t="n">
        <f aca="false">AP50*M51-AY51</f>
        <v>0</v>
      </c>
      <c r="BA51" s="30" t="n">
        <f aca="false">BA50+AI51</f>
        <v>0</v>
      </c>
      <c r="BB51" s="30" t="n">
        <f aca="false">MAX(BB50,BA51)</f>
        <v>0</v>
      </c>
      <c r="BC51" s="30" t="n">
        <f aca="false">BA51-BB51</f>
        <v>0</v>
      </c>
      <c r="BD51" s="30" t="n">
        <f aca="false">A52-A51</f>
        <v>1</v>
      </c>
    </row>
    <row r="52" customFormat="false" ht="15" hidden="false" customHeight="false" outlineLevel="0" collapsed="false">
      <c r="A52" s="28" t="n">
        <v>45114</v>
      </c>
      <c r="B52" s="0" t="n">
        <v>19392</v>
      </c>
      <c r="C52" s="0" t="n">
        <v>212.95</v>
      </c>
      <c r="D52" s="29" t="n">
        <f aca="false">LN(B52)</f>
        <v>9.87261588886904</v>
      </c>
      <c r="E52" s="29" t="n">
        <f aca="false">LN(C52)</f>
        <v>5.36105739636922</v>
      </c>
      <c r="F52" s="0" t="n">
        <v>47</v>
      </c>
      <c r="G52" s="0" t="n">
        <v>20</v>
      </c>
      <c r="H52" s="29" t="n">
        <f aca="false">D52-E52</f>
        <v>4.51155849249982</v>
      </c>
      <c r="I52" s="29" t="n">
        <f aca="false">D52-D51</f>
        <v>-0.00750067734384707</v>
      </c>
      <c r="J52" s="29" t="n">
        <f aca="false">E52-E51</f>
        <v>-0.00445121971913753</v>
      </c>
      <c r="K52" s="0" t="n">
        <v>0</v>
      </c>
      <c r="L52" s="0" t="n">
        <v>0</v>
      </c>
      <c r="M52" s="29" t="n">
        <f aca="false">IF(L52=1,J52-Carry!$B$9/Inputs!$B$16,I52)</f>
        <v>-0.00750067734384707</v>
      </c>
      <c r="N52" s="0" t="n">
        <v>0.065</v>
      </c>
      <c r="O52" s="0" t="n">
        <v>0.000125</v>
      </c>
      <c r="P52" s="29" t="n">
        <f aca="false">D52-('2 Hedge ratio'!$B$6+'2 Hedge ratio'!$B$5*E52)</f>
        <v>-0.000612331150547263</v>
      </c>
      <c r="Q52" s="29" t="n">
        <f aca="false">D52-('5 Re-specification'!$B$7+'5 Re-specification'!$B$5*E52+'5 Re-specification'!$B$6*F52)</f>
        <v>-0.00128416594422731</v>
      </c>
      <c r="R52" s="30" t="n">
        <f aca="false">MIN(F52,Inputs!$B$9)</f>
        <v>47</v>
      </c>
      <c r="S52" s="29" t="str">
        <f aca="true">IF(AND(F52&gt;=1,R52&gt;=Inputs!$B$10),INDEX(LINEST(OFFSET(D52,-R52,0,R52,1),OFFSET(E52,-R52,0,R52,2)),1,1),"")</f>
        <v/>
      </c>
      <c r="T52" s="29" t="str">
        <f aca="true">IF(AND(F52&gt;=1,R52&gt;=Inputs!$B$10),INDEX(LINEST(OFFSET(D52,-R52,0,R52,1),OFFSET(E52,-R52,0,R52,2)),1,2),"")</f>
        <v/>
      </c>
      <c r="U52" s="29" t="str">
        <f aca="true">IF(AND(F52&gt;=1,R52&gt;=Inputs!$B$10),INDEX(LINEST(OFFSET(D52,-R52,0,R52,1),OFFSET(E52,-R52,0,R52,2)),1,3),"")</f>
        <v/>
      </c>
      <c r="V52" s="29" t="str">
        <f aca="true">IF(AND(F52&gt;=1,R52&gt;=Inputs!$B$10),SQRT(SUMPRODUCT((OFFSET(D52,-R52,0,R52,1)-U52-T52*OFFSET(E52,-R52,0,R52,1)-S52*OFFSET(F52,-R52,0,R52,1))^2)/(R52-3)),"")</f>
        <v/>
      </c>
      <c r="W52" s="31" t="str">
        <f aca="false">IF(AND(F52&gt;=1,R52&gt;=Inputs!$B$10),(D52-U52-T52*E52-S52*F52)/V52,"")</f>
        <v/>
      </c>
      <c r="X52" s="30" t="n">
        <f aca="false">IF(AB51&lt;&gt;0,AC51+1,0)</f>
        <v>0</v>
      </c>
      <c r="Y52" s="30" t="n">
        <f aca="false">IF(W52="",0,IF(AND(AB51&lt;&gt;0,OR(ABS(W52)&gt;Inputs!$B$7,X52&gt;=Inputs!$B$8,ABS(W52)&lt;Inputs!$B$6)),1,0))</f>
        <v>0</v>
      </c>
      <c r="Z52" s="30" t="n">
        <f aca="false">IF(Y52=1,0,AB51)</f>
        <v>0</v>
      </c>
      <c r="AA52" s="30" t="n">
        <f aca="false">IF(W52="",0,IF(AND(Z52=0,ABS(W52)&gt;Inputs!$B$5,ABS(W52)&lt;=Inputs!$B$7),1,0))</f>
        <v>0</v>
      </c>
      <c r="AB52" s="30" t="n">
        <f aca="false">IF(W52="",0,IF(AA52=1,-SIGN(W52),Z52))</f>
        <v>0</v>
      </c>
      <c r="AC52" s="30" t="n">
        <f aca="false">IF(W52="",0,IF(AA52=1,0,IF(Y52=1,0,X52)))</f>
        <v>0</v>
      </c>
      <c r="AD52" s="30" t="n">
        <f aca="false">IF(AB52=0,0,IF(AB51=AB52,AD51,T52))</f>
        <v>0</v>
      </c>
      <c r="AE52" s="30" t="n">
        <f aca="false">AB52-AB51</f>
        <v>0</v>
      </c>
      <c r="AF52" s="30" t="n">
        <f aca="false">-AD52*AB52</f>
        <v>-0</v>
      </c>
      <c r="AG52" s="30" t="n">
        <f aca="false">AF52-AF51</f>
        <v>0</v>
      </c>
      <c r="AH52" s="30" t="n">
        <f aca="false">MAX(AE52,0)*(Inputs!$B$17+Inputs!$B$18+Inputs!$B$19)+MAX(-AE52,0)*(O52+Inputs!$B$18+Inputs!$B$19)+IF(AND(K52=1,AB52&lt;&gt;0),(Inputs!$B$17+Inputs!$B$18+Inputs!$B$19)+(O52+Inputs!$B$18+Inputs!$B$19),0)+MAX(AG52,0)*(Inputs!$B$20+Inputs!$B$22+Inputs!$B$23)+MAX(-AG52,0)*(Inputs!$B$21+Inputs!$B$22+Inputs!$B$23)</f>
        <v>0</v>
      </c>
      <c r="AI52" s="30" t="n">
        <f aca="false">AB51*(M52-AD51*J52)+AB51*AD51*N52/Inputs!$B$16-AH52</f>
        <v>0</v>
      </c>
      <c r="AJ52" s="30" t="n">
        <f aca="false">MAX(AE52,0)*(Inputs!$B$17+Inputs!$B$24+Inputs!$B$25)+MAX(-AE52,0)*(O52+Inputs!$B$24+Inputs!$B$25)+IF(AND(K52=1,AB52&lt;&gt;0),(Inputs!$B$17+Inputs!$B$24+Inputs!$B$25)+(O52+Inputs!$B$24+Inputs!$B$25),0)+MAX(AG52,0)*(Inputs!$B$20+Inputs!$B$26+Inputs!$B$27)+MAX(-AG52,0)*(Inputs!$B$21+Inputs!$B$26+Inputs!$B$27)</f>
        <v>0</v>
      </c>
      <c r="AK52" s="30" t="n">
        <f aca="false">AB51*(M52-AD51*J52)+AB51*AD51*(N52+Inputs!$B$14)/Inputs!$B$16-AJ52</f>
        <v>0</v>
      </c>
      <c r="AL52" s="30" t="n">
        <f aca="false">IF(AP51&lt;&gt;0,AQ51+1,0)</f>
        <v>0</v>
      </c>
      <c r="AM52" s="30" t="n">
        <f aca="false">IF(W52="",0,IF(AND(AP51&lt;&gt;0,OR(ABS(W52)&gt;Inputs!$B$7,AL52&gt;=Inputs!$B$8,ABS(W52)&lt;Inputs!$B$6)),1,0))</f>
        <v>0</v>
      </c>
      <c r="AN52" s="30" t="n">
        <f aca="false">IF(AM52=1,0,AP51)</f>
        <v>0</v>
      </c>
      <c r="AO52" s="30" t="n">
        <f aca="false">IF(W52="",0,IF(AND(AN52=0,ABS(W52)&gt;Inputs!$B$5,ABS(W52)&lt;=Inputs!$B$7,W52&gt;0),1,0))</f>
        <v>0</v>
      </c>
      <c r="AP52" s="30" t="n">
        <f aca="false">IF(W52="",0,IF(AO52=1,-SIGN(W52),AN52))</f>
        <v>0</v>
      </c>
      <c r="AQ52" s="30" t="n">
        <f aca="false">IF(W52="",0,IF(AO52=1,0,IF(AM52=1,0,AL52)))</f>
        <v>0</v>
      </c>
      <c r="AR52" s="30" t="n">
        <f aca="false">IF(AP52=0,0,IF(AP51=AP52,AR51,T52))</f>
        <v>0</v>
      </c>
      <c r="AS52" s="30" t="n">
        <f aca="false">AP52-AP51</f>
        <v>0</v>
      </c>
      <c r="AT52" s="30" t="n">
        <f aca="false">-AR52*AP52</f>
        <v>-0</v>
      </c>
      <c r="AU52" s="30" t="n">
        <f aca="false">AT52-AT51</f>
        <v>0</v>
      </c>
      <c r="AV52" s="30" t="n">
        <f aca="false">MAX(AS52,0)*(Inputs!$B$17+Inputs!$B$18+Inputs!$B$19)+MAX(-AS52,0)*(O52+Inputs!$B$18+Inputs!$B$19)+IF(AND(K52=1,AP52&lt;&gt;0),(Inputs!$B$17+Inputs!$B$18+Inputs!$B$19)+(O52+Inputs!$B$18+Inputs!$B$19),0)+MAX(AU52,0)*(Inputs!$B$20+Inputs!$B$22+Inputs!$B$23)+MAX(-AU52,0)*(Inputs!$B$21+Inputs!$B$22+Inputs!$B$23)</f>
        <v>0</v>
      </c>
      <c r="AW52" s="30" t="n">
        <f aca="false">AP51*(M52-AR51*J52)+AP51*AR51*N52/Inputs!$B$16-AV52</f>
        <v>0</v>
      </c>
      <c r="AX52" s="30" t="n">
        <f aca="false">AW52-IF(AP51&lt;&gt;0,0.75*AR51*(Inputs!$B$13-N52)/Inputs!$B$16,0)</f>
        <v>0</v>
      </c>
      <c r="AY52" s="30" t="n">
        <f aca="false">MAX(AS52,0)*(Inputs!$B$17+Inputs!$B$18+Inputs!$B$19)+MAX(-AS52,0)*(O52+Inputs!$B$18+Inputs!$B$19)+IF(AND(K52=1,AP52&lt;&gt;0),(Inputs!$B$17+Inputs!$B$18+Inputs!$B$19)+(O52+Inputs!$B$18+Inputs!$B$19),0)</f>
        <v>0</v>
      </c>
      <c r="AZ52" s="30" t="n">
        <f aca="false">AP51*M52-AY52</f>
        <v>-0</v>
      </c>
      <c r="BA52" s="30" t="n">
        <f aca="false">BA51+AI52</f>
        <v>0</v>
      </c>
      <c r="BB52" s="30" t="n">
        <f aca="false">MAX(BB51,BA52)</f>
        <v>0</v>
      </c>
      <c r="BC52" s="30" t="n">
        <f aca="false">BA52-BB52</f>
        <v>0</v>
      </c>
      <c r="BD52" s="30" t="n">
        <f aca="false">A53-A52</f>
        <v>3</v>
      </c>
    </row>
    <row r="53" customFormat="false" ht="15" hidden="false" customHeight="false" outlineLevel="0" collapsed="false">
      <c r="A53" s="28" t="n">
        <v>45117</v>
      </c>
      <c r="B53" s="0" t="n">
        <v>19426</v>
      </c>
      <c r="C53" s="0" t="n">
        <v>212.72</v>
      </c>
      <c r="D53" s="29" t="n">
        <f aca="false">LN(B53)</f>
        <v>9.87436765396228</v>
      </c>
      <c r="E53" s="29" t="n">
        <f aca="false">LN(C53)</f>
        <v>5.35997674693476</v>
      </c>
      <c r="F53" s="0" t="n">
        <v>48</v>
      </c>
      <c r="G53" s="0" t="n">
        <v>17</v>
      </c>
      <c r="H53" s="29" t="n">
        <f aca="false">D53-E53</f>
        <v>4.51439090702751</v>
      </c>
      <c r="I53" s="29" t="n">
        <f aca="false">D53-D52</f>
        <v>0.00175176509323549</v>
      </c>
      <c r="J53" s="29" t="n">
        <f aca="false">E53-E52</f>
        <v>-0.00108064943445818</v>
      </c>
      <c r="K53" s="0" t="n">
        <v>0</v>
      </c>
      <c r="L53" s="0" t="n">
        <v>0</v>
      </c>
      <c r="M53" s="29" t="n">
        <f aca="false">IF(L53=1,J53-Carry!$B$9/Inputs!$B$16,I53)</f>
        <v>0.00175176509323549</v>
      </c>
      <c r="N53" s="0" t="n">
        <v>0.065</v>
      </c>
      <c r="O53" s="0" t="n">
        <v>0.000125</v>
      </c>
      <c r="P53" s="29" t="n">
        <f aca="false">D53-('2 Hedge ratio'!$B$6+'2 Hedge ratio'!$B$5*E53)</f>
        <v>0.0021294458069594</v>
      </c>
      <c r="Q53" s="29" t="n">
        <f aca="false">D53-('5 Re-specification'!$B$7+'5 Re-specification'!$B$5*E53+'5 Re-specification'!$B$6*F53)</f>
        <v>0.00158990299342854</v>
      </c>
      <c r="R53" s="30" t="n">
        <f aca="false">MIN(F53,Inputs!$B$9)</f>
        <v>48</v>
      </c>
      <c r="S53" s="29" t="str">
        <f aca="true">IF(AND(F53&gt;=1,R53&gt;=Inputs!$B$10),INDEX(LINEST(OFFSET(D53,-R53,0,R53,1),OFFSET(E53,-R53,0,R53,2)),1,1),"")</f>
        <v/>
      </c>
      <c r="T53" s="29" t="str">
        <f aca="true">IF(AND(F53&gt;=1,R53&gt;=Inputs!$B$10),INDEX(LINEST(OFFSET(D53,-R53,0,R53,1),OFFSET(E53,-R53,0,R53,2)),1,2),"")</f>
        <v/>
      </c>
      <c r="U53" s="29" t="str">
        <f aca="true">IF(AND(F53&gt;=1,R53&gt;=Inputs!$B$10),INDEX(LINEST(OFFSET(D53,-R53,0,R53,1),OFFSET(E53,-R53,0,R53,2)),1,3),"")</f>
        <v/>
      </c>
      <c r="V53" s="29" t="str">
        <f aca="true">IF(AND(F53&gt;=1,R53&gt;=Inputs!$B$10),SQRT(SUMPRODUCT((OFFSET(D53,-R53,0,R53,1)-U53-T53*OFFSET(E53,-R53,0,R53,1)-S53*OFFSET(F53,-R53,0,R53,1))^2)/(R53-3)),"")</f>
        <v/>
      </c>
      <c r="W53" s="31" t="str">
        <f aca="false">IF(AND(F53&gt;=1,R53&gt;=Inputs!$B$10),(D53-U53-T53*E53-S53*F53)/V53,"")</f>
        <v/>
      </c>
      <c r="X53" s="30" t="n">
        <f aca="false">IF(AB52&lt;&gt;0,AC52+1,0)</f>
        <v>0</v>
      </c>
      <c r="Y53" s="30" t="n">
        <f aca="false">IF(W53="",0,IF(AND(AB52&lt;&gt;0,OR(ABS(W53)&gt;Inputs!$B$7,X53&gt;=Inputs!$B$8,ABS(W53)&lt;Inputs!$B$6)),1,0))</f>
        <v>0</v>
      </c>
      <c r="Z53" s="30" t="n">
        <f aca="false">IF(Y53=1,0,AB52)</f>
        <v>0</v>
      </c>
      <c r="AA53" s="30" t="n">
        <f aca="false">IF(W53="",0,IF(AND(Z53=0,ABS(W53)&gt;Inputs!$B$5,ABS(W53)&lt;=Inputs!$B$7),1,0))</f>
        <v>0</v>
      </c>
      <c r="AB53" s="30" t="n">
        <f aca="false">IF(W53="",0,IF(AA53=1,-SIGN(W53),Z53))</f>
        <v>0</v>
      </c>
      <c r="AC53" s="30" t="n">
        <f aca="false">IF(W53="",0,IF(AA53=1,0,IF(Y53=1,0,X53)))</f>
        <v>0</v>
      </c>
      <c r="AD53" s="30" t="n">
        <f aca="false">IF(AB53=0,0,IF(AB52=AB53,AD52,T53))</f>
        <v>0</v>
      </c>
      <c r="AE53" s="30" t="n">
        <f aca="false">AB53-AB52</f>
        <v>0</v>
      </c>
      <c r="AF53" s="30" t="n">
        <f aca="false">-AD53*AB53</f>
        <v>-0</v>
      </c>
      <c r="AG53" s="30" t="n">
        <f aca="false">AF53-AF52</f>
        <v>0</v>
      </c>
      <c r="AH53" s="30" t="n">
        <f aca="false">MAX(AE53,0)*(Inputs!$B$17+Inputs!$B$18+Inputs!$B$19)+MAX(-AE53,0)*(O53+Inputs!$B$18+Inputs!$B$19)+IF(AND(K53=1,AB53&lt;&gt;0),(Inputs!$B$17+Inputs!$B$18+Inputs!$B$19)+(O53+Inputs!$B$18+Inputs!$B$19),0)+MAX(AG53,0)*(Inputs!$B$20+Inputs!$B$22+Inputs!$B$23)+MAX(-AG53,0)*(Inputs!$B$21+Inputs!$B$22+Inputs!$B$23)</f>
        <v>0</v>
      </c>
      <c r="AI53" s="30" t="n">
        <f aca="false">AB52*(M53-AD52*J53)+AB52*AD52*N53/Inputs!$B$16-AH53</f>
        <v>0</v>
      </c>
      <c r="AJ53" s="30" t="n">
        <f aca="false">MAX(AE53,0)*(Inputs!$B$17+Inputs!$B$24+Inputs!$B$25)+MAX(-AE53,0)*(O53+Inputs!$B$24+Inputs!$B$25)+IF(AND(K53=1,AB53&lt;&gt;0),(Inputs!$B$17+Inputs!$B$24+Inputs!$B$25)+(O53+Inputs!$B$24+Inputs!$B$25),0)+MAX(AG53,0)*(Inputs!$B$20+Inputs!$B$26+Inputs!$B$27)+MAX(-AG53,0)*(Inputs!$B$21+Inputs!$B$26+Inputs!$B$27)</f>
        <v>0</v>
      </c>
      <c r="AK53" s="30" t="n">
        <f aca="false">AB52*(M53-AD52*J53)+AB52*AD52*(N53+Inputs!$B$14)/Inputs!$B$16-AJ53</f>
        <v>0</v>
      </c>
      <c r="AL53" s="30" t="n">
        <f aca="false">IF(AP52&lt;&gt;0,AQ52+1,0)</f>
        <v>0</v>
      </c>
      <c r="AM53" s="30" t="n">
        <f aca="false">IF(W53="",0,IF(AND(AP52&lt;&gt;0,OR(ABS(W53)&gt;Inputs!$B$7,AL53&gt;=Inputs!$B$8,ABS(W53)&lt;Inputs!$B$6)),1,0))</f>
        <v>0</v>
      </c>
      <c r="AN53" s="30" t="n">
        <f aca="false">IF(AM53=1,0,AP52)</f>
        <v>0</v>
      </c>
      <c r="AO53" s="30" t="n">
        <f aca="false">IF(W53="",0,IF(AND(AN53=0,ABS(W53)&gt;Inputs!$B$5,ABS(W53)&lt;=Inputs!$B$7,W53&gt;0),1,0))</f>
        <v>0</v>
      </c>
      <c r="AP53" s="30" t="n">
        <f aca="false">IF(W53="",0,IF(AO53=1,-SIGN(W53),AN53))</f>
        <v>0</v>
      </c>
      <c r="AQ53" s="30" t="n">
        <f aca="false">IF(W53="",0,IF(AO53=1,0,IF(AM53=1,0,AL53)))</f>
        <v>0</v>
      </c>
      <c r="AR53" s="30" t="n">
        <f aca="false">IF(AP53=0,0,IF(AP52=AP53,AR52,T53))</f>
        <v>0</v>
      </c>
      <c r="AS53" s="30" t="n">
        <f aca="false">AP53-AP52</f>
        <v>0</v>
      </c>
      <c r="AT53" s="30" t="n">
        <f aca="false">-AR53*AP53</f>
        <v>-0</v>
      </c>
      <c r="AU53" s="30" t="n">
        <f aca="false">AT53-AT52</f>
        <v>0</v>
      </c>
      <c r="AV53" s="30" t="n">
        <f aca="false">MAX(AS53,0)*(Inputs!$B$17+Inputs!$B$18+Inputs!$B$19)+MAX(-AS53,0)*(O53+Inputs!$B$18+Inputs!$B$19)+IF(AND(K53=1,AP53&lt;&gt;0),(Inputs!$B$17+Inputs!$B$18+Inputs!$B$19)+(O53+Inputs!$B$18+Inputs!$B$19),0)+MAX(AU53,0)*(Inputs!$B$20+Inputs!$B$22+Inputs!$B$23)+MAX(-AU53,0)*(Inputs!$B$21+Inputs!$B$22+Inputs!$B$23)</f>
        <v>0</v>
      </c>
      <c r="AW53" s="30" t="n">
        <f aca="false">AP52*(M53-AR52*J53)+AP52*AR52*N53/Inputs!$B$16-AV53</f>
        <v>0</v>
      </c>
      <c r="AX53" s="30" t="n">
        <f aca="false">AW53-IF(AP52&lt;&gt;0,0.75*AR52*(Inputs!$B$13-N53)/Inputs!$B$16,0)</f>
        <v>0</v>
      </c>
      <c r="AY53" s="30" t="n">
        <f aca="false">MAX(AS53,0)*(Inputs!$B$17+Inputs!$B$18+Inputs!$B$19)+MAX(-AS53,0)*(O53+Inputs!$B$18+Inputs!$B$19)+IF(AND(K53=1,AP53&lt;&gt;0),(Inputs!$B$17+Inputs!$B$18+Inputs!$B$19)+(O53+Inputs!$B$18+Inputs!$B$19),0)</f>
        <v>0</v>
      </c>
      <c r="AZ53" s="30" t="n">
        <f aca="false">AP52*M53-AY53</f>
        <v>0</v>
      </c>
      <c r="BA53" s="30" t="n">
        <f aca="false">BA52+AI53</f>
        <v>0</v>
      </c>
      <c r="BB53" s="30" t="n">
        <f aca="false">MAX(BB52,BA53)</f>
        <v>0</v>
      </c>
      <c r="BC53" s="30" t="n">
        <f aca="false">BA53-BB53</f>
        <v>0</v>
      </c>
      <c r="BD53" s="30" t="n">
        <f aca="false">A54-A53</f>
        <v>1</v>
      </c>
    </row>
    <row r="54" customFormat="false" ht="15" hidden="false" customHeight="false" outlineLevel="0" collapsed="false">
      <c r="A54" s="28" t="n">
        <v>45118</v>
      </c>
      <c r="B54" s="0" t="n">
        <v>19516</v>
      </c>
      <c r="C54" s="0" t="n">
        <v>213.64</v>
      </c>
      <c r="D54" s="29" t="n">
        <f aca="false">LN(B54)</f>
        <v>9.87898992093573</v>
      </c>
      <c r="E54" s="29" t="n">
        <f aca="false">LN(C54)</f>
        <v>5.36429235547157</v>
      </c>
      <c r="F54" s="0" t="n">
        <v>49</v>
      </c>
      <c r="G54" s="0" t="n">
        <v>16</v>
      </c>
      <c r="H54" s="29" t="n">
        <f aca="false">D54-E54</f>
        <v>4.51469756546416</v>
      </c>
      <c r="I54" s="29" t="n">
        <f aca="false">D54-D53</f>
        <v>0.00462226697345258</v>
      </c>
      <c r="J54" s="29" t="n">
        <f aca="false">E54-E53</f>
        <v>0.00431560853680502</v>
      </c>
      <c r="K54" s="0" t="n">
        <v>0</v>
      </c>
      <c r="L54" s="0" t="n">
        <v>0</v>
      </c>
      <c r="M54" s="29" t="n">
        <f aca="false">IF(L54=1,J54-Carry!$B$9/Inputs!$B$16,I54)</f>
        <v>0.00462226697345258</v>
      </c>
      <c r="N54" s="0" t="n">
        <v>0.065</v>
      </c>
      <c r="O54" s="0" t="n">
        <v>0.000125</v>
      </c>
      <c r="P54" s="29" t="n">
        <f aca="false">D54-('2 Hedge ratio'!$B$6+'2 Hedge ratio'!$B$5*E54)</f>
        <v>0.00279806831741247</v>
      </c>
      <c r="Q54" s="29" t="n">
        <f aca="false">D54-('5 Re-specification'!$B$7+'5 Re-specification'!$B$5*E54+'5 Re-specification'!$B$6*F54)</f>
        <v>0.00195456919993475</v>
      </c>
      <c r="R54" s="30" t="n">
        <f aca="false">MIN(F54,Inputs!$B$9)</f>
        <v>49</v>
      </c>
      <c r="S54" s="29" t="str">
        <f aca="true">IF(AND(F54&gt;=1,R54&gt;=Inputs!$B$10),INDEX(LINEST(OFFSET(D54,-R54,0,R54,1),OFFSET(E54,-R54,0,R54,2)),1,1),"")</f>
        <v/>
      </c>
      <c r="T54" s="29" t="str">
        <f aca="true">IF(AND(F54&gt;=1,R54&gt;=Inputs!$B$10),INDEX(LINEST(OFFSET(D54,-R54,0,R54,1),OFFSET(E54,-R54,0,R54,2)),1,2),"")</f>
        <v/>
      </c>
      <c r="U54" s="29" t="str">
        <f aca="true">IF(AND(F54&gt;=1,R54&gt;=Inputs!$B$10),INDEX(LINEST(OFFSET(D54,-R54,0,R54,1),OFFSET(E54,-R54,0,R54,2)),1,3),"")</f>
        <v/>
      </c>
      <c r="V54" s="29" t="str">
        <f aca="true">IF(AND(F54&gt;=1,R54&gt;=Inputs!$B$10),SQRT(SUMPRODUCT((OFFSET(D54,-R54,0,R54,1)-U54-T54*OFFSET(E54,-R54,0,R54,1)-S54*OFFSET(F54,-R54,0,R54,1))^2)/(R54-3)),"")</f>
        <v/>
      </c>
      <c r="W54" s="31" t="str">
        <f aca="false">IF(AND(F54&gt;=1,R54&gt;=Inputs!$B$10),(D54-U54-T54*E54-S54*F54)/V54,"")</f>
        <v/>
      </c>
      <c r="X54" s="30" t="n">
        <f aca="false">IF(AB53&lt;&gt;0,AC53+1,0)</f>
        <v>0</v>
      </c>
      <c r="Y54" s="30" t="n">
        <f aca="false">IF(W54="",0,IF(AND(AB53&lt;&gt;0,OR(ABS(W54)&gt;Inputs!$B$7,X54&gt;=Inputs!$B$8,ABS(W54)&lt;Inputs!$B$6)),1,0))</f>
        <v>0</v>
      </c>
      <c r="Z54" s="30" t="n">
        <f aca="false">IF(Y54=1,0,AB53)</f>
        <v>0</v>
      </c>
      <c r="AA54" s="30" t="n">
        <f aca="false">IF(W54="",0,IF(AND(Z54=0,ABS(W54)&gt;Inputs!$B$5,ABS(W54)&lt;=Inputs!$B$7),1,0))</f>
        <v>0</v>
      </c>
      <c r="AB54" s="30" t="n">
        <f aca="false">IF(W54="",0,IF(AA54=1,-SIGN(W54),Z54))</f>
        <v>0</v>
      </c>
      <c r="AC54" s="30" t="n">
        <f aca="false">IF(W54="",0,IF(AA54=1,0,IF(Y54=1,0,X54)))</f>
        <v>0</v>
      </c>
      <c r="AD54" s="30" t="n">
        <f aca="false">IF(AB54=0,0,IF(AB53=AB54,AD53,T54))</f>
        <v>0</v>
      </c>
      <c r="AE54" s="30" t="n">
        <f aca="false">AB54-AB53</f>
        <v>0</v>
      </c>
      <c r="AF54" s="30" t="n">
        <f aca="false">-AD54*AB54</f>
        <v>-0</v>
      </c>
      <c r="AG54" s="30" t="n">
        <f aca="false">AF54-AF53</f>
        <v>0</v>
      </c>
      <c r="AH54" s="30" t="n">
        <f aca="false">MAX(AE54,0)*(Inputs!$B$17+Inputs!$B$18+Inputs!$B$19)+MAX(-AE54,0)*(O54+Inputs!$B$18+Inputs!$B$19)+IF(AND(K54=1,AB54&lt;&gt;0),(Inputs!$B$17+Inputs!$B$18+Inputs!$B$19)+(O54+Inputs!$B$18+Inputs!$B$19),0)+MAX(AG54,0)*(Inputs!$B$20+Inputs!$B$22+Inputs!$B$23)+MAX(-AG54,0)*(Inputs!$B$21+Inputs!$B$22+Inputs!$B$23)</f>
        <v>0</v>
      </c>
      <c r="AI54" s="30" t="n">
        <f aca="false">AB53*(M54-AD53*J54)+AB53*AD53*N54/Inputs!$B$16-AH54</f>
        <v>0</v>
      </c>
      <c r="AJ54" s="30" t="n">
        <f aca="false">MAX(AE54,0)*(Inputs!$B$17+Inputs!$B$24+Inputs!$B$25)+MAX(-AE54,0)*(O54+Inputs!$B$24+Inputs!$B$25)+IF(AND(K54=1,AB54&lt;&gt;0),(Inputs!$B$17+Inputs!$B$24+Inputs!$B$25)+(O54+Inputs!$B$24+Inputs!$B$25),0)+MAX(AG54,0)*(Inputs!$B$20+Inputs!$B$26+Inputs!$B$27)+MAX(-AG54,0)*(Inputs!$B$21+Inputs!$B$26+Inputs!$B$27)</f>
        <v>0</v>
      </c>
      <c r="AK54" s="30" t="n">
        <f aca="false">AB53*(M54-AD53*J54)+AB53*AD53*(N54+Inputs!$B$14)/Inputs!$B$16-AJ54</f>
        <v>0</v>
      </c>
      <c r="AL54" s="30" t="n">
        <f aca="false">IF(AP53&lt;&gt;0,AQ53+1,0)</f>
        <v>0</v>
      </c>
      <c r="AM54" s="30" t="n">
        <f aca="false">IF(W54="",0,IF(AND(AP53&lt;&gt;0,OR(ABS(W54)&gt;Inputs!$B$7,AL54&gt;=Inputs!$B$8,ABS(W54)&lt;Inputs!$B$6)),1,0))</f>
        <v>0</v>
      </c>
      <c r="AN54" s="30" t="n">
        <f aca="false">IF(AM54=1,0,AP53)</f>
        <v>0</v>
      </c>
      <c r="AO54" s="30" t="n">
        <f aca="false">IF(W54="",0,IF(AND(AN54=0,ABS(W54)&gt;Inputs!$B$5,ABS(W54)&lt;=Inputs!$B$7,W54&gt;0),1,0))</f>
        <v>0</v>
      </c>
      <c r="AP54" s="30" t="n">
        <f aca="false">IF(W54="",0,IF(AO54=1,-SIGN(W54),AN54))</f>
        <v>0</v>
      </c>
      <c r="AQ54" s="30" t="n">
        <f aca="false">IF(W54="",0,IF(AO54=1,0,IF(AM54=1,0,AL54)))</f>
        <v>0</v>
      </c>
      <c r="AR54" s="30" t="n">
        <f aca="false">IF(AP54=0,0,IF(AP53=AP54,AR53,T54))</f>
        <v>0</v>
      </c>
      <c r="AS54" s="30" t="n">
        <f aca="false">AP54-AP53</f>
        <v>0</v>
      </c>
      <c r="AT54" s="30" t="n">
        <f aca="false">-AR54*AP54</f>
        <v>-0</v>
      </c>
      <c r="AU54" s="30" t="n">
        <f aca="false">AT54-AT53</f>
        <v>0</v>
      </c>
      <c r="AV54" s="30" t="n">
        <f aca="false">MAX(AS54,0)*(Inputs!$B$17+Inputs!$B$18+Inputs!$B$19)+MAX(-AS54,0)*(O54+Inputs!$B$18+Inputs!$B$19)+IF(AND(K54=1,AP54&lt;&gt;0),(Inputs!$B$17+Inputs!$B$18+Inputs!$B$19)+(O54+Inputs!$B$18+Inputs!$B$19),0)+MAX(AU54,0)*(Inputs!$B$20+Inputs!$B$22+Inputs!$B$23)+MAX(-AU54,0)*(Inputs!$B$21+Inputs!$B$22+Inputs!$B$23)</f>
        <v>0</v>
      </c>
      <c r="AW54" s="30" t="n">
        <f aca="false">AP53*(M54-AR53*J54)+AP53*AR53*N54/Inputs!$B$16-AV54</f>
        <v>0</v>
      </c>
      <c r="AX54" s="30" t="n">
        <f aca="false">AW54-IF(AP53&lt;&gt;0,0.75*AR53*(Inputs!$B$13-N54)/Inputs!$B$16,0)</f>
        <v>0</v>
      </c>
      <c r="AY54" s="30" t="n">
        <f aca="false">MAX(AS54,0)*(Inputs!$B$17+Inputs!$B$18+Inputs!$B$19)+MAX(-AS54,0)*(O54+Inputs!$B$18+Inputs!$B$19)+IF(AND(K54=1,AP54&lt;&gt;0),(Inputs!$B$17+Inputs!$B$18+Inputs!$B$19)+(O54+Inputs!$B$18+Inputs!$B$19),0)</f>
        <v>0</v>
      </c>
      <c r="AZ54" s="30" t="n">
        <f aca="false">AP53*M54-AY54</f>
        <v>0</v>
      </c>
      <c r="BA54" s="30" t="n">
        <f aca="false">BA53+AI54</f>
        <v>0</v>
      </c>
      <c r="BB54" s="30" t="n">
        <f aca="false">MAX(BB53,BA54)</f>
        <v>0</v>
      </c>
      <c r="BC54" s="30" t="n">
        <f aca="false">BA54-BB54</f>
        <v>0</v>
      </c>
      <c r="BD54" s="30" t="n">
        <f aca="false">A55-A54</f>
        <v>1</v>
      </c>
    </row>
    <row r="55" customFormat="false" ht="15" hidden="false" customHeight="false" outlineLevel="0" collapsed="false">
      <c r="A55" s="28" t="n">
        <v>45119</v>
      </c>
      <c r="B55" s="0" t="n">
        <v>19458.45</v>
      </c>
      <c r="C55" s="0" t="n">
        <v>213.35</v>
      </c>
      <c r="D55" s="29" t="n">
        <f aca="false">LN(B55)</f>
        <v>9.87603670200246</v>
      </c>
      <c r="E55" s="29" t="n">
        <f aca="false">LN(C55)</f>
        <v>5.36293400963401</v>
      </c>
      <c r="F55" s="0" t="n">
        <v>50</v>
      </c>
      <c r="G55" s="0" t="n">
        <v>15</v>
      </c>
      <c r="H55" s="29" t="n">
        <f aca="false">D55-E55</f>
        <v>4.51310269236845</v>
      </c>
      <c r="I55" s="29" t="n">
        <f aca="false">D55-D54</f>
        <v>-0.0029532189332695</v>
      </c>
      <c r="J55" s="29" t="n">
        <f aca="false">E55-E54</f>
        <v>-0.00135834583756012</v>
      </c>
      <c r="K55" s="0" t="n">
        <v>0</v>
      </c>
      <c r="L55" s="0" t="n">
        <v>0</v>
      </c>
      <c r="M55" s="29" t="n">
        <f aca="false">IF(L55=1,J55-Carry!$B$9/Inputs!$B$16,I55)</f>
        <v>-0.0029532189332695</v>
      </c>
      <c r="N55" s="0" t="n">
        <v>0.065</v>
      </c>
      <c r="O55" s="0" t="n">
        <v>0.000125</v>
      </c>
      <c r="P55" s="29" t="n">
        <f aca="false">D55-('2 Hedge ratio'!$B$6+'2 Hedge ratio'!$B$5*E55)</f>
        <v>0.00108926635424211</v>
      </c>
      <c r="Q55" s="29" t="n">
        <f aca="false">D55-('5 Re-specification'!$B$7+'5 Re-specification'!$B$5*E55+'5 Re-specification'!$B$6*F55)</f>
        <v>0.000400508955232581</v>
      </c>
      <c r="R55" s="30" t="n">
        <f aca="false">MIN(F55,Inputs!$B$9)</f>
        <v>50</v>
      </c>
      <c r="S55" s="29" t="str">
        <f aca="true">IF(AND(F55&gt;=1,R55&gt;=Inputs!$B$10),INDEX(LINEST(OFFSET(D55,-R55,0,R55,1),OFFSET(E55,-R55,0,R55,2)),1,1),"")</f>
        <v/>
      </c>
      <c r="T55" s="29" t="str">
        <f aca="true">IF(AND(F55&gt;=1,R55&gt;=Inputs!$B$10),INDEX(LINEST(OFFSET(D55,-R55,0,R55,1),OFFSET(E55,-R55,0,R55,2)),1,2),"")</f>
        <v/>
      </c>
      <c r="U55" s="29" t="str">
        <f aca="true">IF(AND(F55&gt;=1,R55&gt;=Inputs!$B$10),INDEX(LINEST(OFFSET(D55,-R55,0,R55,1),OFFSET(E55,-R55,0,R55,2)),1,3),"")</f>
        <v/>
      </c>
      <c r="V55" s="29" t="str">
        <f aca="true">IF(AND(F55&gt;=1,R55&gt;=Inputs!$B$10),SQRT(SUMPRODUCT((OFFSET(D55,-R55,0,R55,1)-U55-T55*OFFSET(E55,-R55,0,R55,1)-S55*OFFSET(F55,-R55,0,R55,1))^2)/(R55-3)),"")</f>
        <v/>
      </c>
      <c r="W55" s="31" t="str">
        <f aca="false">IF(AND(F55&gt;=1,R55&gt;=Inputs!$B$10),(D55-U55-T55*E55-S55*F55)/V55,"")</f>
        <v/>
      </c>
      <c r="X55" s="30" t="n">
        <f aca="false">IF(AB54&lt;&gt;0,AC54+1,0)</f>
        <v>0</v>
      </c>
      <c r="Y55" s="30" t="n">
        <f aca="false">IF(W55="",0,IF(AND(AB54&lt;&gt;0,OR(ABS(W55)&gt;Inputs!$B$7,X55&gt;=Inputs!$B$8,ABS(W55)&lt;Inputs!$B$6)),1,0))</f>
        <v>0</v>
      </c>
      <c r="Z55" s="30" t="n">
        <f aca="false">IF(Y55=1,0,AB54)</f>
        <v>0</v>
      </c>
      <c r="AA55" s="30" t="n">
        <f aca="false">IF(W55="",0,IF(AND(Z55=0,ABS(W55)&gt;Inputs!$B$5,ABS(W55)&lt;=Inputs!$B$7),1,0))</f>
        <v>0</v>
      </c>
      <c r="AB55" s="30" t="n">
        <f aca="false">IF(W55="",0,IF(AA55=1,-SIGN(W55),Z55))</f>
        <v>0</v>
      </c>
      <c r="AC55" s="30" t="n">
        <f aca="false">IF(W55="",0,IF(AA55=1,0,IF(Y55=1,0,X55)))</f>
        <v>0</v>
      </c>
      <c r="AD55" s="30" t="n">
        <f aca="false">IF(AB55=0,0,IF(AB54=AB55,AD54,T55))</f>
        <v>0</v>
      </c>
      <c r="AE55" s="30" t="n">
        <f aca="false">AB55-AB54</f>
        <v>0</v>
      </c>
      <c r="AF55" s="30" t="n">
        <f aca="false">-AD55*AB55</f>
        <v>-0</v>
      </c>
      <c r="AG55" s="30" t="n">
        <f aca="false">AF55-AF54</f>
        <v>0</v>
      </c>
      <c r="AH55" s="30" t="n">
        <f aca="false">MAX(AE55,0)*(Inputs!$B$17+Inputs!$B$18+Inputs!$B$19)+MAX(-AE55,0)*(O55+Inputs!$B$18+Inputs!$B$19)+IF(AND(K55=1,AB55&lt;&gt;0),(Inputs!$B$17+Inputs!$B$18+Inputs!$B$19)+(O55+Inputs!$B$18+Inputs!$B$19),0)+MAX(AG55,0)*(Inputs!$B$20+Inputs!$B$22+Inputs!$B$23)+MAX(-AG55,0)*(Inputs!$B$21+Inputs!$B$22+Inputs!$B$23)</f>
        <v>0</v>
      </c>
      <c r="AI55" s="30" t="n">
        <f aca="false">AB54*(M55-AD54*J55)+AB54*AD54*N55/Inputs!$B$16-AH55</f>
        <v>0</v>
      </c>
      <c r="AJ55" s="30" t="n">
        <f aca="false">MAX(AE55,0)*(Inputs!$B$17+Inputs!$B$24+Inputs!$B$25)+MAX(-AE55,0)*(O55+Inputs!$B$24+Inputs!$B$25)+IF(AND(K55=1,AB55&lt;&gt;0),(Inputs!$B$17+Inputs!$B$24+Inputs!$B$25)+(O55+Inputs!$B$24+Inputs!$B$25),0)+MAX(AG55,0)*(Inputs!$B$20+Inputs!$B$26+Inputs!$B$27)+MAX(-AG55,0)*(Inputs!$B$21+Inputs!$B$26+Inputs!$B$27)</f>
        <v>0</v>
      </c>
      <c r="AK55" s="30" t="n">
        <f aca="false">AB54*(M55-AD54*J55)+AB54*AD54*(N55+Inputs!$B$14)/Inputs!$B$16-AJ55</f>
        <v>0</v>
      </c>
      <c r="AL55" s="30" t="n">
        <f aca="false">IF(AP54&lt;&gt;0,AQ54+1,0)</f>
        <v>0</v>
      </c>
      <c r="AM55" s="30" t="n">
        <f aca="false">IF(W55="",0,IF(AND(AP54&lt;&gt;0,OR(ABS(W55)&gt;Inputs!$B$7,AL55&gt;=Inputs!$B$8,ABS(W55)&lt;Inputs!$B$6)),1,0))</f>
        <v>0</v>
      </c>
      <c r="AN55" s="30" t="n">
        <f aca="false">IF(AM55=1,0,AP54)</f>
        <v>0</v>
      </c>
      <c r="AO55" s="30" t="n">
        <f aca="false">IF(W55="",0,IF(AND(AN55=0,ABS(W55)&gt;Inputs!$B$5,ABS(W55)&lt;=Inputs!$B$7,W55&gt;0),1,0))</f>
        <v>0</v>
      </c>
      <c r="AP55" s="30" t="n">
        <f aca="false">IF(W55="",0,IF(AO55=1,-SIGN(W55),AN55))</f>
        <v>0</v>
      </c>
      <c r="AQ55" s="30" t="n">
        <f aca="false">IF(W55="",0,IF(AO55=1,0,IF(AM55=1,0,AL55)))</f>
        <v>0</v>
      </c>
      <c r="AR55" s="30" t="n">
        <f aca="false">IF(AP55=0,0,IF(AP54=AP55,AR54,T55))</f>
        <v>0</v>
      </c>
      <c r="AS55" s="30" t="n">
        <f aca="false">AP55-AP54</f>
        <v>0</v>
      </c>
      <c r="AT55" s="30" t="n">
        <f aca="false">-AR55*AP55</f>
        <v>-0</v>
      </c>
      <c r="AU55" s="30" t="n">
        <f aca="false">AT55-AT54</f>
        <v>0</v>
      </c>
      <c r="AV55" s="30" t="n">
        <f aca="false">MAX(AS55,0)*(Inputs!$B$17+Inputs!$B$18+Inputs!$B$19)+MAX(-AS55,0)*(O55+Inputs!$B$18+Inputs!$B$19)+IF(AND(K55=1,AP55&lt;&gt;0),(Inputs!$B$17+Inputs!$B$18+Inputs!$B$19)+(O55+Inputs!$B$18+Inputs!$B$19),0)+MAX(AU55,0)*(Inputs!$B$20+Inputs!$B$22+Inputs!$B$23)+MAX(-AU55,0)*(Inputs!$B$21+Inputs!$B$22+Inputs!$B$23)</f>
        <v>0</v>
      </c>
      <c r="AW55" s="30" t="n">
        <f aca="false">AP54*(M55-AR54*J55)+AP54*AR54*N55/Inputs!$B$16-AV55</f>
        <v>0</v>
      </c>
      <c r="AX55" s="30" t="n">
        <f aca="false">AW55-IF(AP54&lt;&gt;0,0.75*AR54*(Inputs!$B$13-N55)/Inputs!$B$16,0)</f>
        <v>0</v>
      </c>
      <c r="AY55" s="30" t="n">
        <f aca="false">MAX(AS55,0)*(Inputs!$B$17+Inputs!$B$18+Inputs!$B$19)+MAX(-AS55,0)*(O55+Inputs!$B$18+Inputs!$B$19)+IF(AND(K55=1,AP55&lt;&gt;0),(Inputs!$B$17+Inputs!$B$18+Inputs!$B$19)+(O55+Inputs!$B$18+Inputs!$B$19),0)</f>
        <v>0</v>
      </c>
      <c r="AZ55" s="30" t="n">
        <f aca="false">AP54*M55-AY55</f>
        <v>-0</v>
      </c>
      <c r="BA55" s="30" t="n">
        <f aca="false">BA54+AI55</f>
        <v>0</v>
      </c>
      <c r="BB55" s="30" t="n">
        <f aca="false">MAX(BB54,BA55)</f>
        <v>0</v>
      </c>
      <c r="BC55" s="30" t="n">
        <f aca="false">BA55-BB55</f>
        <v>0</v>
      </c>
      <c r="BD55" s="30" t="n">
        <f aca="false">A56-A55</f>
        <v>1</v>
      </c>
    </row>
    <row r="56" customFormat="false" ht="15" hidden="false" customHeight="false" outlineLevel="0" collapsed="false">
      <c r="A56" s="28" t="n">
        <v>45120</v>
      </c>
      <c r="B56" s="0" t="n">
        <v>19498.35</v>
      </c>
      <c r="C56" s="0" t="n">
        <v>213.75</v>
      </c>
      <c r="D56" s="29" t="n">
        <f aca="false">LN(B56)</f>
        <v>9.87808512558714</v>
      </c>
      <c r="E56" s="29" t="n">
        <f aca="false">LN(C56)</f>
        <v>5.36480710781687</v>
      </c>
      <c r="F56" s="0" t="n">
        <v>51</v>
      </c>
      <c r="G56" s="0" t="n">
        <v>14</v>
      </c>
      <c r="H56" s="29" t="n">
        <f aca="false">D56-E56</f>
        <v>4.51327801777027</v>
      </c>
      <c r="I56" s="29" t="n">
        <f aca="false">D56-D55</f>
        <v>0.00204842358468049</v>
      </c>
      <c r="J56" s="29" t="n">
        <f aca="false">E56-E55</f>
        <v>0.00187309818286074</v>
      </c>
      <c r="K56" s="0" t="n">
        <v>0</v>
      </c>
      <c r="L56" s="0" t="n">
        <v>0</v>
      </c>
      <c r="M56" s="29" t="n">
        <f aca="false">IF(L56=1,J56-Carry!$B$9/Inputs!$B$16,I56)</f>
        <v>0.00204842358468049</v>
      </c>
      <c r="N56" s="0" t="n">
        <v>0.065</v>
      </c>
      <c r="O56" s="0" t="n">
        <v>0.000125</v>
      </c>
      <c r="P56" s="29" t="n">
        <f aca="false">D56-('2 Hedge ratio'!$B$6+'2 Hedge ratio'!$B$5*E56)</f>
        <v>0.00142169457090979</v>
      </c>
      <c r="Q56" s="29" t="n">
        <f aca="false">D56-('5 Re-specification'!$B$7+'5 Re-specification'!$B$5*E56+'5 Re-specification'!$B$6*F56)</f>
        <v>0.000626440099232184</v>
      </c>
      <c r="R56" s="30" t="n">
        <f aca="false">MIN(F56,Inputs!$B$9)</f>
        <v>51</v>
      </c>
      <c r="S56" s="29" t="str">
        <f aca="true">IF(AND(F56&gt;=1,R56&gt;=Inputs!$B$10),INDEX(LINEST(OFFSET(D56,-R56,0,R56,1),OFFSET(E56,-R56,0,R56,2)),1,1),"")</f>
        <v/>
      </c>
      <c r="T56" s="29" t="str">
        <f aca="true">IF(AND(F56&gt;=1,R56&gt;=Inputs!$B$10),INDEX(LINEST(OFFSET(D56,-R56,0,R56,1),OFFSET(E56,-R56,0,R56,2)),1,2),"")</f>
        <v/>
      </c>
      <c r="U56" s="29" t="str">
        <f aca="true">IF(AND(F56&gt;=1,R56&gt;=Inputs!$B$10),INDEX(LINEST(OFFSET(D56,-R56,0,R56,1),OFFSET(E56,-R56,0,R56,2)),1,3),"")</f>
        <v/>
      </c>
      <c r="V56" s="29" t="str">
        <f aca="true">IF(AND(F56&gt;=1,R56&gt;=Inputs!$B$10),SQRT(SUMPRODUCT((OFFSET(D56,-R56,0,R56,1)-U56-T56*OFFSET(E56,-R56,0,R56,1)-S56*OFFSET(F56,-R56,0,R56,1))^2)/(R56-3)),"")</f>
        <v/>
      </c>
      <c r="W56" s="31" t="str">
        <f aca="false">IF(AND(F56&gt;=1,R56&gt;=Inputs!$B$10),(D56-U56-T56*E56-S56*F56)/V56,"")</f>
        <v/>
      </c>
      <c r="X56" s="30" t="n">
        <f aca="false">IF(AB55&lt;&gt;0,AC55+1,0)</f>
        <v>0</v>
      </c>
      <c r="Y56" s="30" t="n">
        <f aca="false">IF(W56="",0,IF(AND(AB55&lt;&gt;0,OR(ABS(W56)&gt;Inputs!$B$7,X56&gt;=Inputs!$B$8,ABS(W56)&lt;Inputs!$B$6)),1,0))</f>
        <v>0</v>
      </c>
      <c r="Z56" s="30" t="n">
        <f aca="false">IF(Y56=1,0,AB55)</f>
        <v>0</v>
      </c>
      <c r="AA56" s="30" t="n">
        <f aca="false">IF(W56="",0,IF(AND(Z56=0,ABS(W56)&gt;Inputs!$B$5,ABS(W56)&lt;=Inputs!$B$7),1,0))</f>
        <v>0</v>
      </c>
      <c r="AB56" s="30" t="n">
        <f aca="false">IF(W56="",0,IF(AA56=1,-SIGN(W56),Z56))</f>
        <v>0</v>
      </c>
      <c r="AC56" s="30" t="n">
        <f aca="false">IF(W56="",0,IF(AA56=1,0,IF(Y56=1,0,X56)))</f>
        <v>0</v>
      </c>
      <c r="AD56" s="30" t="n">
        <f aca="false">IF(AB56=0,0,IF(AB55=AB56,AD55,T56))</f>
        <v>0</v>
      </c>
      <c r="AE56" s="30" t="n">
        <f aca="false">AB56-AB55</f>
        <v>0</v>
      </c>
      <c r="AF56" s="30" t="n">
        <f aca="false">-AD56*AB56</f>
        <v>-0</v>
      </c>
      <c r="AG56" s="30" t="n">
        <f aca="false">AF56-AF55</f>
        <v>0</v>
      </c>
      <c r="AH56" s="30" t="n">
        <f aca="false">MAX(AE56,0)*(Inputs!$B$17+Inputs!$B$18+Inputs!$B$19)+MAX(-AE56,0)*(O56+Inputs!$B$18+Inputs!$B$19)+IF(AND(K56=1,AB56&lt;&gt;0),(Inputs!$B$17+Inputs!$B$18+Inputs!$B$19)+(O56+Inputs!$B$18+Inputs!$B$19),0)+MAX(AG56,0)*(Inputs!$B$20+Inputs!$B$22+Inputs!$B$23)+MAX(-AG56,0)*(Inputs!$B$21+Inputs!$B$22+Inputs!$B$23)</f>
        <v>0</v>
      </c>
      <c r="AI56" s="30" t="n">
        <f aca="false">AB55*(M56-AD55*J56)+AB55*AD55*N56/Inputs!$B$16-AH56</f>
        <v>0</v>
      </c>
      <c r="AJ56" s="30" t="n">
        <f aca="false">MAX(AE56,0)*(Inputs!$B$17+Inputs!$B$24+Inputs!$B$25)+MAX(-AE56,0)*(O56+Inputs!$B$24+Inputs!$B$25)+IF(AND(K56=1,AB56&lt;&gt;0),(Inputs!$B$17+Inputs!$B$24+Inputs!$B$25)+(O56+Inputs!$B$24+Inputs!$B$25),0)+MAX(AG56,0)*(Inputs!$B$20+Inputs!$B$26+Inputs!$B$27)+MAX(-AG56,0)*(Inputs!$B$21+Inputs!$B$26+Inputs!$B$27)</f>
        <v>0</v>
      </c>
      <c r="AK56" s="30" t="n">
        <f aca="false">AB55*(M56-AD55*J56)+AB55*AD55*(N56+Inputs!$B$14)/Inputs!$B$16-AJ56</f>
        <v>0</v>
      </c>
      <c r="AL56" s="30" t="n">
        <f aca="false">IF(AP55&lt;&gt;0,AQ55+1,0)</f>
        <v>0</v>
      </c>
      <c r="AM56" s="30" t="n">
        <f aca="false">IF(W56="",0,IF(AND(AP55&lt;&gt;0,OR(ABS(W56)&gt;Inputs!$B$7,AL56&gt;=Inputs!$B$8,ABS(W56)&lt;Inputs!$B$6)),1,0))</f>
        <v>0</v>
      </c>
      <c r="AN56" s="30" t="n">
        <f aca="false">IF(AM56=1,0,AP55)</f>
        <v>0</v>
      </c>
      <c r="AO56" s="30" t="n">
        <f aca="false">IF(W56="",0,IF(AND(AN56=0,ABS(W56)&gt;Inputs!$B$5,ABS(W56)&lt;=Inputs!$B$7,W56&gt;0),1,0))</f>
        <v>0</v>
      </c>
      <c r="AP56" s="30" t="n">
        <f aca="false">IF(W56="",0,IF(AO56=1,-SIGN(W56),AN56))</f>
        <v>0</v>
      </c>
      <c r="AQ56" s="30" t="n">
        <f aca="false">IF(W56="",0,IF(AO56=1,0,IF(AM56=1,0,AL56)))</f>
        <v>0</v>
      </c>
      <c r="AR56" s="30" t="n">
        <f aca="false">IF(AP56=0,0,IF(AP55=AP56,AR55,T56))</f>
        <v>0</v>
      </c>
      <c r="AS56" s="30" t="n">
        <f aca="false">AP56-AP55</f>
        <v>0</v>
      </c>
      <c r="AT56" s="30" t="n">
        <f aca="false">-AR56*AP56</f>
        <v>-0</v>
      </c>
      <c r="AU56" s="30" t="n">
        <f aca="false">AT56-AT55</f>
        <v>0</v>
      </c>
      <c r="AV56" s="30" t="n">
        <f aca="false">MAX(AS56,0)*(Inputs!$B$17+Inputs!$B$18+Inputs!$B$19)+MAX(-AS56,0)*(O56+Inputs!$B$18+Inputs!$B$19)+IF(AND(K56=1,AP56&lt;&gt;0),(Inputs!$B$17+Inputs!$B$18+Inputs!$B$19)+(O56+Inputs!$B$18+Inputs!$B$19),0)+MAX(AU56,0)*(Inputs!$B$20+Inputs!$B$22+Inputs!$B$23)+MAX(-AU56,0)*(Inputs!$B$21+Inputs!$B$22+Inputs!$B$23)</f>
        <v>0</v>
      </c>
      <c r="AW56" s="30" t="n">
        <f aca="false">AP55*(M56-AR55*J56)+AP55*AR55*N56/Inputs!$B$16-AV56</f>
        <v>0</v>
      </c>
      <c r="AX56" s="30" t="n">
        <f aca="false">AW56-IF(AP55&lt;&gt;0,0.75*AR55*(Inputs!$B$13-N56)/Inputs!$B$16,0)</f>
        <v>0</v>
      </c>
      <c r="AY56" s="30" t="n">
        <f aca="false">MAX(AS56,0)*(Inputs!$B$17+Inputs!$B$18+Inputs!$B$19)+MAX(-AS56,0)*(O56+Inputs!$B$18+Inputs!$B$19)+IF(AND(K56=1,AP56&lt;&gt;0),(Inputs!$B$17+Inputs!$B$18+Inputs!$B$19)+(O56+Inputs!$B$18+Inputs!$B$19),0)</f>
        <v>0</v>
      </c>
      <c r="AZ56" s="30" t="n">
        <f aca="false">AP55*M56-AY56</f>
        <v>0</v>
      </c>
      <c r="BA56" s="30" t="n">
        <f aca="false">BA55+AI56</f>
        <v>0</v>
      </c>
      <c r="BB56" s="30" t="n">
        <f aca="false">MAX(BB55,BA56)</f>
        <v>0</v>
      </c>
      <c r="BC56" s="30" t="n">
        <f aca="false">BA56-BB56</f>
        <v>0</v>
      </c>
      <c r="BD56" s="30" t="n">
        <f aca="false">A57-A56</f>
        <v>1</v>
      </c>
    </row>
    <row r="57" customFormat="false" ht="15" hidden="false" customHeight="false" outlineLevel="0" collapsed="false">
      <c r="A57" s="28" t="n">
        <v>45121</v>
      </c>
      <c r="B57" s="0" t="n">
        <v>19624</v>
      </c>
      <c r="C57" s="0" t="n">
        <v>215.1</v>
      </c>
      <c r="D57" s="29" t="n">
        <f aca="false">LN(B57)</f>
        <v>9.88450858593833</v>
      </c>
      <c r="E57" s="29" t="n">
        <f aca="false">LN(C57)</f>
        <v>5.37110303627368</v>
      </c>
      <c r="F57" s="0" t="n">
        <v>52</v>
      </c>
      <c r="G57" s="0" t="n">
        <v>13</v>
      </c>
      <c r="H57" s="29" t="n">
        <f aca="false">D57-E57</f>
        <v>4.51340554966464</v>
      </c>
      <c r="I57" s="29" t="n">
        <f aca="false">D57-D56</f>
        <v>0.00642346035118635</v>
      </c>
      <c r="J57" s="29" t="n">
        <f aca="false">E57-E56</f>
        <v>0.00629592845681426</v>
      </c>
      <c r="K57" s="0" t="n">
        <v>0</v>
      </c>
      <c r="L57" s="0" t="n">
        <v>0</v>
      </c>
      <c r="M57" s="29" t="n">
        <f aca="false">IF(L57=1,J57-Carry!$B$9/Inputs!$B$16,I57)</f>
        <v>0.00642346035118635</v>
      </c>
      <c r="N57" s="0" t="n">
        <v>0.065</v>
      </c>
      <c r="O57" s="0" t="n">
        <v>0.000125</v>
      </c>
      <c r="P57" s="29" t="n">
        <f aca="false">D57-('2 Hedge ratio'!$B$6+'2 Hedge ratio'!$B$5*E57)</f>
        <v>0.00207728638850391</v>
      </c>
      <c r="Q57" s="29" t="n">
        <f aca="false">D57-('5 Re-specification'!$B$7+'5 Re-specification'!$B$5*E57+'5 Re-specification'!$B$6*F57)</f>
        <v>0.000817981123024225</v>
      </c>
      <c r="R57" s="30" t="n">
        <f aca="false">MIN(F57,Inputs!$B$9)</f>
        <v>52</v>
      </c>
      <c r="S57" s="29" t="str">
        <f aca="true">IF(AND(F57&gt;=1,R57&gt;=Inputs!$B$10),INDEX(LINEST(OFFSET(D57,-R57,0,R57,1),OFFSET(E57,-R57,0,R57,2)),1,1),"")</f>
        <v/>
      </c>
      <c r="T57" s="29" t="str">
        <f aca="true">IF(AND(F57&gt;=1,R57&gt;=Inputs!$B$10),INDEX(LINEST(OFFSET(D57,-R57,0,R57,1),OFFSET(E57,-R57,0,R57,2)),1,2),"")</f>
        <v/>
      </c>
      <c r="U57" s="29" t="str">
        <f aca="true">IF(AND(F57&gt;=1,R57&gt;=Inputs!$B$10),INDEX(LINEST(OFFSET(D57,-R57,0,R57,1),OFFSET(E57,-R57,0,R57,2)),1,3),"")</f>
        <v/>
      </c>
      <c r="V57" s="29" t="str">
        <f aca="true">IF(AND(F57&gt;=1,R57&gt;=Inputs!$B$10),SQRT(SUMPRODUCT((OFFSET(D57,-R57,0,R57,1)-U57-T57*OFFSET(E57,-R57,0,R57,1)-S57*OFFSET(F57,-R57,0,R57,1))^2)/(R57-3)),"")</f>
        <v/>
      </c>
      <c r="W57" s="31" t="str">
        <f aca="false">IF(AND(F57&gt;=1,R57&gt;=Inputs!$B$10),(D57-U57-T57*E57-S57*F57)/V57,"")</f>
        <v/>
      </c>
      <c r="X57" s="30" t="n">
        <f aca="false">IF(AB56&lt;&gt;0,AC56+1,0)</f>
        <v>0</v>
      </c>
      <c r="Y57" s="30" t="n">
        <f aca="false">IF(W57="",0,IF(AND(AB56&lt;&gt;0,OR(ABS(W57)&gt;Inputs!$B$7,X57&gt;=Inputs!$B$8,ABS(W57)&lt;Inputs!$B$6)),1,0))</f>
        <v>0</v>
      </c>
      <c r="Z57" s="30" t="n">
        <f aca="false">IF(Y57=1,0,AB56)</f>
        <v>0</v>
      </c>
      <c r="AA57" s="30" t="n">
        <f aca="false">IF(W57="",0,IF(AND(Z57=0,ABS(W57)&gt;Inputs!$B$5,ABS(W57)&lt;=Inputs!$B$7),1,0))</f>
        <v>0</v>
      </c>
      <c r="AB57" s="30" t="n">
        <f aca="false">IF(W57="",0,IF(AA57=1,-SIGN(W57),Z57))</f>
        <v>0</v>
      </c>
      <c r="AC57" s="30" t="n">
        <f aca="false">IF(W57="",0,IF(AA57=1,0,IF(Y57=1,0,X57)))</f>
        <v>0</v>
      </c>
      <c r="AD57" s="30" t="n">
        <f aca="false">IF(AB57=0,0,IF(AB56=AB57,AD56,T57))</f>
        <v>0</v>
      </c>
      <c r="AE57" s="30" t="n">
        <f aca="false">AB57-AB56</f>
        <v>0</v>
      </c>
      <c r="AF57" s="30" t="n">
        <f aca="false">-AD57*AB57</f>
        <v>-0</v>
      </c>
      <c r="AG57" s="30" t="n">
        <f aca="false">AF57-AF56</f>
        <v>0</v>
      </c>
      <c r="AH57" s="30" t="n">
        <f aca="false">MAX(AE57,0)*(Inputs!$B$17+Inputs!$B$18+Inputs!$B$19)+MAX(-AE57,0)*(O57+Inputs!$B$18+Inputs!$B$19)+IF(AND(K57=1,AB57&lt;&gt;0),(Inputs!$B$17+Inputs!$B$18+Inputs!$B$19)+(O57+Inputs!$B$18+Inputs!$B$19),0)+MAX(AG57,0)*(Inputs!$B$20+Inputs!$B$22+Inputs!$B$23)+MAX(-AG57,0)*(Inputs!$B$21+Inputs!$B$22+Inputs!$B$23)</f>
        <v>0</v>
      </c>
      <c r="AI57" s="30" t="n">
        <f aca="false">AB56*(M57-AD56*J57)+AB56*AD56*N57/Inputs!$B$16-AH57</f>
        <v>0</v>
      </c>
      <c r="AJ57" s="30" t="n">
        <f aca="false">MAX(AE57,0)*(Inputs!$B$17+Inputs!$B$24+Inputs!$B$25)+MAX(-AE57,0)*(O57+Inputs!$B$24+Inputs!$B$25)+IF(AND(K57=1,AB57&lt;&gt;0),(Inputs!$B$17+Inputs!$B$24+Inputs!$B$25)+(O57+Inputs!$B$24+Inputs!$B$25),0)+MAX(AG57,0)*(Inputs!$B$20+Inputs!$B$26+Inputs!$B$27)+MAX(-AG57,0)*(Inputs!$B$21+Inputs!$B$26+Inputs!$B$27)</f>
        <v>0</v>
      </c>
      <c r="AK57" s="30" t="n">
        <f aca="false">AB56*(M57-AD56*J57)+AB56*AD56*(N57+Inputs!$B$14)/Inputs!$B$16-AJ57</f>
        <v>0</v>
      </c>
      <c r="AL57" s="30" t="n">
        <f aca="false">IF(AP56&lt;&gt;0,AQ56+1,0)</f>
        <v>0</v>
      </c>
      <c r="AM57" s="30" t="n">
        <f aca="false">IF(W57="",0,IF(AND(AP56&lt;&gt;0,OR(ABS(W57)&gt;Inputs!$B$7,AL57&gt;=Inputs!$B$8,ABS(W57)&lt;Inputs!$B$6)),1,0))</f>
        <v>0</v>
      </c>
      <c r="AN57" s="30" t="n">
        <f aca="false">IF(AM57=1,0,AP56)</f>
        <v>0</v>
      </c>
      <c r="AO57" s="30" t="n">
        <f aca="false">IF(W57="",0,IF(AND(AN57=0,ABS(W57)&gt;Inputs!$B$5,ABS(W57)&lt;=Inputs!$B$7,W57&gt;0),1,0))</f>
        <v>0</v>
      </c>
      <c r="AP57" s="30" t="n">
        <f aca="false">IF(W57="",0,IF(AO57=1,-SIGN(W57),AN57))</f>
        <v>0</v>
      </c>
      <c r="AQ57" s="30" t="n">
        <f aca="false">IF(W57="",0,IF(AO57=1,0,IF(AM57=1,0,AL57)))</f>
        <v>0</v>
      </c>
      <c r="AR57" s="30" t="n">
        <f aca="false">IF(AP57=0,0,IF(AP56=AP57,AR56,T57))</f>
        <v>0</v>
      </c>
      <c r="AS57" s="30" t="n">
        <f aca="false">AP57-AP56</f>
        <v>0</v>
      </c>
      <c r="AT57" s="30" t="n">
        <f aca="false">-AR57*AP57</f>
        <v>-0</v>
      </c>
      <c r="AU57" s="30" t="n">
        <f aca="false">AT57-AT56</f>
        <v>0</v>
      </c>
      <c r="AV57" s="30" t="n">
        <f aca="false">MAX(AS57,0)*(Inputs!$B$17+Inputs!$B$18+Inputs!$B$19)+MAX(-AS57,0)*(O57+Inputs!$B$18+Inputs!$B$19)+IF(AND(K57=1,AP57&lt;&gt;0),(Inputs!$B$17+Inputs!$B$18+Inputs!$B$19)+(O57+Inputs!$B$18+Inputs!$B$19),0)+MAX(AU57,0)*(Inputs!$B$20+Inputs!$B$22+Inputs!$B$23)+MAX(-AU57,0)*(Inputs!$B$21+Inputs!$B$22+Inputs!$B$23)</f>
        <v>0</v>
      </c>
      <c r="AW57" s="30" t="n">
        <f aca="false">AP56*(M57-AR56*J57)+AP56*AR56*N57/Inputs!$B$16-AV57</f>
        <v>0</v>
      </c>
      <c r="AX57" s="30" t="n">
        <f aca="false">AW57-IF(AP56&lt;&gt;0,0.75*AR56*(Inputs!$B$13-N57)/Inputs!$B$16,0)</f>
        <v>0</v>
      </c>
      <c r="AY57" s="30" t="n">
        <f aca="false">MAX(AS57,0)*(Inputs!$B$17+Inputs!$B$18+Inputs!$B$19)+MAX(-AS57,0)*(O57+Inputs!$B$18+Inputs!$B$19)+IF(AND(K57=1,AP57&lt;&gt;0),(Inputs!$B$17+Inputs!$B$18+Inputs!$B$19)+(O57+Inputs!$B$18+Inputs!$B$19),0)</f>
        <v>0</v>
      </c>
      <c r="AZ57" s="30" t="n">
        <f aca="false">AP56*M57-AY57</f>
        <v>0</v>
      </c>
      <c r="BA57" s="30" t="n">
        <f aca="false">BA56+AI57</f>
        <v>0</v>
      </c>
      <c r="BB57" s="30" t="n">
        <f aca="false">MAX(BB56,BA57)</f>
        <v>0</v>
      </c>
      <c r="BC57" s="30" t="n">
        <f aca="false">BA57-BB57</f>
        <v>0</v>
      </c>
      <c r="BD57" s="30" t="n">
        <f aca="false">A58-A57</f>
        <v>3</v>
      </c>
    </row>
    <row r="58" customFormat="false" ht="15" hidden="false" customHeight="false" outlineLevel="0" collapsed="false">
      <c r="A58" s="28" t="n">
        <v>45124</v>
      </c>
      <c r="B58" s="0" t="n">
        <v>19729.7</v>
      </c>
      <c r="C58" s="0" t="n">
        <v>216.6</v>
      </c>
      <c r="D58" s="29" t="n">
        <f aca="false">LN(B58)</f>
        <v>9.8898803936299</v>
      </c>
      <c r="E58" s="29" t="n">
        <f aca="false">LN(C58)</f>
        <v>5.37805233456689</v>
      </c>
      <c r="F58" s="0" t="n">
        <v>53</v>
      </c>
      <c r="G58" s="0" t="n">
        <v>10</v>
      </c>
      <c r="H58" s="29" t="n">
        <f aca="false">D58-E58</f>
        <v>4.51182805906301</v>
      </c>
      <c r="I58" s="29" t="n">
        <f aca="false">D58-D57</f>
        <v>0.00537180769157253</v>
      </c>
      <c r="J58" s="29" t="n">
        <f aca="false">E58-E57</f>
        <v>0.00694929829320579</v>
      </c>
      <c r="K58" s="0" t="n">
        <v>0</v>
      </c>
      <c r="L58" s="0" t="n">
        <v>0</v>
      </c>
      <c r="M58" s="29" t="n">
        <f aca="false">IF(L58=1,J58-Carry!$B$9/Inputs!$B$16,I58)</f>
        <v>0.00537180769157253</v>
      </c>
      <c r="N58" s="0" t="n">
        <v>0.065</v>
      </c>
      <c r="O58" s="0" t="n">
        <v>0.000125</v>
      </c>
      <c r="P58" s="29" t="n">
        <f aca="false">D58-('2 Hedge ratio'!$B$6+'2 Hedge ratio'!$B$5*E58)</f>
        <v>0.00108265595568469</v>
      </c>
      <c r="Q58" s="29" t="n">
        <f aca="false">D58-('5 Re-specification'!$B$7+'5 Re-specification'!$B$5*E58+'5 Re-specification'!$B$6*F58)</f>
        <v>-0.000693520311887852</v>
      </c>
      <c r="R58" s="30" t="n">
        <f aca="false">MIN(F58,Inputs!$B$9)</f>
        <v>53</v>
      </c>
      <c r="S58" s="29" t="str">
        <f aca="true">IF(AND(F58&gt;=1,R58&gt;=Inputs!$B$10),INDEX(LINEST(OFFSET(D58,-R58,0,R58,1),OFFSET(E58,-R58,0,R58,2)),1,1),"")</f>
        <v/>
      </c>
      <c r="T58" s="29" t="str">
        <f aca="true">IF(AND(F58&gt;=1,R58&gt;=Inputs!$B$10),INDEX(LINEST(OFFSET(D58,-R58,0,R58,1),OFFSET(E58,-R58,0,R58,2)),1,2),"")</f>
        <v/>
      </c>
      <c r="U58" s="29" t="str">
        <f aca="true">IF(AND(F58&gt;=1,R58&gt;=Inputs!$B$10),INDEX(LINEST(OFFSET(D58,-R58,0,R58,1),OFFSET(E58,-R58,0,R58,2)),1,3),"")</f>
        <v/>
      </c>
      <c r="V58" s="29" t="str">
        <f aca="true">IF(AND(F58&gt;=1,R58&gt;=Inputs!$B$10),SQRT(SUMPRODUCT((OFFSET(D58,-R58,0,R58,1)-U58-T58*OFFSET(E58,-R58,0,R58,1)-S58*OFFSET(F58,-R58,0,R58,1))^2)/(R58-3)),"")</f>
        <v/>
      </c>
      <c r="W58" s="31" t="str">
        <f aca="false">IF(AND(F58&gt;=1,R58&gt;=Inputs!$B$10),(D58-U58-T58*E58-S58*F58)/V58,"")</f>
        <v/>
      </c>
      <c r="X58" s="30" t="n">
        <f aca="false">IF(AB57&lt;&gt;0,AC57+1,0)</f>
        <v>0</v>
      </c>
      <c r="Y58" s="30" t="n">
        <f aca="false">IF(W58="",0,IF(AND(AB57&lt;&gt;0,OR(ABS(W58)&gt;Inputs!$B$7,X58&gt;=Inputs!$B$8,ABS(W58)&lt;Inputs!$B$6)),1,0))</f>
        <v>0</v>
      </c>
      <c r="Z58" s="30" t="n">
        <f aca="false">IF(Y58=1,0,AB57)</f>
        <v>0</v>
      </c>
      <c r="AA58" s="30" t="n">
        <f aca="false">IF(W58="",0,IF(AND(Z58=0,ABS(W58)&gt;Inputs!$B$5,ABS(W58)&lt;=Inputs!$B$7),1,0))</f>
        <v>0</v>
      </c>
      <c r="AB58" s="30" t="n">
        <f aca="false">IF(W58="",0,IF(AA58=1,-SIGN(W58),Z58))</f>
        <v>0</v>
      </c>
      <c r="AC58" s="30" t="n">
        <f aca="false">IF(W58="",0,IF(AA58=1,0,IF(Y58=1,0,X58)))</f>
        <v>0</v>
      </c>
      <c r="AD58" s="30" t="n">
        <f aca="false">IF(AB58=0,0,IF(AB57=AB58,AD57,T58))</f>
        <v>0</v>
      </c>
      <c r="AE58" s="30" t="n">
        <f aca="false">AB58-AB57</f>
        <v>0</v>
      </c>
      <c r="AF58" s="30" t="n">
        <f aca="false">-AD58*AB58</f>
        <v>-0</v>
      </c>
      <c r="AG58" s="30" t="n">
        <f aca="false">AF58-AF57</f>
        <v>0</v>
      </c>
      <c r="AH58" s="30" t="n">
        <f aca="false">MAX(AE58,0)*(Inputs!$B$17+Inputs!$B$18+Inputs!$B$19)+MAX(-AE58,0)*(O58+Inputs!$B$18+Inputs!$B$19)+IF(AND(K58=1,AB58&lt;&gt;0),(Inputs!$B$17+Inputs!$B$18+Inputs!$B$19)+(O58+Inputs!$B$18+Inputs!$B$19),0)+MAX(AG58,0)*(Inputs!$B$20+Inputs!$B$22+Inputs!$B$23)+MAX(-AG58,0)*(Inputs!$B$21+Inputs!$B$22+Inputs!$B$23)</f>
        <v>0</v>
      </c>
      <c r="AI58" s="30" t="n">
        <f aca="false">AB57*(M58-AD57*J58)+AB57*AD57*N58/Inputs!$B$16-AH58</f>
        <v>0</v>
      </c>
      <c r="AJ58" s="30" t="n">
        <f aca="false">MAX(AE58,0)*(Inputs!$B$17+Inputs!$B$24+Inputs!$B$25)+MAX(-AE58,0)*(O58+Inputs!$B$24+Inputs!$B$25)+IF(AND(K58=1,AB58&lt;&gt;0),(Inputs!$B$17+Inputs!$B$24+Inputs!$B$25)+(O58+Inputs!$B$24+Inputs!$B$25),0)+MAX(AG58,0)*(Inputs!$B$20+Inputs!$B$26+Inputs!$B$27)+MAX(-AG58,0)*(Inputs!$B$21+Inputs!$B$26+Inputs!$B$27)</f>
        <v>0</v>
      </c>
      <c r="AK58" s="30" t="n">
        <f aca="false">AB57*(M58-AD57*J58)+AB57*AD57*(N58+Inputs!$B$14)/Inputs!$B$16-AJ58</f>
        <v>0</v>
      </c>
      <c r="AL58" s="30" t="n">
        <f aca="false">IF(AP57&lt;&gt;0,AQ57+1,0)</f>
        <v>0</v>
      </c>
      <c r="AM58" s="30" t="n">
        <f aca="false">IF(W58="",0,IF(AND(AP57&lt;&gt;0,OR(ABS(W58)&gt;Inputs!$B$7,AL58&gt;=Inputs!$B$8,ABS(W58)&lt;Inputs!$B$6)),1,0))</f>
        <v>0</v>
      </c>
      <c r="AN58" s="30" t="n">
        <f aca="false">IF(AM58=1,0,AP57)</f>
        <v>0</v>
      </c>
      <c r="AO58" s="30" t="n">
        <f aca="false">IF(W58="",0,IF(AND(AN58=0,ABS(W58)&gt;Inputs!$B$5,ABS(W58)&lt;=Inputs!$B$7,W58&gt;0),1,0))</f>
        <v>0</v>
      </c>
      <c r="AP58" s="30" t="n">
        <f aca="false">IF(W58="",0,IF(AO58=1,-SIGN(W58),AN58))</f>
        <v>0</v>
      </c>
      <c r="AQ58" s="30" t="n">
        <f aca="false">IF(W58="",0,IF(AO58=1,0,IF(AM58=1,0,AL58)))</f>
        <v>0</v>
      </c>
      <c r="AR58" s="30" t="n">
        <f aca="false">IF(AP58=0,0,IF(AP57=AP58,AR57,T58))</f>
        <v>0</v>
      </c>
      <c r="AS58" s="30" t="n">
        <f aca="false">AP58-AP57</f>
        <v>0</v>
      </c>
      <c r="AT58" s="30" t="n">
        <f aca="false">-AR58*AP58</f>
        <v>-0</v>
      </c>
      <c r="AU58" s="30" t="n">
        <f aca="false">AT58-AT57</f>
        <v>0</v>
      </c>
      <c r="AV58" s="30" t="n">
        <f aca="false">MAX(AS58,0)*(Inputs!$B$17+Inputs!$B$18+Inputs!$B$19)+MAX(-AS58,0)*(O58+Inputs!$B$18+Inputs!$B$19)+IF(AND(K58=1,AP58&lt;&gt;0),(Inputs!$B$17+Inputs!$B$18+Inputs!$B$19)+(O58+Inputs!$B$18+Inputs!$B$19),0)+MAX(AU58,0)*(Inputs!$B$20+Inputs!$B$22+Inputs!$B$23)+MAX(-AU58,0)*(Inputs!$B$21+Inputs!$B$22+Inputs!$B$23)</f>
        <v>0</v>
      </c>
      <c r="AW58" s="30" t="n">
        <f aca="false">AP57*(M58-AR57*J58)+AP57*AR57*N58/Inputs!$B$16-AV58</f>
        <v>0</v>
      </c>
      <c r="AX58" s="30" t="n">
        <f aca="false">AW58-IF(AP57&lt;&gt;0,0.75*AR57*(Inputs!$B$13-N58)/Inputs!$B$16,0)</f>
        <v>0</v>
      </c>
      <c r="AY58" s="30" t="n">
        <f aca="false">MAX(AS58,0)*(Inputs!$B$17+Inputs!$B$18+Inputs!$B$19)+MAX(-AS58,0)*(O58+Inputs!$B$18+Inputs!$B$19)+IF(AND(K58=1,AP58&lt;&gt;0),(Inputs!$B$17+Inputs!$B$18+Inputs!$B$19)+(O58+Inputs!$B$18+Inputs!$B$19),0)</f>
        <v>0</v>
      </c>
      <c r="AZ58" s="30" t="n">
        <f aca="false">AP57*M58-AY58</f>
        <v>0</v>
      </c>
      <c r="BA58" s="30" t="n">
        <f aca="false">BA57+AI58</f>
        <v>0</v>
      </c>
      <c r="BB58" s="30" t="n">
        <f aca="false">MAX(BB57,BA58)</f>
        <v>0</v>
      </c>
      <c r="BC58" s="30" t="n">
        <f aca="false">BA58-BB58</f>
        <v>0</v>
      </c>
      <c r="BD58" s="30" t="n">
        <f aca="false">A59-A58</f>
        <v>1</v>
      </c>
    </row>
    <row r="59" customFormat="false" ht="15" hidden="false" customHeight="false" outlineLevel="0" collapsed="false">
      <c r="A59" s="28" t="n">
        <v>45125</v>
      </c>
      <c r="B59" s="0" t="n">
        <v>19772.15</v>
      </c>
      <c r="C59" s="0" t="n">
        <v>217.05</v>
      </c>
      <c r="D59" s="29" t="n">
        <f aca="false">LN(B59)</f>
        <v>9.89202966088401</v>
      </c>
      <c r="E59" s="29" t="n">
        <f aca="false">LN(C59)</f>
        <v>5.3801277417456</v>
      </c>
      <c r="F59" s="0" t="n">
        <v>54</v>
      </c>
      <c r="G59" s="0" t="n">
        <v>9</v>
      </c>
      <c r="H59" s="29" t="n">
        <f aca="false">D59-E59</f>
        <v>4.51190191913841</v>
      </c>
      <c r="I59" s="29" t="n">
        <f aca="false">D59-D58</f>
        <v>0.00214926725411502</v>
      </c>
      <c r="J59" s="29" t="n">
        <f aca="false">E59-E58</f>
        <v>0.00207540717871257</v>
      </c>
      <c r="K59" s="0" t="n">
        <v>0</v>
      </c>
      <c r="L59" s="0" t="n">
        <v>0</v>
      </c>
      <c r="M59" s="29" t="n">
        <f aca="false">IF(L59=1,J59-Carry!$B$9/Inputs!$B$16,I59)</f>
        <v>0.00214926725411502</v>
      </c>
      <c r="N59" s="0" t="n">
        <v>0.065</v>
      </c>
      <c r="O59" s="0" t="n">
        <v>0.000125</v>
      </c>
      <c r="P59" s="29" t="n">
        <f aca="false">D59-('2 Hedge ratio'!$B$6+'2 Hedge ratio'!$B$5*E59)</f>
        <v>0.00133058715704593</v>
      </c>
      <c r="Q59" s="29" t="n">
        <f aca="false">D59-('5 Re-specification'!$B$7+'5 Re-specification'!$B$5*E59+'5 Re-specification'!$B$6*F59)</f>
        <v>-0.000568441396890052</v>
      </c>
      <c r="R59" s="30" t="n">
        <f aca="false">MIN(F59,Inputs!$B$9)</f>
        <v>54</v>
      </c>
      <c r="S59" s="29" t="str">
        <f aca="true">IF(AND(F59&gt;=1,R59&gt;=Inputs!$B$10),INDEX(LINEST(OFFSET(D59,-R59,0,R59,1),OFFSET(E59,-R59,0,R59,2)),1,1),"")</f>
        <v/>
      </c>
      <c r="T59" s="29" t="str">
        <f aca="true">IF(AND(F59&gt;=1,R59&gt;=Inputs!$B$10),INDEX(LINEST(OFFSET(D59,-R59,0,R59,1),OFFSET(E59,-R59,0,R59,2)),1,2),"")</f>
        <v/>
      </c>
      <c r="U59" s="29" t="str">
        <f aca="true">IF(AND(F59&gt;=1,R59&gt;=Inputs!$B$10),INDEX(LINEST(OFFSET(D59,-R59,0,R59,1),OFFSET(E59,-R59,0,R59,2)),1,3),"")</f>
        <v/>
      </c>
      <c r="V59" s="29" t="str">
        <f aca="true">IF(AND(F59&gt;=1,R59&gt;=Inputs!$B$10),SQRT(SUMPRODUCT((OFFSET(D59,-R59,0,R59,1)-U59-T59*OFFSET(E59,-R59,0,R59,1)-S59*OFFSET(F59,-R59,0,R59,1))^2)/(R59-3)),"")</f>
        <v/>
      </c>
      <c r="W59" s="31" t="str">
        <f aca="false">IF(AND(F59&gt;=1,R59&gt;=Inputs!$B$10),(D59-U59-T59*E59-S59*F59)/V59,"")</f>
        <v/>
      </c>
      <c r="X59" s="30" t="n">
        <f aca="false">IF(AB58&lt;&gt;0,AC58+1,0)</f>
        <v>0</v>
      </c>
      <c r="Y59" s="30" t="n">
        <f aca="false">IF(W59="",0,IF(AND(AB58&lt;&gt;0,OR(ABS(W59)&gt;Inputs!$B$7,X59&gt;=Inputs!$B$8,ABS(W59)&lt;Inputs!$B$6)),1,0))</f>
        <v>0</v>
      </c>
      <c r="Z59" s="30" t="n">
        <f aca="false">IF(Y59=1,0,AB58)</f>
        <v>0</v>
      </c>
      <c r="AA59" s="30" t="n">
        <f aca="false">IF(W59="",0,IF(AND(Z59=0,ABS(W59)&gt;Inputs!$B$5,ABS(W59)&lt;=Inputs!$B$7),1,0))</f>
        <v>0</v>
      </c>
      <c r="AB59" s="30" t="n">
        <f aca="false">IF(W59="",0,IF(AA59=1,-SIGN(W59),Z59))</f>
        <v>0</v>
      </c>
      <c r="AC59" s="30" t="n">
        <f aca="false">IF(W59="",0,IF(AA59=1,0,IF(Y59=1,0,X59)))</f>
        <v>0</v>
      </c>
      <c r="AD59" s="30" t="n">
        <f aca="false">IF(AB59=0,0,IF(AB58=AB59,AD58,T59))</f>
        <v>0</v>
      </c>
      <c r="AE59" s="30" t="n">
        <f aca="false">AB59-AB58</f>
        <v>0</v>
      </c>
      <c r="AF59" s="30" t="n">
        <f aca="false">-AD59*AB59</f>
        <v>-0</v>
      </c>
      <c r="AG59" s="30" t="n">
        <f aca="false">AF59-AF58</f>
        <v>0</v>
      </c>
      <c r="AH59" s="30" t="n">
        <f aca="false">MAX(AE59,0)*(Inputs!$B$17+Inputs!$B$18+Inputs!$B$19)+MAX(-AE59,0)*(O59+Inputs!$B$18+Inputs!$B$19)+IF(AND(K59=1,AB59&lt;&gt;0),(Inputs!$B$17+Inputs!$B$18+Inputs!$B$19)+(O59+Inputs!$B$18+Inputs!$B$19),0)+MAX(AG59,0)*(Inputs!$B$20+Inputs!$B$22+Inputs!$B$23)+MAX(-AG59,0)*(Inputs!$B$21+Inputs!$B$22+Inputs!$B$23)</f>
        <v>0</v>
      </c>
      <c r="AI59" s="30" t="n">
        <f aca="false">AB58*(M59-AD58*J59)+AB58*AD58*N59/Inputs!$B$16-AH59</f>
        <v>0</v>
      </c>
      <c r="AJ59" s="30" t="n">
        <f aca="false">MAX(AE59,0)*(Inputs!$B$17+Inputs!$B$24+Inputs!$B$25)+MAX(-AE59,0)*(O59+Inputs!$B$24+Inputs!$B$25)+IF(AND(K59=1,AB59&lt;&gt;0),(Inputs!$B$17+Inputs!$B$24+Inputs!$B$25)+(O59+Inputs!$B$24+Inputs!$B$25),0)+MAX(AG59,0)*(Inputs!$B$20+Inputs!$B$26+Inputs!$B$27)+MAX(-AG59,0)*(Inputs!$B$21+Inputs!$B$26+Inputs!$B$27)</f>
        <v>0</v>
      </c>
      <c r="AK59" s="30" t="n">
        <f aca="false">AB58*(M59-AD58*J59)+AB58*AD58*(N59+Inputs!$B$14)/Inputs!$B$16-AJ59</f>
        <v>0</v>
      </c>
      <c r="AL59" s="30" t="n">
        <f aca="false">IF(AP58&lt;&gt;0,AQ58+1,0)</f>
        <v>0</v>
      </c>
      <c r="AM59" s="30" t="n">
        <f aca="false">IF(W59="",0,IF(AND(AP58&lt;&gt;0,OR(ABS(W59)&gt;Inputs!$B$7,AL59&gt;=Inputs!$B$8,ABS(W59)&lt;Inputs!$B$6)),1,0))</f>
        <v>0</v>
      </c>
      <c r="AN59" s="30" t="n">
        <f aca="false">IF(AM59=1,0,AP58)</f>
        <v>0</v>
      </c>
      <c r="AO59" s="30" t="n">
        <f aca="false">IF(W59="",0,IF(AND(AN59=0,ABS(W59)&gt;Inputs!$B$5,ABS(W59)&lt;=Inputs!$B$7,W59&gt;0),1,0))</f>
        <v>0</v>
      </c>
      <c r="AP59" s="30" t="n">
        <f aca="false">IF(W59="",0,IF(AO59=1,-SIGN(W59),AN59))</f>
        <v>0</v>
      </c>
      <c r="AQ59" s="30" t="n">
        <f aca="false">IF(W59="",0,IF(AO59=1,0,IF(AM59=1,0,AL59)))</f>
        <v>0</v>
      </c>
      <c r="AR59" s="30" t="n">
        <f aca="false">IF(AP59=0,0,IF(AP58=AP59,AR58,T59))</f>
        <v>0</v>
      </c>
      <c r="AS59" s="30" t="n">
        <f aca="false">AP59-AP58</f>
        <v>0</v>
      </c>
      <c r="AT59" s="30" t="n">
        <f aca="false">-AR59*AP59</f>
        <v>-0</v>
      </c>
      <c r="AU59" s="30" t="n">
        <f aca="false">AT59-AT58</f>
        <v>0</v>
      </c>
      <c r="AV59" s="30" t="n">
        <f aca="false">MAX(AS59,0)*(Inputs!$B$17+Inputs!$B$18+Inputs!$B$19)+MAX(-AS59,0)*(O59+Inputs!$B$18+Inputs!$B$19)+IF(AND(K59=1,AP59&lt;&gt;0),(Inputs!$B$17+Inputs!$B$18+Inputs!$B$19)+(O59+Inputs!$B$18+Inputs!$B$19),0)+MAX(AU59,0)*(Inputs!$B$20+Inputs!$B$22+Inputs!$B$23)+MAX(-AU59,0)*(Inputs!$B$21+Inputs!$B$22+Inputs!$B$23)</f>
        <v>0</v>
      </c>
      <c r="AW59" s="30" t="n">
        <f aca="false">AP58*(M59-AR58*J59)+AP58*AR58*N59/Inputs!$B$16-AV59</f>
        <v>0</v>
      </c>
      <c r="AX59" s="30" t="n">
        <f aca="false">AW59-IF(AP58&lt;&gt;0,0.75*AR58*(Inputs!$B$13-N59)/Inputs!$B$16,0)</f>
        <v>0</v>
      </c>
      <c r="AY59" s="30" t="n">
        <f aca="false">MAX(AS59,0)*(Inputs!$B$17+Inputs!$B$18+Inputs!$B$19)+MAX(-AS59,0)*(O59+Inputs!$B$18+Inputs!$B$19)+IF(AND(K59=1,AP59&lt;&gt;0),(Inputs!$B$17+Inputs!$B$18+Inputs!$B$19)+(O59+Inputs!$B$18+Inputs!$B$19),0)</f>
        <v>0</v>
      </c>
      <c r="AZ59" s="30" t="n">
        <f aca="false">AP58*M59-AY59</f>
        <v>0</v>
      </c>
      <c r="BA59" s="30" t="n">
        <f aca="false">BA58+AI59</f>
        <v>0</v>
      </c>
      <c r="BB59" s="30" t="n">
        <f aca="false">MAX(BB58,BA59)</f>
        <v>0</v>
      </c>
      <c r="BC59" s="30" t="n">
        <f aca="false">BA59-BB59</f>
        <v>0</v>
      </c>
      <c r="BD59" s="30" t="n">
        <f aca="false">A60-A59</f>
        <v>1</v>
      </c>
    </row>
    <row r="60" customFormat="false" ht="15" hidden="false" customHeight="false" outlineLevel="0" collapsed="false">
      <c r="A60" s="28" t="n">
        <v>45126</v>
      </c>
      <c r="B60" s="0" t="n">
        <v>19869.05</v>
      </c>
      <c r="C60" s="0" t="n">
        <v>218.05</v>
      </c>
      <c r="D60" s="29" t="n">
        <f aca="false">LN(B60)</f>
        <v>9.89691852363289</v>
      </c>
      <c r="E60" s="29" t="n">
        <f aca="false">LN(C60)</f>
        <v>5.38472439428878</v>
      </c>
      <c r="F60" s="0" t="n">
        <v>55</v>
      </c>
      <c r="G60" s="0" t="n">
        <v>8</v>
      </c>
      <c r="H60" s="29" t="n">
        <f aca="false">D60-E60</f>
        <v>4.51219412934411</v>
      </c>
      <c r="I60" s="29" t="n">
        <f aca="false">D60-D59</f>
        <v>0.00488886274887257</v>
      </c>
      <c r="J60" s="29" t="n">
        <f aca="false">E60-E59</f>
        <v>0.00459665254317265</v>
      </c>
      <c r="K60" s="0" t="n">
        <v>0</v>
      </c>
      <c r="L60" s="0" t="n">
        <v>0</v>
      </c>
      <c r="M60" s="29" t="n">
        <f aca="false">IF(L60=1,J60-Carry!$B$9/Inputs!$B$16,I60)</f>
        <v>0.00488886274887257</v>
      </c>
      <c r="N60" s="0" t="n">
        <v>0.065</v>
      </c>
      <c r="O60" s="0" t="n">
        <v>0.000125</v>
      </c>
      <c r="P60" s="29" t="n">
        <f aca="false">D60-('2 Hedge ratio'!$B$6+'2 Hedge ratio'!$B$5*E60)</f>
        <v>0.00200833350815977</v>
      </c>
      <c r="Q60" s="29" t="n">
        <f aca="false">D60-('5 Re-specification'!$B$7+'5 Re-specification'!$B$5*E60+'5 Re-specification'!$B$6*F60)</f>
        <v>-0.000217371717463166</v>
      </c>
      <c r="R60" s="30" t="n">
        <f aca="false">MIN(F60,Inputs!$B$9)</f>
        <v>55</v>
      </c>
      <c r="S60" s="29" t="str">
        <f aca="true">IF(AND(F60&gt;=1,R60&gt;=Inputs!$B$10),INDEX(LINEST(OFFSET(D60,-R60,0,R60,1),OFFSET(E60,-R60,0,R60,2)),1,1),"")</f>
        <v/>
      </c>
      <c r="T60" s="29" t="str">
        <f aca="true">IF(AND(F60&gt;=1,R60&gt;=Inputs!$B$10),INDEX(LINEST(OFFSET(D60,-R60,0,R60,1),OFFSET(E60,-R60,0,R60,2)),1,2),"")</f>
        <v/>
      </c>
      <c r="U60" s="29" t="str">
        <f aca="true">IF(AND(F60&gt;=1,R60&gt;=Inputs!$B$10),INDEX(LINEST(OFFSET(D60,-R60,0,R60,1),OFFSET(E60,-R60,0,R60,2)),1,3),"")</f>
        <v/>
      </c>
      <c r="V60" s="29" t="str">
        <f aca="true">IF(AND(F60&gt;=1,R60&gt;=Inputs!$B$10),SQRT(SUMPRODUCT((OFFSET(D60,-R60,0,R60,1)-U60-T60*OFFSET(E60,-R60,0,R60,1)-S60*OFFSET(F60,-R60,0,R60,1))^2)/(R60-3)),"")</f>
        <v/>
      </c>
      <c r="W60" s="31" t="str">
        <f aca="false">IF(AND(F60&gt;=1,R60&gt;=Inputs!$B$10),(D60-U60-T60*E60-S60*F60)/V60,"")</f>
        <v/>
      </c>
      <c r="X60" s="30" t="n">
        <f aca="false">IF(AB59&lt;&gt;0,AC59+1,0)</f>
        <v>0</v>
      </c>
      <c r="Y60" s="30" t="n">
        <f aca="false">IF(W60="",0,IF(AND(AB59&lt;&gt;0,OR(ABS(W60)&gt;Inputs!$B$7,X60&gt;=Inputs!$B$8,ABS(W60)&lt;Inputs!$B$6)),1,0))</f>
        <v>0</v>
      </c>
      <c r="Z60" s="30" t="n">
        <f aca="false">IF(Y60=1,0,AB59)</f>
        <v>0</v>
      </c>
      <c r="AA60" s="30" t="n">
        <f aca="false">IF(W60="",0,IF(AND(Z60=0,ABS(W60)&gt;Inputs!$B$5,ABS(W60)&lt;=Inputs!$B$7),1,0))</f>
        <v>0</v>
      </c>
      <c r="AB60" s="30" t="n">
        <f aca="false">IF(W60="",0,IF(AA60=1,-SIGN(W60),Z60))</f>
        <v>0</v>
      </c>
      <c r="AC60" s="30" t="n">
        <f aca="false">IF(W60="",0,IF(AA60=1,0,IF(Y60=1,0,X60)))</f>
        <v>0</v>
      </c>
      <c r="AD60" s="30" t="n">
        <f aca="false">IF(AB60=0,0,IF(AB59=AB60,AD59,T60))</f>
        <v>0</v>
      </c>
      <c r="AE60" s="30" t="n">
        <f aca="false">AB60-AB59</f>
        <v>0</v>
      </c>
      <c r="AF60" s="30" t="n">
        <f aca="false">-AD60*AB60</f>
        <v>-0</v>
      </c>
      <c r="AG60" s="30" t="n">
        <f aca="false">AF60-AF59</f>
        <v>0</v>
      </c>
      <c r="AH60" s="30" t="n">
        <f aca="false">MAX(AE60,0)*(Inputs!$B$17+Inputs!$B$18+Inputs!$B$19)+MAX(-AE60,0)*(O60+Inputs!$B$18+Inputs!$B$19)+IF(AND(K60=1,AB60&lt;&gt;0),(Inputs!$B$17+Inputs!$B$18+Inputs!$B$19)+(O60+Inputs!$B$18+Inputs!$B$19),0)+MAX(AG60,0)*(Inputs!$B$20+Inputs!$B$22+Inputs!$B$23)+MAX(-AG60,0)*(Inputs!$B$21+Inputs!$B$22+Inputs!$B$23)</f>
        <v>0</v>
      </c>
      <c r="AI60" s="30" t="n">
        <f aca="false">AB59*(M60-AD59*J60)+AB59*AD59*N60/Inputs!$B$16-AH60</f>
        <v>0</v>
      </c>
      <c r="AJ60" s="30" t="n">
        <f aca="false">MAX(AE60,0)*(Inputs!$B$17+Inputs!$B$24+Inputs!$B$25)+MAX(-AE60,0)*(O60+Inputs!$B$24+Inputs!$B$25)+IF(AND(K60=1,AB60&lt;&gt;0),(Inputs!$B$17+Inputs!$B$24+Inputs!$B$25)+(O60+Inputs!$B$24+Inputs!$B$25),0)+MAX(AG60,0)*(Inputs!$B$20+Inputs!$B$26+Inputs!$B$27)+MAX(-AG60,0)*(Inputs!$B$21+Inputs!$B$26+Inputs!$B$27)</f>
        <v>0</v>
      </c>
      <c r="AK60" s="30" t="n">
        <f aca="false">AB59*(M60-AD59*J60)+AB59*AD59*(N60+Inputs!$B$14)/Inputs!$B$16-AJ60</f>
        <v>0</v>
      </c>
      <c r="AL60" s="30" t="n">
        <f aca="false">IF(AP59&lt;&gt;0,AQ59+1,0)</f>
        <v>0</v>
      </c>
      <c r="AM60" s="30" t="n">
        <f aca="false">IF(W60="",0,IF(AND(AP59&lt;&gt;0,OR(ABS(W60)&gt;Inputs!$B$7,AL60&gt;=Inputs!$B$8,ABS(W60)&lt;Inputs!$B$6)),1,0))</f>
        <v>0</v>
      </c>
      <c r="AN60" s="30" t="n">
        <f aca="false">IF(AM60=1,0,AP59)</f>
        <v>0</v>
      </c>
      <c r="AO60" s="30" t="n">
        <f aca="false">IF(W60="",0,IF(AND(AN60=0,ABS(W60)&gt;Inputs!$B$5,ABS(W60)&lt;=Inputs!$B$7,W60&gt;0),1,0))</f>
        <v>0</v>
      </c>
      <c r="AP60" s="30" t="n">
        <f aca="false">IF(W60="",0,IF(AO60=1,-SIGN(W60),AN60))</f>
        <v>0</v>
      </c>
      <c r="AQ60" s="30" t="n">
        <f aca="false">IF(W60="",0,IF(AO60=1,0,IF(AM60=1,0,AL60)))</f>
        <v>0</v>
      </c>
      <c r="AR60" s="30" t="n">
        <f aca="false">IF(AP60=0,0,IF(AP59=AP60,AR59,T60))</f>
        <v>0</v>
      </c>
      <c r="AS60" s="30" t="n">
        <f aca="false">AP60-AP59</f>
        <v>0</v>
      </c>
      <c r="AT60" s="30" t="n">
        <f aca="false">-AR60*AP60</f>
        <v>-0</v>
      </c>
      <c r="AU60" s="30" t="n">
        <f aca="false">AT60-AT59</f>
        <v>0</v>
      </c>
      <c r="AV60" s="30" t="n">
        <f aca="false">MAX(AS60,0)*(Inputs!$B$17+Inputs!$B$18+Inputs!$B$19)+MAX(-AS60,0)*(O60+Inputs!$B$18+Inputs!$B$19)+IF(AND(K60=1,AP60&lt;&gt;0),(Inputs!$B$17+Inputs!$B$18+Inputs!$B$19)+(O60+Inputs!$B$18+Inputs!$B$19),0)+MAX(AU60,0)*(Inputs!$B$20+Inputs!$B$22+Inputs!$B$23)+MAX(-AU60,0)*(Inputs!$B$21+Inputs!$B$22+Inputs!$B$23)</f>
        <v>0</v>
      </c>
      <c r="AW60" s="30" t="n">
        <f aca="false">AP59*(M60-AR59*J60)+AP59*AR59*N60/Inputs!$B$16-AV60</f>
        <v>0</v>
      </c>
      <c r="AX60" s="30" t="n">
        <f aca="false">AW60-IF(AP59&lt;&gt;0,0.75*AR59*(Inputs!$B$13-N60)/Inputs!$B$16,0)</f>
        <v>0</v>
      </c>
      <c r="AY60" s="30" t="n">
        <f aca="false">MAX(AS60,0)*(Inputs!$B$17+Inputs!$B$18+Inputs!$B$19)+MAX(-AS60,0)*(O60+Inputs!$B$18+Inputs!$B$19)+IF(AND(K60=1,AP60&lt;&gt;0),(Inputs!$B$17+Inputs!$B$18+Inputs!$B$19)+(O60+Inputs!$B$18+Inputs!$B$19),0)</f>
        <v>0</v>
      </c>
      <c r="AZ60" s="30" t="n">
        <f aca="false">AP59*M60-AY60</f>
        <v>0</v>
      </c>
      <c r="BA60" s="30" t="n">
        <f aca="false">BA59+AI60</f>
        <v>0</v>
      </c>
      <c r="BB60" s="30" t="n">
        <f aca="false">MAX(BB59,BA60)</f>
        <v>0</v>
      </c>
      <c r="BC60" s="30" t="n">
        <f aca="false">BA60-BB60</f>
        <v>0</v>
      </c>
      <c r="BD60" s="30" t="n">
        <f aca="false">A61-A60</f>
        <v>1</v>
      </c>
    </row>
    <row r="61" customFormat="false" ht="15" hidden="false" customHeight="false" outlineLevel="0" collapsed="false">
      <c r="A61" s="28" t="n">
        <v>45127</v>
      </c>
      <c r="B61" s="0" t="n">
        <v>19967.1</v>
      </c>
      <c r="C61" s="0" t="n">
        <v>219.01</v>
      </c>
      <c r="D61" s="29" t="n">
        <f aca="false">LN(B61)</f>
        <v>9.90184119803799</v>
      </c>
      <c r="E61" s="29" t="n">
        <f aca="false">LN(C61)</f>
        <v>5.38911739087448</v>
      </c>
      <c r="F61" s="0" t="n">
        <v>56</v>
      </c>
      <c r="G61" s="0" t="n">
        <v>7</v>
      </c>
      <c r="H61" s="29" t="n">
        <f aca="false">D61-E61</f>
        <v>4.51272380716352</v>
      </c>
      <c r="I61" s="29" t="n">
        <f aca="false">D61-D60</f>
        <v>0.00492267440510474</v>
      </c>
      <c r="J61" s="29" t="n">
        <f aca="false">E61-E60</f>
        <v>0.00439299658570036</v>
      </c>
      <c r="K61" s="0" t="n">
        <v>0</v>
      </c>
      <c r="L61" s="0" t="n">
        <v>0</v>
      </c>
      <c r="M61" s="29" t="n">
        <f aca="false">IF(L61=1,J61-Carry!$B$9/Inputs!$B$16,I61)</f>
        <v>0.00492267440510474</v>
      </c>
      <c r="N61" s="0" t="n">
        <v>0.065</v>
      </c>
      <c r="O61" s="0" t="n">
        <v>0.000125</v>
      </c>
      <c r="P61" s="29" t="n">
        <f aca="false">D61-('2 Hedge ratio'!$B$6+'2 Hedge ratio'!$B$5*E61)</f>
        <v>0.00290646618782553</v>
      </c>
      <c r="Q61" s="29" t="n">
        <f aca="false">D61-('5 Re-specification'!$B$7+'5 Re-specification'!$B$5*E61+'5 Re-specification'!$B$6*F61)</f>
        <v>0.000370548396285031</v>
      </c>
      <c r="R61" s="30" t="n">
        <f aca="false">MIN(F61,Inputs!$B$9)</f>
        <v>56</v>
      </c>
      <c r="S61" s="29" t="str">
        <f aca="true">IF(AND(F61&gt;=1,R61&gt;=Inputs!$B$10),INDEX(LINEST(OFFSET(D61,-R61,0,R61,1),OFFSET(E61,-R61,0,R61,2)),1,1),"")</f>
        <v/>
      </c>
      <c r="T61" s="29" t="str">
        <f aca="true">IF(AND(F61&gt;=1,R61&gt;=Inputs!$B$10),INDEX(LINEST(OFFSET(D61,-R61,0,R61,1),OFFSET(E61,-R61,0,R61,2)),1,2),"")</f>
        <v/>
      </c>
      <c r="U61" s="29" t="str">
        <f aca="true">IF(AND(F61&gt;=1,R61&gt;=Inputs!$B$10),INDEX(LINEST(OFFSET(D61,-R61,0,R61,1),OFFSET(E61,-R61,0,R61,2)),1,3),"")</f>
        <v/>
      </c>
      <c r="V61" s="29" t="str">
        <f aca="true">IF(AND(F61&gt;=1,R61&gt;=Inputs!$B$10),SQRT(SUMPRODUCT((OFFSET(D61,-R61,0,R61,1)-U61-T61*OFFSET(E61,-R61,0,R61,1)-S61*OFFSET(F61,-R61,0,R61,1))^2)/(R61-3)),"")</f>
        <v/>
      </c>
      <c r="W61" s="31" t="str">
        <f aca="false">IF(AND(F61&gt;=1,R61&gt;=Inputs!$B$10),(D61-U61-T61*E61-S61*F61)/V61,"")</f>
        <v/>
      </c>
      <c r="X61" s="30" t="n">
        <f aca="false">IF(AB60&lt;&gt;0,AC60+1,0)</f>
        <v>0</v>
      </c>
      <c r="Y61" s="30" t="n">
        <f aca="false">IF(W61="",0,IF(AND(AB60&lt;&gt;0,OR(ABS(W61)&gt;Inputs!$B$7,X61&gt;=Inputs!$B$8,ABS(W61)&lt;Inputs!$B$6)),1,0))</f>
        <v>0</v>
      </c>
      <c r="Z61" s="30" t="n">
        <f aca="false">IF(Y61=1,0,AB60)</f>
        <v>0</v>
      </c>
      <c r="AA61" s="30" t="n">
        <f aca="false">IF(W61="",0,IF(AND(Z61=0,ABS(W61)&gt;Inputs!$B$5,ABS(W61)&lt;=Inputs!$B$7),1,0))</f>
        <v>0</v>
      </c>
      <c r="AB61" s="30" t="n">
        <f aca="false">IF(W61="",0,IF(AA61=1,-SIGN(W61),Z61))</f>
        <v>0</v>
      </c>
      <c r="AC61" s="30" t="n">
        <f aca="false">IF(W61="",0,IF(AA61=1,0,IF(Y61=1,0,X61)))</f>
        <v>0</v>
      </c>
      <c r="AD61" s="30" t="n">
        <f aca="false">IF(AB61=0,0,IF(AB60=AB61,AD60,T61))</f>
        <v>0</v>
      </c>
      <c r="AE61" s="30" t="n">
        <f aca="false">AB61-AB60</f>
        <v>0</v>
      </c>
      <c r="AF61" s="30" t="n">
        <f aca="false">-AD61*AB61</f>
        <v>-0</v>
      </c>
      <c r="AG61" s="30" t="n">
        <f aca="false">AF61-AF60</f>
        <v>0</v>
      </c>
      <c r="AH61" s="30" t="n">
        <f aca="false">MAX(AE61,0)*(Inputs!$B$17+Inputs!$B$18+Inputs!$B$19)+MAX(-AE61,0)*(O61+Inputs!$B$18+Inputs!$B$19)+IF(AND(K61=1,AB61&lt;&gt;0),(Inputs!$B$17+Inputs!$B$18+Inputs!$B$19)+(O61+Inputs!$B$18+Inputs!$B$19),0)+MAX(AG61,0)*(Inputs!$B$20+Inputs!$B$22+Inputs!$B$23)+MAX(-AG61,0)*(Inputs!$B$21+Inputs!$B$22+Inputs!$B$23)</f>
        <v>0</v>
      </c>
      <c r="AI61" s="30" t="n">
        <f aca="false">AB60*(M61-AD60*J61)+AB60*AD60*N61/Inputs!$B$16-AH61</f>
        <v>0</v>
      </c>
      <c r="AJ61" s="30" t="n">
        <f aca="false">MAX(AE61,0)*(Inputs!$B$17+Inputs!$B$24+Inputs!$B$25)+MAX(-AE61,0)*(O61+Inputs!$B$24+Inputs!$B$25)+IF(AND(K61=1,AB61&lt;&gt;0),(Inputs!$B$17+Inputs!$B$24+Inputs!$B$25)+(O61+Inputs!$B$24+Inputs!$B$25),0)+MAX(AG61,0)*(Inputs!$B$20+Inputs!$B$26+Inputs!$B$27)+MAX(-AG61,0)*(Inputs!$B$21+Inputs!$B$26+Inputs!$B$27)</f>
        <v>0</v>
      </c>
      <c r="AK61" s="30" t="n">
        <f aca="false">AB60*(M61-AD60*J61)+AB60*AD60*(N61+Inputs!$B$14)/Inputs!$B$16-AJ61</f>
        <v>0</v>
      </c>
      <c r="AL61" s="30" t="n">
        <f aca="false">IF(AP60&lt;&gt;0,AQ60+1,0)</f>
        <v>0</v>
      </c>
      <c r="AM61" s="30" t="n">
        <f aca="false">IF(W61="",0,IF(AND(AP60&lt;&gt;0,OR(ABS(W61)&gt;Inputs!$B$7,AL61&gt;=Inputs!$B$8,ABS(W61)&lt;Inputs!$B$6)),1,0))</f>
        <v>0</v>
      </c>
      <c r="AN61" s="30" t="n">
        <f aca="false">IF(AM61=1,0,AP60)</f>
        <v>0</v>
      </c>
      <c r="AO61" s="30" t="n">
        <f aca="false">IF(W61="",0,IF(AND(AN61=0,ABS(W61)&gt;Inputs!$B$5,ABS(W61)&lt;=Inputs!$B$7,W61&gt;0),1,0))</f>
        <v>0</v>
      </c>
      <c r="AP61" s="30" t="n">
        <f aca="false">IF(W61="",0,IF(AO61=1,-SIGN(W61),AN61))</f>
        <v>0</v>
      </c>
      <c r="AQ61" s="30" t="n">
        <f aca="false">IF(W61="",0,IF(AO61=1,0,IF(AM61=1,0,AL61)))</f>
        <v>0</v>
      </c>
      <c r="AR61" s="30" t="n">
        <f aca="false">IF(AP61=0,0,IF(AP60=AP61,AR60,T61))</f>
        <v>0</v>
      </c>
      <c r="AS61" s="30" t="n">
        <f aca="false">AP61-AP60</f>
        <v>0</v>
      </c>
      <c r="AT61" s="30" t="n">
        <f aca="false">-AR61*AP61</f>
        <v>-0</v>
      </c>
      <c r="AU61" s="30" t="n">
        <f aca="false">AT61-AT60</f>
        <v>0</v>
      </c>
      <c r="AV61" s="30" t="n">
        <f aca="false">MAX(AS61,0)*(Inputs!$B$17+Inputs!$B$18+Inputs!$B$19)+MAX(-AS61,0)*(O61+Inputs!$B$18+Inputs!$B$19)+IF(AND(K61=1,AP61&lt;&gt;0),(Inputs!$B$17+Inputs!$B$18+Inputs!$B$19)+(O61+Inputs!$B$18+Inputs!$B$19),0)+MAX(AU61,0)*(Inputs!$B$20+Inputs!$B$22+Inputs!$B$23)+MAX(-AU61,0)*(Inputs!$B$21+Inputs!$B$22+Inputs!$B$23)</f>
        <v>0</v>
      </c>
      <c r="AW61" s="30" t="n">
        <f aca="false">AP60*(M61-AR60*J61)+AP60*AR60*N61/Inputs!$B$16-AV61</f>
        <v>0</v>
      </c>
      <c r="AX61" s="30" t="n">
        <f aca="false">AW61-IF(AP60&lt;&gt;0,0.75*AR60*(Inputs!$B$13-N61)/Inputs!$B$16,0)</f>
        <v>0</v>
      </c>
      <c r="AY61" s="30" t="n">
        <f aca="false">MAX(AS61,0)*(Inputs!$B$17+Inputs!$B$18+Inputs!$B$19)+MAX(-AS61,0)*(O61+Inputs!$B$18+Inputs!$B$19)+IF(AND(K61=1,AP61&lt;&gt;0),(Inputs!$B$17+Inputs!$B$18+Inputs!$B$19)+(O61+Inputs!$B$18+Inputs!$B$19),0)</f>
        <v>0</v>
      </c>
      <c r="AZ61" s="30" t="n">
        <f aca="false">AP60*M61-AY61</f>
        <v>0</v>
      </c>
      <c r="BA61" s="30" t="n">
        <f aca="false">BA60+AI61</f>
        <v>0</v>
      </c>
      <c r="BB61" s="30" t="n">
        <f aca="false">MAX(BB60,BA61)</f>
        <v>0</v>
      </c>
      <c r="BC61" s="30" t="n">
        <f aca="false">BA61-BB61</f>
        <v>0</v>
      </c>
      <c r="BD61" s="30" t="n">
        <f aca="false">A62-A61</f>
        <v>1</v>
      </c>
    </row>
    <row r="62" customFormat="false" ht="15" hidden="false" customHeight="false" outlineLevel="0" collapsed="false">
      <c r="A62" s="28" t="n">
        <v>45128</v>
      </c>
      <c r="B62" s="0" t="n">
        <v>19806.55</v>
      </c>
      <c r="C62" s="0" t="n">
        <v>217.7</v>
      </c>
      <c r="D62" s="29" t="n">
        <f aca="false">LN(B62)</f>
        <v>9.89376797005851</v>
      </c>
      <c r="E62" s="29" t="n">
        <f aca="false">LN(C62)</f>
        <v>5.3831179682405</v>
      </c>
      <c r="F62" s="0" t="n">
        <v>57</v>
      </c>
      <c r="G62" s="0" t="n">
        <v>6</v>
      </c>
      <c r="H62" s="29" t="n">
        <f aca="false">D62-E62</f>
        <v>4.510650001818</v>
      </c>
      <c r="I62" s="29" t="n">
        <f aca="false">D62-D61</f>
        <v>-0.00807322797948551</v>
      </c>
      <c r="J62" s="29" t="n">
        <f aca="false">E62-E61</f>
        <v>-0.00599942263397413</v>
      </c>
      <c r="K62" s="0" t="n">
        <v>0</v>
      </c>
      <c r="L62" s="0" t="n">
        <v>0</v>
      </c>
      <c r="M62" s="29" t="n">
        <f aca="false">IF(L62=1,J62-Carry!$B$9/Inputs!$B$16,I62)</f>
        <v>-0.00807322797948551</v>
      </c>
      <c r="N62" s="0" t="n">
        <v>0.065</v>
      </c>
      <c r="O62" s="0" t="n">
        <v>0.000125</v>
      </c>
      <c r="P62" s="29" t="n">
        <f aca="false">D62-('2 Hedge ratio'!$B$6+'2 Hedge ratio'!$B$5*E62)</f>
        <v>0.000329469823352468</v>
      </c>
      <c r="Q62" s="29" t="n">
        <f aca="false">D62-('5 Re-specification'!$B$7+'5 Re-specification'!$B$5*E62+'5 Re-specification'!$B$6*F62)</f>
        <v>-0.00167650888154824</v>
      </c>
      <c r="R62" s="30" t="n">
        <f aca="false">MIN(F62,Inputs!$B$9)</f>
        <v>57</v>
      </c>
      <c r="S62" s="29" t="str">
        <f aca="true">IF(AND(F62&gt;=1,R62&gt;=Inputs!$B$10),INDEX(LINEST(OFFSET(D62,-R62,0,R62,1),OFFSET(E62,-R62,0,R62,2)),1,1),"")</f>
        <v/>
      </c>
      <c r="T62" s="29" t="str">
        <f aca="true">IF(AND(F62&gt;=1,R62&gt;=Inputs!$B$10),INDEX(LINEST(OFFSET(D62,-R62,0,R62,1),OFFSET(E62,-R62,0,R62,2)),1,2),"")</f>
        <v/>
      </c>
      <c r="U62" s="29" t="str">
        <f aca="true">IF(AND(F62&gt;=1,R62&gt;=Inputs!$B$10),INDEX(LINEST(OFFSET(D62,-R62,0,R62,1),OFFSET(E62,-R62,0,R62,2)),1,3),"")</f>
        <v/>
      </c>
      <c r="V62" s="29" t="str">
        <f aca="true">IF(AND(F62&gt;=1,R62&gt;=Inputs!$B$10),SQRT(SUMPRODUCT((OFFSET(D62,-R62,0,R62,1)-U62-T62*OFFSET(E62,-R62,0,R62,1)-S62*OFFSET(F62,-R62,0,R62,1))^2)/(R62-3)),"")</f>
        <v/>
      </c>
      <c r="W62" s="31" t="str">
        <f aca="false">IF(AND(F62&gt;=1,R62&gt;=Inputs!$B$10),(D62-U62-T62*E62-S62*F62)/V62,"")</f>
        <v/>
      </c>
      <c r="X62" s="30" t="n">
        <f aca="false">IF(AB61&lt;&gt;0,AC61+1,0)</f>
        <v>0</v>
      </c>
      <c r="Y62" s="30" t="n">
        <f aca="false">IF(W62="",0,IF(AND(AB61&lt;&gt;0,OR(ABS(W62)&gt;Inputs!$B$7,X62&gt;=Inputs!$B$8,ABS(W62)&lt;Inputs!$B$6)),1,0))</f>
        <v>0</v>
      </c>
      <c r="Z62" s="30" t="n">
        <f aca="false">IF(Y62=1,0,AB61)</f>
        <v>0</v>
      </c>
      <c r="AA62" s="30" t="n">
        <f aca="false">IF(W62="",0,IF(AND(Z62=0,ABS(W62)&gt;Inputs!$B$5,ABS(W62)&lt;=Inputs!$B$7),1,0))</f>
        <v>0</v>
      </c>
      <c r="AB62" s="30" t="n">
        <f aca="false">IF(W62="",0,IF(AA62=1,-SIGN(W62),Z62))</f>
        <v>0</v>
      </c>
      <c r="AC62" s="30" t="n">
        <f aca="false">IF(W62="",0,IF(AA62=1,0,IF(Y62=1,0,X62)))</f>
        <v>0</v>
      </c>
      <c r="AD62" s="30" t="n">
        <f aca="false">IF(AB62=0,0,IF(AB61=AB62,AD61,T62))</f>
        <v>0</v>
      </c>
      <c r="AE62" s="30" t="n">
        <f aca="false">AB62-AB61</f>
        <v>0</v>
      </c>
      <c r="AF62" s="30" t="n">
        <f aca="false">-AD62*AB62</f>
        <v>-0</v>
      </c>
      <c r="AG62" s="30" t="n">
        <f aca="false">AF62-AF61</f>
        <v>0</v>
      </c>
      <c r="AH62" s="30" t="n">
        <f aca="false">MAX(AE62,0)*(Inputs!$B$17+Inputs!$B$18+Inputs!$B$19)+MAX(-AE62,0)*(O62+Inputs!$B$18+Inputs!$B$19)+IF(AND(K62=1,AB62&lt;&gt;0),(Inputs!$B$17+Inputs!$B$18+Inputs!$B$19)+(O62+Inputs!$B$18+Inputs!$B$19),0)+MAX(AG62,0)*(Inputs!$B$20+Inputs!$B$22+Inputs!$B$23)+MAX(-AG62,0)*(Inputs!$B$21+Inputs!$B$22+Inputs!$B$23)</f>
        <v>0</v>
      </c>
      <c r="AI62" s="30" t="n">
        <f aca="false">AB61*(M62-AD61*J62)+AB61*AD61*N62/Inputs!$B$16-AH62</f>
        <v>0</v>
      </c>
      <c r="AJ62" s="30" t="n">
        <f aca="false">MAX(AE62,0)*(Inputs!$B$17+Inputs!$B$24+Inputs!$B$25)+MAX(-AE62,0)*(O62+Inputs!$B$24+Inputs!$B$25)+IF(AND(K62=1,AB62&lt;&gt;0),(Inputs!$B$17+Inputs!$B$24+Inputs!$B$25)+(O62+Inputs!$B$24+Inputs!$B$25),0)+MAX(AG62,0)*(Inputs!$B$20+Inputs!$B$26+Inputs!$B$27)+MAX(-AG62,0)*(Inputs!$B$21+Inputs!$B$26+Inputs!$B$27)</f>
        <v>0</v>
      </c>
      <c r="AK62" s="30" t="n">
        <f aca="false">AB61*(M62-AD61*J62)+AB61*AD61*(N62+Inputs!$B$14)/Inputs!$B$16-AJ62</f>
        <v>0</v>
      </c>
      <c r="AL62" s="30" t="n">
        <f aca="false">IF(AP61&lt;&gt;0,AQ61+1,0)</f>
        <v>0</v>
      </c>
      <c r="AM62" s="30" t="n">
        <f aca="false">IF(W62="",0,IF(AND(AP61&lt;&gt;0,OR(ABS(W62)&gt;Inputs!$B$7,AL62&gt;=Inputs!$B$8,ABS(W62)&lt;Inputs!$B$6)),1,0))</f>
        <v>0</v>
      </c>
      <c r="AN62" s="30" t="n">
        <f aca="false">IF(AM62=1,0,AP61)</f>
        <v>0</v>
      </c>
      <c r="AO62" s="30" t="n">
        <f aca="false">IF(W62="",0,IF(AND(AN62=0,ABS(W62)&gt;Inputs!$B$5,ABS(W62)&lt;=Inputs!$B$7,W62&gt;0),1,0))</f>
        <v>0</v>
      </c>
      <c r="AP62" s="30" t="n">
        <f aca="false">IF(W62="",0,IF(AO62=1,-SIGN(W62),AN62))</f>
        <v>0</v>
      </c>
      <c r="AQ62" s="30" t="n">
        <f aca="false">IF(W62="",0,IF(AO62=1,0,IF(AM62=1,0,AL62)))</f>
        <v>0</v>
      </c>
      <c r="AR62" s="30" t="n">
        <f aca="false">IF(AP62=0,0,IF(AP61=AP62,AR61,T62))</f>
        <v>0</v>
      </c>
      <c r="AS62" s="30" t="n">
        <f aca="false">AP62-AP61</f>
        <v>0</v>
      </c>
      <c r="AT62" s="30" t="n">
        <f aca="false">-AR62*AP62</f>
        <v>-0</v>
      </c>
      <c r="AU62" s="30" t="n">
        <f aca="false">AT62-AT61</f>
        <v>0</v>
      </c>
      <c r="AV62" s="30" t="n">
        <f aca="false">MAX(AS62,0)*(Inputs!$B$17+Inputs!$B$18+Inputs!$B$19)+MAX(-AS62,0)*(O62+Inputs!$B$18+Inputs!$B$19)+IF(AND(K62=1,AP62&lt;&gt;0),(Inputs!$B$17+Inputs!$B$18+Inputs!$B$19)+(O62+Inputs!$B$18+Inputs!$B$19),0)+MAX(AU62,0)*(Inputs!$B$20+Inputs!$B$22+Inputs!$B$23)+MAX(-AU62,0)*(Inputs!$B$21+Inputs!$B$22+Inputs!$B$23)</f>
        <v>0</v>
      </c>
      <c r="AW62" s="30" t="n">
        <f aca="false">AP61*(M62-AR61*J62)+AP61*AR61*N62/Inputs!$B$16-AV62</f>
        <v>0</v>
      </c>
      <c r="AX62" s="30" t="n">
        <f aca="false">AW62-IF(AP61&lt;&gt;0,0.75*AR61*(Inputs!$B$13-N62)/Inputs!$B$16,0)</f>
        <v>0</v>
      </c>
      <c r="AY62" s="30" t="n">
        <f aca="false">MAX(AS62,0)*(Inputs!$B$17+Inputs!$B$18+Inputs!$B$19)+MAX(-AS62,0)*(O62+Inputs!$B$18+Inputs!$B$19)+IF(AND(K62=1,AP62&lt;&gt;0),(Inputs!$B$17+Inputs!$B$18+Inputs!$B$19)+(O62+Inputs!$B$18+Inputs!$B$19),0)</f>
        <v>0</v>
      </c>
      <c r="AZ62" s="30" t="n">
        <f aca="false">AP61*M62-AY62</f>
        <v>-0</v>
      </c>
      <c r="BA62" s="30" t="n">
        <f aca="false">BA61+AI62</f>
        <v>0</v>
      </c>
      <c r="BB62" s="30" t="n">
        <f aca="false">MAX(BB61,BA62)</f>
        <v>0</v>
      </c>
      <c r="BC62" s="30" t="n">
        <f aca="false">BA62-BB62</f>
        <v>0</v>
      </c>
      <c r="BD62" s="30" t="n">
        <f aca="false">A63-A62</f>
        <v>3</v>
      </c>
    </row>
    <row r="63" customFormat="false" ht="15" hidden="false" customHeight="false" outlineLevel="0" collapsed="false">
      <c r="A63" s="28" t="n">
        <v>45131</v>
      </c>
      <c r="B63" s="0" t="n">
        <v>19682.1</v>
      </c>
      <c r="C63" s="0" t="n">
        <v>216.71</v>
      </c>
      <c r="D63" s="29" t="n">
        <f aca="false">LN(B63)</f>
        <v>9.8874648722305</v>
      </c>
      <c r="E63" s="29" t="n">
        <f aca="false">LN(C63)</f>
        <v>5.37856005422424</v>
      </c>
      <c r="F63" s="0" t="n">
        <v>58</v>
      </c>
      <c r="G63" s="0" t="n">
        <v>3</v>
      </c>
      <c r="H63" s="29" t="n">
        <f aca="false">D63-E63</f>
        <v>4.50890481800626</v>
      </c>
      <c r="I63" s="29" t="n">
        <f aca="false">D63-D62</f>
        <v>-0.00630309782800786</v>
      </c>
      <c r="J63" s="29" t="n">
        <f aca="false">E63-E62</f>
        <v>-0.00455791401626193</v>
      </c>
      <c r="K63" s="0" t="n">
        <v>0</v>
      </c>
      <c r="L63" s="0" t="n">
        <v>0</v>
      </c>
      <c r="M63" s="29" t="n">
        <f aca="false">IF(L63=1,J63-Carry!$B$9/Inputs!$B$16,I63)</f>
        <v>-0.00630309782800786</v>
      </c>
      <c r="N63" s="0" t="n">
        <v>0.065</v>
      </c>
      <c r="O63" s="0" t="n">
        <v>0.000125</v>
      </c>
      <c r="P63" s="29" t="n">
        <f aca="false">D63-('2 Hedge ratio'!$B$6+'2 Hedge ratio'!$B$5*E63)</f>
        <v>-0.00179800100801053</v>
      </c>
      <c r="Q63" s="29" t="n">
        <f aca="false">D63-('5 Re-specification'!$B$7+'5 Re-specification'!$B$5*E63+'5 Re-specification'!$B$6*F63)</f>
        <v>-0.0033905761337234</v>
      </c>
      <c r="R63" s="30" t="n">
        <f aca="false">MIN(F63,Inputs!$B$9)</f>
        <v>58</v>
      </c>
      <c r="S63" s="29" t="str">
        <f aca="true">IF(AND(F63&gt;=1,R63&gt;=Inputs!$B$10),INDEX(LINEST(OFFSET(D63,-R63,0,R63,1),OFFSET(E63,-R63,0,R63,2)),1,1),"")</f>
        <v/>
      </c>
      <c r="T63" s="29" t="str">
        <f aca="true">IF(AND(F63&gt;=1,R63&gt;=Inputs!$B$10),INDEX(LINEST(OFFSET(D63,-R63,0,R63,1),OFFSET(E63,-R63,0,R63,2)),1,2),"")</f>
        <v/>
      </c>
      <c r="U63" s="29" t="str">
        <f aca="true">IF(AND(F63&gt;=1,R63&gt;=Inputs!$B$10),INDEX(LINEST(OFFSET(D63,-R63,0,R63,1),OFFSET(E63,-R63,0,R63,2)),1,3),"")</f>
        <v/>
      </c>
      <c r="V63" s="29" t="str">
        <f aca="true">IF(AND(F63&gt;=1,R63&gt;=Inputs!$B$10),SQRT(SUMPRODUCT((OFFSET(D63,-R63,0,R63,1)-U63-T63*OFFSET(E63,-R63,0,R63,1)-S63*OFFSET(F63,-R63,0,R63,1))^2)/(R63-3)),"")</f>
        <v/>
      </c>
      <c r="W63" s="31" t="str">
        <f aca="false">IF(AND(F63&gt;=1,R63&gt;=Inputs!$B$10),(D63-U63-T63*E63-S63*F63)/V63,"")</f>
        <v/>
      </c>
      <c r="X63" s="30" t="n">
        <f aca="false">IF(AB62&lt;&gt;0,AC62+1,0)</f>
        <v>0</v>
      </c>
      <c r="Y63" s="30" t="n">
        <f aca="false">IF(W63="",0,IF(AND(AB62&lt;&gt;0,OR(ABS(W63)&gt;Inputs!$B$7,X63&gt;=Inputs!$B$8,ABS(W63)&lt;Inputs!$B$6)),1,0))</f>
        <v>0</v>
      </c>
      <c r="Z63" s="30" t="n">
        <f aca="false">IF(Y63=1,0,AB62)</f>
        <v>0</v>
      </c>
      <c r="AA63" s="30" t="n">
        <f aca="false">IF(W63="",0,IF(AND(Z63=0,ABS(W63)&gt;Inputs!$B$5,ABS(W63)&lt;=Inputs!$B$7),1,0))</f>
        <v>0</v>
      </c>
      <c r="AB63" s="30" t="n">
        <f aca="false">IF(W63="",0,IF(AA63=1,-SIGN(W63),Z63))</f>
        <v>0</v>
      </c>
      <c r="AC63" s="30" t="n">
        <f aca="false">IF(W63="",0,IF(AA63=1,0,IF(Y63=1,0,X63)))</f>
        <v>0</v>
      </c>
      <c r="AD63" s="30" t="n">
        <f aca="false">IF(AB63=0,0,IF(AB62=AB63,AD62,T63))</f>
        <v>0</v>
      </c>
      <c r="AE63" s="30" t="n">
        <f aca="false">AB63-AB62</f>
        <v>0</v>
      </c>
      <c r="AF63" s="30" t="n">
        <f aca="false">-AD63*AB63</f>
        <v>-0</v>
      </c>
      <c r="AG63" s="30" t="n">
        <f aca="false">AF63-AF62</f>
        <v>0</v>
      </c>
      <c r="AH63" s="30" t="n">
        <f aca="false">MAX(AE63,0)*(Inputs!$B$17+Inputs!$B$18+Inputs!$B$19)+MAX(-AE63,0)*(O63+Inputs!$B$18+Inputs!$B$19)+IF(AND(K63=1,AB63&lt;&gt;0),(Inputs!$B$17+Inputs!$B$18+Inputs!$B$19)+(O63+Inputs!$B$18+Inputs!$B$19),0)+MAX(AG63,0)*(Inputs!$B$20+Inputs!$B$22+Inputs!$B$23)+MAX(-AG63,0)*(Inputs!$B$21+Inputs!$B$22+Inputs!$B$23)</f>
        <v>0</v>
      </c>
      <c r="AI63" s="30" t="n">
        <f aca="false">AB62*(M63-AD62*J63)+AB62*AD62*N63/Inputs!$B$16-AH63</f>
        <v>0</v>
      </c>
      <c r="AJ63" s="30" t="n">
        <f aca="false">MAX(AE63,0)*(Inputs!$B$17+Inputs!$B$24+Inputs!$B$25)+MAX(-AE63,0)*(O63+Inputs!$B$24+Inputs!$B$25)+IF(AND(K63=1,AB63&lt;&gt;0),(Inputs!$B$17+Inputs!$B$24+Inputs!$B$25)+(O63+Inputs!$B$24+Inputs!$B$25),0)+MAX(AG63,0)*(Inputs!$B$20+Inputs!$B$26+Inputs!$B$27)+MAX(-AG63,0)*(Inputs!$B$21+Inputs!$B$26+Inputs!$B$27)</f>
        <v>0</v>
      </c>
      <c r="AK63" s="30" t="n">
        <f aca="false">AB62*(M63-AD62*J63)+AB62*AD62*(N63+Inputs!$B$14)/Inputs!$B$16-AJ63</f>
        <v>0</v>
      </c>
      <c r="AL63" s="30" t="n">
        <f aca="false">IF(AP62&lt;&gt;0,AQ62+1,0)</f>
        <v>0</v>
      </c>
      <c r="AM63" s="30" t="n">
        <f aca="false">IF(W63="",0,IF(AND(AP62&lt;&gt;0,OR(ABS(W63)&gt;Inputs!$B$7,AL63&gt;=Inputs!$B$8,ABS(W63)&lt;Inputs!$B$6)),1,0))</f>
        <v>0</v>
      </c>
      <c r="AN63" s="30" t="n">
        <f aca="false">IF(AM63=1,0,AP62)</f>
        <v>0</v>
      </c>
      <c r="AO63" s="30" t="n">
        <f aca="false">IF(W63="",0,IF(AND(AN63=0,ABS(W63)&gt;Inputs!$B$5,ABS(W63)&lt;=Inputs!$B$7,W63&gt;0),1,0))</f>
        <v>0</v>
      </c>
      <c r="AP63" s="30" t="n">
        <f aca="false">IF(W63="",0,IF(AO63=1,-SIGN(W63),AN63))</f>
        <v>0</v>
      </c>
      <c r="AQ63" s="30" t="n">
        <f aca="false">IF(W63="",0,IF(AO63=1,0,IF(AM63=1,0,AL63)))</f>
        <v>0</v>
      </c>
      <c r="AR63" s="30" t="n">
        <f aca="false">IF(AP63=0,0,IF(AP62=AP63,AR62,T63))</f>
        <v>0</v>
      </c>
      <c r="AS63" s="30" t="n">
        <f aca="false">AP63-AP62</f>
        <v>0</v>
      </c>
      <c r="AT63" s="30" t="n">
        <f aca="false">-AR63*AP63</f>
        <v>-0</v>
      </c>
      <c r="AU63" s="30" t="n">
        <f aca="false">AT63-AT62</f>
        <v>0</v>
      </c>
      <c r="AV63" s="30" t="n">
        <f aca="false">MAX(AS63,0)*(Inputs!$B$17+Inputs!$B$18+Inputs!$B$19)+MAX(-AS63,0)*(O63+Inputs!$B$18+Inputs!$B$19)+IF(AND(K63=1,AP63&lt;&gt;0),(Inputs!$B$17+Inputs!$B$18+Inputs!$B$19)+(O63+Inputs!$B$18+Inputs!$B$19),0)+MAX(AU63,0)*(Inputs!$B$20+Inputs!$B$22+Inputs!$B$23)+MAX(-AU63,0)*(Inputs!$B$21+Inputs!$B$22+Inputs!$B$23)</f>
        <v>0</v>
      </c>
      <c r="AW63" s="30" t="n">
        <f aca="false">AP62*(M63-AR62*J63)+AP62*AR62*N63/Inputs!$B$16-AV63</f>
        <v>0</v>
      </c>
      <c r="AX63" s="30" t="n">
        <f aca="false">AW63-IF(AP62&lt;&gt;0,0.75*AR62*(Inputs!$B$13-N63)/Inputs!$B$16,0)</f>
        <v>0</v>
      </c>
      <c r="AY63" s="30" t="n">
        <f aca="false">MAX(AS63,0)*(Inputs!$B$17+Inputs!$B$18+Inputs!$B$19)+MAX(-AS63,0)*(O63+Inputs!$B$18+Inputs!$B$19)+IF(AND(K63=1,AP63&lt;&gt;0),(Inputs!$B$17+Inputs!$B$18+Inputs!$B$19)+(O63+Inputs!$B$18+Inputs!$B$19),0)</f>
        <v>0</v>
      </c>
      <c r="AZ63" s="30" t="n">
        <f aca="false">AP62*M63-AY63</f>
        <v>-0</v>
      </c>
      <c r="BA63" s="30" t="n">
        <f aca="false">BA62+AI63</f>
        <v>0</v>
      </c>
      <c r="BB63" s="30" t="n">
        <f aca="false">MAX(BB62,BA63)</f>
        <v>0</v>
      </c>
      <c r="BC63" s="30" t="n">
        <f aca="false">BA63-BB63</f>
        <v>0</v>
      </c>
      <c r="BD63" s="30" t="n">
        <f aca="false">A64-A63</f>
        <v>1</v>
      </c>
    </row>
    <row r="64" customFormat="false" ht="15" hidden="false" customHeight="false" outlineLevel="0" collapsed="false">
      <c r="A64" s="28" t="n">
        <v>45132</v>
      </c>
      <c r="B64" s="0" t="n">
        <v>19695</v>
      </c>
      <c r="C64" s="0" t="n">
        <v>216.74</v>
      </c>
      <c r="D64" s="29" t="n">
        <f aca="false">LN(B64)</f>
        <v>9.88812007540501</v>
      </c>
      <c r="E64" s="29" t="n">
        <f aca="false">LN(C64)</f>
        <v>5.37869847849485</v>
      </c>
      <c r="F64" s="0" t="n">
        <v>59</v>
      </c>
      <c r="G64" s="0" t="n">
        <v>2</v>
      </c>
      <c r="H64" s="29" t="n">
        <f aca="false">D64-E64</f>
        <v>4.50942159691016</v>
      </c>
      <c r="I64" s="29" t="n">
        <f aca="false">D64-D63</f>
        <v>0.000655203174508401</v>
      </c>
      <c r="J64" s="29" t="n">
        <f aca="false">E64-E63</f>
        <v>0.000138424270609505</v>
      </c>
      <c r="K64" s="0" t="n">
        <v>0</v>
      </c>
      <c r="L64" s="0" t="n">
        <v>0</v>
      </c>
      <c r="M64" s="29" t="n">
        <f aca="false">IF(L64=1,J64-Carry!$B$9/Inputs!$B$16,I64)</f>
        <v>0.000655203174508401</v>
      </c>
      <c r="N64" s="0" t="n">
        <v>0.065</v>
      </c>
      <c r="O64" s="0" t="n">
        <v>0.000125</v>
      </c>
      <c r="P64" s="29" t="n">
        <f aca="false">D64-('2 Hedge ratio'!$B$6+'2 Hedge ratio'!$B$5*E64)</f>
        <v>-0.00126961201193687</v>
      </c>
      <c r="Q64" s="29" t="n">
        <f aca="false">D64-('5 Re-specification'!$B$7+'5 Re-specification'!$B$5*E64+'5 Re-specification'!$B$6*F64)</f>
        <v>-0.00282844841697205</v>
      </c>
      <c r="R64" s="30" t="n">
        <f aca="false">MIN(F64,Inputs!$B$9)</f>
        <v>59</v>
      </c>
      <c r="S64" s="29" t="str">
        <f aca="true">IF(AND(F64&gt;=1,R64&gt;=Inputs!$B$10),INDEX(LINEST(OFFSET(D64,-R64,0,R64,1),OFFSET(E64,-R64,0,R64,2)),1,1),"")</f>
        <v/>
      </c>
      <c r="T64" s="29" t="str">
        <f aca="true">IF(AND(F64&gt;=1,R64&gt;=Inputs!$B$10),INDEX(LINEST(OFFSET(D64,-R64,0,R64,1),OFFSET(E64,-R64,0,R64,2)),1,2),"")</f>
        <v/>
      </c>
      <c r="U64" s="29" t="str">
        <f aca="true">IF(AND(F64&gt;=1,R64&gt;=Inputs!$B$10),INDEX(LINEST(OFFSET(D64,-R64,0,R64,1),OFFSET(E64,-R64,0,R64,2)),1,3),"")</f>
        <v/>
      </c>
      <c r="V64" s="29" t="str">
        <f aca="true">IF(AND(F64&gt;=1,R64&gt;=Inputs!$B$10),SQRT(SUMPRODUCT((OFFSET(D64,-R64,0,R64,1)-U64-T64*OFFSET(E64,-R64,0,R64,1)-S64*OFFSET(F64,-R64,0,R64,1))^2)/(R64-3)),"")</f>
        <v/>
      </c>
      <c r="W64" s="31" t="str">
        <f aca="false">IF(AND(F64&gt;=1,R64&gt;=Inputs!$B$10),(D64-U64-T64*E64-S64*F64)/V64,"")</f>
        <v/>
      </c>
      <c r="X64" s="30" t="n">
        <f aca="false">IF(AB63&lt;&gt;0,AC63+1,0)</f>
        <v>0</v>
      </c>
      <c r="Y64" s="30" t="n">
        <f aca="false">IF(W64="",0,IF(AND(AB63&lt;&gt;0,OR(ABS(W64)&gt;Inputs!$B$7,X64&gt;=Inputs!$B$8,ABS(W64)&lt;Inputs!$B$6)),1,0))</f>
        <v>0</v>
      </c>
      <c r="Z64" s="30" t="n">
        <f aca="false">IF(Y64=1,0,AB63)</f>
        <v>0</v>
      </c>
      <c r="AA64" s="30" t="n">
        <f aca="false">IF(W64="",0,IF(AND(Z64=0,ABS(W64)&gt;Inputs!$B$5,ABS(W64)&lt;=Inputs!$B$7),1,0))</f>
        <v>0</v>
      </c>
      <c r="AB64" s="30" t="n">
        <f aca="false">IF(W64="",0,IF(AA64=1,-SIGN(W64),Z64))</f>
        <v>0</v>
      </c>
      <c r="AC64" s="30" t="n">
        <f aca="false">IF(W64="",0,IF(AA64=1,0,IF(Y64=1,0,X64)))</f>
        <v>0</v>
      </c>
      <c r="AD64" s="30" t="n">
        <f aca="false">IF(AB64=0,0,IF(AB63=AB64,AD63,T64))</f>
        <v>0</v>
      </c>
      <c r="AE64" s="30" t="n">
        <f aca="false">AB64-AB63</f>
        <v>0</v>
      </c>
      <c r="AF64" s="30" t="n">
        <f aca="false">-AD64*AB64</f>
        <v>-0</v>
      </c>
      <c r="AG64" s="30" t="n">
        <f aca="false">AF64-AF63</f>
        <v>0</v>
      </c>
      <c r="AH64" s="30" t="n">
        <f aca="false">MAX(AE64,0)*(Inputs!$B$17+Inputs!$B$18+Inputs!$B$19)+MAX(-AE64,0)*(O64+Inputs!$B$18+Inputs!$B$19)+IF(AND(K64=1,AB64&lt;&gt;0),(Inputs!$B$17+Inputs!$B$18+Inputs!$B$19)+(O64+Inputs!$B$18+Inputs!$B$19),0)+MAX(AG64,0)*(Inputs!$B$20+Inputs!$B$22+Inputs!$B$23)+MAX(-AG64,0)*(Inputs!$B$21+Inputs!$B$22+Inputs!$B$23)</f>
        <v>0</v>
      </c>
      <c r="AI64" s="30" t="n">
        <f aca="false">AB63*(M64-AD63*J64)+AB63*AD63*N64/Inputs!$B$16-AH64</f>
        <v>0</v>
      </c>
      <c r="AJ64" s="30" t="n">
        <f aca="false">MAX(AE64,0)*(Inputs!$B$17+Inputs!$B$24+Inputs!$B$25)+MAX(-AE64,0)*(O64+Inputs!$B$24+Inputs!$B$25)+IF(AND(K64=1,AB64&lt;&gt;0),(Inputs!$B$17+Inputs!$B$24+Inputs!$B$25)+(O64+Inputs!$B$24+Inputs!$B$25),0)+MAX(AG64,0)*(Inputs!$B$20+Inputs!$B$26+Inputs!$B$27)+MAX(-AG64,0)*(Inputs!$B$21+Inputs!$B$26+Inputs!$B$27)</f>
        <v>0</v>
      </c>
      <c r="AK64" s="30" t="n">
        <f aca="false">AB63*(M64-AD63*J64)+AB63*AD63*(N64+Inputs!$B$14)/Inputs!$B$16-AJ64</f>
        <v>0</v>
      </c>
      <c r="AL64" s="30" t="n">
        <f aca="false">IF(AP63&lt;&gt;0,AQ63+1,0)</f>
        <v>0</v>
      </c>
      <c r="AM64" s="30" t="n">
        <f aca="false">IF(W64="",0,IF(AND(AP63&lt;&gt;0,OR(ABS(W64)&gt;Inputs!$B$7,AL64&gt;=Inputs!$B$8,ABS(W64)&lt;Inputs!$B$6)),1,0))</f>
        <v>0</v>
      </c>
      <c r="AN64" s="30" t="n">
        <f aca="false">IF(AM64=1,0,AP63)</f>
        <v>0</v>
      </c>
      <c r="AO64" s="30" t="n">
        <f aca="false">IF(W64="",0,IF(AND(AN64=0,ABS(W64)&gt;Inputs!$B$5,ABS(W64)&lt;=Inputs!$B$7,W64&gt;0),1,0))</f>
        <v>0</v>
      </c>
      <c r="AP64" s="30" t="n">
        <f aca="false">IF(W64="",0,IF(AO64=1,-SIGN(W64),AN64))</f>
        <v>0</v>
      </c>
      <c r="AQ64" s="30" t="n">
        <f aca="false">IF(W64="",0,IF(AO64=1,0,IF(AM64=1,0,AL64)))</f>
        <v>0</v>
      </c>
      <c r="AR64" s="30" t="n">
        <f aca="false">IF(AP64=0,0,IF(AP63=AP64,AR63,T64))</f>
        <v>0</v>
      </c>
      <c r="AS64" s="30" t="n">
        <f aca="false">AP64-AP63</f>
        <v>0</v>
      </c>
      <c r="AT64" s="30" t="n">
        <f aca="false">-AR64*AP64</f>
        <v>-0</v>
      </c>
      <c r="AU64" s="30" t="n">
        <f aca="false">AT64-AT63</f>
        <v>0</v>
      </c>
      <c r="AV64" s="30" t="n">
        <f aca="false">MAX(AS64,0)*(Inputs!$B$17+Inputs!$B$18+Inputs!$B$19)+MAX(-AS64,0)*(O64+Inputs!$B$18+Inputs!$B$19)+IF(AND(K64=1,AP64&lt;&gt;0),(Inputs!$B$17+Inputs!$B$18+Inputs!$B$19)+(O64+Inputs!$B$18+Inputs!$B$19),0)+MAX(AU64,0)*(Inputs!$B$20+Inputs!$B$22+Inputs!$B$23)+MAX(-AU64,0)*(Inputs!$B$21+Inputs!$B$22+Inputs!$B$23)</f>
        <v>0</v>
      </c>
      <c r="AW64" s="30" t="n">
        <f aca="false">AP63*(M64-AR63*J64)+AP63*AR63*N64/Inputs!$B$16-AV64</f>
        <v>0</v>
      </c>
      <c r="AX64" s="30" t="n">
        <f aca="false">AW64-IF(AP63&lt;&gt;0,0.75*AR63*(Inputs!$B$13-N64)/Inputs!$B$16,0)</f>
        <v>0</v>
      </c>
      <c r="AY64" s="30" t="n">
        <f aca="false">MAX(AS64,0)*(Inputs!$B$17+Inputs!$B$18+Inputs!$B$19)+MAX(-AS64,0)*(O64+Inputs!$B$18+Inputs!$B$19)+IF(AND(K64=1,AP64&lt;&gt;0),(Inputs!$B$17+Inputs!$B$18+Inputs!$B$19)+(O64+Inputs!$B$18+Inputs!$B$19),0)</f>
        <v>0</v>
      </c>
      <c r="AZ64" s="30" t="n">
        <f aca="false">AP63*M64-AY64</f>
        <v>0</v>
      </c>
      <c r="BA64" s="30" t="n">
        <f aca="false">BA63+AI64</f>
        <v>0</v>
      </c>
      <c r="BB64" s="30" t="n">
        <f aca="false">MAX(BB63,BA64)</f>
        <v>0</v>
      </c>
      <c r="BC64" s="30" t="n">
        <f aca="false">BA64-BB64</f>
        <v>0</v>
      </c>
      <c r="BD64" s="30" t="n">
        <f aca="false">A65-A64</f>
        <v>1</v>
      </c>
    </row>
    <row r="65" customFormat="false" ht="15" hidden="false" customHeight="false" outlineLevel="0" collapsed="false">
      <c r="A65" s="28" t="n">
        <v>45133</v>
      </c>
      <c r="B65" s="0" t="n">
        <v>19772</v>
      </c>
      <c r="C65" s="0" t="n">
        <v>217.8</v>
      </c>
      <c r="D65" s="29" t="n">
        <f aca="false">LN(B65)</f>
        <v>9.89202207442685</v>
      </c>
      <c r="E65" s="29" t="n">
        <f aca="false">LN(C65)</f>
        <v>5.38357721049886</v>
      </c>
      <c r="F65" s="0" t="n">
        <v>60</v>
      </c>
      <c r="G65" s="0" t="n">
        <v>1</v>
      </c>
      <c r="H65" s="29" t="n">
        <f aca="false">D65-E65</f>
        <v>4.50844486392799</v>
      </c>
      <c r="I65" s="29" t="n">
        <f aca="false">D65-D64</f>
        <v>0.00390199902184385</v>
      </c>
      <c r="J65" s="29" t="n">
        <f aca="false">E65-E64</f>
        <v>0.0048787320040109</v>
      </c>
      <c r="K65" s="0" t="n">
        <v>0</v>
      </c>
      <c r="L65" s="0" t="n">
        <v>0</v>
      </c>
      <c r="M65" s="29" t="n">
        <f aca="false">IF(L65=1,J65-Carry!$B$9/Inputs!$B$16,I65)</f>
        <v>0.00390199902184385</v>
      </c>
      <c r="N65" s="0" t="n">
        <v>0.065</v>
      </c>
      <c r="O65" s="0" t="n">
        <v>0.000125</v>
      </c>
      <c r="P65" s="29" t="n">
        <f aca="false">D65-('2 Hedge ratio'!$B$6+'2 Hedge ratio'!$B$5*E65)</f>
        <v>-0.00183714993016082</v>
      </c>
      <c r="Q65" s="29" t="n">
        <f aca="false">D65-('5 Re-specification'!$B$7+'5 Re-specification'!$B$5*E65+'5 Re-specification'!$B$6*F65)</f>
        <v>-0.00374546708360057</v>
      </c>
      <c r="R65" s="30" t="n">
        <f aca="false">MIN(F65,Inputs!$B$9)</f>
        <v>60</v>
      </c>
      <c r="S65" s="29" t="n">
        <f aca="true">IF(AND(F65&gt;=1,R65&gt;=Inputs!$B$10),INDEX(LINEST(OFFSET(D65,-R65,0,R65,1),OFFSET(E65,-R65,0,R65,2)),1,1),"")</f>
        <v>-0.00019031047626256</v>
      </c>
      <c r="T65" s="29" t="n">
        <f aca="true">IF(AND(F65&gt;=1,R65&gt;=Inputs!$B$10),INDEX(LINEST(OFFSET(D65,-R65,0,R65,1),OFFSET(E65,-R65,0,R65,2)),1,2),"")</f>
        <v>1.05589959506959</v>
      </c>
      <c r="U65" s="29" t="n">
        <f aca="true">IF(AND(F65&gt;=1,R65&gt;=Inputs!$B$10),INDEX(LINEST(OFFSET(D65,-R65,0,R65,1),OFFSET(E65,-R65,0,R65,2)),1,3),"")</f>
        <v>4.22252179954258</v>
      </c>
      <c r="V65" s="29" t="n">
        <f aca="true">IF(AND(F65&gt;=1,R65&gt;=Inputs!$B$10),SQRT(SUMPRODUCT((OFFSET(D65,-R65,0,R65,1)-U65-T65*OFFSET(E65,-R65,0,R65,1)-S65*OFFSET(F65,-R65,0,R65,1))^2)/(R65-3)),"")</f>
        <v>0.00150497900992816</v>
      </c>
      <c r="W65" s="31" t="n">
        <f aca="false">IF(AND(F65&gt;=1,R65&gt;=Inputs!$B$10),(D65-U65-T65*E65-S65*F65)/V65,"")</f>
        <v>-2.39079290000445</v>
      </c>
      <c r="X65" s="30" t="n">
        <f aca="false">IF(AB64&lt;&gt;0,AC64+1,0)</f>
        <v>0</v>
      </c>
      <c r="Y65" s="30" t="n">
        <f aca="false">IF(W65="",0,IF(AND(AB64&lt;&gt;0,OR(ABS(W65)&gt;Inputs!$B$7,X65&gt;=Inputs!$B$8,ABS(W65)&lt;Inputs!$B$6)),1,0))</f>
        <v>0</v>
      </c>
      <c r="Z65" s="30" t="n">
        <f aca="false">IF(Y65=1,0,AB64)</f>
        <v>0</v>
      </c>
      <c r="AA65" s="30" t="n">
        <f aca="false">IF(W65="",0,IF(AND(Z65=0,ABS(W65)&gt;Inputs!$B$5,ABS(W65)&lt;=Inputs!$B$7),1,0))</f>
        <v>1</v>
      </c>
      <c r="AB65" s="30" t="n">
        <f aca="false">IF(W65="",0,IF(AA65=1,-SIGN(W65),Z65))</f>
        <v>1</v>
      </c>
      <c r="AC65" s="30" t="n">
        <f aca="false">IF(W65="",0,IF(AA65=1,0,IF(Y65=1,0,X65)))</f>
        <v>0</v>
      </c>
      <c r="AD65" s="29" t="n">
        <f aca="false">IF(AB65=0,0,IF(AB64=AB65,AD64,T65))</f>
        <v>1.05589959506959</v>
      </c>
      <c r="AE65" s="30" t="n">
        <f aca="false">AB65-AB64</f>
        <v>1</v>
      </c>
      <c r="AF65" s="30" t="n">
        <f aca="false">-AD65*AB65</f>
        <v>-1.05589959506959</v>
      </c>
      <c r="AG65" s="30" t="n">
        <f aca="false">AF65-AF64</f>
        <v>-1.05589959506959</v>
      </c>
      <c r="AH65" s="30" t="n">
        <f aca="false">MAX(AE65,0)*(Inputs!$B$17+Inputs!$B$18+Inputs!$B$19)+MAX(-AE65,0)*(O65+Inputs!$B$18+Inputs!$B$19)+IF(AND(K65=1,AB65&lt;&gt;0),(Inputs!$B$17+Inputs!$B$18+Inputs!$B$19)+(O65+Inputs!$B$18+Inputs!$B$19),0)+MAX(AG65,0)*(Inputs!$B$20+Inputs!$B$22+Inputs!$B$23)+MAX(-AG65,0)*(Inputs!$B$21+Inputs!$B$22+Inputs!$B$23)</f>
        <v>0.000376738914964614</v>
      </c>
      <c r="AI65" s="30" t="n">
        <f aca="false">AB64*(M65-AD64*J65)+AB64*AD64*N65/Inputs!$B$16-AH65</f>
        <v>-0.000376738914964614</v>
      </c>
      <c r="AJ65" s="30" t="n">
        <f aca="false">MAX(AE65,0)*(Inputs!$B$17+Inputs!$B$24+Inputs!$B$25)+MAX(-AE65,0)*(O65+Inputs!$B$24+Inputs!$B$25)+IF(AND(K65=1,AB65&lt;&gt;0),(Inputs!$B$17+Inputs!$B$24+Inputs!$B$25)+(O65+Inputs!$B$24+Inputs!$B$25),0)+MAX(AG65,0)*(Inputs!$B$20+Inputs!$B$26+Inputs!$B$27)+MAX(-AG65,0)*(Inputs!$B$21+Inputs!$B$26+Inputs!$B$27)</f>
        <v>0.000211428453433003</v>
      </c>
      <c r="AK65" s="30" t="n">
        <f aca="false">AB64*(M65-AD64*J65)+AB64*AD64*(N65+Inputs!$B$14)/Inputs!$B$16-AJ65</f>
        <v>-0.000211428453433003</v>
      </c>
      <c r="AL65" s="30" t="n">
        <f aca="false">IF(AP64&lt;&gt;0,AQ64+1,0)</f>
        <v>0</v>
      </c>
      <c r="AM65" s="30" t="n">
        <f aca="false">IF(W65="",0,IF(AND(AP64&lt;&gt;0,OR(ABS(W65)&gt;Inputs!$B$7,AL65&gt;=Inputs!$B$8,ABS(W65)&lt;Inputs!$B$6)),1,0))</f>
        <v>0</v>
      </c>
      <c r="AN65" s="30" t="n">
        <f aca="false">IF(AM65=1,0,AP64)</f>
        <v>0</v>
      </c>
      <c r="AO65" s="30" t="n">
        <f aca="false">IF(W65="",0,IF(AND(AN65=0,ABS(W65)&gt;Inputs!$B$5,ABS(W65)&lt;=Inputs!$B$7,W65&gt;0),1,0))</f>
        <v>0</v>
      </c>
      <c r="AP65" s="30" t="n">
        <f aca="false">IF(W65="",0,IF(AO65=1,-SIGN(W65),AN65))</f>
        <v>0</v>
      </c>
      <c r="AQ65" s="30" t="n">
        <f aca="false">IF(W65="",0,IF(AO65=1,0,IF(AM65=1,0,AL65)))</f>
        <v>0</v>
      </c>
      <c r="AR65" s="30" t="n">
        <f aca="false">IF(AP65=0,0,IF(AP64=AP65,AR64,T65))</f>
        <v>0</v>
      </c>
      <c r="AS65" s="30" t="n">
        <f aca="false">AP65-AP64</f>
        <v>0</v>
      </c>
      <c r="AT65" s="30" t="n">
        <f aca="false">-AR65*AP65</f>
        <v>-0</v>
      </c>
      <c r="AU65" s="30" t="n">
        <f aca="false">AT65-AT64</f>
        <v>0</v>
      </c>
      <c r="AV65" s="30" t="n">
        <f aca="false">MAX(AS65,0)*(Inputs!$B$17+Inputs!$B$18+Inputs!$B$19)+MAX(-AS65,0)*(O65+Inputs!$B$18+Inputs!$B$19)+IF(AND(K65=1,AP65&lt;&gt;0),(Inputs!$B$17+Inputs!$B$18+Inputs!$B$19)+(O65+Inputs!$B$18+Inputs!$B$19),0)+MAX(AU65,0)*(Inputs!$B$20+Inputs!$B$22+Inputs!$B$23)+MAX(-AU65,0)*(Inputs!$B$21+Inputs!$B$22+Inputs!$B$23)</f>
        <v>0</v>
      </c>
      <c r="AW65" s="30" t="n">
        <f aca="false">AP64*(M65-AR64*J65)+AP64*AR64*N65/Inputs!$B$16-AV65</f>
        <v>0</v>
      </c>
      <c r="AX65" s="30" t="n">
        <f aca="false">AW65-IF(AP64&lt;&gt;0,0.75*AR64*(Inputs!$B$13-N65)/Inputs!$B$16,0)</f>
        <v>0</v>
      </c>
      <c r="AY65" s="30" t="n">
        <f aca="false">MAX(AS65,0)*(Inputs!$B$17+Inputs!$B$18+Inputs!$B$19)+MAX(-AS65,0)*(O65+Inputs!$B$18+Inputs!$B$19)+IF(AND(K65=1,AP65&lt;&gt;0),(Inputs!$B$17+Inputs!$B$18+Inputs!$B$19)+(O65+Inputs!$B$18+Inputs!$B$19),0)</f>
        <v>0</v>
      </c>
      <c r="AZ65" s="30" t="n">
        <f aca="false">AP64*M65-AY65</f>
        <v>0</v>
      </c>
      <c r="BA65" s="30" t="n">
        <f aca="false">BA64+AI65</f>
        <v>-0.000376738914964614</v>
      </c>
      <c r="BB65" s="30" t="n">
        <f aca="false">MAX(BB64,BA65)</f>
        <v>0</v>
      </c>
      <c r="BC65" s="30" t="n">
        <f aca="false">BA65-BB65</f>
        <v>-0.000376738914964614</v>
      </c>
      <c r="BD65" s="30" t="n">
        <f aca="false">A66-A65</f>
        <v>1</v>
      </c>
    </row>
    <row r="66" customFormat="false" ht="15" hidden="false" customHeight="false" outlineLevel="0" collapsed="false">
      <c r="A66" s="28" t="n">
        <v>45134</v>
      </c>
      <c r="B66" s="0" t="n">
        <v>19658.2</v>
      </c>
      <c r="C66" s="0" t="n">
        <v>217.02</v>
      </c>
      <c r="D66" s="29" t="n">
        <f aca="false">LN(B66)</f>
        <v>9.88624983304979</v>
      </c>
      <c r="E66" s="29" t="n">
        <f aca="false">LN(C66)</f>
        <v>5.37998951519206</v>
      </c>
      <c r="F66" s="0" t="n">
        <v>61</v>
      </c>
      <c r="G66" s="0" t="n">
        <v>0</v>
      </c>
      <c r="H66" s="29" t="n">
        <f aca="false">D66-E66</f>
        <v>4.50626031785773</v>
      </c>
      <c r="I66" s="29" t="n">
        <f aca="false">D66-D65</f>
        <v>-0.00577224137705734</v>
      </c>
      <c r="J66" s="29" t="n">
        <f aca="false">E66-E65</f>
        <v>-0.00358769530679837</v>
      </c>
      <c r="K66" s="0" t="n">
        <v>1</v>
      </c>
      <c r="L66" s="0" t="n">
        <v>0</v>
      </c>
      <c r="M66" s="29" t="n">
        <f aca="false">IF(L66=1,J66-Carry!$B$9/Inputs!$B$16,I66)</f>
        <v>-0.00577224137705734</v>
      </c>
      <c r="N66" s="0" t="n">
        <v>0.065</v>
      </c>
      <c r="O66" s="0" t="n">
        <v>0.000125</v>
      </c>
      <c r="P66" s="29" t="n">
        <f aca="false">D66-('2 Hedge ratio'!$B$6+'2 Hedge ratio'!$B$5*E66)</f>
        <v>-0.0043226076326377</v>
      </c>
      <c r="Q66" s="29" t="n">
        <f aca="false">D66-('5 Re-specification'!$B$7+'5 Re-specification'!$B$5*E66+'5 Re-specification'!$B$6*F66)</f>
        <v>-0.00589595634646578</v>
      </c>
      <c r="R66" s="30" t="n">
        <f aca="false">MIN(F66,Inputs!$B$9)</f>
        <v>61</v>
      </c>
      <c r="S66" s="29" t="n">
        <f aca="true">IF(AND(F66&gt;=1,R66&gt;=Inputs!$B$10),INDEX(LINEST(OFFSET(D66,-R66,0,R66,1),OFFSET(E66,-R66,0,R66,2)),1,1),"")</f>
        <v>-0.000189875477014563</v>
      </c>
      <c r="T66" s="29" t="n">
        <f aca="true">IF(AND(F66&gt;=1,R66&gt;=Inputs!$B$10),INDEX(LINEST(OFFSET(D66,-R66,0,R66,1),OFFSET(E66,-R66,0,R66,2)),1,2),"")</f>
        <v>1.05215202251788</v>
      </c>
      <c r="U66" s="29" t="n">
        <f aca="true">IF(AND(F66&gt;=1,R66&gt;=Inputs!$B$10),INDEX(LINEST(OFFSET(D66,-R66,0,R66,1),OFFSET(E66,-R66,0,R66,2)),1,3),"")</f>
        <v>4.24242607242374</v>
      </c>
      <c r="V66" s="29" t="n">
        <f aca="true">IF(AND(F66&gt;=1,R66&gt;=Inputs!$B$10),SQRT(SUMPRODUCT((OFFSET(D66,-R66,0,R66,1)-U66-T66*OFFSET(E66,-R66,0,R66,1)-S66*OFFSET(F66,-R66,0,R66,1))^2)/(R66-3)),"")</f>
        <v>0.00156010422408823</v>
      </c>
      <c r="W66" s="31" t="n">
        <f aca="false">IF(AND(F66&gt;=1,R66&gt;=Inputs!$B$10),(D66-U66-T66*E66-S66*F66)/V66,"")</f>
        <v>-3.30791028616766</v>
      </c>
      <c r="X66" s="30" t="n">
        <f aca="false">IF(AB65&lt;&gt;0,AC65+1,0)</f>
        <v>1</v>
      </c>
      <c r="Y66" s="30" t="n">
        <f aca="false">IF(W66="",0,IF(AND(AB65&lt;&gt;0,OR(ABS(W66)&gt;Inputs!$B$7,X66&gt;=Inputs!$B$8,ABS(W66)&lt;Inputs!$B$6)),1,0))</f>
        <v>0</v>
      </c>
      <c r="Z66" s="30" t="n">
        <f aca="false">IF(Y66=1,0,AB65)</f>
        <v>1</v>
      </c>
      <c r="AA66" s="30" t="n">
        <f aca="false">IF(W66="",0,IF(AND(Z66=0,ABS(W66)&gt;Inputs!$B$5,ABS(W66)&lt;=Inputs!$B$7),1,0))</f>
        <v>0</v>
      </c>
      <c r="AB66" s="30" t="n">
        <f aca="false">IF(W66="",0,IF(AA66=1,-SIGN(W66),Z66))</f>
        <v>1</v>
      </c>
      <c r="AC66" s="30" t="n">
        <f aca="false">IF(W66="",0,IF(AA66=1,0,IF(Y66=1,0,X66)))</f>
        <v>1</v>
      </c>
      <c r="AD66" s="29" t="n">
        <f aca="false">IF(AB66=0,0,IF(AB65=AB66,AD65,T66))</f>
        <v>1.05589959506959</v>
      </c>
      <c r="AE66" s="30" t="n">
        <f aca="false">AB66-AB65</f>
        <v>0</v>
      </c>
      <c r="AF66" s="30" t="n">
        <f aca="false">-AD66*AB66</f>
        <v>-1.05589959506959</v>
      </c>
      <c r="AG66" s="30" t="n">
        <f aca="false">AF66-AF65</f>
        <v>0</v>
      </c>
      <c r="AH66" s="32" t="n">
        <f aca="false">MAX(AE66,0)*(Inputs!$B$17+Inputs!$B$18+Inputs!$B$19)+MAX(-AE66,0)*(O66+Inputs!$B$18+Inputs!$B$19)+IF(AND(K66=1,AB66&lt;&gt;0),(Inputs!$B$17+Inputs!$B$18+Inputs!$B$19)+(O66+Inputs!$B$18+Inputs!$B$19),0)+MAX(AG66,0)*(Inputs!$B$20+Inputs!$B$22+Inputs!$B$23)+MAX(-AG66,0)*(Inputs!$B$21+Inputs!$B$22+Inputs!$B$23)</f>
        <v>0.000415</v>
      </c>
      <c r="AI66" s="32" t="n">
        <f aca="false">AB65*(M66-AD65*J66)+AB65*AD65*N66/Inputs!$B$16-AH66</f>
        <v>-0.00212664030109206</v>
      </c>
      <c r="AJ66" s="32" t="n">
        <f aca="false">MAX(AE66,0)*(Inputs!$B$17+Inputs!$B$24+Inputs!$B$25)+MAX(-AE66,0)*(O66+Inputs!$B$24+Inputs!$B$25)+IF(AND(K66=1,AB66&lt;&gt;0),(Inputs!$B$17+Inputs!$B$24+Inputs!$B$25)+(O66+Inputs!$B$24+Inputs!$B$25),0)+MAX(AG66,0)*(Inputs!$B$20+Inputs!$B$26+Inputs!$B$27)+MAX(-AG66,0)*(Inputs!$B$21+Inputs!$B$26+Inputs!$B$27)</f>
        <v>0.000285</v>
      </c>
      <c r="AK66" s="32" t="n">
        <f aca="false">AB65*(M66-AD65*J66)+AB65*AD65*(N66+Inputs!$B$14)/Inputs!$B$16-AJ66</f>
        <v>-0.00196521471790546</v>
      </c>
      <c r="AL66" s="30" t="n">
        <f aca="false">IF(AP65&lt;&gt;0,AQ65+1,0)</f>
        <v>0</v>
      </c>
      <c r="AM66" s="30" t="n">
        <f aca="false">IF(W66="",0,IF(AND(AP65&lt;&gt;0,OR(ABS(W66)&gt;Inputs!$B$7,AL66&gt;=Inputs!$B$8,ABS(W66)&lt;Inputs!$B$6)),1,0))</f>
        <v>0</v>
      </c>
      <c r="AN66" s="30" t="n">
        <f aca="false">IF(AM66=1,0,AP65)</f>
        <v>0</v>
      </c>
      <c r="AO66" s="30" t="n">
        <f aca="false">IF(W66="",0,IF(AND(AN66=0,ABS(W66)&gt;Inputs!$B$5,ABS(W66)&lt;=Inputs!$B$7,W66&gt;0),1,0))</f>
        <v>0</v>
      </c>
      <c r="AP66" s="30" t="n">
        <f aca="false">IF(W66="",0,IF(AO66=1,-SIGN(W66),AN66))</f>
        <v>0</v>
      </c>
      <c r="AQ66" s="30" t="n">
        <f aca="false">IF(W66="",0,IF(AO66=1,0,IF(AM66=1,0,AL66)))</f>
        <v>0</v>
      </c>
      <c r="AR66" s="30" t="n">
        <f aca="false">IF(AP66=0,0,IF(AP65=AP66,AR65,T66))</f>
        <v>0</v>
      </c>
      <c r="AS66" s="30" t="n">
        <f aca="false">AP66-AP65</f>
        <v>0</v>
      </c>
      <c r="AT66" s="30" t="n">
        <f aca="false">-AR66*AP66</f>
        <v>-0</v>
      </c>
      <c r="AU66" s="30" t="n">
        <f aca="false">AT66-AT65</f>
        <v>0</v>
      </c>
      <c r="AV66" s="30" t="n">
        <f aca="false">MAX(AS66,0)*(Inputs!$B$17+Inputs!$B$18+Inputs!$B$19)+MAX(-AS66,0)*(O66+Inputs!$B$18+Inputs!$B$19)+IF(AND(K66=1,AP66&lt;&gt;0),(Inputs!$B$17+Inputs!$B$18+Inputs!$B$19)+(O66+Inputs!$B$18+Inputs!$B$19),0)+MAX(AU66,0)*(Inputs!$B$20+Inputs!$B$22+Inputs!$B$23)+MAX(-AU66,0)*(Inputs!$B$21+Inputs!$B$22+Inputs!$B$23)</f>
        <v>0</v>
      </c>
      <c r="AW66" s="30" t="n">
        <f aca="false">AP65*(M66-AR65*J66)+AP65*AR65*N66/Inputs!$B$16-AV66</f>
        <v>0</v>
      </c>
      <c r="AX66" s="30" t="n">
        <f aca="false">AW66-IF(AP65&lt;&gt;0,0.75*AR65*(Inputs!$B$13-N66)/Inputs!$B$16,0)</f>
        <v>0</v>
      </c>
      <c r="AY66" s="30" t="n">
        <f aca="false">MAX(AS66,0)*(Inputs!$B$17+Inputs!$B$18+Inputs!$B$19)+MAX(-AS66,0)*(O66+Inputs!$B$18+Inputs!$B$19)+IF(AND(K66=1,AP66&lt;&gt;0),(Inputs!$B$17+Inputs!$B$18+Inputs!$B$19)+(O66+Inputs!$B$18+Inputs!$B$19),0)</f>
        <v>0</v>
      </c>
      <c r="AZ66" s="30" t="n">
        <f aca="false">AP65*M66-AY66</f>
        <v>-0</v>
      </c>
      <c r="BA66" s="32" t="n">
        <f aca="false">BA65+AI66</f>
        <v>-0.00250337921605667</v>
      </c>
      <c r="BB66" s="30" t="n">
        <f aca="false">MAX(BB65,BA66)</f>
        <v>0</v>
      </c>
      <c r="BC66" s="32" t="n">
        <f aca="false">BA66-BB66</f>
        <v>-0.00250337921605667</v>
      </c>
      <c r="BD66" s="30" t="n">
        <f aca="false">A67-A66</f>
        <v>1</v>
      </c>
    </row>
    <row r="67" customFormat="false" ht="15" hidden="false" customHeight="false" outlineLevel="0" collapsed="false">
      <c r="A67" s="28" t="n">
        <v>45135</v>
      </c>
      <c r="B67" s="0" t="n">
        <v>19733.3</v>
      </c>
      <c r="C67" s="0" t="n">
        <v>216.35</v>
      </c>
      <c r="D67" s="29" t="n">
        <f aca="false">LN(B67)</f>
        <v>9.89006284301337</v>
      </c>
      <c r="E67" s="29" t="n">
        <f aca="false">LN(C67)</f>
        <v>5.37689746667089</v>
      </c>
      <c r="F67" s="0" t="n">
        <v>62</v>
      </c>
      <c r="G67" s="0" t="n">
        <v>34</v>
      </c>
      <c r="H67" s="29" t="n">
        <f aca="false">D67-E67</f>
        <v>4.51316537634248</v>
      </c>
      <c r="I67" s="29" t="n">
        <f aca="false">D67-D66</f>
        <v>0.00381300996357936</v>
      </c>
      <c r="J67" s="29" t="n">
        <f aca="false">E67-E66</f>
        <v>-0.00309204852116807</v>
      </c>
      <c r="K67" s="0" t="n">
        <v>0</v>
      </c>
      <c r="L67" s="0" t="n">
        <v>1</v>
      </c>
      <c r="M67" s="29" t="n">
        <f aca="false">IF(L67=1,J67-Carry!$B$9/Inputs!$B$16,I67)</f>
        <v>-0.0033515067028892</v>
      </c>
      <c r="N67" s="0" t="n">
        <v>0.065</v>
      </c>
      <c r="O67" s="0" t="n">
        <v>0.000125</v>
      </c>
      <c r="P67" s="29" t="n">
        <f aca="false">D67-('2 Hedge ratio'!$B$6+'2 Hedge ratio'!$B$5*E67)</f>
        <v>0.00232311072207381</v>
      </c>
      <c r="Q67" s="29" t="n">
        <f aca="false">D67-('5 Re-specification'!$B$7+'5 Re-specification'!$B$5*E67+'5 Re-specification'!$B$6*F67)</f>
        <v>0.00104466100327016</v>
      </c>
      <c r="R67" s="30" t="n">
        <f aca="false">MIN(F67,Inputs!$B$9)</f>
        <v>62</v>
      </c>
      <c r="S67" s="29" t="n">
        <f aca="true">IF(AND(F67&gt;=1,R67&gt;=Inputs!$B$10),INDEX(LINEST(OFFSET(D67,-R67,0,R67,1),OFFSET(E67,-R67,0,R67,2)),1,1),"")</f>
        <v>-0.000200513290480534</v>
      </c>
      <c r="T67" s="29" t="n">
        <f aca="true">IF(AND(F67&gt;=1,R67&gt;=Inputs!$B$10),INDEX(LINEST(OFFSET(D67,-R67,0,R67,1),OFFSET(E67,-R67,0,R67,2)),1,2),"")</f>
        <v>1.05380751766663</v>
      </c>
      <c r="U67" s="29" t="n">
        <f aca="true">IF(AND(F67&gt;=1,R67&gt;=Inputs!$B$10),INDEX(LINEST(OFFSET(D67,-R67,0,R67,1),OFFSET(E67,-R67,0,R67,2)),1,3),"")</f>
        <v>4.23384140595892</v>
      </c>
      <c r="V67" s="29" t="n">
        <f aca="true">IF(AND(F67&gt;=1,R67&gt;=Inputs!$B$10),SQRT(SUMPRODUCT((OFFSET(D67,-R67,0,R67,1)-U67-T67*OFFSET(E67,-R67,0,R67,1)-S67*OFFSET(F67,-R67,0,R67,1))^2)/(R67-3)),"")</f>
        <v>0.00167793581732784</v>
      </c>
      <c r="W67" s="31" t="n">
        <f aca="false">IF(AND(F67&gt;=1,R67&gt;=Inputs!$B$10),(D67-U67-T67*E67-S67*F67)/V67,"")</f>
        <v>1.4531479324906</v>
      </c>
      <c r="X67" s="30" t="n">
        <f aca="false">IF(AB66&lt;&gt;0,AC66+1,0)</f>
        <v>2</v>
      </c>
      <c r="Y67" s="30" t="n">
        <f aca="false">IF(W67="",0,IF(AND(AB66&lt;&gt;0,OR(ABS(W67)&gt;Inputs!$B$7,X67&gt;=Inputs!$B$8,ABS(W67)&lt;Inputs!$B$6)),1,0))</f>
        <v>0</v>
      </c>
      <c r="Z67" s="30" t="n">
        <f aca="false">IF(Y67=1,0,AB66)</f>
        <v>1</v>
      </c>
      <c r="AA67" s="30" t="n">
        <f aca="false">IF(W67="",0,IF(AND(Z67=0,ABS(W67)&gt;Inputs!$B$5,ABS(W67)&lt;=Inputs!$B$7),1,0))</f>
        <v>0</v>
      </c>
      <c r="AB67" s="30" t="n">
        <f aca="false">IF(W67="",0,IF(AA67=1,-SIGN(W67),Z67))</f>
        <v>1</v>
      </c>
      <c r="AC67" s="30" t="n">
        <f aca="false">IF(W67="",0,IF(AA67=1,0,IF(Y67=1,0,X67)))</f>
        <v>2</v>
      </c>
      <c r="AD67" s="29" t="n">
        <f aca="false">IF(AB67=0,0,IF(AB66=AB67,AD66,T67))</f>
        <v>1.05589959506959</v>
      </c>
      <c r="AE67" s="30" t="n">
        <f aca="false">AB67-AB66</f>
        <v>0</v>
      </c>
      <c r="AF67" s="30" t="n">
        <f aca="false">-AD67*AB67</f>
        <v>-1.05589959506959</v>
      </c>
      <c r="AG67" s="30" t="n">
        <f aca="false">AF67-AF66</f>
        <v>0</v>
      </c>
      <c r="AH67" s="30" t="n">
        <f aca="false">MAX(AE67,0)*(Inputs!$B$17+Inputs!$B$18+Inputs!$B$19)+MAX(-AE67,0)*(O67+Inputs!$B$18+Inputs!$B$19)+IF(AND(K67=1,AB67&lt;&gt;0),(Inputs!$B$17+Inputs!$B$18+Inputs!$B$19)+(O67+Inputs!$B$18+Inputs!$B$19),0)+MAX(AG67,0)*(Inputs!$B$20+Inputs!$B$22+Inputs!$B$23)+MAX(-AG67,0)*(Inputs!$B$21+Inputs!$B$22+Inputs!$B$23)</f>
        <v>0</v>
      </c>
      <c r="AI67" s="30" t="n">
        <f aca="false">AB66*(M67-AD66*J67)+AB66*AD66*N67/Inputs!$B$16-AH67</f>
        <v>0.000185741132831507</v>
      </c>
      <c r="AJ67" s="30" t="n">
        <f aca="false">MAX(AE67,0)*(Inputs!$B$17+Inputs!$B$24+Inputs!$B$25)+MAX(-AE67,0)*(O67+Inputs!$B$24+Inputs!$B$25)+IF(AND(K67=1,AB67&lt;&gt;0),(Inputs!$B$17+Inputs!$B$24+Inputs!$B$25)+(O67+Inputs!$B$24+Inputs!$B$25),0)+MAX(AG67,0)*(Inputs!$B$20+Inputs!$B$26+Inputs!$B$27)+MAX(-AG67,0)*(Inputs!$B$21+Inputs!$B$26+Inputs!$B$27)</f>
        <v>0</v>
      </c>
      <c r="AK67" s="30" t="n">
        <f aca="false">AB66*(M67-AD66*J67)+AB66*AD66*(N67+Inputs!$B$14)/Inputs!$B$16-AJ67</f>
        <v>0.000217166716018102</v>
      </c>
      <c r="AL67" s="30" t="n">
        <f aca="false">IF(AP66&lt;&gt;0,AQ66+1,0)</f>
        <v>0</v>
      </c>
      <c r="AM67" s="30" t="n">
        <f aca="false">IF(W67="",0,IF(AND(AP66&lt;&gt;0,OR(ABS(W67)&gt;Inputs!$B$7,AL67&gt;=Inputs!$B$8,ABS(W67)&lt;Inputs!$B$6)),1,0))</f>
        <v>0</v>
      </c>
      <c r="AN67" s="30" t="n">
        <f aca="false">IF(AM67=1,0,AP66)</f>
        <v>0</v>
      </c>
      <c r="AO67" s="30" t="n">
        <f aca="false">IF(W67="",0,IF(AND(AN67=0,ABS(W67)&gt;Inputs!$B$5,ABS(W67)&lt;=Inputs!$B$7,W67&gt;0),1,0))</f>
        <v>0</v>
      </c>
      <c r="AP67" s="30" t="n">
        <f aca="false">IF(W67="",0,IF(AO67=1,-SIGN(W67),AN67))</f>
        <v>0</v>
      </c>
      <c r="AQ67" s="30" t="n">
        <f aca="false">IF(W67="",0,IF(AO67=1,0,IF(AM67=1,0,AL67)))</f>
        <v>0</v>
      </c>
      <c r="AR67" s="30" t="n">
        <f aca="false">IF(AP67=0,0,IF(AP66=AP67,AR66,T67))</f>
        <v>0</v>
      </c>
      <c r="AS67" s="30" t="n">
        <f aca="false">AP67-AP66</f>
        <v>0</v>
      </c>
      <c r="AT67" s="30" t="n">
        <f aca="false">-AR67*AP67</f>
        <v>-0</v>
      </c>
      <c r="AU67" s="30" t="n">
        <f aca="false">AT67-AT66</f>
        <v>0</v>
      </c>
      <c r="AV67" s="30" t="n">
        <f aca="false">MAX(AS67,0)*(Inputs!$B$17+Inputs!$B$18+Inputs!$B$19)+MAX(-AS67,0)*(O67+Inputs!$B$18+Inputs!$B$19)+IF(AND(K67=1,AP67&lt;&gt;0),(Inputs!$B$17+Inputs!$B$18+Inputs!$B$19)+(O67+Inputs!$B$18+Inputs!$B$19),0)+MAX(AU67,0)*(Inputs!$B$20+Inputs!$B$22+Inputs!$B$23)+MAX(-AU67,0)*(Inputs!$B$21+Inputs!$B$22+Inputs!$B$23)</f>
        <v>0</v>
      </c>
      <c r="AW67" s="30" t="n">
        <f aca="false">AP66*(M67-AR66*J67)+AP66*AR66*N67/Inputs!$B$16-AV67</f>
        <v>0</v>
      </c>
      <c r="AX67" s="30" t="n">
        <f aca="false">AW67-IF(AP66&lt;&gt;0,0.75*AR66*(Inputs!$B$13-N67)/Inputs!$B$16,0)</f>
        <v>0</v>
      </c>
      <c r="AY67" s="30" t="n">
        <f aca="false">MAX(AS67,0)*(Inputs!$B$17+Inputs!$B$18+Inputs!$B$19)+MAX(-AS67,0)*(O67+Inputs!$B$18+Inputs!$B$19)+IF(AND(K67=1,AP67&lt;&gt;0),(Inputs!$B$17+Inputs!$B$18+Inputs!$B$19)+(O67+Inputs!$B$18+Inputs!$B$19),0)</f>
        <v>0</v>
      </c>
      <c r="AZ67" s="30" t="n">
        <f aca="false">AP66*M67-AY67</f>
        <v>-0</v>
      </c>
      <c r="BA67" s="32" t="n">
        <f aca="false">BA66+AI67</f>
        <v>-0.00231763808322517</v>
      </c>
      <c r="BB67" s="30" t="n">
        <f aca="false">MAX(BB66,BA67)</f>
        <v>0</v>
      </c>
      <c r="BC67" s="32" t="n">
        <f aca="false">BA67-BB67</f>
        <v>-0.00231763808322517</v>
      </c>
      <c r="BD67" s="30" t="n">
        <f aca="false">A68-A67</f>
        <v>3</v>
      </c>
    </row>
    <row r="68" customFormat="false" ht="15" hidden="false" customHeight="false" outlineLevel="0" collapsed="false">
      <c r="A68" s="28" t="n">
        <v>45138</v>
      </c>
      <c r="B68" s="0" t="n">
        <v>19836.45</v>
      </c>
      <c r="C68" s="0" t="n">
        <v>217.55</v>
      </c>
      <c r="D68" s="29" t="n">
        <f aca="false">LN(B68)</f>
        <v>9.89527643337711</v>
      </c>
      <c r="E68" s="29" t="n">
        <f aca="false">LN(C68)</f>
        <v>5.38242870916669</v>
      </c>
      <c r="F68" s="0" t="n">
        <v>63</v>
      </c>
      <c r="G68" s="0" t="n">
        <v>31</v>
      </c>
      <c r="H68" s="29" t="n">
        <f aca="false">D68-E68</f>
        <v>4.51284772421042</v>
      </c>
      <c r="I68" s="29" t="n">
        <f aca="false">D68-D67</f>
        <v>0.00521359036373781</v>
      </c>
      <c r="J68" s="29" t="n">
        <f aca="false">E68-E67</f>
        <v>0.0055312424957954</v>
      </c>
      <c r="K68" s="0" t="n">
        <v>0</v>
      </c>
      <c r="L68" s="0" t="n">
        <v>0</v>
      </c>
      <c r="M68" s="29" t="n">
        <f aca="false">IF(L68=1,J68-Carry!$B$9/Inputs!$B$16,I68)</f>
        <v>0.00521359036373781</v>
      </c>
      <c r="N68" s="0" t="n">
        <v>0.065</v>
      </c>
      <c r="O68" s="0" t="n">
        <v>0.000125</v>
      </c>
      <c r="P68" s="29" t="n">
        <f aca="false">D68-('2 Hedge ratio'!$B$6+'2 Hedge ratio'!$B$5*E68)</f>
        <v>0.00246938182353063</v>
      </c>
      <c r="Q68" s="29" t="n">
        <f aca="false">D68-('5 Re-specification'!$B$7+'5 Re-specification'!$B$5*E68+'5 Re-specification'!$B$6*F68)</f>
        <v>0.000788700619809291</v>
      </c>
      <c r="R68" s="30" t="n">
        <f aca="false">MIN(F68,Inputs!$B$9)</f>
        <v>63</v>
      </c>
      <c r="S68" s="29" t="n">
        <f aca="true">IF(AND(F68&gt;=1,R68&gt;=Inputs!$B$10),INDEX(LINEST(OFFSET(D68,-R68,0,R68,1),OFFSET(E68,-R68,0,R68,2)),1,1),"")</f>
        <v>-0.0001910790126147</v>
      </c>
      <c r="T68" s="29" t="n">
        <f aca="true">IF(AND(F68&gt;=1,R68&gt;=Inputs!$B$10),INDEX(LINEST(OFFSET(D68,-R68,0,R68,1),OFFSET(E68,-R68,0,R68,2)),1,2),"")</f>
        <v>1.05024219865751</v>
      </c>
      <c r="U68" s="29" t="n">
        <f aca="true">IF(AND(F68&gt;=1,R68&gt;=Inputs!$B$10),INDEX(LINEST(OFFSET(D68,-R68,0,R68,1),OFFSET(E68,-R68,0,R68,2)),1,3),"")</f>
        <v>4.25259788834971</v>
      </c>
      <c r="V68" s="29" t="n">
        <f aca="true">IF(AND(F68&gt;=1,R68&gt;=Inputs!$B$10),SQRT(SUMPRODUCT((OFFSET(D68,-R68,0,R68,1)-U68-T68*OFFSET(E68,-R68,0,R68,1)-S68*OFFSET(F68,-R68,0,R68,1))^2)/(R68-3)),"")</f>
        <v>0.00169135460781159</v>
      </c>
      <c r="W68" s="31" t="n">
        <f aca="false">IF(AND(F68&gt;=1,R68&gt;=Inputs!$B$10),(D68-U68-T68*E68-S68*F68)/V68,"")</f>
        <v>1.10134278227738</v>
      </c>
      <c r="X68" s="30" t="n">
        <f aca="false">IF(AB67&lt;&gt;0,AC67+1,0)</f>
        <v>3</v>
      </c>
      <c r="Y68" s="30" t="n">
        <f aca="false">IF(W68="",0,IF(AND(AB67&lt;&gt;0,OR(ABS(W68)&gt;Inputs!$B$7,X68&gt;=Inputs!$B$8,ABS(W68)&lt;Inputs!$B$6)),1,0))</f>
        <v>0</v>
      </c>
      <c r="Z68" s="30" t="n">
        <f aca="false">IF(Y68=1,0,AB67)</f>
        <v>1</v>
      </c>
      <c r="AA68" s="30" t="n">
        <f aca="false">IF(W68="",0,IF(AND(Z68=0,ABS(W68)&gt;Inputs!$B$5,ABS(W68)&lt;=Inputs!$B$7),1,0))</f>
        <v>0</v>
      </c>
      <c r="AB68" s="30" t="n">
        <f aca="false">IF(W68="",0,IF(AA68=1,-SIGN(W68),Z68))</f>
        <v>1</v>
      </c>
      <c r="AC68" s="30" t="n">
        <f aca="false">IF(W68="",0,IF(AA68=1,0,IF(Y68=1,0,X68)))</f>
        <v>3</v>
      </c>
      <c r="AD68" s="29" t="n">
        <f aca="false">IF(AB68=0,0,IF(AB67=AB68,AD67,T68))</f>
        <v>1.05589959506959</v>
      </c>
      <c r="AE68" s="30" t="n">
        <f aca="false">AB68-AB67</f>
        <v>0</v>
      </c>
      <c r="AF68" s="30" t="n">
        <f aca="false">-AD68*AB68</f>
        <v>-1.05589959506959</v>
      </c>
      <c r="AG68" s="30" t="n">
        <f aca="false">AF68-AF67</f>
        <v>0</v>
      </c>
      <c r="AH68" s="30" t="n">
        <f aca="false">MAX(AE68,0)*(Inputs!$B$17+Inputs!$B$18+Inputs!$B$19)+MAX(-AE68,0)*(O68+Inputs!$B$18+Inputs!$B$19)+IF(AND(K68=1,AB68&lt;&gt;0),(Inputs!$B$17+Inputs!$B$18+Inputs!$B$19)+(O68+Inputs!$B$18+Inputs!$B$19),0)+MAX(AG68,0)*(Inputs!$B$20+Inputs!$B$22+Inputs!$B$23)+MAX(-AG68,0)*(Inputs!$B$21+Inputs!$B$22+Inputs!$B$23)</f>
        <v>0</v>
      </c>
      <c r="AI68" s="30" t="n">
        <f aca="false">AB67*(M68-AD67*J68)+AB67*AD67*N68/Inputs!$B$16-AH68</f>
        <v>-0.000354491293520432</v>
      </c>
      <c r="AJ68" s="30" t="n">
        <f aca="false">MAX(AE68,0)*(Inputs!$B$17+Inputs!$B$24+Inputs!$B$25)+MAX(-AE68,0)*(O68+Inputs!$B$24+Inputs!$B$25)+IF(AND(K68=1,AB68&lt;&gt;0),(Inputs!$B$17+Inputs!$B$24+Inputs!$B$25)+(O68+Inputs!$B$24+Inputs!$B$25),0)+MAX(AG68,0)*(Inputs!$B$20+Inputs!$B$26+Inputs!$B$27)+MAX(-AG68,0)*(Inputs!$B$21+Inputs!$B$26+Inputs!$B$27)</f>
        <v>0</v>
      </c>
      <c r="AK68" s="30" t="n">
        <f aca="false">AB67*(M68-AD67*J68)+AB67*AD67*(N68+Inputs!$B$14)/Inputs!$B$16-AJ68</f>
        <v>-0.000323065710333837</v>
      </c>
      <c r="AL68" s="30" t="n">
        <f aca="false">IF(AP67&lt;&gt;0,AQ67+1,0)</f>
        <v>0</v>
      </c>
      <c r="AM68" s="30" t="n">
        <f aca="false">IF(W68="",0,IF(AND(AP67&lt;&gt;0,OR(ABS(W68)&gt;Inputs!$B$7,AL68&gt;=Inputs!$B$8,ABS(W68)&lt;Inputs!$B$6)),1,0))</f>
        <v>0</v>
      </c>
      <c r="AN68" s="30" t="n">
        <f aca="false">IF(AM68=1,0,AP67)</f>
        <v>0</v>
      </c>
      <c r="AO68" s="30" t="n">
        <f aca="false">IF(W68="",0,IF(AND(AN68=0,ABS(W68)&gt;Inputs!$B$5,ABS(W68)&lt;=Inputs!$B$7,W68&gt;0),1,0))</f>
        <v>0</v>
      </c>
      <c r="AP68" s="30" t="n">
        <f aca="false">IF(W68="",0,IF(AO68=1,-SIGN(W68),AN68))</f>
        <v>0</v>
      </c>
      <c r="AQ68" s="30" t="n">
        <f aca="false">IF(W68="",0,IF(AO68=1,0,IF(AM68=1,0,AL68)))</f>
        <v>0</v>
      </c>
      <c r="AR68" s="30" t="n">
        <f aca="false">IF(AP68=0,0,IF(AP67=AP68,AR67,T68))</f>
        <v>0</v>
      </c>
      <c r="AS68" s="30" t="n">
        <f aca="false">AP68-AP67</f>
        <v>0</v>
      </c>
      <c r="AT68" s="30" t="n">
        <f aca="false">-AR68*AP68</f>
        <v>-0</v>
      </c>
      <c r="AU68" s="30" t="n">
        <f aca="false">AT68-AT67</f>
        <v>0</v>
      </c>
      <c r="AV68" s="30" t="n">
        <f aca="false">MAX(AS68,0)*(Inputs!$B$17+Inputs!$B$18+Inputs!$B$19)+MAX(-AS68,0)*(O68+Inputs!$B$18+Inputs!$B$19)+IF(AND(K68=1,AP68&lt;&gt;0),(Inputs!$B$17+Inputs!$B$18+Inputs!$B$19)+(O68+Inputs!$B$18+Inputs!$B$19),0)+MAX(AU68,0)*(Inputs!$B$20+Inputs!$B$22+Inputs!$B$23)+MAX(-AU68,0)*(Inputs!$B$21+Inputs!$B$22+Inputs!$B$23)</f>
        <v>0</v>
      </c>
      <c r="AW68" s="30" t="n">
        <f aca="false">AP67*(M68-AR67*J68)+AP67*AR67*N68/Inputs!$B$16-AV68</f>
        <v>0</v>
      </c>
      <c r="AX68" s="30" t="n">
        <f aca="false">AW68-IF(AP67&lt;&gt;0,0.75*AR67*(Inputs!$B$13-N68)/Inputs!$B$16,0)</f>
        <v>0</v>
      </c>
      <c r="AY68" s="30" t="n">
        <f aca="false">MAX(AS68,0)*(Inputs!$B$17+Inputs!$B$18+Inputs!$B$19)+MAX(-AS68,0)*(O68+Inputs!$B$18+Inputs!$B$19)+IF(AND(K68=1,AP68&lt;&gt;0),(Inputs!$B$17+Inputs!$B$18+Inputs!$B$19)+(O68+Inputs!$B$18+Inputs!$B$19),0)</f>
        <v>0</v>
      </c>
      <c r="AZ68" s="30" t="n">
        <f aca="false">AP67*M68-AY68</f>
        <v>0</v>
      </c>
      <c r="BA68" s="32" t="n">
        <f aca="false">BA67+AI68</f>
        <v>-0.0026721293767456</v>
      </c>
      <c r="BB68" s="30" t="n">
        <f aca="false">MAX(BB67,BA68)</f>
        <v>0</v>
      </c>
      <c r="BC68" s="32" t="n">
        <f aca="false">BA68-BB68</f>
        <v>-0.0026721293767456</v>
      </c>
      <c r="BD68" s="30" t="n">
        <f aca="false">A69-A68</f>
        <v>1</v>
      </c>
    </row>
    <row r="69" customFormat="false" ht="15" hidden="false" customHeight="false" outlineLevel="0" collapsed="false">
      <c r="A69" s="28" t="n">
        <v>45139</v>
      </c>
      <c r="B69" s="0" t="n">
        <v>19812.95</v>
      </c>
      <c r="C69" s="0" t="n">
        <v>217.3</v>
      </c>
      <c r="D69" s="29" t="n">
        <f aca="false">LN(B69)</f>
        <v>9.89409104329546</v>
      </c>
      <c r="E69" s="29" t="n">
        <f aca="false">LN(C69)</f>
        <v>5.38127888726238</v>
      </c>
      <c r="F69" s="0" t="n">
        <v>64</v>
      </c>
      <c r="G69" s="0" t="n">
        <v>30</v>
      </c>
      <c r="H69" s="29" t="n">
        <f aca="false">D69-E69</f>
        <v>4.51281215603307</v>
      </c>
      <c r="I69" s="29" t="n">
        <f aca="false">D69-D68</f>
        <v>-0.00118539008165364</v>
      </c>
      <c r="J69" s="29" t="n">
        <f aca="false">E69-E68</f>
        <v>-0.00114982190430535</v>
      </c>
      <c r="K69" s="0" t="n">
        <v>0</v>
      </c>
      <c r="L69" s="0" t="n">
        <v>0</v>
      </c>
      <c r="M69" s="29" t="n">
        <f aca="false">IF(L69=1,J69-Carry!$B$9/Inputs!$B$16,I69)</f>
        <v>-0.00118539008165364</v>
      </c>
      <c r="N69" s="0" t="n">
        <v>0.065</v>
      </c>
      <c r="O69" s="0" t="n">
        <v>0.000125</v>
      </c>
      <c r="P69" s="29" t="n">
        <f aca="false">D69-('2 Hedge ratio'!$B$6+'2 Hedge ratio'!$B$5*E69)</f>
        <v>0.00233737435677917</v>
      </c>
      <c r="Q69" s="29" t="n">
        <f aca="false">D69-('5 Re-specification'!$B$7+'5 Re-specification'!$B$5*E69+'5 Re-specification'!$B$6*F69)</f>
        <v>0.000794577225251558</v>
      </c>
      <c r="R69" s="30" t="n">
        <f aca="false">MIN(F69,Inputs!$B$9)</f>
        <v>64</v>
      </c>
      <c r="S69" s="29" t="n">
        <f aca="true">IF(AND(F69&gt;=1,R69&gt;=Inputs!$B$10),INDEX(LINEST(OFFSET(D69,-R69,0,R69,1),OFFSET(E69,-R69,0,R69,2)),1,1),"")</f>
        <v>-0.000187146960953082</v>
      </c>
      <c r="T69" s="29" t="n">
        <f aca="true">IF(AND(F69&gt;=1,R69&gt;=Inputs!$B$10),INDEX(LINEST(OFFSET(D69,-R69,0,R69,1),OFFSET(E69,-R69,0,R69,2)),1,2),"")</f>
        <v>1.04947629409702</v>
      </c>
      <c r="U69" s="29" t="n">
        <f aca="true">IF(AND(F69&gt;=1,R69&gt;=Inputs!$B$10),INDEX(LINEST(OFFSET(D69,-R69,0,R69,1),OFFSET(E69,-R69,0,R69,2)),1,3),"")</f>
        <v>4.25658753273907</v>
      </c>
      <c r="V69" s="29" t="n">
        <f aca="true">IF(AND(F69&gt;=1,R69&gt;=Inputs!$B$10),SQRT(SUMPRODUCT((OFFSET(D69,-R69,0,R69,1)-U69-T69*OFFSET(E69,-R69,0,R69,1)-S69*OFFSET(F69,-R69,0,R69,1))^2)/(R69-3)),"")</f>
        <v>0.00169326827115036</v>
      </c>
      <c r="W69" s="31" t="n">
        <f aca="false">IF(AND(F69&gt;=1,R69&gt;=Inputs!$B$10),(D69-U69-T69*E69-S69*F69)/V69,"")</f>
        <v>1.15533491298187</v>
      </c>
      <c r="X69" s="30" t="n">
        <f aca="false">IF(AB68&lt;&gt;0,AC68+1,0)</f>
        <v>4</v>
      </c>
      <c r="Y69" s="30" t="n">
        <f aca="false">IF(W69="",0,IF(AND(AB68&lt;&gt;0,OR(ABS(W69)&gt;Inputs!$B$7,X69&gt;=Inputs!$B$8,ABS(W69)&lt;Inputs!$B$6)),1,0))</f>
        <v>0</v>
      </c>
      <c r="Z69" s="30" t="n">
        <f aca="false">IF(Y69=1,0,AB68)</f>
        <v>1</v>
      </c>
      <c r="AA69" s="30" t="n">
        <f aca="false">IF(W69="",0,IF(AND(Z69=0,ABS(W69)&gt;Inputs!$B$5,ABS(W69)&lt;=Inputs!$B$7),1,0))</f>
        <v>0</v>
      </c>
      <c r="AB69" s="30" t="n">
        <f aca="false">IF(W69="",0,IF(AA69=1,-SIGN(W69),Z69))</f>
        <v>1</v>
      </c>
      <c r="AC69" s="30" t="n">
        <f aca="false">IF(W69="",0,IF(AA69=1,0,IF(Y69=1,0,X69)))</f>
        <v>4</v>
      </c>
      <c r="AD69" s="29" t="n">
        <f aca="false">IF(AB69=0,0,IF(AB68=AB69,AD68,T69))</f>
        <v>1.05589959506959</v>
      </c>
      <c r="AE69" s="30" t="n">
        <f aca="false">AB69-AB68</f>
        <v>0</v>
      </c>
      <c r="AF69" s="30" t="n">
        <f aca="false">-AD69*AB69</f>
        <v>-1.05589959506959</v>
      </c>
      <c r="AG69" s="30" t="n">
        <f aca="false">AF69-AF68</f>
        <v>0</v>
      </c>
      <c r="AH69" s="30" t="n">
        <f aca="false">MAX(AE69,0)*(Inputs!$B$17+Inputs!$B$18+Inputs!$B$19)+MAX(-AE69,0)*(O69+Inputs!$B$18+Inputs!$B$19)+IF(AND(K69=1,AB69&lt;&gt;0),(Inputs!$B$17+Inputs!$B$18+Inputs!$B$19)+(O69+Inputs!$B$18+Inputs!$B$19),0)+MAX(AG69,0)*(Inputs!$B$20+Inputs!$B$22+Inputs!$B$23)+MAX(-AG69,0)*(Inputs!$B$21+Inputs!$B$22+Inputs!$B$23)</f>
        <v>0</v>
      </c>
      <c r="AI69" s="30" t="n">
        <f aca="false">AB68*(M69-AD68*J69)+AB68*AD68*N69/Inputs!$B$16-AH69</f>
        <v>0.000301061455788347</v>
      </c>
      <c r="AJ69" s="30" t="n">
        <f aca="false">MAX(AE69,0)*(Inputs!$B$17+Inputs!$B$24+Inputs!$B$25)+MAX(-AE69,0)*(O69+Inputs!$B$24+Inputs!$B$25)+IF(AND(K69=1,AB69&lt;&gt;0),(Inputs!$B$17+Inputs!$B$24+Inputs!$B$25)+(O69+Inputs!$B$24+Inputs!$B$25),0)+MAX(AG69,0)*(Inputs!$B$20+Inputs!$B$26+Inputs!$B$27)+MAX(-AG69,0)*(Inputs!$B$21+Inputs!$B$26+Inputs!$B$27)</f>
        <v>0</v>
      </c>
      <c r="AK69" s="30" t="n">
        <f aca="false">AB68*(M69-AD68*J69)+AB68*AD68*(N69+Inputs!$B$14)/Inputs!$B$16-AJ69</f>
        <v>0.000332487038974942</v>
      </c>
      <c r="AL69" s="30" t="n">
        <f aca="false">IF(AP68&lt;&gt;0,AQ68+1,0)</f>
        <v>0</v>
      </c>
      <c r="AM69" s="30" t="n">
        <f aca="false">IF(W69="",0,IF(AND(AP68&lt;&gt;0,OR(ABS(W69)&gt;Inputs!$B$7,AL69&gt;=Inputs!$B$8,ABS(W69)&lt;Inputs!$B$6)),1,0))</f>
        <v>0</v>
      </c>
      <c r="AN69" s="30" t="n">
        <f aca="false">IF(AM69=1,0,AP68)</f>
        <v>0</v>
      </c>
      <c r="AO69" s="30" t="n">
        <f aca="false">IF(W69="",0,IF(AND(AN69=0,ABS(W69)&gt;Inputs!$B$5,ABS(W69)&lt;=Inputs!$B$7,W69&gt;0),1,0))</f>
        <v>0</v>
      </c>
      <c r="AP69" s="30" t="n">
        <f aca="false">IF(W69="",0,IF(AO69=1,-SIGN(W69),AN69))</f>
        <v>0</v>
      </c>
      <c r="AQ69" s="30" t="n">
        <f aca="false">IF(W69="",0,IF(AO69=1,0,IF(AM69=1,0,AL69)))</f>
        <v>0</v>
      </c>
      <c r="AR69" s="30" t="n">
        <f aca="false">IF(AP69=0,0,IF(AP68=AP69,AR68,T69))</f>
        <v>0</v>
      </c>
      <c r="AS69" s="30" t="n">
        <f aca="false">AP69-AP68</f>
        <v>0</v>
      </c>
      <c r="AT69" s="30" t="n">
        <f aca="false">-AR69*AP69</f>
        <v>-0</v>
      </c>
      <c r="AU69" s="30" t="n">
        <f aca="false">AT69-AT68</f>
        <v>0</v>
      </c>
      <c r="AV69" s="30" t="n">
        <f aca="false">MAX(AS69,0)*(Inputs!$B$17+Inputs!$B$18+Inputs!$B$19)+MAX(-AS69,0)*(O69+Inputs!$B$18+Inputs!$B$19)+IF(AND(K69=1,AP69&lt;&gt;0),(Inputs!$B$17+Inputs!$B$18+Inputs!$B$19)+(O69+Inputs!$B$18+Inputs!$B$19),0)+MAX(AU69,0)*(Inputs!$B$20+Inputs!$B$22+Inputs!$B$23)+MAX(-AU69,0)*(Inputs!$B$21+Inputs!$B$22+Inputs!$B$23)</f>
        <v>0</v>
      </c>
      <c r="AW69" s="30" t="n">
        <f aca="false">AP68*(M69-AR68*J69)+AP68*AR68*N69/Inputs!$B$16-AV69</f>
        <v>0</v>
      </c>
      <c r="AX69" s="30" t="n">
        <f aca="false">AW69-IF(AP68&lt;&gt;0,0.75*AR68*(Inputs!$B$13-N69)/Inputs!$B$16,0)</f>
        <v>0</v>
      </c>
      <c r="AY69" s="30" t="n">
        <f aca="false">MAX(AS69,0)*(Inputs!$B$17+Inputs!$B$18+Inputs!$B$19)+MAX(-AS69,0)*(O69+Inputs!$B$18+Inputs!$B$19)+IF(AND(K69=1,AP69&lt;&gt;0),(Inputs!$B$17+Inputs!$B$18+Inputs!$B$19)+(O69+Inputs!$B$18+Inputs!$B$19),0)</f>
        <v>0</v>
      </c>
      <c r="AZ69" s="30" t="n">
        <f aca="false">AP68*M69-AY69</f>
        <v>-0</v>
      </c>
      <c r="BA69" s="32" t="n">
        <f aca="false">BA68+AI69</f>
        <v>-0.00237106792095725</v>
      </c>
      <c r="BB69" s="30" t="n">
        <f aca="false">MAX(BB68,BA69)</f>
        <v>0</v>
      </c>
      <c r="BC69" s="32" t="n">
        <f aca="false">BA69-BB69</f>
        <v>-0.00237106792095725</v>
      </c>
      <c r="BD69" s="30" t="n">
        <f aca="false">A70-A69</f>
        <v>1</v>
      </c>
    </row>
    <row r="70" customFormat="false" ht="15" hidden="false" customHeight="false" outlineLevel="0" collapsed="false">
      <c r="A70" s="28" t="n">
        <v>45140</v>
      </c>
      <c r="B70" s="0" t="n">
        <v>19586.25</v>
      </c>
      <c r="C70" s="0" t="n">
        <v>215.2</v>
      </c>
      <c r="D70" s="29" t="n">
        <f aca="false">LN(B70)</f>
        <v>9.88258306841862</v>
      </c>
      <c r="E70" s="29" t="n">
        <f aca="false">LN(C70)</f>
        <v>5.37156782828763</v>
      </c>
      <c r="F70" s="0" t="n">
        <v>65</v>
      </c>
      <c r="G70" s="0" t="n">
        <v>29</v>
      </c>
      <c r="H70" s="29" t="n">
        <f aca="false">D70-E70</f>
        <v>4.51101524013099</v>
      </c>
      <c r="I70" s="29" t="n">
        <f aca="false">D70-D69</f>
        <v>-0.011507974876837</v>
      </c>
      <c r="J70" s="29" t="n">
        <f aca="false">E70-E69</f>
        <v>-0.00971105897475422</v>
      </c>
      <c r="K70" s="0" t="n">
        <v>0</v>
      </c>
      <c r="L70" s="0" t="n">
        <v>0</v>
      </c>
      <c r="M70" s="29" t="n">
        <f aca="false">IF(L70=1,J70-Carry!$B$9/Inputs!$B$16,I70)</f>
        <v>-0.011507974876837</v>
      </c>
      <c r="N70" s="0" t="n">
        <v>0.065</v>
      </c>
      <c r="O70" s="0" t="n">
        <v>0.000125</v>
      </c>
      <c r="P70" s="29" t="n">
        <f aca="false">D70-('2 Hedge ratio'!$B$6+'2 Hedge ratio'!$B$5*E70)</f>
        <v>-0.000274039532662584</v>
      </c>
      <c r="Q70" s="29" t="n">
        <f aca="false">D70-('5 Re-specification'!$B$7+'5 Re-specification'!$B$5*E70+'5 Re-specification'!$B$6*F70)</f>
        <v>-0.000986838723163075</v>
      </c>
      <c r="R70" s="30" t="n">
        <f aca="false">MIN(F70,Inputs!$B$9)</f>
        <v>65</v>
      </c>
      <c r="S70" s="29" t="n">
        <f aca="true">IF(AND(F70&gt;=1,R70&gt;=Inputs!$B$10),INDEX(LINEST(OFFSET(D70,-R70,0,R70,1),OFFSET(E70,-R70,0,R70,2)),1,1),"")</f>
        <v>-0.000181034112509326</v>
      </c>
      <c r="T70" s="29" t="n">
        <f aca="true">IF(AND(F70&gt;=1,R70&gt;=Inputs!$B$10),INDEX(LINEST(OFFSET(D70,-R70,0,R70,1),OFFSET(E70,-R70,0,R70,2)),1,2),"")</f>
        <v>1.04739179441191</v>
      </c>
      <c r="U70" s="29" t="n">
        <f aca="true">IF(AND(F70&gt;=1,R70&gt;=Inputs!$B$10),INDEX(LINEST(OFFSET(D70,-R70,0,R70,1),OFFSET(E70,-R70,0,R70,2)),1,3),"")</f>
        <v>4.26753974618195</v>
      </c>
      <c r="V70" s="29" t="n">
        <f aca="true">IF(AND(F70&gt;=1,R70&gt;=Inputs!$B$10),SQRT(SUMPRODUCT((OFFSET(D70,-R70,0,R70,1)-U70-T70*OFFSET(E70,-R70,0,R70,1)-S70*OFFSET(F70,-R70,0,R70,1))^2)/(R70-3)),"")</f>
        <v>0.00169666120423989</v>
      </c>
      <c r="W70" s="31" t="n">
        <f aca="false">IF(AND(F70&gt;=1,R70&gt;=Inputs!$B$10),(D70-U70-T70*E70-S70*F70)/V70,"")</f>
        <v>0.397529614407009</v>
      </c>
      <c r="X70" s="30" t="n">
        <f aca="false">IF(AB69&lt;&gt;0,AC69+1,0)</f>
        <v>5</v>
      </c>
      <c r="Y70" s="30" t="n">
        <f aca="false">IF(W70="",0,IF(AND(AB69&lt;&gt;0,OR(ABS(W70)&gt;Inputs!$B$7,X70&gt;=Inputs!$B$8,ABS(W70)&lt;Inputs!$B$6)),1,0))</f>
        <v>1</v>
      </c>
      <c r="Z70" s="30" t="n">
        <f aca="false">IF(Y70=1,0,AB69)</f>
        <v>0</v>
      </c>
      <c r="AA70" s="30" t="n">
        <f aca="false">IF(W70="",0,IF(AND(Z70=0,ABS(W70)&gt;Inputs!$B$5,ABS(W70)&lt;=Inputs!$B$7),1,0))</f>
        <v>0</v>
      </c>
      <c r="AB70" s="30" t="n">
        <f aca="false">IF(W70="",0,IF(AA70=1,-SIGN(W70),Z70))</f>
        <v>0</v>
      </c>
      <c r="AC70" s="30" t="n">
        <f aca="false">IF(W70="",0,IF(AA70=1,0,IF(Y70=1,0,X70)))</f>
        <v>0</v>
      </c>
      <c r="AD70" s="30" t="n">
        <f aca="false">IF(AB70=0,0,IF(AB69=AB70,AD69,T70))</f>
        <v>0</v>
      </c>
      <c r="AE70" s="30" t="n">
        <f aca="false">AB70-AB69</f>
        <v>-1</v>
      </c>
      <c r="AF70" s="30" t="n">
        <f aca="false">-AD70*AB70</f>
        <v>-0</v>
      </c>
      <c r="AG70" s="30" t="n">
        <f aca="false">AF70-AF69</f>
        <v>1.05589959506959</v>
      </c>
      <c r="AH70" s="30" t="n">
        <f aca="false">MAX(AE70,0)*(Inputs!$B$17+Inputs!$B$18+Inputs!$B$19)+MAX(-AE70,0)*(O70+Inputs!$B$18+Inputs!$B$19)+IF(AND(K70=1,AB70&lt;&gt;0),(Inputs!$B$17+Inputs!$B$18+Inputs!$B$19)+(O70+Inputs!$B$18+Inputs!$B$19),0)+MAX(AG70,0)*(Inputs!$B$20+Inputs!$B$22+Inputs!$B$23)+MAX(-AG70,0)*(Inputs!$B$21+Inputs!$B$22+Inputs!$B$23)</f>
        <v>0.000629564858274356</v>
      </c>
      <c r="AI70" s="30" t="n">
        <f aca="false">AB69*(M70-AD69*J70)+AB69*AD69*N70/Inputs!$B$16-AH70</f>
        <v>-0.00161128144168763</v>
      </c>
      <c r="AJ70" s="30" t="n">
        <f aca="false">MAX(AE70,0)*(Inputs!$B$17+Inputs!$B$24+Inputs!$B$25)+MAX(-AE70,0)*(O70+Inputs!$B$24+Inputs!$B$25)+IF(AND(K70=1,AB70&lt;&gt;0),(Inputs!$B$17+Inputs!$B$24+Inputs!$B$25)+(O70+Inputs!$B$24+Inputs!$B$25),0)+MAX(AG70,0)*(Inputs!$B$20+Inputs!$B$26+Inputs!$B$27)+MAX(-AG70,0)*(Inputs!$B$21+Inputs!$B$26+Inputs!$B$27)</f>
        <v>0.000464254396742745</v>
      </c>
      <c r="AK70" s="30" t="n">
        <f aca="false">AB69*(M70-AD69*J70)+AB69*AD69*(N70+Inputs!$B$14)/Inputs!$B$16-AJ70</f>
        <v>-0.00141454539696942</v>
      </c>
      <c r="AL70" s="30" t="n">
        <f aca="false">IF(AP69&lt;&gt;0,AQ69+1,0)</f>
        <v>0</v>
      </c>
      <c r="AM70" s="30" t="n">
        <f aca="false">IF(W70="",0,IF(AND(AP69&lt;&gt;0,OR(ABS(W70)&gt;Inputs!$B$7,AL70&gt;=Inputs!$B$8,ABS(W70)&lt;Inputs!$B$6)),1,0))</f>
        <v>0</v>
      </c>
      <c r="AN70" s="30" t="n">
        <f aca="false">IF(AM70=1,0,AP69)</f>
        <v>0</v>
      </c>
      <c r="AO70" s="30" t="n">
        <f aca="false">IF(W70="",0,IF(AND(AN70=0,ABS(W70)&gt;Inputs!$B$5,ABS(W70)&lt;=Inputs!$B$7,W70&gt;0),1,0))</f>
        <v>0</v>
      </c>
      <c r="AP70" s="30" t="n">
        <f aca="false">IF(W70="",0,IF(AO70=1,-SIGN(W70),AN70))</f>
        <v>0</v>
      </c>
      <c r="AQ70" s="30" t="n">
        <f aca="false">IF(W70="",0,IF(AO70=1,0,IF(AM70=1,0,AL70)))</f>
        <v>0</v>
      </c>
      <c r="AR70" s="30" t="n">
        <f aca="false">IF(AP70=0,0,IF(AP69=AP70,AR69,T70))</f>
        <v>0</v>
      </c>
      <c r="AS70" s="30" t="n">
        <f aca="false">AP70-AP69</f>
        <v>0</v>
      </c>
      <c r="AT70" s="30" t="n">
        <f aca="false">-AR70*AP70</f>
        <v>-0</v>
      </c>
      <c r="AU70" s="30" t="n">
        <f aca="false">AT70-AT69</f>
        <v>0</v>
      </c>
      <c r="AV70" s="30" t="n">
        <f aca="false">MAX(AS70,0)*(Inputs!$B$17+Inputs!$B$18+Inputs!$B$19)+MAX(-AS70,0)*(O70+Inputs!$B$18+Inputs!$B$19)+IF(AND(K70=1,AP70&lt;&gt;0),(Inputs!$B$17+Inputs!$B$18+Inputs!$B$19)+(O70+Inputs!$B$18+Inputs!$B$19),0)+MAX(AU70,0)*(Inputs!$B$20+Inputs!$B$22+Inputs!$B$23)+MAX(-AU70,0)*(Inputs!$B$21+Inputs!$B$22+Inputs!$B$23)</f>
        <v>0</v>
      </c>
      <c r="AW70" s="30" t="n">
        <f aca="false">AP69*(M70-AR69*J70)+AP69*AR69*N70/Inputs!$B$16-AV70</f>
        <v>0</v>
      </c>
      <c r="AX70" s="30" t="n">
        <f aca="false">AW70-IF(AP69&lt;&gt;0,0.75*AR69*(Inputs!$B$13-N70)/Inputs!$B$16,0)</f>
        <v>0</v>
      </c>
      <c r="AY70" s="30" t="n">
        <f aca="false">MAX(AS70,0)*(Inputs!$B$17+Inputs!$B$18+Inputs!$B$19)+MAX(-AS70,0)*(O70+Inputs!$B$18+Inputs!$B$19)+IF(AND(K70=1,AP70&lt;&gt;0),(Inputs!$B$17+Inputs!$B$18+Inputs!$B$19)+(O70+Inputs!$B$18+Inputs!$B$19),0)</f>
        <v>0</v>
      </c>
      <c r="AZ70" s="30" t="n">
        <f aca="false">AP69*M70-AY70</f>
        <v>-0</v>
      </c>
      <c r="BA70" s="32" t="n">
        <f aca="false">BA69+AI70</f>
        <v>-0.00398234936264488</v>
      </c>
      <c r="BB70" s="30" t="n">
        <f aca="false">MAX(BB69,BA70)</f>
        <v>0</v>
      </c>
      <c r="BC70" s="32" t="n">
        <f aca="false">BA70-BB70</f>
        <v>-0.00398234936264488</v>
      </c>
      <c r="BD70" s="30" t="n">
        <f aca="false">A71-A70</f>
        <v>1</v>
      </c>
    </row>
    <row r="71" customFormat="false" ht="15" hidden="false" customHeight="false" outlineLevel="0" collapsed="false">
      <c r="A71" s="28" t="n">
        <v>45141</v>
      </c>
      <c r="B71" s="0" t="n">
        <v>19469</v>
      </c>
      <c r="C71" s="0" t="n">
        <v>213.7</v>
      </c>
      <c r="D71" s="29" t="n">
        <f aca="false">LN(B71)</f>
        <v>9.87657873597891</v>
      </c>
      <c r="E71" s="29" t="n">
        <f aca="false">LN(C71)</f>
        <v>5.3645731623251</v>
      </c>
      <c r="F71" s="0" t="n">
        <v>66</v>
      </c>
      <c r="G71" s="0" t="n">
        <v>28</v>
      </c>
      <c r="H71" s="29" t="n">
        <f aca="false">D71-E71</f>
        <v>4.51200557365381</v>
      </c>
      <c r="I71" s="29" t="n">
        <f aca="false">D71-D70</f>
        <v>-0.00600433243970855</v>
      </c>
      <c r="J71" s="29" t="n">
        <f aca="false">E71-E70</f>
        <v>-0.00699466596252751</v>
      </c>
      <c r="K71" s="0" t="n">
        <v>0</v>
      </c>
      <c r="L71" s="0" t="n">
        <v>0</v>
      </c>
      <c r="M71" s="29" t="n">
        <f aca="false">IF(L71=1,J71-Carry!$B$9/Inputs!$B$16,I71)</f>
        <v>-0.00600433243970855</v>
      </c>
      <c r="N71" s="0" t="n">
        <v>0.065</v>
      </c>
      <c r="O71" s="0" t="n">
        <v>0.000125</v>
      </c>
      <c r="P71" s="29" t="n">
        <f aca="false">D71-('2 Hedge ratio'!$B$6+'2 Hedge ratio'!$B$5*E71)</f>
        <v>0.000129628687894012</v>
      </c>
      <c r="Q71" s="29" t="n">
        <f aca="false">D71-('5 Re-specification'!$B$7+'5 Re-specification'!$B$5*E71+'5 Re-specification'!$B$6*F71)</f>
        <v>2.72267824055206E-005</v>
      </c>
      <c r="R71" s="30" t="n">
        <f aca="false">MIN(F71,Inputs!$B$9)</f>
        <v>66</v>
      </c>
      <c r="S71" s="29" t="n">
        <f aca="true">IF(AND(F71&gt;=1,R71&gt;=Inputs!$B$10),INDEX(LINEST(OFFSET(D71,-R71,0,R71,1),OFFSET(E71,-R71,0,R71,2)),1,1),"")</f>
        <v>-0.000176262404562951</v>
      </c>
      <c r="T71" s="29" t="n">
        <f aca="true">IF(AND(F71&gt;=1,R71&gt;=Inputs!$B$10),INDEX(LINEST(OFFSET(D71,-R71,0,R71,1),OFFSET(E71,-R71,0,R71,2)),1,2),"")</f>
        <v>1.04497999184903</v>
      </c>
      <c r="U71" s="29" t="n">
        <f aca="true">IF(AND(F71&gt;=1,R71&gt;=Inputs!$B$10),INDEX(LINEST(OFFSET(D71,-R71,0,R71,1),OFFSET(E71,-R71,0,R71,2)),1,3),"")</f>
        <v>4.28025968054359</v>
      </c>
      <c r="V71" s="29" t="n">
        <f aca="true">IF(AND(F71&gt;=1,R71&gt;=Inputs!$B$10),SQRT(SUMPRODUCT((OFFSET(D71,-R71,0,R71,1)-U71-T71*OFFSET(E71,-R71,0,R71,1)-S71*OFFSET(F71,-R71,0,R71,1))^2)/(R71-3)),"")</f>
        <v>0.00168504743349435</v>
      </c>
      <c r="W71" s="31" t="n">
        <f aca="false">IF(AND(F71&gt;=1,R71&gt;=Inputs!$B$10),(D71-U71-T71*E71-S71*F71)/V71,"")</f>
        <v>1.23483449492547</v>
      </c>
      <c r="X71" s="30" t="n">
        <f aca="false">IF(AB70&lt;&gt;0,AC70+1,0)</f>
        <v>0</v>
      </c>
      <c r="Y71" s="30" t="n">
        <f aca="false">IF(W71="",0,IF(AND(AB70&lt;&gt;0,OR(ABS(W71)&gt;Inputs!$B$7,X71&gt;=Inputs!$B$8,ABS(W71)&lt;Inputs!$B$6)),1,0))</f>
        <v>0</v>
      </c>
      <c r="Z71" s="30" t="n">
        <f aca="false">IF(Y71=1,0,AB70)</f>
        <v>0</v>
      </c>
      <c r="AA71" s="30" t="n">
        <f aca="false">IF(W71="",0,IF(AND(Z71=0,ABS(W71)&gt;Inputs!$B$5,ABS(W71)&lt;=Inputs!$B$7),1,0))</f>
        <v>0</v>
      </c>
      <c r="AB71" s="30" t="n">
        <f aca="false">IF(W71="",0,IF(AA71=1,-SIGN(W71),Z71))</f>
        <v>0</v>
      </c>
      <c r="AC71" s="30" t="n">
        <f aca="false">IF(W71="",0,IF(AA71=1,0,IF(Y71=1,0,X71)))</f>
        <v>0</v>
      </c>
      <c r="AD71" s="30" t="n">
        <f aca="false">IF(AB71=0,0,IF(AB70=AB71,AD70,T71))</f>
        <v>0</v>
      </c>
      <c r="AE71" s="30" t="n">
        <f aca="false">AB71-AB70</f>
        <v>0</v>
      </c>
      <c r="AF71" s="30" t="n">
        <f aca="false">-AD71*AB71</f>
        <v>-0</v>
      </c>
      <c r="AG71" s="30" t="n">
        <f aca="false">AF71-AF70</f>
        <v>0</v>
      </c>
      <c r="AH71" s="30" t="n">
        <f aca="false">MAX(AE71,0)*(Inputs!$B$17+Inputs!$B$18+Inputs!$B$19)+MAX(-AE71,0)*(O71+Inputs!$B$18+Inputs!$B$19)+IF(AND(K71=1,AB71&lt;&gt;0),(Inputs!$B$17+Inputs!$B$18+Inputs!$B$19)+(O71+Inputs!$B$18+Inputs!$B$19),0)+MAX(AG71,0)*(Inputs!$B$20+Inputs!$B$22+Inputs!$B$23)+MAX(-AG71,0)*(Inputs!$B$21+Inputs!$B$22+Inputs!$B$23)</f>
        <v>0</v>
      </c>
      <c r="AI71" s="30" t="n">
        <f aca="false">AB70*(M71-AD70*J71)+AB70*AD70*N71/Inputs!$B$16-AH71</f>
        <v>0</v>
      </c>
      <c r="AJ71" s="30" t="n">
        <f aca="false">MAX(AE71,0)*(Inputs!$B$17+Inputs!$B$24+Inputs!$B$25)+MAX(-AE71,0)*(O71+Inputs!$B$24+Inputs!$B$25)+IF(AND(K71=1,AB71&lt;&gt;0),(Inputs!$B$17+Inputs!$B$24+Inputs!$B$25)+(O71+Inputs!$B$24+Inputs!$B$25),0)+MAX(AG71,0)*(Inputs!$B$20+Inputs!$B$26+Inputs!$B$27)+MAX(-AG71,0)*(Inputs!$B$21+Inputs!$B$26+Inputs!$B$27)</f>
        <v>0</v>
      </c>
      <c r="AK71" s="30" t="n">
        <f aca="false">AB70*(M71-AD70*J71)+AB70*AD70*(N71+Inputs!$B$14)/Inputs!$B$16-AJ71</f>
        <v>0</v>
      </c>
      <c r="AL71" s="30" t="n">
        <f aca="false">IF(AP70&lt;&gt;0,AQ70+1,0)</f>
        <v>0</v>
      </c>
      <c r="AM71" s="30" t="n">
        <f aca="false">IF(W71="",0,IF(AND(AP70&lt;&gt;0,OR(ABS(W71)&gt;Inputs!$B$7,AL71&gt;=Inputs!$B$8,ABS(W71)&lt;Inputs!$B$6)),1,0))</f>
        <v>0</v>
      </c>
      <c r="AN71" s="30" t="n">
        <f aca="false">IF(AM71=1,0,AP70)</f>
        <v>0</v>
      </c>
      <c r="AO71" s="30" t="n">
        <f aca="false">IF(W71="",0,IF(AND(AN71=0,ABS(W71)&gt;Inputs!$B$5,ABS(W71)&lt;=Inputs!$B$7,W71&gt;0),1,0))</f>
        <v>0</v>
      </c>
      <c r="AP71" s="30" t="n">
        <f aca="false">IF(W71="",0,IF(AO71=1,-SIGN(W71),AN71))</f>
        <v>0</v>
      </c>
      <c r="AQ71" s="30" t="n">
        <f aca="false">IF(W71="",0,IF(AO71=1,0,IF(AM71=1,0,AL71)))</f>
        <v>0</v>
      </c>
      <c r="AR71" s="30" t="n">
        <f aca="false">IF(AP71=0,0,IF(AP70=AP71,AR70,T71))</f>
        <v>0</v>
      </c>
      <c r="AS71" s="30" t="n">
        <f aca="false">AP71-AP70</f>
        <v>0</v>
      </c>
      <c r="AT71" s="30" t="n">
        <f aca="false">-AR71*AP71</f>
        <v>-0</v>
      </c>
      <c r="AU71" s="30" t="n">
        <f aca="false">AT71-AT70</f>
        <v>0</v>
      </c>
      <c r="AV71" s="30" t="n">
        <f aca="false">MAX(AS71,0)*(Inputs!$B$17+Inputs!$B$18+Inputs!$B$19)+MAX(-AS71,0)*(O71+Inputs!$B$18+Inputs!$B$19)+IF(AND(K71=1,AP71&lt;&gt;0),(Inputs!$B$17+Inputs!$B$18+Inputs!$B$19)+(O71+Inputs!$B$18+Inputs!$B$19),0)+MAX(AU71,0)*(Inputs!$B$20+Inputs!$B$22+Inputs!$B$23)+MAX(-AU71,0)*(Inputs!$B$21+Inputs!$B$22+Inputs!$B$23)</f>
        <v>0</v>
      </c>
      <c r="AW71" s="30" t="n">
        <f aca="false">AP70*(M71-AR70*J71)+AP70*AR70*N71/Inputs!$B$16-AV71</f>
        <v>0</v>
      </c>
      <c r="AX71" s="30" t="n">
        <f aca="false">AW71-IF(AP70&lt;&gt;0,0.75*AR70*(Inputs!$B$13-N71)/Inputs!$B$16,0)</f>
        <v>0</v>
      </c>
      <c r="AY71" s="30" t="n">
        <f aca="false">MAX(AS71,0)*(Inputs!$B$17+Inputs!$B$18+Inputs!$B$19)+MAX(-AS71,0)*(O71+Inputs!$B$18+Inputs!$B$19)+IF(AND(K71=1,AP71&lt;&gt;0),(Inputs!$B$17+Inputs!$B$18+Inputs!$B$19)+(O71+Inputs!$B$18+Inputs!$B$19),0)</f>
        <v>0</v>
      </c>
      <c r="AZ71" s="30" t="n">
        <f aca="false">AP70*M71-AY71</f>
        <v>-0</v>
      </c>
      <c r="BA71" s="32" t="n">
        <f aca="false">BA70+AI71</f>
        <v>-0.00398234936264488</v>
      </c>
      <c r="BB71" s="30" t="n">
        <f aca="false">MAX(BB70,BA71)</f>
        <v>0</v>
      </c>
      <c r="BC71" s="32" t="n">
        <f aca="false">BA71-BB71</f>
        <v>-0.00398234936264488</v>
      </c>
      <c r="BD71" s="30" t="n">
        <f aca="false">A72-A71</f>
        <v>1</v>
      </c>
    </row>
    <row r="72" customFormat="false" ht="15" hidden="false" customHeight="false" outlineLevel="0" collapsed="false">
      <c r="A72" s="28" t="n">
        <v>45142</v>
      </c>
      <c r="B72" s="0" t="n">
        <v>19573.2</v>
      </c>
      <c r="C72" s="0" t="n">
        <v>215.07</v>
      </c>
      <c r="D72" s="29" t="n">
        <f aca="false">LN(B72)</f>
        <v>9.88191656260799</v>
      </c>
      <c r="E72" s="29" t="n">
        <f aca="false">LN(C72)</f>
        <v>5.37096355653289</v>
      </c>
      <c r="F72" s="0" t="n">
        <v>67</v>
      </c>
      <c r="G72" s="0" t="n">
        <v>27</v>
      </c>
      <c r="H72" s="29" t="n">
        <f aca="false">D72-E72</f>
        <v>4.5109530060751</v>
      </c>
      <c r="I72" s="29" t="n">
        <f aca="false">D72-D71</f>
        <v>0.00533782662907534</v>
      </c>
      <c r="J72" s="29" t="n">
        <f aca="false">E72-E71</f>
        <v>0.00639039420778875</v>
      </c>
      <c r="K72" s="0" t="n">
        <v>0</v>
      </c>
      <c r="L72" s="0" t="n">
        <v>0</v>
      </c>
      <c r="M72" s="29" t="n">
        <f aca="false">IF(L72=1,J72-Carry!$B$9/Inputs!$B$16,I72)</f>
        <v>0.00533782662907534</v>
      </c>
      <c r="N72" s="0" t="n">
        <v>0.065</v>
      </c>
      <c r="O72" s="0" t="n">
        <v>0.000125</v>
      </c>
      <c r="P72" s="29" t="n">
        <f aca="false">D72-('2 Hedge ratio'!$B$6+'2 Hedge ratio'!$B$5*E72)</f>
        <v>-0.000386955818921564</v>
      </c>
      <c r="Q72" s="29" t="n">
        <f aca="false">D72-('5 Re-specification'!$B$7+'5 Re-specification'!$B$5*E72+'5 Re-specification'!$B$6*F72)</f>
        <v>-0.000961045388427451</v>
      </c>
      <c r="R72" s="30" t="n">
        <f aca="false">MIN(F72,Inputs!$B$9)</f>
        <v>67</v>
      </c>
      <c r="S72" s="29" t="n">
        <f aca="true">IF(AND(F72&gt;=1,R72&gt;=Inputs!$B$10),INDEX(LINEST(OFFSET(D72,-R72,0,R72,1),OFFSET(E72,-R72,0,R72,2)),1,1),"")</f>
        <v>-0.00015794807292353</v>
      </c>
      <c r="T72" s="29" t="n">
        <f aca="true">IF(AND(F72&gt;=1,R72&gt;=Inputs!$B$10),INDEX(LINEST(OFFSET(D72,-R72,0,R72,1),OFFSET(E72,-R72,0,R72,2)),1,2),"")</f>
        <v>1.03505144475438</v>
      </c>
      <c r="U72" s="29" t="n">
        <f aca="true">IF(AND(F72&gt;=1,R72&gt;=Inputs!$B$10),INDEX(LINEST(OFFSET(D72,-R72,0,R72,1),OFFSET(E72,-R72,0,R72,2)),1,3),"")</f>
        <v>4.332650740527</v>
      </c>
      <c r="V72" s="29" t="n">
        <f aca="true">IF(AND(F72&gt;=1,R72&gt;=Inputs!$B$10),SQRT(SUMPRODUCT((OFFSET(D72,-R72,0,R72,1)-U72-T72*OFFSET(E72,-R72,0,R72,1)-S72*OFFSET(F72,-R72,0,R72,1))^2)/(R72-3)),"")</f>
        <v>0.00168869755177298</v>
      </c>
      <c r="W72" s="31" t="n">
        <f aca="false">IF(AND(F72&gt;=1,R72&gt;=Inputs!$B$10),(D72-U72-T72*E72-S72*F72)/V72,"")</f>
        <v>0.369962077397655</v>
      </c>
      <c r="X72" s="30" t="n">
        <f aca="false">IF(AB71&lt;&gt;0,AC71+1,0)</f>
        <v>0</v>
      </c>
      <c r="Y72" s="30" t="n">
        <f aca="false">IF(W72="",0,IF(AND(AB71&lt;&gt;0,OR(ABS(W72)&gt;Inputs!$B$7,X72&gt;=Inputs!$B$8,ABS(W72)&lt;Inputs!$B$6)),1,0))</f>
        <v>0</v>
      </c>
      <c r="Z72" s="30" t="n">
        <f aca="false">IF(Y72=1,0,AB71)</f>
        <v>0</v>
      </c>
      <c r="AA72" s="30" t="n">
        <f aca="false">IF(W72="",0,IF(AND(Z72=0,ABS(W72)&gt;Inputs!$B$5,ABS(W72)&lt;=Inputs!$B$7),1,0))</f>
        <v>0</v>
      </c>
      <c r="AB72" s="30" t="n">
        <f aca="false">IF(W72="",0,IF(AA72=1,-SIGN(W72),Z72))</f>
        <v>0</v>
      </c>
      <c r="AC72" s="30" t="n">
        <f aca="false">IF(W72="",0,IF(AA72=1,0,IF(Y72=1,0,X72)))</f>
        <v>0</v>
      </c>
      <c r="AD72" s="30" t="n">
        <f aca="false">IF(AB72=0,0,IF(AB71=AB72,AD71,T72))</f>
        <v>0</v>
      </c>
      <c r="AE72" s="30" t="n">
        <f aca="false">AB72-AB71</f>
        <v>0</v>
      </c>
      <c r="AF72" s="30" t="n">
        <f aca="false">-AD72*AB72</f>
        <v>-0</v>
      </c>
      <c r="AG72" s="30" t="n">
        <f aca="false">AF72-AF71</f>
        <v>0</v>
      </c>
      <c r="AH72" s="30" t="n">
        <f aca="false">MAX(AE72,0)*(Inputs!$B$17+Inputs!$B$18+Inputs!$B$19)+MAX(-AE72,0)*(O72+Inputs!$B$18+Inputs!$B$19)+IF(AND(K72=1,AB72&lt;&gt;0),(Inputs!$B$17+Inputs!$B$18+Inputs!$B$19)+(O72+Inputs!$B$18+Inputs!$B$19),0)+MAX(AG72,0)*(Inputs!$B$20+Inputs!$B$22+Inputs!$B$23)+MAX(-AG72,0)*(Inputs!$B$21+Inputs!$B$22+Inputs!$B$23)</f>
        <v>0</v>
      </c>
      <c r="AI72" s="30" t="n">
        <f aca="false">AB71*(M72-AD71*J72)+AB71*AD71*N72/Inputs!$B$16-AH72</f>
        <v>0</v>
      </c>
      <c r="AJ72" s="30" t="n">
        <f aca="false">MAX(AE72,0)*(Inputs!$B$17+Inputs!$B$24+Inputs!$B$25)+MAX(-AE72,0)*(O72+Inputs!$B$24+Inputs!$B$25)+IF(AND(K72=1,AB72&lt;&gt;0),(Inputs!$B$17+Inputs!$B$24+Inputs!$B$25)+(O72+Inputs!$B$24+Inputs!$B$25),0)+MAX(AG72,0)*(Inputs!$B$20+Inputs!$B$26+Inputs!$B$27)+MAX(-AG72,0)*(Inputs!$B$21+Inputs!$B$26+Inputs!$B$27)</f>
        <v>0</v>
      </c>
      <c r="AK72" s="30" t="n">
        <f aca="false">AB71*(M72-AD71*J72)+AB71*AD71*(N72+Inputs!$B$14)/Inputs!$B$16-AJ72</f>
        <v>0</v>
      </c>
      <c r="AL72" s="30" t="n">
        <f aca="false">IF(AP71&lt;&gt;0,AQ71+1,0)</f>
        <v>0</v>
      </c>
      <c r="AM72" s="30" t="n">
        <f aca="false">IF(W72="",0,IF(AND(AP71&lt;&gt;0,OR(ABS(W72)&gt;Inputs!$B$7,AL72&gt;=Inputs!$B$8,ABS(W72)&lt;Inputs!$B$6)),1,0))</f>
        <v>0</v>
      </c>
      <c r="AN72" s="30" t="n">
        <f aca="false">IF(AM72=1,0,AP71)</f>
        <v>0</v>
      </c>
      <c r="AO72" s="30" t="n">
        <f aca="false">IF(W72="",0,IF(AND(AN72=0,ABS(W72)&gt;Inputs!$B$5,ABS(W72)&lt;=Inputs!$B$7,W72&gt;0),1,0))</f>
        <v>0</v>
      </c>
      <c r="AP72" s="30" t="n">
        <f aca="false">IF(W72="",0,IF(AO72=1,-SIGN(W72),AN72))</f>
        <v>0</v>
      </c>
      <c r="AQ72" s="30" t="n">
        <f aca="false">IF(W72="",0,IF(AO72=1,0,IF(AM72=1,0,AL72)))</f>
        <v>0</v>
      </c>
      <c r="AR72" s="30" t="n">
        <f aca="false">IF(AP72=0,0,IF(AP71=AP72,AR71,T72))</f>
        <v>0</v>
      </c>
      <c r="AS72" s="30" t="n">
        <f aca="false">AP72-AP71</f>
        <v>0</v>
      </c>
      <c r="AT72" s="30" t="n">
        <f aca="false">-AR72*AP72</f>
        <v>-0</v>
      </c>
      <c r="AU72" s="30" t="n">
        <f aca="false">AT72-AT71</f>
        <v>0</v>
      </c>
      <c r="AV72" s="30" t="n">
        <f aca="false">MAX(AS72,0)*(Inputs!$B$17+Inputs!$B$18+Inputs!$B$19)+MAX(-AS72,0)*(O72+Inputs!$B$18+Inputs!$B$19)+IF(AND(K72=1,AP72&lt;&gt;0),(Inputs!$B$17+Inputs!$B$18+Inputs!$B$19)+(O72+Inputs!$B$18+Inputs!$B$19),0)+MAX(AU72,0)*(Inputs!$B$20+Inputs!$B$22+Inputs!$B$23)+MAX(-AU72,0)*(Inputs!$B$21+Inputs!$B$22+Inputs!$B$23)</f>
        <v>0</v>
      </c>
      <c r="AW72" s="30" t="n">
        <f aca="false">AP71*(M72-AR71*J72)+AP71*AR71*N72/Inputs!$B$16-AV72</f>
        <v>0</v>
      </c>
      <c r="AX72" s="30" t="n">
        <f aca="false">AW72-IF(AP71&lt;&gt;0,0.75*AR71*(Inputs!$B$13-N72)/Inputs!$B$16,0)</f>
        <v>0</v>
      </c>
      <c r="AY72" s="30" t="n">
        <f aca="false">MAX(AS72,0)*(Inputs!$B$17+Inputs!$B$18+Inputs!$B$19)+MAX(-AS72,0)*(O72+Inputs!$B$18+Inputs!$B$19)+IF(AND(K72=1,AP72&lt;&gt;0),(Inputs!$B$17+Inputs!$B$18+Inputs!$B$19)+(O72+Inputs!$B$18+Inputs!$B$19),0)</f>
        <v>0</v>
      </c>
      <c r="AZ72" s="30" t="n">
        <f aca="false">AP71*M72-AY72</f>
        <v>0</v>
      </c>
      <c r="BA72" s="32" t="n">
        <f aca="false">BA71+AI72</f>
        <v>-0.00398234936264488</v>
      </c>
      <c r="BB72" s="30" t="n">
        <f aca="false">MAX(BB71,BA72)</f>
        <v>0</v>
      </c>
      <c r="BC72" s="32" t="n">
        <f aca="false">BA72-BB72</f>
        <v>-0.00398234936264488</v>
      </c>
      <c r="BD72" s="30" t="n">
        <f aca="false">A73-A72</f>
        <v>3</v>
      </c>
    </row>
    <row r="73" customFormat="false" ht="15" hidden="false" customHeight="false" outlineLevel="0" collapsed="false">
      <c r="A73" s="28" t="n">
        <v>45145</v>
      </c>
      <c r="B73" s="0" t="n">
        <v>19664</v>
      </c>
      <c r="C73" s="0" t="n">
        <v>215.97</v>
      </c>
      <c r="D73" s="29" t="n">
        <f aca="false">LN(B73)</f>
        <v>9.88654483180582</v>
      </c>
      <c r="E73" s="29" t="n">
        <f aca="false">LN(C73)</f>
        <v>5.37513950914932</v>
      </c>
      <c r="F73" s="0" t="n">
        <v>68</v>
      </c>
      <c r="G73" s="0" t="n">
        <v>24</v>
      </c>
      <c r="H73" s="29" t="n">
        <f aca="false">D73-E73</f>
        <v>4.5114053226565</v>
      </c>
      <c r="I73" s="29" t="n">
        <f aca="false">D73-D72</f>
        <v>0.00462826919783055</v>
      </c>
      <c r="J73" s="29" t="n">
        <f aca="false">E73-E72</f>
        <v>0.00417595261643022</v>
      </c>
      <c r="K73" s="0" t="n">
        <v>0</v>
      </c>
      <c r="L73" s="0" t="n">
        <v>0</v>
      </c>
      <c r="M73" s="29" t="n">
        <f aca="false">IF(L73=1,J73-Carry!$B$9/Inputs!$B$16,I73)</f>
        <v>0.00462826919783055</v>
      </c>
      <c r="N73" s="0" t="n">
        <v>0.065</v>
      </c>
      <c r="O73" s="0" t="n">
        <v>0.000125</v>
      </c>
      <c r="P73" s="29" t="n">
        <f aca="false">D73-('2 Hedge ratio'!$B$6+'2 Hedge ratio'!$B$5*E73)</f>
        <v>0.000415611441651365</v>
      </c>
      <c r="Q73" s="29" t="n">
        <f aca="false">D73-('5 Re-specification'!$B$7+'5 Re-specification'!$B$5*E73+'5 Re-specification'!$B$6*F73)</f>
        <v>-0.000451144264438597</v>
      </c>
      <c r="R73" s="30" t="n">
        <f aca="false">MIN(F73,Inputs!$B$9)</f>
        <v>68</v>
      </c>
      <c r="S73" s="29" t="n">
        <f aca="true">IF(AND(F73&gt;=1,R73&gt;=Inputs!$B$10),INDEX(LINEST(OFFSET(D73,-R73,0,R73,1),OFFSET(E73,-R73,0,R73,2)),1,1),"")</f>
        <v>-0.000153955739964381</v>
      </c>
      <c r="T73" s="29" t="n">
        <f aca="true">IF(AND(F73&gt;=1,R73&gt;=Inputs!$B$10),INDEX(LINEST(OFFSET(D73,-R73,0,R73,1),OFFSET(E73,-R73,0,R73,2)),1,2),"")</f>
        <v>1.03298714911094</v>
      </c>
      <c r="U73" s="29" t="n">
        <f aca="true">IF(AND(F73&gt;=1,R73&gt;=Inputs!$B$10),INDEX(LINEST(OFFSET(D73,-R73,0,R73,1),OFFSET(E73,-R73,0,R73,2)),1,3),"")</f>
        <v>4.34353938809418</v>
      </c>
      <c r="V73" s="29" t="n">
        <f aca="true">IF(AND(F73&gt;=1,R73&gt;=Inputs!$B$10),SQRT(SUMPRODUCT((OFFSET(D73,-R73,0,R73,1)-U73-T73*OFFSET(E73,-R73,0,R73,1)-S73*OFFSET(F73,-R73,0,R73,1))^2)/(R73-3)),"")</f>
        <v>0.00167725072334688</v>
      </c>
      <c r="W73" s="31" t="n">
        <f aca="false">IF(AND(F73&gt;=1,R73&gt;=Inputs!$B$10),(D73-U73-T73*E73-S73*F73)/V73,"")</f>
        <v>0.610759253370506</v>
      </c>
      <c r="X73" s="30" t="n">
        <f aca="false">IF(AB72&lt;&gt;0,AC72+1,0)</f>
        <v>0</v>
      </c>
      <c r="Y73" s="30" t="n">
        <f aca="false">IF(W73="",0,IF(AND(AB72&lt;&gt;0,OR(ABS(W73)&gt;Inputs!$B$7,X73&gt;=Inputs!$B$8,ABS(W73)&lt;Inputs!$B$6)),1,0))</f>
        <v>0</v>
      </c>
      <c r="Z73" s="30" t="n">
        <f aca="false">IF(Y73=1,0,AB72)</f>
        <v>0</v>
      </c>
      <c r="AA73" s="30" t="n">
        <f aca="false">IF(W73="",0,IF(AND(Z73=0,ABS(W73)&gt;Inputs!$B$5,ABS(W73)&lt;=Inputs!$B$7),1,0))</f>
        <v>0</v>
      </c>
      <c r="AB73" s="30" t="n">
        <f aca="false">IF(W73="",0,IF(AA73=1,-SIGN(W73),Z73))</f>
        <v>0</v>
      </c>
      <c r="AC73" s="30" t="n">
        <f aca="false">IF(W73="",0,IF(AA73=1,0,IF(Y73=1,0,X73)))</f>
        <v>0</v>
      </c>
      <c r="AD73" s="30" t="n">
        <f aca="false">IF(AB73=0,0,IF(AB72=AB73,AD72,T73))</f>
        <v>0</v>
      </c>
      <c r="AE73" s="30" t="n">
        <f aca="false">AB73-AB72</f>
        <v>0</v>
      </c>
      <c r="AF73" s="30" t="n">
        <f aca="false">-AD73*AB73</f>
        <v>-0</v>
      </c>
      <c r="AG73" s="30" t="n">
        <f aca="false">AF73-AF72</f>
        <v>0</v>
      </c>
      <c r="AH73" s="30" t="n">
        <f aca="false">MAX(AE73,0)*(Inputs!$B$17+Inputs!$B$18+Inputs!$B$19)+MAX(-AE73,0)*(O73+Inputs!$B$18+Inputs!$B$19)+IF(AND(K73=1,AB73&lt;&gt;0),(Inputs!$B$17+Inputs!$B$18+Inputs!$B$19)+(O73+Inputs!$B$18+Inputs!$B$19),0)+MAX(AG73,0)*(Inputs!$B$20+Inputs!$B$22+Inputs!$B$23)+MAX(-AG73,0)*(Inputs!$B$21+Inputs!$B$22+Inputs!$B$23)</f>
        <v>0</v>
      </c>
      <c r="AI73" s="30" t="n">
        <f aca="false">AB72*(M73-AD72*J73)+AB72*AD72*N73/Inputs!$B$16-AH73</f>
        <v>0</v>
      </c>
      <c r="AJ73" s="30" t="n">
        <f aca="false">MAX(AE73,0)*(Inputs!$B$17+Inputs!$B$24+Inputs!$B$25)+MAX(-AE73,0)*(O73+Inputs!$B$24+Inputs!$B$25)+IF(AND(K73=1,AB73&lt;&gt;0),(Inputs!$B$17+Inputs!$B$24+Inputs!$B$25)+(O73+Inputs!$B$24+Inputs!$B$25),0)+MAX(AG73,0)*(Inputs!$B$20+Inputs!$B$26+Inputs!$B$27)+MAX(-AG73,0)*(Inputs!$B$21+Inputs!$B$26+Inputs!$B$27)</f>
        <v>0</v>
      </c>
      <c r="AK73" s="30" t="n">
        <f aca="false">AB72*(M73-AD72*J73)+AB72*AD72*(N73+Inputs!$B$14)/Inputs!$B$16-AJ73</f>
        <v>0</v>
      </c>
      <c r="AL73" s="30" t="n">
        <f aca="false">IF(AP72&lt;&gt;0,AQ72+1,0)</f>
        <v>0</v>
      </c>
      <c r="AM73" s="30" t="n">
        <f aca="false">IF(W73="",0,IF(AND(AP72&lt;&gt;0,OR(ABS(W73)&gt;Inputs!$B$7,AL73&gt;=Inputs!$B$8,ABS(W73)&lt;Inputs!$B$6)),1,0))</f>
        <v>0</v>
      </c>
      <c r="AN73" s="30" t="n">
        <f aca="false">IF(AM73=1,0,AP72)</f>
        <v>0</v>
      </c>
      <c r="AO73" s="30" t="n">
        <f aca="false">IF(W73="",0,IF(AND(AN73=0,ABS(W73)&gt;Inputs!$B$5,ABS(W73)&lt;=Inputs!$B$7,W73&gt;0),1,0))</f>
        <v>0</v>
      </c>
      <c r="AP73" s="30" t="n">
        <f aca="false">IF(W73="",0,IF(AO73=1,-SIGN(W73),AN73))</f>
        <v>0</v>
      </c>
      <c r="AQ73" s="30" t="n">
        <f aca="false">IF(W73="",0,IF(AO73=1,0,IF(AM73=1,0,AL73)))</f>
        <v>0</v>
      </c>
      <c r="AR73" s="30" t="n">
        <f aca="false">IF(AP73=0,0,IF(AP72=AP73,AR72,T73))</f>
        <v>0</v>
      </c>
      <c r="AS73" s="30" t="n">
        <f aca="false">AP73-AP72</f>
        <v>0</v>
      </c>
      <c r="AT73" s="30" t="n">
        <f aca="false">-AR73*AP73</f>
        <v>-0</v>
      </c>
      <c r="AU73" s="30" t="n">
        <f aca="false">AT73-AT72</f>
        <v>0</v>
      </c>
      <c r="AV73" s="30" t="n">
        <f aca="false">MAX(AS73,0)*(Inputs!$B$17+Inputs!$B$18+Inputs!$B$19)+MAX(-AS73,0)*(O73+Inputs!$B$18+Inputs!$B$19)+IF(AND(K73=1,AP73&lt;&gt;0),(Inputs!$B$17+Inputs!$B$18+Inputs!$B$19)+(O73+Inputs!$B$18+Inputs!$B$19),0)+MAX(AU73,0)*(Inputs!$B$20+Inputs!$B$22+Inputs!$B$23)+MAX(-AU73,0)*(Inputs!$B$21+Inputs!$B$22+Inputs!$B$23)</f>
        <v>0</v>
      </c>
      <c r="AW73" s="30" t="n">
        <f aca="false">AP72*(M73-AR72*J73)+AP72*AR72*N73/Inputs!$B$16-AV73</f>
        <v>0</v>
      </c>
      <c r="AX73" s="30" t="n">
        <f aca="false">AW73-IF(AP72&lt;&gt;0,0.75*AR72*(Inputs!$B$13-N73)/Inputs!$B$16,0)</f>
        <v>0</v>
      </c>
      <c r="AY73" s="30" t="n">
        <f aca="false">MAX(AS73,0)*(Inputs!$B$17+Inputs!$B$18+Inputs!$B$19)+MAX(-AS73,0)*(O73+Inputs!$B$18+Inputs!$B$19)+IF(AND(K73=1,AP73&lt;&gt;0),(Inputs!$B$17+Inputs!$B$18+Inputs!$B$19)+(O73+Inputs!$B$18+Inputs!$B$19),0)</f>
        <v>0</v>
      </c>
      <c r="AZ73" s="30" t="n">
        <f aca="false">AP72*M73-AY73</f>
        <v>0</v>
      </c>
      <c r="BA73" s="32" t="n">
        <f aca="false">BA72+AI73</f>
        <v>-0.00398234936264488</v>
      </c>
      <c r="BB73" s="30" t="n">
        <f aca="false">MAX(BB72,BA73)</f>
        <v>0</v>
      </c>
      <c r="BC73" s="32" t="n">
        <f aca="false">BA73-BB73</f>
        <v>-0.00398234936264488</v>
      </c>
      <c r="BD73" s="30" t="n">
        <f aca="false">A74-A73</f>
        <v>1</v>
      </c>
    </row>
    <row r="74" customFormat="false" ht="15" hidden="false" customHeight="false" outlineLevel="0" collapsed="false">
      <c r="A74" s="28" t="n">
        <v>45146</v>
      </c>
      <c r="B74" s="0" t="n">
        <v>19607</v>
      </c>
      <c r="C74" s="0" t="n">
        <v>215.85</v>
      </c>
      <c r="D74" s="29" t="n">
        <f aca="false">LN(B74)</f>
        <v>9.88364192431542</v>
      </c>
      <c r="E74" s="29" t="n">
        <f aca="false">LN(C74)</f>
        <v>5.37458372200149</v>
      </c>
      <c r="F74" s="0" t="n">
        <v>69</v>
      </c>
      <c r="G74" s="0" t="n">
        <v>23</v>
      </c>
      <c r="H74" s="29" t="n">
        <f aca="false">D74-E74</f>
        <v>4.50905820231394</v>
      </c>
      <c r="I74" s="29" t="n">
        <f aca="false">D74-D73</f>
        <v>-0.00290290749039457</v>
      </c>
      <c r="J74" s="29" t="n">
        <f aca="false">E74-E73</f>
        <v>-0.00055578714783433</v>
      </c>
      <c r="K74" s="0" t="n">
        <v>0</v>
      </c>
      <c r="L74" s="0" t="n">
        <v>0</v>
      </c>
      <c r="M74" s="29" t="n">
        <f aca="false">IF(L74=1,J74-Carry!$B$9/Inputs!$B$16,I74)</f>
        <v>-0.00290290749039457</v>
      </c>
      <c r="N74" s="0" t="n">
        <v>0.065</v>
      </c>
      <c r="O74" s="0" t="n">
        <v>0.000125</v>
      </c>
      <c r="P74" s="29" t="n">
        <f aca="false">D74-('2 Hedge ratio'!$B$6+'2 Hedge ratio'!$B$5*E74)</f>
        <v>-0.00197812457016688</v>
      </c>
      <c r="Q74" s="29" t="n">
        <f aca="false">D74-('5 Re-specification'!$B$7+'5 Re-specification'!$B$5*E74+'5 Re-specification'!$B$6*F74)</f>
        <v>-0.0027550196018673</v>
      </c>
      <c r="R74" s="30" t="n">
        <f aca="false">MIN(F74,Inputs!$B$9)</f>
        <v>69</v>
      </c>
      <c r="S74" s="29" t="n">
        <f aca="true">IF(AND(F74&gt;=1,R74&gt;=Inputs!$B$10),INDEX(LINEST(OFFSET(D74,-R74,0,R74,1),OFFSET(E74,-R74,0,R74,2)),1,1),"")</f>
        <v>-0.00014873904331261</v>
      </c>
      <c r="T74" s="29" t="n">
        <f aca="true">IF(AND(F74&gt;=1,R74&gt;=Inputs!$B$10),INDEX(LINEST(OFFSET(D74,-R74,0,R74,1),OFFSET(E74,-R74,0,R74,2)),1,2),"")</f>
        <v>1.03040999024191</v>
      </c>
      <c r="U74" s="29" t="n">
        <f aca="true">IF(AND(F74&gt;=1,R74&gt;=Inputs!$B$10),INDEX(LINEST(OFFSET(D74,-R74,0,R74,1),OFFSET(E74,-R74,0,R74,2)),1,3),"")</f>
        <v>4.35712773724183</v>
      </c>
      <c r="V74" s="29" t="n">
        <f aca="true">IF(AND(F74&gt;=1,R74&gt;=Inputs!$B$10),SQRT(SUMPRODUCT((OFFSET(D74,-R74,0,R74,1)-U74-T74*OFFSET(E74,-R74,0,R74,1)-S74*OFFSET(F74,-R74,0,R74,1))^2)/(R74-3)),"")</f>
        <v>0.00166884433532679</v>
      </c>
      <c r="W74" s="31" t="n">
        <f aca="false">IF(AND(F74&gt;=1,R74&gt;=Inputs!$B$10),(D74-U74-T74*E74-S74*F74)/V74,"")</f>
        <v>-0.747570910771998</v>
      </c>
      <c r="X74" s="30" t="n">
        <f aca="false">IF(AB73&lt;&gt;0,AC73+1,0)</f>
        <v>0</v>
      </c>
      <c r="Y74" s="30" t="n">
        <f aca="false">IF(W74="",0,IF(AND(AB73&lt;&gt;0,OR(ABS(W74)&gt;Inputs!$B$7,X74&gt;=Inputs!$B$8,ABS(W74)&lt;Inputs!$B$6)),1,0))</f>
        <v>0</v>
      </c>
      <c r="Z74" s="30" t="n">
        <f aca="false">IF(Y74=1,0,AB73)</f>
        <v>0</v>
      </c>
      <c r="AA74" s="30" t="n">
        <f aca="false">IF(W74="",0,IF(AND(Z74=0,ABS(W74)&gt;Inputs!$B$5,ABS(W74)&lt;=Inputs!$B$7),1,0))</f>
        <v>0</v>
      </c>
      <c r="AB74" s="30" t="n">
        <f aca="false">IF(W74="",0,IF(AA74=1,-SIGN(W74),Z74))</f>
        <v>0</v>
      </c>
      <c r="AC74" s="30" t="n">
        <f aca="false">IF(W74="",0,IF(AA74=1,0,IF(Y74=1,0,X74)))</f>
        <v>0</v>
      </c>
      <c r="AD74" s="30" t="n">
        <f aca="false">IF(AB74=0,0,IF(AB73=AB74,AD73,T74))</f>
        <v>0</v>
      </c>
      <c r="AE74" s="30" t="n">
        <f aca="false">AB74-AB73</f>
        <v>0</v>
      </c>
      <c r="AF74" s="30" t="n">
        <f aca="false">-AD74*AB74</f>
        <v>-0</v>
      </c>
      <c r="AG74" s="30" t="n">
        <f aca="false">AF74-AF73</f>
        <v>0</v>
      </c>
      <c r="AH74" s="30" t="n">
        <f aca="false">MAX(AE74,0)*(Inputs!$B$17+Inputs!$B$18+Inputs!$B$19)+MAX(-AE74,0)*(O74+Inputs!$B$18+Inputs!$B$19)+IF(AND(K74=1,AB74&lt;&gt;0),(Inputs!$B$17+Inputs!$B$18+Inputs!$B$19)+(O74+Inputs!$B$18+Inputs!$B$19),0)+MAX(AG74,0)*(Inputs!$B$20+Inputs!$B$22+Inputs!$B$23)+MAX(-AG74,0)*(Inputs!$B$21+Inputs!$B$22+Inputs!$B$23)</f>
        <v>0</v>
      </c>
      <c r="AI74" s="30" t="n">
        <f aca="false">AB73*(M74-AD73*J74)+AB73*AD73*N74/Inputs!$B$16-AH74</f>
        <v>0</v>
      </c>
      <c r="AJ74" s="30" t="n">
        <f aca="false">MAX(AE74,0)*(Inputs!$B$17+Inputs!$B$24+Inputs!$B$25)+MAX(-AE74,0)*(O74+Inputs!$B$24+Inputs!$B$25)+IF(AND(K74=1,AB74&lt;&gt;0),(Inputs!$B$17+Inputs!$B$24+Inputs!$B$25)+(O74+Inputs!$B$24+Inputs!$B$25),0)+MAX(AG74,0)*(Inputs!$B$20+Inputs!$B$26+Inputs!$B$27)+MAX(-AG74,0)*(Inputs!$B$21+Inputs!$B$26+Inputs!$B$27)</f>
        <v>0</v>
      </c>
      <c r="AK74" s="30" t="n">
        <f aca="false">AB73*(M74-AD73*J74)+AB73*AD73*(N74+Inputs!$B$14)/Inputs!$B$16-AJ74</f>
        <v>0</v>
      </c>
      <c r="AL74" s="30" t="n">
        <f aca="false">IF(AP73&lt;&gt;0,AQ73+1,0)</f>
        <v>0</v>
      </c>
      <c r="AM74" s="30" t="n">
        <f aca="false">IF(W74="",0,IF(AND(AP73&lt;&gt;0,OR(ABS(W74)&gt;Inputs!$B$7,AL74&gt;=Inputs!$B$8,ABS(W74)&lt;Inputs!$B$6)),1,0))</f>
        <v>0</v>
      </c>
      <c r="AN74" s="30" t="n">
        <f aca="false">IF(AM74=1,0,AP73)</f>
        <v>0</v>
      </c>
      <c r="AO74" s="30" t="n">
        <f aca="false">IF(W74="",0,IF(AND(AN74=0,ABS(W74)&gt;Inputs!$B$5,ABS(W74)&lt;=Inputs!$B$7,W74&gt;0),1,0))</f>
        <v>0</v>
      </c>
      <c r="AP74" s="30" t="n">
        <f aca="false">IF(W74="",0,IF(AO74=1,-SIGN(W74),AN74))</f>
        <v>0</v>
      </c>
      <c r="AQ74" s="30" t="n">
        <f aca="false">IF(W74="",0,IF(AO74=1,0,IF(AM74=1,0,AL74)))</f>
        <v>0</v>
      </c>
      <c r="AR74" s="30" t="n">
        <f aca="false">IF(AP74=0,0,IF(AP73=AP74,AR73,T74))</f>
        <v>0</v>
      </c>
      <c r="AS74" s="30" t="n">
        <f aca="false">AP74-AP73</f>
        <v>0</v>
      </c>
      <c r="AT74" s="30" t="n">
        <f aca="false">-AR74*AP74</f>
        <v>-0</v>
      </c>
      <c r="AU74" s="30" t="n">
        <f aca="false">AT74-AT73</f>
        <v>0</v>
      </c>
      <c r="AV74" s="30" t="n">
        <f aca="false">MAX(AS74,0)*(Inputs!$B$17+Inputs!$B$18+Inputs!$B$19)+MAX(-AS74,0)*(O74+Inputs!$B$18+Inputs!$B$19)+IF(AND(K74=1,AP74&lt;&gt;0),(Inputs!$B$17+Inputs!$B$18+Inputs!$B$19)+(O74+Inputs!$B$18+Inputs!$B$19),0)+MAX(AU74,0)*(Inputs!$B$20+Inputs!$B$22+Inputs!$B$23)+MAX(-AU74,0)*(Inputs!$B$21+Inputs!$B$22+Inputs!$B$23)</f>
        <v>0</v>
      </c>
      <c r="AW74" s="30" t="n">
        <f aca="false">AP73*(M74-AR73*J74)+AP73*AR73*N74/Inputs!$B$16-AV74</f>
        <v>0</v>
      </c>
      <c r="AX74" s="30" t="n">
        <f aca="false">AW74-IF(AP73&lt;&gt;0,0.75*AR73*(Inputs!$B$13-N74)/Inputs!$B$16,0)</f>
        <v>0</v>
      </c>
      <c r="AY74" s="30" t="n">
        <f aca="false">MAX(AS74,0)*(Inputs!$B$17+Inputs!$B$18+Inputs!$B$19)+MAX(-AS74,0)*(O74+Inputs!$B$18+Inputs!$B$19)+IF(AND(K74=1,AP74&lt;&gt;0),(Inputs!$B$17+Inputs!$B$18+Inputs!$B$19)+(O74+Inputs!$B$18+Inputs!$B$19),0)</f>
        <v>0</v>
      </c>
      <c r="AZ74" s="30" t="n">
        <f aca="false">AP73*M74-AY74</f>
        <v>-0</v>
      </c>
      <c r="BA74" s="32" t="n">
        <f aca="false">BA73+AI74</f>
        <v>-0.00398234936264488</v>
      </c>
      <c r="BB74" s="30" t="n">
        <f aca="false">MAX(BB73,BA74)</f>
        <v>0</v>
      </c>
      <c r="BC74" s="32" t="n">
        <f aca="false">BA74-BB74</f>
        <v>-0.00398234936264488</v>
      </c>
      <c r="BD74" s="30" t="n">
        <f aca="false">A75-A74</f>
        <v>1</v>
      </c>
    </row>
    <row r="75" customFormat="false" ht="15" hidden="false" customHeight="false" outlineLevel="0" collapsed="false">
      <c r="A75" s="28" t="n">
        <v>45147</v>
      </c>
      <c r="B75" s="0" t="n">
        <v>19693.3</v>
      </c>
      <c r="C75" s="0" t="n">
        <v>216.5</v>
      </c>
      <c r="D75" s="29" t="n">
        <f aca="false">LN(B75)</f>
        <v>9.8880337553556</v>
      </c>
      <c r="E75" s="29" t="n">
        <f aca="false">LN(C75)</f>
        <v>5.37759054744254</v>
      </c>
      <c r="F75" s="0" t="n">
        <v>70</v>
      </c>
      <c r="G75" s="0" t="n">
        <v>22</v>
      </c>
      <c r="H75" s="29" t="n">
        <f aca="false">D75-E75</f>
        <v>4.51044320791305</v>
      </c>
      <c r="I75" s="29" t="n">
        <f aca="false">D75-D74</f>
        <v>0.00439183104017715</v>
      </c>
      <c r="J75" s="29" t="n">
        <f aca="false">E75-E74</f>
        <v>0.00300682544105779</v>
      </c>
      <c r="K75" s="0" t="n">
        <v>0</v>
      </c>
      <c r="L75" s="0" t="n">
        <v>0</v>
      </c>
      <c r="M75" s="29" t="n">
        <f aca="false">IF(L75=1,J75-Carry!$B$9/Inputs!$B$16,I75)</f>
        <v>0.00439183104017715</v>
      </c>
      <c r="N75" s="0" t="n">
        <v>0.065</v>
      </c>
      <c r="O75" s="0" t="n">
        <v>0.000125</v>
      </c>
      <c r="P75" s="29" t="n">
        <f aca="false">D75-('2 Hedge ratio'!$B$6+'2 Hedge ratio'!$B$5*E75)</f>
        <v>-0.000340926776926764</v>
      </c>
      <c r="Q75" s="29" t="n">
        <f aca="false">D75-('5 Re-specification'!$B$7+'5 Re-specification'!$B$5*E75+'5 Re-specification'!$B$6*F75)</f>
        <v>-0.00131597250008753</v>
      </c>
      <c r="R75" s="30" t="n">
        <f aca="false">MIN(F75,Inputs!$B$9)</f>
        <v>70</v>
      </c>
      <c r="S75" s="29" t="n">
        <f aca="true">IF(AND(F75&gt;=1,R75&gt;=Inputs!$B$10),INDEX(LINEST(OFFSET(D75,-R75,0,R75,1),OFFSET(E75,-R75,0,R75,2)),1,1),"")</f>
        <v>-0.000155267927976372</v>
      </c>
      <c r="T75" s="29" t="n">
        <f aca="true">IF(AND(F75&gt;=1,R75&gt;=Inputs!$B$10),INDEX(LINEST(OFFSET(D75,-R75,0,R75,1),OFFSET(E75,-R75,0,R75,2)),1,2),"")</f>
        <v>1.03373029322827</v>
      </c>
      <c r="U75" s="29" t="n">
        <f aca="true">IF(AND(F75&gt;=1,R75&gt;=Inputs!$B$10),INDEX(LINEST(OFFSET(D75,-R75,0,R75,1),OFFSET(E75,-R75,0,R75,2)),1,3),"")</f>
        <v>4.33961727278987</v>
      </c>
      <c r="V75" s="29" t="n">
        <f aca="true">IF(AND(F75&gt;=1,R75&gt;=Inputs!$B$10),SQRT(SUMPRODUCT((OFFSET(D75,-R75,0,R75,1)-U75-T75*OFFSET(E75,-R75,0,R75,1)-S75*OFFSET(F75,-R75,0,R75,1))^2)/(R75-3)),"")</f>
        <v>0.00166269350428923</v>
      </c>
      <c r="W75" s="31" t="n">
        <f aca="false">IF(AND(F75&gt;=1,R75&gt;=Inputs!$B$10),(D75-U75-T75*E75-S75*F75)/V75,"")</f>
        <v>0.184630573191829</v>
      </c>
      <c r="X75" s="30" t="n">
        <f aca="false">IF(AB74&lt;&gt;0,AC74+1,0)</f>
        <v>0</v>
      </c>
      <c r="Y75" s="30" t="n">
        <f aca="false">IF(W75="",0,IF(AND(AB74&lt;&gt;0,OR(ABS(W75)&gt;Inputs!$B$7,X75&gt;=Inputs!$B$8,ABS(W75)&lt;Inputs!$B$6)),1,0))</f>
        <v>0</v>
      </c>
      <c r="Z75" s="30" t="n">
        <f aca="false">IF(Y75=1,0,AB74)</f>
        <v>0</v>
      </c>
      <c r="AA75" s="30" t="n">
        <f aca="false">IF(W75="",0,IF(AND(Z75=0,ABS(W75)&gt;Inputs!$B$5,ABS(W75)&lt;=Inputs!$B$7),1,0))</f>
        <v>0</v>
      </c>
      <c r="AB75" s="30" t="n">
        <f aca="false">IF(W75="",0,IF(AA75=1,-SIGN(W75),Z75))</f>
        <v>0</v>
      </c>
      <c r="AC75" s="30" t="n">
        <f aca="false">IF(W75="",0,IF(AA75=1,0,IF(Y75=1,0,X75)))</f>
        <v>0</v>
      </c>
      <c r="AD75" s="30" t="n">
        <f aca="false">IF(AB75=0,0,IF(AB74=AB75,AD74,T75))</f>
        <v>0</v>
      </c>
      <c r="AE75" s="30" t="n">
        <f aca="false">AB75-AB74</f>
        <v>0</v>
      </c>
      <c r="AF75" s="30" t="n">
        <f aca="false">-AD75*AB75</f>
        <v>-0</v>
      </c>
      <c r="AG75" s="30" t="n">
        <f aca="false">AF75-AF74</f>
        <v>0</v>
      </c>
      <c r="AH75" s="30" t="n">
        <f aca="false">MAX(AE75,0)*(Inputs!$B$17+Inputs!$B$18+Inputs!$B$19)+MAX(-AE75,0)*(O75+Inputs!$B$18+Inputs!$B$19)+IF(AND(K75=1,AB75&lt;&gt;0),(Inputs!$B$17+Inputs!$B$18+Inputs!$B$19)+(O75+Inputs!$B$18+Inputs!$B$19),0)+MAX(AG75,0)*(Inputs!$B$20+Inputs!$B$22+Inputs!$B$23)+MAX(-AG75,0)*(Inputs!$B$21+Inputs!$B$22+Inputs!$B$23)</f>
        <v>0</v>
      </c>
      <c r="AI75" s="30" t="n">
        <f aca="false">AB74*(M75-AD74*J75)+AB74*AD74*N75/Inputs!$B$16-AH75</f>
        <v>0</v>
      </c>
      <c r="AJ75" s="30" t="n">
        <f aca="false">MAX(AE75,0)*(Inputs!$B$17+Inputs!$B$24+Inputs!$B$25)+MAX(-AE75,0)*(O75+Inputs!$B$24+Inputs!$B$25)+IF(AND(K75=1,AB75&lt;&gt;0),(Inputs!$B$17+Inputs!$B$24+Inputs!$B$25)+(O75+Inputs!$B$24+Inputs!$B$25),0)+MAX(AG75,0)*(Inputs!$B$20+Inputs!$B$26+Inputs!$B$27)+MAX(-AG75,0)*(Inputs!$B$21+Inputs!$B$26+Inputs!$B$27)</f>
        <v>0</v>
      </c>
      <c r="AK75" s="30" t="n">
        <f aca="false">AB74*(M75-AD74*J75)+AB74*AD74*(N75+Inputs!$B$14)/Inputs!$B$16-AJ75</f>
        <v>0</v>
      </c>
      <c r="AL75" s="30" t="n">
        <f aca="false">IF(AP74&lt;&gt;0,AQ74+1,0)</f>
        <v>0</v>
      </c>
      <c r="AM75" s="30" t="n">
        <f aca="false">IF(W75="",0,IF(AND(AP74&lt;&gt;0,OR(ABS(W75)&gt;Inputs!$B$7,AL75&gt;=Inputs!$B$8,ABS(W75)&lt;Inputs!$B$6)),1,0))</f>
        <v>0</v>
      </c>
      <c r="AN75" s="30" t="n">
        <f aca="false">IF(AM75=1,0,AP74)</f>
        <v>0</v>
      </c>
      <c r="AO75" s="30" t="n">
        <f aca="false">IF(W75="",0,IF(AND(AN75=0,ABS(W75)&gt;Inputs!$B$5,ABS(W75)&lt;=Inputs!$B$7,W75&gt;0),1,0))</f>
        <v>0</v>
      </c>
      <c r="AP75" s="30" t="n">
        <f aca="false">IF(W75="",0,IF(AO75=1,-SIGN(W75),AN75))</f>
        <v>0</v>
      </c>
      <c r="AQ75" s="30" t="n">
        <f aca="false">IF(W75="",0,IF(AO75=1,0,IF(AM75=1,0,AL75)))</f>
        <v>0</v>
      </c>
      <c r="AR75" s="30" t="n">
        <f aca="false">IF(AP75=0,0,IF(AP74=AP75,AR74,T75))</f>
        <v>0</v>
      </c>
      <c r="AS75" s="30" t="n">
        <f aca="false">AP75-AP74</f>
        <v>0</v>
      </c>
      <c r="AT75" s="30" t="n">
        <f aca="false">-AR75*AP75</f>
        <v>-0</v>
      </c>
      <c r="AU75" s="30" t="n">
        <f aca="false">AT75-AT74</f>
        <v>0</v>
      </c>
      <c r="AV75" s="30" t="n">
        <f aca="false">MAX(AS75,0)*(Inputs!$B$17+Inputs!$B$18+Inputs!$B$19)+MAX(-AS75,0)*(O75+Inputs!$B$18+Inputs!$B$19)+IF(AND(K75=1,AP75&lt;&gt;0),(Inputs!$B$17+Inputs!$B$18+Inputs!$B$19)+(O75+Inputs!$B$18+Inputs!$B$19),0)+MAX(AU75,0)*(Inputs!$B$20+Inputs!$B$22+Inputs!$B$23)+MAX(-AU75,0)*(Inputs!$B$21+Inputs!$B$22+Inputs!$B$23)</f>
        <v>0</v>
      </c>
      <c r="AW75" s="30" t="n">
        <f aca="false">AP74*(M75-AR74*J75)+AP74*AR74*N75/Inputs!$B$16-AV75</f>
        <v>0</v>
      </c>
      <c r="AX75" s="30" t="n">
        <f aca="false">AW75-IF(AP74&lt;&gt;0,0.75*AR74*(Inputs!$B$13-N75)/Inputs!$B$16,0)</f>
        <v>0</v>
      </c>
      <c r="AY75" s="30" t="n">
        <f aca="false">MAX(AS75,0)*(Inputs!$B$17+Inputs!$B$18+Inputs!$B$19)+MAX(-AS75,0)*(O75+Inputs!$B$18+Inputs!$B$19)+IF(AND(K75=1,AP75&lt;&gt;0),(Inputs!$B$17+Inputs!$B$18+Inputs!$B$19)+(O75+Inputs!$B$18+Inputs!$B$19),0)</f>
        <v>0</v>
      </c>
      <c r="AZ75" s="30" t="n">
        <f aca="false">AP74*M75-AY75</f>
        <v>0</v>
      </c>
      <c r="BA75" s="32" t="n">
        <f aca="false">BA74+AI75</f>
        <v>-0.00398234936264488</v>
      </c>
      <c r="BB75" s="30" t="n">
        <f aca="false">MAX(BB74,BA75)</f>
        <v>0</v>
      </c>
      <c r="BC75" s="32" t="n">
        <f aca="false">BA75-BB75</f>
        <v>-0.00398234936264488</v>
      </c>
      <c r="BD75" s="30" t="n">
        <f aca="false">A76-A75</f>
        <v>1</v>
      </c>
    </row>
    <row r="76" customFormat="false" ht="15" hidden="false" customHeight="false" outlineLevel="0" collapsed="false">
      <c r="A76" s="28" t="n">
        <v>45148</v>
      </c>
      <c r="B76" s="0" t="n">
        <v>19601.1</v>
      </c>
      <c r="C76" s="0" t="n">
        <v>215.44</v>
      </c>
      <c r="D76" s="29" t="n">
        <f aca="false">LN(B76)</f>
        <v>9.88334096609278</v>
      </c>
      <c r="E76" s="29" t="n">
        <f aca="false">LN(C76)</f>
        <v>5.37268244850334</v>
      </c>
      <c r="F76" s="0" t="n">
        <v>71</v>
      </c>
      <c r="G76" s="0" t="n">
        <v>21</v>
      </c>
      <c r="H76" s="29" t="n">
        <f aca="false">D76-E76</f>
        <v>4.51065851758944</v>
      </c>
      <c r="I76" s="29" t="n">
        <f aca="false">D76-D75</f>
        <v>-0.00469278926281547</v>
      </c>
      <c r="J76" s="29" t="n">
        <f aca="false">E76-E75</f>
        <v>-0.00490809893920119</v>
      </c>
      <c r="K76" s="0" t="n">
        <v>0</v>
      </c>
      <c r="L76" s="0" t="n">
        <v>0</v>
      </c>
      <c r="M76" s="29" t="n">
        <f aca="false">IF(L76=1,J76-Carry!$B$9/Inputs!$B$16,I76)</f>
        <v>-0.00469278926281547</v>
      </c>
      <c r="N76" s="0" t="n">
        <v>0.065</v>
      </c>
      <c r="O76" s="0" t="n">
        <v>0.000125</v>
      </c>
      <c r="P76" s="29" t="n">
        <f aca="false">D76-('2 Hedge ratio'!$B$6+'2 Hedge ratio'!$B$5*E76)</f>
        <v>-0.000537275264511195</v>
      </c>
      <c r="Q76" s="29" t="n">
        <f aca="false">D76-('5 Re-specification'!$B$7+'5 Re-specification'!$B$5*E76+'5 Re-specification'!$B$6*F76)</f>
        <v>-0.00107060749954435</v>
      </c>
      <c r="R76" s="30" t="n">
        <f aca="false">MIN(F76,Inputs!$B$9)</f>
        <v>71</v>
      </c>
      <c r="S76" s="29" t="n">
        <f aca="true">IF(AND(F76&gt;=1,R76&gt;=Inputs!$B$10),INDEX(LINEST(OFFSET(D76,-R76,0,R76,1),OFFSET(E76,-R76,0,R76,2)),1,1),"")</f>
        <v>-0.000153903764828138</v>
      </c>
      <c r="T76" s="29" t="n">
        <f aca="true">IF(AND(F76&gt;=1,R76&gt;=Inputs!$B$10),INDEX(LINEST(OFFSET(D76,-R76,0,R76,1),OFFSET(E76,-R76,0,R76,2)),1,2),"")</f>
        <v>1.03306027958558</v>
      </c>
      <c r="U76" s="29" t="n">
        <f aca="true">IF(AND(F76&gt;=1,R76&gt;=Inputs!$B$10),INDEX(LINEST(OFFSET(D76,-R76,0,R76,1),OFFSET(E76,-R76,0,R76,2)),1,3),"")</f>
        <v>4.34314958562436</v>
      </c>
      <c r="V76" s="29" t="n">
        <f aca="true">IF(AND(F76&gt;=1,R76&gt;=Inputs!$B$10),SQRT(SUMPRODUCT((OFFSET(D76,-R76,0,R76,1)-U76-T76*OFFSET(E76,-R76,0,R76,1)-S76*OFFSET(F76,-R76,0,R76,1))^2)/(R76-3)),"")</f>
        <v>0.00165080850065891</v>
      </c>
      <c r="W76" s="31" t="n">
        <f aca="false">IF(AND(F76&gt;=1,R76&gt;=Inputs!$B$10),(D76-U76-T76*E76-S76*F76)/V76,"")</f>
        <v>0.492919315292139</v>
      </c>
      <c r="X76" s="30" t="n">
        <f aca="false">IF(AB75&lt;&gt;0,AC75+1,0)</f>
        <v>0</v>
      </c>
      <c r="Y76" s="30" t="n">
        <f aca="false">IF(W76="",0,IF(AND(AB75&lt;&gt;0,OR(ABS(W76)&gt;Inputs!$B$7,X76&gt;=Inputs!$B$8,ABS(W76)&lt;Inputs!$B$6)),1,0))</f>
        <v>0</v>
      </c>
      <c r="Z76" s="30" t="n">
        <f aca="false">IF(Y76=1,0,AB75)</f>
        <v>0</v>
      </c>
      <c r="AA76" s="30" t="n">
        <f aca="false">IF(W76="",0,IF(AND(Z76=0,ABS(W76)&gt;Inputs!$B$5,ABS(W76)&lt;=Inputs!$B$7),1,0))</f>
        <v>0</v>
      </c>
      <c r="AB76" s="30" t="n">
        <f aca="false">IF(W76="",0,IF(AA76=1,-SIGN(W76),Z76))</f>
        <v>0</v>
      </c>
      <c r="AC76" s="30" t="n">
        <f aca="false">IF(W76="",0,IF(AA76=1,0,IF(Y76=1,0,X76)))</f>
        <v>0</v>
      </c>
      <c r="AD76" s="30" t="n">
        <f aca="false">IF(AB76=0,0,IF(AB75=AB76,AD75,T76))</f>
        <v>0</v>
      </c>
      <c r="AE76" s="30" t="n">
        <f aca="false">AB76-AB75</f>
        <v>0</v>
      </c>
      <c r="AF76" s="30" t="n">
        <f aca="false">-AD76*AB76</f>
        <v>-0</v>
      </c>
      <c r="AG76" s="30" t="n">
        <f aca="false">AF76-AF75</f>
        <v>0</v>
      </c>
      <c r="AH76" s="30" t="n">
        <f aca="false">MAX(AE76,0)*(Inputs!$B$17+Inputs!$B$18+Inputs!$B$19)+MAX(-AE76,0)*(O76+Inputs!$B$18+Inputs!$B$19)+IF(AND(K76=1,AB76&lt;&gt;0),(Inputs!$B$17+Inputs!$B$18+Inputs!$B$19)+(O76+Inputs!$B$18+Inputs!$B$19),0)+MAX(AG76,0)*(Inputs!$B$20+Inputs!$B$22+Inputs!$B$23)+MAX(-AG76,0)*(Inputs!$B$21+Inputs!$B$22+Inputs!$B$23)</f>
        <v>0</v>
      </c>
      <c r="AI76" s="30" t="n">
        <f aca="false">AB75*(M76-AD75*J76)+AB75*AD75*N76/Inputs!$B$16-AH76</f>
        <v>0</v>
      </c>
      <c r="AJ76" s="30" t="n">
        <f aca="false">MAX(AE76,0)*(Inputs!$B$17+Inputs!$B$24+Inputs!$B$25)+MAX(-AE76,0)*(O76+Inputs!$B$24+Inputs!$B$25)+IF(AND(K76=1,AB76&lt;&gt;0),(Inputs!$B$17+Inputs!$B$24+Inputs!$B$25)+(O76+Inputs!$B$24+Inputs!$B$25),0)+MAX(AG76,0)*(Inputs!$B$20+Inputs!$B$26+Inputs!$B$27)+MAX(-AG76,0)*(Inputs!$B$21+Inputs!$B$26+Inputs!$B$27)</f>
        <v>0</v>
      </c>
      <c r="AK76" s="30" t="n">
        <f aca="false">AB75*(M76-AD75*J76)+AB75*AD75*(N76+Inputs!$B$14)/Inputs!$B$16-AJ76</f>
        <v>0</v>
      </c>
      <c r="AL76" s="30" t="n">
        <f aca="false">IF(AP75&lt;&gt;0,AQ75+1,0)</f>
        <v>0</v>
      </c>
      <c r="AM76" s="30" t="n">
        <f aca="false">IF(W76="",0,IF(AND(AP75&lt;&gt;0,OR(ABS(W76)&gt;Inputs!$B$7,AL76&gt;=Inputs!$B$8,ABS(W76)&lt;Inputs!$B$6)),1,0))</f>
        <v>0</v>
      </c>
      <c r="AN76" s="30" t="n">
        <f aca="false">IF(AM76=1,0,AP75)</f>
        <v>0</v>
      </c>
      <c r="AO76" s="30" t="n">
        <f aca="false">IF(W76="",0,IF(AND(AN76=0,ABS(W76)&gt;Inputs!$B$5,ABS(W76)&lt;=Inputs!$B$7,W76&gt;0),1,0))</f>
        <v>0</v>
      </c>
      <c r="AP76" s="30" t="n">
        <f aca="false">IF(W76="",0,IF(AO76=1,-SIGN(W76),AN76))</f>
        <v>0</v>
      </c>
      <c r="AQ76" s="30" t="n">
        <f aca="false">IF(W76="",0,IF(AO76=1,0,IF(AM76=1,0,AL76)))</f>
        <v>0</v>
      </c>
      <c r="AR76" s="30" t="n">
        <f aca="false">IF(AP76=0,0,IF(AP75=AP76,AR75,T76))</f>
        <v>0</v>
      </c>
      <c r="AS76" s="30" t="n">
        <f aca="false">AP76-AP75</f>
        <v>0</v>
      </c>
      <c r="AT76" s="30" t="n">
        <f aca="false">-AR76*AP76</f>
        <v>-0</v>
      </c>
      <c r="AU76" s="30" t="n">
        <f aca="false">AT76-AT75</f>
        <v>0</v>
      </c>
      <c r="AV76" s="30" t="n">
        <f aca="false">MAX(AS76,0)*(Inputs!$B$17+Inputs!$B$18+Inputs!$B$19)+MAX(-AS76,0)*(O76+Inputs!$B$18+Inputs!$B$19)+IF(AND(K76=1,AP76&lt;&gt;0),(Inputs!$B$17+Inputs!$B$18+Inputs!$B$19)+(O76+Inputs!$B$18+Inputs!$B$19),0)+MAX(AU76,0)*(Inputs!$B$20+Inputs!$B$22+Inputs!$B$23)+MAX(-AU76,0)*(Inputs!$B$21+Inputs!$B$22+Inputs!$B$23)</f>
        <v>0</v>
      </c>
      <c r="AW76" s="30" t="n">
        <f aca="false">AP75*(M76-AR75*J76)+AP75*AR75*N76/Inputs!$B$16-AV76</f>
        <v>0</v>
      </c>
      <c r="AX76" s="30" t="n">
        <f aca="false">AW76-IF(AP75&lt;&gt;0,0.75*AR75*(Inputs!$B$13-N76)/Inputs!$B$16,0)</f>
        <v>0</v>
      </c>
      <c r="AY76" s="30" t="n">
        <f aca="false">MAX(AS76,0)*(Inputs!$B$17+Inputs!$B$18+Inputs!$B$19)+MAX(-AS76,0)*(O76+Inputs!$B$18+Inputs!$B$19)+IF(AND(K76=1,AP76&lt;&gt;0),(Inputs!$B$17+Inputs!$B$18+Inputs!$B$19)+(O76+Inputs!$B$18+Inputs!$B$19),0)</f>
        <v>0</v>
      </c>
      <c r="AZ76" s="30" t="n">
        <f aca="false">AP75*M76-AY76</f>
        <v>-0</v>
      </c>
      <c r="BA76" s="32" t="n">
        <f aca="false">BA75+AI76</f>
        <v>-0.00398234936264488</v>
      </c>
      <c r="BB76" s="30" t="n">
        <f aca="false">MAX(BB75,BA76)</f>
        <v>0</v>
      </c>
      <c r="BC76" s="32" t="n">
        <f aca="false">BA76-BB76</f>
        <v>-0.00398234936264488</v>
      </c>
      <c r="BD76" s="30" t="n">
        <f aca="false">A77-A76</f>
        <v>1</v>
      </c>
    </row>
    <row r="77" customFormat="false" ht="15" hidden="false" customHeight="false" outlineLevel="0" collapsed="false">
      <c r="A77" s="28" t="n">
        <v>45149</v>
      </c>
      <c r="B77" s="0" t="n">
        <v>19501.9</v>
      </c>
      <c r="C77" s="0" t="n">
        <v>214.5</v>
      </c>
      <c r="D77" s="29" t="n">
        <f aca="false">LN(B77)</f>
        <v>9.87826717570271</v>
      </c>
      <c r="E77" s="29" t="n">
        <f aca="false">LN(C77)</f>
        <v>5.36830973836807</v>
      </c>
      <c r="F77" s="0" t="n">
        <v>72</v>
      </c>
      <c r="G77" s="0" t="n">
        <v>20</v>
      </c>
      <c r="H77" s="29" t="n">
        <f aca="false">D77-E77</f>
        <v>4.50995743733463</v>
      </c>
      <c r="I77" s="29" t="n">
        <f aca="false">D77-D76</f>
        <v>-0.00507379039007816</v>
      </c>
      <c r="J77" s="29" t="n">
        <f aca="false">E77-E76</f>
        <v>-0.00437271013527152</v>
      </c>
      <c r="K77" s="0" t="n">
        <v>0</v>
      </c>
      <c r="L77" s="0" t="n">
        <v>0</v>
      </c>
      <c r="M77" s="29" t="n">
        <f aca="false">IF(L77=1,J77-Carry!$B$9/Inputs!$B$16,I77)</f>
        <v>-0.00507379039007816</v>
      </c>
      <c r="N77" s="0" t="n">
        <v>0.065</v>
      </c>
      <c r="O77" s="0" t="n">
        <v>0.000125</v>
      </c>
      <c r="P77" s="29" t="n">
        <f aca="false">D77-('2 Hedge ratio'!$B$6+'2 Hedge ratio'!$B$5*E77)</f>
        <v>-0.00160510888923682</v>
      </c>
      <c r="Q77" s="29" t="n">
        <f aca="false">D77-('5 Re-specification'!$B$7+'5 Re-specification'!$B$5*E77+'5 Re-specification'!$B$6*F77)</f>
        <v>-0.00174000993441226</v>
      </c>
      <c r="R77" s="30" t="n">
        <f aca="false">MIN(F77,Inputs!$B$9)</f>
        <v>72</v>
      </c>
      <c r="S77" s="29" t="n">
        <f aca="true">IF(AND(F77&gt;=1,R77&gt;=Inputs!$B$10),INDEX(LINEST(OFFSET(D77,-R77,0,R77,1),OFFSET(E77,-R77,0,R77,2)),1,1),"")</f>
        <v>-0.000149339697606572</v>
      </c>
      <c r="T77" s="29" t="n">
        <f aca="true">IF(AND(F77&gt;=1,R77&gt;=Inputs!$B$10),INDEX(LINEST(OFFSET(D77,-R77,0,R77,1),OFFSET(E77,-R77,0,R77,2)),1,2),"")</f>
        <v>1.03060015701132</v>
      </c>
      <c r="U77" s="29" t="n">
        <f aca="true">IF(AND(F77&gt;=1,R77&gt;=Inputs!$B$10),INDEX(LINEST(OFFSET(D77,-R77,0,R77,1),OFFSET(E77,-R77,0,R77,2)),1,3),"")</f>
        <v>4.35612929282696</v>
      </c>
      <c r="V77" s="29" t="n">
        <f aca="true">IF(AND(F77&gt;=1,R77&gt;=Inputs!$B$10),SQRT(SUMPRODUCT((OFFSET(D77,-R77,0,R77,1)-U77-T77*OFFSET(E77,-R77,0,R77,1)-S77*OFFSET(F77,-R77,0,R77,1))^2)/(R77-3)),"")</f>
        <v>0.00164141765452316</v>
      </c>
      <c r="W77" s="31" t="n">
        <f aca="false">IF(AND(F77&gt;=1,R77&gt;=Inputs!$B$10),(D77-U77-T77*E77-S77*F77)/V77,"")</f>
        <v>0.188545465585381</v>
      </c>
      <c r="X77" s="30" t="n">
        <f aca="false">IF(AB76&lt;&gt;0,AC76+1,0)</f>
        <v>0</v>
      </c>
      <c r="Y77" s="30" t="n">
        <f aca="false">IF(W77="",0,IF(AND(AB76&lt;&gt;0,OR(ABS(W77)&gt;Inputs!$B$7,X77&gt;=Inputs!$B$8,ABS(W77)&lt;Inputs!$B$6)),1,0))</f>
        <v>0</v>
      </c>
      <c r="Z77" s="30" t="n">
        <f aca="false">IF(Y77=1,0,AB76)</f>
        <v>0</v>
      </c>
      <c r="AA77" s="30" t="n">
        <f aca="false">IF(W77="",0,IF(AND(Z77=0,ABS(W77)&gt;Inputs!$B$5,ABS(W77)&lt;=Inputs!$B$7),1,0))</f>
        <v>0</v>
      </c>
      <c r="AB77" s="30" t="n">
        <f aca="false">IF(W77="",0,IF(AA77=1,-SIGN(W77),Z77))</f>
        <v>0</v>
      </c>
      <c r="AC77" s="30" t="n">
        <f aca="false">IF(W77="",0,IF(AA77=1,0,IF(Y77=1,0,X77)))</f>
        <v>0</v>
      </c>
      <c r="AD77" s="30" t="n">
        <f aca="false">IF(AB77=0,0,IF(AB76=AB77,AD76,T77))</f>
        <v>0</v>
      </c>
      <c r="AE77" s="30" t="n">
        <f aca="false">AB77-AB76</f>
        <v>0</v>
      </c>
      <c r="AF77" s="30" t="n">
        <f aca="false">-AD77*AB77</f>
        <v>-0</v>
      </c>
      <c r="AG77" s="30" t="n">
        <f aca="false">AF77-AF76</f>
        <v>0</v>
      </c>
      <c r="AH77" s="30" t="n">
        <f aca="false">MAX(AE77,0)*(Inputs!$B$17+Inputs!$B$18+Inputs!$B$19)+MAX(-AE77,0)*(O77+Inputs!$B$18+Inputs!$B$19)+IF(AND(K77=1,AB77&lt;&gt;0),(Inputs!$B$17+Inputs!$B$18+Inputs!$B$19)+(O77+Inputs!$B$18+Inputs!$B$19),0)+MAX(AG77,0)*(Inputs!$B$20+Inputs!$B$22+Inputs!$B$23)+MAX(-AG77,0)*(Inputs!$B$21+Inputs!$B$22+Inputs!$B$23)</f>
        <v>0</v>
      </c>
      <c r="AI77" s="30" t="n">
        <f aca="false">AB76*(M77-AD76*J77)+AB76*AD76*N77/Inputs!$B$16-AH77</f>
        <v>0</v>
      </c>
      <c r="AJ77" s="30" t="n">
        <f aca="false">MAX(AE77,0)*(Inputs!$B$17+Inputs!$B$24+Inputs!$B$25)+MAX(-AE77,0)*(O77+Inputs!$B$24+Inputs!$B$25)+IF(AND(K77=1,AB77&lt;&gt;0),(Inputs!$B$17+Inputs!$B$24+Inputs!$B$25)+(O77+Inputs!$B$24+Inputs!$B$25),0)+MAX(AG77,0)*(Inputs!$B$20+Inputs!$B$26+Inputs!$B$27)+MAX(-AG77,0)*(Inputs!$B$21+Inputs!$B$26+Inputs!$B$27)</f>
        <v>0</v>
      </c>
      <c r="AK77" s="30" t="n">
        <f aca="false">AB76*(M77-AD76*J77)+AB76*AD76*(N77+Inputs!$B$14)/Inputs!$B$16-AJ77</f>
        <v>0</v>
      </c>
      <c r="AL77" s="30" t="n">
        <f aca="false">IF(AP76&lt;&gt;0,AQ76+1,0)</f>
        <v>0</v>
      </c>
      <c r="AM77" s="30" t="n">
        <f aca="false">IF(W77="",0,IF(AND(AP76&lt;&gt;0,OR(ABS(W77)&gt;Inputs!$B$7,AL77&gt;=Inputs!$B$8,ABS(W77)&lt;Inputs!$B$6)),1,0))</f>
        <v>0</v>
      </c>
      <c r="AN77" s="30" t="n">
        <f aca="false">IF(AM77=1,0,AP76)</f>
        <v>0</v>
      </c>
      <c r="AO77" s="30" t="n">
        <f aca="false">IF(W77="",0,IF(AND(AN77=0,ABS(W77)&gt;Inputs!$B$5,ABS(W77)&lt;=Inputs!$B$7,W77&gt;0),1,0))</f>
        <v>0</v>
      </c>
      <c r="AP77" s="30" t="n">
        <f aca="false">IF(W77="",0,IF(AO77=1,-SIGN(W77),AN77))</f>
        <v>0</v>
      </c>
      <c r="AQ77" s="30" t="n">
        <f aca="false">IF(W77="",0,IF(AO77=1,0,IF(AM77=1,0,AL77)))</f>
        <v>0</v>
      </c>
      <c r="AR77" s="30" t="n">
        <f aca="false">IF(AP77=0,0,IF(AP76=AP77,AR76,T77))</f>
        <v>0</v>
      </c>
      <c r="AS77" s="30" t="n">
        <f aca="false">AP77-AP76</f>
        <v>0</v>
      </c>
      <c r="AT77" s="30" t="n">
        <f aca="false">-AR77*AP77</f>
        <v>-0</v>
      </c>
      <c r="AU77" s="30" t="n">
        <f aca="false">AT77-AT76</f>
        <v>0</v>
      </c>
      <c r="AV77" s="30" t="n">
        <f aca="false">MAX(AS77,0)*(Inputs!$B$17+Inputs!$B$18+Inputs!$B$19)+MAX(-AS77,0)*(O77+Inputs!$B$18+Inputs!$B$19)+IF(AND(K77=1,AP77&lt;&gt;0),(Inputs!$B$17+Inputs!$B$18+Inputs!$B$19)+(O77+Inputs!$B$18+Inputs!$B$19),0)+MAX(AU77,0)*(Inputs!$B$20+Inputs!$B$22+Inputs!$B$23)+MAX(-AU77,0)*(Inputs!$B$21+Inputs!$B$22+Inputs!$B$23)</f>
        <v>0</v>
      </c>
      <c r="AW77" s="30" t="n">
        <f aca="false">AP76*(M77-AR76*J77)+AP76*AR76*N77/Inputs!$B$16-AV77</f>
        <v>0</v>
      </c>
      <c r="AX77" s="30" t="n">
        <f aca="false">AW77-IF(AP76&lt;&gt;0,0.75*AR76*(Inputs!$B$13-N77)/Inputs!$B$16,0)</f>
        <v>0</v>
      </c>
      <c r="AY77" s="30" t="n">
        <f aca="false">MAX(AS77,0)*(Inputs!$B$17+Inputs!$B$18+Inputs!$B$19)+MAX(-AS77,0)*(O77+Inputs!$B$18+Inputs!$B$19)+IF(AND(K77=1,AP77&lt;&gt;0),(Inputs!$B$17+Inputs!$B$18+Inputs!$B$19)+(O77+Inputs!$B$18+Inputs!$B$19),0)</f>
        <v>0</v>
      </c>
      <c r="AZ77" s="30" t="n">
        <f aca="false">AP76*M77-AY77</f>
        <v>-0</v>
      </c>
      <c r="BA77" s="32" t="n">
        <f aca="false">BA76+AI77</f>
        <v>-0.00398234936264488</v>
      </c>
      <c r="BB77" s="30" t="n">
        <f aca="false">MAX(BB76,BA77)</f>
        <v>0</v>
      </c>
      <c r="BC77" s="32" t="n">
        <f aca="false">BA77-BB77</f>
        <v>-0.00398234936264488</v>
      </c>
      <c r="BD77" s="30" t="n">
        <f aca="false">A78-A77</f>
        <v>3</v>
      </c>
    </row>
    <row r="78" customFormat="false" ht="15" hidden="false" customHeight="false" outlineLevel="0" collapsed="false">
      <c r="A78" s="28" t="n">
        <v>45152</v>
      </c>
      <c r="B78" s="0" t="n">
        <v>19471.15</v>
      </c>
      <c r="C78" s="0" t="n">
        <v>214.45</v>
      </c>
      <c r="D78" s="29" t="n">
        <f aca="false">LN(B78)</f>
        <v>9.87668916185052</v>
      </c>
      <c r="E78" s="29" t="n">
        <f aca="false">LN(C78)</f>
        <v>5.36807661096289</v>
      </c>
      <c r="F78" s="0" t="n">
        <v>73</v>
      </c>
      <c r="G78" s="0" t="n">
        <v>17</v>
      </c>
      <c r="H78" s="29" t="n">
        <f aca="false">D78-E78</f>
        <v>4.50861255088763</v>
      </c>
      <c r="I78" s="29" t="n">
        <f aca="false">D78-D77</f>
        <v>-0.00157801385218548</v>
      </c>
      <c r="J78" s="29" t="n">
        <f aca="false">E78-E77</f>
        <v>-0.00023312740518211</v>
      </c>
      <c r="K78" s="0" t="n">
        <v>0</v>
      </c>
      <c r="L78" s="0" t="n">
        <v>0</v>
      </c>
      <c r="M78" s="29" t="n">
        <f aca="false">IF(L78=1,J78-Carry!$B$9/Inputs!$B$16,I78)</f>
        <v>-0.00157801385218548</v>
      </c>
      <c r="N78" s="0" t="n">
        <v>0.065</v>
      </c>
      <c r="O78" s="0" t="n">
        <v>0.000125</v>
      </c>
      <c r="P78" s="29" t="n">
        <f aca="false">D78-('2 Hedge ratio'!$B$6+'2 Hedge ratio'!$B$5*E78)</f>
        <v>-0.00296954848722031</v>
      </c>
      <c r="Q78" s="29" t="n">
        <f aca="false">D78-('5 Re-specification'!$B$7+'5 Re-specification'!$B$5*E78+'5 Re-specification'!$B$6*F78)</f>
        <v>-0.0030406735559243</v>
      </c>
      <c r="R78" s="30" t="n">
        <f aca="false">MIN(F78,Inputs!$B$9)</f>
        <v>73</v>
      </c>
      <c r="S78" s="29" t="n">
        <f aca="true">IF(AND(F78&gt;=1,R78&gt;=Inputs!$B$10),INDEX(LINEST(OFFSET(D78,-R78,0,R78,1),OFFSET(E78,-R78,0,R78,2)),1,1),"")</f>
        <v>-0.000147409494841774</v>
      </c>
      <c r="T78" s="29" t="n">
        <f aca="true">IF(AND(F78&gt;=1,R78&gt;=Inputs!$B$10),INDEX(LINEST(OFFSET(D78,-R78,0,R78,1),OFFSET(E78,-R78,0,R78,2)),1,2),"")</f>
        <v>1.02950767870683</v>
      </c>
      <c r="U78" s="29" t="n">
        <f aca="true">IF(AND(F78&gt;=1,R78&gt;=Inputs!$B$10),INDEX(LINEST(OFFSET(D78,-R78,0,R78,1),OFFSET(E78,-R78,0,R78,2)),1,3),"")</f>
        <v>4.36189540131773</v>
      </c>
      <c r="V78" s="29" t="n">
        <f aca="true">IF(AND(F78&gt;=1,R78&gt;=Inputs!$B$10),SQRT(SUMPRODUCT((OFFSET(D78,-R78,0,R78,1)-U78-T78*OFFSET(E78,-R78,0,R78,1)-S78*OFFSET(F78,-R78,0,R78,1))^2)/(R78-3)),"")</f>
        <v>0.00163001613748805</v>
      </c>
      <c r="W78" s="31" t="n">
        <f aca="false">IF(AND(F78&gt;=1,R78&gt;=Inputs!$B$10),(D78-U78-T78*E78-S78*F78)/V78,"")</f>
        <v>-0.565293309308639</v>
      </c>
      <c r="X78" s="30" t="n">
        <f aca="false">IF(AB77&lt;&gt;0,AC77+1,0)</f>
        <v>0</v>
      </c>
      <c r="Y78" s="30" t="n">
        <f aca="false">IF(W78="",0,IF(AND(AB77&lt;&gt;0,OR(ABS(W78)&gt;Inputs!$B$7,X78&gt;=Inputs!$B$8,ABS(W78)&lt;Inputs!$B$6)),1,0))</f>
        <v>0</v>
      </c>
      <c r="Z78" s="30" t="n">
        <f aca="false">IF(Y78=1,0,AB77)</f>
        <v>0</v>
      </c>
      <c r="AA78" s="30" t="n">
        <f aca="false">IF(W78="",0,IF(AND(Z78=0,ABS(W78)&gt;Inputs!$B$5,ABS(W78)&lt;=Inputs!$B$7),1,0))</f>
        <v>0</v>
      </c>
      <c r="AB78" s="30" t="n">
        <f aca="false">IF(W78="",0,IF(AA78=1,-SIGN(W78),Z78))</f>
        <v>0</v>
      </c>
      <c r="AC78" s="30" t="n">
        <f aca="false">IF(W78="",0,IF(AA78=1,0,IF(Y78=1,0,X78)))</f>
        <v>0</v>
      </c>
      <c r="AD78" s="30" t="n">
        <f aca="false">IF(AB78=0,0,IF(AB77=AB78,AD77,T78))</f>
        <v>0</v>
      </c>
      <c r="AE78" s="30" t="n">
        <f aca="false">AB78-AB77</f>
        <v>0</v>
      </c>
      <c r="AF78" s="30" t="n">
        <f aca="false">-AD78*AB78</f>
        <v>-0</v>
      </c>
      <c r="AG78" s="30" t="n">
        <f aca="false">AF78-AF77</f>
        <v>0</v>
      </c>
      <c r="AH78" s="30" t="n">
        <f aca="false">MAX(AE78,0)*(Inputs!$B$17+Inputs!$B$18+Inputs!$B$19)+MAX(-AE78,0)*(O78+Inputs!$B$18+Inputs!$B$19)+IF(AND(K78=1,AB78&lt;&gt;0),(Inputs!$B$17+Inputs!$B$18+Inputs!$B$19)+(O78+Inputs!$B$18+Inputs!$B$19),0)+MAX(AG78,0)*(Inputs!$B$20+Inputs!$B$22+Inputs!$B$23)+MAX(-AG78,0)*(Inputs!$B$21+Inputs!$B$22+Inputs!$B$23)</f>
        <v>0</v>
      </c>
      <c r="AI78" s="30" t="n">
        <f aca="false">AB77*(M78-AD77*J78)+AB77*AD77*N78/Inputs!$B$16-AH78</f>
        <v>0</v>
      </c>
      <c r="AJ78" s="30" t="n">
        <f aca="false">MAX(AE78,0)*(Inputs!$B$17+Inputs!$B$24+Inputs!$B$25)+MAX(-AE78,0)*(O78+Inputs!$B$24+Inputs!$B$25)+IF(AND(K78=1,AB78&lt;&gt;0),(Inputs!$B$17+Inputs!$B$24+Inputs!$B$25)+(O78+Inputs!$B$24+Inputs!$B$25),0)+MAX(AG78,0)*(Inputs!$B$20+Inputs!$B$26+Inputs!$B$27)+MAX(-AG78,0)*(Inputs!$B$21+Inputs!$B$26+Inputs!$B$27)</f>
        <v>0</v>
      </c>
      <c r="AK78" s="30" t="n">
        <f aca="false">AB77*(M78-AD77*J78)+AB77*AD77*(N78+Inputs!$B$14)/Inputs!$B$16-AJ78</f>
        <v>0</v>
      </c>
      <c r="AL78" s="30" t="n">
        <f aca="false">IF(AP77&lt;&gt;0,AQ77+1,0)</f>
        <v>0</v>
      </c>
      <c r="AM78" s="30" t="n">
        <f aca="false">IF(W78="",0,IF(AND(AP77&lt;&gt;0,OR(ABS(W78)&gt;Inputs!$B$7,AL78&gt;=Inputs!$B$8,ABS(W78)&lt;Inputs!$B$6)),1,0))</f>
        <v>0</v>
      </c>
      <c r="AN78" s="30" t="n">
        <f aca="false">IF(AM78=1,0,AP77)</f>
        <v>0</v>
      </c>
      <c r="AO78" s="30" t="n">
        <f aca="false">IF(W78="",0,IF(AND(AN78=0,ABS(W78)&gt;Inputs!$B$5,ABS(W78)&lt;=Inputs!$B$7,W78&gt;0),1,0))</f>
        <v>0</v>
      </c>
      <c r="AP78" s="30" t="n">
        <f aca="false">IF(W78="",0,IF(AO78=1,-SIGN(W78),AN78))</f>
        <v>0</v>
      </c>
      <c r="AQ78" s="30" t="n">
        <f aca="false">IF(W78="",0,IF(AO78=1,0,IF(AM78=1,0,AL78)))</f>
        <v>0</v>
      </c>
      <c r="AR78" s="30" t="n">
        <f aca="false">IF(AP78=0,0,IF(AP77=AP78,AR77,T78))</f>
        <v>0</v>
      </c>
      <c r="AS78" s="30" t="n">
        <f aca="false">AP78-AP77</f>
        <v>0</v>
      </c>
      <c r="AT78" s="30" t="n">
        <f aca="false">-AR78*AP78</f>
        <v>-0</v>
      </c>
      <c r="AU78" s="30" t="n">
        <f aca="false">AT78-AT77</f>
        <v>0</v>
      </c>
      <c r="AV78" s="30" t="n">
        <f aca="false">MAX(AS78,0)*(Inputs!$B$17+Inputs!$B$18+Inputs!$B$19)+MAX(-AS78,0)*(O78+Inputs!$B$18+Inputs!$B$19)+IF(AND(K78=1,AP78&lt;&gt;0),(Inputs!$B$17+Inputs!$B$18+Inputs!$B$19)+(O78+Inputs!$B$18+Inputs!$B$19),0)+MAX(AU78,0)*(Inputs!$B$20+Inputs!$B$22+Inputs!$B$23)+MAX(-AU78,0)*(Inputs!$B$21+Inputs!$B$22+Inputs!$B$23)</f>
        <v>0</v>
      </c>
      <c r="AW78" s="30" t="n">
        <f aca="false">AP77*(M78-AR77*J78)+AP77*AR77*N78/Inputs!$B$16-AV78</f>
        <v>0</v>
      </c>
      <c r="AX78" s="30" t="n">
        <f aca="false">AW78-IF(AP77&lt;&gt;0,0.75*AR77*(Inputs!$B$13-N78)/Inputs!$B$16,0)</f>
        <v>0</v>
      </c>
      <c r="AY78" s="30" t="n">
        <f aca="false">MAX(AS78,0)*(Inputs!$B$17+Inputs!$B$18+Inputs!$B$19)+MAX(-AS78,0)*(O78+Inputs!$B$18+Inputs!$B$19)+IF(AND(K78=1,AP78&lt;&gt;0),(Inputs!$B$17+Inputs!$B$18+Inputs!$B$19)+(O78+Inputs!$B$18+Inputs!$B$19),0)</f>
        <v>0</v>
      </c>
      <c r="AZ78" s="30" t="n">
        <f aca="false">AP77*M78-AY78</f>
        <v>-0</v>
      </c>
      <c r="BA78" s="32" t="n">
        <f aca="false">BA77+AI78</f>
        <v>-0.00398234936264488</v>
      </c>
      <c r="BB78" s="30" t="n">
        <f aca="false">MAX(BB77,BA78)</f>
        <v>0</v>
      </c>
      <c r="BC78" s="32" t="n">
        <f aca="false">BA78-BB78</f>
        <v>-0.00398234936264488</v>
      </c>
      <c r="BD78" s="30" t="n">
        <f aca="false">A79-A78</f>
        <v>2</v>
      </c>
    </row>
    <row r="79" customFormat="false" ht="15" hidden="false" customHeight="false" outlineLevel="0" collapsed="false">
      <c r="A79" s="28" t="n">
        <v>45154</v>
      </c>
      <c r="B79" s="0" t="n">
        <v>19466</v>
      </c>
      <c r="C79" s="0" t="n">
        <v>214.58</v>
      </c>
      <c r="D79" s="29" t="n">
        <f aca="false">LN(B79)</f>
        <v>9.87642463298644</v>
      </c>
      <c r="E79" s="29" t="n">
        <f aca="false">LN(C79)</f>
        <v>5.3686826292086</v>
      </c>
      <c r="F79" s="0" t="n">
        <v>74</v>
      </c>
      <c r="G79" s="0" t="n">
        <v>15</v>
      </c>
      <c r="H79" s="29" t="n">
        <f aca="false">D79-E79</f>
        <v>4.50774200377784</v>
      </c>
      <c r="I79" s="29" t="n">
        <f aca="false">D79-D78</f>
        <v>-0.000264528864081015</v>
      </c>
      <c r="J79" s="29" t="n">
        <f aca="false">E79-E78</f>
        <v>0.000606018245711049</v>
      </c>
      <c r="K79" s="0" t="n">
        <v>0</v>
      </c>
      <c r="L79" s="0" t="n">
        <v>0</v>
      </c>
      <c r="M79" s="29" t="n">
        <f aca="false">IF(L79=1,J79-Carry!$B$9/Inputs!$B$16,I79)</f>
        <v>-0.000264528864081015</v>
      </c>
      <c r="N79" s="0" t="n">
        <v>0.065</v>
      </c>
      <c r="O79" s="0" t="n">
        <v>0.000125</v>
      </c>
      <c r="P79" s="29" t="n">
        <f aca="false">D79-('2 Hedge ratio'!$B$6+'2 Hedge ratio'!$B$5*E79)</f>
        <v>-0.0037892668827908</v>
      </c>
      <c r="Q79" s="29" t="n">
        <f aca="false">D79-('5 Re-specification'!$B$7+'5 Re-specification'!$B$5*E79+'5 Re-specification'!$B$6*F79)</f>
        <v>-0.00386445480931208</v>
      </c>
      <c r="R79" s="30" t="n">
        <f aca="false">MIN(F79,Inputs!$B$9)</f>
        <v>74</v>
      </c>
      <c r="S79" s="29" t="n">
        <f aca="true">IF(AND(F79&gt;=1,R79&gt;=Inputs!$B$10),INDEX(LINEST(OFFSET(D79,-R79,0,R79,1),OFFSET(E79,-R79,0,R79,2)),1,1),"")</f>
        <v>-0.000152774304548627</v>
      </c>
      <c r="T79" s="29" t="n">
        <f aca="true">IF(AND(F79&gt;=1,R79&gt;=Inputs!$B$10),INDEX(LINEST(OFFSET(D79,-R79,0,R79,1),OFFSET(E79,-R79,0,R79,2)),1,2),"")</f>
        <v>1.03256935435701</v>
      </c>
      <c r="U79" s="29" t="n">
        <f aca="true">IF(AND(F79&gt;=1,R79&gt;=Inputs!$B$10),INDEX(LINEST(OFFSET(D79,-R79,0,R79,1),OFFSET(E79,-R79,0,R79,2)),1,3),"")</f>
        <v>4.34573510570371</v>
      </c>
      <c r="V79" s="29" t="n">
        <f aca="true">IF(AND(F79&gt;=1,R79&gt;=Inputs!$B$10),SQRT(SUMPRODUCT((OFFSET(D79,-R79,0,R79,1)-U79-T79*OFFSET(E79,-R79,0,R79,1)-S79*OFFSET(F79,-R79,0,R79,1))^2)/(R79-3)),"")</f>
        <v>0.00162171997739249</v>
      </c>
      <c r="W79" s="31" t="n">
        <f aca="false">IF(AND(F79&gt;=1,R79&gt;=Inputs!$B$10),(D79-U79-T79*E79-S79*F79)/V79,"")</f>
        <v>-0.951046044803684</v>
      </c>
      <c r="X79" s="30" t="n">
        <f aca="false">IF(AB78&lt;&gt;0,AC78+1,0)</f>
        <v>0</v>
      </c>
      <c r="Y79" s="30" t="n">
        <f aca="false">IF(W79="",0,IF(AND(AB78&lt;&gt;0,OR(ABS(W79)&gt;Inputs!$B$7,X79&gt;=Inputs!$B$8,ABS(W79)&lt;Inputs!$B$6)),1,0))</f>
        <v>0</v>
      </c>
      <c r="Z79" s="30" t="n">
        <f aca="false">IF(Y79=1,0,AB78)</f>
        <v>0</v>
      </c>
      <c r="AA79" s="30" t="n">
        <f aca="false">IF(W79="",0,IF(AND(Z79=0,ABS(W79)&gt;Inputs!$B$5,ABS(W79)&lt;=Inputs!$B$7),1,0))</f>
        <v>0</v>
      </c>
      <c r="AB79" s="30" t="n">
        <f aca="false">IF(W79="",0,IF(AA79=1,-SIGN(W79),Z79))</f>
        <v>0</v>
      </c>
      <c r="AC79" s="30" t="n">
        <f aca="false">IF(W79="",0,IF(AA79=1,0,IF(Y79=1,0,X79)))</f>
        <v>0</v>
      </c>
      <c r="AD79" s="30" t="n">
        <f aca="false">IF(AB79=0,0,IF(AB78=AB79,AD78,T79))</f>
        <v>0</v>
      </c>
      <c r="AE79" s="30" t="n">
        <f aca="false">AB79-AB78</f>
        <v>0</v>
      </c>
      <c r="AF79" s="30" t="n">
        <f aca="false">-AD79*AB79</f>
        <v>-0</v>
      </c>
      <c r="AG79" s="30" t="n">
        <f aca="false">AF79-AF78</f>
        <v>0</v>
      </c>
      <c r="AH79" s="30" t="n">
        <f aca="false">MAX(AE79,0)*(Inputs!$B$17+Inputs!$B$18+Inputs!$B$19)+MAX(-AE79,0)*(O79+Inputs!$B$18+Inputs!$B$19)+IF(AND(K79=1,AB79&lt;&gt;0),(Inputs!$B$17+Inputs!$B$18+Inputs!$B$19)+(O79+Inputs!$B$18+Inputs!$B$19),0)+MAX(AG79,0)*(Inputs!$B$20+Inputs!$B$22+Inputs!$B$23)+MAX(-AG79,0)*(Inputs!$B$21+Inputs!$B$22+Inputs!$B$23)</f>
        <v>0</v>
      </c>
      <c r="AI79" s="30" t="n">
        <f aca="false">AB78*(M79-AD78*J79)+AB78*AD78*N79/Inputs!$B$16-AH79</f>
        <v>0</v>
      </c>
      <c r="AJ79" s="30" t="n">
        <f aca="false">MAX(AE79,0)*(Inputs!$B$17+Inputs!$B$24+Inputs!$B$25)+MAX(-AE79,0)*(O79+Inputs!$B$24+Inputs!$B$25)+IF(AND(K79=1,AB79&lt;&gt;0),(Inputs!$B$17+Inputs!$B$24+Inputs!$B$25)+(O79+Inputs!$B$24+Inputs!$B$25),0)+MAX(AG79,0)*(Inputs!$B$20+Inputs!$B$26+Inputs!$B$27)+MAX(-AG79,0)*(Inputs!$B$21+Inputs!$B$26+Inputs!$B$27)</f>
        <v>0</v>
      </c>
      <c r="AK79" s="30" t="n">
        <f aca="false">AB78*(M79-AD78*J79)+AB78*AD78*(N79+Inputs!$B$14)/Inputs!$B$16-AJ79</f>
        <v>0</v>
      </c>
      <c r="AL79" s="30" t="n">
        <f aca="false">IF(AP78&lt;&gt;0,AQ78+1,0)</f>
        <v>0</v>
      </c>
      <c r="AM79" s="30" t="n">
        <f aca="false">IF(W79="",0,IF(AND(AP78&lt;&gt;0,OR(ABS(W79)&gt;Inputs!$B$7,AL79&gt;=Inputs!$B$8,ABS(W79)&lt;Inputs!$B$6)),1,0))</f>
        <v>0</v>
      </c>
      <c r="AN79" s="30" t="n">
        <f aca="false">IF(AM79=1,0,AP78)</f>
        <v>0</v>
      </c>
      <c r="AO79" s="30" t="n">
        <f aca="false">IF(W79="",0,IF(AND(AN79=0,ABS(W79)&gt;Inputs!$B$5,ABS(W79)&lt;=Inputs!$B$7,W79&gt;0),1,0))</f>
        <v>0</v>
      </c>
      <c r="AP79" s="30" t="n">
        <f aca="false">IF(W79="",0,IF(AO79=1,-SIGN(W79),AN79))</f>
        <v>0</v>
      </c>
      <c r="AQ79" s="30" t="n">
        <f aca="false">IF(W79="",0,IF(AO79=1,0,IF(AM79=1,0,AL79)))</f>
        <v>0</v>
      </c>
      <c r="AR79" s="30" t="n">
        <f aca="false">IF(AP79=0,0,IF(AP78=AP79,AR78,T79))</f>
        <v>0</v>
      </c>
      <c r="AS79" s="30" t="n">
        <f aca="false">AP79-AP78</f>
        <v>0</v>
      </c>
      <c r="AT79" s="30" t="n">
        <f aca="false">-AR79*AP79</f>
        <v>-0</v>
      </c>
      <c r="AU79" s="30" t="n">
        <f aca="false">AT79-AT78</f>
        <v>0</v>
      </c>
      <c r="AV79" s="30" t="n">
        <f aca="false">MAX(AS79,0)*(Inputs!$B$17+Inputs!$B$18+Inputs!$B$19)+MAX(-AS79,0)*(O79+Inputs!$B$18+Inputs!$B$19)+IF(AND(K79=1,AP79&lt;&gt;0),(Inputs!$B$17+Inputs!$B$18+Inputs!$B$19)+(O79+Inputs!$B$18+Inputs!$B$19),0)+MAX(AU79,0)*(Inputs!$B$20+Inputs!$B$22+Inputs!$B$23)+MAX(-AU79,0)*(Inputs!$B$21+Inputs!$B$22+Inputs!$B$23)</f>
        <v>0</v>
      </c>
      <c r="AW79" s="30" t="n">
        <f aca="false">AP78*(M79-AR78*J79)+AP78*AR78*N79/Inputs!$B$16-AV79</f>
        <v>0</v>
      </c>
      <c r="AX79" s="30" t="n">
        <f aca="false">AW79-IF(AP78&lt;&gt;0,0.75*AR78*(Inputs!$B$13-N79)/Inputs!$B$16,0)</f>
        <v>0</v>
      </c>
      <c r="AY79" s="30" t="n">
        <f aca="false">MAX(AS79,0)*(Inputs!$B$17+Inputs!$B$18+Inputs!$B$19)+MAX(-AS79,0)*(O79+Inputs!$B$18+Inputs!$B$19)+IF(AND(K79=1,AP79&lt;&gt;0),(Inputs!$B$17+Inputs!$B$18+Inputs!$B$19)+(O79+Inputs!$B$18+Inputs!$B$19),0)</f>
        <v>0</v>
      </c>
      <c r="AZ79" s="30" t="n">
        <f aca="false">AP78*M79-AY79</f>
        <v>-0</v>
      </c>
      <c r="BA79" s="32" t="n">
        <f aca="false">BA78+AI79</f>
        <v>-0.00398234936264488</v>
      </c>
      <c r="BB79" s="30" t="n">
        <f aca="false">MAX(BB78,BA79)</f>
        <v>0</v>
      </c>
      <c r="BC79" s="32" t="n">
        <f aca="false">BA79-BB79</f>
        <v>-0.00398234936264488</v>
      </c>
      <c r="BD79" s="30" t="n">
        <f aca="false">A80-A79</f>
        <v>1</v>
      </c>
    </row>
    <row r="80" customFormat="false" ht="15" hidden="false" customHeight="false" outlineLevel="0" collapsed="false">
      <c r="A80" s="28" t="n">
        <v>45155</v>
      </c>
      <c r="B80" s="0" t="n">
        <v>19386.35</v>
      </c>
      <c r="C80" s="0" t="n">
        <v>213.6</v>
      </c>
      <c r="D80" s="29" t="n">
        <f aca="false">LN(B80)</f>
        <v>9.87232448915554</v>
      </c>
      <c r="E80" s="29" t="n">
        <f aca="false">LN(C80)</f>
        <v>5.36410510708604</v>
      </c>
      <c r="F80" s="0" t="n">
        <v>75</v>
      </c>
      <c r="G80" s="0" t="n">
        <v>14</v>
      </c>
      <c r="H80" s="29" t="n">
        <f aca="false">D80-E80</f>
        <v>4.5082193820695</v>
      </c>
      <c r="I80" s="29" t="n">
        <f aca="false">D80-D79</f>
        <v>-0.00410014383089674</v>
      </c>
      <c r="J80" s="29" t="n">
        <f aca="false">E80-E79</f>
        <v>-0.00457752212256057</v>
      </c>
      <c r="K80" s="0" t="n">
        <v>0</v>
      </c>
      <c r="L80" s="0" t="n">
        <v>0</v>
      </c>
      <c r="M80" s="29" t="n">
        <f aca="false">IF(L80=1,J80-Carry!$B$9/Inputs!$B$16,I80)</f>
        <v>-0.00410014383089674</v>
      </c>
      <c r="N80" s="0" t="n">
        <v>0.065</v>
      </c>
      <c r="O80" s="0" t="n">
        <v>0.000125</v>
      </c>
      <c r="P80" s="29" t="n">
        <f aca="false">D80-('2 Hedge ratio'!$B$6+'2 Hedge ratio'!$B$5*E80)</f>
        <v>-0.00369582020616477</v>
      </c>
      <c r="Q80" s="29" t="n">
        <f aca="false">D80-('5 Re-specification'!$B$7+'5 Re-specification'!$B$5*E80+'5 Re-specification'!$B$6*F80)</f>
        <v>-0.00335601938044405</v>
      </c>
      <c r="R80" s="30" t="n">
        <f aca="false">MIN(F80,Inputs!$B$9)</f>
        <v>75</v>
      </c>
      <c r="S80" s="29" t="n">
        <f aca="true">IF(AND(F80&gt;=1,R80&gt;=Inputs!$B$10),INDEX(LINEST(OFFSET(D80,-R80,0,R80,1),OFFSET(E80,-R80,0,R80,2)),1,1),"")</f>
        <v>-0.000160970051319398</v>
      </c>
      <c r="T80" s="29" t="n">
        <f aca="true">IF(AND(F80&gt;=1,R80&gt;=Inputs!$B$10),INDEX(LINEST(OFFSET(D80,-R80,0,R80,1),OFFSET(E80,-R80,0,R80,2)),1,2),"")</f>
        <v>1.03725474483609</v>
      </c>
      <c r="U80" s="29" t="n">
        <f aca="true">IF(AND(F80&gt;=1,R80&gt;=Inputs!$B$10),INDEX(LINEST(OFFSET(D80,-R80,0,R80,1),OFFSET(E80,-R80,0,R80,2)),1,3),"")</f>
        <v>4.32100459639369</v>
      </c>
      <c r="V80" s="29" t="n">
        <f aca="true">IF(AND(F80&gt;=1,R80&gt;=Inputs!$B$10),SQRT(SUMPRODUCT((OFFSET(D80,-R80,0,R80,1)-U80-T80*OFFSET(E80,-R80,0,R80,1)-S80*OFFSET(F80,-R80,0,R80,1))^2)/(R80-3)),"")</f>
        <v>0.00161943661368108</v>
      </c>
      <c r="W80" s="31" t="n">
        <f aca="false">IF(AND(F80&gt;=1,R80&gt;=Inputs!$B$10),(D80-U80-T80*E80-S80*F80)/V80,"")</f>
        <v>-0.34013527235667</v>
      </c>
      <c r="X80" s="30" t="n">
        <f aca="false">IF(AB79&lt;&gt;0,AC79+1,0)</f>
        <v>0</v>
      </c>
      <c r="Y80" s="30" t="n">
        <f aca="false">IF(W80="",0,IF(AND(AB79&lt;&gt;0,OR(ABS(W80)&gt;Inputs!$B$7,X80&gt;=Inputs!$B$8,ABS(W80)&lt;Inputs!$B$6)),1,0))</f>
        <v>0</v>
      </c>
      <c r="Z80" s="30" t="n">
        <f aca="false">IF(Y80=1,0,AB79)</f>
        <v>0</v>
      </c>
      <c r="AA80" s="30" t="n">
        <f aca="false">IF(W80="",0,IF(AND(Z80=0,ABS(W80)&gt;Inputs!$B$5,ABS(W80)&lt;=Inputs!$B$7),1,0))</f>
        <v>0</v>
      </c>
      <c r="AB80" s="30" t="n">
        <f aca="false">IF(W80="",0,IF(AA80=1,-SIGN(W80),Z80))</f>
        <v>0</v>
      </c>
      <c r="AC80" s="30" t="n">
        <f aca="false">IF(W80="",0,IF(AA80=1,0,IF(Y80=1,0,X80)))</f>
        <v>0</v>
      </c>
      <c r="AD80" s="30" t="n">
        <f aca="false">IF(AB80=0,0,IF(AB79=AB80,AD79,T80))</f>
        <v>0</v>
      </c>
      <c r="AE80" s="30" t="n">
        <f aca="false">AB80-AB79</f>
        <v>0</v>
      </c>
      <c r="AF80" s="30" t="n">
        <f aca="false">-AD80*AB80</f>
        <v>-0</v>
      </c>
      <c r="AG80" s="30" t="n">
        <f aca="false">AF80-AF79</f>
        <v>0</v>
      </c>
      <c r="AH80" s="30" t="n">
        <f aca="false">MAX(AE80,0)*(Inputs!$B$17+Inputs!$B$18+Inputs!$B$19)+MAX(-AE80,0)*(O80+Inputs!$B$18+Inputs!$B$19)+IF(AND(K80=1,AB80&lt;&gt;0),(Inputs!$B$17+Inputs!$B$18+Inputs!$B$19)+(O80+Inputs!$B$18+Inputs!$B$19),0)+MAX(AG80,0)*(Inputs!$B$20+Inputs!$B$22+Inputs!$B$23)+MAX(-AG80,0)*(Inputs!$B$21+Inputs!$B$22+Inputs!$B$23)</f>
        <v>0</v>
      </c>
      <c r="AI80" s="30" t="n">
        <f aca="false">AB79*(M80-AD79*J80)+AB79*AD79*N80/Inputs!$B$16-AH80</f>
        <v>0</v>
      </c>
      <c r="AJ80" s="30" t="n">
        <f aca="false">MAX(AE80,0)*(Inputs!$B$17+Inputs!$B$24+Inputs!$B$25)+MAX(-AE80,0)*(O80+Inputs!$B$24+Inputs!$B$25)+IF(AND(K80=1,AB80&lt;&gt;0),(Inputs!$B$17+Inputs!$B$24+Inputs!$B$25)+(O80+Inputs!$B$24+Inputs!$B$25),0)+MAX(AG80,0)*(Inputs!$B$20+Inputs!$B$26+Inputs!$B$27)+MAX(-AG80,0)*(Inputs!$B$21+Inputs!$B$26+Inputs!$B$27)</f>
        <v>0</v>
      </c>
      <c r="AK80" s="30" t="n">
        <f aca="false">AB79*(M80-AD79*J80)+AB79*AD79*(N80+Inputs!$B$14)/Inputs!$B$16-AJ80</f>
        <v>0</v>
      </c>
      <c r="AL80" s="30" t="n">
        <f aca="false">IF(AP79&lt;&gt;0,AQ79+1,0)</f>
        <v>0</v>
      </c>
      <c r="AM80" s="30" t="n">
        <f aca="false">IF(W80="",0,IF(AND(AP79&lt;&gt;0,OR(ABS(W80)&gt;Inputs!$B$7,AL80&gt;=Inputs!$B$8,ABS(W80)&lt;Inputs!$B$6)),1,0))</f>
        <v>0</v>
      </c>
      <c r="AN80" s="30" t="n">
        <f aca="false">IF(AM80=1,0,AP79)</f>
        <v>0</v>
      </c>
      <c r="AO80" s="30" t="n">
        <f aca="false">IF(W80="",0,IF(AND(AN80=0,ABS(W80)&gt;Inputs!$B$5,ABS(W80)&lt;=Inputs!$B$7,W80&gt;0),1,0))</f>
        <v>0</v>
      </c>
      <c r="AP80" s="30" t="n">
        <f aca="false">IF(W80="",0,IF(AO80=1,-SIGN(W80),AN80))</f>
        <v>0</v>
      </c>
      <c r="AQ80" s="30" t="n">
        <f aca="false">IF(W80="",0,IF(AO80=1,0,IF(AM80=1,0,AL80)))</f>
        <v>0</v>
      </c>
      <c r="AR80" s="30" t="n">
        <f aca="false">IF(AP80=0,0,IF(AP79=AP80,AR79,T80))</f>
        <v>0</v>
      </c>
      <c r="AS80" s="30" t="n">
        <f aca="false">AP80-AP79</f>
        <v>0</v>
      </c>
      <c r="AT80" s="30" t="n">
        <f aca="false">-AR80*AP80</f>
        <v>-0</v>
      </c>
      <c r="AU80" s="30" t="n">
        <f aca="false">AT80-AT79</f>
        <v>0</v>
      </c>
      <c r="AV80" s="30" t="n">
        <f aca="false">MAX(AS80,0)*(Inputs!$B$17+Inputs!$B$18+Inputs!$B$19)+MAX(-AS80,0)*(O80+Inputs!$B$18+Inputs!$B$19)+IF(AND(K80=1,AP80&lt;&gt;0),(Inputs!$B$17+Inputs!$B$18+Inputs!$B$19)+(O80+Inputs!$B$18+Inputs!$B$19),0)+MAX(AU80,0)*(Inputs!$B$20+Inputs!$B$22+Inputs!$B$23)+MAX(-AU80,0)*(Inputs!$B$21+Inputs!$B$22+Inputs!$B$23)</f>
        <v>0</v>
      </c>
      <c r="AW80" s="30" t="n">
        <f aca="false">AP79*(M80-AR79*J80)+AP79*AR79*N80/Inputs!$B$16-AV80</f>
        <v>0</v>
      </c>
      <c r="AX80" s="30" t="n">
        <f aca="false">AW80-IF(AP79&lt;&gt;0,0.75*AR79*(Inputs!$B$13-N80)/Inputs!$B$16,0)</f>
        <v>0</v>
      </c>
      <c r="AY80" s="30" t="n">
        <f aca="false">MAX(AS80,0)*(Inputs!$B$17+Inputs!$B$18+Inputs!$B$19)+MAX(-AS80,0)*(O80+Inputs!$B$18+Inputs!$B$19)+IF(AND(K80=1,AP80&lt;&gt;0),(Inputs!$B$17+Inputs!$B$18+Inputs!$B$19)+(O80+Inputs!$B$18+Inputs!$B$19),0)</f>
        <v>0</v>
      </c>
      <c r="AZ80" s="30" t="n">
        <f aca="false">AP79*M80-AY80</f>
        <v>-0</v>
      </c>
      <c r="BA80" s="32" t="n">
        <f aca="false">BA79+AI80</f>
        <v>-0.00398234936264488</v>
      </c>
      <c r="BB80" s="30" t="n">
        <f aca="false">MAX(BB79,BA80)</f>
        <v>0</v>
      </c>
      <c r="BC80" s="32" t="n">
        <f aca="false">BA80-BB80</f>
        <v>-0.00398234936264488</v>
      </c>
      <c r="BD80" s="30" t="n">
        <f aca="false">A81-A80</f>
        <v>1</v>
      </c>
    </row>
    <row r="81" customFormat="false" ht="15" hidden="false" customHeight="false" outlineLevel="0" collapsed="false">
      <c r="A81" s="28" t="n">
        <v>45156</v>
      </c>
      <c r="B81" s="0" t="n">
        <v>19316</v>
      </c>
      <c r="C81" s="0" t="n">
        <v>212.9</v>
      </c>
      <c r="D81" s="29" t="n">
        <f aca="false">LN(B81)</f>
        <v>9.86868904699343</v>
      </c>
      <c r="E81" s="29" t="n">
        <f aca="false">LN(C81)</f>
        <v>5.36082257189943</v>
      </c>
      <c r="F81" s="0" t="n">
        <v>76</v>
      </c>
      <c r="G81" s="0" t="n">
        <v>13</v>
      </c>
      <c r="H81" s="29" t="n">
        <f aca="false">D81-E81</f>
        <v>4.507866475094</v>
      </c>
      <c r="I81" s="29" t="n">
        <f aca="false">D81-D80</f>
        <v>-0.00363544216210876</v>
      </c>
      <c r="J81" s="29" t="n">
        <f aca="false">E81-E80</f>
        <v>-0.00328253518660571</v>
      </c>
      <c r="K81" s="0" t="n">
        <v>0</v>
      </c>
      <c r="L81" s="0" t="n">
        <v>0</v>
      </c>
      <c r="M81" s="29" t="n">
        <f aca="false">IF(L81=1,J81-Carry!$B$9/Inputs!$B$16,I81)</f>
        <v>-0.00363544216210876</v>
      </c>
      <c r="N81" s="0" t="n">
        <v>0.065</v>
      </c>
      <c r="O81" s="0" t="n">
        <v>0.000125</v>
      </c>
      <c r="P81" s="29" t="n">
        <f aca="false">D81-('2 Hedge ratio'!$B$6+'2 Hedge ratio'!$B$5*E81)</f>
        <v>-0.00432404404565467</v>
      </c>
      <c r="Q81" s="29" t="n">
        <f aca="false">D81-('5 Re-specification'!$B$7+'5 Re-specification'!$B$5*E81+'5 Re-specification'!$B$6*F81)</f>
        <v>-0.0036739447608003</v>
      </c>
      <c r="R81" s="30" t="n">
        <f aca="false">MIN(F81,Inputs!$B$9)</f>
        <v>76</v>
      </c>
      <c r="S81" s="29" t="n">
        <f aca="true">IF(AND(F81&gt;=1,R81&gt;=Inputs!$B$10),INDEX(LINEST(OFFSET(D81,-R81,0,R81,1),OFFSET(E81,-R81,0,R81,2)),1,1),"")</f>
        <v>-0.000164057822736376</v>
      </c>
      <c r="T81" s="29" t="n">
        <f aca="true">IF(AND(F81&gt;=1,R81&gt;=Inputs!$B$10),INDEX(LINEST(OFFSET(D81,-R81,0,R81,1),OFFSET(E81,-R81,0,R81,2)),1,2),"")</f>
        <v>1.03909065078403</v>
      </c>
      <c r="U81" s="29" t="n">
        <f aca="true">IF(AND(F81&gt;=1,R81&gt;=Inputs!$B$10),INDEX(LINEST(OFFSET(D81,-R81,0,R81,1),OFFSET(E81,-R81,0,R81,2)),1,3),"")</f>
        <v>4.31131144853889</v>
      </c>
      <c r="V81" s="29" t="n">
        <f aca="true">IF(AND(F81&gt;=1,R81&gt;=Inputs!$B$10),SQRT(SUMPRODUCT((OFFSET(D81,-R81,0,R81,1)-U81-T81*OFFSET(E81,-R81,0,R81,1)-S81*OFFSET(F81,-R81,0,R81,1))^2)/(R81-3)),"")</f>
        <v>0.00160941807533511</v>
      </c>
      <c r="W81" s="31" t="n">
        <f aca="false">IF(AND(F81&gt;=1,R81&gt;=Inputs!$B$10),(D81-U81-T81*E81-S81*F81)/V81,"")</f>
        <v>-0.332183413621135</v>
      </c>
      <c r="X81" s="30" t="n">
        <f aca="false">IF(AB80&lt;&gt;0,AC80+1,0)</f>
        <v>0</v>
      </c>
      <c r="Y81" s="30" t="n">
        <f aca="false">IF(W81="",0,IF(AND(AB80&lt;&gt;0,OR(ABS(W81)&gt;Inputs!$B$7,X81&gt;=Inputs!$B$8,ABS(W81)&lt;Inputs!$B$6)),1,0))</f>
        <v>0</v>
      </c>
      <c r="Z81" s="30" t="n">
        <f aca="false">IF(Y81=1,0,AB80)</f>
        <v>0</v>
      </c>
      <c r="AA81" s="30" t="n">
        <f aca="false">IF(W81="",0,IF(AND(Z81=0,ABS(W81)&gt;Inputs!$B$5,ABS(W81)&lt;=Inputs!$B$7),1,0))</f>
        <v>0</v>
      </c>
      <c r="AB81" s="30" t="n">
        <f aca="false">IF(W81="",0,IF(AA81=1,-SIGN(W81),Z81))</f>
        <v>0</v>
      </c>
      <c r="AC81" s="30" t="n">
        <f aca="false">IF(W81="",0,IF(AA81=1,0,IF(Y81=1,0,X81)))</f>
        <v>0</v>
      </c>
      <c r="AD81" s="30" t="n">
        <f aca="false">IF(AB81=0,0,IF(AB80=AB81,AD80,T81))</f>
        <v>0</v>
      </c>
      <c r="AE81" s="30" t="n">
        <f aca="false">AB81-AB80</f>
        <v>0</v>
      </c>
      <c r="AF81" s="30" t="n">
        <f aca="false">-AD81*AB81</f>
        <v>-0</v>
      </c>
      <c r="AG81" s="30" t="n">
        <f aca="false">AF81-AF80</f>
        <v>0</v>
      </c>
      <c r="AH81" s="30" t="n">
        <f aca="false">MAX(AE81,0)*(Inputs!$B$17+Inputs!$B$18+Inputs!$B$19)+MAX(-AE81,0)*(O81+Inputs!$B$18+Inputs!$B$19)+IF(AND(K81=1,AB81&lt;&gt;0),(Inputs!$B$17+Inputs!$B$18+Inputs!$B$19)+(O81+Inputs!$B$18+Inputs!$B$19),0)+MAX(AG81,0)*(Inputs!$B$20+Inputs!$B$22+Inputs!$B$23)+MAX(-AG81,0)*(Inputs!$B$21+Inputs!$B$22+Inputs!$B$23)</f>
        <v>0</v>
      </c>
      <c r="AI81" s="30" t="n">
        <f aca="false">AB80*(M81-AD80*J81)+AB80*AD80*N81/Inputs!$B$16-AH81</f>
        <v>0</v>
      </c>
      <c r="AJ81" s="30" t="n">
        <f aca="false">MAX(AE81,0)*(Inputs!$B$17+Inputs!$B$24+Inputs!$B$25)+MAX(-AE81,0)*(O81+Inputs!$B$24+Inputs!$B$25)+IF(AND(K81=1,AB81&lt;&gt;0),(Inputs!$B$17+Inputs!$B$24+Inputs!$B$25)+(O81+Inputs!$B$24+Inputs!$B$25),0)+MAX(AG81,0)*(Inputs!$B$20+Inputs!$B$26+Inputs!$B$27)+MAX(-AG81,0)*(Inputs!$B$21+Inputs!$B$26+Inputs!$B$27)</f>
        <v>0</v>
      </c>
      <c r="AK81" s="30" t="n">
        <f aca="false">AB80*(M81-AD80*J81)+AB80*AD80*(N81+Inputs!$B$14)/Inputs!$B$16-AJ81</f>
        <v>0</v>
      </c>
      <c r="AL81" s="30" t="n">
        <f aca="false">IF(AP80&lt;&gt;0,AQ80+1,0)</f>
        <v>0</v>
      </c>
      <c r="AM81" s="30" t="n">
        <f aca="false">IF(W81="",0,IF(AND(AP80&lt;&gt;0,OR(ABS(W81)&gt;Inputs!$B$7,AL81&gt;=Inputs!$B$8,ABS(W81)&lt;Inputs!$B$6)),1,0))</f>
        <v>0</v>
      </c>
      <c r="AN81" s="30" t="n">
        <f aca="false">IF(AM81=1,0,AP80)</f>
        <v>0</v>
      </c>
      <c r="AO81" s="30" t="n">
        <f aca="false">IF(W81="",0,IF(AND(AN81=0,ABS(W81)&gt;Inputs!$B$5,ABS(W81)&lt;=Inputs!$B$7,W81&gt;0),1,0))</f>
        <v>0</v>
      </c>
      <c r="AP81" s="30" t="n">
        <f aca="false">IF(W81="",0,IF(AO81=1,-SIGN(W81),AN81))</f>
        <v>0</v>
      </c>
      <c r="AQ81" s="30" t="n">
        <f aca="false">IF(W81="",0,IF(AO81=1,0,IF(AM81=1,0,AL81)))</f>
        <v>0</v>
      </c>
      <c r="AR81" s="30" t="n">
        <f aca="false">IF(AP81=0,0,IF(AP80=AP81,AR80,T81))</f>
        <v>0</v>
      </c>
      <c r="AS81" s="30" t="n">
        <f aca="false">AP81-AP80</f>
        <v>0</v>
      </c>
      <c r="AT81" s="30" t="n">
        <f aca="false">-AR81*AP81</f>
        <v>-0</v>
      </c>
      <c r="AU81" s="30" t="n">
        <f aca="false">AT81-AT80</f>
        <v>0</v>
      </c>
      <c r="AV81" s="30" t="n">
        <f aca="false">MAX(AS81,0)*(Inputs!$B$17+Inputs!$B$18+Inputs!$B$19)+MAX(-AS81,0)*(O81+Inputs!$B$18+Inputs!$B$19)+IF(AND(K81=1,AP81&lt;&gt;0),(Inputs!$B$17+Inputs!$B$18+Inputs!$B$19)+(O81+Inputs!$B$18+Inputs!$B$19),0)+MAX(AU81,0)*(Inputs!$B$20+Inputs!$B$22+Inputs!$B$23)+MAX(-AU81,0)*(Inputs!$B$21+Inputs!$B$22+Inputs!$B$23)</f>
        <v>0</v>
      </c>
      <c r="AW81" s="30" t="n">
        <f aca="false">AP80*(M81-AR80*J81)+AP80*AR80*N81/Inputs!$B$16-AV81</f>
        <v>0</v>
      </c>
      <c r="AX81" s="30" t="n">
        <f aca="false">AW81-IF(AP80&lt;&gt;0,0.75*AR80*(Inputs!$B$13-N81)/Inputs!$B$16,0)</f>
        <v>0</v>
      </c>
      <c r="AY81" s="30" t="n">
        <f aca="false">MAX(AS81,0)*(Inputs!$B$17+Inputs!$B$18+Inputs!$B$19)+MAX(-AS81,0)*(O81+Inputs!$B$18+Inputs!$B$19)+IF(AND(K81=1,AP81&lt;&gt;0),(Inputs!$B$17+Inputs!$B$18+Inputs!$B$19)+(O81+Inputs!$B$18+Inputs!$B$19),0)</f>
        <v>0</v>
      </c>
      <c r="AZ81" s="30" t="n">
        <f aca="false">AP80*M81-AY81</f>
        <v>-0</v>
      </c>
      <c r="BA81" s="32" t="n">
        <f aca="false">BA80+AI81</f>
        <v>-0.00398234936264488</v>
      </c>
      <c r="BB81" s="30" t="n">
        <f aca="false">MAX(BB80,BA81)</f>
        <v>0</v>
      </c>
      <c r="BC81" s="32" t="n">
        <f aca="false">BA81-BB81</f>
        <v>-0.00398234936264488</v>
      </c>
      <c r="BD81" s="30" t="n">
        <f aca="false">A82-A81</f>
        <v>3</v>
      </c>
    </row>
    <row r="82" customFormat="false" ht="15" hidden="false" customHeight="false" outlineLevel="0" collapsed="false">
      <c r="A82" s="28" t="n">
        <v>45159</v>
      </c>
      <c r="B82" s="0" t="n">
        <v>19400.3</v>
      </c>
      <c r="C82" s="0" t="n">
        <v>213.27</v>
      </c>
      <c r="D82" s="29" t="n">
        <f aca="false">LN(B82)</f>
        <v>9.87304380884938</v>
      </c>
      <c r="E82" s="29" t="n">
        <f aca="false">LN(C82)</f>
        <v>5.3625589686095</v>
      </c>
      <c r="F82" s="0" t="n">
        <v>77</v>
      </c>
      <c r="G82" s="0" t="n">
        <v>10</v>
      </c>
      <c r="H82" s="29" t="n">
        <f aca="false">D82-E82</f>
        <v>4.51048484023988</v>
      </c>
      <c r="I82" s="29" t="n">
        <f aca="false">D82-D81</f>
        <v>0.00435476185594652</v>
      </c>
      <c r="J82" s="29" t="n">
        <f aca="false">E82-E81</f>
        <v>0.00173639671006764</v>
      </c>
      <c r="K82" s="0" t="n">
        <v>0</v>
      </c>
      <c r="L82" s="0" t="n">
        <v>0</v>
      </c>
      <c r="M82" s="29" t="n">
        <f aca="false">IF(L82=1,J82-Carry!$B$9/Inputs!$B$16,I82)</f>
        <v>0.00435476185594652</v>
      </c>
      <c r="N82" s="0" t="n">
        <v>0.065</v>
      </c>
      <c r="O82" s="0" t="n">
        <v>0.000125</v>
      </c>
      <c r="P82" s="29" t="n">
        <f aca="false">D82-('2 Hedge ratio'!$B$6+'2 Hedge ratio'!$B$5*E82)</f>
        <v>-0.00156004168046842</v>
      </c>
      <c r="Q82" s="29" t="n">
        <f aca="false">D82-('5 Re-specification'!$B$7+'5 Re-specification'!$B$5*E82+'5 Re-specification'!$B$6*F82)</f>
        <v>-0.00100538814655771</v>
      </c>
      <c r="R82" s="30" t="n">
        <f aca="false">MIN(F82,Inputs!$B$9)</f>
        <v>77</v>
      </c>
      <c r="S82" s="29" t="n">
        <f aca="true">IF(AND(F82&gt;=1,R82&gt;=Inputs!$B$10),INDEX(LINEST(OFFSET(D82,-R82,0,R82,1),OFFSET(E82,-R82,0,R82,2)),1,1),"")</f>
        <v>-0.000166989191249349</v>
      </c>
      <c r="T82" s="29" t="n">
        <f aca="true">IF(AND(F82&gt;=1,R82&gt;=Inputs!$B$10),INDEX(LINEST(OFFSET(D82,-R82,0,R82,1),OFFSET(E82,-R82,0,R82,2)),1,2),"")</f>
        <v>1.04087524513174</v>
      </c>
      <c r="U82" s="29" t="n">
        <f aca="true">IF(AND(F82&gt;=1,R82&gt;=Inputs!$B$10),INDEX(LINEST(OFFSET(D82,-R82,0,R82,1),OFFSET(E82,-R82,0,R82,2)),1,3),"")</f>
        <v>4.3018876441763</v>
      </c>
      <c r="V82" s="29" t="n">
        <f aca="true">IF(AND(F82&gt;=1,R82&gt;=Inputs!$B$10),SQRT(SUMPRODUCT((OFFSET(D82,-R82,0,R82,1)-U82-T82*OFFSET(E82,-R82,0,R82,1)-S82*OFFSET(F82,-R82,0,R82,1))^2)/(R82-3)),"")</f>
        <v>0.00159953435638679</v>
      </c>
      <c r="W82" s="31" t="n">
        <f aca="false">IF(AND(F82&gt;=1,R82&gt;=Inputs!$B$10),(D82-U82-T82*E82-S82*F82)/V82,"")</f>
        <v>1.41256822990506</v>
      </c>
      <c r="X82" s="30" t="n">
        <f aca="false">IF(AB81&lt;&gt;0,AC81+1,0)</f>
        <v>0</v>
      </c>
      <c r="Y82" s="30" t="n">
        <f aca="false">IF(W82="",0,IF(AND(AB81&lt;&gt;0,OR(ABS(W82)&gt;Inputs!$B$7,X82&gt;=Inputs!$B$8,ABS(W82)&lt;Inputs!$B$6)),1,0))</f>
        <v>0</v>
      </c>
      <c r="Z82" s="30" t="n">
        <f aca="false">IF(Y82=1,0,AB81)</f>
        <v>0</v>
      </c>
      <c r="AA82" s="30" t="n">
        <f aca="false">IF(W82="",0,IF(AND(Z82=0,ABS(W82)&gt;Inputs!$B$5,ABS(W82)&lt;=Inputs!$B$7),1,0))</f>
        <v>0</v>
      </c>
      <c r="AB82" s="30" t="n">
        <f aca="false">IF(W82="",0,IF(AA82=1,-SIGN(W82),Z82))</f>
        <v>0</v>
      </c>
      <c r="AC82" s="30" t="n">
        <f aca="false">IF(W82="",0,IF(AA82=1,0,IF(Y82=1,0,X82)))</f>
        <v>0</v>
      </c>
      <c r="AD82" s="30" t="n">
        <f aca="false">IF(AB82=0,0,IF(AB81=AB82,AD81,T82))</f>
        <v>0</v>
      </c>
      <c r="AE82" s="30" t="n">
        <f aca="false">AB82-AB81</f>
        <v>0</v>
      </c>
      <c r="AF82" s="30" t="n">
        <f aca="false">-AD82*AB82</f>
        <v>-0</v>
      </c>
      <c r="AG82" s="30" t="n">
        <f aca="false">AF82-AF81</f>
        <v>0</v>
      </c>
      <c r="AH82" s="30" t="n">
        <f aca="false">MAX(AE82,0)*(Inputs!$B$17+Inputs!$B$18+Inputs!$B$19)+MAX(-AE82,0)*(O82+Inputs!$B$18+Inputs!$B$19)+IF(AND(K82=1,AB82&lt;&gt;0),(Inputs!$B$17+Inputs!$B$18+Inputs!$B$19)+(O82+Inputs!$B$18+Inputs!$B$19),0)+MAX(AG82,0)*(Inputs!$B$20+Inputs!$B$22+Inputs!$B$23)+MAX(-AG82,0)*(Inputs!$B$21+Inputs!$B$22+Inputs!$B$23)</f>
        <v>0</v>
      </c>
      <c r="AI82" s="30" t="n">
        <f aca="false">AB81*(M82-AD81*J82)+AB81*AD81*N82/Inputs!$B$16-AH82</f>
        <v>0</v>
      </c>
      <c r="AJ82" s="30" t="n">
        <f aca="false">MAX(AE82,0)*(Inputs!$B$17+Inputs!$B$24+Inputs!$B$25)+MAX(-AE82,0)*(O82+Inputs!$B$24+Inputs!$B$25)+IF(AND(K82=1,AB82&lt;&gt;0),(Inputs!$B$17+Inputs!$B$24+Inputs!$B$25)+(O82+Inputs!$B$24+Inputs!$B$25),0)+MAX(AG82,0)*(Inputs!$B$20+Inputs!$B$26+Inputs!$B$27)+MAX(-AG82,0)*(Inputs!$B$21+Inputs!$B$26+Inputs!$B$27)</f>
        <v>0</v>
      </c>
      <c r="AK82" s="30" t="n">
        <f aca="false">AB81*(M82-AD81*J82)+AB81*AD81*(N82+Inputs!$B$14)/Inputs!$B$16-AJ82</f>
        <v>0</v>
      </c>
      <c r="AL82" s="30" t="n">
        <f aca="false">IF(AP81&lt;&gt;0,AQ81+1,0)</f>
        <v>0</v>
      </c>
      <c r="AM82" s="30" t="n">
        <f aca="false">IF(W82="",0,IF(AND(AP81&lt;&gt;0,OR(ABS(W82)&gt;Inputs!$B$7,AL82&gt;=Inputs!$B$8,ABS(W82)&lt;Inputs!$B$6)),1,0))</f>
        <v>0</v>
      </c>
      <c r="AN82" s="30" t="n">
        <f aca="false">IF(AM82=1,0,AP81)</f>
        <v>0</v>
      </c>
      <c r="AO82" s="30" t="n">
        <f aca="false">IF(W82="",0,IF(AND(AN82=0,ABS(W82)&gt;Inputs!$B$5,ABS(W82)&lt;=Inputs!$B$7,W82&gt;0),1,0))</f>
        <v>0</v>
      </c>
      <c r="AP82" s="30" t="n">
        <f aca="false">IF(W82="",0,IF(AO82=1,-SIGN(W82),AN82))</f>
        <v>0</v>
      </c>
      <c r="AQ82" s="30" t="n">
        <f aca="false">IF(W82="",0,IF(AO82=1,0,IF(AM82=1,0,AL82)))</f>
        <v>0</v>
      </c>
      <c r="AR82" s="30" t="n">
        <f aca="false">IF(AP82=0,0,IF(AP81=AP82,AR81,T82))</f>
        <v>0</v>
      </c>
      <c r="AS82" s="30" t="n">
        <f aca="false">AP82-AP81</f>
        <v>0</v>
      </c>
      <c r="AT82" s="30" t="n">
        <f aca="false">-AR82*AP82</f>
        <v>-0</v>
      </c>
      <c r="AU82" s="30" t="n">
        <f aca="false">AT82-AT81</f>
        <v>0</v>
      </c>
      <c r="AV82" s="30" t="n">
        <f aca="false">MAX(AS82,0)*(Inputs!$B$17+Inputs!$B$18+Inputs!$B$19)+MAX(-AS82,0)*(O82+Inputs!$B$18+Inputs!$B$19)+IF(AND(K82=1,AP82&lt;&gt;0),(Inputs!$B$17+Inputs!$B$18+Inputs!$B$19)+(O82+Inputs!$B$18+Inputs!$B$19),0)+MAX(AU82,0)*(Inputs!$B$20+Inputs!$B$22+Inputs!$B$23)+MAX(-AU82,0)*(Inputs!$B$21+Inputs!$B$22+Inputs!$B$23)</f>
        <v>0</v>
      </c>
      <c r="AW82" s="30" t="n">
        <f aca="false">AP81*(M82-AR81*J82)+AP81*AR81*N82/Inputs!$B$16-AV82</f>
        <v>0</v>
      </c>
      <c r="AX82" s="30" t="n">
        <f aca="false">AW82-IF(AP81&lt;&gt;0,0.75*AR81*(Inputs!$B$13-N82)/Inputs!$B$16,0)</f>
        <v>0</v>
      </c>
      <c r="AY82" s="30" t="n">
        <f aca="false">MAX(AS82,0)*(Inputs!$B$17+Inputs!$B$18+Inputs!$B$19)+MAX(-AS82,0)*(O82+Inputs!$B$18+Inputs!$B$19)+IF(AND(K82=1,AP82&lt;&gt;0),(Inputs!$B$17+Inputs!$B$18+Inputs!$B$19)+(O82+Inputs!$B$18+Inputs!$B$19),0)</f>
        <v>0</v>
      </c>
      <c r="AZ82" s="30" t="n">
        <f aca="false">AP81*M82-AY82</f>
        <v>0</v>
      </c>
      <c r="BA82" s="32" t="n">
        <f aca="false">BA81+AI82</f>
        <v>-0.00398234936264488</v>
      </c>
      <c r="BB82" s="30" t="n">
        <f aca="false">MAX(BB81,BA82)</f>
        <v>0</v>
      </c>
      <c r="BC82" s="32" t="n">
        <f aca="false">BA82-BB82</f>
        <v>-0.00398234936264488</v>
      </c>
      <c r="BD82" s="30" t="n">
        <f aca="false">A83-A82</f>
        <v>1</v>
      </c>
    </row>
    <row r="83" customFormat="false" ht="15" hidden="false" customHeight="false" outlineLevel="0" collapsed="false">
      <c r="A83" s="28" t="n">
        <v>45160</v>
      </c>
      <c r="B83" s="0" t="n">
        <v>19381</v>
      </c>
      <c r="C83" s="0" t="n">
        <v>213.48</v>
      </c>
      <c r="D83" s="29" t="n">
        <f aca="false">LN(B83)</f>
        <v>9.87204848370075</v>
      </c>
      <c r="E83" s="29" t="n">
        <f aca="false">LN(C83)</f>
        <v>5.36354315146574</v>
      </c>
      <c r="F83" s="0" t="n">
        <v>78</v>
      </c>
      <c r="G83" s="0" t="n">
        <v>9</v>
      </c>
      <c r="H83" s="29" t="n">
        <f aca="false">D83-E83</f>
        <v>4.508505332235</v>
      </c>
      <c r="I83" s="29" t="n">
        <f aca="false">D83-D82</f>
        <v>-0.00099532514863121</v>
      </c>
      <c r="J83" s="29" t="n">
        <f aca="false">E83-E82</f>
        <v>0.000984182856242022</v>
      </c>
      <c r="K83" s="0" t="n">
        <v>0</v>
      </c>
      <c r="L83" s="0" t="n">
        <v>0</v>
      </c>
      <c r="M83" s="29" t="n">
        <f aca="false">IF(L83=1,J83-Carry!$B$9/Inputs!$B$16,I83)</f>
        <v>-0.00099532514863121</v>
      </c>
      <c r="N83" s="0" t="n">
        <v>0.065</v>
      </c>
      <c r="O83" s="0" t="n">
        <v>0.000125</v>
      </c>
      <c r="P83" s="29" t="n">
        <f aca="false">D83-('2 Hedge ratio'!$B$6+'2 Hedge ratio'!$B$5*E83)</f>
        <v>-0.00345700307969565</v>
      </c>
      <c r="Q83" s="29" t="n">
        <f aca="false">D83-('5 Re-specification'!$B$7+'5 Re-specification'!$B$5*E83+'5 Re-specification'!$B$6*F83)</f>
        <v>-0.00293698426716915</v>
      </c>
      <c r="R83" s="30" t="n">
        <f aca="false">MIN(F83,Inputs!$B$9)</f>
        <v>78</v>
      </c>
      <c r="S83" s="29" t="n">
        <f aca="true">IF(AND(F83&gt;=1,R83&gt;=Inputs!$B$10),INDEX(LINEST(OFFSET(D83,-R83,0,R83,1),OFFSET(E83,-R83,0,R83,2)),1,1),"")</f>
        <v>-0.000156268425826826</v>
      </c>
      <c r="T83" s="29" t="n">
        <f aca="true">IF(AND(F83&gt;=1,R83&gt;=Inputs!$B$10),INDEX(LINEST(OFFSET(D83,-R83,0,R83,1),OFFSET(E83,-R83,0,R83,2)),1,2),"")</f>
        <v>1.03439601385573</v>
      </c>
      <c r="U83" s="29" t="n">
        <f aca="true">IF(AND(F83&gt;=1,R83&gt;=Inputs!$B$10),INDEX(LINEST(OFFSET(D83,-R83,0,R83,1),OFFSET(E83,-R83,0,R83,2)),1,3),"")</f>
        <v>4.33609952436017</v>
      </c>
      <c r="V83" s="29" t="n">
        <f aca="true">IF(AND(F83&gt;=1,R83&gt;=Inputs!$B$10),SQRT(SUMPRODUCT((OFFSET(D83,-R83,0,R83,1)-U83-T83*OFFSET(E83,-R83,0,R83,1)-S83*OFFSET(F83,-R83,0,R83,1))^2)/(R83-3)),"")</f>
        <v>0.00160737816704736</v>
      </c>
      <c r="W83" s="31" t="n">
        <f aca="false">IF(AND(F83&gt;=1,R83&gt;=Inputs!$B$10),(D83-U83-T83*E83-S83*F83)/V83,"")</f>
        <v>0.0685840693553575</v>
      </c>
      <c r="X83" s="30" t="n">
        <f aca="false">IF(AB82&lt;&gt;0,AC82+1,0)</f>
        <v>0</v>
      </c>
      <c r="Y83" s="30" t="n">
        <f aca="false">IF(W83="",0,IF(AND(AB82&lt;&gt;0,OR(ABS(W83)&gt;Inputs!$B$7,X83&gt;=Inputs!$B$8,ABS(W83)&lt;Inputs!$B$6)),1,0))</f>
        <v>0</v>
      </c>
      <c r="Z83" s="30" t="n">
        <f aca="false">IF(Y83=1,0,AB82)</f>
        <v>0</v>
      </c>
      <c r="AA83" s="30" t="n">
        <f aca="false">IF(W83="",0,IF(AND(Z83=0,ABS(W83)&gt;Inputs!$B$5,ABS(W83)&lt;=Inputs!$B$7),1,0))</f>
        <v>0</v>
      </c>
      <c r="AB83" s="30" t="n">
        <f aca="false">IF(W83="",0,IF(AA83=1,-SIGN(W83),Z83))</f>
        <v>0</v>
      </c>
      <c r="AC83" s="30" t="n">
        <f aca="false">IF(W83="",0,IF(AA83=1,0,IF(Y83=1,0,X83)))</f>
        <v>0</v>
      </c>
      <c r="AD83" s="30" t="n">
        <f aca="false">IF(AB83=0,0,IF(AB82=AB83,AD82,T83))</f>
        <v>0</v>
      </c>
      <c r="AE83" s="30" t="n">
        <f aca="false">AB83-AB82</f>
        <v>0</v>
      </c>
      <c r="AF83" s="30" t="n">
        <f aca="false">-AD83*AB83</f>
        <v>-0</v>
      </c>
      <c r="AG83" s="30" t="n">
        <f aca="false">AF83-AF82</f>
        <v>0</v>
      </c>
      <c r="AH83" s="30" t="n">
        <f aca="false">MAX(AE83,0)*(Inputs!$B$17+Inputs!$B$18+Inputs!$B$19)+MAX(-AE83,0)*(O83+Inputs!$B$18+Inputs!$B$19)+IF(AND(K83=1,AB83&lt;&gt;0),(Inputs!$B$17+Inputs!$B$18+Inputs!$B$19)+(O83+Inputs!$B$18+Inputs!$B$19),0)+MAX(AG83,0)*(Inputs!$B$20+Inputs!$B$22+Inputs!$B$23)+MAX(-AG83,0)*(Inputs!$B$21+Inputs!$B$22+Inputs!$B$23)</f>
        <v>0</v>
      </c>
      <c r="AI83" s="30" t="n">
        <f aca="false">AB82*(M83-AD82*J83)+AB82*AD82*N83/Inputs!$B$16-AH83</f>
        <v>0</v>
      </c>
      <c r="AJ83" s="30" t="n">
        <f aca="false">MAX(AE83,0)*(Inputs!$B$17+Inputs!$B$24+Inputs!$B$25)+MAX(-AE83,0)*(O83+Inputs!$B$24+Inputs!$B$25)+IF(AND(K83=1,AB83&lt;&gt;0),(Inputs!$B$17+Inputs!$B$24+Inputs!$B$25)+(O83+Inputs!$B$24+Inputs!$B$25),0)+MAX(AG83,0)*(Inputs!$B$20+Inputs!$B$26+Inputs!$B$27)+MAX(-AG83,0)*(Inputs!$B$21+Inputs!$B$26+Inputs!$B$27)</f>
        <v>0</v>
      </c>
      <c r="AK83" s="30" t="n">
        <f aca="false">AB82*(M83-AD82*J83)+AB82*AD82*(N83+Inputs!$B$14)/Inputs!$B$16-AJ83</f>
        <v>0</v>
      </c>
      <c r="AL83" s="30" t="n">
        <f aca="false">IF(AP82&lt;&gt;0,AQ82+1,0)</f>
        <v>0</v>
      </c>
      <c r="AM83" s="30" t="n">
        <f aca="false">IF(W83="",0,IF(AND(AP82&lt;&gt;0,OR(ABS(W83)&gt;Inputs!$B$7,AL83&gt;=Inputs!$B$8,ABS(W83)&lt;Inputs!$B$6)),1,0))</f>
        <v>0</v>
      </c>
      <c r="AN83" s="30" t="n">
        <f aca="false">IF(AM83=1,0,AP82)</f>
        <v>0</v>
      </c>
      <c r="AO83" s="30" t="n">
        <f aca="false">IF(W83="",0,IF(AND(AN83=0,ABS(W83)&gt;Inputs!$B$5,ABS(W83)&lt;=Inputs!$B$7,W83&gt;0),1,0))</f>
        <v>0</v>
      </c>
      <c r="AP83" s="30" t="n">
        <f aca="false">IF(W83="",0,IF(AO83=1,-SIGN(W83),AN83))</f>
        <v>0</v>
      </c>
      <c r="AQ83" s="30" t="n">
        <f aca="false">IF(W83="",0,IF(AO83=1,0,IF(AM83=1,0,AL83)))</f>
        <v>0</v>
      </c>
      <c r="AR83" s="30" t="n">
        <f aca="false">IF(AP83=0,0,IF(AP82=AP83,AR82,T83))</f>
        <v>0</v>
      </c>
      <c r="AS83" s="30" t="n">
        <f aca="false">AP83-AP82</f>
        <v>0</v>
      </c>
      <c r="AT83" s="30" t="n">
        <f aca="false">-AR83*AP83</f>
        <v>-0</v>
      </c>
      <c r="AU83" s="30" t="n">
        <f aca="false">AT83-AT82</f>
        <v>0</v>
      </c>
      <c r="AV83" s="30" t="n">
        <f aca="false">MAX(AS83,0)*(Inputs!$B$17+Inputs!$B$18+Inputs!$B$19)+MAX(-AS83,0)*(O83+Inputs!$B$18+Inputs!$B$19)+IF(AND(K83=1,AP83&lt;&gt;0),(Inputs!$B$17+Inputs!$B$18+Inputs!$B$19)+(O83+Inputs!$B$18+Inputs!$B$19),0)+MAX(AU83,0)*(Inputs!$B$20+Inputs!$B$22+Inputs!$B$23)+MAX(-AU83,0)*(Inputs!$B$21+Inputs!$B$22+Inputs!$B$23)</f>
        <v>0</v>
      </c>
      <c r="AW83" s="30" t="n">
        <f aca="false">AP82*(M83-AR82*J83)+AP82*AR82*N83/Inputs!$B$16-AV83</f>
        <v>0</v>
      </c>
      <c r="AX83" s="30" t="n">
        <f aca="false">AW83-IF(AP82&lt;&gt;0,0.75*AR82*(Inputs!$B$13-N83)/Inputs!$B$16,0)</f>
        <v>0</v>
      </c>
      <c r="AY83" s="30" t="n">
        <f aca="false">MAX(AS83,0)*(Inputs!$B$17+Inputs!$B$18+Inputs!$B$19)+MAX(-AS83,0)*(O83+Inputs!$B$18+Inputs!$B$19)+IF(AND(K83=1,AP83&lt;&gt;0),(Inputs!$B$17+Inputs!$B$18+Inputs!$B$19)+(O83+Inputs!$B$18+Inputs!$B$19),0)</f>
        <v>0</v>
      </c>
      <c r="AZ83" s="30" t="n">
        <f aca="false">AP82*M83-AY83</f>
        <v>-0</v>
      </c>
      <c r="BA83" s="32" t="n">
        <f aca="false">BA82+AI83</f>
        <v>-0.00398234936264488</v>
      </c>
      <c r="BB83" s="30" t="n">
        <f aca="false">MAX(BB82,BA83)</f>
        <v>0</v>
      </c>
      <c r="BC83" s="32" t="n">
        <f aca="false">BA83-BB83</f>
        <v>-0.00398234936264488</v>
      </c>
      <c r="BD83" s="30" t="n">
        <f aca="false">A84-A83</f>
        <v>1</v>
      </c>
    </row>
    <row r="84" customFormat="false" ht="15" hidden="false" customHeight="false" outlineLevel="0" collapsed="false">
      <c r="A84" s="28" t="n">
        <v>45161</v>
      </c>
      <c r="B84" s="0" t="n">
        <v>19433</v>
      </c>
      <c r="C84" s="0" t="n">
        <v>214.27</v>
      </c>
      <c r="D84" s="29" t="n">
        <f aca="false">LN(B84)</f>
        <v>9.8747279308647</v>
      </c>
      <c r="E84" s="29" t="n">
        <f aca="false">LN(C84)</f>
        <v>5.36723690201263</v>
      </c>
      <c r="F84" s="0" t="n">
        <v>79</v>
      </c>
      <c r="G84" s="0" t="n">
        <v>8</v>
      </c>
      <c r="H84" s="29" t="n">
        <f aca="false">D84-E84</f>
        <v>4.50749102885207</v>
      </c>
      <c r="I84" s="29" t="n">
        <f aca="false">D84-D83</f>
        <v>0.00267944716395441</v>
      </c>
      <c r="J84" s="29" t="n">
        <f aca="false">E84-E83</f>
        <v>0.00369375054689058</v>
      </c>
      <c r="K84" s="0" t="n">
        <v>0</v>
      </c>
      <c r="L84" s="0" t="n">
        <v>0</v>
      </c>
      <c r="M84" s="29" t="n">
        <f aca="false">IF(L84=1,J84-Carry!$B$9/Inputs!$B$16,I84)</f>
        <v>0.00267944716395441</v>
      </c>
      <c r="N84" s="0" t="n">
        <v>0.065</v>
      </c>
      <c r="O84" s="0" t="n">
        <v>0.000125</v>
      </c>
      <c r="P84" s="29" t="n">
        <f aca="false">D84-('2 Hedge ratio'!$B$6+'2 Hedge ratio'!$B$5*E84)</f>
        <v>-0.0041614996337298</v>
      </c>
      <c r="Q84" s="29" t="n">
        <f aca="false">D84-('5 Re-specification'!$B$7+'5 Re-specification'!$B$5*E84+'5 Re-specification'!$B$6*F84)</f>
        <v>-0.00389516442089644</v>
      </c>
      <c r="R84" s="30" t="n">
        <f aca="false">MIN(F84,Inputs!$B$9)</f>
        <v>79</v>
      </c>
      <c r="S84" s="29" t="n">
        <f aca="true">IF(AND(F84&gt;=1,R84&gt;=Inputs!$B$10),INDEX(LINEST(OFFSET(D84,-R84,0,R84,1),OFFSET(E84,-R84,0,R84,2)),1,1),"")</f>
        <v>-0.00015579995398993</v>
      </c>
      <c r="T84" s="29" t="n">
        <f aca="true">IF(AND(F84&gt;=1,R84&gt;=Inputs!$B$10),INDEX(LINEST(OFFSET(D84,-R84,0,R84,1),OFFSET(E84,-R84,0,R84,2)),1,2),"")</f>
        <v>1.03411368611429</v>
      </c>
      <c r="U84" s="29" t="n">
        <f aca="true">IF(AND(F84&gt;=1,R84&gt;=Inputs!$B$10),INDEX(LINEST(OFFSET(D84,-R84,0,R84,1),OFFSET(E84,-R84,0,R84,2)),1,3),"")</f>
        <v>4.33759021600198</v>
      </c>
      <c r="V84" s="29" t="n">
        <f aca="true">IF(AND(F84&gt;=1,R84&gt;=Inputs!$B$10),SQRT(SUMPRODUCT((OFFSET(D84,-R84,0,R84,1)-U84-T84*OFFSET(E84,-R84,0,R84,1)-S84*OFFSET(F84,-R84,0,R84,1))^2)/(R84-3)),"")</f>
        <v>0.00159681248139308</v>
      </c>
      <c r="W84" s="31" t="n">
        <f aca="false">IF(AND(F84&gt;=1,R84&gt;=Inputs!$B$10),(D84-U84-T84*E84-S84*F84)/V84,"")</f>
        <v>-0.555623012320392</v>
      </c>
      <c r="X84" s="30" t="n">
        <f aca="false">IF(AB83&lt;&gt;0,AC83+1,0)</f>
        <v>0</v>
      </c>
      <c r="Y84" s="30" t="n">
        <f aca="false">IF(W84="",0,IF(AND(AB83&lt;&gt;0,OR(ABS(W84)&gt;Inputs!$B$7,X84&gt;=Inputs!$B$8,ABS(W84)&lt;Inputs!$B$6)),1,0))</f>
        <v>0</v>
      </c>
      <c r="Z84" s="30" t="n">
        <f aca="false">IF(Y84=1,0,AB83)</f>
        <v>0</v>
      </c>
      <c r="AA84" s="30" t="n">
        <f aca="false">IF(W84="",0,IF(AND(Z84=0,ABS(W84)&gt;Inputs!$B$5,ABS(W84)&lt;=Inputs!$B$7),1,0))</f>
        <v>0</v>
      </c>
      <c r="AB84" s="30" t="n">
        <f aca="false">IF(W84="",0,IF(AA84=1,-SIGN(W84),Z84))</f>
        <v>0</v>
      </c>
      <c r="AC84" s="30" t="n">
        <f aca="false">IF(W84="",0,IF(AA84=1,0,IF(Y84=1,0,X84)))</f>
        <v>0</v>
      </c>
      <c r="AD84" s="30" t="n">
        <f aca="false">IF(AB84=0,0,IF(AB83=AB84,AD83,T84))</f>
        <v>0</v>
      </c>
      <c r="AE84" s="30" t="n">
        <f aca="false">AB84-AB83</f>
        <v>0</v>
      </c>
      <c r="AF84" s="30" t="n">
        <f aca="false">-AD84*AB84</f>
        <v>-0</v>
      </c>
      <c r="AG84" s="30" t="n">
        <f aca="false">AF84-AF83</f>
        <v>0</v>
      </c>
      <c r="AH84" s="30" t="n">
        <f aca="false">MAX(AE84,0)*(Inputs!$B$17+Inputs!$B$18+Inputs!$B$19)+MAX(-AE84,0)*(O84+Inputs!$B$18+Inputs!$B$19)+IF(AND(K84=1,AB84&lt;&gt;0),(Inputs!$B$17+Inputs!$B$18+Inputs!$B$19)+(O84+Inputs!$B$18+Inputs!$B$19),0)+MAX(AG84,0)*(Inputs!$B$20+Inputs!$B$22+Inputs!$B$23)+MAX(-AG84,0)*(Inputs!$B$21+Inputs!$B$22+Inputs!$B$23)</f>
        <v>0</v>
      </c>
      <c r="AI84" s="30" t="n">
        <f aca="false">AB83*(M84-AD83*J84)+AB83*AD83*N84/Inputs!$B$16-AH84</f>
        <v>0</v>
      </c>
      <c r="AJ84" s="30" t="n">
        <f aca="false">MAX(AE84,0)*(Inputs!$B$17+Inputs!$B$24+Inputs!$B$25)+MAX(-AE84,0)*(O84+Inputs!$B$24+Inputs!$B$25)+IF(AND(K84=1,AB84&lt;&gt;0),(Inputs!$B$17+Inputs!$B$24+Inputs!$B$25)+(O84+Inputs!$B$24+Inputs!$B$25),0)+MAX(AG84,0)*(Inputs!$B$20+Inputs!$B$26+Inputs!$B$27)+MAX(-AG84,0)*(Inputs!$B$21+Inputs!$B$26+Inputs!$B$27)</f>
        <v>0</v>
      </c>
      <c r="AK84" s="30" t="n">
        <f aca="false">AB83*(M84-AD83*J84)+AB83*AD83*(N84+Inputs!$B$14)/Inputs!$B$16-AJ84</f>
        <v>0</v>
      </c>
      <c r="AL84" s="30" t="n">
        <f aca="false">IF(AP83&lt;&gt;0,AQ83+1,0)</f>
        <v>0</v>
      </c>
      <c r="AM84" s="30" t="n">
        <f aca="false">IF(W84="",0,IF(AND(AP83&lt;&gt;0,OR(ABS(W84)&gt;Inputs!$B$7,AL84&gt;=Inputs!$B$8,ABS(W84)&lt;Inputs!$B$6)),1,0))</f>
        <v>0</v>
      </c>
      <c r="AN84" s="30" t="n">
        <f aca="false">IF(AM84=1,0,AP83)</f>
        <v>0</v>
      </c>
      <c r="AO84" s="30" t="n">
        <f aca="false">IF(W84="",0,IF(AND(AN84=0,ABS(W84)&gt;Inputs!$B$5,ABS(W84)&lt;=Inputs!$B$7,W84&gt;0),1,0))</f>
        <v>0</v>
      </c>
      <c r="AP84" s="30" t="n">
        <f aca="false">IF(W84="",0,IF(AO84=1,-SIGN(W84),AN84))</f>
        <v>0</v>
      </c>
      <c r="AQ84" s="30" t="n">
        <f aca="false">IF(W84="",0,IF(AO84=1,0,IF(AM84=1,0,AL84)))</f>
        <v>0</v>
      </c>
      <c r="AR84" s="30" t="n">
        <f aca="false">IF(AP84=0,0,IF(AP83=AP84,AR83,T84))</f>
        <v>0</v>
      </c>
      <c r="AS84" s="30" t="n">
        <f aca="false">AP84-AP83</f>
        <v>0</v>
      </c>
      <c r="AT84" s="30" t="n">
        <f aca="false">-AR84*AP84</f>
        <v>-0</v>
      </c>
      <c r="AU84" s="30" t="n">
        <f aca="false">AT84-AT83</f>
        <v>0</v>
      </c>
      <c r="AV84" s="30" t="n">
        <f aca="false">MAX(AS84,0)*(Inputs!$B$17+Inputs!$B$18+Inputs!$B$19)+MAX(-AS84,0)*(O84+Inputs!$B$18+Inputs!$B$19)+IF(AND(K84=1,AP84&lt;&gt;0),(Inputs!$B$17+Inputs!$B$18+Inputs!$B$19)+(O84+Inputs!$B$18+Inputs!$B$19),0)+MAX(AU84,0)*(Inputs!$B$20+Inputs!$B$22+Inputs!$B$23)+MAX(-AU84,0)*(Inputs!$B$21+Inputs!$B$22+Inputs!$B$23)</f>
        <v>0</v>
      </c>
      <c r="AW84" s="30" t="n">
        <f aca="false">AP83*(M84-AR83*J84)+AP83*AR83*N84/Inputs!$B$16-AV84</f>
        <v>0</v>
      </c>
      <c r="AX84" s="30" t="n">
        <f aca="false">AW84-IF(AP83&lt;&gt;0,0.75*AR83*(Inputs!$B$13-N84)/Inputs!$B$16,0)</f>
        <v>0</v>
      </c>
      <c r="AY84" s="30" t="n">
        <f aca="false">MAX(AS84,0)*(Inputs!$B$17+Inputs!$B$18+Inputs!$B$19)+MAX(-AS84,0)*(O84+Inputs!$B$18+Inputs!$B$19)+IF(AND(K84=1,AP84&lt;&gt;0),(Inputs!$B$17+Inputs!$B$18+Inputs!$B$19)+(O84+Inputs!$B$18+Inputs!$B$19),0)</f>
        <v>0</v>
      </c>
      <c r="AZ84" s="30" t="n">
        <f aca="false">AP83*M84-AY84</f>
        <v>0</v>
      </c>
      <c r="BA84" s="32" t="n">
        <f aca="false">BA83+AI84</f>
        <v>-0.00398234936264488</v>
      </c>
      <c r="BB84" s="30" t="n">
        <f aca="false">MAX(BB83,BA84)</f>
        <v>0</v>
      </c>
      <c r="BC84" s="32" t="n">
        <f aca="false">BA84-BB84</f>
        <v>-0.00398234936264488</v>
      </c>
      <c r="BD84" s="30" t="n">
        <f aca="false">A85-A84</f>
        <v>1</v>
      </c>
    </row>
    <row r="85" customFormat="false" ht="15" hidden="false" customHeight="false" outlineLevel="0" collapsed="false">
      <c r="A85" s="28" t="n">
        <v>45162</v>
      </c>
      <c r="B85" s="0" t="n">
        <v>19392.15</v>
      </c>
      <c r="C85" s="0" t="n">
        <v>213.64</v>
      </c>
      <c r="D85" s="29" t="n">
        <f aca="false">LN(B85)</f>
        <v>9.87262362398764</v>
      </c>
      <c r="E85" s="29" t="n">
        <f aca="false">LN(C85)</f>
        <v>5.36429235547157</v>
      </c>
      <c r="F85" s="0" t="n">
        <v>80</v>
      </c>
      <c r="G85" s="0" t="n">
        <v>7</v>
      </c>
      <c r="H85" s="29" t="n">
        <f aca="false">D85-E85</f>
        <v>4.50833126851607</v>
      </c>
      <c r="I85" s="29" t="n">
        <f aca="false">D85-D84</f>
        <v>-0.00210430687706342</v>
      </c>
      <c r="J85" s="29" t="n">
        <f aca="false">E85-E84</f>
        <v>-0.00294454654106513</v>
      </c>
      <c r="K85" s="0" t="n">
        <v>0</v>
      </c>
      <c r="L85" s="0" t="n">
        <v>0</v>
      </c>
      <c r="M85" s="29" t="n">
        <f aca="false">IF(L85=1,J85-Carry!$B$9/Inputs!$B$16,I85)</f>
        <v>-0.00210430687706342</v>
      </c>
      <c r="N85" s="0" t="n">
        <v>0.065</v>
      </c>
      <c r="O85" s="0" t="n">
        <v>0.000125</v>
      </c>
      <c r="P85" s="29" t="n">
        <f aca="false">D85-('2 Hedge ratio'!$B$6+'2 Hedge ratio'!$B$5*E85)</f>
        <v>-0.00356822863067663</v>
      </c>
      <c r="Q85" s="29" t="n">
        <f aca="false">D85-('5 Re-specification'!$B$7+'5 Re-specification'!$B$5*E85+'5 Re-specification'!$B$6*F85)</f>
        <v>-0.00301891888715566</v>
      </c>
      <c r="R85" s="30" t="n">
        <f aca="false">MIN(F85,Inputs!$B$9)</f>
        <v>80</v>
      </c>
      <c r="S85" s="29" t="n">
        <f aca="true">IF(AND(F85&gt;=1,R85&gt;=Inputs!$B$10),INDEX(LINEST(OFFSET(D85,-R85,0,R85,1),OFFSET(E85,-R85,0,R85,2)),1,1),"")</f>
        <v>-0.000158983208047711</v>
      </c>
      <c r="T85" s="29" t="n">
        <f aca="true">IF(AND(F85&gt;=1,R85&gt;=Inputs!$B$10),INDEX(LINEST(OFFSET(D85,-R85,0,R85,1),OFFSET(E85,-R85,0,R85,2)),1,2),"")</f>
        <v>1.03597873377615</v>
      </c>
      <c r="U85" s="29" t="n">
        <f aca="true">IF(AND(F85&gt;=1,R85&gt;=Inputs!$B$10),INDEX(LINEST(OFFSET(D85,-R85,0,R85,1),OFFSET(E85,-R85,0,R85,2)),1,3),"")</f>
        <v>4.32774528925764</v>
      </c>
      <c r="V85" s="29" t="n">
        <f aca="true">IF(AND(F85&gt;=1,R85&gt;=Inputs!$B$10),SQRT(SUMPRODUCT((OFFSET(D85,-R85,0,R85,1)-U85-T85*OFFSET(E85,-R85,0,R85,1)-S85*OFFSET(F85,-R85,0,R85,1))^2)/(R85-3)),"")</f>
        <v>0.00158931584128119</v>
      </c>
      <c r="W85" s="31" t="n">
        <f aca="false">IF(AND(F85&gt;=1,R85&gt;=Inputs!$B$10),(D85-U85-T85*E85-S85*F85)/V85,"")</f>
        <v>0.191396410564992</v>
      </c>
      <c r="X85" s="30" t="n">
        <f aca="false">IF(AB84&lt;&gt;0,AC84+1,0)</f>
        <v>0</v>
      </c>
      <c r="Y85" s="30" t="n">
        <f aca="false">IF(W85="",0,IF(AND(AB84&lt;&gt;0,OR(ABS(W85)&gt;Inputs!$B$7,X85&gt;=Inputs!$B$8,ABS(W85)&lt;Inputs!$B$6)),1,0))</f>
        <v>0</v>
      </c>
      <c r="Z85" s="30" t="n">
        <f aca="false">IF(Y85=1,0,AB84)</f>
        <v>0</v>
      </c>
      <c r="AA85" s="30" t="n">
        <f aca="false">IF(W85="",0,IF(AND(Z85=0,ABS(W85)&gt;Inputs!$B$5,ABS(W85)&lt;=Inputs!$B$7),1,0))</f>
        <v>0</v>
      </c>
      <c r="AB85" s="30" t="n">
        <f aca="false">IF(W85="",0,IF(AA85=1,-SIGN(W85),Z85))</f>
        <v>0</v>
      </c>
      <c r="AC85" s="30" t="n">
        <f aca="false">IF(W85="",0,IF(AA85=1,0,IF(Y85=1,0,X85)))</f>
        <v>0</v>
      </c>
      <c r="AD85" s="30" t="n">
        <f aca="false">IF(AB85=0,0,IF(AB84=AB85,AD84,T85))</f>
        <v>0</v>
      </c>
      <c r="AE85" s="30" t="n">
        <f aca="false">AB85-AB84</f>
        <v>0</v>
      </c>
      <c r="AF85" s="30" t="n">
        <f aca="false">-AD85*AB85</f>
        <v>-0</v>
      </c>
      <c r="AG85" s="30" t="n">
        <f aca="false">AF85-AF84</f>
        <v>0</v>
      </c>
      <c r="AH85" s="30" t="n">
        <f aca="false">MAX(AE85,0)*(Inputs!$B$17+Inputs!$B$18+Inputs!$B$19)+MAX(-AE85,0)*(O85+Inputs!$B$18+Inputs!$B$19)+IF(AND(K85=1,AB85&lt;&gt;0),(Inputs!$B$17+Inputs!$B$18+Inputs!$B$19)+(O85+Inputs!$B$18+Inputs!$B$19),0)+MAX(AG85,0)*(Inputs!$B$20+Inputs!$B$22+Inputs!$B$23)+MAX(-AG85,0)*(Inputs!$B$21+Inputs!$B$22+Inputs!$B$23)</f>
        <v>0</v>
      </c>
      <c r="AI85" s="30" t="n">
        <f aca="false">AB84*(M85-AD84*J85)+AB84*AD84*N85/Inputs!$B$16-AH85</f>
        <v>0</v>
      </c>
      <c r="AJ85" s="30" t="n">
        <f aca="false">MAX(AE85,0)*(Inputs!$B$17+Inputs!$B$24+Inputs!$B$25)+MAX(-AE85,0)*(O85+Inputs!$B$24+Inputs!$B$25)+IF(AND(K85=1,AB85&lt;&gt;0),(Inputs!$B$17+Inputs!$B$24+Inputs!$B$25)+(O85+Inputs!$B$24+Inputs!$B$25),0)+MAX(AG85,0)*(Inputs!$B$20+Inputs!$B$26+Inputs!$B$27)+MAX(-AG85,0)*(Inputs!$B$21+Inputs!$B$26+Inputs!$B$27)</f>
        <v>0</v>
      </c>
      <c r="AK85" s="30" t="n">
        <f aca="false">AB84*(M85-AD84*J85)+AB84*AD84*(N85+Inputs!$B$14)/Inputs!$B$16-AJ85</f>
        <v>0</v>
      </c>
      <c r="AL85" s="30" t="n">
        <f aca="false">IF(AP84&lt;&gt;0,AQ84+1,0)</f>
        <v>0</v>
      </c>
      <c r="AM85" s="30" t="n">
        <f aca="false">IF(W85="",0,IF(AND(AP84&lt;&gt;0,OR(ABS(W85)&gt;Inputs!$B$7,AL85&gt;=Inputs!$B$8,ABS(W85)&lt;Inputs!$B$6)),1,0))</f>
        <v>0</v>
      </c>
      <c r="AN85" s="30" t="n">
        <f aca="false">IF(AM85=1,0,AP84)</f>
        <v>0</v>
      </c>
      <c r="AO85" s="30" t="n">
        <f aca="false">IF(W85="",0,IF(AND(AN85=0,ABS(W85)&gt;Inputs!$B$5,ABS(W85)&lt;=Inputs!$B$7,W85&gt;0),1,0))</f>
        <v>0</v>
      </c>
      <c r="AP85" s="30" t="n">
        <f aca="false">IF(W85="",0,IF(AO85=1,-SIGN(W85),AN85))</f>
        <v>0</v>
      </c>
      <c r="AQ85" s="30" t="n">
        <f aca="false">IF(W85="",0,IF(AO85=1,0,IF(AM85=1,0,AL85)))</f>
        <v>0</v>
      </c>
      <c r="AR85" s="30" t="n">
        <f aca="false">IF(AP85=0,0,IF(AP84=AP85,AR84,T85))</f>
        <v>0</v>
      </c>
      <c r="AS85" s="30" t="n">
        <f aca="false">AP85-AP84</f>
        <v>0</v>
      </c>
      <c r="AT85" s="30" t="n">
        <f aca="false">-AR85*AP85</f>
        <v>-0</v>
      </c>
      <c r="AU85" s="30" t="n">
        <f aca="false">AT85-AT84</f>
        <v>0</v>
      </c>
      <c r="AV85" s="30" t="n">
        <f aca="false">MAX(AS85,0)*(Inputs!$B$17+Inputs!$B$18+Inputs!$B$19)+MAX(-AS85,0)*(O85+Inputs!$B$18+Inputs!$B$19)+IF(AND(K85=1,AP85&lt;&gt;0),(Inputs!$B$17+Inputs!$B$18+Inputs!$B$19)+(O85+Inputs!$B$18+Inputs!$B$19),0)+MAX(AU85,0)*(Inputs!$B$20+Inputs!$B$22+Inputs!$B$23)+MAX(-AU85,0)*(Inputs!$B$21+Inputs!$B$22+Inputs!$B$23)</f>
        <v>0</v>
      </c>
      <c r="AW85" s="30" t="n">
        <f aca="false">AP84*(M85-AR84*J85)+AP84*AR84*N85/Inputs!$B$16-AV85</f>
        <v>0</v>
      </c>
      <c r="AX85" s="30" t="n">
        <f aca="false">AW85-IF(AP84&lt;&gt;0,0.75*AR84*(Inputs!$B$13-N85)/Inputs!$B$16,0)</f>
        <v>0</v>
      </c>
      <c r="AY85" s="30" t="n">
        <f aca="false">MAX(AS85,0)*(Inputs!$B$17+Inputs!$B$18+Inputs!$B$19)+MAX(-AS85,0)*(O85+Inputs!$B$18+Inputs!$B$19)+IF(AND(K85=1,AP85&lt;&gt;0),(Inputs!$B$17+Inputs!$B$18+Inputs!$B$19)+(O85+Inputs!$B$18+Inputs!$B$19),0)</f>
        <v>0</v>
      </c>
      <c r="AZ85" s="30" t="n">
        <f aca="false">AP84*M85-AY85</f>
        <v>-0</v>
      </c>
      <c r="BA85" s="32" t="n">
        <f aca="false">BA84+AI85</f>
        <v>-0.00398234936264488</v>
      </c>
      <c r="BB85" s="30" t="n">
        <f aca="false">MAX(BB84,BA85)</f>
        <v>0</v>
      </c>
      <c r="BC85" s="32" t="n">
        <f aca="false">BA85-BB85</f>
        <v>-0.00398234936264488</v>
      </c>
      <c r="BD85" s="30" t="n">
        <f aca="false">A86-A85</f>
        <v>1</v>
      </c>
    </row>
    <row r="86" customFormat="false" ht="15" hidden="false" customHeight="false" outlineLevel="0" collapsed="false">
      <c r="A86" s="28" t="n">
        <v>45163</v>
      </c>
      <c r="B86" s="0" t="n">
        <v>19223.8</v>
      </c>
      <c r="C86" s="0" t="n">
        <v>213.49</v>
      </c>
      <c r="D86" s="29" t="n">
        <f aca="false">LN(B86)</f>
        <v>9.8639043737001</v>
      </c>
      <c r="E86" s="29" t="n">
        <f aca="false">LN(C86)</f>
        <v>5.36358999316423</v>
      </c>
      <c r="F86" s="0" t="n">
        <v>81</v>
      </c>
      <c r="G86" s="0" t="n">
        <v>6</v>
      </c>
      <c r="H86" s="29" t="n">
        <f aca="false">D86-E86</f>
        <v>4.50031438053586</v>
      </c>
      <c r="I86" s="29" t="n">
        <f aca="false">D86-D85</f>
        <v>-0.00871925028754284</v>
      </c>
      <c r="J86" s="29" t="n">
        <f aca="false">E86-E85</f>
        <v>-0.000702362307336557</v>
      </c>
      <c r="K86" s="0" t="n">
        <v>0</v>
      </c>
      <c r="L86" s="0" t="n">
        <v>0</v>
      </c>
      <c r="M86" s="29" t="n">
        <f aca="false">IF(L86=1,J86-Carry!$B$9/Inputs!$B$16,I86)</f>
        <v>-0.00871925028754284</v>
      </c>
      <c r="N86" s="0" t="n">
        <v>0.065</v>
      </c>
      <c r="O86" s="0" t="n">
        <v>0.000125</v>
      </c>
      <c r="P86" s="29" t="n">
        <f aca="false">D86-('2 Hedge ratio'!$B$6+'2 Hedge ratio'!$B$5*E86)</f>
        <v>-0.0116440260137818</v>
      </c>
      <c r="Q86" s="29" t="n">
        <f aca="false">D86-('5 Re-specification'!$B$7+'5 Re-specification'!$B$5*E86+'5 Re-specification'!$B$6*F86)</f>
        <v>-0.0109930060582517</v>
      </c>
      <c r="R86" s="30" t="n">
        <f aca="false">MIN(F86,Inputs!$B$9)</f>
        <v>81</v>
      </c>
      <c r="S86" s="29" t="n">
        <f aca="true">IF(AND(F86&gt;=1,R86&gt;=Inputs!$B$10),INDEX(LINEST(OFFSET(D86,-R86,0,R86,1),OFFSET(E86,-R86,0,R86,2)),1,1),"")</f>
        <v>-0.000157867874622573</v>
      </c>
      <c r="T86" s="29" t="n">
        <f aca="true">IF(AND(F86&gt;=1,R86&gt;=Inputs!$B$10),INDEX(LINEST(OFFSET(D86,-R86,0,R86,1),OFFSET(E86,-R86,0,R86,2)),1,2),"")</f>
        <v>1.03530187253866</v>
      </c>
      <c r="U86" s="29" t="n">
        <f aca="true">IF(AND(F86&gt;=1,R86&gt;=Inputs!$B$10),INDEX(LINEST(OFFSET(D86,-R86,0,R86,1),OFFSET(E86,-R86,0,R86,2)),1,3),"")</f>
        <v>4.33131915236274</v>
      </c>
      <c r="V86" s="29" t="n">
        <f aca="true">IF(AND(F86&gt;=1,R86&gt;=Inputs!$B$10),SQRT(SUMPRODUCT((OFFSET(D86,-R86,0,R86,1)-U86-T86*OFFSET(E86,-R86,0,R86,1)-S86*OFFSET(F86,-R86,0,R86,1))^2)/(R86-3)),"")</f>
        <v>0.00157943087242586</v>
      </c>
      <c r="W86" s="31" t="n">
        <f aca="false">IF(AND(F86&gt;=1,R86&gt;=Inputs!$B$10),(D86-U86-T86*E86-S86*F86)/V86,"")</f>
        <v>-4.78795520766146</v>
      </c>
      <c r="X86" s="30" t="n">
        <f aca="false">IF(AB85&lt;&gt;0,AC85+1,0)</f>
        <v>0</v>
      </c>
      <c r="Y86" s="30" t="n">
        <f aca="false">IF(W86="",0,IF(AND(AB85&lt;&gt;0,OR(ABS(W86)&gt;Inputs!$B$7,X86&gt;=Inputs!$B$8,ABS(W86)&lt;Inputs!$B$6)),1,0))</f>
        <v>0</v>
      </c>
      <c r="Z86" s="30" t="n">
        <f aca="false">IF(Y86=1,0,AB85)</f>
        <v>0</v>
      </c>
      <c r="AA86" s="30" t="n">
        <f aca="false">IF(W86="",0,IF(AND(Z86=0,ABS(W86)&gt;Inputs!$B$5,ABS(W86)&lt;=Inputs!$B$7),1,0))</f>
        <v>0</v>
      </c>
      <c r="AB86" s="30" t="n">
        <f aca="false">IF(W86="",0,IF(AA86=1,-SIGN(W86),Z86))</f>
        <v>0</v>
      </c>
      <c r="AC86" s="30" t="n">
        <f aca="false">IF(W86="",0,IF(AA86=1,0,IF(Y86=1,0,X86)))</f>
        <v>0</v>
      </c>
      <c r="AD86" s="30" t="n">
        <f aca="false">IF(AB86=0,0,IF(AB85=AB86,AD85,T86))</f>
        <v>0</v>
      </c>
      <c r="AE86" s="30" t="n">
        <f aca="false">AB86-AB85</f>
        <v>0</v>
      </c>
      <c r="AF86" s="30" t="n">
        <f aca="false">-AD86*AB86</f>
        <v>-0</v>
      </c>
      <c r="AG86" s="30" t="n">
        <f aca="false">AF86-AF85</f>
        <v>0</v>
      </c>
      <c r="AH86" s="30" t="n">
        <f aca="false">MAX(AE86,0)*(Inputs!$B$17+Inputs!$B$18+Inputs!$B$19)+MAX(-AE86,0)*(O86+Inputs!$B$18+Inputs!$B$19)+IF(AND(K86=1,AB86&lt;&gt;0),(Inputs!$B$17+Inputs!$B$18+Inputs!$B$19)+(O86+Inputs!$B$18+Inputs!$B$19),0)+MAX(AG86,0)*(Inputs!$B$20+Inputs!$B$22+Inputs!$B$23)+MAX(-AG86,0)*(Inputs!$B$21+Inputs!$B$22+Inputs!$B$23)</f>
        <v>0</v>
      </c>
      <c r="AI86" s="30" t="n">
        <f aca="false">AB85*(M86-AD85*J86)+AB85*AD85*N86/Inputs!$B$16-AH86</f>
        <v>0</v>
      </c>
      <c r="AJ86" s="30" t="n">
        <f aca="false">MAX(AE86,0)*(Inputs!$B$17+Inputs!$B$24+Inputs!$B$25)+MAX(-AE86,0)*(O86+Inputs!$B$24+Inputs!$B$25)+IF(AND(K86=1,AB86&lt;&gt;0),(Inputs!$B$17+Inputs!$B$24+Inputs!$B$25)+(O86+Inputs!$B$24+Inputs!$B$25),0)+MAX(AG86,0)*(Inputs!$B$20+Inputs!$B$26+Inputs!$B$27)+MAX(-AG86,0)*(Inputs!$B$21+Inputs!$B$26+Inputs!$B$27)</f>
        <v>0</v>
      </c>
      <c r="AK86" s="30" t="n">
        <f aca="false">AB85*(M86-AD85*J86)+AB85*AD85*(N86+Inputs!$B$14)/Inputs!$B$16-AJ86</f>
        <v>0</v>
      </c>
      <c r="AL86" s="30" t="n">
        <f aca="false">IF(AP85&lt;&gt;0,AQ85+1,0)</f>
        <v>0</v>
      </c>
      <c r="AM86" s="30" t="n">
        <f aca="false">IF(W86="",0,IF(AND(AP85&lt;&gt;0,OR(ABS(W86)&gt;Inputs!$B$7,AL86&gt;=Inputs!$B$8,ABS(W86)&lt;Inputs!$B$6)),1,0))</f>
        <v>0</v>
      </c>
      <c r="AN86" s="30" t="n">
        <f aca="false">IF(AM86=1,0,AP85)</f>
        <v>0</v>
      </c>
      <c r="AO86" s="30" t="n">
        <f aca="false">IF(W86="",0,IF(AND(AN86=0,ABS(W86)&gt;Inputs!$B$5,ABS(W86)&lt;=Inputs!$B$7,W86&gt;0),1,0))</f>
        <v>0</v>
      </c>
      <c r="AP86" s="30" t="n">
        <f aca="false">IF(W86="",0,IF(AO86=1,-SIGN(W86),AN86))</f>
        <v>0</v>
      </c>
      <c r="AQ86" s="30" t="n">
        <f aca="false">IF(W86="",0,IF(AO86=1,0,IF(AM86=1,0,AL86)))</f>
        <v>0</v>
      </c>
      <c r="AR86" s="30" t="n">
        <f aca="false">IF(AP86=0,0,IF(AP85=AP86,AR85,T86))</f>
        <v>0</v>
      </c>
      <c r="AS86" s="30" t="n">
        <f aca="false">AP86-AP85</f>
        <v>0</v>
      </c>
      <c r="AT86" s="30" t="n">
        <f aca="false">-AR86*AP86</f>
        <v>-0</v>
      </c>
      <c r="AU86" s="30" t="n">
        <f aca="false">AT86-AT85</f>
        <v>0</v>
      </c>
      <c r="AV86" s="30" t="n">
        <f aca="false">MAX(AS86,0)*(Inputs!$B$17+Inputs!$B$18+Inputs!$B$19)+MAX(-AS86,0)*(O86+Inputs!$B$18+Inputs!$B$19)+IF(AND(K86=1,AP86&lt;&gt;0),(Inputs!$B$17+Inputs!$B$18+Inputs!$B$19)+(O86+Inputs!$B$18+Inputs!$B$19),0)+MAX(AU86,0)*(Inputs!$B$20+Inputs!$B$22+Inputs!$B$23)+MAX(-AU86,0)*(Inputs!$B$21+Inputs!$B$22+Inputs!$B$23)</f>
        <v>0</v>
      </c>
      <c r="AW86" s="30" t="n">
        <f aca="false">AP85*(M86-AR85*J86)+AP85*AR85*N86/Inputs!$B$16-AV86</f>
        <v>0</v>
      </c>
      <c r="AX86" s="30" t="n">
        <f aca="false">AW86-IF(AP85&lt;&gt;0,0.75*AR85*(Inputs!$B$13-N86)/Inputs!$B$16,0)</f>
        <v>0</v>
      </c>
      <c r="AY86" s="30" t="n">
        <f aca="false">MAX(AS86,0)*(Inputs!$B$17+Inputs!$B$18+Inputs!$B$19)+MAX(-AS86,0)*(O86+Inputs!$B$18+Inputs!$B$19)+IF(AND(K86=1,AP86&lt;&gt;0),(Inputs!$B$17+Inputs!$B$18+Inputs!$B$19)+(O86+Inputs!$B$18+Inputs!$B$19),0)</f>
        <v>0</v>
      </c>
      <c r="AZ86" s="30" t="n">
        <f aca="false">AP85*M86-AY86</f>
        <v>-0</v>
      </c>
      <c r="BA86" s="32" t="n">
        <f aca="false">BA85+AI86</f>
        <v>-0.00398234936264488</v>
      </c>
      <c r="BB86" s="30" t="n">
        <f aca="false">MAX(BB85,BA86)</f>
        <v>0</v>
      </c>
      <c r="BC86" s="32" t="n">
        <f aca="false">BA86-BB86</f>
        <v>-0.00398234936264488</v>
      </c>
      <c r="BD86" s="30" t="n">
        <f aca="false">A87-A86</f>
        <v>3</v>
      </c>
    </row>
    <row r="87" customFormat="false" ht="15" hidden="false" customHeight="false" outlineLevel="0" collapsed="false">
      <c r="A87" s="28" t="n">
        <v>45166</v>
      </c>
      <c r="B87" s="0" t="n">
        <v>19314</v>
      </c>
      <c r="C87" s="0" t="n">
        <v>212.76</v>
      </c>
      <c r="D87" s="29" t="n">
        <f aca="false">LN(B87)</f>
        <v>9.86858550052686</v>
      </c>
      <c r="E87" s="29" t="n">
        <f aca="false">LN(C87)</f>
        <v>5.36016476987412</v>
      </c>
      <c r="F87" s="0" t="n">
        <v>82</v>
      </c>
      <c r="G87" s="0" t="n">
        <v>3</v>
      </c>
      <c r="H87" s="29" t="n">
        <f aca="false">D87-E87</f>
        <v>4.50842073065275</v>
      </c>
      <c r="I87" s="29" t="n">
        <f aca="false">D87-D86</f>
        <v>0.00468112682676747</v>
      </c>
      <c r="J87" s="29" t="n">
        <f aca="false">E87-E86</f>
        <v>-0.00342522329011619</v>
      </c>
      <c r="K87" s="0" t="n">
        <v>0</v>
      </c>
      <c r="L87" s="0" t="n">
        <v>0</v>
      </c>
      <c r="M87" s="29" t="n">
        <f aca="false">IF(L87=1,J87-Carry!$B$9/Inputs!$B$16,I87)</f>
        <v>0.00468112682676747</v>
      </c>
      <c r="N87" s="0" t="n">
        <v>0.065</v>
      </c>
      <c r="O87" s="0" t="n">
        <v>0.000125</v>
      </c>
      <c r="P87" s="29" t="n">
        <f aca="false">D87-('2 Hedge ratio'!$B$6+'2 Hedge ratio'!$B$5*E87)</f>
        <v>-0.00382496047454417</v>
      </c>
      <c r="Q87" s="29" t="n">
        <f aca="false">D87-('5 Re-specification'!$B$7+'5 Re-specification'!$B$5*E87+'5 Re-specification'!$B$6*F87)</f>
        <v>-0.0028521067625249</v>
      </c>
      <c r="R87" s="30" t="n">
        <f aca="false">MIN(F87,Inputs!$B$9)</f>
        <v>82</v>
      </c>
      <c r="S87" s="29" t="n">
        <f aca="true">IF(AND(F87&gt;=1,R87&gt;=Inputs!$B$10),INDEX(LINEST(OFFSET(D87,-R87,0,R87,1),OFFSET(E87,-R87,0,R87,2)),1,1),"")</f>
        <v>-0.000184261194074322</v>
      </c>
      <c r="T87" s="29" t="n">
        <f aca="true">IF(AND(F87&gt;=1,R87&gt;=Inputs!$B$10),INDEX(LINEST(OFFSET(D87,-R87,0,R87,1),OFFSET(E87,-R87,0,R87,2)),1,2),"")</f>
        <v>1.05150613360305</v>
      </c>
      <c r="U87" s="29" t="n">
        <f aca="true">IF(AND(F87&gt;=1,R87&gt;=Inputs!$B$10),INDEX(LINEST(OFFSET(D87,-R87,0,R87,1),OFFSET(E87,-R87,0,R87,2)),1,3),"")</f>
        <v>4.24575377447142</v>
      </c>
      <c r="V87" s="29" t="n">
        <f aca="true">IF(AND(F87&gt;=1,R87&gt;=Inputs!$B$10),SQRT(SUMPRODUCT((OFFSET(D87,-R87,0,R87,1)-U87-T87*OFFSET(E87,-R87,0,R87,1)-S87*OFFSET(F87,-R87,0,R87,1))^2)/(R87-3)),"")</f>
        <v>0.00176388027418866</v>
      </c>
      <c r="W87" s="31" t="n">
        <f aca="false">IF(AND(F87&gt;=1,R87&gt;=Inputs!$B$10),(D87-U87-T87*E87-S87*F87)/V87,"")</f>
        <v>0.960955995002313</v>
      </c>
      <c r="X87" s="30" t="n">
        <f aca="false">IF(AB86&lt;&gt;0,AC86+1,0)</f>
        <v>0</v>
      </c>
      <c r="Y87" s="30" t="n">
        <f aca="false">IF(W87="",0,IF(AND(AB86&lt;&gt;0,OR(ABS(W87)&gt;Inputs!$B$7,X87&gt;=Inputs!$B$8,ABS(W87)&lt;Inputs!$B$6)),1,0))</f>
        <v>0</v>
      </c>
      <c r="Z87" s="30" t="n">
        <f aca="false">IF(Y87=1,0,AB86)</f>
        <v>0</v>
      </c>
      <c r="AA87" s="30" t="n">
        <f aca="false">IF(W87="",0,IF(AND(Z87=0,ABS(W87)&gt;Inputs!$B$5,ABS(W87)&lt;=Inputs!$B$7),1,0))</f>
        <v>0</v>
      </c>
      <c r="AB87" s="30" t="n">
        <f aca="false">IF(W87="",0,IF(AA87=1,-SIGN(W87),Z87))</f>
        <v>0</v>
      </c>
      <c r="AC87" s="30" t="n">
        <f aca="false">IF(W87="",0,IF(AA87=1,0,IF(Y87=1,0,X87)))</f>
        <v>0</v>
      </c>
      <c r="AD87" s="30" t="n">
        <f aca="false">IF(AB87=0,0,IF(AB86=AB87,AD86,T87))</f>
        <v>0</v>
      </c>
      <c r="AE87" s="30" t="n">
        <f aca="false">AB87-AB86</f>
        <v>0</v>
      </c>
      <c r="AF87" s="30" t="n">
        <f aca="false">-AD87*AB87</f>
        <v>-0</v>
      </c>
      <c r="AG87" s="30" t="n">
        <f aca="false">AF87-AF86</f>
        <v>0</v>
      </c>
      <c r="AH87" s="30" t="n">
        <f aca="false">MAX(AE87,0)*(Inputs!$B$17+Inputs!$B$18+Inputs!$B$19)+MAX(-AE87,0)*(O87+Inputs!$B$18+Inputs!$B$19)+IF(AND(K87=1,AB87&lt;&gt;0),(Inputs!$B$17+Inputs!$B$18+Inputs!$B$19)+(O87+Inputs!$B$18+Inputs!$B$19),0)+MAX(AG87,0)*(Inputs!$B$20+Inputs!$B$22+Inputs!$B$23)+MAX(-AG87,0)*(Inputs!$B$21+Inputs!$B$22+Inputs!$B$23)</f>
        <v>0</v>
      </c>
      <c r="AI87" s="30" t="n">
        <f aca="false">AB86*(M87-AD86*J87)+AB86*AD86*N87/Inputs!$B$16-AH87</f>
        <v>0</v>
      </c>
      <c r="AJ87" s="30" t="n">
        <f aca="false">MAX(AE87,0)*(Inputs!$B$17+Inputs!$B$24+Inputs!$B$25)+MAX(-AE87,0)*(O87+Inputs!$B$24+Inputs!$B$25)+IF(AND(K87=1,AB87&lt;&gt;0),(Inputs!$B$17+Inputs!$B$24+Inputs!$B$25)+(O87+Inputs!$B$24+Inputs!$B$25),0)+MAX(AG87,0)*(Inputs!$B$20+Inputs!$B$26+Inputs!$B$27)+MAX(-AG87,0)*(Inputs!$B$21+Inputs!$B$26+Inputs!$B$27)</f>
        <v>0</v>
      </c>
      <c r="AK87" s="30" t="n">
        <f aca="false">AB86*(M87-AD86*J87)+AB86*AD86*(N87+Inputs!$B$14)/Inputs!$B$16-AJ87</f>
        <v>0</v>
      </c>
      <c r="AL87" s="30" t="n">
        <f aca="false">IF(AP86&lt;&gt;0,AQ86+1,0)</f>
        <v>0</v>
      </c>
      <c r="AM87" s="30" t="n">
        <f aca="false">IF(W87="",0,IF(AND(AP86&lt;&gt;0,OR(ABS(W87)&gt;Inputs!$B$7,AL87&gt;=Inputs!$B$8,ABS(W87)&lt;Inputs!$B$6)),1,0))</f>
        <v>0</v>
      </c>
      <c r="AN87" s="30" t="n">
        <f aca="false">IF(AM87=1,0,AP86)</f>
        <v>0</v>
      </c>
      <c r="AO87" s="30" t="n">
        <f aca="false">IF(W87="",0,IF(AND(AN87=0,ABS(W87)&gt;Inputs!$B$5,ABS(W87)&lt;=Inputs!$B$7,W87&gt;0),1,0))</f>
        <v>0</v>
      </c>
      <c r="AP87" s="30" t="n">
        <f aca="false">IF(W87="",0,IF(AO87=1,-SIGN(W87),AN87))</f>
        <v>0</v>
      </c>
      <c r="AQ87" s="30" t="n">
        <f aca="false">IF(W87="",0,IF(AO87=1,0,IF(AM87=1,0,AL87)))</f>
        <v>0</v>
      </c>
      <c r="AR87" s="30" t="n">
        <f aca="false">IF(AP87=0,0,IF(AP86=AP87,AR86,T87))</f>
        <v>0</v>
      </c>
      <c r="AS87" s="30" t="n">
        <f aca="false">AP87-AP86</f>
        <v>0</v>
      </c>
      <c r="AT87" s="30" t="n">
        <f aca="false">-AR87*AP87</f>
        <v>-0</v>
      </c>
      <c r="AU87" s="30" t="n">
        <f aca="false">AT87-AT86</f>
        <v>0</v>
      </c>
      <c r="AV87" s="30" t="n">
        <f aca="false">MAX(AS87,0)*(Inputs!$B$17+Inputs!$B$18+Inputs!$B$19)+MAX(-AS87,0)*(O87+Inputs!$B$18+Inputs!$B$19)+IF(AND(K87=1,AP87&lt;&gt;0),(Inputs!$B$17+Inputs!$B$18+Inputs!$B$19)+(O87+Inputs!$B$18+Inputs!$B$19),0)+MAX(AU87,0)*(Inputs!$B$20+Inputs!$B$22+Inputs!$B$23)+MAX(-AU87,0)*(Inputs!$B$21+Inputs!$B$22+Inputs!$B$23)</f>
        <v>0</v>
      </c>
      <c r="AW87" s="30" t="n">
        <f aca="false">AP86*(M87-AR86*J87)+AP86*AR86*N87/Inputs!$B$16-AV87</f>
        <v>0</v>
      </c>
      <c r="AX87" s="30" t="n">
        <f aca="false">AW87-IF(AP86&lt;&gt;0,0.75*AR86*(Inputs!$B$13-N87)/Inputs!$B$16,0)</f>
        <v>0</v>
      </c>
      <c r="AY87" s="30" t="n">
        <f aca="false">MAX(AS87,0)*(Inputs!$B$17+Inputs!$B$18+Inputs!$B$19)+MAX(-AS87,0)*(O87+Inputs!$B$18+Inputs!$B$19)+IF(AND(K87=1,AP87&lt;&gt;0),(Inputs!$B$17+Inputs!$B$18+Inputs!$B$19)+(O87+Inputs!$B$18+Inputs!$B$19),0)</f>
        <v>0</v>
      </c>
      <c r="AZ87" s="30" t="n">
        <f aca="false">AP86*M87-AY87</f>
        <v>0</v>
      </c>
      <c r="BA87" s="32" t="n">
        <f aca="false">BA86+AI87</f>
        <v>-0.00398234936264488</v>
      </c>
      <c r="BB87" s="30" t="n">
        <f aca="false">MAX(BB86,BA87)</f>
        <v>0</v>
      </c>
      <c r="BC87" s="32" t="n">
        <f aca="false">BA87-BB87</f>
        <v>-0.00398234936264488</v>
      </c>
      <c r="BD87" s="30" t="n">
        <f aca="false">A88-A87</f>
        <v>1</v>
      </c>
    </row>
    <row r="88" customFormat="false" ht="15" hidden="false" customHeight="false" outlineLevel="0" collapsed="false">
      <c r="A88" s="28" t="n">
        <v>45167</v>
      </c>
      <c r="B88" s="0" t="n">
        <v>19345.75</v>
      </c>
      <c r="C88" s="0" t="n">
        <v>213.36</v>
      </c>
      <c r="D88" s="29" t="n">
        <f aca="false">LN(B88)</f>
        <v>9.87022803609102</v>
      </c>
      <c r="E88" s="29" t="n">
        <f aca="false">LN(C88)</f>
        <v>5.36298087987376</v>
      </c>
      <c r="F88" s="0" t="n">
        <v>83</v>
      </c>
      <c r="G88" s="0" t="n">
        <v>2</v>
      </c>
      <c r="H88" s="29" t="n">
        <f aca="false">D88-E88</f>
        <v>4.50724715621726</v>
      </c>
      <c r="I88" s="29" t="n">
        <f aca="false">D88-D87</f>
        <v>0.00164253556415872</v>
      </c>
      <c r="J88" s="29" t="n">
        <f aca="false">E88-E87</f>
        <v>0.00281610999964244</v>
      </c>
      <c r="K88" s="0" t="n">
        <v>0</v>
      </c>
      <c r="L88" s="0" t="n">
        <v>0</v>
      </c>
      <c r="M88" s="29" t="n">
        <f aca="false">IF(L88=1,J88-Carry!$B$9/Inputs!$B$16,I88)</f>
        <v>0.00164253556415872</v>
      </c>
      <c r="N88" s="0" t="n">
        <v>0.065</v>
      </c>
      <c r="O88" s="0" t="n">
        <v>0.000125</v>
      </c>
      <c r="P88" s="29" t="n">
        <f aca="false">D88-('2 Hedge ratio'!$B$6+'2 Hedge ratio'!$B$5*E88)</f>
        <v>-0.00476233863803977</v>
      </c>
      <c r="Q88" s="29" t="n">
        <f aca="false">D88-('5 Re-specification'!$B$7+'5 Re-specification'!$B$5*E88+'5 Re-specification'!$B$6*F88)</f>
        <v>-0.00397221765849665</v>
      </c>
      <c r="R88" s="30" t="n">
        <f aca="false">MIN(F88,Inputs!$B$9)</f>
        <v>83</v>
      </c>
      <c r="S88" s="29" t="n">
        <f aca="true">IF(AND(F88&gt;=1,R88&gt;=Inputs!$B$10),INDEX(LINEST(OFFSET(D88,-R88,0,R88,1),OFFSET(E88,-R88,0,R88,2)),1,1),"")</f>
        <v>-0.000178294571675272</v>
      </c>
      <c r="T88" s="29" t="n">
        <f aca="true">IF(AND(F88&gt;=1,R88&gt;=Inputs!$B$10),INDEX(LINEST(OFFSET(D88,-R88,0,R88,1),OFFSET(E88,-R88,0,R88,2)),1,2),"")</f>
        <v>1.04772002449094</v>
      </c>
      <c r="U88" s="29" t="n">
        <f aca="true">IF(AND(F88&gt;=1,R88&gt;=Inputs!$B$10),INDEX(LINEST(OFFSET(D88,-R88,0,R88,1),OFFSET(E88,-R88,0,R88,2)),1,3),"")</f>
        <v>4.26575092278901</v>
      </c>
      <c r="V88" s="29" t="n">
        <f aca="true">IF(AND(F88&gt;=1,R88&gt;=Inputs!$B$10),SQRT(SUMPRODUCT((OFFSET(D88,-R88,0,R88,1)-U88-T88*OFFSET(E88,-R88,0,R88,1)-S88*OFFSET(F88,-R88,0,R88,1))^2)/(R88-3)),"")</f>
        <v>0.00176188047972337</v>
      </c>
      <c r="W88" s="31" t="n">
        <f aca="false">IF(AND(F88&gt;=1,R88&gt;=Inputs!$B$10),(D88-U88-T88*E88-S88*F88)/V88,"")</f>
        <v>0.211764617167292</v>
      </c>
      <c r="X88" s="30" t="n">
        <f aca="false">IF(AB87&lt;&gt;0,AC87+1,0)</f>
        <v>0</v>
      </c>
      <c r="Y88" s="30" t="n">
        <f aca="false">IF(W88="",0,IF(AND(AB87&lt;&gt;0,OR(ABS(W88)&gt;Inputs!$B$7,X88&gt;=Inputs!$B$8,ABS(W88)&lt;Inputs!$B$6)),1,0))</f>
        <v>0</v>
      </c>
      <c r="Z88" s="30" t="n">
        <f aca="false">IF(Y88=1,0,AB87)</f>
        <v>0</v>
      </c>
      <c r="AA88" s="30" t="n">
        <f aca="false">IF(W88="",0,IF(AND(Z88=0,ABS(W88)&gt;Inputs!$B$5,ABS(W88)&lt;=Inputs!$B$7),1,0))</f>
        <v>0</v>
      </c>
      <c r="AB88" s="30" t="n">
        <f aca="false">IF(W88="",0,IF(AA88=1,-SIGN(W88),Z88))</f>
        <v>0</v>
      </c>
      <c r="AC88" s="30" t="n">
        <f aca="false">IF(W88="",0,IF(AA88=1,0,IF(Y88=1,0,X88)))</f>
        <v>0</v>
      </c>
      <c r="AD88" s="30" t="n">
        <f aca="false">IF(AB88=0,0,IF(AB87=AB88,AD87,T88))</f>
        <v>0</v>
      </c>
      <c r="AE88" s="30" t="n">
        <f aca="false">AB88-AB87</f>
        <v>0</v>
      </c>
      <c r="AF88" s="30" t="n">
        <f aca="false">-AD88*AB88</f>
        <v>-0</v>
      </c>
      <c r="AG88" s="30" t="n">
        <f aca="false">AF88-AF87</f>
        <v>0</v>
      </c>
      <c r="AH88" s="30" t="n">
        <f aca="false">MAX(AE88,0)*(Inputs!$B$17+Inputs!$B$18+Inputs!$B$19)+MAX(-AE88,0)*(O88+Inputs!$B$18+Inputs!$B$19)+IF(AND(K88=1,AB88&lt;&gt;0),(Inputs!$B$17+Inputs!$B$18+Inputs!$B$19)+(O88+Inputs!$B$18+Inputs!$B$19),0)+MAX(AG88,0)*(Inputs!$B$20+Inputs!$B$22+Inputs!$B$23)+MAX(-AG88,0)*(Inputs!$B$21+Inputs!$B$22+Inputs!$B$23)</f>
        <v>0</v>
      </c>
      <c r="AI88" s="30" t="n">
        <f aca="false">AB87*(M88-AD87*J88)+AB87*AD87*N88/Inputs!$B$16-AH88</f>
        <v>0</v>
      </c>
      <c r="AJ88" s="30" t="n">
        <f aca="false">MAX(AE88,0)*(Inputs!$B$17+Inputs!$B$24+Inputs!$B$25)+MAX(-AE88,0)*(O88+Inputs!$B$24+Inputs!$B$25)+IF(AND(K88=1,AB88&lt;&gt;0),(Inputs!$B$17+Inputs!$B$24+Inputs!$B$25)+(O88+Inputs!$B$24+Inputs!$B$25),0)+MAX(AG88,0)*(Inputs!$B$20+Inputs!$B$26+Inputs!$B$27)+MAX(-AG88,0)*(Inputs!$B$21+Inputs!$B$26+Inputs!$B$27)</f>
        <v>0</v>
      </c>
      <c r="AK88" s="30" t="n">
        <f aca="false">AB87*(M88-AD87*J88)+AB87*AD87*(N88+Inputs!$B$14)/Inputs!$B$16-AJ88</f>
        <v>0</v>
      </c>
      <c r="AL88" s="30" t="n">
        <f aca="false">IF(AP87&lt;&gt;0,AQ87+1,0)</f>
        <v>0</v>
      </c>
      <c r="AM88" s="30" t="n">
        <f aca="false">IF(W88="",0,IF(AND(AP87&lt;&gt;0,OR(ABS(W88)&gt;Inputs!$B$7,AL88&gt;=Inputs!$B$8,ABS(W88)&lt;Inputs!$B$6)),1,0))</f>
        <v>0</v>
      </c>
      <c r="AN88" s="30" t="n">
        <f aca="false">IF(AM88=1,0,AP87)</f>
        <v>0</v>
      </c>
      <c r="AO88" s="30" t="n">
        <f aca="false">IF(W88="",0,IF(AND(AN88=0,ABS(W88)&gt;Inputs!$B$5,ABS(W88)&lt;=Inputs!$B$7,W88&gt;0),1,0))</f>
        <v>0</v>
      </c>
      <c r="AP88" s="30" t="n">
        <f aca="false">IF(W88="",0,IF(AO88=1,-SIGN(W88),AN88))</f>
        <v>0</v>
      </c>
      <c r="AQ88" s="30" t="n">
        <f aca="false">IF(W88="",0,IF(AO88=1,0,IF(AM88=1,0,AL88)))</f>
        <v>0</v>
      </c>
      <c r="AR88" s="30" t="n">
        <f aca="false">IF(AP88=0,0,IF(AP87=AP88,AR87,T88))</f>
        <v>0</v>
      </c>
      <c r="AS88" s="30" t="n">
        <f aca="false">AP88-AP87</f>
        <v>0</v>
      </c>
      <c r="AT88" s="30" t="n">
        <f aca="false">-AR88*AP88</f>
        <v>-0</v>
      </c>
      <c r="AU88" s="30" t="n">
        <f aca="false">AT88-AT87</f>
        <v>0</v>
      </c>
      <c r="AV88" s="30" t="n">
        <f aca="false">MAX(AS88,0)*(Inputs!$B$17+Inputs!$B$18+Inputs!$B$19)+MAX(-AS88,0)*(O88+Inputs!$B$18+Inputs!$B$19)+IF(AND(K88=1,AP88&lt;&gt;0),(Inputs!$B$17+Inputs!$B$18+Inputs!$B$19)+(O88+Inputs!$B$18+Inputs!$B$19),0)+MAX(AU88,0)*(Inputs!$B$20+Inputs!$B$22+Inputs!$B$23)+MAX(-AU88,0)*(Inputs!$B$21+Inputs!$B$22+Inputs!$B$23)</f>
        <v>0</v>
      </c>
      <c r="AW88" s="30" t="n">
        <f aca="false">AP87*(M88-AR87*J88)+AP87*AR87*N88/Inputs!$B$16-AV88</f>
        <v>0</v>
      </c>
      <c r="AX88" s="30" t="n">
        <f aca="false">AW88-IF(AP87&lt;&gt;0,0.75*AR87*(Inputs!$B$13-N88)/Inputs!$B$16,0)</f>
        <v>0</v>
      </c>
      <c r="AY88" s="30" t="n">
        <f aca="false">MAX(AS88,0)*(Inputs!$B$17+Inputs!$B$18+Inputs!$B$19)+MAX(-AS88,0)*(O88+Inputs!$B$18+Inputs!$B$19)+IF(AND(K88=1,AP88&lt;&gt;0),(Inputs!$B$17+Inputs!$B$18+Inputs!$B$19)+(O88+Inputs!$B$18+Inputs!$B$19),0)</f>
        <v>0</v>
      </c>
      <c r="AZ88" s="30" t="n">
        <f aca="false">AP87*M88-AY88</f>
        <v>0</v>
      </c>
      <c r="BA88" s="32" t="n">
        <f aca="false">BA87+AI88</f>
        <v>-0.00398234936264488</v>
      </c>
      <c r="BB88" s="30" t="n">
        <f aca="false">MAX(BB87,BA88)</f>
        <v>0</v>
      </c>
      <c r="BC88" s="32" t="n">
        <f aca="false">BA88-BB88</f>
        <v>-0.00398234936264488</v>
      </c>
      <c r="BD88" s="30" t="n">
        <f aca="false">A89-A88</f>
        <v>1</v>
      </c>
    </row>
    <row r="89" customFormat="false" ht="15" hidden="false" customHeight="false" outlineLevel="0" collapsed="false">
      <c r="A89" s="28" t="n">
        <v>45168</v>
      </c>
      <c r="B89" s="0" t="n">
        <v>19340</v>
      </c>
      <c r="C89" s="0" t="n">
        <v>213.75</v>
      </c>
      <c r="D89" s="29" t="n">
        <f aca="false">LN(B89)</f>
        <v>9.86993076900729</v>
      </c>
      <c r="E89" s="29" t="n">
        <f aca="false">LN(C89)</f>
        <v>5.36480710781687</v>
      </c>
      <c r="F89" s="0" t="n">
        <v>84</v>
      </c>
      <c r="G89" s="0" t="n">
        <v>1</v>
      </c>
      <c r="H89" s="29" t="n">
        <f aca="false">D89-E89</f>
        <v>4.50512366119042</v>
      </c>
      <c r="I89" s="29" t="n">
        <f aca="false">D89-D88</f>
        <v>-0.000297267083738007</v>
      </c>
      <c r="J89" s="29" t="n">
        <f aca="false">E89-E88</f>
        <v>0.00182622794311094</v>
      </c>
      <c r="K89" s="0" t="n">
        <v>0</v>
      </c>
      <c r="L89" s="0" t="n">
        <v>0</v>
      </c>
      <c r="M89" s="29" t="n">
        <f aca="false">IF(L89=1,J89-Carry!$B$9/Inputs!$B$16,I89)</f>
        <v>-0.000297267083738007</v>
      </c>
      <c r="N89" s="0" t="n">
        <v>0.065</v>
      </c>
      <c r="O89" s="0" t="n">
        <v>0.000125</v>
      </c>
      <c r="P89" s="29" t="n">
        <f aca="false">D89-('2 Hedge ratio'!$B$6+'2 Hedge ratio'!$B$5*E89)</f>
        <v>-0.00673266200894496</v>
      </c>
      <c r="Q89" s="29" t="n">
        <f aca="false">D89-('5 Re-specification'!$B$7+'5 Re-specification'!$B$5*E89+'5 Re-specification'!$B$6*F89)</f>
        <v>-0.00604524898342973</v>
      </c>
      <c r="R89" s="30" t="n">
        <f aca="false">MIN(F89,Inputs!$B$9)</f>
        <v>84</v>
      </c>
      <c r="S89" s="29" t="n">
        <f aca="true">IF(AND(F89&gt;=1,R89&gt;=Inputs!$B$10),INDEX(LINEST(OFFSET(D89,-R89,0,R89,1),OFFSET(E89,-R89,0,R89,2)),1,1),"")</f>
        <v>-0.000177151458080545</v>
      </c>
      <c r="T89" s="29" t="n">
        <f aca="true">IF(AND(F89&gt;=1,R89&gt;=Inputs!$B$10),INDEX(LINEST(OFFSET(D89,-R89,0,R89,1),OFFSET(E89,-R89,0,R89,2)),1,2),"")</f>
        <v>1.04700925053859</v>
      </c>
      <c r="U89" s="29" t="n">
        <f aca="true">IF(AND(F89&gt;=1,R89&gt;=Inputs!$B$10),INDEX(LINEST(OFFSET(D89,-R89,0,R89,1),OFFSET(E89,-R89,0,R89,2)),1,3),"")</f>
        <v>4.26950430844691</v>
      </c>
      <c r="V89" s="29" t="n">
        <f aca="true">IF(AND(F89&gt;=1,R89&gt;=Inputs!$B$10),SQRT(SUMPRODUCT((OFFSET(D89,-R89,0,R89,1)-U89-T89*OFFSET(E89,-R89,0,R89,1)-S89*OFFSET(F89,-R89,0,R89,1))^2)/(R89-3)),"")</f>
        <v>0.00175141372416027</v>
      </c>
      <c r="W89" s="31" t="n">
        <f aca="false">IF(AND(F89&gt;=1,R89&gt;=Inputs!$B$10),(D89-U89-T89*E89-S89*F89)/V89,"")</f>
        <v>-0.968067211609347</v>
      </c>
      <c r="X89" s="30" t="n">
        <f aca="false">IF(AB88&lt;&gt;0,AC88+1,0)</f>
        <v>0</v>
      </c>
      <c r="Y89" s="30" t="n">
        <f aca="false">IF(W89="",0,IF(AND(AB88&lt;&gt;0,OR(ABS(W89)&gt;Inputs!$B$7,X89&gt;=Inputs!$B$8,ABS(W89)&lt;Inputs!$B$6)),1,0))</f>
        <v>0</v>
      </c>
      <c r="Z89" s="30" t="n">
        <f aca="false">IF(Y89=1,0,AB88)</f>
        <v>0</v>
      </c>
      <c r="AA89" s="30" t="n">
        <f aca="false">IF(W89="",0,IF(AND(Z89=0,ABS(W89)&gt;Inputs!$B$5,ABS(W89)&lt;=Inputs!$B$7),1,0))</f>
        <v>0</v>
      </c>
      <c r="AB89" s="30" t="n">
        <f aca="false">IF(W89="",0,IF(AA89=1,-SIGN(W89),Z89))</f>
        <v>0</v>
      </c>
      <c r="AC89" s="30" t="n">
        <f aca="false">IF(W89="",0,IF(AA89=1,0,IF(Y89=1,0,X89)))</f>
        <v>0</v>
      </c>
      <c r="AD89" s="30" t="n">
        <f aca="false">IF(AB89=0,0,IF(AB88=AB89,AD88,T89))</f>
        <v>0</v>
      </c>
      <c r="AE89" s="30" t="n">
        <f aca="false">AB89-AB88</f>
        <v>0</v>
      </c>
      <c r="AF89" s="30" t="n">
        <f aca="false">-AD89*AB89</f>
        <v>-0</v>
      </c>
      <c r="AG89" s="30" t="n">
        <f aca="false">AF89-AF88</f>
        <v>0</v>
      </c>
      <c r="AH89" s="30" t="n">
        <f aca="false">MAX(AE89,0)*(Inputs!$B$17+Inputs!$B$18+Inputs!$B$19)+MAX(-AE89,0)*(O89+Inputs!$B$18+Inputs!$B$19)+IF(AND(K89=1,AB89&lt;&gt;0),(Inputs!$B$17+Inputs!$B$18+Inputs!$B$19)+(O89+Inputs!$B$18+Inputs!$B$19),0)+MAX(AG89,0)*(Inputs!$B$20+Inputs!$B$22+Inputs!$B$23)+MAX(-AG89,0)*(Inputs!$B$21+Inputs!$B$22+Inputs!$B$23)</f>
        <v>0</v>
      </c>
      <c r="AI89" s="30" t="n">
        <f aca="false">AB88*(M89-AD88*J89)+AB88*AD88*N89/Inputs!$B$16-AH89</f>
        <v>0</v>
      </c>
      <c r="AJ89" s="30" t="n">
        <f aca="false">MAX(AE89,0)*(Inputs!$B$17+Inputs!$B$24+Inputs!$B$25)+MAX(-AE89,0)*(O89+Inputs!$B$24+Inputs!$B$25)+IF(AND(K89=1,AB89&lt;&gt;0),(Inputs!$B$17+Inputs!$B$24+Inputs!$B$25)+(O89+Inputs!$B$24+Inputs!$B$25),0)+MAX(AG89,0)*(Inputs!$B$20+Inputs!$B$26+Inputs!$B$27)+MAX(-AG89,0)*(Inputs!$B$21+Inputs!$B$26+Inputs!$B$27)</f>
        <v>0</v>
      </c>
      <c r="AK89" s="30" t="n">
        <f aca="false">AB88*(M89-AD88*J89)+AB88*AD88*(N89+Inputs!$B$14)/Inputs!$B$16-AJ89</f>
        <v>0</v>
      </c>
      <c r="AL89" s="30" t="n">
        <f aca="false">IF(AP88&lt;&gt;0,AQ88+1,0)</f>
        <v>0</v>
      </c>
      <c r="AM89" s="30" t="n">
        <f aca="false">IF(W89="",0,IF(AND(AP88&lt;&gt;0,OR(ABS(W89)&gt;Inputs!$B$7,AL89&gt;=Inputs!$B$8,ABS(W89)&lt;Inputs!$B$6)),1,0))</f>
        <v>0</v>
      </c>
      <c r="AN89" s="30" t="n">
        <f aca="false">IF(AM89=1,0,AP88)</f>
        <v>0</v>
      </c>
      <c r="AO89" s="30" t="n">
        <f aca="false">IF(W89="",0,IF(AND(AN89=0,ABS(W89)&gt;Inputs!$B$5,ABS(W89)&lt;=Inputs!$B$7,W89&gt;0),1,0))</f>
        <v>0</v>
      </c>
      <c r="AP89" s="30" t="n">
        <f aca="false">IF(W89="",0,IF(AO89=1,-SIGN(W89),AN89))</f>
        <v>0</v>
      </c>
      <c r="AQ89" s="30" t="n">
        <f aca="false">IF(W89="",0,IF(AO89=1,0,IF(AM89=1,0,AL89)))</f>
        <v>0</v>
      </c>
      <c r="AR89" s="30" t="n">
        <f aca="false">IF(AP89=0,0,IF(AP88=AP89,AR88,T89))</f>
        <v>0</v>
      </c>
      <c r="AS89" s="30" t="n">
        <f aca="false">AP89-AP88</f>
        <v>0</v>
      </c>
      <c r="AT89" s="30" t="n">
        <f aca="false">-AR89*AP89</f>
        <v>-0</v>
      </c>
      <c r="AU89" s="30" t="n">
        <f aca="false">AT89-AT88</f>
        <v>0</v>
      </c>
      <c r="AV89" s="30" t="n">
        <f aca="false">MAX(AS89,0)*(Inputs!$B$17+Inputs!$B$18+Inputs!$B$19)+MAX(-AS89,0)*(O89+Inputs!$B$18+Inputs!$B$19)+IF(AND(K89=1,AP89&lt;&gt;0),(Inputs!$B$17+Inputs!$B$18+Inputs!$B$19)+(O89+Inputs!$B$18+Inputs!$B$19),0)+MAX(AU89,0)*(Inputs!$B$20+Inputs!$B$22+Inputs!$B$23)+MAX(-AU89,0)*(Inputs!$B$21+Inputs!$B$22+Inputs!$B$23)</f>
        <v>0</v>
      </c>
      <c r="AW89" s="30" t="n">
        <f aca="false">AP88*(M89-AR88*J89)+AP88*AR88*N89/Inputs!$B$16-AV89</f>
        <v>0</v>
      </c>
      <c r="AX89" s="30" t="n">
        <f aca="false">AW89-IF(AP88&lt;&gt;0,0.75*AR88*(Inputs!$B$13-N89)/Inputs!$B$16,0)</f>
        <v>0</v>
      </c>
      <c r="AY89" s="30" t="n">
        <f aca="false">MAX(AS89,0)*(Inputs!$B$17+Inputs!$B$18+Inputs!$B$19)+MAX(-AS89,0)*(O89+Inputs!$B$18+Inputs!$B$19)+IF(AND(K89=1,AP89&lt;&gt;0),(Inputs!$B$17+Inputs!$B$18+Inputs!$B$19)+(O89+Inputs!$B$18+Inputs!$B$19),0)</f>
        <v>0</v>
      </c>
      <c r="AZ89" s="30" t="n">
        <f aca="false">AP88*M89-AY89</f>
        <v>-0</v>
      </c>
      <c r="BA89" s="32" t="n">
        <f aca="false">BA88+AI89</f>
        <v>-0.00398234936264488</v>
      </c>
      <c r="BB89" s="30" t="n">
        <f aca="false">MAX(BB88,BA89)</f>
        <v>0</v>
      </c>
      <c r="BC89" s="32" t="n">
        <f aca="false">BA89-BB89</f>
        <v>-0.00398234936264488</v>
      </c>
      <c r="BD89" s="30" t="n">
        <f aca="false">A90-A89</f>
        <v>1</v>
      </c>
    </row>
    <row r="90" customFormat="false" ht="15" hidden="false" customHeight="false" outlineLevel="0" collapsed="false">
      <c r="A90" s="28" t="n">
        <v>45169</v>
      </c>
      <c r="B90" s="0" t="n">
        <v>19254</v>
      </c>
      <c r="C90" s="0" t="n">
        <v>213.2</v>
      </c>
      <c r="D90" s="29" t="n">
        <f aca="false">LN(B90)</f>
        <v>9.86547411033791</v>
      </c>
      <c r="E90" s="29" t="n">
        <f aca="false">LN(C90)</f>
        <v>5.36223069229169</v>
      </c>
      <c r="F90" s="0" t="n">
        <v>85</v>
      </c>
      <c r="G90" s="0" t="n">
        <v>0</v>
      </c>
      <c r="H90" s="29" t="n">
        <f aca="false">D90-E90</f>
        <v>4.50324341804622</v>
      </c>
      <c r="I90" s="29" t="n">
        <f aca="false">D90-D89</f>
        <v>-0.00445665866937262</v>
      </c>
      <c r="J90" s="29" t="n">
        <f aca="false">E90-E89</f>
        <v>-0.00257641552518084</v>
      </c>
      <c r="K90" s="0" t="n">
        <v>1</v>
      </c>
      <c r="L90" s="0" t="n">
        <v>0</v>
      </c>
      <c r="M90" s="29" t="n">
        <f aca="false">IF(L90=1,J90-Carry!$B$9/Inputs!$B$16,I90)</f>
        <v>-0.00445665866937262</v>
      </c>
      <c r="N90" s="0" t="n">
        <v>0.065</v>
      </c>
      <c r="O90" s="0" t="n">
        <v>0.000125</v>
      </c>
      <c r="P90" s="29" t="n">
        <f aca="false">D90-('2 Hedge ratio'!$B$6+'2 Hedge ratio'!$B$5*E90)</f>
        <v>-0.00882899747276156</v>
      </c>
      <c r="Q90" s="29" t="n">
        <f aca="false">D90-('5 Re-specification'!$B$7+'5 Re-specification'!$B$5*E90+'5 Re-specification'!$B$6*F90)</f>
        <v>-0.00788837063682735</v>
      </c>
      <c r="R90" s="30" t="n">
        <f aca="false">MIN(F90,Inputs!$B$9)</f>
        <v>85</v>
      </c>
      <c r="S90" s="29" t="n">
        <f aca="true">IF(AND(F90&gt;=1,R90&gt;=Inputs!$B$10),INDEX(LINEST(OFFSET(D90,-R90,0,R90,1),OFFSET(E90,-R90,0,R90,2)),1,1),"")</f>
        <v>-0.000181834040552505</v>
      </c>
      <c r="T90" s="29" t="n">
        <f aca="true">IF(AND(F90&gt;=1,R90&gt;=Inputs!$B$10),INDEX(LINEST(OFFSET(D90,-R90,0,R90,1),OFFSET(E90,-R90,0,R90,2)),1,2),"")</f>
        <v>1.04988138444539</v>
      </c>
      <c r="U90" s="29" t="n">
        <f aca="true">IF(AND(F90&gt;=1,R90&gt;=Inputs!$B$10),INDEX(LINEST(OFFSET(D90,-R90,0,R90,1),OFFSET(E90,-R90,0,R90,2)),1,3),"")</f>
        <v>4.254339601397</v>
      </c>
      <c r="V90" s="29" t="n">
        <f aca="true">IF(AND(F90&gt;=1,R90&gt;=Inputs!$B$10),SQRT(SUMPRODUCT((OFFSET(D90,-R90,0,R90,1)-U90-T90*OFFSET(E90,-R90,0,R90,1)-S90*OFFSET(F90,-R90,0,R90,1))^2)/(R90-3)),"")</f>
        <v>0.00174985881702163</v>
      </c>
      <c r="W90" s="31" t="n">
        <f aca="false">IF(AND(F90&gt;=1,R90&gt;=Inputs!$B$10),(D90-U90-T90*E90-S90*F90)/V90,"")</f>
        <v>-1.78058967989769</v>
      </c>
      <c r="X90" s="30" t="n">
        <f aca="false">IF(AB89&lt;&gt;0,AC89+1,0)</f>
        <v>0</v>
      </c>
      <c r="Y90" s="30" t="n">
        <f aca="false">IF(W90="",0,IF(AND(AB89&lt;&gt;0,OR(ABS(W90)&gt;Inputs!$B$7,X90&gt;=Inputs!$B$8,ABS(W90)&lt;Inputs!$B$6)),1,0))</f>
        <v>0</v>
      </c>
      <c r="Z90" s="30" t="n">
        <f aca="false">IF(Y90=1,0,AB89)</f>
        <v>0</v>
      </c>
      <c r="AA90" s="30" t="n">
        <f aca="false">IF(W90="",0,IF(AND(Z90=0,ABS(W90)&gt;Inputs!$B$5,ABS(W90)&lt;=Inputs!$B$7),1,0))</f>
        <v>0</v>
      </c>
      <c r="AB90" s="30" t="n">
        <f aca="false">IF(W90="",0,IF(AA90=1,-SIGN(W90),Z90))</f>
        <v>0</v>
      </c>
      <c r="AC90" s="30" t="n">
        <f aca="false">IF(W90="",0,IF(AA90=1,0,IF(Y90=1,0,X90)))</f>
        <v>0</v>
      </c>
      <c r="AD90" s="30" t="n">
        <f aca="false">IF(AB90=0,0,IF(AB89=AB90,AD89,T90))</f>
        <v>0</v>
      </c>
      <c r="AE90" s="30" t="n">
        <f aca="false">AB90-AB89</f>
        <v>0</v>
      </c>
      <c r="AF90" s="30" t="n">
        <f aca="false">-AD90*AB90</f>
        <v>-0</v>
      </c>
      <c r="AG90" s="30" t="n">
        <f aca="false">AF90-AF89</f>
        <v>0</v>
      </c>
      <c r="AH90" s="30" t="n">
        <f aca="false">MAX(AE90,0)*(Inputs!$B$17+Inputs!$B$18+Inputs!$B$19)+MAX(-AE90,0)*(O90+Inputs!$B$18+Inputs!$B$19)+IF(AND(K90=1,AB90&lt;&gt;0),(Inputs!$B$17+Inputs!$B$18+Inputs!$B$19)+(O90+Inputs!$B$18+Inputs!$B$19),0)+MAX(AG90,0)*(Inputs!$B$20+Inputs!$B$22+Inputs!$B$23)+MAX(-AG90,0)*(Inputs!$B$21+Inputs!$B$22+Inputs!$B$23)</f>
        <v>0</v>
      </c>
      <c r="AI90" s="30" t="n">
        <f aca="false">AB89*(M90-AD89*J90)+AB89*AD89*N90/Inputs!$B$16-AH90</f>
        <v>0</v>
      </c>
      <c r="AJ90" s="30" t="n">
        <f aca="false">MAX(AE90,0)*(Inputs!$B$17+Inputs!$B$24+Inputs!$B$25)+MAX(-AE90,0)*(O90+Inputs!$B$24+Inputs!$B$25)+IF(AND(K90=1,AB90&lt;&gt;0),(Inputs!$B$17+Inputs!$B$24+Inputs!$B$25)+(O90+Inputs!$B$24+Inputs!$B$25),0)+MAX(AG90,0)*(Inputs!$B$20+Inputs!$B$26+Inputs!$B$27)+MAX(-AG90,0)*(Inputs!$B$21+Inputs!$B$26+Inputs!$B$27)</f>
        <v>0</v>
      </c>
      <c r="AK90" s="30" t="n">
        <f aca="false">AB89*(M90-AD89*J90)+AB89*AD89*(N90+Inputs!$B$14)/Inputs!$B$16-AJ90</f>
        <v>0</v>
      </c>
      <c r="AL90" s="30" t="n">
        <f aca="false">IF(AP89&lt;&gt;0,AQ89+1,0)</f>
        <v>0</v>
      </c>
      <c r="AM90" s="30" t="n">
        <f aca="false">IF(W90="",0,IF(AND(AP89&lt;&gt;0,OR(ABS(W90)&gt;Inputs!$B$7,AL90&gt;=Inputs!$B$8,ABS(W90)&lt;Inputs!$B$6)),1,0))</f>
        <v>0</v>
      </c>
      <c r="AN90" s="30" t="n">
        <f aca="false">IF(AM90=1,0,AP89)</f>
        <v>0</v>
      </c>
      <c r="AO90" s="30" t="n">
        <f aca="false">IF(W90="",0,IF(AND(AN90=0,ABS(W90)&gt;Inputs!$B$5,ABS(W90)&lt;=Inputs!$B$7,W90&gt;0),1,0))</f>
        <v>0</v>
      </c>
      <c r="AP90" s="30" t="n">
        <f aca="false">IF(W90="",0,IF(AO90=1,-SIGN(W90),AN90))</f>
        <v>0</v>
      </c>
      <c r="AQ90" s="30" t="n">
        <f aca="false">IF(W90="",0,IF(AO90=1,0,IF(AM90=1,0,AL90)))</f>
        <v>0</v>
      </c>
      <c r="AR90" s="30" t="n">
        <f aca="false">IF(AP90=0,0,IF(AP89=AP90,AR89,T90))</f>
        <v>0</v>
      </c>
      <c r="AS90" s="30" t="n">
        <f aca="false">AP90-AP89</f>
        <v>0</v>
      </c>
      <c r="AT90" s="30" t="n">
        <f aca="false">-AR90*AP90</f>
        <v>-0</v>
      </c>
      <c r="AU90" s="30" t="n">
        <f aca="false">AT90-AT89</f>
        <v>0</v>
      </c>
      <c r="AV90" s="30" t="n">
        <f aca="false">MAX(AS90,0)*(Inputs!$B$17+Inputs!$B$18+Inputs!$B$19)+MAX(-AS90,0)*(O90+Inputs!$B$18+Inputs!$B$19)+IF(AND(K90=1,AP90&lt;&gt;0),(Inputs!$B$17+Inputs!$B$18+Inputs!$B$19)+(O90+Inputs!$B$18+Inputs!$B$19),0)+MAX(AU90,0)*(Inputs!$B$20+Inputs!$B$22+Inputs!$B$23)+MAX(-AU90,0)*(Inputs!$B$21+Inputs!$B$22+Inputs!$B$23)</f>
        <v>0</v>
      </c>
      <c r="AW90" s="30" t="n">
        <f aca="false">AP89*(M90-AR89*J90)+AP89*AR89*N90/Inputs!$B$16-AV90</f>
        <v>0</v>
      </c>
      <c r="AX90" s="30" t="n">
        <f aca="false">AW90-IF(AP89&lt;&gt;0,0.75*AR89*(Inputs!$B$13-N90)/Inputs!$B$16,0)</f>
        <v>0</v>
      </c>
      <c r="AY90" s="30" t="n">
        <f aca="false">MAX(AS90,0)*(Inputs!$B$17+Inputs!$B$18+Inputs!$B$19)+MAX(-AS90,0)*(O90+Inputs!$B$18+Inputs!$B$19)+IF(AND(K90=1,AP90&lt;&gt;0),(Inputs!$B$17+Inputs!$B$18+Inputs!$B$19)+(O90+Inputs!$B$18+Inputs!$B$19),0)</f>
        <v>0</v>
      </c>
      <c r="AZ90" s="30" t="n">
        <f aca="false">AP89*M90-AY90</f>
        <v>-0</v>
      </c>
      <c r="BA90" s="32" t="n">
        <f aca="false">BA89+AI90</f>
        <v>-0.00398234936264488</v>
      </c>
      <c r="BB90" s="30" t="n">
        <f aca="false">MAX(BB89,BA90)</f>
        <v>0</v>
      </c>
      <c r="BC90" s="32" t="n">
        <f aca="false">BA90-BB90</f>
        <v>-0.00398234936264488</v>
      </c>
      <c r="BD90" s="30" t="n">
        <f aca="false">A91-A90</f>
        <v>1</v>
      </c>
    </row>
    <row r="91" customFormat="false" ht="15" hidden="false" customHeight="false" outlineLevel="0" collapsed="false">
      <c r="A91" s="28" t="n">
        <v>45170</v>
      </c>
      <c r="B91" s="0" t="n">
        <v>19520.1</v>
      </c>
      <c r="C91" s="0" t="n">
        <v>214.4</v>
      </c>
      <c r="D91" s="29" t="n">
        <f aca="false">LN(B91)</f>
        <v>9.87919998290478</v>
      </c>
      <c r="E91" s="29" t="n">
        <f aca="false">LN(C91)</f>
        <v>5.36784342919665</v>
      </c>
      <c r="F91" s="0" t="n">
        <v>86</v>
      </c>
      <c r="G91" s="0" t="n">
        <v>27</v>
      </c>
      <c r="H91" s="29" t="n">
        <f aca="false">D91-E91</f>
        <v>4.51135655370814</v>
      </c>
      <c r="I91" s="29" t="n">
        <f aca="false">D91-D90</f>
        <v>0.0137258725668694</v>
      </c>
      <c r="J91" s="29" t="n">
        <f aca="false">E91-E90</f>
        <v>0.00561273690495767</v>
      </c>
      <c r="K91" s="0" t="n">
        <v>0</v>
      </c>
      <c r="L91" s="0" t="n">
        <v>1</v>
      </c>
      <c r="M91" s="29" t="n">
        <f aca="false">IF(L91=1,J91-Carry!$B$9/Inputs!$B$16,I91)</f>
        <v>0.00535327872323654</v>
      </c>
      <c r="N91" s="0" t="n">
        <v>0.065</v>
      </c>
      <c r="O91" s="0" t="n">
        <v>0.000125</v>
      </c>
      <c r="P91" s="29" t="n">
        <f aca="false">D91-('2 Hedge ratio'!$B$6+'2 Hedge ratio'!$B$5*E91)</f>
        <v>-0.000245103377135791</v>
      </c>
      <c r="Q91" s="29" t="n">
        <f aca="false">D91-('5 Re-specification'!$B$7+'5 Re-specification'!$B$5*E91+'5 Re-specification'!$B$6*F91)</f>
        <v>0.000286703742490957</v>
      </c>
      <c r="R91" s="30" t="n">
        <f aca="false">MIN(F91,Inputs!$B$9)</f>
        <v>86</v>
      </c>
      <c r="S91" s="29" t="n">
        <f aca="true">IF(AND(F91&gt;=1,R91&gt;=Inputs!$B$10),INDEX(LINEST(OFFSET(D91,-R91,0,R91,1),OFFSET(E91,-R91,0,R91,2)),1,1),"")</f>
        <v>-0.000190510496440933</v>
      </c>
      <c r="T91" s="29" t="n">
        <f aca="true">IF(AND(F91&gt;=1,R91&gt;=Inputs!$B$10),INDEX(LINEST(OFFSET(D91,-R91,0,R91,1),OFFSET(E91,-R91,0,R91,2)),1,2),"")</f>
        <v>1.05538281345578</v>
      </c>
      <c r="U91" s="29" t="n">
        <f aca="true">IF(AND(F91&gt;=1,R91&gt;=Inputs!$B$10),INDEX(LINEST(OFFSET(D91,-R91,0,R91,1),OFFSET(E91,-R91,0,R91,2)),1,3),"")</f>
        <v>4.22528505288014</v>
      </c>
      <c r="V91" s="29" t="n">
        <f aca="true">IF(AND(F91&gt;=1,R91&gt;=Inputs!$B$10),SQRT(SUMPRODUCT((OFFSET(D91,-R91,0,R91,1)-U91-T91*OFFSET(E91,-R91,0,R91,1)-S91*OFFSET(F91,-R91,0,R91,1))^2)/(R91-3)),"")</f>
        <v>0.00176949520371741</v>
      </c>
      <c r="W91" s="31" t="n">
        <f aca="false">IF(AND(F91&gt;=1,R91&gt;=Inputs!$B$10),(D91-U91-T91*E91-S91*F91)/V91,"")</f>
        <v>2.92124681209005</v>
      </c>
      <c r="X91" s="30" t="n">
        <f aca="false">IF(AB90&lt;&gt;0,AC90+1,0)</f>
        <v>0</v>
      </c>
      <c r="Y91" s="30" t="n">
        <f aca="false">IF(W91="",0,IF(AND(AB90&lt;&gt;0,OR(ABS(W91)&gt;Inputs!$B$7,X91&gt;=Inputs!$B$8,ABS(W91)&lt;Inputs!$B$6)),1,0))</f>
        <v>0</v>
      </c>
      <c r="Z91" s="30" t="n">
        <f aca="false">IF(Y91=1,0,AB90)</f>
        <v>0</v>
      </c>
      <c r="AA91" s="30" t="n">
        <f aca="false">IF(W91="",0,IF(AND(Z91=0,ABS(W91)&gt;Inputs!$B$5,ABS(W91)&lt;=Inputs!$B$7),1,0))</f>
        <v>1</v>
      </c>
      <c r="AB91" s="30" t="n">
        <f aca="false">IF(W91="",0,IF(AA91=1,-SIGN(W91),Z91))</f>
        <v>-1</v>
      </c>
      <c r="AC91" s="30" t="n">
        <f aca="false">IF(W91="",0,IF(AA91=1,0,IF(Y91=1,0,X91)))</f>
        <v>0</v>
      </c>
      <c r="AD91" s="29" t="n">
        <f aca="false">IF(AB91=0,0,IF(AB90=AB91,AD90,T91))</f>
        <v>1.05538281345578</v>
      </c>
      <c r="AE91" s="30" t="n">
        <f aca="false">AB91-AB90</f>
        <v>-1</v>
      </c>
      <c r="AF91" s="30" t="n">
        <f aca="false">-AD91*AB91</f>
        <v>1.05538281345578</v>
      </c>
      <c r="AG91" s="30" t="n">
        <f aca="false">AF91-AF90</f>
        <v>1.05538281345578</v>
      </c>
      <c r="AH91" s="30" t="n">
        <f aca="false">MAX(AE91,0)*(Inputs!$B$17+Inputs!$B$18+Inputs!$B$19)+MAX(-AE91,0)*(O91+Inputs!$B$18+Inputs!$B$19)+IF(AND(K91=1,AB91&lt;&gt;0),(Inputs!$B$17+Inputs!$B$18+Inputs!$B$19)+(O91+Inputs!$B$18+Inputs!$B$19),0)+MAX(AG91,0)*(Inputs!$B$20+Inputs!$B$22+Inputs!$B$23)+MAX(-AG91,0)*(Inputs!$B$21+Inputs!$B$22+Inputs!$B$23)</f>
        <v>0.000629383984709524</v>
      </c>
      <c r="AI91" s="30" t="n">
        <f aca="false">AB90*(M91-AD90*J91)+AB90*AD90*N91/Inputs!$B$16-AH91</f>
        <v>-0.000629383984709524</v>
      </c>
      <c r="AJ91" s="30" t="n">
        <f aca="false">MAX(AE91,0)*(Inputs!$B$17+Inputs!$B$24+Inputs!$B$25)+MAX(-AE91,0)*(O91+Inputs!$B$24+Inputs!$B$25)+IF(AND(K91=1,AB91&lt;&gt;0),(Inputs!$B$17+Inputs!$B$24+Inputs!$B$25)+(O91+Inputs!$B$24+Inputs!$B$25),0)+MAX(AG91,0)*(Inputs!$B$20+Inputs!$B$26+Inputs!$B$27)+MAX(-AG91,0)*(Inputs!$B$21+Inputs!$B$26+Inputs!$B$27)</f>
        <v>0.000464122617431225</v>
      </c>
      <c r="AK91" s="30" t="n">
        <f aca="false">AB90*(M91-AD90*J91)+AB90*AD90*(N91+Inputs!$B$14)/Inputs!$B$16-AJ91</f>
        <v>-0.000464122617431225</v>
      </c>
      <c r="AL91" s="30" t="n">
        <f aca="false">IF(AP90&lt;&gt;0,AQ90+1,0)</f>
        <v>0</v>
      </c>
      <c r="AM91" s="30" t="n">
        <f aca="false">IF(W91="",0,IF(AND(AP90&lt;&gt;0,OR(ABS(W91)&gt;Inputs!$B$7,AL91&gt;=Inputs!$B$8,ABS(W91)&lt;Inputs!$B$6)),1,0))</f>
        <v>0</v>
      </c>
      <c r="AN91" s="30" t="n">
        <f aca="false">IF(AM91=1,0,AP90)</f>
        <v>0</v>
      </c>
      <c r="AO91" s="30" t="n">
        <f aca="false">IF(W91="",0,IF(AND(AN91=0,ABS(W91)&gt;Inputs!$B$5,ABS(W91)&lt;=Inputs!$B$7,W91&gt;0),1,0))</f>
        <v>1</v>
      </c>
      <c r="AP91" s="30" t="n">
        <f aca="false">IF(W91="",0,IF(AO91=1,-SIGN(W91),AN91))</f>
        <v>-1</v>
      </c>
      <c r="AQ91" s="30" t="n">
        <f aca="false">IF(W91="",0,IF(AO91=1,0,IF(AM91=1,0,AL91)))</f>
        <v>0</v>
      </c>
      <c r="AR91" s="29" t="n">
        <f aca="false">IF(AP91=0,0,IF(AP90=AP91,AR90,T91))</f>
        <v>1.05538281345578</v>
      </c>
      <c r="AS91" s="30" t="n">
        <f aca="false">AP91-AP90</f>
        <v>-1</v>
      </c>
      <c r="AT91" s="30" t="n">
        <f aca="false">-AR91*AP91</f>
        <v>1.05538281345578</v>
      </c>
      <c r="AU91" s="30" t="n">
        <f aca="false">AT91-AT90</f>
        <v>1.05538281345578</v>
      </c>
      <c r="AV91" s="30" t="n">
        <f aca="false">MAX(AS91,0)*(Inputs!$B$17+Inputs!$B$18+Inputs!$B$19)+MAX(-AS91,0)*(O91+Inputs!$B$18+Inputs!$B$19)+IF(AND(K91=1,AP91&lt;&gt;0),(Inputs!$B$17+Inputs!$B$18+Inputs!$B$19)+(O91+Inputs!$B$18+Inputs!$B$19),0)+MAX(AU91,0)*(Inputs!$B$20+Inputs!$B$22+Inputs!$B$23)+MAX(-AU91,0)*(Inputs!$B$21+Inputs!$B$22+Inputs!$B$23)</f>
        <v>0.000629383984709524</v>
      </c>
      <c r="AW91" s="30" t="n">
        <f aca="false">AP90*(M91-AR90*J91)+AP90*AR90*N91/Inputs!$B$16-AV91</f>
        <v>-0.000629383984709524</v>
      </c>
      <c r="AX91" s="30" t="n">
        <f aca="false">AW91-IF(AP90&lt;&gt;0,0.75*AR90*(Inputs!$B$13-N91)/Inputs!$B$16,0)</f>
        <v>-0.000629383984709524</v>
      </c>
      <c r="AY91" s="30" t="n">
        <f aca="false">MAX(AS91,0)*(Inputs!$B$17+Inputs!$B$18+Inputs!$B$19)+MAX(-AS91,0)*(O91+Inputs!$B$18+Inputs!$B$19)+IF(AND(K91=1,AP91&lt;&gt;0),(Inputs!$B$17+Inputs!$B$18+Inputs!$B$19)+(O91+Inputs!$B$18+Inputs!$B$19),0)</f>
        <v>0.00026</v>
      </c>
      <c r="AZ91" s="30" t="n">
        <f aca="false">AP90*M91-AY91</f>
        <v>-0.00026</v>
      </c>
      <c r="BA91" s="32" t="n">
        <f aca="false">BA90+AI91</f>
        <v>-0.0046117333473544</v>
      </c>
      <c r="BB91" s="30" t="n">
        <f aca="false">MAX(BB90,BA91)</f>
        <v>0</v>
      </c>
      <c r="BC91" s="32" t="n">
        <f aca="false">BA91-BB91</f>
        <v>-0.0046117333473544</v>
      </c>
      <c r="BD91" s="30" t="n">
        <f aca="false">A92-A91</f>
        <v>3</v>
      </c>
    </row>
    <row r="92" customFormat="false" ht="15" hidden="false" customHeight="false" outlineLevel="0" collapsed="false">
      <c r="A92" s="28" t="n">
        <v>45173</v>
      </c>
      <c r="B92" s="0" t="n">
        <v>19614.35</v>
      </c>
      <c r="C92" s="0" t="n">
        <v>215.7</v>
      </c>
      <c r="D92" s="29" t="n">
        <f aca="false">LN(B92)</f>
        <v>9.88401672018992</v>
      </c>
      <c r="E92" s="29" t="n">
        <f aca="false">LN(C92)</f>
        <v>5.37388855339511</v>
      </c>
      <c r="F92" s="0" t="n">
        <v>87</v>
      </c>
      <c r="G92" s="0" t="n">
        <v>24</v>
      </c>
      <c r="H92" s="29" t="n">
        <f aca="false">D92-E92</f>
        <v>4.5101281667948</v>
      </c>
      <c r="I92" s="29" t="n">
        <f aca="false">D92-D91</f>
        <v>0.00481673728513421</v>
      </c>
      <c r="J92" s="29" t="n">
        <f aca="false">E92-E91</f>
        <v>0.00604512419846426</v>
      </c>
      <c r="K92" s="0" t="n">
        <v>0</v>
      </c>
      <c r="L92" s="0" t="n">
        <v>0</v>
      </c>
      <c r="M92" s="29" t="n">
        <f aca="false">IF(L92=1,J92-Carry!$B$9/Inputs!$B$16,I92)</f>
        <v>0.00481673728513421</v>
      </c>
      <c r="N92" s="0" t="n">
        <v>0.065</v>
      </c>
      <c r="O92" s="0" t="n">
        <v>0.000125</v>
      </c>
      <c r="P92" s="29" t="n">
        <f aca="false">D92-('2 Hedge ratio'!$B$6+'2 Hedge ratio'!$B$5*E92)</f>
        <v>-0.000966466133185406</v>
      </c>
      <c r="Q92" s="29" t="n">
        <f aca="false">D92-('5 Re-specification'!$B$7+'5 Re-specification'!$B$5*E92+'5 Re-specification'!$B$6*F92)</f>
        <v>-0.000878434103732673</v>
      </c>
      <c r="R92" s="30" t="n">
        <f aca="false">MIN(F92,Inputs!$B$9)</f>
        <v>87</v>
      </c>
      <c r="S92" s="29" t="n">
        <f aca="true">IF(AND(F92&gt;=1,R92&gt;=Inputs!$B$10),INDEX(LINEST(OFFSET(D92,-R92,0,R92,1),OFFSET(E92,-R92,0,R92,2)),1,1),"")</f>
        <v>-0.00017866702906048</v>
      </c>
      <c r="T92" s="29" t="n">
        <f aca="true">IF(AND(F92&gt;=1,R92&gt;=Inputs!$B$10),INDEX(LINEST(OFFSET(D92,-R92,0,R92,1),OFFSET(E92,-R92,0,R92,2)),1,2),"")</f>
        <v>1.04833177214358</v>
      </c>
      <c r="U92" s="29" t="n">
        <f aca="true">IF(AND(F92&gt;=1,R92&gt;=Inputs!$B$10),INDEX(LINEST(OFFSET(D92,-R92,0,R92,1),OFFSET(E92,-R92,0,R92,2)),1,3),"")</f>
        <v>4.26250197241368</v>
      </c>
      <c r="V92" s="29" t="n">
        <f aca="true">IF(AND(F92&gt;=1,R92&gt;=Inputs!$B$10),SQRT(SUMPRODUCT((OFFSET(D92,-R92,0,R92,1)-U92-T92*OFFSET(E92,-R92,0,R92,1)-S92*OFFSET(F92,-R92,0,R92,1))^2)/(R92-3)),"")</f>
        <v>0.00184069114967203</v>
      </c>
      <c r="W92" s="31" t="n">
        <f aca="false">IF(AND(F92&gt;=1,R92&gt;=Inputs!$B$10),(D92-U92-T92*E92-S92*F92)/V92,"")</f>
        <v>1.8692265795359</v>
      </c>
      <c r="X92" s="30" t="n">
        <f aca="false">IF(AB91&lt;&gt;0,AC91+1,0)</f>
        <v>1</v>
      </c>
      <c r="Y92" s="30" t="n">
        <f aca="false">IF(W92="",0,IF(AND(AB91&lt;&gt;0,OR(ABS(W92)&gt;Inputs!$B$7,X92&gt;=Inputs!$B$8,ABS(W92)&lt;Inputs!$B$6)),1,0))</f>
        <v>0</v>
      </c>
      <c r="Z92" s="30" t="n">
        <f aca="false">IF(Y92=1,0,AB91)</f>
        <v>-1</v>
      </c>
      <c r="AA92" s="30" t="n">
        <f aca="false">IF(W92="",0,IF(AND(Z92=0,ABS(W92)&gt;Inputs!$B$5,ABS(W92)&lt;=Inputs!$B$7),1,0))</f>
        <v>0</v>
      </c>
      <c r="AB92" s="30" t="n">
        <f aca="false">IF(W92="",0,IF(AA92=1,-SIGN(W92),Z92))</f>
        <v>-1</v>
      </c>
      <c r="AC92" s="30" t="n">
        <f aca="false">IF(W92="",0,IF(AA92=1,0,IF(Y92=1,0,X92)))</f>
        <v>1</v>
      </c>
      <c r="AD92" s="29" t="n">
        <f aca="false">IF(AB92=0,0,IF(AB91=AB92,AD91,T92))</f>
        <v>1.05538281345578</v>
      </c>
      <c r="AE92" s="30" t="n">
        <f aca="false">AB92-AB91</f>
        <v>0</v>
      </c>
      <c r="AF92" s="30" t="n">
        <f aca="false">-AD92*AB92</f>
        <v>1.05538281345578</v>
      </c>
      <c r="AG92" s="30" t="n">
        <f aca="false">AF92-AF91</f>
        <v>0</v>
      </c>
      <c r="AH92" s="30" t="n">
        <f aca="false">MAX(AE92,0)*(Inputs!$B$17+Inputs!$B$18+Inputs!$B$19)+MAX(-AE92,0)*(O92+Inputs!$B$18+Inputs!$B$19)+IF(AND(K92=1,AB92&lt;&gt;0),(Inputs!$B$17+Inputs!$B$18+Inputs!$B$19)+(O92+Inputs!$B$18+Inputs!$B$19),0)+MAX(AG92,0)*(Inputs!$B$20+Inputs!$B$22+Inputs!$B$23)+MAX(-AG92,0)*(Inputs!$B$21+Inputs!$B$22+Inputs!$B$23)</f>
        <v>0</v>
      </c>
      <c r="AI92" s="30" t="n">
        <f aca="false">AB91*(M92-AD91*J92)+AB91*AD91*N92/Inputs!$B$16-AH92</f>
        <v>0.00129096114169165</v>
      </c>
      <c r="AJ92" s="30" t="n">
        <f aca="false">MAX(AE92,0)*(Inputs!$B$17+Inputs!$B$24+Inputs!$B$25)+MAX(-AE92,0)*(O92+Inputs!$B$24+Inputs!$B$25)+IF(AND(K92=1,AB92&lt;&gt;0),(Inputs!$B$17+Inputs!$B$24+Inputs!$B$25)+(O92+Inputs!$B$24+Inputs!$B$25),0)+MAX(AG92,0)*(Inputs!$B$20+Inputs!$B$26+Inputs!$B$27)+MAX(-AG92,0)*(Inputs!$B$21+Inputs!$B$26+Inputs!$B$27)</f>
        <v>0</v>
      </c>
      <c r="AK92" s="30" t="n">
        <f aca="false">AB91*(M92-AD91*J92)+AB91*AD91*(N92+Inputs!$B$14)/Inputs!$B$16-AJ92</f>
        <v>0.00125955093891022</v>
      </c>
      <c r="AL92" s="30" t="n">
        <f aca="false">IF(AP91&lt;&gt;0,AQ91+1,0)</f>
        <v>1</v>
      </c>
      <c r="AM92" s="30" t="n">
        <f aca="false">IF(W92="",0,IF(AND(AP91&lt;&gt;0,OR(ABS(W92)&gt;Inputs!$B$7,AL92&gt;=Inputs!$B$8,ABS(W92)&lt;Inputs!$B$6)),1,0))</f>
        <v>0</v>
      </c>
      <c r="AN92" s="30" t="n">
        <f aca="false">IF(AM92=1,0,AP91)</f>
        <v>-1</v>
      </c>
      <c r="AO92" s="30" t="n">
        <f aca="false">IF(W92="",0,IF(AND(AN92=0,ABS(W92)&gt;Inputs!$B$5,ABS(W92)&lt;=Inputs!$B$7,W92&gt;0),1,0))</f>
        <v>0</v>
      </c>
      <c r="AP92" s="30" t="n">
        <f aca="false">IF(W92="",0,IF(AO92=1,-SIGN(W92),AN92))</f>
        <v>-1</v>
      </c>
      <c r="AQ92" s="30" t="n">
        <f aca="false">IF(W92="",0,IF(AO92=1,0,IF(AM92=1,0,AL92)))</f>
        <v>1</v>
      </c>
      <c r="AR92" s="29" t="n">
        <f aca="false">IF(AP92=0,0,IF(AP91=AP92,AR91,T92))</f>
        <v>1.05538281345578</v>
      </c>
      <c r="AS92" s="30" t="n">
        <f aca="false">AP92-AP91</f>
        <v>0</v>
      </c>
      <c r="AT92" s="30" t="n">
        <f aca="false">-AR92*AP92</f>
        <v>1.05538281345578</v>
      </c>
      <c r="AU92" s="30" t="n">
        <f aca="false">AT92-AT91</f>
        <v>0</v>
      </c>
      <c r="AV92" s="30" t="n">
        <f aca="false">MAX(AS92,0)*(Inputs!$B$17+Inputs!$B$18+Inputs!$B$19)+MAX(-AS92,0)*(O92+Inputs!$B$18+Inputs!$B$19)+IF(AND(K92=1,AP92&lt;&gt;0),(Inputs!$B$17+Inputs!$B$18+Inputs!$B$19)+(O92+Inputs!$B$18+Inputs!$B$19),0)+MAX(AU92,0)*(Inputs!$B$20+Inputs!$B$22+Inputs!$B$23)+MAX(-AU92,0)*(Inputs!$B$21+Inputs!$B$22+Inputs!$B$23)</f>
        <v>0</v>
      </c>
      <c r="AW92" s="30" t="n">
        <f aca="false">AP91*(M92-AR91*J92)+AP91*AR91*N92/Inputs!$B$16-AV92</f>
        <v>0.00129096114169165</v>
      </c>
      <c r="AX92" s="30" t="n">
        <f aca="false">AW92-IF(AP91&lt;&gt;0,0.75*AR91*(Inputs!$B$13-N92)/Inputs!$B$16,0)</f>
        <v>0.00105538462083098</v>
      </c>
      <c r="AY92" s="30" t="n">
        <f aca="false">MAX(AS92,0)*(Inputs!$B$17+Inputs!$B$18+Inputs!$B$19)+MAX(-AS92,0)*(O92+Inputs!$B$18+Inputs!$B$19)+IF(AND(K92=1,AP92&lt;&gt;0),(Inputs!$B$17+Inputs!$B$18+Inputs!$B$19)+(O92+Inputs!$B$18+Inputs!$B$19),0)</f>
        <v>0</v>
      </c>
      <c r="AZ92" s="30" t="n">
        <f aca="false">AP91*M92-AY92</f>
        <v>-0.00481673728513421</v>
      </c>
      <c r="BA92" s="32" t="n">
        <f aca="false">BA91+AI92</f>
        <v>-0.00332077220566275</v>
      </c>
      <c r="BB92" s="30" t="n">
        <f aca="false">MAX(BB91,BA92)</f>
        <v>0</v>
      </c>
      <c r="BC92" s="32" t="n">
        <f aca="false">BA92-BB92</f>
        <v>-0.00332077220566275</v>
      </c>
      <c r="BD92" s="30" t="n">
        <f aca="false">A93-A92</f>
        <v>1</v>
      </c>
    </row>
    <row r="93" customFormat="false" ht="15" hidden="false" customHeight="false" outlineLevel="0" collapsed="false">
      <c r="A93" s="28" t="n">
        <v>45174</v>
      </c>
      <c r="B93" s="0" t="n">
        <v>19650.3</v>
      </c>
      <c r="C93" s="0" t="n">
        <v>216</v>
      </c>
      <c r="D93" s="29" t="n">
        <f aca="false">LN(B93)</f>
        <v>9.88584788435644</v>
      </c>
      <c r="E93" s="29" t="n">
        <f aca="false">LN(C93)</f>
        <v>5.37527840768417</v>
      </c>
      <c r="F93" s="0" t="n">
        <v>88</v>
      </c>
      <c r="G93" s="0" t="n">
        <v>23</v>
      </c>
      <c r="H93" s="29" t="n">
        <f aca="false">D93-E93</f>
        <v>4.51056947667227</v>
      </c>
      <c r="I93" s="29" t="n">
        <f aca="false">D93-D92</f>
        <v>0.0018311641665214</v>
      </c>
      <c r="J93" s="29" t="n">
        <f aca="false">E93-E92</f>
        <v>0.00138985428905425</v>
      </c>
      <c r="K93" s="0" t="n">
        <v>0</v>
      </c>
      <c r="L93" s="0" t="n">
        <v>0</v>
      </c>
      <c r="M93" s="29" t="n">
        <f aca="false">IF(L93=1,J93-Carry!$B$9/Inputs!$B$16,I93)</f>
        <v>0.0018311641665214</v>
      </c>
      <c r="N93" s="0" t="n">
        <v>0.065</v>
      </c>
      <c r="O93" s="0" t="n">
        <v>0.000125</v>
      </c>
      <c r="P93" s="29" t="n">
        <f aca="false">D93-('2 Hedge ratio'!$B$6+'2 Hedge ratio'!$B$5*E93)</f>
        <v>-0.000408584672319634</v>
      </c>
      <c r="Q93" s="29" t="n">
        <f aca="false">D93-('5 Re-specification'!$B$7+'5 Re-specification'!$B$5*E93+'5 Re-specification'!$B$6*F93)</f>
        <v>-0.000387982954714872</v>
      </c>
      <c r="R93" s="30" t="n">
        <f aca="false">MIN(F93,Inputs!$B$9)</f>
        <v>88</v>
      </c>
      <c r="S93" s="29" t="n">
        <f aca="true">IF(AND(F93&gt;=1,R93&gt;=Inputs!$B$10),INDEX(LINEST(OFFSET(D93,-R93,0,R93,1),OFFSET(E93,-R93,0,R93,2)),1,1),"")</f>
        <v>-0.000172311672782199</v>
      </c>
      <c r="T93" s="29" t="n">
        <f aca="true">IF(AND(F93&gt;=1,R93&gt;=Inputs!$B$10),INDEX(LINEST(OFFSET(D93,-R93,0,R93,1),OFFSET(E93,-R93,0,R93,2)),1,2),"")</f>
        <v>1.04492660286832</v>
      </c>
      <c r="U93" s="29" t="n">
        <f aca="true">IF(AND(F93&gt;=1,R93&gt;=Inputs!$B$10),INDEX(LINEST(OFFSET(D93,-R93,0,R93,1),OFFSET(E93,-R93,0,R93,2)),1,3),"")</f>
        <v>4.28045631394304</v>
      </c>
      <c r="V93" s="29" t="n">
        <f aca="true">IF(AND(F93&gt;=1,R93&gt;=Inputs!$B$10),SQRT(SUMPRODUCT((OFFSET(D93,-R93,0,R93,1)-U93-T93*OFFSET(E93,-R93,0,R93,1)-S93*OFFSET(F93,-R93,0,R93,1))^2)/(R93-3)),"")</f>
        <v>0.00186524165201181</v>
      </c>
      <c r="W93" s="31" t="n">
        <f aca="false">IF(AND(F93&gt;=1,R93&gt;=Inputs!$B$10),(D93-U93-T93*E93-S93*F93)/V93,"")</f>
        <v>2.02847261174244</v>
      </c>
      <c r="X93" s="30" t="n">
        <f aca="false">IF(AB92&lt;&gt;0,AC92+1,0)</f>
        <v>2</v>
      </c>
      <c r="Y93" s="30" t="n">
        <f aca="false">IF(W93="",0,IF(AND(AB92&lt;&gt;0,OR(ABS(W93)&gt;Inputs!$B$7,X93&gt;=Inputs!$B$8,ABS(W93)&lt;Inputs!$B$6)),1,0))</f>
        <v>0</v>
      </c>
      <c r="Z93" s="30" t="n">
        <f aca="false">IF(Y93=1,0,AB92)</f>
        <v>-1</v>
      </c>
      <c r="AA93" s="30" t="n">
        <f aca="false">IF(W93="",0,IF(AND(Z93=0,ABS(W93)&gt;Inputs!$B$5,ABS(W93)&lt;=Inputs!$B$7),1,0))</f>
        <v>0</v>
      </c>
      <c r="AB93" s="30" t="n">
        <f aca="false">IF(W93="",0,IF(AA93=1,-SIGN(W93),Z93))</f>
        <v>-1</v>
      </c>
      <c r="AC93" s="30" t="n">
        <f aca="false">IF(W93="",0,IF(AA93=1,0,IF(Y93=1,0,X93)))</f>
        <v>2</v>
      </c>
      <c r="AD93" s="29" t="n">
        <f aca="false">IF(AB93=0,0,IF(AB92=AB93,AD92,T93))</f>
        <v>1.05538281345578</v>
      </c>
      <c r="AE93" s="30" t="n">
        <f aca="false">AB93-AB92</f>
        <v>0</v>
      </c>
      <c r="AF93" s="30" t="n">
        <f aca="false">-AD93*AB93</f>
        <v>1.05538281345578</v>
      </c>
      <c r="AG93" s="30" t="n">
        <f aca="false">AF93-AF92</f>
        <v>0</v>
      </c>
      <c r="AH93" s="30" t="n">
        <f aca="false">MAX(AE93,0)*(Inputs!$B$17+Inputs!$B$18+Inputs!$B$19)+MAX(-AE93,0)*(O93+Inputs!$B$18+Inputs!$B$19)+IF(AND(K93=1,AB93&lt;&gt;0),(Inputs!$B$17+Inputs!$B$18+Inputs!$B$19)+(O93+Inputs!$B$18+Inputs!$B$19),0)+MAX(AG93,0)*(Inputs!$B$20+Inputs!$B$22+Inputs!$B$23)+MAX(-AG93,0)*(Inputs!$B$21+Inputs!$B$22+Inputs!$B$23)</f>
        <v>0</v>
      </c>
      <c r="AI93" s="30" t="n">
        <f aca="false">AB92*(M93-AD92*J93)+AB92*AD92*N93/Inputs!$B$16-AH93</f>
        <v>-0.000636557594084735</v>
      </c>
      <c r="AJ93" s="30" t="n">
        <f aca="false">MAX(AE93,0)*(Inputs!$B$17+Inputs!$B$24+Inputs!$B$25)+MAX(-AE93,0)*(O93+Inputs!$B$24+Inputs!$B$25)+IF(AND(K93=1,AB93&lt;&gt;0),(Inputs!$B$17+Inputs!$B$24+Inputs!$B$25)+(O93+Inputs!$B$24+Inputs!$B$25),0)+MAX(AG93,0)*(Inputs!$B$20+Inputs!$B$26+Inputs!$B$27)+MAX(-AG93,0)*(Inputs!$B$21+Inputs!$B$26+Inputs!$B$27)</f>
        <v>0</v>
      </c>
      <c r="AK93" s="30" t="n">
        <f aca="false">AB92*(M93-AD92*J93)+AB92*AD92*(N93+Inputs!$B$14)/Inputs!$B$16-AJ93</f>
        <v>-0.000667967796866157</v>
      </c>
      <c r="AL93" s="30" t="n">
        <f aca="false">IF(AP92&lt;&gt;0,AQ92+1,0)</f>
        <v>2</v>
      </c>
      <c r="AM93" s="30" t="n">
        <f aca="false">IF(W93="",0,IF(AND(AP92&lt;&gt;0,OR(ABS(W93)&gt;Inputs!$B$7,AL93&gt;=Inputs!$B$8,ABS(W93)&lt;Inputs!$B$6)),1,0))</f>
        <v>0</v>
      </c>
      <c r="AN93" s="30" t="n">
        <f aca="false">IF(AM93=1,0,AP92)</f>
        <v>-1</v>
      </c>
      <c r="AO93" s="30" t="n">
        <f aca="false">IF(W93="",0,IF(AND(AN93=0,ABS(W93)&gt;Inputs!$B$5,ABS(W93)&lt;=Inputs!$B$7,W93&gt;0),1,0))</f>
        <v>0</v>
      </c>
      <c r="AP93" s="30" t="n">
        <f aca="false">IF(W93="",0,IF(AO93=1,-SIGN(W93),AN93))</f>
        <v>-1</v>
      </c>
      <c r="AQ93" s="30" t="n">
        <f aca="false">IF(W93="",0,IF(AO93=1,0,IF(AM93=1,0,AL93)))</f>
        <v>2</v>
      </c>
      <c r="AR93" s="29" t="n">
        <f aca="false">IF(AP93=0,0,IF(AP92=AP93,AR92,T93))</f>
        <v>1.05538281345578</v>
      </c>
      <c r="AS93" s="30" t="n">
        <f aca="false">AP93-AP92</f>
        <v>0</v>
      </c>
      <c r="AT93" s="30" t="n">
        <f aca="false">-AR93*AP93</f>
        <v>1.05538281345578</v>
      </c>
      <c r="AU93" s="30" t="n">
        <f aca="false">AT93-AT92</f>
        <v>0</v>
      </c>
      <c r="AV93" s="30" t="n">
        <f aca="false">MAX(AS93,0)*(Inputs!$B$17+Inputs!$B$18+Inputs!$B$19)+MAX(-AS93,0)*(O93+Inputs!$B$18+Inputs!$B$19)+IF(AND(K93=1,AP93&lt;&gt;0),(Inputs!$B$17+Inputs!$B$18+Inputs!$B$19)+(O93+Inputs!$B$18+Inputs!$B$19),0)+MAX(AU93,0)*(Inputs!$B$20+Inputs!$B$22+Inputs!$B$23)+MAX(-AU93,0)*(Inputs!$B$21+Inputs!$B$22+Inputs!$B$23)</f>
        <v>0</v>
      </c>
      <c r="AW93" s="30" t="n">
        <f aca="false">AP92*(M93-AR92*J93)+AP92*AR92*N93/Inputs!$B$16-AV93</f>
        <v>-0.000636557594084735</v>
      </c>
      <c r="AX93" s="30" t="n">
        <f aca="false">AW93-IF(AP92&lt;&gt;0,0.75*AR92*(Inputs!$B$13-N93)/Inputs!$B$16,0)</f>
        <v>-0.000872134114945401</v>
      </c>
      <c r="AY93" s="30" t="n">
        <f aca="false">MAX(AS93,0)*(Inputs!$B$17+Inputs!$B$18+Inputs!$B$19)+MAX(-AS93,0)*(O93+Inputs!$B$18+Inputs!$B$19)+IF(AND(K93=1,AP93&lt;&gt;0),(Inputs!$B$17+Inputs!$B$18+Inputs!$B$19)+(O93+Inputs!$B$18+Inputs!$B$19),0)</f>
        <v>0</v>
      </c>
      <c r="AZ93" s="30" t="n">
        <f aca="false">AP92*M93-AY93</f>
        <v>-0.0018311641665214</v>
      </c>
      <c r="BA93" s="32" t="n">
        <f aca="false">BA92+AI93</f>
        <v>-0.00395732979974749</v>
      </c>
      <c r="BB93" s="30" t="n">
        <f aca="false">MAX(BB92,BA93)</f>
        <v>0</v>
      </c>
      <c r="BC93" s="32" t="n">
        <f aca="false">BA93-BB93</f>
        <v>-0.00395732979974749</v>
      </c>
      <c r="BD93" s="30" t="n">
        <f aca="false">A94-A93</f>
        <v>1</v>
      </c>
    </row>
    <row r="94" customFormat="false" ht="15" hidden="false" customHeight="false" outlineLevel="0" collapsed="false">
      <c r="A94" s="28" t="n">
        <v>45175</v>
      </c>
      <c r="B94" s="0" t="n">
        <v>19665</v>
      </c>
      <c r="C94" s="0" t="n">
        <v>216.3</v>
      </c>
      <c r="D94" s="29" t="n">
        <f aca="false">LN(B94)</f>
        <v>9.88659568486591</v>
      </c>
      <c r="E94" s="29" t="n">
        <f aca="false">LN(C94)</f>
        <v>5.37666633295901</v>
      </c>
      <c r="F94" s="0" t="n">
        <v>89</v>
      </c>
      <c r="G94" s="0" t="n">
        <v>22</v>
      </c>
      <c r="H94" s="29" t="n">
        <f aca="false">D94-E94</f>
        <v>4.5099293519069</v>
      </c>
      <c r="I94" s="29" t="n">
        <f aca="false">D94-D93</f>
        <v>0.00074780050947254</v>
      </c>
      <c r="J94" s="29" t="n">
        <f aca="false">E94-E93</f>
        <v>0.0013879252748481</v>
      </c>
      <c r="K94" s="0" t="n">
        <v>0</v>
      </c>
      <c r="L94" s="0" t="n">
        <v>0</v>
      </c>
      <c r="M94" s="29" t="n">
        <f aca="false">IF(L94=1,J94-Carry!$B$9/Inputs!$B$16,I94)</f>
        <v>0.00074780050947254</v>
      </c>
      <c r="N94" s="0" t="n">
        <v>0.065</v>
      </c>
      <c r="O94" s="0" t="n">
        <v>0.000125</v>
      </c>
      <c r="P94" s="29" t="n">
        <f aca="false">D94-('2 Hedge ratio'!$B$6+'2 Hedge ratio'!$B$5*E94)</f>
        <v>-0.00093229964696917</v>
      </c>
      <c r="Q94" s="29" t="n">
        <f aca="false">D94-('5 Re-specification'!$B$7+'5 Re-specification'!$B$5*E94+'5 Re-specification'!$B$6*F94)</f>
        <v>-0.000978972294419123</v>
      </c>
      <c r="R94" s="30" t="n">
        <f aca="false">MIN(F94,Inputs!$B$9)</f>
        <v>89</v>
      </c>
      <c r="S94" s="29" t="n">
        <f aca="true">IF(AND(F94&gt;=1,R94&gt;=Inputs!$B$10),INDEX(LINEST(OFFSET(D94,-R94,0,R94,1),OFFSET(E94,-R94,0,R94,2)),1,1),"")</f>
        <v>-0.000165736630000818</v>
      </c>
      <c r="T94" s="29" t="n">
        <f aca="true">IF(AND(F94&gt;=1,R94&gt;=Inputs!$B$10),INDEX(LINEST(OFFSET(D94,-R94,0,R94,1),OFFSET(E94,-R94,0,R94,2)),1,2),"")</f>
        <v>1.04146456001093</v>
      </c>
      <c r="U94" s="29" t="n">
        <f aca="true">IF(AND(F94&gt;=1,R94&gt;=Inputs!$B$10),INDEX(LINEST(OFFSET(D94,-R94,0,R94,1),OFFSET(E94,-R94,0,R94,2)),1,3),"")</f>
        <v>4.29870634532056</v>
      </c>
      <c r="V94" s="29" t="n">
        <f aca="true">IF(AND(F94&gt;=1,R94&gt;=Inputs!$B$10),SQRT(SUMPRODUCT((OFFSET(D94,-R94,0,R94,1)-U94-T94*OFFSET(E94,-R94,0,R94,1)-S94*OFFSET(F94,-R94,0,R94,1))^2)/(R94-3)),"")</f>
        <v>0.00189617725053552</v>
      </c>
      <c r="W94" s="31" t="n">
        <f aca="false">IF(AND(F94&gt;=1,R94&gt;=Inputs!$B$10),(D94-U94-T94*E94-S94*F94)/V94,"")</f>
        <v>1.59925072080824</v>
      </c>
      <c r="X94" s="30" t="n">
        <f aca="false">IF(AB93&lt;&gt;0,AC93+1,0)</f>
        <v>3</v>
      </c>
      <c r="Y94" s="30" t="n">
        <f aca="false">IF(W94="",0,IF(AND(AB93&lt;&gt;0,OR(ABS(W94)&gt;Inputs!$B$7,X94&gt;=Inputs!$B$8,ABS(W94)&lt;Inputs!$B$6)),1,0))</f>
        <v>0</v>
      </c>
      <c r="Z94" s="30" t="n">
        <f aca="false">IF(Y94=1,0,AB93)</f>
        <v>-1</v>
      </c>
      <c r="AA94" s="30" t="n">
        <f aca="false">IF(W94="",0,IF(AND(Z94=0,ABS(W94)&gt;Inputs!$B$5,ABS(W94)&lt;=Inputs!$B$7),1,0))</f>
        <v>0</v>
      </c>
      <c r="AB94" s="30" t="n">
        <f aca="false">IF(W94="",0,IF(AA94=1,-SIGN(W94),Z94))</f>
        <v>-1</v>
      </c>
      <c r="AC94" s="30" t="n">
        <f aca="false">IF(W94="",0,IF(AA94=1,0,IF(Y94=1,0,X94)))</f>
        <v>3</v>
      </c>
      <c r="AD94" s="29" t="n">
        <f aca="false">IF(AB94=0,0,IF(AB93=AB94,AD93,T94))</f>
        <v>1.05538281345578</v>
      </c>
      <c r="AE94" s="30" t="n">
        <f aca="false">AB94-AB93</f>
        <v>0</v>
      </c>
      <c r="AF94" s="30" t="n">
        <f aca="false">-AD94*AB94</f>
        <v>1.05538281345578</v>
      </c>
      <c r="AG94" s="30" t="n">
        <f aca="false">AF94-AF93</f>
        <v>0</v>
      </c>
      <c r="AH94" s="30" t="n">
        <f aca="false">MAX(AE94,0)*(Inputs!$B$17+Inputs!$B$18+Inputs!$B$19)+MAX(-AE94,0)*(O94+Inputs!$B$18+Inputs!$B$19)+IF(AND(K94=1,AB94&lt;&gt;0),(Inputs!$B$17+Inputs!$B$18+Inputs!$B$19)+(O94+Inputs!$B$18+Inputs!$B$19),0)+MAX(AG94,0)*(Inputs!$B$20+Inputs!$B$22+Inputs!$B$23)+MAX(-AG94,0)*(Inputs!$B$21+Inputs!$B$22+Inputs!$B$23)</f>
        <v>0</v>
      </c>
      <c r="AI94" s="30" t="n">
        <f aca="false">AB93*(M94-AD93*J94)+AB93*AD93*N94/Inputs!$B$16-AH94</f>
        <v>0.000444770214524048</v>
      </c>
      <c r="AJ94" s="30" t="n">
        <f aca="false">MAX(AE94,0)*(Inputs!$B$17+Inputs!$B$24+Inputs!$B$25)+MAX(-AE94,0)*(O94+Inputs!$B$24+Inputs!$B$25)+IF(AND(K94=1,AB94&lt;&gt;0),(Inputs!$B$17+Inputs!$B$24+Inputs!$B$25)+(O94+Inputs!$B$24+Inputs!$B$25),0)+MAX(AG94,0)*(Inputs!$B$20+Inputs!$B$26+Inputs!$B$27)+MAX(-AG94,0)*(Inputs!$B$21+Inputs!$B$26+Inputs!$B$27)</f>
        <v>0</v>
      </c>
      <c r="AK94" s="30" t="n">
        <f aca="false">AB93*(M94-AD93*J94)+AB93*AD93*(N94+Inputs!$B$14)/Inputs!$B$16-AJ94</f>
        <v>0.000413360011742626</v>
      </c>
      <c r="AL94" s="30" t="n">
        <f aca="false">IF(AP93&lt;&gt;0,AQ93+1,0)</f>
        <v>3</v>
      </c>
      <c r="AM94" s="30" t="n">
        <f aca="false">IF(W94="",0,IF(AND(AP93&lt;&gt;0,OR(ABS(W94)&gt;Inputs!$B$7,AL94&gt;=Inputs!$B$8,ABS(W94)&lt;Inputs!$B$6)),1,0))</f>
        <v>0</v>
      </c>
      <c r="AN94" s="30" t="n">
        <f aca="false">IF(AM94=1,0,AP93)</f>
        <v>-1</v>
      </c>
      <c r="AO94" s="30" t="n">
        <f aca="false">IF(W94="",0,IF(AND(AN94=0,ABS(W94)&gt;Inputs!$B$5,ABS(W94)&lt;=Inputs!$B$7,W94&gt;0),1,0))</f>
        <v>0</v>
      </c>
      <c r="AP94" s="30" t="n">
        <f aca="false">IF(W94="",0,IF(AO94=1,-SIGN(W94),AN94))</f>
        <v>-1</v>
      </c>
      <c r="AQ94" s="30" t="n">
        <f aca="false">IF(W94="",0,IF(AO94=1,0,IF(AM94=1,0,AL94)))</f>
        <v>3</v>
      </c>
      <c r="AR94" s="29" t="n">
        <f aca="false">IF(AP94=0,0,IF(AP93=AP94,AR93,T94))</f>
        <v>1.05538281345578</v>
      </c>
      <c r="AS94" s="30" t="n">
        <f aca="false">AP94-AP93</f>
        <v>0</v>
      </c>
      <c r="AT94" s="30" t="n">
        <f aca="false">-AR94*AP94</f>
        <v>1.05538281345578</v>
      </c>
      <c r="AU94" s="30" t="n">
        <f aca="false">AT94-AT93</f>
        <v>0</v>
      </c>
      <c r="AV94" s="30" t="n">
        <f aca="false">MAX(AS94,0)*(Inputs!$B$17+Inputs!$B$18+Inputs!$B$19)+MAX(-AS94,0)*(O94+Inputs!$B$18+Inputs!$B$19)+IF(AND(K94=1,AP94&lt;&gt;0),(Inputs!$B$17+Inputs!$B$18+Inputs!$B$19)+(O94+Inputs!$B$18+Inputs!$B$19),0)+MAX(AU94,0)*(Inputs!$B$20+Inputs!$B$22+Inputs!$B$23)+MAX(-AU94,0)*(Inputs!$B$21+Inputs!$B$22+Inputs!$B$23)</f>
        <v>0</v>
      </c>
      <c r="AW94" s="30" t="n">
        <f aca="false">AP93*(M94-AR93*J94)+AP93*AR93*N94/Inputs!$B$16-AV94</f>
        <v>0.000444770214524048</v>
      </c>
      <c r="AX94" s="30" t="n">
        <f aca="false">AW94-IF(AP93&lt;&gt;0,0.75*AR93*(Inputs!$B$13-N94)/Inputs!$B$16,0)</f>
        <v>0.000209193693663382</v>
      </c>
      <c r="AY94" s="30" t="n">
        <f aca="false">MAX(AS94,0)*(Inputs!$B$17+Inputs!$B$18+Inputs!$B$19)+MAX(-AS94,0)*(O94+Inputs!$B$18+Inputs!$B$19)+IF(AND(K94=1,AP94&lt;&gt;0),(Inputs!$B$17+Inputs!$B$18+Inputs!$B$19)+(O94+Inputs!$B$18+Inputs!$B$19),0)</f>
        <v>0</v>
      </c>
      <c r="AZ94" s="30" t="n">
        <f aca="false">AP93*M94-AY94</f>
        <v>-0.00074780050947254</v>
      </c>
      <c r="BA94" s="32" t="n">
        <f aca="false">BA93+AI94</f>
        <v>-0.00351255958522344</v>
      </c>
      <c r="BB94" s="30" t="n">
        <f aca="false">MAX(BB93,BA94)</f>
        <v>0</v>
      </c>
      <c r="BC94" s="32" t="n">
        <f aca="false">BA94-BB94</f>
        <v>-0.00351255958522344</v>
      </c>
      <c r="BD94" s="30" t="n">
        <f aca="false">A95-A94</f>
        <v>1</v>
      </c>
    </row>
    <row r="95" customFormat="false" ht="15" hidden="false" customHeight="false" outlineLevel="0" collapsed="false">
      <c r="A95" s="28" t="n">
        <v>45176</v>
      </c>
      <c r="B95" s="0" t="n">
        <v>19767.05</v>
      </c>
      <c r="C95" s="0" t="n">
        <v>217.44</v>
      </c>
      <c r="D95" s="29" t="n">
        <f aca="false">LN(B95)</f>
        <v>9.89177168904704</v>
      </c>
      <c r="E95" s="29" t="n">
        <f aca="false">LN(C95)</f>
        <v>5.38192295040283</v>
      </c>
      <c r="F95" s="0" t="n">
        <v>90</v>
      </c>
      <c r="G95" s="0" t="n">
        <v>21</v>
      </c>
      <c r="H95" s="29" t="n">
        <f aca="false">D95-E95</f>
        <v>4.5098487386442</v>
      </c>
      <c r="I95" s="29" t="n">
        <f aca="false">D95-D94</f>
        <v>0.00517600418112707</v>
      </c>
      <c r="J95" s="29" t="n">
        <f aca="false">E95-E94</f>
        <v>0.00525661744381978</v>
      </c>
      <c r="K95" s="0" t="n">
        <v>0</v>
      </c>
      <c r="L95" s="0" t="n">
        <v>0</v>
      </c>
      <c r="M95" s="29" t="n">
        <f aca="false">IF(L95=1,J95-Carry!$B$9/Inputs!$B$16,I95)</f>
        <v>0.00517600418112707</v>
      </c>
      <c r="N95" s="0" t="n">
        <v>0.065</v>
      </c>
      <c r="O95" s="0" t="n">
        <v>0.000125</v>
      </c>
      <c r="P95" s="29" t="n">
        <f aca="false">D95-('2 Hedge ratio'!$B$6+'2 Hedge ratio'!$B$5*E95)</f>
        <v>-0.000572023369249664</v>
      </c>
      <c r="Q95" s="29" t="n">
        <f aca="false">D95-('5 Re-specification'!$B$7+'5 Re-specification'!$B$5*E95+'5 Re-specification'!$B$6*F95)</f>
        <v>-0.000998726059739497</v>
      </c>
      <c r="R95" s="30" t="n">
        <f aca="false">MIN(F95,Inputs!$B$9)</f>
        <v>90</v>
      </c>
      <c r="S95" s="29" t="n">
        <f aca="true">IF(AND(F95&gt;=1,R95&gt;=Inputs!$B$10),INDEX(LINEST(OFFSET(D95,-R95,0,R95,1),OFFSET(E95,-R95,0,R95,2)),1,1),"")</f>
        <v>-0.000160769178662267</v>
      </c>
      <c r="T95" s="29" t="n">
        <f aca="true">IF(AND(F95&gt;=1,R95&gt;=Inputs!$B$10),INDEX(LINEST(OFFSET(D95,-R95,0,R95,1),OFFSET(E95,-R95,0,R95,2)),1,2),"")</f>
        <v>1.03889778043264</v>
      </c>
      <c r="U95" s="29" t="n">
        <f aca="true">IF(AND(F95&gt;=1,R95&gt;=Inputs!$B$10),INDEX(LINEST(OFFSET(D95,-R95,0,R95,1),OFFSET(E95,-R95,0,R95,2)),1,3),"")</f>
        <v>4.31223361042701</v>
      </c>
      <c r="V95" s="29" t="n">
        <f aca="true">IF(AND(F95&gt;=1,R95&gt;=Inputs!$B$10),SQRT(SUMPRODUCT((OFFSET(D95,-R95,0,R95,1)-U95-T95*OFFSET(E95,-R95,0,R95,1)-S95*OFFSET(F95,-R95,0,R95,1))^2)/(R95-3)),"")</f>
        <v>0.00191153902424791</v>
      </c>
      <c r="W95" s="31" t="n">
        <f aca="false">IF(AND(F95&gt;=1,R95&gt;=Inputs!$B$10),(D95-U95-T95*E95-S95*F95)/V95,"")</f>
        <v>1.43313687656003</v>
      </c>
      <c r="X95" s="30" t="n">
        <f aca="false">IF(AB94&lt;&gt;0,AC94+1,0)</f>
        <v>4</v>
      </c>
      <c r="Y95" s="30" t="n">
        <f aca="false">IF(W95="",0,IF(AND(AB94&lt;&gt;0,OR(ABS(W95)&gt;Inputs!$B$7,X95&gt;=Inputs!$B$8,ABS(W95)&lt;Inputs!$B$6)),1,0))</f>
        <v>0</v>
      </c>
      <c r="Z95" s="30" t="n">
        <f aca="false">IF(Y95=1,0,AB94)</f>
        <v>-1</v>
      </c>
      <c r="AA95" s="30" t="n">
        <f aca="false">IF(W95="",0,IF(AND(Z95=0,ABS(W95)&gt;Inputs!$B$5,ABS(W95)&lt;=Inputs!$B$7),1,0))</f>
        <v>0</v>
      </c>
      <c r="AB95" s="30" t="n">
        <f aca="false">IF(W95="",0,IF(AA95=1,-SIGN(W95),Z95))</f>
        <v>-1</v>
      </c>
      <c r="AC95" s="30" t="n">
        <f aca="false">IF(W95="",0,IF(AA95=1,0,IF(Y95=1,0,X95)))</f>
        <v>4</v>
      </c>
      <c r="AD95" s="29" t="n">
        <f aca="false">IF(AB95=0,0,IF(AB94=AB95,AD94,T95))</f>
        <v>1.05538281345578</v>
      </c>
      <c r="AE95" s="30" t="n">
        <f aca="false">AB95-AB94</f>
        <v>0</v>
      </c>
      <c r="AF95" s="30" t="n">
        <f aca="false">-AD95*AB95</f>
        <v>1.05538281345578</v>
      </c>
      <c r="AG95" s="30" t="n">
        <f aca="false">AF95-AF94</f>
        <v>0</v>
      </c>
      <c r="AH95" s="30" t="n">
        <f aca="false">MAX(AE95,0)*(Inputs!$B$17+Inputs!$B$18+Inputs!$B$19)+MAX(-AE95,0)*(O95+Inputs!$B$18+Inputs!$B$19)+IF(AND(K95=1,AB95&lt;&gt;0),(Inputs!$B$17+Inputs!$B$18+Inputs!$B$19)+(O95+Inputs!$B$18+Inputs!$B$19),0)+MAX(AG95,0)*(Inputs!$B$20+Inputs!$B$22+Inputs!$B$23)+MAX(-AG95,0)*(Inputs!$B$21+Inputs!$B$22+Inputs!$B$23)</f>
        <v>0</v>
      </c>
      <c r="AI95" s="30" t="n">
        <f aca="false">AB94*(M95-AD94*J95)+AB94*AD94*N95/Inputs!$B$16-AH95</f>
        <v>9.95177685532045E-005</v>
      </c>
      <c r="AJ95" s="30" t="n">
        <f aca="false">MAX(AE95,0)*(Inputs!$B$17+Inputs!$B$24+Inputs!$B$25)+MAX(-AE95,0)*(O95+Inputs!$B$24+Inputs!$B$25)+IF(AND(K95=1,AB95&lt;&gt;0),(Inputs!$B$17+Inputs!$B$24+Inputs!$B$25)+(O95+Inputs!$B$24+Inputs!$B$25),0)+MAX(AG95,0)*(Inputs!$B$20+Inputs!$B$26+Inputs!$B$27)+MAX(-AG95,0)*(Inputs!$B$21+Inputs!$B$26+Inputs!$B$27)</f>
        <v>0</v>
      </c>
      <c r="AK95" s="30" t="n">
        <f aca="false">AB94*(M95-AD94*J95)+AB94*AD94*(N95+Inputs!$B$14)/Inputs!$B$16-AJ95</f>
        <v>6.81075657717824E-005</v>
      </c>
      <c r="AL95" s="30" t="n">
        <f aca="false">IF(AP94&lt;&gt;0,AQ94+1,0)</f>
        <v>4</v>
      </c>
      <c r="AM95" s="30" t="n">
        <f aca="false">IF(W95="",0,IF(AND(AP94&lt;&gt;0,OR(ABS(W95)&gt;Inputs!$B$7,AL95&gt;=Inputs!$B$8,ABS(W95)&lt;Inputs!$B$6)),1,0))</f>
        <v>0</v>
      </c>
      <c r="AN95" s="30" t="n">
        <f aca="false">IF(AM95=1,0,AP94)</f>
        <v>-1</v>
      </c>
      <c r="AO95" s="30" t="n">
        <f aca="false">IF(W95="",0,IF(AND(AN95=0,ABS(W95)&gt;Inputs!$B$5,ABS(W95)&lt;=Inputs!$B$7,W95&gt;0),1,0))</f>
        <v>0</v>
      </c>
      <c r="AP95" s="30" t="n">
        <f aca="false">IF(W95="",0,IF(AO95=1,-SIGN(W95),AN95))</f>
        <v>-1</v>
      </c>
      <c r="AQ95" s="30" t="n">
        <f aca="false">IF(W95="",0,IF(AO95=1,0,IF(AM95=1,0,AL95)))</f>
        <v>4</v>
      </c>
      <c r="AR95" s="29" t="n">
        <f aca="false">IF(AP95=0,0,IF(AP94=AP95,AR94,T95))</f>
        <v>1.05538281345578</v>
      </c>
      <c r="AS95" s="30" t="n">
        <f aca="false">AP95-AP94</f>
        <v>0</v>
      </c>
      <c r="AT95" s="30" t="n">
        <f aca="false">-AR95*AP95</f>
        <v>1.05538281345578</v>
      </c>
      <c r="AU95" s="30" t="n">
        <f aca="false">AT95-AT94</f>
        <v>0</v>
      </c>
      <c r="AV95" s="30" t="n">
        <f aca="false">MAX(AS95,0)*(Inputs!$B$17+Inputs!$B$18+Inputs!$B$19)+MAX(-AS95,0)*(O95+Inputs!$B$18+Inputs!$B$19)+IF(AND(K95=1,AP95&lt;&gt;0),(Inputs!$B$17+Inputs!$B$18+Inputs!$B$19)+(O95+Inputs!$B$18+Inputs!$B$19),0)+MAX(AU95,0)*(Inputs!$B$20+Inputs!$B$22+Inputs!$B$23)+MAX(-AU95,0)*(Inputs!$B$21+Inputs!$B$22+Inputs!$B$23)</f>
        <v>0</v>
      </c>
      <c r="AW95" s="30" t="n">
        <f aca="false">AP94*(M95-AR94*J95)+AP94*AR94*N95/Inputs!$B$16-AV95</f>
        <v>9.95177685532045E-005</v>
      </c>
      <c r="AX95" s="30" t="n">
        <f aca="false">AW95-IF(AP94&lt;&gt;0,0.75*AR94*(Inputs!$B$13-N95)/Inputs!$B$16,0)</f>
        <v>-0.000136058752307462</v>
      </c>
      <c r="AY95" s="30" t="n">
        <f aca="false">MAX(AS95,0)*(Inputs!$B$17+Inputs!$B$18+Inputs!$B$19)+MAX(-AS95,0)*(O95+Inputs!$B$18+Inputs!$B$19)+IF(AND(K95=1,AP95&lt;&gt;0),(Inputs!$B$17+Inputs!$B$18+Inputs!$B$19)+(O95+Inputs!$B$18+Inputs!$B$19),0)</f>
        <v>0</v>
      </c>
      <c r="AZ95" s="30" t="n">
        <f aca="false">AP94*M95-AY95</f>
        <v>-0.00517600418112707</v>
      </c>
      <c r="BA95" s="32" t="n">
        <f aca="false">BA94+AI95</f>
        <v>-0.00341304181667024</v>
      </c>
      <c r="BB95" s="30" t="n">
        <f aca="false">MAX(BB94,BA95)</f>
        <v>0</v>
      </c>
      <c r="BC95" s="32" t="n">
        <f aca="false">BA95-BB95</f>
        <v>-0.00341304181667024</v>
      </c>
      <c r="BD95" s="30" t="n">
        <f aca="false">A96-A95</f>
        <v>1</v>
      </c>
    </row>
    <row r="96" customFormat="false" ht="15" hidden="false" customHeight="false" outlineLevel="0" collapsed="false">
      <c r="A96" s="28" t="n">
        <v>45177</v>
      </c>
      <c r="B96" s="0" t="n">
        <v>19874</v>
      </c>
      <c r="C96" s="0" t="n">
        <v>218.48</v>
      </c>
      <c r="D96" s="29" t="n">
        <f aca="false">LN(B96)</f>
        <v>9.89716762379131</v>
      </c>
      <c r="E96" s="29" t="n">
        <f aca="false">LN(C96)</f>
        <v>5.38669447716545</v>
      </c>
      <c r="F96" s="0" t="n">
        <v>91</v>
      </c>
      <c r="G96" s="0" t="n">
        <v>20</v>
      </c>
      <c r="H96" s="29" t="n">
        <f aca="false">D96-E96</f>
        <v>4.51047314662586</v>
      </c>
      <c r="I96" s="29" t="n">
        <f aca="false">D96-D95</f>
        <v>0.00539593474427136</v>
      </c>
      <c r="J96" s="29" t="n">
        <f aca="false">E96-E95</f>
        <v>0.0047715267626165</v>
      </c>
      <c r="K96" s="0" t="n">
        <v>0</v>
      </c>
      <c r="L96" s="0" t="n">
        <v>0</v>
      </c>
      <c r="M96" s="29" t="n">
        <f aca="false">IF(L96=1,J96-Carry!$B$9/Inputs!$B$16,I96)</f>
        <v>0.00539593474427136</v>
      </c>
      <c r="N96" s="0" t="n">
        <v>0.065</v>
      </c>
      <c r="O96" s="0" t="n">
        <v>0.000125</v>
      </c>
      <c r="P96" s="29" t="n">
        <f aca="false">D96-('2 Hedge ratio'!$B$6+'2 Hedge ratio'!$B$5*E96)</f>
        <v>0.00045258802532544</v>
      </c>
      <c r="Q96" s="29" t="n">
        <f aca="false">D96-('5 Re-specification'!$B$7+'5 Re-specification'!$B$5*E96+'5 Re-specification'!$B$6*F96)</f>
        <v>-0.00031492864803262</v>
      </c>
      <c r="R96" s="30" t="n">
        <f aca="false">MIN(F96,Inputs!$B$9)</f>
        <v>91</v>
      </c>
      <c r="S96" s="29" t="n">
        <f aca="true">IF(AND(F96&gt;=1,R96&gt;=Inputs!$B$10),INDEX(LINEST(OFFSET(D96,-R96,0,R96,1),OFFSET(E96,-R96,0,R96,2)),1,1),"")</f>
        <v>-0.000157159390079365</v>
      </c>
      <c r="T96" s="29" t="n">
        <f aca="true">IF(AND(F96&gt;=1,R96&gt;=Inputs!$B$10),INDEX(LINEST(OFFSET(D96,-R96,0,R96,1),OFFSET(E96,-R96,0,R96,2)),1,2),"")</f>
        <v>1.03734845233341</v>
      </c>
      <c r="U96" s="29" t="n">
        <f aca="true">IF(AND(F96&gt;=1,R96&gt;=Inputs!$B$10),INDEX(LINEST(OFFSET(D96,-R96,0,R96,1),OFFSET(E96,-R96,0,R96,2)),1,3),"")</f>
        <v>4.32038018768176</v>
      </c>
      <c r="V96" s="29" t="n">
        <f aca="true">IF(AND(F96&gt;=1,R96&gt;=Inputs!$B$10),SQRT(SUMPRODUCT((OFFSET(D96,-R96,0,R96,1)-U96-T96*OFFSET(E96,-R96,0,R96,1)-S96*OFFSET(F96,-R96,0,R96,1))^2)/(R96-3)),"")</f>
        <v>0.00192187355193102</v>
      </c>
      <c r="W96" s="31" t="n">
        <f aca="false">IF(AND(F96&gt;=1,R96&gt;=Inputs!$B$10),(D96-U96-T96*E96-S96*F96)/V96,"")</f>
        <v>1.67012107693625</v>
      </c>
      <c r="X96" s="30" t="n">
        <f aca="false">IF(AB95&lt;&gt;0,AC95+1,0)</f>
        <v>5</v>
      </c>
      <c r="Y96" s="30" t="n">
        <f aca="false">IF(W96="",0,IF(AND(AB95&lt;&gt;0,OR(ABS(W96)&gt;Inputs!$B$7,X96&gt;=Inputs!$B$8,ABS(W96)&lt;Inputs!$B$6)),1,0))</f>
        <v>0</v>
      </c>
      <c r="Z96" s="30" t="n">
        <f aca="false">IF(Y96=1,0,AB95)</f>
        <v>-1</v>
      </c>
      <c r="AA96" s="30" t="n">
        <f aca="false">IF(W96="",0,IF(AND(Z96=0,ABS(W96)&gt;Inputs!$B$5,ABS(W96)&lt;=Inputs!$B$7),1,0))</f>
        <v>0</v>
      </c>
      <c r="AB96" s="30" t="n">
        <f aca="false">IF(W96="",0,IF(AA96=1,-SIGN(W96),Z96))</f>
        <v>-1</v>
      </c>
      <c r="AC96" s="30" t="n">
        <f aca="false">IF(W96="",0,IF(AA96=1,0,IF(Y96=1,0,X96)))</f>
        <v>5</v>
      </c>
      <c r="AD96" s="29" t="n">
        <f aca="false">IF(AB96=0,0,IF(AB95=AB96,AD95,T96))</f>
        <v>1.05538281345578</v>
      </c>
      <c r="AE96" s="30" t="n">
        <f aca="false">AB96-AB95</f>
        <v>0</v>
      </c>
      <c r="AF96" s="30" t="n">
        <f aca="false">-AD96*AB96</f>
        <v>1.05538281345578</v>
      </c>
      <c r="AG96" s="30" t="n">
        <f aca="false">AF96-AF95</f>
        <v>0</v>
      </c>
      <c r="AH96" s="30" t="n">
        <f aca="false">MAX(AE96,0)*(Inputs!$B$17+Inputs!$B$18+Inputs!$B$19)+MAX(-AE96,0)*(O96+Inputs!$B$18+Inputs!$B$19)+IF(AND(K96=1,AB96&lt;&gt;0),(Inputs!$B$17+Inputs!$B$18+Inputs!$B$19)+(O96+Inputs!$B$18+Inputs!$B$19),0)+MAX(AG96,0)*(Inputs!$B$20+Inputs!$B$22+Inputs!$B$23)+MAX(-AG96,0)*(Inputs!$B$21+Inputs!$B$22+Inputs!$B$23)</f>
        <v>0</v>
      </c>
      <c r="AI96" s="30" t="n">
        <f aca="false">AB95*(M96-AD95*J96)+AB95*AD95*N96/Inputs!$B$16-AH96</f>
        <v>-0.000632369162500586</v>
      </c>
      <c r="AJ96" s="30" t="n">
        <f aca="false">MAX(AE96,0)*(Inputs!$B$17+Inputs!$B$24+Inputs!$B$25)+MAX(-AE96,0)*(O96+Inputs!$B$24+Inputs!$B$25)+IF(AND(K96=1,AB96&lt;&gt;0),(Inputs!$B$17+Inputs!$B$24+Inputs!$B$25)+(O96+Inputs!$B$24+Inputs!$B$25),0)+MAX(AG96,0)*(Inputs!$B$20+Inputs!$B$26+Inputs!$B$27)+MAX(-AG96,0)*(Inputs!$B$21+Inputs!$B$26+Inputs!$B$27)</f>
        <v>0</v>
      </c>
      <c r="AK96" s="30" t="n">
        <f aca="false">AB95*(M96-AD95*J96)+AB95*AD95*(N96+Inputs!$B$14)/Inputs!$B$16-AJ96</f>
        <v>-0.000663779365282008</v>
      </c>
      <c r="AL96" s="30" t="n">
        <f aca="false">IF(AP95&lt;&gt;0,AQ95+1,0)</f>
        <v>5</v>
      </c>
      <c r="AM96" s="30" t="n">
        <f aca="false">IF(W96="",0,IF(AND(AP95&lt;&gt;0,OR(ABS(W96)&gt;Inputs!$B$7,AL96&gt;=Inputs!$B$8,ABS(W96)&lt;Inputs!$B$6)),1,0))</f>
        <v>0</v>
      </c>
      <c r="AN96" s="30" t="n">
        <f aca="false">IF(AM96=1,0,AP95)</f>
        <v>-1</v>
      </c>
      <c r="AO96" s="30" t="n">
        <f aca="false">IF(W96="",0,IF(AND(AN96=0,ABS(W96)&gt;Inputs!$B$5,ABS(W96)&lt;=Inputs!$B$7,W96&gt;0),1,0))</f>
        <v>0</v>
      </c>
      <c r="AP96" s="30" t="n">
        <f aca="false">IF(W96="",0,IF(AO96=1,-SIGN(W96),AN96))</f>
        <v>-1</v>
      </c>
      <c r="AQ96" s="30" t="n">
        <f aca="false">IF(W96="",0,IF(AO96=1,0,IF(AM96=1,0,AL96)))</f>
        <v>5</v>
      </c>
      <c r="AR96" s="29" t="n">
        <f aca="false">IF(AP96=0,0,IF(AP95=AP96,AR95,T96))</f>
        <v>1.05538281345578</v>
      </c>
      <c r="AS96" s="30" t="n">
        <f aca="false">AP96-AP95</f>
        <v>0</v>
      </c>
      <c r="AT96" s="30" t="n">
        <f aca="false">-AR96*AP96</f>
        <v>1.05538281345578</v>
      </c>
      <c r="AU96" s="30" t="n">
        <f aca="false">AT96-AT95</f>
        <v>0</v>
      </c>
      <c r="AV96" s="30" t="n">
        <f aca="false">MAX(AS96,0)*(Inputs!$B$17+Inputs!$B$18+Inputs!$B$19)+MAX(-AS96,0)*(O96+Inputs!$B$18+Inputs!$B$19)+IF(AND(K96=1,AP96&lt;&gt;0),(Inputs!$B$17+Inputs!$B$18+Inputs!$B$19)+(O96+Inputs!$B$18+Inputs!$B$19),0)+MAX(AU96,0)*(Inputs!$B$20+Inputs!$B$22+Inputs!$B$23)+MAX(-AU96,0)*(Inputs!$B$21+Inputs!$B$22+Inputs!$B$23)</f>
        <v>0</v>
      </c>
      <c r="AW96" s="30" t="n">
        <f aca="false">AP95*(M96-AR95*J96)+AP95*AR95*N96/Inputs!$B$16-AV96</f>
        <v>-0.000632369162500586</v>
      </c>
      <c r="AX96" s="30" t="n">
        <f aca="false">AW96-IF(AP95&lt;&gt;0,0.75*AR95*(Inputs!$B$13-N96)/Inputs!$B$16,0)</f>
        <v>-0.000867945683361252</v>
      </c>
      <c r="AY96" s="30" t="n">
        <f aca="false">MAX(AS96,0)*(Inputs!$B$17+Inputs!$B$18+Inputs!$B$19)+MAX(-AS96,0)*(O96+Inputs!$B$18+Inputs!$B$19)+IF(AND(K96=1,AP96&lt;&gt;0),(Inputs!$B$17+Inputs!$B$18+Inputs!$B$19)+(O96+Inputs!$B$18+Inputs!$B$19),0)</f>
        <v>0</v>
      </c>
      <c r="AZ96" s="30" t="n">
        <f aca="false">AP95*M96-AY96</f>
        <v>-0.00539593474427136</v>
      </c>
      <c r="BA96" s="32" t="n">
        <f aca="false">BA95+AI96</f>
        <v>-0.00404541097917082</v>
      </c>
      <c r="BB96" s="30" t="n">
        <f aca="false">MAX(BB95,BA96)</f>
        <v>0</v>
      </c>
      <c r="BC96" s="32" t="n">
        <f aca="false">BA96-BB96</f>
        <v>-0.00404541097917082</v>
      </c>
      <c r="BD96" s="30" t="n">
        <f aca="false">A97-A96</f>
        <v>3</v>
      </c>
    </row>
    <row r="97" customFormat="false" ht="15" hidden="false" customHeight="false" outlineLevel="0" collapsed="false">
      <c r="A97" s="28" t="n">
        <v>45180</v>
      </c>
      <c r="B97" s="0" t="n">
        <v>20049.5</v>
      </c>
      <c r="C97" s="0" t="n">
        <v>220.4</v>
      </c>
      <c r="D97" s="29" t="n">
        <f aca="false">LN(B97)</f>
        <v>9.90595949476791</v>
      </c>
      <c r="E97" s="29" t="n">
        <f aca="false">LN(C97)</f>
        <v>5.39544407727876</v>
      </c>
      <c r="F97" s="0" t="n">
        <v>92</v>
      </c>
      <c r="G97" s="0" t="n">
        <v>17</v>
      </c>
      <c r="H97" s="29" t="n">
        <f aca="false">D97-E97</f>
        <v>4.51051541748915</v>
      </c>
      <c r="I97" s="29" t="n">
        <f aca="false">D97-D96</f>
        <v>0.00879187097659795</v>
      </c>
      <c r="J97" s="29" t="n">
        <f aca="false">E97-E96</f>
        <v>0.00874960011331005</v>
      </c>
      <c r="K97" s="0" t="n">
        <v>0</v>
      </c>
      <c r="L97" s="0" t="n">
        <v>0</v>
      </c>
      <c r="M97" s="29" t="n">
        <f aca="false">IF(L97=1,J97-Carry!$B$9/Inputs!$B$16,I97)</f>
        <v>0.00879187097659795</v>
      </c>
      <c r="N97" s="0" t="n">
        <v>0.065</v>
      </c>
      <c r="O97" s="0" t="n">
        <v>0.000125</v>
      </c>
      <c r="P97" s="29" t="n">
        <f aca="false">D97-('2 Hedge ratio'!$B$6+'2 Hedge ratio'!$B$5*E97)</f>
        <v>0.00122871620541432</v>
      </c>
      <c r="Q97" s="29" t="n">
        <f aca="false">D97-('5 Re-specification'!$B$7+'5 Re-specification'!$B$5*E97+'5 Re-specification'!$B$6*F97)</f>
        <v>-0.000201212803320416</v>
      </c>
      <c r="R97" s="30" t="n">
        <f aca="false">MIN(F97,Inputs!$B$9)</f>
        <v>92</v>
      </c>
      <c r="S97" s="29" t="n">
        <f aca="true">IF(AND(F97&gt;=1,R97&gt;=Inputs!$B$10),INDEX(LINEST(OFFSET(D97,-R97,0,R97,1),OFFSET(E97,-R97,0,R97,2)),1,1),"")</f>
        <v>-0.000153793084916515</v>
      </c>
      <c r="T97" s="29" t="n">
        <f aca="true">IF(AND(F97&gt;=1,R97&gt;=Inputs!$B$10),INDEX(LINEST(OFFSET(D97,-R97,0,R97,1),OFFSET(E97,-R97,0,R97,2)),1,2),"")</f>
        <v>1.03629484475698</v>
      </c>
      <c r="U97" s="29" t="n">
        <f aca="true">IF(AND(F97&gt;=1,R97&gt;=Inputs!$B$10),INDEX(LINEST(OFFSET(D97,-R97,0,R97,1),OFFSET(E97,-R97,0,R97,2)),1,3),"")</f>
        <v>4.32589240919161</v>
      </c>
      <c r="V97" s="29" t="n">
        <f aca="true">IF(AND(F97&gt;=1,R97&gt;=Inputs!$B$10),SQRT(SUMPRODUCT((OFFSET(D97,-R97,0,R97,1)-U97-T97*OFFSET(E97,-R97,0,R97,1)-S97*OFFSET(F97,-R97,0,R97,1))^2)/(R97-3)),"")</f>
        <v>0.00193976685058111</v>
      </c>
      <c r="W97" s="31" t="n">
        <f aca="false">IF(AND(F97&gt;=1,R97&gt;=Inputs!$B$10),(D97-U97-T97*E97-S97*F97)/V97,"")</f>
        <v>1.51830975417893</v>
      </c>
      <c r="X97" s="30" t="n">
        <f aca="false">IF(AB96&lt;&gt;0,AC96+1,0)</f>
        <v>6</v>
      </c>
      <c r="Y97" s="30" t="n">
        <f aca="false">IF(W97="",0,IF(AND(AB96&lt;&gt;0,OR(ABS(W97)&gt;Inputs!$B$7,X97&gt;=Inputs!$B$8,ABS(W97)&lt;Inputs!$B$6)),1,0))</f>
        <v>0</v>
      </c>
      <c r="Z97" s="30" t="n">
        <f aca="false">IF(Y97=1,0,AB96)</f>
        <v>-1</v>
      </c>
      <c r="AA97" s="30" t="n">
        <f aca="false">IF(W97="",0,IF(AND(Z97=0,ABS(W97)&gt;Inputs!$B$5,ABS(W97)&lt;=Inputs!$B$7),1,0))</f>
        <v>0</v>
      </c>
      <c r="AB97" s="30" t="n">
        <f aca="false">IF(W97="",0,IF(AA97=1,-SIGN(W97),Z97))</f>
        <v>-1</v>
      </c>
      <c r="AC97" s="30" t="n">
        <f aca="false">IF(W97="",0,IF(AA97=1,0,IF(Y97=1,0,X97)))</f>
        <v>6</v>
      </c>
      <c r="AD97" s="29" t="n">
        <f aca="false">IF(AB97=0,0,IF(AB96=AB97,AD96,T97))</f>
        <v>1.05538281345578</v>
      </c>
      <c r="AE97" s="30" t="n">
        <f aca="false">AB97-AB96</f>
        <v>0</v>
      </c>
      <c r="AF97" s="30" t="n">
        <f aca="false">-AD97*AB97</f>
        <v>1.05538281345578</v>
      </c>
      <c r="AG97" s="30" t="n">
        <f aca="false">AF97-AF96</f>
        <v>0</v>
      </c>
      <c r="AH97" s="30" t="n">
        <f aca="false">MAX(AE97,0)*(Inputs!$B$17+Inputs!$B$18+Inputs!$B$19)+MAX(-AE97,0)*(O97+Inputs!$B$18+Inputs!$B$19)+IF(AND(K97=1,AB97&lt;&gt;0),(Inputs!$B$17+Inputs!$B$18+Inputs!$B$19)+(O97+Inputs!$B$18+Inputs!$B$19),0)+MAX(AG97,0)*(Inputs!$B$20+Inputs!$B$22+Inputs!$B$23)+MAX(-AG97,0)*(Inputs!$B$21+Inputs!$B$22+Inputs!$B$23)</f>
        <v>0</v>
      </c>
      <c r="AI97" s="30" t="n">
        <f aca="false">AB96*(M97-AD96*J97)+AB96*AD96*N97/Inputs!$B$16-AH97</f>
        <v>0.000170084850161265</v>
      </c>
      <c r="AJ97" s="30" t="n">
        <f aca="false">MAX(AE97,0)*(Inputs!$B$17+Inputs!$B$24+Inputs!$B$25)+MAX(-AE97,0)*(O97+Inputs!$B$24+Inputs!$B$25)+IF(AND(K97=1,AB97&lt;&gt;0),(Inputs!$B$17+Inputs!$B$24+Inputs!$B$25)+(O97+Inputs!$B$24+Inputs!$B$25),0)+MAX(AG97,0)*(Inputs!$B$20+Inputs!$B$26+Inputs!$B$27)+MAX(-AG97,0)*(Inputs!$B$21+Inputs!$B$26+Inputs!$B$27)</f>
        <v>0</v>
      </c>
      <c r="AK97" s="30" t="n">
        <f aca="false">AB96*(M97-AD96*J97)+AB96*AD96*(N97+Inputs!$B$14)/Inputs!$B$16-AJ97</f>
        <v>0.000138674647379843</v>
      </c>
      <c r="AL97" s="30" t="n">
        <f aca="false">IF(AP96&lt;&gt;0,AQ96+1,0)</f>
        <v>6</v>
      </c>
      <c r="AM97" s="30" t="n">
        <f aca="false">IF(W97="",0,IF(AND(AP96&lt;&gt;0,OR(ABS(W97)&gt;Inputs!$B$7,AL97&gt;=Inputs!$B$8,ABS(W97)&lt;Inputs!$B$6)),1,0))</f>
        <v>0</v>
      </c>
      <c r="AN97" s="30" t="n">
        <f aca="false">IF(AM97=1,0,AP96)</f>
        <v>-1</v>
      </c>
      <c r="AO97" s="30" t="n">
        <f aca="false">IF(W97="",0,IF(AND(AN97=0,ABS(W97)&gt;Inputs!$B$5,ABS(W97)&lt;=Inputs!$B$7,W97&gt;0),1,0))</f>
        <v>0</v>
      </c>
      <c r="AP97" s="30" t="n">
        <f aca="false">IF(W97="",0,IF(AO97=1,-SIGN(W97),AN97))</f>
        <v>-1</v>
      </c>
      <c r="AQ97" s="30" t="n">
        <f aca="false">IF(W97="",0,IF(AO97=1,0,IF(AM97=1,0,AL97)))</f>
        <v>6</v>
      </c>
      <c r="AR97" s="29" t="n">
        <f aca="false">IF(AP97=0,0,IF(AP96=AP97,AR96,T97))</f>
        <v>1.05538281345578</v>
      </c>
      <c r="AS97" s="30" t="n">
        <f aca="false">AP97-AP96</f>
        <v>0</v>
      </c>
      <c r="AT97" s="30" t="n">
        <f aca="false">-AR97*AP97</f>
        <v>1.05538281345578</v>
      </c>
      <c r="AU97" s="30" t="n">
        <f aca="false">AT97-AT96</f>
        <v>0</v>
      </c>
      <c r="AV97" s="30" t="n">
        <f aca="false">MAX(AS97,0)*(Inputs!$B$17+Inputs!$B$18+Inputs!$B$19)+MAX(-AS97,0)*(O97+Inputs!$B$18+Inputs!$B$19)+IF(AND(K97=1,AP97&lt;&gt;0),(Inputs!$B$17+Inputs!$B$18+Inputs!$B$19)+(O97+Inputs!$B$18+Inputs!$B$19),0)+MAX(AU97,0)*(Inputs!$B$20+Inputs!$B$22+Inputs!$B$23)+MAX(-AU97,0)*(Inputs!$B$21+Inputs!$B$22+Inputs!$B$23)</f>
        <v>0</v>
      </c>
      <c r="AW97" s="30" t="n">
        <f aca="false">AP96*(M97-AR96*J97)+AP96*AR96*N97/Inputs!$B$16-AV97</f>
        <v>0.000170084850161265</v>
      </c>
      <c r="AX97" s="30" t="n">
        <f aca="false">AW97-IF(AP96&lt;&gt;0,0.75*AR96*(Inputs!$B$13-N97)/Inputs!$B$16,0)</f>
        <v>-6.54916706994013E-005</v>
      </c>
      <c r="AY97" s="30" t="n">
        <f aca="false">MAX(AS97,0)*(Inputs!$B$17+Inputs!$B$18+Inputs!$B$19)+MAX(-AS97,0)*(O97+Inputs!$B$18+Inputs!$B$19)+IF(AND(K97=1,AP97&lt;&gt;0),(Inputs!$B$17+Inputs!$B$18+Inputs!$B$19)+(O97+Inputs!$B$18+Inputs!$B$19),0)</f>
        <v>0</v>
      </c>
      <c r="AZ97" s="30" t="n">
        <f aca="false">AP96*M97-AY97</f>
        <v>-0.00879187097659795</v>
      </c>
      <c r="BA97" s="32" t="n">
        <f aca="false">BA96+AI97</f>
        <v>-0.00387532612900956</v>
      </c>
      <c r="BB97" s="30" t="n">
        <f aca="false">MAX(BB96,BA97)</f>
        <v>0</v>
      </c>
      <c r="BC97" s="32" t="n">
        <f aca="false">BA97-BB97</f>
        <v>-0.00387532612900956</v>
      </c>
      <c r="BD97" s="30" t="n">
        <f aca="false">A98-A97</f>
        <v>1</v>
      </c>
    </row>
    <row r="98" customFormat="false" ht="15" hidden="false" customHeight="false" outlineLevel="0" collapsed="false">
      <c r="A98" s="28" t="n">
        <v>45181</v>
      </c>
      <c r="B98" s="0" t="n">
        <v>20037.3</v>
      </c>
      <c r="C98" s="0" t="n">
        <v>220.05</v>
      </c>
      <c r="D98" s="29" t="n">
        <f aca="false">LN(B98)</f>
        <v>9.90535081558291</v>
      </c>
      <c r="E98" s="29" t="n">
        <f aca="false">LN(C98)</f>
        <v>5.3938547932571</v>
      </c>
      <c r="F98" s="0" t="n">
        <v>93</v>
      </c>
      <c r="G98" s="0" t="n">
        <v>16</v>
      </c>
      <c r="H98" s="29" t="n">
        <f aca="false">D98-E98</f>
        <v>4.5114960223258</v>
      </c>
      <c r="I98" s="29" t="n">
        <f aca="false">D98-D97</f>
        <v>-0.000608679185001293</v>
      </c>
      <c r="J98" s="29" t="n">
        <f aca="false">E98-E97</f>
        <v>-0.00158928402165959</v>
      </c>
      <c r="K98" s="0" t="n">
        <v>0</v>
      </c>
      <c r="L98" s="0" t="n">
        <v>0</v>
      </c>
      <c r="M98" s="29" t="n">
        <f aca="false">IF(L98=1,J98-Carry!$B$9/Inputs!$B$16,I98)</f>
        <v>-0.000608679185001293</v>
      </c>
      <c r="N98" s="0" t="n">
        <v>0.065</v>
      </c>
      <c r="O98" s="0" t="n">
        <v>0.000125</v>
      </c>
      <c r="P98" s="29" t="n">
        <f aca="false">D98-('2 Hedge ratio'!$B$6+'2 Hedge ratio'!$B$5*E98)</f>
        <v>0.00207602264069706</v>
      </c>
      <c r="Q98" s="29" t="n">
        <f aca="false">D98-('5 Re-specification'!$B$7+'5 Re-specification'!$B$5*E98+'5 Re-specification'!$B$6*F98)</f>
        <v>0.000819505026175449</v>
      </c>
      <c r="R98" s="30" t="n">
        <f aca="false">MIN(F98,Inputs!$B$9)</f>
        <v>93</v>
      </c>
      <c r="S98" s="29" t="n">
        <f aca="true">IF(AND(F98&gt;=1,R98&gt;=Inputs!$B$10),INDEX(LINEST(OFFSET(D98,-R98,0,R98,1),OFFSET(E98,-R98,0,R98,2)),1,1),"")</f>
        <v>-0.000152163923991733</v>
      </c>
      <c r="T98" s="29" t="n">
        <f aca="true">IF(AND(F98&gt;=1,R98&gt;=Inputs!$B$10),INDEX(LINEST(OFFSET(D98,-R98,0,R98,1),OFFSET(E98,-R98,0,R98,2)),1,2),"")</f>
        <v>1.03666481210837</v>
      </c>
      <c r="U98" s="29" t="n">
        <f aca="true">IF(AND(F98&gt;=1,R98&gt;=Inputs!$B$10),INDEX(LINEST(OFFSET(D98,-R98,0,R98,1),OFFSET(E98,-R98,0,R98,2)),1,3),"")</f>
        <v>4.32387181884975</v>
      </c>
      <c r="V98" s="29" t="n">
        <f aca="true">IF(AND(F98&gt;=1,R98&gt;=Inputs!$B$10),SQRT(SUMPRODUCT((OFFSET(D98,-R98,0,R98,1)-U98-T98*OFFSET(E98,-R98,0,R98,1)-S98*OFFSET(F98,-R98,0,R98,1))^2)/(R98-3)),"")</f>
        <v>0.00195273167018884</v>
      </c>
      <c r="W98" s="31" t="n">
        <f aca="false">IF(AND(F98&gt;=1,R98&gt;=Inputs!$B$10),(D98-U98-T98*E98-S98*F98)/V98,"")</f>
        <v>2.05393087741586</v>
      </c>
      <c r="X98" s="30" t="n">
        <f aca="false">IF(AB97&lt;&gt;0,AC97+1,0)</f>
        <v>7</v>
      </c>
      <c r="Y98" s="30" t="n">
        <f aca="false">IF(W98="",0,IF(AND(AB97&lt;&gt;0,OR(ABS(W98)&gt;Inputs!$B$7,X98&gt;=Inputs!$B$8,ABS(W98)&lt;Inputs!$B$6)),1,0))</f>
        <v>0</v>
      </c>
      <c r="Z98" s="30" t="n">
        <f aca="false">IF(Y98=1,0,AB97)</f>
        <v>-1</v>
      </c>
      <c r="AA98" s="30" t="n">
        <f aca="false">IF(W98="",0,IF(AND(Z98=0,ABS(W98)&gt;Inputs!$B$5,ABS(W98)&lt;=Inputs!$B$7),1,0))</f>
        <v>0</v>
      </c>
      <c r="AB98" s="30" t="n">
        <f aca="false">IF(W98="",0,IF(AA98=1,-SIGN(W98),Z98))</f>
        <v>-1</v>
      </c>
      <c r="AC98" s="30" t="n">
        <f aca="false">IF(W98="",0,IF(AA98=1,0,IF(Y98=1,0,X98)))</f>
        <v>7</v>
      </c>
      <c r="AD98" s="29" t="n">
        <f aca="false">IF(AB98=0,0,IF(AB97=AB98,AD97,T98))</f>
        <v>1.05538281345578</v>
      </c>
      <c r="AE98" s="30" t="n">
        <f aca="false">AB98-AB97</f>
        <v>0</v>
      </c>
      <c r="AF98" s="30" t="n">
        <f aca="false">-AD98*AB98</f>
        <v>1.05538281345578</v>
      </c>
      <c r="AG98" s="30" t="n">
        <f aca="false">AF98-AF97</f>
        <v>0</v>
      </c>
      <c r="AH98" s="30" t="n">
        <f aca="false">MAX(AE98,0)*(Inputs!$B$17+Inputs!$B$18+Inputs!$B$19)+MAX(-AE98,0)*(O98+Inputs!$B$18+Inputs!$B$19)+IF(AND(K98=1,AB98&lt;&gt;0),(Inputs!$B$17+Inputs!$B$18+Inputs!$B$19)+(O98+Inputs!$B$18+Inputs!$B$19),0)+MAX(AG98,0)*(Inputs!$B$20+Inputs!$B$22+Inputs!$B$23)+MAX(-AG98,0)*(Inputs!$B$21+Inputs!$B$22+Inputs!$B$23)</f>
        <v>0</v>
      </c>
      <c r="AI98" s="30" t="n">
        <f aca="false">AB97*(M98-AD97*J98)+AB97*AD97*N98/Inputs!$B$16-AH98</f>
        <v>-0.00134084561459712</v>
      </c>
      <c r="AJ98" s="30" t="n">
        <f aca="false">MAX(AE98,0)*(Inputs!$B$17+Inputs!$B$24+Inputs!$B$25)+MAX(-AE98,0)*(O98+Inputs!$B$24+Inputs!$B$25)+IF(AND(K98=1,AB98&lt;&gt;0),(Inputs!$B$17+Inputs!$B$24+Inputs!$B$25)+(O98+Inputs!$B$24+Inputs!$B$25),0)+MAX(AG98,0)*(Inputs!$B$20+Inputs!$B$26+Inputs!$B$27)+MAX(-AG98,0)*(Inputs!$B$21+Inputs!$B$26+Inputs!$B$27)</f>
        <v>0</v>
      </c>
      <c r="AK98" s="30" t="n">
        <f aca="false">AB97*(M98-AD97*J98)+AB97*AD97*(N98+Inputs!$B$14)/Inputs!$B$16-AJ98</f>
        <v>-0.00137225581737854</v>
      </c>
      <c r="AL98" s="30" t="n">
        <f aca="false">IF(AP97&lt;&gt;0,AQ97+1,0)</f>
        <v>7</v>
      </c>
      <c r="AM98" s="30" t="n">
        <f aca="false">IF(W98="",0,IF(AND(AP97&lt;&gt;0,OR(ABS(W98)&gt;Inputs!$B$7,AL98&gt;=Inputs!$B$8,ABS(W98)&lt;Inputs!$B$6)),1,0))</f>
        <v>0</v>
      </c>
      <c r="AN98" s="30" t="n">
        <f aca="false">IF(AM98=1,0,AP97)</f>
        <v>-1</v>
      </c>
      <c r="AO98" s="30" t="n">
        <f aca="false">IF(W98="",0,IF(AND(AN98=0,ABS(W98)&gt;Inputs!$B$5,ABS(W98)&lt;=Inputs!$B$7,W98&gt;0),1,0))</f>
        <v>0</v>
      </c>
      <c r="AP98" s="30" t="n">
        <f aca="false">IF(W98="",0,IF(AO98=1,-SIGN(W98),AN98))</f>
        <v>-1</v>
      </c>
      <c r="AQ98" s="30" t="n">
        <f aca="false">IF(W98="",0,IF(AO98=1,0,IF(AM98=1,0,AL98)))</f>
        <v>7</v>
      </c>
      <c r="AR98" s="29" t="n">
        <f aca="false">IF(AP98=0,0,IF(AP97=AP98,AR97,T98))</f>
        <v>1.05538281345578</v>
      </c>
      <c r="AS98" s="30" t="n">
        <f aca="false">AP98-AP97</f>
        <v>0</v>
      </c>
      <c r="AT98" s="30" t="n">
        <f aca="false">-AR98*AP98</f>
        <v>1.05538281345578</v>
      </c>
      <c r="AU98" s="30" t="n">
        <f aca="false">AT98-AT97</f>
        <v>0</v>
      </c>
      <c r="AV98" s="30" t="n">
        <f aca="false">MAX(AS98,0)*(Inputs!$B$17+Inputs!$B$18+Inputs!$B$19)+MAX(-AS98,0)*(O98+Inputs!$B$18+Inputs!$B$19)+IF(AND(K98=1,AP98&lt;&gt;0),(Inputs!$B$17+Inputs!$B$18+Inputs!$B$19)+(O98+Inputs!$B$18+Inputs!$B$19),0)+MAX(AU98,0)*(Inputs!$B$20+Inputs!$B$22+Inputs!$B$23)+MAX(-AU98,0)*(Inputs!$B$21+Inputs!$B$22+Inputs!$B$23)</f>
        <v>0</v>
      </c>
      <c r="AW98" s="30" t="n">
        <f aca="false">AP97*(M98-AR97*J98)+AP97*AR97*N98/Inputs!$B$16-AV98</f>
        <v>-0.00134084561459712</v>
      </c>
      <c r="AX98" s="30" t="n">
        <f aca="false">AW98-IF(AP97&lt;&gt;0,0.75*AR97*(Inputs!$B$13-N98)/Inputs!$B$16,0)</f>
        <v>-0.00157642213545778</v>
      </c>
      <c r="AY98" s="30" t="n">
        <f aca="false">MAX(AS98,0)*(Inputs!$B$17+Inputs!$B$18+Inputs!$B$19)+MAX(-AS98,0)*(O98+Inputs!$B$18+Inputs!$B$19)+IF(AND(K98=1,AP98&lt;&gt;0),(Inputs!$B$17+Inputs!$B$18+Inputs!$B$19)+(O98+Inputs!$B$18+Inputs!$B$19),0)</f>
        <v>0</v>
      </c>
      <c r="AZ98" s="30" t="n">
        <f aca="false">AP97*M98-AY98</f>
        <v>0.000608679185001293</v>
      </c>
      <c r="BA98" s="32" t="n">
        <f aca="false">BA97+AI98</f>
        <v>-0.00521617174360668</v>
      </c>
      <c r="BB98" s="30" t="n">
        <f aca="false">MAX(BB97,BA98)</f>
        <v>0</v>
      </c>
      <c r="BC98" s="32" t="n">
        <f aca="false">BA98-BB98</f>
        <v>-0.00521617174360668</v>
      </c>
      <c r="BD98" s="30" t="n">
        <f aca="false">A99-A98</f>
        <v>1</v>
      </c>
    </row>
    <row r="99" customFormat="false" ht="15" hidden="false" customHeight="false" outlineLevel="0" collapsed="false">
      <c r="A99" s="28" t="n">
        <v>45182</v>
      </c>
      <c r="B99" s="0" t="n">
        <v>20130.95</v>
      </c>
      <c r="C99" s="0" t="n">
        <v>221.49</v>
      </c>
      <c r="D99" s="29" t="n">
        <f aca="false">LN(B99)</f>
        <v>9.91001371076419</v>
      </c>
      <c r="E99" s="29" t="n">
        <f aca="false">LN(C99)</f>
        <v>5.40037744173918</v>
      </c>
      <c r="F99" s="0" t="n">
        <v>94</v>
      </c>
      <c r="G99" s="0" t="n">
        <v>15</v>
      </c>
      <c r="H99" s="29" t="n">
        <f aca="false">D99-E99</f>
        <v>4.509636269025</v>
      </c>
      <c r="I99" s="29" t="n">
        <f aca="false">D99-D98</f>
        <v>0.00466289518128171</v>
      </c>
      <c r="J99" s="29" t="n">
        <f aca="false">E99-E98</f>
        <v>0.0065226484820835</v>
      </c>
      <c r="K99" s="0" t="n">
        <v>0</v>
      </c>
      <c r="L99" s="0" t="n">
        <v>0</v>
      </c>
      <c r="M99" s="29" t="n">
        <f aca="false">IF(L99=1,J99-Carry!$B$9/Inputs!$B$16,I99)</f>
        <v>0.00466289518128171</v>
      </c>
      <c r="N99" s="0" t="n">
        <v>0.065</v>
      </c>
      <c r="O99" s="0" t="n">
        <v>0.000125</v>
      </c>
      <c r="P99" s="29" t="n">
        <f aca="false">D99-('2 Hedge ratio'!$B$6+'2 Hedge ratio'!$B$5*E99)</f>
        <v>0.000763345006383531</v>
      </c>
      <c r="Q99" s="29" t="n">
        <f aca="false">D99-('5 Re-specification'!$B$7+'5 Re-specification'!$B$5*E99+'5 Re-specification'!$B$6*F99)</f>
        <v>-0.000975552070167751</v>
      </c>
      <c r="R99" s="30" t="n">
        <f aca="false">MIN(F99,Inputs!$B$9)</f>
        <v>94</v>
      </c>
      <c r="S99" s="29" t="n">
        <f aca="true">IF(AND(F99&gt;=1,R99&gt;=Inputs!$B$10),INDEX(LINEST(OFFSET(D99,-R99,0,R99,1),OFFSET(E99,-R99,0,R99,2)),1,1),"")</f>
        <v>-0.00014933627924456</v>
      </c>
      <c r="T99" s="29" t="n">
        <f aca="true">IF(AND(F99&gt;=1,R99&gt;=Inputs!$B$10),INDEX(LINEST(OFFSET(D99,-R99,0,R99,1),OFFSET(E99,-R99,0,R99,2)),1,2),"")</f>
        <v>1.0365394738515</v>
      </c>
      <c r="U99" s="29" t="n">
        <f aca="true">IF(AND(F99&gt;=1,R99&gt;=Inputs!$B$10),INDEX(LINEST(OFFSET(D99,-R99,0,R99,1),OFFSET(E99,-R99,0,R99,2)),1,3),"")</f>
        <v>4.32445294633364</v>
      </c>
      <c r="V99" s="29" t="n">
        <f aca="true">IF(AND(F99&gt;=1,R99&gt;=Inputs!$B$10),SQRT(SUMPRODUCT((OFFSET(D99,-R99,0,R99,1)-U99-T99*OFFSET(E99,-R99,0,R99,1)-S99*OFFSET(F99,-R99,0,R99,1))^2)/(R99-3)),"")</f>
        <v>0.00198510063344983</v>
      </c>
      <c r="W99" s="31" t="n">
        <f aca="false">IF(AND(F99&gt;=1,R99&gt;=Inputs!$B$10),(D99-U99-T99*E99-S99*F99)/V99,"")</f>
        <v>0.954099045544216</v>
      </c>
      <c r="X99" s="30" t="n">
        <f aca="false">IF(AB98&lt;&gt;0,AC98+1,0)</f>
        <v>8</v>
      </c>
      <c r="Y99" s="30" t="n">
        <f aca="false">IF(W99="",0,IF(AND(AB98&lt;&gt;0,OR(ABS(W99)&gt;Inputs!$B$7,X99&gt;=Inputs!$B$8,ABS(W99)&lt;Inputs!$B$6)),1,0))</f>
        <v>0</v>
      </c>
      <c r="Z99" s="30" t="n">
        <f aca="false">IF(Y99=1,0,AB98)</f>
        <v>-1</v>
      </c>
      <c r="AA99" s="30" t="n">
        <f aca="false">IF(W99="",0,IF(AND(Z99=0,ABS(W99)&gt;Inputs!$B$5,ABS(W99)&lt;=Inputs!$B$7),1,0))</f>
        <v>0</v>
      </c>
      <c r="AB99" s="30" t="n">
        <f aca="false">IF(W99="",0,IF(AA99=1,-SIGN(W99),Z99))</f>
        <v>-1</v>
      </c>
      <c r="AC99" s="30" t="n">
        <f aca="false">IF(W99="",0,IF(AA99=1,0,IF(Y99=1,0,X99)))</f>
        <v>8</v>
      </c>
      <c r="AD99" s="29" t="n">
        <f aca="false">IF(AB99=0,0,IF(AB98=AB99,AD98,T99))</f>
        <v>1.05538281345578</v>
      </c>
      <c r="AE99" s="30" t="n">
        <f aca="false">AB99-AB98</f>
        <v>0</v>
      </c>
      <c r="AF99" s="30" t="n">
        <f aca="false">-AD99*AB99</f>
        <v>1.05538281345578</v>
      </c>
      <c r="AG99" s="30" t="n">
        <f aca="false">AF99-AF98</f>
        <v>0</v>
      </c>
      <c r="AH99" s="30" t="n">
        <f aca="false">MAX(AE99,0)*(Inputs!$B$17+Inputs!$B$18+Inputs!$B$19)+MAX(-AE99,0)*(O99+Inputs!$B$18+Inputs!$B$19)+IF(AND(K99=1,AB99&lt;&gt;0),(Inputs!$B$17+Inputs!$B$18+Inputs!$B$19)+(O99+Inputs!$B$18+Inputs!$B$19),0)+MAX(AG99,0)*(Inputs!$B$20+Inputs!$B$22+Inputs!$B$23)+MAX(-AG99,0)*(Inputs!$B$21+Inputs!$B$22+Inputs!$B$23)</f>
        <v>0</v>
      </c>
      <c r="AI99" s="30" t="n">
        <f aca="false">AB98*(M99-AD98*J99)+AB98*AD98*N99/Inputs!$B$16-AH99</f>
        <v>0.00194877416748368</v>
      </c>
      <c r="AJ99" s="30" t="n">
        <f aca="false">MAX(AE99,0)*(Inputs!$B$17+Inputs!$B$24+Inputs!$B$25)+MAX(-AE99,0)*(O99+Inputs!$B$24+Inputs!$B$25)+IF(AND(K99=1,AB99&lt;&gt;0),(Inputs!$B$17+Inputs!$B$24+Inputs!$B$25)+(O99+Inputs!$B$24+Inputs!$B$25),0)+MAX(AG99,0)*(Inputs!$B$20+Inputs!$B$26+Inputs!$B$27)+MAX(-AG99,0)*(Inputs!$B$21+Inputs!$B$26+Inputs!$B$27)</f>
        <v>0</v>
      </c>
      <c r="AK99" s="30" t="n">
        <f aca="false">AB98*(M99-AD98*J99)+AB98*AD98*(N99+Inputs!$B$14)/Inputs!$B$16-AJ99</f>
        <v>0.00191736396470226</v>
      </c>
      <c r="AL99" s="30" t="n">
        <f aca="false">IF(AP98&lt;&gt;0,AQ98+1,0)</f>
        <v>8</v>
      </c>
      <c r="AM99" s="30" t="n">
        <f aca="false">IF(W99="",0,IF(AND(AP98&lt;&gt;0,OR(ABS(W99)&gt;Inputs!$B$7,AL99&gt;=Inputs!$B$8,ABS(W99)&lt;Inputs!$B$6)),1,0))</f>
        <v>0</v>
      </c>
      <c r="AN99" s="30" t="n">
        <f aca="false">IF(AM99=1,0,AP98)</f>
        <v>-1</v>
      </c>
      <c r="AO99" s="30" t="n">
        <f aca="false">IF(W99="",0,IF(AND(AN99=0,ABS(W99)&gt;Inputs!$B$5,ABS(W99)&lt;=Inputs!$B$7,W99&gt;0),1,0))</f>
        <v>0</v>
      </c>
      <c r="AP99" s="30" t="n">
        <f aca="false">IF(W99="",0,IF(AO99=1,-SIGN(W99),AN99))</f>
        <v>-1</v>
      </c>
      <c r="AQ99" s="30" t="n">
        <f aca="false">IF(W99="",0,IF(AO99=1,0,IF(AM99=1,0,AL99)))</f>
        <v>8</v>
      </c>
      <c r="AR99" s="29" t="n">
        <f aca="false">IF(AP99=0,0,IF(AP98=AP99,AR98,T99))</f>
        <v>1.05538281345578</v>
      </c>
      <c r="AS99" s="30" t="n">
        <f aca="false">AP99-AP98</f>
        <v>0</v>
      </c>
      <c r="AT99" s="30" t="n">
        <f aca="false">-AR99*AP99</f>
        <v>1.05538281345578</v>
      </c>
      <c r="AU99" s="30" t="n">
        <f aca="false">AT99-AT98</f>
        <v>0</v>
      </c>
      <c r="AV99" s="30" t="n">
        <f aca="false">MAX(AS99,0)*(Inputs!$B$17+Inputs!$B$18+Inputs!$B$19)+MAX(-AS99,0)*(O99+Inputs!$B$18+Inputs!$B$19)+IF(AND(K99=1,AP99&lt;&gt;0),(Inputs!$B$17+Inputs!$B$18+Inputs!$B$19)+(O99+Inputs!$B$18+Inputs!$B$19),0)+MAX(AU99,0)*(Inputs!$B$20+Inputs!$B$22+Inputs!$B$23)+MAX(-AU99,0)*(Inputs!$B$21+Inputs!$B$22+Inputs!$B$23)</f>
        <v>0</v>
      </c>
      <c r="AW99" s="30" t="n">
        <f aca="false">AP98*(M99-AR98*J99)+AP98*AR98*N99/Inputs!$B$16-AV99</f>
        <v>0.00194877416748368</v>
      </c>
      <c r="AX99" s="30" t="n">
        <f aca="false">AW99-IF(AP98&lt;&gt;0,0.75*AR98*(Inputs!$B$13-N99)/Inputs!$B$16,0)</f>
        <v>0.00171319764662301</v>
      </c>
      <c r="AY99" s="30" t="n">
        <f aca="false">MAX(AS99,0)*(Inputs!$B$17+Inputs!$B$18+Inputs!$B$19)+MAX(-AS99,0)*(O99+Inputs!$B$18+Inputs!$B$19)+IF(AND(K99=1,AP99&lt;&gt;0),(Inputs!$B$17+Inputs!$B$18+Inputs!$B$19)+(O99+Inputs!$B$18+Inputs!$B$19),0)</f>
        <v>0</v>
      </c>
      <c r="AZ99" s="30" t="n">
        <f aca="false">AP98*M99-AY99</f>
        <v>-0.00466289518128171</v>
      </c>
      <c r="BA99" s="32" t="n">
        <f aca="false">BA98+AI99</f>
        <v>-0.003267397576123</v>
      </c>
      <c r="BB99" s="30" t="n">
        <f aca="false">MAX(BB98,BA99)</f>
        <v>0</v>
      </c>
      <c r="BC99" s="32" t="n">
        <f aca="false">BA99-BB99</f>
        <v>-0.003267397576123</v>
      </c>
      <c r="BD99" s="30" t="n">
        <f aca="false">A100-A99</f>
        <v>1</v>
      </c>
    </row>
    <row r="100" customFormat="false" ht="15" hidden="false" customHeight="false" outlineLevel="0" collapsed="false">
      <c r="A100" s="28" t="n">
        <v>45183</v>
      </c>
      <c r="B100" s="0" t="n">
        <v>20186.6</v>
      </c>
      <c r="C100" s="0" t="n">
        <v>221.53</v>
      </c>
      <c r="D100" s="29" t="n">
        <f aca="false">LN(B100)</f>
        <v>9.91277429692786</v>
      </c>
      <c r="E100" s="29" t="n">
        <f aca="false">LN(C100)</f>
        <v>5.40055802049458</v>
      </c>
      <c r="F100" s="0" t="n">
        <v>95</v>
      </c>
      <c r="G100" s="0" t="n">
        <v>14</v>
      </c>
      <c r="H100" s="29" t="n">
        <f aca="false">D100-E100</f>
        <v>4.51221627643328</v>
      </c>
      <c r="I100" s="29" t="n">
        <f aca="false">D100-D99</f>
        <v>0.00276058616367259</v>
      </c>
      <c r="J100" s="29" t="n">
        <f aca="false">E100-E99</f>
        <v>0.00018057875540034</v>
      </c>
      <c r="K100" s="0" t="n">
        <v>0</v>
      </c>
      <c r="L100" s="0" t="n">
        <v>0</v>
      </c>
      <c r="M100" s="29" t="n">
        <f aca="false">IF(L100=1,J100-Carry!$B$9/Inputs!$B$16,I100)</f>
        <v>0.00276058616367259</v>
      </c>
      <c r="N100" s="0" t="n">
        <v>0.065</v>
      </c>
      <c r="O100" s="0" t="n">
        <v>0.000125</v>
      </c>
      <c r="P100" s="29" t="n">
        <f aca="false">D100-('2 Hedge ratio'!$B$6+'2 Hedge ratio'!$B$5*E100)</f>
        <v>0.00335849814008249</v>
      </c>
      <c r="Q100" s="29" t="n">
        <f aca="false">D100-('5 Re-specification'!$B$7+'5 Re-specification'!$B$5*E100+'5 Re-specification'!$B$6*F100)</f>
        <v>0.00164993190012552</v>
      </c>
      <c r="R100" s="30" t="n">
        <f aca="false">MIN(F100,Inputs!$B$9)</f>
        <v>95</v>
      </c>
      <c r="S100" s="29" t="n">
        <f aca="true">IF(AND(F100&gt;=1,R100&gt;=Inputs!$B$10),INDEX(LINEST(OFFSET(D100,-R100,0,R100,1),OFFSET(E100,-R100,0,R100,2)),1,1),"")</f>
        <v>-0.000148658792339602</v>
      </c>
      <c r="T100" s="29" t="n">
        <f aca="true">IF(AND(F100&gt;=1,R100&gt;=Inputs!$B$10),INDEX(LINEST(OFFSET(D100,-R100,0,R100,1),OFFSET(E100,-R100,0,R100,2)),1,2),"")</f>
        <v>1.03707430285973</v>
      </c>
      <c r="U100" s="29" t="n">
        <f aca="true">IF(AND(F100&gt;=1,R100&gt;=Inputs!$B$10),INDEX(LINEST(OFFSET(D100,-R100,0,R100,1),OFFSET(E100,-R100,0,R100,2)),1,3),"")</f>
        <v>4.3215820169834</v>
      </c>
      <c r="V100" s="29" t="n">
        <f aca="true">IF(AND(F100&gt;=1,R100&gt;=Inputs!$B$10),SQRT(SUMPRODUCT((OFFSET(D100,-R100,0,R100,1)-U100-T100*OFFSET(E100,-R100,0,R100,1)-S100*OFFSET(F100,-R100,0,R100,1))^2)/(R100-3)),"")</f>
        <v>0.00198371228347069</v>
      </c>
      <c r="W100" s="31" t="n">
        <f aca="false">IF(AND(F100&gt;=1,R100&gt;=Inputs!$B$10),(D100-U100-T100*E100-S100*F100)/V100,"")</f>
        <v>2.28607802480865</v>
      </c>
      <c r="X100" s="30" t="n">
        <f aca="false">IF(AB99&lt;&gt;0,AC99+1,0)</f>
        <v>9</v>
      </c>
      <c r="Y100" s="30" t="n">
        <f aca="false">IF(W100="",0,IF(AND(AB99&lt;&gt;0,OR(ABS(W100)&gt;Inputs!$B$7,X100&gt;=Inputs!$B$8,ABS(W100)&lt;Inputs!$B$6)),1,0))</f>
        <v>0</v>
      </c>
      <c r="Z100" s="30" t="n">
        <f aca="false">IF(Y100=1,0,AB99)</f>
        <v>-1</v>
      </c>
      <c r="AA100" s="30" t="n">
        <f aca="false">IF(W100="",0,IF(AND(Z100=0,ABS(W100)&gt;Inputs!$B$5,ABS(W100)&lt;=Inputs!$B$7),1,0))</f>
        <v>0</v>
      </c>
      <c r="AB100" s="30" t="n">
        <f aca="false">IF(W100="",0,IF(AA100=1,-SIGN(W100),Z100))</f>
        <v>-1</v>
      </c>
      <c r="AC100" s="30" t="n">
        <f aca="false">IF(W100="",0,IF(AA100=1,0,IF(Y100=1,0,X100)))</f>
        <v>9</v>
      </c>
      <c r="AD100" s="29" t="n">
        <f aca="false">IF(AB100=0,0,IF(AB99=AB100,AD99,T100))</f>
        <v>1.05538281345578</v>
      </c>
      <c r="AE100" s="30" t="n">
        <f aca="false">AB100-AB99</f>
        <v>0</v>
      </c>
      <c r="AF100" s="30" t="n">
        <f aca="false">-AD100*AB100</f>
        <v>1.05538281345578</v>
      </c>
      <c r="AG100" s="30" t="n">
        <f aca="false">AF100-AF99</f>
        <v>0</v>
      </c>
      <c r="AH100" s="30" t="n">
        <f aca="false">MAX(AE100,0)*(Inputs!$B$17+Inputs!$B$18+Inputs!$B$19)+MAX(-AE100,0)*(O100+Inputs!$B$18+Inputs!$B$19)+IF(AND(K100=1,AB100&lt;&gt;0),(Inputs!$B$17+Inputs!$B$18+Inputs!$B$19)+(O100+Inputs!$B$18+Inputs!$B$19),0)+MAX(AG100,0)*(Inputs!$B$20+Inputs!$B$22+Inputs!$B$23)+MAX(-AG100,0)*(Inputs!$B$21+Inputs!$B$22+Inputs!$B$23)</f>
        <v>0</v>
      </c>
      <c r="AI100" s="30" t="n">
        <f aca="false">AB99*(M100-AD99*J100)+AB99*AD99*N100/Inputs!$B$16-AH100</f>
        <v>-0.00284222820618682</v>
      </c>
      <c r="AJ100" s="30" t="n">
        <f aca="false">MAX(AE100,0)*(Inputs!$B$17+Inputs!$B$24+Inputs!$B$25)+MAX(-AE100,0)*(O100+Inputs!$B$24+Inputs!$B$25)+IF(AND(K100=1,AB100&lt;&gt;0),(Inputs!$B$17+Inputs!$B$24+Inputs!$B$25)+(O100+Inputs!$B$24+Inputs!$B$25),0)+MAX(AG100,0)*(Inputs!$B$20+Inputs!$B$26+Inputs!$B$27)+MAX(-AG100,0)*(Inputs!$B$21+Inputs!$B$26+Inputs!$B$27)</f>
        <v>0</v>
      </c>
      <c r="AK100" s="30" t="n">
        <f aca="false">AB99*(M100-AD99*J100)+AB99*AD99*(N100+Inputs!$B$14)/Inputs!$B$16-AJ100</f>
        <v>-0.00287363840896824</v>
      </c>
      <c r="AL100" s="30" t="n">
        <f aca="false">IF(AP99&lt;&gt;0,AQ99+1,0)</f>
        <v>9</v>
      </c>
      <c r="AM100" s="30" t="n">
        <f aca="false">IF(W100="",0,IF(AND(AP99&lt;&gt;0,OR(ABS(W100)&gt;Inputs!$B$7,AL100&gt;=Inputs!$B$8,ABS(W100)&lt;Inputs!$B$6)),1,0))</f>
        <v>0</v>
      </c>
      <c r="AN100" s="30" t="n">
        <f aca="false">IF(AM100=1,0,AP99)</f>
        <v>-1</v>
      </c>
      <c r="AO100" s="30" t="n">
        <f aca="false">IF(W100="",0,IF(AND(AN100=0,ABS(W100)&gt;Inputs!$B$5,ABS(W100)&lt;=Inputs!$B$7,W100&gt;0),1,0))</f>
        <v>0</v>
      </c>
      <c r="AP100" s="30" t="n">
        <f aca="false">IF(W100="",0,IF(AO100=1,-SIGN(W100),AN100))</f>
        <v>-1</v>
      </c>
      <c r="AQ100" s="30" t="n">
        <f aca="false">IF(W100="",0,IF(AO100=1,0,IF(AM100=1,0,AL100)))</f>
        <v>9</v>
      </c>
      <c r="AR100" s="29" t="n">
        <f aca="false">IF(AP100=0,0,IF(AP99=AP100,AR99,T100))</f>
        <v>1.05538281345578</v>
      </c>
      <c r="AS100" s="30" t="n">
        <f aca="false">AP100-AP99</f>
        <v>0</v>
      </c>
      <c r="AT100" s="30" t="n">
        <f aca="false">-AR100*AP100</f>
        <v>1.05538281345578</v>
      </c>
      <c r="AU100" s="30" t="n">
        <f aca="false">AT100-AT99</f>
        <v>0</v>
      </c>
      <c r="AV100" s="30" t="n">
        <f aca="false">MAX(AS100,0)*(Inputs!$B$17+Inputs!$B$18+Inputs!$B$19)+MAX(-AS100,0)*(O100+Inputs!$B$18+Inputs!$B$19)+IF(AND(K100=1,AP100&lt;&gt;0),(Inputs!$B$17+Inputs!$B$18+Inputs!$B$19)+(O100+Inputs!$B$18+Inputs!$B$19),0)+MAX(AU100,0)*(Inputs!$B$20+Inputs!$B$22+Inputs!$B$23)+MAX(-AU100,0)*(Inputs!$B$21+Inputs!$B$22+Inputs!$B$23)</f>
        <v>0</v>
      </c>
      <c r="AW100" s="30" t="n">
        <f aca="false">AP99*(M100-AR99*J100)+AP99*AR99*N100/Inputs!$B$16-AV100</f>
        <v>-0.00284222820618682</v>
      </c>
      <c r="AX100" s="30" t="n">
        <f aca="false">AW100-IF(AP99&lt;&gt;0,0.75*AR99*(Inputs!$B$13-N100)/Inputs!$B$16,0)</f>
        <v>-0.00307780472704749</v>
      </c>
      <c r="AY100" s="30" t="n">
        <f aca="false">MAX(AS100,0)*(Inputs!$B$17+Inputs!$B$18+Inputs!$B$19)+MAX(-AS100,0)*(O100+Inputs!$B$18+Inputs!$B$19)+IF(AND(K100=1,AP100&lt;&gt;0),(Inputs!$B$17+Inputs!$B$18+Inputs!$B$19)+(O100+Inputs!$B$18+Inputs!$B$19),0)</f>
        <v>0</v>
      </c>
      <c r="AZ100" s="30" t="n">
        <f aca="false">AP99*M100-AY100</f>
        <v>-0.00276058616367259</v>
      </c>
      <c r="BA100" s="32" t="n">
        <f aca="false">BA99+AI100</f>
        <v>-0.00610962578230982</v>
      </c>
      <c r="BB100" s="30" t="n">
        <f aca="false">MAX(BB99,BA100)</f>
        <v>0</v>
      </c>
      <c r="BC100" s="32" t="n">
        <f aca="false">BA100-BB100</f>
        <v>-0.00610962578230982</v>
      </c>
      <c r="BD100" s="30" t="n">
        <f aca="false">A101-A100</f>
        <v>1</v>
      </c>
    </row>
    <row r="101" customFormat="false" ht="15" hidden="false" customHeight="false" outlineLevel="0" collapsed="false">
      <c r="A101" s="28" t="n">
        <v>45184</v>
      </c>
      <c r="B101" s="0" t="n">
        <v>20242.8</v>
      </c>
      <c r="C101" s="0" t="n">
        <v>222.37</v>
      </c>
      <c r="D101" s="29" t="n">
        <f aca="false">LN(B101)</f>
        <v>9.91555445375427</v>
      </c>
      <c r="E101" s="29" t="n">
        <f aca="false">LN(C101)</f>
        <v>5.40434266119134</v>
      </c>
      <c r="F101" s="0" t="n">
        <v>96</v>
      </c>
      <c r="G101" s="0" t="n">
        <v>13</v>
      </c>
      <c r="H101" s="29" t="n">
        <f aca="false">D101-E101</f>
        <v>4.51121179256293</v>
      </c>
      <c r="I101" s="29" t="n">
        <f aca="false">D101-D100</f>
        <v>0.00278015682640742</v>
      </c>
      <c r="J101" s="29" t="n">
        <f aca="false">E101-E100</f>
        <v>0.00378464069675655</v>
      </c>
      <c r="K101" s="0" t="n">
        <v>0</v>
      </c>
      <c r="L101" s="0" t="n">
        <v>0</v>
      </c>
      <c r="M101" s="29" t="n">
        <f aca="false">IF(L101=1,J101-Carry!$B$9/Inputs!$B$16,I101)</f>
        <v>0.00278015682640742</v>
      </c>
      <c r="N101" s="0" t="n">
        <v>0.065</v>
      </c>
      <c r="O101" s="0" t="n">
        <v>0.000125</v>
      </c>
      <c r="P101" s="29" t="n">
        <f aca="false">D101-('2 Hedge ratio'!$B$6+'2 Hedge ratio'!$B$5*E101)</f>
        <v>0.00267144435005484</v>
      </c>
      <c r="Q101" s="29" t="n">
        <f aca="false">D101-('5 Re-specification'!$B$7+'5 Re-specification'!$B$5*E101+'5 Re-specification'!$B$6*F101)</f>
        <v>0.000701846701584685</v>
      </c>
      <c r="R101" s="30" t="n">
        <f aca="false">MIN(F101,Inputs!$B$9)</f>
        <v>96</v>
      </c>
      <c r="S101" s="29" t="n">
        <f aca="true">IF(AND(F101&gt;=1,R101&gt;=Inputs!$B$10),INDEX(LINEST(OFFSET(D101,-R101,0,R101,1),OFFSET(E101,-R101,0,R101,2)),1,1),"")</f>
        <v>-0.000146800559177947</v>
      </c>
      <c r="T101" s="29" t="n">
        <f aca="true">IF(AND(F101&gt;=1,R101&gt;=Inputs!$B$10),INDEX(LINEST(OFFSET(D101,-R101,0,R101,1),OFFSET(E101,-R101,0,R101,2)),1,2),"")</f>
        <v>1.03807262464218</v>
      </c>
      <c r="U101" s="29" t="n">
        <f aca="true">IF(AND(F101&gt;=1,R101&gt;=Inputs!$B$10),INDEX(LINEST(OFFSET(D101,-R101,0,R101,1),OFFSET(E101,-R101,0,R101,2)),1,3),"")</f>
        <v>4.31620371131933</v>
      </c>
      <c r="V101" s="29" t="n">
        <f aca="true">IF(AND(F101&gt;=1,R101&gt;=Inputs!$B$10),SQRT(SUMPRODUCT((OFFSET(D101,-R101,0,R101,1)-U101-T101*OFFSET(E101,-R101,0,R101,1)-S101*OFFSET(F101,-R101,0,R101,1))^2)/(R101-3)),"")</f>
        <v>0.00202600211586633</v>
      </c>
      <c r="W101" s="31" t="n">
        <f aca="false">IF(AND(F101&gt;=1,R101&gt;=Inputs!$B$10),(D101-U101-T101*E101-S101*F101)/V101,"")</f>
        <v>1.65025757932258</v>
      </c>
      <c r="X101" s="30" t="n">
        <f aca="false">IF(AB100&lt;&gt;0,AC100+1,0)</f>
        <v>10</v>
      </c>
      <c r="Y101" s="30" t="n">
        <f aca="false">IF(W101="",0,IF(AND(AB100&lt;&gt;0,OR(ABS(W101)&gt;Inputs!$B$7,X101&gt;=Inputs!$B$8,ABS(W101)&lt;Inputs!$B$6)),1,0))</f>
        <v>1</v>
      </c>
      <c r="Z101" s="30" t="n">
        <f aca="false">IF(Y101=1,0,AB100)</f>
        <v>0</v>
      </c>
      <c r="AA101" s="30" t="n">
        <f aca="false">IF(W101="",0,IF(AND(Z101=0,ABS(W101)&gt;Inputs!$B$5,ABS(W101)&lt;=Inputs!$B$7),1,0))</f>
        <v>0</v>
      </c>
      <c r="AB101" s="30" t="n">
        <f aca="false">IF(W101="",0,IF(AA101=1,-SIGN(W101),Z101))</f>
        <v>0</v>
      </c>
      <c r="AC101" s="30" t="n">
        <f aca="false">IF(W101="",0,IF(AA101=1,0,IF(Y101=1,0,X101)))</f>
        <v>0</v>
      </c>
      <c r="AD101" s="30" t="n">
        <f aca="false">IF(AB101=0,0,IF(AB100=AB101,AD100,T101))</f>
        <v>0</v>
      </c>
      <c r="AE101" s="30" t="n">
        <f aca="false">AB101-AB100</f>
        <v>1</v>
      </c>
      <c r="AF101" s="30" t="n">
        <f aca="false">-AD101*AB101</f>
        <v>-0</v>
      </c>
      <c r="AG101" s="30" t="n">
        <f aca="false">AF101-AF100</f>
        <v>-1.05538281345578</v>
      </c>
      <c r="AH101" s="30" t="n">
        <f aca="false">MAX(AE101,0)*(Inputs!$B$17+Inputs!$B$18+Inputs!$B$19)+MAX(-AE101,0)*(O101+Inputs!$B$18+Inputs!$B$19)+IF(AND(K101=1,AB101&lt;&gt;0),(Inputs!$B$17+Inputs!$B$18+Inputs!$B$19)+(O101+Inputs!$B$18+Inputs!$B$19),0)+MAX(AG101,0)*(Inputs!$B$20+Inputs!$B$22+Inputs!$B$23)+MAX(-AG101,0)*(Inputs!$B$21+Inputs!$B$22+Inputs!$B$23)</f>
        <v>0.000376630390825715</v>
      </c>
      <c r="AI101" s="30" t="n">
        <f aca="false">AB100*(M101-AD100*J101)+AB100*AD100*N101/Inputs!$B$16-AH101</f>
        <v>0.000565235771790054</v>
      </c>
      <c r="AJ101" s="30" t="n">
        <f aca="false">MAX(AE101,0)*(Inputs!$B$17+Inputs!$B$24+Inputs!$B$25)+MAX(-AE101,0)*(O101+Inputs!$B$24+Inputs!$B$25)+IF(AND(K101=1,AB101&lt;&gt;0),(Inputs!$B$17+Inputs!$B$24+Inputs!$B$25)+(O101+Inputs!$B$24+Inputs!$B$25),0)+MAX(AG101,0)*(Inputs!$B$20+Inputs!$B$26+Inputs!$B$27)+MAX(-AG101,0)*(Inputs!$B$21+Inputs!$B$26+Inputs!$B$27)</f>
        <v>0.000211369023547415</v>
      </c>
      <c r="AK101" s="30" t="n">
        <f aca="false">AB100*(M101-AD100*J101)+AB100*AD100*(N101+Inputs!$B$14)/Inputs!$B$16-AJ101</f>
        <v>0.000699086936286932</v>
      </c>
      <c r="AL101" s="30" t="n">
        <f aca="false">IF(AP100&lt;&gt;0,AQ100+1,0)</f>
        <v>10</v>
      </c>
      <c r="AM101" s="30" t="n">
        <f aca="false">IF(W101="",0,IF(AND(AP100&lt;&gt;0,OR(ABS(W101)&gt;Inputs!$B$7,AL101&gt;=Inputs!$B$8,ABS(W101)&lt;Inputs!$B$6)),1,0))</f>
        <v>1</v>
      </c>
      <c r="AN101" s="30" t="n">
        <f aca="false">IF(AM101=1,0,AP100)</f>
        <v>0</v>
      </c>
      <c r="AO101" s="30" t="n">
        <f aca="false">IF(W101="",0,IF(AND(AN101=0,ABS(W101)&gt;Inputs!$B$5,ABS(W101)&lt;=Inputs!$B$7,W101&gt;0),1,0))</f>
        <v>0</v>
      </c>
      <c r="AP101" s="30" t="n">
        <f aca="false">IF(W101="",0,IF(AO101=1,-SIGN(W101),AN101))</f>
        <v>0</v>
      </c>
      <c r="AQ101" s="30" t="n">
        <f aca="false">IF(W101="",0,IF(AO101=1,0,IF(AM101=1,0,AL101)))</f>
        <v>0</v>
      </c>
      <c r="AR101" s="30" t="n">
        <f aca="false">IF(AP101=0,0,IF(AP100=AP101,AR100,T101))</f>
        <v>0</v>
      </c>
      <c r="AS101" s="30" t="n">
        <f aca="false">AP101-AP100</f>
        <v>1</v>
      </c>
      <c r="AT101" s="30" t="n">
        <f aca="false">-AR101*AP101</f>
        <v>-0</v>
      </c>
      <c r="AU101" s="30" t="n">
        <f aca="false">AT101-AT100</f>
        <v>-1.05538281345578</v>
      </c>
      <c r="AV101" s="30" t="n">
        <f aca="false">MAX(AS101,0)*(Inputs!$B$17+Inputs!$B$18+Inputs!$B$19)+MAX(-AS101,0)*(O101+Inputs!$B$18+Inputs!$B$19)+IF(AND(K101=1,AP101&lt;&gt;0),(Inputs!$B$17+Inputs!$B$18+Inputs!$B$19)+(O101+Inputs!$B$18+Inputs!$B$19),0)+MAX(AU101,0)*(Inputs!$B$20+Inputs!$B$22+Inputs!$B$23)+MAX(-AU101,0)*(Inputs!$B$21+Inputs!$B$22+Inputs!$B$23)</f>
        <v>0.000376630390825715</v>
      </c>
      <c r="AW101" s="30" t="n">
        <f aca="false">AP100*(M101-AR100*J101)+AP100*AR100*N101/Inputs!$B$16-AV101</f>
        <v>0.000565235771790054</v>
      </c>
      <c r="AX101" s="30" t="n">
        <f aca="false">AW101-IF(AP100&lt;&gt;0,0.75*AR100*(Inputs!$B$13-N101)/Inputs!$B$16,0)</f>
        <v>0.000329659250929388</v>
      </c>
      <c r="AY101" s="30" t="n">
        <f aca="false">MAX(AS101,0)*(Inputs!$B$17+Inputs!$B$18+Inputs!$B$19)+MAX(-AS101,0)*(O101+Inputs!$B$18+Inputs!$B$19)+IF(AND(K101=1,AP101&lt;&gt;0),(Inputs!$B$17+Inputs!$B$18+Inputs!$B$19)+(O101+Inputs!$B$18+Inputs!$B$19),0)</f>
        <v>0.000155</v>
      </c>
      <c r="AZ101" s="30" t="n">
        <f aca="false">AP100*M101-AY101</f>
        <v>-0.00293515682640742</v>
      </c>
      <c r="BA101" s="32" t="n">
        <f aca="false">BA100+AI101</f>
        <v>-0.00554439001051976</v>
      </c>
      <c r="BB101" s="30" t="n">
        <f aca="false">MAX(BB100,BA101)</f>
        <v>0</v>
      </c>
      <c r="BC101" s="32" t="n">
        <f aca="false">BA101-BB101</f>
        <v>-0.00554439001051976</v>
      </c>
      <c r="BD101" s="30" t="n">
        <f aca="false">A102-A101</f>
        <v>3</v>
      </c>
    </row>
    <row r="102" customFormat="false" ht="15" hidden="false" customHeight="false" outlineLevel="0" collapsed="false">
      <c r="A102" s="28" t="n">
        <v>45187</v>
      </c>
      <c r="B102" s="0" t="n">
        <v>20170</v>
      </c>
      <c r="C102" s="0" t="n">
        <v>221.88</v>
      </c>
      <c r="D102" s="29" t="n">
        <f aca="false">LN(B102)</f>
        <v>9.91195163094826</v>
      </c>
      <c r="E102" s="29" t="n">
        <f aca="false">LN(C102)</f>
        <v>5.40213669518703</v>
      </c>
      <c r="F102" s="0" t="n">
        <v>97</v>
      </c>
      <c r="G102" s="0" t="n">
        <v>10</v>
      </c>
      <c r="H102" s="29" t="n">
        <f aca="false">D102-E102</f>
        <v>4.50981493576122</v>
      </c>
      <c r="I102" s="29" t="n">
        <f aca="false">D102-D101</f>
        <v>-0.00360282280600899</v>
      </c>
      <c r="J102" s="29" t="n">
        <f aca="false">E102-E101</f>
        <v>-0.00220596600430678</v>
      </c>
      <c r="K102" s="0" t="n">
        <v>0</v>
      </c>
      <c r="L102" s="0" t="n">
        <v>0</v>
      </c>
      <c r="M102" s="29" t="n">
        <f aca="false">IF(L102=1,J102-Carry!$B$9/Inputs!$B$16,I102)</f>
        <v>-0.00360282280600899</v>
      </c>
      <c r="N102" s="0" t="n">
        <v>0.065</v>
      </c>
      <c r="O102" s="0" t="n">
        <v>0.000125</v>
      </c>
      <c r="P102" s="29" t="n">
        <f aca="false">D102-('2 Hedge ratio'!$B$6+'2 Hedge ratio'!$B$5*E102)</f>
        <v>0.00108956603058097</v>
      </c>
      <c r="Q102" s="29" t="n">
        <f aca="false">D102-('5 Re-specification'!$B$7+'5 Re-specification'!$B$5*E102+'5 Re-specification'!$B$6*F102)</f>
        <v>-0.00065676596204689</v>
      </c>
      <c r="R102" s="30" t="n">
        <f aca="false">MIN(F102,Inputs!$B$9)</f>
        <v>97</v>
      </c>
      <c r="S102" s="29" t="n">
        <f aca="true">IF(AND(F102&gt;=1,R102&gt;=Inputs!$B$10),INDEX(LINEST(OFFSET(D102,-R102,0,R102,1),OFFSET(E102,-R102,0,R102,2)),1,1),"")</f>
        <v>-0.000145998353459981</v>
      </c>
      <c r="T102" s="29" t="n">
        <f aca="true">IF(AND(F102&gt;=1,R102&gt;=Inputs!$B$10),INDEX(LINEST(OFFSET(D102,-R102,0,R102,1),OFFSET(E102,-R102,0,R102,2)),1,2),"")</f>
        <v>1.03929561718959</v>
      </c>
      <c r="U102" s="29" t="n">
        <f aca="true">IF(AND(F102&gt;=1,R102&gt;=Inputs!$B$10),INDEX(LINEST(OFFSET(D102,-R102,0,R102,1),OFFSET(E102,-R102,0,R102,2)),1,3),"")</f>
        <v>4.30966051676759</v>
      </c>
      <c r="V102" s="29" t="n">
        <f aca="true">IF(AND(F102&gt;=1,R102&gt;=Inputs!$B$10),SQRT(SUMPRODUCT((OFFSET(D102,-R102,0,R102,1)-U102-T102*OFFSET(E102,-R102,0,R102,1)-S102*OFFSET(F102,-R102,0,R102,1))^2)/(R102-3)),"")</f>
        <v>0.00204324284825503</v>
      </c>
      <c r="W102" s="31" t="n">
        <f aca="false">IF(AND(F102&gt;=1,R102&gt;=Inputs!$B$10),(D102-U102-T102*E102-S102*F102)/V102,"")</f>
        <v>0.996437452897585</v>
      </c>
      <c r="X102" s="30" t="n">
        <f aca="false">IF(AB101&lt;&gt;0,AC101+1,0)</f>
        <v>0</v>
      </c>
      <c r="Y102" s="30" t="n">
        <f aca="false">IF(W102="",0,IF(AND(AB101&lt;&gt;0,OR(ABS(W102)&gt;Inputs!$B$7,X102&gt;=Inputs!$B$8,ABS(W102)&lt;Inputs!$B$6)),1,0))</f>
        <v>0</v>
      </c>
      <c r="Z102" s="30" t="n">
        <f aca="false">IF(Y102=1,0,AB101)</f>
        <v>0</v>
      </c>
      <c r="AA102" s="30" t="n">
        <f aca="false">IF(W102="",0,IF(AND(Z102=0,ABS(W102)&gt;Inputs!$B$5,ABS(W102)&lt;=Inputs!$B$7),1,0))</f>
        <v>0</v>
      </c>
      <c r="AB102" s="30" t="n">
        <f aca="false">IF(W102="",0,IF(AA102=1,-SIGN(W102),Z102))</f>
        <v>0</v>
      </c>
      <c r="AC102" s="30" t="n">
        <f aca="false">IF(W102="",0,IF(AA102=1,0,IF(Y102=1,0,X102)))</f>
        <v>0</v>
      </c>
      <c r="AD102" s="30" t="n">
        <f aca="false">IF(AB102=0,0,IF(AB101=AB102,AD101,T102))</f>
        <v>0</v>
      </c>
      <c r="AE102" s="30" t="n">
        <f aca="false">AB102-AB101</f>
        <v>0</v>
      </c>
      <c r="AF102" s="30" t="n">
        <f aca="false">-AD102*AB102</f>
        <v>-0</v>
      </c>
      <c r="AG102" s="30" t="n">
        <f aca="false">AF102-AF101</f>
        <v>0</v>
      </c>
      <c r="AH102" s="30" t="n">
        <f aca="false">MAX(AE102,0)*(Inputs!$B$17+Inputs!$B$18+Inputs!$B$19)+MAX(-AE102,0)*(O102+Inputs!$B$18+Inputs!$B$19)+IF(AND(K102=1,AB102&lt;&gt;0),(Inputs!$B$17+Inputs!$B$18+Inputs!$B$19)+(O102+Inputs!$B$18+Inputs!$B$19),0)+MAX(AG102,0)*(Inputs!$B$20+Inputs!$B$22+Inputs!$B$23)+MAX(-AG102,0)*(Inputs!$B$21+Inputs!$B$22+Inputs!$B$23)</f>
        <v>0</v>
      </c>
      <c r="AI102" s="30" t="n">
        <f aca="false">AB101*(M102-AD101*J102)+AB101*AD101*N102/Inputs!$B$16-AH102</f>
        <v>0</v>
      </c>
      <c r="AJ102" s="30" t="n">
        <f aca="false">MAX(AE102,0)*(Inputs!$B$17+Inputs!$B$24+Inputs!$B$25)+MAX(-AE102,0)*(O102+Inputs!$B$24+Inputs!$B$25)+IF(AND(K102=1,AB102&lt;&gt;0),(Inputs!$B$17+Inputs!$B$24+Inputs!$B$25)+(O102+Inputs!$B$24+Inputs!$B$25),0)+MAX(AG102,0)*(Inputs!$B$20+Inputs!$B$26+Inputs!$B$27)+MAX(-AG102,0)*(Inputs!$B$21+Inputs!$B$26+Inputs!$B$27)</f>
        <v>0</v>
      </c>
      <c r="AK102" s="30" t="n">
        <f aca="false">AB101*(M102-AD101*J102)+AB101*AD101*(N102+Inputs!$B$14)/Inputs!$B$16-AJ102</f>
        <v>0</v>
      </c>
      <c r="AL102" s="30" t="n">
        <f aca="false">IF(AP101&lt;&gt;0,AQ101+1,0)</f>
        <v>0</v>
      </c>
      <c r="AM102" s="30" t="n">
        <f aca="false">IF(W102="",0,IF(AND(AP101&lt;&gt;0,OR(ABS(W102)&gt;Inputs!$B$7,AL102&gt;=Inputs!$B$8,ABS(W102)&lt;Inputs!$B$6)),1,0))</f>
        <v>0</v>
      </c>
      <c r="AN102" s="30" t="n">
        <f aca="false">IF(AM102=1,0,AP101)</f>
        <v>0</v>
      </c>
      <c r="AO102" s="30" t="n">
        <f aca="false">IF(W102="",0,IF(AND(AN102=0,ABS(W102)&gt;Inputs!$B$5,ABS(W102)&lt;=Inputs!$B$7,W102&gt;0),1,0))</f>
        <v>0</v>
      </c>
      <c r="AP102" s="30" t="n">
        <f aca="false">IF(W102="",0,IF(AO102=1,-SIGN(W102),AN102))</f>
        <v>0</v>
      </c>
      <c r="AQ102" s="30" t="n">
        <f aca="false">IF(W102="",0,IF(AO102=1,0,IF(AM102=1,0,AL102)))</f>
        <v>0</v>
      </c>
      <c r="AR102" s="30" t="n">
        <f aca="false">IF(AP102=0,0,IF(AP101=AP102,AR101,T102))</f>
        <v>0</v>
      </c>
      <c r="AS102" s="30" t="n">
        <f aca="false">AP102-AP101</f>
        <v>0</v>
      </c>
      <c r="AT102" s="30" t="n">
        <f aca="false">-AR102*AP102</f>
        <v>-0</v>
      </c>
      <c r="AU102" s="30" t="n">
        <f aca="false">AT102-AT101</f>
        <v>0</v>
      </c>
      <c r="AV102" s="30" t="n">
        <f aca="false">MAX(AS102,0)*(Inputs!$B$17+Inputs!$B$18+Inputs!$B$19)+MAX(-AS102,0)*(O102+Inputs!$B$18+Inputs!$B$19)+IF(AND(K102=1,AP102&lt;&gt;0),(Inputs!$B$17+Inputs!$B$18+Inputs!$B$19)+(O102+Inputs!$B$18+Inputs!$B$19),0)+MAX(AU102,0)*(Inputs!$B$20+Inputs!$B$22+Inputs!$B$23)+MAX(-AU102,0)*(Inputs!$B$21+Inputs!$B$22+Inputs!$B$23)</f>
        <v>0</v>
      </c>
      <c r="AW102" s="30" t="n">
        <f aca="false">AP101*(M102-AR101*J102)+AP101*AR101*N102/Inputs!$B$16-AV102</f>
        <v>0</v>
      </c>
      <c r="AX102" s="30" t="n">
        <f aca="false">AW102-IF(AP101&lt;&gt;0,0.75*AR101*(Inputs!$B$13-N102)/Inputs!$B$16,0)</f>
        <v>0</v>
      </c>
      <c r="AY102" s="30" t="n">
        <f aca="false">MAX(AS102,0)*(Inputs!$B$17+Inputs!$B$18+Inputs!$B$19)+MAX(-AS102,0)*(O102+Inputs!$B$18+Inputs!$B$19)+IF(AND(K102=1,AP102&lt;&gt;0),(Inputs!$B$17+Inputs!$B$18+Inputs!$B$19)+(O102+Inputs!$B$18+Inputs!$B$19),0)</f>
        <v>0</v>
      </c>
      <c r="AZ102" s="30" t="n">
        <f aca="false">AP101*M102-AY102</f>
        <v>-0</v>
      </c>
      <c r="BA102" s="32" t="n">
        <f aca="false">BA101+AI102</f>
        <v>-0.00554439001051976</v>
      </c>
      <c r="BB102" s="30" t="n">
        <f aca="false">MAX(BB101,BA102)</f>
        <v>0</v>
      </c>
      <c r="BC102" s="32" t="n">
        <f aca="false">BA102-BB102</f>
        <v>-0.00554439001051976</v>
      </c>
      <c r="BD102" s="30" t="n">
        <f aca="false">A103-A102</f>
        <v>2</v>
      </c>
    </row>
    <row r="103" customFormat="false" ht="15" hidden="false" customHeight="false" outlineLevel="0" collapsed="false">
      <c r="A103" s="28" t="n">
        <v>45189</v>
      </c>
      <c r="B103" s="0" t="n">
        <v>19970.3</v>
      </c>
      <c r="C103" s="0" t="n">
        <v>219.77</v>
      </c>
      <c r="D103" s="29" t="n">
        <f aca="false">LN(B103)</f>
        <v>9.90200144883083</v>
      </c>
      <c r="E103" s="29" t="n">
        <f aca="false">LN(C103)</f>
        <v>5.39258154493812</v>
      </c>
      <c r="F103" s="0" t="n">
        <v>98</v>
      </c>
      <c r="G103" s="0" t="n">
        <v>8</v>
      </c>
      <c r="H103" s="29" t="n">
        <f aca="false">D103-E103</f>
        <v>4.50941990389271</v>
      </c>
      <c r="I103" s="29" t="n">
        <f aca="false">D103-D102</f>
        <v>-0.00995018211743215</v>
      </c>
      <c r="J103" s="29" t="n">
        <f aca="false">E103-E102</f>
        <v>-0.0095551502489144</v>
      </c>
      <c r="K103" s="0" t="n">
        <v>0</v>
      </c>
      <c r="L103" s="0" t="n">
        <v>0</v>
      </c>
      <c r="M103" s="29" t="n">
        <f aca="false">IF(L103=1,J103-Carry!$B$9/Inputs!$B$16,I103)</f>
        <v>-0.00995018211743215</v>
      </c>
      <c r="N103" s="0" t="n">
        <v>0.065</v>
      </c>
      <c r="O103" s="0" t="n">
        <v>0.000125</v>
      </c>
      <c r="P103" s="29" t="n">
        <f aca="false">D103-('2 Hedge ratio'!$B$6+'2 Hedge ratio'!$B$5*E103)</f>
        <v>-0.000106887255197918</v>
      </c>
      <c r="Q103" s="29" t="n">
        <f aca="false">D103-('5 Re-specification'!$B$7+'5 Re-specification'!$B$5*E103+'5 Re-specification'!$B$6*F103)</f>
        <v>-0.0010358253954994</v>
      </c>
      <c r="R103" s="30" t="n">
        <f aca="false">MIN(F103,Inputs!$B$9)</f>
        <v>98</v>
      </c>
      <c r="S103" s="29" t="n">
        <f aca="true">IF(AND(F103&gt;=1,R103&gt;=Inputs!$B$10),INDEX(LINEST(OFFSET(D103,-R103,0,R103,1),OFFSET(E103,-R103,0,R103,2)),1,1),"")</f>
        <v>-0.000145097217512713</v>
      </c>
      <c r="T103" s="29" t="n">
        <f aca="true">IF(AND(F103&gt;=1,R103&gt;=Inputs!$B$10),INDEX(LINEST(OFFSET(D103,-R103,0,R103,1),OFFSET(E103,-R103,0,R103,2)),1,2),"")</f>
        <v>1.03962973534426</v>
      </c>
      <c r="U103" s="29" t="n">
        <f aca="true">IF(AND(F103&gt;=1,R103&gt;=Inputs!$B$10),INDEX(LINEST(OFFSET(D103,-R103,0,R103,1),OFFSET(E103,-R103,0,R103,2)),1,3),"")</f>
        <v>4.30785091886122</v>
      </c>
      <c r="V103" s="29" t="n">
        <f aca="true">IF(AND(F103&gt;=1,R103&gt;=Inputs!$B$10),SQRT(SUMPRODUCT((OFFSET(D103,-R103,0,R103,1)-U103-T103*OFFSET(E103,-R103,0,R103,1)-S103*OFFSET(F103,-R103,0,R103,1))^2)/(R103-3)),"")</f>
        <v>0.00204273224899137</v>
      </c>
      <c r="W103" s="31" t="n">
        <f aca="false">IF(AND(F103&gt;=1,R103&gt;=Inputs!$B$10),(D103-U103-T103*E103-S103*F103)/V103,"")</f>
        <v>1.0191903028669</v>
      </c>
      <c r="X103" s="30" t="n">
        <f aca="false">IF(AB102&lt;&gt;0,AC102+1,0)</f>
        <v>0</v>
      </c>
      <c r="Y103" s="30" t="n">
        <f aca="false">IF(W103="",0,IF(AND(AB102&lt;&gt;0,OR(ABS(W103)&gt;Inputs!$B$7,X103&gt;=Inputs!$B$8,ABS(W103)&lt;Inputs!$B$6)),1,0))</f>
        <v>0</v>
      </c>
      <c r="Z103" s="30" t="n">
        <f aca="false">IF(Y103=1,0,AB102)</f>
        <v>0</v>
      </c>
      <c r="AA103" s="30" t="n">
        <f aca="false">IF(W103="",0,IF(AND(Z103=0,ABS(W103)&gt;Inputs!$B$5,ABS(W103)&lt;=Inputs!$B$7),1,0))</f>
        <v>0</v>
      </c>
      <c r="AB103" s="30" t="n">
        <f aca="false">IF(W103="",0,IF(AA103=1,-SIGN(W103),Z103))</f>
        <v>0</v>
      </c>
      <c r="AC103" s="30" t="n">
        <f aca="false">IF(W103="",0,IF(AA103=1,0,IF(Y103=1,0,X103)))</f>
        <v>0</v>
      </c>
      <c r="AD103" s="30" t="n">
        <f aca="false">IF(AB103=0,0,IF(AB102=AB103,AD102,T103))</f>
        <v>0</v>
      </c>
      <c r="AE103" s="30" t="n">
        <f aca="false">AB103-AB102</f>
        <v>0</v>
      </c>
      <c r="AF103" s="30" t="n">
        <f aca="false">-AD103*AB103</f>
        <v>-0</v>
      </c>
      <c r="AG103" s="30" t="n">
        <f aca="false">AF103-AF102</f>
        <v>0</v>
      </c>
      <c r="AH103" s="30" t="n">
        <f aca="false">MAX(AE103,0)*(Inputs!$B$17+Inputs!$B$18+Inputs!$B$19)+MAX(-AE103,0)*(O103+Inputs!$B$18+Inputs!$B$19)+IF(AND(K103=1,AB103&lt;&gt;0),(Inputs!$B$17+Inputs!$B$18+Inputs!$B$19)+(O103+Inputs!$B$18+Inputs!$B$19),0)+MAX(AG103,0)*(Inputs!$B$20+Inputs!$B$22+Inputs!$B$23)+MAX(-AG103,0)*(Inputs!$B$21+Inputs!$B$22+Inputs!$B$23)</f>
        <v>0</v>
      </c>
      <c r="AI103" s="30" t="n">
        <f aca="false">AB102*(M103-AD102*J103)+AB102*AD102*N103/Inputs!$B$16-AH103</f>
        <v>0</v>
      </c>
      <c r="AJ103" s="30" t="n">
        <f aca="false">MAX(AE103,0)*(Inputs!$B$17+Inputs!$B$24+Inputs!$B$25)+MAX(-AE103,0)*(O103+Inputs!$B$24+Inputs!$B$25)+IF(AND(K103=1,AB103&lt;&gt;0),(Inputs!$B$17+Inputs!$B$24+Inputs!$B$25)+(O103+Inputs!$B$24+Inputs!$B$25),0)+MAX(AG103,0)*(Inputs!$B$20+Inputs!$B$26+Inputs!$B$27)+MAX(-AG103,0)*(Inputs!$B$21+Inputs!$B$26+Inputs!$B$27)</f>
        <v>0</v>
      </c>
      <c r="AK103" s="30" t="n">
        <f aca="false">AB102*(M103-AD102*J103)+AB102*AD102*(N103+Inputs!$B$14)/Inputs!$B$16-AJ103</f>
        <v>0</v>
      </c>
      <c r="AL103" s="30" t="n">
        <f aca="false">IF(AP102&lt;&gt;0,AQ102+1,0)</f>
        <v>0</v>
      </c>
      <c r="AM103" s="30" t="n">
        <f aca="false">IF(W103="",0,IF(AND(AP102&lt;&gt;0,OR(ABS(W103)&gt;Inputs!$B$7,AL103&gt;=Inputs!$B$8,ABS(W103)&lt;Inputs!$B$6)),1,0))</f>
        <v>0</v>
      </c>
      <c r="AN103" s="30" t="n">
        <f aca="false">IF(AM103=1,0,AP102)</f>
        <v>0</v>
      </c>
      <c r="AO103" s="30" t="n">
        <f aca="false">IF(W103="",0,IF(AND(AN103=0,ABS(W103)&gt;Inputs!$B$5,ABS(W103)&lt;=Inputs!$B$7,W103&gt;0),1,0))</f>
        <v>0</v>
      </c>
      <c r="AP103" s="30" t="n">
        <f aca="false">IF(W103="",0,IF(AO103=1,-SIGN(W103),AN103))</f>
        <v>0</v>
      </c>
      <c r="AQ103" s="30" t="n">
        <f aca="false">IF(W103="",0,IF(AO103=1,0,IF(AM103=1,0,AL103)))</f>
        <v>0</v>
      </c>
      <c r="AR103" s="30" t="n">
        <f aca="false">IF(AP103=0,0,IF(AP102=AP103,AR102,T103))</f>
        <v>0</v>
      </c>
      <c r="AS103" s="30" t="n">
        <f aca="false">AP103-AP102</f>
        <v>0</v>
      </c>
      <c r="AT103" s="30" t="n">
        <f aca="false">-AR103*AP103</f>
        <v>-0</v>
      </c>
      <c r="AU103" s="30" t="n">
        <f aca="false">AT103-AT102</f>
        <v>0</v>
      </c>
      <c r="AV103" s="30" t="n">
        <f aca="false">MAX(AS103,0)*(Inputs!$B$17+Inputs!$B$18+Inputs!$B$19)+MAX(-AS103,0)*(O103+Inputs!$B$18+Inputs!$B$19)+IF(AND(K103=1,AP103&lt;&gt;0),(Inputs!$B$17+Inputs!$B$18+Inputs!$B$19)+(O103+Inputs!$B$18+Inputs!$B$19),0)+MAX(AU103,0)*(Inputs!$B$20+Inputs!$B$22+Inputs!$B$23)+MAX(-AU103,0)*(Inputs!$B$21+Inputs!$B$22+Inputs!$B$23)</f>
        <v>0</v>
      </c>
      <c r="AW103" s="30" t="n">
        <f aca="false">AP102*(M103-AR102*J103)+AP102*AR102*N103/Inputs!$B$16-AV103</f>
        <v>0</v>
      </c>
      <c r="AX103" s="30" t="n">
        <f aca="false">AW103-IF(AP102&lt;&gt;0,0.75*AR102*(Inputs!$B$13-N103)/Inputs!$B$16,0)</f>
        <v>0</v>
      </c>
      <c r="AY103" s="30" t="n">
        <f aca="false">MAX(AS103,0)*(Inputs!$B$17+Inputs!$B$18+Inputs!$B$19)+MAX(-AS103,0)*(O103+Inputs!$B$18+Inputs!$B$19)+IF(AND(K103=1,AP103&lt;&gt;0),(Inputs!$B$17+Inputs!$B$18+Inputs!$B$19)+(O103+Inputs!$B$18+Inputs!$B$19),0)</f>
        <v>0</v>
      </c>
      <c r="AZ103" s="30" t="n">
        <f aca="false">AP102*M103-AY103</f>
        <v>-0</v>
      </c>
      <c r="BA103" s="32" t="n">
        <f aca="false">BA102+AI103</f>
        <v>-0.00554439001051976</v>
      </c>
      <c r="BB103" s="30" t="n">
        <f aca="false">MAX(BB102,BA103)</f>
        <v>0</v>
      </c>
      <c r="BC103" s="32" t="n">
        <f aca="false">BA103-BB103</f>
        <v>-0.00554439001051976</v>
      </c>
      <c r="BD103" s="30" t="n">
        <f aca="false">A104-A103</f>
        <v>1</v>
      </c>
    </row>
    <row r="104" customFormat="false" ht="15" hidden="false" customHeight="false" outlineLevel="0" collapsed="false">
      <c r="A104" s="28" t="n">
        <v>45190</v>
      </c>
      <c r="B104" s="0" t="n">
        <v>19766.05</v>
      </c>
      <c r="C104" s="0" t="n">
        <v>217.6</v>
      </c>
      <c r="D104" s="29" t="n">
        <f aca="false">LN(B104)</f>
        <v>9.89172109852921</v>
      </c>
      <c r="E104" s="29" t="n">
        <f aca="false">LN(C104)</f>
        <v>5.38265851498179</v>
      </c>
      <c r="F104" s="0" t="n">
        <v>99</v>
      </c>
      <c r="G104" s="0" t="n">
        <v>7</v>
      </c>
      <c r="H104" s="29" t="n">
        <f aca="false">D104-E104</f>
        <v>4.50906258354742</v>
      </c>
      <c r="I104" s="29" t="n">
        <f aca="false">D104-D103</f>
        <v>-0.0102803503016187</v>
      </c>
      <c r="J104" s="29" t="n">
        <f aca="false">E104-E103</f>
        <v>-0.00992302995633221</v>
      </c>
      <c r="K104" s="0" t="n">
        <v>0</v>
      </c>
      <c r="L104" s="0" t="n">
        <v>0</v>
      </c>
      <c r="M104" s="29" t="n">
        <f aca="false">IF(L104=1,J104-Carry!$B$9/Inputs!$B$16,I104)</f>
        <v>-0.0102803503016187</v>
      </c>
      <c r="N104" s="0" t="n">
        <v>0.065</v>
      </c>
      <c r="O104" s="0" t="n">
        <v>0.000125</v>
      </c>
      <c r="P104" s="29" t="n">
        <f aca="false">D104-('2 Hedge ratio'!$B$6+'2 Hedge ratio'!$B$5*E104)</f>
        <v>-0.00129648428101348</v>
      </c>
      <c r="Q104" s="29" t="n">
        <f aca="false">D104-('5 Re-specification'!$B$7+'5 Re-specification'!$B$5*E104+'5 Re-specification'!$B$6*F104)</f>
        <v>-0.00137828816518137</v>
      </c>
      <c r="R104" s="30" t="n">
        <f aca="false">MIN(F104,Inputs!$B$9)</f>
        <v>99</v>
      </c>
      <c r="S104" s="29" t="n">
        <f aca="true">IF(AND(F104&gt;=1,R104&gt;=Inputs!$B$10),INDEX(LINEST(OFFSET(D104,-R104,0,R104,1),OFFSET(E104,-R104,0,R104,2)),1,1),"")</f>
        <v>-0.000142842497043999</v>
      </c>
      <c r="T104" s="29" t="n">
        <f aca="true">IF(AND(F104&gt;=1,R104&gt;=Inputs!$B$10),INDEX(LINEST(OFFSET(D104,-R104,0,R104,1),OFFSET(E104,-R104,0,R104,2)),1,2),"")</f>
        <v>1.03869879427903</v>
      </c>
      <c r="U104" s="29" t="n">
        <f aca="true">IF(AND(F104&gt;=1,R104&gt;=Inputs!$B$10),INDEX(LINEST(OFFSET(D104,-R104,0,R104,1),OFFSET(E104,-R104,0,R104,2)),1,3),"")</f>
        <v>4.31274001879889</v>
      </c>
      <c r="V104" s="29" t="n">
        <f aca="true">IF(AND(F104&gt;=1,R104&gt;=Inputs!$B$10),SQRT(SUMPRODUCT((OFFSET(D104,-R104,0,R104,1)-U104-T104*OFFSET(E104,-R104,0,R104,1)-S104*OFFSET(F104,-R104,0,R104,1))^2)/(R104-3)),"")</f>
        <v>0.00204266736087775</v>
      </c>
      <c r="W104" s="31" t="n">
        <f aca="false">IF(AND(F104&gt;=1,R104&gt;=Inputs!$B$10),(D104-U104-T104*E104-S104*F104)/V104,"")</f>
        <v>1.05821312453915</v>
      </c>
      <c r="X104" s="30" t="n">
        <f aca="false">IF(AB103&lt;&gt;0,AC103+1,0)</f>
        <v>0</v>
      </c>
      <c r="Y104" s="30" t="n">
        <f aca="false">IF(W104="",0,IF(AND(AB103&lt;&gt;0,OR(ABS(W104)&gt;Inputs!$B$7,X104&gt;=Inputs!$B$8,ABS(W104)&lt;Inputs!$B$6)),1,0))</f>
        <v>0</v>
      </c>
      <c r="Z104" s="30" t="n">
        <f aca="false">IF(Y104=1,0,AB103)</f>
        <v>0</v>
      </c>
      <c r="AA104" s="30" t="n">
        <f aca="false">IF(W104="",0,IF(AND(Z104=0,ABS(W104)&gt;Inputs!$B$5,ABS(W104)&lt;=Inputs!$B$7),1,0))</f>
        <v>0</v>
      </c>
      <c r="AB104" s="30" t="n">
        <f aca="false">IF(W104="",0,IF(AA104=1,-SIGN(W104),Z104))</f>
        <v>0</v>
      </c>
      <c r="AC104" s="30" t="n">
        <f aca="false">IF(W104="",0,IF(AA104=1,0,IF(Y104=1,0,X104)))</f>
        <v>0</v>
      </c>
      <c r="AD104" s="30" t="n">
        <f aca="false">IF(AB104=0,0,IF(AB103=AB104,AD103,T104))</f>
        <v>0</v>
      </c>
      <c r="AE104" s="30" t="n">
        <f aca="false">AB104-AB103</f>
        <v>0</v>
      </c>
      <c r="AF104" s="30" t="n">
        <f aca="false">-AD104*AB104</f>
        <v>-0</v>
      </c>
      <c r="AG104" s="30" t="n">
        <f aca="false">AF104-AF103</f>
        <v>0</v>
      </c>
      <c r="AH104" s="30" t="n">
        <f aca="false">MAX(AE104,0)*(Inputs!$B$17+Inputs!$B$18+Inputs!$B$19)+MAX(-AE104,0)*(O104+Inputs!$B$18+Inputs!$B$19)+IF(AND(K104=1,AB104&lt;&gt;0),(Inputs!$B$17+Inputs!$B$18+Inputs!$B$19)+(O104+Inputs!$B$18+Inputs!$B$19),0)+MAX(AG104,0)*(Inputs!$B$20+Inputs!$B$22+Inputs!$B$23)+MAX(-AG104,0)*(Inputs!$B$21+Inputs!$B$22+Inputs!$B$23)</f>
        <v>0</v>
      </c>
      <c r="AI104" s="30" t="n">
        <f aca="false">AB103*(M104-AD103*J104)+AB103*AD103*N104/Inputs!$B$16-AH104</f>
        <v>0</v>
      </c>
      <c r="AJ104" s="30" t="n">
        <f aca="false">MAX(AE104,0)*(Inputs!$B$17+Inputs!$B$24+Inputs!$B$25)+MAX(-AE104,0)*(O104+Inputs!$B$24+Inputs!$B$25)+IF(AND(K104=1,AB104&lt;&gt;0),(Inputs!$B$17+Inputs!$B$24+Inputs!$B$25)+(O104+Inputs!$B$24+Inputs!$B$25),0)+MAX(AG104,0)*(Inputs!$B$20+Inputs!$B$26+Inputs!$B$27)+MAX(-AG104,0)*(Inputs!$B$21+Inputs!$B$26+Inputs!$B$27)</f>
        <v>0</v>
      </c>
      <c r="AK104" s="30" t="n">
        <f aca="false">AB103*(M104-AD103*J104)+AB103*AD103*(N104+Inputs!$B$14)/Inputs!$B$16-AJ104</f>
        <v>0</v>
      </c>
      <c r="AL104" s="30" t="n">
        <f aca="false">IF(AP103&lt;&gt;0,AQ103+1,0)</f>
        <v>0</v>
      </c>
      <c r="AM104" s="30" t="n">
        <f aca="false">IF(W104="",0,IF(AND(AP103&lt;&gt;0,OR(ABS(W104)&gt;Inputs!$B$7,AL104&gt;=Inputs!$B$8,ABS(W104)&lt;Inputs!$B$6)),1,0))</f>
        <v>0</v>
      </c>
      <c r="AN104" s="30" t="n">
        <f aca="false">IF(AM104=1,0,AP103)</f>
        <v>0</v>
      </c>
      <c r="AO104" s="30" t="n">
        <f aca="false">IF(W104="",0,IF(AND(AN104=0,ABS(W104)&gt;Inputs!$B$5,ABS(W104)&lt;=Inputs!$B$7,W104&gt;0),1,0))</f>
        <v>0</v>
      </c>
      <c r="AP104" s="30" t="n">
        <f aca="false">IF(W104="",0,IF(AO104=1,-SIGN(W104),AN104))</f>
        <v>0</v>
      </c>
      <c r="AQ104" s="30" t="n">
        <f aca="false">IF(W104="",0,IF(AO104=1,0,IF(AM104=1,0,AL104)))</f>
        <v>0</v>
      </c>
      <c r="AR104" s="30" t="n">
        <f aca="false">IF(AP104=0,0,IF(AP103=AP104,AR103,T104))</f>
        <v>0</v>
      </c>
      <c r="AS104" s="30" t="n">
        <f aca="false">AP104-AP103</f>
        <v>0</v>
      </c>
      <c r="AT104" s="30" t="n">
        <f aca="false">-AR104*AP104</f>
        <v>-0</v>
      </c>
      <c r="AU104" s="30" t="n">
        <f aca="false">AT104-AT103</f>
        <v>0</v>
      </c>
      <c r="AV104" s="30" t="n">
        <f aca="false">MAX(AS104,0)*(Inputs!$B$17+Inputs!$B$18+Inputs!$B$19)+MAX(-AS104,0)*(O104+Inputs!$B$18+Inputs!$B$19)+IF(AND(K104=1,AP104&lt;&gt;0),(Inputs!$B$17+Inputs!$B$18+Inputs!$B$19)+(O104+Inputs!$B$18+Inputs!$B$19),0)+MAX(AU104,0)*(Inputs!$B$20+Inputs!$B$22+Inputs!$B$23)+MAX(-AU104,0)*(Inputs!$B$21+Inputs!$B$22+Inputs!$B$23)</f>
        <v>0</v>
      </c>
      <c r="AW104" s="30" t="n">
        <f aca="false">AP103*(M104-AR103*J104)+AP103*AR103*N104/Inputs!$B$16-AV104</f>
        <v>0</v>
      </c>
      <c r="AX104" s="30" t="n">
        <f aca="false">AW104-IF(AP103&lt;&gt;0,0.75*AR103*(Inputs!$B$13-N104)/Inputs!$B$16,0)</f>
        <v>0</v>
      </c>
      <c r="AY104" s="30" t="n">
        <f aca="false">MAX(AS104,0)*(Inputs!$B$17+Inputs!$B$18+Inputs!$B$19)+MAX(-AS104,0)*(O104+Inputs!$B$18+Inputs!$B$19)+IF(AND(K104=1,AP104&lt;&gt;0),(Inputs!$B$17+Inputs!$B$18+Inputs!$B$19)+(O104+Inputs!$B$18+Inputs!$B$19),0)</f>
        <v>0</v>
      </c>
      <c r="AZ104" s="30" t="n">
        <f aca="false">AP103*M104-AY104</f>
        <v>-0</v>
      </c>
      <c r="BA104" s="32" t="n">
        <f aca="false">BA103+AI104</f>
        <v>-0.00554439001051976</v>
      </c>
      <c r="BB104" s="30" t="n">
        <f aca="false">MAX(BB103,BA104)</f>
        <v>0</v>
      </c>
      <c r="BC104" s="32" t="n">
        <f aca="false">BA104-BB104</f>
        <v>-0.00554439001051976</v>
      </c>
      <c r="BD104" s="30" t="n">
        <f aca="false">A105-A104</f>
        <v>1</v>
      </c>
    </row>
    <row r="105" customFormat="false" ht="15" hidden="false" customHeight="false" outlineLevel="0" collapsed="false">
      <c r="A105" s="28" t="n">
        <v>45191</v>
      </c>
      <c r="B105" s="0" t="n">
        <v>19710.7</v>
      </c>
      <c r="C105" s="0" t="n">
        <v>217</v>
      </c>
      <c r="D105" s="29" t="n">
        <f aca="false">LN(B105)</f>
        <v>9.88891691448315</v>
      </c>
      <c r="E105" s="29" t="n">
        <f aca="false">LN(C105)</f>
        <v>5.37989735354046</v>
      </c>
      <c r="F105" s="0" t="n">
        <v>100</v>
      </c>
      <c r="G105" s="0" t="n">
        <v>6</v>
      </c>
      <c r="H105" s="29" t="n">
        <f aca="false">D105-E105</f>
        <v>4.50901956094269</v>
      </c>
      <c r="I105" s="29" t="n">
        <f aca="false">D105-D104</f>
        <v>-0.00280418404605953</v>
      </c>
      <c r="J105" s="29" t="n">
        <f aca="false">E105-E104</f>
        <v>-0.00276116144132743</v>
      </c>
      <c r="K105" s="0" t="n">
        <v>0</v>
      </c>
      <c r="L105" s="0" t="n">
        <v>0</v>
      </c>
      <c r="M105" s="29" t="n">
        <f aca="false">IF(L105=1,J105-Carry!$B$9/Inputs!$B$16,I105)</f>
        <v>-0.00280418404605953</v>
      </c>
      <c r="N105" s="0" t="n">
        <v>0.065</v>
      </c>
      <c r="O105" s="0" t="n">
        <v>0.000125</v>
      </c>
      <c r="P105" s="29" t="n">
        <f aca="false">D105-('2 Hedge ratio'!$B$6+'2 Hedge ratio'!$B$5*E105)</f>
        <v>-0.00157109444407411</v>
      </c>
      <c r="Q105" s="29" t="n">
        <f aca="false">D105-('5 Re-specification'!$B$7+'5 Re-specification'!$B$5*E105+'5 Re-specification'!$B$6*F105)</f>
        <v>-0.00138474915162234</v>
      </c>
      <c r="R105" s="30" t="n">
        <f aca="false">MIN(F105,Inputs!$B$9)</f>
        <v>100</v>
      </c>
      <c r="S105" s="29" t="n">
        <f aca="true">IF(AND(F105&gt;=1,R105&gt;=Inputs!$B$10),INDEX(LINEST(OFFSET(D105,-R105,0,R105,1),OFFSET(E105,-R105,0,R105,2)),1,1),"")</f>
        <v>-0.000139198211547354</v>
      </c>
      <c r="T105" s="29" t="n">
        <f aca="true">IF(AND(F105&gt;=1,R105&gt;=Inputs!$B$10),INDEX(LINEST(OFFSET(D105,-R105,0,R105,1),OFFSET(E105,-R105,0,R105,2)),1,2),"")</f>
        <v>1.03646290001462</v>
      </c>
      <c r="U105" s="29" t="n">
        <f aca="true">IF(AND(F105&gt;=1,R105&gt;=Inputs!$B$10),INDEX(LINEST(OFFSET(D105,-R105,0,R105,1),OFFSET(E105,-R105,0,R105,2)),1,3),"")</f>
        <v>4.32453929170926</v>
      </c>
      <c r="V105" s="29" t="n">
        <f aca="true">IF(AND(F105&gt;=1,R105&gt;=Inputs!$B$10),SQRT(SUMPRODUCT((OFFSET(D105,-R105,0,R105,1)-U105-T105*OFFSET(E105,-R105,0,R105,1)-S105*OFFSET(F105,-R105,0,R105,1))^2)/(R105-3)),"")</f>
        <v>0.00204324698792484</v>
      </c>
      <c r="W105" s="31" t="n">
        <f aca="false">IF(AND(F105&gt;=1,R105&gt;=Inputs!$B$10),(D105-U105-T105*E105-S105*F105)/V105,"")</f>
        <v>1.09307935374444</v>
      </c>
      <c r="X105" s="30" t="n">
        <f aca="false">IF(AB104&lt;&gt;0,AC104+1,0)</f>
        <v>0</v>
      </c>
      <c r="Y105" s="30" t="n">
        <f aca="false">IF(W105="",0,IF(AND(AB104&lt;&gt;0,OR(ABS(W105)&gt;Inputs!$B$7,X105&gt;=Inputs!$B$8,ABS(W105)&lt;Inputs!$B$6)),1,0))</f>
        <v>0</v>
      </c>
      <c r="Z105" s="30" t="n">
        <f aca="false">IF(Y105=1,0,AB104)</f>
        <v>0</v>
      </c>
      <c r="AA105" s="30" t="n">
        <f aca="false">IF(W105="",0,IF(AND(Z105=0,ABS(W105)&gt;Inputs!$B$5,ABS(W105)&lt;=Inputs!$B$7),1,0))</f>
        <v>0</v>
      </c>
      <c r="AB105" s="30" t="n">
        <f aca="false">IF(W105="",0,IF(AA105=1,-SIGN(W105),Z105))</f>
        <v>0</v>
      </c>
      <c r="AC105" s="30" t="n">
        <f aca="false">IF(W105="",0,IF(AA105=1,0,IF(Y105=1,0,X105)))</f>
        <v>0</v>
      </c>
      <c r="AD105" s="30" t="n">
        <f aca="false">IF(AB105=0,0,IF(AB104=AB105,AD104,T105))</f>
        <v>0</v>
      </c>
      <c r="AE105" s="30" t="n">
        <f aca="false">AB105-AB104</f>
        <v>0</v>
      </c>
      <c r="AF105" s="30" t="n">
        <f aca="false">-AD105*AB105</f>
        <v>-0</v>
      </c>
      <c r="AG105" s="30" t="n">
        <f aca="false">AF105-AF104</f>
        <v>0</v>
      </c>
      <c r="AH105" s="30" t="n">
        <f aca="false">MAX(AE105,0)*(Inputs!$B$17+Inputs!$B$18+Inputs!$B$19)+MAX(-AE105,0)*(O105+Inputs!$B$18+Inputs!$B$19)+IF(AND(K105=1,AB105&lt;&gt;0),(Inputs!$B$17+Inputs!$B$18+Inputs!$B$19)+(O105+Inputs!$B$18+Inputs!$B$19),0)+MAX(AG105,0)*(Inputs!$B$20+Inputs!$B$22+Inputs!$B$23)+MAX(-AG105,0)*(Inputs!$B$21+Inputs!$B$22+Inputs!$B$23)</f>
        <v>0</v>
      </c>
      <c r="AI105" s="30" t="n">
        <f aca="false">AB104*(M105-AD104*J105)+AB104*AD104*N105/Inputs!$B$16-AH105</f>
        <v>0</v>
      </c>
      <c r="AJ105" s="30" t="n">
        <f aca="false">MAX(AE105,0)*(Inputs!$B$17+Inputs!$B$24+Inputs!$B$25)+MAX(-AE105,0)*(O105+Inputs!$B$24+Inputs!$B$25)+IF(AND(K105=1,AB105&lt;&gt;0),(Inputs!$B$17+Inputs!$B$24+Inputs!$B$25)+(O105+Inputs!$B$24+Inputs!$B$25),0)+MAX(AG105,0)*(Inputs!$B$20+Inputs!$B$26+Inputs!$B$27)+MAX(-AG105,0)*(Inputs!$B$21+Inputs!$B$26+Inputs!$B$27)</f>
        <v>0</v>
      </c>
      <c r="AK105" s="30" t="n">
        <f aca="false">AB104*(M105-AD104*J105)+AB104*AD104*(N105+Inputs!$B$14)/Inputs!$B$16-AJ105</f>
        <v>0</v>
      </c>
      <c r="AL105" s="30" t="n">
        <f aca="false">IF(AP104&lt;&gt;0,AQ104+1,0)</f>
        <v>0</v>
      </c>
      <c r="AM105" s="30" t="n">
        <f aca="false">IF(W105="",0,IF(AND(AP104&lt;&gt;0,OR(ABS(W105)&gt;Inputs!$B$7,AL105&gt;=Inputs!$B$8,ABS(W105)&lt;Inputs!$B$6)),1,0))</f>
        <v>0</v>
      </c>
      <c r="AN105" s="30" t="n">
        <f aca="false">IF(AM105=1,0,AP104)</f>
        <v>0</v>
      </c>
      <c r="AO105" s="30" t="n">
        <f aca="false">IF(W105="",0,IF(AND(AN105=0,ABS(W105)&gt;Inputs!$B$5,ABS(W105)&lt;=Inputs!$B$7,W105&gt;0),1,0))</f>
        <v>0</v>
      </c>
      <c r="AP105" s="30" t="n">
        <f aca="false">IF(W105="",0,IF(AO105=1,-SIGN(W105),AN105))</f>
        <v>0</v>
      </c>
      <c r="AQ105" s="30" t="n">
        <f aca="false">IF(W105="",0,IF(AO105=1,0,IF(AM105=1,0,AL105)))</f>
        <v>0</v>
      </c>
      <c r="AR105" s="30" t="n">
        <f aca="false">IF(AP105=0,0,IF(AP104=AP105,AR104,T105))</f>
        <v>0</v>
      </c>
      <c r="AS105" s="30" t="n">
        <f aca="false">AP105-AP104</f>
        <v>0</v>
      </c>
      <c r="AT105" s="30" t="n">
        <f aca="false">-AR105*AP105</f>
        <v>-0</v>
      </c>
      <c r="AU105" s="30" t="n">
        <f aca="false">AT105-AT104</f>
        <v>0</v>
      </c>
      <c r="AV105" s="30" t="n">
        <f aca="false">MAX(AS105,0)*(Inputs!$B$17+Inputs!$B$18+Inputs!$B$19)+MAX(-AS105,0)*(O105+Inputs!$B$18+Inputs!$B$19)+IF(AND(K105=1,AP105&lt;&gt;0),(Inputs!$B$17+Inputs!$B$18+Inputs!$B$19)+(O105+Inputs!$B$18+Inputs!$B$19),0)+MAX(AU105,0)*(Inputs!$B$20+Inputs!$B$22+Inputs!$B$23)+MAX(-AU105,0)*(Inputs!$B$21+Inputs!$B$22+Inputs!$B$23)</f>
        <v>0</v>
      </c>
      <c r="AW105" s="30" t="n">
        <f aca="false">AP104*(M105-AR104*J105)+AP104*AR104*N105/Inputs!$B$16-AV105</f>
        <v>0</v>
      </c>
      <c r="AX105" s="30" t="n">
        <f aca="false">AW105-IF(AP104&lt;&gt;0,0.75*AR104*(Inputs!$B$13-N105)/Inputs!$B$16,0)</f>
        <v>0</v>
      </c>
      <c r="AY105" s="30" t="n">
        <f aca="false">MAX(AS105,0)*(Inputs!$B$17+Inputs!$B$18+Inputs!$B$19)+MAX(-AS105,0)*(O105+Inputs!$B$18+Inputs!$B$19)+IF(AND(K105=1,AP105&lt;&gt;0),(Inputs!$B$17+Inputs!$B$18+Inputs!$B$19)+(O105+Inputs!$B$18+Inputs!$B$19),0)</f>
        <v>0</v>
      </c>
      <c r="AZ105" s="30" t="n">
        <f aca="false">AP104*M105-AY105</f>
        <v>-0</v>
      </c>
      <c r="BA105" s="32" t="n">
        <f aca="false">BA104+AI105</f>
        <v>-0.00554439001051976</v>
      </c>
      <c r="BB105" s="30" t="n">
        <f aca="false">MAX(BB104,BA105)</f>
        <v>0</v>
      </c>
      <c r="BC105" s="32" t="n">
        <f aca="false">BA105-BB105</f>
        <v>-0.00554439001051976</v>
      </c>
      <c r="BD105" s="30" t="n">
        <f aca="false">A106-A105</f>
        <v>3</v>
      </c>
    </row>
    <row r="106" customFormat="false" ht="15" hidden="false" customHeight="false" outlineLevel="0" collapsed="false">
      <c r="A106" s="28" t="n">
        <v>45194</v>
      </c>
      <c r="B106" s="0" t="n">
        <v>19700</v>
      </c>
      <c r="C106" s="0" t="n">
        <v>216.85</v>
      </c>
      <c r="D106" s="29" t="n">
        <f aca="false">LN(B106)</f>
        <v>9.88837391472608</v>
      </c>
      <c r="E106" s="29" t="n">
        <f aca="false">LN(C106)</f>
        <v>5.37920587028138</v>
      </c>
      <c r="F106" s="0" t="n">
        <v>101</v>
      </c>
      <c r="G106" s="0" t="n">
        <v>3</v>
      </c>
      <c r="H106" s="29" t="n">
        <f aca="false">D106-E106</f>
        <v>4.5091680444447</v>
      </c>
      <c r="I106" s="29" t="n">
        <f aca="false">D106-D105</f>
        <v>-0.000542999757067619</v>
      </c>
      <c r="J106" s="29" t="n">
        <f aca="false">E106-E105</f>
        <v>-0.00069148325908408</v>
      </c>
      <c r="K106" s="0" t="n">
        <v>0</v>
      </c>
      <c r="L106" s="0" t="n">
        <v>0</v>
      </c>
      <c r="M106" s="29" t="n">
        <f aca="false">IF(L106=1,J106-Carry!$B$9/Inputs!$B$16,I106)</f>
        <v>-0.000542999757067619</v>
      </c>
      <c r="N106" s="0" t="n">
        <v>0.065</v>
      </c>
      <c r="O106" s="0" t="n">
        <v>0.000125</v>
      </c>
      <c r="P106" s="29" t="n">
        <f aca="false">D106-('2 Hedge ratio'!$B$6+'2 Hedge ratio'!$B$5*E106)</f>
        <v>-0.00148060788392179</v>
      </c>
      <c r="Q106" s="29" t="n">
        <f aca="false">D106-('5 Re-specification'!$B$7+'5 Re-specification'!$B$5*E106+'5 Re-specification'!$B$6*F106)</f>
        <v>-0.00119343187154009</v>
      </c>
      <c r="R106" s="30" t="n">
        <f aca="false">MIN(F106,Inputs!$B$9)</f>
        <v>101</v>
      </c>
      <c r="S106" s="29" t="n">
        <f aca="true">IF(AND(F106&gt;=1,R106&gt;=Inputs!$B$10),INDEX(LINEST(OFFSET(D106,-R106,0,R106,1),OFFSET(E106,-R106,0,R106,2)),1,1),"")</f>
        <v>-0.000135157254020353</v>
      </c>
      <c r="T106" s="29" t="n">
        <f aca="true">IF(AND(F106&gt;=1,R106&gt;=Inputs!$B$10),INDEX(LINEST(OFFSET(D106,-R106,0,R106,1),OFFSET(E106,-R106,0,R106,2)),1,2),"")</f>
        <v>1.03383566407138</v>
      </c>
      <c r="U106" s="29" t="n">
        <f aca="true">IF(AND(F106&gt;=1,R106&gt;=Inputs!$B$10),INDEX(LINEST(OFFSET(D106,-R106,0,R106,1),OFFSET(E106,-R106,0,R106,2)),1,3),"")</f>
        <v>4.33841121083062</v>
      </c>
      <c r="V106" s="29" t="n">
        <f aca="true">IF(AND(F106&gt;=1,R106&gt;=Inputs!$B$10),SQRT(SUMPRODUCT((OFFSET(D106,-R106,0,R106,1)-U106-T106*OFFSET(E106,-R106,0,R106,1)-S106*OFFSET(F106,-R106,0,R106,1))^2)/(R106-3)),"")</f>
        <v>0.00204448702376297</v>
      </c>
      <c r="W106" s="31" t="n">
        <f aca="false">IF(AND(F106&gt;=1,R106&gt;=Inputs!$B$10),(D106-U106-T106*E106-S106*F106)/V106,"")</f>
        <v>1.17325932843467</v>
      </c>
      <c r="X106" s="30" t="n">
        <f aca="false">IF(AB105&lt;&gt;0,AC105+1,0)</f>
        <v>0</v>
      </c>
      <c r="Y106" s="30" t="n">
        <f aca="false">IF(W106="",0,IF(AND(AB105&lt;&gt;0,OR(ABS(W106)&gt;Inputs!$B$7,X106&gt;=Inputs!$B$8,ABS(W106)&lt;Inputs!$B$6)),1,0))</f>
        <v>0</v>
      </c>
      <c r="Z106" s="30" t="n">
        <f aca="false">IF(Y106=1,0,AB105)</f>
        <v>0</v>
      </c>
      <c r="AA106" s="30" t="n">
        <f aca="false">IF(W106="",0,IF(AND(Z106=0,ABS(W106)&gt;Inputs!$B$5,ABS(W106)&lt;=Inputs!$B$7),1,0))</f>
        <v>0</v>
      </c>
      <c r="AB106" s="30" t="n">
        <f aca="false">IF(W106="",0,IF(AA106=1,-SIGN(W106),Z106))</f>
        <v>0</v>
      </c>
      <c r="AC106" s="30" t="n">
        <f aca="false">IF(W106="",0,IF(AA106=1,0,IF(Y106=1,0,X106)))</f>
        <v>0</v>
      </c>
      <c r="AD106" s="30" t="n">
        <f aca="false">IF(AB106=0,0,IF(AB105=AB106,AD105,T106))</f>
        <v>0</v>
      </c>
      <c r="AE106" s="30" t="n">
        <f aca="false">AB106-AB105</f>
        <v>0</v>
      </c>
      <c r="AF106" s="30" t="n">
        <f aca="false">-AD106*AB106</f>
        <v>-0</v>
      </c>
      <c r="AG106" s="30" t="n">
        <f aca="false">AF106-AF105</f>
        <v>0</v>
      </c>
      <c r="AH106" s="30" t="n">
        <f aca="false">MAX(AE106,0)*(Inputs!$B$17+Inputs!$B$18+Inputs!$B$19)+MAX(-AE106,0)*(O106+Inputs!$B$18+Inputs!$B$19)+IF(AND(K106=1,AB106&lt;&gt;0),(Inputs!$B$17+Inputs!$B$18+Inputs!$B$19)+(O106+Inputs!$B$18+Inputs!$B$19),0)+MAX(AG106,0)*(Inputs!$B$20+Inputs!$B$22+Inputs!$B$23)+MAX(-AG106,0)*(Inputs!$B$21+Inputs!$B$22+Inputs!$B$23)</f>
        <v>0</v>
      </c>
      <c r="AI106" s="30" t="n">
        <f aca="false">AB105*(M106-AD105*J106)+AB105*AD105*N106/Inputs!$B$16-AH106</f>
        <v>0</v>
      </c>
      <c r="AJ106" s="30" t="n">
        <f aca="false">MAX(AE106,0)*(Inputs!$B$17+Inputs!$B$24+Inputs!$B$25)+MAX(-AE106,0)*(O106+Inputs!$B$24+Inputs!$B$25)+IF(AND(K106=1,AB106&lt;&gt;0),(Inputs!$B$17+Inputs!$B$24+Inputs!$B$25)+(O106+Inputs!$B$24+Inputs!$B$25),0)+MAX(AG106,0)*(Inputs!$B$20+Inputs!$B$26+Inputs!$B$27)+MAX(-AG106,0)*(Inputs!$B$21+Inputs!$B$26+Inputs!$B$27)</f>
        <v>0</v>
      </c>
      <c r="AK106" s="30" t="n">
        <f aca="false">AB105*(M106-AD105*J106)+AB105*AD105*(N106+Inputs!$B$14)/Inputs!$B$16-AJ106</f>
        <v>0</v>
      </c>
      <c r="AL106" s="30" t="n">
        <f aca="false">IF(AP105&lt;&gt;0,AQ105+1,0)</f>
        <v>0</v>
      </c>
      <c r="AM106" s="30" t="n">
        <f aca="false">IF(W106="",0,IF(AND(AP105&lt;&gt;0,OR(ABS(W106)&gt;Inputs!$B$7,AL106&gt;=Inputs!$B$8,ABS(W106)&lt;Inputs!$B$6)),1,0))</f>
        <v>0</v>
      </c>
      <c r="AN106" s="30" t="n">
        <f aca="false">IF(AM106=1,0,AP105)</f>
        <v>0</v>
      </c>
      <c r="AO106" s="30" t="n">
        <f aca="false">IF(W106="",0,IF(AND(AN106=0,ABS(W106)&gt;Inputs!$B$5,ABS(W106)&lt;=Inputs!$B$7,W106&gt;0),1,0))</f>
        <v>0</v>
      </c>
      <c r="AP106" s="30" t="n">
        <f aca="false">IF(W106="",0,IF(AO106=1,-SIGN(W106),AN106))</f>
        <v>0</v>
      </c>
      <c r="AQ106" s="30" t="n">
        <f aca="false">IF(W106="",0,IF(AO106=1,0,IF(AM106=1,0,AL106)))</f>
        <v>0</v>
      </c>
      <c r="AR106" s="30" t="n">
        <f aca="false">IF(AP106=0,0,IF(AP105=AP106,AR105,T106))</f>
        <v>0</v>
      </c>
      <c r="AS106" s="30" t="n">
        <f aca="false">AP106-AP105</f>
        <v>0</v>
      </c>
      <c r="AT106" s="30" t="n">
        <f aca="false">-AR106*AP106</f>
        <v>-0</v>
      </c>
      <c r="AU106" s="30" t="n">
        <f aca="false">AT106-AT105</f>
        <v>0</v>
      </c>
      <c r="AV106" s="30" t="n">
        <f aca="false">MAX(AS106,0)*(Inputs!$B$17+Inputs!$B$18+Inputs!$B$19)+MAX(-AS106,0)*(O106+Inputs!$B$18+Inputs!$B$19)+IF(AND(K106=1,AP106&lt;&gt;0),(Inputs!$B$17+Inputs!$B$18+Inputs!$B$19)+(O106+Inputs!$B$18+Inputs!$B$19),0)+MAX(AU106,0)*(Inputs!$B$20+Inputs!$B$22+Inputs!$B$23)+MAX(-AU106,0)*(Inputs!$B$21+Inputs!$B$22+Inputs!$B$23)</f>
        <v>0</v>
      </c>
      <c r="AW106" s="30" t="n">
        <f aca="false">AP105*(M106-AR105*J106)+AP105*AR105*N106/Inputs!$B$16-AV106</f>
        <v>0</v>
      </c>
      <c r="AX106" s="30" t="n">
        <f aca="false">AW106-IF(AP105&lt;&gt;0,0.75*AR105*(Inputs!$B$13-N106)/Inputs!$B$16,0)</f>
        <v>0</v>
      </c>
      <c r="AY106" s="30" t="n">
        <f aca="false">MAX(AS106,0)*(Inputs!$B$17+Inputs!$B$18+Inputs!$B$19)+MAX(-AS106,0)*(O106+Inputs!$B$18+Inputs!$B$19)+IF(AND(K106=1,AP106&lt;&gt;0),(Inputs!$B$17+Inputs!$B$18+Inputs!$B$19)+(O106+Inputs!$B$18+Inputs!$B$19),0)</f>
        <v>0</v>
      </c>
      <c r="AZ106" s="30" t="n">
        <f aca="false">AP105*M106-AY106</f>
        <v>-0</v>
      </c>
      <c r="BA106" s="32" t="n">
        <f aca="false">BA105+AI106</f>
        <v>-0.00554439001051976</v>
      </c>
      <c r="BB106" s="30" t="n">
        <f aca="false">MAX(BB105,BA106)</f>
        <v>0</v>
      </c>
      <c r="BC106" s="32" t="n">
        <f aca="false">BA106-BB106</f>
        <v>-0.00554439001051976</v>
      </c>
      <c r="BD106" s="30" t="n">
        <f aca="false">A107-A106</f>
        <v>1</v>
      </c>
    </row>
    <row r="107" customFormat="false" ht="15" hidden="false" customHeight="false" outlineLevel="0" collapsed="false">
      <c r="A107" s="28" t="n">
        <v>45195</v>
      </c>
      <c r="B107" s="0" t="n">
        <v>19666</v>
      </c>
      <c r="C107" s="0" t="n">
        <v>216.69</v>
      </c>
      <c r="D107" s="29" t="n">
        <f aca="false">LN(B107)</f>
        <v>9.8866465353401</v>
      </c>
      <c r="E107" s="29" t="n">
        <f aca="false">LN(C107)</f>
        <v>5.37846776073087</v>
      </c>
      <c r="F107" s="0" t="n">
        <v>102</v>
      </c>
      <c r="G107" s="0" t="n">
        <v>2</v>
      </c>
      <c r="H107" s="29" t="n">
        <f aca="false">D107-E107</f>
        <v>4.50817877460924</v>
      </c>
      <c r="I107" s="29" t="n">
        <f aca="false">D107-D106</f>
        <v>-0.00172737938597756</v>
      </c>
      <c r="J107" s="29" t="n">
        <f aca="false">E107-E106</f>
        <v>-0.000738109550510124</v>
      </c>
      <c r="K107" s="0" t="n">
        <v>0</v>
      </c>
      <c r="L107" s="0" t="n">
        <v>0</v>
      </c>
      <c r="M107" s="29" t="n">
        <f aca="false">IF(L107=1,J107-Carry!$B$9/Inputs!$B$16,I107)</f>
        <v>-0.00172737938597756</v>
      </c>
      <c r="N107" s="0" t="n">
        <v>0.065</v>
      </c>
      <c r="O107" s="0" t="n">
        <v>0.000125</v>
      </c>
      <c r="P107" s="29" t="n">
        <f aca="false">D107-('2 Hedge ratio'!$B$6+'2 Hedge ratio'!$B$5*E107)</f>
        <v>-0.00253178535942311</v>
      </c>
      <c r="Q107" s="29" t="n">
        <f aca="false">D107-('5 Re-specification'!$B$7+'5 Re-specification'!$B$5*E107+'5 Re-specification'!$B$6*F107)</f>
        <v>-0.00214000922992064</v>
      </c>
      <c r="R107" s="30" t="n">
        <f aca="false">MIN(F107,Inputs!$B$9)</f>
        <v>102</v>
      </c>
      <c r="S107" s="29" t="n">
        <f aca="true">IF(AND(F107&gt;=1,R107&gt;=Inputs!$B$10),INDEX(LINEST(OFFSET(D107,-R107,0,R107,1),OFFSET(E107,-R107,0,R107,2)),1,1),"")</f>
        <v>-0.000130841078226383</v>
      </c>
      <c r="T107" s="29" t="n">
        <f aca="true">IF(AND(F107&gt;=1,R107&gt;=Inputs!$B$10),INDEX(LINEST(OFFSET(D107,-R107,0,R107,1),OFFSET(E107,-R107,0,R107,2)),1,2),"")</f>
        <v>1.0309755747371</v>
      </c>
      <c r="U107" s="29" t="n">
        <f aca="true">IF(AND(F107&gt;=1,R107&gt;=Inputs!$B$10),INDEX(LINEST(OFFSET(D107,-R107,0,R107,1),OFFSET(E107,-R107,0,R107,2)),1,3),"")</f>
        <v>4.35351489834955</v>
      </c>
      <c r="V107" s="29" t="n">
        <f aca="true">IF(AND(F107&gt;=1,R107&gt;=Inputs!$B$10),SQRT(SUMPRODUCT((OFFSET(D107,-R107,0,R107,1)-U107-T107*OFFSET(E107,-R107,0,R107,1)-S107*OFFSET(F107,-R107,0,R107,1))^2)/(R107-3)),"")</f>
        <v>0.0020474567156366</v>
      </c>
      <c r="W107" s="31" t="n">
        <f aca="false">IF(AND(F107&gt;=1,R107&gt;=Inputs!$B$10),(D107-U107-T107*E107-S107*F107)/V107,"")</f>
        <v>0.687944284437472</v>
      </c>
      <c r="X107" s="30" t="n">
        <f aca="false">IF(AB106&lt;&gt;0,AC106+1,0)</f>
        <v>0</v>
      </c>
      <c r="Y107" s="30" t="n">
        <f aca="false">IF(W107="",0,IF(AND(AB106&lt;&gt;0,OR(ABS(W107)&gt;Inputs!$B$7,X107&gt;=Inputs!$B$8,ABS(W107)&lt;Inputs!$B$6)),1,0))</f>
        <v>0</v>
      </c>
      <c r="Z107" s="30" t="n">
        <f aca="false">IF(Y107=1,0,AB106)</f>
        <v>0</v>
      </c>
      <c r="AA107" s="30" t="n">
        <f aca="false">IF(W107="",0,IF(AND(Z107=0,ABS(W107)&gt;Inputs!$B$5,ABS(W107)&lt;=Inputs!$B$7),1,0))</f>
        <v>0</v>
      </c>
      <c r="AB107" s="30" t="n">
        <f aca="false">IF(W107="",0,IF(AA107=1,-SIGN(W107),Z107))</f>
        <v>0</v>
      </c>
      <c r="AC107" s="30" t="n">
        <f aca="false">IF(W107="",0,IF(AA107=1,0,IF(Y107=1,0,X107)))</f>
        <v>0</v>
      </c>
      <c r="AD107" s="30" t="n">
        <f aca="false">IF(AB107=0,0,IF(AB106=AB107,AD106,T107))</f>
        <v>0</v>
      </c>
      <c r="AE107" s="30" t="n">
        <f aca="false">AB107-AB106</f>
        <v>0</v>
      </c>
      <c r="AF107" s="30" t="n">
        <f aca="false">-AD107*AB107</f>
        <v>-0</v>
      </c>
      <c r="AG107" s="30" t="n">
        <f aca="false">AF107-AF106</f>
        <v>0</v>
      </c>
      <c r="AH107" s="30" t="n">
        <f aca="false">MAX(AE107,0)*(Inputs!$B$17+Inputs!$B$18+Inputs!$B$19)+MAX(-AE107,0)*(O107+Inputs!$B$18+Inputs!$B$19)+IF(AND(K107=1,AB107&lt;&gt;0),(Inputs!$B$17+Inputs!$B$18+Inputs!$B$19)+(O107+Inputs!$B$18+Inputs!$B$19),0)+MAX(AG107,0)*(Inputs!$B$20+Inputs!$B$22+Inputs!$B$23)+MAX(-AG107,0)*(Inputs!$B$21+Inputs!$B$22+Inputs!$B$23)</f>
        <v>0</v>
      </c>
      <c r="AI107" s="30" t="n">
        <f aca="false">AB106*(M107-AD106*J107)+AB106*AD106*N107/Inputs!$B$16-AH107</f>
        <v>0</v>
      </c>
      <c r="AJ107" s="30" t="n">
        <f aca="false">MAX(AE107,0)*(Inputs!$B$17+Inputs!$B$24+Inputs!$B$25)+MAX(-AE107,0)*(O107+Inputs!$B$24+Inputs!$B$25)+IF(AND(K107=1,AB107&lt;&gt;0),(Inputs!$B$17+Inputs!$B$24+Inputs!$B$25)+(O107+Inputs!$B$24+Inputs!$B$25),0)+MAX(AG107,0)*(Inputs!$B$20+Inputs!$B$26+Inputs!$B$27)+MAX(-AG107,0)*(Inputs!$B$21+Inputs!$B$26+Inputs!$B$27)</f>
        <v>0</v>
      </c>
      <c r="AK107" s="30" t="n">
        <f aca="false">AB106*(M107-AD106*J107)+AB106*AD106*(N107+Inputs!$B$14)/Inputs!$B$16-AJ107</f>
        <v>0</v>
      </c>
      <c r="AL107" s="30" t="n">
        <f aca="false">IF(AP106&lt;&gt;0,AQ106+1,0)</f>
        <v>0</v>
      </c>
      <c r="AM107" s="30" t="n">
        <f aca="false">IF(W107="",0,IF(AND(AP106&lt;&gt;0,OR(ABS(W107)&gt;Inputs!$B$7,AL107&gt;=Inputs!$B$8,ABS(W107)&lt;Inputs!$B$6)),1,0))</f>
        <v>0</v>
      </c>
      <c r="AN107" s="30" t="n">
        <f aca="false">IF(AM107=1,0,AP106)</f>
        <v>0</v>
      </c>
      <c r="AO107" s="30" t="n">
        <f aca="false">IF(W107="",0,IF(AND(AN107=0,ABS(W107)&gt;Inputs!$B$5,ABS(W107)&lt;=Inputs!$B$7,W107&gt;0),1,0))</f>
        <v>0</v>
      </c>
      <c r="AP107" s="30" t="n">
        <f aca="false">IF(W107="",0,IF(AO107=1,-SIGN(W107),AN107))</f>
        <v>0</v>
      </c>
      <c r="AQ107" s="30" t="n">
        <f aca="false">IF(W107="",0,IF(AO107=1,0,IF(AM107=1,0,AL107)))</f>
        <v>0</v>
      </c>
      <c r="AR107" s="30" t="n">
        <f aca="false">IF(AP107=0,0,IF(AP106=AP107,AR106,T107))</f>
        <v>0</v>
      </c>
      <c r="AS107" s="30" t="n">
        <f aca="false">AP107-AP106</f>
        <v>0</v>
      </c>
      <c r="AT107" s="30" t="n">
        <f aca="false">-AR107*AP107</f>
        <v>-0</v>
      </c>
      <c r="AU107" s="30" t="n">
        <f aca="false">AT107-AT106</f>
        <v>0</v>
      </c>
      <c r="AV107" s="30" t="n">
        <f aca="false">MAX(AS107,0)*(Inputs!$B$17+Inputs!$B$18+Inputs!$B$19)+MAX(-AS107,0)*(O107+Inputs!$B$18+Inputs!$B$19)+IF(AND(K107=1,AP107&lt;&gt;0),(Inputs!$B$17+Inputs!$B$18+Inputs!$B$19)+(O107+Inputs!$B$18+Inputs!$B$19),0)+MAX(AU107,0)*(Inputs!$B$20+Inputs!$B$22+Inputs!$B$23)+MAX(-AU107,0)*(Inputs!$B$21+Inputs!$B$22+Inputs!$B$23)</f>
        <v>0</v>
      </c>
      <c r="AW107" s="30" t="n">
        <f aca="false">AP106*(M107-AR106*J107)+AP106*AR106*N107/Inputs!$B$16-AV107</f>
        <v>0</v>
      </c>
      <c r="AX107" s="30" t="n">
        <f aca="false">AW107-IF(AP106&lt;&gt;0,0.75*AR106*(Inputs!$B$13-N107)/Inputs!$B$16,0)</f>
        <v>0</v>
      </c>
      <c r="AY107" s="30" t="n">
        <f aca="false">MAX(AS107,0)*(Inputs!$B$17+Inputs!$B$18+Inputs!$B$19)+MAX(-AS107,0)*(O107+Inputs!$B$18+Inputs!$B$19)+IF(AND(K107=1,AP107&lt;&gt;0),(Inputs!$B$17+Inputs!$B$18+Inputs!$B$19)+(O107+Inputs!$B$18+Inputs!$B$19),0)</f>
        <v>0</v>
      </c>
      <c r="AZ107" s="30" t="n">
        <f aca="false">AP106*M107-AY107</f>
        <v>-0</v>
      </c>
      <c r="BA107" s="32" t="n">
        <f aca="false">BA106+AI107</f>
        <v>-0.00554439001051976</v>
      </c>
      <c r="BB107" s="30" t="n">
        <f aca="false">MAX(BB106,BA107)</f>
        <v>0</v>
      </c>
      <c r="BC107" s="32" t="n">
        <f aca="false">BA107-BB107</f>
        <v>-0.00554439001051976</v>
      </c>
      <c r="BD107" s="30" t="n">
        <f aca="false">A108-A107</f>
        <v>1</v>
      </c>
    </row>
    <row r="108" customFormat="false" ht="15" hidden="false" customHeight="false" outlineLevel="0" collapsed="false">
      <c r="A108" s="28" t="n">
        <v>45196</v>
      </c>
      <c r="B108" s="0" t="n">
        <v>19723.95</v>
      </c>
      <c r="C108" s="0" t="n">
        <v>217.6</v>
      </c>
      <c r="D108" s="29" t="n">
        <f aca="false">LN(B108)</f>
        <v>9.88958891235804</v>
      </c>
      <c r="E108" s="29" t="n">
        <f aca="false">LN(C108)</f>
        <v>5.38265851498179</v>
      </c>
      <c r="F108" s="0" t="n">
        <v>103</v>
      </c>
      <c r="G108" s="0" t="n">
        <v>1</v>
      </c>
      <c r="H108" s="29" t="n">
        <f aca="false">D108-E108</f>
        <v>4.50693039737625</v>
      </c>
      <c r="I108" s="29" t="n">
        <f aca="false">D108-D107</f>
        <v>0.00294237701793953</v>
      </c>
      <c r="J108" s="29" t="n">
        <f aca="false">E108-E107</f>
        <v>0.00419075425092164</v>
      </c>
      <c r="K108" s="0" t="n">
        <v>0</v>
      </c>
      <c r="L108" s="0" t="n">
        <v>0</v>
      </c>
      <c r="M108" s="29" t="n">
        <f aca="false">IF(L108=1,J108-Carry!$B$9/Inputs!$B$16,I108)</f>
        <v>0.00294237701793953</v>
      </c>
      <c r="N108" s="0" t="n">
        <v>0.065</v>
      </c>
      <c r="O108" s="0" t="n">
        <v>0.000125</v>
      </c>
      <c r="P108" s="29" t="n">
        <f aca="false">D108-('2 Hedge ratio'!$B$6+'2 Hedge ratio'!$B$5*E108)</f>
        <v>-0.00342867045217865</v>
      </c>
      <c r="Q108" s="29" t="n">
        <f aca="false">D108-('5 Re-specification'!$B$7+'5 Re-specification'!$B$5*E108+'5 Re-specification'!$B$6*F108)</f>
        <v>-0.00333075706396002</v>
      </c>
      <c r="R108" s="30" t="n">
        <f aca="false">MIN(F108,Inputs!$B$9)</f>
        <v>103</v>
      </c>
      <c r="S108" s="29" t="n">
        <f aca="true">IF(AND(F108&gt;=1,R108&gt;=Inputs!$B$10),INDEX(LINEST(OFFSET(D108,-R108,0,R108,1),OFFSET(E108,-R108,0,R108,2)),1,1),"")</f>
        <v>-0.000128325445497174</v>
      </c>
      <c r="T108" s="29" t="n">
        <f aca="true">IF(AND(F108&gt;=1,R108&gt;=Inputs!$B$10),INDEX(LINEST(OFFSET(D108,-R108,0,R108,1),OFFSET(E108,-R108,0,R108,2)),1,2),"")</f>
        <v>1.02927777804812</v>
      </c>
      <c r="U108" s="29" t="n">
        <f aca="true">IF(AND(F108&gt;=1,R108&gt;=Inputs!$B$10),INDEX(LINEST(OFFSET(D108,-R108,0,R108,1),OFFSET(E108,-R108,0,R108,2)),1,3),"")</f>
        <v>4.36248199409136</v>
      </c>
      <c r="V108" s="29" t="n">
        <f aca="true">IF(AND(F108&gt;=1,R108&gt;=Inputs!$B$10),SQRT(SUMPRODUCT((OFFSET(D108,-R108,0,R108,1)-U108-T108*OFFSET(E108,-R108,0,R108,1)-S108*OFFSET(F108,-R108,0,R108,1))^2)/(R108-3)),"")</f>
        <v>0.0020417394667511</v>
      </c>
      <c r="W108" s="31" t="n">
        <f aca="false">IF(AND(F108&gt;=1,R108&gt;=Inputs!$B$10),(D108-U108-T108*E108-S108*F108)/V108,"")</f>
        <v>0.0360686864613796</v>
      </c>
      <c r="X108" s="30" t="n">
        <f aca="false">IF(AB107&lt;&gt;0,AC107+1,0)</f>
        <v>0</v>
      </c>
      <c r="Y108" s="30" t="n">
        <f aca="false">IF(W108="",0,IF(AND(AB107&lt;&gt;0,OR(ABS(W108)&gt;Inputs!$B$7,X108&gt;=Inputs!$B$8,ABS(W108)&lt;Inputs!$B$6)),1,0))</f>
        <v>0</v>
      </c>
      <c r="Z108" s="30" t="n">
        <f aca="false">IF(Y108=1,0,AB107)</f>
        <v>0</v>
      </c>
      <c r="AA108" s="30" t="n">
        <f aca="false">IF(W108="",0,IF(AND(Z108=0,ABS(W108)&gt;Inputs!$B$5,ABS(W108)&lt;=Inputs!$B$7),1,0))</f>
        <v>0</v>
      </c>
      <c r="AB108" s="30" t="n">
        <f aca="false">IF(W108="",0,IF(AA108=1,-SIGN(W108),Z108))</f>
        <v>0</v>
      </c>
      <c r="AC108" s="30" t="n">
        <f aca="false">IF(W108="",0,IF(AA108=1,0,IF(Y108=1,0,X108)))</f>
        <v>0</v>
      </c>
      <c r="AD108" s="30" t="n">
        <f aca="false">IF(AB108=0,0,IF(AB107=AB108,AD107,T108))</f>
        <v>0</v>
      </c>
      <c r="AE108" s="30" t="n">
        <f aca="false">AB108-AB107</f>
        <v>0</v>
      </c>
      <c r="AF108" s="30" t="n">
        <f aca="false">-AD108*AB108</f>
        <v>-0</v>
      </c>
      <c r="AG108" s="30" t="n">
        <f aca="false">AF108-AF107</f>
        <v>0</v>
      </c>
      <c r="AH108" s="30" t="n">
        <f aca="false">MAX(AE108,0)*(Inputs!$B$17+Inputs!$B$18+Inputs!$B$19)+MAX(-AE108,0)*(O108+Inputs!$B$18+Inputs!$B$19)+IF(AND(K108=1,AB108&lt;&gt;0),(Inputs!$B$17+Inputs!$B$18+Inputs!$B$19)+(O108+Inputs!$B$18+Inputs!$B$19),0)+MAX(AG108,0)*(Inputs!$B$20+Inputs!$B$22+Inputs!$B$23)+MAX(-AG108,0)*(Inputs!$B$21+Inputs!$B$22+Inputs!$B$23)</f>
        <v>0</v>
      </c>
      <c r="AI108" s="30" t="n">
        <f aca="false">AB107*(M108-AD107*J108)+AB107*AD107*N108/Inputs!$B$16-AH108</f>
        <v>0</v>
      </c>
      <c r="AJ108" s="30" t="n">
        <f aca="false">MAX(AE108,0)*(Inputs!$B$17+Inputs!$B$24+Inputs!$B$25)+MAX(-AE108,0)*(O108+Inputs!$B$24+Inputs!$B$25)+IF(AND(K108=1,AB108&lt;&gt;0),(Inputs!$B$17+Inputs!$B$24+Inputs!$B$25)+(O108+Inputs!$B$24+Inputs!$B$25),0)+MAX(AG108,0)*(Inputs!$B$20+Inputs!$B$26+Inputs!$B$27)+MAX(-AG108,0)*(Inputs!$B$21+Inputs!$B$26+Inputs!$B$27)</f>
        <v>0</v>
      </c>
      <c r="AK108" s="30" t="n">
        <f aca="false">AB107*(M108-AD107*J108)+AB107*AD107*(N108+Inputs!$B$14)/Inputs!$B$16-AJ108</f>
        <v>0</v>
      </c>
      <c r="AL108" s="30" t="n">
        <f aca="false">IF(AP107&lt;&gt;0,AQ107+1,0)</f>
        <v>0</v>
      </c>
      <c r="AM108" s="30" t="n">
        <f aca="false">IF(W108="",0,IF(AND(AP107&lt;&gt;0,OR(ABS(W108)&gt;Inputs!$B$7,AL108&gt;=Inputs!$B$8,ABS(W108)&lt;Inputs!$B$6)),1,0))</f>
        <v>0</v>
      </c>
      <c r="AN108" s="30" t="n">
        <f aca="false">IF(AM108=1,0,AP107)</f>
        <v>0</v>
      </c>
      <c r="AO108" s="30" t="n">
        <f aca="false">IF(W108="",0,IF(AND(AN108=0,ABS(W108)&gt;Inputs!$B$5,ABS(W108)&lt;=Inputs!$B$7,W108&gt;0),1,0))</f>
        <v>0</v>
      </c>
      <c r="AP108" s="30" t="n">
        <f aca="false">IF(W108="",0,IF(AO108=1,-SIGN(W108),AN108))</f>
        <v>0</v>
      </c>
      <c r="AQ108" s="30" t="n">
        <f aca="false">IF(W108="",0,IF(AO108=1,0,IF(AM108=1,0,AL108)))</f>
        <v>0</v>
      </c>
      <c r="AR108" s="30" t="n">
        <f aca="false">IF(AP108=0,0,IF(AP107=AP108,AR107,T108))</f>
        <v>0</v>
      </c>
      <c r="AS108" s="30" t="n">
        <f aca="false">AP108-AP107</f>
        <v>0</v>
      </c>
      <c r="AT108" s="30" t="n">
        <f aca="false">-AR108*AP108</f>
        <v>-0</v>
      </c>
      <c r="AU108" s="30" t="n">
        <f aca="false">AT108-AT107</f>
        <v>0</v>
      </c>
      <c r="AV108" s="30" t="n">
        <f aca="false">MAX(AS108,0)*(Inputs!$B$17+Inputs!$B$18+Inputs!$B$19)+MAX(-AS108,0)*(O108+Inputs!$B$18+Inputs!$B$19)+IF(AND(K108=1,AP108&lt;&gt;0),(Inputs!$B$17+Inputs!$B$18+Inputs!$B$19)+(O108+Inputs!$B$18+Inputs!$B$19),0)+MAX(AU108,0)*(Inputs!$B$20+Inputs!$B$22+Inputs!$B$23)+MAX(-AU108,0)*(Inputs!$B$21+Inputs!$B$22+Inputs!$B$23)</f>
        <v>0</v>
      </c>
      <c r="AW108" s="30" t="n">
        <f aca="false">AP107*(M108-AR107*J108)+AP107*AR107*N108/Inputs!$B$16-AV108</f>
        <v>0</v>
      </c>
      <c r="AX108" s="30" t="n">
        <f aca="false">AW108-IF(AP107&lt;&gt;0,0.75*AR107*(Inputs!$B$13-N108)/Inputs!$B$16,0)</f>
        <v>0</v>
      </c>
      <c r="AY108" s="30" t="n">
        <f aca="false">MAX(AS108,0)*(Inputs!$B$17+Inputs!$B$18+Inputs!$B$19)+MAX(-AS108,0)*(O108+Inputs!$B$18+Inputs!$B$19)+IF(AND(K108=1,AP108&lt;&gt;0),(Inputs!$B$17+Inputs!$B$18+Inputs!$B$19)+(O108+Inputs!$B$18+Inputs!$B$19),0)</f>
        <v>0</v>
      </c>
      <c r="AZ108" s="30" t="n">
        <f aca="false">AP107*M108-AY108</f>
        <v>0</v>
      </c>
      <c r="BA108" s="32" t="n">
        <f aca="false">BA107+AI108</f>
        <v>-0.00554439001051976</v>
      </c>
      <c r="BB108" s="30" t="n">
        <f aca="false">MAX(BB107,BA108)</f>
        <v>0</v>
      </c>
      <c r="BC108" s="32" t="n">
        <f aca="false">BA108-BB108</f>
        <v>-0.00554439001051976</v>
      </c>
      <c r="BD108" s="30" t="n">
        <f aca="false">A109-A108</f>
        <v>1</v>
      </c>
    </row>
    <row r="109" customFormat="false" ht="15" hidden="false" customHeight="false" outlineLevel="0" collapsed="false">
      <c r="A109" s="28" t="n">
        <v>45197</v>
      </c>
      <c r="B109" s="0" t="n">
        <v>19525</v>
      </c>
      <c r="C109" s="0" t="n">
        <v>216.14</v>
      </c>
      <c r="D109" s="29" t="n">
        <f aca="false">LN(B109)</f>
        <v>9.87945097470789</v>
      </c>
      <c r="E109" s="29" t="n">
        <f aca="false">LN(C109)</f>
        <v>5.37592634587502</v>
      </c>
      <c r="F109" s="0" t="n">
        <v>104</v>
      </c>
      <c r="G109" s="0" t="n">
        <v>0</v>
      </c>
      <c r="H109" s="29" t="n">
        <f aca="false">D109-E109</f>
        <v>4.50352462883287</v>
      </c>
      <c r="I109" s="29" t="n">
        <f aca="false">D109-D108</f>
        <v>-0.0101379376501551</v>
      </c>
      <c r="J109" s="29" t="n">
        <f aca="false">E109-E108</f>
        <v>-0.00673216910676722</v>
      </c>
      <c r="K109" s="0" t="n">
        <v>1</v>
      </c>
      <c r="L109" s="0" t="n">
        <v>0</v>
      </c>
      <c r="M109" s="29" t="n">
        <f aca="false">IF(L109=1,J109-Carry!$B$9/Inputs!$B$16,I109)</f>
        <v>-0.0101379376501551</v>
      </c>
      <c r="N109" s="0" t="n">
        <v>0.065</v>
      </c>
      <c r="O109" s="0" t="n">
        <v>0.000125</v>
      </c>
      <c r="P109" s="29" t="n">
        <f aca="false">D109-('2 Hedge ratio'!$B$6+'2 Hedge ratio'!$B$5*E109)</f>
        <v>-0.00739908783585008</v>
      </c>
      <c r="Q109" s="29" t="n">
        <f aca="false">D109-('5 Re-specification'!$B$7+'5 Re-specification'!$B$5*E109+'5 Re-specification'!$B$6*F109)</f>
        <v>-0.00671199812787116</v>
      </c>
      <c r="R109" s="30" t="n">
        <f aca="false">MIN(F109,Inputs!$B$9)</f>
        <v>104</v>
      </c>
      <c r="S109" s="29" t="n">
        <f aca="true">IF(AND(F109&gt;=1,R109&gt;=Inputs!$B$10),INDEX(LINEST(OFFSET(D109,-R109,0,R109,1),OFFSET(E109,-R109,0,R109,2)),1,1),"")</f>
        <v>-0.000128212544684992</v>
      </c>
      <c r="T109" s="29" t="n">
        <f aca="true">IF(AND(F109&gt;=1,R109&gt;=Inputs!$B$10),INDEX(LINEST(OFFSET(D109,-R109,0,R109,1),OFFSET(E109,-R109,0,R109,2)),1,2),"")</f>
        <v>1.02920579992581</v>
      </c>
      <c r="U109" s="29" t="n">
        <f aca="true">IF(AND(F109&gt;=1,R109&gt;=Inputs!$B$10),INDEX(LINEST(OFFSET(D109,-R109,0,R109,1),OFFSET(E109,-R109,0,R109,2)),1,3),"")</f>
        <v>4.36286193061597</v>
      </c>
      <c r="V109" s="29" t="n">
        <f aca="true">IF(AND(F109&gt;=1,R109&gt;=Inputs!$B$10),SQRT(SUMPRODUCT((OFFSET(D109,-R109,0,R109,1)-U109-T109*OFFSET(E109,-R109,0,R109,1)-S109*OFFSET(F109,-R109,0,R109,1))^2)/(R109-3)),"")</f>
        <v>0.00203161917577473</v>
      </c>
      <c r="W109" s="31" t="n">
        <f aca="false">IF(AND(F109&gt;=1,R109&gt;=Inputs!$B$10),(D109-U109-T109*E109-S109*F109)/V109,"")</f>
        <v>-1.48227898479313</v>
      </c>
      <c r="X109" s="30" t="n">
        <f aca="false">IF(AB108&lt;&gt;0,AC108+1,0)</f>
        <v>0</v>
      </c>
      <c r="Y109" s="30" t="n">
        <f aca="false">IF(W109="",0,IF(AND(AB108&lt;&gt;0,OR(ABS(W109)&gt;Inputs!$B$7,X109&gt;=Inputs!$B$8,ABS(W109)&lt;Inputs!$B$6)),1,0))</f>
        <v>0</v>
      </c>
      <c r="Z109" s="30" t="n">
        <f aca="false">IF(Y109=1,0,AB108)</f>
        <v>0</v>
      </c>
      <c r="AA109" s="30" t="n">
        <f aca="false">IF(W109="",0,IF(AND(Z109=0,ABS(W109)&gt;Inputs!$B$5,ABS(W109)&lt;=Inputs!$B$7),1,0))</f>
        <v>0</v>
      </c>
      <c r="AB109" s="30" t="n">
        <f aca="false">IF(W109="",0,IF(AA109=1,-SIGN(W109),Z109))</f>
        <v>0</v>
      </c>
      <c r="AC109" s="30" t="n">
        <f aca="false">IF(W109="",0,IF(AA109=1,0,IF(Y109=1,0,X109)))</f>
        <v>0</v>
      </c>
      <c r="AD109" s="30" t="n">
        <f aca="false">IF(AB109=0,0,IF(AB108=AB109,AD108,T109))</f>
        <v>0</v>
      </c>
      <c r="AE109" s="30" t="n">
        <f aca="false">AB109-AB108</f>
        <v>0</v>
      </c>
      <c r="AF109" s="30" t="n">
        <f aca="false">-AD109*AB109</f>
        <v>-0</v>
      </c>
      <c r="AG109" s="30" t="n">
        <f aca="false">AF109-AF108</f>
        <v>0</v>
      </c>
      <c r="AH109" s="30" t="n">
        <f aca="false">MAX(AE109,0)*(Inputs!$B$17+Inputs!$B$18+Inputs!$B$19)+MAX(-AE109,0)*(O109+Inputs!$B$18+Inputs!$B$19)+IF(AND(K109=1,AB109&lt;&gt;0),(Inputs!$B$17+Inputs!$B$18+Inputs!$B$19)+(O109+Inputs!$B$18+Inputs!$B$19),0)+MAX(AG109,0)*(Inputs!$B$20+Inputs!$B$22+Inputs!$B$23)+MAX(-AG109,0)*(Inputs!$B$21+Inputs!$B$22+Inputs!$B$23)</f>
        <v>0</v>
      </c>
      <c r="AI109" s="30" t="n">
        <f aca="false">AB108*(M109-AD108*J109)+AB108*AD108*N109/Inputs!$B$16-AH109</f>
        <v>0</v>
      </c>
      <c r="AJ109" s="30" t="n">
        <f aca="false">MAX(AE109,0)*(Inputs!$B$17+Inputs!$B$24+Inputs!$B$25)+MAX(-AE109,0)*(O109+Inputs!$B$24+Inputs!$B$25)+IF(AND(K109=1,AB109&lt;&gt;0),(Inputs!$B$17+Inputs!$B$24+Inputs!$B$25)+(O109+Inputs!$B$24+Inputs!$B$25),0)+MAX(AG109,0)*(Inputs!$B$20+Inputs!$B$26+Inputs!$B$27)+MAX(-AG109,0)*(Inputs!$B$21+Inputs!$B$26+Inputs!$B$27)</f>
        <v>0</v>
      </c>
      <c r="AK109" s="30" t="n">
        <f aca="false">AB108*(M109-AD108*J109)+AB108*AD108*(N109+Inputs!$B$14)/Inputs!$B$16-AJ109</f>
        <v>0</v>
      </c>
      <c r="AL109" s="30" t="n">
        <f aca="false">IF(AP108&lt;&gt;0,AQ108+1,0)</f>
        <v>0</v>
      </c>
      <c r="AM109" s="30" t="n">
        <f aca="false">IF(W109="",0,IF(AND(AP108&lt;&gt;0,OR(ABS(W109)&gt;Inputs!$B$7,AL109&gt;=Inputs!$B$8,ABS(W109)&lt;Inputs!$B$6)),1,0))</f>
        <v>0</v>
      </c>
      <c r="AN109" s="30" t="n">
        <f aca="false">IF(AM109=1,0,AP108)</f>
        <v>0</v>
      </c>
      <c r="AO109" s="30" t="n">
        <f aca="false">IF(W109="",0,IF(AND(AN109=0,ABS(W109)&gt;Inputs!$B$5,ABS(W109)&lt;=Inputs!$B$7,W109&gt;0),1,0))</f>
        <v>0</v>
      </c>
      <c r="AP109" s="30" t="n">
        <f aca="false">IF(W109="",0,IF(AO109=1,-SIGN(W109),AN109))</f>
        <v>0</v>
      </c>
      <c r="AQ109" s="30" t="n">
        <f aca="false">IF(W109="",0,IF(AO109=1,0,IF(AM109=1,0,AL109)))</f>
        <v>0</v>
      </c>
      <c r="AR109" s="30" t="n">
        <f aca="false">IF(AP109=0,0,IF(AP108=AP109,AR108,T109))</f>
        <v>0</v>
      </c>
      <c r="AS109" s="30" t="n">
        <f aca="false">AP109-AP108</f>
        <v>0</v>
      </c>
      <c r="AT109" s="30" t="n">
        <f aca="false">-AR109*AP109</f>
        <v>-0</v>
      </c>
      <c r="AU109" s="30" t="n">
        <f aca="false">AT109-AT108</f>
        <v>0</v>
      </c>
      <c r="AV109" s="30" t="n">
        <f aca="false">MAX(AS109,0)*(Inputs!$B$17+Inputs!$B$18+Inputs!$B$19)+MAX(-AS109,0)*(O109+Inputs!$B$18+Inputs!$B$19)+IF(AND(K109=1,AP109&lt;&gt;0),(Inputs!$B$17+Inputs!$B$18+Inputs!$B$19)+(O109+Inputs!$B$18+Inputs!$B$19),0)+MAX(AU109,0)*(Inputs!$B$20+Inputs!$B$22+Inputs!$B$23)+MAX(-AU109,0)*(Inputs!$B$21+Inputs!$B$22+Inputs!$B$23)</f>
        <v>0</v>
      </c>
      <c r="AW109" s="30" t="n">
        <f aca="false">AP108*(M109-AR108*J109)+AP108*AR108*N109/Inputs!$B$16-AV109</f>
        <v>0</v>
      </c>
      <c r="AX109" s="30" t="n">
        <f aca="false">AW109-IF(AP108&lt;&gt;0,0.75*AR108*(Inputs!$B$13-N109)/Inputs!$B$16,0)</f>
        <v>0</v>
      </c>
      <c r="AY109" s="30" t="n">
        <f aca="false">MAX(AS109,0)*(Inputs!$B$17+Inputs!$B$18+Inputs!$B$19)+MAX(-AS109,0)*(O109+Inputs!$B$18+Inputs!$B$19)+IF(AND(K109=1,AP109&lt;&gt;0),(Inputs!$B$17+Inputs!$B$18+Inputs!$B$19)+(O109+Inputs!$B$18+Inputs!$B$19),0)</f>
        <v>0</v>
      </c>
      <c r="AZ109" s="30" t="n">
        <f aca="false">AP108*M109-AY109</f>
        <v>-0</v>
      </c>
      <c r="BA109" s="32" t="n">
        <f aca="false">BA108+AI109</f>
        <v>-0.00554439001051976</v>
      </c>
      <c r="BB109" s="30" t="n">
        <f aca="false">MAX(BB108,BA109)</f>
        <v>0</v>
      </c>
      <c r="BC109" s="32" t="n">
        <f aca="false">BA109-BB109</f>
        <v>-0.00554439001051976</v>
      </c>
      <c r="BD109" s="30" t="n">
        <f aca="false">A110-A109</f>
        <v>1</v>
      </c>
    </row>
    <row r="110" customFormat="false" ht="15" hidden="false" customHeight="false" outlineLevel="0" collapsed="false">
      <c r="A110" s="28" t="n">
        <v>45198</v>
      </c>
      <c r="B110" s="0" t="n">
        <v>19714</v>
      </c>
      <c r="C110" s="0" t="n">
        <v>217.4</v>
      </c>
      <c r="D110" s="29" t="n">
        <f aca="false">LN(B110)</f>
        <v>9.88908432222539</v>
      </c>
      <c r="E110" s="29" t="n">
        <f aca="false">LN(C110)</f>
        <v>5.38173897468711</v>
      </c>
      <c r="F110" s="0" t="n">
        <v>105</v>
      </c>
      <c r="G110" s="0" t="n">
        <v>27</v>
      </c>
      <c r="H110" s="29" t="n">
        <f aca="false">D110-E110</f>
        <v>4.50734534753828</v>
      </c>
      <c r="I110" s="29" t="n">
        <f aca="false">D110-D109</f>
        <v>0.00963334751749834</v>
      </c>
      <c r="J110" s="29" t="n">
        <f aca="false">E110-E109</f>
        <v>0.00581262881208922</v>
      </c>
      <c r="K110" s="0" t="n">
        <v>0</v>
      </c>
      <c r="L110" s="0" t="n">
        <v>1</v>
      </c>
      <c r="M110" s="29" t="n">
        <f aca="false">IF(L110=1,J110-Carry!$B$9/Inputs!$B$16,I110)</f>
        <v>0.00555317063036808</v>
      </c>
      <c r="N110" s="0" t="n">
        <v>0.065</v>
      </c>
      <c r="O110" s="0" t="n">
        <v>0.000125</v>
      </c>
      <c r="P110" s="29" t="n">
        <f aca="false">D110-('2 Hedge ratio'!$B$6+'2 Hedge ratio'!$B$5*E110)</f>
        <v>-0.00309084511467539</v>
      </c>
      <c r="Q110" s="29" t="n">
        <f aca="false">D110-('5 Re-specification'!$B$7+'5 Re-specification'!$B$5*E110+'5 Re-specification'!$B$6*F110)</f>
        <v>-0.0028287349326277</v>
      </c>
      <c r="R110" s="30" t="n">
        <f aca="false">MIN(F110,Inputs!$B$9)</f>
        <v>105</v>
      </c>
      <c r="S110" s="29" t="n">
        <f aca="true">IF(AND(F110&gt;=1,R110&gt;=Inputs!$B$10),INDEX(LINEST(OFFSET(D110,-R110,0,R110,1),OFFSET(E110,-R110,0,R110,2)),1,1),"")</f>
        <v>-0.000133680282395583</v>
      </c>
      <c r="T110" s="29" t="n">
        <f aca="true">IF(AND(F110&gt;=1,R110&gt;=Inputs!$B$10),INDEX(LINEST(OFFSET(D110,-R110,0,R110,1),OFFSET(E110,-R110,0,R110,2)),1,2),"")</f>
        <v>1.03308042866385</v>
      </c>
      <c r="U110" s="29" t="n">
        <f aca="true">IF(AND(F110&gt;=1,R110&gt;=Inputs!$B$10),INDEX(LINEST(OFFSET(D110,-R110,0,R110,1),OFFSET(E110,-R110,0,R110,2)),1,3),"")</f>
        <v>4.34238949257213</v>
      </c>
      <c r="V110" s="29" t="n">
        <f aca="true">IF(AND(F110&gt;=1,R110&gt;=Inputs!$B$10),SQRT(SUMPRODUCT((OFFSET(D110,-R110,0,R110,1)-U110-T110*OFFSET(E110,-R110,0,R110,1)-S110*OFFSET(F110,-R110,0,R110,1))^2)/(R110-3)),"")</f>
        <v>0.00204197930157553</v>
      </c>
      <c r="W110" s="31" t="n">
        <f aca="false">IF(AND(F110&gt;=1,R110&gt;=Inputs!$B$10),(D110-U110-T110*E110-S110*F110)/V110,"")</f>
        <v>0.471137184086522</v>
      </c>
      <c r="X110" s="30" t="n">
        <f aca="false">IF(AB109&lt;&gt;0,AC109+1,0)</f>
        <v>0</v>
      </c>
      <c r="Y110" s="30" t="n">
        <f aca="false">IF(W110="",0,IF(AND(AB109&lt;&gt;0,OR(ABS(W110)&gt;Inputs!$B$7,X110&gt;=Inputs!$B$8,ABS(W110)&lt;Inputs!$B$6)),1,0))</f>
        <v>0</v>
      </c>
      <c r="Z110" s="30" t="n">
        <f aca="false">IF(Y110=1,0,AB109)</f>
        <v>0</v>
      </c>
      <c r="AA110" s="30" t="n">
        <f aca="false">IF(W110="",0,IF(AND(Z110=0,ABS(W110)&gt;Inputs!$B$5,ABS(W110)&lt;=Inputs!$B$7),1,0))</f>
        <v>0</v>
      </c>
      <c r="AB110" s="30" t="n">
        <f aca="false">IF(W110="",0,IF(AA110=1,-SIGN(W110),Z110))</f>
        <v>0</v>
      </c>
      <c r="AC110" s="30" t="n">
        <f aca="false">IF(W110="",0,IF(AA110=1,0,IF(Y110=1,0,X110)))</f>
        <v>0</v>
      </c>
      <c r="AD110" s="30" t="n">
        <f aca="false">IF(AB110=0,0,IF(AB109=AB110,AD109,T110))</f>
        <v>0</v>
      </c>
      <c r="AE110" s="30" t="n">
        <f aca="false">AB110-AB109</f>
        <v>0</v>
      </c>
      <c r="AF110" s="30" t="n">
        <f aca="false">-AD110*AB110</f>
        <v>-0</v>
      </c>
      <c r="AG110" s="30" t="n">
        <f aca="false">AF110-AF109</f>
        <v>0</v>
      </c>
      <c r="AH110" s="30" t="n">
        <f aca="false">MAX(AE110,0)*(Inputs!$B$17+Inputs!$B$18+Inputs!$B$19)+MAX(-AE110,0)*(O110+Inputs!$B$18+Inputs!$B$19)+IF(AND(K110=1,AB110&lt;&gt;0),(Inputs!$B$17+Inputs!$B$18+Inputs!$B$19)+(O110+Inputs!$B$18+Inputs!$B$19),0)+MAX(AG110,0)*(Inputs!$B$20+Inputs!$B$22+Inputs!$B$23)+MAX(-AG110,0)*(Inputs!$B$21+Inputs!$B$22+Inputs!$B$23)</f>
        <v>0</v>
      </c>
      <c r="AI110" s="30" t="n">
        <f aca="false">AB109*(M110-AD109*J110)+AB109*AD109*N110/Inputs!$B$16-AH110</f>
        <v>0</v>
      </c>
      <c r="AJ110" s="30" t="n">
        <f aca="false">MAX(AE110,0)*(Inputs!$B$17+Inputs!$B$24+Inputs!$B$25)+MAX(-AE110,0)*(O110+Inputs!$B$24+Inputs!$B$25)+IF(AND(K110=1,AB110&lt;&gt;0),(Inputs!$B$17+Inputs!$B$24+Inputs!$B$25)+(O110+Inputs!$B$24+Inputs!$B$25),0)+MAX(AG110,0)*(Inputs!$B$20+Inputs!$B$26+Inputs!$B$27)+MAX(-AG110,0)*(Inputs!$B$21+Inputs!$B$26+Inputs!$B$27)</f>
        <v>0</v>
      </c>
      <c r="AK110" s="30" t="n">
        <f aca="false">AB109*(M110-AD109*J110)+AB109*AD109*(N110+Inputs!$B$14)/Inputs!$B$16-AJ110</f>
        <v>0</v>
      </c>
      <c r="AL110" s="30" t="n">
        <f aca="false">IF(AP109&lt;&gt;0,AQ109+1,0)</f>
        <v>0</v>
      </c>
      <c r="AM110" s="30" t="n">
        <f aca="false">IF(W110="",0,IF(AND(AP109&lt;&gt;0,OR(ABS(W110)&gt;Inputs!$B$7,AL110&gt;=Inputs!$B$8,ABS(W110)&lt;Inputs!$B$6)),1,0))</f>
        <v>0</v>
      </c>
      <c r="AN110" s="30" t="n">
        <f aca="false">IF(AM110=1,0,AP109)</f>
        <v>0</v>
      </c>
      <c r="AO110" s="30" t="n">
        <f aca="false">IF(W110="",0,IF(AND(AN110=0,ABS(W110)&gt;Inputs!$B$5,ABS(W110)&lt;=Inputs!$B$7,W110&gt;0),1,0))</f>
        <v>0</v>
      </c>
      <c r="AP110" s="30" t="n">
        <f aca="false">IF(W110="",0,IF(AO110=1,-SIGN(W110),AN110))</f>
        <v>0</v>
      </c>
      <c r="AQ110" s="30" t="n">
        <f aca="false">IF(W110="",0,IF(AO110=1,0,IF(AM110=1,0,AL110)))</f>
        <v>0</v>
      </c>
      <c r="AR110" s="30" t="n">
        <f aca="false">IF(AP110=0,0,IF(AP109=AP110,AR109,T110))</f>
        <v>0</v>
      </c>
      <c r="AS110" s="30" t="n">
        <f aca="false">AP110-AP109</f>
        <v>0</v>
      </c>
      <c r="AT110" s="30" t="n">
        <f aca="false">-AR110*AP110</f>
        <v>-0</v>
      </c>
      <c r="AU110" s="30" t="n">
        <f aca="false">AT110-AT109</f>
        <v>0</v>
      </c>
      <c r="AV110" s="30" t="n">
        <f aca="false">MAX(AS110,0)*(Inputs!$B$17+Inputs!$B$18+Inputs!$B$19)+MAX(-AS110,0)*(O110+Inputs!$B$18+Inputs!$B$19)+IF(AND(K110=1,AP110&lt;&gt;0),(Inputs!$B$17+Inputs!$B$18+Inputs!$B$19)+(O110+Inputs!$B$18+Inputs!$B$19),0)+MAX(AU110,0)*(Inputs!$B$20+Inputs!$B$22+Inputs!$B$23)+MAX(-AU110,0)*(Inputs!$B$21+Inputs!$B$22+Inputs!$B$23)</f>
        <v>0</v>
      </c>
      <c r="AW110" s="30" t="n">
        <f aca="false">AP109*(M110-AR109*J110)+AP109*AR109*N110/Inputs!$B$16-AV110</f>
        <v>0</v>
      </c>
      <c r="AX110" s="30" t="n">
        <f aca="false">AW110-IF(AP109&lt;&gt;0,0.75*AR109*(Inputs!$B$13-N110)/Inputs!$B$16,0)</f>
        <v>0</v>
      </c>
      <c r="AY110" s="30" t="n">
        <f aca="false">MAX(AS110,0)*(Inputs!$B$17+Inputs!$B$18+Inputs!$B$19)+MAX(-AS110,0)*(O110+Inputs!$B$18+Inputs!$B$19)+IF(AND(K110=1,AP110&lt;&gt;0),(Inputs!$B$17+Inputs!$B$18+Inputs!$B$19)+(O110+Inputs!$B$18+Inputs!$B$19),0)</f>
        <v>0</v>
      </c>
      <c r="AZ110" s="30" t="n">
        <f aca="false">AP109*M110-AY110</f>
        <v>0</v>
      </c>
      <c r="BA110" s="32" t="n">
        <f aca="false">BA109+AI110</f>
        <v>-0.00554439001051976</v>
      </c>
      <c r="BB110" s="30" t="n">
        <f aca="false">MAX(BB109,BA110)</f>
        <v>0</v>
      </c>
      <c r="BC110" s="32" t="n">
        <f aca="false">BA110-BB110</f>
        <v>-0.00554439001051976</v>
      </c>
      <c r="BD110" s="30" t="n">
        <f aca="false">A111-A110</f>
        <v>4</v>
      </c>
    </row>
    <row r="111" customFormat="false" ht="15" hidden="false" customHeight="false" outlineLevel="0" collapsed="false">
      <c r="A111" s="28" t="n">
        <v>45202</v>
      </c>
      <c r="B111" s="0" t="n">
        <v>19562</v>
      </c>
      <c r="C111" s="0" t="n">
        <v>215.65</v>
      </c>
      <c r="D111" s="29" t="n">
        <f aca="false">LN(B111)</f>
        <v>9.88134418785044</v>
      </c>
      <c r="E111" s="29" t="n">
        <f aca="false">LN(C111)</f>
        <v>5.37365672309385</v>
      </c>
      <c r="F111" s="0" t="n">
        <v>106</v>
      </c>
      <c r="G111" s="0" t="n">
        <v>23</v>
      </c>
      <c r="H111" s="29" t="n">
        <f aca="false">D111-E111</f>
        <v>4.50768746475659</v>
      </c>
      <c r="I111" s="29" t="n">
        <f aca="false">D111-D110</f>
        <v>-0.00774013437494681</v>
      </c>
      <c r="J111" s="29" t="n">
        <f aca="false">E111-E110</f>
        <v>-0.00808225159325726</v>
      </c>
      <c r="K111" s="0" t="n">
        <v>0</v>
      </c>
      <c r="L111" s="0" t="n">
        <v>0</v>
      </c>
      <c r="M111" s="29" t="n">
        <f aca="false">IF(L111=1,J111-Carry!$B$9/Inputs!$B$16,I111)</f>
        <v>-0.00774013437494681</v>
      </c>
      <c r="N111" s="0" t="n">
        <v>0.065</v>
      </c>
      <c r="O111" s="0" t="n">
        <v>0.000125</v>
      </c>
      <c r="P111" s="29" t="n">
        <f aca="false">D111-('2 Hedge ratio'!$B$6+'2 Hedge ratio'!$B$5*E111)</f>
        <v>-0.00342661253007392</v>
      </c>
      <c r="Q111" s="29" t="n">
        <f aca="false">D111-('5 Re-specification'!$B$7+'5 Re-specification'!$B$5*E111+'5 Re-specification'!$B$6*F111)</f>
        <v>-0.0024661816598428</v>
      </c>
      <c r="R111" s="30" t="n">
        <f aca="false">MIN(F111,Inputs!$B$9)</f>
        <v>106</v>
      </c>
      <c r="S111" s="29" t="n">
        <f aca="true">IF(AND(F111&gt;=1,R111&gt;=Inputs!$B$10),INDEX(LINEST(OFFSET(D111,-R111,0,R111,1),OFFSET(E111,-R111,0,R111,2)),1,1),"")</f>
        <v>-0.00013224326963464</v>
      </c>
      <c r="T111" s="29" t="n">
        <f aca="true">IF(AND(F111&gt;=1,R111&gt;=Inputs!$B$10),INDEX(LINEST(OFFSET(D111,-R111,0,R111,1),OFFSET(E111,-R111,0,R111,2)),1,2),"")</f>
        <v>1.03213467540635</v>
      </c>
      <c r="U111" s="29" t="n">
        <f aca="true">IF(AND(F111&gt;=1,R111&gt;=Inputs!$B$10),INDEX(LINEST(OFFSET(D111,-R111,0,R111,1),OFFSET(E111,-R111,0,R111,2)),1,3),"")</f>
        <v>4.34738290230035</v>
      </c>
      <c r="V111" s="29" t="n">
        <f aca="true">IF(AND(F111&gt;=1,R111&gt;=Inputs!$B$10),SQRT(SUMPRODUCT((OFFSET(D111,-R111,0,R111,1)-U111-T111*OFFSET(E111,-R111,0,R111,1)-S111*OFFSET(F111,-R111,0,R111,1))^2)/(R111-3)),"")</f>
        <v>0.00203412732587929</v>
      </c>
      <c r="W111" s="31" t="n">
        <f aca="false">IF(AND(F111&gt;=1,R111&gt;=Inputs!$B$10),(D111-U111-T111*E111-S111*F111)/V111,"")</f>
        <v>0.807046085499381</v>
      </c>
      <c r="X111" s="30" t="n">
        <f aca="false">IF(AB110&lt;&gt;0,AC110+1,0)</f>
        <v>0</v>
      </c>
      <c r="Y111" s="30" t="n">
        <f aca="false">IF(W111="",0,IF(AND(AB110&lt;&gt;0,OR(ABS(W111)&gt;Inputs!$B$7,X111&gt;=Inputs!$B$8,ABS(W111)&lt;Inputs!$B$6)),1,0))</f>
        <v>0</v>
      </c>
      <c r="Z111" s="30" t="n">
        <f aca="false">IF(Y111=1,0,AB110)</f>
        <v>0</v>
      </c>
      <c r="AA111" s="30" t="n">
        <f aca="false">IF(W111="",0,IF(AND(Z111=0,ABS(W111)&gt;Inputs!$B$5,ABS(W111)&lt;=Inputs!$B$7),1,0))</f>
        <v>0</v>
      </c>
      <c r="AB111" s="30" t="n">
        <f aca="false">IF(W111="",0,IF(AA111=1,-SIGN(W111),Z111))</f>
        <v>0</v>
      </c>
      <c r="AC111" s="30" t="n">
        <f aca="false">IF(W111="",0,IF(AA111=1,0,IF(Y111=1,0,X111)))</f>
        <v>0</v>
      </c>
      <c r="AD111" s="30" t="n">
        <f aca="false">IF(AB111=0,0,IF(AB110=AB111,AD110,T111))</f>
        <v>0</v>
      </c>
      <c r="AE111" s="30" t="n">
        <f aca="false">AB111-AB110</f>
        <v>0</v>
      </c>
      <c r="AF111" s="30" t="n">
        <f aca="false">-AD111*AB111</f>
        <v>-0</v>
      </c>
      <c r="AG111" s="30" t="n">
        <f aca="false">AF111-AF110</f>
        <v>0</v>
      </c>
      <c r="AH111" s="30" t="n">
        <f aca="false">MAX(AE111,0)*(Inputs!$B$17+Inputs!$B$18+Inputs!$B$19)+MAX(-AE111,0)*(O111+Inputs!$B$18+Inputs!$B$19)+IF(AND(K111=1,AB111&lt;&gt;0),(Inputs!$B$17+Inputs!$B$18+Inputs!$B$19)+(O111+Inputs!$B$18+Inputs!$B$19),0)+MAX(AG111,0)*(Inputs!$B$20+Inputs!$B$22+Inputs!$B$23)+MAX(-AG111,0)*(Inputs!$B$21+Inputs!$B$22+Inputs!$B$23)</f>
        <v>0</v>
      </c>
      <c r="AI111" s="30" t="n">
        <f aca="false">AB110*(M111-AD110*J111)+AB110*AD110*N111/Inputs!$B$16-AH111</f>
        <v>0</v>
      </c>
      <c r="AJ111" s="30" t="n">
        <f aca="false">MAX(AE111,0)*(Inputs!$B$17+Inputs!$B$24+Inputs!$B$25)+MAX(-AE111,0)*(O111+Inputs!$B$24+Inputs!$B$25)+IF(AND(K111=1,AB111&lt;&gt;0),(Inputs!$B$17+Inputs!$B$24+Inputs!$B$25)+(O111+Inputs!$B$24+Inputs!$B$25),0)+MAX(AG111,0)*(Inputs!$B$20+Inputs!$B$26+Inputs!$B$27)+MAX(-AG111,0)*(Inputs!$B$21+Inputs!$B$26+Inputs!$B$27)</f>
        <v>0</v>
      </c>
      <c r="AK111" s="30" t="n">
        <f aca="false">AB110*(M111-AD110*J111)+AB110*AD110*(N111+Inputs!$B$14)/Inputs!$B$16-AJ111</f>
        <v>0</v>
      </c>
      <c r="AL111" s="30" t="n">
        <f aca="false">IF(AP110&lt;&gt;0,AQ110+1,0)</f>
        <v>0</v>
      </c>
      <c r="AM111" s="30" t="n">
        <f aca="false">IF(W111="",0,IF(AND(AP110&lt;&gt;0,OR(ABS(W111)&gt;Inputs!$B$7,AL111&gt;=Inputs!$B$8,ABS(W111)&lt;Inputs!$B$6)),1,0))</f>
        <v>0</v>
      </c>
      <c r="AN111" s="30" t="n">
        <f aca="false">IF(AM111=1,0,AP110)</f>
        <v>0</v>
      </c>
      <c r="AO111" s="30" t="n">
        <f aca="false">IF(W111="",0,IF(AND(AN111=0,ABS(W111)&gt;Inputs!$B$5,ABS(W111)&lt;=Inputs!$B$7,W111&gt;0),1,0))</f>
        <v>0</v>
      </c>
      <c r="AP111" s="30" t="n">
        <f aca="false">IF(W111="",0,IF(AO111=1,-SIGN(W111),AN111))</f>
        <v>0</v>
      </c>
      <c r="AQ111" s="30" t="n">
        <f aca="false">IF(W111="",0,IF(AO111=1,0,IF(AM111=1,0,AL111)))</f>
        <v>0</v>
      </c>
      <c r="AR111" s="30" t="n">
        <f aca="false">IF(AP111=0,0,IF(AP110=AP111,AR110,T111))</f>
        <v>0</v>
      </c>
      <c r="AS111" s="30" t="n">
        <f aca="false">AP111-AP110</f>
        <v>0</v>
      </c>
      <c r="AT111" s="30" t="n">
        <f aca="false">-AR111*AP111</f>
        <v>-0</v>
      </c>
      <c r="AU111" s="30" t="n">
        <f aca="false">AT111-AT110</f>
        <v>0</v>
      </c>
      <c r="AV111" s="30" t="n">
        <f aca="false">MAX(AS111,0)*(Inputs!$B$17+Inputs!$B$18+Inputs!$B$19)+MAX(-AS111,0)*(O111+Inputs!$B$18+Inputs!$B$19)+IF(AND(K111=1,AP111&lt;&gt;0),(Inputs!$B$17+Inputs!$B$18+Inputs!$B$19)+(O111+Inputs!$B$18+Inputs!$B$19),0)+MAX(AU111,0)*(Inputs!$B$20+Inputs!$B$22+Inputs!$B$23)+MAX(-AU111,0)*(Inputs!$B$21+Inputs!$B$22+Inputs!$B$23)</f>
        <v>0</v>
      </c>
      <c r="AW111" s="30" t="n">
        <f aca="false">AP110*(M111-AR110*J111)+AP110*AR110*N111/Inputs!$B$16-AV111</f>
        <v>0</v>
      </c>
      <c r="AX111" s="30" t="n">
        <f aca="false">AW111-IF(AP110&lt;&gt;0,0.75*AR110*(Inputs!$B$13-N111)/Inputs!$B$16,0)</f>
        <v>0</v>
      </c>
      <c r="AY111" s="30" t="n">
        <f aca="false">MAX(AS111,0)*(Inputs!$B$17+Inputs!$B$18+Inputs!$B$19)+MAX(-AS111,0)*(O111+Inputs!$B$18+Inputs!$B$19)+IF(AND(K111=1,AP111&lt;&gt;0),(Inputs!$B$17+Inputs!$B$18+Inputs!$B$19)+(O111+Inputs!$B$18+Inputs!$B$19),0)</f>
        <v>0</v>
      </c>
      <c r="AZ111" s="30" t="n">
        <f aca="false">AP110*M111-AY111</f>
        <v>-0</v>
      </c>
      <c r="BA111" s="32" t="n">
        <f aca="false">BA110+AI111</f>
        <v>-0.00554439001051976</v>
      </c>
      <c r="BB111" s="30" t="n">
        <f aca="false">MAX(BB110,BA111)</f>
        <v>0</v>
      </c>
      <c r="BC111" s="32" t="n">
        <f aca="false">BA111-BB111</f>
        <v>-0.00554439001051976</v>
      </c>
      <c r="BD111" s="30" t="n">
        <f aca="false">A112-A111</f>
        <v>1</v>
      </c>
    </row>
    <row r="112" customFormat="false" ht="15" hidden="false" customHeight="false" outlineLevel="0" collapsed="false">
      <c r="A112" s="28" t="n">
        <v>45203</v>
      </c>
      <c r="B112" s="0" t="n">
        <v>19478.1</v>
      </c>
      <c r="C112" s="0" t="n">
        <v>214.5</v>
      </c>
      <c r="D112" s="29" t="n">
        <f aca="false">LN(B112)</f>
        <v>9.8770460365053</v>
      </c>
      <c r="E112" s="29" t="n">
        <f aca="false">LN(C112)</f>
        <v>5.36830973836807</v>
      </c>
      <c r="F112" s="0" t="n">
        <v>107</v>
      </c>
      <c r="G112" s="0" t="n">
        <v>22</v>
      </c>
      <c r="H112" s="29" t="n">
        <f aca="false">D112-E112</f>
        <v>4.50873629813723</v>
      </c>
      <c r="I112" s="29" t="n">
        <f aca="false">D112-D111</f>
        <v>-0.00429815134514122</v>
      </c>
      <c r="J112" s="29" t="n">
        <f aca="false">E112-E111</f>
        <v>-0.00534698472578032</v>
      </c>
      <c r="K112" s="0" t="n">
        <v>0</v>
      </c>
      <c r="L112" s="0" t="n">
        <v>0</v>
      </c>
      <c r="M112" s="29" t="n">
        <f aca="false">IF(L112=1,J112-Carry!$B$9/Inputs!$B$16,I112)</f>
        <v>-0.00429815134514122</v>
      </c>
      <c r="N112" s="0" t="n">
        <v>0.065</v>
      </c>
      <c r="O112" s="0" t="n">
        <v>0.000125</v>
      </c>
      <c r="P112" s="29" t="n">
        <f aca="false">D112-('2 Hedge ratio'!$B$6+'2 Hedge ratio'!$B$5*E112)</f>
        <v>-0.00282624808664522</v>
      </c>
      <c r="Q112" s="29" t="n">
        <f aca="false">D112-('5 Re-specification'!$B$7+'5 Re-specification'!$B$5*E112+'5 Re-specification'!$B$6*F112)</f>
        <v>-0.00138862299843368</v>
      </c>
      <c r="R112" s="30" t="n">
        <f aca="false">MIN(F112,Inputs!$B$9)</f>
        <v>107</v>
      </c>
      <c r="S112" s="29" t="n">
        <f aca="true">IF(AND(F112&gt;=1,R112&gt;=Inputs!$B$10),INDEX(LINEST(OFFSET(D112,-R112,0,R112,1),OFFSET(E112,-R112,0,R112,2)),1,1),"")</f>
        <v>-0.000129284427949098</v>
      </c>
      <c r="T112" s="29" t="n">
        <f aca="true">IF(AND(F112&gt;=1,R112&gt;=Inputs!$B$10),INDEX(LINEST(OFFSET(D112,-R112,0,R112,1),OFFSET(E112,-R112,0,R112,2)),1,2),"")</f>
        <v>1.02995481148624</v>
      </c>
      <c r="U112" s="29" t="n">
        <f aca="true">IF(AND(F112&gt;=1,R112&gt;=Inputs!$B$10),INDEX(LINEST(OFFSET(D112,-R112,0,R112,1),OFFSET(E112,-R112,0,R112,2)),1,3),"")</f>
        <v>4.35890417315075</v>
      </c>
      <c r="V112" s="29" t="n">
        <f aca="true">IF(AND(F112&gt;=1,R112&gt;=Inputs!$B$10),SQRT(SUMPRODUCT((OFFSET(D112,-R112,0,R112,1)-U112-T112*OFFSET(E112,-R112,0,R112,1)-S112*OFFSET(F112,-R112,0,R112,1))^2)/(R112-3)),"")</f>
        <v>0.0020302440046</v>
      </c>
      <c r="W112" s="31" t="n">
        <f aca="false">IF(AND(F112&gt;=1,R112&gt;=Inputs!$B$10),(D112-U112-T112*E112-S112*F112)/V112,"")</f>
        <v>1.40813249933695</v>
      </c>
      <c r="X112" s="30" t="n">
        <f aca="false">IF(AB111&lt;&gt;0,AC111+1,0)</f>
        <v>0</v>
      </c>
      <c r="Y112" s="30" t="n">
        <f aca="false">IF(W112="",0,IF(AND(AB111&lt;&gt;0,OR(ABS(W112)&gt;Inputs!$B$7,X112&gt;=Inputs!$B$8,ABS(W112)&lt;Inputs!$B$6)),1,0))</f>
        <v>0</v>
      </c>
      <c r="Z112" s="30" t="n">
        <f aca="false">IF(Y112=1,0,AB111)</f>
        <v>0</v>
      </c>
      <c r="AA112" s="30" t="n">
        <f aca="false">IF(W112="",0,IF(AND(Z112=0,ABS(W112)&gt;Inputs!$B$5,ABS(W112)&lt;=Inputs!$B$7),1,0))</f>
        <v>0</v>
      </c>
      <c r="AB112" s="30" t="n">
        <f aca="false">IF(W112="",0,IF(AA112=1,-SIGN(W112),Z112))</f>
        <v>0</v>
      </c>
      <c r="AC112" s="30" t="n">
        <f aca="false">IF(W112="",0,IF(AA112=1,0,IF(Y112=1,0,X112)))</f>
        <v>0</v>
      </c>
      <c r="AD112" s="30" t="n">
        <f aca="false">IF(AB112=0,0,IF(AB111=AB112,AD111,T112))</f>
        <v>0</v>
      </c>
      <c r="AE112" s="30" t="n">
        <f aca="false">AB112-AB111</f>
        <v>0</v>
      </c>
      <c r="AF112" s="30" t="n">
        <f aca="false">-AD112*AB112</f>
        <v>-0</v>
      </c>
      <c r="AG112" s="30" t="n">
        <f aca="false">AF112-AF111</f>
        <v>0</v>
      </c>
      <c r="AH112" s="30" t="n">
        <f aca="false">MAX(AE112,0)*(Inputs!$B$17+Inputs!$B$18+Inputs!$B$19)+MAX(-AE112,0)*(O112+Inputs!$B$18+Inputs!$B$19)+IF(AND(K112=1,AB112&lt;&gt;0),(Inputs!$B$17+Inputs!$B$18+Inputs!$B$19)+(O112+Inputs!$B$18+Inputs!$B$19),0)+MAX(AG112,0)*(Inputs!$B$20+Inputs!$B$22+Inputs!$B$23)+MAX(-AG112,0)*(Inputs!$B$21+Inputs!$B$22+Inputs!$B$23)</f>
        <v>0</v>
      </c>
      <c r="AI112" s="30" t="n">
        <f aca="false">AB111*(M112-AD111*J112)+AB111*AD111*N112/Inputs!$B$16-AH112</f>
        <v>0</v>
      </c>
      <c r="AJ112" s="30" t="n">
        <f aca="false">MAX(AE112,0)*(Inputs!$B$17+Inputs!$B$24+Inputs!$B$25)+MAX(-AE112,0)*(O112+Inputs!$B$24+Inputs!$B$25)+IF(AND(K112=1,AB112&lt;&gt;0),(Inputs!$B$17+Inputs!$B$24+Inputs!$B$25)+(O112+Inputs!$B$24+Inputs!$B$25),0)+MAX(AG112,0)*(Inputs!$B$20+Inputs!$B$26+Inputs!$B$27)+MAX(-AG112,0)*(Inputs!$B$21+Inputs!$B$26+Inputs!$B$27)</f>
        <v>0</v>
      </c>
      <c r="AK112" s="30" t="n">
        <f aca="false">AB111*(M112-AD111*J112)+AB111*AD111*(N112+Inputs!$B$14)/Inputs!$B$16-AJ112</f>
        <v>0</v>
      </c>
      <c r="AL112" s="30" t="n">
        <f aca="false">IF(AP111&lt;&gt;0,AQ111+1,0)</f>
        <v>0</v>
      </c>
      <c r="AM112" s="30" t="n">
        <f aca="false">IF(W112="",0,IF(AND(AP111&lt;&gt;0,OR(ABS(W112)&gt;Inputs!$B$7,AL112&gt;=Inputs!$B$8,ABS(W112)&lt;Inputs!$B$6)),1,0))</f>
        <v>0</v>
      </c>
      <c r="AN112" s="30" t="n">
        <f aca="false">IF(AM112=1,0,AP111)</f>
        <v>0</v>
      </c>
      <c r="AO112" s="30" t="n">
        <f aca="false">IF(W112="",0,IF(AND(AN112=0,ABS(W112)&gt;Inputs!$B$5,ABS(W112)&lt;=Inputs!$B$7,W112&gt;0),1,0))</f>
        <v>0</v>
      </c>
      <c r="AP112" s="30" t="n">
        <f aca="false">IF(W112="",0,IF(AO112=1,-SIGN(W112),AN112))</f>
        <v>0</v>
      </c>
      <c r="AQ112" s="30" t="n">
        <f aca="false">IF(W112="",0,IF(AO112=1,0,IF(AM112=1,0,AL112)))</f>
        <v>0</v>
      </c>
      <c r="AR112" s="30" t="n">
        <f aca="false">IF(AP112=0,0,IF(AP111=AP112,AR111,T112))</f>
        <v>0</v>
      </c>
      <c r="AS112" s="30" t="n">
        <f aca="false">AP112-AP111</f>
        <v>0</v>
      </c>
      <c r="AT112" s="30" t="n">
        <f aca="false">-AR112*AP112</f>
        <v>-0</v>
      </c>
      <c r="AU112" s="30" t="n">
        <f aca="false">AT112-AT111</f>
        <v>0</v>
      </c>
      <c r="AV112" s="30" t="n">
        <f aca="false">MAX(AS112,0)*(Inputs!$B$17+Inputs!$B$18+Inputs!$B$19)+MAX(-AS112,0)*(O112+Inputs!$B$18+Inputs!$B$19)+IF(AND(K112=1,AP112&lt;&gt;0),(Inputs!$B$17+Inputs!$B$18+Inputs!$B$19)+(O112+Inputs!$B$18+Inputs!$B$19),0)+MAX(AU112,0)*(Inputs!$B$20+Inputs!$B$22+Inputs!$B$23)+MAX(-AU112,0)*(Inputs!$B$21+Inputs!$B$22+Inputs!$B$23)</f>
        <v>0</v>
      </c>
      <c r="AW112" s="30" t="n">
        <f aca="false">AP111*(M112-AR111*J112)+AP111*AR111*N112/Inputs!$B$16-AV112</f>
        <v>0</v>
      </c>
      <c r="AX112" s="30" t="n">
        <f aca="false">AW112-IF(AP111&lt;&gt;0,0.75*AR111*(Inputs!$B$13-N112)/Inputs!$B$16,0)</f>
        <v>0</v>
      </c>
      <c r="AY112" s="30" t="n">
        <f aca="false">MAX(AS112,0)*(Inputs!$B$17+Inputs!$B$18+Inputs!$B$19)+MAX(-AS112,0)*(O112+Inputs!$B$18+Inputs!$B$19)+IF(AND(K112=1,AP112&lt;&gt;0),(Inputs!$B$17+Inputs!$B$18+Inputs!$B$19)+(O112+Inputs!$B$18+Inputs!$B$19),0)</f>
        <v>0</v>
      </c>
      <c r="AZ112" s="30" t="n">
        <f aca="false">AP111*M112-AY112</f>
        <v>-0</v>
      </c>
      <c r="BA112" s="32" t="n">
        <f aca="false">BA111+AI112</f>
        <v>-0.00554439001051976</v>
      </c>
      <c r="BB112" s="30" t="n">
        <f aca="false">MAX(BB111,BA112)</f>
        <v>0</v>
      </c>
      <c r="BC112" s="32" t="n">
        <f aca="false">BA112-BB112</f>
        <v>-0.00554439001051976</v>
      </c>
      <c r="BD112" s="30" t="n">
        <f aca="false">A113-A112</f>
        <v>1</v>
      </c>
    </row>
    <row r="113" customFormat="false" ht="15" hidden="false" customHeight="false" outlineLevel="0" collapsed="false">
      <c r="A113" s="28" t="n">
        <v>45204</v>
      </c>
      <c r="B113" s="0" t="n">
        <v>19565</v>
      </c>
      <c r="C113" s="0" t="n">
        <v>215.45</v>
      </c>
      <c r="D113" s="29" t="n">
        <f aca="false">LN(B113)</f>
        <v>9.88149753464451</v>
      </c>
      <c r="E113" s="29" t="n">
        <f aca="false">LN(C113)</f>
        <v>5.37272886406185</v>
      </c>
      <c r="F113" s="0" t="n">
        <v>108</v>
      </c>
      <c r="G113" s="0" t="n">
        <v>21</v>
      </c>
      <c r="H113" s="29" t="n">
        <f aca="false">D113-E113</f>
        <v>4.50876867058267</v>
      </c>
      <c r="I113" s="29" t="n">
        <f aca="false">D113-D112</f>
        <v>0.00445149813921653</v>
      </c>
      <c r="J113" s="29" t="n">
        <f aca="false">E113-E112</f>
        <v>0.00441912569377578</v>
      </c>
      <c r="K113" s="0" t="n">
        <v>0</v>
      </c>
      <c r="L113" s="0" t="n">
        <v>0</v>
      </c>
      <c r="M113" s="29" t="n">
        <f aca="false">IF(L113=1,J113-Carry!$B$9/Inputs!$B$16,I113)</f>
        <v>0.00445149813921653</v>
      </c>
      <c r="N113" s="0" t="n">
        <v>0.065</v>
      </c>
      <c r="O113" s="0" t="n">
        <v>0.000125</v>
      </c>
      <c r="P113" s="29" t="n">
        <f aca="false">D113-('2 Hedge ratio'!$B$6+'2 Hedge ratio'!$B$5*E113)</f>
        <v>-0.00242322924797023</v>
      </c>
      <c r="Q113" s="29" t="n">
        <f aca="false">D113-('5 Re-specification'!$B$7+'5 Re-specification'!$B$5*E113+'5 Re-specification'!$B$6*F113)</f>
        <v>-0.00129792907438819</v>
      </c>
      <c r="R113" s="30" t="n">
        <f aca="false">MIN(F113,Inputs!$B$9)</f>
        <v>108</v>
      </c>
      <c r="S113" s="29" t="n">
        <f aca="true">IF(AND(F113&gt;=1,R113&gt;=Inputs!$B$10),INDEX(LINEST(OFFSET(D113,-R113,0,R113,1),OFFSET(E113,-R113,0,R113,2)),1,1),"")</f>
        <v>-0.000123784042033551</v>
      </c>
      <c r="T113" s="29" t="n">
        <f aca="true">IF(AND(F113&gt;=1,R113&gt;=Inputs!$B$10),INDEX(LINEST(OFFSET(D113,-R113,0,R113,1),OFFSET(E113,-R113,0,R113,2)),1,2),"")</f>
        <v>1.02569408446136</v>
      </c>
      <c r="U113" s="29" t="n">
        <f aca="true">IF(AND(F113&gt;=1,R113&gt;=Inputs!$B$10),INDEX(LINEST(OFFSET(D113,-R113,0,R113,1),OFFSET(E113,-R113,0,R113,2)),1,3),"")</f>
        <v>4.3814329053265</v>
      </c>
      <c r="V113" s="29" t="n">
        <f aca="true">IF(AND(F113&gt;=1,R113&gt;=Inputs!$B$10),SQRT(SUMPRODUCT((OFFSET(D113,-R113,0,R113,1)-U113-T113*OFFSET(E113,-R113,0,R113,1)-S113*OFFSET(F113,-R113,0,R113,1))^2)/(R113-3)),"")</f>
        <v>0.00203809213251834</v>
      </c>
      <c r="W113" s="31" t="n">
        <f aca="false">IF(AND(F113&gt;=1,R113&gt;=Inputs!$B$10),(D113-U113-T113*E113-S113*F113)/V113,"")</f>
        <v>1.30371563296343</v>
      </c>
      <c r="X113" s="30" t="n">
        <f aca="false">IF(AB112&lt;&gt;0,AC112+1,0)</f>
        <v>0</v>
      </c>
      <c r="Y113" s="30" t="n">
        <f aca="false">IF(W113="",0,IF(AND(AB112&lt;&gt;0,OR(ABS(W113)&gt;Inputs!$B$7,X113&gt;=Inputs!$B$8,ABS(W113)&lt;Inputs!$B$6)),1,0))</f>
        <v>0</v>
      </c>
      <c r="Z113" s="30" t="n">
        <f aca="false">IF(Y113=1,0,AB112)</f>
        <v>0</v>
      </c>
      <c r="AA113" s="30" t="n">
        <f aca="false">IF(W113="",0,IF(AND(Z113=0,ABS(W113)&gt;Inputs!$B$5,ABS(W113)&lt;=Inputs!$B$7),1,0))</f>
        <v>0</v>
      </c>
      <c r="AB113" s="30" t="n">
        <f aca="false">IF(W113="",0,IF(AA113=1,-SIGN(W113),Z113))</f>
        <v>0</v>
      </c>
      <c r="AC113" s="30" t="n">
        <f aca="false">IF(W113="",0,IF(AA113=1,0,IF(Y113=1,0,X113)))</f>
        <v>0</v>
      </c>
      <c r="AD113" s="30" t="n">
        <f aca="false">IF(AB113=0,0,IF(AB112=AB113,AD112,T113))</f>
        <v>0</v>
      </c>
      <c r="AE113" s="30" t="n">
        <f aca="false">AB113-AB112</f>
        <v>0</v>
      </c>
      <c r="AF113" s="30" t="n">
        <f aca="false">-AD113*AB113</f>
        <v>-0</v>
      </c>
      <c r="AG113" s="30" t="n">
        <f aca="false">AF113-AF112</f>
        <v>0</v>
      </c>
      <c r="AH113" s="30" t="n">
        <f aca="false">MAX(AE113,0)*(Inputs!$B$17+Inputs!$B$18+Inputs!$B$19)+MAX(-AE113,0)*(O113+Inputs!$B$18+Inputs!$B$19)+IF(AND(K113=1,AB113&lt;&gt;0),(Inputs!$B$17+Inputs!$B$18+Inputs!$B$19)+(O113+Inputs!$B$18+Inputs!$B$19),0)+MAX(AG113,0)*(Inputs!$B$20+Inputs!$B$22+Inputs!$B$23)+MAX(-AG113,0)*(Inputs!$B$21+Inputs!$B$22+Inputs!$B$23)</f>
        <v>0</v>
      </c>
      <c r="AI113" s="30" t="n">
        <f aca="false">AB112*(M113-AD112*J113)+AB112*AD112*N113/Inputs!$B$16-AH113</f>
        <v>0</v>
      </c>
      <c r="AJ113" s="30" t="n">
        <f aca="false">MAX(AE113,0)*(Inputs!$B$17+Inputs!$B$24+Inputs!$B$25)+MAX(-AE113,0)*(O113+Inputs!$B$24+Inputs!$B$25)+IF(AND(K113=1,AB113&lt;&gt;0),(Inputs!$B$17+Inputs!$B$24+Inputs!$B$25)+(O113+Inputs!$B$24+Inputs!$B$25),0)+MAX(AG113,0)*(Inputs!$B$20+Inputs!$B$26+Inputs!$B$27)+MAX(-AG113,0)*(Inputs!$B$21+Inputs!$B$26+Inputs!$B$27)</f>
        <v>0</v>
      </c>
      <c r="AK113" s="30" t="n">
        <f aca="false">AB112*(M113-AD112*J113)+AB112*AD112*(N113+Inputs!$B$14)/Inputs!$B$16-AJ113</f>
        <v>0</v>
      </c>
      <c r="AL113" s="30" t="n">
        <f aca="false">IF(AP112&lt;&gt;0,AQ112+1,0)</f>
        <v>0</v>
      </c>
      <c r="AM113" s="30" t="n">
        <f aca="false">IF(W113="",0,IF(AND(AP112&lt;&gt;0,OR(ABS(W113)&gt;Inputs!$B$7,AL113&gt;=Inputs!$B$8,ABS(W113)&lt;Inputs!$B$6)),1,0))</f>
        <v>0</v>
      </c>
      <c r="AN113" s="30" t="n">
        <f aca="false">IF(AM113=1,0,AP112)</f>
        <v>0</v>
      </c>
      <c r="AO113" s="30" t="n">
        <f aca="false">IF(W113="",0,IF(AND(AN113=0,ABS(W113)&gt;Inputs!$B$5,ABS(W113)&lt;=Inputs!$B$7,W113&gt;0),1,0))</f>
        <v>0</v>
      </c>
      <c r="AP113" s="30" t="n">
        <f aca="false">IF(W113="",0,IF(AO113=1,-SIGN(W113),AN113))</f>
        <v>0</v>
      </c>
      <c r="AQ113" s="30" t="n">
        <f aca="false">IF(W113="",0,IF(AO113=1,0,IF(AM113=1,0,AL113)))</f>
        <v>0</v>
      </c>
      <c r="AR113" s="30" t="n">
        <f aca="false">IF(AP113=0,0,IF(AP112=AP113,AR112,T113))</f>
        <v>0</v>
      </c>
      <c r="AS113" s="30" t="n">
        <f aca="false">AP113-AP112</f>
        <v>0</v>
      </c>
      <c r="AT113" s="30" t="n">
        <f aca="false">-AR113*AP113</f>
        <v>-0</v>
      </c>
      <c r="AU113" s="30" t="n">
        <f aca="false">AT113-AT112</f>
        <v>0</v>
      </c>
      <c r="AV113" s="30" t="n">
        <f aca="false">MAX(AS113,0)*(Inputs!$B$17+Inputs!$B$18+Inputs!$B$19)+MAX(-AS113,0)*(O113+Inputs!$B$18+Inputs!$B$19)+IF(AND(K113=1,AP113&lt;&gt;0),(Inputs!$B$17+Inputs!$B$18+Inputs!$B$19)+(O113+Inputs!$B$18+Inputs!$B$19),0)+MAX(AU113,0)*(Inputs!$B$20+Inputs!$B$22+Inputs!$B$23)+MAX(-AU113,0)*(Inputs!$B$21+Inputs!$B$22+Inputs!$B$23)</f>
        <v>0</v>
      </c>
      <c r="AW113" s="30" t="n">
        <f aca="false">AP112*(M113-AR112*J113)+AP112*AR112*N113/Inputs!$B$16-AV113</f>
        <v>0</v>
      </c>
      <c r="AX113" s="30" t="n">
        <f aca="false">AW113-IF(AP112&lt;&gt;0,0.75*AR112*(Inputs!$B$13-N113)/Inputs!$B$16,0)</f>
        <v>0</v>
      </c>
      <c r="AY113" s="30" t="n">
        <f aca="false">MAX(AS113,0)*(Inputs!$B$17+Inputs!$B$18+Inputs!$B$19)+MAX(-AS113,0)*(O113+Inputs!$B$18+Inputs!$B$19)+IF(AND(K113=1,AP113&lt;&gt;0),(Inputs!$B$17+Inputs!$B$18+Inputs!$B$19)+(O113+Inputs!$B$18+Inputs!$B$19),0)</f>
        <v>0</v>
      </c>
      <c r="AZ113" s="30" t="n">
        <f aca="false">AP112*M113-AY113</f>
        <v>0</v>
      </c>
      <c r="BA113" s="32" t="n">
        <f aca="false">BA112+AI113</f>
        <v>-0.00554439001051976</v>
      </c>
      <c r="BB113" s="30" t="n">
        <f aca="false">MAX(BB112,BA113)</f>
        <v>0</v>
      </c>
      <c r="BC113" s="32" t="n">
        <f aca="false">BA113-BB113</f>
        <v>-0.00554439001051976</v>
      </c>
      <c r="BD113" s="30" t="n">
        <f aca="false">A114-A113</f>
        <v>1</v>
      </c>
    </row>
    <row r="114" customFormat="false" ht="15" hidden="false" customHeight="false" outlineLevel="0" collapsed="false">
      <c r="A114" s="28" t="n">
        <v>45205</v>
      </c>
      <c r="B114" s="0" t="n">
        <v>19686.7</v>
      </c>
      <c r="C114" s="0" t="n">
        <v>217</v>
      </c>
      <c r="D114" s="29" t="n">
        <f aca="false">LN(B114)</f>
        <v>9.88769855982173</v>
      </c>
      <c r="E114" s="29" t="n">
        <f aca="false">LN(C114)</f>
        <v>5.37989735354046</v>
      </c>
      <c r="F114" s="0" t="n">
        <v>109</v>
      </c>
      <c r="G114" s="0" t="n">
        <v>20</v>
      </c>
      <c r="H114" s="29" t="n">
        <f aca="false">D114-E114</f>
        <v>4.50780120628127</v>
      </c>
      <c r="I114" s="29" t="n">
        <f aca="false">D114-D113</f>
        <v>0.00620102517721932</v>
      </c>
      <c r="J114" s="29" t="n">
        <f aca="false">E114-E113</f>
        <v>0.00716848947861237</v>
      </c>
      <c r="K114" s="0" t="n">
        <v>0</v>
      </c>
      <c r="L114" s="0" t="n">
        <v>0</v>
      </c>
      <c r="M114" s="29" t="n">
        <f aca="false">IF(L114=1,J114-Carry!$B$9/Inputs!$B$16,I114)</f>
        <v>0.00620102517721932</v>
      </c>
      <c r="N114" s="0" t="n">
        <v>0.065</v>
      </c>
      <c r="O114" s="0" t="n">
        <v>0.000125</v>
      </c>
      <c r="P114" s="29" t="n">
        <f aca="false">D114-('2 Hedge ratio'!$B$6+'2 Hedge ratio'!$B$5*E114)</f>
        <v>-0.00278944910548873</v>
      </c>
      <c r="Q114" s="29" t="n">
        <f aca="false">D114-('5 Re-specification'!$B$7+'5 Re-specification'!$B$5*E114+'5 Re-specification'!$B$6*F114)</f>
        <v>-0.00219873995016684</v>
      </c>
      <c r="R114" s="30" t="n">
        <f aca="false">MIN(F114,Inputs!$B$9)</f>
        <v>109</v>
      </c>
      <c r="S114" s="29" t="n">
        <f aca="true">IF(AND(F114&gt;=1,R114&gt;=Inputs!$B$10),INDEX(LINEST(OFFSET(D114,-R114,0,R114,1),OFFSET(E114,-R114,0,R114,2)),1,1),"")</f>
        <v>-0.000119381293700676</v>
      </c>
      <c r="T114" s="29" t="n">
        <f aca="true">IF(AND(F114&gt;=1,R114&gt;=Inputs!$B$10),INDEX(LINEST(OFFSET(D114,-R114,0,R114,1),OFFSET(E114,-R114,0,R114,2)),1,2),"")</f>
        <v>1.02240476265426</v>
      </c>
      <c r="U114" s="29" t="n">
        <f aca="true">IF(AND(F114&gt;=1,R114&gt;=Inputs!$B$10),INDEX(LINEST(OFFSET(D114,-R114,0,R114,1),OFFSET(E114,-R114,0,R114,2)),1,3),"")</f>
        <v>4.39881934777769</v>
      </c>
      <c r="V114" s="29" t="n">
        <f aca="true">IF(AND(F114&gt;=1,R114&gt;=Inputs!$B$10),SQRT(SUMPRODUCT((OFFSET(D114,-R114,0,R114,1)-U114-T114*OFFSET(E114,-R114,0,R114,1)-S114*OFFSET(F114,-R114,0,R114,1))^2)/(R114-3)),"")</f>
        <v>0.00204364683205205</v>
      </c>
      <c r="W114" s="31" t="n">
        <f aca="false">IF(AND(F114&gt;=1,R114&gt;=Inputs!$B$10),(D114-U114-T114*E114-S114*F114)/V114,"")</f>
        <v>0.713966906466074</v>
      </c>
      <c r="X114" s="30" t="n">
        <f aca="false">IF(AB113&lt;&gt;0,AC113+1,0)</f>
        <v>0</v>
      </c>
      <c r="Y114" s="30" t="n">
        <f aca="false">IF(W114="",0,IF(AND(AB113&lt;&gt;0,OR(ABS(W114)&gt;Inputs!$B$7,X114&gt;=Inputs!$B$8,ABS(W114)&lt;Inputs!$B$6)),1,0))</f>
        <v>0</v>
      </c>
      <c r="Z114" s="30" t="n">
        <f aca="false">IF(Y114=1,0,AB113)</f>
        <v>0</v>
      </c>
      <c r="AA114" s="30" t="n">
        <f aca="false">IF(W114="",0,IF(AND(Z114=0,ABS(W114)&gt;Inputs!$B$5,ABS(W114)&lt;=Inputs!$B$7),1,0))</f>
        <v>0</v>
      </c>
      <c r="AB114" s="30" t="n">
        <f aca="false">IF(W114="",0,IF(AA114=1,-SIGN(W114),Z114))</f>
        <v>0</v>
      </c>
      <c r="AC114" s="30" t="n">
        <f aca="false">IF(W114="",0,IF(AA114=1,0,IF(Y114=1,0,X114)))</f>
        <v>0</v>
      </c>
      <c r="AD114" s="30" t="n">
        <f aca="false">IF(AB114=0,0,IF(AB113=AB114,AD113,T114))</f>
        <v>0</v>
      </c>
      <c r="AE114" s="30" t="n">
        <f aca="false">AB114-AB113</f>
        <v>0</v>
      </c>
      <c r="AF114" s="30" t="n">
        <f aca="false">-AD114*AB114</f>
        <v>-0</v>
      </c>
      <c r="AG114" s="30" t="n">
        <f aca="false">AF114-AF113</f>
        <v>0</v>
      </c>
      <c r="AH114" s="30" t="n">
        <f aca="false">MAX(AE114,0)*(Inputs!$B$17+Inputs!$B$18+Inputs!$B$19)+MAX(-AE114,0)*(O114+Inputs!$B$18+Inputs!$B$19)+IF(AND(K114=1,AB114&lt;&gt;0),(Inputs!$B$17+Inputs!$B$18+Inputs!$B$19)+(O114+Inputs!$B$18+Inputs!$B$19),0)+MAX(AG114,0)*(Inputs!$B$20+Inputs!$B$22+Inputs!$B$23)+MAX(-AG114,0)*(Inputs!$B$21+Inputs!$B$22+Inputs!$B$23)</f>
        <v>0</v>
      </c>
      <c r="AI114" s="30" t="n">
        <f aca="false">AB113*(M114-AD113*J114)+AB113*AD113*N114/Inputs!$B$16-AH114</f>
        <v>0</v>
      </c>
      <c r="AJ114" s="30" t="n">
        <f aca="false">MAX(AE114,0)*(Inputs!$B$17+Inputs!$B$24+Inputs!$B$25)+MAX(-AE114,0)*(O114+Inputs!$B$24+Inputs!$B$25)+IF(AND(K114=1,AB114&lt;&gt;0),(Inputs!$B$17+Inputs!$B$24+Inputs!$B$25)+(O114+Inputs!$B$24+Inputs!$B$25),0)+MAX(AG114,0)*(Inputs!$B$20+Inputs!$B$26+Inputs!$B$27)+MAX(-AG114,0)*(Inputs!$B$21+Inputs!$B$26+Inputs!$B$27)</f>
        <v>0</v>
      </c>
      <c r="AK114" s="30" t="n">
        <f aca="false">AB113*(M114-AD113*J114)+AB113*AD113*(N114+Inputs!$B$14)/Inputs!$B$16-AJ114</f>
        <v>0</v>
      </c>
      <c r="AL114" s="30" t="n">
        <f aca="false">IF(AP113&lt;&gt;0,AQ113+1,0)</f>
        <v>0</v>
      </c>
      <c r="AM114" s="30" t="n">
        <f aca="false">IF(W114="",0,IF(AND(AP113&lt;&gt;0,OR(ABS(W114)&gt;Inputs!$B$7,AL114&gt;=Inputs!$B$8,ABS(W114)&lt;Inputs!$B$6)),1,0))</f>
        <v>0</v>
      </c>
      <c r="AN114" s="30" t="n">
        <f aca="false">IF(AM114=1,0,AP113)</f>
        <v>0</v>
      </c>
      <c r="AO114" s="30" t="n">
        <f aca="false">IF(W114="",0,IF(AND(AN114=0,ABS(W114)&gt;Inputs!$B$5,ABS(W114)&lt;=Inputs!$B$7,W114&gt;0),1,0))</f>
        <v>0</v>
      </c>
      <c r="AP114" s="30" t="n">
        <f aca="false">IF(W114="",0,IF(AO114=1,-SIGN(W114),AN114))</f>
        <v>0</v>
      </c>
      <c r="AQ114" s="30" t="n">
        <f aca="false">IF(W114="",0,IF(AO114=1,0,IF(AM114=1,0,AL114)))</f>
        <v>0</v>
      </c>
      <c r="AR114" s="30" t="n">
        <f aca="false">IF(AP114=0,0,IF(AP113=AP114,AR113,T114))</f>
        <v>0</v>
      </c>
      <c r="AS114" s="30" t="n">
        <f aca="false">AP114-AP113</f>
        <v>0</v>
      </c>
      <c r="AT114" s="30" t="n">
        <f aca="false">-AR114*AP114</f>
        <v>-0</v>
      </c>
      <c r="AU114" s="30" t="n">
        <f aca="false">AT114-AT113</f>
        <v>0</v>
      </c>
      <c r="AV114" s="30" t="n">
        <f aca="false">MAX(AS114,0)*(Inputs!$B$17+Inputs!$B$18+Inputs!$B$19)+MAX(-AS114,0)*(O114+Inputs!$B$18+Inputs!$B$19)+IF(AND(K114=1,AP114&lt;&gt;0),(Inputs!$B$17+Inputs!$B$18+Inputs!$B$19)+(O114+Inputs!$B$18+Inputs!$B$19),0)+MAX(AU114,0)*(Inputs!$B$20+Inputs!$B$22+Inputs!$B$23)+MAX(-AU114,0)*(Inputs!$B$21+Inputs!$B$22+Inputs!$B$23)</f>
        <v>0</v>
      </c>
      <c r="AW114" s="30" t="n">
        <f aca="false">AP113*(M114-AR113*J114)+AP113*AR113*N114/Inputs!$B$16-AV114</f>
        <v>0</v>
      </c>
      <c r="AX114" s="30" t="n">
        <f aca="false">AW114-IF(AP113&lt;&gt;0,0.75*AR113*(Inputs!$B$13-N114)/Inputs!$B$16,0)</f>
        <v>0</v>
      </c>
      <c r="AY114" s="30" t="n">
        <f aca="false">MAX(AS114,0)*(Inputs!$B$17+Inputs!$B$18+Inputs!$B$19)+MAX(-AS114,0)*(O114+Inputs!$B$18+Inputs!$B$19)+IF(AND(K114=1,AP114&lt;&gt;0),(Inputs!$B$17+Inputs!$B$18+Inputs!$B$19)+(O114+Inputs!$B$18+Inputs!$B$19),0)</f>
        <v>0</v>
      </c>
      <c r="AZ114" s="30" t="n">
        <f aca="false">AP113*M114-AY114</f>
        <v>0</v>
      </c>
      <c r="BA114" s="32" t="n">
        <f aca="false">BA113+AI114</f>
        <v>-0.00554439001051976</v>
      </c>
      <c r="BB114" s="30" t="n">
        <f aca="false">MAX(BB113,BA114)</f>
        <v>0</v>
      </c>
      <c r="BC114" s="32" t="n">
        <f aca="false">BA114-BB114</f>
        <v>-0.00554439001051976</v>
      </c>
      <c r="BD114" s="30" t="n">
        <f aca="false">A115-A114</f>
        <v>3</v>
      </c>
    </row>
    <row r="115" customFormat="false" ht="15" hidden="false" customHeight="false" outlineLevel="0" collapsed="false">
      <c r="A115" s="28" t="n">
        <v>45208</v>
      </c>
      <c r="B115" s="0" t="n">
        <v>19525.05</v>
      </c>
      <c r="C115" s="0" t="n">
        <v>215.45</v>
      </c>
      <c r="D115" s="29" t="n">
        <f aca="false">LN(B115)</f>
        <v>9.87945353552407</v>
      </c>
      <c r="E115" s="29" t="n">
        <f aca="false">LN(C115)</f>
        <v>5.37272886406185</v>
      </c>
      <c r="F115" s="0" t="n">
        <v>110</v>
      </c>
      <c r="G115" s="0" t="n">
        <v>17</v>
      </c>
      <c r="H115" s="29" t="n">
        <f aca="false">D115-E115</f>
        <v>4.50672467146222</v>
      </c>
      <c r="I115" s="29" t="n">
        <f aca="false">D115-D114</f>
        <v>-0.00824502429766305</v>
      </c>
      <c r="J115" s="29" t="n">
        <f aca="false">E115-E114</f>
        <v>-0.00716848947861237</v>
      </c>
      <c r="K115" s="0" t="n">
        <v>0</v>
      </c>
      <c r="L115" s="0" t="n">
        <v>0</v>
      </c>
      <c r="M115" s="29" t="n">
        <f aca="false">IF(L115=1,J115-Carry!$B$9/Inputs!$B$16,I115)</f>
        <v>-0.00824502429766305</v>
      </c>
      <c r="N115" s="0" t="n">
        <v>0.065</v>
      </c>
      <c r="O115" s="0" t="n">
        <v>0.000125</v>
      </c>
      <c r="P115" s="29" t="n">
        <f aca="false">D115-('2 Hedge ratio'!$B$6+'2 Hedge ratio'!$B$5*E115)</f>
        <v>-0.00446722836841396</v>
      </c>
      <c r="Q115" s="29" t="n">
        <f aca="false">D115-('5 Re-specification'!$B$7+'5 Re-specification'!$B$5*E115+'5 Re-specification'!$B$6*F115)</f>
        <v>-0.00325206955863777</v>
      </c>
      <c r="R115" s="30" t="n">
        <f aca="false">MIN(F115,Inputs!$B$9)</f>
        <v>110</v>
      </c>
      <c r="S115" s="29" t="n">
        <f aca="true">IF(AND(F115&gt;=1,R115&gt;=Inputs!$B$10),INDEX(LINEST(OFFSET(D115,-R115,0,R115,1),OFFSET(E115,-R115,0,R115,2)),1,1),"")</f>
        <v>-0.000117435537339195</v>
      </c>
      <c r="T115" s="29" t="n">
        <f aca="true">IF(AND(F115&gt;=1,R115&gt;=Inputs!$B$10),INDEX(LINEST(OFFSET(D115,-R115,0,R115,1),OFFSET(E115,-R115,0,R115,2)),1,2),"")</f>
        <v>1.02107409758943</v>
      </c>
      <c r="U115" s="29" t="n">
        <f aca="true">IF(AND(F115&gt;=1,R115&gt;=Inputs!$B$10),INDEX(LINEST(OFFSET(D115,-R115,0,R115,1),OFFSET(E115,-R115,0,R115,2)),1,3),"")</f>
        <v>4.40584676688612</v>
      </c>
      <c r="V115" s="29" t="n">
        <f aca="true">IF(AND(F115&gt;=1,R115&gt;=Inputs!$B$10),SQRT(SUMPRODUCT((OFFSET(D115,-R115,0,R115,1)-U115-T115*OFFSET(E115,-R115,0,R115,1)-S115*OFFSET(F115,-R115,0,R115,1))^2)/(R115-3)),"")</f>
        <v>0.00203868992034817</v>
      </c>
      <c r="W115" s="31" t="n">
        <f aca="false">IF(AND(F115&gt;=1,R115&gt;=Inputs!$B$10),(D115-U115-T115*E115-S115*F115)/V115,"")</f>
        <v>0.279788149701939</v>
      </c>
      <c r="X115" s="30" t="n">
        <f aca="false">IF(AB114&lt;&gt;0,AC114+1,0)</f>
        <v>0</v>
      </c>
      <c r="Y115" s="30" t="n">
        <f aca="false">IF(W115="",0,IF(AND(AB114&lt;&gt;0,OR(ABS(W115)&gt;Inputs!$B$7,X115&gt;=Inputs!$B$8,ABS(W115)&lt;Inputs!$B$6)),1,0))</f>
        <v>0</v>
      </c>
      <c r="Z115" s="30" t="n">
        <f aca="false">IF(Y115=1,0,AB114)</f>
        <v>0</v>
      </c>
      <c r="AA115" s="30" t="n">
        <f aca="false">IF(W115="",0,IF(AND(Z115=0,ABS(W115)&gt;Inputs!$B$5,ABS(W115)&lt;=Inputs!$B$7),1,0))</f>
        <v>0</v>
      </c>
      <c r="AB115" s="30" t="n">
        <f aca="false">IF(W115="",0,IF(AA115=1,-SIGN(W115),Z115))</f>
        <v>0</v>
      </c>
      <c r="AC115" s="30" t="n">
        <f aca="false">IF(W115="",0,IF(AA115=1,0,IF(Y115=1,0,X115)))</f>
        <v>0</v>
      </c>
      <c r="AD115" s="30" t="n">
        <f aca="false">IF(AB115=0,0,IF(AB114=AB115,AD114,T115))</f>
        <v>0</v>
      </c>
      <c r="AE115" s="30" t="n">
        <f aca="false">AB115-AB114</f>
        <v>0</v>
      </c>
      <c r="AF115" s="30" t="n">
        <f aca="false">-AD115*AB115</f>
        <v>-0</v>
      </c>
      <c r="AG115" s="30" t="n">
        <f aca="false">AF115-AF114</f>
        <v>0</v>
      </c>
      <c r="AH115" s="30" t="n">
        <f aca="false">MAX(AE115,0)*(Inputs!$B$17+Inputs!$B$18+Inputs!$B$19)+MAX(-AE115,0)*(O115+Inputs!$B$18+Inputs!$B$19)+IF(AND(K115=1,AB115&lt;&gt;0),(Inputs!$B$17+Inputs!$B$18+Inputs!$B$19)+(O115+Inputs!$B$18+Inputs!$B$19),0)+MAX(AG115,0)*(Inputs!$B$20+Inputs!$B$22+Inputs!$B$23)+MAX(-AG115,0)*(Inputs!$B$21+Inputs!$B$22+Inputs!$B$23)</f>
        <v>0</v>
      </c>
      <c r="AI115" s="30" t="n">
        <f aca="false">AB114*(M115-AD114*J115)+AB114*AD114*N115/Inputs!$B$16-AH115</f>
        <v>0</v>
      </c>
      <c r="AJ115" s="30" t="n">
        <f aca="false">MAX(AE115,0)*(Inputs!$B$17+Inputs!$B$24+Inputs!$B$25)+MAX(-AE115,0)*(O115+Inputs!$B$24+Inputs!$B$25)+IF(AND(K115=1,AB115&lt;&gt;0),(Inputs!$B$17+Inputs!$B$24+Inputs!$B$25)+(O115+Inputs!$B$24+Inputs!$B$25),0)+MAX(AG115,0)*(Inputs!$B$20+Inputs!$B$26+Inputs!$B$27)+MAX(-AG115,0)*(Inputs!$B$21+Inputs!$B$26+Inputs!$B$27)</f>
        <v>0</v>
      </c>
      <c r="AK115" s="30" t="n">
        <f aca="false">AB114*(M115-AD114*J115)+AB114*AD114*(N115+Inputs!$B$14)/Inputs!$B$16-AJ115</f>
        <v>0</v>
      </c>
      <c r="AL115" s="30" t="n">
        <f aca="false">IF(AP114&lt;&gt;0,AQ114+1,0)</f>
        <v>0</v>
      </c>
      <c r="AM115" s="30" t="n">
        <f aca="false">IF(W115="",0,IF(AND(AP114&lt;&gt;0,OR(ABS(W115)&gt;Inputs!$B$7,AL115&gt;=Inputs!$B$8,ABS(W115)&lt;Inputs!$B$6)),1,0))</f>
        <v>0</v>
      </c>
      <c r="AN115" s="30" t="n">
        <f aca="false">IF(AM115=1,0,AP114)</f>
        <v>0</v>
      </c>
      <c r="AO115" s="30" t="n">
        <f aca="false">IF(W115="",0,IF(AND(AN115=0,ABS(W115)&gt;Inputs!$B$5,ABS(W115)&lt;=Inputs!$B$7,W115&gt;0),1,0))</f>
        <v>0</v>
      </c>
      <c r="AP115" s="30" t="n">
        <f aca="false">IF(W115="",0,IF(AO115=1,-SIGN(W115),AN115))</f>
        <v>0</v>
      </c>
      <c r="AQ115" s="30" t="n">
        <f aca="false">IF(W115="",0,IF(AO115=1,0,IF(AM115=1,0,AL115)))</f>
        <v>0</v>
      </c>
      <c r="AR115" s="30" t="n">
        <f aca="false">IF(AP115=0,0,IF(AP114=AP115,AR114,T115))</f>
        <v>0</v>
      </c>
      <c r="AS115" s="30" t="n">
        <f aca="false">AP115-AP114</f>
        <v>0</v>
      </c>
      <c r="AT115" s="30" t="n">
        <f aca="false">-AR115*AP115</f>
        <v>-0</v>
      </c>
      <c r="AU115" s="30" t="n">
        <f aca="false">AT115-AT114</f>
        <v>0</v>
      </c>
      <c r="AV115" s="30" t="n">
        <f aca="false">MAX(AS115,0)*(Inputs!$B$17+Inputs!$B$18+Inputs!$B$19)+MAX(-AS115,0)*(O115+Inputs!$B$18+Inputs!$B$19)+IF(AND(K115=1,AP115&lt;&gt;0),(Inputs!$B$17+Inputs!$B$18+Inputs!$B$19)+(O115+Inputs!$B$18+Inputs!$B$19),0)+MAX(AU115,0)*(Inputs!$B$20+Inputs!$B$22+Inputs!$B$23)+MAX(-AU115,0)*(Inputs!$B$21+Inputs!$B$22+Inputs!$B$23)</f>
        <v>0</v>
      </c>
      <c r="AW115" s="30" t="n">
        <f aca="false">AP114*(M115-AR114*J115)+AP114*AR114*N115/Inputs!$B$16-AV115</f>
        <v>0</v>
      </c>
      <c r="AX115" s="30" t="n">
        <f aca="false">AW115-IF(AP114&lt;&gt;0,0.75*AR114*(Inputs!$B$13-N115)/Inputs!$B$16,0)</f>
        <v>0</v>
      </c>
      <c r="AY115" s="30" t="n">
        <f aca="false">MAX(AS115,0)*(Inputs!$B$17+Inputs!$B$18+Inputs!$B$19)+MAX(-AS115,0)*(O115+Inputs!$B$18+Inputs!$B$19)+IF(AND(K115=1,AP115&lt;&gt;0),(Inputs!$B$17+Inputs!$B$18+Inputs!$B$19)+(O115+Inputs!$B$18+Inputs!$B$19),0)</f>
        <v>0</v>
      </c>
      <c r="AZ115" s="30" t="n">
        <f aca="false">AP114*M115-AY115</f>
        <v>-0</v>
      </c>
      <c r="BA115" s="32" t="n">
        <f aca="false">BA114+AI115</f>
        <v>-0.00554439001051976</v>
      </c>
      <c r="BB115" s="30" t="n">
        <f aca="false">MAX(BB114,BA115)</f>
        <v>0</v>
      </c>
      <c r="BC115" s="32" t="n">
        <f aca="false">BA115-BB115</f>
        <v>-0.00554439001051976</v>
      </c>
      <c r="BD115" s="30" t="n">
        <f aca="false">A116-A115</f>
        <v>1</v>
      </c>
    </row>
    <row r="116" customFormat="false" ht="15" hidden="false" customHeight="false" outlineLevel="0" collapsed="false">
      <c r="A116" s="28" t="n">
        <v>45209</v>
      </c>
      <c r="B116" s="0" t="n">
        <v>19745.3</v>
      </c>
      <c r="C116" s="0" t="n">
        <v>217.3</v>
      </c>
      <c r="D116" s="29" t="n">
        <f aca="false">LN(B116)</f>
        <v>9.89067076732526</v>
      </c>
      <c r="E116" s="29" t="n">
        <f aca="false">LN(C116)</f>
        <v>5.38127888726238</v>
      </c>
      <c r="F116" s="0" t="n">
        <v>111</v>
      </c>
      <c r="G116" s="0" t="n">
        <v>16</v>
      </c>
      <c r="H116" s="29" t="n">
        <f aca="false">D116-E116</f>
        <v>4.50939188006287</v>
      </c>
      <c r="I116" s="29" t="n">
        <f aca="false">D116-D115</f>
        <v>0.0112172318011865</v>
      </c>
      <c r="J116" s="29" t="n">
        <f aca="false">E116-E115</f>
        <v>0.00855002320053622</v>
      </c>
      <c r="K116" s="0" t="n">
        <v>0</v>
      </c>
      <c r="L116" s="0" t="n">
        <v>0</v>
      </c>
      <c r="M116" s="29" t="n">
        <f aca="false">IF(L116=1,J116-Carry!$B$9/Inputs!$B$16,I116)</f>
        <v>0.0112172318011865</v>
      </c>
      <c r="N116" s="0" t="n">
        <v>0.065</v>
      </c>
      <c r="O116" s="0" t="n">
        <v>0.000125</v>
      </c>
      <c r="P116" s="29" t="n">
        <f aca="false">D116-('2 Hedge ratio'!$B$6+'2 Hedge ratio'!$B$5*E116)</f>
        <v>-0.00108290161342062</v>
      </c>
      <c r="Q116" s="29" t="n">
        <f aca="false">D116-('5 Re-specification'!$B$7+'5 Re-specification'!$B$5*E116+'5 Re-specification'!$B$6*F116)</f>
        <v>-0.000514020794399883</v>
      </c>
      <c r="R116" s="30" t="n">
        <f aca="false">MIN(F116,Inputs!$B$9)</f>
        <v>111</v>
      </c>
      <c r="S116" s="29" t="n">
        <f aca="true">IF(AND(F116&gt;=1,R116&gt;=Inputs!$B$10),INDEX(LINEST(OFFSET(D116,-R116,0,R116,1),OFFSET(E116,-R116,0,R116,2)),1,1),"")</f>
        <v>-0.000116552348681859</v>
      </c>
      <c r="T116" s="29" t="n">
        <f aca="true">IF(AND(F116&gt;=1,R116&gt;=Inputs!$B$10),INDEX(LINEST(OFFSET(D116,-R116,0,R116,1),OFFSET(E116,-R116,0,R116,2)),1,2),"")</f>
        <v>1.02040551629158</v>
      </c>
      <c r="U116" s="29" t="n">
        <f aca="true">IF(AND(F116&gt;=1,R116&gt;=Inputs!$B$10),INDEX(LINEST(OFFSET(D116,-R116,0,R116,1),OFFSET(E116,-R116,0,R116,2)),1,3),"")</f>
        <v>4.40938094483922</v>
      </c>
      <c r="V116" s="29" t="n">
        <f aca="true">IF(AND(F116&gt;=1,R116&gt;=Inputs!$B$10),SQRT(SUMPRODUCT((OFFSET(D116,-R116,0,R116,1)-U116-T116*OFFSET(E116,-R116,0,R116,1)-S116*OFFSET(F116,-R116,0,R116,1))^2)/(R116-3)),"")</f>
        <v>0.00202992072512798</v>
      </c>
      <c r="W116" s="31" t="n">
        <f aca="false">IF(AND(F116&gt;=1,R116&gt;=Inputs!$B$10),(D116-U116-T116*E116-S116*F116)/V116,"")</f>
        <v>1.54709092078792</v>
      </c>
      <c r="X116" s="30" t="n">
        <f aca="false">IF(AB115&lt;&gt;0,AC115+1,0)</f>
        <v>0</v>
      </c>
      <c r="Y116" s="30" t="n">
        <f aca="false">IF(W116="",0,IF(AND(AB115&lt;&gt;0,OR(ABS(W116)&gt;Inputs!$B$7,X116&gt;=Inputs!$B$8,ABS(W116)&lt;Inputs!$B$6)),1,0))</f>
        <v>0</v>
      </c>
      <c r="Z116" s="30" t="n">
        <f aca="false">IF(Y116=1,0,AB115)</f>
        <v>0</v>
      </c>
      <c r="AA116" s="30" t="n">
        <f aca="false">IF(W116="",0,IF(AND(Z116=0,ABS(W116)&gt;Inputs!$B$5,ABS(W116)&lt;=Inputs!$B$7),1,0))</f>
        <v>0</v>
      </c>
      <c r="AB116" s="30" t="n">
        <f aca="false">IF(W116="",0,IF(AA116=1,-SIGN(W116),Z116))</f>
        <v>0</v>
      </c>
      <c r="AC116" s="30" t="n">
        <f aca="false">IF(W116="",0,IF(AA116=1,0,IF(Y116=1,0,X116)))</f>
        <v>0</v>
      </c>
      <c r="AD116" s="30" t="n">
        <f aca="false">IF(AB116=0,0,IF(AB115=AB116,AD115,T116))</f>
        <v>0</v>
      </c>
      <c r="AE116" s="30" t="n">
        <f aca="false">AB116-AB115</f>
        <v>0</v>
      </c>
      <c r="AF116" s="30" t="n">
        <f aca="false">-AD116*AB116</f>
        <v>-0</v>
      </c>
      <c r="AG116" s="30" t="n">
        <f aca="false">AF116-AF115</f>
        <v>0</v>
      </c>
      <c r="AH116" s="30" t="n">
        <f aca="false">MAX(AE116,0)*(Inputs!$B$17+Inputs!$B$18+Inputs!$B$19)+MAX(-AE116,0)*(O116+Inputs!$B$18+Inputs!$B$19)+IF(AND(K116=1,AB116&lt;&gt;0),(Inputs!$B$17+Inputs!$B$18+Inputs!$B$19)+(O116+Inputs!$B$18+Inputs!$B$19),0)+MAX(AG116,0)*(Inputs!$B$20+Inputs!$B$22+Inputs!$B$23)+MAX(-AG116,0)*(Inputs!$B$21+Inputs!$B$22+Inputs!$B$23)</f>
        <v>0</v>
      </c>
      <c r="AI116" s="30" t="n">
        <f aca="false">AB115*(M116-AD115*J116)+AB115*AD115*N116/Inputs!$B$16-AH116</f>
        <v>0</v>
      </c>
      <c r="AJ116" s="30" t="n">
        <f aca="false">MAX(AE116,0)*(Inputs!$B$17+Inputs!$B$24+Inputs!$B$25)+MAX(-AE116,0)*(O116+Inputs!$B$24+Inputs!$B$25)+IF(AND(K116=1,AB116&lt;&gt;0),(Inputs!$B$17+Inputs!$B$24+Inputs!$B$25)+(O116+Inputs!$B$24+Inputs!$B$25),0)+MAX(AG116,0)*(Inputs!$B$20+Inputs!$B$26+Inputs!$B$27)+MAX(-AG116,0)*(Inputs!$B$21+Inputs!$B$26+Inputs!$B$27)</f>
        <v>0</v>
      </c>
      <c r="AK116" s="30" t="n">
        <f aca="false">AB115*(M116-AD115*J116)+AB115*AD115*(N116+Inputs!$B$14)/Inputs!$B$16-AJ116</f>
        <v>0</v>
      </c>
      <c r="AL116" s="30" t="n">
        <f aca="false">IF(AP115&lt;&gt;0,AQ115+1,0)</f>
        <v>0</v>
      </c>
      <c r="AM116" s="30" t="n">
        <f aca="false">IF(W116="",0,IF(AND(AP115&lt;&gt;0,OR(ABS(W116)&gt;Inputs!$B$7,AL116&gt;=Inputs!$B$8,ABS(W116)&lt;Inputs!$B$6)),1,0))</f>
        <v>0</v>
      </c>
      <c r="AN116" s="30" t="n">
        <f aca="false">IF(AM116=1,0,AP115)</f>
        <v>0</v>
      </c>
      <c r="AO116" s="30" t="n">
        <f aca="false">IF(W116="",0,IF(AND(AN116=0,ABS(W116)&gt;Inputs!$B$5,ABS(W116)&lt;=Inputs!$B$7,W116&gt;0),1,0))</f>
        <v>0</v>
      </c>
      <c r="AP116" s="30" t="n">
        <f aca="false">IF(W116="",0,IF(AO116=1,-SIGN(W116),AN116))</f>
        <v>0</v>
      </c>
      <c r="AQ116" s="30" t="n">
        <f aca="false">IF(W116="",0,IF(AO116=1,0,IF(AM116=1,0,AL116)))</f>
        <v>0</v>
      </c>
      <c r="AR116" s="30" t="n">
        <f aca="false">IF(AP116=0,0,IF(AP115=AP116,AR115,T116))</f>
        <v>0</v>
      </c>
      <c r="AS116" s="30" t="n">
        <f aca="false">AP116-AP115</f>
        <v>0</v>
      </c>
      <c r="AT116" s="30" t="n">
        <f aca="false">-AR116*AP116</f>
        <v>-0</v>
      </c>
      <c r="AU116" s="30" t="n">
        <f aca="false">AT116-AT115</f>
        <v>0</v>
      </c>
      <c r="AV116" s="30" t="n">
        <f aca="false">MAX(AS116,0)*(Inputs!$B$17+Inputs!$B$18+Inputs!$B$19)+MAX(-AS116,0)*(O116+Inputs!$B$18+Inputs!$B$19)+IF(AND(K116=1,AP116&lt;&gt;0),(Inputs!$B$17+Inputs!$B$18+Inputs!$B$19)+(O116+Inputs!$B$18+Inputs!$B$19),0)+MAX(AU116,0)*(Inputs!$B$20+Inputs!$B$22+Inputs!$B$23)+MAX(-AU116,0)*(Inputs!$B$21+Inputs!$B$22+Inputs!$B$23)</f>
        <v>0</v>
      </c>
      <c r="AW116" s="30" t="n">
        <f aca="false">AP115*(M116-AR115*J116)+AP115*AR115*N116/Inputs!$B$16-AV116</f>
        <v>0</v>
      </c>
      <c r="AX116" s="30" t="n">
        <f aca="false">AW116-IF(AP115&lt;&gt;0,0.75*AR115*(Inputs!$B$13-N116)/Inputs!$B$16,0)</f>
        <v>0</v>
      </c>
      <c r="AY116" s="30" t="n">
        <f aca="false">MAX(AS116,0)*(Inputs!$B$17+Inputs!$B$18+Inputs!$B$19)+MAX(-AS116,0)*(O116+Inputs!$B$18+Inputs!$B$19)+IF(AND(K116=1,AP116&lt;&gt;0),(Inputs!$B$17+Inputs!$B$18+Inputs!$B$19)+(O116+Inputs!$B$18+Inputs!$B$19),0)</f>
        <v>0</v>
      </c>
      <c r="AZ116" s="30" t="n">
        <f aca="false">AP115*M116-AY116</f>
        <v>0</v>
      </c>
      <c r="BA116" s="32" t="n">
        <f aca="false">BA115+AI116</f>
        <v>-0.00554439001051976</v>
      </c>
      <c r="BB116" s="30" t="n">
        <f aca="false">MAX(BB115,BA116)</f>
        <v>0</v>
      </c>
      <c r="BC116" s="32" t="n">
        <f aca="false">BA116-BB116</f>
        <v>-0.00554439001051976</v>
      </c>
      <c r="BD116" s="30" t="n">
        <f aca="false">A117-A116</f>
        <v>1</v>
      </c>
    </row>
    <row r="117" customFormat="false" ht="15" hidden="false" customHeight="false" outlineLevel="0" collapsed="false">
      <c r="A117" s="28" t="n">
        <v>45210</v>
      </c>
      <c r="B117" s="0" t="n">
        <v>19849.35</v>
      </c>
      <c r="C117" s="0" t="n">
        <v>218.65</v>
      </c>
      <c r="D117" s="29" t="n">
        <f aca="false">LN(B117)</f>
        <v>9.89592653998725</v>
      </c>
      <c r="E117" s="29" t="n">
        <f aca="false">LN(C117)</f>
        <v>5.38747227785893</v>
      </c>
      <c r="F117" s="0" t="n">
        <v>112</v>
      </c>
      <c r="G117" s="0" t="n">
        <v>15</v>
      </c>
      <c r="H117" s="29" t="n">
        <f aca="false">D117-E117</f>
        <v>4.50845426212832</v>
      </c>
      <c r="I117" s="29" t="n">
        <f aca="false">D117-D116</f>
        <v>0.00525577266199306</v>
      </c>
      <c r="J117" s="29" t="n">
        <f aca="false">E117-E116</f>
        <v>0.00619339059654589</v>
      </c>
      <c r="K117" s="0" t="n">
        <v>0</v>
      </c>
      <c r="L117" s="0" t="n">
        <v>0</v>
      </c>
      <c r="M117" s="29" t="n">
        <f aca="false">IF(L117=1,J117-Carry!$B$9/Inputs!$B$16,I117)</f>
        <v>0.00525577266199306</v>
      </c>
      <c r="N117" s="0" t="n">
        <v>0.065</v>
      </c>
      <c r="O117" s="0" t="n">
        <v>0.000125</v>
      </c>
      <c r="P117" s="29" t="n">
        <f aca="false">D117-('2 Hedge ratio'!$B$6+'2 Hedge ratio'!$B$5*E117)</f>
        <v>-0.00150105980739035</v>
      </c>
      <c r="Q117" s="29" t="n">
        <f aca="false">D117-('5 Re-specification'!$B$7+'5 Re-specification'!$B$5*E117+'5 Re-specification'!$B$6*F117)</f>
        <v>-0.00138794034052125</v>
      </c>
      <c r="R117" s="30" t="n">
        <f aca="false">MIN(F117,Inputs!$B$9)</f>
        <v>112</v>
      </c>
      <c r="S117" s="29" t="n">
        <f aca="true">IF(AND(F117&gt;=1,R117&gt;=Inputs!$B$10),INDEX(LINEST(OFFSET(D117,-R117,0,R117,1),OFFSET(E117,-R117,0,R117,2)),1,1),"")</f>
        <v>-0.000112769946918202</v>
      </c>
      <c r="T117" s="29" t="n">
        <f aca="true">IF(AND(F117&gt;=1,R117&gt;=Inputs!$B$10),INDEX(LINEST(OFFSET(D117,-R117,0,R117,1),OFFSET(E117,-R117,0,R117,2)),1,2),"")</f>
        <v>1.01785549591154</v>
      </c>
      <c r="U117" s="29" t="n">
        <f aca="true">IF(AND(F117&gt;=1,R117&gt;=Inputs!$B$10),INDEX(LINEST(OFFSET(D117,-R117,0,R117,1),OFFSET(E117,-R117,0,R117,2)),1,3),"")</f>
        <v>4.42284504619935</v>
      </c>
      <c r="V117" s="29" t="n">
        <f aca="true">IF(AND(F117&gt;=1,R117&gt;=Inputs!$B$10),SQRT(SUMPRODUCT((OFFSET(D117,-R117,0,R117,1)-U117-T117*OFFSET(E117,-R117,0,R117,1)-S117*OFFSET(F117,-R117,0,R117,1))^2)/(R117-3)),"")</f>
        <v>0.00204171536020688</v>
      </c>
      <c r="W117" s="31" t="n">
        <f aca="false">IF(AND(F117&gt;=1,R117&gt;=Inputs!$B$10),(D117-U117-T117*E117-S117*F117)/V117,"")</f>
        <v>1.0008548658515</v>
      </c>
      <c r="X117" s="30" t="n">
        <f aca="false">IF(AB116&lt;&gt;0,AC116+1,0)</f>
        <v>0</v>
      </c>
      <c r="Y117" s="30" t="n">
        <f aca="false">IF(W117="",0,IF(AND(AB116&lt;&gt;0,OR(ABS(W117)&gt;Inputs!$B$7,X117&gt;=Inputs!$B$8,ABS(W117)&lt;Inputs!$B$6)),1,0))</f>
        <v>0</v>
      </c>
      <c r="Z117" s="30" t="n">
        <f aca="false">IF(Y117=1,0,AB116)</f>
        <v>0</v>
      </c>
      <c r="AA117" s="30" t="n">
        <f aca="false">IF(W117="",0,IF(AND(Z117=0,ABS(W117)&gt;Inputs!$B$5,ABS(W117)&lt;=Inputs!$B$7),1,0))</f>
        <v>0</v>
      </c>
      <c r="AB117" s="30" t="n">
        <f aca="false">IF(W117="",0,IF(AA117=1,-SIGN(W117),Z117))</f>
        <v>0</v>
      </c>
      <c r="AC117" s="30" t="n">
        <f aca="false">IF(W117="",0,IF(AA117=1,0,IF(Y117=1,0,X117)))</f>
        <v>0</v>
      </c>
      <c r="AD117" s="30" t="n">
        <f aca="false">IF(AB117=0,0,IF(AB116=AB117,AD116,T117))</f>
        <v>0</v>
      </c>
      <c r="AE117" s="30" t="n">
        <f aca="false">AB117-AB116</f>
        <v>0</v>
      </c>
      <c r="AF117" s="30" t="n">
        <f aca="false">-AD117*AB117</f>
        <v>-0</v>
      </c>
      <c r="AG117" s="30" t="n">
        <f aca="false">AF117-AF116</f>
        <v>0</v>
      </c>
      <c r="AH117" s="30" t="n">
        <f aca="false">MAX(AE117,0)*(Inputs!$B$17+Inputs!$B$18+Inputs!$B$19)+MAX(-AE117,0)*(O117+Inputs!$B$18+Inputs!$B$19)+IF(AND(K117=1,AB117&lt;&gt;0),(Inputs!$B$17+Inputs!$B$18+Inputs!$B$19)+(O117+Inputs!$B$18+Inputs!$B$19),0)+MAX(AG117,0)*(Inputs!$B$20+Inputs!$B$22+Inputs!$B$23)+MAX(-AG117,0)*(Inputs!$B$21+Inputs!$B$22+Inputs!$B$23)</f>
        <v>0</v>
      </c>
      <c r="AI117" s="30" t="n">
        <f aca="false">AB116*(M117-AD116*J117)+AB116*AD116*N117/Inputs!$B$16-AH117</f>
        <v>0</v>
      </c>
      <c r="AJ117" s="30" t="n">
        <f aca="false">MAX(AE117,0)*(Inputs!$B$17+Inputs!$B$24+Inputs!$B$25)+MAX(-AE117,0)*(O117+Inputs!$B$24+Inputs!$B$25)+IF(AND(K117=1,AB117&lt;&gt;0),(Inputs!$B$17+Inputs!$B$24+Inputs!$B$25)+(O117+Inputs!$B$24+Inputs!$B$25),0)+MAX(AG117,0)*(Inputs!$B$20+Inputs!$B$26+Inputs!$B$27)+MAX(-AG117,0)*(Inputs!$B$21+Inputs!$B$26+Inputs!$B$27)</f>
        <v>0</v>
      </c>
      <c r="AK117" s="30" t="n">
        <f aca="false">AB116*(M117-AD116*J117)+AB116*AD116*(N117+Inputs!$B$14)/Inputs!$B$16-AJ117</f>
        <v>0</v>
      </c>
      <c r="AL117" s="30" t="n">
        <f aca="false">IF(AP116&lt;&gt;0,AQ116+1,0)</f>
        <v>0</v>
      </c>
      <c r="AM117" s="30" t="n">
        <f aca="false">IF(W117="",0,IF(AND(AP116&lt;&gt;0,OR(ABS(W117)&gt;Inputs!$B$7,AL117&gt;=Inputs!$B$8,ABS(W117)&lt;Inputs!$B$6)),1,0))</f>
        <v>0</v>
      </c>
      <c r="AN117" s="30" t="n">
        <f aca="false">IF(AM117=1,0,AP116)</f>
        <v>0</v>
      </c>
      <c r="AO117" s="30" t="n">
        <f aca="false">IF(W117="",0,IF(AND(AN117=0,ABS(W117)&gt;Inputs!$B$5,ABS(W117)&lt;=Inputs!$B$7,W117&gt;0),1,0))</f>
        <v>0</v>
      </c>
      <c r="AP117" s="30" t="n">
        <f aca="false">IF(W117="",0,IF(AO117=1,-SIGN(W117),AN117))</f>
        <v>0</v>
      </c>
      <c r="AQ117" s="30" t="n">
        <f aca="false">IF(W117="",0,IF(AO117=1,0,IF(AM117=1,0,AL117)))</f>
        <v>0</v>
      </c>
      <c r="AR117" s="30" t="n">
        <f aca="false">IF(AP117=0,0,IF(AP116=AP117,AR116,T117))</f>
        <v>0</v>
      </c>
      <c r="AS117" s="30" t="n">
        <f aca="false">AP117-AP116</f>
        <v>0</v>
      </c>
      <c r="AT117" s="30" t="n">
        <f aca="false">-AR117*AP117</f>
        <v>-0</v>
      </c>
      <c r="AU117" s="30" t="n">
        <f aca="false">AT117-AT116</f>
        <v>0</v>
      </c>
      <c r="AV117" s="30" t="n">
        <f aca="false">MAX(AS117,0)*(Inputs!$B$17+Inputs!$B$18+Inputs!$B$19)+MAX(-AS117,0)*(O117+Inputs!$B$18+Inputs!$B$19)+IF(AND(K117=1,AP117&lt;&gt;0),(Inputs!$B$17+Inputs!$B$18+Inputs!$B$19)+(O117+Inputs!$B$18+Inputs!$B$19),0)+MAX(AU117,0)*(Inputs!$B$20+Inputs!$B$22+Inputs!$B$23)+MAX(-AU117,0)*(Inputs!$B$21+Inputs!$B$22+Inputs!$B$23)</f>
        <v>0</v>
      </c>
      <c r="AW117" s="30" t="n">
        <f aca="false">AP116*(M117-AR116*J117)+AP116*AR116*N117/Inputs!$B$16-AV117</f>
        <v>0</v>
      </c>
      <c r="AX117" s="30" t="n">
        <f aca="false">AW117-IF(AP116&lt;&gt;0,0.75*AR116*(Inputs!$B$13-N117)/Inputs!$B$16,0)</f>
        <v>0</v>
      </c>
      <c r="AY117" s="30" t="n">
        <f aca="false">MAX(AS117,0)*(Inputs!$B$17+Inputs!$B$18+Inputs!$B$19)+MAX(-AS117,0)*(O117+Inputs!$B$18+Inputs!$B$19)+IF(AND(K117=1,AP117&lt;&gt;0),(Inputs!$B$17+Inputs!$B$18+Inputs!$B$19)+(O117+Inputs!$B$18+Inputs!$B$19),0)</f>
        <v>0</v>
      </c>
      <c r="AZ117" s="30" t="n">
        <f aca="false">AP116*M117-AY117</f>
        <v>0</v>
      </c>
      <c r="BA117" s="32" t="n">
        <f aca="false">BA116+AI117</f>
        <v>-0.00554439001051976</v>
      </c>
      <c r="BB117" s="30" t="n">
        <f aca="false">MAX(BB116,BA117)</f>
        <v>0</v>
      </c>
      <c r="BC117" s="32" t="n">
        <f aca="false">BA117-BB117</f>
        <v>-0.00554439001051976</v>
      </c>
      <c r="BD117" s="30" t="n">
        <f aca="false">A118-A117</f>
        <v>1</v>
      </c>
    </row>
    <row r="118" customFormat="false" ht="15" hidden="false" customHeight="false" outlineLevel="0" collapsed="false">
      <c r="A118" s="28" t="n">
        <v>45211</v>
      </c>
      <c r="B118" s="0" t="n">
        <v>19845</v>
      </c>
      <c r="C118" s="0" t="n">
        <v>218.5</v>
      </c>
      <c r="D118" s="29" t="n">
        <f aca="false">LN(B118)</f>
        <v>9.89570736521717</v>
      </c>
      <c r="E118" s="29" t="n">
        <f aca="false">LN(C118)</f>
        <v>5.38678601453564</v>
      </c>
      <c r="F118" s="0" t="n">
        <v>113</v>
      </c>
      <c r="G118" s="0" t="n">
        <v>14</v>
      </c>
      <c r="H118" s="29" t="n">
        <f aca="false">D118-E118</f>
        <v>4.50892135068152</v>
      </c>
      <c r="I118" s="29" t="n">
        <f aca="false">D118-D117</f>
        <v>-0.000219174770082375</v>
      </c>
      <c r="J118" s="29" t="n">
        <f aca="false">E118-E117</f>
        <v>-0.000686263323284919</v>
      </c>
      <c r="K118" s="0" t="n">
        <v>0</v>
      </c>
      <c r="L118" s="0" t="n">
        <v>0</v>
      </c>
      <c r="M118" s="29" t="n">
        <f aca="false">IF(L118=1,J118-Carry!$B$9/Inputs!$B$16,I118)</f>
        <v>-0.000219174770082375</v>
      </c>
      <c r="N118" s="0" t="n">
        <v>0.065</v>
      </c>
      <c r="O118" s="0" t="n">
        <v>0.000125</v>
      </c>
      <c r="P118" s="29" t="n">
        <f aca="false">D118-('2 Hedge ratio'!$B$6+'2 Hedge ratio'!$B$5*E118)</f>
        <v>-0.00109153038312115</v>
      </c>
      <c r="Q118" s="29" t="n">
        <f aca="false">D118-('5 Re-specification'!$B$7+'5 Re-specification'!$B$5*E118+'5 Re-specification'!$B$6*F118)</f>
        <v>-0.000878002190237481</v>
      </c>
      <c r="R118" s="30" t="n">
        <f aca="false">MIN(F118,Inputs!$B$9)</f>
        <v>113</v>
      </c>
      <c r="S118" s="29" t="n">
        <f aca="true">IF(AND(F118&gt;=1,R118&gt;=Inputs!$B$10),INDEX(LINEST(OFFSET(D118,-R118,0,R118,1),OFFSET(E118,-R118,0,R118,2)),1,1),"")</f>
        <v>-0.000110776693693912</v>
      </c>
      <c r="T118" s="29" t="n">
        <f aca="true">IF(AND(F118&gt;=1,R118&gt;=Inputs!$B$10),INDEX(LINEST(OFFSET(D118,-R118,0,R118,1),OFFSET(E118,-R118,0,R118,2)),1,2),"")</f>
        <v>1.01668869655804</v>
      </c>
      <c r="U118" s="29" t="n">
        <f aca="true">IF(AND(F118&gt;=1,R118&gt;=Inputs!$B$10),INDEX(LINEST(OFFSET(D118,-R118,0,R118,1),OFFSET(E118,-R118,0,R118,2)),1,3),"")</f>
        <v>4.42899580214022</v>
      </c>
      <c r="V118" s="29" t="n">
        <f aca="true">IF(AND(F118&gt;=1,R118&gt;=Inputs!$B$10),SQRT(SUMPRODUCT((OFFSET(D118,-R118,0,R118,1)-U118-T118*OFFSET(E118,-R118,0,R118,1)-S118*OFFSET(F118,-R118,0,R118,1))^2)/(R118-3)),"")</f>
        <v>0.00204133130591641</v>
      </c>
      <c r="W118" s="31" t="n">
        <f aca="false">IF(AND(F118&gt;=1,R118&gt;=Inputs!$B$10),(D118-U118-T118*E118-S118*F118)/V118,"")</f>
        <v>1.24667549146325</v>
      </c>
      <c r="X118" s="30" t="n">
        <f aca="false">IF(AB117&lt;&gt;0,AC117+1,0)</f>
        <v>0</v>
      </c>
      <c r="Y118" s="30" t="n">
        <f aca="false">IF(W118="",0,IF(AND(AB117&lt;&gt;0,OR(ABS(W118)&gt;Inputs!$B$7,X118&gt;=Inputs!$B$8,ABS(W118)&lt;Inputs!$B$6)),1,0))</f>
        <v>0</v>
      </c>
      <c r="Z118" s="30" t="n">
        <f aca="false">IF(Y118=1,0,AB117)</f>
        <v>0</v>
      </c>
      <c r="AA118" s="30" t="n">
        <f aca="false">IF(W118="",0,IF(AND(Z118=0,ABS(W118)&gt;Inputs!$B$5,ABS(W118)&lt;=Inputs!$B$7),1,0))</f>
        <v>0</v>
      </c>
      <c r="AB118" s="30" t="n">
        <f aca="false">IF(W118="",0,IF(AA118=1,-SIGN(W118),Z118))</f>
        <v>0</v>
      </c>
      <c r="AC118" s="30" t="n">
        <f aca="false">IF(W118="",0,IF(AA118=1,0,IF(Y118=1,0,X118)))</f>
        <v>0</v>
      </c>
      <c r="AD118" s="30" t="n">
        <f aca="false">IF(AB118=0,0,IF(AB117=AB118,AD117,T118))</f>
        <v>0</v>
      </c>
      <c r="AE118" s="30" t="n">
        <f aca="false">AB118-AB117</f>
        <v>0</v>
      </c>
      <c r="AF118" s="30" t="n">
        <f aca="false">-AD118*AB118</f>
        <v>-0</v>
      </c>
      <c r="AG118" s="30" t="n">
        <f aca="false">AF118-AF117</f>
        <v>0</v>
      </c>
      <c r="AH118" s="30" t="n">
        <f aca="false">MAX(AE118,0)*(Inputs!$B$17+Inputs!$B$18+Inputs!$B$19)+MAX(-AE118,0)*(O118+Inputs!$B$18+Inputs!$B$19)+IF(AND(K118=1,AB118&lt;&gt;0),(Inputs!$B$17+Inputs!$B$18+Inputs!$B$19)+(O118+Inputs!$B$18+Inputs!$B$19),0)+MAX(AG118,0)*(Inputs!$B$20+Inputs!$B$22+Inputs!$B$23)+MAX(-AG118,0)*(Inputs!$B$21+Inputs!$B$22+Inputs!$B$23)</f>
        <v>0</v>
      </c>
      <c r="AI118" s="30" t="n">
        <f aca="false">AB117*(M118-AD117*J118)+AB117*AD117*N118/Inputs!$B$16-AH118</f>
        <v>0</v>
      </c>
      <c r="AJ118" s="30" t="n">
        <f aca="false">MAX(AE118,0)*(Inputs!$B$17+Inputs!$B$24+Inputs!$B$25)+MAX(-AE118,0)*(O118+Inputs!$B$24+Inputs!$B$25)+IF(AND(K118=1,AB118&lt;&gt;0),(Inputs!$B$17+Inputs!$B$24+Inputs!$B$25)+(O118+Inputs!$B$24+Inputs!$B$25),0)+MAX(AG118,0)*(Inputs!$B$20+Inputs!$B$26+Inputs!$B$27)+MAX(-AG118,0)*(Inputs!$B$21+Inputs!$B$26+Inputs!$B$27)</f>
        <v>0</v>
      </c>
      <c r="AK118" s="30" t="n">
        <f aca="false">AB117*(M118-AD117*J118)+AB117*AD117*(N118+Inputs!$B$14)/Inputs!$B$16-AJ118</f>
        <v>0</v>
      </c>
      <c r="AL118" s="30" t="n">
        <f aca="false">IF(AP117&lt;&gt;0,AQ117+1,0)</f>
        <v>0</v>
      </c>
      <c r="AM118" s="30" t="n">
        <f aca="false">IF(W118="",0,IF(AND(AP117&lt;&gt;0,OR(ABS(W118)&gt;Inputs!$B$7,AL118&gt;=Inputs!$B$8,ABS(W118)&lt;Inputs!$B$6)),1,0))</f>
        <v>0</v>
      </c>
      <c r="AN118" s="30" t="n">
        <f aca="false">IF(AM118=1,0,AP117)</f>
        <v>0</v>
      </c>
      <c r="AO118" s="30" t="n">
        <f aca="false">IF(W118="",0,IF(AND(AN118=0,ABS(W118)&gt;Inputs!$B$5,ABS(W118)&lt;=Inputs!$B$7,W118&gt;0),1,0))</f>
        <v>0</v>
      </c>
      <c r="AP118" s="30" t="n">
        <f aca="false">IF(W118="",0,IF(AO118=1,-SIGN(W118),AN118))</f>
        <v>0</v>
      </c>
      <c r="AQ118" s="30" t="n">
        <f aca="false">IF(W118="",0,IF(AO118=1,0,IF(AM118=1,0,AL118)))</f>
        <v>0</v>
      </c>
      <c r="AR118" s="30" t="n">
        <f aca="false">IF(AP118=0,0,IF(AP117=AP118,AR117,T118))</f>
        <v>0</v>
      </c>
      <c r="AS118" s="30" t="n">
        <f aca="false">AP118-AP117</f>
        <v>0</v>
      </c>
      <c r="AT118" s="30" t="n">
        <f aca="false">-AR118*AP118</f>
        <v>-0</v>
      </c>
      <c r="AU118" s="30" t="n">
        <f aca="false">AT118-AT117</f>
        <v>0</v>
      </c>
      <c r="AV118" s="30" t="n">
        <f aca="false">MAX(AS118,0)*(Inputs!$B$17+Inputs!$B$18+Inputs!$B$19)+MAX(-AS118,0)*(O118+Inputs!$B$18+Inputs!$B$19)+IF(AND(K118=1,AP118&lt;&gt;0),(Inputs!$B$17+Inputs!$B$18+Inputs!$B$19)+(O118+Inputs!$B$18+Inputs!$B$19),0)+MAX(AU118,0)*(Inputs!$B$20+Inputs!$B$22+Inputs!$B$23)+MAX(-AU118,0)*(Inputs!$B$21+Inputs!$B$22+Inputs!$B$23)</f>
        <v>0</v>
      </c>
      <c r="AW118" s="30" t="n">
        <f aca="false">AP117*(M118-AR117*J118)+AP117*AR117*N118/Inputs!$B$16-AV118</f>
        <v>0</v>
      </c>
      <c r="AX118" s="30" t="n">
        <f aca="false">AW118-IF(AP117&lt;&gt;0,0.75*AR117*(Inputs!$B$13-N118)/Inputs!$B$16,0)</f>
        <v>0</v>
      </c>
      <c r="AY118" s="30" t="n">
        <f aca="false">MAX(AS118,0)*(Inputs!$B$17+Inputs!$B$18+Inputs!$B$19)+MAX(-AS118,0)*(O118+Inputs!$B$18+Inputs!$B$19)+IF(AND(K118=1,AP118&lt;&gt;0),(Inputs!$B$17+Inputs!$B$18+Inputs!$B$19)+(O118+Inputs!$B$18+Inputs!$B$19),0)</f>
        <v>0</v>
      </c>
      <c r="AZ118" s="30" t="n">
        <f aca="false">AP117*M118-AY118</f>
        <v>-0</v>
      </c>
      <c r="BA118" s="32" t="n">
        <f aca="false">BA117+AI118</f>
        <v>-0.00554439001051976</v>
      </c>
      <c r="BB118" s="30" t="n">
        <f aca="false">MAX(BB117,BA118)</f>
        <v>0</v>
      </c>
      <c r="BC118" s="32" t="n">
        <f aca="false">BA118-BB118</f>
        <v>-0.00554439001051976</v>
      </c>
      <c r="BD118" s="30" t="n">
        <f aca="false">A119-A118</f>
        <v>1</v>
      </c>
    </row>
    <row r="119" customFormat="false" ht="15" hidden="false" customHeight="false" outlineLevel="0" collapsed="false">
      <c r="A119" s="28" t="n">
        <v>45212</v>
      </c>
      <c r="B119" s="0" t="n">
        <v>19731.7</v>
      </c>
      <c r="C119" s="0" t="n">
        <v>218</v>
      </c>
      <c r="D119" s="29" t="n">
        <f aca="false">LN(B119)</f>
        <v>9.88998175850807</v>
      </c>
      <c r="E119" s="29" t="n">
        <f aca="false">LN(C119)</f>
        <v>5.38449506278909</v>
      </c>
      <c r="F119" s="0" t="n">
        <v>114</v>
      </c>
      <c r="G119" s="0" t="n">
        <v>13</v>
      </c>
      <c r="H119" s="29" t="n">
        <f aca="false">D119-E119</f>
        <v>4.50548669571898</v>
      </c>
      <c r="I119" s="29" t="n">
        <f aca="false">D119-D118</f>
        <v>-0.00572560670909716</v>
      </c>
      <c r="J119" s="29" t="n">
        <f aca="false">E119-E118</f>
        <v>-0.00229095174655569</v>
      </c>
      <c r="K119" s="0" t="n">
        <v>0</v>
      </c>
      <c r="L119" s="0" t="n">
        <v>0</v>
      </c>
      <c r="M119" s="29" t="n">
        <f aca="false">IF(L119=1,J119-Carry!$B$9/Inputs!$B$16,I119)</f>
        <v>-0.00572560670909716</v>
      </c>
      <c r="N119" s="0" t="n">
        <v>0.065</v>
      </c>
      <c r="O119" s="0" t="n">
        <v>0.000125</v>
      </c>
      <c r="P119" s="29" t="n">
        <f aca="false">D119-('2 Hedge ratio'!$B$6+'2 Hedge ratio'!$B$5*E119)</f>
        <v>-0.00471833489305595</v>
      </c>
      <c r="Q119" s="29" t="n">
        <f aca="false">D119-('5 Re-specification'!$B$7+'5 Re-specification'!$B$5*E119+'5 Re-specification'!$B$6*F119)</f>
        <v>-0.00427467056399955</v>
      </c>
      <c r="R119" s="30" t="n">
        <f aca="false">MIN(F119,Inputs!$B$9)</f>
        <v>114</v>
      </c>
      <c r="S119" s="29" t="n">
        <f aca="true">IF(AND(F119&gt;=1,R119&gt;=Inputs!$B$10),INDEX(LINEST(OFFSET(D119,-R119,0,R119,1),OFFSET(E119,-R119,0,R119,2)),1,1),"")</f>
        <v>-0.000108244640324608</v>
      </c>
      <c r="T119" s="29" t="n">
        <f aca="true">IF(AND(F119&gt;=1,R119&gt;=Inputs!$B$10),INDEX(LINEST(OFFSET(D119,-R119,0,R119,1),OFFSET(E119,-R119,0,R119,2)),1,2),"")</f>
        <v>1.01514435375794</v>
      </c>
      <c r="U119" s="29" t="n">
        <f aca="true">IF(AND(F119&gt;=1,R119&gt;=Inputs!$B$10),INDEX(LINEST(OFFSET(D119,-R119,0,R119,1),OFFSET(E119,-R119,0,R119,2)),1,3),"")</f>
        <v>4.4371403130836</v>
      </c>
      <c r="V119" s="29" t="n">
        <f aca="true">IF(AND(F119&gt;=1,R119&gt;=Inputs!$B$10),SQRT(SUMPRODUCT((OFFSET(D119,-R119,0,R119,1)-U119-T119*OFFSET(E119,-R119,0,R119,1)-S119*OFFSET(F119,-R119,0,R119,1))^2)/(R119-3)),"")</f>
        <v>0.00204579574997773</v>
      </c>
      <c r="W119" s="31" t="n">
        <f aca="false">IF(AND(F119&gt;=1,R119&gt;=Inputs!$B$10),(D119-U119-T119*E119-S119*F119)/V119,"")</f>
        <v>-0.419605137221623</v>
      </c>
      <c r="X119" s="30" t="n">
        <f aca="false">IF(AB118&lt;&gt;0,AC118+1,0)</f>
        <v>0</v>
      </c>
      <c r="Y119" s="30" t="n">
        <f aca="false">IF(W119="",0,IF(AND(AB118&lt;&gt;0,OR(ABS(W119)&gt;Inputs!$B$7,X119&gt;=Inputs!$B$8,ABS(W119)&lt;Inputs!$B$6)),1,0))</f>
        <v>0</v>
      </c>
      <c r="Z119" s="30" t="n">
        <f aca="false">IF(Y119=1,0,AB118)</f>
        <v>0</v>
      </c>
      <c r="AA119" s="30" t="n">
        <f aca="false">IF(W119="",0,IF(AND(Z119=0,ABS(W119)&gt;Inputs!$B$5,ABS(W119)&lt;=Inputs!$B$7),1,0))</f>
        <v>0</v>
      </c>
      <c r="AB119" s="30" t="n">
        <f aca="false">IF(W119="",0,IF(AA119=1,-SIGN(W119),Z119))</f>
        <v>0</v>
      </c>
      <c r="AC119" s="30" t="n">
        <f aca="false">IF(W119="",0,IF(AA119=1,0,IF(Y119=1,0,X119)))</f>
        <v>0</v>
      </c>
      <c r="AD119" s="30" t="n">
        <f aca="false">IF(AB119=0,0,IF(AB118=AB119,AD118,T119))</f>
        <v>0</v>
      </c>
      <c r="AE119" s="30" t="n">
        <f aca="false">AB119-AB118</f>
        <v>0</v>
      </c>
      <c r="AF119" s="30" t="n">
        <f aca="false">-AD119*AB119</f>
        <v>-0</v>
      </c>
      <c r="AG119" s="30" t="n">
        <f aca="false">AF119-AF118</f>
        <v>0</v>
      </c>
      <c r="AH119" s="30" t="n">
        <f aca="false">MAX(AE119,0)*(Inputs!$B$17+Inputs!$B$18+Inputs!$B$19)+MAX(-AE119,0)*(O119+Inputs!$B$18+Inputs!$B$19)+IF(AND(K119=1,AB119&lt;&gt;0),(Inputs!$B$17+Inputs!$B$18+Inputs!$B$19)+(O119+Inputs!$B$18+Inputs!$B$19),0)+MAX(AG119,0)*(Inputs!$B$20+Inputs!$B$22+Inputs!$B$23)+MAX(-AG119,0)*(Inputs!$B$21+Inputs!$B$22+Inputs!$B$23)</f>
        <v>0</v>
      </c>
      <c r="AI119" s="30" t="n">
        <f aca="false">AB118*(M119-AD118*J119)+AB118*AD118*N119/Inputs!$B$16-AH119</f>
        <v>0</v>
      </c>
      <c r="AJ119" s="30" t="n">
        <f aca="false">MAX(AE119,0)*(Inputs!$B$17+Inputs!$B$24+Inputs!$B$25)+MAX(-AE119,0)*(O119+Inputs!$B$24+Inputs!$B$25)+IF(AND(K119=1,AB119&lt;&gt;0),(Inputs!$B$17+Inputs!$B$24+Inputs!$B$25)+(O119+Inputs!$B$24+Inputs!$B$25),0)+MAX(AG119,0)*(Inputs!$B$20+Inputs!$B$26+Inputs!$B$27)+MAX(-AG119,0)*(Inputs!$B$21+Inputs!$B$26+Inputs!$B$27)</f>
        <v>0</v>
      </c>
      <c r="AK119" s="30" t="n">
        <f aca="false">AB118*(M119-AD118*J119)+AB118*AD118*(N119+Inputs!$B$14)/Inputs!$B$16-AJ119</f>
        <v>0</v>
      </c>
      <c r="AL119" s="30" t="n">
        <f aca="false">IF(AP118&lt;&gt;0,AQ118+1,0)</f>
        <v>0</v>
      </c>
      <c r="AM119" s="30" t="n">
        <f aca="false">IF(W119="",0,IF(AND(AP118&lt;&gt;0,OR(ABS(W119)&gt;Inputs!$B$7,AL119&gt;=Inputs!$B$8,ABS(W119)&lt;Inputs!$B$6)),1,0))</f>
        <v>0</v>
      </c>
      <c r="AN119" s="30" t="n">
        <f aca="false">IF(AM119=1,0,AP118)</f>
        <v>0</v>
      </c>
      <c r="AO119" s="30" t="n">
        <f aca="false">IF(W119="",0,IF(AND(AN119=0,ABS(W119)&gt;Inputs!$B$5,ABS(W119)&lt;=Inputs!$B$7,W119&gt;0),1,0))</f>
        <v>0</v>
      </c>
      <c r="AP119" s="30" t="n">
        <f aca="false">IF(W119="",0,IF(AO119=1,-SIGN(W119),AN119))</f>
        <v>0</v>
      </c>
      <c r="AQ119" s="30" t="n">
        <f aca="false">IF(W119="",0,IF(AO119=1,0,IF(AM119=1,0,AL119)))</f>
        <v>0</v>
      </c>
      <c r="AR119" s="30" t="n">
        <f aca="false">IF(AP119=0,0,IF(AP118=AP119,AR118,T119))</f>
        <v>0</v>
      </c>
      <c r="AS119" s="30" t="n">
        <f aca="false">AP119-AP118</f>
        <v>0</v>
      </c>
      <c r="AT119" s="30" t="n">
        <f aca="false">-AR119*AP119</f>
        <v>-0</v>
      </c>
      <c r="AU119" s="30" t="n">
        <f aca="false">AT119-AT118</f>
        <v>0</v>
      </c>
      <c r="AV119" s="30" t="n">
        <f aca="false">MAX(AS119,0)*(Inputs!$B$17+Inputs!$B$18+Inputs!$B$19)+MAX(-AS119,0)*(O119+Inputs!$B$18+Inputs!$B$19)+IF(AND(K119=1,AP119&lt;&gt;0),(Inputs!$B$17+Inputs!$B$18+Inputs!$B$19)+(O119+Inputs!$B$18+Inputs!$B$19),0)+MAX(AU119,0)*(Inputs!$B$20+Inputs!$B$22+Inputs!$B$23)+MAX(-AU119,0)*(Inputs!$B$21+Inputs!$B$22+Inputs!$B$23)</f>
        <v>0</v>
      </c>
      <c r="AW119" s="30" t="n">
        <f aca="false">AP118*(M119-AR118*J119)+AP118*AR118*N119/Inputs!$B$16-AV119</f>
        <v>0</v>
      </c>
      <c r="AX119" s="30" t="n">
        <f aca="false">AW119-IF(AP118&lt;&gt;0,0.75*AR118*(Inputs!$B$13-N119)/Inputs!$B$16,0)</f>
        <v>0</v>
      </c>
      <c r="AY119" s="30" t="n">
        <f aca="false">MAX(AS119,0)*(Inputs!$B$17+Inputs!$B$18+Inputs!$B$19)+MAX(-AS119,0)*(O119+Inputs!$B$18+Inputs!$B$19)+IF(AND(K119=1,AP119&lt;&gt;0),(Inputs!$B$17+Inputs!$B$18+Inputs!$B$19)+(O119+Inputs!$B$18+Inputs!$B$19),0)</f>
        <v>0</v>
      </c>
      <c r="AZ119" s="30" t="n">
        <f aca="false">AP118*M119-AY119</f>
        <v>-0</v>
      </c>
      <c r="BA119" s="32" t="n">
        <f aca="false">BA118+AI119</f>
        <v>-0.00554439001051976</v>
      </c>
      <c r="BB119" s="30" t="n">
        <f aca="false">MAX(BB118,BA119)</f>
        <v>0</v>
      </c>
      <c r="BC119" s="32" t="n">
        <f aca="false">BA119-BB119</f>
        <v>-0.00554439001051976</v>
      </c>
      <c r="BD119" s="30" t="n">
        <f aca="false">A120-A119</f>
        <v>3</v>
      </c>
    </row>
    <row r="120" customFormat="false" ht="15" hidden="false" customHeight="false" outlineLevel="0" collapsed="false">
      <c r="A120" s="28" t="n">
        <v>45215</v>
      </c>
      <c r="B120" s="0" t="n">
        <v>19732.85</v>
      </c>
      <c r="C120" s="0" t="n">
        <v>217.98</v>
      </c>
      <c r="D120" s="29" t="n">
        <f aca="false">LN(B120)</f>
        <v>9.89004003866078</v>
      </c>
      <c r="E120" s="29" t="n">
        <f aca="false">LN(C120)</f>
        <v>5.38440331546117</v>
      </c>
      <c r="F120" s="0" t="n">
        <v>115</v>
      </c>
      <c r="G120" s="0" t="n">
        <v>10</v>
      </c>
      <c r="H120" s="29" t="n">
        <f aca="false">D120-E120</f>
        <v>4.50563672319962</v>
      </c>
      <c r="I120" s="29" t="n">
        <f aca="false">D120-D119</f>
        <v>5.82801527109211E-005</v>
      </c>
      <c r="J120" s="29" t="n">
        <f aca="false">E120-E119</f>
        <v>-9.1747327923386E-005</v>
      </c>
      <c r="K120" s="0" t="n">
        <v>0</v>
      </c>
      <c r="L120" s="0" t="n">
        <v>0</v>
      </c>
      <c r="M120" s="29" t="n">
        <f aca="false">IF(L120=1,J120-Carry!$B$9/Inputs!$B$16,I120)</f>
        <v>5.82801527109211E-005</v>
      </c>
      <c r="N120" s="0" t="n">
        <v>0.065</v>
      </c>
      <c r="O120" s="0" t="n">
        <v>0.000125</v>
      </c>
      <c r="P120" s="29" t="n">
        <f aca="false">D120-('2 Hedge ratio'!$B$6+'2 Hedge ratio'!$B$5*E120)</f>
        <v>-0.00457600255814405</v>
      </c>
      <c r="Q120" s="29" t="n">
        <f aca="false">D120-('5 Re-specification'!$B$7+'5 Re-specification'!$B$5*E120+'5 Re-specification'!$B$6*F120)</f>
        <v>-0.00407999180554697</v>
      </c>
      <c r="R120" s="30" t="n">
        <f aca="false">MIN(F120,Inputs!$B$9)</f>
        <v>115</v>
      </c>
      <c r="S120" s="29" t="n">
        <f aca="true">IF(AND(F120&gt;=1,R120&gt;=Inputs!$B$10),INDEX(LINEST(OFFSET(D120,-R120,0,R120,1),OFFSET(E120,-R120,0,R120,2)),1,1),"")</f>
        <v>-0.000109157384902388</v>
      </c>
      <c r="T120" s="29" t="n">
        <f aca="true">IF(AND(F120&gt;=1,R120&gt;=Inputs!$B$10),INDEX(LINEST(OFFSET(D120,-R120,0,R120,1),OFFSET(E120,-R120,0,R120,2)),1,2),"")</f>
        <v>1.01574477195708</v>
      </c>
      <c r="U120" s="29" t="n">
        <f aca="true">IF(AND(F120&gt;=1,R120&gt;=Inputs!$B$10),INDEX(LINEST(OFFSET(D120,-R120,0,R120,1),OFFSET(E120,-R120,0,R120,2)),1,3),"")</f>
        <v>4.43397129568318</v>
      </c>
      <c r="V120" s="29" t="n">
        <f aca="true">IF(AND(F120&gt;=1,R120&gt;=Inputs!$B$10),SQRT(SUMPRODUCT((OFFSET(D120,-R120,0,R120,1)-U120-T120*OFFSET(E120,-R120,0,R120,1)-S120*OFFSET(F120,-R120,0,R120,1))^2)/(R120-3)),"")</f>
        <v>0.00203818144257437</v>
      </c>
      <c r="W120" s="31" t="n">
        <f aca="false">IF(AND(F120&gt;=1,R120&gt;=Inputs!$B$10),(D120-U120-T120*E120-S120*F120)/V120,"")</f>
        <v>-0.273614279396966</v>
      </c>
      <c r="X120" s="30" t="n">
        <f aca="false">IF(AB119&lt;&gt;0,AC119+1,0)</f>
        <v>0</v>
      </c>
      <c r="Y120" s="30" t="n">
        <f aca="false">IF(W120="",0,IF(AND(AB119&lt;&gt;0,OR(ABS(W120)&gt;Inputs!$B$7,X120&gt;=Inputs!$B$8,ABS(W120)&lt;Inputs!$B$6)),1,0))</f>
        <v>0</v>
      </c>
      <c r="Z120" s="30" t="n">
        <f aca="false">IF(Y120=1,0,AB119)</f>
        <v>0</v>
      </c>
      <c r="AA120" s="30" t="n">
        <f aca="false">IF(W120="",0,IF(AND(Z120=0,ABS(W120)&gt;Inputs!$B$5,ABS(W120)&lt;=Inputs!$B$7),1,0))</f>
        <v>0</v>
      </c>
      <c r="AB120" s="30" t="n">
        <f aca="false">IF(W120="",0,IF(AA120=1,-SIGN(W120),Z120))</f>
        <v>0</v>
      </c>
      <c r="AC120" s="30" t="n">
        <f aca="false">IF(W120="",0,IF(AA120=1,0,IF(Y120=1,0,X120)))</f>
        <v>0</v>
      </c>
      <c r="AD120" s="30" t="n">
        <f aca="false">IF(AB120=0,0,IF(AB119=AB120,AD119,T120))</f>
        <v>0</v>
      </c>
      <c r="AE120" s="30" t="n">
        <f aca="false">AB120-AB119</f>
        <v>0</v>
      </c>
      <c r="AF120" s="30" t="n">
        <f aca="false">-AD120*AB120</f>
        <v>-0</v>
      </c>
      <c r="AG120" s="30" t="n">
        <f aca="false">AF120-AF119</f>
        <v>0</v>
      </c>
      <c r="AH120" s="30" t="n">
        <f aca="false">MAX(AE120,0)*(Inputs!$B$17+Inputs!$B$18+Inputs!$B$19)+MAX(-AE120,0)*(O120+Inputs!$B$18+Inputs!$B$19)+IF(AND(K120=1,AB120&lt;&gt;0),(Inputs!$B$17+Inputs!$B$18+Inputs!$B$19)+(O120+Inputs!$B$18+Inputs!$B$19),0)+MAX(AG120,0)*(Inputs!$B$20+Inputs!$B$22+Inputs!$B$23)+MAX(-AG120,0)*(Inputs!$B$21+Inputs!$B$22+Inputs!$B$23)</f>
        <v>0</v>
      </c>
      <c r="AI120" s="30" t="n">
        <f aca="false">AB119*(M120-AD119*J120)+AB119*AD119*N120/Inputs!$B$16-AH120</f>
        <v>0</v>
      </c>
      <c r="AJ120" s="30" t="n">
        <f aca="false">MAX(AE120,0)*(Inputs!$B$17+Inputs!$B$24+Inputs!$B$25)+MAX(-AE120,0)*(O120+Inputs!$B$24+Inputs!$B$25)+IF(AND(K120=1,AB120&lt;&gt;0),(Inputs!$B$17+Inputs!$B$24+Inputs!$B$25)+(O120+Inputs!$B$24+Inputs!$B$25),0)+MAX(AG120,0)*(Inputs!$B$20+Inputs!$B$26+Inputs!$B$27)+MAX(-AG120,0)*(Inputs!$B$21+Inputs!$B$26+Inputs!$B$27)</f>
        <v>0</v>
      </c>
      <c r="AK120" s="30" t="n">
        <f aca="false">AB119*(M120-AD119*J120)+AB119*AD119*(N120+Inputs!$B$14)/Inputs!$B$16-AJ120</f>
        <v>0</v>
      </c>
      <c r="AL120" s="30" t="n">
        <f aca="false">IF(AP119&lt;&gt;0,AQ119+1,0)</f>
        <v>0</v>
      </c>
      <c r="AM120" s="30" t="n">
        <f aca="false">IF(W120="",0,IF(AND(AP119&lt;&gt;0,OR(ABS(W120)&gt;Inputs!$B$7,AL120&gt;=Inputs!$B$8,ABS(W120)&lt;Inputs!$B$6)),1,0))</f>
        <v>0</v>
      </c>
      <c r="AN120" s="30" t="n">
        <f aca="false">IF(AM120=1,0,AP119)</f>
        <v>0</v>
      </c>
      <c r="AO120" s="30" t="n">
        <f aca="false">IF(W120="",0,IF(AND(AN120=0,ABS(W120)&gt;Inputs!$B$5,ABS(W120)&lt;=Inputs!$B$7,W120&gt;0),1,0))</f>
        <v>0</v>
      </c>
      <c r="AP120" s="30" t="n">
        <f aca="false">IF(W120="",0,IF(AO120=1,-SIGN(W120),AN120))</f>
        <v>0</v>
      </c>
      <c r="AQ120" s="30" t="n">
        <f aca="false">IF(W120="",0,IF(AO120=1,0,IF(AM120=1,0,AL120)))</f>
        <v>0</v>
      </c>
      <c r="AR120" s="30" t="n">
        <f aca="false">IF(AP120=0,0,IF(AP119=AP120,AR119,T120))</f>
        <v>0</v>
      </c>
      <c r="AS120" s="30" t="n">
        <f aca="false">AP120-AP119</f>
        <v>0</v>
      </c>
      <c r="AT120" s="30" t="n">
        <f aca="false">-AR120*AP120</f>
        <v>-0</v>
      </c>
      <c r="AU120" s="30" t="n">
        <f aca="false">AT120-AT119</f>
        <v>0</v>
      </c>
      <c r="AV120" s="30" t="n">
        <f aca="false">MAX(AS120,0)*(Inputs!$B$17+Inputs!$B$18+Inputs!$B$19)+MAX(-AS120,0)*(O120+Inputs!$B$18+Inputs!$B$19)+IF(AND(K120=1,AP120&lt;&gt;0),(Inputs!$B$17+Inputs!$B$18+Inputs!$B$19)+(O120+Inputs!$B$18+Inputs!$B$19),0)+MAX(AU120,0)*(Inputs!$B$20+Inputs!$B$22+Inputs!$B$23)+MAX(-AU120,0)*(Inputs!$B$21+Inputs!$B$22+Inputs!$B$23)</f>
        <v>0</v>
      </c>
      <c r="AW120" s="30" t="n">
        <f aca="false">AP119*(M120-AR119*J120)+AP119*AR119*N120/Inputs!$B$16-AV120</f>
        <v>0</v>
      </c>
      <c r="AX120" s="30" t="n">
        <f aca="false">AW120-IF(AP119&lt;&gt;0,0.75*AR119*(Inputs!$B$13-N120)/Inputs!$B$16,0)</f>
        <v>0</v>
      </c>
      <c r="AY120" s="30" t="n">
        <f aca="false">MAX(AS120,0)*(Inputs!$B$17+Inputs!$B$18+Inputs!$B$19)+MAX(-AS120,0)*(O120+Inputs!$B$18+Inputs!$B$19)+IF(AND(K120=1,AP120&lt;&gt;0),(Inputs!$B$17+Inputs!$B$18+Inputs!$B$19)+(O120+Inputs!$B$18+Inputs!$B$19),0)</f>
        <v>0</v>
      </c>
      <c r="AZ120" s="30" t="n">
        <f aca="false">AP119*M120-AY120</f>
        <v>0</v>
      </c>
      <c r="BA120" s="32" t="n">
        <f aca="false">BA119+AI120</f>
        <v>-0.00554439001051976</v>
      </c>
      <c r="BB120" s="30" t="n">
        <f aca="false">MAX(BB119,BA120)</f>
        <v>0</v>
      </c>
      <c r="BC120" s="32" t="n">
        <f aca="false">BA120-BB120</f>
        <v>-0.00554439001051976</v>
      </c>
      <c r="BD120" s="30" t="n">
        <f aca="false">A121-A120</f>
        <v>1</v>
      </c>
    </row>
    <row r="121" customFormat="false" ht="15" hidden="false" customHeight="false" outlineLevel="0" collapsed="false">
      <c r="A121" s="28" t="n">
        <v>45216</v>
      </c>
      <c r="B121" s="0" t="n">
        <v>19806.35</v>
      </c>
      <c r="C121" s="0" t="n">
        <v>218.65</v>
      </c>
      <c r="D121" s="29" t="n">
        <f aca="false">LN(B121)</f>
        <v>9.89375787233781</v>
      </c>
      <c r="E121" s="29" t="n">
        <f aca="false">LN(C121)</f>
        <v>5.38747227785893</v>
      </c>
      <c r="F121" s="0" t="n">
        <v>116</v>
      </c>
      <c r="G121" s="0" t="n">
        <v>9</v>
      </c>
      <c r="H121" s="29" t="n">
        <f aca="false">D121-E121</f>
        <v>4.50628559447888</v>
      </c>
      <c r="I121" s="29" t="n">
        <f aca="false">D121-D120</f>
        <v>0.00371783367703316</v>
      </c>
      <c r="J121" s="29" t="n">
        <f aca="false">E121-E120</f>
        <v>0.003068962397764</v>
      </c>
      <c r="K121" s="0" t="n">
        <v>0</v>
      </c>
      <c r="L121" s="0" t="n">
        <v>0</v>
      </c>
      <c r="M121" s="29" t="n">
        <f aca="false">IF(L121=1,J121-Carry!$B$9/Inputs!$B$16,I121)</f>
        <v>0.00371783367703316</v>
      </c>
      <c r="N121" s="0" t="n">
        <v>0.065</v>
      </c>
      <c r="O121" s="0" t="n">
        <v>0.000125</v>
      </c>
      <c r="P121" s="29" t="n">
        <f aca="false">D121-('2 Hedge ratio'!$B$6+'2 Hedge ratio'!$B$5*E121)</f>
        <v>-0.00366972745682581</v>
      </c>
      <c r="Q121" s="29" t="n">
        <f aca="false">D121-('5 Re-specification'!$B$7+'5 Re-specification'!$B$5*E121+'5 Re-specification'!$B$6*F121)</f>
        <v>-0.00337689071757019</v>
      </c>
      <c r="R121" s="30" t="n">
        <f aca="false">MIN(F121,Inputs!$B$9)</f>
        <v>116</v>
      </c>
      <c r="S121" s="29" t="n">
        <f aca="true">IF(AND(F121&gt;=1,R121&gt;=Inputs!$B$10),INDEX(LINEST(OFFSET(D121,-R121,0,R121,1),OFFSET(E121,-R121,0,R121,2)),1,1),"")</f>
        <v>-0.000109744640410098</v>
      </c>
      <c r="T121" s="29" t="n">
        <f aca="true">IF(AND(F121&gt;=1,R121&gt;=Inputs!$B$10),INDEX(LINEST(OFFSET(D121,-R121,0,R121,1),OFFSET(E121,-R121,0,R121,2)),1,2),"")</f>
        <v>1.01613691077061</v>
      </c>
      <c r="U121" s="29" t="n">
        <f aca="true">IF(AND(F121&gt;=1,R121&gt;=Inputs!$B$10),INDEX(LINEST(OFFSET(D121,-R121,0,R121,1),OFFSET(E121,-R121,0,R121,2)),1,3),"")</f>
        <v>4.43190132752266</v>
      </c>
      <c r="V121" s="29" t="n">
        <f aca="true">IF(AND(F121&gt;=1,R121&gt;=Inputs!$B$10),SQRT(SUMPRODUCT((OFFSET(D121,-R121,0,R121,1)-U121-T121*OFFSET(E121,-R121,0,R121,1)-S121*OFFSET(F121,-R121,0,R121,1))^2)/(R121-3)),"")</f>
        <v>0.00202978927011685</v>
      </c>
      <c r="W121" s="31" t="n">
        <f aca="false">IF(AND(F121&gt;=1,R121&gt;=Inputs!$B$10),(D121-U121-T121*E121-S121*F121)/V121,"")</f>
        <v>0.0874405138939486</v>
      </c>
      <c r="X121" s="30" t="n">
        <f aca="false">IF(AB120&lt;&gt;0,AC120+1,0)</f>
        <v>0</v>
      </c>
      <c r="Y121" s="30" t="n">
        <f aca="false">IF(W121="",0,IF(AND(AB120&lt;&gt;0,OR(ABS(W121)&gt;Inputs!$B$7,X121&gt;=Inputs!$B$8,ABS(W121)&lt;Inputs!$B$6)),1,0))</f>
        <v>0</v>
      </c>
      <c r="Z121" s="30" t="n">
        <f aca="false">IF(Y121=1,0,AB120)</f>
        <v>0</v>
      </c>
      <c r="AA121" s="30" t="n">
        <f aca="false">IF(W121="",0,IF(AND(Z121=0,ABS(W121)&gt;Inputs!$B$5,ABS(W121)&lt;=Inputs!$B$7),1,0))</f>
        <v>0</v>
      </c>
      <c r="AB121" s="30" t="n">
        <f aca="false">IF(W121="",0,IF(AA121=1,-SIGN(W121),Z121))</f>
        <v>0</v>
      </c>
      <c r="AC121" s="30" t="n">
        <f aca="false">IF(W121="",0,IF(AA121=1,0,IF(Y121=1,0,X121)))</f>
        <v>0</v>
      </c>
      <c r="AD121" s="30" t="n">
        <f aca="false">IF(AB121=0,0,IF(AB120=AB121,AD120,T121))</f>
        <v>0</v>
      </c>
      <c r="AE121" s="30" t="n">
        <f aca="false">AB121-AB120</f>
        <v>0</v>
      </c>
      <c r="AF121" s="30" t="n">
        <f aca="false">-AD121*AB121</f>
        <v>-0</v>
      </c>
      <c r="AG121" s="30" t="n">
        <f aca="false">AF121-AF120</f>
        <v>0</v>
      </c>
      <c r="AH121" s="30" t="n">
        <f aca="false">MAX(AE121,0)*(Inputs!$B$17+Inputs!$B$18+Inputs!$B$19)+MAX(-AE121,0)*(O121+Inputs!$B$18+Inputs!$B$19)+IF(AND(K121=1,AB121&lt;&gt;0),(Inputs!$B$17+Inputs!$B$18+Inputs!$B$19)+(O121+Inputs!$B$18+Inputs!$B$19),0)+MAX(AG121,0)*(Inputs!$B$20+Inputs!$B$22+Inputs!$B$23)+MAX(-AG121,0)*(Inputs!$B$21+Inputs!$B$22+Inputs!$B$23)</f>
        <v>0</v>
      </c>
      <c r="AI121" s="30" t="n">
        <f aca="false">AB120*(M121-AD120*J121)+AB120*AD120*N121/Inputs!$B$16-AH121</f>
        <v>0</v>
      </c>
      <c r="AJ121" s="30" t="n">
        <f aca="false">MAX(AE121,0)*(Inputs!$B$17+Inputs!$B$24+Inputs!$B$25)+MAX(-AE121,0)*(O121+Inputs!$B$24+Inputs!$B$25)+IF(AND(K121=1,AB121&lt;&gt;0),(Inputs!$B$17+Inputs!$B$24+Inputs!$B$25)+(O121+Inputs!$B$24+Inputs!$B$25),0)+MAX(AG121,0)*(Inputs!$B$20+Inputs!$B$26+Inputs!$B$27)+MAX(-AG121,0)*(Inputs!$B$21+Inputs!$B$26+Inputs!$B$27)</f>
        <v>0</v>
      </c>
      <c r="AK121" s="30" t="n">
        <f aca="false">AB120*(M121-AD120*J121)+AB120*AD120*(N121+Inputs!$B$14)/Inputs!$B$16-AJ121</f>
        <v>0</v>
      </c>
      <c r="AL121" s="30" t="n">
        <f aca="false">IF(AP120&lt;&gt;0,AQ120+1,0)</f>
        <v>0</v>
      </c>
      <c r="AM121" s="30" t="n">
        <f aca="false">IF(W121="",0,IF(AND(AP120&lt;&gt;0,OR(ABS(W121)&gt;Inputs!$B$7,AL121&gt;=Inputs!$B$8,ABS(W121)&lt;Inputs!$B$6)),1,0))</f>
        <v>0</v>
      </c>
      <c r="AN121" s="30" t="n">
        <f aca="false">IF(AM121=1,0,AP120)</f>
        <v>0</v>
      </c>
      <c r="AO121" s="30" t="n">
        <f aca="false">IF(W121="",0,IF(AND(AN121=0,ABS(W121)&gt;Inputs!$B$5,ABS(W121)&lt;=Inputs!$B$7,W121&gt;0),1,0))</f>
        <v>0</v>
      </c>
      <c r="AP121" s="30" t="n">
        <f aca="false">IF(W121="",0,IF(AO121=1,-SIGN(W121),AN121))</f>
        <v>0</v>
      </c>
      <c r="AQ121" s="30" t="n">
        <f aca="false">IF(W121="",0,IF(AO121=1,0,IF(AM121=1,0,AL121)))</f>
        <v>0</v>
      </c>
      <c r="AR121" s="30" t="n">
        <f aca="false">IF(AP121=0,0,IF(AP120=AP121,AR120,T121))</f>
        <v>0</v>
      </c>
      <c r="AS121" s="30" t="n">
        <f aca="false">AP121-AP120</f>
        <v>0</v>
      </c>
      <c r="AT121" s="30" t="n">
        <f aca="false">-AR121*AP121</f>
        <v>-0</v>
      </c>
      <c r="AU121" s="30" t="n">
        <f aca="false">AT121-AT120</f>
        <v>0</v>
      </c>
      <c r="AV121" s="30" t="n">
        <f aca="false">MAX(AS121,0)*(Inputs!$B$17+Inputs!$B$18+Inputs!$B$19)+MAX(-AS121,0)*(O121+Inputs!$B$18+Inputs!$B$19)+IF(AND(K121=1,AP121&lt;&gt;0),(Inputs!$B$17+Inputs!$B$18+Inputs!$B$19)+(O121+Inputs!$B$18+Inputs!$B$19),0)+MAX(AU121,0)*(Inputs!$B$20+Inputs!$B$22+Inputs!$B$23)+MAX(-AU121,0)*(Inputs!$B$21+Inputs!$B$22+Inputs!$B$23)</f>
        <v>0</v>
      </c>
      <c r="AW121" s="30" t="n">
        <f aca="false">AP120*(M121-AR120*J121)+AP120*AR120*N121/Inputs!$B$16-AV121</f>
        <v>0</v>
      </c>
      <c r="AX121" s="30" t="n">
        <f aca="false">AW121-IF(AP120&lt;&gt;0,0.75*AR120*(Inputs!$B$13-N121)/Inputs!$B$16,0)</f>
        <v>0</v>
      </c>
      <c r="AY121" s="30" t="n">
        <f aca="false">MAX(AS121,0)*(Inputs!$B$17+Inputs!$B$18+Inputs!$B$19)+MAX(-AS121,0)*(O121+Inputs!$B$18+Inputs!$B$19)+IF(AND(K121=1,AP121&lt;&gt;0),(Inputs!$B$17+Inputs!$B$18+Inputs!$B$19)+(O121+Inputs!$B$18+Inputs!$B$19),0)</f>
        <v>0</v>
      </c>
      <c r="AZ121" s="30" t="n">
        <f aca="false">AP120*M121-AY121</f>
        <v>0</v>
      </c>
      <c r="BA121" s="32" t="n">
        <f aca="false">BA120+AI121</f>
        <v>-0.00554439001051976</v>
      </c>
      <c r="BB121" s="30" t="n">
        <f aca="false">MAX(BB120,BA121)</f>
        <v>0</v>
      </c>
      <c r="BC121" s="32" t="n">
        <f aca="false">BA121-BB121</f>
        <v>-0.00554439001051976</v>
      </c>
      <c r="BD121" s="30" t="n">
        <f aca="false">A122-A121</f>
        <v>1</v>
      </c>
    </row>
    <row r="122" customFormat="false" ht="15" hidden="false" customHeight="false" outlineLevel="0" collapsed="false">
      <c r="A122" s="28" t="n">
        <v>45217</v>
      </c>
      <c r="B122" s="0" t="n">
        <v>19666.05</v>
      </c>
      <c r="C122" s="0" t="n">
        <v>217.1</v>
      </c>
      <c r="D122" s="29" t="n">
        <f aca="false">LN(B122)</f>
        <v>9.88664907779594</v>
      </c>
      <c r="E122" s="29" t="n">
        <f aca="false">LN(C122)</f>
        <v>5.38035807688425</v>
      </c>
      <c r="F122" s="0" t="n">
        <v>117</v>
      </c>
      <c r="G122" s="0" t="n">
        <v>8</v>
      </c>
      <c r="H122" s="29" t="n">
        <f aca="false">D122-E122</f>
        <v>4.50629100091169</v>
      </c>
      <c r="I122" s="29" t="n">
        <f aca="false">D122-D121</f>
        <v>-0.00710879454187818</v>
      </c>
      <c r="J122" s="29" t="n">
        <f aca="false">E122-E121</f>
        <v>-0.00711420097468363</v>
      </c>
      <c r="K122" s="0" t="n">
        <v>0</v>
      </c>
      <c r="L122" s="0" t="n">
        <v>0</v>
      </c>
      <c r="M122" s="29" t="n">
        <f aca="false">IF(L122=1,J122-Carry!$B$9/Inputs!$B$16,I122)</f>
        <v>-0.00710879454187818</v>
      </c>
      <c r="N122" s="0" t="n">
        <v>0.065</v>
      </c>
      <c r="O122" s="0" t="n">
        <v>0.000125</v>
      </c>
      <c r="P122" s="29" t="n">
        <f aca="false">D122-('2 Hedge ratio'!$B$6+'2 Hedge ratio'!$B$5*E122)</f>
        <v>-0.00426101211513696</v>
      </c>
      <c r="Q122" s="29" t="n">
        <f aca="false">D122-('5 Re-specification'!$B$7+'5 Re-specification'!$B$5*E122+'5 Re-specification'!$B$6*F122)</f>
        <v>-0.0033481145528711</v>
      </c>
      <c r="R122" s="30" t="n">
        <f aca="false">MIN(F122,Inputs!$B$9)</f>
        <v>117</v>
      </c>
      <c r="S122" s="29" t="n">
        <f aca="true">IF(AND(F122&gt;=1,R122&gt;=Inputs!$B$10),INDEX(LINEST(OFFSET(D122,-R122,0,R122,1),OFFSET(E122,-R122,0,R122,2)),1,1),"")</f>
        <v>-0.000109577075031144</v>
      </c>
      <c r="T122" s="29" t="n">
        <f aca="true">IF(AND(F122&gt;=1,R122&gt;=Inputs!$B$10),INDEX(LINEST(OFFSET(D122,-R122,0,R122,1),OFFSET(E122,-R122,0,R122,2)),1,2),"")</f>
        <v>1.01603199807059</v>
      </c>
      <c r="U122" s="29" t="n">
        <f aca="true">IF(AND(F122&gt;=1,R122&gt;=Inputs!$B$10),INDEX(LINEST(OFFSET(D122,-R122,0,R122,1),OFFSET(E122,-R122,0,R122,2)),1,3),"")</f>
        <v>4.43245470356416</v>
      </c>
      <c r="V122" s="29" t="n">
        <f aca="true">IF(AND(F122&gt;=1,R122&gt;=Inputs!$B$10),SQRT(SUMPRODUCT((OFFSET(D122,-R122,0,R122,1)-U122-T122*OFFSET(E122,-R122,0,R122,1)-S122*OFFSET(F122,-R122,0,R122,1))^2)/(R122-3)),"")</f>
        <v>0.00202093251620957</v>
      </c>
      <c r="W122" s="31" t="n">
        <f aca="false">IF(AND(F122&gt;=1,R122&gt;=Inputs!$B$10),(D122-U122-T122*E122-S122*F122)/V122,"")</f>
        <v>0.197396407502755</v>
      </c>
      <c r="X122" s="30" t="n">
        <f aca="false">IF(AB121&lt;&gt;0,AC121+1,0)</f>
        <v>0</v>
      </c>
      <c r="Y122" s="30" t="n">
        <f aca="false">IF(W122="",0,IF(AND(AB121&lt;&gt;0,OR(ABS(W122)&gt;Inputs!$B$7,X122&gt;=Inputs!$B$8,ABS(W122)&lt;Inputs!$B$6)),1,0))</f>
        <v>0</v>
      </c>
      <c r="Z122" s="30" t="n">
        <f aca="false">IF(Y122=1,0,AB121)</f>
        <v>0</v>
      </c>
      <c r="AA122" s="30" t="n">
        <f aca="false">IF(W122="",0,IF(AND(Z122=0,ABS(W122)&gt;Inputs!$B$5,ABS(W122)&lt;=Inputs!$B$7),1,0))</f>
        <v>0</v>
      </c>
      <c r="AB122" s="30" t="n">
        <f aca="false">IF(W122="",0,IF(AA122=1,-SIGN(W122),Z122))</f>
        <v>0</v>
      </c>
      <c r="AC122" s="30" t="n">
        <f aca="false">IF(W122="",0,IF(AA122=1,0,IF(Y122=1,0,X122)))</f>
        <v>0</v>
      </c>
      <c r="AD122" s="30" t="n">
        <f aca="false">IF(AB122=0,0,IF(AB121=AB122,AD121,T122))</f>
        <v>0</v>
      </c>
      <c r="AE122" s="30" t="n">
        <f aca="false">AB122-AB121</f>
        <v>0</v>
      </c>
      <c r="AF122" s="30" t="n">
        <f aca="false">-AD122*AB122</f>
        <v>-0</v>
      </c>
      <c r="AG122" s="30" t="n">
        <f aca="false">AF122-AF121</f>
        <v>0</v>
      </c>
      <c r="AH122" s="30" t="n">
        <f aca="false">MAX(AE122,0)*(Inputs!$B$17+Inputs!$B$18+Inputs!$B$19)+MAX(-AE122,0)*(O122+Inputs!$B$18+Inputs!$B$19)+IF(AND(K122=1,AB122&lt;&gt;0),(Inputs!$B$17+Inputs!$B$18+Inputs!$B$19)+(O122+Inputs!$B$18+Inputs!$B$19),0)+MAX(AG122,0)*(Inputs!$B$20+Inputs!$B$22+Inputs!$B$23)+MAX(-AG122,0)*(Inputs!$B$21+Inputs!$B$22+Inputs!$B$23)</f>
        <v>0</v>
      </c>
      <c r="AI122" s="30" t="n">
        <f aca="false">AB121*(M122-AD121*J122)+AB121*AD121*N122/Inputs!$B$16-AH122</f>
        <v>0</v>
      </c>
      <c r="AJ122" s="30" t="n">
        <f aca="false">MAX(AE122,0)*(Inputs!$B$17+Inputs!$B$24+Inputs!$B$25)+MAX(-AE122,0)*(O122+Inputs!$B$24+Inputs!$B$25)+IF(AND(K122=1,AB122&lt;&gt;0),(Inputs!$B$17+Inputs!$B$24+Inputs!$B$25)+(O122+Inputs!$B$24+Inputs!$B$25),0)+MAX(AG122,0)*(Inputs!$B$20+Inputs!$B$26+Inputs!$B$27)+MAX(-AG122,0)*(Inputs!$B$21+Inputs!$B$26+Inputs!$B$27)</f>
        <v>0</v>
      </c>
      <c r="AK122" s="30" t="n">
        <f aca="false">AB121*(M122-AD121*J122)+AB121*AD121*(N122+Inputs!$B$14)/Inputs!$B$16-AJ122</f>
        <v>0</v>
      </c>
      <c r="AL122" s="30" t="n">
        <f aca="false">IF(AP121&lt;&gt;0,AQ121+1,0)</f>
        <v>0</v>
      </c>
      <c r="AM122" s="30" t="n">
        <f aca="false">IF(W122="",0,IF(AND(AP121&lt;&gt;0,OR(ABS(W122)&gt;Inputs!$B$7,AL122&gt;=Inputs!$B$8,ABS(W122)&lt;Inputs!$B$6)),1,0))</f>
        <v>0</v>
      </c>
      <c r="AN122" s="30" t="n">
        <f aca="false">IF(AM122=1,0,AP121)</f>
        <v>0</v>
      </c>
      <c r="AO122" s="30" t="n">
        <f aca="false">IF(W122="",0,IF(AND(AN122=0,ABS(W122)&gt;Inputs!$B$5,ABS(W122)&lt;=Inputs!$B$7,W122&gt;0),1,0))</f>
        <v>0</v>
      </c>
      <c r="AP122" s="30" t="n">
        <f aca="false">IF(W122="",0,IF(AO122=1,-SIGN(W122),AN122))</f>
        <v>0</v>
      </c>
      <c r="AQ122" s="30" t="n">
        <f aca="false">IF(W122="",0,IF(AO122=1,0,IF(AM122=1,0,AL122)))</f>
        <v>0</v>
      </c>
      <c r="AR122" s="30" t="n">
        <f aca="false">IF(AP122=0,0,IF(AP121=AP122,AR121,T122))</f>
        <v>0</v>
      </c>
      <c r="AS122" s="30" t="n">
        <f aca="false">AP122-AP121</f>
        <v>0</v>
      </c>
      <c r="AT122" s="30" t="n">
        <f aca="false">-AR122*AP122</f>
        <v>-0</v>
      </c>
      <c r="AU122" s="30" t="n">
        <f aca="false">AT122-AT121</f>
        <v>0</v>
      </c>
      <c r="AV122" s="30" t="n">
        <f aca="false">MAX(AS122,0)*(Inputs!$B$17+Inputs!$B$18+Inputs!$B$19)+MAX(-AS122,0)*(O122+Inputs!$B$18+Inputs!$B$19)+IF(AND(K122=1,AP122&lt;&gt;0),(Inputs!$B$17+Inputs!$B$18+Inputs!$B$19)+(O122+Inputs!$B$18+Inputs!$B$19),0)+MAX(AU122,0)*(Inputs!$B$20+Inputs!$B$22+Inputs!$B$23)+MAX(-AU122,0)*(Inputs!$B$21+Inputs!$B$22+Inputs!$B$23)</f>
        <v>0</v>
      </c>
      <c r="AW122" s="30" t="n">
        <f aca="false">AP121*(M122-AR121*J122)+AP121*AR121*N122/Inputs!$B$16-AV122</f>
        <v>0</v>
      </c>
      <c r="AX122" s="30" t="n">
        <f aca="false">AW122-IF(AP121&lt;&gt;0,0.75*AR121*(Inputs!$B$13-N122)/Inputs!$B$16,0)</f>
        <v>0</v>
      </c>
      <c r="AY122" s="30" t="n">
        <f aca="false">MAX(AS122,0)*(Inputs!$B$17+Inputs!$B$18+Inputs!$B$19)+MAX(-AS122,0)*(O122+Inputs!$B$18+Inputs!$B$19)+IF(AND(K122=1,AP122&lt;&gt;0),(Inputs!$B$17+Inputs!$B$18+Inputs!$B$19)+(O122+Inputs!$B$18+Inputs!$B$19),0)</f>
        <v>0</v>
      </c>
      <c r="AZ122" s="30" t="n">
        <f aca="false">AP121*M122-AY122</f>
        <v>-0</v>
      </c>
      <c r="BA122" s="32" t="n">
        <f aca="false">BA121+AI122</f>
        <v>-0.00554439001051976</v>
      </c>
      <c r="BB122" s="30" t="n">
        <f aca="false">MAX(BB121,BA122)</f>
        <v>0</v>
      </c>
      <c r="BC122" s="32" t="n">
        <f aca="false">BA122-BB122</f>
        <v>-0.00554439001051976</v>
      </c>
      <c r="BD122" s="30" t="n">
        <f aca="false">A123-A122</f>
        <v>1</v>
      </c>
    </row>
    <row r="123" customFormat="false" ht="15" hidden="false" customHeight="false" outlineLevel="0" collapsed="false">
      <c r="A123" s="28" t="n">
        <v>45218</v>
      </c>
      <c r="B123" s="0" t="n">
        <v>19620.8</v>
      </c>
      <c r="C123" s="0" t="n">
        <v>216.65</v>
      </c>
      <c r="D123" s="29" t="n">
        <f aca="false">LN(B123)</f>
        <v>9.88434550700776</v>
      </c>
      <c r="E123" s="29" t="n">
        <f aca="false">LN(C123)</f>
        <v>5.37828314818592</v>
      </c>
      <c r="F123" s="0" t="n">
        <v>118</v>
      </c>
      <c r="G123" s="0" t="n">
        <v>7</v>
      </c>
      <c r="H123" s="29" t="n">
        <f aca="false">D123-E123</f>
        <v>4.50606235882184</v>
      </c>
      <c r="I123" s="29" t="n">
        <f aca="false">D123-D122</f>
        <v>-0.00230357078817356</v>
      </c>
      <c r="J123" s="29" t="n">
        <f aca="false">E123-E122</f>
        <v>-0.00207492869832748</v>
      </c>
      <c r="K123" s="0" t="n">
        <v>0</v>
      </c>
      <c r="L123" s="0" t="n">
        <v>0</v>
      </c>
      <c r="M123" s="29" t="n">
        <f aca="false">IF(L123=1,J123-Carry!$B$9/Inputs!$B$16,I123)</f>
        <v>-0.00230357078817356</v>
      </c>
      <c r="N123" s="0" t="n">
        <v>0.065</v>
      </c>
      <c r="O123" s="0" t="n">
        <v>0.000125</v>
      </c>
      <c r="P123" s="29" t="n">
        <f aca="false">D123-('2 Hedge ratio'!$B$6+'2 Hedge ratio'!$B$5*E123)</f>
        <v>-0.00466368519924387</v>
      </c>
      <c r="Q123" s="29" t="n">
        <f aca="false">D123-('5 Re-specification'!$B$7+'5 Re-specification'!$B$5*E123+'5 Re-specification'!$B$6*F123)</f>
        <v>-0.00353811539608451</v>
      </c>
      <c r="R123" s="30" t="n">
        <f aca="false">MIN(F123,Inputs!$B$9)</f>
        <v>118</v>
      </c>
      <c r="S123" s="29" t="n">
        <f aca="true">IF(AND(F123&gt;=1,R123&gt;=Inputs!$B$10),INDEX(LINEST(OFFSET(D123,-R123,0,R123,1),OFFSET(E123,-R123,0,R123,2)),1,1),"")</f>
        <v>-0.00010911727730204</v>
      </c>
      <c r="T123" s="29" t="n">
        <f aca="true">IF(AND(F123&gt;=1,R123&gt;=Inputs!$B$10),INDEX(LINEST(OFFSET(D123,-R123,0,R123,1),OFFSET(E123,-R123,0,R123,2)),1,2),"")</f>
        <v>1.01569239806032</v>
      </c>
      <c r="U123" s="29" t="n">
        <f aca="true">IF(AND(F123&gt;=1,R123&gt;=Inputs!$B$10),INDEX(LINEST(OFFSET(D123,-R123,0,R123,1),OFFSET(E123,-R123,0,R123,2)),1,3),"")</f>
        <v>4.43424908008513</v>
      </c>
      <c r="V123" s="29" t="n">
        <f aca="true">IF(AND(F123&gt;=1,R123&gt;=Inputs!$B$10),SQRT(SUMPRODUCT((OFFSET(D123,-R123,0,R123,1)-U123-T123*OFFSET(E123,-R123,0,R123,1)-S123*OFFSET(F123,-R123,0,R123,1))^2)/(R123-3)),"")</f>
        <v>0.00201245241069862</v>
      </c>
      <c r="W123" s="31" t="n">
        <f aca="false">IF(AND(F123&gt;=1,R123&gt;=Inputs!$B$10),(D123-U123-T123*E123-S123*F123)/V123,"")</f>
        <v>0.144578532338104</v>
      </c>
      <c r="X123" s="30" t="n">
        <f aca="false">IF(AB122&lt;&gt;0,AC122+1,0)</f>
        <v>0</v>
      </c>
      <c r="Y123" s="30" t="n">
        <f aca="false">IF(W123="",0,IF(AND(AB122&lt;&gt;0,OR(ABS(W123)&gt;Inputs!$B$7,X123&gt;=Inputs!$B$8,ABS(W123)&lt;Inputs!$B$6)),1,0))</f>
        <v>0</v>
      </c>
      <c r="Z123" s="30" t="n">
        <f aca="false">IF(Y123=1,0,AB122)</f>
        <v>0</v>
      </c>
      <c r="AA123" s="30" t="n">
        <f aca="false">IF(W123="",0,IF(AND(Z123=0,ABS(W123)&gt;Inputs!$B$5,ABS(W123)&lt;=Inputs!$B$7),1,0))</f>
        <v>0</v>
      </c>
      <c r="AB123" s="30" t="n">
        <f aca="false">IF(W123="",0,IF(AA123=1,-SIGN(W123),Z123))</f>
        <v>0</v>
      </c>
      <c r="AC123" s="30" t="n">
        <f aca="false">IF(W123="",0,IF(AA123=1,0,IF(Y123=1,0,X123)))</f>
        <v>0</v>
      </c>
      <c r="AD123" s="30" t="n">
        <f aca="false">IF(AB123=0,0,IF(AB122=AB123,AD122,T123))</f>
        <v>0</v>
      </c>
      <c r="AE123" s="30" t="n">
        <f aca="false">AB123-AB122</f>
        <v>0</v>
      </c>
      <c r="AF123" s="30" t="n">
        <f aca="false">-AD123*AB123</f>
        <v>-0</v>
      </c>
      <c r="AG123" s="30" t="n">
        <f aca="false">AF123-AF122</f>
        <v>0</v>
      </c>
      <c r="AH123" s="30" t="n">
        <f aca="false">MAX(AE123,0)*(Inputs!$B$17+Inputs!$B$18+Inputs!$B$19)+MAX(-AE123,0)*(O123+Inputs!$B$18+Inputs!$B$19)+IF(AND(K123=1,AB123&lt;&gt;0),(Inputs!$B$17+Inputs!$B$18+Inputs!$B$19)+(O123+Inputs!$B$18+Inputs!$B$19),0)+MAX(AG123,0)*(Inputs!$B$20+Inputs!$B$22+Inputs!$B$23)+MAX(-AG123,0)*(Inputs!$B$21+Inputs!$B$22+Inputs!$B$23)</f>
        <v>0</v>
      </c>
      <c r="AI123" s="30" t="n">
        <f aca="false">AB122*(M123-AD122*J123)+AB122*AD122*N123/Inputs!$B$16-AH123</f>
        <v>0</v>
      </c>
      <c r="AJ123" s="30" t="n">
        <f aca="false">MAX(AE123,0)*(Inputs!$B$17+Inputs!$B$24+Inputs!$B$25)+MAX(-AE123,0)*(O123+Inputs!$B$24+Inputs!$B$25)+IF(AND(K123=1,AB123&lt;&gt;0),(Inputs!$B$17+Inputs!$B$24+Inputs!$B$25)+(O123+Inputs!$B$24+Inputs!$B$25),0)+MAX(AG123,0)*(Inputs!$B$20+Inputs!$B$26+Inputs!$B$27)+MAX(-AG123,0)*(Inputs!$B$21+Inputs!$B$26+Inputs!$B$27)</f>
        <v>0</v>
      </c>
      <c r="AK123" s="30" t="n">
        <f aca="false">AB122*(M123-AD122*J123)+AB122*AD122*(N123+Inputs!$B$14)/Inputs!$B$16-AJ123</f>
        <v>0</v>
      </c>
      <c r="AL123" s="30" t="n">
        <f aca="false">IF(AP122&lt;&gt;0,AQ122+1,0)</f>
        <v>0</v>
      </c>
      <c r="AM123" s="30" t="n">
        <f aca="false">IF(W123="",0,IF(AND(AP122&lt;&gt;0,OR(ABS(W123)&gt;Inputs!$B$7,AL123&gt;=Inputs!$B$8,ABS(W123)&lt;Inputs!$B$6)),1,0))</f>
        <v>0</v>
      </c>
      <c r="AN123" s="30" t="n">
        <f aca="false">IF(AM123=1,0,AP122)</f>
        <v>0</v>
      </c>
      <c r="AO123" s="30" t="n">
        <f aca="false">IF(W123="",0,IF(AND(AN123=0,ABS(W123)&gt;Inputs!$B$5,ABS(W123)&lt;=Inputs!$B$7,W123&gt;0),1,0))</f>
        <v>0</v>
      </c>
      <c r="AP123" s="30" t="n">
        <f aca="false">IF(W123="",0,IF(AO123=1,-SIGN(W123),AN123))</f>
        <v>0</v>
      </c>
      <c r="AQ123" s="30" t="n">
        <f aca="false">IF(W123="",0,IF(AO123=1,0,IF(AM123=1,0,AL123)))</f>
        <v>0</v>
      </c>
      <c r="AR123" s="30" t="n">
        <f aca="false">IF(AP123=0,0,IF(AP122=AP123,AR122,T123))</f>
        <v>0</v>
      </c>
      <c r="AS123" s="30" t="n">
        <f aca="false">AP123-AP122</f>
        <v>0</v>
      </c>
      <c r="AT123" s="30" t="n">
        <f aca="false">-AR123*AP123</f>
        <v>-0</v>
      </c>
      <c r="AU123" s="30" t="n">
        <f aca="false">AT123-AT122</f>
        <v>0</v>
      </c>
      <c r="AV123" s="30" t="n">
        <f aca="false">MAX(AS123,0)*(Inputs!$B$17+Inputs!$B$18+Inputs!$B$19)+MAX(-AS123,0)*(O123+Inputs!$B$18+Inputs!$B$19)+IF(AND(K123=1,AP123&lt;&gt;0),(Inputs!$B$17+Inputs!$B$18+Inputs!$B$19)+(O123+Inputs!$B$18+Inputs!$B$19),0)+MAX(AU123,0)*(Inputs!$B$20+Inputs!$B$22+Inputs!$B$23)+MAX(-AU123,0)*(Inputs!$B$21+Inputs!$B$22+Inputs!$B$23)</f>
        <v>0</v>
      </c>
      <c r="AW123" s="30" t="n">
        <f aca="false">AP122*(M123-AR122*J123)+AP122*AR122*N123/Inputs!$B$16-AV123</f>
        <v>0</v>
      </c>
      <c r="AX123" s="30" t="n">
        <f aca="false">AW123-IF(AP122&lt;&gt;0,0.75*AR122*(Inputs!$B$13-N123)/Inputs!$B$16,0)</f>
        <v>0</v>
      </c>
      <c r="AY123" s="30" t="n">
        <f aca="false">MAX(AS123,0)*(Inputs!$B$17+Inputs!$B$18+Inputs!$B$19)+MAX(-AS123,0)*(O123+Inputs!$B$18+Inputs!$B$19)+IF(AND(K123=1,AP123&lt;&gt;0),(Inputs!$B$17+Inputs!$B$18+Inputs!$B$19)+(O123+Inputs!$B$18+Inputs!$B$19),0)</f>
        <v>0</v>
      </c>
      <c r="AZ123" s="30" t="n">
        <f aca="false">AP122*M123-AY123</f>
        <v>-0</v>
      </c>
      <c r="BA123" s="32" t="n">
        <f aca="false">BA122+AI123</f>
        <v>-0.00554439001051976</v>
      </c>
      <c r="BB123" s="30" t="n">
        <f aca="false">MAX(BB122,BA123)</f>
        <v>0</v>
      </c>
      <c r="BC123" s="32" t="n">
        <f aca="false">BA123-BB123</f>
        <v>-0.00554439001051976</v>
      </c>
      <c r="BD123" s="30" t="n">
        <f aca="false">A124-A123</f>
        <v>1</v>
      </c>
    </row>
    <row r="124" customFormat="false" ht="15" hidden="false" customHeight="false" outlineLevel="0" collapsed="false">
      <c r="A124" s="28" t="n">
        <v>45219</v>
      </c>
      <c r="B124" s="0" t="n">
        <v>19523.3</v>
      </c>
      <c r="C124" s="0" t="n">
        <v>216.01</v>
      </c>
      <c r="D124" s="29" t="n">
        <f aca="false">LN(B124)</f>
        <v>9.87936390305555</v>
      </c>
      <c r="E124" s="29" t="n">
        <f aca="false">LN(C124)</f>
        <v>5.37532470290882</v>
      </c>
      <c r="F124" s="0" t="n">
        <v>119</v>
      </c>
      <c r="G124" s="0" t="n">
        <v>6</v>
      </c>
      <c r="H124" s="29" t="n">
        <f aca="false">D124-E124</f>
        <v>4.50403920014672</v>
      </c>
      <c r="I124" s="29" t="n">
        <f aca="false">D124-D123</f>
        <v>-0.00498160395221703</v>
      </c>
      <c r="J124" s="29" t="n">
        <f aca="false">E124-E123</f>
        <v>-0.00295844527709743</v>
      </c>
      <c r="K124" s="0" t="n">
        <v>0</v>
      </c>
      <c r="L124" s="0" t="n">
        <v>0</v>
      </c>
      <c r="M124" s="29" t="n">
        <f aca="false">IF(L124=1,J124-Carry!$B$9/Inputs!$B$16,I124)</f>
        <v>-0.00498160395221703</v>
      </c>
      <c r="N124" s="0" t="n">
        <v>0.065</v>
      </c>
      <c r="O124" s="0" t="n">
        <v>0.000125</v>
      </c>
      <c r="P124" s="29" t="n">
        <f aca="false">D124-('2 Hedge ratio'!$B$6+'2 Hedge ratio'!$B$5*E124)</f>
        <v>-0.00693497826734557</v>
      </c>
      <c r="Q124" s="29" t="n">
        <f aca="false">D124-('5 Re-specification'!$B$7+'5 Re-specification'!$B$5*E124+'5 Re-specification'!$B$6*F124)</f>
        <v>-0.00552531032158399</v>
      </c>
      <c r="R124" s="30" t="n">
        <f aca="false">MIN(F124,Inputs!$B$9)</f>
        <v>119</v>
      </c>
      <c r="S124" s="29" t="n">
        <f aca="true">IF(AND(F124&gt;=1,R124&gt;=Inputs!$B$10),INDEX(LINEST(OFFSET(D124,-R124,0,R124,1),OFFSET(E124,-R124,0,R124,2)),1,1),"")</f>
        <v>-0.000108772649990644</v>
      </c>
      <c r="T124" s="29" t="n">
        <f aca="true">IF(AND(F124&gt;=1,R124&gt;=Inputs!$B$10),INDEX(LINEST(OFFSET(D124,-R124,0,R124,1),OFFSET(E124,-R124,0,R124,2)),1,2),"")</f>
        <v>1.01542807675635</v>
      </c>
      <c r="U124" s="29" t="n">
        <f aca="true">IF(AND(F124&gt;=1,R124&gt;=Inputs!$B$10),INDEX(LINEST(OFFSET(D124,-R124,0,R124,1),OFFSET(E124,-R124,0,R124,2)),1,3),"")</f>
        <v>4.43564617185789</v>
      </c>
      <c r="V124" s="29" t="n">
        <f aca="true">IF(AND(F124&gt;=1,R124&gt;=Inputs!$B$10),SQRT(SUMPRODUCT((OFFSET(D124,-R124,0,R124,1)-U124-T124*OFFSET(E124,-R124,0,R124,1)-S124*OFFSET(F124,-R124,0,R124,1))^2)/(R124-3)),"")</f>
        <v>0.00200393125396436</v>
      </c>
      <c r="W124" s="31" t="n">
        <f aca="false">IF(AND(F124&gt;=1,R124&gt;=Inputs!$B$10),(D124-U124-T124*E124-S124*F124)/V124,"")</f>
        <v>-0.795410753697233</v>
      </c>
      <c r="X124" s="30" t="n">
        <f aca="false">IF(AB123&lt;&gt;0,AC123+1,0)</f>
        <v>0</v>
      </c>
      <c r="Y124" s="30" t="n">
        <f aca="false">IF(W124="",0,IF(AND(AB123&lt;&gt;0,OR(ABS(W124)&gt;Inputs!$B$7,X124&gt;=Inputs!$B$8,ABS(W124)&lt;Inputs!$B$6)),1,0))</f>
        <v>0</v>
      </c>
      <c r="Z124" s="30" t="n">
        <f aca="false">IF(Y124=1,0,AB123)</f>
        <v>0</v>
      </c>
      <c r="AA124" s="30" t="n">
        <f aca="false">IF(W124="",0,IF(AND(Z124=0,ABS(W124)&gt;Inputs!$B$5,ABS(W124)&lt;=Inputs!$B$7),1,0))</f>
        <v>0</v>
      </c>
      <c r="AB124" s="30" t="n">
        <f aca="false">IF(W124="",0,IF(AA124=1,-SIGN(W124),Z124))</f>
        <v>0</v>
      </c>
      <c r="AC124" s="30" t="n">
        <f aca="false">IF(W124="",0,IF(AA124=1,0,IF(Y124=1,0,X124)))</f>
        <v>0</v>
      </c>
      <c r="AD124" s="30" t="n">
        <f aca="false">IF(AB124=0,0,IF(AB123=AB124,AD123,T124))</f>
        <v>0</v>
      </c>
      <c r="AE124" s="30" t="n">
        <f aca="false">AB124-AB123</f>
        <v>0</v>
      </c>
      <c r="AF124" s="30" t="n">
        <f aca="false">-AD124*AB124</f>
        <v>-0</v>
      </c>
      <c r="AG124" s="30" t="n">
        <f aca="false">AF124-AF123</f>
        <v>0</v>
      </c>
      <c r="AH124" s="30" t="n">
        <f aca="false">MAX(AE124,0)*(Inputs!$B$17+Inputs!$B$18+Inputs!$B$19)+MAX(-AE124,0)*(O124+Inputs!$B$18+Inputs!$B$19)+IF(AND(K124=1,AB124&lt;&gt;0),(Inputs!$B$17+Inputs!$B$18+Inputs!$B$19)+(O124+Inputs!$B$18+Inputs!$B$19),0)+MAX(AG124,0)*(Inputs!$B$20+Inputs!$B$22+Inputs!$B$23)+MAX(-AG124,0)*(Inputs!$B$21+Inputs!$B$22+Inputs!$B$23)</f>
        <v>0</v>
      </c>
      <c r="AI124" s="30" t="n">
        <f aca="false">AB123*(M124-AD123*J124)+AB123*AD123*N124/Inputs!$B$16-AH124</f>
        <v>0</v>
      </c>
      <c r="AJ124" s="30" t="n">
        <f aca="false">MAX(AE124,0)*(Inputs!$B$17+Inputs!$B$24+Inputs!$B$25)+MAX(-AE124,0)*(O124+Inputs!$B$24+Inputs!$B$25)+IF(AND(K124=1,AB124&lt;&gt;0),(Inputs!$B$17+Inputs!$B$24+Inputs!$B$25)+(O124+Inputs!$B$24+Inputs!$B$25),0)+MAX(AG124,0)*(Inputs!$B$20+Inputs!$B$26+Inputs!$B$27)+MAX(-AG124,0)*(Inputs!$B$21+Inputs!$B$26+Inputs!$B$27)</f>
        <v>0</v>
      </c>
      <c r="AK124" s="30" t="n">
        <f aca="false">AB123*(M124-AD123*J124)+AB123*AD123*(N124+Inputs!$B$14)/Inputs!$B$16-AJ124</f>
        <v>0</v>
      </c>
      <c r="AL124" s="30" t="n">
        <f aca="false">IF(AP123&lt;&gt;0,AQ123+1,0)</f>
        <v>0</v>
      </c>
      <c r="AM124" s="30" t="n">
        <f aca="false">IF(W124="",0,IF(AND(AP123&lt;&gt;0,OR(ABS(W124)&gt;Inputs!$B$7,AL124&gt;=Inputs!$B$8,ABS(W124)&lt;Inputs!$B$6)),1,0))</f>
        <v>0</v>
      </c>
      <c r="AN124" s="30" t="n">
        <f aca="false">IF(AM124=1,0,AP123)</f>
        <v>0</v>
      </c>
      <c r="AO124" s="30" t="n">
        <f aca="false">IF(W124="",0,IF(AND(AN124=0,ABS(W124)&gt;Inputs!$B$5,ABS(W124)&lt;=Inputs!$B$7,W124&gt;0),1,0))</f>
        <v>0</v>
      </c>
      <c r="AP124" s="30" t="n">
        <f aca="false">IF(W124="",0,IF(AO124=1,-SIGN(W124),AN124))</f>
        <v>0</v>
      </c>
      <c r="AQ124" s="30" t="n">
        <f aca="false">IF(W124="",0,IF(AO124=1,0,IF(AM124=1,0,AL124)))</f>
        <v>0</v>
      </c>
      <c r="AR124" s="30" t="n">
        <f aca="false">IF(AP124=0,0,IF(AP123=AP124,AR123,T124))</f>
        <v>0</v>
      </c>
      <c r="AS124" s="30" t="n">
        <f aca="false">AP124-AP123</f>
        <v>0</v>
      </c>
      <c r="AT124" s="30" t="n">
        <f aca="false">-AR124*AP124</f>
        <v>-0</v>
      </c>
      <c r="AU124" s="30" t="n">
        <f aca="false">AT124-AT123</f>
        <v>0</v>
      </c>
      <c r="AV124" s="30" t="n">
        <f aca="false">MAX(AS124,0)*(Inputs!$B$17+Inputs!$B$18+Inputs!$B$19)+MAX(-AS124,0)*(O124+Inputs!$B$18+Inputs!$B$19)+IF(AND(K124=1,AP124&lt;&gt;0),(Inputs!$B$17+Inputs!$B$18+Inputs!$B$19)+(O124+Inputs!$B$18+Inputs!$B$19),0)+MAX(AU124,0)*(Inputs!$B$20+Inputs!$B$22+Inputs!$B$23)+MAX(-AU124,0)*(Inputs!$B$21+Inputs!$B$22+Inputs!$B$23)</f>
        <v>0</v>
      </c>
      <c r="AW124" s="30" t="n">
        <f aca="false">AP123*(M124-AR123*J124)+AP123*AR123*N124/Inputs!$B$16-AV124</f>
        <v>0</v>
      </c>
      <c r="AX124" s="30" t="n">
        <f aca="false">AW124-IF(AP123&lt;&gt;0,0.75*AR123*(Inputs!$B$13-N124)/Inputs!$B$16,0)</f>
        <v>0</v>
      </c>
      <c r="AY124" s="30" t="n">
        <f aca="false">MAX(AS124,0)*(Inputs!$B$17+Inputs!$B$18+Inputs!$B$19)+MAX(-AS124,0)*(O124+Inputs!$B$18+Inputs!$B$19)+IF(AND(K124=1,AP124&lt;&gt;0),(Inputs!$B$17+Inputs!$B$18+Inputs!$B$19)+(O124+Inputs!$B$18+Inputs!$B$19),0)</f>
        <v>0</v>
      </c>
      <c r="AZ124" s="30" t="n">
        <f aca="false">AP123*M124-AY124</f>
        <v>-0</v>
      </c>
      <c r="BA124" s="32" t="n">
        <f aca="false">BA123+AI124</f>
        <v>-0.00554439001051976</v>
      </c>
      <c r="BB124" s="30" t="n">
        <f aca="false">MAX(BB123,BA124)</f>
        <v>0</v>
      </c>
      <c r="BC124" s="32" t="n">
        <f aca="false">BA124-BB124</f>
        <v>-0.00554439001051976</v>
      </c>
      <c r="BD124" s="30" t="n">
        <f aca="false">A125-A124</f>
        <v>3</v>
      </c>
    </row>
    <row r="125" customFormat="false" ht="15" hidden="false" customHeight="false" outlineLevel="0" collapsed="false">
      <c r="A125" s="28" t="n">
        <v>45222</v>
      </c>
      <c r="B125" s="0" t="n">
        <v>19262.9</v>
      </c>
      <c r="C125" s="0" t="n">
        <v>213.9</v>
      </c>
      <c r="D125" s="29" t="n">
        <f aca="false">LN(B125)</f>
        <v>9.8659362451493</v>
      </c>
      <c r="E125" s="29" t="n">
        <f aca="false">LN(C125)</f>
        <v>5.36550861608836</v>
      </c>
      <c r="F125" s="0" t="n">
        <v>120</v>
      </c>
      <c r="G125" s="0" t="n">
        <v>3</v>
      </c>
      <c r="H125" s="29" t="n">
        <f aca="false">D125-E125</f>
        <v>4.50042762906094</v>
      </c>
      <c r="I125" s="29" t="n">
        <f aca="false">D125-D124</f>
        <v>-0.0134276579062433</v>
      </c>
      <c r="J125" s="29" t="n">
        <f aca="false">E125-E124</f>
        <v>-0.00981608682046087</v>
      </c>
      <c r="K125" s="0" t="n">
        <v>0</v>
      </c>
      <c r="L125" s="0" t="n">
        <v>0</v>
      </c>
      <c r="M125" s="29" t="n">
        <f aca="false">IF(L125=1,J125-Carry!$B$9/Inputs!$B$16,I125)</f>
        <v>-0.0134276579062433</v>
      </c>
      <c r="N125" s="0" t="n">
        <v>0.065</v>
      </c>
      <c r="O125" s="0" t="n">
        <v>0.000125</v>
      </c>
      <c r="P125" s="29" t="n">
        <f aca="false">D125-('2 Hedge ratio'!$B$6+'2 Hedge ratio'!$B$5*E125)</f>
        <v>-0.0113698563662741</v>
      </c>
      <c r="Q125" s="29" t="n">
        <f aca="false">D125-('5 Re-specification'!$B$7+'5 Re-specification'!$B$5*E125+'5 Re-specification'!$B$6*F125)</f>
        <v>-0.00912169974058763</v>
      </c>
      <c r="R125" s="30" t="n">
        <f aca="false">MIN(F125,Inputs!$B$9)</f>
        <v>120</v>
      </c>
      <c r="S125" s="29" t="n">
        <f aca="true">IF(AND(F125&gt;=1,R125&gt;=Inputs!$B$10),INDEX(LINEST(OFFSET(D125,-R125,0,R125,1),OFFSET(E125,-R125,0,R125,2)),1,1),"")</f>
        <v>-0.00011073480355241</v>
      </c>
      <c r="T125" s="29" t="n">
        <f aca="true">IF(AND(F125&gt;=1,R125&gt;=Inputs!$B$10),INDEX(LINEST(OFFSET(D125,-R125,0,R125,1),OFFSET(E125,-R125,0,R125,2)),1,2),"")</f>
        <v>1.01699936809787</v>
      </c>
      <c r="U125" s="29" t="n">
        <f aca="true">IF(AND(F125&gt;=1,R125&gt;=Inputs!$B$10),INDEX(LINEST(OFFSET(D125,-R125,0,R125,1),OFFSET(E125,-R125,0,R125,2)),1,3),"")</f>
        <v>4.42733782239124</v>
      </c>
      <c r="V125" s="29" t="n">
        <f aca="true">IF(AND(F125&gt;=1,R125&gt;=Inputs!$B$10),SQRT(SUMPRODUCT((OFFSET(D125,-R125,0,R125,1)-U125-T125*OFFSET(E125,-R125,0,R125,1)-S125*OFFSET(F125,-R125,0,R125,1))^2)/(R125-3)),"")</f>
        <v>0.00200045745577408</v>
      </c>
      <c r="W125" s="31" t="n">
        <f aca="false">IF(AND(F125&gt;=1,R125&gt;=Inputs!$B$10),(D125-U125-T125*E125-S125*F125)/V125,"")</f>
        <v>-2.41558393917648</v>
      </c>
      <c r="X125" s="30" t="n">
        <f aca="false">IF(AB124&lt;&gt;0,AC124+1,0)</f>
        <v>0</v>
      </c>
      <c r="Y125" s="30" t="n">
        <f aca="false">IF(W125="",0,IF(AND(AB124&lt;&gt;0,OR(ABS(W125)&gt;Inputs!$B$7,X125&gt;=Inputs!$B$8,ABS(W125)&lt;Inputs!$B$6)),1,0))</f>
        <v>0</v>
      </c>
      <c r="Z125" s="30" t="n">
        <f aca="false">IF(Y125=1,0,AB124)</f>
        <v>0</v>
      </c>
      <c r="AA125" s="30" t="n">
        <f aca="false">IF(W125="",0,IF(AND(Z125=0,ABS(W125)&gt;Inputs!$B$5,ABS(W125)&lt;=Inputs!$B$7),1,0))</f>
        <v>1</v>
      </c>
      <c r="AB125" s="30" t="n">
        <f aca="false">IF(W125="",0,IF(AA125=1,-SIGN(W125),Z125))</f>
        <v>1</v>
      </c>
      <c r="AC125" s="30" t="n">
        <f aca="false">IF(W125="",0,IF(AA125=1,0,IF(Y125=1,0,X125)))</f>
        <v>0</v>
      </c>
      <c r="AD125" s="29" t="n">
        <f aca="false">IF(AB125=0,0,IF(AB124=AB125,AD124,T125))</f>
        <v>1.01699936809787</v>
      </c>
      <c r="AE125" s="30" t="n">
        <f aca="false">AB125-AB124</f>
        <v>1</v>
      </c>
      <c r="AF125" s="30" t="n">
        <f aca="false">-AD125*AB125</f>
        <v>-1.01699936809787</v>
      </c>
      <c r="AG125" s="30" t="n">
        <f aca="false">AF125-AF124</f>
        <v>-1.01699936809787</v>
      </c>
      <c r="AH125" s="30" t="n">
        <f aca="false">MAX(AE125,0)*(Inputs!$B$17+Inputs!$B$18+Inputs!$B$19)+MAX(-AE125,0)*(O125+Inputs!$B$18+Inputs!$B$19)+IF(AND(K125=1,AB125&lt;&gt;0),(Inputs!$B$17+Inputs!$B$18+Inputs!$B$19)+(O125+Inputs!$B$18+Inputs!$B$19),0)+MAX(AG125,0)*(Inputs!$B$20+Inputs!$B$22+Inputs!$B$23)+MAX(-AG125,0)*(Inputs!$B$21+Inputs!$B$22+Inputs!$B$23)</f>
        <v>0.000368569867300552</v>
      </c>
      <c r="AI125" s="30" t="n">
        <f aca="false">AB124*(M125-AD124*J125)+AB124*AD124*N125/Inputs!$B$16-AH125</f>
        <v>-0.000368569867300552</v>
      </c>
      <c r="AJ125" s="30" t="n">
        <f aca="false">MAX(AE125,0)*(Inputs!$B$17+Inputs!$B$24+Inputs!$B$25)+MAX(-AE125,0)*(O125+Inputs!$B$24+Inputs!$B$25)+IF(AND(K125=1,AB125&lt;&gt;0),(Inputs!$B$17+Inputs!$B$24+Inputs!$B$25)+(O125+Inputs!$B$24+Inputs!$B$25),0)+MAX(AG125,0)*(Inputs!$B$20+Inputs!$B$26+Inputs!$B$27)+MAX(-AG125,0)*(Inputs!$B$21+Inputs!$B$26+Inputs!$B$27)</f>
        <v>0.000206954927331255</v>
      </c>
      <c r="AK125" s="30" t="n">
        <f aca="false">AB124*(M125-AD124*J125)+AB124*AD124*(N125+Inputs!$B$14)/Inputs!$B$16-AJ125</f>
        <v>-0.000206954927331255</v>
      </c>
      <c r="AL125" s="30" t="n">
        <f aca="false">IF(AP124&lt;&gt;0,AQ124+1,0)</f>
        <v>0</v>
      </c>
      <c r="AM125" s="30" t="n">
        <f aca="false">IF(W125="",0,IF(AND(AP124&lt;&gt;0,OR(ABS(W125)&gt;Inputs!$B$7,AL125&gt;=Inputs!$B$8,ABS(W125)&lt;Inputs!$B$6)),1,0))</f>
        <v>0</v>
      </c>
      <c r="AN125" s="30" t="n">
        <f aca="false">IF(AM125=1,0,AP124)</f>
        <v>0</v>
      </c>
      <c r="AO125" s="30" t="n">
        <f aca="false">IF(W125="",0,IF(AND(AN125=0,ABS(W125)&gt;Inputs!$B$5,ABS(W125)&lt;=Inputs!$B$7,W125&gt;0),1,0))</f>
        <v>0</v>
      </c>
      <c r="AP125" s="30" t="n">
        <f aca="false">IF(W125="",0,IF(AO125=1,-SIGN(W125),AN125))</f>
        <v>0</v>
      </c>
      <c r="AQ125" s="30" t="n">
        <f aca="false">IF(W125="",0,IF(AO125=1,0,IF(AM125=1,0,AL125)))</f>
        <v>0</v>
      </c>
      <c r="AR125" s="30" t="n">
        <f aca="false">IF(AP125=0,0,IF(AP124=AP125,AR124,T125))</f>
        <v>0</v>
      </c>
      <c r="AS125" s="30" t="n">
        <f aca="false">AP125-AP124</f>
        <v>0</v>
      </c>
      <c r="AT125" s="30" t="n">
        <f aca="false">-AR125*AP125</f>
        <v>-0</v>
      </c>
      <c r="AU125" s="30" t="n">
        <f aca="false">AT125-AT124</f>
        <v>0</v>
      </c>
      <c r="AV125" s="30" t="n">
        <f aca="false">MAX(AS125,0)*(Inputs!$B$17+Inputs!$B$18+Inputs!$B$19)+MAX(-AS125,0)*(O125+Inputs!$B$18+Inputs!$B$19)+IF(AND(K125=1,AP125&lt;&gt;0),(Inputs!$B$17+Inputs!$B$18+Inputs!$B$19)+(O125+Inputs!$B$18+Inputs!$B$19),0)+MAX(AU125,0)*(Inputs!$B$20+Inputs!$B$22+Inputs!$B$23)+MAX(-AU125,0)*(Inputs!$B$21+Inputs!$B$22+Inputs!$B$23)</f>
        <v>0</v>
      </c>
      <c r="AW125" s="30" t="n">
        <f aca="false">AP124*(M125-AR124*J125)+AP124*AR124*N125/Inputs!$B$16-AV125</f>
        <v>0</v>
      </c>
      <c r="AX125" s="30" t="n">
        <f aca="false">AW125-IF(AP124&lt;&gt;0,0.75*AR124*(Inputs!$B$13-N125)/Inputs!$B$16,0)</f>
        <v>0</v>
      </c>
      <c r="AY125" s="30" t="n">
        <f aca="false">MAX(AS125,0)*(Inputs!$B$17+Inputs!$B$18+Inputs!$B$19)+MAX(-AS125,0)*(O125+Inputs!$B$18+Inputs!$B$19)+IF(AND(K125=1,AP125&lt;&gt;0),(Inputs!$B$17+Inputs!$B$18+Inputs!$B$19)+(O125+Inputs!$B$18+Inputs!$B$19),0)</f>
        <v>0</v>
      </c>
      <c r="AZ125" s="30" t="n">
        <f aca="false">AP124*M125-AY125</f>
        <v>-0</v>
      </c>
      <c r="BA125" s="32" t="n">
        <f aca="false">BA124+AI125</f>
        <v>-0.00591295987782032</v>
      </c>
      <c r="BB125" s="30" t="n">
        <f aca="false">MAX(BB124,BA125)</f>
        <v>0</v>
      </c>
      <c r="BC125" s="32" t="n">
        <f aca="false">BA125-BB125</f>
        <v>-0.00591295987782032</v>
      </c>
      <c r="BD125" s="30" t="n">
        <f aca="false">A126-A125</f>
        <v>2</v>
      </c>
    </row>
    <row r="126" customFormat="false" ht="15" hidden="false" customHeight="false" outlineLevel="0" collapsed="false">
      <c r="A126" s="28" t="n">
        <v>45224</v>
      </c>
      <c r="B126" s="0" t="n">
        <v>19129.8</v>
      </c>
      <c r="C126" s="0" t="n">
        <v>211.73</v>
      </c>
      <c r="D126" s="29" t="n">
        <f aca="false">LN(B126)</f>
        <v>9.85900260759658</v>
      </c>
      <c r="E126" s="29" t="n">
        <f aca="false">LN(C126)</f>
        <v>5.35531187806785</v>
      </c>
      <c r="F126" s="0" t="n">
        <v>121</v>
      </c>
      <c r="G126" s="0" t="n">
        <v>1</v>
      </c>
      <c r="H126" s="29" t="n">
        <f aca="false">D126-E126</f>
        <v>4.50369072952874</v>
      </c>
      <c r="I126" s="29" t="n">
        <f aca="false">D126-D125</f>
        <v>-0.00693363755271825</v>
      </c>
      <c r="J126" s="29" t="n">
        <f aca="false">E126-E125</f>
        <v>-0.0101967380205155</v>
      </c>
      <c r="K126" s="0" t="n">
        <v>0</v>
      </c>
      <c r="L126" s="0" t="n">
        <v>0</v>
      </c>
      <c r="M126" s="29" t="n">
        <f aca="false">IF(L126=1,J126-Carry!$B$9/Inputs!$B$16,I126)</f>
        <v>-0.00693363755271825</v>
      </c>
      <c r="N126" s="0" t="n">
        <v>0.065</v>
      </c>
      <c r="O126" s="0" t="n">
        <v>0.000125</v>
      </c>
      <c r="P126" s="29" t="n">
        <f aca="false">D126-('2 Hedge ratio'!$B$6+'2 Hedge ratio'!$B$5*E126)</f>
        <v>-0.00896198936137083</v>
      </c>
      <c r="Q126" s="29" t="n">
        <f aca="false">D126-('5 Re-specification'!$B$7+'5 Re-specification'!$B$5*E126+'5 Re-specification'!$B$6*F126)</f>
        <v>-0.00584457116948123</v>
      </c>
      <c r="R126" s="30" t="n">
        <f aca="false">MIN(F126,Inputs!$B$9)</f>
        <v>121</v>
      </c>
      <c r="S126" s="29" t="n">
        <f aca="true">IF(AND(F126&gt;=1,R126&gt;=Inputs!$B$10),INDEX(LINEST(OFFSET(D126,-R126,0,R126,1),OFFSET(E126,-R126,0,R126,2)),1,1),"")</f>
        <v>-0.000117653761448463</v>
      </c>
      <c r="T126" s="29" t="n">
        <f aca="true">IF(AND(F126&gt;=1,R126&gt;=Inputs!$B$10),INDEX(LINEST(OFFSET(D126,-R126,0,R126,1),OFFSET(E126,-R126,0,R126,2)),1,2),"")</f>
        <v>1.023085879396</v>
      </c>
      <c r="U126" s="29" t="n">
        <f aca="true">IF(AND(F126&gt;=1,R126&gt;=Inputs!$B$10),INDEX(LINEST(OFFSET(D126,-R126,0,R126,1),OFFSET(E126,-R126,0,R126,2)),1,3),"")</f>
        <v>4.39512864061125</v>
      </c>
      <c r="V126" s="29" t="n">
        <f aca="true">IF(AND(F126&gt;=1,R126&gt;=Inputs!$B$10),SQRT(SUMPRODUCT((OFFSET(D126,-R126,0,R126,1)-U126-T126*OFFSET(E126,-R126,0,R126,1)-S126*OFFSET(F126,-R126,0,R126,1))^2)/(R126-3)),"")</f>
        <v>0.00203719220526287</v>
      </c>
      <c r="W126" s="31" t="n">
        <f aca="false">IF(AND(F126&gt;=1,R126&gt;=Inputs!$B$10),(D126-U126-T126*E126-S126*F126)/V126,"")</f>
        <v>-0.409333046785935</v>
      </c>
      <c r="X126" s="30" t="n">
        <f aca="false">IF(AB125&lt;&gt;0,AC125+1,0)</f>
        <v>1</v>
      </c>
      <c r="Y126" s="30" t="n">
        <f aca="false">IF(W126="",0,IF(AND(AB125&lt;&gt;0,OR(ABS(W126)&gt;Inputs!$B$7,X126&gt;=Inputs!$B$8,ABS(W126)&lt;Inputs!$B$6)),1,0))</f>
        <v>1</v>
      </c>
      <c r="Z126" s="30" t="n">
        <f aca="false">IF(Y126=1,0,AB125)</f>
        <v>0</v>
      </c>
      <c r="AA126" s="30" t="n">
        <f aca="false">IF(W126="",0,IF(AND(Z126=0,ABS(W126)&gt;Inputs!$B$5,ABS(W126)&lt;=Inputs!$B$7),1,0))</f>
        <v>0</v>
      </c>
      <c r="AB126" s="30" t="n">
        <f aca="false">IF(W126="",0,IF(AA126=1,-SIGN(W126),Z126))</f>
        <v>0</v>
      </c>
      <c r="AC126" s="30" t="n">
        <f aca="false">IF(W126="",0,IF(AA126=1,0,IF(Y126=1,0,X126)))</f>
        <v>0</v>
      </c>
      <c r="AD126" s="30" t="n">
        <f aca="false">IF(AB126=0,0,IF(AB125=AB126,AD125,T126))</f>
        <v>0</v>
      </c>
      <c r="AE126" s="30" t="n">
        <f aca="false">AB126-AB125</f>
        <v>-1</v>
      </c>
      <c r="AF126" s="30" t="n">
        <f aca="false">-AD126*AB126</f>
        <v>-0</v>
      </c>
      <c r="AG126" s="30" t="n">
        <f aca="false">AF126-AF125</f>
        <v>1.01699936809787</v>
      </c>
      <c r="AH126" s="30" t="n">
        <f aca="false">MAX(AE126,0)*(Inputs!$B$17+Inputs!$B$18+Inputs!$B$19)+MAX(-AE126,0)*(O126+Inputs!$B$18+Inputs!$B$19)+IF(AND(K126=1,AB126&lt;&gt;0),(Inputs!$B$17+Inputs!$B$18+Inputs!$B$19)+(O126+Inputs!$B$18+Inputs!$B$19),0)+MAX(AG126,0)*(Inputs!$B$20+Inputs!$B$22+Inputs!$B$23)+MAX(-AG126,0)*(Inputs!$B$21+Inputs!$B$22+Inputs!$B$23)</f>
        <v>0.000615949778834254</v>
      </c>
      <c r="AI126" s="30" t="n">
        <f aca="false">AB125*(M126-AD125*J126)+AB125*AD125*N126/Inputs!$B$16-AH126</f>
        <v>0.00308281005755202</v>
      </c>
      <c r="AJ126" s="30" t="n">
        <f aca="false">MAX(AE126,0)*(Inputs!$B$17+Inputs!$B$24+Inputs!$B$25)+MAX(-AE126,0)*(O126+Inputs!$B$24+Inputs!$B$25)+IF(AND(K126=1,AB126&lt;&gt;0),(Inputs!$B$17+Inputs!$B$24+Inputs!$B$25)+(O126+Inputs!$B$24+Inputs!$B$25),0)+MAX(AG126,0)*(Inputs!$B$20+Inputs!$B$26+Inputs!$B$27)+MAX(-AG126,0)*(Inputs!$B$21+Inputs!$B$26+Inputs!$B$27)</f>
        <v>0.000454334838864956</v>
      </c>
      <c r="AK126" s="30" t="n">
        <f aca="false">AB125*(M126-AD125*J126)+AB125*AD125*(N126+Inputs!$B$14)/Inputs!$B$16-AJ126</f>
        <v>0.00327469283585756</v>
      </c>
      <c r="AL126" s="30" t="n">
        <f aca="false">IF(AP125&lt;&gt;0,AQ125+1,0)</f>
        <v>0</v>
      </c>
      <c r="AM126" s="30" t="n">
        <f aca="false">IF(W126="",0,IF(AND(AP125&lt;&gt;0,OR(ABS(W126)&gt;Inputs!$B$7,AL126&gt;=Inputs!$B$8,ABS(W126)&lt;Inputs!$B$6)),1,0))</f>
        <v>0</v>
      </c>
      <c r="AN126" s="30" t="n">
        <f aca="false">IF(AM126=1,0,AP125)</f>
        <v>0</v>
      </c>
      <c r="AO126" s="30" t="n">
        <f aca="false">IF(W126="",0,IF(AND(AN126=0,ABS(W126)&gt;Inputs!$B$5,ABS(W126)&lt;=Inputs!$B$7,W126&gt;0),1,0))</f>
        <v>0</v>
      </c>
      <c r="AP126" s="30" t="n">
        <f aca="false">IF(W126="",0,IF(AO126=1,-SIGN(W126),AN126))</f>
        <v>0</v>
      </c>
      <c r="AQ126" s="30" t="n">
        <f aca="false">IF(W126="",0,IF(AO126=1,0,IF(AM126=1,0,AL126)))</f>
        <v>0</v>
      </c>
      <c r="AR126" s="30" t="n">
        <f aca="false">IF(AP126=0,0,IF(AP125=AP126,AR125,T126))</f>
        <v>0</v>
      </c>
      <c r="AS126" s="30" t="n">
        <f aca="false">AP126-AP125</f>
        <v>0</v>
      </c>
      <c r="AT126" s="30" t="n">
        <f aca="false">-AR126*AP126</f>
        <v>-0</v>
      </c>
      <c r="AU126" s="30" t="n">
        <f aca="false">AT126-AT125</f>
        <v>0</v>
      </c>
      <c r="AV126" s="30" t="n">
        <f aca="false">MAX(AS126,0)*(Inputs!$B$17+Inputs!$B$18+Inputs!$B$19)+MAX(-AS126,0)*(O126+Inputs!$B$18+Inputs!$B$19)+IF(AND(K126=1,AP126&lt;&gt;0),(Inputs!$B$17+Inputs!$B$18+Inputs!$B$19)+(O126+Inputs!$B$18+Inputs!$B$19),0)+MAX(AU126,0)*(Inputs!$B$20+Inputs!$B$22+Inputs!$B$23)+MAX(-AU126,0)*(Inputs!$B$21+Inputs!$B$22+Inputs!$B$23)</f>
        <v>0</v>
      </c>
      <c r="AW126" s="30" t="n">
        <f aca="false">AP125*(M126-AR125*J126)+AP125*AR125*N126/Inputs!$B$16-AV126</f>
        <v>0</v>
      </c>
      <c r="AX126" s="30" t="n">
        <f aca="false">AW126-IF(AP125&lt;&gt;0,0.75*AR125*(Inputs!$B$13-N126)/Inputs!$B$16,0)</f>
        <v>0</v>
      </c>
      <c r="AY126" s="30" t="n">
        <f aca="false">MAX(AS126,0)*(Inputs!$B$17+Inputs!$B$18+Inputs!$B$19)+MAX(-AS126,0)*(O126+Inputs!$B$18+Inputs!$B$19)+IF(AND(K126=1,AP126&lt;&gt;0),(Inputs!$B$17+Inputs!$B$18+Inputs!$B$19)+(O126+Inputs!$B$18+Inputs!$B$19),0)</f>
        <v>0</v>
      </c>
      <c r="AZ126" s="30" t="n">
        <f aca="false">AP125*M126-AY126</f>
        <v>-0</v>
      </c>
      <c r="BA126" s="32" t="n">
        <f aca="false">BA125+AI126</f>
        <v>-0.0028301498202683</v>
      </c>
      <c r="BB126" s="30" t="n">
        <f aca="false">MAX(BB125,BA126)</f>
        <v>0</v>
      </c>
      <c r="BC126" s="32" t="n">
        <f aca="false">BA126-BB126</f>
        <v>-0.0028301498202683</v>
      </c>
      <c r="BD126" s="30" t="n">
        <f aca="false">A127-A126</f>
        <v>1</v>
      </c>
    </row>
    <row r="127" customFormat="false" ht="15" hidden="false" customHeight="false" outlineLevel="0" collapsed="false">
      <c r="A127" s="28" t="n">
        <v>45225</v>
      </c>
      <c r="B127" s="0" t="n">
        <v>18859</v>
      </c>
      <c r="C127" s="0" t="n">
        <v>208.8</v>
      </c>
      <c r="D127" s="29" t="n">
        <f aca="false">LN(B127)</f>
        <v>9.84474553251237</v>
      </c>
      <c r="E127" s="29" t="n">
        <f aca="false">LN(C127)</f>
        <v>5.34137685600848</v>
      </c>
      <c r="F127" s="0" t="n">
        <v>122</v>
      </c>
      <c r="G127" s="0" t="n">
        <v>0</v>
      </c>
      <c r="H127" s="29" t="n">
        <f aca="false">D127-E127</f>
        <v>4.50336867650388</v>
      </c>
      <c r="I127" s="29" t="n">
        <f aca="false">D127-D126</f>
        <v>-0.0142570750842186</v>
      </c>
      <c r="J127" s="29" t="n">
        <f aca="false">E127-E126</f>
        <v>-0.0139350220593606</v>
      </c>
      <c r="K127" s="0" t="n">
        <v>1</v>
      </c>
      <c r="L127" s="0" t="n">
        <v>0</v>
      </c>
      <c r="M127" s="29" t="n">
        <f aca="false">IF(L127=1,J127-Carry!$B$9/Inputs!$B$16,I127)</f>
        <v>-0.0142570750842186</v>
      </c>
      <c r="N127" s="0" t="n">
        <v>0.065</v>
      </c>
      <c r="O127" s="0" t="n">
        <v>0.000125</v>
      </c>
      <c r="P127" s="29" t="n">
        <f aca="false">D127-('2 Hedge ratio'!$B$6+'2 Hedge ratio'!$B$5*E127)</f>
        <v>-0.0104528178463159</v>
      </c>
      <c r="Q127" s="29" t="n">
        <f aca="false">D127-('5 Re-specification'!$B$7+'5 Re-specification'!$B$5*E127+'5 Re-specification'!$B$6*F127)</f>
        <v>-0.00616392496088913</v>
      </c>
      <c r="R127" s="30" t="n">
        <f aca="false">MIN(F127,Inputs!$B$9)</f>
        <v>122</v>
      </c>
      <c r="S127" s="29" t="n">
        <f aca="true">IF(AND(F127&gt;=1,R127&gt;=Inputs!$B$10),INDEX(LINEST(OFFSET(D127,-R127,0,R127,1),OFFSET(E127,-R127,0,R127,2)),1,1),"")</f>
        <v>-0.00011896239901654</v>
      </c>
      <c r="T127" s="29" t="n">
        <f aca="true">IF(AND(F127&gt;=1,R127&gt;=Inputs!$B$10),INDEX(LINEST(OFFSET(D127,-R127,0,R127,1),OFFSET(E127,-R127,0,R127,2)),1,2),"")</f>
        <v>1.02431267391697</v>
      </c>
      <c r="U127" s="29" t="n">
        <f aca="true">IF(AND(F127&gt;=1,R127&gt;=Inputs!$B$10),INDEX(LINEST(OFFSET(D127,-R127,0,R127,1),OFFSET(E127,-R127,0,R127,2)),1,3),"")</f>
        <v>4.38863326637848</v>
      </c>
      <c r="V127" s="29" t="n">
        <f aca="true">IF(AND(F127&gt;=1,R127&gt;=Inputs!$B$10),SQRT(SUMPRODUCT((OFFSET(D127,-R127,0,R127,1)-U127-T127*OFFSET(E127,-R127,0,R127,1)-S127*OFFSET(F127,-R127,0,R127,1))^2)/(R127-3)),"")</f>
        <v>0.00202990953729652</v>
      </c>
      <c r="W127" s="31" t="n">
        <f aca="false">IF(AND(F127&gt;=1,R127&gt;=Inputs!$B$10),(D127-U127-T127*E127-S127*F127)/V127,"")</f>
        <v>-0.302639576328932</v>
      </c>
      <c r="X127" s="30" t="n">
        <f aca="false">IF(AB126&lt;&gt;0,AC126+1,0)</f>
        <v>0</v>
      </c>
      <c r="Y127" s="30" t="n">
        <f aca="false">IF(W127="",0,IF(AND(AB126&lt;&gt;0,OR(ABS(W127)&gt;Inputs!$B$7,X127&gt;=Inputs!$B$8,ABS(W127)&lt;Inputs!$B$6)),1,0))</f>
        <v>0</v>
      </c>
      <c r="Z127" s="30" t="n">
        <f aca="false">IF(Y127=1,0,AB126)</f>
        <v>0</v>
      </c>
      <c r="AA127" s="30" t="n">
        <f aca="false">IF(W127="",0,IF(AND(Z127=0,ABS(W127)&gt;Inputs!$B$5,ABS(W127)&lt;=Inputs!$B$7),1,0))</f>
        <v>0</v>
      </c>
      <c r="AB127" s="30" t="n">
        <f aca="false">IF(W127="",0,IF(AA127=1,-SIGN(W127),Z127))</f>
        <v>0</v>
      </c>
      <c r="AC127" s="30" t="n">
        <f aca="false">IF(W127="",0,IF(AA127=1,0,IF(Y127=1,0,X127)))</f>
        <v>0</v>
      </c>
      <c r="AD127" s="30" t="n">
        <f aca="false">IF(AB127=0,0,IF(AB126=AB127,AD126,T127))</f>
        <v>0</v>
      </c>
      <c r="AE127" s="30" t="n">
        <f aca="false">AB127-AB126</f>
        <v>0</v>
      </c>
      <c r="AF127" s="30" t="n">
        <f aca="false">-AD127*AB127</f>
        <v>-0</v>
      </c>
      <c r="AG127" s="30" t="n">
        <f aca="false">AF127-AF126</f>
        <v>0</v>
      </c>
      <c r="AH127" s="30" t="n">
        <f aca="false">MAX(AE127,0)*(Inputs!$B$17+Inputs!$B$18+Inputs!$B$19)+MAX(-AE127,0)*(O127+Inputs!$B$18+Inputs!$B$19)+IF(AND(K127=1,AB127&lt;&gt;0),(Inputs!$B$17+Inputs!$B$18+Inputs!$B$19)+(O127+Inputs!$B$18+Inputs!$B$19),0)+MAX(AG127,0)*(Inputs!$B$20+Inputs!$B$22+Inputs!$B$23)+MAX(-AG127,0)*(Inputs!$B$21+Inputs!$B$22+Inputs!$B$23)</f>
        <v>0</v>
      </c>
      <c r="AI127" s="30" t="n">
        <f aca="false">AB126*(M127-AD126*J127)+AB126*AD126*N127/Inputs!$B$16-AH127</f>
        <v>0</v>
      </c>
      <c r="AJ127" s="30" t="n">
        <f aca="false">MAX(AE127,0)*(Inputs!$B$17+Inputs!$B$24+Inputs!$B$25)+MAX(-AE127,0)*(O127+Inputs!$B$24+Inputs!$B$25)+IF(AND(K127=1,AB127&lt;&gt;0),(Inputs!$B$17+Inputs!$B$24+Inputs!$B$25)+(O127+Inputs!$B$24+Inputs!$B$25),0)+MAX(AG127,0)*(Inputs!$B$20+Inputs!$B$26+Inputs!$B$27)+MAX(-AG127,0)*(Inputs!$B$21+Inputs!$B$26+Inputs!$B$27)</f>
        <v>0</v>
      </c>
      <c r="AK127" s="30" t="n">
        <f aca="false">AB126*(M127-AD126*J127)+AB126*AD126*(N127+Inputs!$B$14)/Inputs!$B$16-AJ127</f>
        <v>0</v>
      </c>
      <c r="AL127" s="30" t="n">
        <f aca="false">IF(AP126&lt;&gt;0,AQ126+1,0)</f>
        <v>0</v>
      </c>
      <c r="AM127" s="30" t="n">
        <f aca="false">IF(W127="",0,IF(AND(AP126&lt;&gt;0,OR(ABS(W127)&gt;Inputs!$B$7,AL127&gt;=Inputs!$B$8,ABS(W127)&lt;Inputs!$B$6)),1,0))</f>
        <v>0</v>
      </c>
      <c r="AN127" s="30" t="n">
        <f aca="false">IF(AM127=1,0,AP126)</f>
        <v>0</v>
      </c>
      <c r="AO127" s="30" t="n">
        <f aca="false">IF(W127="",0,IF(AND(AN127=0,ABS(W127)&gt;Inputs!$B$5,ABS(W127)&lt;=Inputs!$B$7,W127&gt;0),1,0))</f>
        <v>0</v>
      </c>
      <c r="AP127" s="30" t="n">
        <f aca="false">IF(W127="",0,IF(AO127=1,-SIGN(W127),AN127))</f>
        <v>0</v>
      </c>
      <c r="AQ127" s="30" t="n">
        <f aca="false">IF(W127="",0,IF(AO127=1,0,IF(AM127=1,0,AL127)))</f>
        <v>0</v>
      </c>
      <c r="AR127" s="30" t="n">
        <f aca="false">IF(AP127=0,0,IF(AP126=AP127,AR126,T127))</f>
        <v>0</v>
      </c>
      <c r="AS127" s="30" t="n">
        <f aca="false">AP127-AP126</f>
        <v>0</v>
      </c>
      <c r="AT127" s="30" t="n">
        <f aca="false">-AR127*AP127</f>
        <v>-0</v>
      </c>
      <c r="AU127" s="30" t="n">
        <f aca="false">AT127-AT126</f>
        <v>0</v>
      </c>
      <c r="AV127" s="30" t="n">
        <f aca="false">MAX(AS127,0)*(Inputs!$B$17+Inputs!$B$18+Inputs!$B$19)+MAX(-AS127,0)*(O127+Inputs!$B$18+Inputs!$B$19)+IF(AND(K127=1,AP127&lt;&gt;0),(Inputs!$B$17+Inputs!$B$18+Inputs!$B$19)+(O127+Inputs!$B$18+Inputs!$B$19),0)+MAX(AU127,0)*(Inputs!$B$20+Inputs!$B$22+Inputs!$B$23)+MAX(-AU127,0)*(Inputs!$B$21+Inputs!$B$22+Inputs!$B$23)</f>
        <v>0</v>
      </c>
      <c r="AW127" s="30" t="n">
        <f aca="false">AP126*(M127-AR126*J127)+AP126*AR126*N127/Inputs!$B$16-AV127</f>
        <v>0</v>
      </c>
      <c r="AX127" s="30" t="n">
        <f aca="false">AW127-IF(AP126&lt;&gt;0,0.75*AR126*(Inputs!$B$13-N127)/Inputs!$B$16,0)</f>
        <v>0</v>
      </c>
      <c r="AY127" s="30" t="n">
        <f aca="false">MAX(AS127,0)*(Inputs!$B$17+Inputs!$B$18+Inputs!$B$19)+MAX(-AS127,0)*(O127+Inputs!$B$18+Inputs!$B$19)+IF(AND(K127=1,AP127&lt;&gt;0),(Inputs!$B$17+Inputs!$B$18+Inputs!$B$19)+(O127+Inputs!$B$18+Inputs!$B$19),0)</f>
        <v>0</v>
      </c>
      <c r="AZ127" s="30" t="n">
        <f aca="false">AP126*M127-AY127</f>
        <v>-0</v>
      </c>
      <c r="BA127" s="32" t="n">
        <f aca="false">BA126+AI127</f>
        <v>-0.0028301498202683</v>
      </c>
      <c r="BB127" s="30" t="n">
        <f aca="false">MAX(BB126,BA127)</f>
        <v>0</v>
      </c>
      <c r="BC127" s="32" t="n">
        <f aca="false">BA127-BB127</f>
        <v>-0.0028301498202683</v>
      </c>
      <c r="BD127" s="30" t="n">
        <f aca="false">A128-A127</f>
        <v>1</v>
      </c>
    </row>
    <row r="128" customFormat="false" ht="15" hidden="false" customHeight="false" outlineLevel="0" collapsed="false">
      <c r="A128" s="28" t="n">
        <v>45226</v>
      </c>
      <c r="B128" s="0" t="n">
        <v>19146</v>
      </c>
      <c r="C128" s="0" t="n">
        <v>210.79</v>
      </c>
      <c r="D128" s="29" t="n">
        <f aca="false">LN(B128)</f>
        <v>9.8598490955063</v>
      </c>
      <c r="E128" s="29" t="n">
        <f aca="false">LN(C128)</f>
        <v>5.3508623772118</v>
      </c>
      <c r="F128" s="0" t="n">
        <v>123</v>
      </c>
      <c r="G128" s="0" t="n">
        <v>34</v>
      </c>
      <c r="H128" s="29" t="n">
        <f aca="false">D128-E128</f>
        <v>4.5089867182945</v>
      </c>
      <c r="I128" s="29" t="n">
        <f aca="false">D128-D127</f>
        <v>0.015103562993934</v>
      </c>
      <c r="J128" s="29" t="n">
        <f aca="false">E128-E127</f>
        <v>0.00948552120331936</v>
      </c>
      <c r="K128" s="0" t="n">
        <v>0</v>
      </c>
      <c r="L128" s="0" t="n">
        <v>1</v>
      </c>
      <c r="M128" s="29" t="n">
        <f aca="false">IF(L128=1,J128-Carry!$B$9/Inputs!$B$16,I128)</f>
        <v>0.00922606302159823</v>
      </c>
      <c r="N128" s="0" t="n">
        <v>0.065</v>
      </c>
      <c r="O128" s="0" t="n">
        <v>0.000125</v>
      </c>
      <c r="P128" s="29" t="n">
        <f aca="false">D128-('2 Hedge ratio'!$B$6+'2 Hedge ratio'!$B$5*E128)</f>
        <v>-0.00403919465214386</v>
      </c>
      <c r="Q128" s="29" t="n">
        <f aca="false">D128-('5 Re-specification'!$B$7+'5 Re-specification'!$B$5*E128+'5 Re-specification'!$B$6*F128)</f>
        <v>-0.00047220797996772</v>
      </c>
      <c r="R128" s="30" t="n">
        <f aca="false">MIN(F128,Inputs!$B$9)</f>
        <v>123</v>
      </c>
      <c r="S128" s="29" t="n">
        <f aca="true">IF(AND(F128&gt;=1,R128&gt;=Inputs!$B$10),INDEX(LINEST(OFFSET(D128,-R128,0,R128,1),OFFSET(E128,-R128,0,R128,2)),1,1),"")</f>
        <v>-0.000120001421667994</v>
      </c>
      <c r="T128" s="29" t="n">
        <f aca="true">IF(AND(F128&gt;=1,R128&gt;=Inputs!$B$10),INDEX(LINEST(OFFSET(D128,-R128,0,R128,1),OFFSET(E128,-R128,0,R128,2)),1,2),"")</f>
        <v>1.02534697626981</v>
      </c>
      <c r="U128" s="29" t="n">
        <f aca="true">IF(AND(F128&gt;=1,R128&gt;=Inputs!$B$10),INDEX(LINEST(OFFSET(D128,-R128,0,R128,1),OFFSET(E128,-R128,0,R128,2)),1,3),"")</f>
        <v>4.38315456032406</v>
      </c>
      <c r="V128" s="29" t="n">
        <f aca="true">IF(AND(F128&gt;=1,R128&gt;=Inputs!$B$10),SQRT(SUMPRODUCT((OFFSET(D128,-R128,0,R128,1)-U128-T128*OFFSET(E128,-R128,0,R128,1)-S128*OFFSET(F128,-R128,0,R128,1))^2)/(R128-3)),"")</f>
        <v>0.0020221092896917</v>
      </c>
      <c r="W128" s="31" t="n">
        <f aca="false">IF(AND(F128&gt;=1,R128&gt;=Inputs!$B$10),(D128-U128-T128*E128-S128*F128)/V128,"")</f>
        <v>2.45493711082306</v>
      </c>
      <c r="X128" s="30" t="n">
        <f aca="false">IF(AB127&lt;&gt;0,AC127+1,0)</f>
        <v>0</v>
      </c>
      <c r="Y128" s="30" t="n">
        <f aca="false">IF(W128="",0,IF(AND(AB127&lt;&gt;0,OR(ABS(W128)&gt;Inputs!$B$7,X128&gt;=Inputs!$B$8,ABS(W128)&lt;Inputs!$B$6)),1,0))</f>
        <v>0</v>
      </c>
      <c r="Z128" s="30" t="n">
        <f aca="false">IF(Y128=1,0,AB127)</f>
        <v>0</v>
      </c>
      <c r="AA128" s="30" t="n">
        <f aca="false">IF(W128="",0,IF(AND(Z128=0,ABS(W128)&gt;Inputs!$B$5,ABS(W128)&lt;=Inputs!$B$7),1,0))</f>
        <v>1</v>
      </c>
      <c r="AB128" s="30" t="n">
        <f aca="false">IF(W128="",0,IF(AA128=1,-SIGN(W128),Z128))</f>
        <v>-1</v>
      </c>
      <c r="AC128" s="30" t="n">
        <f aca="false">IF(W128="",0,IF(AA128=1,0,IF(Y128=1,0,X128)))</f>
        <v>0</v>
      </c>
      <c r="AD128" s="29" t="n">
        <f aca="false">IF(AB128=0,0,IF(AB127=AB128,AD127,T128))</f>
        <v>1.02534697626981</v>
      </c>
      <c r="AE128" s="30" t="n">
        <f aca="false">AB128-AB127</f>
        <v>-1</v>
      </c>
      <c r="AF128" s="30" t="n">
        <f aca="false">-AD128*AB128</f>
        <v>1.02534697626981</v>
      </c>
      <c r="AG128" s="30" t="n">
        <f aca="false">AF128-AF127</f>
        <v>1.02534697626981</v>
      </c>
      <c r="AH128" s="30" t="n">
        <f aca="false">MAX(AE128,0)*(Inputs!$B$17+Inputs!$B$18+Inputs!$B$19)+MAX(-AE128,0)*(O128+Inputs!$B$18+Inputs!$B$19)+IF(AND(K128=1,AB128&lt;&gt;0),(Inputs!$B$17+Inputs!$B$18+Inputs!$B$19)+(O128+Inputs!$B$18+Inputs!$B$19),0)+MAX(AG128,0)*(Inputs!$B$20+Inputs!$B$22+Inputs!$B$23)+MAX(-AG128,0)*(Inputs!$B$21+Inputs!$B$22+Inputs!$B$23)</f>
        <v>0.000618871441694433</v>
      </c>
      <c r="AI128" s="30" t="n">
        <f aca="false">AB127*(M128-AD127*J128)+AB127*AD127*N128/Inputs!$B$16-AH128</f>
        <v>-0.000618871441694433</v>
      </c>
      <c r="AJ128" s="30" t="n">
        <f aca="false">MAX(AE128,0)*(Inputs!$B$17+Inputs!$B$24+Inputs!$B$25)+MAX(-AE128,0)*(O128+Inputs!$B$24+Inputs!$B$25)+IF(AND(K128=1,AB128&lt;&gt;0),(Inputs!$B$17+Inputs!$B$24+Inputs!$B$25)+(O128+Inputs!$B$24+Inputs!$B$25),0)+MAX(AG128,0)*(Inputs!$B$20+Inputs!$B$26+Inputs!$B$27)+MAX(-AG128,0)*(Inputs!$B$21+Inputs!$B$26+Inputs!$B$27)</f>
        <v>0.000456463478948801</v>
      </c>
      <c r="AK128" s="30" t="n">
        <f aca="false">AB127*(M128-AD127*J128)+AB127*AD127*(N128+Inputs!$B$14)/Inputs!$B$16-AJ128</f>
        <v>-0.000456463478948801</v>
      </c>
      <c r="AL128" s="30" t="n">
        <f aca="false">IF(AP127&lt;&gt;0,AQ127+1,0)</f>
        <v>0</v>
      </c>
      <c r="AM128" s="30" t="n">
        <f aca="false">IF(W128="",0,IF(AND(AP127&lt;&gt;0,OR(ABS(W128)&gt;Inputs!$B$7,AL128&gt;=Inputs!$B$8,ABS(W128)&lt;Inputs!$B$6)),1,0))</f>
        <v>0</v>
      </c>
      <c r="AN128" s="30" t="n">
        <f aca="false">IF(AM128=1,0,AP127)</f>
        <v>0</v>
      </c>
      <c r="AO128" s="30" t="n">
        <f aca="false">IF(W128="",0,IF(AND(AN128=0,ABS(W128)&gt;Inputs!$B$5,ABS(W128)&lt;=Inputs!$B$7,W128&gt;0),1,0))</f>
        <v>1</v>
      </c>
      <c r="AP128" s="30" t="n">
        <f aca="false">IF(W128="",0,IF(AO128=1,-SIGN(W128),AN128))</f>
        <v>-1</v>
      </c>
      <c r="AQ128" s="30" t="n">
        <f aca="false">IF(W128="",0,IF(AO128=1,0,IF(AM128=1,0,AL128)))</f>
        <v>0</v>
      </c>
      <c r="AR128" s="29" t="n">
        <f aca="false">IF(AP128=0,0,IF(AP127=AP128,AR127,T128))</f>
        <v>1.02534697626981</v>
      </c>
      <c r="AS128" s="30" t="n">
        <f aca="false">AP128-AP127</f>
        <v>-1</v>
      </c>
      <c r="AT128" s="30" t="n">
        <f aca="false">-AR128*AP128</f>
        <v>1.02534697626981</v>
      </c>
      <c r="AU128" s="30" t="n">
        <f aca="false">AT128-AT127</f>
        <v>1.02534697626981</v>
      </c>
      <c r="AV128" s="30" t="n">
        <f aca="false">MAX(AS128,0)*(Inputs!$B$17+Inputs!$B$18+Inputs!$B$19)+MAX(-AS128,0)*(O128+Inputs!$B$18+Inputs!$B$19)+IF(AND(K128=1,AP128&lt;&gt;0),(Inputs!$B$17+Inputs!$B$18+Inputs!$B$19)+(O128+Inputs!$B$18+Inputs!$B$19),0)+MAX(AU128,0)*(Inputs!$B$20+Inputs!$B$22+Inputs!$B$23)+MAX(-AU128,0)*(Inputs!$B$21+Inputs!$B$22+Inputs!$B$23)</f>
        <v>0.000618871441694433</v>
      </c>
      <c r="AW128" s="30" t="n">
        <f aca="false">AP127*(M128-AR127*J128)+AP127*AR127*N128/Inputs!$B$16-AV128</f>
        <v>-0.000618871441694433</v>
      </c>
      <c r="AX128" s="30" t="n">
        <f aca="false">AW128-IF(AP127&lt;&gt;0,0.75*AR127*(Inputs!$B$13-N128)/Inputs!$B$16,0)</f>
        <v>-0.000618871441694433</v>
      </c>
      <c r="AY128" s="30" t="n">
        <f aca="false">MAX(AS128,0)*(Inputs!$B$17+Inputs!$B$18+Inputs!$B$19)+MAX(-AS128,0)*(O128+Inputs!$B$18+Inputs!$B$19)+IF(AND(K128=1,AP128&lt;&gt;0),(Inputs!$B$17+Inputs!$B$18+Inputs!$B$19)+(O128+Inputs!$B$18+Inputs!$B$19),0)</f>
        <v>0.00026</v>
      </c>
      <c r="AZ128" s="30" t="n">
        <f aca="false">AP127*M128-AY128</f>
        <v>-0.00026</v>
      </c>
      <c r="BA128" s="32" t="n">
        <f aca="false">BA127+AI128</f>
        <v>-0.00344902126196273</v>
      </c>
      <c r="BB128" s="30" t="n">
        <f aca="false">MAX(BB127,BA128)</f>
        <v>0</v>
      </c>
      <c r="BC128" s="32" t="n">
        <f aca="false">BA128-BB128</f>
        <v>-0.00344902126196273</v>
      </c>
      <c r="BD128" s="30" t="n">
        <f aca="false">A129-A128</f>
        <v>3</v>
      </c>
    </row>
    <row r="129" customFormat="false" ht="15" hidden="false" customHeight="false" outlineLevel="0" collapsed="false">
      <c r="A129" s="28" t="n">
        <v>45229</v>
      </c>
      <c r="B129" s="0" t="n">
        <v>19234</v>
      </c>
      <c r="C129" s="0" t="n">
        <v>211.8</v>
      </c>
      <c r="D129" s="29" t="n">
        <f aca="false">LN(B129)</f>
        <v>9.86443482527243</v>
      </c>
      <c r="E129" s="29" t="n">
        <f aca="false">LN(C129)</f>
        <v>5.35564243316731</v>
      </c>
      <c r="F129" s="0" t="n">
        <v>124</v>
      </c>
      <c r="G129" s="0" t="n">
        <v>31</v>
      </c>
      <c r="H129" s="29" t="n">
        <f aca="false">D129-E129</f>
        <v>4.50879239210512</v>
      </c>
      <c r="I129" s="29" t="n">
        <f aca="false">D129-D128</f>
        <v>0.00458572976612892</v>
      </c>
      <c r="J129" s="29" t="n">
        <f aca="false">E129-E128</f>
        <v>0.00478005595550268</v>
      </c>
      <c r="K129" s="0" t="n">
        <v>0</v>
      </c>
      <c r="L129" s="0" t="n">
        <v>0</v>
      </c>
      <c r="M129" s="29" t="n">
        <f aca="false">IF(L129=1,J129-Carry!$B$9/Inputs!$B$16,I129)</f>
        <v>0.00458572976612892</v>
      </c>
      <c r="N129" s="0" t="n">
        <v>0.065</v>
      </c>
      <c r="O129" s="0" t="n">
        <v>0.000125</v>
      </c>
      <c r="P129" s="29" t="n">
        <f aca="false">D129-('2 Hedge ratio'!$B$6+'2 Hedge ratio'!$B$5*E129)</f>
        <v>-0.00383260205754787</v>
      </c>
      <c r="Q129" s="29" t="n">
        <f aca="false">D129-('5 Re-specification'!$B$7+'5 Re-specification'!$B$5*E129+'5 Re-specification'!$B$6*F129)</f>
        <v>-0.000607118891570835</v>
      </c>
      <c r="R129" s="30" t="n">
        <f aca="false">MIN(F129,Inputs!$B$9)</f>
        <v>124</v>
      </c>
      <c r="S129" s="29" t="n">
        <f aca="true">IF(AND(F129&gt;=1,R129&gt;=Inputs!$B$10),INDEX(LINEST(OFFSET(D129,-R129,0,R129,1),OFFSET(E129,-R129,0,R129,2)),1,1),"")</f>
        <v>-0.000113235590166534</v>
      </c>
      <c r="T129" s="29" t="n">
        <f aca="true">IF(AND(F129&gt;=1,R129&gt;=Inputs!$B$10),INDEX(LINEST(OFFSET(D129,-R129,0,R129,1),OFFSET(E129,-R129,0,R129,2)),1,2),"")</f>
        <v>1.01890005139362</v>
      </c>
      <c r="U129" s="29" t="n">
        <f aca="true">IF(AND(F129&gt;=1,R129&gt;=Inputs!$B$10),INDEX(LINEST(OFFSET(D129,-R129,0,R129,1),OFFSET(E129,-R129,0,R129,2)),1,3),"")</f>
        <v>4.41729168736315</v>
      </c>
      <c r="V129" s="29" t="n">
        <f aca="true">IF(AND(F129&gt;=1,R129&gt;=Inputs!$B$10),SQRT(SUMPRODUCT((OFFSET(D129,-R129,0,R129,1)-U129-T129*OFFSET(E129,-R129,0,R129,1)-S129*OFFSET(F129,-R129,0,R129,1))^2)/(R129-3)),"")</f>
        <v>0.00205898008466565</v>
      </c>
      <c r="W129" s="31" t="n">
        <f aca="false">IF(AND(F129&gt;=1,R129&gt;=Inputs!$B$10),(D129-U129-T129*E129-S129*F129)/V129,"")</f>
        <v>2.09812650548627</v>
      </c>
      <c r="X129" s="30" t="n">
        <f aca="false">IF(AB128&lt;&gt;0,AC128+1,0)</f>
        <v>1</v>
      </c>
      <c r="Y129" s="30" t="n">
        <f aca="false">IF(W129="",0,IF(AND(AB128&lt;&gt;0,OR(ABS(W129)&gt;Inputs!$B$7,X129&gt;=Inputs!$B$8,ABS(W129)&lt;Inputs!$B$6)),1,0))</f>
        <v>0</v>
      </c>
      <c r="Z129" s="30" t="n">
        <f aca="false">IF(Y129=1,0,AB128)</f>
        <v>-1</v>
      </c>
      <c r="AA129" s="30" t="n">
        <f aca="false">IF(W129="",0,IF(AND(Z129=0,ABS(W129)&gt;Inputs!$B$5,ABS(W129)&lt;=Inputs!$B$7),1,0))</f>
        <v>0</v>
      </c>
      <c r="AB129" s="30" t="n">
        <f aca="false">IF(W129="",0,IF(AA129=1,-SIGN(W129),Z129))</f>
        <v>-1</v>
      </c>
      <c r="AC129" s="30" t="n">
        <f aca="false">IF(W129="",0,IF(AA129=1,0,IF(Y129=1,0,X129)))</f>
        <v>1</v>
      </c>
      <c r="AD129" s="29" t="n">
        <f aca="false">IF(AB129=0,0,IF(AB128=AB129,AD128,T129))</f>
        <v>1.02534697626981</v>
      </c>
      <c r="AE129" s="30" t="n">
        <f aca="false">AB129-AB128</f>
        <v>0</v>
      </c>
      <c r="AF129" s="30" t="n">
        <f aca="false">-AD129*AB129</f>
        <v>1.02534697626981</v>
      </c>
      <c r="AG129" s="30" t="n">
        <f aca="false">AF129-AF128</f>
        <v>0</v>
      </c>
      <c r="AH129" s="30" t="n">
        <f aca="false">MAX(AE129,0)*(Inputs!$B$17+Inputs!$B$18+Inputs!$B$19)+MAX(-AE129,0)*(O129+Inputs!$B$18+Inputs!$B$19)+IF(AND(K129=1,AB129&lt;&gt;0),(Inputs!$B$17+Inputs!$B$18+Inputs!$B$19)+(O129+Inputs!$B$18+Inputs!$B$19),0)+MAX(AG129,0)*(Inputs!$B$20+Inputs!$B$22+Inputs!$B$23)+MAX(-AG129,0)*(Inputs!$B$21+Inputs!$B$22+Inputs!$B$23)</f>
        <v>0</v>
      </c>
      <c r="AI129" s="30" t="n">
        <f aca="false">AB128*(M129-AD128*J129)+AB128*AD128*N129/Inputs!$B$16-AH129</f>
        <v>5.10117357639535E-005</v>
      </c>
      <c r="AJ129" s="30" t="n">
        <f aca="false">MAX(AE129,0)*(Inputs!$B$17+Inputs!$B$24+Inputs!$B$25)+MAX(-AE129,0)*(O129+Inputs!$B$24+Inputs!$B$25)+IF(AND(K129=1,AB129&lt;&gt;0),(Inputs!$B$17+Inputs!$B$24+Inputs!$B$25)+(O129+Inputs!$B$24+Inputs!$B$25),0)+MAX(AG129,0)*(Inputs!$B$20+Inputs!$B$26+Inputs!$B$27)+MAX(-AG129,0)*(Inputs!$B$21+Inputs!$B$26+Inputs!$B$27)</f>
        <v>0</v>
      </c>
      <c r="AK129" s="30" t="n">
        <f aca="false">AB128*(M129-AD128*J129)+AB128*AD128*(N129+Inputs!$B$14)/Inputs!$B$16-AJ129</f>
        <v>2.04954567083043E-005</v>
      </c>
      <c r="AL129" s="30" t="n">
        <f aca="false">IF(AP128&lt;&gt;0,AQ128+1,0)</f>
        <v>1</v>
      </c>
      <c r="AM129" s="30" t="n">
        <f aca="false">IF(W129="",0,IF(AND(AP128&lt;&gt;0,OR(ABS(W129)&gt;Inputs!$B$7,AL129&gt;=Inputs!$B$8,ABS(W129)&lt;Inputs!$B$6)),1,0))</f>
        <v>0</v>
      </c>
      <c r="AN129" s="30" t="n">
        <f aca="false">IF(AM129=1,0,AP128)</f>
        <v>-1</v>
      </c>
      <c r="AO129" s="30" t="n">
        <f aca="false">IF(W129="",0,IF(AND(AN129=0,ABS(W129)&gt;Inputs!$B$5,ABS(W129)&lt;=Inputs!$B$7,W129&gt;0),1,0))</f>
        <v>0</v>
      </c>
      <c r="AP129" s="30" t="n">
        <f aca="false">IF(W129="",0,IF(AO129=1,-SIGN(W129),AN129))</f>
        <v>-1</v>
      </c>
      <c r="AQ129" s="30" t="n">
        <f aca="false">IF(W129="",0,IF(AO129=1,0,IF(AM129=1,0,AL129)))</f>
        <v>1</v>
      </c>
      <c r="AR129" s="29" t="n">
        <f aca="false">IF(AP129=0,0,IF(AP128=AP129,AR128,T129))</f>
        <v>1.02534697626981</v>
      </c>
      <c r="AS129" s="30" t="n">
        <f aca="false">AP129-AP128</f>
        <v>0</v>
      </c>
      <c r="AT129" s="30" t="n">
        <f aca="false">-AR129*AP129</f>
        <v>1.02534697626981</v>
      </c>
      <c r="AU129" s="30" t="n">
        <f aca="false">AT129-AT128</f>
        <v>0</v>
      </c>
      <c r="AV129" s="30" t="n">
        <f aca="false">MAX(AS129,0)*(Inputs!$B$17+Inputs!$B$18+Inputs!$B$19)+MAX(-AS129,0)*(O129+Inputs!$B$18+Inputs!$B$19)+IF(AND(K129=1,AP129&lt;&gt;0),(Inputs!$B$17+Inputs!$B$18+Inputs!$B$19)+(O129+Inputs!$B$18+Inputs!$B$19),0)+MAX(AU129,0)*(Inputs!$B$20+Inputs!$B$22+Inputs!$B$23)+MAX(-AU129,0)*(Inputs!$B$21+Inputs!$B$22+Inputs!$B$23)</f>
        <v>0</v>
      </c>
      <c r="AW129" s="30" t="n">
        <f aca="false">AP128*(M129-AR128*J129)+AP128*AR128*N129/Inputs!$B$16-AV129</f>
        <v>5.10117357639535E-005</v>
      </c>
      <c r="AX129" s="30" t="n">
        <f aca="false">AW129-IF(AP128&lt;&gt;0,0.75*AR128*(Inputs!$B$13-N129)/Inputs!$B$16,0)</f>
        <v>-0.000177860357153415</v>
      </c>
      <c r="AY129" s="30" t="n">
        <f aca="false">MAX(AS129,0)*(Inputs!$B$17+Inputs!$B$18+Inputs!$B$19)+MAX(-AS129,0)*(O129+Inputs!$B$18+Inputs!$B$19)+IF(AND(K129=1,AP129&lt;&gt;0),(Inputs!$B$17+Inputs!$B$18+Inputs!$B$19)+(O129+Inputs!$B$18+Inputs!$B$19),0)</f>
        <v>0</v>
      </c>
      <c r="AZ129" s="30" t="n">
        <f aca="false">AP128*M129-AY129</f>
        <v>-0.00458572976612892</v>
      </c>
      <c r="BA129" s="32" t="n">
        <f aca="false">BA128+AI129</f>
        <v>-0.00339800952619878</v>
      </c>
      <c r="BB129" s="30" t="n">
        <f aca="false">MAX(BB128,BA129)</f>
        <v>0</v>
      </c>
      <c r="BC129" s="32" t="n">
        <f aca="false">BA129-BB129</f>
        <v>-0.00339800952619878</v>
      </c>
      <c r="BD129" s="30" t="n">
        <f aca="false">A130-A129</f>
        <v>1</v>
      </c>
    </row>
    <row r="130" customFormat="false" ht="15" hidden="false" customHeight="false" outlineLevel="0" collapsed="false">
      <c r="A130" s="28" t="n">
        <v>45230</v>
      </c>
      <c r="B130" s="0" t="n">
        <v>19165</v>
      </c>
      <c r="C130" s="0" t="n">
        <v>211.1</v>
      </c>
      <c r="D130" s="29" t="n">
        <f aca="false">LN(B130)</f>
        <v>9.86084097781466</v>
      </c>
      <c r="E130" s="29" t="n">
        <f aca="false">LN(C130)</f>
        <v>5.35233195485428</v>
      </c>
      <c r="F130" s="0" t="n">
        <v>125</v>
      </c>
      <c r="G130" s="0" t="n">
        <v>30</v>
      </c>
      <c r="H130" s="29" t="n">
        <f aca="false">D130-E130</f>
        <v>4.50850902296038</v>
      </c>
      <c r="I130" s="29" t="n">
        <f aca="false">D130-D129</f>
        <v>-0.00359384745777192</v>
      </c>
      <c r="J130" s="29" t="n">
        <f aca="false">E130-E129</f>
        <v>-0.00331047831303088</v>
      </c>
      <c r="K130" s="0" t="n">
        <v>0</v>
      </c>
      <c r="L130" s="0" t="n">
        <v>0</v>
      </c>
      <c r="M130" s="29" t="n">
        <f aca="false">IF(L130=1,J130-Carry!$B$9/Inputs!$B$16,I130)</f>
        <v>-0.00359384745777192</v>
      </c>
      <c r="N130" s="0" t="n">
        <v>0.065</v>
      </c>
      <c r="O130" s="0" t="n">
        <v>0.000125</v>
      </c>
      <c r="P130" s="29" t="n">
        <f aca="false">D130-('2 Hedge ratio'!$B$6+'2 Hedge ratio'!$B$5*E130)</f>
        <v>-0.00439363174684537</v>
      </c>
      <c r="Q130" s="29" t="n">
        <f aca="false">D130-('5 Re-specification'!$B$7+'5 Re-specification'!$B$5*E130+'5 Re-specification'!$B$6*F130)</f>
        <v>-0.000855591122814303</v>
      </c>
      <c r="R130" s="30" t="n">
        <f aca="false">MIN(F130,Inputs!$B$9)</f>
        <v>125</v>
      </c>
      <c r="S130" s="29" t="n">
        <f aca="true">IF(AND(F130&gt;=1,R130&gt;=Inputs!$B$10),INDEX(LINEST(OFFSET(D130,-R130,0,R130,1),OFFSET(E130,-R130,0,R130,2)),1,1),"")</f>
        <v>-0.000108109366181774</v>
      </c>
      <c r="T130" s="29" t="n">
        <f aca="true">IF(AND(F130&gt;=1,R130&gt;=Inputs!$B$10),INDEX(LINEST(OFFSET(D130,-R130,0,R130,1),OFFSET(E130,-R130,0,R130,2)),1,2),"")</f>
        <v>1.0141604813988</v>
      </c>
      <c r="U130" s="29" t="n">
        <f aca="true">IF(AND(F130&gt;=1,R130&gt;=Inputs!$B$10),INDEX(LINEST(OFFSET(D130,-R130,0,R130,1),OFFSET(E130,-R130,0,R130,2)),1,3),"")</f>
        <v>4.44238148429108</v>
      </c>
      <c r="V130" s="29" t="n">
        <f aca="true">IF(AND(F130&gt;=1,R130&gt;=Inputs!$B$10),SQRT(SUMPRODUCT((OFFSET(D130,-R130,0,R130,1)-U130-T130*OFFSET(E130,-R130,0,R130,1)-S130*OFFSET(F130,-R130,0,R130,1))^2)/(R130-3)),"")</f>
        <v>0.00208458867905153</v>
      </c>
      <c r="W130" s="31" t="n">
        <f aca="false">IF(AND(F130&gt;=1,R130&gt;=Inputs!$B$10),(D130-U130-T130*E130-S130*F130)/V130,"")</f>
        <v>1.84670117120574</v>
      </c>
      <c r="X130" s="30" t="n">
        <f aca="false">IF(AB129&lt;&gt;0,AC129+1,0)</f>
        <v>2</v>
      </c>
      <c r="Y130" s="30" t="n">
        <f aca="false">IF(W130="",0,IF(AND(AB129&lt;&gt;0,OR(ABS(W130)&gt;Inputs!$B$7,X130&gt;=Inputs!$B$8,ABS(W130)&lt;Inputs!$B$6)),1,0))</f>
        <v>0</v>
      </c>
      <c r="Z130" s="30" t="n">
        <f aca="false">IF(Y130=1,0,AB129)</f>
        <v>-1</v>
      </c>
      <c r="AA130" s="30" t="n">
        <f aca="false">IF(W130="",0,IF(AND(Z130=0,ABS(W130)&gt;Inputs!$B$5,ABS(W130)&lt;=Inputs!$B$7),1,0))</f>
        <v>0</v>
      </c>
      <c r="AB130" s="30" t="n">
        <f aca="false">IF(W130="",0,IF(AA130=1,-SIGN(W130),Z130))</f>
        <v>-1</v>
      </c>
      <c r="AC130" s="30" t="n">
        <f aca="false">IF(W130="",0,IF(AA130=1,0,IF(Y130=1,0,X130)))</f>
        <v>2</v>
      </c>
      <c r="AD130" s="29" t="n">
        <f aca="false">IF(AB130=0,0,IF(AB129=AB130,AD129,T130))</f>
        <v>1.02534697626981</v>
      </c>
      <c r="AE130" s="30" t="n">
        <f aca="false">AB130-AB129</f>
        <v>0</v>
      </c>
      <c r="AF130" s="30" t="n">
        <f aca="false">-AD130*AB130</f>
        <v>1.02534697626981</v>
      </c>
      <c r="AG130" s="30" t="n">
        <f aca="false">AF130-AF129</f>
        <v>0</v>
      </c>
      <c r="AH130" s="30" t="n">
        <f aca="false">MAX(AE130,0)*(Inputs!$B$17+Inputs!$B$18+Inputs!$B$19)+MAX(-AE130,0)*(O130+Inputs!$B$18+Inputs!$B$19)+IF(AND(K130=1,AB130&lt;&gt;0),(Inputs!$B$17+Inputs!$B$18+Inputs!$B$19)+(O130+Inputs!$B$18+Inputs!$B$19),0)+MAX(AG130,0)*(Inputs!$B$20+Inputs!$B$22+Inputs!$B$23)+MAX(-AG130,0)*(Inputs!$B$21+Inputs!$B$22+Inputs!$B$23)</f>
        <v>0</v>
      </c>
      <c r="AI130" s="30" t="n">
        <f aca="false">AB129*(M130-AD129*J130)+AB129*AD129*N130/Inputs!$B$16-AH130</f>
        <v>-6.50158889833715E-005</v>
      </c>
      <c r="AJ130" s="30" t="n">
        <f aca="false">MAX(AE130,0)*(Inputs!$B$17+Inputs!$B$24+Inputs!$B$25)+MAX(-AE130,0)*(O130+Inputs!$B$24+Inputs!$B$25)+IF(AND(K130=1,AB130&lt;&gt;0),(Inputs!$B$17+Inputs!$B$24+Inputs!$B$25)+(O130+Inputs!$B$24+Inputs!$B$25),0)+MAX(AG130,0)*(Inputs!$B$20+Inputs!$B$26+Inputs!$B$27)+MAX(-AG130,0)*(Inputs!$B$21+Inputs!$B$26+Inputs!$B$27)</f>
        <v>0</v>
      </c>
      <c r="AK130" s="30" t="n">
        <f aca="false">AB129*(M130-AD129*J130)+AB129*AD129*(N130+Inputs!$B$14)/Inputs!$B$16-AJ130</f>
        <v>-9.55321680390206E-005</v>
      </c>
      <c r="AL130" s="30" t="n">
        <f aca="false">IF(AP129&lt;&gt;0,AQ129+1,0)</f>
        <v>2</v>
      </c>
      <c r="AM130" s="30" t="n">
        <f aca="false">IF(W130="",0,IF(AND(AP129&lt;&gt;0,OR(ABS(W130)&gt;Inputs!$B$7,AL130&gt;=Inputs!$B$8,ABS(W130)&lt;Inputs!$B$6)),1,0))</f>
        <v>0</v>
      </c>
      <c r="AN130" s="30" t="n">
        <f aca="false">IF(AM130=1,0,AP129)</f>
        <v>-1</v>
      </c>
      <c r="AO130" s="30" t="n">
        <f aca="false">IF(W130="",0,IF(AND(AN130=0,ABS(W130)&gt;Inputs!$B$5,ABS(W130)&lt;=Inputs!$B$7,W130&gt;0),1,0))</f>
        <v>0</v>
      </c>
      <c r="AP130" s="30" t="n">
        <f aca="false">IF(W130="",0,IF(AO130=1,-SIGN(W130),AN130))</f>
        <v>-1</v>
      </c>
      <c r="AQ130" s="30" t="n">
        <f aca="false">IF(W130="",0,IF(AO130=1,0,IF(AM130=1,0,AL130)))</f>
        <v>2</v>
      </c>
      <c r="AR130" s="29" t="n">
        <f aca="false">IF(AP130=0,0,IF(AP129=AP130,AR129,T130))</f>
        <v>1.02534697626981</v>
      </c>
      <c r="AS130" s="30" t="n">
        <f aca="false">AP130-AP129</f>
        <v>0</v>
      </c>
      <c r="AT130" s="30" t="n">
        <f aca="false">-AR130*AP130</f>
        <v>1.02534697626981</v>
      </c>
      <c r="AU130" s="30" t="n">
        <f aca="false">AT130-AT129</f>
        <v>0</v>
      </c>
      <c r="AV130" s="30" t="n">
        <f aca="false">MAX(AS130,0)*(Inputs!$B$17+Inputs!$B$18+Inputs!$B$19)+MAX(-AS130,0)*(O130+Inputs!$B$18+Inputs!$B$19)+IF(AND(K130=1,AP130&lt;&gt;0),(Inputs!$B$17+Inputs!$B$18+Inputs!$B$19)+(O130+Inputs!$B$18+Inputs!$B$19),0)+MAX(AU130,0)*(Inputs!$B$20+Inputs!$B$22+Inputs!$B$23)+MAX(-AU130,0)*(Inputs!$B$21+Inputs!$B$22+Inputs!$B$23)</f>
        <v>0</v>
      </c>
      <c r="AW130" s="30" t="n">
        <f aca="false">AP129*(M130-AR129*J130)+AP129*AR129*N130/Inputs!$B$16-AV130</f>
        <v>-6.50158889833715E-005</v>
      </c>
      <c r="AX130" s="30" t="n">
        <f aca="false">AW130-IF(AP129&lt;&gt;0,0.75*AR129*(Inputs!$B$13-N130)/Inputs!$B$16,0)</f>
        <v>-0.00029388798190074</v>
      </c>
      <c r="AY130" s="30" t="n">
        <f aca="false">MAX(AS130,0)*(Inputs!$B$17+Inputs!$B$18+Inputs!$B$19)+MAX(-AS130,0)*(O130+Inputs!$B$18+Inputs!$B$19)+IF(AND(K130=1,AP130&lt;&gt;0),(Inputs!$B$17+Inputs!$B$18+Inputs!$B$19)+(O130+Inputs!$B$18+Inputs!$B$19),0)</f>
        <v>0</v>
      </c>
      <c r="AZ130" s="30" t="n">
        <f aca="false">AP129*M130-AY130</f>
        <v>0.00359384745777192</v>
      </c>
      <c r="BA130" s="32" t="n">
        <f aca="false">BA129+AI130</f>
        <v>-0.00346302541518215</v>
      </c>
      <c r="BB130" s="30" t="n">
        <f aca="false">MAX(BB129,BA130)</f>
        <v>0</v>
      </c>
      <c r="BC130" s="32" t="n">
        <f aca="false">BA130-BB130</f>
        <v>-0.00346302541518215</v>
      </c>
      <c r="BD130" s="30" t="n">
        <f aca="false">A131-A130</f>
        <v>1</v>
      </c>
    </row>
    <row r="131" customFormat="false" ht="15" hidden="false" customHeight="false" outlineLevel="0" collapsed="false">
      <c r="A131" s="28" t="n">
        <v>45231</v>
      </c>
      <c r="B131" s="0" t="n">
        <v>19055</v>
      </c>
      <c r="C131" s="0" t="n">
        <v>210.05</v>
      </c>
      <c r="D131" s="29" t="n">
        <f aca="false">LN(B131)</f>
        <v>9.85508481330796</v>
      </c>
      <c r="E131" s="29" t="n">
        <f aca="false">LN(C131)</f>
        <v>5.34734559761539</v>
      </c>
      <c r="F131" s="0" t="n">
        <v>126</v>
      </c>
      <c r="G131" s="0" t="n">
        <v>29</v>
      </c>
      <c r="H131" s="29" t="n">
        <f aca="false">D131-E131</f>
        <v>4.50773921569257</v>
      </c>
      <c r="I131" s="29" t="n">
        <f aca="false">D131-D130</f>
        <v>-0.00575616450669436</v>
      </c>
      <c r="J131" s="29" t="n">
        <f aca="false">E131-E130</f>
        <v>-0.00498635723888441</v>
      </c>
      <c r="K131" s="0" t="n">
        <v>0</v>
      </c>
      <c r="L131" s="0" t="n">
        <v>0</v>
      </c>
      <c r="M131" s="29" t="n">
        <f aca="false">IF(L131=1,J131-Carry!$B$9/Inputs!$B$16,I131)</f>
        <v>-0.00575616450669436</v>
      </c>
      <c r="N131" s="0" t="n">
        <v>0.065</v>
      </c>
      <c r="O131" s="0" t="n">
        <v>0.000125</v>
      </c>
      <c r="P131" s="29" t="n">
        <f aca="false">D131-('2 Hedge ratio'!$B$6+'2 Hedge ratio'!$B$5*E131)</f>
        <v>-0.00558166095583523</v>
      </c>
      <c r="Q131" s="29" t="n">
        <f aca="false">D131-('5 Re-specification'!$B$7+'5 Re-specification'!$B$5*E131+'5 Re-specification'!$B$6*F131)</f>
        <v>-0.00159558022824591</v>
      </c>
      <c r="R131" s="30" t="n">
        <f aca="false">MIN(F131,Inputs!$B$9)</f>
        <v>126</v>
      </c>
      <c r="S131" s="29" t="n">
        <f aca="true">IF(AND(F131&gt;=1,R131&gt;=Inputs!$B$10),INDEX(LINEST(OFFSET(D131,-R131,0,R131,1),OFFSET(E131,-R131,0,R131,2)),1,1),"")</f>
        <v>-0.000103628051835828</v>
      </c>
      <c r="T131" s="29" t="n">
        <f aca="true">IF(AND(F131&gt;=1,R131&gt;=Inputs!$B$10),INDEX(LINEST(OFFSET(D131,-R131,0,R131,1),OFFSET(E131,-R131,0,R131,2)),1,2),"")</f>
        <v>1.00992107756532</v>
      </c>
      <c r="U131" s="29" t="n">
        <f aca="true">IF(AND(F131&gt;=1,R131&gt;=Inputs!$B$10),INDEX(LINEST(OFFSET(D131,-R131,0,R131,1),OFFSET(E131,-R131,0,R131,2)),1,3),"")</f>
        <v>4.46482736394739</v>
      </c>
      <c r="V131" s="29" t="n">
        <f aca="true">IF(AND(F131&gt;=1,R131&gt;=Inputs!$B$10),SQRT(SUMPRODUCT((OFFSET(D131,-R131,0,R131,1)-U131-T131*OFFSET(E131,-R131,0,R131,1)-S131*OFFSET(F131,-R131,0,R131,1))^2)/(R131-3)),"")</f>
        <v>0.00210256862939448</v>
      </c>
      <c r="W131" s="31" t="n">
        <f aca="false">IF(AND(F131&gt;=1,R131&gt;=Inputs!$B$10),(D131-U131-T131*E131-S131*F131)/V131,"")</f>
        <v>1.38761503106707</v>
      </c>
      <c r="X131" s="30" t="n">
        <f aca="false">IF(AB130&lt;&gt;0,AC130+1,0)</f>
        <v>3</v>
      </c>
      <c r="Y131" s="30" t="n">
        <f aca="false">IF(W131="",0,IF(AND(AB130&lt;&gt;0,OR(ABS(W131)&gt;Inputs!$B$7,X131&gt;=Inputs!$B$8,ABS(W131)&lt;Inputs!$B$6)),1,0))</f>
        <v>0</v>
      </c>
      <c r="Z131" s="30" t="n">
        <f aca="false">IF(Y131=1,0,AB130)</f>
        <v>-1</v>
      </c>
      <c r="AA131" s="30" t="n">
        <f aca="false">IF(W131="",0,IF(AND(Z131=0,ABS(W131)&gt;Inputs!$B$5,ABS(W131)&lt;=Inputs!$B$7),1,0))</f>
        <v>0</v>
      </c>
      <c r="AB131" s="30" t="n">
        <f aca="false">IF(W131="",0,IF(AA131=1,-SIGN(W131),Z131))</f>
        <v>-1</v>
      </c>
      <c r="AC131" s="30" t="n">
        <f aca="false">IF(W131="",0,IF(AA131=1,0,IF(Y131=1,0,X131)))</f>
        <v>3</v>
      </c>
      <c r="AD131" s="29" t="n">
        <f aca="false">IF(AB131=0,0,IF(AB130=AB131,AD130,T131))</f>
        <v>1.02534697626981</v>
      </c>
      <c r="AE131" s="30" t="n">
        <f aca="false">AB131-AB130</f>
        <v>0</v>
      </c>
      <c r="AF131" s="30" t="n">
        <f aca="false">-AD131*AB131</f>
        <v>1.02534697626981</v>
      </c>
      <c r="AG131" s="30" t="n">
        <f aca="false">AF131-AF130</f>
        <v>0</v>
      </c>
      <c r="AH131" s="30" t="n">
        <f aca="false">MAX(AE131,0)*(Inputs!$B$17+Inputs!$B$18+Inputs!$B$19)+MAX(-AE131,0)*(O131+Inputs!$B$18+Inputs!$B$19)+IF(AND(K131=1,AB131&lt;&gt;0),(Inputs!$B$17+Inputs!$B$18+Inputs!$B$19)+(O131+Inputs!$B$18+Inputs!$B$19),0)+MAX(AG131,0)*(Inputs!$B$20+Inputs!$B$22+Inputs!$B$23)+MAX(-AG131,0)*(Inputs!$B$21+Inputs!$B$22+Inputs!$B$23)</f>
        <v>0</v>
      </c>
      <c r="AI131" s="30" t="n">
        <f aca="false">AB130*(M131-AD130*J131)+AB130*AD130*N131/Inputs!$B$16-AH131</f>
        <v>0.000378943770720869</v>
      </c>
      <c r="AJ131" s="30" t="n">
        <f aca="false">MAX(AE131,0)*(Inputs!$B$17+Inputs!$B$24+Inputs!$B$25)+MAX(-AE131,0)*(O131+Inputs!$B$24+Inputs!$B$25)+IF(AND(K131=1,AB131&lt;&gt;0),(Inputs!$B$17+Inputs!$B$24+Inputs!$B$25)+(O131+Inputs!$B$24+Inputs!$B$25),0)+MAX(AG131,0)*(Inputs!$B$20+Inputs!$B$26+Inputs!$B$27)+MAX(-AG131,0)*(Inputs!$B$21+Inputs!$B$26+Inputs!$B$27)</f>
        <v>0</v>
      </c>
      <c r="AK131" s="30" t="n">
        <f aca="false">AB130*(M131-AD130*J131)+AB130*AD130*(N131+Inputs!$B$14)/Inputs!$B$16-AJ131</f>
        <v>0.00034842749166522</v>
      </c>
      <c r="AL131" s="30" t="n">
        <f aca="false">IF(AP130&lt;&gt;0,AQ130+1,0)</f>
        <v>3</v>
      </c>
      <c r="AM131" s="30" t="n">
        <f aca="false">IF(W131="",0,IF(AND(AP130&lt;&gt;0,OR(ABS(W131)&gt;Inputs!$B$7,AL131&gt;=Inputs!$B$8,ABS(W131)&lt;Inputs!$B$6)),1,0))</f>
        <v>0</v>
      </c>
      <c r="AN131" s="30" t="n">
        <f aca="false">IF(AM131=1,0,AP130)</f>
        <v>-1</v>
      </c>
      <c r="AO131" s="30" t="n">
        <f aca="false">IF(W131="",0,IF(AND(AN131=0,ABS(W131)&gt;Inputs!$B$5,ABS(W131)&lt;=Inputs!$B$7,W131&gt;0),1,0))</f>
        <v>0</v>
      </c>
      <c r="AP131" s="30" t="n">
        <f aca="false">IF(W131="",0,IF(AO131=1,-SIGN(W131),AN131))</f>
        <v>-1</v>
      </c>
      <c r="AQ131" s="30" t="n">
        <f aca="false">IF(W131="",0,IF(AO131=1,0,IF(AM131=1,0,AL131)))</f>
        <v>3</v>
      </c>
      <c r="AR131" s="29" t="n">
        <f aca="false">IF(AP131=0,0,IF(AP130=AP131,AR130,T131))</f>
        <v>1.02534697626981</v>
      </c>
      <c r="AS131" s="30" t="n">
        <f aca="false">AP131-AP130</f>
        <v>0</v>
      </c>
      <c r="AT131" s="30" t="n">
        <f aca="false">-AR131*AP131</f>
        <v>1.02534697626981</v>
      </c>
      <c r="AU131" s="30" t="n">
        <f aca="false">AT131-AT130</f>
        <v>0</v>
      </c>
      <c r="AV131" s="30" t="n">
        <f aca="false">MAX(AS131,0)*(Inputs!$B$17+Inputs!$B$18+Inputs!$B$19)+MAX(-AS131,0)*(O131+Inputs!$B$18+Inputs!$B$19)+IF(AND(K131=1,AP131&lt;&gt;0),(Inputs!$B$17+Inputs!$B$18+Inputs!$B$19)+(O131+Inputs!$B$18+Inputs!$B$19),0)+MAX(AU131,0)*(Inputs!$B$20+Inputs!$B$22+Inputs!$B$23)+MAX(-AU131,0)*(Inputs!$B$21+Inputs!$B$22+Inputs!$B$23)</f>
        <v>0</v>
      </c>
      <c r="AW131" s="30" t="n">
        <f aca="false">AP130*(M131-AR130*J131)+AP130*AR130*N131/Inputs!$B$16-AV131</f>
        <v>0.000378943770720869</v>
      </c>
      <c r="AX131" s="30" t="n">
        <f aca="false">AW131-IF(AP130&lt;&gt;0,0.75*AR130*(Inputs!$B$13-N131)/Inputs!$B$16,0)</f>
        <v>0.000150071677803501</v>
      </c>
      <c r="AY131" s="30" t="n">
        <f aca="false">MAX(AS131,0)*(Inputs!$B$17+Inputs!$B$18+Inputs!$B$19)+MAX(-AS131,0)*(O131+Inputs!$B$18+Inputs!$B$19)+IF(AND(K131=1,AP131&lt;&gt;0),(Inputs!$B$17+Inputs!$B$18+Inputs!$B$19)+(O131+Inputs!$B$18+Inputs!$B$19),0)</f>
        <v>0</v>
      </c>
      <c r="AZ131" s="30" t="n">
        <f aca="false">AP130*M131-AY131</f>
        <v>0.00575616450669436</v>
      </c>
      <c r="BA131" s="32" t="n">
        <f aca="false">BA130+AI131</f>
        <v>-0.00308408164446128</v>
      </c>
      <c r="BB131" s="30" t="n">
        <f aca="false">MAX(BB130,BA131)</f>
        <v>0</v>
      </c>
      <c r="BC131" s="32" t="n">
        <f aca="false">BA131-BB131</f>
        <v>-0.00308408164446128</v>
      </c>
      <c r="BD131" s="30" t="n">
        <f aca="false">A132-A131</f>
        <v>1</v>
      </c>
    </row>
    <row r="132" customFormat="false" ht="15" hidden="false" customHeight="false" outlineLevel="0" collapsed="false">
      <c r="A132" s="28" t="n">
        <v>45232</v>
      </c>
      <c r="B132" s="0" t="n">
        <v>19248.2</v>
      </c>
      <c r="C132" s="0" t="n">
        <v>211.99</v>
      </c>
      <c r="D132" s="29" t="n">
        <f aca="false">LN(B132)</f>
        <v>9.86517282885042</v>
      </c>
      <c r="E132" s="29" t="n">
        <f aca="false">LN(C132)</f>
        <v>5.35653910374816</v>
      </c>
      <c r="F132" s="0" t="n">
        <v>127</v>
      </c>
      <c r="G132" s="0" t="n">
        <v>28</v>
      </c>
      <c r="H132" s="29" t="n">
        <f aca="false">D132-E132</f>
        <v>4.50863372510226</v>
      </c>
      <c r="I132" s="29" t="n">
        <f aca="false">D132-D131</f>
        <v>0.0100880155424576</v>
      </c>
      <c r="J132" s="29" t="n">
        <f aca="false">E132-E131</f>
        <v>0.00919350613277015</v>
      </c>
      <c r="K132" s="0" t="n">
        <v>0</v>
      </c>
      <c r="L132" s="0" t="n">
        <v>0</v>
      </c>
      <c r="M132" s="29" t="n">
        <f aca="false">IF(L132=1,J132-Carry!$B$9/Inputs!$B$16,I132)</f>
        <v>0.0100880155424576</v>
      </c>
      <c r="N132" s="0" t="n">
        <v>0.065</v>
      </c>
      <c r="O132" s="0" t="n">
        <v>0.000125</v>
      </c>
      <c r="P132" s="29" t="n">
        <f aca="false">D132-('2 Hedge ratio'!$B$6+'2 Hedge ratio'!$B$5*E132)</f>
        <v>-0.00391606239290709</v>
      </c>
      <c r="Q132" s="29" t="n">
        <f aca="false">D132-('5 Re-specification'!$B$7+'5 Re-specification'!$B$5*E132+'5 Re-specification'!$B$6*F132)</f>
        <v>-0.000628280579929808</v>
      </c>
      <c r="R132" s="30" t="n">
        <f aca="false">MIN(F132,Inputs!$B$9)</f>
        <v>127</v>
      </c>
      <c r="S132" s="29" t="n">
        <f aca="true">IF(AND(F132&gt;=1,R132&gt;=Inputs!$B$10),INDEX(LINEST(OFFSET(D132,-R132,0,R132,1),OFFSET(E132,-R132,0,R132,2)),1,1),"")</f>
        <v>-0.00010025228301259</v>
      </c>
      <c r="T132" s="29" t="n">
        <f aca="true">IF(AND(F132&gt;=1,R132&gt;=Inputs!$B$10),INDEX(LINEST(OFFSET(D132,-R132,0,R132,1),OFFSET(E132,-R132,0,R132,2)),1,2),"")</f>
        <v>1.00662532438482</v>
      </c>
      <c r="U132" s="29" t="n">
        <f aca="true">IF(AND(F132&gt;=1,R132&gt;=Inputs!$B$10),INDEX(LINEST(OFFSET(D132,-R132,0,R132,1),OFFSET(E132,-R132,0,R132,2)),1,3),"")</f>
        <v>4.48228113391816</v>
      </c>
      <c r="V132" s="29" t="n">
        <f aca="true">IF(AND(F132&gt;=1,R132&gt;=Inputs!$B$10),SQRT(SUMPRODUCT((OFFSET(D132,-R132,0,R132,1)-U132-T132*OFFSET(E132,-R132,0,R132,1)-S132*OFFSET(F132,-R132,0,R132,1))^2)/(R132-3)),"")</f>
        <v>0.0021089750842078</v>
      </c>
      <c r="W132" s="31" t="n">
        <f aca="false">IF(AND(F132&gt;=1,R132&gt;=Inputs!$B$10),(D132-U132-T132*E132-S132*F132)/V132,"")</f>
        <v>1.70500922998146</v>
      </c>
      <c r="X132" s="30" t="n">
        <f aca="false">IF(AB131&lt;&gt;0,AC131+1,0)</f>
        <v>4</v>
      </c>
      <c r="Y132" s="30" t="n">
        <f aca="false">IF(W132="",0,IF(AND(AB131&lt;&gt;0,OR(ABS(W132)&gt;Inputs!$B$7,X132&gt;=Inputs!$B$8,ABS(W132)&lt;Inputs!$B$6)),1,0))</f>
        <v>0</v>
      </c>
      <c r="Z132" s="30" t="n">
        <f aca="false">IF(Y132=1,0,AB131)</f>
        <v>-1</v>
      </c>
      <c r="AA132" s="30" t="n">
        <f aca="false">IF(W132="",0,IF(AND(Z132=0,ABS(W132)&gt;Inputs!$B$5,ABS(W132)&lt;=Inputs!$B$7),1,0))</f>
        <v>0</v>
      </c>
      <c r="AB132" s="30" t="n">
        <f aca="false">IF(W132="",0,IF(AA132=1,-SIGN(W132),Z132))</f>
        <v>-1</v>
      </c>
      <c r="AC132" s="30" t="n">
        <f aca="false">IF(W132="",0,IF(AA132=1,0,IF(Y132=1,0,X132)))</f>
        <v>4</v>
      </c>
      <c r="AD132" s="29" t="n">
        <f aca="false">IF(AB132=0,0,IF(AB131=AB132,AD131,T132))</f>
        <v>1.02534697626981</v>
      </c>
      <c r="AE132" s="30" t="n">
        <f aca="false">AB132-AB131</f>
        <v>0</v>
      </c>
      <c r="AF132" s="30" t="n">
        <f aca="false">-AD132*AB132</f>
        <v>1.02534697626981</v>
      </c>
      <c r="AG132" s="30" t="n">
        <f aca="false">AF132-AF131</f>
        <v>0</v>
      </c>
      <c r="AH132" s="30" t="n">
        <f aca="false">MAX(AE132,0)*(Inputs!$B$17+Inputs!$B$18+Inputs!$B$19)+MAX(-AE132,0)*(O132+Inputs!$B$18+Inputs!$B$19)+IF(AND(K132=1,AB132&lt;&gt;0),(Inputs!$B$17+Inputs!$B$18+Inputs!$B$19)+(O132+Inputs!$B$18+Inputs!$B$19),0)+MAX(AG132,0)*(Inputs!$B$20+Inputs!$B$22+Inputs!$B$23)+MAX(-AG132,0)*(Inputs!$B$21+Inputs!$B$22+Inputs!$B$23)</f>
        <v>0</v>
      </c>
      <c r="AI132" s="30" t="n">
        <f aca="false">AB131*(M132-AD131*J132)+AB131*AD131*N132/Inputs!$B$16-AH132</f>
        <v>-0.000925956246386121</v>
      </c>
      <c r="AJ132" s="30" t="n">
        <f aca="false">MAX(AE132,0)*(Inputs!$B$17+Inputs!$B$24+Inputs!$B$25)+MAX(-AE132,0)*(O132+Inputs!$B$24+Inputs!$B$25)+IF(AND(K132=1,AB132&lt;&gt;0),(Inputs!$B$17+Inputs!$B$24+Inputs!$B$25)+(O132+Inputs!$B$24+Inputs!$B$25),0)+MAX(AG132,0)*(Inputs!$B$20+Inputs!$B$26+Inputs!$B$27)+MAX(-AG132,0)*(Inputs!$B$21+Inputs!$B$26+Inputs!$B$27)</f>
        <v>0</v>
      </c>
      <c r="AK132" s="30" t="n">
        <f aca="false">AB131*(M132-AD131*J132)+AB131*AD131*(N132+Inputs!$B$14)/Inputs!$B$16-AJ132</f>
        <v>-0.00095647252544177</v>
      </c>
      <c r="AL132" s="30" t="n">
        <f aca="false">IF(AP131&lt;&gt;0,AQ131+1,0)</f>
        <v>4</v>
      </c>
      <c r="AM132" s="30" t="n">
        <f aca="false">IF(W132="",0,IF(AND(AP131&lt;&gt;0,OR(ABS(W132)&gt;Inputs!$B$7,AL132&gt;=Inputs!$B$8,ABS(W132)&lt;Inputs!$B$6)),1,0))</f>
        <v>0</v>
      </c>
      <c r="AN132" s="30" t="n">
        <f aca="false">IF(AM132=1,0,AP131)</f>
        <v>-1</v>
      </c>
      <c r="AO132" s="30" t="n">
        <f aca="false">IF(W132="",0,IF(AND(AN132=0,ABS(W132)&gt;Inputs!$B$5,ABS(W132)&lt;=Inputs!$B$7,W132&gt;0),1,0))</f>
        <v>0</v>
      </c>
      <c r="AP132" s="30" t="n">
        <f aca="false">IF(W132="",0,IF(AO132=1,-SIGN(W132),AN132))</f>
        <v>-1</v>
      </c>
      <c r="AQ132" s="30" t="n">
        <f aca="false">IF(W132="",0,IF(AO132=1,0,IF(AM132=1,0,AL132)))</f>
        <v>4</v>
      </c>
      <c r="AR132" s="29" t="n">
        <f aca="false">IF(AP132=0,0,IF(AP131=AP132,AR131,T132))</f>
        <v>1.02534697626981</v>
      </c>
      <c r="AS132" s="30" t="n">
        <f aca="false">AP132-AP131</f>
        <v>0</v>
      </c>
      <c r="AT132" s="30" t="n">
        <f aca="false">-AR132*AP132</f>
        <v>1.02534697626981</v>
      </c>
      <c r="AU132" s="30" t="n">
        <f aca="false">AT132-AT131</f>
        <v>0</v>
      </c>
      <c r="AV132" s="30" t="n">
        <f aca="false">MAX(AS132,0)*(Inputs!$B$17+Inputs!$B$18+Inputs!$B$19)+MAX(-AS132,0)*(O132+Inputs!$B$18+Inputs!$B$19)+IF(AND(K132=1,AP132&lt;&gt;0),(Inputs!$B$17+Inputs!$B$18+Inputs!$B$19)+(O132+Inputs!$B$18+Inputs!$B$19),0)+MAX(AU132,0)*(Inputs!$B$20+Inputs!$B$22+Inputs!$B$23)+MAX(-AU132,0)*(Inputs!$B$21+Inputs!$B$22+Inputs!$B$23)</f>
        <v>0</v>
      </c>
      <c r="AW132" s="30" t="n">
        <f aca="false">AP131*(M132-AR131*J132)+AP131*AR131*N132/Inputs!$B$16-AV132</f>
        <v>-0.000925956246386121</v>
      </c>
      <c r="AX132" s="30" t="n">
        <f aca="false">AW132-IF(AP131&lt;&gt;0,0.75*AR131*(Inputs!$B$13-N132)/Inputs!$B$16,0)</f>
        <v>-0.00115482833930349</v>
      </c>
      <c r="AY132" s="30" t="n">
        <f aca="false">MAX(AS132,0)*(Inputs!$B$17+Inputs!$B$18+Inputs!$B$19)+MAX(-AS132,0)*(O132+Inputs!$B$18+Inputs!$B$19)+IF(AND(K132=1,AP132&lt;&gt;0),(Inputs!$B$17+Inputs!$B$18+Inputs!$B$19)+(O132+Inputs!$B$18+Inputs!$B$19),0)</f>
        <v>0</v>
      </c>
      <c r="AZ132" s="30" t="n">
        <f aca="false">AP131*M132-AY132</f>
        <v>-0.0100880155424576</v>
      </c>
      <c r="BA132" s="32" t="n">
        <f aca="false">BA131+AI132</f>
        <v>-0.0040100378908474</v>
      </c>
      <c r="BB132" s="30" t="n">
        <f aca="false">MAX(BB131,BA132)</f>
        <v>0</v>
      </c>
      <c r="BC132" s="32" t="n">
        <f aca="false">BA132-BB132</f>
        <v>-0.0040100378908474</v>
      </c>
      <c r="BD132" s="30" t="n">
        <f aca="false">A133-A132</f>
        <v>1</v>
      </c>
    </row>
    <row r="133" customFormat="false" ht="15" hidden="false" customHeight="false" outlineLevel="0" collapsed="false">
      <c r="A133" s="28" t="n">
        <v>45233</v>
      </c>
      <c r="B133" s="0" t="n">
        <v>19300</v>
      </c>
      <c r="C133" s="0" t="n">
        <v>212.65</v>
      </c>
      <c r="D133" s="29" t="n">
        <f aca="false">LN(B133)</f>
        <v>9.86786037489298</v>
      </c>
      <c r="E133" s="29" t="n">
        <f aca="false">LN(C133)</f>
        <v>5.35964762169964</v>
      </c>
      <c r="F133" s="0" t="n">
        <v>128</v>
      </c>
      <c r="G133" s="0" t="n">
        <v>27</v>
      </c>
      <c r="H133" s="29" t="n">
        <f aca="false">D133-E133</f>
        <v>4.50821275319334</v>
      </c>
      <c r="I133" s="29" t="n">
        <f aca="false">D133-D132</f>
        <v>0.00268754604255861</v>
      </c>
      <c r="J133" s="29" t="n">
        <f aca="false">E133-E132</f>
        <v>0.00310851795148182</v>
      </c>
      <c r="K133" s="0" t="n">
        <v>0</v>
      </c>
      <c r="L133" s="0" t="n">
        <v>0</v>
      </c>
      <c r="M133" s="29" t="n">
        <f aca="false">IF(L133=1,J133-Carry!$B$9/Inputs!$B$16,I133)</f>
        <v>0.00268754604255861</v>
      </c>
      <c r="N133" s="0" t="n">
        <v>0.065</v>
      </c>
      <c r="O133" s="0" t="n">
        <v>0.000125</v>
      </c>
      <c r="P133" s="29" t="n">
        <f aca="false">D133-('2 Hedge ratio'!$B$6+'2 Hedge ratio'!$B$5*E133)</f>
        <v>-0.00407631282729959</v>
      </c>
      <c r="Q133" s="29" t="n">
        <f aca="false">D133-('5 Re-specification'!$B$7+'5 Re-specification'!$B$5*E133+'5 Re-specification'!$B$6*F133)</f>
        <v>-0.0009949028070384</v>
      </c>
      <c r="R133" s="30" t="n">
        <f aca="false">MIN(F133,Inputs!$B$9)</f>
        <v>128</v>
      </c>
      <c r="S133" s="29" t="n">
        <f aca="true">IF(AND(F133&gt;=1,R133&gt;=Inputs!$B$10),INDEX(LINEST(OFFSET(D133,-R133,0,R133,1),OFFSET(E133,-R133,0,R133,2)),1,1),"")</f>
        <v>-9.67967426634478E-005</v>
      </c>
      <c r="T133" s="29" t="n">
        <f aca="true">IF(AND(F133&gt;=1,R133&gt;=Inputs!$B$10),INDEX(LINEST(OFFSET(D133,-R133,0,R133,1),OFFSET(E133,-R133,0,R133,2)),1,2),"")</f>
        <v>1.00347653613785</v>
      </c>
      <c r="U133" s="29" t="n">
        <f aca="true">IF(AND(F133&gt;=1,R133&gt;=Inputs!$B$10),INDEX(LINEST(OFFSET(D133,-R133,0,R133,1),OFFSET(E133,-R133,0,R133,2)),1,3),"")</f>
        <v>4.49894658589532</v>
      </c>
      <c r="V133" s="29" t="n">
        <f aca="true">IF(AND(F133&gt;=1,R133&gt;=Inputs!$B$10),SQRT(SUMPRODUCT((OFFSET(D133,-R133,0,R133,1)-U133-T133*OFFSET(E133,-R133,0,R133,1)-S133*OFFSET(F133,-R133,0,R133,1))^2)/(R133-3)),"")</f>
        <v>0.00212339243203488</v>
      </c>
      <c r="W133" s="31" t="n">
        <f aca="false">IF(AND(F133&gt;=1,R133&gt;=Inputs!$B$10),(D133-U133-T133*E133-S133*F133)/V133,"")</f>
        <v>1.4237319820752</v>
      </c>
      <c r="X133" s="30" t="n">
        <f aca="false">IF(AB132&lt;&gt;0,AC132+1,0)</f>
        <v>5</v>
      </c>
      <c r="Y133" s="30" t="n">
        <f aca="false">IF(W133="",0,IF(AND(AB132&lt;&gt;0,OR(ABS(W133)&gt;Inputs!$B$7,X133&gt;=Inputs!$B$8,ABS(W133)&lt;Inputs!$B$6)),1,0))</f>
        <v>0</v>
      </c>
      <c r="Z133" s="30" t="n">
        <f aca="false">IF(Y133=1,0,AB132)</f>
        <v>-1</v>
      </c>
      <c r="AA133" s="30" t="n">
        <f aca="false">IF(W133="",0,IF(AND(Z133=0,ABS(W133)&gt;Inputs!$B$5,ABS(W133)&lt;=Inputs!$B$7),1,0))</f>
        <v>0</v>
      </c>
      <c r="AB133" s="30" t="n">
        <f aca="false">IF(W133="",0,IF(AA133=1,-SIGN(W133),Z133))</f>
        <v>-1</v>
      </c>
      <c r="AC133" s="30" t="n">
        <f aca="false">IF(W133="",0,IF(AA133=1,0,IF(Y133=1,0,X133)))</f>
        <v>5</v>
      </c>
      <c r="AD133" s="29" t="n">
        <f aca="false">IF(AB133=0,0,IF(AB132=AB133,AD132,T133))</f>
        <v>1.02534697626981</v>
      </c>
      <c r="AE133" s="30" t="n">
        <f aca="false">AB133-AB132</f>
        <v>0</v>
      </c>
      <c r="AF133" s="30" t="n">
        <f aca="false">-AD133*AB133</f>
        <v>1.02534697626981</v>
      </c>
      <c r="AG133" s="30" t="n">
        <f aca="false">AF133-AF132</f>
        <v>0</v>
      </c>
      <c r="AH133" s="30" t="n">
        <f aca="false">MAX(AE133,0)*(Inputs!$B$17+Inputs!$B$18+Inputs!$B$19)+MAX(-AE133,0)*(O133+Inputs!$B$18+Inputs!$B$19)+IF(AND(K133=1,AB133&lt;&gt;0),(Inputs!$B$17+Inputs!$B$18+Inputs!$B$19)+(O133+Inputs!$B$18+Inputs!$B$19),0)+MAX(AG133,0)*(Inputs!$B$20+Inputs!$B$22+Inputs!$B$23)+MAX(-AG133,0)*(Inputs!$B$21+Inputs!$B$22+Inputs!$B$23)</f>
        <v>0</v>
      </c>
      <c r="AI133" s="30" t="n">
        <f aca="false">AB132*(M133-AD132*J133)+AB132*AD132*N133/Inputs!$B$16-AH133</f>
        <v>0.000235289021191399</v>
      </c>
      <c r="AJ133" s="30" t="n">
        <f aca="false">MAX(AE133,0)*(Inputs!$B$17+Inputs!$B$24+Inputs!$B$25)+MAX(-AE133,0)*(O133+Inputs!$B$24+Inputs!$B$25)+IF(AND(K133=1,AB133&lt;&gt;0),(Inputs!$B$17+Inputs!$B$24+Inputs!$B$25)+(O133+Inputs!$B$24+Inputs!$B$25),0)+MAX(AG133,0)*(Inputs!$B$20+Inputs!$B$26+Inputs!$B$27)+MAX(-AG133,0)*(Inputs!$B$21+Inputs!$B$26+Inputs!$B$27)</f>
        <v>0</v>
      </c>
      <c r="AK133" s="30" t="n">
        <f aca="false">AB132*(M133-AD132*J133)+AB132*AD132*(N133+Inputs!$B$14)/Inputs!$B$16-AJ133</f>
        <v>0.000204772742135749</v>
      </c>
      <c r="AL133" s="30" t="n">
        <f aca="false">IF(AP132&lt;&gt;0,AQ132+1,0)</f>
        <v>5</v>
      </c>
      <c r="AM133" s="30" t="n">
        <f aca="false">IF(W133="",0,IF(AND(AP132&lt;&gt;0,OR(ABS(W133)&gt;Inputs!$B$7,AL133&gt;=Inputs!$B$8,ABS(W133)&lt;Inputs!$B$6)),1,0))</f>
        <v>0</v>
      </c>
      <c r="AN133" s="30" t="n">
        <f aca="false">IF(AM133=1,0,AP132)</f>
        <v>-1</v>
      </c>
      <c r="AO133" s="30" t="n">
        <f aca="false">IF(W133="",0,IF(AND(AN133=0,ABS(W133)&gt;Inputs!$B$5,ABS(W133)&lt;=Inputs!$B$7,W133&gt;0),1,0))</f>
        <v>0</v>
      </c>
      <c r="AP133" s="30" t="n">
        <f aca="false">IF(W133="",0,IF(AO133=1,-SIGN(W133),AN133))</f>
        <v>-1</v>
      </c>
      <c r="AQ133" s="30" t="n">
        <f aca="false">IF(W133="",0,IF(AO133=1,0,IF(AM133=1,0,AL133)))</f>
        <v>5</v>
      </c>
      <c r="AR133" s="29" t="n">
        <f aca="false">IF(AP133=0,0,IF(AP132=AP133,AR132,T133))</f>
        <v>1.02534697626981</v>
      </c>
      <c r="AS133" s="30" t="n">
        <f aca="false">AP133-AP132</f>
        <v>0</v>
      </c>
      <c r="AT133" s="30" t="n">
        <f aca="false">-AR133*AP133</f>
        <v>1.02534697626981</v>
      </c>
      <c r="AU133" s="30" t="n">
        <f aca="false">AT133-AT132</f>
        <v>0</v>
      </c>
      <c r="AV133" s="30" t="n">
        <f aca="false">MAX(AS133,0)*(Inputs!$B$17+Inputs!$B$18+Inputs!$B$19)+MAX(-AS133,0)*(O133+Inputs!$B$18+Inputs!$B$19)+IF(AND(K133=1,AP133&lt;&gt;0),(Inputs!$B$17+Inputs!$B$18+Inputs!$B$19)+(O133+Inputs!$B$18+Inputs!$B$19),0)+MAX(AU133,0)*(Inputs!$B$20+Inputs!$B$22+Inputs!$B$23)+MAX(-AU133,0)*(Inputs!$B$21+Inputs!$B$22+Inputs!$B$23)</f>
        <v>0</v>
      </c>
      <c r="AW133" s="30" t="n">
        <f aca="false">AP132*(M133-AR132*J133)+AP132*AR132*N133/Inputs!$B$16-AV133</f>
        <v>0.000235289021191399</v>
      </c>
      <c r="AX133" s="30" t="n">
        <f aca="false">AW133-IF(AP132&lt;&gt;0,0.75*AR132*(Inputs!$B$13-N133)/Inputs!$B$16,0)</f>
        <v>6.41692827403061E-006</v>
      </c>
      <c r="AY133" s="30" t="n">
        <f aca="false">MAX(AS133,0)*(Inputs!$B$17+Inputs!$B$18+Inputs!$B$19)+MAX(-AS133,0)*(O133+Inputs!$B$18+Inputs!$B$19)+IF(AND(K133=1,AP133&lt;&gt;0),(Inputs!$B$17+Inputs!$B$18+Inputs!$B$19)+(O133+Inputs!$B$18+Inputs!$B$19),0)</f>
        <v>0</v>
      </c>
      <c r="AZ133" s="30" t="n">
        <f aca="false">AP132*M133-AY133</f>
        <v>-0.00268754604255861</v>
      </c>
      <c r="BA133" s="32" t="n">
        <f aca="false">BA132+AI133</f>
        <v>-0.003774748869656</v>
      </c>
      <c r="BB133" s="30" t="n">
        <f aca="false">MAX(BB132,BA133)</f>
        <v>0</v>
      </c>
      <c r="BC133" s="32" t="n">
        <f aca="false">BA133-BB133</f>
        <v>-0.003774748869656</v>
      </c>
      <c r="BD133" s="30" t="n">
        <f aca="false">A134-A133</f>
        <v>3</v>
      </c>
    </row>
    <row r="134" customFormat="false" ht="15" hidden="false" customHeight="false" outlineLevel="0" collapsed="false">
      <c r="A134" s="28" t="n">
        <v>45236</v>
      </c>
      <c r="B134" s="0" t="n">
        <v>19484</v>
      </c>
      <c r="C134" s="0" t="n">
        <v>214.6</v>
      </c>
      <c r="D134" s="29" t="n">
        <f aca="false">LN(B134)</f>
        <v>9.87734889492643</v>
      </c>
      <c r="E134" s="29" t="n">
        <f aca="false">LN(C134)</f>
        <v>5.3687758301966</v>
      </c>
      <c r="F134" s="0" t="n">
        <v>129</v>
      </c>
      <c r="G134" s="0" t="n">
        <v>24</v>
      </c>
      <c r="H134" s="29" t="n">
        <f aca="false">D134-E134</f>
        <v>4.50857306472984</v>
      </c>
      <c r="I134" s="29" t="n">
        <f aca="false">D134-D133</f>
        <v>0.00948852003345557</v>
      </c>
      <c r="J134" s="29" t="n">
        <f aca="false">E134-E133</f>
        <v>0.00912820849695528</v>
      </c>
      <c r="K134" s="0" t="n">
        <v>0</v>
      </c>
      <c r="L134" s="0" t="n">
        <v>0</v>
      </c>
      <c r="M134" s="29" t="n">
        <f aca="false">IF(L134=1,J134-Carry!$B$9/Inputs!$B$16,I134)</f>
        <v>0.00948852003345557</v>
      </c>
      <c r="N134" s="0" t="n">
        <v>0.065</v>
      </c>
      <c r="O134" s="0" t="n">
        <v>0.000125</v>
      </c>
      <c r="P134" s="29" t="n">
        <f aca="false">D134-('2 Hedge ratio'!$B$6+'2 Hedge ratio'!$B$5*E134)</f>
        <v>-0.0029503888618887</v>
      </c>
      <c r="Q134" s="29" t="n">
        <f aca="false">D134-('5 Re-specification'!$B$7+'5 Re-specification'!$B$5*E134+'5 Re-specification'!$B$6*F134)</f>
        <v>-0.000561998916397855</v>
      </c>
      <c r="R134" s="30" t="n">
        <f aca="false">MIN(F134,Inputs!$B$9)</f>
        <v>129</v>
      </c>
      <c r="S134" s="29" t="n">
        <f aca="true">IF(AND(F134&gt;=1,R134&gt;=Inputs!$B$10),INDEX(LINEST(OFFSET(D134,-R134,0,R134,1),OFFSET(E134,-R134,0,R134,2)),1,1),"")</f>
        <v>-9.41492656020029E-005</v>
      </c>
      <c r="T134" s="29" t="n">
        <f aca="true">IF(AND(F134&gt;=1,R134&gt;=Inputs!$B$10),INDEX(LINEST(OFFSET(D134,-R134,0,R134,1),OFFSET(E134,-R134,0,R134,2)),1,2),"")</f>
        <v>1.00113573328044</v>
      </c>
      <c r="U134" s="29" t="n">
        <f aca="true">IF(AND(F134&gt;=1,R134&gt;=Inputs!$B$10),INDEX(LINEST(OFFSET(D134,-R134,0,R134,1),OFFSET(E134,-R134,0,R134,2)),1,3),"")</f>
        <v>4.51133199674239</v>
      </c>
      <c r="V134" s="29" t="n">
        <f aca="true">IF(AND(F134&gt;=1,R134&gt;=Inputs!$B$10),SQRT(SUMPRODUCT((OFFSET(D134,-R134,0,R134,1)-U134-T134*OFFSET(E134,-R134,0,R134,1)-S134*OFFSET(F134,-R134,0,R134,1))^2)/(R134-3)),"")</f>
        <v>0.00213102452511527</v>
      </c>
      <c r="W134" s="31" t="n">
        <f aca="false">IF(AND(F134&gt;=1,R134&gt;=Inputs!$B$10),(D134-U134-T134*E134-S134*F134)/V134,"")</f>
        <v>1.54330737434449</v>
      </c>
      <c r="X134" s="30" t="n">
        <f aca="false">IF(AB133&lt;&gt;0,AC133+1,0)</f>
        <v>6</v>
      </c>
      <c r="Y134" s="30" t="n">
        <f aca="false">IF(W134="",0,IF(AND(AB133&lt;&gt;0,OR(ABS(W134)&gt;Inputs!$B$7,X134&gt;=Inputs!$B$8,ABS(W134)&lt;Inputs!$B$6)),1,0))</f>
        <v>0</v>
      </c>
      <c r="Z134" s="30" t="n">
        <f aca="false">IF(Y134=1,0,AB133)</f>
        <v>-1</v>
      </c>
      <c r="AA134" s="30" t="n">
        <f aca="false">IF(W134="",0,IF(AND(Z134=0,ABS(W134)&gt;Inputs!$B$5,ABS(W134)&lt;=Inputs!$B$7),1,0))</f>
        <v>0</v>
      </c>
      <c r="AB134" s="30" t="n">
        <f aca="false">IF(W134="",0,IF(AA134=1,-SIGN(W134),Z134))</f>
        <v>-1</v>
      </c>
      <c r="AC134" s="30" t="n">
        <f aca="false">IF(W134="",0,IF(AA134=1,0,IF(Y134=1,0,X134)))</f>
        <v>6</v>
      </c>
      <c r="AD134" s="29" t="n">
        <f aca="false">IF(AB134=0,0,IF(AB133=AB134,AD133,T134))</f>
        <v>1.02534697626981</v>
      </c>
      <c r="AE134" s="30" t="n">
        <f aca="false">AB134-AB133</f>
        <v>0</v>
      </c>
      <c r="AF134" s="30" t="n">
        <f aca="false">-AD134*AB134</f>
        <v>1.02534697626981</v>
      </c>
      <c r="AG134" s="30" t="n">
        <f aca="false">AF134-AF133</f>
        <v>0</v>
      </c>
      <c r="AH134" s="30" t="n">
        <f aca="false">MAX(AE134,0)*(Inputs!$B$17+Inputs!$B$18+Inputs!$B$19)+MAX(-AE134,0)*(O134+Inputs!$B$18+Inputs!$B$19)+IF(AND(K134=1,AB134&lt;&gt;0),(Inputs!$B$17+Inputs!$B$18+Inputs!$B$19)+(O134+Inputs!$B$18+Inputs!$B$19),0)+MAX(AG134,0)*(Inputs!$B$20+Inputs!$B$22+Inputs!$B$23)+MAX(-AG134,0)*(Inputs!$B$21+Inputs!$B$22+Inputs!$B$23)</f>
        <v>0</v>
      </c>
      <c r="AI134" s="30" t="n">
        <f aca="false">AB133*(M134-AD133*J134)+AB133*AD133*N134/Inputs!$B$16-AH134</f>
        <v>-0.000393413470824391</v>
      </c>
      <c r="AJ134" s="30" t="n">
        <f aca="false">MAX(AE134,0)*(Inputs!$B$17+Inputs!$B$24+Inputs!$B$25)+MAX(-AE134,0)*(O134+Inputs!$B$24+Inputs!$B$25)+IF(AND(K134=1,AB134&lt;&gt;0),(Inputs!$B$17+Inputs!$B$24+Inputs!$B$25)+(O134+Inputs!$B$24+Inputs!$B$25),0)+MAX(AG134,0)*(Inputs!$B$20+Inputs!$B$26+Inputs!$B$27)+MAX(-AG134,0)*(Inputs!$B$21+Inputs!$B$26+Inputs!$B$27)</f>
        <v>0</v>
      </c>
      <c r="AK134" s="30" t="n">
        <f aca="false">AB133*(M134-AD133*J134)+AB133*AD133*(N134+Inputs!$B$14)/Inputs!$B$16-AJ134</f>
        <v>-0.00042392974988004</v>
      </c>
      <c r="AL134" s="30" t="n">
        <f aca="false">IF(AP133&lt;&gt;0,AQ133+1,0)</f>
        <v>6</v>
      </c>
      <c r="AM134" s="30" t="n">
        <f aca="false">IF(W134="",0,IF(AND(AP133&lt;&gt;0,OR(ABS(W134)&gt;Inputs!$B$7,AL134&gt;=Inputs!$B$8,ABS(W134)&lt;Inputs!$B$6)),1,0))</f>
        <v>0</v>
      </c>
      <c r="AN134" s="30" t="n">
        <f aca="false">IF(AM134=1,0,AP133)</f>
        <v>-1</v>
      </c>
      <c r="AO134" s="30" t="n">
        <f aca="false">IF(W134="",0,IF(AND(AN134=0,ABS(W134)&gt;Inputs!$B$5,ABS(W134)&lt;=Inputs!$B$7,W134&gt;0),1,0))</f>
        <v>0</v>
      </c>
      <c r="AP134" s="30" t="n">
        <f aca="false">IF(W134="",0,IF(AO134=1,-SIGN(W134),AN134))</f>
        <v>-1</v>
      </c>
      <c r="AQ134" s="30" t="n">
        <f aca="false">IF(W134="",0,IF(AO134=1,0,IF(AM134=1,0,AL134)))</f>
        <v>6</v>
      </c>
      <c r="AR134" s="29" t="n">
        <f aca="false">IF(AP134=0,0,IF(AP133=AP134,AR133,T134))</f>
        <v>1.02534697626981</v>
      </c>
      <c r="AS134" s="30" t="n">
        <f aca="false">AP134-AP133</f>
        <v>0</v>
      </c>
      <c r="AT134" s="30" t="n">
        <f aca="false">-AR134*AP134</f>
        <v>1.02534697626981</v>
      </c>
      <c r="AU134" s="30" t="n">
        <f aca="false">AT134-AT133</f>
        <v>0</v>
      </c>
      <c r="AV134" s="30" t="n">
        <f aca="false">MAX(AS134,0)*(Inputs!$B$17+Inputs!$B$18+Inputs!$B$19)+MAX(-AS134,0)*(O134+Inputs!$B$18+Inputs!$B$19)+IF(AND(K134=1,AP134&lt;&gt;0),(Inputs!$B$17+Inputs!$B$18+Inputs!$B$19)+(O134+Inputs!$B$18+Inputs!$B$19),0)+MAX(AU134,0)*(Inputs!$B$20+Inputs!$B$22+Inputs!$B$23)+MAX(-AU134,0)*(Inputs!$B$21+Inputs!$B$22+Inputs!$B$23)</f>
        <v>0</v>
      </c>
      <c r="AW134" s="30" t="n">
        <f aca="false">AP133*(M134-AR133*J134)+AP133*AR133*N134/Inputs!$B$16-AV134</f>
        <v>-0.000393413470824391</v>
      </c>
      <c r="AX134" s="30" t="n">
        <f aca="false">AW134-IF(AP133&lt;&gt;0,0.75*AR133*(Inputs!$B$13-N134)/Inputs!$B$16,0)</f>
        <v>-0.000622285563741759</v>
      </c>
      <c r="AY134" s="30" t="n">
        <f aca="false">MAX(AS134,0)*(Inputs!$B$17+Inputs!$B$18+Inputs!$B$19)+MAX(-AS134,0)*(O134+Inputs!$B$18+Inputs!$B$19)+IF(AND(K134=1,AP134&lt;&gt;0),(Inputs!$B$17+Inputs!$B$18+Inputs!$B$19)+(O134+Inputs!$B$18+Inputs!$B$19),0)</f>
        <v>0</v>
      </c>
      <c r="AZ134" s="30" t="n">
        <f aca="false">AP133*M134-AY134</f>
        <v>-0.00948852003345557</v>
      </c>
      <c r="BA134" s="32" t="n">
        <f aca="false">BA133+AI134</f>
        <v>-0.00416816234048039</v>
      </c>
      <c r="BB134" s="30" t="n">
        <f aca="false">MAX(BB133,BA134)</f>
        <v>0</v>
      </c>
      <c r="BC134" s="32" t="n">
        <f aca="false">BA134-BB134</f>
        <v>-0.00416816234048039</v>
      </c>
      <c r="BD134" s="30" t="n">
        <f aca="false">A135-A134</f>
        <v>1</v>
      </c>
    </row>
    <row r="135" customFormat="false" ht="15" hidden="false" customHeight="false" outlineLevel="0" collapsed="false">
      <c r="A135" s="28" t="n">
        <v>45237</v>
      </c>
      <c r="B135" s="0" t="n">
        <v>19482</v>
      </c>
      <c r="C135" s="0" t="n">
        <v>214.6</v>
      </c>
      <c r="D135" s="29" t="n">
        <f aca="false">LN(B135)</f>
        <v>9.8772462413309</v>
      </c>
      <c r="E135" s="29" t="n">
        <f aca="false">LN(C135)</f>
        <v>5.3687758301966</v>
      </c>
      <c r="F135" s="0" t="n">
        <v>130</v>
      </c>
      <c r="G135" s="0" t="n">
        <v>23</v>
      </c>
      <c r="H135" s="29" t="n">
        <f aca="false">D135-E135</f>
        <v>4.5084704111343</v>
      </c>
      <c r="I135" s="29" t="n">
        <f aca="false">D135-D134</f>
        <v>-0.000102653595531521</v>
      </c>
      <c r="J135" s="29" t="n">
        <f aca="false">E135-E134</f>
        <v>0</v>
      </c>
      <c r="K135" s="0" t="n">
        <v>0</v>
      </c>
      <c r="L135" s="0" t="n">
        <v>0</v>
      </c>
      <c r="M135" s="29" t="n">
        <f aca="false">IF(L135=1,J135-Carry!$B$9/Inputs!$B$16,I135)</f>
        <v>-0.000102653595531521</v>
      </c>
      <c r="N135" s="0" t="n">
        <v>0.065</v>
      </c>
      <c r="O135" s="0" t="n">
        <v>0.000125</v>
      </c>
      <c r="P135" s="29" t="n">
        <f aca="false">D135-('2 Hedge ratio'!$B$6+'2 Hedge ratio'!$B$5*E135)</f>
        <v>-0.00305304245742022</v>
      </c>
      <c r="Q135" s="29" t="n">
        <f aca="false">D135-('5 Re-specification'!$B$7+'5 Re-specification'!$B$5*E135+'5 Re-specification'!$B$6*F135)</f>
        <v>-0.000619723193834076</v>
      </c>
      <c r="R135" s="30" t="n">
        <f aca="false">MIN(F135,Inputs!$B$9)</f>
        <v>130</v>
      </c>
      <c r="S135" s="29" t="n">
        <f aca="true">IF(AND(F135&gt;=1,R135&gt;=Inputs!$B$10),INDEX(LINEST(OFFSET(D135,-R135,0,R135,1),OFFSET(E135,-R135,0,R135,2)),1,1),"")</f>
        <v>-9.17591770192057E-005</v>
      </c>
      <c r="T135" s="29" t="n">
        <f aca="true">IF(AND(F135&gt;=1,R135&gt;=Inputs!$B$10),INDEX(LINEST(OFFSET(D135,-R135,0,R135,1),OFFSET(E135,-R135,0,R135,2)),1,2),"")</f>
        <v>0.999267221972355</v>
      </c>
      <c r="U135" s="29" t="n">
        <f aca="true">IF(AND(F135&gt;=1,R135&gt;=Inputs!$B$10),INDEX(LINEST(OFFSET(D135,-R135,0,R135,1),OFFSET(E135,-R135,0,R135,2)),1,3),"")</f>
        <v>4.52120637098337</v>
      </c>
      <c r="V135" s="29" t="n">
        <f aca="true">IF(AND(F135&gt;=1,R135&gt;=Inputs!$B$10),SQRT(SUMPRODUCT((OFFSET(D135,-R135,0,R135,1)-U135-T135*OFFSET(E135,-R135,0,R135,1)-S135*OFFSET(F135,-R135,0,R135,1))^2)/(R135-3)),"")</f>
        <v>0.00214167306174135</v>
      </c>
      <c r="W135" s="31" t="n">
        <f aca="false">IF(AND(F135&gt;=1,R135&gt;=Inputs!$B$10),(D135-U135-T135*E135-S135*F135)/V135,"")</f>
        <v>1.46000534956276</v>
      </c>
      <c r="X135" s="30" t="n">
        <f aca="false">IF(AB134&lt;&gt;0,AC134+1,0)</f>
        <v>7</v>
      </c>
      <c r="Y135" s="30" t="n">
        <f aca="false">IF(W135="",0,IF(AND(AB134&lt;&gt;0,OR(ABS(W135)&gt;Inputs!$B$7,X135&gt;=Inputs!$B$8,ABS(W135)&lt;Inputs!$B$6)),1,0))</f>
        <v>0</v>
      </c>
      <c r="Z135" s="30" t="n">
        <f aca="false">IF(Y135=1,0,AB134)</f>
        <v>-1</v>
      </c>
      <c r="AA135" s="30" t="n">
        <f aca="false">IF(W135="",0,IF(AND(Z135=0,ABS(W135)&gt;Inputs!$B$5,ABS(W135)&lt;=Inputs!$B$7),1,0))</f>
        <v>0</v>
      </c>
      <c r="AB135" s="30" t="n">
        <f aca="false">IF(W135="",0,IF(AA135=1,-SIGN(W135),Z135))</f>
        <v>-1</v>
      </c>
      <c r="AC135" s="30" t="n">
        <f aca="false">IF(W135="",0,IF(AA135=1,0,IF(Y135=1,0,X135)))</f>
        <v>7</v>
      </c>
      <c r="AD135" s="29" t="n">
        <f aca="false">IF(AB135=0,0,IF(AB134=AB135,AD134,T135))</f>
        <v>1.02534697626981</v>
      </c>
      <c r="AE135" s="30" t="n">
        <f aca="false">AB135-AB134</f>
        <v>0</v>
      </c>
      <c r="AF135" s="30" t="n">
        <f aca="false">-AD135*AB135</f>
        <v>1.02534697626981</v>
      </c>
      <c r="AG135" s="30" t="n">
        <f aca="false">AF135-AF134</f>
        <v>0</v>
      </c>
      <c r="AH135" s="30" t="n">
        <f aca="false">MAX(AE135,0)*(Inputs!$B$17+Inputs!$B$18+Inputs!$B$19)+MAX(-AE135,0)*(O135+Inputs!$B$18+Inputs!$B$19)+IF(AND(K135=1,AB135&lt;&gt;0),(Inputs!$B$17+Inputs!$B$18+Inputs!$B$19)+(O135+Inputs!$B$18+Inputs!$B$19),0)+MAX(AG135,0)*(Inputs!$B$20+Inputs!$B$22+Inputs!$B$23)+MAX(-AG135,0)*(Inputs!$B$21+Inputs!$B$22+Inputs!$B$23)</f>
        <v>0</v>
      </c>
      <c r="AI135" s="30" t="n">
        <f aca="false">AB134*(M135-AD134*J135)+AB134*AD134*N135/Inputs!$B$16-AH135</f>
        <v>-0.000161820822950771</v>
      </c>
      <c r="AJ135" s="30" t="n">
        <f aca="false">MAX(AE135,0)*(Inputs!$B$17+Inputs!$B$24+Inputs!$B$25)+MAX(-AE135,0)*(O135+Inputs!$B$24+Inputs!$B$25)+IF(AND(K135=1,AB135&lt;&gt;0),(Inputs!$B$17+Inputs!$B$24+Inputs!$B$25)+(O135+Inputs!$B$24+Inputs!$B$25),0)+MAX(AG135,0)*(Inputs!$B$20+Inputs!$B$26+Inputs!$B$27)+MAX(-AG135,0)*(Inputs!$B$21+Inputs!$B$26+Inputs!$B$27)</f>
        <v>0</v>
      </c>
      <c r="AK135" s="30" t="n">
        <f aca="false">AB134*(M135-AD134*J135)+AB134*AD134*(N135+Inputs!$B$14)/Inputs!$B$16-AJ135</f>
        <v>-0.00019233710200642</v>
      </c>
      <c r="AL135" s="30" t="n">
        <f aca="false">IF(AP134&lt;&gt;0,AQ134+1,0)</f>
        <v>7</v>
      </c>
      <c r="AM135" s="30" t="n">
        <f aca="false">IF(W135="",0,IF(AND(AP134&lt;&gt;0,OR(ABS(W135)&gt;Inputs!$B$7,AL135&gt;=Inputs!$B$8,ABS(W135)&lt;Inputs!$B$6)),1,0))</f>
        <v>0</v>
      </c>
      <c r="AN135" s="30" t="n">
        <f aca="false">IF(AM135=1,0,AP134)</f>
        <v>-1</v>
      </c>
      <c r="AO135" s="30" t="n">
        <f aca="false">IF(W135="",0,IF(AND(AN135=0,ABS(W135)&gt;Inputs!$B$5,ABS(W135)&lt;=Inputs!$B$7,W135&gt;0),1,0))</f>
        <v>0</v>
      </c>
      <c r="AP135" s="30" t="n">
        <f aca="false">IF(W135="",0,IF(AO135=1,-SIGN(W135),AN135))</f>
        <v>-1</v>
      </c>
      <c r="AQ135" s="30" t="n">
        <f aca="false">IF(W135="",0,IF(AO135=1,0,IF(AM135=1,0,AL135)))</f>
        <v>7</v>
      </c>
      <c r="AR135" s="29" t="n">
        <f aca="false">IF(AP135=0,0,IF(AP134=AP135,AR134,T135))</f>
        <v>1.02534697626981</v>
      </c>
      <c r="AS135" s="30" t="n">
        <f aca="false">AP135-AP134</f>
        <v>0</v>
      </c>
      <c r="AT135" s="30" t="n">
        <f aca="false">-AR135*AP135</f>
        <v>1.02534697626981</v>
      </c>
      <c r="AU135" s="30" t="n">
        <f aca="false">AT135-AT134</f>
        <v>0</v>
      </c>
      <c r="AV135" s="30" t="n">
        <f aca="false">MAX(AS135,0)*(Inputs!$B$17+Inputs!$B$18+Inputs!$B$19)+MAX(-AS135,0)*(O135+Inputs!$B$18+Inputs!$B$19)+IF(AND(K135=1,AP135&lt;&gt;0),(Inputs!$B$17+Inputs!$B$18+Inputs!$B$19)+(O135+Inputs!$B$18+Inputs!$B$19),0)+MAX(AU135,0)*(Inputs!$B$20+Inputs!$B$22+Inputs!$B$23)+MAX(-AU135,0)*(Inputs!$B$21+Inputs!$B$22+Inputs!$B$23)</f>
        <v>0</v>
      </c>
      <c r="AW135" s="30" t="n">
        <f aca="false">AP134*(M135-AR134*J135)+AP134*AR134*N135/Inputs!$B$16-AV135</f>
        <v>-0.000161820822950771</v>
      </c>
      <c r="AX135" s="30" t="n">
        <f aca="false">AW135-IF(AP134&lt;&gt;0,0.75*AR134*(Inputs!$B$13-N135)/Inputs!$B$16,0)</f>
        <v>-0.000390692915868139</v>
      </c>
      <c r="AY135" s="30" t="n">
        <f aca="false">MAX(AS135,0)*(Inputs!$B$17+Inputs!$B$18+Inputs!$B$19)+MAX(-AS135,0)*(O135+Inputs!$B$18+Inputs!$B$19)+IF(AND(K135=1,AP135&lt;&gt;0),(Inputs!$B$17+Inputs!$B$18+Inputs!$B$19)+(O135+Inputs!$B$18+Inputs!$B$19),0)</f>
        <v>0</v>
      </c>
      <c r="AZ135" s="30" t="n">
        <f aca="false">AP134*M135-AY135</f>
        <v>0.000102653595531521</v>
      </c>
      <c r="BA135" s="32" t="n">
        <f aca="false">BA134+AI135</f>
        <v>-0.00432998316343116</v>
      </c>
      <c r="BB135" s="30" t="n">
        <f aca="false">MAX(BB134,BA135)</f>
        <v>0</v>
      </c>
      <c r="BC135" s="32" t="n">
        <f aca="false">BA135-BB135</f>
        <v>-0.00432998316343116</v>
      </c>
      <c r="BD135" s="30" t="n">
        <f aca="false">A136-A135</f>
        <v>1</v>
      </c>
    </row>
    <row r="136" customFormat="false" ht="15" hidden="false" customHeight="false" outlineLevel="0" collapsed="false">
      <c r="A136" s="28" t="n">
        <v>45238</v>
      </c>
      <c r="B136" s="0" t="n">
        <v>19487</v>
      </c>
      <c r="C136" s="0" t="n">
        <v>214.9</v>
      </c>
      <c r="D136" s="29" t="n">
        <f aca="false">LN(B136)</f>
        <v>9.87750285556414</v>
      </c>
      <c r="E136" s="29" t="n">
        <f aca="false">LN(C136)</f>
        <v>5.37017280364846</v>
      </c>
      <c r="F136" s="0" t="n">
        <v>131</v>
      </c>
      <c r="G136" s="0" t="n">
        <v>22</v>
      </c>
      <c r="H136" s="29" t="n">
        <f aca="false">D136-E136</f>
        <v>4.50733005191567</v>
      </c>
      <c r="I136" s="29" t="n">
        <f aca="false">D136-D135</f>
        <v>0.000256614233233421</v>
      </c>
      <c r="J136" s="29" t="n">
        <f aca="false">E136-E135</f>
        <v>0.0013969734518664</v>
      </c>
      <c r="K136" s="0" t="n">
        <v>0</v>
      </c>
      <c r="L136" s="0" t="n">
        <v>0</v>
      </c>
      <c r="M136" s="29" t="n">
        <f aca="false">IF(L136=1,J136-Carry!$B$9/Inputs!$B$16,I136)</f>
        <v>0.000256614233233421</v>
      </c>
      <c r="N136" s="0" t="n">
        <v>0.065</v>
      </c>
      <c r="O136" s="0" t="n">
        <v>0.000125</v>
      </c>
      <c r="P136" s="29" t="n">
        <f aca="false">D136-('2 Hedge ratio'!$B$6+'2 Hedge ratio'!$B$5*E136)</f>
        <v>-0.00407623298539761</v>
      </c>
      <c r="Q136" s="29" t="n">
        <f aca="false">D136-('5 Re-specification'!$B$7+'5 Re-specification'!$B$5*E136+'5 Re-specification'!$B$6*F136)</f>
        <v>-0.00171091956629432</v>
      </c>
      <c r="R136" s="30" t="n">
        <f aca="false">MIN(F136,Inputs!$B$9)</f>
        <v>131</v>
      </c>
      <c r="S136" s="29" t="n">
        <f aca="true">IF(AND(F136&gt;=1,R136&gt;=Inputs!$B$10),INDEX(LINEST(OFFSET(D136,-R136,0,R136,1),OFFSET(E136,-R136,0,R136,2)),1,1),"")</f>
        <v>-8.95463715062043E-005</v>
      </c>
      <c r="T136" s="29" t="n">
        <f aca="true">IF(AND(F136&gt;=1,R136&gt;=Inputs!$B$10),INDEX(LINEST(OFFSET(D136,-R136,0,R136,1),OFFSET(E136,-R136,0,R136,2)),1,2),"")</f>
        <v>0.99753021731537</v>
      </c>
      <c r="U136" s="29" t="n">
        <f aca="true">IF(AND(F136&gt;=1,R136&gt;=Inputs!$B$10),INDEX(LINEST(OFFSET(D136,-R136,0,R136,1),OFFSET(E136,-R136,0,R136,2)),1,3),"")</f>
        <v>4.5303858132547</v>
      </c>
      <c r="V136" s="29" t="n">
        <f aca="true">IF(AND(F136&gt;=1,R136&gt;=Inputs!$B$10),SQRT(SUMPRODUCT((OFFSET(D136,-R136,0,R136,1)-U136-T136*OFFSET(E136,-R136,0,R136,1)-S136*OFFSET(F136,-R136,0,R136,1))^2)/(R136-3)),"")</f>
        <v>0.00215031551894085</v>
      </c>
      <c r="W136" s="31" t="n">
        <f aca="false">IF(AND(F136&gt;=1,R136&gt;=Inputs!$B$10),(D136-U136-T136*E136-S136*F136)/V136,"")</f>
        <v>0.901250590963311</v>
      </c>
      <c r="X136" s="30" t="n">
        <f aca="false">IF(AB135&lt;&gt;0,AC135+1,0)</f>
        <v>8</v>
      </c>
      <c r="Y136" s="30" t="n">
        <f aca="false">IF(W136="",0,IF(AND(AB135&lt;&gt;0,OR(ABS(W136)&gt;Inputs!$B$7,X136&gt;=Inputs!$B$8,ABS(W136)&lt;Inputs!$B$6)),1,0))</f>
        <v>0</v>
      </c>
      <c r="Z136" s="30" t="n">
        <f aca="false">IF(Y136=1,0,AB135)</f>
        <v>-1</v>
      </c>
      <c r="AA136" s="30" t="n">
        <f aca="false">IF(W136="",0,IF(AND(Z136=0,ABS(W136)&gt;Inputs!$B$5,ABS(W136)&lt;=Inputs!$B$7),1,0))</f>
        <v>0</v>
      </c>
      <c r="AB136" s="30" t="n">
        <f aca="false">IF(W136="",0,IF(AA136=1,-SIGN(W136),Z136))</f>
        <v>-1</v>
      </c>
      <c r="AC136" s="30" t="n">
        <f aca="false">IF(W136="",0,IF(AA136=1,0,IF(Y136=1,0,X136)))</f>
        <v>8</v>
      </c>
      <c r="AD136" s="29" t="n">
        <f aca="false">IF(AB136=0,0,IF(AB135=AB136,AD135,T136))</f>
        <v>1.02534697626981</v>
      </c>
      <c r="AE136" s="30" t="n">
        <f aca="false">AB136-AB135</f>
        <v>0</v>
      </c>
      <c r="AF136" s="30" t="n">
        <f aca="false">-AD136*AB136</f>
        <v>1.02534697626981</v>
      </c>
      <c r="AG136" s="30" t="n">
        <f aca="false">AF136-AF135</f>
        <v>0</v>
      </c>
      <c r="AH136" s="30" t="n">
        <f aca="false">MAX(AE136,0)*(Inputs!$B$17+Inputs!$B$18+Inputs!$B$19)+MAX(-AE136,0)*(O136+Inputs!$B$18+Inputs!$B$19)+IF(AND(K136=1,AB136&lt;&gt;0),(Inputs!$B$17+Inputs!$B$18+Inputs!$B$19)+(O136+Inputs!$B$18+Inputs!$B$19),0)+MAX(AG136,0)*(Inputs!$B$20+Inputs!$B$22+Inputs!$B$23)+MAX(-AG136,0)*(Inputs!$B$21+Inputs!$B$22+Inputs!$B$23)</f>
        <v>0</v>
      </c>
      <c r="AI136" s="30" t="n">
        <f aca="false">AB135*(M136-AD135*J136)+AB135*AD135*N136/Inputs!$B$16-AH136</f>
        <v>0.000911293853084699</v>
      </c>
      <c r="AJ136" s="30" t="n">
        <f aca="false">MAX(AE136,0)*(Inputs!$B$17+Inputs!$B$24+Inputs!$B$25)+MAX(-AE136,0)*(O136+Inputs!$B$24+Inputs!$B$25)+IF(AND(K136=1,AB136&lt;&gt;0),(Inputs!$B$17+Inputs!$B$24+Inputs!$B$25)+(O136+Inputs!$B$24+Inputs!$B$25),0)+MAX(AG136,0)*(Inputs!$B$20+Inputs!$B$26+Inputs!$B$27)+MAX(-AG136,0)*(Inputs!$B$21+Inputs!$B$26+Inputs!$B$27)</f>
        <v>0</v>
      </c>
      <c r="AK136" s="30" t="n">
        <f aca="false">AB135*(M136-AD135*J136)+AB135*AD135*(N136+Inputs!$B$14)/Inputs!$B$16-AJ136</f>
        <v>0.00088077757402905</v>
      </c>
      <c r="AL136" s="30" t="n">
        <f aca="false">IF(AP135&lt;&gt;0,AQ135+1,0)</f>
        <v>8</v>
      </c>
      <c r="AM136" s="30" t="n">
        <f aca="false">IF(W136="",0,IF(AND(AP135&lt;&gt;0,OR(ABS(W136)&gt;Inputs!$B$7,AL136&gt;=Inputs!$B$8,ABS(W136)&lt;Inputs!$B$6)),1,0))</f>
        <v>0</v>
      </c>
      <c r="AN136" s="30" t="n">
        <f aca="false">IF(AM136=1,0,AP135)</f>
        <v>-1</v>
      </c>
      <c r="AO136" s="30" t="n">
        <f aca="false">IF(W136="",0,IF(AND(AN136=0,ABS(W136)&gt;Inputs!$B$5,ABS(W136)&lt;=Inputs!$B$7,W136&gt;0),1,0))</f>
        <v>0</v>
      </c>
      <c r="AP136" s="30" t="n">
        <f aca="false">IF(W136="",0,IF(AO136=1,-SIGN(W136),AN136))</f>
        <v>-1</v>
      </c>
      <c r="AQ136" s="30" t="n">
        <f aca="false">IF(W136="",0,IF(AO136=1,0,IF(AM136=1,0,AL136)))</f>
        <v>8</v>
      </c>
      <c r="AR136" s="29" t="n">
        <f aca="false">IF(AP136=0,0,IF(AP135=AP136,AR135,T136))</f>
        <v>1.02534697626981</v>
      </c>
      <c r="AS136" s="30" t="n">
        <f aca="false">AP136-AP135</f>
        <v>0</v>
      </c>
      <c r="AT136" s="30" t="n">
        <f aca="false">-AR136*AP136</f>
        <v>1.02534697626981</v>
      </c>
      <c r="AU136" s="30" t="n">
        <f aca="false">AT136-AT135</f>
        <v>0</v>
      </c>
      <c r="AV136" s="30" t="n">
        <f aca="false">MAX(AS136,0)*(Inputs!$B$17+Inputs!$B$18+Inputs!$B$19)+MAX(-AS136,0)*(O136+Inputs!$B$18+Inputs!$B$19)+IF(AND(K136=1,AP136&lt;&gt;0),(Inputs!$B$17+Inputs!$B$18+Inputs!$B$19)+(O136+Inputs!$B$18+Inputs!$B$19),0)+MAX(AU136,0)*(Inputs!$B$20+Inputs!$B$22+Inputs!$B$23)+MAX(-AU136,0)*(Inputs!$B$21+Inputs!$B$22+Inputs!$B$23)</f>
        <v>0</v>
      </c>
      <c r="AW136" s="30" t="n">
        <f aca="false">AP135*(M136-AR135*J136)+AP135*AR135*N136/Inputs!$B$16-AV136</f>
        <v>0.000911293853084699</v>
      </c>
      <c r="AX136" s="30" t="n">
        <f aca="false">AW136-IF(AP135&lt;&gt;0,0.75*AR135*(Inputs!$B$13-N136)/Inputs!$B$16,0)</f>
        <v>0.000682421760167331</v>
      </c>
      <c r="AY136" s="30" t="n">
        <f aca="false">MAX(AS136,0)*(Inputs!$B$17+Inputs!$B$18+Inputs!$B$19)+MAX(-AS136,0)*(O136+Inputs!$B$18+Inputs!$B$19)+IF(AND(K136=1,AP136&lt;&gt;0),(Inputs!$B$17+Inputs!$B$18+Inputs!$B$19)+(O136+Inputs!$B$18+Inputs!$B$19),0)</f>
        <v>0</v>
      </c>
      <c r="AZ136" s="30" t="n">
        <f aca="false">AP135*M136-AY136</f>
        <v>-0.000256614233233421</v>
      </c>
      <c r="BA136" s="32" t="n">
        <f aca="false">BA135+AI136</f>
        <v>-0.00341868931034646</v>
      </c>
      <c r="BB136" s="30" t="n">
        <f aca="false">MAX(BB135,BA136)</f>
        <v>0</v>
      </c>
      <c r="BC136" s="32" t="n">
        <f aca="false">BA136-BB136</f>
        <v>-0.00341868931034646</v>
      </c>
      <c r="BD136" s="30" t="n">
        <f aca="false">A137-A136</f>
        <v>1</v>
      </c>
    </row>
    <row r="137" customFormat="false" ht="15" hidden="false" customHeight="false" outlineLevel="0" collapsed="false">
      <c r="A137" s="28" t="n">
        <v>45239</v>
      </c>
      <c r="B137" s="0" t="n">
        <v>19479.95</v>
      </c>
      <c r="C137" s="0" t="n">
        <v>214.34</v>
      </c>
      <c r="D137" s="29" t="n">
        <f aca="false">LN(B137)</f>
        <v>9.87714101045812</v>
      </c>
      <c r="E137" s="29" t="n">
        <f aca="false">LN(C137)</f>
        <v>5.36756353928485</v>
      </c>
      <c r="F137" s="0" t="n">
        <v>132</v>
      </c>
      <c r="G137" s="0" t="n">
        <v>21</v>
      </c>
      <c r="H137" s="29" t="n">
        <f aca="false">D137-E137</f>
        <v>4.50957747117327</v>
      </c>
      <c r="I137" s="29" t="n">
        <f aca="false">D137-D136</f>
        <v>-0.000361845106015224</v>
      </c>
      <c r="J137" s="29" t="n">
        <f aca="false">E137-E136</f>
        <v>-0.00260926436361331</v>
      </c>
      <c r="K137" s="0" t="n">
        <v>0</v>
      </c>
      <c r="L137" s="0" t="n">
        <v>0</v>
      </c>
      <c r="M137" s="29" t="n">
        <f aca="false">IF(L137=1,J137-Carry!$B$9/Inputs!$B$16,I137)</f>
        <v>-0.000361845106015224</v>
      </c>
      <c r="N137" s="0" t="n">
        <v>0.065</v>
      </c>
      <c r="O137" s="0" t="n">
        <v>0.000125</v>
      </c>
      <c r="P137" s="29" t="n">
        <f aca="false">D137-('2 Hedge ratio'!$B$6+'2 Hedge ratio'!$B$5*E137)</f>
        <v>-0.00204766118595856</v>
      </c>
      <c r="Q137" s="29" t="n">
        <f aca="false">D137-('5 Re-specification'!$B$7+'5 Re-specification'!$B$5*E137+'5 Re-specification'!$B$6*F137)</f>
        <v>0.000573521633691954</v>
      </c>
      <c r="R137" s="30" t="n">
        <f aca="false">MIN(F137,Inputs!$B$9)</f>
        <v>132</v>
      </c>
      <c r="S137" s="29" t="n">
        <f aca="true">IF(AND(F137&gt;=1,R137&gt;=Inputs!$B$10),INDEX(LINEST(OFFSET(D137,-R137,0,R137,1),OFFSET(E137,-R137,0,R137,2)),1,1),"")</f>
        <v>-8.82426764842778E-005</v>
      </c>
      <c r="T137" s="29" t="n">
        <f aca="true">IF(AND(F137&gt;=1,R137&gt;=Inputs!$B$10),INDEX(LINEST(OFFSET(D137,-R137,0,R137,1),OFFSET(E137,-R137,0,R137,2)),1,2),"")</f>
        <v>0.996528532930334</v>
      </c>
      <c r="U137" s="29" t="n">
        <f aca="true">IF(AND(F137&gt;=1,R137&gt;=Inputs!$B$10),INDEX(LINEST(OFFSET(D137,-R137,0,R137,1),OFFSET(E137,-R137,0,R137,2)),1,3),"")</f>
        <v>4.53567794764903</v>
      </c>
      <c r="V137" s="29" t="n">
        <f aca="true">IF(AND(F137&gt;=1,R137&gt;=Inputs!$B$10),SQRT(SUMPRODUCT((OFFSET(D137,-R137,0,R137,1)-U137-T137*OFFSET(E137,-R137,0,R137,1)-S137*OFFSET(F137,-R137,0,R137,1))^2)/(R137-3)),"")</f>
        <v>0.00214845754205266</v>
      </c>
      <c r="W137" s="31" t="n">
        <f aca="false">IF(AND(F137&gt;=1,R137&gt;=Inputs!$B$10),(D137-U137-T137*E137-S137*F137)/V137,"")</f>
        <v>1.94598999947639</v>
      </c>
      <c r="X137" s="30" t="n">
        <f aca="false">IF(AB136&lt;&gt;0,AC136+1,0)</f>
        <v>9</v>
      </c>
      <c r="Y137" s="30" t="n">
        <f aca="false">IF(W137="",0,IF(AND(AB136&lt;&gt;0,OR(ABS(W137)&gt;Inputs!$B$7,X137&gt;=Inputs!$B$8,ABS(W137)&lt;Inputs!$B$6)),1,0))</f>
        <v>0</v>
      </c>
      <c r="Z137" s="30" t="n">
        <f aca="false">IF(Y137=1,0,AB136)</f>
        <v>-1</v>
      </c>
      <c r="AA137" s="30" t="n">
        <f aca="false">IF(W137="",0,IF(AND(Z137=0,ABS(W137)&gt;Inputs!$B$5,ABS(W137)&lt;=Inputs!$B$7),1,0))</f>
        <v>0</v>
      </c>
      <c r="AB137" s="30" t="n">
        <f aca="false">IF(W137="",0,IF(AA137=1,-SIGN(W137),Z137))</f>
        <v>-1</v>
      </c>
      <c r="AC137" s="30" t="n">
        <f aca="false">IF(W137="",0,IF(AA137=1,0,IF(Y137=1,0,X137)))</f>
        <v>9</v>
      </c>
      <c r="AD137" s="29" t="n">
        <f aca="false">IF(AB137=0,0,IF(AB136=AB137,AD136,T137))</f>
        <v>1.02534697626981</v>
      </c>
      <c r="AE137" s="30" t="n">
        <f aca="false">AB137-AB136</f>
        <v>0</v>
      </c>
      <c r="AF137" s="30" t="n">
        <f aca="false">-AD137*AB137</f>
        <v>1.02534697626981</v>
      </c>
      <c r="AG137" s="30" t="n">
        <f aca="false">AF137-AF136</f>
        <v>0</v>
      </c>
      <c r="AH137" s="30" t="n">
        <f aca="false">MAX(AE137,0)*(Inputs!$B$17+Inputs!$B$18+Inputs!$B$19)+MAX(-AE137,0)*(O137+Inputs!$B$18+Inputs!$B$19)+IF(AND(K137=1,AB137&lt;&gt;0),(Inputs!$B$17+Inputs!$B$18+Inputs!$B$19)+(O137+Inputs!$B$18+Inputs!$B$19),0)+MAX(AG137,0)*(Inputs!$B$20+Inputs!$B$22+Inputs!$B$23)+MAX(-AG137,0)*(Inputs!$B$21+Inputs!$B$22+Inputs!$B$23)</f>
        <v>0</v>
      </c>
      <c r="AI137" s="30" t="n">
        <f aca="false">AB136*(M137-AD136*J137)+AB136*AD136*N137/Inputs!$B$16-AH137</f>
        <v>-0.00257803063798654</v>
      </c>
      <c r="AJ137" s="30" t="n">
        <f aca="false">MAX(AE137,0)*(Inputs!$B$17+Inputs!$B$24+Inputs!$B$25)+MAX(-AE137,0)*(O137+Inputs!$B$24+Inputs!$B$25)+IF(AND(K137=1,AB137&lt;&gt;0),(Inputs!$B$17+Inputs!$B$24+Inputs!$B$25)+(O137+Inputs!$B$24+Inputs!$B$25),0)+MAX(AG137,0)*(Inputs!$B$20+Inputs!$B$26+Inputs!$B$27)+MAX(-AG137,0)*(Inputs!$B$21+Inputs!$B$26+Inputs!$B$27)</f>
        <v>0</v>
      </c>
      <c r="AK137" s="30" t="n">
        <f aca="false">AB136*(M137-AD136*J137)+AB136*AD136*(N137+Inputs!$B$14)/Inputs!$B$16-AJ137</f>
        <v>-0.00260854691704219</v>
      </c>
      <c r="AL137" s="30" t="n">
        <f aca="false">IF(AP136&lt;&gt;0,AQ136+1,0)</f>
        <v>9</v>
      </c>
      <c r="AM137" s="30" t="n">
        <f aca="false">IF(W137="",0,IF(AND(AP136&lt;&gt;0,OR(ABS(W137)&gt;Inputs!$B$7,AL137&gt;=Inputs!$B$8,ABS(W137)&lt;Inputs!$B$6)),1,0))</f>
        <v>0</v>
      </c>
      <c r="AN137" s="30" t="n">
        <f aca="false">IF(AM137=1,0,AP136)</f>
        <v>-1</v>
      </c>
      <c r="AO137" s="30" t="n">
        <f aca="false">IF(W137="",0,IF(AND(AN137=0,ABS(W137)&gt;Inputs!$B$5,ABS(W137)&lt;=Inputs!$B$7,W137&gt;0),1,0))</f>
        <v>0</v>
      </c>
      <c r="AP137" s="30" t="n">
        <f aca="false">IF(W137="",0,IF(AO137=1,-SIGN(W137),AN137))</f>
        <v>-1</v>
      </c>
      <c r="AQ137" s="30" t="n">
        <f aca="false">IF(W137="",0,IF(AO137=1,0,IF(AM137=1,0,AL137)))</f>
        <v>9</v>
      </c>
      <c r="AR137" s="29" t="n">
        <f aca="false">IF(AP137=0,0,IF(AP136=AP137,AR136,T137))</f>
        <v>1.02534697626981</v>
      </c>
      <c r="AS137" s="30" t="n">
        <f aca="false">AP137-AP136</f>
        <v>0</v>
      </c>
      <c r="AT137" s="30" t="n">
        <f aca="false">-AR137*AP137</f>
        <v>1.02534697626981</v>
      </c>
      <c r="AU137" s="30" t="n">
        <f aca="false">AT137-AT136</f>
        <v>0</v>
      </c>
      <c r="AV137" s="30" t="n">
        <f aca="false">MAX(AS137,0)*(Inputs!$B$17+Inputs!$B$18+Inputs!$B$19)+MAX(-AS137,0)*(O137+Inputs!$B$18+Inputs!$B$19)+IF(AND(K137=1,AP137&lt;&gt;0),(Inputs!$B$17+Inputs!$B$18+Inputs!$B$19)+(O137+Inputs!$B$18+Inputs!$B$19),0)+MAX(AU137,0)*(Inputs!$B$20+Inputs!$B$22+Inputs!$B$23)+MAX(-AU137,0)*(Inputs!$B$21+Inputs!$B$22+Inputs!$B$23)</f>
        <v>0</v>
      </c>
      <c r="AW137" s="30" t="n">
        <f aca="false">AP136*(M137-AR136*J137)+AP136*AR136*N137/Inputs!$B$16-AV137</f>
        <v>-0.00257803063798654</v>
      </c>
      <c r="AX137" s="30" t="n">
        <f aca="false">AW137-IF(AP136&lt;&gt;0,0.75*AR136*(Inputs!$B$13-N137)/Inputs!$B$16,0)</f>
        <v>-0.00280690273090391</v>
      </c>
      <c r="AY137" s="30" t="n">
        <f aca="false">MAX(AS137,0)*(Inputs!$B$17+Inputs!$B$18+Inputs!$B$19)+MAX(-AS137,0)*(O137+Inputs!$B$18+Inputs!$B$19)+IF(AND(K137=1,AP137&lt;&gt;0),(Inputs!$B$17+Inputs!$B$18+Inputs!$B$19)+(O137+Inputs!$B$18+Inputs!$B$19),0)</f>
        <v>0</v>
      </c>
      <c r="AZ137" s="30" t="n">
        <f aca="false">AP136*M137-AY137</f>
        <v>0.000361845106015224</v>
      </c>
      <c r="BA137" s="32" t="n">
        <f aca="false">BA136+AI137</f>
        <v>-0.005996719948333</v>
      </c>
      <c r="BB137" s="30" t="n">
        <f aca="false">MAX(BB136,BA137)</f>
        <v>0</v>
      </c>
      <c r="BC137" s="32" t="n">
        <f aca="false">BA137-BB137</f>
        <v>-0.005996719948333</v>
      </c>
      <c r="BD137" s="30" t="n">
        <f aca="false">A138-A137</f>
        <v>1</v>
      </c>
    </row>
    <row r="138" customFormat="false" ht="15" hidden="false" customHeight="false" outlineLevel="0" collapsed="false">
      <c r="A138" s="28" t="n">
        <v>45240</v>
      </c>
      <c r="B138" s="0" t="n">
        <v>19500.3</v>
      </c>
      <c r="C138" s="0" t="n">
        <v>214.6</v>
      </c>
      <c r="D138" s="29" t="n">
        <f aca="false">LN(B138)</f>
        <v>9.87818512904888</v>
      </c>
      <c r="E138" s="29" t="n">
        <f aca="false">LN(C138)</f>
        <v>5.3687758301966</v>
      </c>
      <c r="F138" s="0" t="n">
        <v>133</v>
      </c>
      <c r="G138" s="0" t="n">
        <v>20</v>
      </c>
      <c r="H138" s="29" t="n">
        <f aca="false">D138-E138</f>
        <v>4.50940929885228</v>
      </c>
      <c r="I138" s="29" t="n">
        <f aca="false">D138-D137</f>
        <v>0.00104411859076059</v>
      </c>
      <c r="J138" s="29" t="n">
        <f aca="false">E138-E137</f>
        <v>0.00121229091174691</v>
      </c>
      <c r="K138" s="0" t="n">
        <v>0</v>
      </c>
      <c r="L138" s="0" t="n">
        <v>0</v>
      </c>
      <c r="M138" s="29" t="n">
        <f aca="false">IF(L138=1,J138-Carry!$B$9/Inputs!$B$16,I138)</f>
        <v>0.00104411859076059</v>
      </c>
      <c r="N138" s="0" t="n">
        <v>0.065</v>
      </c>
      <c r="O138" s="0" t="n">
        <v>0.000125</v>
      </c>
      <c r="P138" s="29" t="n">
        <f aca="false">D138-('2 Hedge ratio'!$B$6+'2 Hedge ratio'!$B$5*E138)</f>
        <v>-0.00211415473944143</v>
      </c>
      <c r="Q138" s="29" t="n">
        <f aca="false">D138-('5 Re-specification'!$B$7+'5 Re-specification'!$B$5*E138+'5 Re-specification'!$B$6*F138)</f>
        <v>0.000453952478435937</v>
      </c>
      <c r="R138" s="30" t="n">
        <f aca="false">MIN(F138,Inputs!$B$9)</f>
        <v>133</v>
      </c>
      <c r="S138" s="29" t="n">
        <f aca="true">IF(AND(F138&gt;=1,R138&gt;=Inputs!$B$10),INDEX(LINEST(OFFSET(D138,-R138,0,R138,1),OFFSET(E138,-R138,0,R138,2)),1,1),"")</f>
        <v>-8.53690162659493E-005</v>
      </c>
      <c r="T138" s="29" t="n">
        <f aca="true">IF(AND(F138&gt;=1,R138&gt;=Inputs!$B$10),INDEX(LINEST(OFFSET(D138,-R138,0,R138,1),OFFSET(E138,-R138,0,R138,2)),1,2),"")</f>
        <v>0.994203498010783</v>
      </c>
      <c r="U138" s="29" t="n">
        <f aca="true">IF(AND(F138&gt;=1,R138&gt;=Inputs!$B$10),INDEX(LINEST(OFFSET(D138,-R138,0,R138,1),OFFSET(E138,-R138,0,R138,2)),1,3),"")</f>
        <v>4.54796779586625</v>
      </c>
      <c r="V138" s="29" t="n">
        <f aca="true">IF(AND(F138&gt;=1,R138&gt;=Inputs!$B$10),SQRT(SUMPRODUCT((OFFSET(D138,-R138,0,R138,1)-U138-T138*OFFSET(E138,-R138,0,R138,1)-S138*OFFSET(F138,-R138,0,R138,1))^2)/(R138-3)),"")</f>
        <v>0.00216996115598558</v>
      </c>
      <c r="W138" s="31" t="n">
        <f aca="false">IF(AND(F138&gt;=1,R138&gt;=Inputs!$B$10),(D138-U138-T138*E138-S138*F138)/V138,"")</f>
        <v>1.80450323638158</v>
      </c>
      <c r="X138" s="30" t="n">
        <f aca="false">IF(AB137&lt;&gt;0,AC137+1,0)</f>
        <v>10</v>
      </c>
      <c r="Y138" s="30" t="n">
        <f aca="false">IF(W138="",0,IF(AND(AB137&lt;&gt;0,OR(ABS(W138)&gt;Inputs!$B$7,X138&gt;=Inputs!$B$8,ABS(W138)&lt;Inputs!$B$6)),1,0))</f>
        <v>1</v>
      </c>
      <c r="Z138" s="30" t="n">
        <f aca="false">IF(Y138=1,0,AB137)</f>
        <v>0</v>
      </c>
      <c r="AA138" s="30" t="n">
        <f aca="false">IF(W138="",0,IF(AND(Z138=0,ABS(W138)&gt;Inputs!$B$5,ABS(W138)&lt;=Inputs!$B$7),1,0))</f>
        <v>0</v>
      </c>
      <c r="AB138" s="30" t="n">
        <f aca="false">IF(W138="",0,IF(AA138=1,-SIGN(W138),Z138))</f>
        <v>0</v>
      </c>
      <c r="AC138" s="30" t="n">
        <f aca="false">IF(W138="",0,IF(AA138=1,0,IF(Y138=1,0,X138)))</f>
        <v>0</v>
      </c>
      <c r="AD138" s="30" t="n">
        <f aca="false">IF(AB138=0,0,IF(AB137=AB138,AD137,T138))</f>
        <v>0</v>
      </c>
      <c r="AE138" s="30" t="n">
        <f aca="false">AB138-AB137</f>
        <v>1</v>
      </c>
      <c r="AF138" s="30" t="n">
        <f aca="false">-AD138*AB138</f>
        <v>-0</v>
      </c>
      <c r="AG138" s="30" t="n">
        <f aca="false">AF138-AF137</f>
        <v>-1.02534697626981</v>
      </c>
      <c r="AH138" s="30" t="n">
        <f aca="false">MAX(AE138,0)*(Inputs!$B$17+Inputs!$B$18+Inputs!$B$19)+MAX(-AE138,0)*(O138+Inputs!$B$18+Inputs!$B$19)+IF(AND(K138=1,AB138&lt;&gt;0),(Inputs!$B$17+Inputs!$B$18+Inputs!$B$19)+(O138+Inputs!$B$18+Inputs!$B$19),0)+MAX(AG138,0)*(Inputs!$B$20+Inputs!$B$22+Inputs!$B$23)+MAX(-AG138,0)*(Inputs!$B$21+Inputs!$B$22+Inputs!$B$23)</f>
        <v>0.00037032286501666</v>
      </c>
      <c r="AI138" s="30" t="n">
        <f aca="false">AB137*(M138-AD137*J138)+AB137*AD137*N138/Inputs!$B$16-AH138</f>
        <v>-0.000435897053540483</v>
      </c>
      <c r="AJ138" s="30" t="n">
        <f aca="false">MAX(AE138,0)*(Inputs!$B$17+Inputs!$B$24+Inputs!$B$25)+MAX(-AE138,0)*(O138+Inputs!$B$24+Inputs!$B$25)+IF(AND(K138=1,AB138&lt;&gt;0),(Inputs!$B$17+Inputs!$B$24+Inputs!$B$25)+(O138+Inputs!$B$24+Inputs!$B$25),0)+MAX(AG138,0)*(Inputs!$B$20+Inputs!$B$26+Inputs!$B$27)+MAX(-AG138,0)*(Inputs!$B$21+Inputs!$B$26+Inputs!$B$27)</f>
        <v>0.000207914902271028</v>
      </c>
      <c r="AK138" s="30" t="n">
        <f aca="false">AB137*(M138-AD137*J138)+AB137*AD137*(N138+Inputs!$B$14)/Inputs!$B$16-AJ138</f>
        <v>-0.000304005369850501</v>
      </c>
      <c r="AL138" s="30" t="n">
        <f aca="false">IF(AP137&lt;&gt;0,AQ137+1,0)</f>
        <v>10</v>
      </c>
      <c r="AM138" s="30" t="n">
        <f aca="false">IF(W138="",0,IF(AND(AP137&lt;&gt;0,OR(ABS(W138)&gt;Inputs!$B$7,AL138&gt;=Inputs!$B$8,ABS(W138)&lt;Inputs!$B$6)),1,0))</f>
        <v>1</v>
      </c>
      <c r="AN138" s="30" t="n">
        <f aca="false">IF(AM138=1,0,AP137)</f>
        <v>0</v>
      </c>
      <c r="AO138" s="30" t="n">
        <f aca="false">IF(W138="",0,IF(AND(AN138=0,ABS(W138)&gt;Inputs!$B$5,ABS(W138)&lt;=Inputs!$B$7,W138&gt;0),1,0))</f>
        <v>0</v>
      </c>
      <c r="AP138" s="30" t="n">
        <f aca="false">IF(W138="",0,IF(AO138=1,-SIGN(W138),AN138))</f>
        <v>0</v>
      </c>
      <c r="AQ138" s="30" t="n">
        <f aca="false">IF(W138="",0,IF(AO138=1,0,IF(AM138=1,0,AL138)))</f>
        <v>0</v>
      </c>
      <c r="AR138" s="30" t="n">
        <f aca="false">IF(AP138=0,0,IF(AP137=AP138,AR137,T138))</f>
        <v>0</v>
      </c>
      <c r="AS138" s="30" t="n">
        <f aca="false">AP138-AP137</f>
        <v>1</v>
      </c>
      <c r="AT138" s="30" t="n">
        <f aca="false">-AR138*AP138</f>
        <v>-0</v>
      </c>
      <c r="AU138" s="30" t="n">
        <f aca="false">AT138-AT137</f>
        <v>-1.02534697626981</v>
      </c>
      <c r="AV138" s="30" t="n">
        <f aca="false">MAX(AS138,0)*(Inputs!$B$17+Inputs!$B$18+Inputs!$B$19)+MAX(-AS138,0)*(O138+Inputs!$B$18+Inputs!$B$19)+IF(AND(K138=1,AP138&lt;&gt;0),(Inputs!$B$17+Inputs!$B$18+Inputs!$B$19)+(O138+Inputs!$B$18+Inputs!$B$19),0)+MAX(AU138,0)*(Inputs!$B$20+Inputs!$B$22+Inputs!$B$23)+MAX(-AU138,0)*(Inputs!$B$21+Inputs!$B$22+Inputs!$B$23)</f>
        <v>0.00037032286501666</v>
      </c>
      <c r="AW138" s="30" t="n">
        <f aca="false">AP137*(M138-AR137*J138)+AP137*AR137*N138/Inputs!$B$16-AV138</f>
        <v>-0.000435897053540483</v>
      </c>
      <c r="AX138" s="30" t="n">
        <f aca="false">AW138-IF(AP137&lt;&gt;0,0.75*AR137*(Inputs!$B$13-N138)/Inputs!$B$16,0)</f>
        <v>-0.000664769146457851</v>
      </c>
      <c r="AY138" s="30" t="n">
        <f aca="false">MAX(AS138,0)*(Inputs!$B$17+Inputs!$B$18+Inputs!$B$19)+MAX(-AS138,0)*(O138+Inputs!$B$18+Inputs!$B$19)+IF(AND(K138=1,AP138&lt;&gt;0),(Inputs!$B$17+Inputs!$B$18+Inputs!$B$19)+(O138+Inputs!$B$18+Inputs!$B$19),0)</f>
        <v>0.000155</v>
      </c>
      <c r="AZ138" s="30" t="n">
        <f aca="false">AP137*M138-AY138</f>
        <v>-0.00119911859076059</v>
      </c>
      <c r="BA138" s="32" t="n">
        <f aca="false">BA137+AI138</f>
        <v>-0.00643261700187348</v>
      </c>
      <c r="BB138" s="30" t="n">
        <f aca="false">MAX(BB137,BA138)</f>
        <v>0</v>
      </c>
      <c r="BC138" s="32" t="n">
        <f aca="false">BA138-BB138</f>
        <v>-0.00643261700187348</v>
      </c>
      <c r="BD138" s="30" t="n">
        <f aca="false">A139-A138</f>
        <v>3</v>
      </c>
    </row>
    <row r="139" customFormat="false" ht="15" hidden="false" customHeight="false" outlineLevel="0" collapsed="false">
      <c r="A139" s="28" t="n">
        <v>45243</v>
      </c>
      <c r="B139" s="0" t="n">
        <v>19488</v>
      </c>
      <c r="C139" s="0" t="n">
        <v>214.49</v>
      </c>
      <c r="D139" s="29" t="n">
        <f aca="false">LN(B139)</f>
        <v>9.87755417050962</v>
      </c>
      <c r="E139" s="29" t="n">
        <f aca="false">LN(C139)</f>
        <v>5.3682631172347</v>
      </c>
      <c r="F139" s="0" t="n">
        <v>134</v>
      </c>
      <c r="G139" s="0" t="n">
        <v>17</v>
      </c>
      <c r="H139" s="29" t="n">
        <f aca="false">D139-E139</f>
        <v>4.50929105327492</v>
      </c>
      <c r="I139" s="29" t="n">
        <f aca="false">D139-D138</f>
        <v>-0.000630958539256099</v>
      </c>
      <c r="J139" s="29" t="n">
        <f aca="false">E139-E138</f>
        <v>-0.000512712961894479</v>
      </c>
      <c r="K139" s="0" t="n">
        <v>0</v>
      </c>
      <c r="L139" s="0" t="n">
        <v>0</v>
      </c>
      <c r="M139" s="29" t="n">
        <f aca="false">IF(L139=1,J139-Carry!$B$9/Inputs!$B$16,I139)</f>
        <v>-0.000630958539256099</v>
      </c>
      <c r="N139" s="0" t="n">
        <v>0.065</v>
      </c>
      <c r="O139" s="0" t="n">
        <v>0.000125</v>
      </c>
      <c r="P139" s="29" t="n">
        <f aca="false">D139-('2 Hedge ratio'!$B$6+'2 Hedge ratio'!$B$5*E139)</f>
        <v>-0.00227540321449204</v>
      </c>
      <c r="Q139" s="29" t="n">
        <f aca="false">D139-('5 Re-specification'!$B$7+'5 Re-specification'!$B$5*E139+'5 Re-specification'!$B$6*F139)</f>
        <v>0.000379082442529821</v>
      </c>
      <c r="R139" s="30" t="n">
        <f aca="false">MIN(F139,Inputs!$B$9)</f>
        <v>134</v>
      </c>
      <c r="S139" s="29" t="n">
        <f aca="true">IF(AND(F139&gt;=1,R139&gt;=Inputs!$B$10),INDEX(LINEST(OFFSET(D139,-R139,0,R139,1),OFFSET(E139,-R139,0,R139,2)),1,1),"")</f>
        <v>-8.28025508300004E-005</v>
      </c>
      <c r="T139" s="29" t="n">
        <f aca="true">IF(AND(F139&gt;=1,R139&gt;=Inputs!$B$10),INDEX(LINEST(OFFSET(D139,-R139,0,R139,1),OFFSET(E139,-R139,0,R139,2)),1,2),"")</f>
        <v>0.99216367868468</v>
      </c>
      <c r="U139" s="29" t="n">
        <f aca="true">IF(AND(F139&gt;=1,R139&gt;=Inputs!$B$10),INDEX(LINEST(OFFSET(D139,-R139,0,R139,1),OFFSET(E139,-R139,0,R139,2)),1,3),"")</f>
        <v>4.55874762381258</v>
      </c>
      <c r="V139" s="29" t="n">
        <f aca="true">IF(AND(F139&gt;=1,R139&gt;=Inputs!$B$10),SQRT(SUMPRODUCT((OFFSET(D139,-R139,0,R139,1)-U139-T139*OFFSET(E139,-R139,0,R139,1)-S139*OFFSET(F139,-R139,0,R139,1))^2)/(R139-3)),"")</f>
        <v>0.00218740806945025</v>
      </c>
      <c r="W139" s="31" t="n">
        <f aca="false">IF(AND(F139&gt;=1,R139&gt;=Inputs!$B$10),(D139-U139-T139*E139-S139*F139)/V139,"")</f>
        <v>1.69442822176426</v>
      </c>
      <c r="X139" s="30" t="n">
        <f aca="false">IF(AB138&lt;&gt;0,AC138+1,0)</f>
        <v>0</v>
      </c>
      <c r="Y139" s="30" t="n">
        <f aca="false">IF(W139="",0,IF(AND(AB138&lt;&gt;0,OR(ABS(W139)&gt;Inputs!$B$7,X139&gt;=Inputs!$B$8,ABS(W139)&lt;Inputs!$B$6)),1,0))</f>
        <v>0</v>
      </c>
      <c r="Z139" s="30" t="n">
        <f aca="false">IF(Y139=1,0,AB138)</f>
        <v>0</v>
      </c>
      <c r="AA139" s="30" t="n">
        <f aca="false">IF(W139="",0,IF(AND(Z139=0,ABS(W139)&gt;Inputs!$B$5,ABS(W139)&lt;=Inputs!$B$7),1,0))</f>
        <v>0</v>
      </c>
      <c r="AB139" s="30" t="n">
        <f aca="false">IF(W139="",0,IF(AA139=1,-SIGN(W139),Z139))</f>
        <v>0</v>
      </c>
      <c r="AC139" s="30" t="n">
        <f aca="false">IF(W139="",0,IF(AA139=1,0,IF(Y139=1,0,X139)))</f>
        <v>0</v>
      </c>
      <c r="AD139" s="30" t="n">
        <f aca="false">IF(AB139=0,0,IF(AB138=AB139,AD138,T139))</f>
        <v>0</v>
      </c>
      <c r="AE139" s="30" t="n">
        <f aca="false">AB139-AB138</f>
        <v>0</v>
      </c>
      <c r="AF139" s="30" t="n">
        <f aca="false">-AD139*AB139</f>
        <v>-0</v>
      </c>
      <c r="AG139" s="30" t="n">
        <f aca="false">AF139-AF138</f>
        <v>0</v>
      </c>
      <c r="AH139" s="30" t="n">
        <f aca="false">MAX(AE139,0)*(Inputs!$B$17+Inputs!$B$18+Inputs!$B$19)+MAX(-AE139,0)*(O139+Inputs!$B$18+Inputs!$B$19)+IF(AND(K139=1,AB139&lt;&gt;0),(Inputs!$B$17+Inputs!$B$18+Inputs!$B$19)+(O139+Inputs!$B$18+Inputs!$B$19),0)+MAX(AG139,0)*(Inputs!$B$20+Inputs!$B$22+Inputs!$B$23)+MAX(-AG139,0)*(Inputs!$B$21+Inputs!$B$22+Inputs!$B$23)</f>
        <v>0</v>
      </c>
      <c r="AI139" s="30" t="n">
        <f aca="false">AB138*(M139-AD138*J139)+AB138*AD138*N139/Inputs!$B$16-AH139</f>
        <v>0</v>
      </c>
      <c r="AJ139" s="30" t="n">
        <f aca="false">MAX(AE139,0)*(Inputs!$B$17+Inputs!$B$24+Inputs!$B$25)+MAX(-AE139,0)*(O139+Inputs!$B$24+Inputs!$B$25)+IF(AND(K139=1,AB139&lt;&gt;0),(Inputs!$B$17+Inputs!$B$24+Inputs!$B$25)+(O139+Inputs!$B$24+Inputs!$B$25),0)+MAX(AG139,0)*(Inputs!$B$20+Inputs!$B$26+Inputs!$B$27)+MAX(-AG139,0)*(Inputs!$B$21+Inputs!$B$26+Inputs!$B$27)</f>
        <v>0</v>
      </c>
      <c r="AK139" s="30" t="n">
        <f aca="false">AB138*(M139-AD138*J139)+AB138*AD138*(N139+Inputs!$B$14)/Inputs!$B$16-AJ139</f>
        <v>0</v>
      </c>
      <c r="AL139" s="30" t="n">
        <f aca="false">IF(AP138&lt;&gt;0,AQ138+1,0)</f>
        <v>0</v>
      </c>
      <c r="AM139" s="30" t="n">
        <f aca="false">IF(W139="",0,IF(AND(AP138&lt;&gt;0,OR(ABS(W139)&gt;Inputs!$B$7,AL139&gt;=Inputs!$B$8,ABS(W139)&lt;Inputs!$B$6)),1,0))</f>
        <v>0</v>
      </c>
      <c r="AN139" s="30" t="n">
        <f aca="false">IF(AM139=1,0,AP138)</f>
        <v>0</v>
      </c>
      <c r="AO139" s="30" t="n">
        <f aca="false">IF(W139="",0,IF(AND(AN139=0,ABS(W139)&gt;Inputs!$B$5,ABS(W139)&lt;=Inputs!$B$7,W139&gt;0),1,0))</f>
        <v>0</v>
      </c>
      <c r="AP139" s="30" t="n">
        <f aca="false">IF(W139="",0,IF(AO139=1,-SIGN(W139),AN139))</f>
        <v>0</v>
      </c>
      <c r="AQ139" s="30" t="n">
        <f aca="false">IF(W139="",0,IF(AO139=1,0,IF(AM139=1,0,AL139)))</f>
        <v>0</v>
      </c>
      <c r="AR139" s="30" t="n">
        <f aca="false">IF(AP139=0,0,IF(AP138=AP139,AR138,T139))</f>
        <v>0</v>
      </c>
      <c r="AS139" s="30" t="n">
        <f aca="false">AP139-AP138</f>
        <v>0</v>
      </c>
      <c r="AT139" s="30" t="n">
        <f aca="false">-AR139*AP139</f>
        <v>-0</v>
      </c>
      <c r="AU139" s="30" t="n">
        <f aca="false">AT139-AT138</f>
        <v>0</v>
      </c>
      <c r="AV139" s="30" t="n">
        <f aca="false">MAX(AS139,0)*(Inputs!$B$17+Inputs!$B$18+Inputs!$B$19)+MAX(-AS139,0)*(O139+Inputs!$B$18+Inputs!$B$19)+IF(AND(K139=1,AP139&lt;&gt;0),(Inputs!$B$17+Inputs!$B$18+Inputs!$B$19)+(O139+Inputs!$B$18+Inputs!$B$19),0)+MAX(AU139,0)*(Inputs!$B$20+Inputs!$B$22+Inputs!$B$23)+MAX(-AU139,0)*(Inputs!$B$21+Inputs!$B$22+Inputs!$B$23)</f>
        <v>0</v>
      </c>
      <c r="AW139" s="30" t="n">
        <f aca="false">AP138*(M139-AR138*J139)+AP138*AR138*N139/Inputs!$B$16-AV139</f>
        <v>0</v>
      </c>
      <c r="AX139" s="30" t="n">
        <f aca="false">AW139-IF(AP138&lt;&gt;0,0.75*AR138*(Inputs!$B$13-N139)/Inputs!$B$16,0)</f>
        <v>0</v>
      </c>
      <c r="AY139" s="30" t="n">
        <f aca="false">MAX(AS139,0)*(Inputs!$B$17+Inputs!$B$18+Inputs!$B$19)+MAX(-AS139,0)*(O139+Inputs!$B$18+Inputs!$B$19)+IF(AND(K139=1,AP139&lt;&gt;0),(Inputs!$B$17+Inputs!$B$18+Inputs!$B$19)+(O139+Inputs!$B$18+Inputs!$B$19),0)</f>
        <v>0</v>
      </c>
      <c r="AZ139" s="30" t="n">
        <f aca="false">AP138*M139-AY139</f>
        <v>-0</v>
      </c>
      <c r="BA139" s="32" t="n">
        <f aca="false">BA138+AI139</f>
        <v>-0.00643261700187348</v>
      </c>
      <c r="BB139" s="30" t="n">
        <f aca="false">MAX(BB138,BA139)</f>
        <v>0</v>
      </c>
      <c r="BC139" s="32" t="n">
        <f aca="false">BA139-BB139</f>
        <v>-0.00643261700187348</v>
      </c>
      <c r="BD139" s="30" t="n">
        <f aca="false">A140-A139</f>
        <v>2</v>
      </c>
    </row>
    <row r="140" customFormat="false" ht="15" hidden="false" customHeight="false" outlineLevel="0" collapsed="false">
      <c r="A140" s="28" t="n">
        <v>45245</v>
      </c>
      <c r="B140" s="0" t="n">
        <v>19723.1</v>
      </c>
      <c r="C140" s="0" t="n">
        <v>217.05</v>
      </c>
      <c r="D140" s="29" t="n">
        <f aca="false">LN(B140)</f>
        <v>9.88954581661323</v>
      </c>
      <c r="E140" s="29" t="n">
        <f aca="false">LN(C140)</f>
        <v>5.3801277417456</v>
      </c>
      <c r="F140" s="0" t="n">
        <v>135</v>
      </c>
      <c r="G140" s="0" t="n">
        <v>15</v>
      </c>
      <c r="H140" s="29" t="n">
        <f aca="false">D140-E140</f>
        <v>4.50941807486763</v>
      </c>
      <c r="I140" s="29" t="n">
        <f aca="false">D140-D139</f>
        <v>0.011991646103608</v>
      </c>
      <c r="J140" s="29" t="n">
        <f aca="false">E140-E139</f>
        <v>0.0118646245108991</v>
      </c>
      <c r="K140" s="0" t="n">
        <v>0</v>
      </c>
      <c r="L140" s="0" t="n">
        <v>0</v>
      </c>
      <c r="M140" s="29" t="n">
        <f aca="false">IF(L140=1,J140-Carry!$B$9/Inputs!$B$16,I140)</f>
        <v>0.011991646103608</v>
      </c>
      <c r="N140" s="0" t="n">
        <v>0.065</v>
      </c>
      <c r="O140" s="0" t="n">
        <v>0.000125</v>
      </c>
      <c r="P140" s="29" t="n">
        <f aca="false">D140-('2 Hedge ratio'!$B$6+'2 Hedge ratio'!$B$5*E140)</f>
        <v>-0.00115325711373515</v>
      </c>
      <c r="Q140" s="29" t="n">
        <f aca="false">D140-('5 Re-specification'!$B$7+'5 Re-specification'!$B$5*E140+'5 Re-specification'!$B$6*F140)</f>
        <v>0.000586989098167123</v>
      </c>
      <c r="R140" s="30" t="n">
        <f aca="false">MIN(F140,Inputs!$B$9)</f>
        <v>135</v>
      </c>
      <c r="S140" s="29" t="n">
        <f aca="true">IF(AND(F140&gt;=1,R140&gt;=Inputs!$B$10),INDEX(LINEST(OFFSET(D140,-R140,0,R140,1),OFFSET(E140,-R140,0,R140,2)),1,1),"")</f>
        <v>-8.04117791053377E-005</v>
      </c>
      <c r="T140" s="29" t="n">
        <f aca="true">IF(AND(F140&gt;=1,R140&gt;=Inputs!$B$10),INDEX(LINEST(OFFSET(D140,-R140,0,R140,1),OFFSET(E140,-R140,0,R140,2)),1,2),"")</f>
        <v>0.990237690457055</v>
      </c>
      <c r="U140" s="29" t="n">
        <f aca="true">IF(AND(F140&gt;=1,R140&gt;=Inputs!$B$10),INDEX(LINEST(OFFSET(D140,-R140,0,R140,1),OFFSET(E140,-R140,0,R140,2)),1,3),"")</f>
        <v>4.56892691974426</v>
      </c>
      <c r="V140" s="29" t="n">
        <f aca="true">IF(AND(F140&gt;=1,R140&gt;=Inputs!$B$10),SQRT(SUMPRODUCT((OFFSET(D140,-R140,0,R140,1)-U140-T140*OFFSET(E140,-R140,0,R140,1)-S140*OFFSET(F140,-R140,0,R140,1))^2)/(R140-3)),"")</f>
        <v>0.00220183384784873</v>
      </c>
      <c r="W140" s="31" t="n">
        <f aca="false">IF(AND(F140&gt;=1,R140&gt;=Inputs!$B$10),(D140-U140-T140*E140-S140*F140)/V140,"")</f>
        <v>1.7572705142468</v>
      </c>
      <c r="X140" s="30" t="n">
        <f aca="false">IF(AB139&lt;&gt;0,AC139+1,0)</f>
        <v>0</v>
      </c>
      <c r="Y140" s="30" t="n">
        <f aca="false">IF(W140="",0,IF(AND(AB139&lt;&gt;0,OR(ABS(W140)&gt;Inputs!$B$7,X140&gt;=Inputs!$B$8,ABS(W140)&lt;Inputs!$B$6)),1,0))</f>
        <v>0</v>
      </c>
      <c r="Z140" s="30" t="n">
        <f aca="false">IF(Y140=1,0,AB139)</f>
        <v>0</v>
      </c>
      <c r="AA140" s="30" t="n">
        <f aca="false">IF(W140="",0,IF(AND(Z140=0,ABS(W140)&gt;Inputs!$B$5,ABS(W140)&lt;=Inputs!$B$7),1,0))</f>
        <v>0</v>
      </c>
      <c r="AB140" s="30" t="n">
        <f aca="false">IF(W140="",0,IF(AA140=1,-SIGN(W140),Z140))</f>
        <v>0</v>
      </c>
      <c r="AC140" s="30" t="n">
        <f aca="false">IF(W140="",0,IF(AA140=1,0,IF(Y140=1,0,X140)))</f>
        <v>0</v>
      </c>
      <c r="AD140" s="30" t="n">
        <f aca="false">IF(AB140=0,0,IF(AB139=AB140,AD139,T140))</f>
        <v>0</v>
      </c>
      <c r="AE140" s="30" t="n">
        <f aca="false">AB140-AB139</f>
        <v>0</v>
      </c>
      <c r="AF140" s="30" t="n">
        <f aca="false">-AD140*AB140</f>
        <v>-0</v>
      </c>
      <c r="AG140" s="30" t="n">
        <f aca="false">AF140-AF139</f>
        <v>0</v>
      </c>
      <c r="AH140" s="30" t="n">
        <f aca="false">MAX(AE140,0)*(Inputs!$B$17+Inputs!$B$18+Inputs!$B$19)+MAX(-AE140,0)*(O140+Inputs!$B$18+Inputs!$B$19)+IF(AND(K140=1,AB140&lt;&gt;0),(Inputs!$B$17+Inputs!$B$18+Inputs!$B$19)+(O140+Inputs!$B$18+Inputs!$B$19),0)+MAX(AG140,0)*(Inputs!$B$20+Inputs!$B$22+Inputs!$B$23)+MAX(-AG140,0)*(Inputs!$B$21+Inputs!$B$22+Inputs!$B$23)</f>
        <v>0</v>
      </c>
      <c r="AI140" s="30" t="n">
        <f aca="false">AB139*(M140-AD139*J140)+AB139*AD139*N140/Inputs!$B$16-AH140</f>
        <v>0</v>
      </c>
      <c r="AJ140" s="30" t="n">
        <f aca="false">MAX(AE140,0)*(Inputs!$B$17+Inputs!$B$24+Inputs!$B$25)+MAX(-AE140,0)*(O140+Inputs!$B$24+Inputs!$B$25)+IF(AND(K140=1,AB140&lt;&gt;0),(Inputs!$B$17+Inputs!$B$24+Inputs!$B$25)+(O140+Inputs!$B$24+Inputs!$B$25),0)+MAX(AG140,0)*(Inputs!$B$20+Inputs!$B$26+Inputs!$B$27)+MAX(-AG140,0)*(Inputs!$B$21+Inputs!$B$26+Inputs!$B$27)</f>
        <v>0</v>
      </c>
      <c r="AK140" s="30" t="n">
        <f aca="false">AB139*(M140-AD139*J140)+AB139*AD139*(N140+Inputs!$B$14)/Inputs!$B$16-AJ140</f>
        <v>0</v>
      </c>
      <c r="AL140" s="30" t="n">
        <f aca="false">IF(AP139&lt;&gt;0,AQ139+1,0)</f>
        <v>0</v>
      </c>
      <c r="AM140" s="30" t="n">
        <f aca="false">IF(W140="",0,IF(AND(AP139&lt;&gt;0,OR(ABS(W140)&gt;Inputs!$B$7,AL140&gt;=Inputs!$B$8,ABS(W140)&lt;Inputs!$B$6)),1,0))</f>
        <v>0</v>
      </c>
      <c r="AN140" s="30" t="n">
        <f aca="false">IF(AM140=1,0,AP139)</f>
        <v>0</v>
      </c>
      <c r="AO140" s="30" t="n">
        <f aca="false">IF(W140="",0,IF(AND(AN140=0,ABS(W140)&gt;Inputs!$B$5,ABS(W140)&lt;=Inputs!$B$7,W140&gt;0),1,0))</f>
        <v>0</v>
      </c>
      <c r="AP140" s="30" t="n">
        <f aca="false">IF(W140="",0,IF(AO140=1,-SIGN(W140),AN140))</f>
        <v>0</v>
      </c>
      <c r="AQ140" s="30" t="n">
        <f aca="false">IF(W140="",0,IF(AO140=1,0,IF(AM140=1,0,AL140)))</f>
        <v>0</v>
      </c>
      <c r="AR140" s="30" t="n">
        <f aca="false">IF(AP140=0,0,IF(AP139=AP140,AR139,T140))</f>
        <v>0</v>
      </c>
      <c r="AS140" s="30" t="n">
        <f aca="false">AP140-AP139</f>
        <v>0</v>
      </c>
      <c r="AT140" s="30" t="n">
        <f aca="false">-AR140*AP140</f>
        <v>-0</v>
      </c>
      <c r="AU140" s="30" t="n">
        <f aca="false">AT140-AT139</f>
        <v>0</v>
      </c>
      <c r="AV140" s="30" t="n">
        <f aca="false">MAX(AS140,0)*(Inputs!$B$17+Inputs!$B$18+Inputs!$B$19)+MAX(-AS140,0)*(O140+Inputs!$B$18+Inputs!$B$19)+IF(AND(K140=1,AP140&lt;&gt;0),(Inputs!$B$17+Inputs!$B$18+Inputs!$B$19)+(O140+Inputs!$B$18+Inputs!$B$19),0)+MAX(AU140,0)*(Inputs!$B$20+Inputs!$B$22+Inputs!$B$23)+MAX(-AU140,0)*(Inputs!$B$21+Inputs!$B$22+Inputs!$B$23)</f>
        <v>0</v>
      </c>
      <c r="AW140" s="30" t="n">
        <f aca="false">AP139*(M140-AR139*J140)+AP139*AR139*N140/Inputs!$B$16-AV140</f>
        <v>0</v>
      </c>
      <c r="AX140" s="30" t="n">
        <f aca="false">AW140-IF(AP139&lt;&gt;0,0.75*AR139*(Inputs!$B$13-N140)/Inputs!$B$16,0)</f>
        <v>0</v>
      </c>
      <c r="AY140" s="30" t="n">
        <f aca="false">MAX(AS140,0)*(Inputs!$B$17+Inputs!$B$18+Inputs!$B$19)+MAX(-AS140,0)*(O140+Inputs!$B$18+Inputs!$B$19)+IF(AND(K140=1,AP140&lt;&gt;0),(Inputs!$B$17+Inputs!$B$18+Inputs!$B$19)+(O140+Inputs!$B$18+Inputs!$B$19),0)</f>
        <v>0</v>
      </c>
      <c r="AZ140" s="30" t="n">
        <f aca="false">AP139*M140-AY140</f>
        <v>0</v>
      </c>
      <c r="BA140" s="32" t="n">
        <f aca="false">BA139+AI140</f>
        <v>-0.00643261700187348</v>
      </c>
      <c r="BB140" s="30" t="n">
        <f aca="false">MAX(BB139,BA140)</f>
        <v>0</v>
      </c>
      <c r="BC140" s="32" t="n">
        <f aca="false">BA140-BB140</f>
        <v>-0.00643261700187348</v>
      </c>
      <c r="BD140" s="30" t="n">
        <f aca="false">A141-A140</f>
        <v>1</v>
      </c>
    </row>
    <row r="141" customFormat="false" ht="15" hidden="false" customHeight="false" outlineLevel="0" collapsed="false">
      <c r="A141" s="28" t="n">
        <v>45246</v>
      </c>
      <c r="B141" s="0" t="n">
        <v>19831</v>
      </c>
      <c r="C141" s="0" t="n">
        <v>218.39</v>
      </c>
      <c r="D141" s="29" t="n">
        <f aca="false">LN(B141)</f>
        <v>9.89500164888583</v>
      </c>
      <c r="E141" s="29" t="n">
        <f aca="false">LN(C141)</f>
        <v>5.38628245527668</v>
      </c>
      <c r="F141" s="0" t="n">
        <v>136</v>
      </c>
      <c r="G141" s="0" t="n">
        <v>14</v>
      </c>
      <c r="H141" s="29" t="n">
        <f aca="false">D141-E141</f>
        <v>4.50871919360915</v>
      </c>
      <c r="I141" s="29" t="n">
        <f aca="false">D141-D140</f>
        <v>0.00545583227259705</v>
      </c>
      <c r="J141" s="29" t="n">
        <f aca="false">E141-E140</f>
        <v>0.00615471353107822</v>
      </c>
      <c r="K141" s="0" t="n">
        <v>0</v>
      </c>
      <c r="L141" s="0" t="n">
        <v>0</v>
      </c>
      <c r="M141" s="29" t="n">
        <f aca="false">IF(L141=1,J141-Carry!$B$9/Inputs!$B$16,I141)</f>
        <v>0.00545583227259705</v>
      </c>
      <c r="N141" s="0" t="n">
        <v>0.065</v>
      </c>
      <c r="O141" s="0" t="n">
        <v>0.000125</v>
      </c>
      <c r="P141" s="29" t="n">
        <f aca="false">D141-('2 Hedge ratio'!$B$6+'2 Hedge ratio'!$B$5*E141)</f>
        <v>-0.00133592260245585</v>
      </c>
      <c r="Q141" s="29" t="n">
        <f aca="false">D141-('5 Re-specification'!$B$7+'5 Re-specification'!$B$5*E141+'5 Re-specification'!$B$6*F141)</f>
        <v>-4.8310982730726E-005</v>
      </c>
      <c r="R141" s="30" t="n">
        <f aca="false">MIN(F141,Inputs!$B$9)</f>
        <v>136</v>
      </c>
      <c r="S141" s="29" t="n">
        <f aca="true">IF(AND(F141&gt;=1,R141&gt;=Inputs!$B$10),INDEX(LINEST(OFFSET(D141,-R141,0,R141,1),OFFSET(E141,-R141,0,R141,2)),1,1),"")</f>
        <v>-7.84789444729208E-005</v>
      </c>
      <c r="T141" s="29" t="n">
        <f aca="true">IF(AND(F141&gt;=1,R141&gt;=Inputs!$B$10),INDEX(LINEST(OFFSET(D141,-R141,0,R141,1),OFFSET(E141,-R141,0,R141,2)),1,2),"")</f>
        <v>0.989106866557267</v>
      </c>
      <c r="U141" s="29" t="n">
        <f aca="true">IF(AND(F141&gt;=1,R141&gt;=Inputs!$B$10),INDEX(LINEST(OFFSET(D141,-R141,0,R141,1),OFFSET(E141,-R141,0,R141,2)),1,3),"")</f>
        <v>4.57487971618898</v>
      </c>
      <c r="V141" s="29" t="n">
        <f aca="true">IF(AND(F141&gt;=1,R141&gt;=Inputs!$B$10),SQRT(SUMPRODUCT((OFFSET(D141,-R141,0,R141,1)-U141-T141*OFFSET(E141,-R141,0,R141,1)-S141*OFFSET(F141,-R141,0,R141,1))^2)/(R141-3)),"")</f>
        <v>0.00221819941420136</v>
      </c>
      <c r="W141" s="31" t="n">
        <f aca="false">IF(AND(F141&gt;=1,R141&gt;=Inputs!$B$10),(D141-U141-T141*E141-S141*F141)/V141,"")</f>
        <v>1.43634850576026</v>
      </c>
      <c r="X141" s="30" t="n">
        <f aca="false">IF(AB140&lt;&gt;0,AC140+1,0)</f>
        <v>0</v>
      </c>
      <c r="Y141" s="30" t="n">
        <f aca="false">IF(W141="",0,IF(AND(AB140&lt;&gt;0,OR(ABS(W141)&gt;Inputs!$B$7,X141&gt;=Inputs!$B$8,ABS(W141)&lt;Inputs!$B$6)),1,0))</f>
        <v>0</v>
      </c>
      <c r="Z141" s="30" t="n">
        <f aca="false">IF(Y141=1,0,AB140)</f>
        <v>0</v>
      </c>
      <c r="AA141" s="30" t="n">
        <f aca="false">IF(W141="",0,IF(AND(Z141=0,ABS(W141)&gt;Inputs!$B$5,ABS(W141)&lt;=Inputs!$B$7),1,0))</f>
        <v>0</v>
      </c>
      <c r="AB141" s="30" t="n">
        <f aca="false">IF(W141="",0,IF(AA141=1,-SIGN(W141),Z141))</f>
        <v>0</v>
      </c>
      <c r="AC141" s="30" t="n">
        <f aca="false">IF(W141="",0,IF(AA141=1,0,IF(Y141=1,0,X141)))</f>
        <v>0</v>
      </c>
      <c r="AD141" s="30" t="n">
        <f aca="false">IF(AB141=0,0,IF(AB140=AB141,AD140,T141))</f>
        <v>0</v>
      </c>
      <c r="AE141" s="30" t="n">
        <f aca="false">AB141-AB140</f>
        <v>0</v>
      </c>
      <c r="AF141" s="30" t="n">
        <f aca="false">-AD141*AB141</f>
        <v>-0</v>
      </c>
      <c r="AG141" s="30" t="n">
        <f aca="false">AF141-AF140</f>
        <v>0</v>
      </c>
      <c r="AH141" s="30" t="n">
        <f aca="false">MAX(AE141,0)*(Inputs!$B$17+Inputs!$B$18+Inputs!$B$19)+MAX(-AE141,0)*(O141+Inputs!$B$18+Inputs!$B$19)+IF(AND(K141=1,AB141&lt;&gt;0),(Inputs!$B$17+Inputs!$B$18+Inputs!$B$19)+(O141+Inputs!$B$18+Inputs!$B$19),0)+MAX(AG141,0)*(Inputs!$B$20+Inputs!$B$22+Inputs!$B$23)+MAX(-AG141,0)*(Inputs!$B$21+Inputs!$B$22+Inputs!$B$23)</f>
        <v>0</v>
      </c>
      <c r="AI141" s="30" t="n">
        <f aca="false">AB140*(M141-AD140*J141)+AB140*AD140*N141/Inputs!$B$16-AH141</f>
        <v>0</v>
      </c>
      <c r="AJ141" s="30" t="n">
        <f aca="false">MAX(AE141,0)*(Inputs!$B$17+Inputs!$B$24+Inputs!$B$25)+MAX(-AE141,0)*(O141+Inputs!$B$24+Inputs!$B$25)+IF(AND(K141=1,AB141&lt;&gt;0),(Inputs!$B$17+Inputs!$B$24+Inputs!$B$25)+(O141+Inputs!$B$24+Inputs!$B$25),0)+MAX(AG141,0)*(Inputs!$B$20+Inputs!$B$26+Inputs!$B$27)+MAX(-AG141,0)*(Inputs!$B$21+Inputs!$B$26+Inputs!$B$27)</f>
        <v>0</v>
      </c>
      <c r="AK141" s="30" t="n">
        <f aca="false">AB140*(M141-AD140*J141)+AB140*AD140*(N141+Inputs!$B$14)/Inputs!$B$16-AJ141</f>
        <v>0</v>
      </c>
      <c r="AL141" s="30" t="n">
        <f aca="false">IF(AP140&lt;&gt;0,AQ140+1,0)</f>
        <v>0</v>
      </c>
      <c r="AM141" s="30" t="n">
        <f aca="false">IF(W141="",0,IF(AND(AP140&lt;&gt;0,OR(ABS(W141)&gt;Inputs!$B$7,AL141&gt;=Inputs!$B$8,ABS(W141)&lt;Inputs!$B$6)),1,0))</f>
        <v>0</v>
      </c>
      <c r="AN141" s="30" t="n">
        <f aca="false">IF(AM141=1,0,AP140)</f>
        <v>0</v>
      </c>
      <c r="AO141" s="30" t="n">
        <f aca="false">IF(W141="",0,IF(AND(AN141=0,ABS(W141)&gt;Inputs!$B$5,ABS(W141)&lt;=Inputs!$B$7,W141&gt;0),1,0))</f>
        <v>0</v>
      </c>
      <c r="AP141" s="30" t="n">
        <f aca="false">IF(W141="",0,IF(AO141=1,-SIGN(W141),AN141))</f>
        <v>0</v>
      </c>
      <c r="AQ141" s="30" t="n">
        <f aca="false">IF(W141="",0,IF(AO141=1,0,IF(AM141=1,0,AL141)))</f>
        <v>0</v>
      </c>
      <c r="AR141" s="30" t="n">
        <f aca="false">IF(AP141=0,0,IF(AP140=AP141,AR140,T141))</f>
        <v>0</v>
      </c>
      <c r="AS141" s="30" t="n">
        <f aca="false">AP141-AP140</f>
        <v>0</v>
      </c>
      <c r="AT141" s="30" t="n">
        <f aca="false">-AR141*AP141</f>
        <v>-0</v>
      </c>
      <c r="AU141" s="30" t="n">
        <f aca="false">AT141-AT140</f>
        <v>0</v>
      </c>
      <c r="AV141" s="30" t="n">
        <f aca="false">MAX(AS141,0)*(Inputs!$B$17+Inputs!$B$18+Inputs!$B$19)+MAX(-AS141,0)*(O141+Inputs!$B$18+Inputs!$B$19)+IF(AND(K141=1,AP141&lt;&gt;0),(Inputs!$B$17+Inputs!$B$18+Inputs!$B$19)+(O141+Inputs!$B$18+Inputs!$B$19),0)+MAX(AU141,0)*(Inputs!$B$20+Inputs!$B$22+Inputs!$B$23)+MAX(-AU141,0)*(Inputs!$B$21+Inputs!$B$22+Inputs!$B$23)</f>
        <v>0</v>
      </c>
      <c r="AW141" s="30" t="n">
        <f aca="false">AP140*(M141-AR140*J141)+AP140*AR140*N141/Inputs!$B$16-AV141</f>
        <v>0</v>
      </c>
      <c r="AX141" s="30" t="n">
        <f aca="false">AW141-IF(AP140&lt;&gt;0,0.75*AR140*(Inputs!$B$13-N141)/Inputs!$B$16,0)</f>
        <v>0</v>
      </c>
      <c r="AY141" s="30" t="n">
        <f aca="false">MAX(AS141,0)*(Inputs!$B$17+Inputs!$B$18+Inputs!$B$19)+MAX(-AS141,0)*(O141+Inputs!$B$18+Inputs!$B$19)+IF(AND(K141=1,AP141&lt;&gt;0),(Inputs!$B$17+Inputs!$B$18+Inputs!$B$19)+(O141+Inputs!$B$18+Inputs!$B$19),0)</f>
        <v>0</v>
      </c>
      <c r="AZ141" s="30" t="n">
        <f aca="false">AP140*M141-AY141</f>
        <v>0</v>
      </c>
      <c r="BA141" s="32" t="n">
        <f aca="false">BA140+AI141</f>
        <v>-0.00643261700187348</v>
      </c>
      <c r="BB141" s="30" t="n">
        <f aca="false">MAX(BB140,BA141)</f>
        <v>0</v>
      </c>
      <c r="BC141" s="32" t="n">
        <f aca="false">BA141-BB141</f>
        <v>-0.00643261700187348</v>
      </c>
      <c r="BD141" s="30" t="n">
        <f aca="false">A142-A141</f>
        <v>1</v>
      </c>
    </row>
    <row r="142" customFormat="false" ht="15" hidden="false" customHeight="false" outlineLevel="0" collapsed="false">
      <c r="A142" s="28" t="n">
        <v>45247</v>
      </c>
      <c r="B142" s="0" t="n">
        <v>19798</v>
      </c>
      <c r="C142" s="0" t="n">
        <v>218</v>
      </c>
      <c r="D142" s="29" t="n">
        <f aca="false">LN(B142)</f>
        <v>9.89333620147975</v>
      </c>
      <c r="E142" s="29" t="n">
        <f aca="false">LN(C142)</f>
        <v>5.38449506278909</v>
      </c>
      <c r="F142" s="0" t="n">
        <v>137</v>
      </c>
      <c r="G142" s="0" t="n">
        <v>13</v>
      </c>
      <c r="H142" s="29" t="n">
        <f aca="false">D142-E142</f>
        <v>4.50884113869067</v>
      </c>
      <c r="I142" s="29" t="n">
        <f aca="false">D142-D141</f>
        <v>-0.00166544740607577</v>
      </c>
      <c r="J142" s="29" t="n">
        <f aca="false">E142-E141</f>
        <v>-0.00178739248759197</v>
      </c>
      <c r="K142" s="0" t="n">
        <v>0</v>
      </c>
      <c r="L142" s="0" t="n">
        <v>0</v>
      </c>
      <c r="M142" s="29" t="n">
        <f aca="false">IF(L142=1,J142-Carry!$B$9/Inputs!$B$16,I142)</f>
        <v>-0.00166544740607577</v>
      </c>
      <c r="N142" s="0" t="n">
        <v>0.065</v>
      </c>
      <c r="O142" s="0" t="n">
        <v>0.000125</v>
      </c>
      <c r="P142" s="29" t="n">
        <f aca="false">D142-('2 Hedge ratio'!$B$6+'2 Hedge ratio'!$B$5*E142)</f>
        <v>-0.00136389192137187</v>
      </c>
      <c r="Q142" s="29" t="n">
        <f aca="false">D142-('5 Re-specification'!$B$7+'5 Re-specification'!$B$5*E142+'5 Re-specification'!$B$6*F142)</f>
        <v>0.000113146723910162</v>
      </c>
      <c r="R142" s="30" t="n">
        <f aca="false">MIN(F142,Inputs!$B$9)</f>
        <v>137</v>
      </c>
      <c r="S142" s="29" t="n">
        <f aca="true">IF(AND(F142&gt;=1,R142&gt;=Inputs!$B$10),INDEX(LINEST(OFFSET(D142,-R142,0,R142,1),OFFSET(E142,-R142,0,R142,2)),1,1),"")</f>
        <v>-7.71212658918254E-005</v>
      </c>
      <c r="T142" s="29" t="n">
        <f aca="true">IF(AND(F142&gt;=1,R142&gt;=Inputs!$B$10),INDEX(LINEST(OFFSET(D142,-R142,0,R142,1),OFFSET(E142,-R142,0,R142,2)),1,2),"")</f>
        <v>0.988533431274978</v>
      </c>
      <c r="U142" s="29" t="n">
        <f aca="true">IF(AND(F142&gt;=1,R142&gt;=Inputs!$B$10),INDEX(LINEST(OFFSET(D142,-R142,0,R142,1),OFFSET(E142,-R142,0,R142,2)),1,3),"")</f>
        <v>4.57788114996976</v>
      </c>
      <c r="V142" s="29" t="n">
        <f aca="true">IF(AND(F142&gt;=1,R142&gt;=Inputs!$B$10),SQRT(SUMPRODUCT((OFFSET(D142,-R142,0,R142,1)-U142-T142*OFFSET(E142,-R142,0,R142,1)-S142*OFFSET(F142,-R142,0,R142,1))^2)/(R142-3)),"")</f>
        <v>0.00222646115538431</v>
      </c>
      <c r="W142" s="31" t="n">
        <f aca="false">IF(AND(F142&gt;=1,R142&gt;=Inputs!$B$10),(D142-U142-T142*E142-S142*F142)/V142,"")</f>
        <v>1.46747893049651</v>
      </c>
      <c r="X142" s="30" t="n">
        <f aca="false">IF(AB141&lt;&gt;0,AC141+1,0)</f>
        <v>0</v>
      </c>
      <c r="Y142" s="30" t="n">
        <f aca="false">IF(W142="",0,IF(AND(AB141&lt;&gt;0,OR(ABS(W142)&gt;Inputs!$B$7,X142&gt;=Inputs!$B$8,ABS(W142)&lt;Inputs!$B$6)),1,0))</f>
        <v>0</v>
      </c>
      <c r="Z142" s="30" t="n">
        <f aca="false">IF(Y142=1,0,AB141)</f>
        <v>0</v>
      </c>
      <c r="AA142" s="30" t="n">
        <f aca="false">IF(W142="",0,IF(AND(Z142=0,ABS(W142)&gt;Inputs!$B$5,ABS(W142)&lt;=Inputs!$B$7),1,0))</f>
        <v>0</v>
      </c>
      <c r="AB142" s="30" t="n">
        <f aca="false">IF(W142="",0,IF(AA142=1,-SIGN(W142),Z142))</f>
        <v>0</v>
      </c>
      <c r="AC142" s="30" t="n">
        <f aca="false">IF(W142="",0,IF(AA142=1,0,IF(Y142=1,0,X142)))</f>
        <v>0</v>
      </c>
      <c r="AD142" s="30" t="n">
        <f aca="false">IF(AB142=0,0,IF(AB141=AB142,AD141,T142))</f>
        <v>0</v>
      </c>
      <c r="AE142" s="30" t="n">
        <f aca="false">AB142-AB141</f>
        <v>0</v>
      </c>
      <c r="AF142" s="30" t="n">
        <f aca="false">-AD142*AB142</f>
        <v>-0</v>
      </c>
      <c r="AG142" s="30" t="n">
        <f aca="false">AF142-AF141</f>
        <v>0</v>
      </c>
      <c r="AH142" s="30" t="n">
        <f aca="false">MAX(AE142,0)*(Inputs!$B$17+Inputs!$B$18+Inputs!$B$19)+MAX(-AE142,0)*(O142+Inputs!$B$18+Inputs!$B$19)+IF(AND(K142=1,AB142&lt;&gt;0),(Inputs!$B$17+Inputs!$B$18+Inputs!$B$19)+(O142+Inputs!$B$18+Inputs!$B$19),0)+MAX(AG142,0)*(Inputs!$B$20+Inputs!$B$22+Inputs!$B$23)+MAX(-AG142,0)*(Inputs!$B$21+Inputs!$B$22+Inputs!$B$23)</f>
        <v>0</v>
      </c>
      <c r="AI142" s="30" t="n">
        <f aca="false">AB141*(M142-AD141*J142)+AB141*AD141*N142/Inputs!$B$16-AH142</f>
        <v>0</v>
      </c>
      <c r="AJ142" s="30" t="n">
        <f aca="false">MAX(AE142,0)*(Inputs!$B$17+Inputs!$B$24+Inputs!$B$25)+MAX(-AE142,0)*(O142+Inputs!$B$24+Inputs!$B$25)+IF(AND(K142=1,AB142&lt;&gt;0),(Inputs!$B$17+Inputs!$B$24+Inputs!$B$25)+(O142+Inputs!$B$24+Inputs!$B$25),0)+MAX(AG142,0)*(Inputs!$B$20+Inputs!$B$26+Inputs!$B$27)+MAX(-AG142,0)*(Inputs!$B$21+Inputs!$B$26+Inputs!$B$27)</f>
        <v>0</v>
      </c>
      <c r="AK142" s="30" t="n">
        <f aca="false">AB141*(M142-AD141*J142)+AB141*AD141*(N142+Inputs!$B$14)/Inputs!$B$16-AJ142</f>
        <v>0</v>
      </c>
      <c r="AL142" s="30" t="n">
        <f aca="false">IF(AP141&lt;&gt;0,AQ141+1,0)</f>
        <v>0</v>
      </c>
      <c r="AM142" s="30" t="n">
        <f aca="false">IF(W142="",0,IF(AND(AP141&lt;&gt;0,OR(ABS(W142)&gt;Inputs!$B$7,AL142&gt;=Inputs!$B$8,ABS(W142)&lt;Inputs!$B$6)),1,0))</f>
        <v>0</v>
      </c>
      <c r="AN142" s="30" t="n">
        <f aca="false">IF(AM142=1,0,AP141)</f>
        <v>0</v>
      </c>
      <c r="AO142" s="30" t="n">
        <f aca="false">IF(W142="",0,IF(AND(AN142=0,ABS(W142)&gt;Inputs!$B$5,ABS(W142)&lt;=Inputs!$B$7,W142&gt;0),1,0))</f>
        <v>0</v>
      </c>
      <c r="AP142" s="30" t="n">
        <f aca="false">IF(W142="",0,IF(AO142=1,-SIGN(W142),AN142))</f>
        <v>0</v>
      </c>
      <c r="AQ142" s="30" t="n">
        <f aca="false">IF(W142="",0,IF(AO142=1,0,IF(AM142=1,0,AL142)))</f>
        <v>0</v>
      </c>
      <c r="AR142" s="30" t="n">
        <f aca="false">IF(AP142=0,0,IF(AP141=AP142,AR141,T142))</f>
        <v>0</v>
      </c>
      <c r="AS142" s="30" t="n">
        <f aca="false">AP142-AP141</f>
        <v>0</v>
      </c>
      <c r="AT142" s="30" t="n">
        <f aca="false">-AR142*AP142</f>
        <v>-0</v>
      </c>
      <c r="AU142" s="30" t="n">
        <f aca="false">AT142-AT141</f>
        <v>0</v>
      </c>
      <c r="AV142" s="30" t="n">
        <f aca="false">MAX(AS142,0)*(Inputs!$B$17+Inputs!$B$18+Inputs!$B$19)+MAX(-AS142,0)*(O142+Inputs!$B$18+Inputs!$B$19)+IF(AND(K142=1,AP142&lt;&gt;0),(Inputs!$B$17+Inputs!$B$18+Inputs!$B$19)+(O142+Inputs!$B$18+Inputs!$B$19),0)+MAX(AU142,0)*(Inputs!$B$20+Inputs!$B$22+Inputs!$B$23)+MAX(-AU142,0)*(Inputs!$B$21+Inputs!$B$22+Inputs!$B$23)</f>
        <v>0</v>
      </c>
      <c r="AW142" s="30" t="n">
        <f aca="false">AP141*(M142-AR141*J142)+AP141*AR141*N142/Inputs!$B$16-AV142</f>
        <v>0</v>
      </c>
      <c r="AX142" s="30" t="n">
        <f aca="false">AW142-IF(AP141&lt;&gt;0,0.75*AR141*(Inputs!$B$13-N142)/Inputs!$B$16,0)</f>
        <v>0</v>
      </c>
      <c r="AY142" s="30" t="n">
        <f aca="false">MAX(AS142,0)*(Inputs!$B$17+Inputs!$B$18+Inputs!$B$19)+MAX(-AS142,0)*(O142+Inputs!$B$18+Inputs!$B$19)+IF(AND(K142=1,AP142&lt;&gt;0),(Inputs!$B$17+Inputs!$B$18+Inputs!$B$19)+(O142+Inputs!$B$18+Inputs!$B$19),0)</f>
        <v>0</v>
      </c>
      <c r="AZ142" s="30" t="n">
        <f aca="false">AP141*M142-AY142</f>
        <v>-0</v>
      </c>
      <c r="BA142" s="32" t="n">
        <f aca="false">BA141+AI142</f>
        <v>-0.00643261700187348</v>
      </c>
      <c r="BB142" s="30" t="n">
        <f aca="false">MAX(BB141,BA142)</f>
        <v>0</v>
      </c>
      <c r="BC142" s="32" t="n">
        <f aca="false">BA142-BB142</f>
        <v>-0.00643261700187348</v>
      </c>
      <c r="BD142" s="30" t="n">
        <f aca="false">A143-A142</f>
        <v>3</v>
      </c>
    </row>
    <row r="143" customFormat="false" ht="15" hidden="false" customHeight="false" outlineLevel="0" collapsed="false">
      <c r="A143" s="28" t="n">
        <v>45250</v>
      </c>
      <c r="B143" s="0" t="n">
        <v>19751.5</v>
      </c>
      <c r="C143" s="0" t="n">
        <v>217.35</v>
      </c>
      <c r="D143" s="29" t="n">
        <f aca="false">LN(B143)</f>
        <v>9.89098471681235</v>
      </c>
      <c r="E143" s="29" t="n">
        <f aca="false">LN(C143)</f>
        <v>5.3815089574348</v>
      </c>
      <c r="F143" s="0" t="n">
        <v>138</v>
      </c>
      <c r="G143" s="0" t="n">
        <v>10</v>
      </c>
      <c r="H143" s="29" t="n">
        <f aca="false">D143-E143</f>
        <v>4.50947575937755</v>
      </c>
      <c r="I143" s="29" t="n">
        <f aca="false">D143-D142</f>
        <v>-0.00235148466740398</v>
      </c>
      <c r="J143" s="29" t="n">
        <f aca="false">E143-E142</f>
        <v>-0.00298610535428789</v>
      </c>
      <c r="K143" s="0" t="n">
        <v>0</v>
      </c>
      <c r="L143" s="0" t="n">
        <v>0</v>
      </c>
      <c r="M143" s="29" t="n">
        <f aca="false">IF(L143=1,J143-Carry!$B$9/Inputs!$B$16,I143)</f>
        <v>-0.00235148466740398</v>
      </c>
      <c r="N143" s="0" t="n">
        <v>0.065</v>
      </c>
      <c r="O143" s="0" t="n">
        <v>0.000125</v>
      </c>
      <c r="P143" s="29" t="n">
        <f aca="false">D143-('2 Hedge ratio'!$B$6+'2 Hedge ratio'!$B$5*E143)</f>
        <v>-0.000979725567782808</v>
      </c>
      <c r="Q143" s="29" t="n">
        <f aca="false">D143-('5 Re-specification'!$B$7+'5 Re-specification'!$B$5*E143+'5 Re-specification'!$B$6*F143)</f>
        <v>0.000783647336550786</v>
      </c>
      <c r="R143" s="30" t="n">
        <f aca="false">MIN(F143,Inputs!$B$9)</f>
        <v>138</v>
      </c>
      <c r="S143" s="29" t="n">
        <f aca="true">IF(AND(F143&gt;=1,R143&gt;=Inputs!$B$10),INDEX(LINEST(OFFSET(D143,-R143,0,R143,1),OFFSET(E143,-R143,0,R143,2)),1,1),"")</f>
        <v>-7.56698557743461E-005</v>
      </c>
      <c r="T143" s="29" t="n">
        <f aca="true">IF(AND(F143&gt;=1,R143&gt;=Inputs!$B$10),INDEX(LINEST(OFFSET(D143,-R143,0,R143,1),OFFSET(E143,-R143,0,R143,2)),1,2),"")</f>
        <v>0.987818478474503</v>
      </c>
      <c r="U143" s="29" t="n">
        <f aca="true">IF(AND(F143&gt;=1,R143&gt;=Inputs!$B$10),INDEX(LINEST(OFFSET(D143,-R143,0,R143,1),OFFSET(E143,-R143,0,R143,2)),1,3),"")</f>
        <v>4.58163382458605</v>
      </c>
      <c r="V143" s="29" t="n">
        <f aca="true">IF(AND(F143&gt;=1,R143&gt;=Inputs!$B$10),SQRT(SUMPRODUCT((OFFSET(D143,-R143,0,R143,1)-U143-T143*OFFSET(E143,-R143,0,R143,1)-S143*OFFSET(F143,-R143,0,R143,1))^2)/(R143-3)),"")</f>
        <v>0.00223540148719507</v>
      </c>
      <c r="W143" s="31" t="n">
        <f aca="false">IF(AND(F143&gt;=1,R143&gt;=Inputs!$B$10),(D143-U143-T143*E143-S143*F143)/V143,"")</f>
        <v>1.7175179112124</v>
      </c>
      <c r="X143" s="30" t="n">
        <f aca="false">IF(AB142&lt;&gt;0,AC142+1,0)</f>
        <v>0</v>
      </c>
      <c r="Y143" s="30" t="n">
        <f aca="false">IF(W143="",0,IF(AND(AB142&lt;&gt;0,OR(ABS(W143)&gt;Inputs!$B$7,X143&gt;=Inputs!$B$8,ABS(W143)&lt;Inputs!$B$6)),1,0))</f>
        <v>0</v>
      </c>
      <c r="Z143" s="30" t="n">
        <f aca="false">IF(Y143=1,0,AB142)</f>
        <v>0</v>
      </c>
      <c r="AA143" s="30" t="n">
        <f aca="false">IF(W143="",0,IF(AND(Z143=0,ABS(W143)&gt;Inputs!$B$5,ABS(W143)&lt;=Inputs!$B$7),1,0))</f>
        <v>0</v>
      </c>
      <c r="AB143" s="30" t="n">
        <f aca="false">IF(W143="",0,IF(AA143=1,-SIGN(W143),Z143))</f>
        <v>0</v>
      </c>
      <c r="AC143" s="30" t="n">
        <f aca="false">IF(W143="",0,IF(AA143=1,0,IF(Y143=1,0,X143)))</f>
        <v>0</v>
      </c>
      <c r="AD143" s="30" t="n">
        <f aca="false">IF(AB143=0,0,IF(AB142=AB143,AD142,T143))</f>
        <v>0</v>
      </c>
      <c r="AE143" s="30" t="n">
        <f aca="false">AB143-AB142</f>
        <v>0</v>
      </c>
      <c r="AF143" s="30" t="n">
        <f aca="false">-AD143*AB143</f>
        <v>-0</v>
      </c>
      <c r="AG143" s="30" t="n">
        <f aca="false">AF143-AF142</f>
        <v>0</v>
      </c>
      <c r="AH143" s="30" t="n">
        <f aca="false">MAX(AE143,0)*(Inputs!$B$17+Inputs!$B$18+Inputs!$B$19)+MAX(-AE143,0)*(O143+Inputs!$B$18+Inputs!$B$19)+IF(AND(K143=1,AB143&lt;&gt;0),(Inputs!$B$17+Inputs!$B$18+Inputs!$B$19)+(O143+Inputs!$B$18+Inputs!$B$19),0)+MAX(AG143,0)*(Inputs!$B$20+Inputs!$B$22+Inputs!$B$23)+MAX(-AG143,0)*(Inputs!$B$21+Inputs!$B$22+Inputs!$B$23)</f>
        <v>0</v>
      </c>
      <c r="AI143" s="30" t="n">
        <f aca="false">AB142*(M143-AD142*J143)+AB142*AD142*N143/Inputs!$B$16-AH143</f>
        <v>0</v>
      </c>
      <c r="AJ143" s="30" t="n">
        <f aca="false">MAX(AE143,0)*(Inputs!$B$17+Inputs!$B$24+Inputs!$B$25)+MAX(-AE143,0)*(O143+Inputs!$B$24+Inputs!$B$25)+IF(AND(K143=1,AB143&lt;&gt;0),(Inputs!$B$17+Inputs!$B$24+Inputs!$B$25)+(O143+Inputs!$B$24+Inputs!$B$25),0)+MAX(AG143,0)*(Inputs!$B$20+Inputs!$B$26+Inputs!$B$27)+MAX(-AG143,0)*(Inputs!$B$21+Inputs!$B$26+Inputs!$B$27)</f>
        <v>0</v>
      </c>
      <c r="AK143" s="30" t="n">
        <f aca="false">AB142*(M143-AD142*J143)+AB142*AD142*(N143+Inputs!$B$14)/Inputs!$B$16-AJ143</f>
        <v>0</v>
      </c>
      <c r="AL143" s="30" t="n">
        <f aca="false">IF(AP142&lt;&gt;0,AQ142+1,0)</f>
        <v>0</v>
      </c>
      <c r="AM143" s="30" t="n">
        <f aca="false">IF(W143="",0,IF(AND(AP142&lt;&gt;0,OR(ABS(W143)&gt;Inputs!$B$7,AL143&gt;=Inputs!$B$8,ABS(W143)&lt;Inputs!$B$6)),1,0))</f>
        <v>0</v>
      </c>
      <c r="AN143" s="30" t="n">
        <f aca="false">IF(AM143=1,0,AP142)</f>
        <v>0</v>
      </c>
      <c r="AO143" s="30" t="n">
        <f aca="false">IF(W143="",0,IF(AND(AN143=0,ABS(W143)&gt;Inputs!$B$5,ABS(W143)&lt;=Inputs!$B$7,W143&gt;0),1,0))</f>
        <v>0</v>
      </c>
      <c r="AP143" s="30" t="n">
        <f aca="false">IF(W143="",0,IF(AO143=1,-SIGN(W143),AN143))</f>
        <v>0</v>
      </c>
      <c r="AQ143" s="30" t="n">
        <f aca="false">IF(W143="",0,IF(AO143=1,0,IF(AM143=1,0,AL143)))</f>
        <v>0</v>
      </c>
      <c r="AR143" s="30" t="n">
        <f aca="false">IF(AP143=0,0,IF(AP142=AP143,AR142,T143))</f>
        <v>0</v>
      </c>
      <c r="AS143" s="30" t="n">
        <f aca="false">AP143-AP142</f>
        <v>0</v>
      </c>
      <c r="AT143" s="30" t="n">
        <f aca="false">-AR143*AP143</f>
        <v>-0</v>
      </c>
      <c r="AU143" s="30" t="n">
        <f aca="false">AT143-AT142</f>
        <v>0</v>
      </c>
      <c r="AV143" s="30" t="n">
        <f aca="false">MAX(AS143,0)*(Inputs!$B$17+Inputs!$B$18+Inputs!$B$19)+MAX(-AS143,0)*(O143+Inputs!$B$18+Inputs!$B$19)+IF(AND(K143=1,AP143&lt;&gt;0),(Inputs!$B$17+Inputs!$B$18+Inputs!$B$19)+(O143+Inputs!$B$18+Inputs!$B$19),0)+MAX(AU143,0)*(Inputs!$B$20+Inputs!$B$22+Inputs!$B$23)+MAX(-AU143,0)*(Inputs!$B$21+Inputs!$B$22+Inputs!$B$23)</f>
        <v>0</v>
      </c>
      <c r="AW143" s="30" t="n">
        <f aca="false">AP142*(M143-AR142*J143)+AP142*AR142*N143/Inputs!$B$16-AV143</f>
        <v>0</v>
      </c>
      <c r="AX143" s="30" t="n">
        <f aca="false">AW143-IF(AP142&lt;&gt;0,0.75*AR142*(Inputs!$B$13-N143)/Inputs!$B$16,0)</f>
        <v>0</v>
      </c>
      <c r="AY143" s="30" t="n">
        <f aca="false">MAX(AS143,0)*(Inputs!$B$17+Inputs!$B$18+Inputs!$B$19)+MAX(-AS143,0)*(O143+Inputs!$B$18+Inputs!$B$19)+IF(AND(K143=1,AP143&lt;&gt;0),(Inputs!$B$17+Inputs!$B$18+Inputs!$B$19)+(O143+Inputs!$B$18+Inputs!$B$19),0)</f>
        <v>0</v>
      </c>
      <c r="AZ143" s="30" t="n">
        <f aca="false">AP142*M143-AY143</f>
        <v>-0</v>
      </c>
      <c r="BA143" s="32" t="n">
        <f aca="false">BA142+AI143</f>
        <v>-0.00643261700187348</v>
      </c>
      <c r="BB143" s="30" t="n">
        <f aca="false">MAX(BB142,BA143)</f>
        <v>0</v>
      </c>
      <c r="BC143" s="32" t="n">
        <f aca="false">BA143-BB143</f>
        <v>-0.00643261700187348</v>
      </c>
      <c r="BD143" s="30" t="n">
        <f aca="false">A144-A143</f>
        <v>1</v>
      </c>
    </row>
    <row r="144" customFormat="false" ht="15" hidden="false" customHeight="false" outlineLevel="0" collapsed="false">
      <c r="A144" s="28" t="n">
        <v>45251</v>
      </c>
      <c r="B144" s="0" t="n">
        <v>19842</v>
      </c>
      <c r="C144" s="0" t="n">
        <v>218.3</v>
      </c>
      <c r="D144" s="29" t="n">
        <f aca="false">LN(B144)</f>
        <v>9.89555618220985</v>
      </c>
      <c r="E144" s="29" t="n">
        <f aca="false">LN(C144)</f>
        <v>5.3858702635559</v>
      </c>
      <c r="F144" s="0" t="n">
        <v>139</v>
      </c>
      <c r="G144" s="0" t="n">
        <v>9</v>
      </c>
      <c r="H144" s="29" t="n">
        <f aca="false">D144-E144</f>
        <v>4.50968591865395</v>
      </c>
      <c r="I144" s="29" t="n">
        <f aca="false">D144-D143</f>
        <v>0.00457146539749864</v>
      </c>
      <c r="J144" s="29" t="n">
        <f aca="false">E144-E143</f>
        <v>0.00436130612109764</v>
      </c>
      <c r="K144" s="0" t="n">
        <v>0</v>
      </c>
      <c r="L144" s="0" t="n">
        <v>0</v>
      </c>
      <c r="M144" s="29" t="n">
        <f aca="false">IF(L144=1,J144-Carry!$B$9/Inputs!$B$16,I144)</f>
        <v>0.00457146539749864</v>
      </c>
      <c r="N144" s="0" t="n">
        <v>0.065</v>
      </c>
      <c r="O144" s="0" t="n">
        <v>0.000125</v>
      </c>
      <c r="P144" s="29" t="n">
        <f aca="false">D144-('2 Hedge ratio'!$B$6+'2 Hedge ratio'!$B$5*E144)</f>
        <v>-0.000403769413088284</v>
      </c>
      <c r="Q144" s="29" t="n">
        <f aca="false">D144-('5 Re-specification'!$B$7+'5 Re-specification'!$B$5*E144+'5 Re-specification'!$B$6*F144)</f>
        <v>0.00105195286934112</v>
      </c>
      <c r="R144" s="30" t="n">
        <f aca="false">MIN(F144,Inputs!$B$9)</f>
        <v>139</v>
      </c>
      <c r="S144" s="29" t="n">
        <f aca="true">IF(AND(F144&gt;=1,R144&gt;=Inputs!$B$10),INDEX(LINEST(OFFSET(D144,-R144,0,R144,1),OFFSET(E144,-R144,0,R144,2)),1,1),"")</f>
        <v>-7.38497195294057E-005</v>
      </c>
      <c r="T144" s="29" t="n">
        <f aca="true">IF(AND(F144&gt;=1,R144&gt;=Inputs!$B$10),INDEX(LINEST(OFFSET(D144,-R144,0,R144,1),OFFSET(E144,-R144,0,R144,2)),1,2),"")</f>
        <v>0.986750745497243</v>
      </c>
      <c r="U144" s="29" t="n">
        <f aca="true">IF(AND(F144&gt;=1,R144&gt;=Inputs!$B$10),INDEX(LINEST(OFFSET(D144,-R144,0,R144,1),OFFSET(E144,-R144,0,R144,2)),1,3),"")</f>
        <v>4.58725354468428</v>
      </c>
      <c r="V144" s="29" t="n">
        <f aca="true">IF(AND(F144&gt;=1,R144&gt;=Inputs!$B$10),SQRT(SUMPRODUCT((OFFSET(D144,-R144,0,R144,1)-U144-T144*OFFSET(E144,-R144,0,R144,1)-S144*OFFSET(F144,-R144,0,R144,1))^2)/(R144-3)),"")</f>
        <v>0.00225058611368329</v>
      </c>
      <c r="W144" s="31" t="n">
        <f aca="false">IF(AND(F144&gt;=1,R144&gt;=Inputs!$B$10),(D144-U144-T144*E144-S144*F144)/V144,"")</f>
        <v>1.80230865207924</v>
      </c>
      <c r="X144" s="30" t="n">
        <f aca="false">IF(AB143&lt;&gt;0,AC143+1,0)</f>
        <v>0</v>
      </c>
      <c r="Y144" s="30" t="n">
        <f aca="false">IF(W144="",0,IF(AND(AB143&lt;&gt;0,OR(ABS(W144)&gt;Inputs!$B$7,X144&gt;=Inputs!$B$8,ABS(W144)&lt;Inputs!$B$6)),1,0))</f>
        <v>0</v>
      </c>
      <c r="Z144" s="30" t="n">
        <f aca="false">IF(Y144=1,0,AB143)</f>
        <v>0</v>
      </c>
      <c r="AA144" s="30" t="n">
        <f aca="false">IF(W144="",0,IF(AND(Z144=0,ABS(W144)&gt;Inputs!$B$5,ABS(W144)&lt;=Inputs!$B$7),1,0))</f>
        <v>0</v>
      </c>
      <c r="AB144" s="30" t="n">
        <f aca="false">IF(W144="",0,IF(AA144=1,-SIGN(W144),Z144))</f>
        <v>0</v>
      </c>
      <c r="AC144" s="30" t="n">
        <f aca="false">IF(W144="",0,IF(AA144=1,0,IF(Y144=1,0,X144)))</f>
        <v>0</v>
      </c>
      <c r="AD144" s="30" t="n">
        <f aca="false">IF(AB144=0,0,IF(AB143=AB144,AD143,T144))</f>
        <v>0</v>
      </c>
      <c r="AE144" s="30" t="n">
        <f aca="false">AB144-AB143</f>
        <v>0</v>
      </c>
      <c r="AF144" s="30" t="n">
        <f aca="false">-AD144*AB144</f>
        <v>-0</v>
      </c>
      <c r="AG144" s="30" t="n">
        <f aca="false">AF144-AF143</f>
        <v>0</v>
      </c>
      <c r="AH144" s="30" t="n">
        <f aca="false">MAX(AE144,0)*(Inputs!$B$17+Inputs!$B$18+Inputs!$B$19)+MAX(-AE144,0)*(O144+Inputs!$B$18+Inputs!$B$19)+IF(AND(K144=1,AB144&lt;&gt;0),(Inputs!$B$17+Inputs!$B$18+Inputs!$B$19)+(O144+Inputs!$B$18+Inputs!$B$19),0)+MAX(AG144,0)*(Inputs!$B$20+Inputs!$B$22+Inputs!$B$23)+MAX(-AG144,0)*(Inputs!$B$21+Inputs!$B$22+Inputs!$B$23)</f>
        <v>0</v>
      </c>
      <c r="AI144" s="30" t="n">
        <f aca="false">AB143*(M144-AD143*J144)+AB143*AD143*N144/Inputs!$B$16-AH144</f>
        <v>0</v>
      </c>
      <c r="AJ144" s="30" t="n">
        <f aca="false">MAX(AE144,0)*(Inputs!$B$17+Inputs!$B$24+Inputs!$B$25)+MAX(-AE144,0)*(O144+Inputs!$B$24+Inputs!$B$25)+IF(AND(K144=1,AB144&lt;&gt;0),(Inputs!$B$17+Inputs!$B$24+Inputs!$B$25)+(O144+Inputs!$B$24+Inputs!$B$25),0)+MAX(AG144,0)*(Inputs!$B$20+Inputs!$B$26+Inputs!$B$27)+MAX(-AG144,0)*(Inputs!$B$21+Inputs!$B$26+Inputs!$B$27)</f>
        <v>0</v>
      </c>
      <c r="AK144" s="30" t="n">
        <f aca="false">AB143*(M144-AD143*J144)+AB143*AD143*(N144+Inputs!$B$14)/Inputs!$B$16-AJ144</f>
        <v>0</v>
      </c>
      <c r="AL144" s="30" t="n">
        <f aca="false">IF(AP143&lt;&gt;0,AQ143+1,0)</f>
        <v>0</v>
      </c>
      <c r="AM144" s="30" t="n">
        <f aca="false">IF(W144="",0,IF(AND(AP143&lt;&gt;0,OR(ABS(W144)&gt;Inputs!$B$7,AL144&gt;=Inputs!$B$8,ABS(W144)&lt;Inputs!$B$6)),1,0))</f>
        <v>0</v>
      </c>
      <c r="AN144" s="30" t="n">
        <f aca="false">IF(AM144=1,0,AP143)</f>
        <v>0</v>
      </c>
      <c r="AO144" s="30" t="n">
        <f aca="false">IF(W144="",0,IF(AND(AN144=0,ABS(W144)&gt;Inputs!$B$5,ABS(W144)&lt;=Inputs!$B$7,W144&gt;0),1,0))</f>
        <v>0</v>
      </c>
      <c r="AP144" s="30" t="n">
        <f aca="false">IF(W144="",0,IF(AO144=1,-SIGN(W144),AN144))</f>
        <v>0</v>
      </c>
      <c r="AQ144" s="30" t="n">
        <f aca="false">IF(W144="",0,IF(AO144=1,0,IF(AM144=1,0,AL144)))</f>
        <v>0</v>
      </c>
      <c r="AR144" s="30" t="n">
        <f aca="false">IF(AP144=0,0,IF(AP143=AP144,AR143,T144))</f>
        <v>0</v>
      </c>
      <c r="AS144" s="30" t="n">
        <f aca="false">AP144-AP143</f>
        <v>0</v>
      </c>
      <c r="AT144" s="30" t="n">
        <f aca="false">-AR144*AP144</f>
        <v>-0</v>
      </c>
      <c r="AU144" s="30" t="n">
        <f aca="false">AT144-AT143</f>
        <v>0</v>
      </c>
      <c r="AV144" s="30" t="n">
        <f aca="false">MAX(AS144,0)*(Inputs!$B$17+Inputs!$B$18+Inputs!$B$19)+MAX(-AS144,0)*(O144+Inputs!$B$18+Inputs!$B$19)+IF(AND(K144=1,AP144&lt;&gt;0),(Inputs!$B$17+Inputs!$B$18+Inputs!$B$19)+(O144+Inputs!$B$18+Inputs!$B$19),0)+MAX(AU144,0)*(Inputs!$B$20+Inputs!$B$22+Inputs!$B$23)+MAX(-AU144,0)*(Inputs!$B$21+Inputs!$B$22+Inputs!$B$23)</f>
        <v>0</v>
      </c>
      <c r="AW144" s="30" t="n">
        <f aca="false">AP143*(M144-AR143*J144)+AP143*AR143*N144/Inputs!$B$16-AV144</f>
        <v>0</v>
      </c>
      <c r="AX144" s="30" t="n">
        <f aca="false">AW144-IF(AP143&lt;&gt;0,0.75*AR143*(Inputs!$B$13-N144)/Inputs!$B$16,0)</f>
        <v>0</v>
      </c>
      <c r="AY144" s="30" t="n">
        <f aca="false">MAX(AS144,0)*(Inputs!$B$17+Inputs!$B$18+Inputs!$B$19)+MAX(-AS144,0)*(O144+Inputs!$B$18+Inputs!$B$19)+IF(AND(K144=1,AP144&lt;&gt;0),(Inputs!$B$17+Inputs!$B$18+Inputs!$B$19)+(O144+Inputs!$B$18+Inputs!$B$19),0)</f>
        <v>0</v>
      </c>
      <c r="AZ144" s="30" t="n">
        <f aca="false">AP143*M144-AY144</f>
        <v>0</v>
      </c>
      <c r="BA144" s="32" t="n">
        <f aca="false">BA143+AI144</f>
        <v>-0.00643261700187348</v>
      </c>
      <c r="BB144" s="30" t="n">
        <f aca="false">MAX(BB143,BA144)</f>
        <v>0</v>
      </c>
      <c r="BC144" s="32" t="n">
        <f aca="false">BA144-BB144</f>
        <v>-0.00643261700187348</v>
      </c>
      <c r="BD144" s="30" t="n">
        <f aca="false">A145-A144</f>
        <v>1</v>
      </c>
    </row>
    <row r="145" customFormat="false" ht="15" hidden="false" customHeight="false" outlineLevel="0" collapsed="false">
      <c r="A145" s="28" t="n">
        <v>45252</v>
      </c>
      <c r="B145" s="0" t="n">
        <v>19890</v>
      </c>
      <c r="C145" s="0" t="n">
        <v>218.6</v>
      </c>
      <c r="D145" s="29" t="n">
        <f aca="false">LN(B145)</f>
        <v>9.89797237184802</v>
      </c>
      <c r="E145" s="29" t="n">
        <f aca="false">LN(C145)</f>
        <v>5.38724357574244</v>
      </c>
      <c r="F145" s="0" t="n">
        <v>140</v>
      </c>
      <c r="G145" s="0" t="n">
        <v>8</v>
      </c>
      <c r="H145" s="29" t="n">
        <f aca="false">D145-E145</f>
        <v>4.51072879610558</v>
      </c>
      <c r="I145" s="29" t="n">
        <f aca="false">D145-D144</f>
        <v>0.00241618963817025</v>
      </c>
      <c r="J145" s="29" t="n">
        <f aca="false">E145-E144</f>
        <v>0.0013733121865398</v>
      </c>
      <c r="K145" s="0" t="n">
        <v>0</v>
      </c>
      <c r="L145" s="0" t="n">
        <v>0</v>
      </c>
      <c r="M145" s="29" t="n">
        <f aca="false">IF(L145=1,J145-Carry!$B$9/Inputs!$B$16,I145)</f>
        <v>0.00241618963817025</v>
      </c>
      <c r="N145" s="0" t="n">
        <v>0.065</v>
      </c>
      <c r="O145" s="0" t="n">
        <v>0.000125</v>
      </c>
      <c r="P145" s="29" t="n">
        <f aca="false">D145-('2 Hedge ratio'!$B$6+'2 Hedge ratio'!$B$5*E145)</f>
        <v>0.000754292182193694</v>
      </c>
      <c r="Q145" s="29" t="n">
        <f aca="false">D145-('5 Re-specification'!$B$7+'5 Re-specification'!$B$5*E145+'5 Re-specification'!$B$6*F145)</f>
        <v>0.00214392146168052</v>
      </c>
      <c r="R145" s="30" t="n">
        <f aca="false">MIN(F145,Inputs!$B$9)</f>
        <v>140</v>
      </c>
      <c r="S145" s="29" t="n">
        <f aca="true">IF(AND(F145&gt;=1,R145&gt;=Inputs!$B$10),INDEX(LINEST(OFFSET(D145,-R145,0,R145,1),OFFSET(E145,-R145,0,R145,2)),1,1),"")</f>
        <v>-7.21357675696709E-005</v>
      </c>
      <c r="T145" s="29" t="n">
        <f aca="true">IF(AND(F145&gt;=1,R145&gt;=Inputs!$B$10),INDEX(LINEST(OFFSET(D145,-R145,0,R145,1),OFFSET(E145,-R145,0,R145,2)),1,2),"")</f>
        <v>0.985939137892372</v>
      </c>
      <c r="U145" s="29" t="n">
        <f aca="true">IF(AND(F145&gt;=1,R145&gt;=Inputs!$B$10),INDEX(LINEST(OFFSET(D145,-R145,0,R145,1),OFFSET(E145,-R145,0,R145,2)),1,3),"")</f>
        <v>4.59150971950606</v>
      </c>
      <c r="V145" s="29" t="n">
        <f aca="true">IF(AND(F145&gt;=1,R145&gt;=Inputs!$B$10),SQRT(SUMPRODUCT((OFFSET(D145,-R145,0,R145,1)-U145-T145*OFFSET(E145,-R145,0,R145,1)-S145*OFFSET(F145,-R145,0,R145,1))^2)/(R145-3)),"")</f>
        <v>0.00226817426398989</v>
      </c>
      <c r="W145" s="31" t="n">
        <f aca="false">IF(AND(F145&gt;=1,R145&gt;=Inputs!$B$10),(D145-U145-T145*E145-S145*F145)/V145,"")</f>
        <v>2.23411983746014</v>
      </c>
      <c r="X145" s="30" t="n">
        <f aca="false">IF(AB144&lt;&gt;0,AC144+1,0)</f>
        <v>0</v>
      </c>
      <c r="Y145" s="30" t="n">
        <f aca="false">IF(W145="",0,IF(AND(AB144&lt;&gt;0,OR(ABS(W145)&gt;Inputs!$B$7,X145&gt;=Inputs!$B$8,ABS(W145)&lt;Inputs!$B$6)),1,0))</f>
        <v>0</v>
      </c>
      <c r="Z145" s="30" t="n">
        <f aca="false">IF(Y145=1,0,AB144)</f>
        <v>0</v>
      </c>
      <c r="AA145" s="30" t="n">
        <f aca="false">IF(W145="",0,IF(AND(Z145=0,ABS(W145)&gt;Inputs!$B$5,ABS(W145)&lt;=Inputs!$B$7),1,0))</f>
        <v>1</v>
      </c>
      <c r="AB145" s="30" t="n">
        <f aca="false">IF(W145="",0,IF(AA145=1,-SIGN(W145),Z145))</f>
        <v>-1</v>
      </c>
      <c r="AC145" s="30" t="n">
        <f aca="false">IF(W145="",0,IF(AA145=1,0,IF(Y145=1,0,X145)))</f>
        <v>0</v>
      </c>
      <c r="AD145" s="29" t="n">
        <f aca="false">IF(AB145=0,0,IF(AB144=AB145,AD144,T145))</f>
        <v>0.985939137892372</v>
      </c>
      <c r="AE145" s="30" t="n">
        <f aca="false">AB145-AB144</f>
        <v>-1</v>
      </c>
      <c r="AF145" s="30" t="n">
        <f aca="false">-AD145*AB145</f>
        <v>0.985939137892372</v>
      </c>
      <c r="AG145" s="30" t="n">
        <f aca="false">AF145-AF144</f>
        <v>0.985939137892372</v>
      </c>
      <c r="AH145" s="30" t="n">
        <f aca="false">MAX(AE145,0)*(Inputs!$B$17+Inputs!$B$18+Inputs!$B$19)+MAX(-AE145,0)*(O145+Inputs!$B$18+Inputs!$B$19)+IF(AND(K145=1,AB145&lt;&gt;0),(Inputs!$B$17+Inputs!$B$18+Inputs!$B$19)+(O145+Inputs!$B$18+Inputs!$B$19),0)+MAX(AG145,0)*(Inputs!$B$20+Inputs!$B$22+Inputs!$B$23)+MAX(-AG145,0)*(Inputs!$B$21+Inputs!$B$22+Inputs!$B$23)</f>
        <v>0.00060507869826233</v>
      </c>
      <c r="AI145" s="30" t="n">
        <f aca="false">AB144*(M145-AD144*J145)+AB144*AD144*N145/Inputs!$B$16-AH145</f>
        <v>-0.00060507869826233</v>
      </c>
      <c r="AJ145" s="30" t="n">
        <f aca="false">MAX(AE145,0)*(Inputs!$B$17+Inputs!$B$24+Inputs!$B$25)+MAX(-AE145,0)*(O145+Inputs!$B$24+Inputs!$B$25)+IF(AND(K145=1,AB145&lt;&gt;0),(Inputs!$B$17+Inputs!$B$24+Inputs!$B$25)+(O145+Inputs!$B$24+Inputs!$B$25),0)+MAX(AG145,0)*(Inputs!$B$20+Inputs!$B$26+Inputs!$B$27)+MAX(-AG145,0)*(Inputs!$B$21+Inputs!$B$26+Inputs!$B$27)</f>
        <v>0.000446414480162555</v>
      </c>
      <c r="AK145" s="30" t="n">
        <f aca="false">AB144*(M145-AD144*J145)+AB144*AD144*(N145+Inputs!$B$14)/Inputs!$B$16-AJ145</f>
        <v>-0.000446414480162555</v>
      </c>
      <c r="AL145" s="30" t="n">
        <f aca="false">IF(AP144&lt;&gt;0,AQ144+1,0)</f>
        <v>0</v>
      </c>
      <c r="AM145" s="30" t="n">
        <f aca="false">IF(W145="",0,IF(AND(AP144&lt;&gt;0,OR(ABS(W145)&gt;Inputs!$B$7,AL145&gt;=Inputs!$B$8,ABS(W145)&lt;Inputs!$B$6)),1,0))</f>
        <v>0</v>
      </c>
      <c r="AN145" s="30" t="n">
        <f aca="false">IF(AM145=1,0,AP144)</f>
        <v>0</v>
      </c>
      <c r="AO145" s="30" t="n">
        <f aca="false">IF(W145="",0,IF(AND(AN145=0,ABS(W145)&gt;Inputs!$B$5,ABS(W145)&lt;=Inputs!$B$7,W145&gt;0),1,0))</f>
        <v>1</v>
      </c>
      <c r="AP145" s="30" t="n">
        <f aca="false">IF(W145="",0,IF(AO145=1,-SIGN(W145),AN145))</f>
        <v>-1</v>
      </c>
      <c r="AQ145" s="30" t="n">
        <f aca="false">IF(W145="",0,IF(AO145=1,0,IF(AM145=1,0,AL145)))</f>
        <v>0</v>
      </c>
      <c r="AR145" s="29" t="n">
        <f aca="false">IF(AP145=0,0,IF(AP144=AP145,AR144,T145))</f>
        <v>0.985939137892372</v>
      </c>
      <c r="AS145" s="30" t="n">
        <f aca="false">AP145-AP144</f>
        <v>-1</v>
      </c>
      <c r="AT145" s="30" t="n">
        <f aca="false">-AR145*AP145</f>
        <v>0.985939137892372</v>
      </c>
      <c r="AU145" s="30" t="n">
        <f aca="false">AT145-AT144</f>
        <v>0.985939137892372</v>
      </c>
      <c r="AV145" s="30" t="n">
        <f aca="false">MAX(AS145,0)*(Inputs!$B$17+Inputs!$B$18+Inputs!$B$19)+MAX(-AS145,0)*(O145+Inputs!$B$18+Inputs!$B$19)+IF(AND(K145=1,AP145&lt;&gt;0),(Inputs!$B$17+Inputs!$B$18+Inputs!$B$19)+(O145+Inputs!$B$18+Inputs!$B$19),0)+MAX(AU145,0)*(Inputs!$B$20+Inputs!$B$22+Inputs!$B$23)+MAX(-AU145,0)*(Inputs!$B$21+Inputs!$B$22+Inputs!$B$23)</f>
        <v>0.00060507869826233</v>
      </c>
      <c r="AW145" s="30" t="n">
        <f aca="false">AP144*(M145-AR144*J145)+AP144*AR144*N145/Inputs!$B$16-AV145</f>
        <v>-0.00060507869826233</v>
      </c>
      <c r="AX145" s="30" t="n">
        <f aca="false">AW145-IF(AP144&lt;&gt;0,0.75*AR144*(Inputs!$B$13-N145)/Inputs!$B$16,0)</f>
        <v>-0.00060507869826233</v>
      </c>
      <c r="AY145" s="30" t="n">
        <f aca="false">MAX(AS145,0)*(Inputs!$B$17+Inputs!$B$18+Inputs!$B$19)+MAX(-AS145,0)*(O145+Inputs!$B$18+Inputs!$B$19)+IF(AND(K145=1,AP145&lt;&gt;0),(Inputs!$B$17+Inputs!$B$18+Inputs!$B$19)+(O145+Inputs!$B$18+Inputs!$B$19),0)</f>
        <v>0.00026</v>
      </c>
      <c r="AZ145" s="30" t="n">
        <f aca="false">AP144*M145-AY145</f>
        <v>-0.00026</v>
      </c>
      <c r="BA145" s="32" t="n">
        <f aca="false">BA144+AI145</f>
        <v>-0.00703769570013581</v>
      </c>
      <c r="BB145" s="30" t="n">
        <f aca="false">MAX(BB144,BA145)</f>
        <v>0</v>
      </c>
      <c r="BC145" s="32" t="n">
        <f aca="false">BA145-BB145</f>
        <v>-0.00703769570013581</v>
      </c>
      <c r="BD145" s="30" t="n">
        <f aca="false">A146-A145</f>
        <v>1</v>
      </c>
    </row>
    <row r="146" customFormat="false" ht="15" hidden="false" customHeight="false" outlineLevel="0" collapsed="false">
      <c r="A146" s="28" t="n">
        <v>45253</v>
      </c>
      <c r="B146" s="0" t="n">
        <v>19875.5</v>
      </c>
      <c r="C146" s="0" t="n">
        <v>218.6</v>
      </c>
      <c r="D146" s="29" t="n">
        <f aca="false">LN(B146)</f>
        <v>9.8972430964388</v>
      </c>
      <c r="E146" s="29" t="n">
        <f aca="false">LN(C146)</f>
        <v>5.38724357574244</v>
      </c>
      <c r="F146" s="0" t="n">
        <v>141</v>
      </c>
      <c r="G146" s="0" t="n">
        <v>7</v>
      </c>
      <c r="H146" s="29" t="n">
        <f aca="false">D146-E146</f>
        <v>4.50999952069636</v>
      </c>
      <c r="I146" s="29" t="n">
        <f aca="false">D146-D145</f>
        <v>-0.000729275409218744</v>
      </c>
      <c r="J146" s="29" t="n">
        <f aca="false">E146-E145</f>
        <v>0</v>
      </c>
      <c r="K146" s="0" t="n">
        <v>0</v>
      </c>
      <c r="L146" s="0" t="n">
        <v>0</v>
      </c>
      <c r="M146" s="29" t="n">
        <f aca="false">IF(L146=1,J146-Carry!$B$9/Inputs!$B$16,I146)</f>
        <v>-0.000729275409218744</v>
      </c>
      <c r="N146" s="0" t="n">
        <v>0.065</v>
      </c>
      <c r="O146" s="0" t="n">
        <v>0.000125</v>
      </c>
      <c r="P146" s="29" t="n">
        <f aca="false">D146-('2 Hedge ratio'!$B$6+'2 Hedge ratio'!$B$5*E146)</f>
        <v>2.50167729749506E-005</v>
      </c>
      <c r="Q146" s="29" t="n">
        <f aca="false">D146-('5 Re-specification'!$B$7+'5 Re-specification'!$B$5*E146+'5 Re-specification'!$B$6*F146)</f>
        <v>0.00145957537055708</v>
      </c>
      <c r="R146" s="30" t="n">
        <f aca="false">MIN(F146,Inputs!$B$9)</f>
        <v>141</v>
      </c>
      <c r="S146" s="29" t="n">
        <f aca="true">IF(AND(F146&gt;=1,R146&gt;=Inputs!$B$10),INDEX(LINEST(OFFSET(D146,-R146,0,R146,1),OFFSET(E146,-R146,0,R146,2)),1,1),"")</f>
        <v>-7.00800646168739E-005</v>
      </c>
      <c r="T146" s="29" t="n">
        <f aca="true">IF(AND(F146&gt;=1,R146&gt;=Inputs!$B$10),INDEX(LINEST(OFFSET(D146,-R146,0,R146,1),OFFSET(E146,-R146,0,R146,2)),1,2),"")</f>
        <v>0.985028373164594</v>
      </c>
      <c r="U146" s="29" t="n">
        <f aca="true">IF(AND(F146&gt;=1,R146&gt;=Inputs!$B$10),INDEX(LINEST(OFFSET(D146,-R146,0,R146,1),OFFSET(E146,-R146,0,R146,2)),1,3),"")</f>
        <v>4.59627929360785</v>
      </c>
      <c r="V146" s="29" t="n">
        <f aca="true">IF(AND(F146&gt;=1,R146&gt;=Inputs!$B$10),SQRT(SUMPRODUCT((OFFSET(D146,-R146,0,R146,1)-U146-T146*OFFSET(E146,-R146,0,R146,1)-S146*OFFSET(F146,-R146,0,R146,1))^2)/(R146-3)),"")</f>
        <v>0.00229953679375221</v>
      </c>
      <c r="W146" s="31" t="n">
        <f aca="false">IF(AND(F146&gt;=1,R146&gt;=Inputs!$B$10),(D146-U146-T146*E146-S146*F146)/V146,"")</f>
        <v>1.85138011208041</v>
      </c>
      <c r="X146" s="30" t="n">
        <f aca="false">IF(AB145&lt;&gt;0,AC145+1,0)</f>
        <v>1</v>
      </c>
      <c r="Y146" s="30" t="n">
        <f aca="false">IF(W146="",0,IF(AND(AB145&lt;&gt;0,OR(ABS(W146)&gt;Inputs!$B$7,X146&gt;=Inputs!$B$8,ABS(W146)&lt;Inputs!$B$6)),1,0))</f>
        <v>0</v>
      </c>
      <c r="Z146" s="30" t="n">
        <f aca="false">IF(Y146=1,0,AB145)</f>
        <v>-1</v>
      </c>
      <c r="AA146" s="30" t="n">
        <f aca="false">IF(W146="",0,IF(AND(Z146=0,ABS(W146)&gt;Inputs!$B$5,ABS(W146)&lt;=Inputs!$B$7),1,0))</f>
        <v>0</v>
      </c>
      <c r="AB146" s="30" t="n">
        <f aca="false">IF(W146="",0,IF(AA146=1,-SIGN(W146),Z146))</f>
        <v>-1</v>
      </c>
      <c r="AC146" s="30" t="n">
        <f aca="false">IF(W146="",0,IF(AA146=1,0,IF(Y146=1,0,X146)))</f>
        <v>1</v>
      </c>
      <c r="AD146" s="29" t="n">
        <f aca="false">IF(AB146=0,0,IF(AB145=AB146,AD145,T146))</f>
        <v>0.985939137892372</v>
      </c>
      <c r="AE146" s="30" t="n">
        <f aca="false">AB146-AB145</f>
        <v>0</v>
      </c>
      <c r="AF146" s="30" t="n">
        <f aca="false">-AD146*AB146</f>
        <v>0.985939137892372</v>
      </c>
      <c r="AG146" s="30" t="n">
        <f aca="false">AF146-AF145</f>
        <v>0</v>
      </c>
      <c r="AH146" s="30" t="n">
        <f aca="false">MAX(AE146,0)*(Inputs!$B$17+Inputs!$B$18+Inputs!$B$19)+MAX(-AE146,0)*(O146+Inputs!$B$18+Inputs!$B$19)+IF(AND(K146=1,AB146&lt;&gt;0),(Inputs!$B$17+Inputs!$B$18+Inputs!$B$19)+(O146+Inputs!$B$18+Inputs!$B$19),0)+MAX(AG146,0)*(Inputs!$B$20+Inputs!$B$22+Inputs!$B$23)+MAX(-AG146,0)*(Inputs!$B$21+Inputs!$B$22+Inputs!$B$23)</f>
        <v>0</v>
      </c>
      <c r="AI146" s="30" t="n">
        <f aca="false">AB145*(M146-AD145*J146)+AB145*AD145*N146/Inputs!$B$16-AH146</f>
        <v>0.000474965710952854</v>
      </c>
      <c r="AJ146" s="30" t="n">
        <f aca="false">MAX(AE146,0)*(Inputs!$B$17+Inputs!$B$24+Inputs!$B$25)+MAX(-AE146,0)*(O146+Inputs!$B$24+Inputs!$B$25)+IF(AND(K146=1,AB146&lt;&gt;0),(Inputs!$B$17+Inputs!$B$24+Inputs!$B$25)+(O146+Inputs!$B$24+Inputs!$B$25),0)+MAX(AG146,0)*(Inputs!$B$20+Inputs!$B$26+Inputs!$B$27)+MAX(-AG146,0)*(Inputs!$B$21+Inputs!$B$26+Inputs!$B$27)</f>
        <v>0</v>
      </c>
      <c r="AK146" s="30" t="n">
        <f aca="false">AB145*(M146-AD145*J146)+AB145*AD145*(N146+Inputs!$B$14)/Inputs!$B$16-AJ146</f>
        <v>0.000445622284229867</v>
      </c>
      <c r="AL146" s="30" t="n">
        <f aca="false">IF(AP145&lt;&gt;0,AQ145+1,0)</f>
        <v>1</v>
      </c>
      <c r="AM146" s="30" t="n">
        <f aca="false">IF(W146="",0,IF(AND(AP145&lt;&gt;0,OR(ABS(W146)&gt;Inputs!$B$7,AL146&gt;=Inputs!$B$8,ABS(W146)&lt;Inputs!$B$6)),1,0))</f>
        <v>0</v>
      </c>
      <c r="AN146" s="30" t="n">
        <f aca="false">IF(AM146=1,0,AP145)</f>
        <v>-1</v>
      </c>
      <c r="AO146" s="30" t="n">
        <f aca="false">IF(W146="",0,IF(AND(AN146=0,ABS(W146)&gt;Inputs!$B$5,ABS(W146)&lt;=Inputs!$B$7,W146&gt;0),1,0))</f>
        <v>0</v>
      </c>
      <c r="AP146" s="30" t="n">
        <f aca="false">IF(W146="",0,IF(AO146=1,-SIGN(W146),AN146))</f>
        <v>-1</v>
      </c>
      <c r="AQ146" s="30" t="n">
        <f aca="false">IF(W146="",0,IF(AO146=1,0,IF(AM146=1,0,AL146)))</f>
        <v>1</v>
      </c>
      <c r="AR146" s="29" t="n">
        <f aca="false">IF(AP146=0,0,IF(AP145=AP146,AR145,T146))</f>
        <v>0.985939137892372</v>
      </c>
      <c r="AS146" s="30" t="n">
        <f aca="false">AP146-AP145</f>
        <v>0</v>
      </c>
      <c r="AT146" s="30" t="n">
        <f aca="false">-AR146*AP146</f>
        <v>0.985939137892372</v>
      </c>
      <c r="AU146" s="30" t="n">
        <f aca="false">AT146-AT145</f>
        <v>0</v>
      </c>
      <c r="AV146" s="30" t="n">
        <f aca="false">MAX(AS146,0)*(Inputs!$B$17+Inputs!$B$18+Inputs!$B$19)+MAX(-AS146,0)*(O146+Inputs!$B$18+Inputs!$B$19)+IF(AND(K146=1,AP146&lt;&gt;0),(Inputs!$B$17+Inputs!$B$18+Inputs!$B$19)+(O146+Inputs!$B$18+Inputs!$B$19),0)+MAX(AU146,0)*(Inputs!$B$20+Inputs!$B$22+Inputs!$B$23)+MAX(-AU146,0)*(Inputs!$B$21+Inputs!$B$22+Inputs!$B$23)</f>
        <v>0</v>
      </c>
      <c r="AW146" s="30" t="n">
        <f aca="false">AP145*(M146-AR145*J146)+AP145*AR145*N146/Inputs!$B$16-AV146</f>
        <v>0.000474965710952854</v>
      </c>
      <c r="AX146" s="30" t="n">
        <f aca="false">AW146-IF(AP145&lt;&gt;0,0.75*AR145*(Inputs!$B$13-N146)/Inputs!$B$16,0)</f>
        <v>0.00025489001053045</v>
      </c>
      <c r="AY146" s="30" t="n">
        <f aca="false">MAX(AS146,0)*(Inputs!$B$17+Inputs!$B$18+Inputs!$B$19)+MAX(-AS146,0)*(O146+Inputs!$B$18+Inputs!$B$19)+IF(AND(K146=1,AP146&lt;&gt;0),(Inputs!$B$17+Inputs!$B$18+Inputs!$B$19)+(O146+Inputs!$B$18+Inputs!$B$19),0)</f>
        <v>0</v>
      </c>
      <c r="AZ146" s="30" t="n">
        <f aca="false">AP145*M146-AY146</f>
        <v>0.000729275409218744</v>
      </c>
      <c r="BA146" s="32" t="n">
        <f aca="false">BA145+AI146</f>
        <v>-0.00656272998918296</v>
      </c>
      <c r="BB146" s="30" t="n">
        <f aca="false">MAX(BB145,BA146)</f>
        <v>0</v>
      </c>
      <c r="BC146" s="32" t="n">
        <f aca="false">BA146-BB146</f>
        <v>-0.00656272998918296</v>
      </c>
      <c r="BD146" s="30" t="n">
        <f aca="false">A147-A146</f>
        <v>1</v>
      </c>
    </row>
    <row r="147" customFormat="false" ht="15" hidden="false" customHeight="false" outlineLevel="0" collapsed="false">
      <c r="A147" s="28" t="n">
        <v>45254</v>
      </c>
      <c r="B147" s="0" t="n">
        <v>19827.7</v>
      </c>
      <c r="C147" s="0" t="n">
        <v>218.65</v>
      </c>
      <c r="D147" s="29" t="n">
        <f aca="false">LN(B147)</f>
        <v>9.89483522890698</v>
      </c>
      <c r="E147" s="29" t="n">
        <f aca="false">LN(C147)</f>
        <v>5.38747227785893</v>
      </c>
      <c r="F147" s="0" t="n">
        <v>142</v>
      </c>
      <c r="G147" s="0" t="n">
        <v>6</v>
      </c>
      <c r="H147" s="29" t="n">
        <f aca="false">D147-E147</f>
        <v>4.50736295104805</v>
      </c>
      <c r="I147" s="29" t="n">
        <f aca="false">D147-D146</f>
        <v>-0.00240786753182043</v>
      </c>
      <c r="J147" s="29" t="n">
        <f aca="false">E147-E146</f>
        <v>0.000228702116491064</v>
      </c>
      <c r="K147" s="0" t="n">
        <v>0</v>
      </c>
      <c r="L147" s="0" t="n">
        <v>0</v>
      </c>
      <c r="M147" s="29" t="n">
        <f aca="false">IF(L147=1,J147-Carry!$B$9/Inputs!$B$16,I147)</f>
        <v>-0.00240786753182043</v>
      </c>
      <c r="N147" s="0" t="n">
        <v>0.065</v>
      </c>
      <c r="O147" s="0" t="n">
        <v>0.000125</v>
      </c>
      <c r="P147" s="29" t="n">
        <f aca="false">D147-('2 Hedge ratio'!$B$6+'2 Hedge ratio'!$B$5*E147)</f>
        <v>-0.00259237088766007</v>
      </c>
      <c r="Q147" s="29" t="n">
        <f aca="false">D147-('5 Re-specification'!$B$7+'5 Re-specification'!$B$5*E147+'5 Re-specification'!$B$6*F147)</f>
        <v>-0.00113137187788936</v>
      </c>
      <c r="R147" s="30" t="n">
        <f aca="false">MIN(F147,Inputs!$B$9)</f>
        <v>142</v>
      </c>
      <c r="S147" s="29" t="n">
        <f aca="true">IF(AND(F147&gt;=1,R147&gt;=Inputs!$B$10),INDEX(LINEST(OFFSET(D147,-R147,0,R147,1),OFFSET(E147,-R147,0,R147,2)),1,1),"")</f>
        <v>-6.83592908967325E-005</v>
      </c>
      <c r="T147" s="29" t="n">
        <f aca="true">IF(AND(F147&gt;=1,R147&gt;=Inputs!$B$10),INDEX(LINEST(OFFSET(D147,-R147,0,R147,1),OFFSET(E147,-R147,0,R147,2)),1,2),"")</f>
        <v>0.984239671637528</v>
      </c>
      <c r="U147" s="29" t="n">
        <f aca="true">IF(AND(F147&gt;=1,R147&gt;=Inputs!$B$10),INDEX(LINEST(OFFSET(D147,-R147,0,R147,1),OFFSET(E147,-R147,0,R147,2)),1,3),"")</f>
        <v>4.60041197074501</v>
      </c>
      <c r="V147" s="29" t="n">
        <f aca="true">IF(AND(F147&gt;=1,R147&gt;=Inputs!$B$10),SQRT(SUMPRODUCT((OFFSET(D147,-R147,0,R147,1)-U147-T147*OFFSET(E147,-R147,0,R147,1)-S147*OFFSET(F147,-R147,0,R147,1))^2)/(R147-3)),"")</f>
        <v>0.00231869582582338</v>
      </c>
      <c r="W147" s="31" t="n">
        <f aca="false">IF(AND(F147&gt;=1,R147&gt;=Inputs!$B$10),(D147-U147-T147*E147-S147*F147)/V147,"")</f>
        <v>0.675522738128094</v>
      </c>
      <c r="X147" s="30" t="n">
        <f aca="false">IF(AB146&lt;&gt;0,AC146+1,0)</f>
        <v>2</v>
      </c>
      <c r="Y147" s="30" t="n">
        <f aca="false">IF(W147="",0,IF(AND(AB146&lt;&gt;0,OR(ABS(W147)&gt;Inputs!$B$7,X147&gt;=Inputs!$B$8,ABS(W147)&lt;Inputs!$B$6)),1,0))</f>
        <v>0</v>
      </c>
      <c r="Z147" s="30" t="n">
        <f aca="false">IF(Y147=1,0,AB146)</f>
        <v>-1</v>
      </c>
      <c r="AA147" s="30" t="n">
        <f aca="false">IF(W147="",0,IF(AND(Z147=0,ABS(W147)&gt;Inputs!$B$5,ABS(W147)&lt;=Inputs!$B$7),1,0))</f>
        <v>0</v>
      </c>
      <c r="AB147" s="30" t="n">
        <f aca="false">IF(W147="",0,IF(AA147=1,-SIGN(W147),Z147))</f>
        <v>-1</v>
      </c>
      <c r="AC147" s="30" t="n">
        <f aca="false">IF(W147="",0,IF(AA147=1,0,IF(Y147=1,0,X147)))</f>
        <v>2</v>
      </c>
      <c r="AD147" s="29" t="n">
        <f aca="false">IF(AB147=0,0,IF(AB146=AB147,AD146,T147))</f>
        <v>0.985939137892372</v>
      </c>
      <c r="AE147" s="30" t="n">
        <f aca="false">AB147-AB146</f>
        <v>0</v>
      </c>
      <c r="AF147" s="30" t="n">
        <f aca="false">-AD147*AB147</f>
        <v>0.985939137892372</v>
      </c>
      <c r="AG147" s="30" t="n">
        <f aca="false">AF147-AF146</f>
        <v>0</v>
      </c>
      <c r="AH147" s="30" t="n">
        <f aca="false">MAX(AE147,0)*(Inputs!$B$17+Inputs!$B$18+Inputs!$B$19)+MAX(-AE147,0)*(O147+Inputs!$B$18+Inputs!$B$19)+IF(AND(K147=1,AB147&lt;&gt;0),(Inputs!$B$17+Inputs!$B$18+Inputs!$B$19)+(O147+Inputs!$B$18+Inputs!$B$19),0)+MAX(AG147,0)*(Inputs!$B$20+Inputs!$B$22+Inputs!$B$23)+MAX(-AG147,0)*(Inputs!$B$21+Inputs!$B$22+Inputs!$B$23)</f>
        <v>0</v>
      </c>
      <c r="AI147" s="30" t="n">
        <f aca="false">AB146*(M147-AD146*J147)+AB146*AD146*N147/Inputs!$B$16-AH147</f>
        <v>0.0023790442011219</v>
      </c>
      <c r="AJ147" s="30" t="n">
        <f aca="false">MAX(AE147,0)*(Inputs!$B$17+Inputs!$B$24+Inputs!$B$25)+MAX(-AE147,0)*(O147+Inputs!$B$24+Inputs!$B$25)+IF(AND(K147=1,AB147&lt;&gt;0),(Inputs!$B$17+Inputs!$B$24+Inputs!$B$25)+(O147+Inputs!$B$24+Inputs!$B$25),0)+MAX(AG147,0)*(Inputs!$B$20+Inputs!$B$26+Inputs!$B$27)+MAX(-AG147,0)*(Inputs!$B$21+Inputs!$B$26+Inputs!$B$27)</f>
        <v>0</v>
      </c>
      <c r="AK147" s="30" t="n">
        <f aca="false">AB146*(M147-AD146*J147)+AB146*AD146*(N147+Inputs!$B$14)/Inputs!$B$16-AJ147</f>
        <v>0.00234970077439891</v>
      </c>
      <c r="AL147" s="30" t="n">
        <f aca="false">IF(AP146&lt;&gt;0,AQ146+1,0)</f>
        <v>2</v>
      </c>
      <c r="AM147" s="30" t="n">
        <f aca="false">IF(W147="",0,IF(AND(AP146&lt;&gt;0,OR(ABS(W147)&gt;Inputs!$B$7,AL147&gt;=Inputs!$B$8,ABS(W147)&lt;Inputs!$B$6)),1,0))</f>
        <v>0</v>
      </c>
      <c r="AN147" s="30" t="n">
        <f aca="false">IF(AM147=1,0,AP146)</f>
        <v>-1</v>
      </c>
      <c r="AO147" s="30" t="n">
        <f aca="false">IF(W147="",0,IF(AND(AN147=0,ABS(W147)&gt;Inputs!$B$5,ABS(W147)&lt;=Inputs!$B$7,W147&gt;0),1,0))</f>
        <v>0</v>
      </c>
      <c r="AP147" s="30" t="n">
        <f aca="false">IF(W147="",0,IF(AO147=1,-SIGN(W147),AN147))</f>
        <v>-1</v>
      </c>
      <c r="AQ147" s="30" t="n">
        <f aca="false">IF(W147="",0,IF(AO147=1,0,IF(AM147=1,0,AL147)))</f>
        <v>2</v>
      </c>
      <c r="AR147" s="29" t="n">
        <f aca="false">IF(AP147=0,0,IF(AP146=AP147,AR146,T147))</f>
        <v>0.985939137892372</v>
      </c>
      <c r="AS147" s="30" t="n">
        <f aca="false">AP147-AP146</f>
        <v>0</v>
      </c>
      <c r="AT147" s="30" t="n">
        <f aca="false">-AR147*AP147</f>
        <v>0.985939137892372</v>
      </c>
      <c r="AU147" s="30" t="n">
        <f aca="false">AT147-AT146</f>
        <v>0</v>
      </c>
      <c r="AV147" s="30" t="n">
        <f aca="false">MAX(AS147,0)*(Inputs!$B$17+Inputs!$B$18+Inputs!$B$19)+MAX(-AS147,0)*(O147+Inputs!$B$18+Inputs!$B$19)+IF(AND(K147=1,AP147&lt;&gt;0),(Inputs!$B$17+Inputs!$B$18+Inputs!$B$19)+(O147+Inputs!$B$18+Inputs!$B$19),0)+MAX(AU147,0)*(Inputs!$B$20+Inputs!$B$22+Inputs!$B$23)+MAX(-AU147,0)*(Inputs!$B$21+Inputs!$B$22+Inputs!$B$23)</f>
        <v>0</v>
      </c>
      <c r="AW147" s="30" t="n">
        <f aca="false">AP146*(M147-AR146*J147)+AP146*AR146*N147/Inputs!$B$16-AV147</f>
        <v>0.0023790442011219</v>
      </c>
      <c r="AX147" s="30" t="n">
        <f aca="false">AW147-IF(AP146&lt;&gt;0,0.75*AR146*(Inputs!$B$13-N147)/Inputs!$B$16,0)</f>
        <v>0.0021589685006995</v>
      </c>
      <c r="AY147" s="30" t="n">
        <f aca="false">MAX(AS147,0)*(Inputs!$B$17+Inputs!$B$18+Inputs!$B$19)+MAX(-AS147,0)*(O147+Inputs!$B$18+Inputs!$B$19)+IF(AND(K147=1,AP147&lt;&gt;0),(Inputs!$B$17+Inputs!$B$18+Inputs!$B$19)+(O147+Inputs!$B$18+Inputs!$B$19),0)</f>
        <v>0</v>
      </c>
      <c r="AZ147" s="30" t="n">
        <f aca="false">AP146*M147-AY147</f>
        <v>0.00240786753182043</v>
      </c>
      <c r="BA147" s="32" t="n">
        <f aca="false">BA146+AI147</f>
        <v>-0.00418368578806106</v>
      </c>
      <c r="BB147" s="30" t="n">
        <f aca="false">MAX(BB146,BA147)</f>
        <v>0</v>
      </c>
      <c r="BC147" s="32" t="n">
        <f aca="false">BA147-BB147</f>
        <v>-0.00418368578806106</v>
      </c>
      <c r="BD147" s="30" t="n">
        <f aca="false">A148-A147</f>
        <v>4</v>
      </c>
    </row>
    <row r="148" customFormat="false" ht="15" hidden="false" customHeight="false" outlineLevel="0" collapsed="false">
      <c r="A148" s="28" t="n">
        <v>45258</v>
      </c>
      <c r="B148" s="0" t="n">
        <v>19953</v>
      </c>
      <c r="C148" s="0" t="n">
        <v>219.79</v>
      </c>
      <c r="D148" s="29" t="n">
        <f aca="false">LN(B148)</f>
        <v>9.90113478695253</v>
      </c>
      <c r="E148" s="29" t="n">
        <f aca="false">LN(C148)</f>
        <v>5.39267254502918</v>
      </c>
      <c r="F148" s="0" t="n">
        <v>143</v>
      </c>
      <c r="G148" s="0" t="n">
        <v>2</v>
      </c>
      <c r="H148" s="29" t="n">
        <f aca="false">D148-E148</f>
        <v>4.50846224192335</v>
      </c>
      <c r="I148" s="29" t="n">
        <f aca="false">D148-D147</f>
        <v>0.00629955804555138</v>
      </c>
      <c r="J148" s="29" t="n">
        <f aca="false">E148-E147</f>
        <v>0.00520026717025246</v>
      </c>
      <c r="K148" s="0" t="n">
        <v>0</v>
      </c>
      <c r="L148" s="0" t="n">
        <v>0</v>
      </c>
      <c r="M148" s="29" t="n">
        <f aca="false">IF(L148=1,J148-Carry!$B$9/Inputs!$B$16,I148)</f>
        <v>0.00629955804555138</v>
      </c>
      <c r="N148" s="0" t="n">
        <v>0.065</v>
      </c>
      <c r="O148" s="0" t="n">
        <v>0.000125</v>
      </c>
      <c r="P148" s="29" t="n">
        <f aca="false">D148-('2 Hedge ratio'!$B$6+'2 Hedge ratio'!$B$5*E148)</f>
        <v>-0.00105691675200781</v>
      </c>
      <c r="Q148" s="29" t="n">
        <f aca="false">D148-('5 Re-specification'!$B$7+'5 Re-specification'!$B$5*E148+'5 Re-specification'!$B$6*F148)</f>
        <v>2.86077252766859E-005</v>
      </c>
      <c r="R148" s="30" t="n">
        <f aca="false">MIN(F148,Inputs!$B$9)</f>
        <v>143</v>
      </c>
      <c r="S148" s="29" t="n">
        <f aca="true">IF(AND(F148&gt;=1,R148&gt;=Inputs!$B$10),INDEX(LINEST(OFFSET(D148,-R148,0,R148,1),OFFSET(E148,-R148,0,R148,2)),1,1),"")</f>
        <v>-6.77324566119856E-005</v>
      </c>
      <c r="T148" s="29" t="n">
        <f aca="true">IF(AND(F148&gt;=1,R148&gt;=Inputs!$B$10),INDEX(LINEST(OFFSET(D148,-R148,0,R148,1),OFFSET(E148,-R148,0,R148,2)),1,2),"")</f>
        <v>0.983947748498555</v>
      </c>
      <c r="U148" s="29" t="n">
        <f aca="true">IF(AND(F148&gt;=1,R148&gt;=Inputs!$B$10),INDEX(LINEST(OFFSET(D148,-R148,0,R148,1),OFFSET(E148,-R148,0,R148,2)),1,3),"")</f>
        <v>4.60194192246013</v>
      </c>
      <c r="V148" s="29" t="n">
        <f aca="true">IF(AND(F148&gt;=1,R148&gt;=Inputs!$B$10),SQRT(SUMPRODUCT((OFFSET(D148,-R148,0,R148,1)-U148-T148*OFFSET(E148,-R148,0,R148,1)-S148*OFFSET(F148,-R148,0,R148,1))^2)/(R148-3)),"")</f>
        <v>0.00231407752841296</v>
      </c>
      <c r="W148" s="31" t="n">
        <f aca="false">IF(AND(F148&gt;=1,R148&gt;=Inputs!$B$10),(D148-U148-T148*E148-S148*F148)/V148,"")</f>
        <v>1.19727912416995</v>
      </c>
      <c r="X148" s="30" t="n">
        <f aca="false">IF(AB147&lt;&gt;0,AC147+1,0)</f>
        <v>3</v>
      </c>
      <c r="Y148" s="30" t="n">
        <f aca="false">IF(W148="",0,IF(AND(AB147&lt;&gt;0,OR(ABS(W148)&gt;Inputs!$B$7,X148&gt;=Inputs!$B$8,ABS(W148)&lt;Inputs!$B$6)),1,0))</f>
        <v>0</v>
      </c>
      <c r="Z148" s="30" t="n">
        <f aca="false">IF(Y148=1,0,AB147)</f>
        <v>-1</v>
      </c>
      <c r="AA148" s="30" t="n">
        <f aca="false">IF(W148="",0,IF(AND(Z148=0,ABS(W148)&gt;Inputs!$B$5,ABS(W148)&lt;=Inputs!$B$7),1,0))</f>
        <v>0</v>
      </c>
      <c r="AB148" s="30" t="n">
        <f aca="false">IF(W148="",0,IF(AA148=1,-SIGN(W148),Z148))</f>
        <v>-1</v>
      </c>
      <c r="AC148" s="30" t="n">
        <f aca="false">IF(W148="",0,IF(AA148=1,0,IF(Y148=1,0,X148)))</f>
        <v>3</v>
      </c>
      <c r="AD148" s="29" t="n">
        <f aca="false">IF(AB148=0,0,IF(AB147=AB148,AD147,T148))</f>
        <v>0.985939137892372</v>
      </c>
      <c r="AE148" s="30" t="n">
        <f aca="false">AB148-AB147</f>
        <v>0</v>
      </c>
      <c r="AF148" s="30" t="n">
        <f aca="false">-AD148*AB148</f>
        <v>0.985939137892372</v>
      </c>
      <c r="AG148" s="30" t="n">
        <f aca="false">AF148-AF147</f>
        <v>0</v>
      </c>
      <c r="AH148" s="30" t="n">
        <f aca="false">MAX(AE148,0)*(Inputs!$B$17+Inputs!$B$18+Inputs!$B$19)+MAX(-AE148,0)*(O148+Inputs!$B$18+Inputs!$B$19)+IF(AND(K148=1,AB148&lt;&gt;0),(Inputs!$B$17+Inputs!$B$18+Inputs!$B$19)+(O148+Inputs!$B$18+Inputs!$B$19),0)+MAX(AG148,0)*(Inputs!$B$20+Inputs!$B$22+Inputs!$B$23)+MAX(-AG148,0)*(Inputs!$B$21+Inputs!$B$22+Inputs!$B$23)</f>
        <v>0</v>
      </c>
      <c r="AI148" s="30" t="n">
        <f aca="false">AB147*(M148-AD147*J148)+AB147*AD147*N148/Inputs!$B$16-AH148</f>
        <v>-0.00142672081316856</v>
      </c>
      <c r="AJ148" s="30" t="n">
        <f aca="false">MAX(AE148,0)*(Inputs!$B$17+Inputs!$B$24+Inputs!$B$25)+MAX(-AE148,0)*(O148+Inputs!$B$24+Inputs!$B$25)+IF(AND(K148=1,AB148&lt;&gt;0),(Inputs!$B$17+Inputs!$B$24+Inputs!$B$25)+(O148+Inputs!$B$24+Inputs!$B$25),0)+MAX(AG148,0)*(Inputs!$B$20+Inputs!$B$26+Inputs!$B$27)+MAX(-AG148,0)*(Inputs!$B$21+Inputs!$B$26+Inputs!$B$27)</f>
        <v>0</v>
      </c>
      <c r="AK148" s="30" t="n">
        <f aca="false">AB147*(M148-AD147*J148)+AB147*AD147*(N148+Inputs!$B$14)/Inputs!$B$16-AJ148</f>
        <v>-0.00145606423989154</v>
      </c>
      <c r="AL148" s="30" t="n">
        <f aca="false">IF(AP147&lt;&gt;0,AQ147+1,0)</f>
        <v>3</v>
      </c>
      <c r="AM148" s="30" t="n">
        <f aca="false">IF(W148="",0,IF(AND(AP147&lt;&gt;0,OR(ABS(W148)&gt;Inputs!$B$7,AL148&gt;=Inputs!$B$8,ABS(W148)&lt;Inputs!$B$6)),1,0))</f>
        <v>0</v>
      </c>
      <c r="AN148" s="30" t="n">
        <f aca="false">IF(AM148=1,0,AP147)</f>
        <v>-1</v>
      </c>
      <c r="AO148" s="30" t="n">
        <f aca="false">IF(W148="",0,IF(AND(AN148=0,ABS(W148)&gt;Inputs!$B$5,ABS(W148)&lt;=Inputs!$B$7,W148&gt;0),1,0))</f>
        <v>0</v>
      </c>
      <c r="AP148" s="30" t="n">
        <f aca="false">IF(W148="",0,IF(AO148=1,-SIGN(W148),AN148))</f>
        <v>-1</v>
      </c>
      <c r="AQ148" s="30" t="n">
        <f aca="false">IF(W148="",0,IF(AO148=1,0,IF(AM148=1,0,AL148)))</f>
        <v>3</v>
      </c>
      <c r="AR148" s="29" t="n">
        <f aca="false">IF(AP148=0,0,IF(AP147=AP148,AR147,T148))</f>
        <v>0.985939137892372</v>
      </c>
      <c r="AS148" s="30" t="n">
        <f aca="false">AP148-AP147</f>
        <v>0</v>
      </c>
      <c r="AT148" s="30" t="n">
        <f aca="false">-AR148*AP148</f>
        <v>0.985939137892372</v>
      </c>
      <c r="AU148" s="30" t="n">
        <f aca="false">AT148-AT147</f>
        <v>0</v>
      </c>
      <c r="AV148" s="30" t="n">
        <f aca="false">MAX(AS148,0)*(Inputs!$B$17+Inputs!$B$18+Inputs!$B$19)+MAX(-AS148,0)*(O148+Inputs!$B$18+Inputs!$B$19)+IF(AND(K148=1,AP148&lt;&gt;0),(Inputs!$B$17+Inputs!$B$18+Inputs!$B$19)+(O148+Inputs!$B$18+Inputs!$B$19),0)+MAX(AU148,0)*(Inputs!$B$20+Inputs!$B$22+Inputs!$B$23)+MAX(-AU148,0)*(Inputs!$B$21+Inputs!$B$22+Inputs!$B$23)</f>
        <v>0</v>
      </c>
      <c r="AW148" s="30" t="n">
        <f aca="false">AP147*(M148-AR147*J148)+AP147*AR147*N148/Inputs!$B$16-AV148</f>
        <v>-0.00142672081316856</v>
      </c>
      <c r="AX148" s="30" t="n">
        <f aca="false">AW148-IF(AP147&lt;&gt;0,0.75*AR147*(Inputs!$B$13-N148)/Inputs!$B$16,0)</f>
        <v>-0.00164679651359096</v>
      </c>
      <c r="AY148" s="30" t="n">
        <f aca="false">MAX(AS148,0)*(Inputs!$B$17+Inputs!$B$18+Inputs!$B$19)+MAX(-AS148,0)*(O148+Inputs!$B$18+Inputs!$B$19)+IF(AND(K148=1,AP148&lt;&gt;0),(Inputs!$B$17+Inputs!$B$18+Inputs!$B$19)+(O148+Inputs!$B$18+Inputs!$B$19),0)</f>
        <v>0</v>
      </c>
      <c r="AZ148" s="30" t="n">
        <f aca="false">AP147*M148-AY148</f>
        <v>-0.00629955804555138</v>
      </c>
      <c r="BA148" s="32" t="n">
        <f aca="false">BA147+AI148</f>
        <v>-0.00561040660122962</v>
      </c>
      <c r="BB148" s="30" t="n">
        <f aca="false">MAX(BB147,BA148)</f>
        <v>0</v>
      </c>
      <c r="BC148" s="32" t="n">
        <f aca="false">BA148-BB148</f>
        <v>-0.00561040660122962</v>
      </c>
      <c r="BD148" s="30" t="n">
        <f aca="false">A149-A148</f>
        <v>1</v>
      </c>
    </row>
    <row r="149" customFormat="false" ht="15" hidden="false" customHeight="false" outlineLevel="0" collapsed="false">
      <c r="A149" s="28" t="n">
        <v>45259</v>
      </c>
      <c r="B149" s="0" t="n">
        <v>20140.3</v>
      </c>
      <c r="C149" s="0" t="n">
        <v>221.83</v>
      </c>
      <c r="D149" s="29" t="n">
        <f aca="false">LN(B149)</f>
        <v>9.9104780618915</v>
      </c>
      <c r="E149" s="29" t="n">
        <f aca="false">LN(C149)</f>
        <v>5.40191132275814</v>
      </c>
      <c r="F149" s="0" t="n">
        <v>144</v>
      </c>
      <c r="G149" s="0" t="n">
        <v>1</v>
      </c>
      <c r="H149" s="29" t="n">
        <f aca="false">D149-E149</f>
        <v>4.50856673913336</v>
      </c>
      <c r="I149" s="29" t="n">
        <f aca="false">D149-D148</f>
        <v>0.00934327493897236</v>
      </c>
      <c r="J149" s="29" t="n">
        <f aca="false">E149-E148</f>
        <v>0.00923877772896109</v>
      </c>
      <c r="K149" s="0" t="n">
        <v>0</v>
      </c>
      <c r="L149" s="0" t="n">
        <v>0</v>
      </c>
      <c r="M149" s="29" t="n">
        <f aca="false">IF(L149=1,J149-Carry!$B$9/Inputs!$B$16,I149)</f>
        <v>0.00934327493897236</v>
      </c>
      <c r="N149" s="0" t="n">
        <v>0.065</v>
      </c>
      <c r="O149" s="0" t="n">
        <v>0.000125</v>
      </c>
      <c r="P149" s="29" t="n">
        <f aca="false">D149-('2 Hedge ratio'!$B$6+'2 Hedge ratio'!$B$5*E149)</f>
        <v>-0.000177533313269862</v>
      </c>
      <c r="Q149" s="29" t="n">
        <f aca="false">D149-('5 Re-specification'!$B$7+'5 Re-specification'!$B$5*E149+'5 Re-specification'!$B$6*F149)</f>
        <v>0.000206032369488796</v>
      </c>
      <c r="R149" s="30" t="n">
        <f aca="false">MIN(F149,Inputs!$B$9)</f>
        <v>144</v>
      </c>
      <c r="S149" s="29" t="n">
        <f aca="true">IF(AND(F149&gt;=1,R149&gt;=Inputs!$B$10),INDEX(LINEST(OFFSET(D149,-R149,0,R149,1),OFFSET(E149,-R149,0,R149,2)),1,1),"")</f>
        <v>-6.67809145901842E-005</v>
      </c>
      <c r="T149" s="29" t="n">
        <f aca="true">IF(AND(F149&gt;=1,R149&gt;=Inputs!$B$10),INDEX(LINEST(OFFSET(D149,-R149,0,R149,1),OFFSET(E149,-R149,0,R149,2)),1,2),"")</f>
        <v>0.98368091434292</v>
      </c>
      <c r="U149" s="29" t="n">
        <f aca="true">IF(AND(F149&gt;=1,R149&gt;=Inputs!$B$10),INDEX(LINEST(OFFSET(D149,-R149,0,R149,1),OFFSET(E149,-R149,0,R149,2)),1,3),"")</f>
        <v>4.60332232579288</v>
      </c>
      <c r="V149" s="29" t="n">
        <f aca="true">IF(AND(F149&gt;=1,R149&gt;=Inputs!$B$10),SQRT(SUMPRODUCT((OFFSET(D149,-R149,0,R149,1)-U149-T149*OFFSET(E149,-R149,0,R149,1)-S149*OFFSET(F149,-R149,0,R149,1))^2)/(R149-3)),"")</f>
        <v>0.00231730322868458</v>
      </c>
      <c r="W149" s="31" t="n">
        <f aca="false">IF(AND(F149&gt;=1,R149&gt;=Inputs!$B$10),(D149-U149-T149*E149-S149*F149)/V149,"")</f>
        <v>1.30113253724725</v>
      </c>
      <c r="X149" s="30" t="n">
        <f aca="false">IF(AB148&lt;&gt;0,AC148+1,0)</f>
        <v>4</v>
      </c>
      <c r="Y149" s="30" t="n">
        <f aca="false">IF(W149="",0,IF(AND(AB148&lt;&gt;0,OR(ABS(W149)&gt;Inputs!$B$7,X149&gt;=Inputs!$B$8,ABS(W149)&lt;Inputs!$B$6)),1,0))</f>
        <v>0</v>
      </c>
      <c r="Z149" s="30" t="n">
        <f aca="false">IF(Y149=1,0,AB148)</f>
        <v>-1</v>
      </c>
      <c r="AA149" s="30" t="n">
        <f aca="false">IF(W149="",0,IF(AND(Z149=0,ABS(W149)&gt;Inputs!$B$5,ABS(W149)&lt;=Inputs!$B$7),1,0))</f>
        <v>0</v>
      </c>
      <c r="AB149" s="30" t="n">
        <f aca="false">IF(W149="",0,IF(AA149=1,-SIGN(W149),Z149))</f>
        <v>-1</v>
      </c>
      <c r="AC149" s="30" t="n">
        <f aca="false">IF(W149="",0,IF(AA149=1,0,IF(Y149=1,0,X149)))</f>
        <v>4</v>
      </c>
      <c r="AD149" s="29" t="n">
        <f aca="false">IF(AB149=0,0,IF(AB148=AB149,AD148,T149))</f>
        <v>0.985939137892372</v>
      </c>
      <c r="AE149" s="30" t="n">
        <f aca="false">AB149-AB148</f>
        <v>0</v>
      </c>
      <c r="AF149" s="30" t="n">
        <f aca="false">-AD149*AB149</f>
        <v>0.985939137892372</v>
      </c>
      <c r="AG149" s="30" t="n">
        <f aca="false">AF149-AF148</f>
        <v>0</v>
      </c>
      <c r="AH149" s="30" t="n">
        <f aca="false">MAX(AE149,0)*(Inputs!$B$17+Inputs!$B$18+Inputs!$B$19)+MAX(-AE149,0)*(O149+Inputs!$B$18+Inputs!$B$19)+IF(AND(K149=1,AB149&lt;&gt;0),(Inputs!$B$17+Inputs!$B$18+Inputs!$B$19)+(O149+Inputs!$B$18+Inputs!$B$19),0)+MAX(AG149,0)*(Inputs!$B$20+Inputs!$B$22+Inputs!$B$23)+MAX(-AG149,0)*(Inputs!$B$21+Inputs!$B$22+Inputs!$B$23)</f>
        <v>0</v>
      </c>
      <c r="AI149" s="30" t="n">
        <f aca="false">AB148*(M149-AD148*J149)+AB148*AD148*N149/Inputs!$B$16-AH149</f>
        <v>-0.000488712087967107</v>
      </c>
      <c r="AJ149" s="30" t="n">
        <f aca="false">MAX(AE149,0)*(Inputs!$B$17+Inputs!$B$24+Inputs!$B$25)+MAX(-AE149,0)*(O149+Inputs!$B$24+Inputs!$B$25)+IF(AND(K149=1,AB149&lt;&gt;0),(Inputs!$B$17+Inputs!$B$24+Inputs!$B$25)+(O149+Inputs!$B$24+Inputs!$B$25),0)+MAX(AG149,0)*(Inputs!$B$20+Inputs!$B$26+Inputs!$B$27)+MAX(-AG149,0)*(Inputs!$B$21+Inputs!$B$26+Inputs!$B$27)</f>
        <v>0</v>
      </c>
      <c r="AK149" s="30" t="n">
        <f aca="false">AB148*(M149-AD148*J149)+AB148*AD148*(N149+Inputs!$B$14)/Inputs!$B$16-AJ149</f>
        <v>-0.000518055514690094</v>
      </c>
      <c r="AL149" s="30" t="n">
        <f aca="false">IF(AP148&lt;&gt;0,AQ148+1,0)</f>
        <v>4</v>
      </c>
      <c r="AM149" s="30" t="n">
        <f aca="false">IF(W149="",0,IF(AND(AP148&lt;&gt;0,OR(ABS(W149)&gt;Inputs!$B$7,AL149&gt;=Inputs!$B$8,ABS(W149)&lt;Inputs!$B$6)),1,0))</f>
        <v>0</v>
      </c>
      <c r="AN149" s="30" t="n">
        <f aca="false">IF(AM149=1,0,AP148)</f>
        <v>-1</v>
      </c>
      <c r="AO149" s="30" t="n">
        <f aca="false">IF(W149="",0,IF(AND(AN149=0,ABS(W149)&gt;Inputs!$B$5,ABS(W149)&lt;=Inputs!$B$7,W149&gt;0),1,0))</f>
        <v>0</v>
      </c>
      <c r="AP149" s="30" t="n">
        <f aca="false">IF(W149="",0,IF(AO149=1,-SIGN(W149),AN149))</f>
        <v>-1</v>
      </c>
      <c r="AQ149" s="30" t="n">
        <f aca="false">IF(W149="",0,IF(AO149=1,0,IF(AM149=1,0,AL149)))</f>
        <v>4</v>
      </c>
      <c r="AR149" s="29" t="n">
        <f aca="false">IF(AP149=0,0,IF(AP148=AP149,AR148,T149))</f>
        <v>0.985939137892372</v>
      </c>
      <c r="AS149" s="30" t="n">
        <f aca="false">AP149-AP148</f>
        <v>0</v>
      </c>
      <c r="AT149" s="30" t="n">
        <f aca="false">-AR149*AP149</f>
        <v>0.985939137892372</v>
      </c>
      <c r="AU149" s="30" t="n">
        <f aca="false">AT149-AT148</f>
        <v>0</v>
      </c>
      <c r="AV149" s="30" t="n">
        <f aca="false">MAX(AS149,0)*(Inputs!$B$17+Inputs!$B$18+Inputs!$B$19)+MAX(-AS149,0)*(O149+Inputs!$B$18+Inputs!$B$19)+IF(AND(K149=1,AP149&lt;&gt;0),(Inputs!$B$17+Inputs!$B$18+Inputs!$B$19)+(O149+Inputs!$B$18+Inputs!$B$19),0)+MAX(AU149,0)*(Inputs!$B$20+Inputs!$B$22+Inputs!$B$23)+MAX(-AU149,0)*(Inputs!$B$21+Inputs!$B$22+Inputs!$B$23)</f>
        <v>0</v>
      </c>
      <c r="AW149" s="30" t="n">
        <f aca="false">AP148*(M149-AR148*J149)+AP148*AR148*N149/Inputs!$B$16-AV149</f>
        <v>-0.000488712087967107</v>
      </c>
      <c r="AX149" s="30" t="n">
        <f aca="false">AW149-IF(AP148&lt;&gt;0,0.75*AR148*(Inputs!$B$13-N149)/Inputs!$B$16,0)</f>
        <v>-0.000708787788389511</v>
      </c>
      <c r="AY149" s="30" t="n">
        <f aca="false">MAX(AS149,0)*(Inputs!$B$17+Inputs!$B$18+Inputs!$B$19)+MAX(-AS149,0)*(O149+Inputs!$B$18+Inputs!$B$19)+IF(AND(K149=1,AP149&lt;&gt;0),(Inputs!$B$17+Inputs!$B$18+Inputs!$B$19)+(O149+Inputs!$B$18+Inputs!$B$19),0)</f>
        <v>0</v>
      </c>
      <c r="AZ149" s="30" t="n">
        <f aca="false">AP148*M149-AY149</f>
        <v>-0.00934327493897236</v>
      </c>
      <c r="BA149" s="32" t="n">
        <f aca="false">BA148+AI149</f>
        <v>-0.00609911868919672</v>
      </c>
      <c r="BB149" s="30" t="n">
        <f aca="false">MAX(BB148,BA149)</f>
        <v>0</v>
      </c>
      <c r="BC149" s="32" t="n">
        <f aca="false">BA149-BB149</f>
        <v>-0.00609911868919672</v>
      </c>
      <c r="BD149" s="30" t="n">
        <f aca="false">A150-A149</f>
        <v>1</v>
      </c>
    </row>
    <row r="150" customFormat="false" ht="15" hidden="false" customHeight="false" outlineLevel="0" collapsed="false">
      <c r="A150" s="28" t="n">
        <v>45260</v>
      </c>
      <c r="B150" s="0" t="n">
        <v>20134</v>
      </c>
      <c r="C150" s="0" t="n">
        <v>222.23</v>
      </c>
      <c r="D150" s="29" t="n">
        <f aca="false">LN(B150)</f>
        <v>9.91016520728937</v>
      </c>
      <c r="E150" s="29" t="n">
        <f aca="false">LN(C150)</f>
        <v>5.40371288159338</v>
      </c>
      <c r="F150" s="0" t="n">
        <v>145</v>
      </c>
      <c r="G150" s="0" t="n">
        <v>0</v>
      </c>
      <c r="H150" s="29" t="n">
        <f aca="false">D150-E150</f>
        <v>4.50645232569599</v>
      </c>
      <c r="I150" s="29" t="n">
        <f aca="false">D150-D149</f>
        <v>-0.000312854602134038</v>
      </c>
      <c r="J150" s="29" t="n">
        <f aca="false">E150-E149</f>
        <v>0.00180155883523447</v>
      </c>
      <c r="K150" s="0" t="n">
        <v>1</v>
      </c>
      <c r="L150" s="0" t="n">
        <v>0</v>
      </c>
      <c r="M150" s="29" t="n">
        <f aca="false">IF(L150=1,J150-Carry!$B$9/Inputs!$B$16,I150)</f>
        <v>-0.000312854602134038</v>
      </c>
      <c r="N150" s="0" t="n">
        <v>0.065</v>
      </c>
      <c r="O150" s="0" t="n">
        <v>0.000125</v>
      </c>
      <c r="P150" s="29" t="n">
        <f aca="false">D150-('2 Hedge ratio'!$B$6+'2 Hedge ratio'!$B$5*E150)</f>
        <v>-0.00214084417271998</v>
      </c>
      <c r="Q150" s="29" t="n">
        <f aca="false">D150-('5 Re-specification'!$B$7+'5 Re-specification'!$B$5*E150+'5 Re-specification'!$B$6*F150)</f>
        <v>-0.00185799212569471</v>
      </c>
      <c r="R150" s="30" t="n">
        <f aca="false">MIN(F150,Inputs!$B$9)</f>
        <v>145</v>
      </c>
      <c r="S150" s="29" t="n">
        <f aca="true">IF(AND(F150&gt;=1,R150&gt;=Inputs!$B$10),INDEX(LINEST(OFFSET(D150,-R150,0,R150,1),OFFSET(E150,-R150,0,R150,2)),1,1),"")</f>
        <v>-6.60414754138152E-005</v>
      </c>
      <c r="T150" s="29" t="n">
        <f aca="true">IF(AND(F150&gt;=1,R150&gt;=Inputs!$B$10),INDEX(LINEST(OFFSET(D150,-R150,0,R150,1),OFFSET(E150,-R150,0,R150,2)),1,2),"")</f>
        <v>0.983878226024219</v>
      </c>
      <c r="U150" s="29" t="n">
        <f aca="true">IF(AND(F150&gt;=1,R150&gt;=Inputs!$B$10),INDEX(LINEST(OFFSET(D150,-R150,0,R150,1),OFFSET(E150,-R150,0,R150,2)),1,3),"")</f>
        <v>4.60223299084915</v>
      </c>
      <c r="V150" s="29" t="n">
        <f aca="true">IF(AND(F150&gt;=1,R150&gt;=Inputs!$B$10),SQRT(SUMPRODUCT((OFFSET(D150,-R150,0,R150,1)-U150-T150*OFFSET(E150,-R150,0,R150,1)-S150*OFFSET(F150,-R150,0,R150,1))^2)/(R150-3)),"")</f>
        <v>0.00232257106456638</v>
      </c>
      <c r="W150" s="31" t="n">
        <f aca="false">IF(AND(F150&gt;=1,R150&gt;=Inputs!$B$10),(D150-U150-T150*E150-S150*F150)/V150,"")</f>
        <v>0.393006914982725</v>
      </c>
      <c r="X150" s="30" t="n">
        <f aca="false">IF(AB149&lt;&gt;0,AC149+1,0)</f>
        <v>5</v>
      </c>
      <c r="Y150" s="30" t="n">
        <f aca="false">IF(W150="",0,IF(AND(AB149&lt;&gt;0,OR(ABS(W150)&gt;Inputs!$B$7,X150&gt;=Inputs!$B$8,ABS(W150)&lt;Inputs!$B$6)),1,0))</f>
        <v>1</v>
      </c>
      <c r="Z150" s="30" t="n">
        <f aca="false">IF(Y150=1,0,AB149)</f>
        <v>0</v>
      </c>
      <c r="AA150" s="30" t="n">
        <f aca="false">IF(W150="",0,IF(AND(Z150=0,ABS(W150)&gt;Inputs!$B$5,ABS(W150)&lt;=Inputs!$B$7),1,0))</f>
        <v>0</v>
      </c>
      <c r="AB150" s="30" t="n">
        <f aca="false">IF(W150="",0,IF(AA150=1,-SIGN(W150),Z150))</f>
        <v>0</v>
      </c>
      <c r="AC150" s="30" t="n">
        <f aca="false">IF(W150="",0,IF(AA150=1,0,IF(Y150=1,0,X150)))</f>
        <v>0</v>
      </c>
      <c r="AD150" s="30" t="n">
        <f aca="false">IF(AB150=0,0,IF(AB149=AB150,AD149,T150))</f>
        <v>0</v>
      </c>
      <c r="AE150" s="30" t="n">
        <f aca="false">AB150-AB149</f>
        <v>1</v>
      </c>
      <c r="AF150" s="30" t="n">
        <f aca="false">-AD150*AB150</f>
        <v>-0</v>
      </c>
      <c r="AG150" s="30" t="n">
        <f aca="false">AF150-AF149</f>
        <v>-0.985939137892372</v>
      </c>
      <c r="AH150" s="30" t="n">
        <f aca="false">MAX(AE150,0)*(Inputs!$B$17+Inputs!$B$18+Inputs!$B$19)+MAX(-AE150,0)*(O150+Inputs!$B$18+Inputs!$B$19)+IF(AND(K150=1,AB150&lt;&gt;0),(Inputs!$B$17+Inputs!$B$18+Inputs!$B$19)+(O150+Inputs!$B$18+Inputs!$B$19),0)+MAX(AG150,0)*(Inputs!$B$20+Inputs!$B$22+Inputs!$B$23)+MAX(-AG150,0)*(Inputs!$B$21+Inputs!$B$22+Inputs!$B$23)</f>
        <v>0.000362047218957398</v>
      </c>
      <c r="AI150" s="30" t="n">
        <f aca="false">AB149*(M150-AD149*J150)+AB149*AD149*N150/Inputs!$B$16-AH150</f>
        <v>0.00147272504978421</v>
      </c>
      <c r="AJ150" s="30" t="n">
        <f aca="false">MAX(AE150,0)*(Inputs!$B$17+Inputs!$B$24+Inputs!$B$25)+MAX(-AE150,0)*(O150+Inputs!$B$24+Inputs!$B$25)+IF(AND(K150=1,AB150&lt;&gt;0),(Inputs!$B$17+Inputs!$B$24+Inputs!$B$25)+(O150+Inputs!$B$24+Inputs!$B$25),0)+MAX(AG150,0)*(Inputs!$B$20+Inputs!$B$26+Inputs!$B$27)+MAX(-AG150,0)*(Inputs!$B$21+Inputs!$B$26+Inputs!$B$27)</f>
        <v>0.000203383000857623</v>
      </c>
      <c r="AK150" s="30" t="n">
        <f aca="false">AB149*(M150-AD149*J150)+AB149*AD149*(N150+Inputs!$B$14)/Inputs!$B$16-AJ150</f>
        <v>0.001602045841161</v>
      </c>
      <c r="AL150" s="30" t="n">
        <f aca="false">IF(AP149&lt;&gt;0,AQ149+1,0)</f>
        <v>5</v>
      </c>
      <c r="AM150" s="30" t="n">
        <f aca="false">IF(W150="",0,IF(AND(AP149&lt;&gt;0,OR(ABS(W150)&gt;Inputs!$B$7,AL150&gt;=Inputs!$B$8,ABS(W150)&lt;Inputs!$B$6)),1,0))</f>
        <v>1</v>
      </c>
      <c r="AN150" s="30" t="n">
        <f aca="false">IF(AM150=1,0,AP149)</f>
        <v>0</v>
      </c>
      <c r="AO150" s="30" t="n">
        <f aca="false">IF(W150="",0,IF(AND(AN150=0,ABS(W150)&gt;Inputs!$B$5,ABS(W150)&lt;=Inputs!$B$7,W150&gt;0),1,0))</f>
        <v>0</v>
      </c>
      <c r="AP150" s="30" t="n">
        <f aca="false">IF(W150="",0,IF(AO150=1,-SIGN(W150),AN150))</f>
        <v>0</v>
      </c>
      <c r="AQ150" s="30" t="n">
        <f aca="false">IF(W150="",0,IF(AO150=1,0,IF(AM150=1,0,AL150)))</f>
        <v>0</v>
      </c>
      <c r="AR150" s="30" t="n">
        <f aca="false">IF(AP150=0,0,IF(AP149=AP150,AR149,T150))</f>
        <v>0</v>
      </c>
      <c r="AS150" s="30" t="n">
        <f aca="false">AP150-AP149</f>
        <v>1</v>
      </c>
      <c r="AT150" s="30" t="n">
        <f aca="false">-AR150*AP150</f>
        <v>-0</v>
      </c>
      <c r="AU150" s="30" t="n">
        <f aca="false">AT150-AT149</f>
        <v>-0.985939137892372</v>
      </c>
      <c r="AV150" s="30" t="n">
        <f aca="false">MAX(AS150,0)*(Inputs!$B$17+Inputs!$B$18+Inputs!$B$19)+MAX(-AS150,0)*(O150+Inputs!$B$18+Inputs!$B$19)+IF(AND(K150=1,AP150&lt;&gt;0),(Inputs!$B$17+Inputs!$B$18+Inputs!$B$19)+(O150+Inputs!$B$18+Inputs!$B$19),0)+MAX(AU150,0)*(Inputs!$B$20+Inputs!$B$22+Inputs!$B$23)+MAX(-AU150,0)*(Inputs!$B$21+Inputs!$B$22+Inputs!$B$23)</f>
        <v>0.000362047218957398</v>
      </c>
      <c r="AW150" s="30" t="n">
        <f aca="false">AP149*(M150-AR149*J150)+AP149*AR149*N150/Inputs!$B$16-AV150</f>
        <v>0.00147272504978421</v>
      </c>
      <c r="AX150" s="30" t="n">
        <f aca="false">AW150-IF(AP149&lt;&gt;0,0.75*AR149*(Inputs!$B$13-N150)/Inputs!$B$16,0)</f>
        <v>0.00125264934936181</v>
      </c>
      <c r="AY150" s="30" t="n">
        <f aca="false">MAX(AS150,0)*(Inputs!$B$17+Inputs!$B$18+Inputs!$B$19)+MAX(-AS150,0)*(O150+Inputs!$B$18+Inputs!$B$19)+IF(AND(K150=1,AP150&lt;&gt;0),(Inputs!$B$17+Inputs!$B$18+Inputs!$B$19)+(O150+Inputs!$B$18+Inputs!$B$19),0)</f>
        <v>0.000155</v>
      </c>
      <c r="AZ150" s="30" t="n">
        <f aca="false">AP149*M150-AY150</f>
        <v>0.000157854602134038</v>
      </c>
      <c r="BA150" s="32" t="n">
        <f aca="false">BA149+AI150</f>
        <v>-0.00462639363941251</v>
      </c>
      <c r="BB150" s="30" t="n">
        <f aca="false">MAX(BB149,BA150)</f>
        <v>0</v>
      </c>
      <c r="BC150" s="32" t="n">
        <f aca="false">BA150-BB150</f>
        <v>-0.00462639363941251</v>
      </c>
      <c r="BD150" s="30" t="n">
        <f aca="false">A151-A150</f>
        <v>1</v>
      </c>
    </row>
    <row r="151" customFormat="false" ht="15" hidden="false" customHeight="false" outlineLevel="0" collapsed="false">
      <c r="A151" s="28" t="n">
        <v>45261</v>
      </c>
      <c r="B151" s="0" t="n">
        <v>20360</v>
      </c>
      <c r="C151" s="0" t="n">
        <v>223.51</v>
      </c>
      <c r="D151" s="29" t="n">
        <f aca="false">LN(B151)</f>
        <v>9.92132747066446</v>
      </c>
      <c r="E151" s="29" t="n">
        <f aca="false">LN(C151)</f>
        <v>5.409456155782</v>
      </c>
      <c r="F151" s="0" t="n">
        <v>146</v>
      </c>
      <c r="G151" s="0" t="n">
        <v>27</v>
      </c>
      <c r="H151" s="29" t="n">
        <f aca="false">D151-E151</f>
        <v>4.51187131488245</v>
      </c>
      <c r="I151" s="29" t="n">
        <f aca="false">D151-D150</f>
        <v>0.0111622633750894</v>
      </c>
      <c r="J151" s="29" t="n">
        <f aca="false">E151-E150</f>
        <v>0.0057432741886263</v>
      </c>
      <c r="K151" s="0" t="n">
        <v>0</v>
      </c>
      <c r="L151" s="0" t="n">
        <v>1</v>
      </c>
      <c r="M151" s="29" t="n">
        <f aca="false">IF(L151=1,J151-Carry!$B$9/Inputs!$B$16,I151)</f>
        <v>0.00548381600690517</v>
      </c>
      <c r="N151" s="0" t="n">
        <v>0.065</v>
      </c>
      <c r="O151" s="0" t="n">
        <v>0.000125</v>
      </c>
      <c r="P151" s="29" t="n">
        <f aca="false">D151-('2 Hedge ratio'!$B$6+'2 Hedge ratio'!$B$5*E151)</f>
        <v>0.00375985203247708</v>
      </c>
      <c r="Q151" s="29" t="n">
        <f aca="false">D151-('5 Re-specification'!$B$7+'5 Re-specification'!$B$5*E151+'5 Re-specification'!$B$6*F151)</f>
        <v>0.00362333137141491</v>
      </c>
      <c r="R151" s="30" t="n">
        <f aca="false">MIN(F151,Inputs!$B$9)</f>
        <v>146</v>
      </c>
      <c r="S151" s="29" t="n">
        <f aca="true">IF(AND(F151&gt;=1,R151&gt;=Inputs!$B$10),INDEX(LINEST(OFFSET(D151,-R151,0,R151,1),OFFSET(E151,-R151,0,R151,2)),1,1),"")</f>
        <v>-6.58322037433943E-005</v>
      </c>
      <c r="T151" s="29" t="n">
        <f aca="true">IF(AND(F151&gt;=1,R151&gt;=Inputs!$B$10),INDEX(LINEST(OFFSET(D151,-R151,0,R151,1),OFFSET(E151,-R151,0,R151,2)),1,2),"")</f>
        <v>0.983956748676894</v>
      </c>
      <c r="U151" s="29" t="n">
        <f aca="true">IF(AND(F151&gt;=1,R151&gt;=Inputs!$B$10),INDEX(LINEST(OFFSET(D151,-R151,0,R151,1),OFFSET(E151,-R151,0,R151,2)),1,3),"")</f>
        <v>4.60180344289308</v>
      </c>
      <c r="V151" s="29" t="n">
        <f aca="true">IF(AND(F151&gt;=1,R151&gt;=Inputs!$B$10),SQRT(SUMPRODUCT((OFFSET(D151,-R151,0,R151,1)-U151-T151*OFFSET(E151,-R151,0,R151,1)-S151*OFFSET(F151,-R151,0,R151,1))^2)/(R151-3)),"")</f>
        <v>0.00231565970379552</v>
      </c>
      <c r="W151" s="31" t="n">
        <f aca="false">IF(AND(F151&gt;=1,R151&gt;=Inputs!$B$10),(D151-U151-T151*E151-S151*F151)/V151,"")</f>
        <v>2.79170482340192</v>
      </c>
      <c r="X151" s="30" t="n">
        <f aca="false">IF(AB150&lt;&gt;0,AC150+1,0)</f>
        <v>0</v>
      </c>
      <c r="Y151" s="30" t="n">
        <f aca="false">IF(W151="",0,IF(AND(AB150&lt;&gt;0,OR(ABS(W151)&gt;Inputs!$B$7,X151&gt;=Inputs!$B$8,ABS(W151)&lt;Inputs!$B$6)),1,0))</f>
        <v>0</v>
      </c>
      <c r="Z151" s="30" t="n">
        <f aca="false">IF(Y151=1,0,AB150)</f>
        <v>0</v>
      </c>
      <c r="AA151" s="30" t="n">
        <f aca="false">IF(W151="",0,IF(AND(Z151=0,ABS(W151)&gt;Inputs!$B$5,ABS(W151)&lt;=Inputs!$B$7),1,0))</f>
        <v>1</v>
      </c>
      <c r="AB151" s="30" t="n">
        <f aca="false">IF(W151="",0,IF(AA151=1,-SIGN(W151),Z151))</f>
        <v>-1</v>
      </c>
      <c r="AC151" s="30" t="n">
        <f aca="false">IF(W151="",0,IF(AA151=1,0,IF(Y151=1,0,X151)))</f>
        <v>0</v>
      </c>
      <c r="AD151" s="29" t="n">
        <f aca="false">IF(AB151=0,0,IF(AB150=AB151,AD150,T151))</f>
        <v>0.983956748676894</v>
      </c>
      <c r="AE151" s="30" t="n">
        <f aca="false">AB151-AB150</f>
        <v>-1</v>
      </c>
      <c r="AF151" s="30" t="n">
        <f aca="false">-AD151*AB151</f>
        <v>0.983956748676894</v>
      </c>
      <c r="AG151" s="30" t="n">
        <f aca="false">AF151-AF150</f>
        <v>0.983956748676894</v>
      </c>
      <c r="AH151" s="30" t="n">
        <f aca="false">MAX(AE151,0)*(Inputs!$B$17+Inputs!$B$18+Inputs!$B$19)+MAX(-AE151,0)*(O151+Inputs!$B$18+Inputs!$B$19)+IF(AND(K151=1,AB151&lt;&gt;0),(Inputs!$B$17+Inputs!$B$18+Inputs!$B$19)+(O151+Inputs!$B$18+Inputs!$B$19),0)+MAX(AG151,0)*(Inputs!$B$20+Inputs!$B$22+Inputs!$B$23)+MAX(-AG151,0)*(Inputs!$B$21+Inputs!$B$22+Inputs!$B$23)</f>
        <v>0.000604384862036913</v>
      </c>
      <c r="AI151" s="30" t="n">
        <f aca="false">AB150*(M151-AD150*J151)+AB150*AD150*N151/Inputs!$B$16-AH151</f>
        <v>-0.000604384862036913</v>
      </c>
      <c r="AJ151" s="30" t="n">
        <f aca="false">MAX(AE151,0)*(Inputs!$B$17+Inputs!$B$24+Inputs!$B$25)+MAX(-AE151,0)*(O151+Inputs!$B$24+Inputs!$B$25)+IF(AND(K151=1,AB151&lt;&gt;0),(Inputs!$B$17+Inputs!$B$24+Inputs!$B$25)+(O151+Inputs!$B$24+Inputs!$B$25),0)+MAX(AG151,0)*(Inputs!$B$20+Inputs!$B$26+Inputs!$B$27)+MAX(-AG151,0)*(Inputs!$B$21+Inputs!$B$26+Inputs!$B$27)</f>
        <v>0.000445908970912608</v>
      </c>
      <c r="AK151" s="30" t="n">
        <f aca="false">AB150*(M151-AD150*J151)+AB150*AD150*(N151+Inputs!$B$14)/Inputs!$B$16-AJ151</f>
        <v>-0.000445908970912608</v>
      </c>
      <c r="AL151" s="30" t="n">
        <f aca="false">IF(AP150&lt;&gt;0,AQ150+1,0)</f>
        <v>0</v>
      </c>
      <c r="AM151" s="30" t="n">
        <f aca="false">IF(W151="",0,IF(AND(AP150&lt;&gt;0,OR(ABS(W151)&gt;Inputs!$B$7,AL151&gt;=Inputs!$B$8,ABS(W151)&lt;Inputs!$B$6)),1,0))</f>
        <v>0</v>
      </c>
      <c r="AN151" s="30" t="n">
        <f aca="false">IF(AM151=1,0,AP150)</f>
        <v>0</v>
      </c>
      <c r="AO151" s="30" t="n">
        <f aca="false">IF(W151="",0,IF(AND(AN151=0,ABS(W151)&gt;Inputs!$B$5,ABS(W151)&lt;=Inputs!$B$7,W151&gt;0),1,0))</f>
        <v>1</v>
      </c>
      <c r="AP151" s="30" t="n">
        <f aca="false">IF(W151="",0,IF(AO151=1,-SIGN(W151),AN151))</f>
        <v>-1</v>
      </c>
      <c r="AQ151" s="30" t="n">
        <f aca="false">IF(W151="",0,IF(AO151=1,0,IF(AM151=1,0,AL151)))</f>
        <v>0</v>
      </c>
      <c r="AR151" s="29" t="n">
        <f aca="false">IF(AP151=0,0,IF(AP150=AP151,AR150,T151))</f>
        <v>0.983956748676894</v>
      </c>
      <c r="AS151" s="30" t="n">
        <f aca="false">AP151-AP150</f>
        <v>-1</v>
      </c>
      <c r="AT151" s="30" t="n">
        <f aca="false">-AR151*AP151</f>
        <v>0.983956748676894</v>
      </c>
      <c r="AU151" s="30" t="n">
        <f aca="false">AT151-AT150</f>
        <v>0.983956748676894</v>
      </c>
      <c r="AV151" s="30" t="n">
        <f aca="false">MAX(AS151,0)*(Inputs!$B$17+Inputs!$B$18+Inputs!$B$19)+MAX(-AS151,0)*(O151+Inputs!$B$18+Inputs!$B$19)+IF(AND(K151=1,AP151&lt;&gt;0),(Inputs!$B$17+Inputs!$B$18+Inputs!$B$19)+(O151+Inputs!$B$18+Inputs!$B$19),0)+MAX(AU151,0)*(Inputs!$B$20+Inputs!$B$22+Inputs!$B$23)+MAX(-AU151,0)*(Inputs!$B$21+Inputs!$B$22+Inputs!$B$23)</f>
        <v>0.000604384862036913</v>
      </c>
      <c r="AW151" s="30" t="n">
        <f aca="false">AP150*(M151-AR150*J151)+AP150*AR150*N151/Inputs!$B$16-AV151</f>
        <v>-0.000604384862036913</v>
      </c>
      <c r="AX151" s="30" t="n">
        <f aca="false">AW151-IF(AP150&lt;&gt;0,0.75*AR150*(Inputs!$B$13-N151)/Inputs!$B$16,0)</f>
        <v>-0.000604384862036913</v>
      </c>
      <c r="AY151" s="30" t="n">
        <f aca="false">MAX(AS151,0)*(Inputs!$B$17+Inputs!$B$18+Inputs!$B$19)+MAX(-AS151,0)*(O151+Inputs!$B$18+Inputs!$B$19)+IF(AND(K151=1,AP151&lt;&gt;0),(Inputs!$B$17+Inputs!$B$18+Inputs!$B$19)+(O151+Inputs!$B$18+Inputs!$B$19),0)</f>
        <v>0.00026</v>
      </c>
      <c r="AZ151" s="30" t="n">
        <f aca="false">AP150*M151-AY151</f>
        <v>-0.00026</v>
      </c>
      <c r="BA151" s="32" t="n">
        <f aca="false">BA150+AI151</f>
        <v>-0.00523077850144942</v>
      </c>
      <c r="BB151" s="30" t="n">
        <f aca="false">MAX(BB150,BA151)</f>
        <v>0</v>
      </c>
      <c r="BC151" s="32" t="n">
        <f aca="false">BA151-BB151</f>
        <v>-0.00523077850144942</v>
      </c>
      <c r="BD151" s="30" t="n">
        <f aca="false">A152-A151</f>
        <v>3</v>
      </c>
    </row>
    <row r="152" customFormat="false" ht="15" hidden="false" customHeight="false" outlineLevel="0" collapsed="false">
      <c r="A152" s="28" t="n">
        <v>45264</v>
      </c>
      <c r="B152" s="0" t="n">
        <v>20804</v>
      </c>
      <c r="C152" s="0" t="n">
        <v>228</v>
      </c>
      <c r="D152" s="29" t="n">
        <f aca="false">LN(B152)</f>
        <v>9.94290055489296</v>
      </c>
      <c r="E152" s="29" t="n">
        <f aca="false">LN(C152)</f>
        <v>5.42934562895444</v>
      </c>
      <c r="F152" s="0" t="n">
        <v>147</v>
      </c>
      <c r="G152" s="0" t="n">
        <v>24</v>
      </c>
      <c r="H152" s="29" t="n">
        <f aca="false">D152-E152</f>
        <v>4.51355492593852</v>
      </c>
      <c r="I152" s="29" t="n">
        <f aca="false">D152-D151</f>
        <v>0.0215730842285051</v>
      </c>
      <c r="J152" s="29" t="n">
        <f aca="false">E152-E151</f>
        <v>0.0198894731724373</v>
      </c>
      <c r="K152" s="0" t="n">
        <v>0</v>
      </c>
      <c r="L152" s="0" t="n">
        <v>0</v>
      </c>
      <c r="M152" s="29" t="n">
        <f aca="false">IF(L152=1,J152-Carry!$B$9/Inputs!$B$16,I152)</f>
        <v>0.0215730842285051</v>
      </c>
      <c r="N152" s="0" t="n">
        <v>0.065</v>
      </c>
      <c r="O152" s="0" t="n">
        <v>0.000125</v>
      </c>
      <c r="P152" s="29" t="n">
        <f aca="false">D152-('2 Hedge ratio'!$B$6+'2 Hedge ratio'!$B$5*E152)</f>
        <v>0.00711165766039379</v>
      </c>
      <c r="Q152" s="29" t="n">
        <f aca="false">D152-('5 Re-specification'!$B$7+'5 Re-specification'!$B$5*E152+'5 Re-specification'!$B$6*F152)</f>
        <v>0.00541214679445012</v>
      </c>
      <c r="R152" s="30" t="n">
        <f aca="false">MIN(F152,Inputs!$B$9)</f>
        <v>147</v>
      </c>
      <c r="S152" s="29" t="n">
        <f aca="true">IF(AND(F152&gt;=1,R152&gt;=Inputs!$B$10),INDEX(LINEST(OFFSET(D152,-R152,0,R152,1),OFFSET(E152,-R152,0,R152,2)),1,1),"")</f>
        <v>-6.47260115766713E-005</v>
      </c>
      <c r="T152" s="29" t="n">
        <f aca="true">IF(AND(F152&gt;=1,R152&gt;=Inputs!$B$10),INDEX(LINEST(OFFSET(D152,-R152,0,R152,1),OFFSET(E152,-R152,0,R152,2)),1,2),"")</f>
        <v>0.985108799090007</v>
      </c>
      <c r="U152" s="29" t="n">
        <f aca="true">IF(AND(F152&gt;=1,R152&gt;=Inputs!$B$10),INDEX(LINEST(OFFSET(D152,-R152,0,R152,1),OFFSET(E152,-R152,0,R152,2)),1,3),"")</f>
        <v>4.59559498698995</v>
      </c>
      <c r="V152" s="29" t="n">
        <f aca="true">IF(AND(F152&gt;=1,R152&gt;=Inputs!$B$10),SQRT(SUMPRODUCT((OFFSET(D152,-R152,0,R152,1)-U152-T152*OFFSET(E152,-R152,0,R152,1)-S152*OFFSET(F152,-R152,0,R152,1))^2)/(R152-3)),"")</f>
        <v>0.00236790096748954</v>
      </c>
      <c r="W152" s="31" t="n">
        <f aca="false">IF(AND(F152&gt;=1,R152&gt;=Inputs!$B$10),(D152-U152-T152*E152-S152*F152)/V152,"")</f>
        <v>3.51540851377582</v>
      </c>
      <c r="X152" s="30" t="n">
        <f aca="false">IF(AB151&lt;&gt;0,AC151+1,0)</f>
        <v>1</v>
      </c>
      <c r="Y152" s="30" t="n">
        <f aca="false">IF(W152="",0,IF(AND(AB151&lt;&gt;0,OR(ABS(W152)&gt;Inputs!$B$7,X152&gt;=Inputs!$B$8,ABS(W152)&lt;Inputs!$B$6)),1,0))</f>
        <v>1</v>
      </c>
      <c r="Z152" s="30" t="n">
        <f aca="false">IF(Y152=1,0,AB151)</f>
        <v>0</v>
      </c>
      <c r="AA152" s="30" t="n">
        <f aca="false">IF(W152="",0,IF(AND(Z152=0,ABS(W152)&gt;Inputs!$B$5,ABS(W152)&lt;=Inputs!$B$7),1,0))</f>
        <v>0</v>
      </c>
      <c r="AB152" s="30" t="n">
        <f aca="false">IF(W152="",0,IF(AA152=1,-SIGN(W152),Z152))</f>
        <v>0</v>
      </c>
      <c r="AC152" s="30" t="n">
        <f aca="false">IF(W152="",0,IF(AA152=1,0,IF(Y152=1,0,X152)))</f>
        <v>0</v>
      </c>
      <c r="AD152" s="30" t="n">
        <f aca="false">IF(AB152=0,0,IF(AB151=AB152,AD151,T152))</f>
        <v>0</v>
      </c>
      <c r="AE152" s="30" t="n">
        <f aca="false">AB152-AB151</f>
        <v>1</v>
      </c>
      <c r="AF152" s="30" t="n">
        <f aca="false">-AD152*AB152</f>
        <v>-0</v>
      </c>
      <c r="AG152" s="30" t="n">
        <f aca="false">AF152-AF151</f>
        <v>-0.983956748676894</v>
      </c>
      <c r="AH152" s="30" t="n">
        <f aca="false">MAX(AE152,0)*(Inputs!$B$17+Inputs!$B$18+Inputs!$B$19)+MAX(-AE152,0)*(O152+Inputs!$B$18+Inputs!$B$19)+IF(AND(K152=1,AB152&lt;&gt;0),(Inputs!$B$17+Inputs!$B$18+Inputs!$B$19)+(O152+Inputs!$B$18+Inputs!$B$19),0)+MAX(AG152,0)*(Inputs!$B$20+Inputs!$B$22+Inputs!$B$23)+MAX(-AG152,0)*(Inputs!$B$21+Inputs!$B$22+Inputs!$B$23)</f>
        <v>0.000361630917222148</v>
      </c>
      <c r="AI152" s="30" t="n">
        <f aca="false">AB151*(M152-AD151*J152)+AB151*AD151*N152/Inputs!$B$16-AH152</f>
        <v>-0.00261813215779386</v>
      </c>
      <c r="AJ152" s="30" t="n">
        <f aca="false">MAX(AE152,0)*(Inputs!$B$17+Inputs!$B$24+Inputs!$B$25)+MAX(-AE152,0)*(O152+Inputs!$B$24+Inputs!$B$25)+IF(AND(K152=1,AB152&lt;&gt;0),(Inputs!$B$17+Inputs!$B$24+Inputs!$B$25)+(O152+Inputs!$B$24+Inputs!$B$25),0)+MAX(AG152,0)*(Inputs!$B$20+Inputs!$B$26+Inputs!$B$27)+MAX(-AG152,0)*(Inputs!$B$21+Inputs!$B$26+Inputs!$B$27)</f>
        <v>0.000203155026097843</v>
      </c>
      <c r="AK152" s="30" t="n">
        <f aca="false">AB151*(M152-AD151*J152)+AB151*AD151*(N152+Inputs!$B$14)/Inputs!$B$16-AJ152</f>
        <v>-0.00248894069371351</v>
      </c>
      <c r="AL152" s="30" t="n">
        <f aca="false">IF(AP151&lt;&gt;0,AQ151+1,0)</f>
        <v>1</v>
      </c>
      <c r="AM152" s="30" t="n">
        <f aca="false">IF(W152="",0,IF(AND(AP151&lt;&gt;0,OR(ABS(W152)&gt;Inputs!$B$7,AL152&gt;=Inputs!$B$8,ABS(W152)&lt;Inputs!$B$6)),1,0))</f>
        <v>1</v>
      </c>
      <c r="AN152" s="30" t="n">
        <f aca="false">IF(AM152=1,0,AP151)</f>
        <v>0</v>
      </c>
      <c r="AO152" s="30" t="n">
        <f aca="false">IF(W152="",0,IF(AND(AN152=0,ABS(W152)&gt;Inputs!$B$5,ABS(W152)&lt;=Inputs!$B$7,W152&gt;0),1,0))</f>
        <v>0</v>
      </c>
      <c r="AP152" s="30" t="n">
        <f aca="false">IF(W152="",0,IF(AO152=1,-SIGN(W152),AN152))</f>
        <v>0</v>
      </c>
      <c r="AQ152" s="30" t="n">
        <f aca="false">IF(W152="",0,IF(AO152=1,0,IF(AM152=1,0,AL152)))</f>
        <v>0</v>
      </c>
      <c r="AR152" s="30" t="n">
        <f aca="false">IF(AP152=0,0,IF(AP151=AP152,AR151,T152))</f>
        <v>0</v>
      </c>
      <c r="AS152" s="30" t="n">
        <f aca="false">AP152-AP151</f>
        <v>1</v>
      </c>
      <c r="AT152" s="30" t="n">
        <f aca="false">-AR152*AP152</f>
        <v>-0</v>
      </c>
      <c r="AU152" s="30" t="n">
        <f aca="false">AT152-AT151</f>
        <v>-0.983956748676894</v>
      </c>
      <c r="AV152" s="30" t="n">
        <f aca="false">MAX(AS152,0)*(Inputs!$B$17+Inputs!$B$18+Inputs!$B$19)+MAX(-AS152,0)*(O152+Inputs!$B$18+Inputs!$B$19)+IF(AND(K152=1,AP152&lt;&gt;0),(Inputs!$B$17+Inputs!$B$18+Inputs!$B$19)+(O152+Inputs!$B$18+Inputs!$B$19),0)+MAX(AU152,0)*(Inputs!$B$20+Inputs!$B$22+Inputs!$B$23)+MAX(-AU152,0)*(Inputs!$B$21+Inputs!$B$22+Inputs!$B$23)</f>
        <v>0.000361630917222148</v>
      </c>
      <c r="AW152" s="30" t="n">
        <f aca="false">AP151*(M152-AR151*J152)+AP151*AR151*N152/Inputs!$B$16-AV152</f>
        <v>-0.00261813215779386</v>
      </c>
      <c r="AX152" s="30" t="n">
        <f aca="false">AW152-IF(AP151&lt;&gt;0,0.75*AR151*(Inputs!$B$13-N152)/Inputs!$B$16,0)</f>
        <v>-0.00283776536062353</v>
      </c>
      <c r="AY152" s="30" t="n">
        <f aca="false">MAX(AS152,0)*(Inputs!$B$17+Inputs!$B$18+Inputs!$B$19)+MAX(-AS152,0)*(O152+Inputs!$B$18+Inputs!$B$19)+IF(AND(K152=1,AP152&lt;&gt;0),(Inputs!$B$17+Inputs!$B$18+Inputs!$B$19)+(O152+Inputs!$B$18+Inputs!$B$19),0)</f>
        <v>0.000155</v>
      </c>
      <c r="AZ152" s="30" t="n">
        <f aca="false">AP151*M152-AY152</f>
        <v>-0.0217280842285051</v>
      </c>
      <c r="BA152" s="32" t="n">
        <f aca="false">BA151+AI152</f>
        <v>-0.00784891065924329</v>
      </c>
      <c r="BB152" s="30" t="n">
        <f aca="false">MAX(BB151,BA152)</f>
        <v>0</v>
      </c>
      <c r="BC152" s="32" t="n">
        <f aca="false">BA152-BB152</f>
        <v>-0.00784891065924329</v>
      </c>
      <c r="BD152" s="30" t="n">
        <f aca="false">A153-A152</f>
        <v>1</v>
      </c>
    </row>
    <row r="153" customFormat="false" ht="15" hidden="false" customHeight="false" outlineLevel="0" collapsed="false">
      <c r="A153" s="28" t="n">
        <v>45265</v>
      </c>
      <c r="B153" s="0" t="n">
        <v>20953</v>
      </c>
      <c r="C153" s="0" t="n">
        <v>230.16</v>
      </c>
      <c r="D153" s="29" t="n">
        <f aca="false">LN(B153)</f>
        <v>9.95003711318911</v>
      </c>
      <c r="E153" s="29" t="n">
        <f aca="false">LN(C153)</f>
        <v>5.43877471924329</v>
      </c>
      <c r="F153" s="0" t="n">
        <v>148</v>
      </c>
      <c r="G153" s="0" t="n">
        <v>23</v>
      </c>
      <c r="H153" s="29" t="n">
        <f aca="false">D153-E153</f>
        <v>4.51126239394582</v>
      </c>
      <c r="I153" s="29" t="n">
        <f aca="false">D153-D152</f>
        <v>0.00713655829614446</v>
      </c>
      <c r="J153" s="29" t="n">
        <f aca="false">E153-E152</f>
        <v>0.00942909028885097</v>
      </c>
      <c r="K153" s="0" t="n">
        <v>0</v>
      </c>
      <c r="L153" s="0" t="n">
        <v>0</v>
      </c>
      <c r="M153" s="29" t="n">
        <f aca="false">IF(L153=1,J153-Carry!$B$9/Inputs!$B$16,I153)</f>
        <v>0.00713655829614446</v>
      </c>
      <c r="N153" s="0" t="n">
        <v>0.065</v>
      </c>
      <c r="O153" s="0" t="n">
        <v>0.000125</v>
      </c>
      <c r="P153" s="29" t="n">
        <f aca="false">D153-('2 Hedge ratio'!$B$6+'2 Hedge ratio'!$B$5*E153)</f>
        <v>0.00560997402756769</v>
      </c>
      <c r="Q153" s="29" t="n">
        <f aca="false">D153-('5 Re-specification'!$B$7+'5 Re-specification'!$B$5*E153+'5 Re-specification'!$B$6*F153)</f>
        <v>0.00319311897816199</v>
      </c>
      <c r="R153" s="30" t="n">
        <f aca="false">MIN(F153,Inputs!$B$9)</f>
        <v>148</v>
      </c>
      <c r="S153" s="29" t="n">
        <f aca="true">IF(AND(F153&gt;=1,R153&gt;=Inputs!$B$10),INDEX(LINEST(OFFSET(D153,-R153,0,R153,1),OFFSET(E153,-R153,0,R153,2)),1,1),"")</f>
        <v>-6.50362053345912E-005</v>
      </c>
      <c r="T153" s="29" t="n">
        <f aca="true">IF(AND(F153&gt;=1,R153&gt;=Inputs!$B$10),INDEX(LINEST(OFFSET(D153,-R153,0,R153,1),OFFSET(E153,-R153,0,R153,2)),1,2),"")</f>
        <v>0.989435321673209</v>
      </c>
      <c r="U153" s="29" t="n">
        <f aca="true">IF(AND(F153&gt;=1,R153&gt;=Inputs!$B$10),INDEX(LINEST(OFFSET(D153,-R153,0,R153,1),OFFSET(E153,-R153,0,R153,2)),1,3),"")</f>
        <v>4.57249418592045</v>
      </c>
      <c r="V153" s="29" t="n">
        <f aca="true">IF(AND(F153&gt;=1,R153&gt;=Inputs!$B$10),SQRT(SUMPRODUCT((OFFSET(D153,-R153,0,R153,1)-U153-T153*OFFSET(E153,-R153,0,R153,1)-S153*OFFSET(F153,-R153,0,R153,1))^2)/(R153-3)),"")</f>
        <v>0.00245487703516429</v>
      </c>
      <c r="W153" s="31" t="n">
        <f aca="false">IF(AND(F153&gt;=1,R153&gt;=Inputs!$B$10),(D153-U153-T153*E153-S153*F153)/V153,"")</f>
        <v>2.38401831608524</v>
      </c>
      <c r="X153" s="30" t="n">
        <f aca="false">IF(AB152&lt;&gt;0,AC152+1,0)</f>
        <v>0</v>
      </c>
      <c r="Y153" s="30" t="n">
        <f aca="false">IF(W153="",0,IF(AND(AB152&lt;&gt;0,OR(ABS(W153)&gt;Inputs!$B$7,X153&gt;=Inputs!$B$8,ABS(W153)&lt;Inputs!$B$6)),1,0))</f>
        <v>0</v>
      </c>
      <c r="Z153" s="30" t="n">
        <f aca="false">IF(Y153=1,0,AB152)</f>
        <v>0</v>
      </c>
      <c r="AA153" s="30" t="n">
        <f aca="false">IF(W153="",0,IF(AND(Z153=0,ABS(W153)&gt;Inputs!$B$5,ABS(W153)&lt;=Inputs!$B$7),1,0))</f>
        <v>1</v>
      </c>
      <c r="AB153" s="30" t="n">
        <f aca="false">IF(W153="",0,IF(AA153=1,-SIGN(W153),Z153))</f>
        <v>-1</v>
      </c>
      <c r="AC153" s="30" t="n">
        <f aca="false">IF(W153="",0,IF(AA153=1,0,IF(Y153=1,0,X153)))</f>
        <v>0</v>
      </c>
      <c r="AD153" s="29" t="n">
        <f aca="false">IF(AB153=0,0,IF(AB152=AB153,AD152,T153))</f>
        <v>0.989435321673209</v>
      </c>
      <c r="AE153" s="30" t="n">
        <f aca="false">AB153-AB152</f>
        <v>-1</v>
      </c>
      <c r="AF153" s="30" t="n">
        <f aca="false">-AD153*AB153</f>
        <v>0.989435321673209</v>
      </c>
      <c r="AG153" s="30" t="n">
        <f aca="false">AF153-AF152</f>
        <v>0.989435321673209</v>
      </c>
      <c r="AH153" s="30" t="n">
        <f aca="false">MAX(AE153,0)*(Inputs!$B$17+Inputs!$B$18+Inputs!$B$19)+MAX(-AE153,0)*(O153+Inputs!$B$18+Inputs!$B$19)+IF(AND(K153=1,AB153&lt;&gt;0),(Inputs!$B$17+Inputs!$B$18+Inputs!$B$19)+(O153+Inputs!$B$18+Inputs!$B$19),0)+MAX(AG153,0)*(Inputs!$B$20+Inputs!$B$22+Inputs!$B$23)+MAX(-AG153,0)*(Inputs!$B$21+Inputs!$B$22+Inputs!$B$23)</f>
        <v>0.000606302362585623</v>
      </c>
      <c r="AI153" s="30" t="n">
        <f aca="false">AB152*(M153-AD152*J153)+AB152*AD152*N153/Inputs!$B$16-AH153</f>
        <v>-0.000606302362585623</v>
      </c>
      <c r="AJ153" s="30" t="n">
        <f aca="false">MAX(AE153,0)*(Inputs!$B$17+Inputs!$B$24+Inputs!$B$25)+MAX(-AE153,0)*(O153+Inputs!$B$24+Inputs!$B$25)+IF(AND(K153=1,AB153&lt;&gt;0),(Inputs!$B$17+Inputs!$B$24+Inputs!$B$25)+(O153+Inputs!$B$24+Inputs!$B$25),0)+MAX(AG153,0)*(Inputs!$B$20+Inputs!$B$26+Inputs!$B$27)+MAX(-AG153,0)*(Inputs!$B$21+Inputs!$B$26+Inputs!$B$27)</f>
        <v>0.000447306007026668</v>
      </c>
      <c r="AK153" s="30" t="n">
        <f aca="false">AB152*(M153-AD152*J153)+AB152*AD152*(N153+Inputs!$B$14)/Inputs!$B$16-AJ153</f>
        <v>-0.000447306007026668</v>
      </c>
      <c r="AL153" s="30" t="n">
        <f aca="false">IF(AP152&lt;&gt;0,AQ152+1,0)</f>
        <v>0</v>
      </c>
      <c r="AM153" s="30" t="n">
        <f aca="false">IF(W153="",0,IF(AND(AP152&lt;&gt;0,OR(ABS(W153)&gt;Inputs!$B$7,AL153&gt;=Inputs!$B$8,ABS(W153)&lt;Inputs!$B$6)),1,0))</f>
        <v>0</v>
      </c>
      <c r="AN153" s="30" t="n">
        <f aca="false">IF(AM153=1,0,AP152)</f>
        <v>0</v>
      </c>
      <c r="AO153" s="30" t="n">
        <f aca="false">IF(W153="",0,IF(AND(AN153=0,ABS(W153)&gt;Inputs!$B$5,ABS(W153)&lt;=Inputs!$B$7,W153&gt;0),1,0))</f>
        <v>1</v>
      </c>
      <c r="AP153" s="30" t="n">
        <f aca="false">IF(W153="",0,IF(AO153=1,-SIGN(W153),AN153))</f>
        <v>-1</v>
      </c>
      <c r="AQ153" s="30" t="n">
        <f aca="false">IF(W153="",0,IF(AO153=1,0,IF(AM153=1,0,AL153)))</f>
        <v>0</v>
      </c>
      <c r="AR153" s="29" t="n">
        <f aca="false">IF(AP153=0,0,IF(AP152=AP153,AR152,T153))</f>
        <v>0.989435321673209</v>
      </c>
      <c r="AS153" s="30" t="n">
        <f aca="false">AP153-AP152</f>
        <v>-1</v>
      </c>
      <c r="AT153" s="30" t="n">
        <f aca="false">-AR153*AP153</f>
        <v>0.989435321673209</v>
      </c>
      <c r="AU153" s="30" t="n">
        <f aca="false">AT153-AT152</f>
        <v>0.989435321673209</v>
      </c>
      <c r="AV153" s="30" t="n">
        <f aca="false">MAX(AS153,0)*(Inputs!$B$17+Inputs!$B$18+Inputs!$B$19)+MAX(-AS153,0)*(O153+Inputs!$B$18+Inputs!$B$19)+IF(AND(K153=1,AP153&lt;&gt;0),(Inputs!$B$17+Inputs!$B$18+Inputs!$B$19)+(O153+Inputs!$B$18+Inputs!$B$19),0)+MAX(AU153,0)*(Inputs!$B$20+Inputs!$B$22+Inputs!$B$23)+MAX(-AU153,0)*(Inputs!$B$21+Inputs!$B$22+Inputs!$B$23)</f>
        <v>0.000606302362585623</v>
      </c>
      <c r="AW153" s="30" t="n">
        <f aca="false">AP152*(M153-AR152*J153)+AP152*AR152*N153/Inputs!$B$16-AV153</f>
        <v>-0.000606302362585623</v>
      </c>
      <c r="AX153" s="30" t="n">
        <f aca="false">AW153-IF(AP152&lt;&gt;0,0.75*AR152*(Inputs!$B$13-N153)/Inputs!$B$16,0)</f>
        <v>-0.000606302362585623</v>
      </c>
      <c r="AY153" s="30" t="n">
        <f aca="false">MAX(AS153,0)*(Inputs!$B$17+Inputs!$B$18+Inputs!$B$19)+MAX(-AS153,0)*(O153+Inputs!$B$18+Inputs!$B$19)+IF(AND(K153=1,AP153&lt;&gt;0),(Inputs!$B$17+Inputs!$B$18+Inputs!$B$19)+(O153+Inputs!$B$18+Inputs!$B$19),0)</f>
        <v>0.00026</v>
      </c>
      <c r="AZ153" s="30" t="n">
        <f aca="false">AP152*M153-AY153</f>
        <v>-0.00026</v>
      </c>
      <c r="BA153" s="32" t="n">
        <f aca="false">BA152+AI153</f>
        <v>-0.00845521302182891</v>
      </c>
      <c r="BB153" s="30" t="n">
        <f aca="false">MAX(BB152,BA153)</f>
        <v>0</v>
      </c>
      <c r="BC153" s="32" t="n">
        <f aca="false">BA153-BB153</f>
        <v>-0.00845521302182891</v>
      </c>
      <c r="BD153" s="30" t="n">
        <f aca="false">A154-A153</f>
        <v>1</v>
      </c>
    </row>
    <row r="154" customFormat="false" ht="15" hidden="false" customHeight="false" outlineLevel="0" collapsed="false">
      <c r="A154" s="28" t="n">
        <v>45266</v>
      </c>
      <c r="B154" s="0" t="n">
        <v>21042</v>
      </c>
      <c r="C154" s="0" t="n">
        <v>231</v>
      </c>
      <c r="D154" s="29" t="n">
        <f aca="false">LN(B154)</f>
        <v>9.95427571936823</v>
      </c>
      <c r="E154" s="29" t="n">
        <f aca="false">LN(C154)</f>
        <v>5.44241771052179</v>
      </c>
      <c r="F154" s="0" t="n">
        <v>149</v>
      </c>
      <c r="G154" s="0" t="n">
        <v>22</v>
      </c>
      <c r="H154" s="29" t="n">
        <f aca="false">D154-E154</f>
        <v>4.51185800884644</v>
      </c>
      <c r="I154" s="29" t="n">
        <f aca="false">D154-D153</f>
        <v>0.00423860617912553</v>
      </c>
      <c r="J154" s="29" t="n">
        <f aca="false">E154-E153</f>
        <v>0.00364299127850121</v>
      </c>
      <c r="K154" s="0" t="n">
        <v>0</v>
      </c>
      <c r="L154" s="0" t="n">
        <v>0</v>
      </c>
      <c r="M154" s="29" t="n">
        <f aca="false">IF(L154=1,J154-Carry!$B$9/Inputs!$B$16,I154)</f>
        <v>0.00423860617912553</v>
      </c>
      <c r="N154" s="0" t="n">
        <v>0.065</v>
      </c>
      <c r="O154" s="0" t="n">
        <v>0.000125</v>
      </c>
      <c r="P154" s="29" t="n">
        <f aca="false">D154-('2 Hedge ratio'!$B$6+'2 Hedge ratio'!$B$5*E154)</f>
        <v>0.00651113841275475</v>
      </c>
      <c r="Q154" s="29" t="n">
        <f aca="false">D154-('5 Re-specification'!$B$7+'5 Re-specification'!$B$5*E154+'5 Re-specification'!$B$6*F154)</f>
        <v>0.00384470328202902</v>
      </c>
      <c r="R154" s="30" t="n">
        <f aca="false">MIN(F154,Inputs!$B$9)</f>
        <v>149</v>
      </c>
      <c r="S154" s="29" t="n">
        <f aca="true">IF(AND(F154&gt;=1,R154&gt;=Inputs!$B$10),INDEX(LINEST(OFFSET(D154,-R154,0,R154,1),OFFSET(E154,-R154,0,R154,2)),1,1),"")</f>
        <v>-6.57658484078563E-005</v>
      </c>
      <c r="T154" s="29" t="n">
        <f aca="true">IF(AND(F154&gt;=1,R154&gt;=Inputs!$B$10),INDEX(LINEST(OFFSET(D154,-R154,0,R154,1),OFFSET(E154,-R154,0,R154,2)),1,2),"")</f>
        <v>0.993237854291701</v>
      </c>
      <c r="U154" s="29" t="n">
        <f aca="true">IF(AND(F154&gt;=1,R154&gt;=Inputs!$B$10),INDEX(LINEST(OFFSET(D154,-R154,0,R154,1),OFFSET(E154,-R154,0,R154,2)),1,3),"")</f>
        <v>4.55221287889772</v>
      </c>
      <c r="V154" s="29" t="n">
        <f aca="true">IF(AND(F154&gt;=1,R154&gt;=Inputs!$B$10),SQRT(SUMPRODUCT((OFFSET(D154,-R154,0,R154,1)-U154-T154*OFFSET(E154,-R154,0,R154,1)-S154*OFFSET(F154,-R154,0,R154,1))^2)/(R154-3)),"")</f>
        <v>0.00249159493473462</v>
      </c>
      <c r="W154" s="31" t="n">
        <f aca="false">IF(AND(F154&gt;=1,R154&gt;=Inputs!$B$10),(D154-U154-T154*E154-S154*F154)/V154,"")</f>
        <v>2.50709408595376</v>
      </c>
      <c r="X154" s="30" t="n">
        <f aca="false">IF(AB153&lt;&gt;0,AC153+1,0)</f>
        <v>1</v>
      </c>
      <c r="Y154" s="30" t="n">
        <f aca="false">IF(W154="",0,IF(AND(AB153&lt;&gt;0,OR(ABS(W154)&gt;Inputs!$B$7,X154&gt;=Inputs!$B$8,ABS(W154)&lt;Inputs!$B$6)),1,0))</f>
        <v>0</v>
      </c>
      <c r="Z154" s="30" t="n">
        <f aca="false">IF(Y154=1,0,AB153)</f>
        <v>-1</v>
      </c>
      <c r="AA154" s="30" t="n">
        <f aca="false">IF(W154="",0,IF(AND(Z154=0,ABS(W154)&gt;Inputs!$B$5,ABS(W154)&lt;=Inputs!$B$7),1,0))</f>
        <v>0</v>
      </c>
      <c r="AB154" s="30" t="n">
        <f aca="false">IF(W154="",0,IF(AA154=1,-SIGN(W154),Z154))</f>
        <v>-1</v>
      </c>
      <c r="AC154" s="30" t="n">
        <f aca="false">IF(W154="",0,IF(AA154=1,0,IF(Y154=1,0,X154)))</f>
        <v>1</v>
      </c>
      <c r="AD154" s="29" t="n">
        <f aca="false">IF(AB154=0,0,IF(AB153=AB154,AD153,T154))</f>
        <v>0.989435321673209</v>
      </c>
      <c r="AE154" s="30" t="n">
        <f aca="false">AB154-AB153</f>
        <v>0</v>
      </c>
      <c r="AF154" s="30" t="n">
        <f aca="false">-AD154*AB154</f>
        <v>0.989435321673209</v>
      </c>
      <c r="AG154" s="30" t="n">
        <f aca="false">AF154-AF153</f>
        <v>0</v>
      </c>
      <c r="AH154" s="30" t="n">
        <f aca="false">MAX(AE154,0)*(Inputs!$B$17+Inputs!$B$18+Inputs!$B$19)+MAX(-AE154,0)*(O154+Inputs!$B$18+Inputs!$B$19)+IF(AND(K154=1,AB154&lt;&gt;0),(Inputs!$B$17+Inputs!$B$18+Inputs!$B$19)+(O154+Inputs!$B$18+Inputs!$B$19),0)+MAX(AG154,0)*(Inputs!$B$20+Inputs!$B$22+Inputs!$B$23)+MAX(-AG154,0)*(Inputs!$B$21+Inputs!$B$22+Inputs!$B$23)</f>
        <v>0</v>
      </c>
      <c r="AI154" s="30" t="n">
        <f aca="false">AB153*(M154-AD153*J154)+AB153*AD153*N154/Inputs!$B$16-AH154</f>
        <v>-0.000889313423330413</v>
      </c>
      <c r="AJ154" s="30" t="n">
        <f aca="false">MAX(AE154,0)*(Inputs!$B$17+Inputs!$B$24+Inputs!$B$25)+MAX(-AE154,0)*(O154+Inputs!$B$24+Inputs!$B$25)+IF(AND(K154=1,AB154&lt;&gt;0),(Inputs!$B$17+Inputs!$B$24+Inputs!$B$25)+(O154+Inputs!$B$24+Inputs!$B$25),0)+MAX(AG154,0)*(Inputs!$B$20+Inputs!$B$26+Inputs!$B$27)+MAX(-AG154,0)*(Inputs!$B$21+Inputs!$B$26+Inputs!$B$27)</f>
        <v>0</v>
      </c>
      <c r="AK154" s="30" t="n">
        <f aca="false">AB153*(M154-AD153*J154)+AB153*AD153*(N154+Inputs!$B$14)/Inputs!$B$16-AJ154</f>
        <v>-0.000918760903142115</v>
      </c>
      <c r="AL154" s="30" t="n">
        <f aca="false">IF(AP153&lt;&gt;0,AQ153+1,0)</f>
        <v>1</v>
      </c>
      <c r="AM154" s="30" t="n">
        <f aca="false">IF(W154="",0,IF(AND(AP153&lt;&gt;0,OR(ABS(W154)&gt;Inputs!$B$7,AL154&gt;=Inputs!$B$8,ABS(W154)&lt;Inputs!$B$6)),1,0))</f>
        <v>0</v>
      </c>
      <c r="AN154" s="30" t="n">
        <f aca="false">IF(AM154=1,0,AP153)</f>
        <v>-1</v>
      </c>
      <c r="AO154" s="30" t="n">
        <f aca="false">IF(W154="",0,IF(AND(AN154=0,ABS(W154)&gt;Inputs!$B$5,ABS(W154)&lt;=Inputs!$B$7,W154&gt;0),1,0))</f>
        <v>0</v>
      </c>
      <c r="AP154" s="30" t="n">
        <f aca="false">IF(W154="",0,IF(AO154=1,-SIGN(W154),AN154))</f>
        <v>-1</v>
      </c>
      <c r="AQ154" s="30" t="n">
        <f aca="false">IF(W154="",0,IF(AO154=1,0,IF(AM154=1,0,AL154)))</f>
        <v>1</v>
      </c>
      <c r="AR154" s="29" t="n">
        <f aca="false">IF(AP154=0,0,IF(AP153=AP154,AR153,T154))</f>
        <v>0.989435321673209</v>
      </c>
      <c r="AS154" s="30" t="n">
        <f aca="false">AP154-AP153</f>
        <v>0</v>
      </c>
      <c r="AT154" s="30" t="n">
        <f aca="false">-AR154*AP154</f>
        <v>0.989435321673209</v>
      </c>
      <c r="AU154" s="30" t="n">
        <f aca="false">AT154-AT153</f>
        <v>0</v>
      </c>
      <c r="AV154" s="30" t="n">
        <f aca="false">MAX(AS154,0)*(Inputs!$B$17+Inputs!$B$18+Inputs!$B$19)+MAX(-AS154,0)*(O154+Inputs!$B$18+Inputs!$B$19)+IF(AND(K154=1,AP154&lt;&gt;0),(Inputs!$B$17+Inputs!$B$18+Inputs!$B$19)+(O154+Inputs!$B$18+Inputs!$B$19),0)+MAX(AU154,0)*(Inputs!$B$20+Inputs!$B$22+Inputs!$B$23)+MAX(-AU154,0)*(Inputs!$B$21+Inputs!$B$22+Inputs!$B$23)</f>
        <v>0</v>
      </c>
      <c r="AW154" s="30" t="n">
        <f aca="false">AP153*(M154-AR153*J154)+AP153*AR153*N154/Inputs!$B$16-AV154</f>
        <v>-0.000889313423330413</v>
      </c>
      <c r="AX154" s="30" t="n">
        <f aca="false">AW154-IF(AP153&lt;&gt;0,0.75*AR153*(Inputs!$B$13-N154)/Inputs!$B$16,0)</f>
        <v>-0.00111016952191818</v>
      </c>
      <c r="AY154" s="30" t="n">
        <f aca="false">MAX(AS154,0)*(Inputs!$B$17+Inputs!$B$18+Inputs!$B$19)+MAX(-AS154,0)*(O154+Inputs!$B$18+Inputs!$B$19)+IF(AND(K154=1,AP154&lt;&gt;0),(Inputs!$B$17+Inputs!$B$18+Inputs!$B$19)+(O154+Inputs!$B$18+Inputs!$B$19),0)</f>
        <v>0</v>
      </c>
      <c r="AZ154" s="30" t="n">
        <f aca="false">AP153*M154-AY154</f>
        <v>-0.00423860617912553</v>
      </c>
      <c r="BA154" s="32" t="n">
        <f aca="false">BA153+AI154</f>
        <v>-0.00934452644515932</v>
      </c>
      <c r="BB154" s="30" t="n">
        <f aca="false">MAX(BB153,BA154)</f>
        <v>0</v>
      </c>
      <c r="BC154" s="32" t="n">
        <f aca="false">BA154-BB154</f>
        <v>-0.00934452644515932</v>
      </c>
      <c r="BD154" s="30" t="n">
        <f aca="false">A155-A154</f>
        <v>1</v>
      </c>
    </row>
    <row r="155" customFormat="false" ht="15" hidden="false" customHeight="false" outlineLevel="0" collapsed="false">
      <c r="A155" s="28" t="n">
        <v>45267</v>
      </c>
      <c r="B155" s="0" t="n">
        <v>21033.85</v>
      </c>
      <c r="C155" s="0" t="n">
        <v>230.89</v>
      </c>
      <c r="D155" s="29" t="n">
        <f aca="false">LN(B155)</f>
        <v>9.95388832374334</v>
      </c>
      <c r="E155" s="29" t="n">
        <f aca="false">LN(C155)</f>
        <v>5.44194140663091</v>
      </c>
      <c r="F155" s="0" t="n">
        <v>150</v>
      </c>
      <c r="G155" s="0" t="n">
        <v>21</v>
      </c>
      <c r="H155" s="29" t="n">
        <f aca="false">D155-E155</f>
        <v>4.51194691711242</v>
      </c>
      <c r="I155" s="29" t="n">
        <f aca="false">D155-D154</f>
        <v>-0.00038739562489809</v>
      </c>
      <c r="J155" s="29" t="n">
        <f aca="false">E155-E154</f>
        <v>-0.000476303890881269</v>
      </c>
      <c r="K155" s="0" t="n">
        <v>0</v>
      </c>
      <c r="L155" s="0" t="n">
        <v>0</v>
      </c>
      <c r="M155" s="29" t="n">
        <f aca="false">IF(L155=1,J155-Carry!$B$9/Inputs!$B$16,I155)</f>
        <v>-0.00038739562489809</v>
      </c>
      <c r="N155" s="0" t="n">
        <v>0.065</v>
      </c>
      <c r="O155" s="0" t="n">
        <v>0.000125</v>
      </c>
      <c r="P155" s="29" t="n">
        <f aca="false">D155-('2 Hedge ratio'!$B$6+'2 Hedge ratio'!$B$5*E155)</f>
        <v>0.00656009752782794</v>
      </c>
      <c r="Q155" s="29" t="n">
        <f aca="false">D155-('5 Re-specification'!$B$7+'5 Re-specification'!$B$5*E155+'5 Re-specification'!$B$6*F155)</f>
        <v>0.00397709742715868</v>
      </c>
      <c r="R155" s="30" t="n">
        <f aca="false">MIN(F155,Inputs!$B$9)</f>
        <v>150</v>
      </c>
      <c r="S155" s="29" t="n">
        <f aca="true">IF(AND(F155&gt;=1,R155&gt;=Inputs!$B$10),INDEX(LINEST(OFFSET(D155,-R155,0,R155,1),OFFSET(E155,-R155,0,R155,2)),1,1),"")</f>
        <v>-6.66802800154077E-005</v>
      </c>
      <c r="T155" s="29" t="n">
        <f aca="true">IF(AND(F155&gt;=1,R155&gt;=Inputs!$B$10),INDEX(LINEST(OFFSET(D155,-R155,0,R155,1),OFFSET(E155,-R155,0,R155,2)),1,2),"")</f>
        <v>0.997412913505356</v>
      </c>
      <c r="U155" s="29" t="n">
        <f aca="true">IF(AND(F155&gt;=1,R155&gt;=Inputs!$B$10),INDEX(LINEST(OFFSET(D155,-R155,0,R155,1),OFFSET(E155,-R155,0,R155,2)),1,3),"")</f>
        <v>4.52994966715041</v>
      </c>
      <c r="V155" s="29" t="n">
        <f aca="true">IF(AND(F155&gt;=1,R155&gt;=Inputs!$B$10),SQRT(SUMPRODUCT((OFFSET(D155,-R155,0,R155,1)-U155-T155*OFFSET(E155,-R155,0,R155,1)-S155*OFFSET(F155,-R155,0,R155,1))^2)/(R155-3)),"")</f>
        <v>0.00253328593117065</v>
      </c>
      <c r="W155" s="31" t="n">
        <f aca="false">IF(AND(F155&gt;=1,R155&gt;=Inputs!$B$10),(D155-U155-T155*E155-S155*F155)/V155,"")</f>
        <v>2.39928111046512</v>
      </c>
      <c r="X155" s="30" t="n">
        <f aca="false">IF(AB154&lt;&gt;0,AC154+1,0)</f>
        <v>2</v>
      </c>
      <c r="Y155" s="30" t="n">
        <f aca="false">IF(W155="",0,IF(AND(AB154&lt;&gt;0,OR(ABS(W155)&gt;Inputs!$B$7,X155&gt;=Inputs!$B$8,ABS(W155)&lt;Inputs!$B$6)),1,0))</f>
        <v>0</v>
      </c>
      <c r="Z155" s="30" t="n">
        <f aca="false">IF(Y155=1,0,AB154)</f>
        <v>-1</v>
      </c>
      <c r="AA155" s="30" t="n">
        <f aca="false">IF(W155="",0,IF(AND(Z155=0,ABS(W155)&gt;Inputs!$B$5,ABS(W155)&lt;=Inputs!$B$7),1,0))</f>
        <v>0</v>
      </c>
      <c r="AB155" s="30" t="n">
        <f aca="false">IF(W155="",0,IF(AA155=1,-SIGN(W155),Z155))</f>
        <v>-1</v>
      </c>
      <c r="AC155" s="30" t="n">
        <f aca="false">IF(W155="",0,IF(AA155=1,0,IF(Y155=1,0,X155)))</f>
        <v>2</v>
      </c>
      <c r="AD155" s="29" t="n">
        <f aca="false">IF(AB155=0,0,IF(AB154=AB155,AD154,T155))</f>
        <v>0.989435321673209</v>
      </c>
      <c r="AE155" s="30" t="n">
        <f aca="false">AB155-AB154</f>
        <v>0</v>
      </c>
      <c r="AF155" s="30" t="n">
        <f aca="false">-AD155*AB155</f>
        <v>0.989435321673209</v>
      </c>
      <c r="AG155" s="30" t="n">
        <f aca="false">AF155-AF154</f>
        <v>0</v>
      </c>
      <c r="AH155" s="30" t="n">
        <f aca="false">MAX(AE155,0)*(Inputs!$B$17+Inputs!$B$18+Inputs!$B$19)+MAX(-AE155,0)*(O155+Inputs!$B$18+Inputs!$B$19)+IF(AND(K155=1,AB155&lt;&gt;0),(Inputs!$B$17+Inputs!$B$18+Inputs!$B$19)+(O155+Inputs!$B$18+Inputs!$B$19),0)+MAX(AG155,0)*(Inputs!$B$20+Inputs!$B$22+Inputs!$B$23)+MAX(-AG155,0)*(Inputs!$B$21+Inputs!$B$22+Inputs!$B$23)</f>
        <v>0</v>
      </c>
      <c r="AI155" s="30" t="n">
        <f aca="false">AB154*(M155-AD154*J155)+AB154*AD154*N155/Inputs!$B$16-AH155</f>
        <v>-0.000339087760291642</v>
      </c>
      <c r="AJ155" s="30" t="n">
        <f aca="false">MAX(AE155,0)*(Inputs!$B$17+Inputs!$B$24+Inputs!$B$25)+MAX(-AE155,0)*(O155+Inputs!$B$24+Inputs!$B$25)+IF(AND(K155=1,AB155&lt;&gt;0),(Inputs!$B$17+Inputs!$B$24+Inputs!$B$25)+(O155+Inputs!$B$24+Inputs!$B$25),0)+MAX(AG155,0)*(Inputs!$B$20+Inputs!$B$26+Inputs!$B$27)+MAX(-AG155,0)*(Inputs!$B$21+Inputs!$B$26+Inputs!$B$27)</f>
        <v>0</v>
      </c>
      <c r="AK155" s="30" t="n">
        <f aca="false">AB154*(M155-AD154*J155)+AB154*AD154*(N155+Inputs!$B$14)/Inputs!$B$16-AJ155</f>
        <v>-0.000368535240103345</v>
      </c>
      <c r="AL155" s="30" t="n">
        <f aca="false">IF(AP154&lt;&gt;0,AQ154+1,0)</f>
        <v>2</v>
      </c>
      <c r="AM155" s="30" t="n">
        <f aca="false">IF(W155="",0,IF(AND(AP154&lt;&gt;0,OR(ABS(W155)&gt;Inputs!$B$7,AL155&gt;=Inputs!$B$8,ABS(W155)&lt;Inputs!$B$6)),1,0))</f>
        <v>0</v>
      </c>
      <c r="AN155" s="30" t="n">
        <f aca="false">IF(AM155=1,0,AP154)</f>
        <v>-1</v>
      </c>
      <c r="AO155" s="30" t="n">
        <f aca="false">IF(W155="",0,IF(AND(AN155=0,ABS(W155)&gt;Inputs!$B$5,ABS(W155)&lt;=Inputs!$B$7,W155&gt;0),1,0))</f>
        <v>0</v>
      </c>
      <c r="AP155" s="30" t="n">
        <f aca="false">IF(W155="",0,IF(AO155=1,-SIGN(W155),AN155))</f>
        <v>-1</v>
      </c>
      <c r="AQ155" s="30" t="n">
        <f aca="false">IF(W155="",0,IF(AO155=1,0,IF(AM155=1,0,AL155)))</f>
        <v>2</v>
      </c>
      <c r="AR155" s="29" t="n">
        <f aca="false">IF(AP155=0,0,IF(AP154=AP155,AR154,T155))</f>
        <v>0.989435321673209</v>
      </c>
      <c r="AS155" s="30" t="n">
        <f aca="false">AP155-AP154</f>
        <v>0</v>
      </c>
      <c r="AT155" s="30" t="n">
        <f aca="false">-AR155*AP155</f>
        <v>0.989435321673209</v>
      </c>
      <c r="AU155" s="30" t="n">
        <f aca="false">AT155-AT154</f>
        <v>0</v>
      </c>
      <c r="AV155" s="30" t="n">
        <f aca="false">MAX(AS155,0)*(Inputs!$B$17+Inputs!$B$18+Inputs!$B$19)+MAX(-AS155,0)*(O155+Inputs!$B$18+Inputs!$B$19)+IF(AND(K155=1,AP155&lt;&gt;0),(Inputs!$B$17+Inputs!$B$18+Inputs!$B$19)+(O155+Inputs!$B$18+Inputs!$B$19),0)+MAX(AU155,0)*(Inputs!$B$20+Inputs!$B$22+Inputs!$B$23)+MAX(-AU155,0)*(Inputs!$B$21+Inputs!$B$22+Inputs!$B$23)</f>
        <v>0</v>
      </c>
      <c r="AW155" s="30" t="n">
        <f aca="false">AP154*(M155-AR154*J155)+AP154*AR154*N155/Inputs!$B$16-AV155</f>
        <v>-0.000339087760291642</v>
      </c>
      <c r="AX155" s="30" t="n">
        <f aca="false">AW155-IF(AP154&lt;&gt;0,0.75*AR154*(Inputs!$B$13-N155)/Inputs!$B$16,0)</f>
        <v>-0.000559943858879412</v>
      </c>
      <c r="AY155" s="30" t="n">
        <f aca="false">MAX(AS155,0)*(Inputs!$B$17+Inputs!$B$18+Inputs!$B$19)+MAX(-AS155,0)*(O155+Inputs!$B$18+Inputs!$B$19)+IF(AND(K155=1,AP155&lt;&gt;0),(Inputs!$B$17+Inputs!$B$18+Inputs!$B$19)+(O155+Inputs!$B$18+Inputs!$B$19),0)</f>
        <v>0</v>
      </c>
      <c r="AZ155" s="30" t="n">
        <f aca="false">AP154*M155-AY155</f>
        <v>0.00038739562489809</v>
      </c>
      <c r="BA155" s="32" t="n">
        <f aca="false">BA154+AI155</f>
        <v>-0.00968361420545096</v>
      </c>
      <c r="BB155" s="30" t="n">
        <f aca="false">MAX(BB154,BA155)</f>
        <v>0</v>
      </c>
      <c r="BC155" s="32" t="n">
        <f aca="false">BA155-BB155</f>
        <v>-0.00968361420545096</v>
      </c>
      <c r="BD155" s="30" t="n">
        <f aca="false">A156-A155</f>
        <v>1</v>
      </c>
    </row>
    <row r="156" customFormat="false" ht="15" hidden="false" customHeight="false" outlineLevel="0" collapsed="false">
      <c r="A156" s="28" t="n">
        <v>45268</v>
      </c>
      <c r="B156" s="0" t="n">
        <v>21093.85</v>
      </c>
      <c r="C156" s="0" t="n">
        <v>231.45</v>
      </c>
      <c r="D156" s="29" t="n">
        <f aca="false">LN(B156)</f>
        <v>9.95673680778444</v>
      </c>
      <c r="E156" s="29" t="n">
        <f aca="false">LN(C156)</f>
        <v>5.44436386747728</v>
      </c>
      <c r="F156" s="0" t="n">
        <v>151</v>
      </c>
      <c r="G156" s="0" t="n">
        <v>20</v>
      </c>
      <c r="H156" s="29" t="n">
        <f aca="false">D156-E156</f>
        <v>4.51237294030716</v>
      </c>
      <c r="I156" s="29" t="n">
        <f aca="false">D156-D155</f>
        <v>0.00284848404110782</v>
      </c>
      <c r="J156" s="29" t="n">
        <f aca="false">E156-E155</f>
        <v>0.00242246084636744</v>
      </c>
      <c r="K156" s="0" t="n">
        <v>0</v>
      </c>
      <c r="L156" s="0" t="n">
        <v>0</v>
      </c>
      <c r="M156" s="29" t="n">
        <f aca="false">IF(L156=1,J156-Carry!$B$9/Inputs!$B$16,I156)</f>
        <v>0.00284848404110782</v>
      </c>
      <c r="N156" s="0" t="n">
        <v>0.065</v>
      </c>
      <c r="O156" s="0" t="n">
        <v>0.000125</v>
      </c>
      <c r="P156" s="29" t="n">
        <f aca="false">D156-('2 Hedge ratio'!$B$6+'2 Hedge ratio'!$B$5*E156)</f>
        <v>0.00718930036435062</v>
      </c>
      <c r="Q156" s="29" t="n">
        <f aca="false">D156-('5 Re-specification'!$B$7+'5 Re-specification'!$B$5*E156+'5 Re-specification'!$B$6*F156)</f>
        <v>0.00445539120764238</v>
      </c>
      <c r="R156" s="30" t="n">
        <f aca="false">MIN(F156,Inputs!$B$9)</f>
        <v>151</v>
      </c>
      <c r="S156" s="29" t="n">
        <f aca="true">IF(AND(F156&gt;=1,R156&gt;=Inputs!$B$10),INDEX(LINEST(OFFSET(D156,-R156,0,R156,1),OFFSET(E156,-R156,0,R156,2)),1,1),"")</f>
        <v>-6.74378409302082E-005</v>
      </c>
      <c r="T156" s="29" t="n">
        <f aca="true">IF(AND(F156&gt;=1,R156&gt;=Inputs!$B$10),INDEX(LINEST(OFFSET(D156,-R156,0,R156,1),OFFSET(E156,-R156,0,R156,2)),1,2),"")</f>
        <v>1.0011674134498</v>
      </c>
      <c r="U156" s="29" t="n">
        <f aca="true">IF(AND(F156&gt;=1,R156&gt;=Inputs!$B$10),INDEX(LINEST(OFFSET(D156,-R156,0,R156,1),OFFSET(E156,-R156,0,R156,2)),1,3),"")</f>
        <v>4.5099253459691</v>
      </c>
      <c r="V156" s="29" t="n">
        <f aca="true">IF(AND(F156&gt;=1,R156&gt;=Inputs!$B$10),SQRT(SUMPRODUCT((OFFSET(D156,-R156,0,R156,1)-U156-T156*OFFSET(E156,-R156,0,R156,1)-S156*OFFSET(F156,-R156,0,R156,1))^2)/(R156-3)),"")</f>
        <v>0.00257132719801093</v>
      </c>
      <c r="W156" s="31" t="n">
        <f aca="false">IF(AND(F156&gt;=1,R156&gt;=Inputs!$B$10),(D156-U156-T156*E156-S156*F156)/V156,"")</f>
        <v>2.44032914942439</v>
      </c>
      <c r="X156" s="30" t="n">
        <f aca="false">IF(AB155&lt;&gt;0,AC155+1,0)</f>
        <v>3</v>
      </c>
      <c r="Y156" s="30" t="n">
        <f aca="false">IF(W156="",0,IF(AND(AB155&lt;&gt;0,OR(ABS(W156)&gt;Inputs!$B$7,X156&gt;=Inputs!$B$8,ABS(W156)&lt;Inputs!$B$6)),1,0))</f>
        <v>0</v>
      </c>
      <c r="Z156" s="30" t="n">
        <f aca="false">IF(Y156=1,0,AB155)</f>
        <v>-1</v>
      </c>
      <c r="AA156" s="30" t="n">
        <f aca="false">IF(W156="",0,IF(AND(Z156=0,ABS(W156)&gt;Inputs!$B$5,ABS(W156)&lt;=Inputs!$B$7),1,0))</f>
        <v>0</v>
      </c>
      <c r="AB156" s="30" t="n">
        <f aca="false">IF(W156="",0,IF(AA156=1,-SIGN(W156),Z156))</f>
        <v>-1</v>
      </c>
      <c r="AC156" s="30" t="n">
        <f aca="false">IF(W156="",0,IF(AA156=1,0,IF(Y156=1,0,X156)))</f>
        <v>3</v>
      </c>
      <c r="AD156" s="29" t="n">
        <f aca="false">IF(AB156=0,0,IF(AB155=AB156,AD155,T156))</f>
        <v>0.989435321673209</v>
      </c>
      <c r="AE156" s="30" t="n">
        <f aca="false">AB156-AB155</f>
        <v>0</v>
      </c>
      <c r="AF156" s="30" t="n">
        <f aca="false">-AD156*AB156</f>
        <v>0.989435321673209</v>
      </c>
      <c r="AG156" s="30" t="n">
        <f aca="false">AF156-AF155</f>
        <v>0</v>
      </c>
      <c r="AH156" s="30" t="n">
        <f aca="false">MAX(AE156,0)*(Inputs!$B$17+Inputs!$B$18+Inputs!$B$19)+MAX(-AE156,0)*(O156+Inputs!$B$18+Inputs!$B$19)+IF(AND(K156=1,AB156&lt;&gt;0),(Inputs!$B$17+Inputs!$B$18+Inputs!$B$19)+(O156+Inputs!$B$18+Inputs!$B$19),0)+MAX(AG156,0)*(Inputs!$B$20+Inputs!$B$22+Inputs!$B$23)+MAX(-AG156,0)*(Inputs!$B$21+Inputs!$B$22+Inputs!$B$23)</f>
        <v>0</v>
      </c>
      <c r="AI156" s="30" t="n">
        <f aca="false">AB155*(M156-AD155*J156)+AB155*AD155*N156/Inputs!$B$16-AH156</f>
        <v>-0.000706827206042929</v>
      </c>
      <c r="AJ156" s="30" t="n">
        <f aca="false">MAX(AE156,0)*(Inputs!$B$17+Inputs!$B$24+Inputs!$B$25)+MAX(-AE156,0)*(O156+Inputs!$B$24+Inputs!$B$25)+IF(AND(K156=1,AB156&lt;&gt;0),(Inputs!$B$17+Inputs!$B$24+Inputs!$B$25)+(O156+Inputs!$B$24+Inputs!$B$25),0)+MAX(AG156,0)*(Inputs!$B$20+Inputs!$B$26+Inputs!$B$27)+MAX(-AG156,0)*(Inputs!$B$21+Inputs!$B$26+Inputs!$B$27)</f>
        <v>0</v>
      </c>
      <c r="AK156" s="30" t="n">
        <f aca="false">AB155*(M156-AD155*J156)+AB155*AD155*(N156+Inputs!$B$14)/Inputs!$B$16-AJ156</f>
        <v>-0.000736274685854631</v>
      </c>
      <c r="AL156" s="30" t="n">
        <f aca="false">IF(AP155&lt;&gt;0,AQ155+1,0)</f>
        <v>3</v>
      </c>
      <c r="AM156" s="30" t="n">
        <f aca="false">IF(W156="",0,IF(AND(AP155&lt;&gt;0,OR(ABS(W156)&gt;Inputs!$B$7,AL156&gt;=Inputs!$B$8,ABS(W156)&lt;Inputs!$B$6)),1,0))</f>
        <v>0</v>
      </c>
      <c r="AN156" s="30" t="n">
        <f aca="false">IF(AM156=1,0,AP155)</f>
        <v>-1</v>
      </c>
      <c r="AO156" s="30" t="n">
        <f aca="false">IF(W156="",0,IF(AND(AN156=0,ABS(W156)&gt;Inputs!$B$5,ABS(W156)&lt;=Inputs!$B$7,W156&gt;0),1,0))</f>
        <v>0</v>
      </c>
      <c r="AP156" s="30" t="n">
        <f aca="false">IF(W156="",0,IF(AO156=1,-SIGN(W156),AN156))</f>
        <v>-1</v>
      </c>
      <c r="AQ156" s="30" t="n">
        <f aca="false">IF(W156="",0,IF(AO156=1,0,IF(AM156=1,0,AL156)))</f>
        <v>3</v>
      </c>
      <c r="AR156" s="29" t="n">
        <f aca="false">IF(AP156=0,0,IF(AP155=AP156,AR155,T156))</f>
        <v>0.989435321673209</v>
      </c>
      <c r="AS156" s="30" t="n">
        <f aca="false">AP156-AP155</f>
        <v>0</v>
      </c>
      <c r="AT156" s="30" t="n">
        <f aca="false">-AR156*AP156</f>
        <v>0.989435321673209</v>
      </c>
      <c r="AU156" s="30" t="n">
        <f aca="false">AT156-AT155</f>
        <v>0</v>
      </c>
      <c r="AV156" s="30" t="n">
        <f aca="false">MAX(AS156,0)*(Inputs!$B$17+Inputs!$B$18+Inputs!$B$19)+MAX(-AS156,0)*(O156+Inputs!$B$18+Inputs!$B$19)+IF(AND(K156=1,AP156&lt;&gt;0),(Inputs!$B$17+Inputs!$B$18+Inputs!$B$19)+(O156+Inputs!$B$18+Inputs!$B$19),0)+MAX(AU156,0)*(Inputs!$B$20+Inputs!$B$22+Inputs!$B$23)+MAX(-AU156,0)*(Inputs!$B$21+Inputs!$B$22+Inputs!$B$23)</f>
        <v>0</v>
      </c>
      <c r="AW156" s="30" t="n">
        <f aca="false">AP155*(M156-AR155*J156)+AP155*AR155*N156/Inputs!$B$16-AV156</f>
        <v>-0.000706827206042929</v>
      </c>
      <c r="AX156" s="30" t="n">
        <f aca="false">AW156-IF(AP155&lt;&gt;0,0.75*AR155*(Inputs!$B$13-N156)/Inputs!$B$16,0)</f>
        <v>-0.000927683304630699</v>
      </c>
      <c r="AY156" s="30" t="n">
        <f aca="false">MAX(AS156,0)*(Inputs!$B$17+Inputs!$B$18+Inputs!$B$19)+MAX(-AS156,0)*(O156+Inputs!$B$18+Inputs!$B$19)+IF(AND(K156=1,AP156&lt;&gt;0),(Inputs!$B$17+Inputs!$B$18+Inputs!$B$19)+(O156+Inputs!$B$18+Inputs!$B$19),0)</f>
        <v>0</v>
      </c>
      <c r="AZ156" s="30" t="n">
        <f aca="false">AP155*M156-AY156</f>
        <v>-0.00284848404110782</v>
      </c>
      <c r="BA156" s="32" t="n">
        <f aca="false">BA155+AI156</f>
        <v>-0.0103904414114939</v>
      </c>
      <c r="BB156" s="30" t="n">
        <f aca="false">MAX(BB155,BA156)</f>
        <v>0</v>
      </c>
      <c r="BC156" s="32" t="n">
        <f aca="false">BA156-BB156</f>
        <v>-0.0103904414114939</v>
      </c>
      <c r="BD156" s="30" t="n">
        <f aca="false">A157-A156</f>
        <v>3</v>
      </c>
    </row>
    <row r="157" customFormat="false" ht="15" hidden="false" customHeight="false" outlineLevel="0" collapsed="false">
      <c r="A157" s="28" t="n">
        <v>45271</v>
      </c>
      <c r="B157" s="0" t="n">
        <v>21077.3</v>
      </c>
      <c r="C157" s="0" t="n">
        <v>231.65</v>
      </c>
      <c r="D157" s="29" t="n">
        <f aca="false">LN(B157)</f>
        <v>9.95595191096045</v>
      </c>
      <c r="E157" s="29" t="n">
        <f aca="false">LN(C157)</f>
        <v>5.44522761186266</v>
      </c>
      <c r="F157" s="0" t="n">
        <v>152</v>
      </c>
      <c r="G157" s="0" t="n">
        <v>17</v>
      </c>
      <c r="H157" s="29" t="n">
        <f aca="false">D157-E157</f>
        <v>4.51072429909779</v>
      </c>
      <c r="I157" s="29" t="n">
        <f aca="false">D157-D156</f>
        <v>-0.000784896823995851</v>
      </c>
      <c r="J157" s="29" t="n">
        <f aca="false">E157-E156</f>
        <v>0.000863744385378062</v>
      </c>
      <c r="K157" s="0" t="n">
        <v>0</v>
      </c>
      <c r="L157" s="0" t="n">
        <v>0</v>
      </c>
      <c r="M157" s="29" t="n">
        <f aca="false">IF(L157=1,J157-Carry!$B$9/Inputs!$B$16,I157)</f>
        <v>-0.000784896823995851</v>
      </c>
      <c r="N157" s="0" t="n">
        <v>0.065</v>
      </c>
      <c r="O157" s="0" t="n">
        <v>0.000125</v>
      </c>
      <c r="P157" s="29" t="n">
        <f aca="false">D157-('2 Hedge ratio'!$B$6+'2 Hedge ratio'!$B$5*E157)</f>
        <v>0.00561310419575989</v>
      </c>
      <c r="Q157" s="29" t="n">
        <f aca="false">D157-('5 Re-specification'!$B$7+'5 Re-specification'!$B$5*E157+'5 Re-specification'!$B$6*F157)</f>
        <v>0.00285429689374084</v>
      </c>
      <c r="R157" s="30" t="n">
        <f aca="false">MIN(F157,Inputs!$B$9)</f>
        <v>152</v>
      </c>
      <c r="S157" s="29" t="n">
        <f aca="true">IF(AND(F157&gt;=1,R157&gt;=Inputs!$B$10),INDEX(LINEST(OFFSET(D157,-R157,0,R157,1),OFFSET(E157,-R157,0,R157,2)),1,1),"")</f>
        <v>-6.82767995528016E-005</v>
      </c>
      <c r="T157" s="29" t="n">
        <f aca="true">IF(AND(F157&gt;=1,R157&gt;=Inputs!$B$10),INDEX(LINEST(OFFSET(D157,-R157,0,R157,1),OFFSET(E157,-R157,0,R157,2)),1,2),"")</f>
        <v>1.00504007274187</v>
      </c>
      <c r="U157" s="29" t="n">
        <f aca="true">IF(AND(F157&gt;=1,R157&gt;=Inputs!$B$10),INDEX(LINEST(OFFSET(D157,-R157,0,R157,1),OFFSET(E157,-R157,0,R157,2)),1,3),"")</f>
        <v>4.48927316299263</v>
      </c>
      <c r="V157" s="29" t="n">
        <f aca="true">IF(AND(F157&gt;=1,R157&gt;=Inputs!$B$10),SQRT(SUMPRODUCT((OFFSET(D157,-R157,0,R157,1)-U157-T157*OFFSET(E157,-R157,0,R157,1)-S157*OFFSET(F157,-R157,0,R157,1))^2)/(R157-3)),"")</f>
        <v>0.00261127336434924</v>
      </c>
      <c r="W157" s="31" t="n">
        <f aca="false">IF(AND(F157&gt;=1,R157&gt;=Inputs!$B$10),(D157-U157-T157*E157-S157*F157)/V157,"")</f>
        <v>1.67920618240822</v>
      </c>
      <c r="X157" s="30" t="n">
        <f aca="false">IF(AB156&lt;&gt;0,AC156+1,0)</f>
        <v>4</v>
      </c>
      <c r="Y157" s="30" t="n">
        <f aca="false">IF(W157="",0,IF(AND(AB156&lt;&gt;0,OR(ABS(W157)&gt;Inputs!$B$7,X157&gt;=Inputs!$B$8,ABS(W157)&lt;Inputs!$B$6)),1,0))</f>
        <v>0</v>
      </c>
      <c r="Z157" s="30" t="n">
        <f aca="false">IF(Y157=1,0,AB156)</f>
        <v>-1</v>
      </c>
      <c r="AA157" s="30" t="n">
        <f aca="false">IF(W157="",0,IF(AND(Z157=0,ABS(W157)&gt;Inputs!$B$5,ABS(W157)&lt;=Inputs!$B$7),1,0))</f>
        <v>0</v>
      </c>
      <c r="AB157" s="30" t="n">
        <f aca="false">IF(W157="",0,IF(AA157=1,-SIGN(W157),Z157))</f>
        <v>-1</v>
      </c>
      <c r="AC157" s="30" t="n">
        <f aca="false">IF(W157="",0,IF(AA157=1,0,IF(Y157=1,0,X157)))</f>
        <v>4</v>
      </c>
      <c r="AD157" s="29" t="n">
        <f aca="false">IF(AB157=0,0,IF(AB156=AB157,AD156,T157))</f>
        <v>0.989435321673209</v>
      </c>
      <c r="AE157" s="30" t="n">
        <f aca="false">AB157-AB156</f>
        <v>0</v>
      </c>
      <c r="AF157" s="30" t="n">
        <f aca="false">-AD157*AB157</f>
        <v>0.989435321673209</v>
      </c>
      <c r="AG157" s="30" t="n">
        <f aca="false">AF157-AF156</f>
        <v>0</v>
      </c>
      <c r="AH157" s="30" t="n">
        <f aca="false">MAX(AE157,0)*(Inputs!$B$17+Inputs!$B$18+Inputs!$B$19)+MAX(-AE157,0)*(O157+Inputs!$B$18+Inputs!$B$19)+IF(AND(K157=1,AB157&lt;&gt;0),(Inputs!$B$17+Inputs!$B$18+Inputs!$B$19)+(O157+Inputs!$B$18+Inputs!$B$19),0)+MAX(AG157,0)*(Inputs!$B$20+Inputs!$B$22+Inputs!$B$23)+MAX(-AG157,0)*(Inputs!$B$21+Inputs!$B$22+Inputs!$B$23)</f>
        <v>0</v>
      </c>
      <c r="AI157" s="30" t="n">
        <f aca="false">AB156*(M157-AD156*J157)+AB156*AD156*N157/Inputs!$B$16-AH157</f>
        <v>0.0013843045360844</v>
      </c>
      <c r="AJ157" s="30" t="n">
        <f aca="false">MAX(AE157,0)*(Inputs!$B$17+Inputs!$B$24+Inputs!$B$25)+MAX(-AE157,0)*(O157+Inputs!$B$24+Inputs!$B$25)+IF(AND(K157=1,AB157&lt;&gt;0),(Inputs!$B$17+Inputs!$B$24+Inputs!$B$25)+(O157+Inputs!$B$24+Inputs!$B$25),0)+MAX(AG157,0)*(Inputs!$B$20+Inputs!$B$26+Inputs!$B$27)+MAX(-AG157,0)*(Inputs!$B$21+Inputs!$B$26+Inputs!$B$27)</f>
        <v>0</v>
      </c>
      <c r="AK157" s="30" t="n">
        <f aca="false">AB156*(M157-AD156*J157)+AB156*AD156*(N157+Inputs!$B$14)/Inputs!$B$16-AJ157</f>
        <v>0.0013548570562727</v>
      </c>
      <c r="AL157" s="30" t="n">
        <f aca="false">IF(AP156&lt;&gt;0,AQ156+1,0)</f>
        <v>4</v>
      </c>
      <c r="AM157" s="30" t="n">
        <f aca="false">IF(W157="",0,IF(AND(AP156&lt;&gt;0,OR(ABS(W157)&gt;Inputs!$B$7,AL157&gt;=Inputs!$B$8,ABS(W157)&lt;Inputs!$B$6)),1,0))</f>
        <v>0</v>
      </c>
      <c r="AN157" s="30" t="n">
        <f aca="false">IF(AM157=1,0,AP156)</f>
        <v>-1</v>
      </c>
      <c r="AO157" s="30" t="n">
        <f aca="false">IF(W157="",0,IF(AND(AN157=0,ABS(W157)&gt;Inputs!$B$5,ABS(W157)&lt;=Inputs!$B$7,W157&gt;0),1,0))</f>
        <v>0</v>
      </c>
      <c r="AP157" s="30" t="n">
        <f aca="false">IF(W157="",0,IF(AO157=1,-SIGN(W157),AN157))</f>
        <v>-1</v>
      </c>
      <c r="AQ157" s="30" t="n">
        <f aca="false">IF(W157="",0,IF(AO157=1,0,IF(AM157=1,0,AL157)))</f>
        <v>4</v>
      </c>
      <c r="AR157" s="29" t="n">
        <f aca="false">IF(AP157=0,0,IF(AP156=AP157,AR156,T157))</f>
        <v>0.989435321673209</v>
      </c>
      <c r="AS157" s="30" t="n">
        <f aca="false">AP157-AP156</f>
        <v>0</v>
      </c>
      <c r="AT157" s="30" t="n">
        <f aca="false">-AR157*AP157</f>
        <v>0.989435321673209</v>
      </c>
      <c r="AU157" s="30" t="n">
        <f aca="false">AT157-AT156</f>
        <v>0</v>
      </c>
      <c r="AV157" s="30" t="n">
        <f aca="false">MAX(AS157,0)*(Inputs!$B$17+Inputs!$B$18+Inputs!$B$19)+MAX(-AS157,0)*(O157+Inputs!$B$18+Inputs!$B$19)+IF(AND(K157=1,AP157&lt;&gt;0),(Inputs!$B$17+Inputs!$B$18+Inputs!$B$19)+(O157+Inputs!$B$18+Inputs!$B$19),0)+MAX(AU157,0)*(Inputs!$B$20+Inputs!$B$22+Inputs!$B$23)+MAX(-AU157,0)*(Inputs!$B$21+Inputs!$B$22+Inputs!$B$23)</f>
        <v>0</v>
      </c>
      <c r="AW157" s="30" t="n">
        <f aca="false">AP156*(M157-AR156*J157)+AP156*AR156*N157/Inputs!$B$16-AV157</f>
        <v>0.0013843045360844</v>
      </c>
      <c r="AX157" s="30" t="n">
        <f aca="false">AW157-IF(AP156&lt;&gt;0,0.75*AR156*(Inputs!$B$13-N157)/Inputs!$B$16,0)</f>
        <v>0.00116344843749663</v>
      </c>
      <c r="AY157" s="30" t="n">
        <f aca="false">MAX(AS157,0)*(Inputs!$B$17+Inputs!$B$18+Inputs!$B$19)+MAX(-AS157,0)*(O157+Inputs!$B$18+Inputs!$B$19)+IF(AND(K157=1,AP157&lt;&gt;0),(Inputs!$B$17+Inputs!$B$18+Inputs!$B$19)+(O157+Inputs!$B$18+Inputs!$B$19),0)</f>
        <v>0</v>
      </c>
      <c r="AZ157" s="30" t="n">
        <f aca="false">AP156*M157-AY157</f>
        <v>0.000784896823995851</v>
      </c>
      <c r="BA157" s="32" t="n">
        <f aca="false">BA156+AI157</f>
        <v>-0.00900613687540949</v>
      </c>
      <c r="BB157" s="30" t="n">
        <f aca="false">MAX(BB156,BA157)</f>
        <v>0</v>
      </c>
      <c r="BC157" s="32" t="n">
        <f aca="false">BA157-BB157</f>
        <v>-0.00900613687540949</v>
      </c>
      <c r="BD157" s="30" t="n">
        <f aca="false">A158-A157</f>
        <v>1</v>
      </c>
    </row>
    <row r="158" customFormat="false" ht="15" hidden="false" customHeight="false" outlineLevel="0" collapsed="false">
      <c r="A158" s="28" t="n">
        <v>45272</v>
      </c>
      <c r="B158" s="0" t="n">
        <v>21008.1</v>
      </c>
      <c r="C158" s="0" t="n">
        <v>231.06</v>
      </c>
      <c r="D158" s="29" t="n">
        <f aca="false">LN(B158)</f>
        <v>9.95266335662264</v>
      </c>
      <c r="E158" s="29" t="n">
        <f aca="false">LN(C158)</f>
        <v>5.44267741705487</v>
      </c>
      <c r="F158" s="0" t="n">
        <v>153</v>
      </c>
      <c r="G158" s="0" t="n">
        <v>16</v>
      </c>
      <c r="H158" s="29" t="n">
        <f aca="false">D158-E158</f>
        <v>4.50998593956777</v>
      </c>
      <c r="I158" s="29" t="n">
        <f aca="false">D158-D157</f>
        <v>-0.00328855433780539</v>
      </c>
      <c r="J158" s="29" t="n">
        <f aca="false">E158-E157</f>
        <v>-0.00255019480778529</v>
      </c>
      <c r="K158" s="0" t="n">
        <v>0</v>
      </c>
      <c r="L158" s="0" t="n">
        <v>0</v>
      </c>
      <c r="M158" s="29" t="n">
        <f aca="false">IF(L158=1,J158-Carry!$B$9/Inputs!$B$16,I158)</f>
        <v>-0.00328855433780539</v>
      </c>
      <c r="N158" s="0" t="n">
        <v>0.065</v>
      </c>
      <c r="O158" s="0" t="n">
        <v>0.000125</v>
      </c>
      <c r="P158" s="29" t="n">
        <f aca="false">D158-('2 Hedge ratio'!$B$6+'2 Hedge ratio'!$B$5*E158)</f>
        <v>0.00466085156265983</v>
      </c>
      <c r="Q158" s="29" t="n">
        <f aca="false">D158-('5 Re-specification'!$B$7+'5 Re-specification'!$B$5*E158+'5 Re-specification'!$B$6*F158)</f>
        <v>0.00215313831639996</v>
      </c>
      <c r="R158" s="30" t="n">
        <f aca="false">MIN(F158,Inputs!$B$9)</f>
        <v>153</v>
      </c>
      <c r="S158" s="29" t="n">
        <f aca="true">IF(AND(F158&gt;=1,R158&gt;=Inputs!$B$10),INDEX(LINEST(OFFSET(D158,-R158,0,R158,1),OFFSET(E158,-R158,0,R158,2)),1,1),"")</f>
        <v>-6.88313939358431E-005</v>
      </c>
      <c r="T158" s="29" t="n">
        <f aca="true">IF(AND(F158&gt;=1,R158&gt;=Inputs!$B$10),INDEX(LINEST(OFFSET(D158,-R158,0,R158,1),OFFSET(E158,-R158,0,R158,2)),1,2),"")</f>
        <v>1.00763487219076</v>
      </c>
      <c r="U158" s="29" t="n">
        <f aca="true">IF(AND(F158&gt;=1,R158&gt;=Inputs!$B$10),INDEX(LINEST(OFFSET(D158,-R158,0,R158,1),OFFSET(E158,-R158,0,R158,2)),1,3),"")</f>
        <v>4.47543483184873</v>
      </c>
      <c r="V158" s="29" t="n">
        <f aca="true">IF(AND(F158&gt;=1,R158&gt;=Inputs!$B$10),SQRT(SUMPRODUCT((OFFSET(D158,-R158,0,R158,1)-U158-T158*OFFSET(E158,-R158,0,R158,1)-S158*OFFSET(F158,-R158,0,R158,1))^2)/(R158-3)),"")</f>
        <v>0.00262591505984839</v>
      </c>
      <c r="W158" s="31" t="n">
        <f aca="false">IF(AND(F158&gt;=1,R158&gt;=Inputs!$B$10),(D158-U158-T158*E158-S158*F158)/V158,"")</f>
        <v>1.34359431134771</v>
      </c>
      <c r="X158" s="30" t="n">
        <f aca="false">IF(AB157&lt;&gt;0,AC157+1,0)</f>
        <v>5</v>
      </c>
      <c r="Y158" s="30" t="n">
        <f aca="false">IF(W158="",0,IF(AND(AB157&lt;&gt;0,OR(ABS(W158)&gt;Inputs!$B$7,X158&gt;=Inputs!$B$8,ABS(W158)&lt;Inputs!$B$6)),1,0))</f>
        <v>0</v>
      </c>
      <c r="Z158" s="30" t="n">
        <f aca="false">IF(Y158=1,0,AB157)</f>
        <v>-1</v>
      </c>
      <c r="AA158" s="30" t="n">
        <f aca="false">IF(W158="",0,IF(AND(Z158=0,ABS(W158)&gt;Inputs!$B$5,ABS(W158)&lt;=Inputs!$B$7),1,0))</f>
        <v>0</v>
      </c>
      <c r="AB158" s="30" t="n">
        <f aca="false">IF(W158="",0,IF(AA158=1,-SIGN(W158),Z158))</f>
        <v>-1</v>
      </c>
      <c r="AC158" s="30" t="n">
        <f aca="false">IF(W158="",0,IF(AA158=1,0,IF(Y158=1,0,X158)))</f>
        <v>5</v>
      </c>
      <c r="AD158" s="29" t="n">
        <f aca="false">IF(AB158=0,0,IF(AB157=AB158,AD157,T158))</f>
        <v>0.989435321673209</v>
      </c>
      <c r="AE158" s="30" t="n">
        <f aca="false">AB158-AB157</f>
        <v>0</v>
      </c>
      <c r="AF158" s="30" t="n">
        <f aca="false">-AD158*AB158</f>
        <v>0.989435321673209</v>
      </c>
      <c r="AG158" s="30" t="n">
        <f aca="false">AF158-AF157</f>
        <v>0</v>
      </c>
      <c r="AH158" s="30" t="n">
        <f aca="false">MAX(AE158,0)*(Inputs!$B$17+Inputs!$B$18+Inputs!$B$19)+MAX(-AE158,0)*(O158+Inputs!$B$18+Inputs!$B$19)+IF(AND(K158=1,AB158&lt;&gt;0),(Inputs!$B$17+Inputs!$B$18+Inputs!$B$19)+(O158+Inputs!$B$18+Inputs!$B$19),0)+MAX(AG158,0)*(Inputs!$B$20+Inputs!$B$22+Inputs!$B$23)+MAX(-AG158,0)*(Inputs!$B$21+Inputs!$B$22+Inputs!$B$23)</f>
        <v>0</v>
      </c>
      <c r="AI158" s="30" t="n">
        <f aca="false">AB157*(M158-AD157*J158)+AB157*AD157*N158/Inputs!$B$16-AH158</f>
        <v>0.000510090026133586</v>
      </c>
      <c r="AJ158" s="30" t="n">
        <f aca="false">MAX(AE158,0)*(Inputs!$B$17+Inputs!$B$24+Inputs!$B$25)+MAX(-AE158,0)*(O158+Inputs!$B$24+Inputs!$B$25)+IF(AND(K158=1,AB158&lt;&gt;0),(Inputs!$B$17+Inputs!$B$24+Inputs!$B$25)+(O158+Inputs!$B$24+Inputs!$B$25),0)+MAX(AG158,0)*(Inputs!$B$20+Inputs!$B$26+Inputs!$B$27)+MAX(-AG158,0)*(Inputs!$B$21+Inputs!$B$26+Inputs!$B$27)</f>
        <v>0</v>
      </c>
      <c r="AK158" s="30" t="n">
        <f aca="false">AB157*(M158-AD157*J158)+AB157*AD157*(N158+Inputs!$B$14)/Inputs!$B$16-AJ158</f>
        <v>0.000480642546321883</v>
      </c>
      <c r="AL158" s="30" t="n">
        <f aca="false">IF(AP157&lt;&gt;0,AQ157+1,0)</f>
        <v>5</v>
      </c>
      <c r="AM158" s="30" t="n">
        <f aca="false">IF(W158="",0,IF(AND(AP157&lt;&gt;0,OR(ABS(W158)&gt;Inputs!$B$7,AL158&gt;=Inputs!$B$8,ABS(W158)&lt;Inputs!$B$6)),1,0))</f>
        <v>0</v>
      </c>
      <c r="AN158" s="30" t="n">
        <f aca="false">IF(AM158=1,0,AP157)</f>
        <v>-1</v>
      </c>
      <c r="AO158" s="30" t="n">
        <f aca="false">IF(W158="",0,IF(AND(AN158=0,ABS(W158)&gt;Inputs!$B$5,ABS(W158)&lt;=Inputs!$B$7,W158&gt;0),1,0))</f>
        <v>0</v>
      </c>
      <c r="AP158" s="30" t="n">
        <f aca="false">IF(W158="",0,IF(AO158=1,-SIGN(W158),AN158))</f>
        <v>-1</v>
      </c>
      <c r="AQ158" s="30" t="n">
        <f aca="false">IF(W158="",0,IF(AO158=1,0,IF(AM158=1,0,AL158)))</f>
        <v>5</v>
      </c>
      <c r="AR158" s="29" t="n">
        <f aca="false">IF(AP158=0,0,IF(AP157=AP158,AR157,T158))</f>
        <v>0.989435321673209</v>
      </c>
      <c r="AS158" s="30" t="n">
        <f aca="false">AP158-AP157</f>
        <v>0</v>
      </c>
      <c r="AT158" s="30" t="n">
        <f aca="false">-AR158*AP158</f>
        <v>0.989435321673209</v>
      </c>
      <c r="AU158" s="30" t="n">
        <f aca="false">AT158-AT157</f>
        <v>0</v>
      </c>
      <c r="AV158" s="30" t="n">
        <f aca="false">MAX(AS158,0)*(Inputs!$B$17+Inputs!$B$18+Inputs!$B$19)+MAX(-AS158,0)*(O158+Inputs!$B$18+Inputs!$B$19)+IF(AND(K158=1,AP158&lt;&gt;0),(Inputs!$B$17+Inputs!$B$18+Inputs!$B$19)+(O158+Inputs!$B$18+Inputs!$B$19),0)+MAX(AU158,0)*(Inputs!$B$20+Inputs!$B$22+Inputs!$B$23)+MAX(-AU158,0)*(Inputs!$B$21+Inputs!$B$22+Inputs!$B$23)</f>
        <v>0</v>
      </c>
      <c r="AW158" s="30" t="n">
        <f aca="false">AP157*(M158-AR157*J158)+AP157*AR157*N158/Inputs!$B$16-AV158</f>
        <v>0.000510090026133586</v>
      </c>
      <c r="AX158" s="30" t="n">
        <f aca="false">AW158-IF(AP157&lt;&gt;0,0.75*AR157*(Inputs!$B$13-N158)/Inputs!$B$16,0)</f>
        <v>0.000289233927545816</v>
      </c>
      <c r="AY158" s="30" t="n">
        <f aca="false">MAX(AS158,0)*(Inputs!$B$17+Inputs!$B$18+Inputs!$B$19)+MAX(-AS158,0)*(O158+Inputs!$B$18+Inputs!$B$19)+IF(AND(K158=1,AP158&lt;&gt;0),(Inputs!$B$17+Inputs!$B$18+Inputs!$B$19)+(O158+Inputs!$B$18+Inputs!$B$19),0)</f>
        <v>0</v>
      </c>
      <c r="AZ158" s="30" t="n">
        <f aca="false">AP157*M158-AY158</f>
        <v>0.00328855433780539</v>
      </c>
      <c r="BA158" s="32" t="n">
        <f aca="false">BA157+AI158</f>
        <v>-0.00849604684927591</v>
      </c>
      <c r="BB158" s="30" t="n">
        <f aca="false">MAX(BB157,BA158)</f>
        <v>0</v>
      </c>
      <c r="BC158" s="32" t="n">
        <f aca="false">BA158-BB158</f>
        <v>-0.00849604684927591</v>
      </c>
      <c r="BD158" s="30" t="n">
        <f aca="false">A159-A158</f>
        <v>1</v>
      </c>
    </row>
    <row r="159" customFormat="false" ht="15" hidden="false" customHeight="false" outlineLevel="0" collapsed="false">
      <c r="A159" s="28" t="n">
        <v>45273</v>
      </c>
      <c r="B159" s="0" t="n">
        <v>21035.45</v>
      </c>
      <c r="C159" s="0" t="n">
        <v>231.16</v>
      </c>
      <c r="D159" s="29" t="n">
        <f aca="false">LN(B159)</f>
        <v>9.95396438871237</v>
      </c>
      <c r="E159" s="29" t="n">
        <f aca="false">LN(C159)</f>
        <v>5.44311011144958</v>
      </c>
      <c r="F159" s="0" t="n">
        <v>154</v>
      </c>
      <c r="G159" s="0" t="n">
        <v>15</v>
      </c>
      <c r="H159" s="29" t="n">
        <f aca="false">D159-E159</f>
        <v>4.51085427726279</v>
      </c>
      <c r="I159" s="29" t="n">
        <f aca="false">D159-D158</f>
        <v>0.00130103208972265</v>
      </c>
      <c r="J159" s="29" t="n">
        <f aca="false">E159-E158</f>
        <v>0.00043269439470528</v>
      </c>
      <c r="K159" s="0" t="n">
        <v>0</v>
      </c>
      <c r="L159" s="0" t="n">
        <v>0</v>
      </c>
      <c r="M159" s="29" t="n">
        <f aca="false">IF(L159=1,J159-Carry!$B$9/Inputs!$B$16,I159)</f>
        <v>0.00130103208972265</v>
      </c>
      <c r="N159" s="0" t="n">
        <v>0.065</v>
      </c>
      <c r="O159" s="0" t="n">
        <v>0.000125</v>
      </c>
      <c r="P159" s="29" t="n">
        <f aca="false">D159-('2 Hedge ratio'!$B$6+'2 Hedge ratio'!$B$5*E159)</f>
        <v>0.00556548073881658</v>
      </c>
      <c r="Q159" s="29" t="n">
        <f aca="false">D159-('5 Re-specification'!$B$7+'5 Re-specification'!$B$5*E159+'5 Re-specification'!$B$6*F159)</f>
        <v>0.00306771660988758</v>
      </c>
      <c r="R159" s="30" t="n">
        <f aca="false">MIN(F159,Inputs!$B$9)</f>
        <v>154</v>
      </c>
      <c r="S159" s="29" t="n">
        <f aca="true">IF(AND(F159&gt;=1,R159&gt;=Inputs!$B$10),INDEX(LINEST(OFFSET(D159,-R159,0,R159,1),OFFSET(E159,-R159,0,R159,2)),1,1),"")</f>
        <v>-6.91328568801692E-005</v>
      </c>
      <c r="T159" s="29" t="n">
        <f aca="true">IF(AND(F159&gt;=1,R159&gt;=Inputs!$B$10),INDEX(LINEST(OFFSET(D159,-R159,0,R159,1),OFFSET(E159,-R159,0,R159,2)),1,2),"")</f>
        <v>1.00945667221043</v>
      </c>
      <c r="U159" s="29" t="n">
        <f aca="true">IF(AND(F159&gt;=1,R159&gt;=Inputs!$B$10),INDEX(LINEST(OFFSET(D159,-R159,0,R159,1),OFFSET(E159,-R159,0,R159,2)),1,3),"")</f>
        <v>4.46571427008309</v>
      </c>
      <c r="V159" s="29" t="n">
        <f aca="true">IF(AND(F159&gt;=1,R159&gt;=Inputs!$B$10),SQRT(SUMPRODUCT((OFFSET(D159,-R159,0,R159,1)-U159-T159*OFFSET(E159,-R159,0,R159,1)-S159*OFFSET(F159,-R159,0,R159,1))^2)/(R159-3)),"")</f>
        <v>0.00263224716399439</v>
      </c>
      <c r="W159" s="31" t="n">
        <f aca="false">IF(AND(F159&gt;=1,R159&gt;=Inputs!$B$10),(D159-U159-T159*E159-S159*F159)/V159,"")</f>
        <v>1.63843238924767</v>
      </c>
      <c r="X159" s="30" t="n">
        <f aca="false">IF(AB158&lt;&gt;0,AC158+1,0)</f>
        <v>6</v>
      </c>
      <c r="Y159" s="30" t="n">
        <f aca="false">IF(W159="",0,IF(AND(AB158&lt;&gt;0,OR(ABS(W159)&gt;Inputs!$B$7,X159&gt;=Inputs!$B$8,ABS(W159)&lt;Inputs!$B$6)),1,0))</f>
        <v>0</v>
      </c>
      <c r="Z159" s="30" t="n">
        <f aca="false">IF(Y159=1,0,AB158)</f>
        <v>-1</v>
      </c>
      <c r="AA159" s="30" t="n">
        <f aca="false">IF(W159="",0,IF(AND(Z159=0,ABS(W159)&gt;Inputs!$B$5,ABS(W159)&lt;=Inputs!$B$7),1,0))</f>
        <v>0</v>
      </c>
      <c r="AB159" s="30" t="n">
        <f aca="false">IF(W159="",0,IF(AA159=1,-SIGN(W159),Z159))</f>
        <v>-1</v>
      </c>
      <c r="AC159" s="30" t="n">
        <f aca="false">IF(W159="",0,IF(AA159=1,0,IF(Y159=1,0,X159)))</f>
        <v>6</v>
      </c>
      <c r="AD159" s="29" t="n">
        <f aca="false">IF(AB159=0,0,IF(AB158=AB159,AD158,T159))</f>
        <v>0.989435321673209</v>
      </c>
      <c r="AE159" s="30" t="n">
        <f aca="false">AB159-AB158</f>
        <v>0</v>
      </c>
      <c r="AF159" s="30" t="n">
        <f aca="false">-AD159*AB159</f>
        <v>0.989435321673209</v>
      </c>
      <c r="AG159" s="30" t="n">
        <f aca="false">AF159-AF158</f>
        <v>0</v>
      </c>
      <c r="AH159" s="30" t="n">
        <f aca="false">MAX(AE159,0)*(Inputs!$B$17+Inputs!$B$18+Inputs!$B$19)+MAX(-AE159,0)*(O159+Inputs!$B$18+Inputs!$B$19)+IF(AND(K159=1,AB159&lt;&gt;0),(Inputs!$B$17+Inputs!$B$18+Inputs!$B$19)+(O159+Inputs!$B$18+Inputs!$B$19),0)+MAX(AG159,0)*(Inputs!$B$20+Inputs!$B$22+Inputs!$B$23)+MAX(-AG159,0)*(Inputs!$B$21+Inputs!$B$22+Inputs!$B$23)</f>
        <v>0</v>
      </c>
      <c r="AI159" s="30" t="n">
        <f aca="false">AB158*(M159-AD158*J159)+AB158*AD158*N159/Inputs!$B$16-AH159</f>
        <v>-0.00112812046381266</v>
      </c>
      <c r="AJ159" s="30" t="n">
        <f aca="false">MAX(AE159,0)*(Inputs!$B$17+Inputs!$B$24+Inputs!$B$25)+MAX(-AE159,0)*(O159+Inputs!$B$24+Inputs!$B$25)+IF(AND(K159=1,AB159&lt;&gt;0),(Inputs!$B$17+Inputs!$B$24+Inputs!$B$25)+(O159+Inputs!$B$24+Inputs!$B$25),0)+MAX(AG159,0)*(Inputs!$B$20+Inputs!$B$26+Inputs!$B$27)+MAX(-AG159,0)*(Inputs!$B$21+Inputs!$B$26+Inputs!$B$27)</f>
        <v>0</v>
      </c>
      <c r="AK159" s="30" t="n">
        <f aca="false">AB158*(M159-AD158*J159)+AB158*AD158*(N159+Inputs!$B$14)/Inputs!$B$16-AJ159</f>
        <v>-0.00115756794362437</v>
      </c>
      <c r="AL159" s="30" t="n">
        <f aca="false">IF(AP158&lt;&gt;0,AQ158+1,0)</f>
        <v>6</v>
      </c>
      <c r="AM159" s="30" t="n">
        <f aca="false">IF(W159="",0,IF(AND(AP158&lt;&gt;0,OR(ABS(W159)&gt;Inputs!$B$7,AL159&gt;=Inputs!$B$8,ABS(W159)&lt;Inputs!$B$6)),1,0))</f>
        <v>0</v>
      </c>
      <c r="AN159" s="30" t="n">
        <f aca="false">IF(AM159=1,0,AP158)</f>
        <v>-1</v>
      </c>
      <c r="AO159" s="30" t="n">
        <f aca="false">IF(W159="",0,IF(AND(AN159=0,ABS(W159)&gt;Inputs!$B$5,ABS(W159)&lt;=Inputs!$B$7,W159&gt;0),1,0))</f>
        <v>0</v>
      </c>
      <c r="AP159" s="30" t="n">
        <f aca="false">IF(W159="",0,IF(AO159=1,-SIGN(W159),AN159))</f>
        <v>-1</v>
      </c>
      <c r="AQ159" s="30" t="n">
        <f aca="false">IF(W159="",0,IF(AO159=1,0,IF(AM159=1,0,AL159)))</f>
        <v>6</v>
      </c>
      <c r="AR159" s="29" t="n">
        <f aca="false">IF(AP159=0,0,IF(AP158=AP159,AR158,T159))</f>
        <v>0.989435321673209</v>
      </c>
      <c r="AS159" s="30" t="n">
        <f aca="false">AP159-AP158</f>
        <v>0</v>
      </c>
      <c r="AT159" s="30" t="n">
        <f aca="false">-AR159*AP159</f>
        <v>0.989435321673209</v>
      </c>
      <c r="AU159" s="30" t="n">
        <f aca="false">AT159-AT158</f>
        <v>0</v>
      </c>
      <c r="AV159" s="30" t="n">
        <f aca="false">MAX(AS159,0)*(Inputs!$B$17+Inputs!$B$18+Inputs!$B$19)+MAX(-AS159,0)*(O159+Inputs!$B$18+Inputs!$B$19)+IF(AND(K159=1,AP159&lt;&gt;0),(Inputs!$B$17+Inputs!$B$18+Inputs!$B$19)+(O159+Inputs!$B$18+Inputs!$B$19),0)+MAX(AU159,0)*(Inputs!$B$20+Inputs!$B$22+Inputs!$B$23)+MAX(-AU159,0)*(Inputs!$B$21+Inputs!$B$22+Inputs!$B$23)</f>
        <v>0</v>
      </c>
      <c r="AW159" s="30" t="n">
        <f aca="false">AP158*(M159-AR158*J159)+AP158*AR158*N159/Inputs!$B$16-AV159</f>
        <v>-0.00112812046381266</v>
      </c>
      <c r="AX159" s="30" t="n">
        <f aca="false">AW159-IF(AP158&lt;&gt;0,0.75*AR158*(Inputs!$B$13-N159)/Inputs!$B$16,0)</f>
        <v>-0.00134897656240043</v>
      </c>
      <c r="AY159" s="30" t="n">
        <f aca="false">MAX(AS159,0)*(Inputs!$B$17+Inputs!$B$18+Inputs!$B$19)+MAX(-AS159,0)*(O159+Inputs!$B$18+Inputs!$B$19)+IF(AND(K159=1,AP159&lt;&gt;0),(Inputs!$B$17+Inputs!$B$18+Inputs!$B$19)+(O159+Inputs!$B$18+Inputs!$B$19),0)</f>
        <v>0</v>
      </c>
      <c r="AZ159" s="30" t="n">
        <f aca="false">AP158*M159-AY159</f>
        <v>-0.00130103208972265</v>
      </c>
      <c r="BA159" s="32" t="n">
        <f aca="false">BA158+AI159</f>
        <v>-0.00962416731308857</v>
      </c>
      <c r="BB159" s="30" t="n">
        <f aca="false">MAX(BB158,BA159)</f>
        <v>0</v>
      </c>
      <c r="BC159" s="32" t="n">
        <f aca="false">BA159-BB159</f>
        <v>-0.00962416731308857</v>
      </c>
      <c r="BD159" s="30" t="n">
        <f aca="false">A160-A159</f>
        <v>1</v>
      </c>
    </row>
    <row r="160" customFormat="false" ht="15" hidden="false" customHeight="false" outlineLevel="0" collapsed="false">
      <c r="A160" s="28" t="n">
        <v>45274</v>
      </c>
      <c r="B160" s="0" t="n">
        <v>21353</v>
      </c>
      <c r="C160" s="0" t="n">
        <v>234.04</v>
      </c>
      <c r="D160" s="29" t="n">
        <f aca="false">LN(B160)</f>
        <v>9.96894752400791</v>
      </c>
      <c r="E160" s="29" t="n">
        <f aca="false">LN(C160)</f>
        <v>5.45549204092004</v>
      </c>
      <c r="F160" s="0" t="n">
        <v>155</v>
      </c>
      <c r="G160" s="0" t="n">
        <v>14</v>
      </c>
      <c r="H160" s="29" t="n">
        <f aca="false">D160-E160</f>
        <v>4.51345548308788</v>
      </c>
      <c r="I160" s="29" t="n">
        <f aca="false">D160-D159</f>
        <v>0.0149831352955498</v>
      </c>
      <c r="J160" s="29" t="n">
        <f aca="false">E160-E159</f>
        <v>0.0123819294704575</v>
      </c>
      <c r="K160" s="0" t="n">
        <v>0</v>
      </c>
      <c r="L160" s="0" t="n">
        <v>0</v>
      </c>
      <c r="M160" s="29" t="n">
        <f aca="false">IF(L160=1,J160-Carry!$B$9/Inputs!$B$16,I160)</f>
        <v>0.0149831352955498</v>
      </c>
      <c r="N160" s="0" t="n">
        <v>0.065</v>
      </c>
      <c r="O160" s="0" t="n">
        <v>0.000125</v>
      </c>
      <c r="P160" s="29" t="n">
        <f aca="false">D160-('2 Hedge ratio'!$B$6+'2 Hedge ratio'!$B$5*E160)</f>
        <v>0.00920519911537454</v>
      </c>
      <c r="Q160" s="29" t="n">
        <f aca="false">D160-('5 Re-specification'!$B$7+'5 Re-specification'!$B$5*E160+'5 Re-specification'!$B$6*F160)</f>
        <v>0.00575137519059865</v>
      </c>
      <c r="R160" s="30" t="n">
        <f aca="false">MIN(F160,Inputs!$B$9)</f>
        <v>155</v>
      </c>
      <c r="S160" s="29" t="n">
        <f aca="true">IF(AND(F160&gt;=1,R160&gt;=Inputs!$B$10),INDEX(LINEST(OFFSET(D160,-R160,0,R160,1),OFFSET(E160,-R160,0,R160,2)),1,1),"")</f>
        <v>-6.94631541855164E-005</v>
      </c>
      <c r="T160" s="29" t="n">
        <f aca="true">IF(AND(F160&gt;=1,R160&gt;=Inputs!$B$10),INDEX(LINEST(OFFSET(D160,-R160,0,R160,1),OFFSET(E160,-R160,0,R160,2)),1,2),"")</f>
        <v>1.01157819410753</v>
      </c>
      <c r="U160" s="29" t="n">
        <f aca="true">IF(AND(F160&gt;=1,R160&gt;=Inputs!$B$10),INDEX(LINEST(OFFSET(D160,-R160,0,R160,1),OFFSET(E160,-R160,0,R160,2)),1,3),"")</f>
        <v>4.45439308190468</v>
      </c>
      <c r="V160" s="29" t="n">
        <f aca="true">IF(AND(F160&gt;=1,R160&gt;=Inputs!$B$10),SQRT(SUMPRODUCT((OFFSET(D160,-R160,0,R160,1)-U160-T160*OFFSET(E160,-R160,0,R160,1)-S160*OFFSET(F160,-R160,0,R160,1))^2)/(R160-3)),"")</f>
        <v>0.00264585072899789</v>
      </c>
      <c r="W160" s="31" t="n">
        <f aca="false">IF(AND(F160&gt;=1,R160&gt;=Inputs!$B$10),(D160-U160-T160*E160-S160*F160)/V160,"")</f>
        <v>2.51882852160219</v>
      </c>
      <c r="X160" s="30" t="n">
        <f aca="false">IF(AB159&lt;&gt;0,AC159+1,0)</f>
        <v>7</v>
      </c>
      <c r="Y160" s="30" t="n">
        <f aca="false">IF(W160="",0,IF(AND(AB159&lt;&gt;0,OR(ABS(W160)&gt;Inputs!$B$7,X160&gt;=Inputs!$B$8,ABS(W160)&lt;Inputs!$B$6)),1,0))</f>
        <v>0</v>
      </c>
      <c r="Z160" s="30" t="n">
        <f aca="false">IF(Y160=1,0,AB159)</f>
        <v>-1</v>
      </c>
      <c r="AA160" s="30" t="n">
        <f aca="false">IF(W160="",0,IF(AND(Z160=0,ABS(W160)&gt;Inputs!$B$5,ABS(W160)&lt;=Inputs!$B$7),1,0))</f>
        <v>0</v>
      </c>
      <c r="AB160" s="30" t="n">
        <f aca="false">IF(W160="",0,IF(AA160=1,-SIGN(W160),Z160))</f>
        <v>-1</v>
      </c>
      <c r="AC160" s="30" t="n">
        <f aca="false">IF(W160="",0,IF(AA160=1,0,IF(Y160=1,0,X160)))</f>
        <v>7</v>
      </c>
      <c r="AD160" s="29" t="n">
        <f aca="false">IF(AB160=0,0,IF(AB159=AB160,AD159,T160))</f>
        <v>0.989435321673209</v>
      </c>
      <c r="AE160" s="30" t="n">
        <f aca="false">AB160-AB159</f>
        <v>0</v>
      </c>
      <c r="AF160" s="30" t="n">
        <f aca="false">-AD160*AB160</f>
        <v>0.989435321673209</v>
      </c>
      <c r="AG160" s="30" t="n">
        <f aca="false">AF160-AF159</f>
        <v>0</v>
      </c>
      <c r="AH160" s="30" t="n">
        <f aca="false">MAX(AE160,0)*(Inputs!$B$17+Inputs!$B$18+Inputs!$B$19)+MAX(-AE160,0)*(O160+Inputs!$B$18+Inputs!$B$19)+IF(AND(K160=1,AB160&lt;&gt;0),(Inputs!$B$17+Inputs!$B$18+Inputs!$B$19)+(O160+Inputs!$B$18+Inputs!$B$19),0)+MAX(AG160,0)*(Inputs!$B$20+Inputs!$B$22+Inputs!$B$23)+MAX(-AG160,0)*(Inputs!$B$21+Inputs!$B$22+Inputs!$B$23)</f>
        <v>0</v>
      </c>
      <c r="AI160" s="30" t="n">
        <f aca="false">AB159*(M160-AD159*J160)+AB159*AD159*N160/Inputs!$B$16-AH160</f>
        <v>-0.0029872284187142</v>
      </c>
      <c r="AJ160" s="30" t="n">
        <f aca="false">MAX(AE160,0)*(Inputs!$B$17+Inputs!$B$24+Inputs!$B$25)+MAX(-AE160,0)*(O160+Inputs!$B$24+Inputs!$B$25)+IF(AND(K160=1,AB160&lt;&gt;0),(Inputs!$B$17+Inputs!$B$24+Inputs!$B$25)+(O160+Inputs!$B$24+Inputs!$B$25),0)+MAX(AG160,0)*(Inputs!$B$20+Inputs!$B$26+Inputs!$B$27)+MAX(-AG160,0)*(Inputs!$B$21+Inputs!$B$26+Inputs!$B$27)</f>
        <v>0</v>
      </c>
      <c r="AK160" s="30" t="n">
        <f aca="false">AB159*(M160-AD159*J160)+AB159*AD159*(N160+Inputs!$B$14)/Inputs!$B$16-AJ160</f>
        <v>-0.0030166758985259</v>
      </c>
      <c r="AL160" s="30" t="n">
        <f aca="false">IF(AP159&lt;&gt;0,AQ159+1,0)</f>
        <v>7</v>
      </c>
      <c r="AM160" s="30" t="n">
        <f aca="false">IF(W160="",0,IF(AND(AP159&lt;&gt;0,OR(ABS(W160)&gt;Inputs!$B$7,AL160&gt;=Inputs!$B$8,ABS(W160)&lt;Inputs!$B$6)),1,0))</f>
        <v>0</v>
      </c>
      <c r="AN160" s="30" t="n">
        <f aca="false">IF(AM160=1,0,AP159)</f>
        <v>-1</v>
      </c>
      <c r="AO160" s="30" t="n">
        <f aca="false">IF(W160="",0,IF(AND(AN160=0,ABS(W160)&gt;Inputs!$B$5,ABS(W160)&lt;=Inputs!$B$7,W160&gt;0),1,0))</f>
        <v>0</v>
      </c>
      <c r="AP160" s="30" t="n">
        <f aca="false">IF(W160="",0,IF(AO160=1,-SIGN(W160),AN160))</f>
        <v>-1</v>
      </c>
      <c r="AQ160" s="30" t="n">
        <f aca="false">IF(W160="",0,IF(AO160=1,0,IF(AM160=1,0,AL160)))</f>
        <v>7</v>
      </c>
      <c r="AR160" s="29" t="n">
        <f aca="false">IF(AP160=0,0,IF(AP159=AP160,AR159,T160))</f>
        <v>0.989435321673209</v>
      </c>
      <c r="AS160" s="30" t="n">
        <f aca="false">AP160-AP159</f>
        <v>0</v>
      </c>
      <c r="AT160" s="30" t="n">
        <f aca="false">-AR160*AP160</f>
        <v>0.989435321673209</v>
      </c>
      <c r="AU160" s="30" t="n">
        <f aca="false">AT160-AT159</f>
        <v>0</v>
      </c>
      <c r="AV160" s="30" t="n">
        <f aca="false">MAX(AS160,0)*(Inputs!$B$17+Inputs!$B$18+Inputs!$B$19)+MAX(-AS160,0)*(O160+Inputs!$B$18+Inputs!$B$19)+IF(AND(K160=1,AP160&lt;&gt;0),(Inputs!$B$17+Inputs!$B$18+Inputs!$B$19)+(O160+Inputs!$B$18+Inputs!$B$19),0)+MAX(AU160,0)*(Inputs!$B$20+Inputs!$B$22+Inputs!$B$23)+MAX(-AU160,0)*(Inputs!$B$21+Inputs!$B$22+Inputs!$B$23)</f>
        <v>0</v>
      </c>
      <c r="AW160" s="30" t="n">
        <f aca="false">AP159*(M160-AR159*J160)+AP159*AR159*N160/Inputs!$B$16-AV160</f>
        <v>-0.0029872284187142</v>
      </c>
      <c r="AX160" s="30" t="n">
        <f aca="false">AW160-IF(AP159&lt;&gt;0,0.75*AR159*(Inputs!$B$13-N160)/Inputs!$B$16,0)</f>
        <v>-0.00320808451730197</v>
      </c>
      <c r="AY160" s="30" t="n">
        <f aca="false">MAX(AS160,0)*(Inputs!$B$17+Inputs!$B$18+Inputs!$B$19)+MAX(-AS160,0)*(O160+Inputs!$B$18+Inputs!$B$19)+IF(AND(K160=1,AP160&lt;&gt;0),(Inputs!$B$17+Inputs!$B$18+Inputs!$B$19)+(O160+Inputs!$B$18+Inputs!$B$19),0)</f>
        <v>0</v>
      </c>
      <c r="AZ160" s="30" t="n">
        <f aca="false">AP159*M160-AY160</f>
        <v>-0.0149831352955498</v>
      </c>
      <c r="BA160" s="32" t="n">
        <f aca="false">BA159+AI160</f>
        <v>-0.0126113957318028</v>
      </c>
      <c r="BB160" s="30" t="n">
        <f aca="false">MAX(BB159,BA160)</f>
        <v>0</v>
      </c>
      <c r="BC160" s="32" t="n">
        <f aca="false">BA160-BB160</f>
        <v>-0.0126113957318028</v>
      </c>
      <c r="BD160" s="30" t="n">
        <f aca="false">A161-A160</f>
        <v>1</v>
      </c>
    </row>
    <row r="161" customFormat="false" ht="15" hidden="false" customHeight="false" outlineLevel="0" collapsed="false">
      <c r="A161" s="28" t="n">
        <v>45275</v>
      </c>
      <c r="B161" s="0" t="n">
        <v>21558.2</v>
      </c>
      <c r="C161" s="0" t="n">
        <v>236.33</v>
      </c>
      <c r="D161" s="29" t="n">
        <f aca="false">LN(B161)</f>
        <v>9.97851153359699</v>
      </c>
      <c r="E161" s="29" t="n">
        <f aca="false">LN(C161)</f>
        <v>5.4652291333922</v>
      </c>
      <c r="F161" s="0" t="n">
        <v>156</v>
      </c>
      <c r="G161" s="0" t="n">
        <v>13</v>
      </c>
      <c r="H161" s="29" t="n">
        <f aca="false">D161-E161</f>
        <v>4.5132824002048</v>
      </c>
      <c r="I161" s="29" t="n">
        <f aca="false">D161-D160</f>
        <v>0.00956400958907544</v>
      </c>
      <c r="J161" s="29" t="n">
        <f aca="false">E161-E160</f>
        <v>0.00973709247216004</v>
      </c>
      <c r="K161" s="0" t="n">
        <v>0</v>
      </c>
      <c r="L161" s="0" t="n">
        <v>0</v>
      </c>
      <c r="M161" s="29" t="n">
        <f aca="false">IF(L161=1,J161-Carry!$B$9/Inputs!$B$16,I161)</f>
        <v>0.00956400958907544</v>
      </c>
      <c r="N161" s="0" t="n">
        <v>0.065</v>
      </c>
      <c r="O161" s="0" t="n">
        <v>0.000125</v>
      </c>
      <c r="P161" s="29" t="n">
        <f aca="false">D161-('2 Hedge ratio'!$B$6+'2 Hedge ratio'!$B$5*E161)</f>
        <v>0.0098487977334436</v>
      </c>
      <c r="Q161" s="29" t="n">
        <f aca="false">D161-('5 Re-specification'!$B$7+'5 Re-specification'!$B$5*E161+'5 Re-specification'!$B$6*F161)</f>
        <v>0.00565272988455412</v>
      </c>
      <c r="R161" s="30" t="n">
        <f aca="false">MIN(F161,Inputs!$B$9)</f>
        <v>156</v>
      </c>
      <c r="S161" s="29" t="n">
        <f aca="true">IF(AND(F161&gt;=1,R161&gt;=Inputs!$B$10),INDEX(LINEST(OFFSET(D161,-R161,0,R161,1),OFFSET(E161,-R161,0,R161,2)),1,1),"")</f>
        <v>-7.0706691971225E-005</v>
      </c>
      <c r="T161" s="29" t="n">
        <f aca="true">IF(AND(F161&gt;=1,R161&gt;=Inputs!$B$10),INDEX(LINEST(OFFSET(D161,-R161,0,R161,1),OFFSET(E161,-R161,0,R161,2)),1,2),"")</f>
        <v>1.01586751731646</v>
      </c>
      <c r="U161" s="29" t="n">
        <f aca="true">IF(AND(F161&gt;=1,R161&gt;=Inputs!$B$10),INDEX(LINEST(OFFSET(D161,-R161,0,R161,1),OFFSET(E161,-R161,0,R161,2)),1,3),"")</f>
        <v>4.43153257561429</v>
      </c>
      <c r="V161" s="29" t="n">
        <f aca="true">IF(AND(F161&gt;=1,R161&gt;=Inputs!$B$10),SQRT(SUMPRODUCT((OFFSET(D161,-R161,0,R161,1)-U161-T161*OFFSET(E161,-R161,0,R161,1)-S161*OFFSET(F161,-R161,0,R161,1))^2)/(R161-3)),"")</f>
        <v>0.00268885555260498</v>
      </c>
      <c r="W161" s="31" t="n">
        <f aca="false">IF(AND(F161&gt;=1,R161&gt;=Inputs!$B$10),(D161-U161-T161*E161-S161*F161)/V161,"")</f>
        <v>2.25391453981778</v>
      </c>
      <c r="X161" s="30" t="n">
        <f aca="false">IF(AB160&lt;&gt;0,AC160+1,0)</f>
        <v>8</v>
      </c>
      <c r="Y161" s="30" t="n">
        <f aca="false">IF(W161="",0,IF(AND(AB160&lt;&gt;0,OR(ABS(W161)&gt;Inputs!$B$7,X161&gt;=Inputs!$B$8,ABS(W161)&lt;Inputs!$B$6)),1,0))</f>
        <v>0</v>
      </c>
      <c r="Z161" s="30" t="n">
        <f aca="false">IF(Y161=1,0,AB160)</f>
        <v>-1</v>
      </c>
      <c r="AA161" s="30" t="n">
        <f aca="false">IF(W161="",0,IF(AND(Z161=0,ABS(W161)&gt;Inputs!$B$5,ABS(W161)&lt;=Inputs!$B$7),1,0))</f>
        <v>0</v>
      </c>
      <c r="AB161" s="30" t="n">
        <f aca="false">IF(W161="",0,IF(AA161=1,-SIGN(W161),Z161))</f>
        <v>-1</v>
      </c>
      <c r="AC161" s="30" t="n">
        <f aca="false">IF(W161="",0,IF(AA161=1,0,IF(Y161=1,0,X161)))</f>
        <v>8</v>
      </c>
      <c r="AD161" s="29" t="n">
        <f aca="false">IF(AB161=0,0,IF(AB160=AB161,AD160,T161))</f>
        <v>0.989435321673209</v>
      </c>
      <c r="AE161" s="30" t="n">
        <f aca="false">AB161-AB160</f>
        <v>0</v>
      </c>
      <c r="AF161" s="30" t="n">
        <f aca="false">-AD161*AB161</f>
        <v>0.989435321673209</v>
      </c>
      <c r="AG161" s="30" t="n">
        <f aca="false">AF161-AF160</f>
        <v>0</v>
      </c>
      <c r="AH161" s="30" t="n">
        <f aca="false">MAX(AE161,0)*(Inputs!$B$17+Inputs!$B$18+Inputs!$B$19)+MAX(-AE161,0)*(O161+Inputs!$B$18+Inputs!$B$19)+IF(AND(K161=1,AB161&lt;&gt;0),(Inputs!$B$17+Inputs!$B$18+Inputs!$B$19)+(O161+Inputs!$B$18+Inputs!$B$19),0)+MAX(AG161,0)*(Inputs!$B$20+Inputs!$B$22+Inputs!$B$23)+MAX(-AG161,0)*(Inputs!$B$21+Inputs!$B$22+Inputs!$B$23)</f>
        <v>0</v>
      </c>
      <c r="AI161" s="30" t="n">
        <f aca="false">AB160*(M161-AD160*J161)+AB160*AD160*N161/Inputs!$B$16-AH161</f>
        <v>-0.000184997858423414</v>
      </c>
      <c r="AJ161" s="30" t="n">
        <f aca="false">MAX(AE161,0)*(Inputs!$B$17+Inputs!$B$24+Inputs!$B$25)+MAX(-AE161,0)*(O161+Inputs!$B$24+Inputs!$B$25)+IF(AND(K161=1,AB161&lt;&gt;0),(Inputs!$B$17+Inputs!$B$24+Inputs!$B$25)+(O161+Inputs!$B$24+Inputs!$B$25),0)+MAX(AG161,0)*(Inputs!$B$20+Inputs!$B$26+Inputs!$B$27)+MAX(-AG161,0)*(Inputs!$B$21+Inputs!$B$26+Inputs!$B$27)</f>
        <v>0</v>
      </c>
      <c r="AK161" s="30" t="n">
        <f aca="false">AB160*(M161-AD160*J161)+AB160*AD160*(N161+Inputs!$B$14)/Inputs!$B$16-AJ161</f>
        <v>-0.000214445338235116</v>
      </c>
      <c r="AL161" s="30" t="n">
        <f aca="false">IF(AP160&lt;&gt;0,AQ160+1,0)</f>
        <v>8</v>
      </c>
      <c r="AM161" s="30" t="n">
        <f aca="false">IF(W161="",0,IF(AND(AP160&lt;&gt;0,OR(ABS(W161)&gt;Inputs!$B$7,AL161&gt;=Inputs!$B$8,ABS(W161)&lt;Inputs!$B$6)),1,0))</f>
        <v>0</v>
      </c>
      <c r="AN161" s="30" t="n">
        <f aca="false">IF(AM161=1,0,AP160)</f>
        <v>-1</v>
      </c>
      <c r="AO161" s="30" t="n">
        <f aca="false">IF(W161="",0,IF(AND(AN161=0,ABS(W161)&gt;Inputs!$B$5,ABS(W161)&lt;=Inputs!$B$7,W161&gt;0),1,0))</f>
        <v>0</v>
      </c>
      <c r="AP161" s="30" t="n">
        <f aca="false">IF(W161="",0,IF(AO161=1,-SIGN(W161),AN161))</f>
        <v>-1</v>
      </c>
      <c r="AQ161" s="30" t="n">
        <f aca="false">IF(W161="",0,IF(AO161=1,0,IF(AM161=1,0,AL161)))</f>
        <v>8</v>
      </c>
      <c r="AR161" s="29" t="n">
        <f aca="false">IF(AP161=0,0,IF(AP160=AP161,AR160,T161))</f>
        <v>0.989435321673209</v>
      </c>
      <c r="AS161" s="30" t="n">
        <f aca="false">AP161-AP160</f>
        <v>0</v>
      </c>
      <c r="AT161" s="30" t="n">
        <f aca="false">-AR161*AP161</f>
        <v>0.989435321673209</v>
      </c>
      <c r="AU161" s="30" t="n">
        <f aca="false">AT161-AT160</f>
        <v>0</v>
      </c>
      <c r="AV161" s="30" t="n">
        <f aca="false">MAX(AS161,0)*(Inputs!$B$17+Inputs!$B$18+Inputs!$B$19)+MAX(-AS161,0)*(O161+Inputs!$B$18+Inputs!$B$19)+IF(AND(K161=1,AP161&lt;&gt;0),(Inputs!$B$17+Inputs!$B$18+Inputs!$B$19)+(O161+Inputs!$B$18+Inputs!$B$19),0)+MAX(AU161,0)*(Inputs!$B$20+Inputs!$B$22+Inputs!$B$23)+MAX(-AU161,0)*(Inputs!$B$21+Inputs!$B$22+Inputs!$B$23)</f>
        <v>0</v>
      </c>
      <c r="AW161" s="30" t="n">
        <f aca="false">AP160*(M161-AR160*J161)+AP160*AR160*N161/Inputs!$B$16-AV161</f>
        <v>-0.000184997858423414</v>
      </c>
      <c r="AX161" s="30" t="n">
        <f aca="false">AW161-IF(AP160&lt;&gt;0,0.75*AR160*(Inputs!$B$13-N161)/Inputs!$B$16,0)</f>
        <v>-0.000405853957011184</v>
      </c>
      <c r="AY161" s="30" t="n">
        <f aca="false">MAX(AS161,0)*(Inputs!$B$17+Inputs!$B$18+Inputs!$B$19)+MAX(-AS161,0)*(O161+Inputs!$B$18+Inputs!$B$19)+IF(AND(K161=1,AP161&lt;&gt;0),(Inputs!$B$17+Inputs!$B$18+Inputs!$B$19)+(O161+Inputs!$B$18+Inputs!$B$19),0)</f>
        <v>0</v>
      </c>
      <c r="AZ161" s="30" t="n">
        <f aca="false">AP160*M161-AY161</f>
        <v>-0.00956400958907544</v>
      </c>
      <c r="BA161" s="32" t="n">
        <f aca="false">BA160+AI161</f>
        <v>-0.0127963935902262</v>
      </c>
      <c r="BB161" s="30" t="n">
        <f aca="false">MAX(BB160,BA161)</f>
        <v>0</v>
      </c>
      <c r="BC161" s="32" t="n">
        <f aca="false">BA161-BB161</f>
        <v>-0.0127963935902262</v>
      </c>
      <c r="BD161" s="30" t="n">
        <f aca="false">A162-A161</f>
        <v>3</v>
      </c>
    </row>
    <row r="162" customFormat="false" ht="15" hidden="false" customHeight="false" outlineLevel="0" collapsed="false">
      <c r="A162" s="28" t="n">
        <v>45278</v>
      </c>
      <c r="B162" s="0" t="n">
        <v>21462.05</v>
      </c>
      <c r="C162" s="0" t="n">
        <v>236.56</v>
      </c>
      <c r="D162" s="29" t="n">
        <f aca="false">LN(B162)</f>
        <v>9.97404153818336</v>
      </c>
      <c r="E162" s="29" t="n">
        <f aca="false">LN(C162)</f>
        <v>5.46620187554422</v>
      </c>
      <c r="F162" s="0" t="n">
        <v>157</v>
      </c>
      <c r="G162" s="0" t="n">
        <v>10</v>
      </c>
      <c r="H162" s="29" t="n">
        <f aca="false">D162-E162</f>
        <v>4.50783966263914</v>
      </c>
      <c r="I162" s="29" t="n">
        <f aca="false">D162-D161</f>
        <v>-0.00446999541362736</v>
      </c>
      <c r="J162" s="29" t="n">
        <f aca="false">E162-E161</f>
        <v>0.000972742152026918</v>
      </c>
      <c r="K162" s="0" t="n">
        <v>0</v>
      </c>
      <c r="L162" s="0" t="n">
        <v>0</v>
      </c>
      <c r="M162" s="29" t="n">
        <f aca="false">IF(L162=1,J162-Carry!$B$9/Inputs!$B$16,I162)</f>
        <v>-0.00446999541362736</v>
      </c>
      <c r="N162" s="0" t="n">
        <v>0.065</v>
      </c>
      <c r="O162" s="0" t="n">
        <v>0.000125</v>
      </c>
      <c r="P162" s="29" t="n">
        <f aca="false">D162-('2 Hedge ratio'!$B$6+'2 Hedge ratio'!$B$5*E162)</f>
        <v>0.00448764720449724</v>
      </c>
      <c r="Q162" s="29" t="n">
        <f aca="false">D162-('5 Re-specification'!$B$7+'5 Re-specification'!$B$5*E162+'5 Re-specification'!$B$6*F162)</f>
        <v>0.000257869532109822</v>
      </c>
      <c r="R162" s="30" t="n">
        <f aca="false">MIN(F162,Inputs!$B$9)</f>
        <v>157</v>
      </c>
      <c r="S162" s="29" t="n">
        <f aca="true">IF(AND(F162&gt;=1,R162&gt;=Inputs!$B$10),INDEX(LINEST(OFFSET(D162,-R162,0,R162,1),OFFSET(E162,-R162,0,R162,2)),1,1),"")</f>
        <v>-7.22867168837444E-005</v>
      </c>
      <c r="T162" s="29" t="n">
        <f aca="true">IF(AND(F162&gt;=1,R162&gt;=Inputs!$B$10),INDEX(LINEST(OFFSET(D162,-R162,0,R162,1),OFFSET(E162,-R162,0,R162,2)),1,2),"")</f>
        <v>1.02032864314495</v>
      </c>
      <c r="U162" s="29" t="n">
        <f aca="true">IF(AND(F162&gt;=1,R162&gt;=Inputs!$B$10),INDEX(LINEST(OFFSET(D162,-R162,0,R162,1),OFFSET(E162,-R162,0,R162,2)),1,3),"")</f>
        <v>4.40777067064109</v>
      </c>
      <c r="V162" s="29" t="n">
        <f aca="true">IF(AND(F162&gt;=1,R162&gt;=Inputs!$B$10),SQRT(SUMPRODUCT((OFFSET(D162,-R162,0,R162,1)-U162-T162*OFFSET(E162,-R162,0,R162,1)-S162*OFFSET(F162,-R162,0,R162,1))^2)/(R162-3)),"")</f>
        <v>0.00272154925885713</v>
      </c>
      <c r="W162" s="31" t="n">
        <f aca="false">IF(AND(F162&gt;=1,R162&gt;=Inputs!$B$10),(D162-U162-T162*E162-S162*F162)/V162,"")</f>
        <v>0.109327164169326</v>
      </c>
      <c r="X162" s="30" t="n">
        <f aca="false">IF(AB161&lt;&gt;0,AC161+1,0)</f>
        <v>9</v>
      </c>
      <c r="Y162" s="30" t="n">
        <f aca="false">IF(W162="",0,IF(AND(AB161&lt;&gt;0,OR(ABS(W162)&gt;Inputs!$B$7,X162&gt;=Inputs!$B$8,ABS(W162)&lt;Inputs!$B$6)),1,0))</f>
        <v>1</v>
      </c>
      <c r="Z162" s="30" t="n">
        <f aca="false">IF(Y162=1,0,AB161)</f>
        <v>0</v>
      </c>
      <c r="AA162" s="30" t="n">
        <f aca="false">IF(W162="",0,IF(AND(Z162=0,ABS(W162)&gt;Inputs!$B$5,ABS(W162)&lt;=Inputs!$B$7),1,0))</f>
        <v>0</v>
      </c>
      <c r="AB162" s="30" t="n">
        <f aca="false">IF(W162="",0,IF(AA162=1,-SIGN(W162),Z162))</f>
        <v>0</v>
      </c>
      <c r="AC162" s="30" t="n">
        <f aca="false">IF(W162="",0,IF(AA162=1,0,IF(Y162=1,0,X162)))</f>
        <v>0</v>
      </c>
      <c r="AD162" s="30" t="n">
        <f aca="false">IF(AB162=0,0,IF(AB161=AB162,AD161,T162))</f>
        <v>0</v>
      </c>
      <c r="AE162" s="30" t="n">
        <f aca="false">AB162-AB161</f>
        <v>1</v>
      </c>
      <c r="AF162" s="30" t="n">
        <f aca="false">-AD162*AB162</f>
        <v>-0</v>
      </c>
      <c r="AG162" s="30" t="n">
        <f aca="false">AF162-AF161</f>
        <v>-0.989435321673209</v>
      </c>
      <c r="AH162" s="30" t="n">
        <f aca="false">MAX(AE162,0)*(Inputs!$B$17+Inputs!$B$18+Inputs!$B$19)+MAX(-AE162,0)*(O162+Inputs!$B$18+Inputs!$B$19)+IF(AND(K162=1,AB162&lt;&gt;0),(Inputs!$B$17+Inputs!$B$18+Inputs!$B$19)+(O162+Inputs!$B$18+Inputs!$B$19),0)+MAX(AG162,0)*(Inputs!$B$20+Inputs!$B$22+Inputs!$B$23)+MAX(-AG162,0)*(Inputs!$B$21+Inputs!$B$22+Inputs!$B$23)</f>
        <v>0.000362781417551374</v>
      </c>
      <c r="AI162" s="30" t="n">
        <f aca="false">AB161*(M162-AD161*J162)+AB161*AD161*N162/Inputs!$B$16-AH162</f>
        <v>0.00481446794847041</v>
      </c>
      <c r="AJ162" s="30" t="n">
        <f aca="false">MAX(AE162,0)*(Inputs!$B$17+Inputs!$B$24+Inputs!$B$25)+MAX(-AE162,0)*(O162+Inputs!$B$24+Inputs!$B$25)+IF(AND(K162=1,AB162&lt;&gt;0),(Inputs!$B$17+Inputs!$B$24+Inputs!$B$25)+(O162+Inputs!$B$24+Inputs!$B$25),0)+MAX(AG162,0)*(Inputs!$B$20+Inputs!$B$26+Inputs!$B$27)+MAX(-AG162,0)*(Inputs!$B$21+Inputs!$B$26+Inputs!$B$27)</f>
        <v>0.000203785061992419</v>
      </c>
      <c r="AK162" s="30" t="n">
        <f aca="false">AB161*(M162-AD161*J162)+AB161*AD161*(N162+Inputs!$B$14)/Inputs!$B$16-AJ162</f>
        <v>0.00494401682421766</v>
      </c>
      <c r="AL162" s="30" t="n">
        <f aca="false">IF(AP161&lt;&gt;0,AQ161+1,0)</f>
        <v>9</v>
      </c>
      <c r="AM162" s="30" t="n">
        <f aca="false">IF(W162="",0,IF(AND(AP161&lt;&gt;0,OR(ABS(W162)&gt;Inputs!$B$7,AL162&gt;=Inputs!$B$8,ABS(W162)&lt;Inputs!$B$6)),1,0))</f>
        <v>1</v>
      </c>
      <c r="AN162" s="30" t="n">
        <f aca="false">IF(AM162=1,0,AP161)</f>
        <v>0</v>
      </c>
      <c r="AO162" s="30" t="n">
        <f aca="false">IF(W162="",0,IF(AND(AN162=0,ABS(W162)&gt;Inputs!$B$5,ABS(W162)&lt;=Inputs!$B$7,W162&gt;0),1,0))</f>
        <v>0</v>
      </c>
      <c r="AP162" s="30" t="n">
        <f aca="false">IF(W162="",0,IF(AO162=1,-SIGN(W162),AN162))</f>
        <v>0</v>
      </c>
      <c r="AQ162" s="30" t="n">
        <f aca="false">IF(W162="",0,IF(AO162=1,0,IF(AM162=1,0,AL162)))</f>
        <v>0</v>
      </c>
      <c r="AR162" s="30" t="n">
        <f aca="false">IF(AP162=0,0,IF(AP161=AP162,AR161,T162))</f>
        <v>0</v>
      </c>
      <c r="AS162" s="30" t="n">
        <f aca="false">AP162-AP161</f>
        <v>1</v>
      </c>
      <c r="AT162" s="30" t="n">
        <f aca="false">-AR162*AP162</f>
        <v>-0</v>
      </c>
      <c r="AU162" s="30" t="n">
        <f aca="false">AT162-AT161</f>
        <v>-0.989435321673209</v>
      </c>
      <c r="AV162" s="30" t="n">
        <f aca="false">MAX(AS162,0)*(Inputs!$B$17+Inputs!$B$18+Inputs!$B$19)+MAX(-AS162,0)*(O162+Inputs!$B$18+Inputs!$B$19)+IF(AND(K162=1,AP162&lt;&gt;0),(Inputs!$B$17+Inputs!$B$18+Inputs!$B$19)+(O162+Inputs!$B$18+Inputs!$B$19),0)+MAX(AU162,0)*(Inputs!$B$20+Inputs!$B$22+Inputs!$B$23)+MAX(-AU162,0)*(Inputs!$B$21+Inputs!$B$22+Inputs!$B$23)</f>
        <v>0.000362781417551374</v>
      </c>
      <c r="AW162" s="30" t="n">
        <f aca="false">AP161*(M162-AR161*J162)+AP161*AR161*N162/Inputs!$B$16-AV162</f>
        <v>0.00481446794847041</v>
      </c>
      <c r="AX162" s="30" t="n">
        <f aca="false">AW162-IF(AP161&lt;&gt;0,0.75*AR161*(Inputs!$B$13-N162)/Inputs!$B$16,0)</f>
        <v>0.00459361184988264</v>
      </c>
      <c r="AY162" s="30" t="n">
        <f aca="false">MAX(AS162,0)*(Inputs!$B$17+Inputs!$B$18+Inputs!$B$19)+MAX(-AS162,0)*(O162+Inputs!$B$18+Inputs!$B$19)+IF(AND(K162=1,AP162&lt;&gt;0),(Inputs!$B$17+Inputs!$B$18+Inputs!$B$19)+(O162+Inputs!$B$18+Inputs!$B$19),0)</f>
        <v>0.000155</v>
      </c>
      <c r="AZ162" s="30" t="n">
        <f aca="false">AP161*M162-AY162</f>
        <v>0.00431499541362736</v>
      </c>
      <c r="BA162" s="32" t="n">
        <f aca="false">BA161+AI162</f>
        <v>-0.00798192564175577</v>
      </c>
      <c r="BB162" s="30" t="n">
        <f aca="false">MAX(BB161,BA162)</f>
        <v>0</v>
      </c>
      <c r="BC162" s="32" t="n">
        <f aca="false">BA162-BB162</f>
        <v>-0.00798192564175577</v>
      </c>
      <c r="BD162" s="30" t="n">
        <f aca="false">A163-A162</f>
        <v>1</v>
      </c>
    </row>
    <row r="163" customFormat="false" ht="15" hidden="false" customHeight="false" outlineLevel="0" collapsed="false">
      <c r="A163" s="28" t="n">
        <v>45279</v>
      </c>
      <c r="B163" s="0" t="n">
        <v>21529.2</v>
      </c>
      <c r="C163" s="0" t="n">
        <v>236.79</v>
      </c>
      <c r="D163" s="29" t="n">
        <f aca="false">LN(B163)</f>
        <v>9.97716543221334</v>
      </c>
      <c r="E163" s="29" t="n">
        <f aca="false">LN(C163)</f>
        <v>5.46717367238842</v>
      </c>
      <c r="F163" s="0" t="n">
        <v>158</v>
      </c>
      <c r="G163" s="0" t="n">
        <v>9</v>
      </c>
      <c r="H163" s="29" t="n">
        <f aca="false">D163-E163</f>
        <v>4.50999175982492</v>
      </c>
      <c r="I163" s="29" t="n">
        <f aca="false">D163-D162</f>
        <v>0.00312389402997582</v>
      </c>
      <c r="J163" s="29" t="n">
        <f aca="false">E163-E162</f>
        <v>0.000971796844198458</v>
      </c>
      <c r="K163" s="0" t="n">
        <v>0</v>
      </c>
      <c r="L163" s="0" t="n">
        <v>0</v>
      </c>
      <c r="M163" s="29" t="n">
        <f aca="false">IF(L163=1,J163-Carry!$B$9/Inputs!$B$16,I163)</f>
        <v>0.00312389402997582</v>
      </c>
      <c r="N163" s="0" t="n">
        <v>0.065</v>
      </c>
      <c r="O163" s="0" t="n">
        <v>0.000125</v>
      </c>
      <c r="P163" s="29" t="n">
        <f aca="false">D163-('2 Hedge ratio'!$B$6+'2 Hedge ratio'!$B$5*E163)</f>
        <v>0.00672125214095232</v>
      </c>
      <c r="Q163" s="29" t="n">
        <f aca="false">D163-('5 Re-specification'!$B$7+'5 Re-specification'!$B$5*E163+'5 Re-specification'!$B$6*F163)</f>
        <v>0.00245784106633806</v>
      </c>
      <c r="R163" s="30" t="n">
        <f aca="false">MIN(F163,Inputs!$B$9)</f>
        <v>158</v>
      </c>
      <c r="S163" s="29" t="n">
        <f aca="true">IF(AND(F163&gt;=1,R163&gt;=Inputs!$B$10),INDEX(LINEST(OFFSET(D163,-R163,0,R163,1),OFFSET(E163,-R163,0,R163,2)),1,1),"")</f>
        <v>-7.2359691885529E-005</v>
      </c>
      <c r="T163" s="29" t="n">
        <f aca="true">IF(AND(F163&gt;=1,R163&gt;=Inputs!$B$10),INDEX(LINEST(OFFSET(D163,-R163,0,R163,1),OFFSET(E163,-R163,0,R163,2)),1,2),"")</f>
        <v>1.02053601075589</v>
      </c>
      <c r="U163" s="29" t="n">
        <f aca="true">IF(AND(F163&gt;=1,R163&gt;=Inputs!$B$10),INDEX(LINEST(OFFSET(D163,-R163,0,R163,1),OFFSET(E163,-R163,0,R163,2)),1,3),"")</f>
        <v>4.40666609302152</v>
      </c>
      <c r="V163" s="29" t="n">
        <f aca="true">IF(AND(F163&gt;=1,R163&gt;=Inputs!$B$10),SQRT(SUMPRODUCT((OFFSET(D163,-R163,0,R163,1)-U163-T163*OFFSET(E163,-R163,0,R163,1)-S163*OFFSET(F163,-R163,0,R163,1))^2)/(R163-3)),"")</f>
        <v>0.0027128549487348</v>
      </c>
      <c r="W163" s="31" t="n">
        <f aca="false">IF(AND(F163&gt;=1,R163&gt;=Inputs!$B$10),(D163-U163-T163*E163-S163*F163)/V163,"")</f>
        <v>0.915847263413381</v>
      </c>
      <c r="X163" s="30" t="n">
        <f aca="false">IF(AB162&lt;&gt;0,AC162+1,0)</f>
        <v>0</v>
      </c>
      <c r="Y163" s="30" t="n">
        <f aca="false">IF(W163="",0,IF(AND(AB162&lt;&gt;0,OR(ABS(W163)&gt;Inputs!$B$7,X163&gt;=Inputs!$B$8,ABS(W163)&lt;Inputs!$B$6)),1,0))</f>
        <v>0</v>
      </c>
      <c r="Z163" s="30" t="n">
        <f aca="false">IF(Y163=1,0,AB162)</f>
        <v>0</v>
      </c>
      <c r="AA163" s="30" t="n">
        <f aca="false">IF(W163="",0,IF(AND(Z163=0,ABS(W163)&gt;Inputs!$B$5,ABS(W163)&lt;=Inputs!$B$7),1,0))</f>
        <v>0</v>
      </c>
      <c r="AB163" s="30" t="n">
        <f aca="false">IF(W163="",0,IF(AA163=1,-SIGN(W163),Z163))</f>
        <v>0</v>
      </c>
      <c r="AC163" s="30" t="n">
        <f aca="false">IF(W163="",0,IF(AA163=1,0,IF(Y163=1,0,X163)))</f>
        <v>0</v>
      </c>
      <c r="AD163" s="30" t="n">
        <f aca="false">IF(AB163=0,0,IF(AB162=AB163,AD162,T163))</f>
        <v>0</v>
      </c>
      <c r="AE163" s="30" t="n">
        <f aca="false">AB163-AB162</f>
        <v>0</v>
      </c>
      <c r="AF163" s="30" t="n">
        <f aca="false">-AD163*AB163</f>
        <v>-0</v>
      </c>
      <c r="AG163" s="30" t="n">
        <f aca="false">AF163-AF162</f>
        <v>0</v>
      </c>
      <c r="AH163" s="30" t="n">
        <f aca="false">MAX(AE163,0)*(Inputs!$B$17+Inputs!$B$18+Inputs!$B$19)+MAX(-AE163,0)*(O163+Inputs!$B$18+Inputs!$B$19)+IF(AND(K163=1,AB163&lt;&gt;0),(Inputs!$B$17+Inputs!$B$18+Inputs!$B$19)+(O163+Inputs!$B$18+Inputs!$B$19),0)+MAX(AG163,0)*(Inputs!$B$20+Inputs!$B$22+Inputs!$B$23)+MAX(-AG163,0)*(Inputs!$B$21+Inputs!$B$22+Inputs!$B$23)</f>
        <v>0</v>
      </c>
      <c r="AI163" s="30" t="n">
        <f aca="false">AB162*(M163-AD162*J163)+AB162*AD162*N163/Inputs!$B$16-AH163</f>
        <v>0</v>
      </c>
      <c r="AJ163" s="30" t="n">
        <f aca="false">MAX(AE163,0)*(Inputs!$B$17+Inputs!$B$24+Inputs!$B$25)+MAX(-AE163,0)*(O163+Inputs!$B$24+Inputs!$B$25)+IF(AND(K163=1,AB163&lt;&gt;0),(Inputs!$B$17+Inputs!$B$24+Inputs!$B$25)+(O163+Inputs!$B$24+Inputs!$B$25),0)+MAX(AG163,0)*(Inputs!$B$20+Inputs!$B$26+Inputs!$B$27)+MAX(-AG163,0)*(Inputs!$B$21+Inputs!$B$26+Inputs!$B$27)</f>
        <v>0</v>
      </c>
      <c r="AK163" s="30" t="n">
        <f aca="false">AB162*(M163-AD162*J163)+AB162*AD162*(N163+Inputs!$B$14)/Inputs!$B$16-AJ163</f>
        <v>0</v>
      </c>
      <c r="AL163" s="30" t="n">
        <f aca="false">IF(AP162&lt;&gt;0,AQ162+1,0)</f>
        <v>0</v>
      </c>
      <c r="AM163" s="30" t="n">
        <f aca="false">IF(W163="",0,IF(AND(AP162&lt;&gt;0,OR(ABS(W163)&gt;Inputs!$B$7,AL163&gt;=Inputs!$B$8,ABS(W163)&lt;Inputs!$B$6)),1,0))</f>
        <v>0</v>
      </c>
      <c r="AN163" s="30" t="n">
        <f aca="false">IF(AM163=1,0,AP162)</f>
        <v>0</v>
      </c>
      <c r="AO163" s="30" t="n">
        <f aca="false">IF(W163="",0,IF(AND(AN163=0,ABS(W163)&gt;Inputs!$B$5,ABS(W163)&lt;=Inputs!$B$7,W163&gt;0),1,0))</f>
        <v>0</v>
      </c>
      <c r="AP163" s="30" t="n">
        <f aca="false">IF(W163="",0,IF(AO163=1,-SIGN(W163),AN163))</f>
        <v>0</v>
      </c>
      <c r="AQ163" s="30" t="n">
        <f aca="false">IF(W163="",0,IF(AO163=1,0,IF(AM163=1,0,AL163)))</f>
        <v>0</v>
      </c>
      <c r="AR163" s="30" t="n">
        <f aca="false">IF(AP163=0,0,IF(AP162=AP163,AR162,T163))</f>
        <v>0</v>
      </c>
      <c r="AS163" s="30" t="n">
        <f aca="false">AP163-AP162</f>
        <v>0</v>
      </c>
      <c r="AT163" s="30" t="n">
        <f aca="false">-AR163*AP163</f>
        <v>-0</v>
      </c>
      <c r="AU163" s="30" t="n">
        <f aca="false">AT163-AT162</f>
        <v>0</v>
      </c>
      <c r="AV163" s="30" t="n">
        <f aca="false">MAX(AS163,0)*(Inputs!$B$17+Inputs!$B$18+Inputs!$B$19)+MAX(-AS163,0)*(O163+Inputs!$B$18+Inputs!$B$19)+IF(AND(K163=1,AP163&lt;&gt;0),(Inputs!$B$17+Inputs!$B$18+Inputs!$B$19)+(O163+Inputs!$B$18+Inputs!$B$19),0)+MAX(AU163,0)*(Inputs!$B$20+Inputs!$B$22+Inputs!$B$23)+MAX(-AU163,0)*(Inputs!$B$21+Inputs!$B$22+Inputs!$B$23)</f>
        <v>0</v>
      </c>
      <c r="AW163" s="30" t="n">
        <f aca="false">AP162*(M163-AR162*J163)+AP162*AR162*N163/Inputs!$B$16-AV163</f>
        <v>0</v>
      </c>
      <c r="AX163" s="30" t="n">
        <f aca="false">AW163-IF(AP162&lt;&gt;0,0.75*AR162*(Inputs!$B$13-N163)/Inputs!$B$16,0)</f>
        <v>0</v>
      </c>
      <c r="AY163" s="30" t="n">
        <f aca="false">MAX(AS163,0)*(Inputs!$B$17+Inputs!$B$18+Inputs!$B$19)+MAX(-AS163,0)*(O163+Inputs!$B$18+Inputs!$B$19)+IF(AND(K163=1,AP163&lt;&gt;0),(Inputs!$B$17+Inputs!$B$18+Inputs!$B$19)+(O163+Inputs!$B$18+Inputs!$B$19),0)</f>
        <v>0</v>
      </c>
      <c r="AZ163" s="30" t="n">
        <f aca="false">AP162*M163-AY163</f>
        <v>0</v>
      </c>
      <c r="BA163" s="32" t="n">
        <f aca="false">BA162+AI163</f>
        <v>-0.00798192564175577</v>
      </c>
      <c r="BB163" s="30" t="n">
        <f aca="false">MAX(BB162,BA163)</f>
        <v>0</v>
      </c>
      <c r="BC163" s="32" t="n">
        <f aca="false">BA163-BB163</f>
        <v>-0.00798192564175577</v>
      </c>
      <c r="BD163" s="30" t="n">
        <f aca="false">A164-A163</f>
        <v>1</v>
      </c>
    </row>
    <row r="164" customFormat="false" ht="15" hidden="false" customHeight="false" outlineLevel="0" collapsed="false">
      <c r="A164" s="28" t="n">
        <v>45280</v>
      </c>
      <c r="B164" s="0" t="n">
        <v>21169.5</v>
      </c>
      <c r="C164" s="0" t="n">
        <v>233.34</v>
      </c>
      <c r="D164" s="29" t="n">
        <f aca="false">LN(B164)</f>
        <v>9.96031674552217</v>
      </c>
      <c r="E164" s="29" t="n">
        <f aca="false">LN(C164)</f>
        <v>5.45249661739571</v>
      </c>
      <c r="F164" s="0" t="n">
        <v>159</v>
      </c>
      <c r="G164" s="0" t="n">
        <v>8</v>
      </c>
      <c r="H164" s="29" t="n">
        <f aca="false">D164-E164</f>
        <v>4.50782012812646</v>
      </c>
      <c r="I164" s="29" t="n">
        <f aca="false">D164-D163</f>
        <v>-0.0168486866911675</v>
      </c>
      <c r="J164" s="29" t="n">
        <f aca="false">E164-E163</f>
        <v>-0.0146770549927098</v>
      </c>
      <c r="K164" s="0" t="n">
        <v>0</v>
      </c>
      <c r="L164" s="0" t="n">
        <v>0</v>
      </c>
      <c r="M164" s="29" t="n">
        <f aca="false">IF(L164=1,J164-Carry!$B$9/Inputs!$B$16,I164)</f>
        <v>-0.0168486866911675</v>
      </c>
      <c r="N164" s="0" t="n">
        <v>0.065</v>
      </c>
      <c r="O164" s="0" t="n">
        <v>0.000125</v>
      </c>
      <c r="P164" s="29" t="n">
        <f aca="false">D164-('2 Hedge ratio'!$B$6+'2 Hedge ratio'!$B$5*E164)</f>
        <v>0.00331860827554209</v>
      </c>
      <c r="Q164" s="29" t="n">
        <f aca="false">D164-('5 Re-specification'!$B$7+'5 Re-specification'!$B$5*E164+'5 Re-specification'!$B$6*F164)</f>
        <v>0.000286659870512906</v>
      </c>
      <c r="R164" s="30" t="n">
        <f aca="false">MIN(F164,Inputs!$B$9)</f>
        <v>159</v>
      </c>
      <c r="S164" s="29" t="n">
        <f aca="true">IF(AND(F164&gt;=1,R164&gt;=Inputs!$B$10),INDEX(LINEST(OFFSET(D164,-R164,0,R164,1),OFFSET(E164,-R164,0,R164,2)),1,1),"")</f>
        <v>-7.29341574615029E-005</v>
      </c>
      <c r="T164" s="29" t="n">
        <f aca="true">IF(AND(F164&gt;=1,R164&gt;=Inputs!$B$10),INDEX(LINEST(OFFSET(D164,-R164,0,R164,1),OFFSET(E164,-R164,0,R164,2)),1,2),"")</f>
        <v>1.02217956682083</v>
      </c>
      <c r="U164" s="29" t="n">
        <f aca="true">IF(AND(F164&gt;=1,R164&gt;=Inputs!$B$10),INDEX(LINEST(OFFSET(D164,-R164,0,R164,1),OFFSET(E164,-R164,0,R164,2)),1,3),"")</f>
        <v>4.3979110289402</v>
      </c>
      <c r="V164" s="29" t="n">
        <f aca="true">IF(AND(F164&gt;=1,R164&gt;=Inputs!$B$10),SQRT(SUMPRODUCT((OFFSET(D164,-R164,0,R164,1)-U164-T164*OFFSET(E164,-R164,0,R164,1)-S164*OFFSET(F164,-R164,0,R164,1))^2)/(R164-3)),"")</f>
        <v>0.00271104219256743</v>
      </c>
      <c r="W164" s="31" t="n">
        <f aca="false">IF(AND(F164&gt;=1,R164&gt;=Inputs!$B$10),(D164-U164-T164*E164-S164*F164)/V164,"")</f>
        <v>0.210847753801664</v>
      </c>
      <c r="X164" s="30" t="n">
        <f aca="false">IF(AB163&lt;&gt;0,AC163+1,0)</f>
        <v>0</v>
      </c>
      <c r="Y164" s="30" t="n">
        <f aca="false">IF(W164="",0,IF(AND(AB163&lt;&gt;0,OR(ABS(W164)&gt;Inputs!$B$7,X164&gt;=Inputs!$B$8,ABS(W164)&lt;Inputs!$B$6)),1,0))</f>
        <v>0</v>
      </c>
      <c r="Z164" s="30" t="n">
        <f aca="false">IF(Y164=1,0,AB163)</f>
        <v>0</v>
      </c>
      <c r="AA164" s="30" t="n">
        <f aca="false">IF(W164="",0,IF(AND(Z164=0,ABS(W164)&gt;Inputs!$B$5,ABS(W164)&lt;=Inputs!$B$7),1,0))</f>
        <v>0</v>
      </c>
      <c r="AB164" s="30" t="n">
        <f aca="false">IF(W164="",0,IF(AA164=1,-SIGN(W164),Z164))</f>
        <v>0</v>
      </c>
      <c r="AC164" s="30" t="n">
        <f aca="false">IF(W164="",0,IF(AA164=1,0,IF(Y164=1,0,X164)))</f>
        <v>0</v>
      </c>
      <c r="AD164" s="30" t="n">
        <f aca="false">IF(AB164=0,0,IF(AB163=AB164,AD163,T164))</f>
        <v>0</v>
      </c>
      <c r="AE164" s="30" t="n">
        <f aca="false">AB164-AB163</f>
        <v>0</v>
      </c>
      <c r="AF164" s="30" t="n">
        <f aca="false">-AD164*AB164</f>
        <v>-0</v>
      </c>
      <c r="AG164" s="30" t="n">
        <f aca="false">AF164-AF163</f>
        <v>0</v>
      </c>
      <c r="AH164" s="30" t="n">
        <f aca="false">MAX(AE164,0)*(Inputs!$B$17+Inputs!$B$18+Inputs!$B$19)+MAX(-AE164,0)*(O164+Inputs!$B$18+Inputs!$B$19)+IF(AND(K164=1,AB164&lt;&gt;0),(Inputs!$B$17+Inputs!$B$18+Inputs!$B$19)+(O164+Inputs!$B$18+Inputs!$B$19),0)+MAX(AG164,0)*(Inputs!$B$20+Inputs!$B$22+Inputs!$B$23)+MAX(-AG164,0)*(Inputs!$B$21+Inputs!$B$22+Inputs!$B$23)</f>
        <v>0</v>
      </c>
      <c r="AI164" s="30" t="n">
        <f aca="false">AB163*(M164-AD163*J164)+AB163*AD163*N164/Inputs!$B$16-AH164</f>
        <v>0</v>
      </c>
      <c r="AJ164" s="30" t="n">
        <f aca="false">MAX(AE164,0)*(Inputs!$B$17+Inputs!$B$24+Inputs!$B$25)+MAX(-AE164,0)*(O164+Inputs!$B$24+Inputs!$B$25)+IF(AND(K164=1,AB164&lt;&gt;0),(Inputs!$B$17+Inputs!$B$24+Inputs!$B$25)+(O164+Inputs!$B$24+Inputs!$B$25),0)+MAX(AG164,0)*(Inputs!$B$20+Inputs!$B$26+Inputs!$B$27)+MAX(-AG164,0)*(Inputs!$B$21+Inputs!$B$26+Inputs!$B$27)</f>
        <v>0</v>
      </c>
      <c r="AK164" s="30" t="n">
        <f aca="false">AB163*(M164-AD163*J164)+AB163*AD163*(N164+Inputs!$B$14)/Inputs!$B$16-AJ164</f>
        <v>0</v>
      </c>
      <c r="AL164" s="30" t="n">
        <f aca="false">IF(AP163&lt;&gt;0,AQ163+1,0)</f>
        <v>0</v>
      </c>
      <c r="AM164" s="30" t="n">
        <f aca="false">IF(W164="",0,IF(AND(AP163&lt;&gt;0,OR(ABS(W164)&gt;Inputs!$B$7,AL164&gt;=Inputs!$B$8,ABS(W164)&lt;Inputs!$B$6)),1,0))</f>
        <v>0</v>
      </c>
      <c r="AN164" s="30" t="n">
        <f aca="false">IF(AM164=1,0,AP163)</f>
        <v>0</v>
      </c>
      <c r="AO164" s="30" t="n">
        <f aca="false">IF(W164="",0,IF(AND(AN164=0,ABS(W164)&gt;Inputs!$B$5,ABS(W164)&lt;=Inputs!$B$7,W164&gt;0),1,0))</f>
        <v>0</v>
      </c>
      <c r="AP164" s="30" t="n">
        <f aca="false">IF(W164="",0,IF(AO164=1,-SIGN(W164),AN164))</f>
        <v>0</v>
      </c>
      <c r="AQ164" s="30" t="n">
        <f aca="false">IF(W164="",0,IF(AO164=1,0,IF(AM164=1,0,AL164)))</f>
        <v>0</v>
      </c>
      <c r="AR164" s="30" t="n">
        <f aca="false">IF(AP164=0,0,IF(AP163=AP164,AR163,T164))</f>
        <v>0</v>
      </c>
      <c r="AS164" s="30" t="n">
        <f aca="false">AP164-AP163</f>
        <v>0</v>
      </c>
      <c r="AT164" s="30" t="n">
        <f aca="false">-AR164*AP164</f>
        <v>-0</v>
      </c>
      <c r="AU164" s="30" t="n">
        <f aca="false">AT164-AT163</f>
        <v>0</v>
      </c>
      <c r="AV164" s="30" t="n">
        <f aca="false">MAX(AS164,0)*(Inputs!$B$17+Inputs!$B$18+Inputs!$B$19)+MAX(-AS164,0)*(O164+Inputs!$B$18+Inputs!$B$19)+IF(AND(K164=1,AP164&lt;&gt;0),(Inputs!$B$17+Inputs!$B$18+Inputs!$B$19)+(O164+Inputs!$B$18+Inputs!$B$19),0)+MAX(AU164,0)*(Inputs!$B$20+Inputs!$B$22+Inputs!$B$23)+MAX(-AU164,0)*(Inputs!$B$21+Inputs!$B$22+Inputs!$B$23)</f>
        <v>0</v>
      </c>
      <c r="AW164" s="30" t="n">
        <f aca="false">AP163*(M164-AR163*J164)+AP163*AR163*N164/Inputs!$B$16-AV164</f>
        <v>0</v>
      </c>
      <c r="AX164" s="30" t="n">
        <f aca="false">AW164-IF(AP163&lt;&gt;0,0.75*AR163*(Inputs!$B$13-N164)/Inputs!$B$16,0)</f>
        <v>0</v>
      </c>
      <c r="AY164" s="30" t="n">
        <f aca="false">MAX(AS164,0)*(Inputs!$B$17+Inputs!$B$18+Inputs!$B$19)+MAX(-AS164,0)*(O164+Inputs!$B$18+Inputs!$B$19)+IF(AND(K164=1,AP164&lt;&gt;0),(Inputs!$B$17+Inputs!$B$18+Inputs!$B$19)+(O164+Inputs!$B$18+Inputs!$B$19),0)</f>
        <v>0</v>
      </c>
      <c r="AZ164" s="30" t="n">
        <f aca="false">AP163*M164-AY164</f>
        <v>-0</v>
      </c>
      <c r="BA164" s="32" t="n">
        <f aca="false">BA163+AI164</f>
        <v>-0.00798192564175577</v>
      </c>
      <c r="BB164" s="30" t="n">
        <f aca="false">MAX(BB163,BA164)</f>
        <v>0</v>
      </c>
      <c r="BC164" s="32" t="n">
        <f aca="false">BA164-BB164</f>
        <v>-0.00798192564175577</v>
      </c>
      <c r="BD164" s="30" t="n">
        <f aca="false">A165-A164</f>
        <v>1</v>
      </c>
    </row>
    <row r="165" customFormat="false" ht="15" hidden="false" customHeight="false" outlineLevel="0" collapsed="false">
      <c r="A165" s="28" t="n">
        <v>45281</v>
      </c>
      <c r="B165" s="0" t="n">
        <v>21377.5</v>
      </c>
      <c r="C165" s="0" t="n">
        <v>234.98</v>
      </c>
      <c r="D165" s="29" t="n">
        <f aca="false">LN(B165)</f>
        <v>9.97009424603011</v>
      </c>
      <c r="E165" s="29" t="n">
        <f aca="false">LN(C165)</f>
        <v>5.45950040413943</v>
      </c>
      <c r="F165" s="0" t="n">
        <v>160</v>
      </c>
      <c r="G165" s="0" t="n">
        <v>7</v>
      </c>
      <c r="H165" s="29" t="n">
        <f aca="false">D165-E165</f>
        <v>4.51059384189068</v>
      </c>
      <c r="I165" s="29" t="n">
        <f aca="false">D165-D164</f>
        <v>0.0097775005079388</v>
      </c>
      <c r="J165" s="29" t="n">
        <f aca="false">E165-E164</f>
        <v>0.0070037867437156</v>
      </c>
      <c r="K165" s="0" t="n">
        <v>0</v>
      </c>
      <c r="L165" s="0" t="n">
        <v>0</v>
      </c>
      <c r="M165" s="29" t="n">
        <f aca="false">IF(L165=1,J165-Carry!$B$9/Inputs!$B$16,I165)</f>
        <v>0.0097775005079388</v>
      </c>
      <c r="N165" s="0" t="n">
        <v>0.065</v>
      </c>
      <c r="O165" s="0" t="n">
        <v>0.000125</v>
      </c>
      <c r="P165" s="29" t="n">
        <f aca="false">D165-('2 Hedge ratio'!$B$6+'2 Hedge ratio'!$B$5*E165)</f>
        <v>0.00667975233150564</v>
      </c>
      <c r="Q165" s="29" t="n">
        <f aca="false">D165-('5 Re-specification'!$B$7+'5 Re-specification'!$B$5*E165+'5 Re-specification'!$B$6*F165)</f>
        <v>0.00312652792870693</v>
      </c>
      <c r="R165" s="30" t="n">
        <f aca="false">MIN(F165,Inputs!$B$9)</f>
        <v>160</v>
      </c>
      <c r="S165" s="29" t="n">
        <f aca="true">IF(AND(F165&gt;=1,R165&gt;=Inputs!$B$10),INDEX(LINEST(OFFSET(D165,-R165,0,R165,1),OFFSET(E165,-R165,0,R165,2)),1,1),"")</f>
        <v>-7.29762491421914E-005</v>
      </c>
      <c r="T165" s="29" t="n">
        <f aca="true">IF(AND(F165&gt;=1,R165&gt;=Inputs!$B$10),INDEX(LINEST(OFFSET(D165,-R165,0,R165,1),OFFSET(E165,-R165,0,R165,2)),1,2),"")</f>
        <v>1.02242515900381</v>
      </c>
      <c r="U165" s="29" t="n">
        <f aca="true">IF(AND(F165&gt;=1,R165&gt;=Inputs!$B$10),INDEX(LINEST(OFFSET(D165,-R165,0,R165,1),OFFSET(E165,-R165,0,R165,2)),1,3),"")</f>
        <v>4.39660044984156</v>
      </c>
      <c r="V165" s="29" t="n">
        <f aca="true">IF(AND(F165&gt;=1,R165&gt;=Inputs!$B$10),SQRT(SUMPRODUCT((OFFSET(D165,-R165,0,R165,1)-U165-T165*OFFSET(E165,-R165,0,R165,1)-S165*OFFSET(F165,-R165,0,R165,1))^2)/(R165-3)),"")</f>
        <v>0.0027027648479193</v>
      </c>
      <c r="W165" s="31" t="n">
        <f aca="false">IF(AND(F165&gt;=1,R165&gt;=Inputs!$B$10),(D165-U165-T165*E165-S165*F165)/V165,"")</f>
        <v>1.19856052966337</v>
      </c>
      <c r="X165" s="30" t="n">
        <f aca="false">IF(AB164&lt;&gt;0,AC164+1,0)</f>
        <v>0</v>
      </c>
      <c r="Y165" s="30" t="n">
        <f aca="false">IF(W165="",0,IF(AND(AB164&lt;&gt;0,OR(ABS(W165)&gt;Inputs!$B$7,X165&gt;=Inputs!$B$8,ABS(W165)&lt;Inputs!$B$6)),1,0))</f>
        <v>0</v>
      </c>
      <c r="Z165" s="30" t="n">
        <f aca="false">IF(Y165=1,0,AB164)</f>
        <v>0</v>
      </c>
      <c r="AA165" s="30" t="n">
        <f aca="false">IF(W165="",0,IF(AND(Z165=0,ABS(W165)&gt;Inputs!$B$5,ABS(W165)&lt;=Inputs!$B$7),1,0))</f>
        <v>0</v>
      </c>
      <c r="AB165" s="30" t="n">
        <f aca="false">IF(W165="",0,IF(AA165=1,-SIGN(W165),Z165))</f>
        <v>0</v>
      </c>
      <c r="AC165" s="30" t="n">
        <f aca="false">IF(W165="",0,IF(AA165=1,0,IF(Y165=1,0,X165)))</f>
        <v>0</v>
      </c>
      <c r="AD165" s="30" t="n">
        <f aca="false">IF(AB165=0,0,IF(AB164=AB165,AD164,T165))</f>
        <v>0</v>
      </c>
      <c r="AE165" s="30" t="n">
        <f aca="false">AB165-AB164</f>
        <v>0</v>
      </c>
      <c r="AF165" s="30" t="n">
        <f aca="false">-AD165*AB165</f>
        <v>-0</v>
      </c>
      <c r="AG165" s="30" t="n">
        <f aca="false">AF165-AF164</f>
        <v>0</v>
      </c>
      <c r="AH165" s="30" t="n">
        <f aca="false">MAX(AE165,0)*(Inputs!$B$17+Inputs!$B$18+Inputs!$B$19)+MAX(-AE165,0)*(O165+Inputs!$B$18+Inputs!$B$19)+IF(AND(K165=1,AB165&lt;&gt;0),(Inputs!$B$17+Inputs!$B$18+Inputs!$B$19)+(O165+Inputs!$B$18+Inputs!$B$19),0)+MAX(AG165,0)*(Inputs!$B$20+Inputs!$B$22+Inputs!$B$23)+MAX(-AG165,0)*(Inputs!$B$21+Inputs!$B$22+Inputs!$B$23)</f>
        <v>0</v>
      </c>
      <c r="AI165" s="30" t="n">
        <f aca="false">AB164*(M165-AD164*J165)+AB164*AD164*N165/Inputs!$B$16-AH165</f>
        <v>0</v>
      </c>
      <c r="AJ165" s="30" t="n">
        <f aca="false">MAX(AE165,0)*(Inputs!$B$17+Inputs!$B$24+Inputs!$B$25)+MAX(-AE165,0)*(O165+Inputs!$B$24+Inputs!$B$25)+IF(AND(K165=1,AB165&lt;&gt;0),(Inputs!$B$17+Inputs!$B$24+Inputs!$B$25)+(O165+Inputs!$B$24+Inputs!$B$25),0)+MAX(AG165,0)*(Inputs!$B$20+Inputs!$B$26+Inputs!$B$27)+MAX(-AG165,0)*(Inputs!$B$21+Inputs!$B$26+Inputs!$B$27)</f>
        <v>0</v>
      </c>
      <c r="AK165" s="30" t="n">
        <f aca="false">AB164*(M165-AD164*J165)+AB164*AD164*(N165+Inputs!$B$14)/Inputs!$B$16-AJ165</f>
        <v>0</v>
      </c>
      <c r="AL165" s="30" t="n">
        <f aca="false">IF(AP164&lt;&gt;0,AQ164+1,0)</f>
        <v>0</v>
      </c>
      <c r="AM165" s="30" t="n">
        <f aca="false">IF(W165="",0,IF(AND(AP164&lt;&gt;0,OR(ABS(W165)&gt;Inputs!$B$7,AL165&gt;=Inputs!$B$8,ABS(W165)&lt;Inputs!$B$6)),1,0))</f>
        <v>0</v>
      </c>
      <c r="AN165" s="30" t="n">
        <f aca="false">IF(AM165=1,0,AP164)</f>
        <v>0</v>
      </c>
      <c r="AO165" s="30" t="n">
        <f aca="false">IF(W165="",0,IF(AND(AN165=0,ABS(W165)&gt;Inputs!$B$5,ABS(W165)&lt;=Inputs!$B$7,W165&gt;0),1,0))</f>
        <v>0</v>
      </c>
      <c r="AP165" s="30" t="n">
        <f aca="false">IF(W165="",0,IF(AO165=1,-SIGN(W165),AN165))</f>
        <v>0</v>
      </c>
      <c r="AQ165" s="30" t="n">
        <f aca="false">IF(W165="",0,IF(AO165=1,0,IF(AM165=1,0,AL165)))</f>
        <v>0</v>
      </c>
      <c r="AR165" s="30" t="n">
        <f aca="false">IF(AP165=0,0,IF(AP164=AP165,AR164,T165))</f>
        <v>0</v>
      </c>
      <c r="AS165" s="30" t="n">
        <f aca="false">AP165-AP164</f>
        <v>0</v>
      </c>
      <c r="AT165" s="30" t="n">
        <f aca="false">-AR165*AP165</f>
        <v>-0</v>
      </c>
      <c r="AU165" s="30" t="n">
        <f aca="false">AT165-AT164</f>
        <v>0</v>
      </c>
      <c r="AV165" s="30" t="n">
        <f aca="false">MAX(AS165,0)*(Inputs!$B$17+Inputs!$B$18+Inputs!$B$19)+MAX(-AS165,0)*(O165+Inputs!$B$18+Inputs!$B$19)+IF(AND(K165=1,AP165&lt;&gt;0),(Inputs!$B$17+Inputs!$B$18+Inputs!$B$19)+(O165+Inputs!$B$18+Inputs!$B$19),0)+MAX(AU165,0)*(Inputs!$B$20+Inputs!$B$22+Inputs!$B$23)+MAX(-AU165,0)*(Inputs!$B$21+Inputs!$B$22+Inputs!$B$23)</f>
        <v>0</v>
      </c>
      <c r="AW165" s="30" t="n">
        <f aca="false">AP164*(M165-AR164*J165)+AP164*AR164*N165/Inputs!$B$16-AV165</f>
        <v>0</v>
      </c>
      <c r="AX165" s="30" t="n">
        <f aca="false">AW165-IF(AP164&lt;&gt;0,0.75*AR164*(Inputs!$B$13-N165)/Inputs!$B$16,0)</f>
        <v>0</v>
      </c>
      <c r="AY165" s="30" t="n">
        <f aca="false">MAX(AS165,0)*(Inputs!$B$17+Inputs!$B$18+Inputs!$B$19)+MAX(-AS165,0)*(O165+Inputs!$B$18+Inputs!$B$19)+IF(AND(K165=1,AP165&lt;&gt;0),(Inputs!$B$17+Inputs!$B$18+Inputs!$B$19)+(O165+Inputs!$B$18+Inputs!$B$19),0)</f>
        <v>0</v>
      </c>
      <c r="AZ165" s="30" t="n">
        <f aca="false">AP164*M165-AY165</f>
        <v>0</v>
      </c>
      <c r="BA165" s="32" t="n">
        <f aca="false">BA164+AI165</f>
        <v>-0.00798192564175577</v>
      </c>
      <c r="BB165" s="30" t="n">
        <f aca="false">MAX(BB164,BA165)</f>
        <v>0</v>
      </c>
      <c r="BC165" s="32" t="n">
        <f aca="false">BA165-BB165</f>
        <v>-0.00798192564175577</v>
      </c>
      <c r="BD165" s="30" t="n">
        <f aca="false">A166-A165</f>
        <v>1</v>
      </c>
    </row>
    <row r="166" customFormat="false" ht="15" hidden="false" customHeight="false" outlineLevel="0" collapsed="false">
      <c r="A166" s="28" t="n">
        <v>45282</v>
      </c>
      <c r="B166" s="0" t="n">
        <v>21392.75</v>
      </c>
      <c r="C166" s="0" t="n">
        <v>235.65</v>
      </c>
      <c r="D166" s="29" t="n">
        <f aca="false">LN(B166)</f>
        <v>9.9708073585626</v>
      </c>
      <c r="E166" s="29" t="n">
        <f aca="false">LN(C166)</f>
        <v>5.46234765336974</v>
      </c>
      <c r="F166" s="0" t="n">
        <v>161</v>
      </c>
      <c r="G166" s="0" t="n">
        <v>6</v>
      </c>
      <c r="H166" s="29" t="n">
        <f aca="false">D166-E166</f>
        <v>4.50845970519286</v>
      </c>
      <c r="I166" s="29" t="n">
        <f aca="false">D166-D165</f>
        <v>0.000713112532485738</v>
      </c>
      <c r="J166" s="29" t="n">
        <f aca="false">E166-E165</f>
        <v>0.00284724923031376</v>
      </c>
      <c r="K166" s="0" t="n">
        <v>0</v>
      </c>
      <c r="L166" s="0" t="n">
        <v>0</v>
      </c>
      <c r="M166" s="29" t="n">
        <f aca="false">IF(L166=1,J166-Carry!$B$9/Inputs!$B$16,I166)</f>
        <v>0.000713112532485738</v>
      </c>
      <c r="N166" s="0" t="n">
        <v>0.065</v>
      </c>
      <c r="O166" s="0" t="n">
        <v>0.000125</v>
      </c>
      <c r="P166" s="29" t="n">
        <f aca="false">D166-('2 Hedge ratio'!$B$6+'2 Hedge ratio'!$B$5*E166)</f>
        <v>0.0047844236538559</v>
      </c>
      <c r="Q166" s="29" t="n">
        <f aca="false">D166-('5 Re-specification'!$B$7+'5 Re-specification'!$B$5*E166+'5 Re-specification'!$B$6*F166)</f>
        <v>0.00104594913782918</v>
      </c>
      <c r="R166" s="30" t="n">
        <f aca="false">MIN(F166,Inputs!$B$9)</f>
        <v>161</v>
      </c>
      <c r="S166" s="29" t="n">
        <f aca="true">IF(AND(F166&gt;=1,R166&gt;=Inputs!$B$10),INDEX(LINEST(OFFSET(D166,-R166,0,R166,1),OFFSET(E166,-R166,0,R166,2)),1,1),"")</f>
        <v>-7.33872091627522E-005</v>
      </c>
      <c r="T166" s="29" t="n">
        <f aca="true">IF(AND(F166&gt;=1,R166&gt;=Inputs!$B$10),INDEX(LINEST(OFFSET(D166,-R166,0,R166,1),OFFSET(E166,-R166,0,R166,2)),1,2),"")</f>
        <v>1.02402620755198</v>
      </c>
      <c r="U166" s="29" t="n">
        <f aca="true">IF(AND(F166&gt;=1,R166&gt;=Inputs!$B$10),INDEX(LINEST(OFFSET(D166,-R166,0,R166,1),OFFSET(E166,-R166,0,R166,2)),1,3),"")</f>
        <v>4.38806355631297</v>
      </c>
      <c r="V166" s="29" t="n">
        <f aca="true">IF(AND(F166&gt;=1,R166&gt;=Inputs!$B$10),SQRT(SUMPRODUCT((OFFSET(D166,-R166,0,R166,1)-U166-T166*OFFSET(E166,-R166,0,R166,1)-S166*OFFSET(F166,-R166,0,R166,1))^2)/(R166-3)),"")</f>
        <v>0.00270597228077866</v>
      </c>
      <c r="W166" s="31" t="n">
        <f aca="false">IF(AND(F166&gt;=1,R166&gt;=Inputs!$B$10),(D166-U166-T166*E166-S166*F166)/V166,"")</f>
        <v>0.359202169606454</v>
      </c>
      <c r="X166" s="30" t="n">
        <f aca="false">IF(AB165&lt;&gt;0,AC165+1,0)</f>
        <v>0</v>
      </c>
      <c r="Y166" s="30" t="n">
        <f aca="false">IF(W166="",0,IF(AND(AB165&lt;&gt;0,OR(ABS(W166)&gt;Inputs!$B$7,X166&gt;=Inputs!$B$8,ABS(W166)&lt;Inputs!$B$6)),1,0))</f>
        <v>0</v>
      </c>
      <c r="Z166" s="30" t="n">
        <f aca="false">IF(Y166=1,0,AB165)</f>
        <v>0</v>
      </c>
      <c r="AA166" s="30" t="n">
        <f aca="false">IF(W166="",0,IF(AND(Z166=0,ABS(W166)&gt;Inputs!$B$5,ABS(W166)&lt;=Inputs!$B$7),1,0))</f>
        <v>0</v>
      </c>
      <c r="AB166" s="30" t="n">
        <f aca="false">IF(W166="",0,IF(AA166=1,-SIGN(W166),Z166))</f>
        <v>0</v>
      </c>
      <c r="AC166" s="30" t="n">
        <f aca="false">IF(W166="",0,IF(AA166=1,0,IF(Y166=1,0,X166)))</f>
        <v>0</v>
      </c>
      <c r="AD166" s="30" t="n">
        <f aca="false">IF(AB166=0,0,IF(AB165=AB166,AD165,T166))</f>
        <v>0</v>
      </c>
      <c r="AE166" s="30" t="n">
        <f aca="false">AB166-AB165</f>
        <v>0</v>
      </c>
      <c r="AF166" s="30" t="n">
        <f aca="false">-AD166*AB166</f>
        <v>-0</v>
      </c>
      <c r="AG166" s="30" t="n">
        <f aca="false">AF166-AF165</f>
        <v>0</v>
      </c>
      <c r="AH166" s="30" t="n">
        <f aca="false">MAX(AE166,0)*(Inputs!$B$17+Inputs!$B$18+Inputs!$B$19)+MAX(-AE166,0)*(O166+Inputs!$B$18+Inputs!$B$19)+IF(AND(K166=1,AB166&lt;&gt;0),(Inputs!$B$17+Inputs!$B$18+Inputs!$B$19)+(O166+Inputs!$B$18+Inputs!$B$19),0)+MAX(AG166,0)*(Inputs!$B$20+Inputs!$B$22+Inputs!$B$23)+MAX(-AG166,0)*(Inputs!$B$21+Inputs!$B$22+Inputs!$B$23)</f>
        <v>0</v>
      </c>
      <c r="AI166" s="30" t="n">
        <f aca="false">AB165*(M166-AD165*J166)+AB165*AD165*N166/Inputs!$B$16-AH166</f>
        <v>0</v>
      </c>
      <c r="AJ166" s="30" t="n">
        <f aca="false">MAX(AE166,0)*(Inputs!$B$17+Inputs!$B$24+Inputs!$B$25)+MAX(-AE166,0)*(O166+Inputs!$B$24+Inputs!$B$25)+IF(AND(K166=1,AB166&lt;&gt;0),(Inputs!$B$17+Inputs!$B$24+Inputs!$B$25)+(O166+Inputs!$B$24+Inputs!$B$25),0)+MAX(AG166,0)*(Inputs!$B$20+Inputs!$B$26+Inputs!$B$27)+MAX(-AG166,0)*(Inputs!$B$21+Inputs!$B$26+Inputs!$B$27)</f>
        <v>0</v>
      </c>
      <c r="AK166" s="30" t="n">
        <f aca="false">AB165*(M166-AD165*J166)+AB165*AD165*(N166+Inputs!$B$14)/Inputs!$B$16-AJ166</f>
        <v>0</v>
      </c>
      <c r="AL166" s="30" t="n">
        <f aca="false">IF(AP165&lt;&gt;0,AQ165+1,0)</f>
        <v>0</v>
      </c>
      <c r="AM166" s="30" t="n">
        <f aca="false">IF(W166="",0,IF(AND(AP165&lt;&gt;0,OR(ABS(W166)&gt;Inputs!$B$7,AL166&gt;=Inputs!$B$8,ABS(W166)&lt;Inputs!$B$6)),1,0))</f>
        <v>0</v>
      </c>
      <c r="AN166" s="30" t="n">
        <f aca="false">IF(AM166=1,0,AP165)</f>
        <v>0</v>
      </c>
      <c r="AO166" s="30" t="n">
        <f aca="false">IF(W166="",0,IF(AND(AN166=0,ABS(W166)&gt;Inputs!$B$5,ABS(W166)&lt;=Inputs!$B$7,W166&gt;0),1,0))</f>
        <v>0</v>
      </c>
      <c r="AP166" s="30" t="n">
        <f aca="false">IF(W166="",0,IF(AO166=1,-SIGN(W166),AN166))</f>
        <v>0</v>
      </c>
      <c r="AQ166" s="30" t="n">
        <f aca="false">IF(W166="",0,IF(AO166=1,0,IF(AM166=1,0,AL166)))</f>
        <v>0</v>
      </c>
      <c r="AR166" s="30" t="n">
        <f aca="false">IF(AP166=0,0,IF(AP165=AP166,AR165,T166))</f>
        <v>0</v>
      </c>
      <c r="AS166" s="30" t="n">
        <f aca="false">AP166-AP165</f>
        <v>0</v>
      </c>
      <c r="AT166" s="30" t="n">
        <f aca="false">-AR166*AP166</f>
        <v>-0</v>
      </c>
      <c r="AU166" s="30" t="n">
        <f aca="false">AT166-AT165</f>
        <v>0</v>
      </c>
      <c r="AV166" s="30" t="n">
        <f aca="false">MAX(AS166,0)*(Inputs!$B$17+Inputs!$B$18+Inputs!$B$19)+MAX(-AS166,0)*(O166+Inputs!$B$18+Inputs!$B$19)+IF(AND(K166=1,AP166&lt;&gt;0),(Inputs!$B$17+Inputs!$B$18+Inputs!$B$19)+(O166+Inputs!$B$18+Inputs!$B$19),0)+MAX(AU166,0)*(Inputs!$B$20+Inputs!$B$22+Inputs!$B$23)+MAX(-AU166,0)*(Inputs!$B$21+Inputs!$B$22+Inputs!$B$23)</f>
        <v>0</v>
      </c>
      <c r="AW166" s="30" t="n">
        <f aca="false">AP165*(M166-AR165*J166)+AP165*AR165*N166/Inputs!$B$16-AV166</f>
        <v>0</v>
      </c>
      <c r="AX166" s="30" t="n">
        <f aca="false">AW166-IF(AP165&lt;&gt;0,0.75*AR165*(Inputs!$B$13-N166)/Inputs!$B$16,0)</f>
        <v>0</v>
      </c>
      <c r="AY166" s="30" t="n">
        <f aca="false">MAX(AS166,0)*(Inputs!$B$17+Inputs!$B$18+Inputs!$B$19)+MAX(-AS166,0)*(O166+Inputs!$B$18+Inputs!$B$19)+IF(AND(K166=1,AP166&lt;&gt;0),(Inputs!$B$17+Inputs!$B$18+Inputs!$B$19)+(O166+Inputs!$B$18+Inputs!$B$19),0)</f>
        <v>0</v>
      </c>
      <c r="AZ166" s="30" t="n">
        <f aca="false">AP165*M166-AY166</f>
        <v>0</v>
      </c>
      <c r="BA166" s="32" t="n">
        <f aca="false">BA165+AI166</f>
        <v>-0.00798192564175577</v>
      </c>
      <c r="BB166" s="30" t="n">
        <f aca="false">MAX(BB165,BA166)</f>
        <v>0</v>
      </c>
      <c r="BC166" s="32" t="n">
        <f aca="false">BA166-BB166</f>
        <v>-0.00798192564175577</v>
      </c>
      <c r="BD166" s="30" t="n">
        <f aca="false">A167-A166</f>
        <v>4</v>
      </c>
    </row>
    <row r="167" customFormat="false" ht="15" hidden="false" customHeight="false" outlineLevel="0" collapsed="false">
      <c r="A167" s="28" t="n">
        <v>45286</v>
      </c>
      <c r="B167" s="0" t="n">
        <v>21499.15</v>
      </c>
      <c r="C167" s="0" t="n">
        <v>237.1</v>
      </c>
      <c r="D167" s="29" t="n">
        <f aca="false">LN(B167)</f>
        <v>9.97576867845051</v>
      </c>
      <c r="E167" s="29" t="n">
        <f aca="false">LN(C167)</f>
        <v>5.46848199307136</v>
      </c>
      <c r="F167" s="0" t="n">
        <v>162</v>
      </c>
      <c r="G167" s="0" t="n">
        <v>2</v>
      </c>
      <c r="H167" s="29" t="n">
        <f aca="false">D167-E167</f>
        <v>4.50728668537915</v>
      </c>
      <c r="I167" s="29" t="n">
        <f aca="false">D167-D166</f>
        <v>0.00496131988791326</v>
      </c>
      <c r="J167" s="29" t="n">
        <f aca="false">E167-E166</f>
        <v>0.00613433970162003</v>
      </c>
      <c r="K167" s="0" t="n">
        <v>0</v>
      </c>
      <c r="L167" s="0" t="n">
        <v>0</v>
      </c>
      <c r="M167" s="29" t="n">
        <f aca="false">IF(L167=1,J167-Carry!$B$9/Inputs!$B$16,I167)</f>
        <v>0.00496131988791326</v>
      </c>
      <c r="N167" s="0" t="n">
        <v>0.065</v>
      </c>
      <c r="O167" s="0" t="n">
        <v>0.000125</v>
      </c>
      <c r="P167" s="29" t="n">
        <f aca="false">D167-('2 Hedge ratio'!$B$6+'2 Hedge ratio'!$B$5*E167)</f>
        <v>0.00412591079080649</v>
      </c>
      <c r="Q167" s="29" t="n">
        <f aca="false">D167-('5 Re-specification'!$B$7+'5 Re-specification'!$B$5*E167+'5 Re-specification'!$B$6*F167)</f>
        <v>-6.35512411832906E-005</v>
      </c>
      <c r="R167" s="30" t="n">
        <f aca="false">MIN(F167,Inputs!$B$9)</f>
        <v>162</v>
      </c>
      <c r="S167" s="29" t="n">
        <f aca="true">IF(AND(F167&gt;=1,R167&gt;=Inputs!$B$10),INDEX(LINEST(OFFSET(D167,-R167,0,R167,1),OFFSET(E167,-R167,0,R167,2)),1,1),"")</f>
        <v>-7.35217875663804E-005</v>
      </c>
      <c r="T167" s="29" t="n">
        <f aca="true">IF(AND(F167&gt;=1,R167&gt;=Inputs!$B$10),INDEX(LINEST(OFFSET(D167,-R167,0,R167,1),OFFSET(E167,-R167,0,R167,2)),1,2),"")</f>
        <v>1.02451248975193</v>
      </c>
      <c r="U167" s="29" t="n">
        <f aca="true">IF(AND(F167&gt;=1,R167&gt;=Inputs!$B$10),INDEX(LINEST(OFFSET(D167,-R167,0,R167,1),OFFSET(E167,-R167,0,R167,2)),1,3),"")</f>
        <v>4.38547111345181</v>
      </c>
      <c r="V167" s="29" t="n">
        <f aca="true">IF(AND(F167&gt;=1,R167&gt;=Inputs!$B$10),SQRT(SUMPRODUCT((OFFSET(D167,-R167,0,R167,1)-U167-T167*OFFSET(E167,-R167,0,R167,1)-S167*OFFSET(F167,-R167,0,R167,1))^2)/(R167-3)),"")</f>
        <v>0.00269850296243557</v>
      </c>
      <c r="W167" s="31" t="n">
        <f aca="false">IF(AND(F167&gt;=1,R167&gt;=Inputs!$B$10),(D167-U167-T167*E167-S167*F167)/V167,"")</f>
        <v>-0.118586974003687</v>
      </c>
      <c r="X167" s="30" t="n">
        <f aca="false">IF(AB166&lt;&gt;0,AC166+1,0)</f>
        <v>0</v>
      </c>
      <c r="Y167" s="30" t="n">
        <f aca="false">IF(W167="",0,IF(AND(AB166&lt;&gt;0,OR(ABS(W167)&gt;Inputs!$B$7,X167&gt;=Inputs!$B$8,ABS(W167)&lt;Inputs!$B$6)),1,0))</f>
        <v>0</v>
      </c>
      <c r="Z167" s="30" t="n">
        <f aca="false">IF(Y167=1,0,AB166)</f>
        <v>0</v>
      </c>
      <c r="AA167" s="30" t="n">
        <f aca="false">IF(W167="",0,IF(AND(Z167=0,ABS(W167)&gt;Inputs!$B$5,ABS(W167)&lt;=Inputs!$B$7),1,0))</f>
        <v>0</v>
      </c>
      <c r="AB167" s="30" t="n">
        <f aca="false">IF(W167="",0,IF(AA167=1,-SIGN(W167),Z167))</f>
        <v>0</v>
      </c>
      <c r="AC167" s="30" t="n">
        <f aca="false">IF(W167="",0,IF(AA167=1,0,IF(Y167=1,0,X167)))</f>
        <v>0</v>
      </c>
      <c r="AD167" s="30" t="n">
        <f aca="false">IF(AB167=0,0,IF(AB166=AB167,AD166,T167))</f>
        <v>0</v>
      </c>
      <c r="AE167" s="30" t="n">
        <f aca="false">AB167-AB166</f>
        <v>0</v>
      </c>
      <c r="AF167" s="30" t="n">
        <f aca="false">-AD167*AB167</f>
        <v>-0</v>
      </c>
      <c r="AG167" s="30" t="n">
        <f aca="false">AF167-AF166</f>
        <v>0</v>
      </c>
      <c r="AH167" s="30" t="n">
        <f aca="false">MAX(AE167,0)*(Inputs!$B$17+Inputs!$B$18+Inputs!$B$19)+MAX(-AE167,0)*(O167+Inputs!$B$18+Inputs!$B$19)+IF(AND(K167=1,AB167&lt;&gt;0),(Inputs!$B$17+Inputs!$B$18+Inputs!$B$19)+(O167+Inputs!$B$18+Inputs!$B$19),0)+MAX(AG167,0)*(Inputs!$B$20+Inputs!$B$22+Inputs!$B$23)+MAX(-AG167,0)*(Inputs!$B$21+Inputs!$B$22+Inputs!$B$23)</f>
        <v>0</v>
      </c>
      <c r="AI167" s="30" t="n">
        <f aca="false">AB166*(M167-AD166*J167)+AB166*AD166*N167/Inputs!$B$16-AH167</f>
        <v>0</v>
      </c>
      <c r="AJ167" s="30" t="n">
        <f aca="false">MAX(AE167,0)*(Inputs!$B$17+Inputs!$B$24+Inputs!$B$25)+MAX(-AE167,0)*(O167+Inputs!$B$24+Inputs!$B$25)+IF(AND(K167=1,AB167&lt;&gt;0),(Inputs!$B$17+Inputs!$B$24+Inputs!$B$25)+(O167+Inputs!$B$24+Inputs!$B$25),0)+MAX(AG167,0)*(Inputs!$B$20+Inputs!$B$26+Inputs!$B$27)+MAX(-AG167,0)*(Inputs!$B$21+Inputs!$B$26+Inputs!$B$27)</f>
        <v>0</v>
      </c>
      <c r="AK167" s="30" t="n">
        <f aca="false">AB166*(M167-AD166*J167)+AB166*AD166*(N167+Inputs!$B$14)/Inputs!$B$16-AJ167</f>
        <v>0</v>
      </c>
      <c r="AL167" s="30" t="n">
        <f aca="false">IF(AP166&lt;&gt;0,AQ166+1,0)</f>
        <v>0</v>
      </c>
      <c r="AM167" s="30" t="n">
        <f aca="false">IF(W167="",0,IF(AND(AP166&lt;&gt;0,OR(ABS(W167)&gt;Inputs!$B$7,AL167&gt;=Inputs!$B$8,ABS(W167)&lt;Inputs!$B$6)),1,0))</f>
        <v>0</v>
      </c>
      <c r="AN167" s="30" t="n">
        <f aca="false">IF(AM167=1,0,AP166)</f>
        <v>0</v>
      </c>
      <c r="AO167" s="30" t="n">
        <f aca="false">IF(W167="",0,IF(AND(AN167=0,ABS(W167)&gt;Inputs!$B$5,ABS(W167)&lt;=Inputs!$B$7,W167&gt;0),1,0))</f>
        <v>0</v>
      </c>
      <c r="AP167" s="30" t="n">
        <f aca="false">IF(W167="",0,IF(AO167=1,-SIGN(W167),AN167))</f>
        <v>0</v>
      </c>
      <c r="AQ167" s="30" t="n">
        <f aca="false">IF(W167="",0,IF(AO167=1,0,IF(AM167=1,0,AL167)))</f>
        <v>0</v>
      </c>
      <c r="AR167" s="30" t="n">
        <f aca="false">IF(AP167=0,0,IF(AP166=AP167,AR166,T167))</f>
        <v>0</v>
      </c>
      <c r="AS167" s="30" t="n">
        <f aca="false">AP167-AP166</f>
        <v>0</v>
      </c>
      <c r="AT167" s="30" t="n">
        <f aca="false">-AR167*AP167</f>
        <v>-0</v>
      </c>
      <c r="AU167" s="30" t="n">
        <f aca="false">AT167-AT166</f>
        <v>0</v>
      </c>
      <c r="AV167" s="30" t="n">
        <f aca="false">MAX(AS167,0)*(Inputs!$B$17+Inputs!$B$18+Inputs!$B$19)+MAX(-AS167,0)*(O167+Inputs!$B$18+Inputs!$B$19)+IF(AND(K167=1,AP167&lt;&gt;0),(Inputs!$B$17+Inputs!$B$18+Inputs!$B$19)+(O167+Inputs!$B$18+Inputs!$B$19),0)+MAX(AU167,0)*(Inputs!$B$20+Inputs!$B$22+Inputs!$B$23)+MAX(-AU167,0)*(Inputs!$B$21+Inputs!$B$22+Inputs!$B$23)</f>
        <v>0</v>
      </c>
      <c r="AW167" s="30" t="n">
        <f aca="false">AP166*(M167-AR166*J167)+AP166*AR166*N167/Inputs!$B$16-AV167</f>
        <v>0</v>
      </c>
      <c r="AX167" s="30" t="n">
        <f aca="false">AW167-IF(AP166&lt;&gt;0,0.75*AR166*(Inputs!$B$13-N167)/Inputs!$B$16,0)</f>
        <v>0</v>
      </c>
      <c r="AY167" s="30" t="n">
        <f aca="false">MAX(AS167,0)*(Inputs!$B$17+Inputs!$B$18+Inputs!$B$19)+MAX(-AS167,0)*(O167+Inputs!$B$18+Inputs!$B$19)+IF(AND(K167=1,AP167&lt;&gt;0),(Inputs!$B$17+Inputs!$B$18+Inputs!$B$19)+(O167+Inputs!$B$18+Inputs!$B$19),0)</f>
        <v>0</v>
      </c>
      <c r="AZ167" s="30" t="n">
        <f aca="false">AP166*M167-AY167</f>
        <v>0</v>
      </c>
      <c r="BA167" s="32" t="n">
        <f aca="false">BA166+AI167</f>
        <v>-0.00798192564175577</v>
      </c>
      <c r="BB167" s="30" t="n">
        <f aca="false">MAX(BB166,BA167)</f>
        <v>0</v>
      </c>
      <c r="BC167" s="32" t="n">
        <f aca="false">BA167-BB167</f>
        <v>-0.00798192564175577</v>
      </c>
      <c r="BD167" s="30" t="n">
        <f aca="false">A168-A167</f>
        <v>1</v>
      </c>
    </row>
    <row r="168" customFormat="false" ht="15" hidden="false" customHeight="false" outlineLevel="0" collapsed="false">
      <c r="A168" s="28" t="n">
        <v>45287</v>
      </c>
      <c r="B168" s="0" t="n">
        <v>21687.3</v>
      </c>
      <c r="C168" s="0" t="n">
        <v>239.4</v>
      </c>
      <c r="D168" s="29" t="n">
        <f aca="false">LN(B168)</f>
        <v>9.98448211474468</v>
      </c>
      <c r="E168" s="29" t="n">
        <f aca="false">LN(C168)</f>
        <v>5.47813579312387</v>
      </c>
      <c r="F168" s="0" t="n">
        <v>163</v>
      </c>
      <c r="G168" s="0" t="n">
        <v>1</v>
      </c>
      <c r="H168" s="29" t="n">
        <f aca="false">D168-E168</f>
        <v>4.5063463216208</v>
      </c>
      <c r="I168" s="29" t="n">
        <f aca="false">D168-D167</f>
        <v>0.00871343629416721</v>
      </c>
      <c r="J168" s="29" t="n">
        <f aca="false">E168-E167</f>
        <v>0.00965380005251326</v>
      </c>
      <c r="K168" s="0" t="n">
        <v>0</v>
      </c>
      <c r="L168" s="0" t="n">
        <v>0</v>
      </c>
      <c r="M168" s="29" t="n">
        <f aca="false">IF(L168=1,J168-Carry!$B$9/Inputs!$B$16,I168)</f>
        <v>0.00871343629416721</v>
      </c>
      <c r="N168" s="0" t="n">
        <v>0.065</v>
      </c>
      <c r="O168" s="0" t="n">
        <v>0.000125</v>
      </c>
      <c r="P168" s="29" t="n">
        <f aca="false">D168-('2 Hedge ratio'!$B$6+'2 Hedge ratio'!$B$5*E168)</f>
        <v>0.00399524252844685</v>
      </c>
      <c r="Q168" s="29" t="n">
        <f aca="false">D168-('5 Re-specification'!$B$7+'5 Re-specification'!$B$5*E168+'5 Re-specification'!$B$6*F168)</f>
        <v>-0.000929729840169813</v>
      </c>
      <c r="R168" s="30" t="n">
        <f aca="false">MIN(F168,Inputs!$B$9)</f>
        <v>163</v>
      </c>
      <c r="S168" s="29" t="n">
        <f aca="true">IF(AND(F168&gt;=1,R168&gt;=Inputs!$B$10),INDEX(LINEST(OFFSET(D168,-R168,0,R168,1),OFFSET(E168,-R168,0,R168,2)),1,1),"")</f>
        <v>-7.34644732955104E-005</v>
      </c>
      <c r="T168" s="29" t="n">
        <f aca="true">IF(AND(F168&gt;=1,R168&gt;=Inputs!$B$10),INDEX(LINEST(OFFSET(D168,-R168,0,R168,1),OFFSET(E168,-R168,0,R168,2)),1,2),"")</f>
        <v>1.02433811958742</v>
      </c>
      <c r="U168" s="29" t="n">
        <f aca="true">IF(AND(F168&gt;=1,R168&gt;=Inputs!$B$10),INDEX(LINEST(OFFSET(D168,-R168,0,R168,1),OFFSET(E168,-R168,0,R168,2)),1,3),"")</f>
        <v>4.38640024709675</v>
      </c>
      <c r="V168" s="29" t="n">
        <f aca="true">IF(AND(F168&gt;=1,R168&gt;=Inputs!$B$10),SQRT(SUMPRODUCT((OFFSET(D168,-R168,0,R168,1)-U168-T168*OFFSET(E168,-R168,0,R168,1)-S168*OFFSET(F168,-R168,0,R168,1))^2)/(R168-3)),"")</f>
        <v>0.00269017026128486</v>
      </c>
      <c r="W168" s="31" t="n">
        <f aca="false">IF(AND(F168&gt;=1,R168&gt;=Inputs!$B$10),(D168-U168-T168*E168-S168*F168)/V168,"")</f>
        <v>-0.522918715661611</v>
      </c>
      <c r="X168" s="30" t="n">
        <f aca="false">IF(AB167&lt;&gt;0,AC167+1,0)</f>
        <v>0</v>
      </c>
      <c r="Y168" s="30" t="n">
        <f aca="false">IF(W168="",0,IF(AND(AB167&lt;&gt;0,OR(ABS(W168)&gt;Inputs!$B$7,X168&gt;=Inputs!$B$8,ABS(W168)&lt;Inputs!$B$6)),1,0))</f>
        <v>0</v>
      </c>
      <c r="Z168" s="30" t="n">
        <f aca="false">IF(Y168=1,0,AB167)</f>
        <v>0</v>
      </c>
      <c r="AA168" s="30" t="n">
        <f aca="false">IF(W168="",0,IF(AND(Z168=0,ABS(W168)&gt;Inputs!$B$5,ABS(W168)&lt;=Inputs!$B$7),1,0))</f>
        <v>0</v>
      </c>
      <c r="AB168" s="30" t="n">
        <f aca="false">IF(W168="",0,IF(AA168=1,-SIGN(W168),Z168))</f>
        <v>0</v>
      </c>
      <c r="AC168" s="30" t="n">
        <f aca="false">IF(W168="",0,IF(AA168=1,0,IF(Y168=1,0,X168)))</f>
        <v>0</v>
      </c>
      <c r="AD168" s="30" t="n">
        <f aca="false">IF(AB168=0,0,IF(AB167=AB168,AD167,T168))</f>
        <v>0</v>
      </c>
      <c r="AE168" s="30" t="n">
        <f aca="false">AB168-AB167</f>
        <v>0</v>
      </c>
      <c r="AF168" s="30" t="n">
        <f aca="false">-AD168*AB168</f>
        <v>-0</v>
      </c>
      <c r="AG168" s="30" t="n">
        <f aca="false">AF168-AF167</f>
        <v>0</v>
      </c>
      <c r="AH168" s="30" t="n">
        <f aca="false">MAX(AE168,0)*(Inputs!$B$17+Inputs!$B$18+Inputs!$B$19)+MAX(-AE168,0)*(O168+Inputs!$B$18+Inputs!$B$19)+IF(AND(K168=1,AB168&lt;&gt;0),(Inputs!$B$17+Inputs!$B$18+Inputs!$B$19)+(O168+Inputs!$B$18+Inputs!$B$19),0)+MAX(AG168,0)*(Inputs!$B$20+Inputs!$B$22+Inputs!$B$23)+MAX(-AG168,0)*(Inputs!$B$21+Inputs!$B$22+Inputs!$B$23)</f>
        <v>0</v>
      </c>
      <c r="AI168" s="30" t="n">
        <f aca="false">AB167*(M168-AD167*J168)+AB167*AD167*N168/Inputs!$B$16-AH168</f>
        <v>0</v>
      </c>
      <c r="AJ168" s="30" t="n">
        <f aca="false">MAX(AE168,0)*(Inputs!$B$17+Inputs!$B$24+Inputs!$B$25)+MAX(-AE168,0)*(O168+Inputs!$B$24+Inputs!$B$25)+IF(AND(K168=1,AB168&lt;&gt;0),(Inputs!$B$17+Inputs!$B$24+Inputs!$B$25)+(O168+Inputs!$B$24+Inputs!$B$25),0)+MAX(AG168,0)*(Inputs!$B$20+Inputs!$B$26+Inputs!$B$27)+MAX(-AG168,0)*(Inputs!$B$21+Inputs!$B$26+Inputs!$B$27)</f>
        <v>0</v>
      </c>
      <c r="AK168" s="30" t="n">
        <f aca="false">AB167*(M168-AD167*J168)+AB167*AD167*(N168+Inputs!$B$14)/Inputs!$B$16-AJ168</f>
        <v>0</v>
      </c>
      <c r="AL168" s="30" t="n">
        <f aca="false">IF(AP167&lt;&gt;0,AQ167+1,0)</f>
        <v>0</v>
      </c>
      <c r="AM168" s="30" t="n">
        <f aca="false">IF(W168="",0,IF(AND(AP167&lt;&gt;0,OR(ABS(W168)&gt;Inputs!$B$7,AL168&gt;=Inputs!$B$8,ABS(W168)&lt;Inputs!$B$6)),1,0))</f>
        <v>0</v>
      </c>
      <c r="AN168" s="30" t="n">
        <f aca="false">IF(AM168=1,0,AP167)</f>
        <v>0</v>
      </c>
      <c r="AO168" s="30" t="n">
        <f aca="false">IF(W168="",0,IF(AND(AN168=0,ABS(W168)&gt;Inputs!$B$5,ABS(W168)&lt;=Inputs!$B$7,W168&gt;0),1,0))</f>
        <v>0</v>
      </c>
      <c r="AP168" s="30" t="n">
        <f aca="false">IF(W168="",0,IF(AO168=1,-SIGN(W168),AN168))</f>
        <v>0</v>
      </c>
      <c r="AQ168" s="30" t="n">
        <f aca="false">IF(W168="",0,IF(AO168=1,0,IF(AM168=1,0,AL168)))</f>
        <v>0</v>
      </c>
      <c r="AR168" s="30" t="n">
        <f aca="false">IF(AP168=0,0,IF(AP167=AP168,AR167,T168))</f>
        <v>0</v>
      </c>
      <c r="AS168" s="30" t="n">
        <f aca="false">AP168-AP167</f>
        <v>0</v>
      </c>
      <c r="AT168" s="30" t="n">
        <f aca="false">-AR168*AP168</f>
        <v>-0</v>
      </c>
      <c r="AU168" s="30" t="n">
        <f aca="false">AT168-AT167</f>
        <v>0</v>
      </c>
      <c r="AV168" s="30" t="n">
        <f aca="false">MAX(AS168,0)*(Inputs!$B$17+Inputs!$B$18+Inputs!$B$19)+MAX(-AS168,0)*(O168+Inputs!$B$18+Inputs!$B$19)+IF(AND(K168=1,AP168&lt;&gt;0),(Inputs!$B$17+Inputs!$B$18+Inputs!$B$19)+(O168+Inputs!$B$18+Inputs!$B$19),0)+MAX(AU168,0)*(Inputs!$B$20+Inputs!$B$22+Inputs!$B$23)+MAX(-AU168,0)*(Inputs!$B$21+Inputs!$B$22+Inputs!$B$23)</f>
        <v>0</v>
      </c>
      <c r="AW168" s="30" t="n">
        <f aca="false">AP167*(M168-AR167*J168)+AP167*AR167*N168/Inputs!$B$16-AV168</f>
        <v>0</v>
      </c>
      <c r="AX168" s="30" t="n">
        <f aca="false">AW168-IF(AP167&lt;&gt;0,0.75*AR167*(Inputs!$B$13-N168)/Inputs!$B$16,0)</f>
        <v>0</v>
      </c>
      <c r="AY168" s="30" t="n">
        <f aca="false">MAX(AS168,0)*(Inputs!$B$17+Inputs!$B$18+Inputs!$B$19)+MAX(-AS168,0)*(O168+Inputs!$B$18+Inputs!$B$19)+IF(AND(K168=1,AP168&lt;&gt;0),(Inputs!$B$17+Inputs!$B$18+Inputs!$B$19)+(O168+Inputs!$B$18+Inputs!$B$19),0)</f>
        <v>0</v>
      </c>
      <c r="AZ168" s="30" t="n">
        <f aca="false">AP167*M168-AY168</f>
        <v>0</v>
      </c>
      <c r="BA168" s="32" t="n">
        <f aca="false">BA167+AI168</f>
        <v>-0.00798192564175577</v>
      </c>
      <c r="BB168" s="30" t="n">
        <f aca="false">MAX(BB167,BA168)</f>
        <v>0</v>
      </c>
      <c r="BC168" s="32" t="n">
        <f aca="false">BA168-BB168</f>
        <v>-0.00798192564175577</v>
      </c>
      <c r="BD168" s="30" t="n">
        <f aca="false">A169-A168</f>
        <v>1</v>
      </c>
    </row>
    <row r="169" customFormat="false" ht="15" hidden="false" customHeight="false" outlineLevel="0" collapsed="false">
      <c r="A169" s="28" t="n">
        <v>45288</v>
      </c>
      <c r="B169" s="0" t="n">
        <v>21780.75</v>
      </c>
      <c r="C169" s="0" t="n">
        <v>240.24</v>
      </c>
      <c r="D169" s="29" t="n">
        <f aca="false">LN(B169)</f>
        <v>9.98878183115578</v>
      </c>
      <c r="E169" s="29" t="n">
        <f aca="false">LN(C169)</f>
        <v>5.48163842367508</v>
      </c>
      <c r="F169" s="0" t="n">
        <v>164</v>
      </c>
      <c r="G169" s="0" t="n">
        <v>0</v>
      </c>
      <c r="H169" s="29" t="n">
        <f aca="false">D169-E169</f>
        <v>4.50714340748071</v>
      </c>
      <c r="I169" s="29" t="n">
        <f aca="false">D169-D168</f>
        <v>0.00429971641110427</v>
      </c>
      <c r="J169" s="29" t="n">
        <f aca="false">E169-E168</f>
        <v>0.00350263055120159</v>
      </c>
      <c r="K169" s="0" t="n">
        <v>1</v>
      </c>
      <c r="L169" s="0" t="n">
        <v>0</v>
      </c>
      <c r="M169" s="29" t="n">
        <f aca="false">IF(L169=1,J169-Carry!$B$9/Inputs!$B$16,I169)</f>
        <v>0.00429971641110427</v>
      </c>
      <c r="N169" s="0" t="n">
        <v>0.065</v>
      </c>
      <c r="O169" s="0" t="n">
        <v>0.000125</v>
      </c>
      <c r="P169" s="29" t="n">
        <f aca="false">D169-('2 Hedge ratio'!$B$6+'2 Hedge ratio'!$B$5*E169)</f>
        <v>0.00508610536384069</v>
      </c>
      <c r="Q169" s="29" t="n">
        <f aca="false">D169-('5 Re-specification'!$B$7+'5 Re-specification'!$B$5*E169+'5 Re-specification'!$B$6*F169)</f>
        <v>-7.70999402117667E-005</v>
      </c>
      <c r="R169" s="30" t="n">
        <f aca="false">MIN(F169,Inputs!$B$9)</f>
        <v>164</v>
      </c>
      <c r="S169" s="29" t="n">
        <f aca="true">IF(AND(F169&gt;=1,R169&gt;=Inputs!$B$10),INDEX(LINEST(OFFSET(D169,-R169,0,R169,1),OFFSET(E169,-R169,0,R169,2)),1,1),"")</f>
        <v>-7.31165563940543E-005</v>
      </c>
      <c r="T169" s="29" t="n">
        <f aca="true">IF(AND(F169&gt;=1,R169&gt;=Inputs!$B$10),INDEX(LINEST(OFFSET(D169,-R169,0,R169,1),OFFSET(E169,-R169,0,R169,2)),1,2),"")</f>
        <v>1.02346058727399</v>
      </c>
      <c r="U169" s="29" t="n">
        <f aca="true">IF(AND(F169&gt;=1,R169&gt;=Inputs!$B$10),INDEX(LINEST(OFFSET(D169,-R169,0,R169,1),OFFSET(E169,-R169,0,R169,2)),1,3),"")</f>
        <v>4.39107309789132</v>
      </c>
      <c r="V169" s="29" t="n">
        <f aca="true">IF(AND(F169&gt;=1,R169&gt;=Inputs!$B$10),SQRT(SUMPRODUCT((OFFSET(D169,-R169,0,R169,1)-U169-T169*OFFSET(E169,-R169,0,R169,1)-S169*OFFSET(F169,-R169,0,R169,1))^2)/(R169-3)),"")</f>
        <v>0.0026839668988275</v>
      </c>
      <c r="W169" s="31" t="n">
        <f aca="false">IF(AND(F169&gt;=1,R169&gt;=Inputs!$B$10),(D169-U169-T169*E169-S169*F169)/V169,"")</f>
        <v>-0.201579164527773</v>
      </c>
      <c r="X169" s="30" t="n">
        <f aca="false">IF(AB168&lt;&gt;0,AC168+1,0)</f>
        <v>0</v>
      </c>
      <c r="Y169" s="30" t="n">
        <f aca="false">IF(W169="",0,IF(AND(AB168&lt;&gt;0,OR(ABS(W169)&gt;Inputs!$B$7,X169&gt;=Inputs!$B$8,ABS(W169)&lt;Inputs!$B$6)),1,0))</f>
        <v>0</v>
      </c>
      <c r="Z169" s="30" t="n">
        <f aca="false">IF(Y169=1,0,AB168)</f>
        <v>0</v>
      </c>
      <c r="AA169" s="30" t="n">
        <f aca="false">IF(W169="",0,IF(AND(Z169=0,ABS(W169)&gt;Inputs!$B$5,ABS(W169)&lt;=Inputs!$B$7),1,0))</f>
        <v>0</v>
      </c>
      <c r="AB169" s="30" t="n">
        <f aca="false">IF(W169="",0,IF(AA169=1,-SIGN(W169),Z169))</f>
        <v>0</v>
      </c>
      <c r="AC169" s="30" t="n">
        <f aca="false">IF(W169="",0,IF(AA169=1,0,IF(Y169=1,0,X169)))</f>
        <v>0</v>
      </c>
      <c r="AD169" s="30" t="n">
        <f aca="false">IF(AB169=0,0,IF(AB168=AB169,AD168,T169))</f>
        <v>0</v>
      </c>
      <c r="AE169" s="30" t="n">
        <f aca="false">AB169-AB168</f>
        <v>0</v>
      </c>
      <c r="AF169" s="30" t="n">
        <f aca="false">-AD169*AB169</f>
        <v>-0</v>
      </c>
      <c r="AG169" s="30" t="n">
        <f aca="false">AF169-AF168</f>
        <v>0</v>
      </c>
      <c r="AH169" s="30" t="n">
        <f aca="false">MAX(AE169,0)*(Inputs!$B$17+Inputs!$B$18+Inputs!$B$19)+MAX(-AE169,0)*(O169+Inputs!$B$18+Inputs!$B$19)+IF(AND(K169=1,AB169&lt;&gt;0),(Inputs!$B$17+Inputs!$B$18+Inputs!$B$19)+(O169+Inputs!$B$18+Inputs!$B$19),0)+MAX(AG169,0)*(Inputs!$B$20+Inputs!$B$22+Inputs!$B$23)+MAX(-AG169,0)*(Inputs!$B$21+Inputs!$B$22+Inputs!$B$23)</f>
        <v>0</v>
      </c>
      <c r="AI169" s="30" t="n">
        <f aca="false">AB168*(M169-AD168*J169)+AB168*AD168*N169/Inputs!$B$16-AH169</f>
        <v>0</v>
      </c>
      <c r="AJ169" s="30" t="n">
        <f aca="false">MAX(AE169,0)*(Inputs!$B$17+Inputs!$B$24+Inputs!$B$25)+MAX(-AE169,0)*(O169+Inputs!$B$24+Inputs!$B$25)+IF(AND(K169=1,AB169&lt;&gt;0),(Inputs!$B$17+Inputs!$B$24+Inputs!$B$25)+(O169+Inputs!$B$24+Inputs!$B$25),0)+MAX(AG169,0)*(Inputs!$B$20+Inputs!$B$26+Inputs!$B$27)+MAX(-AG169,0)*(Inputs!$B$21+Inputs!$B$26+Inputs!$B$27)</f>
        <v>0</v>
      </c>
      <c r="AK169" s="30" t="n">
        <f aca="false">AB168*(M169-AD168*J169)+AB168*AD168*(N169+Inputs!$B$14)/Inputs!$B$16-AJ169</f>
        <v>0</v>
      </c>
      <c r="AL169" s="30" t="n">
        <f aca="false">IF(AP168&lt;&gt;0,AQ168+1,0)</f>
        <v>0</v>
      </c>
      <c r="AM169" s="30" t="n">
        <f aca="false">IF(W169="",0,IF(AND(AP168&lt;&gt;0,OR(ABS(W169)&gt;Inputs!$B$7,AL169&gt;=Inputs!$B$8,ABS(W169)&lt;Inputs!$B$6)),1,0))</f>
        <v>0</v>
      </c>
      <c r="AN169" s="30" t="n">
        <f aca="false">IF(AM169=1,0,AP168)</f>
        <v>0</v>
      </c>
      <c r="AO169" s="30" t="n">
        <f aca="false">IF(W169="",0,IF(AND(AN169=0,ABS(W169)&gt;Inputs!$B$5,ABS(W169)&lt;=Inputs!$B$7,W169&gt;0),1,0))</f>
        <v>0</v>
      </c>
      <c r="AP169" s="30" t="n">
        <f aca="false">IF(W169="",0,IF(AO169=1,-SIGN(W169),AN169))</f>
        <v>0</v>
      </c>
      <c r="AQ169" s="30" t="n">
        <f aca="false">IF(W169="",0,IF(AO169=1,0,IF(AM169=1,0,AL169)))</f>
        <v>0</v>
      </c>
      <c r="AR169" s="30" t="n">
        <f aca="false">IF(AP169=0,0,IF(AP168=AP169,AR168,T169))</f>
        <v>0</v>
      </c>
      <c r="AS169" s="30" t="n">
        <f aca="false">AP169-AP168</f>
        <v>0</v>
      </c>
      <c r="AT169" s="30" t="n">
        <f aca="false">-AR169*AP169</f>
        <v>-0</v>
      </c>
      <c r="AU169" s="30" t="n">
        <f aca="false">AT169-AT168</f>
        <v>0</v>
      </c>
      <c r="AV169" s="30" t="n">
        <f aca="false">MAX(AS169,0)*(Inputs!$B$17+Inputs!$B$18+Inputs!$B$19)+MAX(-AS169,0)*(O169+Inputs!$B$18+Inputs!$B$19)+IF(AND(K169=1,AP169&lt;&gt;0),(Inputs!$B$17+Inputs!$B$18+Inputs!$B$19)+(O169+Inputs!$B$18+Inputs!$B$19),0)+MAX(AU169,0)*(Inputs!$B$20+Inputs!$B$22+Inputs!$B$23)+MAX(-AU169,0)*(Inputs!$B$21+Inputs!$B$22+Inputs!$B$23)</f>
        <v>0</v>
      </c>
      <c r="AW169" s="30" t="n">
        <f aca="false">AP168*(M169-AR168*J169)+AP168*AR168*N169/Inputs!$B$16-AV169</f>
        <v>0</v>
      </c>
      <c r="AX169" s="30" t="n">
        <f aca="false">AW169-IF(AP168&lt;&gt;0,0.75*AR168*(Inputs!$B$13-N169)/Inputs!$B$16,0)</f>
        <v>0</v>
      </c>
      <c r="AY169" s="30" t="n">
        <f aca="false">MAX(AS169,0)*(Inputs!$B$17+Inputs!$B$18+Inputs!$B$19)+MAX(-AS169,0)*(O169+Inputs!$B$18+Inputs!$B$19)+IF(AND(K169=1,AP169&lt;&gt;0),(Inputs!$B$17+Inputs!$B$18+Inputs!$B$19)+(O169+Inputs!$B$18+Inputs!$B$19),0)</f>
        <v>0</v>
      </c>
      <c r="AZ169" s="30" t="n">
        <f aca="false">AP168*M169-AY169</f>
        <v>0</v>
      </c>
      <c r="BA169" s="32" t="n">
        <f aca="false">BA168+AI169</f>
        <v>-0.00798192564175577</v>
      </c>
      <c r="BB169" s="30" t="n">
        <f aca="false">MAX(BB168,BA169)</f>
        <v>0</v>
      </c>
      <c r="BC169" s="32" t="n">
        <f aca="false">BA169-BB169</f>
        <v>-0.00798192564175577</v>
      </c>
      <c r="BD169" s="30" t="n">
        <f aca="false">A170-A169</f>
        <v>1</v>
      </c>
    </row>
    <row r="170" customFormat="false" ht="15" hidden="false" customHeight="false" outlineLevel="0" collapsed="false">
      <c r="A170" s="28" t="n">
        <v>45289</v>
      </c>
      <c r="B170" s="0" t="n">
        <v>21861.3</v>
      </c>
      <c r="C170" s="0" t="n">
        <v>240.3</v>
      </c>
      <c r="D170" s="29" t="n">
        <f aca="false">LN(B170)</f>
        <v>9.99247322931271</v>
      </c>
      <c r="E170" s="29" t="n">
        <f aca="false">LN(C170)</f>
        <v>5.48188814274242</v>
      </c>
      <c r="F170" s="0" t="n">
        <v>165</v>
      </c>
      <c r="G170" s="0" t="n">
        <v>27</v>
      </c>
      <c r="H170" s="29" t="n">
        <f aca="false">D170-E170</f>
        <v>4.51058508657029</v>
      </c>
      <c r="I170" s="29" t="n">
        <f aca="false">D170-D169</f>
        <v>0.00369139815692954</v>
      </c>
      <c r="J170" s="29" t="n">
        <f aca="false">E170-E169</f>
        <v>0.000249719067348053</v>
      </c>
      <c r="K170" s="0" t="n">
        <v>0</v>
      </c>
      <c r="L170" s="0" t="n">
        <v>1</v>
      </c>
      <c r="M170" s="29" t="n">
        <f aca="false">IF(L170=1,J170-Carry!$B$9/Inputs!$B$16,I170)</f>
        <v>-9.73911437307854E-006</v>
      </c>
      <c r="N170" s="0" t="n">
        <v>0.065</v>
      </c>
      <c r="O170" s="0" t="n">
        <v>0.000125</v>
      </c>
      <c r="P170" s="29" t="n">
        <f aca="false">D170-('2 Hedge ratio'!$B$6+'2 Hedge ratio'!$B$5*E170)</f>
        <v>0.00854872920088035</v>
      </c>
      <c r="Q170" s="29" t="n">
        <f aca="false">D170-('5 Re-specification'!$B$7+'5 Re-specification'!$B$5*E170+'5 Re-specification'!$B$6*F170)</f>
        <v>0.0034102652411061</v>
      </c>
      <c r="R170" s="30" t="n">
        <f aca="false">MIN(F170,Inputs!$B$9)</f>
        <v>165</v>
      </c>
      <c r="S170" s="29" t="n">
        <f aca="true">IF(AND(F170&gt;=1,R170&gt;=Inputs!$B$10),INDEX(LINEST(OFFSET(D170,-R170,0,R170,1),OFFSET(E170,-R170,0,R170,2)),1,1),"")</f>
        <v>-7.29783753886715E-005</v>
      </c>
      <c r="T170" s="29" t="n">
        <f aca="true">IF(AND(F170&gt;=1,R170&gt;=Inputs!$B$10),INDEX(LINEST(OFFSET(D170,-R170,0,R170,1),OFFSET(E170,-R170,0,R170,2)),1,2),"")</f>
        <v>1.02312434161324</v>
      </c>
      <c r="U170" s="29" t="n">
        <f aca="true">IF(AND(F170&gt;=1,R170&gt;=Inputs!$B$10),INDEX(LINEST(OFFSET(D170,-R170,0,R170,1),OFFSET(E170,-R170,0,R170,2)),1,3),"")</f>
        <v>4.39286337796013</v>
      </c>
      <c r="V170" s="29" t="n">
        <f aca="true">IF(AND(F170&gt;=1,R170&gt;=Inputs!$B$10),SQRT(SUMPRODUCT((OFFSET(D170,-R170,0,R170,1)-U170-T170*OFFSET(E170,-R170,0,R170,1)-S170*OFFSET(F170,-R170,0,R170,1))^2)/(R170-3)),"")</f>
        <v>0.00267598898951643</v>
      </c>
      <c r="W170" s="31" t="n">
        <f aca="false">IF(AND(F170&gt;=1,R170&gt;=Inputs!$B$10),(D170-U170-T170*E170-S170*F170)/V170,"")</f>
        <v>1.12036576485006</v>
      </c>
      <c r="X170" s="30" t="n">
        <f aca="false">IF(AB169&lt;&gt;0,AC169+1,0)</f>
        <v>0</v>
      </c>
      <c r="Y170" s="30" t="n">
        <f aca="false">IF(W170="",0,IF(AND(AB169&lt;&gt;0,OR(ABS(W170)&gt;Inputs!$B$7,X170&gt;=Inputs!$B$8,ABS(W170)&lt;Inputs!$B$6)),1,0))</f>
        <v>0</v>
      </c>
      <c r="Z170" s="30" t="n">
        <f aca="false">IF(Y170=1,0,AB169)</f>
        <v>0</v>
      </c>
      <c r="AA170" s="30" t="n">
        <f aca="false">IF(W170="",0,IF(AND(Z170=0,ABS(W170)&gt;Inputs!$B$5,ABS(W170)&lt;=Inputs!$B$7),1,0))</f>
        <v>0</v>
      </c>
      <c r="AB170" s="30" t="n">
        <f aca="false">IF(W170="",0,IF(AA170=1,-SIGN(W170),Z170))</f>
        <v>0</v>
      </c>
      <c r="AC170" s="30" t="n">
        <f aca="false">IF(W170="",0,IF(AA170=1,0,IF(Y170=1,0,X170)))</f>
        <v>0</v>
      </c>
      <c r="AD170" s="30" t="n">
        <f aca="false">IF(AB170=0,0,IF(AB169=AB170,AD169,T170))</f>
        <v>0</v>
      </c>
      <c r="AE170" s="30" t="n">
        <f aca="false">AB170-AB169</f>
        <v>0</v>
      </c>
      <c r="AF170" s="30" t="n">
        <f aca="false">-AD170*AB170</f>
        <v>-0</v>
      </c>
      <c r="AG170" s="30" t="n">
        <f aca="false">AF170-AF169</f>
        <v>0</v>
      </c>
      <c r="AH170" s="30" t="n">
        <f aca="false">MAX(AE170,0)*(Inputs!$B$17+Inputs!$B$18+Inputs!$B$19)+MAX(-AE170,0)*(O170+Inputs!$B$18+Inputs!$B$19)+IF(AND(K170=1,AB170&lt;&gt;0),(Inputs!$B$17+Inputs!$B$18+Inputs!$B$19)+(O170+Inputs!$B$18+Inputs!$B$19),0)+MAX(AG170,0)*(Inputs!$B$20+Inputs!$B$22+Inputs!$B$23)+MAX(-AG170,0)*(Inputs!$B$21+Inputs!$B$22+Inputs!$B$23)</f>
        <v>0</v>
      </c>
      <c r="AI170" s="30" t="n">
        <f aca="false">AB169*(M170-AD169*J170)+AB169*AD169*N170/Inputs!$B$16-AH170</f>
        <v>0</v>
      </c>
      <c r="AJ170" s="30" t="n">
        <f aca="false">MAX(AE170,0)*(Inputs!$B$17+Inputs!$B$24+Inputs!$B$25)+MAX(-AE170,0)*(O170+Inputs!$B$24+Inputs!$B$25)+IF(AND(K170=1,AB170&lt;&gt;0),(Inputs!$B$17+Inputs!$B$24+Inputs!$B$25)+(O170+Inputs!$B$24+Inputs!$B$25),0)+MAX(AG170,0)*(Inputs!$B$20+Inputs!$B$26+Inputs!$B$27)+MAX(-AG170,0)*(Inputs!$B$21+Inputs!$B$26+Inputs!$B$27)</f>
        <v>0</v>
      </c>
      <c r="AK170" s="30" t="n">
        <f aca="false">AB169*(M170-AD169*J170)+AB169*AD169*(N170+Inputs!$B$14)/Inputs!$B$16-AJ170</f>
        <v>0</v>
      </c>
      <c r="AL170" s="30" t="n">
        <f aca="false">IF(AP169&lt;&gt;0,AQ169+1,0)</f>
        <v>0</v>
      </c>
      <c r="AM170" s="30" t="n">
        <f aca="false">IF(W170="",0,IF(AND(AP169&lt;&gt;0,OR(ABS(W170)&gt;Inputs!$B$7,AL170&gt;=Inputs!$B$8,ABS(W170)&lt;Inputs!$B$6)),1,0))</f>
        <v>0</v>
      </c>
      <c r="AN170" s="30" t="n">
        <f aca="false">IF(AM170=1,0,AP169)</f>
        <v>0</v>
      </c>
      <c r="AO170" s="30" t="n">
        <f aca="false">IF(W170="",0,IF(AND(AN170=0,ABS(W170)&gt;Inputs!$B$5,ABS(W170)&lt;=Inputs!$B$7,W170&gt;0),1,0))</f>
        <v>0</v>
      </c>
      <c r="AP170" s="30" t="n">
        <f aca="false">IF(W170="",0,IF(AO170=1,-SIGN(W170),AN170))</f>
        <v>0</v>
      </c>
      <c r="AQ170" s="30" t="n">
        <f aca="false">IF(W170="",0,IF(AO170=1,0,IF(AM170=1,0,AL170)))</f>
        <v>0</v>
      </c>
      <c r="AR170" s="30" t="n">
        <f aca="false">IF(AP170=0,0,IF(AP169=AP170,AR169,T170))</f>
        <v>0</v>
      </c>
      <c r="AS170" s="30" t="n">
        <f aca="false">AP170-AP169</f>
        <v>0</v>
      </c>
      <c r="AT170" s="30" t="n">
        <f aca="false">-AR170*AP170</f>
        <v>-0</v>
      </c>
      <c r="AU170" s="30" t="n">
        <f aca="false">AT170-AT169</f>
        <v>0</v>
      </c>
      <c r="AV170" s="30" t="n">
        <f aca="false">MAX(AS170,0)*(Inputs!$B$17+Inputs!$B$18+Inputs!$B$19)+MAX(-AS170,0)*(O170+Inputs!$B$18+Inputs!$B$19)+IF(AND(K170=1,AP170&lt;&gt;0),(Inputs!$B$17+Inputs!$B$18+Inputs!$B$19)+(O170+Inputs!$B$18+Inputs!$B$19),0)+MAX(AU170,0)*(Inputs!$B$20+Inputs!$B$22+Inputs!$B$23)+MAX(-AU170,0)*(Inputs!$B$21+Inputs!$B$22+Inputs!$B$23)</f>
        <v>0</v>
      </c>
      <c r="AW170" s="30" t="n">
        <f aca="false">AP169*(M170-AR169*J170)+AP169*AR169*N170/Inputs!$B$16-AV170</f>
        <v>0</v>
      </c>
      <c r="AX170" s="30" t="n">
        <f aca="false">AW170-IF(AP169&lt;&gt;0,0.75*AR169*(Inputs!$B$13-N170)/Inputs!$B$16,0)</f>
        <v>0</v>
      </c>
      <c r="AY170" s="30" t="n">
        <f aca="false">MAX(AS170,0)*(Inputs!$B$17+Inputs!$B$18+Inputs!$B$19)+MAX(-AS170,0)*(O170+Inputs!$B$18+Inputs!$B$19)+IF(AND(K170=1,AP170&lt;&gt;0),(Inputs!$B$17+Inputs!$B$18+Inputs!$B$19)+(O170+Inputs!$B$18+Inputs!$B$19),0)</f>
        <v>0</v>
      </c>
      <c r="AZ170" s="30" t="n">
        <f aca="false">AP169*M170-AY170</f>
        <v>-0</v>
      </c>
      <c r="BA170" s="32" t="n">
        <f aca="false">BA169+AI170</f>
        <v>-0.00798192564175577</v>
      </c>
      <c r="BB170" s="30" t="n">
        <f aca="false">MAX(BB169,BA170)</f>
        <v>0</v>
      </c>
      <c r="BC170" s="32" t="n">
        <f aca="false">BA170-BB170</f>
        <v>-0.00798192564175577</v>
      </c>
      <c r="BD170" s="30" t="n">
        <f aca="false">A171-A170</f>
        <v>3</v>
      </c>
    </row>
    <row r="171" customFormat="false" ht="15" hidden="false" customHeight="false" outlineLevel="0" collapsed="false">
      <c r="A171" s="28" t="n">
        <v>45292</v>
      </c>
      <c r="B171" s="0" t="n">
        <v>21830</v>
      </c>
      <c r="C171" s="0" t="n">
        <v>240.02</v>
      </c>
      <c r="D171" s="29" t="n">
        <f aca="false">LN(B171)</f>
        <v>9.99104044954399</v>
      </c>
      <c r="E171" s="29" t="n">
        <f aca="false">LN(C171)</f>
        <v>5.4807222532033</v>
      </c>
      <c r="F171" s="0" t="n">
        <v>166</v>
      </c>
      <c r="G171" s="0" t="n">
        <v>24</v>
      </c>
      <c r="H171" s="29" t="n">
        <f aca="false">D171-E171</f>
        <v>4.51031819634069</v>
      </c>
      <c r="I171" s="29" t="n">
        <f aca="false">D171-D170</f>
        <v>-0.00143277976872014</v>
      </c>
      <c r="J171" s="29" t="n">
        <f aca="false">E171-E170</f>
        <v>-0.00116588953912711</v>
      </c>
      <c r="K171" s="0" t="n">
        <v>0</v>
      </c>
      <c r="L171" s="0" t="n">
        <v>0</v>
      </c>
      <c r="M171" s="29" t="n">
        <f aca="false">IF(L171=1,J171-Carry!$B$9/Inputs!$B$16,I171)</f>
        <v>-0.00143277976872014</v>
      </c>
      <c r="N171" s="0" t="n">
        <v>0.065</v>
      </c>
      <c r="O171" s="0" t="n">
        <v>0.000125</v>
      </c>
      <c r="P171" s="29" t="n">
        <f aca="false">D171-('2 Hedge ratio'!$B$6+'2 Hedge ratio'!$B$5*E171)</f>
        <v>0.00818405203727934</v>
      </c>
      <c r="Q171" s="29" t="n">
        <f aca="false">D171-('5 Re-specification'!$B$7+'5 Re-specification'!$B$5*E171+'5 Re-specification'!$B$6*F171)</f>
        <v>0.00318477110133664</v>
      </c>
      <c r="R171" s="30" t="n">
        <f aca="false">MIN(F171,Inputs!$B$9)</f>
        <v>166</v>
      </c>
      <c r="S171" s="29" t="n">
        <f aca="true">IF(AND(F171&gt;=1,R171&gt;=Inputs!$B$10),INDEX(LINEST(OFFSET(D171,-R171,0,R171,1),OFFSET(E171,-R171,0,R171,2)),1,1),"")</f>
        <v>-7.36826128399836E-005</v>
      </c>
      <c r="T171" s="29" t="n">
        <f aca="true">IF(AND(F171&gt;=1,R171&gt;=Inputs!$B$10),INDEX(LINEST(OFFSET(D171,-R171,0,R171,1),OFFSET(E171,-R171,0,R171,2)),1,2),"")</f>
        <v>1.02487164303454</v>
      </c>
      <c r="U171" s="29" t="n">
        <f aca="true">IF(AND(F171&gt;=1,R171&gt;=Inputs!$B$10),INDEX(LINEST(OFFSET(D171,-R171,0,R171,1),OFFSET(E171,-R171,0,R171,2)),1,3),"")</f>
        <v>4.38355922227048</v>
      </c>
      <c r="V171" s="29" t="n">
        <f aca="true">IF(AND(F171&gt;=1,R171&gt;=Inputs!$B$10),SQRT(SUMPRODUCT((OFFSET(D171,-R171,0,R171,1)-U171-T171*OFFSET(E171,-R171,0,R171,1)-S171*OFFSET(F171,-R171,0,R171,1))^2)/(R171-3)),"")</f>
        <v>0.0026775399872146</v>
      </c>
      <c r="W171" s="31" t="n">
        <f aca="false">IF(AND(F171&gt;=1,R171&gt;=Inputs!$B$10),(D171-U171-T171*E171-S171*F171)/V171,"")</f>
        <v>0.999320406537454</v>
      </c>
      <c r="X171" s="30" t="n">
        <f aca="false">IF(AB170&lt;&gt;0,AC170+1,0)</f>
        <v>0</v>
      </c>
      <c r="Y171" s="30" t="n">
        <f aca="false">IF(W171="",0,IF(AND(AB170&lt;&gt;0,OR(ABS(W171)&gt;Inputs!$B$7,X171&gt;=Inputs!$B$8,ABS(W171)&lt;Inputs!$B$6)),1,0))</f>
        <v>0</v>
      </c>
      <c r="Z171" s="30" t="n">
        <f aca="false">IF(Y171=1,0,AB170)</f>
        <v>0</v>
      </c>
      <c r="AA171" s="30" t="n">
        <f aca="false">IF(W171="",0,IF(AND(Z171=0,ABS(W171)&gt;Inputs!$B$5,ABS(W171)&lt;=Inputs!$B$7),1,0))</f>
        <v>0</v>
      </c>
      <c r="AB171" s="30" t="n">
        <f aca="false">IF(W171="",0,IF(AA171=1,-SIGN(W171),Z171))</f>
        <v>0</v>
      </c>
      <c r="AC171" s="30" t="n">
        <f aca="false">IF(W171="",0,IF(AA171=1,0,IF(Y171=1,0,X171)))</f>
        <v>0</v>
      </c>
      <c r="AD171" s="30" t="n">
        <f aca="false">IF(AB171=0,0,IF(AB170=AB171,AD170,T171))</f>
        <v>0</v>
      </c>
      <c r="AE171" s="30" t="n">
        <f aca="false">AB171-AB170</f>
        <v>0</v>
      </c>
      <c r="AF171" s="30" t="n">
        <f aca="false">-AD171*AB171</f>
        <v>-0</v>
      </c>
      <c r="AG171" s="30" t="n">
        <f aca="false">AF171-AF170</f>
        <v>0</v>
      </c>
      <c r="AH171" s="30" t="n">
        <f aca="false">MAX(AE171,0)*(Inputs!$B$17+Inputs!$B$18+Inputs!$B$19)+MAX(-AE171,0)*(O171+Inputs!$B$18+Inputs!$B$19)+IF(AND(K171=1,AB171&lt;&gt;0),(Inputs!$B$17+Inputs!$B$18+Inputs!$B$19)+(O171+Inputs!$B$18+Inputs!$B$19),0)+MAX(AG171,0)*(Inputs!$B$20+Inputs!$B$22+Inputs!$B$23)+MAX(-AG171,0)*(Inputs!$B$21+Inputs!$B$22+Inputs!$B$23)</f>
        <v>0</v>
      </c>
      <c r="AI171" s="30" t="n">
        <f aca="false">AB170*(M171-AD170*J171)+AB170*AD170*N171/Inputs!$B$16-AH171</f>
        <v>0</v>
      </c>
      <c r="AJ171" s="30" t="n">
        <f aca="false">MAX(AE171,0)*(Inputs!$B$17+Inputs!$B$24+Inputs!$B$25)+MAX(-AE171,0)*(O171+Inputs!$B$24+Inputs!$B$25)+IF(AND(K171=1,AB171&lt;&gt;0),(Inputs!$B$17+Inputs!$B$24+Inputs!$B$25)+(O171+Inputs!$B$24+Inputs!$B$25),0)+MAX(AG171,0)*(Inputs!$B$20+Inputs!$B$26+Inputs!$B$27)+MAX(-AG171,0)*(Inputs!$B$21+Inputs!$B$26+Inputs!$B$27)</f>
        <v>0</v>
      </c>
      <c r="AK171" s="30" t="n">
        <f aca="false">AB170*(M171-AD170*J171)+AB170*AD170*(N171+Inputs!$B$14)/Inputs!$B$16-AJ171</f>
        <v>0</v>
      </c>
      <c r="AL171" s="30" t="n">
        <f aca="false">IF(AP170&lt;&gt;0,AQ170+1,0)</f>
        <v>0</v>
      </c>
      <c r="AM171" s="30" t="n">
        <f aca="false">IF(W171="",0,IF(AND(AP170&lt;&gt;0,OR(ABS(W171)&gt;Inputs!$B$7,AL171&gt;=Inputs!$B$8,ABS(W171)&lt;Inputs!$B$6)),1,0))</f>
        <v>0</v>
      </c>
      <c r="AN171" s="30" t="n">
        <f aca="false">IF(AM171=1,0,AP170)</f>
        <v>0</v>
      </c>
      <c r="AO171" s="30" t="n">
        <f aca="false">IF(W171="",0,IF(AND(AN171=0,ABS(W171)&gt;Inputs!$B$5,ABS(W171)&lt;=Inputs!$B$7,W171&gt;0),1,0))</f>
        <v>0</v>
      </c>
      <c r="AP171" s="30" t="n">
        <f aca="false">IF(W171="",0,IF(AO171=1,-SIGN(W171),AN171))</f>
        <v>0</v>
      </c>
      <c r="AQ171" s="30" t="n">
        <f aca="false">IF(W171="",0,IF(AO171=1,0,IF(AM171=1,0,AL171)))</f>
        <v>0</v>
      </c>
      <c r="AR171" s="30" t="n">
        <f aca="false">IF(AP171=0,0,IF(AP170=AP171,AR170,T171))</f>
        <v>0</v>
      </c>
      <c r="AS171" s="30" t="n">
        <f aca="false">AP171-AP170</f>
        <v>0</v>
      </c>
      <c r="AT171" s="30" t="n">
        <f aca="false">-AR171*AP171</f>
        <v>-0</v>
      </c>
      <c r="AU171" s="30" t="n">
        <f aca="false">AT171-AT170</f>
        <v>0</v>
      </c>
      <c r="AV171" s="30" t="n">
        <f aca="false">MAX(AS171,0)*(Inputs!$B$17+Inputs!$B$18+Inputs!$B$19)+MAX(-AS171,0)*(O171+Inputs!$B$18+Inputs!$B$19)+IF(AND(K171=1,AP171&lt;&gt;0),(Inputs!$B$17+Inputs!$B$18+Inputs!$B$19)+(O171+Inputs!$B$18+Inputs!$B$19),0)+MAX(AU171,0)*(Inputs!$B$20+Inputs!$B$22+Inputs!$B$23)+MAX(-AU171,0)*(Inputs!$B$21+Inputs!$B$22+Inputs!$B$23)</f>
        <v>0</v>
      </c>
      <c r="AW171" s="30" t="n">
        <f aca="false">AP170*(M171-AR170*J171)+AP170*AR170*N171/Inputs!$B$16-AV171</f>
        <v>0</v>
      </c>
      <c r="AX171" s="30" t="n">
        <f aca="false">AW171-IF(AP170&lt;&gt;0,0.75*AR170*(Inputs!$B$13-N171)/Inputs!$B$16,0)</f>
        <v>0</v>
      </c>
      <c r="AY171" s="30" t="n">
        <f aca="false">MAX(AS171,0)*(Inputs!$B$17+Inputs!$B$18+Inputs!$B$19)+MAX(-AS171,0)*(O171+Inputs!$B$18+Inputs!$B$19)+IF(AND(K171=1,AP171&lt;&gt;0),(Inputs!$B$17+Inputs!$B$18+Inputs!$B$19)+(O171+Inputs!$B$18+Inputs!$B$19),0)</f>
        <v>0</v>
      </c>
      <c r="AZ171" s="30" t="n">
        <f aca="false">AP170*M171-AY171</f>
        <v>-0</v>
      </c>
      <c r="BA171" s="32" t="n">
        <f aca="false">BA170+AI171</f>
        <v>-0.00798192564175577</v>
      </c>
      <c r="BB171" s="30" t="n">
        <f aca="false">MAX(BB170,BA171)</f>
        <v>0</v>
      </c>
      <c r="BC171" s="32" t="n">
        <f aca="false">BA171-BB171</f>
        <v>-0.00798192564175577</v>
      </c>
      <c r="BD171" s="30" t="n">
        <f aca="false">A172-A171</f>
        <v>1</v>
      </c>
    </row>
    <row r="172" customFormat="false" ht="15" hidden="false" customHeight="false" outlineLevel="0" collapsed="false">
      <c r="A172" s="28" t="n">
        <v>45293</v>
      </c>
      <c r="B172" s="0" t="n">
        <v>21754</v>
      </c>
      <c r="C172" s="0" t="n">
        <v>239.23</v>
      </c>
      <c r="D172" s="29" t="n">
        <f aca="false">LN(B172)</f>
        <v>9.9875529276538</v>
      </c>
      <c r="E172" s="29" t="n">
        <f aca="false">LN(C172)</f>
        <v>5.47742543227249</v>
      </c>
      <c r="F172" s="0" t="n">
        <v>167</v>
      </c>
      <c r="G172" s="0" t="n">
        <v>23</v>
      </c>
      <c r="H172" s="29" t="n">
        <f aca="false">D172-E172</f>
        <v>4.51012749538131</v>
      </c>
      <c r="I172" s="29" t="n">
        <f aca="false">D172-D171</f>
        <v>-0.00348752189019308</v>
      </c>
      <c r="J172" s="29" t="n">
        <f aca="false">E172-E171</f>
        <v>-0.00329682093080574</v>
      </c>
      <c r="K172" s="0" t="n">
        <v>0</v>
      </c>
      <c r="L172" s="0" t="n">
        <v>0</v>
      </c>
      <c r="M172" s="29" t="n">
        <f aca="false">IF(L172=1,J172-Carry!$B$9/Inputs!$B$16,I172)</f>
        <v>-0.00348752189019308</v>
      </c>
      <c r="N172" s="0" t="n">
        <v>0.065</v>
      </c>
      <c r="O172" s="0" t="n">
        <v>0.000125</v>
      </c>
      <c r="P172" s="29" t="n">
        <f aca="false">D172-('2 Hedge ratio'!$B$6+'2 Hedge ratio'!$B$5*E172)</f>
        <v>0.00771683602224194</v>
      </c>
      <c r="Q172" s="29" t="n">
        <f aca="false">D172-('5 Re-specification'!$B$7+'5 Re-specification'!$B$5*E172+'5 Re-specification'!$B$6*F172)</f>
        <v>0.00302900844414644</v>
      </c>
      <c r="R172" s="30" t="n">
        <f aca="false">MIN(F172,Inputs!$B$9)</f>
        <v>167</v>
      </c>
      <c r="S172" s="29" t="n">
        <f aca="true">IF(AND(F172&gt;=1,R172&gt;=Inputs!$B$10),INDEX(LINEST(OFFSET(D172,-R172,0,R172,1),OFFSET(E172,-R172,0,R172,2)),1,1),"")</f>
        <v>-7.42289623552447E-005</v>
      </c>
      <c r="T172" s="29" t="n">
        <f aca="true">IF(AND(F172&gt;=1,R172&gt;=Inputs!$B$10),INDEX(LINEST(OFFSET(D172,-R172,0,R172,1),OFFSET(E172,-R172,0,R172,2)),1,2),"")</f>
        <v>1.02629732358023</v>
      </c>
      <c r="U172" s="29" t="n">
        <f aca="true">IF(AND(F172&gt;=1,R172&gt;=Inputs!$B$10),INDEX(LINEST(OFFSET(D172,-R172,0,R172,1),OFFSET(E172,-R172,0,R172,2)),1,3),"")</f>
        <v>4.37596592560852</v>
      </c>
      <c r="V172" s="29" t="n">
        <f aca="true">IF(AND(F172&gt;=1,R172&gt;=Inputs!$B$10),SQRT(SUMPRODUCT((OFFSET(D172,-R172,0,R172,1)-U172-T172*OFFSET(E172,-R172,0,R172,1)-S172*OFFSET(F172,-R172,0,R172,1))^2)/(R172-3)),"")</f>
        <v>0.00267713349824272</v>
      </c>
      <c r="W172" s="31" t="n">
        <f aca="false">IF(AND(F172&gt;=1,R172&gt;=Inputs!$B$10),(D172-U172-T172*E172-S172*F172)/V172,"")</f>
        <v>0.939877487893644</v>
      </c>
      <c r="X172" s="30" t="n">
        <f aca="false">IF(AB171&lt;&gt;0,AC171+1,0)</f>
        <v>0</v>
      </c>
      <c r="Y172" s="30" t="n">
        <f aca="false">IF(W172="",0,IF(AND(AB171&lt;&gt;0,OR(ABS(W172)&gt;Inputs!$B$7,X172&gt;=Inputs!$B$8,ABS(W172)&lt;Inputs!$B$6)),1,0))</f>
        <v>0</v>
      </c>
      <c r="Z172" s="30" t="n">
        <f aca="false">IF(Y172=1,0,AB171)</f>
        <v>0</v>
      </c>
      <c r="AA172" s="30" t="n">
        <f aca="false">IF(W172="",0,IF(AND(Z172=0,ABS(W172)&gt;Inputs!$B$5,ABS(W172)&lt;=Inputs!$B$7),1,0))</f>
        <v>0</v>
      </c>
      <c r="AB172" s="30" t="n">
        <f aca="false">IF(W172="",0,IF(AA172=1,-SIGN(W172),Z172))</f>
        <v>0</v>
      </c>
      <c r="AC172" s="30" t="n">
        <f aca="false">IF(W172="",0,IF(AA172=1,0,IF(Y172=1,0,X172)))</f>
        <v>0</v>
      </c>
      <c r="AD172" s="30" t="n">
        <f aca="false">IF(AB172=0,0,IF(AB171=AB172,AD171,T172))</f>
        <v>0</v>
      </c>
      <c r="AE172" s="30" t="n">
        <f aca="false">AB172-AB171</f>
        <v>0</v>
      </c>
      <c r="AF172" s="30" t="n">
        <f aca="false">-AD172*AB172</f>
        <v>-0</v>
      </c>
      <c r="AG172" s="30" t="n">
        <f aca="false">AF172-AF171</f>
        <v>0</v>
      </c>
      <c r="AH172" s="30" t="n">
        <f aca="false">MAX(AE172,0)*(Inputs!$B$17+Inputs!$B$18+Inputs!$B$19)+MAX(-AE172,0)*(O172+Inputs!$B$18+Inputs!$B$19)+IF(AND(K172=1,AB172&lt;&gt;0),(Inputs!$B$17+Inputs!$B$18+Inputs!$B$19)+(O172+Inputs!$B$18+Inputs!$B$19),0)+MAX(AG172,0)*(Inputs!$B$20+Inputs!$B$22+Inputs!$B$23)+MAX(-AG172,0)*(Inputs!$B$21+Inputs!$B$22+Inputs!$B$23)</f>
        <v>0</v>
      </c>
      <c r="AI172" s="30" t="n">
        <f aca="false">AB171*(M172-AD171*J172)+AB171*AD171*N172/Inputs!$B$16-AH172</f>
        <v>0</v>
      </c>
      <c r="AJ172" s="30" t="n">
        <f aca="false">MAX(AE172,0)*(Inputs!$B$17+Inputs!$B$24+Inputs!$B$25)+MAX(-AE172,0)*(O172+Inputs!$B$24+Inputs!$B$25)+IF(AND(K172=1,AB172&lt;&gt;0),(Inputs!$B$17+Inputs!$B$24+Inputs!$B$25)+(O172+Inputs!$B$24+Inputs!$B$25),0)+MAX(AG172,0)*(Inputs!$B$20+Inputs!$B$26+Inputs!$B$27)+MAX(-AG172,0)*(Inputs!$B$21+Inputs!$B$26+Inputs!$B$27)</f>
        <v>0</v>
      </c>
      <c r="AK172" s="30" t="n">
        <f aca="false">AB171*(M172-AD171*J172)+AB171*AD171*(N172+Inputs!$B$14)/Inputs!$B$16-AJ172</f>
        <v>0</v>
      </c>
      <c r="AL172" s="30" t="n">
        <f aca="false">IF(AP171&lt;&gt;0,AQ171+1,0)</f>
        <v>0</v>
      </c>
      <c r="AM172" s="30" t="n">
        <f aca="false">IF(W172="",0,IF(AND(AP171&lt;&gt;0,OR(ABS(W172)&gt;Inputs!$B$7,AL172&gt;=Inputs!$B$8,ABS(W172)&lt;Inputs!$B$6)),1,0))</f>
        <v>0</v>
      </c>
      <c r="AN172" s="30" t="n">
        <f aca="false">IF(AM172=1,0,AP171)</f>
        <v>0</v>
      </c>
      <c r="AO172" s="30" t="n">
        <f aca="false">IF(W172="",0,IF(AND(AN172=0,ABS(W172)&gt;Inputs!$B$5,ABS(W172)&lt;=Inputs!$B$7,W172&gt;0),1,0))</f>
        <v>0</v>
      </c>
      <c r="AP172" s="30" t="n">
        <f aca="false">IF(W172="",0,IF(AO172=1,-SIGN(W172),AN172))</f>
        <v>0</v>
      </c>
      <c r="AQ172" s="30" t="n">
        <f aca="false">IF(W172="",0,IF(AO172=1,0,IF(AM172=1,0,AL172)))</f>
        <v>0</v>
      </c>
      <c r="AR172" s="30" t="n">
        <f aca="false">IF(AP172=0,0,IF(AP171=AP172,AR171,T172))</f>
        <v>0</v>
      </c>
      <c r="AS172" s="30" t="n">
        <f aca="false">AP172-AP171</f>
        <v>0</v>
      </c>
      <c r="AT172" s="30" t="n">
        <f aca="false">-AR172*AP172</f>
        <v>-0</v>
      </c>
      <c r="AU172" s="30" t="n">
        <f aca="false">AT172-AT171</f>
        <v>0</v>
      </c>
      <c r="AV172" s="30" t="n">
        <f aca="false">MAX(AS172,0)*(Inputs!$B$17+Inputs!$B$18+Inputs!$B$19)+MAX(-AS172,0)*(O172+Inputs!$B$18+Inputs!$B$19)+IF(AND(K172=1,AP172&lt;&gt;0),(Inputs!$B$17+Inputs!$B$18+Inputs!$B$19)+(O172+Inputs!$B$18+Inputs!$B$19),0)+MAX(AU172,0)*(Inputs!$B$20+Inputs!$B$22+Inputs!$B$23)+MAX(-AU172,0)*(Inputs!$B$21+Inputs!$B$22+Inputs!$B$23)</f>
        <v>0</v>
      </c>
      <c r="AW172" s="30" t="n">
        <f aca="false">AP171*(M172-AR171*J172)+AP171*AR171*N172/Inputs!$B$16-AV172</f>
        <v>0</v>
      </c>
      <c r="AX172" s="30" t="n">
        <f aca="false">AW172-IF(AP171&lt;&gt;0,0.75*AR171*(Inputs!$B$13-N172)/Inputs!$B$16,0)</f>
        <v>0</v>
      </c>
      <c r="AY172" s="30" t="n">
        <f aca="false">MAX(AS172,0)*(Inputs!$B$17+Inputs!$B$18+Inputs!$B$19)+MAX(-AS172,0)*(O172+Inputs!$B$18+Inputs!$B$19)+IF(AND(K172=1,AP172&lt;&gt;0),(Inputs!$B$17+Inputs!$B$18+Inputs!$B$19)+(O172+Inputs!$B$18+Inputs!$B$19),0)</f>
        <v>0</v>
      </c>
      <c r="AZ172" s="30" t="n">
        <f aca="false">AP171*M172-AY172</f>
        <v>-0</v>
      </c>
      <c r="BA172" s="32" t="n">
        <f aca="false">BA171+AI172</f>
        <v>-0.00798192564175577</v>
      </c>
      <c r="BB172" s="30" t="n">
        <f aca="false">MAX(BB171,BA172)</f>
        <v>0</v>
      </c>
      <c r="BC172" s="32" t="n">
        <f aca="false">BA172-BB172</f>
        <v>-0.00798192564175577</v>
      </c>
      <c r="BD172" s="30" t="n">
        <f aca="false">A173-A172</f>
        <v>1</v>
      </c>
    </row>
    <row r="173" customFormat="false" ht="15" hidden="false" customHeight="false" outlineLevel="0" collapsed="false">
      <c r="A173" s="28" t="n">
        <v>45294</v>
      </c>
      <c r="B173" s="0" t="n">
        <v>21597.7</v>
      </c>
      <c r="C173" s="0" t="n">
        <v>237.8</v>
      </c>
      <c r="D173" s="29" t="n">
        <f aca="false">LN(B173)</f>
        <v>9.98034210652122</v>
      </c>
      <c r="E173" s="29" t="n">
        <f aca="false">LN(C173)</f>
        <v>5.47142998425668</v>
      </c>
      <c r="F173" s="0" t="n">
        <v>168</v>
      </c>
      <c r="G173" s="0" t="n">
        <v>22</v>
      </c>
      <c r="H173" s="29" t="n">
        <f aca="false">D173-E173</f>
        <v>4.50891212226454</v>
      </c>
      <c r="I173" s="29" t="n">
        <f aca="false">D173-D172</f>
        <v>-0.00721082113257765</v>
      </c>
      <c r="J173" s="29" t="n">
        <f aca="false">E173-E172</f>
        <v>-0.00599544801580887</v>
      </c>
      <c r="K173" s="0" t="n">
        <v>0</v>
      </c>
      <c r="L173" s="0" t="n">
        <v>0</v>
      </c>
      <c r="M173" s="29" t="n">
        <f aca="false">IF(L173=1,J173-Carry!$B$9/Inputs!$B$16,I173)</f>
        <v>-0.00721082113257765</v>
      </c>
      <c r="N173" s="0" t="n">
        <v>0.065</v>
      </c>
      <c r="O173" s="0" t="n">
        <v>0.000125</v>
      </c>
      <c r="P173" s="29" t="n">
        <f aca="false">D173-('2 Hedge ratio'!$B$6+'2 Hedge ratio'!$B$5*E173)</f>
        <v>0.00599860525061935</v>
      </c>
      <c r="Q173" s="29" t="n">
        <f aca="false">D173-('5 Re-specification'!$B$7+'5 Re-specification'!$B$5*E173+'5 Re-specification'!$B$6*F173)</f>
        <v>0.00184039544013537</v>
      </c>
      <c r="R173" s="30" t="n">
        <f aca="false">MIN(F173,Inputs!$B$9)</f>
        <v>168</v>
      </c>
      <c r="S173" s="29" t="n">
        <f aca="true">IF(AND(F173&gt;=1,R173&gt;=Inputs!$B$10),INDEX(LINEST(OFFSET(D173,-R173,0,R173,1),OFFSET(E173,-R173,0,R173,2)),1,1),"")</f>
        <v>-7.46260874402879E-005</v>
      </c>
      <c r="T173" s="29" t="n">
        <f aca="true">IF(AND(F173&gt;=1,R173&gt;=Inputs!$B$10),INDEX(LINEST(OFFSET(D173,-R173,0,R173,1),OFFSET(E173,-R173,0,R173,2)),1,2),"")</f>
        <v>1.02746784208171</v>
      </c>
      <c r="U173" s="29" t="n">
        <f aca="true">IF(AND(F173&gt;=1,R173&gt;=Inputs!$B$10),INDEX(LINEST(OFFSET(D173,-R173,0,R173,1),OFFSET(E173,-R173,0,R173,2)),1,3),"")</f>
        <v>4.36972864082655</v>
      </c>
      <c r="V173" s="29" t="n">
        <f aca="true">IF(AND(F173&gt;=1,R173&gt;=Inputs!$B$10),SQRT(SUMPRODUCT((OFFSET(D173,-R173,0,R173,1)-U173-T173*OFFSET(E173,-R173,0,R173,1)-S173*OFFSET(F173,-R173,0,R173,1))^2)/(R173-3)),"")</f>
        <v>0.00267587994583812</v>
      </c>
      <c r="W173" s="31" t="n">
        <f aca="false">IF(AND(F173&gt;=1,R173&gt;=Inputs!$B$10),(D173-U173-T173*E173-S173*F173)/V173,"")</f>
        <v>0.535259200060056</v>
      </c>
      <c r="X173" s="30" t="n">
        <f aca="false">IF(AB172&lt;&gt;0,AC172+1,0)</f>
        <v>0</v>
      </c>
      <c r="Y173" s="30" t="n">
        <f aca="false">IF(W173="",0,IF(AND(AB172&lt;&gt;0,OR(ABS(W173)&gt;Inputs!$B$7,X173&gt;=Inputs!$B$8,ABS(W173)&lt;Inputs!$B$6)),1,0))</f>
        <v>0</v>
      </c>
      <c r="Z173" s="30" t="n">
        <f aca="false">IF(Y173=1,0,AB172)</f>
        <v>0</v>
      </c>
      <c r="AA173" s="30" t="n">
        <f aca="false">IF(W173="",0,IF(AND(Z173=0,ABS(W173)&gt;Inputs!$B$5,ABS(W173)&lt;=Inputs!$B$7),1,0))</f>
        <v>0</v>
      </c>
      <c r="AB173" s="30" t="n">
        <f aca="false">IF(W173="",0,IF(AA173=1,-SIGN(W173),Z173))</f>
        <v>0</v>
      </c>
      <c r="AC173" s="30" t="n">
        <f aca="false">IF(W173="",0,IF(AA173=1,0,IF(Y173=1,0,X173)))</f>
        <v>0</v>
      </c>
      <c r="AD173" s="30" t="n">
        <f aca="false">IF(AB173=0,0,IF(AB172=AB173,AD172,T173))</f>
        <v>0</v>
      </c>
      <c r="AE173" s="30" t="n">
        <f aca="false">AB173-AB172</f>
        <v>0</v>
      </c>
      <c r="AF173" s="30" t="n">
        <f aca="false">-AD173*AB173</f>
        <v>-0</v>
      </c>
      <c r="AG173" s="30" t="n">
        <f aca="false">AF173-AF172</f>
        <v>0</v>
      </c>
      <c r="AH173" s="30" t="n">
        <f aca="false">MAX(AE173,0)*(Inputs!$B$17+Inputs!$B$18+Inputs!$B$19)+MAX(-AE173,0)*(O173+Inputs!$B$18+Inputs!$B$19)+IF(AND(K173=1,AB173&lt;&gt;0),(Inputs!$B$17+Inputs!$B$18+Inputs!$B$19)+(O173+Inputs!$B$18+Inputs!$B$19),0)+MAX(AG173,0)*(Inputs!$B$20+Inputs!$B$22+Inputs!$B$23)+MAX(-AG173,0)*(Inputs!$B$21+Inputs!$B$22+Inputs!$B$23)</f>
        <v>0</v>
      </c>
      <c r="AI173" s="30" t="n">
        <f aca="false">AB172*(M173-AD172*J173)+AB172*AD172*N173/Inputs!$B$16-AH173</f>
        <v>0</v>
      </c>
      <c r="AJ173" s="30" t="n">
        <f aca="false">MAX(AE173,0)*(Inputs!$B$17+Inputs!$B$24+Inputs!$B$25)+MAX(-AE173,0)*(O173+Inputs!$B$24+Inputs!$B$25)+IF(AND(K173=1,AB173&lt;&gt;0),(Inputs!$B$17+Inputs!$B$24+Inputs!$B$25)+(O173+Inputs!$B$24+Inputs!$B$25),0)+MAX(AG173,0)*(Inputs!$B$20+Inputs!$B$26+Inputs!$B$27)+MAX(-AG173,0)*(Inputs!$B$21+Inputs!$B$26+Inputs!$B$27)</f>
        <v>0</v>
      </c>
      <c r="AK173" s="30" t="n">
        <f aca="false">AB172*(M173-AD172*J173)+AB172*AD172*(N173+Inputs!$B$14)/Inputs!$B$16-AJ173</f>
        <v>0</v>
      </c>
      <c r="AL173" s="30" t="n">
        <f aca="false">IF(AP172&lt;&gt;0,AQ172+1,0)</f>
        <v>0</v>
      </c>
      <c r="AM173" s="30" t="n">
        <f aca="false">IF(W173="",0,IF(AND(AP172&lt;&gt;0,OR(ABS(W173)&gt;Inputs!$B$7,AL173&gt;=Inputs!$B$8,ABS(W173)&lt;Inputs!$B$6)),1,0))</f>
        <v>0</v>
      </c>
      <c r="AN173" s="30" t="n">
        <f aca="false">IF(AM173=1,0,AP172)</f>
        <v>0</v>
      </c>
      <c r="AO173" s="30" t="n">
        <f aca="false">IF(W173="",0,IF(AND(AN173=0,ABS(W173)&gt;Inputs!$B$5,ABS(W173)&lt;=Inputs!$B$7,W173&gt;0),1,0))</f>
        <v>0</v>
      </c>
      <c r="AP173" s="30" t="n">
        <f aca="false">IF(W173="",0,IF(AO173=1,-SIGN(W173),AN173))</f>
        <v>0</v>
      </c>
      <c r="AQ173" s="30" t="n">
        <f aca="false">IF(W173="",0,IF(AO173=1,0,IF(AM173=1,0,AL173)))</f>
        <v>0</v>
      </c>
      <c r="AR173" s="30" t="n">
        <f aca="false">IF(AP173=0,0,IF(AP172=AP173,AR172,T173))</f>
        <v>0</v>
      </c>
      <c r="AS173" s="30" t="n">
        <f aca="false">AP173-AP172</f>
        <v>0</v>
      </c>
      <c r="AT173" s="30" t="n">
        <f aca="false">-AR173*AP173</f>
        <v>-0</v>
      </c>
      <c r="AU173" s="30" t="n">
        <f aca="false">AT173-AT172</f>
        <v>0</v>
      </c>
      <c r="AV173" s="30" t="n">
        <f aca="false">MAX(AS173,0)*(Inputs!$B$17+Inputs!$B$18+Inputs!$B$19)+MAX(-AS173,0)*(O173+Inputs!$B$18+Inputs!$B$19)+IF(AND(K173=1,AP173&lt;&gt;0),(Inputs!$B$17+Inputs!$B$18+Inputs!$B$19)+(O173+Inputs!$B$18+Inputs!$B$19),0)+MAX(AU173,0)*(Inputs!$B$20+Inputs!$B$22+Inputs!$B$23)+MAX(-AU173,0)*(Inputs!$B$21+Inputs!$B$22+Inputs!$B$23)</f>
        <v>0</v>
      </c>
      <c r="AW173" s="30" t="n">
        <f aca="false">AP172*(M173-AR172*J173)+AP172*AR172*N173/Inputs!$B$16-AV173</f>
        <v>0</v>
      </c>
      <c r="AX173" s="30" t="n">
        <f aca="false">AW173-IF(AP172&lt;&gt;0,0.75*AR172*(Inputs!$B$13-N173)/Inputs!$B$16,0)</f>
        <v>0</v>
      </c>
      <c r="AY173" s="30" t="n">
        <f aca="false">MAX(AS173,0)*(Inputs!$B$17+Inputs!$B$18+Inputs!$B$19)+MAX(-AS173,0)*(O173+Inputs!$B$18+Inputs!$B$19)+IF(AND(K173=1,AP173&lt;&gt;0),(Inputs!$B$17+Inputs!$B$18+Inputs!$B$19)+(O173+Inputs!$B$18+Inputs!$B$19),0)</f>
        <v>0</v>
      </c>
      <c r="AZ173" s="30" t="n">
        <f aca="false">AP172*M173-AY173</f>
        <v>-0</v>
      </c>
      <c r="BA173" s="32" t="n">
        <f aca="false">BA172+AI173</f>
        <v>-0.00798192564175577</v>
      </c>
      <c r="BB173" s="30" t="n">
        <f aca="false">MAX(BB172,BA173)</f>
        <v>0</v>
      </c>
      <c r="BC173" s="32" t="n">
        <f aca="false">BA173-BB173</f>
        <v>-0.00798192564175577</v>
      </c>
      <c r="BD173" s="30" t="n">
        <f aca="false">A174-A173</f>
        <v>1</v>
      </c>
    </row>
    <row r="174" customFormat="false" ht="15" hidden="false" customHeight="false" outlineLevel="0" collapsed="false">
      <c r="A174" s="28" t="n">
        <v>45295</v>
      </c>
      <c r="B174" s="0" t="n">
        <v>21807.05</v>
      </c>
      <c r="C174" s="0" t="n">
        <v>239.48</v>
      </c>
      <c r="D174" s="29" t="n">
        <f aca="false">LN(B174)</f>
        <v>9.98998859099186</v>
      </c>
      <c r="E174" s="29" t="n">
        <f aca="false">LN(C174)</f>
        <v>5.47846990605715</v>
      </c>
      <c r="F174" s="0" t="n">
        <v>169</v>
      </c>
      <c r="G174" s="0" t="n">
        <v>21</v>
      </c>
      <c r="H174" s="29" t="n">
        <f aca="false">D174-E174</f>
        <v>4.51151868493471</v>
      </c>
      <c r="I174" s="29" t="n">
        <f aca="false">D174-D173</f>
        <v>0.00964648447064498</v>
      </c>
      <c r="J174" s="29" t="n">
        <f aca="false">E174-E173</f>
        <v>0.00703992180047042</v>
      </c>
      <c r="K174" s="0" t="n">
        <v>0</v>
      </c>
      <c r="L174" s="0" t="n">
        <v>0</v>
      </c>
      <c r="M174" s="29" t="n">
        <f aca="false">IF(L174=1,J174-Carry!$B$9/Inputs!$B$16,I174)</f>
        <v>0.00964648447064498</v>
      </c>
      <c r="N174" s="0" t="n">
        <v>0.065</v>
      </c>
      <c r="O174" s="0" t="n">
        <v>0.000125</v>
      </c>
      <c r="P174" s="29" t="n">
        <f aca="false">D174-('2 Hedge ratio'!$B$6+'2 Hedge ratio'!$B$5*E174)</f>
        <v>0.00919562897684934</v>
      </c>
      <c r="Q174" s="29" t="n">
        <f aca="false">D174-('5 Re-specification'!$B$7+'5 Re-specification'!$B$5*E174+'5 Re-specification'!$B$6*F174)</f>
        <v>0.00451322191157111</v>
      </c>
      <c r="R174" s="30" t="n">
        <f aca="false">MIN(F174,Inputs!$B$9)</f>
        <v>169</v>
      </c>
      <c r="S174" s="29" t="n">
        <f aca="true">IF(AND(F174&gt;=1,R174&gt;=Inputs!$B$10),INDEX(LINEST(OFFSET(D174,-R174,0,R174,1),OFFSET(E174,-R174,0,R174,2)),1,1),"")</f>
        <v>-7.47568870917048E-005</v>
      </c>
      <c r="T174" s="29" t="n">
        <f aca="true">IF(AND(F174&gt;=1,R174&gt;=Inputs!$B$10),INDEX(LINEST(OFFSET(D174,-R174,0,R174,1),OFFSET(E174,-R174,0,R174,2)),1,2),"")</f>
        <v>1.02800472371741</v>
      </c>
      <c r="U174" s="29" t="n">
        <f aca="true">IF(AND(F174&gt;=1,R174&gt;=Inputs!$B$10),INDEX(LINEST(OFFSET(D174,-R174,0,R174,1),OFFSET(E174,-R174,0,R174,2)),1,3),"")</f>
        <v>4.36686484610769</v>
      </c>
      <c r="V174" s="29" t="n">
        <f aca="true">IF(AND(F174&gt;=1,R174&gt;=Inputs!$B$10),SQRT(SUMPRODUCT((OFFSET(D174,-R174,0,R174,1)-U174-T174*OFFSET(E174,-R174,0,R174,1)-S174*OFFSET(F174,-R174,0,R174,1))^2)/(R174-3)),"")</f>
        <v>0.00267003944892087</v>
      </c>
      <c r="W174" s="31" t="n">
        <f aca="false">IF(AND(F174&gt;=1,R174&gt;=Inputs!$B$10),(D174-U174-T174*E174-S174*F174)/V174,"")</f>
        <v>1.44743802710807</v>
      </c>
      <c r="X174" s="30" t="n">
        <f aca="false">IF(AB173&lt;&gt;0,AC173+1,0)</f>
        <v>0</v>
      </c>
      <c r="Y174" s="30" t="n">
        <f aca="false">IF(W174="",0,IF(AND(AB173&lt;&gt;0,OR(ABS(W174)&gt;Inputs!$B$7,X174&gt;=Inputs!$B$8,ABS(W174)&lt;Inputs!$B$6)),1,0))</f>
        <v>0</v>
      </c>
      <c r="Z174" s="30" t="n">
        <f aca="false">IF(Y174=1,0,AB173)</f>
        <v>0</v>
      </c>
      <c r="AA174" s="30" t="n">
        <f aca="false">IF(W174="",0,IF(AND(Z174=0,ABS(W174)&gt;Inputs!$B$5,ABS(W174)&lt;=Inputs!$B$7),1,0))</f>
        <v>0</v>
      </c>
      <c r="AB174" s="30" t="n">
        <f aca="false">IF(W174="",0,IF(AA174=1,-SIGN(W174),Z174))</f>
        <v>0</v>
      </c>
      <c r="AC174" s="30" t="n">
        <f aca="false">IF(W174="",0,IF(AA174=1,0,IF(Y174=1,0,X174)))</f>
        <v>0</v>
      </c>
      <c r="AD174" s="30" t="n">
        <f aca="false">IF(AB174=0,0,IF(AB173=AB174,AD173,T174))</f>
        <v>0</v>
      </c>
      <c r="AE174" s="30" t="n">
        <f aca="false">AB174-AB173</f>
        <v>0</v>
      </c>
      <c r="AF174" s="30" t="n">
        <f aca="false">-AD174*AB174</f>
        <v>-0</v>
      </c>
      <c r="AG174" s="30" t="n">
        <f aca="false">AF174-AF173</f>
        <v>0</v>
      </c>
      <c r="AH174" s="30" t="n">
        <f aca="false">MAX(AE174,0)*(Inputs!$B$17+Inputs!$B$18+Inputs!$B$19)+MAX(-AE174,0)*(O174+Inputs!$B$18+Inputs!$B$19)+IF(AND(K174=1,AB174&lt;&gt;0),(Inputs!$B$17+Inputs!$B$18+Inputs!$B$19)+(O174+Inputs!$B$18+Inputs!$B$19),0)+MAX(AG174,0)*(Inputs!$B$20+Inputs!$B$22+Inputs!$B$23)+MAX(-AG174,0)*(Inputs!$B$21+Inputs!$B$22+Inputs!$B$23)</f>
        <v>0</v>
      </c>
      <c r="AI174" s="30" t="n">
        <f aca="false">AB173*(M174-AD173*J174)+AB173*AD173*N174/Inputs!$B$16-AH174</f>
        <v>0</v>
      </c>
      <c r="AJ174" s="30" t="n">
        <f aca="false">MAX(AE174,0)*(Inputs!$B$17+Inputs!$B$24+Inputs!$B$25)+MAX(-AE174,0)*(O174+Inputs!$B$24+Inputs!$B$25)+IF(AND(K174=1,AB174&lt;&gt;0),(Inputs!$B$17+Inputs!$B$24+Inputs!$B$25)+(O174+Inputs!$B$24+Inputs!$B$25),0)+MAX(AG174,0)*(Inputs!$B$20+Inputs!$B$26+Inputs!$B$27)+MAX(-AG174,0)*(Inputs!$B$21+Inputs!$B$26+Inputs!$B$27)</f>
        <v>0</v>
      </c>
      <c r="AK174" s="30" t="n">
        <f aca="false">AB173*(M174-AD173*J174)+AB173*AD173*(N174+Inputs!$B$14)/Inputs!$B$16-AJ174</f>
        <v>0</v>
      </c>
      <c r="AL174" s="30" t="n">
        <f aca="false">IF(AP173&lt;&gt;0,AQ173+1,0)</f>
        <v>0</v>
      </c>
      <c r="AM174" s="30" t="n">
        <f aca="false">IF(W174="",0,IF(AND(AP173&lt;&gt;0,OR(ABS(W174)&gt;Inputs!$B$7,AL174&gt;=Inputs!$B$8,ABS(W174)&lt;Inputs!$B$6)),1,0))</f>
        <v>0</v>
      </c>
      <c r="AN174" s="30" t="n">
        <f aca="false">IF(AM174=1,0,AP173)</f>
        <v>0</v>
      </c>
      <c r="AO174" s="30" t="n">
        <f aca="false">IF(W174="",0,IF(AND(AN174=0,ABS(W174)&gt;Inputs!$B$5,ABS(W174)&lt;=Inputs!$B$7,W174&gt;0),1,0))</f>
        <v>0</v>
      </c>
      <c r="AP174" s="30" t="n">
        <f aca="false">IF(W174="",0,IF(AO174=1,-SIGN(W174),AN174))</f>
        <v>0</v>
      </c>
      <c r="AQ174" s="30" t="n">
        <f aca="false">IF(W174="",0,IF(AO174=1,0,IF(AM174=1,0,AL174)))</f>
        <v>0</v>
      </c>
      <c r="AR174" s="30" t="n">
        <f aca="false">IF(AP174=0,0,IF(AP173=AP174,AR173,T174))</f>
        <v>0</v>
      </c>
      <c r="AS174" s="30" t="n">
        <f aca="false">AP174-AP173</f>
        <v>0</v>
      </c>
      <c r="AT174" s="30" t="n">
        <f aca="false">-AR174*AP174</f>
        <v>-0</v>
      </c>
      <c r="AU174" s="30" t="n">
        <f aca="false">AT174-AT173</f>
        <v>0</v>
      </c>
      <c r="AV174" s="30" t="n">
        <f aca="false">MAX(AS174,0)*(Inputs!$B$17+Inputs!$B$18+Inputs!$B$19)+MAX(-AS174,0)*(O174+Inputs!$B$18+Inputs!$B$19)+IF(AND(K174=1,AP174&lt;&gt;0),(Inputs!$B$17+Inputs!$B$18+Inputs!$B$19)+(O174+Inputs!$B$18+Inputs!$B$19),0)+MAX(AU174,0)*(Inputs!$B$20+Inputs!$B$22+Inputs!$B$23)+MAX(-AU174,0)*(Inputs!$B$21+Inputs!$B$22+Inputs!$B$23)</f>
        <v>0</v>
      </c>
      <c r="AW174" s="30" t="n">
        <f aca="false">AP173*(M174-AR173*J174)+AP173*AR173*N174/Inputs!$B$16-AV174</f>
        <v>0</v>
      </c>
      <c r="AX174" s="30" t="n">
        <f aca="false">AW174-IF(AP173&lt;&gt;0,0.75*AR173*(Inputs!$B$13-N174)/Inputs!$B$16,0)</f>
        <v>0</v>
      </c>
      <c r="AY174" s="30" t="n">
        <f aca="false">MAX(AS174,0)*(Inputs!$B$17+Inputs!$B$18+Inputs!$B$19)+MAX(-AS174,0)*(O174+Inputs!$B$18+Inputs!$B$19)+IF(AND(K174=1,AP174&lt;&gt;0),(Inputs!$B$17+Inputs!$B$18+Inputs!$B$19)+(O174+Inputs!$B$18+Inputs!$B$19),0)</f>
        <v>0</v>
      </c>
      <c r="AZ174" s="30" t="n">
        <f aca="false">AP173*M174-AY174</f>
        <v>0</v>
      </c>
      <c r="BA174" s="32" t="n">
        <f aca="false">BA173+AI174</f>
        <v>-0.00798192564175577</v>
      </c>
      <c r="BB174" s="30" t="n">
        <f aca="false">MAX(BB173,BA174)</f>
        <v>0</v>
      </c>
      <c r="BC174" s="32" t="n">
        <f aca="false">BA174-BB174</f>
        <v>-0.00798192564175577</v>
      </c>
      <c r="BD174" s="30" t="n">
        <f aca="false">A175-A174</f>
        <v>1</v>
      </c>
    </row>
    <row r="175" customFormat="false" ht="15" hidden="false" customHeight="false" outlineLevel="0" collapsed="false">
      <c r="A175" s="28" t="n">
        <v>45296</v>
      </c>
      <c r="B175" s="0" t="n">
        <v>21788</v>
      </c>
      <c r="C175" s="0" t="n">
        <v>239.88</v>
      </c>
      <c r="D175" s="29" t="n">
        <f aca="false">LN(B175)</f>
        <v>9.98911463850357</v>
      </c>
      <c r="E175" s="29" t="n">
        <f aca="false">LN(C175)</f>
        <v>5.48013879830031</v>
      </c>
      <c r="F175" s="0" t="n">
        <v>170</v>
      </c>
      <c r="G175" s="0" t="n">
        <v>20</v>
      </c>
      <c r="H175" s="29" t="n">
        <f aca="false">D175-E175</f>
        <v>4.50897584020326</v>
      </c>
      <c r="I175" s="29" t="n">
        <f aca="false">D175-D174</f>
        <v>-0.000873952488298357</v>
      </c>
      <c r="J175" s="29" t="n">
        <f aca="false">E175-E174</f>
        <v>0.00166889224315714</v>
      </c>
      <c r="K175" s="0" t="n">
        <v>0</v>
      </c>
      <c r="L175" s="0" t="n">
        <v>0</v>
      </c>
      <c r="M175" s="29" t="n">
        <f aca="false">IF(L175=1,J175-Carry!$B$9/Inputs!$B$16,I175)</f>
        <v>-0.000873952488298357</v>
      </c>
      <c r="N175" s="0" t="n">
        <v>0.065</v>
      </c>
      <c r="O175" s="0" t="n">
        <v>0.000125</v>
      </c>
      <c r="P175" s="29" t="n">
        <f aca="false">D175-('2 Hedge ratio'!$B$6+'2 Hedge ratio'!$B$5*E175)</f>
        <v>0.00679275964629511</v>
      </c>
      <c r="Q175" s="29" t="n">
        <f aca="false">D175-('5 Re-specification'!$B$7+'5 Re-specification'!$B$5*E175+'5 Re-specification'!$B$6*F175)</f>
        <v>0.00202036407618955</v>
      </c>
      <c r="R175" s="30" t="n">
        <f aca="false">MIN(F175,Inputs!$B$9)</f>
        <v>170</v>
      </c>
      <c r="S175" s="29" t="n">
        <f aca="true">IF(AND(F175&gt;=1,R175&gt;=Inputs!$B$10),INDEX(LINEST(OFFSET(D175,-R175,0,R175,1),OFFSET(E175,-R175,0,R175,2)),1,1),"")</f>
        <v>-7.52921283808244E-005</v>
      </c>
      <c r="T175" s="29" t="n">
        <f aca="true">IF(AND(F175&gt;=1,R175&gt;=Inputs!$B$10),INDEX(LINEST(OFFSET(D175,-R175,0,R175,1),OFFSET(E175,-R175,0,R175,2)),1,2),"")</f>
        <v>1.02965225855306</v>
      </c>
      <c r="U175" s="29" t="n">
        <f aca="true">IF(AND(F175&gt;=1,R175&gt;=Inputs!$B$10),INDEX(LINEST(OFFSET(D175,-R175,0,R175,1),OFFSET(E175,-R175,0,R175,2)),1,3),"")</f>
        <v>4.35808387629739</v>
      </c>
      <c r="V175" s="29" t="n">
        <f aca="true">IF(AND(F175&gt;=1,R175&gt;=Inputs!$B$10),SQRT(SUMPRODUCT((OFFSET(D175,-R175,0,R175,1)-U175-T175*OFFSET(E175,-R175,0,R175,1)-S175*OFFSET(F175,-R175,0,R175,1))^2)/(R175-3)),"")</f>
        <v>0.00267811169241285</v>
      </c>
      <c r="W175" s="31" t="n">
        <f aca="false">IF(AND(F175&gt;=1,R175&gt;=Inputs!$B$10),(D175-U175-T175*E175-S175*F175)/V175,"")</f>
        <v>0.445512851505474</v>
      </c>
      <c r="X175" s="30" t="n">
        <f aca="false">IF(AB174&lt;&gt;0,AC174+1,0)</f>
        <v>0</v>
      </c>
      <c r="Y175" s="30" t="n">
        <f aca="false">IF(W175="",0,IF(AND(AB174&lt;&gt;0,OR(ABS(W175)&gt;Inputs!$B$7,X175&gt;=Inputs!$B$8,ABS(W175)&lt;Inputs!$B$6)),1,0))</f>
        <v>0</v>
      </c>
      <c r="Z175" s="30" t="n">
        <f aca="false">IF(Y175=1,0,AB174)</f>
        <v>0</v>
      </c>
      <c r="AA175" s="30" t="n">
        <f aca="false">IF(W175="",0,IF(AND(Z175=0,ABS(W175)&gt;Inputs!$B$5,ABS(W175)&lt;=Inputs!$B$7),1,0))</f>
        <v>0</v>
      </c>
      <c r="AB175" s="30" t="n">
        <f aca="false">IF(W175="",0,IF(AA175=1,-SIGN(W175),Z175))</f>
        <v>0</v>
      </c>
      <c r="AC175" s="30" t="n">
        <f aca="false">IF(W175="",0,IF(AA175=1,0,IF(Y175=1,0,X175)))</f>
        <v>0</v>
      </c>
      <c r="AD175" s="30" t="n">
        <f aca="false">IF(AB175=0,0,IF(AB174=AB175,AD174,T175))</f>
        <v>0</v>
      </c>
      <c r="AE175" s="30" t="n">
        <f aca="false">AB175-AB174</f>
        <v>0</v>
      </c>
      <c r="AF175" s="30" t="n">
        <f aca="false">-AD175*AB175</f>
        <v>-0</v>
      </c>
      <c r="AG175" s="30" t="n">
        <f aca="false">AF175-AF174</f>
        <v>0</v>
      </c>
      <c r="AH175" s="30" t="n">
        <f aca="false">MAX(AE175,0)*(Inputs!$B$17+Inputs!$B$18+Inputs!$B$19)+MAX(-AE175,0)*(O175+Inputs!$B$18+Inputs!$B$19)+IF(AND(K175=1,AB175&lt;&gt;0),(Inputs!$B$17+Inputs!$B$18+Inputs!$B$19)+(O175+Inputs!$B$18+Inputs!$B$19),0)+MAX(AG175,0)*(Inputs!$B$20+Inputs!$B$22+Inputs!$B$23)+MAX(-AG175,0)*(Inputs!$B$21+Inputs!$B$22+Inputs!$B$23)</f>
        <v>0</v>
      </c>
      <c r="AI175" s="30" t="n">
        <f aca="false">AB174*(M175-AD174*J175)+AB174*AD174*N175/Inputs!$B$16-AH175</f>
        <v>0</v>
      </c>
      <c r="AJ175" s="30" t="n">
        <f aca="false">MAX(AE175,0)*(Inputs!$B$17+Inputs!$B$24+Inputs!$B$25)+MAX(-AE175,0)*(O175+Inputs!$B$24+Inputs!$B$25)+IF(AND(K175=1,AB175&lt;&gt;0),(Inputs!$B$17+Inputs!$B$24+Inputs!$B$25)+(O175+Inputs!$B$24+Inputs!$B$25),0)+MAX(AG175,0)*(Inputs!$B$20+Inputs!$B$26+Inputs!$B$27)+MAX(-AG175,0)*(Inputs!$B$21+Inputs!$B$26+Inputs!$B$27)</f>
        <v>0</v>
      </c>
      <c r="AK175" s="30" t="n">
        <f aca="false">AB174*(M175-AD174*J175)+AB174*AD174*(N175+Inputs!$B$14)/Inputs!$B$16-AJ175</f>
        <v>0</v>
      </c>
      <c r="AL175" s="30" t="n">
        <f aca="false">IF(AP174&lt;&gt;0,AQ174+1,0)</f>
        <v>0</v>
      </c>
      <c r="AM175" s="30" t="n">
        <f aca="false">IF(W175="",0,IF(AND(AP174&lt;&gt;0,OR(ABS(W175)&gt;Inputs!$B$7,AL175&gt;=Inputs!$B$8,ABS(W175)&lt;Inputs!$B$6)),1,0))</f>
        <v>0</v>
      </c>
      <c r="AN175" s="30" t="n">
        <f aca="false">IF(AM175=1,0,AP174)</f>
        <v>0</v>
      </c>
      <c r="AO175" s="30" t="n">
        <f aca="false">IF(W175="",0,IF(AND(AN175=0,ABS(W175)&gt;Inputs!$B$5,ABS(W175)&lt;=Inputs!$B$7,W175&gt;0),1,0))</f>
        <v>0</v>
      </c>
      <c r="AP175" s="30" t="n">
        <f aca="false">IF(W175="",0,IF(AO175=1,-SIGN(W175),AN175))</f>
        <v>0</v>
      </c>
      <c r="AQ175" s="30" t="n">
        <f aca="false">IF(W175="",0,IF(AO175=1,0,IF(AM175=1,0,AL175)))</f>
        <v>0</v>
      </c>
      <c r="AR175" s="30" t="n">
        <f aca="false">IF(AP175=0,0,IF(AP174=AP175,AR174,T175))</f>
        <v>0</v>
      </c>
      <c r="AS175" s="30" t="n">
        <f aca="false">AP175-AP174</f>
        <v>0</v>
      </c>
      <c r="AT175" s="30" t="n">
        <f aca="false">-AR175*AP175</f>
        <v>-0</v>
      </c>
      <c r="AU175" s="30" t="n">
        <f aca="false">AT175-AT174</f>
        <v>0</v>
      </c>
      <c r="AV175" s="30" t="n">
        <f aca="false">MAX(AS175,0)*(Inputs!$B$17+Inputs!$B$18+Inputs!$B$19)+MAX(-AS175,0)*(O175+Inputs!$B$18+Inputs!$B$19)+IF(AND(K175=1,AP175&lt;&gt;0),(Inputs!$B$17+Inputs!$B$18+Inputs!$B$19)+(O175+Inputs!$B$18+Inputs!$B$19),0)+MAX(AU175,0)*(Inputs!$B$20+Inputs!$B$22+Inputs!$B$23)+MAX(-AU175,0)*(Inputs!$B$21+Inputs!$B$22+Inputs!$B$23)</f>
        <v>0</v>
      </c>
      <c r="AW175" s="30" t="n">
        <f aca="false">AP174*(M175-AR174*J175)+AP174*AR174*N175/Inputs!$B$16-AV175</f>
        <v>0</v>
      </c>
      <c r="AX175" s="30" t="n">
        <f aca="false">AW175-IF(AP174&lt;&gt;0,0.75*AR174*(Inputs!$B$13-N175)/Inputs!$B$16,0)</f>
        <v>0</v>
      </c>
      <c r="AY175" s="30" t="n">
        <f aca="false">MAX(AS175,0)*(Inputs!$B$17+Inputs!$B$18+Inputs!$B$19)+MAX(-AS175,0)*(O175+Inputs!$B$18+Inputs!$B$19)+IF(AND(K175=1,AP175&lt;&gt;0),(Inputs!$B$17+Inputs!$B$18+Inputs!$B$19)+(O175+Inputs!$B$18+Inputs!$B$19),0)</f>
        <v>0</v>
      </c>
      <c r="AZ175" s="30" t="n">
        <f aca="false">AP174*M175-AY175</f>
        <v>-0</v>
      </c>
      <c r="BA175" s="32" t="n">
        <f aca="false">BA174+AI175</f>
        <v>-0.00798192564175577</v>
      </c>
      <c r="BB175" s="30" t="n">
        <f aca="false">MAX(BB174,BA175)</f>
        <v>0</v>
      </c>
      <c r="BC175" s="32" t="n">
        <f aca="false">BA175-BB175</f>
        <v>-0.00798192564175577</v>
      </c>
      <c r="BD175" s="30" t="n">
        <f aca="false">A176-A175</f>
        <v>3</v>
      </c>
    </row>
    <row r="176" customFormat="false" ht="15" hidden="false" customHeight="false" outlineLevel="0" collapsed="false">
      <c r="A176" s="28" t="n">
        <v>45299</v>
      </c>
      <c r="B176" s="0" t="n">
        <v>21568</v>
      </c>
      <c r="C176" s="0" t="n">
        <v>237.96</v>
      </c>
      <c r="D176" s="29" t="n">
        <f aca="false">LN(B176)</f>
        <v>9.97896601371203</v>
      </c>
      <c r="E176" s="29" t="n">
        <f aca="false">LN(C176)</f>
        <v>5.47210259231971</v>
      </c>
      <c r="F176" s="0" t="n">
        <v>171</v>
      </c>
      <c r="G176" s="0" t="n">
        <v>17</v>
      </c>
      <c r="H176" s="29" t="n">
        <f aca="false">D176-E176</f>
        <v>4.50686342139233</v>
      </c>
      <c r="I176" s="29" t="n">
        <f aca="false">D176-D175</f>
        <v>-0.0101486247915314</v>
      </c>
      <c r="J176" s="29" t="n">
        <f aca="false">E176-E175</f>
        <v>-0.00803620598060384</v>
      </c>
      <c r="K176" s="0" t="n">
        <v>0</v>
      </c>
      <c r="L176" s="0" t="n">
        <v>0</v>
      </c>
      <c r="M176" s="29" t="n">
        <f aca="false">IF(L176=1,J176-Carry!$B$9/Inputs!$B$16,I176)</f>
        <v>-0.0101486247915314</v>
      </c>
      <c r="N176" s="0" t="n">
        <v>0.065</v>
      </c>
      <c r="O176" s="0" t="n">
        <v>0.000125</v>
      </c>
      <c r="P176" s="29" t="n">
        <f aca="false">D176-('2 Hedge ratio'!$B$6+'2 Hedge ratio'!$B$5*E176)</f>
        <v>0.00400631819641362</v>
      </c>
      <c r="Q176" s="29" t="n">
        <f aca="false">D176-('5 Re-specification'!$B$7+'5 Re-specification'!$B$5*E176+'5 Re-specification'!$B$6*F176)</f>
        <v>-7.14791390343805E-005</v>
      </c>
      <c r="R176" s="30" t="n">
        <f aca="false">MIN(F176,Inputs!$B$9)</f>
        <v>171</v>
      </c>
      <c r="S176" s="29" t="n">
        <f aca="true">IF(AND(F176&gt;=1,R176&gt;=Inputs!$B$10),INDEX(LINEST(OFFSET(D176,-R176,0,R176,1),OFFSET(E176,-R176,0,R176,2)),1,1),"")</f>
        <v>-7.54567345125996E-005</v>
      </c>
      <c r="T176" s="29" t="n">
        <f aca="true">IF(AND(F176&gt;=1,R176&gt;=Inputs!$B$10),INDEX(LINEST(OFFSET(D176,-R176,0,R176,1),OFFSET(E176,-R176,0,R176,2)),1,2),"")</f>
        <v>1.03015153771598</v>
      </c>
      <c r="U176" s="29" t="n">
        <f aca="true">IF(AND(F176&gt;=1,R176&gt;=Inputs!$B$10),INDEX(LINEST(OFFSET(D176,-R176,0,R176,1),OFFSET(E176,-R176,0,R176,2)),1,3),"")</f>
        <v>4.35542289161739</v>
      </c>
      <c r="V176" s="29" t="n">
        <f aca="true">IF(AND(F176&gt;=1,R176&gt;=Inputs!$B$10),SQRT(SUMPRODUCT((OFFSET(D176,-R176,0,R176,1)-U176-T176*OFFSET(E176,-R176,0,R176,1)-S176*OFFSET(F176,-R176,0,R176,1))^2)/(R176-3)),"")</f>
        <v>0.00267165282629691</v>
      </c>
      <c r="W176" s="31" t="n">
        <f aca="false">IF(AND(F176&gt;=1,R176&gt;=Inputs!$B$10),(D176-U176-T176*E176-S176*F176)/V176,"")</f>
        <v>-0.24279963140085</v>
      </c>
      <c r="X176" s="30" t="n">
        <f aca="false">IF(AB175&lt;&gt;0,AC175+1,0)</f>
        <v>0</v>
      </c>
      <c r="Y176" s="30" t="n">
        <f aca="false">IF(W176="",0,IF(AND(AB175&lt;&gt;0,OR(ABS(W176)&gt;Inputs!$B$7,X176&gt;=Inputs!$B$8,ABS(W176)&lt;Inputs!$B$6)),1,0))</f>
        <v>0</v>
      </c>
      <c r="Z176" s="30" t="n">
        <f aca="false">IF(Y176=1,0,AB175)</f>
        <v>0</v>
      </c>
      <c r="AA176" s="30" t="n">
        <f aca="false">IF(W176="",0,IF(AND(Z176=0,ABS(W176)&gt;Inputs!$B$5,ABS(W176)&lt;=Inputs!$B$7),1,0))</f>
        <v>0</v>
      </c>
      <c r="AB176" s="30" t="n">
        <f aca="false">IF(W176="",0,IF(AA176=1,-SIGN(W176),Z176))</f>
        <v>0</v>
      </c>
      <c r="AC176" s="30" t="n">
        <f aca="false">IF(W176="",0,IF(AA176=1,0,IF(Y176=1,0,X176)))</f>
        <v>0</v>
      </c>
      <c r="AD176" s="30" t="n">
        <f aca="false">IF(AB176=0,0,IF(AB175=AB176,AD175,T176))</f>
        <v>0</v>
      </c>
      <c r="AE176" s="30" t="n">
        <f aca="false">AB176-AB175</f>
        <v>0</v>
      </c>
      <c r="AF176" s="30" t="n">
        <f aca="false">-AD176*AB176</f>
        <v>-0</v>
      </c>
      <c r="AG176" s="30" t="n">
        <f aca="false">AF176-AF175</f>
        <v>0</v>
      </c>
      <c r="AH176" s="30" t="n">
        <f aca="false">MAX(AE176,0)*(Inputs!$B$17+Inputs!$B$18+Inputs!$B$19)+MAX(-AE176,0)*(O176+Inputs!$B$18+Inputs!$B$19)+IF(AND(K176=1,AB176&lt;&gt;0),(Inputs!$B$17+Inputs!$B$18+Inputs!$B$19)+(O176+Inputs!$B$18+Inputs!$B$19),0)+MAX(AG176,0)*(Inputs!$B$20+Inputs!$B$22+Inputs!$B$23)+MAX(-AG176,0)*(Inputs!$B$21+Inputs!$B$22+Inputs!$B$23)</f>
        <v>0</v>
      </c>
      <c r="AI176" s="30" t="n">
        <f aca="false">AB175*(M176-AD175*J176)+AB175*AD175*N176/Inputs!$B$16-AH176</f>
        <v>0</v>
      </c>
      <c r="AJ176" s="30" t="n">
        <f aca="false">MAX(AE176,0)*(Inputs!$B$17+Inputs!$B$24+Inputs!$B$25)+MAX(-AE176,0)*(O176+Inputs!$B$24+Inputs!$B$25)+IF(AND(K176=1,AB176&lt;&gt;0),(Inputs!$B$17+Inputs!$B$24+Inputs!$B$25)+(O176+Inputs!$B$24+Inputs!$B$25),0)+MAX(AG176,0)*(Inputs!$B$20+Inputs!$B$26+Inputs!$B$27)+MAX(-AG176,0)*(Inputs!$B$21+Inputs!$B$26+Inputs!$B$27)</f>
        <v>0</v>
      </c>
      <c r="AK176" s="30" t="n">
        <f aca="false">AB175*(M176-AD175*J176)+AB175*AD175*(N176+Inputs!$B$14)/Inputs!$B$16-AJ176</f>
        <v>0</v>
      </c>
      <c r="AL176" s="30" t="n">
        <f aca="false">IF(AP175&lt;&gt;0,AQ175+1,0)</f>
        <v>0</v>
      </c>
      <c r="AM176" s="30" t="n">
        <f aca="false">IF(W176="",0,IF(AND(AP175&lt;&gt;0,OR(ABS(W176)&gt;Inputs!$B$7,AL176&gt;=Inputs!$B$8,ABS(W176)&lt;Inputs!$B$6)),1,0))</f>
        <v>0</v>
      </c>
      <c r="AN176" s="30" t="n">
        <f aca="false">IF(AM176=1,0,AP175)</f>
        <v>0</v>
      </c>
      <c r="AO176" s="30" t="n">
        <f aca="false">IF(W176="",0,IF(AND(AN176=0,ABS(W176)&gt;Inputs!$B$5,ABS(W176)&lt;=Inputs!$B$7,W176&gt;0),1,0))</f>
        <v>0</v>
      </c>
      <c r="AP176" s="30" t="n">
        <f aca="false">IF(W176="",0,IF(AO176=1,-SIGN(W176),AN176))</f>
        <v>0</v>
      </c>
      <c r="AQ176" s="30" t="n">
        <f aca="false">IF(W176="",0,IF(AO176=1,0,IF(AM176=1,0,AL176)))</f>
        <v>0</v>
      </c>
      <c r="AR176" s="30" t="n">
        <f aca="false">IF(AP176=0,0,IF(AP175=AP176,AR175,T176))</f>
        <v>0</v>
      </c>
      <c r="AS176" s="30" t="n">
        <f aca="false">AP176-AP175</f>
        <v>0</v>
      </c>
      <c r="AT176" s="30" t="n">
        <f aca="false">-AR176*AP176</f>
        <v>-0</v>
      </c>
      <c r="AU176" s="30" t="n">
        <f aca="false">AT176-AT175</f>
        <v>0</v>
      </c>
      <c r="AV176" s="30" t="n">
        <f aca="false">MAX(AS176,0)*(Inputs!$B$17+Inputs!$B$18+Inputs!$B$19)+MAX(-AS176,0)*(O176+Inputs!$B$18+Inputs!$B$19)+IF(AND(K176=1,AP176&lt;&gt;0),(Inputs!$B$17+Inputs!$B$18+Inputs!$B$19)+(O176+Inputs!$B$18+Inputs!$B$19),0)+MAX(AU176,0)*(Inputs!$B$20+Inputs!$B$22+Inputs!$B$23)+MAX(-AU176,0)*(Inputs!$B$21+Inputs!$B$22+Inputs!$B$23)</f>
        <v>0</v>
      </c>
      <c r="AW176" s="30" t="n">
        <f aca="false">AP175*(M176-AR175*J176)+AP175*AR175*N176/Inputs!$B$16-AV176</f>
        <v>0</v>
      </c>
      <c r="AX176" s="30" t="n">
        <f aca="false">AW176-IF(AP175&lt;&gt;0,0.75*AR175*(Inputs!$B$13-N176)/Inputs!$B$16,0)</f>
        <v>0</v>
      </c>
      <c r="AY176" s="30" t="n">
        <f aca="false">MAX(AS176,0)*(Inputs!$B$17+Inputs!$B$18+Inputs!$B$19)+MAX(-AS176,0)*(O176+Inputs!$B$18+Inputs!$B$19)+IF(AND(K176=1,AP176&lt;&gt;0),(Inputs!$B$17+Inputs!$B$18+Inputs!$B$19)+(O176+Inputs!$B$18+Inputs!$B$19),0)</f>
        <v>0</v>
      </c>
      <c r="AZ176" s="30" t="n">
        <f aca="false">AP175*M176-AY176</f>
        <v>-0</v>
      </c>
      <c r="BA176" s="32" t="n">
        <f aca="false">BA175+AI176</f>
        <v>-0.00798192564175577</v>
      </c>
      <c r="BB176" s="30" t="n">
        <f aca="false">MAX(BB175,BA176)</f>
        <v>0</v>
      </c>
      <c r="BC176" s="32" t="n">
        <f aca="false">BA176-BB176</f>
        <v>-0.00798192564175577</v>
      </c>
      <c r="BD176" s="30" t="n">
        <f aca="false">A177-A176</f>
        <v>1</v>
      </c>
    </row>
    <row r="177" customFormat="false" ht="15" hidden="false" customHeight="false" outlineLevel="0" collapsed="false">
      <c r="A177" s="28" t="n">
        <v>45300</v>
      </c>
      <c r="B177" s="0" t="n">
        <v>21628.8</v>
      </c>
      <c r="C177" s="0" t="n">
        <v>237.79</v>
      </c>
      <c r="D177" s="29" t="n">
        <f aca="false">LN(B177)</f>
        <v>9.98178103890604</v>
      </c>
      <c r="E177" s="29" t="n">
        <f aca="false">LN(C177)</f>
        <v>5.47138793122781</v>
      </c>
      <c r="F177" s="0" t="n">
        <v>172</v>
      </c>
      <c r="G177" s="0" t="n">
        <v>16</v>
      </c>
      <c r="H177" s="29" t="n">
        <f aca="false">D177-E177</f>
        <v>4.51039310767823</v>
      </c>
      <c r="I177" s="29" t="n">
        <f aca="false">D177-D176</f>
        <v>0.00281502519400156</v>
      </c>
      <c r="J177" s="29" t="n">
        <f aca="false">E177-E176</f>
        <v>-0.000714661091898883</v>
      </c>
      <c r="K177" s="0" t="n">
        <v>0</v>
      </c>
      <c r="L177" s="0" t="n">
        <v>0</v>
      </c>
      <c r="M177" s="29" t="n">
        <f aca="false">IF(L177=1,J177-Carry!$B$9/Inputs!$B$16,I177)</f>
        <v>0.00281502519400156</v>
      </c>
      <c r="N177" s="0" t="n">
        <v>0.065</v>
      </c>
      <c r="O177" s="0" t="n">
        <v>0.000125</v>
      </c>
      <c r="P177" s="29" t="n">
        <f aca="false">D177-('2 Hedge ratio'!$B$6+'2 Hedge ratio'!$B$5*E177)</f>
        <v>0.00747606354049601</v>
      </c>
      <c r="Q177" s="29" t="n">
        <f aca="false">D177-('5 Re-specification'!$B$7+'5 Re-specification'!$B$5*E177+'5 Re-specification'!$B$6*F177)</f>
        <v>0.00350097068450772</v>
      </c>
      <c r="R177" s="30" t="n">
        <f aca="false">MIN(F177,Inputs!$B$9)</f>
        <v>172</v>
      </c>
      <c r="S177" s="29" t="n">
        <f aca="true">IF(AND(F177&gt;=1,R177&gt;=Inputs!$B$10),INDEX(LINEST(OFFSET(D177,-R177,0,R177,1),OFFSET(E177,-R177,0,R177,2)),1,1),"")</f>
        <v>-7.54203345534328E-005</v>
      </c>
      <c r="T177" s="29" t="n">
        <f aca="true">IF(AND(F177&gt;=1,R177&gt;=Inputs!$B$10),INDEX(LINEST(OFFSET(D177,-R177,0,R177,1),OFFSET(E177,-R177,0,R177,2)),1,2),"")</f>
        <v>1.02994844606383</v>
      </c>
      <c r="U177" s="29" t="n">
        <f aca="true">IF(AND(F177&gt;=1,R177&gt;=Inputs!$B$10),INDEX(LINEST(OFFSET(D177,-R177,0,R177,1),OFFSET(E177,-R177,0,R177,2)),1,3),"")</f>
        <v>4.35650706420318</v>
      </c>
      <c r="V177" s="29" t="n">
        <f aca="true">IF(AND(F177&gt;=1,R177&gt;=Inputs!$B$10),SQRT(SUMPRODUCT((OFFSET(D177,-R177,0,R177,1)-U177-T177*OFFSET(E177,-R177,0,R177,1)-S177*OFFSET(F177,-R177,0,R177,1))^2)/(R177-3)),"")</f>
        <v>0.00266418903063337</v>
      </c>
      <c r="W177" s="31" t="n">
        <f aca="false">IF(AND(F177&gt;=1,R177&gt;=Inputs!$B$10),(D177-U177-T177*E177-S177*F177)/V177,"")</f>
        <v>1.125586297023</v>
      </c>
      <c r="X177" s="30" t="n">
        <f aca="false">IF(AB176&lt;&gt;0,AC176+1,0)</f>
        <v>0</v>
      </c>
      <c r="Y177" s="30" t="n">
        <f aca="false">IF(W177="",0,IF(AND(AB176&lt;&gt;0,OR(ABS(W177)&gt;Inputs!$B$7,X177&gt;=Inputs!$B$8,ABS(W177)&lt;Inputs!$B$6)),1,0))</f>
        <v>0</v>
      </c>
      <c r="Z177" s="30" t="n">
        <f aca="false">IF(Y177=1,0,AB176)</f>
        <v>0</v>
      </c>
      <c r="AA177" s="30" t="n">
        <f aca="false">IF(W177="",0,IF(AND(Z177=0,ABS(W177)&gt;Inputs!$B$5,ABS(W177)&lt;=Inputs!$B$7),1,0))</f>
        <v>0</v>
      </c>
      <c r="AB177" s="30" t="n">
        <f aca="false">IF(W177="",0,IF(AA177=1,-SIGN(W177),Z177))</f>
        <v>0</v>
      </c>
      <c r="AC177" s="30" t="n">
        <f aca="false">IF(W177="",0,IF(AA177=1,0,IF(Y177=1,0,X177)))</f>
        <v>0</v>
      </c>
      <c r="AD177" s="30" t="n">
        <f aca="false">IF(AB177=0,0,IF(AB176=AB177,AD176,T177))</f>
        <v>0</v>
      </c>
      <c r="AE177" s="30" t="n">
        <f aca="false">AB177-AB176</f>
        <v>0</v>
      </c>
      <c r="AF177" s="30" t="n">
        <f aca="false">-AD177*AB177</f>
        <v>-0</v>
      </c>
      <c r="AG177" s="30" t="n">
        <f aca="false">AF177-AF176</f>
        <v>0</v>
      </c>
      <c r="AH177" s="30" t="n">
        <f aca="false">MAX(AE177,0)*(Inputs!$B$17+Inputs!$B$18+Inputs!$B$19)+MAX(-AE177,0)*(O177+Inputs!$B$18+Inputs!$B$19)+IF(AND(K177=1,AB177&lt;&gt;0),(Inputs!$B$17+Inputs!$B$18+Inputs!$B$19)+(O177+Inputs!$B$18+Inputs!$B$19),0)+MAX(AG177,0)*(Inputs!$B$20+Inputs!$B$22+Inputs!$B$23)+MAX(-AG177,0)*(Inputs!$B$21+Inputs!$B$22+Inputs!$B$23)</f>
        <v>0</v>
      </c>
      <c r="AI177" s="30" t="n">
        <f aca="false">AB176*(M177-AD176*J177)+AB176*AD176*N177/Inputs!$B$16-AH177</f>
        <v>0</v>
      </c>
      <c r="AJ177" s="30" t="n">
        <f aca="false">MAX(AE177,0)*(Inputs!$B$17+Inputs!$B$24+Inputs!$B$25)+MAX(-AE177,0)*(O177+Inputs!$B$24+Inputs!$B$25)+IF(AND(K177=1,AB177&lt;&gt;0),(Inputs!$B$17+Inputs!$B$24+Inputs!$B$25)+(O177+Inputs!$B$24+Inputs!$B$25),0)+MAX(AG177,0)*(Inputs!$B$20+Inputs!$B$26+Inputs!$B$27)+MAX(-AG177,0)*(Inputs!$B$21+Inputs!$B$26+Inputs!$B$27)</f>
        <v>0</v>
      </c>
      <c r="AK177" s="30" t="n">
        <f aca="false">AB176*(M177-AD176*J177)+AB176*AD176*(N177+Inputs!$B$14)/Inputs!$B$16-AJ177</f>
        <v>0</v>
      </c>
      <c r="AL177" s="30" t="n">
        <f aca="false">IF(AP176&lt;&gt;0,AQ176+1,0)</f>
        <v>0</v>
      </c>
      <c r="AM177" s="30" t="n">
        <f aca="false">IF(W177="",0,IF(AND(AP176&lt;&gt;0,OR(ABS(W177)&gt;Inputs!$B$7,AL177&gt;=Inputs!$B$8,ABS(W177)&lt;Inputs!$B$6)),1,0))</f>
        <v>0</v>
      </c>
      <c r="AN177" s="30" t="n">
        <f aca="false">IF(AM177=1,0,AP176)</f>
        <v>0</v>
      </c>
      <c r="AO177" s="30" t="n">
        <f aca="false">IF(W177="",0,IF(AND(AN177=0,ABS(W177)&gt;Inputs!$B$5,ABS(W177)&lt;=Inputs!$B$7,W177&gt;0),1,0))</f>
        <v>0</v>
      </c>
      <c r="AP177" s="30" t="n">
        <f aca="false">IF(W177="",0,IF(AO177=1,-SIGN(W177),AN177))</f>
        <v>0</v>
      </c>
      <c r="AQ177" s="30" t="n">
        <f aca="false">IF(W177="",0,IF(AO177=1,0,IF(AM177=1,0,AL177)))</f>
        <v>0</v>
      </c>
      <c r="AR177" s="30" t="n">
        <f aca="false">IF(AP177=0,0,IF(AP176=AP177,AR176,T177))</f>
        <v>0</v>
      </c>
      <c r="AS177" s="30" t="n">
        <f aca="false">AP177-AP176</f>
        <v>0</v>
      </c>
      <c r="AT177" s="30" t="n">
        <f aca="false">-AR177*AP177</f>
        <v>-0</v>
      </c>
      <c r="AU177" s="30" t="n">
        <f aca="false">AT177-AT176</f>
        <v>0</v>
      </c>
      <c r="AV177" s="30" t="n">
        <f aca="false">MAX(AS177,0)*(Inputs!$B$17+Inputs!$B$18+Inputs!$B$19)+MAX(-AS177,0)*(O177+Inputs!$B$18+Inputs!$B$19)+IF(AND(K177=1,AP177&lt;&gt;0),(Inputs!$B$17+Inputs!$B$18+Inputs!$B$19)+(O177+Inputs!$B$18+Inputs!$B$19),0)+MAX(AU177,0)*(Inputs!$B$20+Inputs!$B$22+Inputs!$B$23)+MAX(-AU177,0)*(Inputs!$B$21+Inputs!$B$22+Inputs!$B$23)</f>
        <v>0</v>
      </c>
      <c r="AW177" s="30" t="n">
        <f aca="false">AP176*(M177-AR176*J177)+AP176*AR176*N177/Inputs!$B$16-AV177</f>
        <v>0</v>
      </c>
      <c r="AX177" s="30" t="n">
        <f aca="false">AW177-IF(AP176&lt;&gt;0,0.75*AR176*(Inputs!$B$13-N177)/Inputs!$B$16,0)</f>
        <v>0</v>
      </c>
      <c r="AY177" s="30" t="n">
        <f aca="false">MAX(AS177,0)*(Inputs!$B$17+Inputs!$B$18+Inputs!$B$19)+MAX(-AS177,0)*(O177+Inputs!$B$18+Inputs!$B$19)+IF(AND(K177=1,AP177&lt;&gt;0),(Inputs!$B$17+Inputs!$B$18+Inputs!$B$19)+(O177+Inputs!$B$18+Inputs!$B$19),0)</f>
        <v>0</v>
      </c>
      <c r="AZ177" s="30" t="n">
        <f aca="false">AP176*M177-AY177</f>
        <v>0</v>
      </c>
      <c r="BA177" s="32" t="n">
        <f aca="false">BA176+AI177</f>
        <v>-0.00798192564175577</v>
      </c>
      <c r="BB177" s="30" t="n">
        <f aca="false">MAX(BB176,BA177)</f>
        <v>0</v>
      </c>
      <c r="BC177" s="32" t="n">
        <f aca="false">BA177-BB177</f>
        <v>-0.00798192564175577</v>
      </c>
      <c r="BD177" s="30" t="n">
        <f aca="false">A178-A177</f>
        <v>1</v>
      </c>
    </row>
    <row r="178" customFormat="false" ht="15" hidden="false" customHeight="false" outlineLevel="0" collapsed="false">
      <c r="A178" s="28" t="n">
        <v>45301</v>
      </c>
      <c r="B178" s="0" t="n">
        <v>21722.95</v>
      </c>
      <c r="C178" s="0" t="n">
        <v>238.88</v>
      </c>
      <c r="D178" s="29" t="n">
        <f aca="false">LN(B178)</f>
        <v>9.98612458434642</v>
      </c>
      <c r="E178" s="29" t="n">
        <f aca="false">LN(C178)</f>
        <v>5.47596133379088</v>
      </c>
      <c r="F178" s="0" t="n">
        <v>173</v>
      </c>
      <c r="G178" s="0" t="n">
        <v>15</v>
      </c>
      <c r="H178" s="29" t="n">
        <f aca="false">D178-E178</f>
        <v>4.51016325055554</v>
      </c>
      <c r="I178" s="29" t="n">
        <f aca="false">D178-D177</f>
        <v>0.00434354544037952</v>
      </c>
      <c r="J178" s="29" t="n">
        <f aca="false">E178-E177</f>
        <v>0.00457340256307415</v>
      </c>
      <c r="K178" s="0" t="n">
        <v>0</v>
      </c>
      <c r="L178" s="0" t="n">
        <v>0</v>
      </c>
      <c r="M178" s="29" t="n">
        <f aca="false">IF(L178=1,J178-Carry!$B$9/Inputs!$B$16,I178)</f>
        <v>0.00434354544037952</v>
      </c>
      <c r="N178" s="0" t="n">
        <v>0.065</v>
      </c>
      <c r="O178" s="0" t="n">
        <v>0.000125</v>
      </c>
      <c r="P178" s="29" t="n">
        <f aca="false">D178-('2 Hedge ratio'!$B$6+'2 Hedge ratio'!$B$5*E178)</f>
        <v>0.0076297925120361</v>
      </c>
      <c r="Q178" s="29" t="n">
        <f aca="false">D178-('5 Re-specification'!$B$7+'5 Re-specification'!$B$5*E178+'5 Re-specification'!$B$6*F178)</f>
        <v>0.00332990257647481</v>
      </c>
      <c r="R178" s="30" t="n">
        <f aca="false">MIN(F178,Inputs!$B$9)</f>
        <v>173</v>
      </c>
      <c r="S178" s="29" t="n">
        <f aca="true">IF(AND(F178&gt;=1,R178&gt;=Inputs!$B$10),INDEX(LINEST(OFFSET(D178,-R178,0,R178,1),OFFSET(E178,-R178,0,R178,2)),1,1),"")</f>
        <v>-7.55374897778793E-005</v>
      </c>
      <c r="T178" s="29" t="n">
        <f aca="true">IF(AND(F178&gt;=1,R178&gt;=Inputs!$B$10),INDEX(LINEST(OFFSET(D178,-R178,0,R178,1),OFFSET(E178,-R178,0,R178,2)),1,2),"")</f>
        <v>1.03081095224862</v>
      </c>
      <c r="U178" s="29" t="n">
        <f aca="true">IF(AND(F178&gt;=1,R178&gt;=Inputs!$B$10),INDEX(LINEST(OFFSET(D178,-R178,0,R178,1),OFFSET(E178,-R178,0,R178,2)),1,3),"")</f>
        <v>4.35190039294708</v>
      </c>
      <c r="V178" s="29" t="n">
        <f aca="true">IF(AND(F178&gt;=1,R178&gt;=Inputs!$B$10),SQRT(SUMPRODUCT((OFFSET(D178,-R178,0,R178,1)-U178-T178*OFFSET(E178,-R178,0,R178,1)-S178*OFFSET(F178,-R178,0,R178,1))^2)/(R178-3)),"")</f>
        <v>0.00266597465889468</v>
      </c>
      <c r="W178" s="31" t="n">
        <f aca="false">IF(AND(F178&gt;=1,R178&gt;=Inputs!$B$10),(D178-U178-T178*E178-S178*F178)/V178,"")</f>
        <v>0.979476740566745</v>
      </c>
      <c r="X178" s="30" t="n">
        <f aca="false">IF(AB177&lt;&gt;0,AC177+1,0)</f>
        <v>0</v>
      </c>
      <c r="Y178" s="30" t="n">
        <f aca="false">IF(W178="",0,IF(AND(AB177&lt;&gt;0,OR(ABS(W178)&gt;Inputs!$B$7,X178&gt;=Inputs!$B$8,ABS(W178)&lt;Inputs!$B$6)),1,0))</f>
        <v>0</v>
      </c>
      <c r="Z178" s="30" t="n">
        <f aca="false">IF(Y178=1,0,AB177)</f>
        <v>0</v>
      </c>
      <c r="AA178" s="30" t="n">
        <f aca="false">IF(W178="",0,IF(AND(Z178=0,ABS(W178)&gt;Inputs!$B$5,ABS(W178)&lt;=Inputs!$B$7),1,0))</f>
        <v>0</v>
      </c>
      <c r="AB178" s="30" t="n">
        <f aca="false">IF(W178="",0,IF(AA178=1,-SIGN(W178),Z178))</f>
        <v>0</v>
      </c>
      <c r="AC178" s="30" t="n">
        <f aca="false">IF(W178="",0,IF(AA178=1,0,IF(Y178=1,0,X178)))</f>
        <v>0</v>
      </c>
      <c r="AD178" s="30" t="n">
        <f aca="false">IF(AB178=0,0,IF(AB177=AB178,AD177,T178))</f>
        <v>0</v>
      </c>
      <c r="AE178" s="30" t="n">
        <f aca="false">AB178-AB177</f>
        <v>0</v>
      </c>
      <c r="AF178" s="30" t="n">
        <f aca="false">-AD178*AB178</f>
        <v>-0</v>
      </c>
      <c r="AG178" s="30" t="n">
        <f aca="false">AF178-AF177</f>
        <v>0</v>
      </c>
      <c r="AH178" s="30" t="n">
        <f aca="false">MAX(AE178,0)*(Inputs!$B$17+Inputs!$B$18+Inputs!$B$19)+MAX(-AE178,0)*(O178+Inputs!$B$18+Inputs!$B$19)+IF(AND(K178=1,AB178&lt;&gt;0),(Inputs!$B$17+Inputs!$B$18+Inputs!$B$19)+(O178+Inputs!$B$18+Inputs!$B$19),0)+MAX(AG178,0)*(Inputs!$B$20+Inputs!$B$22+Inputs!$B$23)+MAX(-AG178,0)*(Inputs!$B$21+Inputs!$B$22+Inputs!$B$23)</f>
        <v>0</v>
      </c>
      <c r="AI178" s="30" t="n">
        <f aca="false">AB177*(M178-AD177*J178)+AB177*AD177*N178/Inputs!$B$16-AH178</f>
        <v>0</v>
      </c>
      <c r="AJ178" s="30" t="n">
        <f aca="false">MAX(AE178,0)*(Inputs!$B$17+Inputs!$B$24+Inputs!$B$25)+MAX(-AE178,0)*(O178+Inputs!$B$24+Inputs!$B$25)+IF(AND(K178=1,AB178&lt;&gt;0),(Inputs!$B$17+Inputs!$B$24+Inputs!$B$25)+(O178+Inputs!$B$24+Inputs!$B$25),0)+MAX(AG178,0)*(Inputs!$B$20+Inputs!$B$26+Inputs!$B$27)+MAX(-AG178,0)*(Inputs!$B$21+Inputs!$B$26+Inputs!$B$27)</f>
        <v>0</v>
      </c>
      <c r="AK178" s="30" t="n">
        <f aca="false">AB177*(M178-AD177*J178)+AB177*AD177*(N178+Inputs!$B$14)/Inputs!$B$16-AJ178</f>
        <v>0</v>
      </c>
      <c r="AL178" s="30" t="n">
        <f aca="false">IF(AP177&lt;&gt;0,AQ177+1,0)</f>
        <v>0</v>
      </c>
      <c r="AM178" s="30" t="n">
        <f aca="false">IF(W178="",0,IF(AND(AP177&lt;&gt;0,OR(ABS(W178)&gt;Inputs!$B$7,AL178&gt;=Inputs!$B$8,ABS(W178)&lt;Inputs!$B$6)),1,0))</f>
        <v>0</v>
      </c>
      <c r="AN178" s="30" t="n">
        <f aca="false">IF(AM178=1,0,AP177)</f>
        <v>0</v>
      </c>
      <c r="AO178" s="30" t="n">
        <f aca="false">IF(W178="",0,IF(AND(AN178=0,ABS(W178)&gt;Inputs!$B$5,ABS(W178)&lt;=Inputs!$B$7,W178&gt;0),1,0))</f>
        <v>0</v>
      </c>
      <c r="AP178" s="30" t="n">
        <f aca="false">IF(W178="",0,IF(AO178=1,-SIGN(W178),AN178))</f>
        <v>0</v>
      </c>
      <c r="AQ178" s="30" t="n">
        <f aca="false">IF(W178="",0,IF(AO178=1,0,IF(AM178=1,0,AL178)))</f>
        <v>0</v>
      </c>
      <c r="AR178" s="30" t="n">
        <f aca="false">IF(AP178=0,0,IF(AP177=AP178,AR177,T178))</f>
        <v>0</v>
      </c>
      <c r="AS178" s="30" t="n">
        <f aca="false">AP178-AP177</f>
        <v>0</v>
      </c>
      <c r="AT178" s="30" t="n">
        <f aca="false">-AR178*AP178</f>
        <v>-0</v>
      </c>
      <c r="AU178" s="30" t="n">
        <f aca="false">AT178-AT177</f>
        <v>0</v>
      </c>
      <c r="AV178" s="30" t="n">
        <f aca="false">MAX(AS178,0)*(Inputs!$B$17+Inputs!$B$18+Inputs!$B$19)+MAX(-AS178,0)*(O178+Inputs!$B$18+Inputs!$B$19)+IF(AND(K178=1,AP178&lt;&gt;0),(Inputs!$B$17+Inputs!$B$18+Inputs!$B$19)+(O178+Inputs!$B$18+Inputs!$B$19),0)+MAX(AU178,0)*(Inputs!$B$20+Inputs!$B$22+Inputs!$B$23)+MAX(-AU178,0)*(Inputs!$B$21+Inputs!$B$22+Inputs!$B$23)</f>
        <v>0</v>
      </c>
      <c r="AW178" s="30" t="n">
        <f aca="false">AP177*(M178-AR177*J178)+AP177*AR177*N178/Inputs!$B$16-AV178</f>
        <v>0</v>
      </c>
      <c r="AX178" s="30" t="n">
        <f aca="false">AW178-IF(AP177&lt;&gt;0,0.75*AR177*(Inputs!$B$13-N178)/Inputs!$B$16,0)</f>
        <v>0</v>
      </c>
      <c r="AY178" s="30" t="n">
        <f aca="false">MAX(AS178,0)*(Inputs!$B$17+Inputs!$B$18+Inputs!$B$19)+MAX(-AS178,0)*(O178+Inputs!$B$18+Inputs!$B$19)+IF(AND(K178=1,AP178&lt;&gt;0),(Inputs!$B$17+Inputs!$B$18+Inputs!$B$19)+(O178+Inputs!$B$18+Inputs!$B$19),0)</f>
        <v>0</v>
      </c>
      <c r="AZ178" s="30" t="n">
        <f aca="false">AP177*M178-AY178</f>
        <v>0</v>
      </c>
      <c r="BA178" s="32" t="n">
        <f aca="false">BA177+AI178</f>
        <v>-0.00798192564175577</v>
      </c>
      <c r="BB178" s="30" t="n">
        <f aca="false">MAX(BB177,BA178)</f>
        <v>0</v>
      </c>
      <c r="BC178" s="32" t="n">
        <f aca="false">BA178-BB178</f>
        <v>-0.00798192564175577</v>
      </c>
      <c r="BD178" s="30" t="n">
        <f aca="false">A179-A178</f>
        <v>1</v>
      </c>
    </row>
    <row r="179" customFormat="false" ht="15" hidden="false" customHeight="false" outlineLevel="0" collapsed="false">
      <c r="A179" s="28" t="n">
        <v>45302</v>
      </c>
      <c r="B179" s="0" t="n">
        <v>21690</v>
      </c>
      <c r="C179" s="0" t="n">
        <v>239.1</v>
      </c>
      <c r="D179" s="29" t="n">
        <f aca="false">LN(B179)</f>
        <v>9.98460660382092</v>
      </c>
      <c r="E179" s="29" t="n">
        <f aca="false">LN(C179)</f>
        <v>5.47688187446428</v>
      </c>
      <c r="F179" s="0" t="n">
        <v>174</v>
      </c>
      <c r="G179" s="0" t="n">
        <v>14</v>
      </c>
      <c r="H179" s="29" t="n">
        <f aca="false">D179-E179</f>
        <v>4.50772472935664</v>
      </c>
      <c r="I179" s="29" t="n">
        <f aca="false">D179-D178</f>
        <v>-0.00151798052549523</v>
      </c>
      <c r="J179" s="29" t="n">
        <f aca="false">E179-E178</f>
        <v>0.000920540673399195</v>
      </c>
      <c r="K179" s="0" t="n">
        <v>0</v>
      </c>
      <c r="L179" s="0" t="n">
        <v>0</v>
      </c>
      <c r="M179" s="29" t="n">
        <f aca="false">IF(L179=1,J179-Carry!$B$9/Inputs!$B$16,I179)</f>
        <v>-0.00151798052549523</v>
      </c>
      <c r="N179" s="0" t="n">
        <v>0.065</v>
      </c>
      <c r="O179" s="0" t="n">
        <v>0.000125</v>
      </c>
      <c r="P179" s="29" t="n">
        <f aca="false">D179-('2 Hedge ratio'!$B$6+'2 Hedge ratio'!$B$5*E179)</f>
        <v>0.00526848004266434</v>
      </c>
      <c r="Q179" s="29" t="n">
        <f aca="false">D179-('5 Re-specification'!$B$7+'5 Re-specification'!$B$5*E179+'5 Re-specification'!$B$6*F179)</f>
        <v>0.000939100394207415</v>
      </c>
      <c r="R179" s="30" t="n">
        <f aca="false">MIN(F179,Inputs!$B$9)</f>
        <v>174</v>
      </c>
      <c r="S179" s="29" t="n">
        <f aca="true">IF(AND(F179&gt;=1,R179&gt;=Inputs!$B$10),INDEX(LINEST(OFFSET(D179,-R179,0,R179,1),OFFSET(E179,-R179,0,R179,2)),1,1),"")</f>
        <v>-7.57129653263166E-005</v>
      </c>
      <c r="T179" s="29" t="n">
        <f aca="true">IF(AND(F179&gt;=1,R179&gt;=Inputs!$B$10),INDEX(LINEST(OFFSET(D179,-R179,0,R179,1),OFFSET(E179,-R179,0,R179,2)),1,2),"")</f>
        <v>1.03163735552562</v>
      </c>
      <c r="U179" s="29" t="n">
        <f aca="true">IF(AND(F179&gt;=1,R179&gt;=Inputs!$B$10),INDEX(LINEST(OFFSET(D179,-R179,0,R179,1),OFFSET(E179,-R179,0,R179,2)),1,3),"")</f>
        <v>4.34748998235266</v>
      </c>
      <c r="V179" s="29" t="n">
        <f aca="true">IF(AND(F179&gt;=1,R179&gt;=Inputs!$B$10),SQRT(SUMPRODUCT((OFFSET(D179,-R179,0,R179,1)-U179-T179*OFFSET(E179,-R179,0,R179,1)-S179*OFFSET(F179,-R179,0,R179,1))^2)/(R179-3)),"")</f>
        <v>0.00266541566860721</v>
      </c>
      <c r="W179" s="31" t="n">
        <f aca="false">IF(AND(F179&gt;=1,R179&gt;=Inputs!$B$10),(D179-U179-T179*E179-S179*F179)/V179,"")</f>
        <v>0.0505526916929063</v>
      </c>
      <c r="X179" s="30" t="n">
        <f aca="false">IF(AB178&lt;&gt;0,AC178+1,0)</f>
        <v>0</v>
      </c>
      <c r="Y179" s="30" t="n">
        <f aca="false">IF(W179="",0,IF(AND(AB178&lt;&gt;0,OR(ABS(W179)&gt;Inputs!$B$7,X179&gt;=Inputs!$B$8,ABS(W179)&lt;Inputs!$B$6)),1,0))</f>
        <v>0</v>
      </c>
      <c r="Z179" s="30" t="n">
        <f aca="false">IF(Y179=1,0,AB178)</f>
        <v>0</v>
      </c>
      <c r="AA179" s="30" t="n">
        <f aca="false">IF(W179="",0,IF(AND(Z179=0,ABS(W179)&gt;Inputs!$B$5,ABS(W179)&lt;=Inputs!$B$7),1,0))</f>
        <v>0</v>
      </c>
      <c r="AB179" s="30" t="n">
        <f aca="false">IF(W179="",0,IF(AA179=1,-SIGN(W179),Z179))</f>
        <v>0</v>
      </c>
      <c r="AC179" s="30" t="n">
        <f aca="false">IF(W179="",0,IF(AA179=1,0,IF(Y179=1,0,X179)))</f>
        <v>0</v>
      </c>
      <c r="AD179" s="30" t="n">
        <f aca="false">IF(AB179=0,0,IF(AB178=AB179,AD178,T179))</f>
        <v>0</v>
      </c>
      <c r="AE179" s="30" t="n">
        <f aca="false">AB179-AB178</f>
        <v>0</v>
      </c>
      <c r="AF179" s="30" t="n">
        <f aca="false">-AD179*AB179</f>
        <v>-0</v>
      </c>
      <c r="AG179" s="30" t="n">
        <f aca="false">AF179-AF178</f>
        <v>0</v>
      </c>
      <c r="AH179" s="30" t="n">
        <f aca="false">MAX(AE179,0)*(Inputs!$B$17+Inputs!$B$18+Inputs!$B$19)+MAX(-AE179,0)*(O179+Inputs!$B$18+Inputs!$B$19)+IF(AND(K179=1,AB179&lt;&gt;0),(Inputs!$B$17+Inputs!$B$18+Inputs!$B$19)+(O179+Inputs!$B$18+Inputs!$B$19),0)+MAX(AG179,0)*(Inputs!$B$20+Inputs!$B$22+Inputs!$B$23)+MAX(-AG179,0)*(Inputs!$B$21+Inputs!$B$22+Inputs!$B$23)</f>
        <v>0</v>
      </c>
      <c r="AI179" s="30" t="n">
        <f aca="false">AB178*(M179-AD178*J179)+AB178*AD178*N179/Inputs!$B$16-AH179</f>
        <v>0</v>
      </c>
      <c r="AJ179" s="30" t="n">
        <f aca="false">MAX(AE179,0)*(Inputs!$B$17+Inputs!$B$24+Inputs!$B$25)+MAX(-AE179,0)*(O179+Inputs!$B$24+Inputs!$B$25)+IF(AND(K179=1,AB179&lt;&gt;0),(Inputs!$B$17+Inputs!$B$24+Inputs!$B$25)+(O179+Inputs!$B$24+Inputs!$B$25),0)+MAX(AG179,0)*(Inputs!$B$20+Inputs!$B$26+Inputs!$B$27)+MAX(-AG179,0)*(Inputs!$B$21+Inputs!$B$26+Inputs!$B$27)</f>
        <v>0</v>
      </c>
      <c r="AK179" s="30" t="n">
        <f aca="false">AB178*(M179-AD178*J179)+AB178*AD178*(N179+Inputs!$B$14)/Inputs!$B$16-AJ179</f>
        <v>0</v>
      </c>
      <c r="AL179" s="30" t="n">
        <f aca="false">IF(AP178&lt;&gt;0,AQ178+1,0)</f>
        <v>0</v>
      </c>
      <c r="AM179" s="30" t="n">
        <f aca="false">IF(W179="",0,IF(AND(AP178&lt;&gt;0,OR(ABS(W179)&gt;Inputs!$B$7,AL179&gt;=Inputs!$B$8,ABS(W179)&lt;Inputs!$B$6)),1,0))</f>
        <v>0</v>
      </c>
      <c r="AN179" s="30" t="n">
        <f aca="false">IF(AM179=1,0,AP178)</f>
        <v>0</v>
      </c>
      <c r="AO179" s="30" t="n">
        <f aca="false">IF(W179="",0,IF(AND(AN179=0,ABS(W179)&gt;Inputs!$B$5,ABS(W179)&lt;=Inputs!$B$7,W179&gt;0),1,0))</f>
        <v>0</v>
      </c>
      <c r="AP179" s="30" t="n">
        <f aca="false">IF(W179="",0,IF(AO179=1,-SIGN(W179),AN179))</f>
        <v>0</v>
      </c>
      <c r="AQ179" s="30" t="n">
        <f aca="false">IF(W179="",0,IF(AO179=1,0,IF(AM179=1,0,AL179)))</f>
        <v>0</v>
      </c>
      <c r="AR179" s="30" t="n">
        <f aca="false">IF(AP179=0,0,IF(AP178=AP179,AR178,T179))</f>
        <v>0</v>
      </c>
      <c r="AS179" s="30" t="n">
        <f aca="false">AP179-AP178</f>
        <v>0</v>
      </c>
      <c r="AT179" s="30" t="n">
        <f aca="false">-AR179*AP179</f>
        <v>-0</v>
      </c>
      <c r="AU179" s="30" t="n">
        <f aca="false">AT179-AT178</f>
        <v>0</v>
      </c>
      <c r="AV179" s="30" t="n">
        <f aca="false">MAX(AS179,0)*(Inputs!$B$17+Inputs!$B$18+Inputs!$B$19)+MAX(-AS179,0)*(O179+Inputs!$B$18+Inputs!$B$19)+IF(AND(K179=1,AP179&lt;&gt;0),(Inputs!$B$17+Inputs!$B$18+Inputs!$B$19)+(O179+Inputs!$B$18+Inputs!$B$19),0)+MAX(AU179,0)*(Inputs!$B$20+Inputs!$B$22+Inputs!$B$23)+MAX(-AU179,0)*(Inputs!$B$21+Inputs!$B$22+Inputs!$B$23)</f>
        <v>0</v>
      </c>
      <c r="AW179" s="30" t="n">
        <f aca="false">AP178*(M179-AR178*J179)+AP178*AR178*N179/Inputs!$B$16-AV179</f>
        <v>0</v>
      </c>
      <c r="AX179" s="30" t="n">
        <f aca="false">AW179-IF(AP178&lt;&gt;0,0.75*AR178*(Inputs!$B$13-N179)/Inputs!$B$16,0)</f>
        <v>0</v>
      </c>
      <c r="AY179" s="30" t="n">
        <f aca="false">MAX(AS179,0)*(Inputs!$B$17+Inputs!$B$18+Inputs!$B$19)+MAX(-AS179,0)*(O179+Inputs!$B$18+Inputs!$B$19)+IF(AND(K179=1,AP179&lt;&gt;0),(Inputs!$B$17+Inputs!$B$18+Inputs!$B$19)+(O179+Inputs!$B$18+Inputs!$B$19),0)</f>
        <v>0</v>
      </c>
      <c r="AZ179" s="30" t="n">
        <f aca="false">AP178*M179-AY179</f>
        <v>-0</v>
      </c>
      <c r="BA179" s="32" t="n">
        <f aca="false">BA178+AI179</f>
        <v>-0.00798192564175577</v>
      </c>
      <c r="BB179" s="30" t="n">
        <f aca="false">MAX(BB178,BA179)</f>
        <v>0</v>
      </c>
      <c r="BC179" s="32" t="n">
        <f aca="false">BA179-BB179</f>
        <v>-0.00798192564175577</v>
      </c>
      <c r="BD179" s="30" t="n">
        <f aca="false">A180-A179</f>
        <v>1</v>
      </c>
    </row>
    <row r="180" customFormat="false" ht="15" hidden="false" customHeight="false" outlineLevel="0" collapsed="false">
      <c r="A180" s="28" t="n">
        <v>45303</v>
      </c>
      <c r="B180" s="0" t="n">
        <v>21973.4</v>
      </c>
      <c r="C180" s="0" t="n">
        <v>242.3</v>
      </c>
      <c r="D180" s="29" t="n">
        <f aca="false">LN(B180)</f>
        <v>9.99758790989122</v>
      </c>
      <c r="E180" s="29" t="n">
        <f aca="false">LN(C180)</f>
        <v>5.49017662782248</v>
      </c>
      <c r="F180" s="0" t="n">
        <v>175</v>
      </c>
      <c r="G180" s="0" t="n">
        <v>13</v>
      </c>
      <c r="H180" s="29" t="n">
        <f aca="false">D180-E180</f>
        <v>4.50741128206874</v>
      </c>
      <c r="I180" s="29" t="n">
        <f aca="false">D180-D179</f>
        <v>0.0129813060703032</v>
      </c>
      <c r="J180" s="29" t="n">
        <f aca="false">E180-E179</f>
        <v>0.0132947533582009</v>
      </c>
      <c r="K180" s="0" t="n">
        <v>0</v>
      </c>
      <c r="L180" s="0" t="n">
        <v>0</v>
      </c>
      <c r="M180" s="29" t="n">
        <f aca="false">IF(L180=1,J180-Carry!$B$9/Inputs!$B$16,I180)</f>
        <v>0.0129813060703032</v>
      </c>
      <c r="N180" s="0" t="n">
        <v>0.065</v>
      </c>
      <c r="O180" s="0" t="n">
        <v>0.000125</v>
      </c>
      <c r="P180" s="29" t="n">
        <f aca="false">D180-('2 Hedge ratio'!$B$6+'2 Hedge ratio'!$B$5*E180)</f>
        <v>0.00607010680393572</v>
      </c>
      <c r="Q180" s="29" t="n">
        <f aca="false">D180-('5 Re-specification'!$B$7+'5 Re-specification'!$B$5*E180+'5 Re-specification'!$B$6*F180)</f>
        <v>0.000710872174739308</v>
      </c>
      <c r="R180" s="30" t="n">
        <f aca="false">MIN(F180,Inputs!$B$9)</f>
        <v>175</v>
      </c>
      <c r="S180" s="29" t="n">
        <f aca="true">IF(AND(F180&gt;=1,R180&gt;=Inputs!$B$10),INDEX(LINEST(OFFSET(D180,-R180,0,R180,1),OFFSET(E180,-R180,0,R180,2)),1,1),"")</f>
        <v>-7.57215322073517E-005</v>
      </c>
      <c r="T180" s="29" t="n">
        <f aca="true">IF(AND(F180&gt;=1,R180&gt;=Inputs!$B$10),INDEX(LINEST(OFFSET(D180,-R180,0,R180,1),OFFSET(E180,-R180,0,R180,2)),1,2),"")</f>
        <v>1.03167875934351</v>
      </c>
      <c r="U180" s="29" t="n">
        <f aca="true">IF(AND(F180&gt;=1,R180&gt;=Inputs!$B$10),INDEX(LINEST(OFFSET(D180,-R180,0,R180,1),OFFSET(E180,-R180,0,R180,2)),1,3),"")</f>
        <v>4.34726899382353</v>
      </c>
      <c r="V180" s="29" t="n">
        <f aca="true">IF(AND(F180&gt;=1,R180&gt;=Inputs!$B$10),SQRT(SUMPRODUCT((OFFSET(D180,-R180,0,R180,1)-U180-T180*OFFSET(E180,-R180,0,R180,1)-S180*OFFSET(F180,-R180,0,R180,1))^2)/(R180-3)),"")</f>
        <v>0.00265767529993646</v>
      </c>
      <c r="W180" s="31" t="n">
        <f aca="false">IF(AND(F180&gt;=1,R180&gt;=Inputs!$B$10),(D180-U180-T180*E180-S180*F180)/V180,"")</f>
        <v>-0.198830822059436</v>
      </c>
      <c r="X180" s="30" t="n">
        <f aca="false">IF(AB179&lt;&gt;0,AC179+1,0)</f>
        <v>0</v>
      </c>
      <c r="Y180" s="30" t="n">
        <f aca="false">IF(W180="",0,IF(AND(AB179&lt;&gt;0,OR(ABS(W180)&gt;Inputs!$B$7,X180&gt;=Inputs!$B$8,ABS(W180)&lt;Inputs!$B$6)),1,0))</f>
        <v>0</v>
      </c>
      <c r="Z180" s="30" t="n">
        <f aca="false">IF(Y180=1,0,AB179)</f>
        <v>0</v>
      </c>
      <c r="AA180" s="30" t="n">
        <f aca="false">IF(W180="",0,IF(AND(Z180=0,ABS(W180)&gt;Inputs!$B$5,ABS(W180)&lt;=Inputs!$B$7),1,0))</f>
        <v>0</v>
      </c>
      <c r="AB180" s="30" t="n">
        <f aca="false">IF(W180="",0,IF(AA180=1,-SIGN(W180),Z180))</f>
        <v>0</v>
      </c>
      <c r="AC180" s="30" t="n">
        <f aca="false">IF(W180="",0,IF(AA180=1,0,IF(Y180=1,0,X180)))</f>
        <v>0</v>
      </c>
      <c r="AD180" s="30" t="n">
        <f aca="false">IF(AB180=0,0,IF(AB179=AB180,AD179,T180))</f>
        <v>0</v>
      </c>
      <c r="AE180" s="30" t="n">
        <f aca="false">AB180-AB179</f>
        <v>0</v>
      </c>
      <c r="AF180" s="30" t="n">
        <f aca="false">-AD180*AB180</f>
        <v>-0</v>
      </c>
      <c r="AG180" s="30" t="n">
        <f aca="false">AF180-AF179</f>
        <v>0</v>
      </c>
      <c r="AH180" s="30" t="n">
        <f aca="false">MAX(AE180,0)*(Inputs!$B$17+Inputs!$B$18+Inputs!$B$19)+MAX(-AE180,0)*(O180+Inputs!$B$18+Inputs!$B$19)+IF(AND(K180=1,AB180&lt;&gt;0),(Inputs!$B$17+Inputs!$B$18+Inputs!$B$19)+(O180+Inputs!$B$18+Inputs!$B$19),0)+MAX(AG180,0)*(Inputs!$B$20+Inputs!$B$22+Inputs!$B$23)+MAX(-AG180,0)*(Inputs!$B$21+Inputs!$B$22+Inputs!$B$23)</f>
        <v>0</v>
      </c>
      <c r="AI180" s="30" t="n">
        <f aca="false">AB179*(M180-AD179*J180)+AB179*AD179*N180/Inputs!$B$16-AH180</f>
        <v>0</v>
      </c>
      <c r="AJ180" s="30" t="n">
        <f aca="false">MAX(AE180,0)*(Inputs!$B$17+Inputs!$B$24+Inputs!$B$25)+MAX(-AE180,0)*(O180+Inputs!$B$24+Inputs!$B$25)+IF(AND(K180=1,AB180&lt;&gt;0),(Inputs!$B$17+Inputs!$B$24+Inputs!$B$25)+(O180+Inputs!$B$24+Inputs!$B$25),0)+MAX(AG180,0)*(Inputs!$B$20+Inputs!$B$26+Inputs!$B$27)+MAX(-AG180,0)*(Inputs!$B$21+Inputs!$B$26+Inputs!$B$27)</f>
        <v>0</v>
      </c>
      <c r="AK180" s="30" t="n">
        <f aca="false">AB179*(M180-AD179*J180)+AB179*AD179*(N180+Inputs!$B$14)/Inputs!$B$16-AJ180</f>
        <v>0</v>
      </c>
      <c r="AL180" s="30" t="n">
        <f aca="false">IF(AP179&lt;&gt;0,AQ179+1,0)</f>
        <v>0</v>
      </c>
      <c r="AM180" s="30" t="n">
        <f aca="false">IF(W180="",0,IF(AND(AP179&lt;&gt;0,OR(ABS(W180)&gt;Inputs!$B$7,AL180&gt;=Inputs!$B$8,ABS(W180)&lt;Inputs!$B$6)),1,0))</f>
        <v>0</v>
      </c>
      <c r="AN180" s="30" t="n">
        <f aca="false">IF(AM180=1,0,AP179)</f>
        <v>0</v>
      </c>
      <c r="AO180" s="30" t="n">
        <f aca="false">IF(W180="",0,IF(AND(AN180=0,ABS(W180)&gt;Inputs!$B$5,ABS(W180)&lt;=Inputs!$B$7,W180&gt;0),1,0))</f>
        <v>0</v>
      </c>
      <c r="AP180" s="30" t="n">
        <f aca="false">IF(W180="",0,IF(AO180=1,-SIGN(W180),AN180))</f>
        <v>0</v>
      </c>
      <c r="AQ180" s="30" t="n">
        <f aca="false">IF(W180="",0,IF(AO180=1,0,IF(AM180=1,0,AL180)))</f>
        <v>0</v>
      </c>
      <c r="AR180" s="30" t="n">
        <f aca="false">IF(AP180=0,0,IF(AP179=AP180,AR179,T180))</f>
        <v>0</v>
      </c>
      <c r="AS180" s="30" t="n">
        <f aca="false">AP180-AP179</f>
        <v>0</v>
      </c>
      <c r="AT180" s="30" t="n">
        <f aca="false">-AR180*AP180</f>
        <v>-0</v>
      </c>
      <c r="AU180" s="30" t="n">
        <f aca="false">AT180-AT179</f>
        <v>0</v>
      </c>
      <c r="AV180" s="30" t="n">
        <f aca="false">MAX(AS180,0)*(Inputs!$B$17+Inputs!$B$18+Inputs!$B$19)+MAX(-AS180,0)*(O180+Inputs!$B$18+Inputs!$B$19)+IF(AND(K180=1,AP180&lt;&gt;0),(Inputs!$B$17+Inputs!$B$18+Inputs!$B$19)+(O180+Inputs!$B$18+Inputs!$B$19),0)+MAX(AU180,0)*(Inputs!$B$20+Inputs!$B$22+Inputs!$B$23)+MAX(-AU180,0)*(Inputs!$B$21+Inputs!$B$22+Inputs!$B$23)</f>
        <v>0</v>
      </c>
      <c r="AW180" s="30" t="n">
        <f aca="false">AP179*(M180-AR179*J180)+AP179*AR179*N180/Inputs!$B$16-AV180</f>
        <v>0</v>
      </c>
      <c r="AX180" s="30" t="n">
        <f aca="false">AW180-IF(AP179&lt;&gt;0,0.75*AR179*(Inputs!$B$13-N180)/Inputs!$B$16,0)</f>
        <v>0</v>
      </c>
      <c r="AY180" s="30" t="n">
        <f aca="false">MAX(AS180,0)*(Inputs!$B$17+Inputs!$B$18+Inputs!$B$19)+MAX(-AS180,0)*(O180+Inputs!$B$18+Inputs!$B$19)+IF(AND(K180=1,AP180&lt;&gt;0),(Inputs!$B$17+Inputs!$B$18+Inputs!$B$19)+(O180+Inputs!$B$18+Inputs!$B$19),0)</f>
        <v>0</v>
      </c>
      <c r="AZ180" s="30" t="n">
        <f aca="false">AP179*M180-AY180</f>
        <v>0</v>
      </c>
      <c r="BA180" s="32" t="n">
        <f aca="false">BA179+AI180</f>
        <v>-0.00798192564175577</v>
      </c>
      <c r="BB180" s="30" t="n">
        <f aca="false">MAX(BB179,BA180)</f>
        <v>0</v>
      </c>
      <c r="BC180" s="32" t="n">
        <f aca="false">BA180-BB180</f>
        <v>-0.00798192564175577</v>
      </c>
      <c r="BD180" s="30" t="n">
        <f aca="false">A181-A180</f>
        <v>3</v>
      </c>
    </row>
    <row r="181" customFormat="false" ht="15" hidden="false" customHeight="false" outlineLevel="0" collapsed="false">
      <c r="A181" s="28" t="n">
        <v>45306</v>
      </c>
      <c r="B181" s="0" t="n">
        <v>22141</v>
      </c>
      <c r="C181" s="0" t="n">
        <v>244.3</v>
      </c>
      <c r="D181" s="29" t="n">
        <f aca="false">LN(B181)</f>
        <v>10.005186372361</v>
      </c>
      <c r="E181" s="29" t="n">
        <f aca="false">LN(C181)</f>
        <v>5.4983969782637</v>
      </c>
      <c r="F181" s="0" t="n">
        <v>176</v>
      </c>
      <c r="G181" s="0" t="n">
        <v>10</v>
      </c>
      <c r="H181" s="29" t="n">
        <f aca="false">D181-E181</f>
        <v>4.50678939409727</v>
      </c>
      <c r="I181" s="29" t="n">
        <f aca="false">D181-D180</f>
        <v>0.00759846246973872</v>
      </c>
      <c r="J181" s="29" t="n">
        <f aca="false">E181-E180</f>
        <v>0.00822035044121439</v>
      </c>
      <c r="K181" s="0" t="n">
        <v>0</v>
      </c>
      <c r="L181" s="0" t="n">
        <v>0</v>
      </c>
      <c r="M181" s="29" t="n">
        <f aca="false">IF(L181=1,J181-Carry!$B$9/Inputs!$B$16,I181)</f>
        <v>0.00759846246973872</v>
      </c>
      <c r="N181" s="0" t="n">
        <v>0.065</v>
      </c>
      <c r="O181" s="0" t="n">
        <v>0.000125</v>
      </c>
      <c r="P181" s="29" t="n">
        <f aca="false">D181-('2 Hedge ratio'!$B$6+'2 Hedge ratio'!$B$5*E181)</f>
        <v>0.00613768626409161</v>
      </c>
      <c r="Q181" s="29" t="n">
        <f aca="false">D181-('5 Re-specification'!$B$7+'5 Re-specification'!$B$5*E181+'5 Re-specification'!$B$6*F181)</f>
        <v>0.000158825293548048</v>
      </c>
      <c r="R181" s="30" t="n">
        <f aca="false">MIN(F181,Inputs!$B$9)</f>
        <v>176</v>
      </c>
      <c r="S181" s="29" t="n">
        <f aca="true">IF(AND(F181&gt;=1,R181&gt;=Inputs!$B$10),INDEX(LINEST(OFFSET(D181,-R181,0,R181,1),OFFSET(E181,-R181,0,R181,2)),1,1),"")</f>
        <v>-7.56354940472588E-005</v>
      </c>
      <c r="T181" s="29" t="n">
        <f aca="true">IF(AND(F181&gt;=1,R181&gt;=Inputs!$B$10),INDEX(LINEST(OFFSET(D181,-R181,0,R181,1),OFFSET(E181,-R181,0,R181,2)),1,2),"")</f>
        <v>1.03145754145037</v>
      </c>
      <c r="U181" s="29" t="n">
        <f aca="true">IF(AND(F181&gt;=1,R181&gt;=Inputs!$B$10),INDEX(LINEST(OFFSET(D181,-R181,0,R181,1),OFFSET(E181,-R181,0,R181,2)),1,3),"")</f>
        <v>4.34844743242024</v>
      </c>
      <c r="V181" s="29" t="n">
        <f aca="true">IF(AND(F181&gt;=1,R181&gt;=Inputs!$B$10),SQRT(SUMPRODUCT((OFFSET(D181,-R181,0,R181,1)-U181-T181*OFFSET(E181,-R181,0,R181,1)-S181*OFFSET(F181,-R181,0,R181,1))^2)/(R181-3)),"")</f>
        <v>0.00265027543451488</v>
      </c>
      <c r="W181" s="31" t="n">
        <f aca="false">IF(AND(F181&gt;=1,R181&gt;=Inputs!$B$10),(D181-U181-T181*E181-S181*F181)/V181,"")</f>
        <v>-0.495134282231038</v>
      </c>
      <c r="X181" s="30" t="n">
        <f aca="false">IF(AB180&lt;&gt;0,AC180+1,0)</f>
        <v>0</v>
      </c>
      <c r="Y181" s="30" t="n">
        <f aca="false">IF(W181="",0,IF(AND(AB180&lt;&gt;0,OR(ABS(W181)&gt;Inputs!$B$7,X181&gt;=Inputs!$B$8,ABS(W181)&lt;Inputs!$B$6)),1,0))</f>
        <v>0</v>
      </c>
      <c r="Z181" s="30" t="n">
        <f aca="false">IF(Y181=1,0,AB180)</f>
        <v>0</v>
      </c>
      <c r="AA181" s="30" t="n">
        <f aca="false">IF(W181="",0,IF(AND(Z181=0,ABS(W181)&gt;Inputs!$B$5,ABS(W181)&lt;=Inputs!$B$7),1,0))</f>
        <v>0</v>
      </c>
      <c r="AB181" s="30" t="n">
        <f aca="false">IF(W181="",0,IF(AA181=1,-SIGN(W181),Z181))</f>
        <v>0</v>
      </c>
      <c r="AC181" s="30" t="n">
        <f aca="false">IF(W181="",0,IF(AA181=1,0,IF(Y181=1,0,X181)))</f>
        <v>0</v>
      </c>
      <c r="AD181" s="30" t="n">
        <f aca="false">IF(AB181=0,0,IF(AB180=AB181,AD180,T181))</f>
        <v>0</v>
      </c>
      <c r="AE181" s="30" t="n">
        <f aca="false">AB181-AB180</f>
        <v>0</v>
      </c>
      <c r="AF181" s="30" t="n">
        <f aca="false">-AD181*AB181</f>
        <v>-0</v>
      </c>
      <c r="AG181" s="30" t="n">
        <f aca="false">AF181-AF180</f>
        <v>0</v>
      </c>
      <c r="AH181" s="30" t="n">
        <f aca="false">MAX(AE181,0)*(Inputs!$B$17+Inputs!$B$18+Inputs!$B$19)+MAX(-AE181,0)*(O181+Inputs!$B$18+Inputs!$B$19)+IF(AND(K181=1,AB181&lt;&gt;0),(Inputs!$B$17+Inputs!$B$18+Inputs!$B$19)+(O181+Inputs!$B$18+Inputs!$B$19),0)+MAX(AG181,0)*(Inputs!$B$20+Inputs!$B$22+Inputs!$B$23)+MAX(-AG181,0)*(Inputs!$B$21+Inputs!$B$22+Inputs!$B$23)</f>
        <v>0</v>
      </c>
      <c r="AI181" s="30" t="n">
        <f aca="false">AB180*(M181-AD180*J181)+AB180*AD180*N181/Inputs!$B$16-AH181</f>
        <v>0</v>
      </c>
      <c r="AJ181" s="30" t="n">
        <f aca="false">MAX(AE181,0)*(Inputs!$B$17+Inputs!$B$24+Inputs!$B$25)+MAX(-AE181,0)*(O181+Inputs!$B$24+Inputs!$B$25)+IF(AND(K181=1,AB181&lt;&gt;0),(Inputs!$B$17+Inputs!$B$24+Inputs!$B$25)+(O181+Inputs!$B$24+Inputs!$B$25),0)+MAX(AG181,0)*(Inputs!$B$20+Inputs!$B$26+Inputs!$B$27)+MAX(-AG181,0)*(Inputs!$B$21+Inputs!$B$26+Inputs!$B$27)</f>
        <v>0</v>
      </c>
      <c r="AK181" s="30" t="n">
        <f aca="false">AB180*(M181-AD180*J181)+AB180*AD180*(N181+Inputs!$B$14)/Inputs!$B$16-AJ181</f>
        <v>0</v>
      </c>
      <c r="AL181" s="30" t="n">
        <f aca="false">IF(AP180&lt;&gt;0,AQ180+1,0)</f>
        <v>0</v>
      </c>
      <c r="AM181" s="30" t="n">
        <f aca="false">IF(W181="",0,IF(AND(AP180&lt;&gt;0,OR(ABS(W181)&gt;Inputs!$B$7,AL181&gt;=Inputs!$B$8,ABS(W181)&lt;Inputs!$B$6)),1,0))</f>
        <v>0</v>
      </c>
      <c r="AN181" s="30" t="n">
        <f aca="false">IF(AM181=1,0,AP180)</f>
        <v>0</v>
      </c>
      <c r="AO181" s="30" t="n">
        <f aca="false">IF(W181="",0,IF(AND(AN181=0,ABS(W181)&gt;Inputs!$B$5,ABS(W181)&lt;=Inputs!$B$7,W181&gt;0),1,0))</f>
        <v>0</v>
      </c>
      <c r="AP181" s="30" t="n">
        <f aca="false">IF(W181="",0,IF(AO181=1,-SIGN(W181),AN181))</f>
        <v>0</v>
      </c>
      <c r="AQ181" s="30" t="n">
        <f aca="false">IF(W181="",0,IF(AO181=1,0,IF(AM181=1,0,AL181)))</f>
        <v>0</v>
      </c>
      <c r="AR181" s="30" t="n">
        <f aca="false">IF(AP181=0,0,IF(AP180=AP181,AR180,T181))</f>
        <v>0</v>
      </c>
      <c r="AS181" s="30" t="n">
        <f aca="false">AP181-AP180</f>
        <v>0</v>
      </c>
      <c r="AT181" s="30" t="n">
        <f aca="false">-AR181*AP181</f>
        <v>-0</v>
      </c>
      <c r="AU181" s="30" t="n">
        <f aca="false">AT181-AT180</f>
        <v>0</v>
      </c>
      <c r="AV181" s="30" t="n">
        <f aca="false">MAX(AS181,0)*(Inputs!$B$17+Inputs!$B$18+Inputs!$B$19)+MAX(-AS181,0)*(O181+Inputs!$B$18+Inputs!$B$19)+IF(AND(K181=1,AP181&lt;&gt;0),(Inputs!$B$17+Inputs!$B$18+Inputs!$B$19)+(O181+Inputs!$B$18+Inputs!$B$19),0)+MAX(AU181,0)*(Inputs!$B$20+Inputs!$B$22+Inputs!$B$23)+MAX(-AU181,0)*(Inputs!$B$21+Inputs!$B$22+Inputs!$B$23)</f>
        <v>0</v>
      </c>
      <c r="AW181" s="30" t="n">
        <f aca="false">AP180*(M181-AR180*J181)+AP180*AR180*N181/Inputs!$B$16-AV181</f>
        <v>0</v>
      </c>
      <c r="AX181" s="30" t="n">
        <f aca="false">AW181-IF(AP180&lt;&gt;0,0.75*AR180*(Inputs!$B$13-N181)/Inputs!$B$16,0)</f>
        <v>0</v>
      </c>
      <c r="AY181" s="30" t="n">
        <f aca="false">MAX(AS181,0)*(Inputs!$B$17+Inputs!$B$18+Inputs!$B$19)+MAX(-AS181,0)*(O181+Inputs!$B$18+Inputs!$B$19)+IF(AND(K181=1,AP181&lt;&gt;0),(Inputs!$B$17+Inputs!$B$18+Inputs!$B$19)+(O181+Inputs!$B$18+Inputs!$B$19),0)</f>
        <v>0</v>
      </c>
      <c r="AZ181" s="30" t="n">
        <f aca="false">AP180*M181-AY181</f>
        <v>0</v>
      </c>
      <c r="BA181" s="32" t="n">
        <f aca="false">BA180+AI181</f>
        <v>-0.00798192564175577</v>
      </c>
      <c r="BB181" s="30" t="n">
        <f aca="false">MAX(BB180,BA181)</f>
        <v>0</v>
      </c>
      <c r="BC181" s="32" t="n">
        <f aca="false">BA181-BB181</f>
        <v>-0.00798192564175577</v>
      </c>
      <c r="BD181" s="30" t="n">
        <f aca="false">A182-A181</f>
        <v>1</v>
      </c>
    </row>
    <row r="182" customFormat="false" ht="15" hidden="false" customHeight="false" outlineLevel="0" collapsed="false">
      <c r="A182" s="28" t="n">
        <v>45307</v>
      </c>
      <c r="B182" s="0" t="n">
        <v>22023.15</v>
      </c>
      <c r="C182" s="0" t="n">
        <v>243.19</v>
      </c>
      <c r="D182" s="29" t="n">
        <f aca="false">LN(B182)</f>
        <v>9.99984945181686</v>
      </c>
      <c r="E182" s="29" t="n">
        <f aca="false">LN(C182)</f>
        <v>5.49384303082557</v>
      </c>
      <c r="F182" s="0" t="n">
        <v>177</v>
      </c>
      <c r="G182" s="0" t="n">
        <v>9</v>
      </c>
      <c r="H182" s="29" t="n">
        <f aca="false">D182-E182</f>
        <v>4.50600642099129</v>
      </c>
      <c r="I182" s="29" t="n">
        <f aca="false">D182-D181</f>
        <v>-0.00533692054410295</v>
      </c>
      <c r="J182" s="29" t="n">
        <f aca="false">E182-E181</f>
        <v>-0.00455394743812043</v>
      </c>
      <c r="K182" s="0" t="n">
        <v>0</v>
      </c>
      <c r="L182" s="0" t="n">
        <v>0</v>
      </c>
      <c r="M182" s="29" t="n">
        <f aca="false">IF(L182=1,J182-Carry!$B$9/Inputs!$B$16,I182)</f>
        <v>-0.00533692054410295</v>
      </c>
      <c r="N182" s="0" t="n">
        <v>0.065</v>
      </c>
      <c r="O182" s="0" t="n">
        <v>0.000125</v>
      </c>
      <c r="P182" s="29" t="n">
        <f aca="false">D182-('2 Hedge ratio'!$B$6+'2 Hedge ratio'!$B$5*E182)</f>
        <v>0.00497275882825399</v>
      </c>
      <c r="Q182" s="29" t="n">
        <f aca="false">D182-('5 Re-specification'!$B$7+'5 Re-specification'!$B$5*E182+'5 Re-specification'!$B$6*F182)</f>
        <v>-0.000593019232145053</v>
      </c>
      <c r="R182" s="30" t="n">
        <f aca="false">MIN(F182,Inputs!$B$9)</f>
        <v>177</v>
      </c>
      <c r="S182" s="29" t="n">
        <f aca="true">IF(AND(F182&gt;=1,R182&gt;=Inputs!$B$10),INDEX(LINEST(OFFSET(D182,-R182,0,R182,1),OFFSET(E182,-R182,0,R182,2)),1,1),"")</f>
        <v>-7.53545295700269E-005</v>
      </c>
      <c r="T182" s="29" t="n">
        <f aca="true">IF(AND(F182&gt;=1,R182&gt;=Inputs!$B$10),INDEX(LINEST(OFFSET(D182,-R182,0,R182,1),OFFSET(E182,-R182,0,R182,2)),1,2),"")</f>
        <v>1.03083900431875</v>
      </c>
      <c r="U182" s="29" t="n">
        <f aca="true">IF(AND(F182&gt;=1,R182&gt;=Inputs!$B$10),INDEX(LINEST(OFFSET(D182,-R182,0,R182,1),OFFSET(E182,-R182,0,R182,2)),1,3),"")</f>
        <v>4.35174014849905</v>
      </c>
      <c r="V182" s="29" t="n">
        <f aca="true">IF(AND(F182&gt;=1,R182&gt;=Inputs!$B$10),SQRT(SUMPRODUCT((OFFSET(D182,-R182,0,R182,1)-U182-T182*OFFSET(E182,-R182,0,R182,1)-S182*OFFSET(F182,-R182,0,R182,1))^2)/(R182-3)),"")</f>
        <v>0.0026444366705097</v>
      </c>
      <c r="W182" s="31" t="n">
        <f aca="false">IF(AND(F182&gt;=1,R182&gt;=Inputs!$B$10),(D182-U182-T182*E182-S182*F182)/V182,"")</f>
        <v>-0.688473559736912</v>
      </c>
      <c r="X182" s="30" t="n">
        <f aca="false">IF(AB181&lt;&gt;0,AC181+1,0)</f>
        <v>0</v>
      </c>
      <c r="Y182" s="30" t="n">
        <f aca="false">IF(W182="",0,IF(AND(AB181&lt;&gt;0,OR(ABS(W182)&gt;Inputs!$B$7,X182&gt;=Inputs!$B$8,ABS(W182)&lt;Inputs!$B$6)),1,0))</f>
        <v>0</v>
      </c>
      <c r="Z182" s="30" t="n">
        <f aca="false">IF(Y182=1,0,AB181)</f>
        <v>0</v>
      </c>
      <c r="AA182" s="30" t="n">
        <f aca="false">IF(W182="",0,IF(AND(Z182=0,ABS(W182)&gt;Inputs!$B$5,ABS(W182)&lt;=Inputs!$B$7),1,0))</f>
        <v>0</v>
      </c>
      <c r="AB182" s="30" t="n">
        <f aca="false">IF(W182="",0,IF(AA182=1,-SIGN(W182),Z182))</f>
        <v>0</v>
      </c>
      <c r="AC182" s="30" t="n">
        <f aca="false">IF(W182="",0,IF(AA182=1,0,IF(Y182=1,0,X182)))</f>
        <v>0</v>
      </c>
      <c r="AD182" s="30" t="n">
        <f aca="false">IF(AB182=0,0,IF(AB181=AB182,AD181,T182))</f>
        <v>0</v>
      </c>
      <c r="AE182" s="30" t="n">
        <f aca="false">AB182-AB181</f>
        <v>0</v>
      </c>
      <c r="AF182" s="30" t="n">
        <f aca="false">-AD182*AB182</f>
        <v>-0</v>
      </c>
      <c r="AG182" s="30" t="n">
        <f aca="false">AF182-AF181</f>
        <v>0</v>
      </c>
      <c r="AH182" s="30" t="n">
        <f aca="false">MAX(AE182,0)*(Inputs!$B$17+Inputs!$B$18+Inputs!$B$19)+MAX(-AE182,0)*(O182+Inputs!$B$18+Inputs!$B$19)+IF(AND(K182=1,AB182&lt;&gt;0),(Inputs!$B$17+Inputs!$B$18+Inputs!$B$19)+(O182+Inputs!$B$18+Inputs!$B$19),0)+MAX(AG182,0)*(Inputs!$B$20+Inputs!$B$22+Inputs!$B$23)+MAX(-AG182,0)*(Inputs!$B$21+Inputs!$B$22+Inputs!$B$23)</f>
        <v>0</v>
      </c>
      <c r="AI182" s="30" t="n">
        <f aca="false">AB181*(M182-AD181*J182)+AB181*AD181*N182/Inputs!$B$16-AH182</f>
        <v>0</v>
      </c>
      <c r="AJ182" s="30" t="n">
        <f aca="false">MAX(AE182,0)*(Inputs!$B$17+Inputs!$B$24+Inputs!$B$25)+MAX(-AE182,0)*(O182+Inputs!$B$24+Inputs!$B$25)+IF(AND(K182=1,AB182&lt;&gt;0),(Inputs!$B$17+Inputs!$B$24+Inputs!$B$25)+(O182+Inputs!$B$24+Inputs!$B$25),0)+MAX(AG182,0)*(Inputs!$B$20+Inputs!$B$26+Inputs!$B$27)+MAX(-AG182,0)*(Inputs!$B$21+Inputs!$B$26+Inputs!$B$27)</f>
        <v>0</v>
      </c>
      <c r="AK182" s="30" t="n">
        <f aca="false">AB181*(M182-AD181*J182)+AB181*AD181*(N182+Inputs!$B$14)/Inputs!$B$16-AJ182</f>
        <v>0</v>
      </c>
      <c r="AL182" s="30" t="n">
        <f aca="false">IF(AP181&lt;&gt;0,AQ181+1,0)</f>
        <v>0</v>
      </c>
      <c r="AM182" s="30" t="n">
        <f aca="false">IF(W182="",0,IF(AND(AP181&lt;&gt;0,OR(ABS(W182)&gt;Inputs!$B$7,AL182&gt;=Inputs!$B$8,ABS(W182)&lt;Inputs!$B$6)),1,0))</f>
        <v>0</v>
      </c>
      <c r="AN182" s="30" t="n">
        <f aca="false">IF(AM182=1,0,AP181)</f>
        <v>0</v>
      </c>
      <c r="AO182" s="30" t="n">
        <f aca="false">IF(W182="",0,IF(AND(AN182=0,ABS(W182)&gt;Inputs!$B$5,ABS(W182)&lt;=Inputs!$B$7,W182&gt;0),1,0))</f>
        <v>0</v>
      </c>
      <c r="AP182" s="30" t="n">
        <f aca="false">IF(W182="",0,IF(AO182=1,-SIGN(W182),AN182))</f>
        <v>0</v>
      </c>
      <c r="AQ182" s="30" t="n">
        <f aca="false">IF(W182="",0,IF(AO182=1,0,IF(AM182=1,0,AL182)))</f>
        <v>0</v>
      </c>
      <c r="AR182" s="30" t="n">
        <f aca="false">IF(AP182=0,0,IF(AP181=AP182,AR181,T182))</f>
        <v>0</v>
      </c>
      <c r="AS182" s="30" t="n">
        <f aca="false">AP182-AP181</f>
        <v>0</v>
      </c>
      <c r="AT182" s="30" t="n">
        <f aca="false">-AR182*AP182</f>
        <v>-0</v>
      </c>
      <c r="AU182" s="30" t="n">
        <f aca="false">AT182-AT181</f>
        <v>0</v>
      </c>
      <c r="AV182" s="30" t="n">
        <f aca="false">MAX(AS182,0)*(Inputs!$B$17+Inputs!$B$18+Inputs!$B$19)+MAX(-AS182,0)*(O182+Inputs!$B$18+Inputs!$B$19)+IF(AND(K182=1,AP182&lt;&gt;0),(Inputs!$B$17+Inputs!$B$18+Inputs!$B$19)+(O182+Inputs!$B$18+Inputs!$B$19),0)+MAX(AU182,0)*(Inputs!$B$20+Inputs!$B$22+Inputs!$B$23)+MAX(-AU182,0)*(Inputs!$B$21+Inputs!$B$22+Inputs!$B$23)</f>
        <v>0</v>
      </c>
      <c r="AW182" s="30" t="n">
        <f aca="false">AP181*(M182-AR181*J182)+AP181*AR181*N182/Inputs!$B$16-AV182</f>
        <v>0</v>
      </c>
      <c r="AX182" s="30" t="n">
        <f aca="false">AW182-IF(AP181&lt;&gt;0,0.75*AR181*(Inputs!$B$13-N182)/Inputs!$B$16,0)</f>
        <v>0</v>
      </c>
      <c r="AY182" s="30" t="n">
        <f aca="false">MAX(AS182,0)*(Inputs!$B$17+Inputs!$B$18+Inputs!$B$19)+MAX(-AS182,0)*(O182+Inputs!$B$18+Inputs!$B$19)+IF(AND(K182=1,AP182&lt;&gt;0),(Inputs!$B$17+Inputs!$B$18+Inputs!$B$19)+(O182+Inputs!$B$18+Inputs!$B$19),0)</f>
        <v>0</v>
      </c>
      <c r="AZ182" s="30" t="n">
        <f aca="false">AP181*M182-AY182</f>
        <v>-0</v>
      </c>
      <c r="BA182" s="32" t="n">
        <f aca="false">BA181+AI182</f>
        <v>-0.00798192564175577</v>
      </c>
      <c r="BB182" s="30" t="n">
        <f aca="false">MAX(BB181,BA182)</f>
        <v>0</v>
      </c>
      <c r="BC182" s="32" t="n">
        <f aca="false">BA182-BB182</f>
        <v>-0.00798192564175577</v>
      </c>
      <c r="BD182" s="30" t="n">
        <f aca="false">A183-A182</f>
        <v>1</v>
      </c>
    </row>
    <row r="183" customFormat="false" ht="15" hidden="false" customHeight="false" outlineLevel="0" collapsed="false">
      <c r="A183" s="28" t="n">
        <v>45308</v>
      </c>
      <c r="B183" s="0" t="n">
        <v>21587</v>
      </c>
      <c r="C183" s="0" t="n">
        <v>238.5</v>
      </c>
      <c r="D183" s="29" t="n">
        <f aca="false">LN(B183)</f>
        <v>9.97984656063488</v>
      </c>
      <c r="E183" s="29" t="n">
        <f aca="false">LN(C183)</f>
        <v>5.4743693103284</v>
      </c>
      <c r="F183" s="0" t="n">
        <v>178</v>
      </c>
      <c r="G183" s="0" t="n">
        <v>8</v>
      </c>
      <c r="H183" s="29" t="n">
        <f aca="false">D183-E183</f>
        <v>4.50547725030648</v>
      </c>
      <c r="I183" s="29" t="n">
        <f aca="false">D183-D182</f>
        <v>-0.0200028911819814</v>
      </c>
      <c r="J183" s="29" t="n">
        <f aca="false">E183-E182</f>
        <v>-0.019473720497178</v>
      </c>
      <c r="K183" s="0" t="n">
        <v>0</v>
      </c>
      <c r="L183" s="0" t="n">
        <v>0</v>
      </c>
      <c r="M183" s="29" t="n">
        <f aca="false">IF(L183=1,J183-Carry!$B$9/Inputs!$B$16,I183)</f>
        <v>-0.0200028911819814</v>
      </c>
      <c r="N183" s="0" t="n">
        <v>0.065</v>
      </c>
      <c r="O183" s="0" t="n">
        <v>0.000125</v>
      </c>
      <c r="P183" s="29" t="n">
        <f aca="false">D183-('2 Hedge ratio'!$B$6+'2 Hedge ratio'!$B$5*E183)</f>
        <v>0.00281026409582985</v>
      </c>
      <c r="Q183" s="29" t="n">
        <f aca="false">D183-('5 Re-specification'!$B$7+'5 Re-specification'!$B$5*E183+'5 Re-specification'!$B$6*F183)</f>
        <v>-0.00113627570923036</v>
      </c>
      <c r="R183" s="30" t="n">
        <f aca="false">MIN(F183,Inputs!$B$9)</f>
        <v>178</v>
      </c>
      <c r="S183" s="29" t="n">
        <f aca="true">IF(AND(F183&gt;=1,R183&gt;=Inputs!$B$10),INDEX(LINEST(OFFSET(D183,-R183,0,R183,1),OFFSET(E183,-R183,0,R183,2)),1,1),"")</f>
        <v>-7.50642654605598E-005</v>
      </c>
      <c r="T183" s="29" t="n">
        <f aca="true">IF(AND(F183&gt;=1,R183&gt;=Inputs!$B$10),INDEX(LINEST(OFFSET(D183,-R183,0,R183,1),OFFSET(E183,-R183,0,R183,2)),1,2),"")</f>
        <v>1.03010809307177</v>
      </c>
      <c r="U183" s="29" t="n">
        <f aca="true">IF(AND(F183&gt;=1,R183&gt;=Inputs!$B$10),INDEX(LINEST(OFFSET(D183,-R183,0,R183,1),OFFSET(E183,-R183,0,R183,2)),1,3),"")</f>
        <v>4.35563362361603</v>
      </c>
      <c r="V183" s="29" t="n">
        <f aca="true">IF(AND(F183&gt;=1,R183&gt;=Inputs!$B$10),SQRT(SUMPRODUCT((OFFSET(D183,-R183,0,R183,1)-U183-T183*OFFSET(E183,-R183,0,R183,1)-S183*OFFSET(F183,-R183,0,R183,1))^2)/(R183-3)),"")</f>
        <v>0.00264032023207462</v>
      </c>
      <c r="W183" s="31" t="n">
        <f aca="false">IF(AND(F183&gt;=1,R183&gt;=Inputs!$B$10),(D183-U183-T183*E183-S183*F183)/V183,"")</f>
        <v>-0.612711572826335</v>
      </c>
      <c r="X183" s="30" t="n">
        <f aca="false">IF(AB182&lt;&gt;0,AC182+1,0)</f>
        <v>0</v>
      </c>
      <c r="Y183" s="30" t="n">
        <f aca="false">IF(W183="",0,IF(AND(AB182&lt;&gt;0,OR(ABS(W183)&gt;Inputs!$B$7,X183&gt;=Inputs!$B$8,ABS(W183)&lt;Inputs!$B$6)),1,0))</f>
        <v>0</v>
      </c>
      <c r="Z183" s="30" t="n">
        <f aca="false">IF(Y183=1,0,AB182)</f>
        <v>0</v>
      </c>
      <c r="AA183" s="30" t="n">
        <f aca="false">IF(W183="",0,IF(AND(Z183=0,ABS(W183)&gt;Inputs!$B$5,ABS(W183)&lt;=Inputs!$B$7),1,0))</f>
        <v>0</v>
      </c>
      <c r="AB183" s="30" t="n">
        <f aca="false">IF(W183="",0,IF(AA183=1,-SIGN(W183),Z183))</f>
        <v>0</v>
      </c>
      <c r="AC183" s="30" t="n">
        <f aca="false">IF(W183="",0,IF(AA183=1,0,IF(Y183=1,0,X183)))</f>
        <v>0</v>
      </c>
      <c r="AD183" s="30" t="n">
        <f aca="false">IF(AB183=0,0,IF(AB182=AB183,AD182,T183))</f>
        <v>0</v>
      </c>
      <c r="AE183" s="30" t="n">
        <f aca="false">AB183-AB182</f>
        <v>0</v>
      </c>
      <c r="AF183" s="30" t="n">
        <f aca="false">-AD183*AB183</f>
        <v>-0</v>
      </c>
      <c r="AG183" s="30" t="n">
        <f aca="false">AF183-AF182</f>
        <v>0</v>
      </c>
      <c r="AH183" s="30" t="n">
        <f aca="false">MAX(AE183,0)*(Inputs!$B$17+Inputs!$B$18+Inputs!$B$19)+MAX(-AE183,0)*(O183+Inputs!$B$18+Inputs!$B$19)+IF(AND(K183=1,AB183&lt;&gt;0),(Inputs!$B$17+Inputs!$B$18+Inputs!$B$19)+(O183+Inputs!$B$18+Inputs!$B$19),0)+MAX(AG183,0)*(Inputs!$B$20+Inputs!$B$22+Inputs!$B$23)+MAX(-AG183,0)*(Inputs!$B$21+Inputs!$B$22+Inputs!$B$23)</f>
        <v>0</v>
      </c>
      <c r="AI183" s="30" t="n">
        <f aca="false">AB182*(M183-AD182*J183)+AB182*AD182*N183/Inputs!$B$16-AH183</f>
        <v>0</v>
      </c>
      <c r="AJ183" s="30" t="n">
        <f aca="false">MAX(AE183,0)*(Inputs!$B$17+Inputs!$B$24+Inputs!$B$25)+MAX(-AE183,0)*(O183+Inputs!$B$24+Inputs!$B$25)+IF(AND(K183=1,AB183&lt;&gt;0),(Inputs!$B$17+Inputs!$B$24+Inputs!$B$25)+(O183+Inputs!$B$24+Inputs!$B$25),0)+MAX(AG183,0)*(Inputs!$B$20+Inputs!$B$26+Inputs!$B$27)+MAX(-AG183,0)*(Inputs!$B$21+Inputs!$B$26+Inputs!$B$27)</f>
        <v>0</v>
      </c>
      <c r="AK183" s="30" t="n">
        <f aca="false">AB182*(M183-AD182*J183)+AB182*AD182*(N183+Inputs!$B$14)/Inputs!$B$16-AJ183</f>
        <v>0</v>
      </c>
      <c r="AL183" s="30" t="n">
        <f aca="false">IF(AP182&lt;&gt;0,AQ182+1,0)</f>
        <v>0</v>
      </c>
      <c r="AM183" s="30" t="n">
        <f aca="false">IF(W183="",0,IF(AND(AP182&lt;&gt;0,OR(ABS(W183)&gt;Inputs!$B$7,AL183&gt;=Inputs!$B$8,ABS(W183)&lt;Inputs!$B$6)),1,0))</f>
        <v>0</v>
      </c>
      <c r="AN183" s="30" t="n">
        <f aca="false">IF(AM183=1,0,AP182)</f>
        <v>0</v>
      </c>
      <c r="AO183" s="30" t="n">
        <f aca="false">IF(W183="",0,IF(AND(AN183=0,ABS(W183)&gt;Inputs!$B$5,ABS(W183)&lt;=Inputs!$B$7,W183&gt;0),1,0))</f>
        <v>0</v>
      </c>
      <c r="AP183" s="30" t="n">
        <f aca="false">IF(W183="",0,IF(AO183=1,-SIGN(W183),AN183))</f>
        <v>0</v>
      </c>
      <c r="AQ183" s="30" t="n">
        <f aca="false">IF(W183="",0,IF(AO183=1,0,IF(AM183=1,0,AL183)))</f>
        <v>0</v>
      </c>
      <c r="AR183" s="30" t="n">
        <f aca="false">IF(AP183=0,0,IF(AP182=AP183,AR182,T183))</f>
        <v>0</v>
      </c>
      <c r="AS183" s="30" t="n">
        <f aca="false">AP183-AP182</f>
        <v>0</v>
      </c>
      <c r="AT183" s="30" t="n">
        <f aca="false">-AR183*AP183</f>
        <v>-0</v>
      </c>
      <c r="AU183" s="30" t="n">
        <f aca="false">AT183-AT182</f>
        <v>0</v>
      </c>
      <c r="AV183" s="30" t="n">
        <f aca="false">MAX(AS183,0)*(Inputs!$B$17+Inputs!$B$18+Inputs!$B$19)+MAX(-AS183,0)*(O183+Inputs!$B$18+Inputs!$B$19)+IF(AND(K183=1,AP183&lt;&gt;0),(Inputs!$B$17+Inputs!$B$18+Inputs!$B$19)+(O183+Inputs!$B$18+Inputs!$B$19),0)+MAX(AU183,0)*(Inputs!$B$20+Inputs!$B$22+Inputs!$B$23)+MAX(-AU183,0)*(Inputs!$B$21+Inputs!$B$22+Inputs!$B$23)</f>
        <v>0</v>
      </c>
      <c r="AW183" s="30" t="n">
        <f aca="false">AP182*(M183-AR182*J183)+AP182*AR182*N183/Inputs!$B$16-AV183</f>
        <v>0</v>
      </c>
      <c r="AX183" s="30" t="n">
        <f aca="false">AW183-IF(AP182&lt;&gt;0,0.75*AR182*(Inputs!$B$13-N183)/Inputs!$B$16,0)</f>
        <v>0</v>
      </c>
      <c r="AY183" s="30" t="n">
        <f aca="false">MAX(AS183,0)*(Inputs!$B$17+Inputs!$B$18+Inputs!$B$19)+MAX(-AS183,0)*(O183+Inputs!$B$18+Inputs!$B$19)+IF(AND(K183=1,AP183&lt;&gt;0),(Inputs!$B$17+Inputs!$B$18+Inputs!$B$19)+(O183+Inputs!$B$18+Inputs!$B$19),0)</f>
        <v>0</v>
      </c>
      <c r="AZ183" s="30" t="n">
        <f aca="false">AP182*M183-AY183</f>
        <v>-0</v>
      </c>
      <c r="BA183" s="32" t="n">
        <f aca="false">BA182+AI183</f>
        <v>-0.00798192564175577</v>
      </c>
      <c r="BB183" s="30" t="n">
        <f aca="false">MAX(BB182,BA183)</f>
        <v>0</v>
      </c>
      <c r="BC183" s="32" t="n">
        <f aca="false">BA183-BB183</f>
        <v>-0.00798192564175577</v>
      </c>
      <c r="BD183" s="30" t="n">
        <f aca="false">A184-A183</f>
        <v>1</v>
      </c>
    </row>
    <row r="184" customFormat="false" ht="15" hidden="false" customHeight="false" outlineLevel="0" collapsed="false">
      <c r="A184" s="28" t="n">
        <v>45309</v>
      </c>
      <c r="B184" s="0" t="n">
        <v>21549.9</v>
      </c>
      <c r="C184" s="0" t="n">
        <v>237.68</v>
      </c>
      <c r="D184" s="29" t="n">
        <f aca="false">LN(B184)</f>
        <v>9.9781264551499</v>
      </c>
      <c r="E184" s="29" t="n">
        <f aca="false">LN(C184)</f>
        <v>5.47092523115435</v>
      </c>
      <c r="F184" s="0" t="n">
        <v>179</v>
      </c>
      <c r="G184" s="0" t="n">
        <v>7</v>
      </c>
      <c r="H184" s="29" t="n">
        <f aca="false">D184-E184</f>
        <v>4.50720122399555</v>
      </c>
      <c r="I184" s="29" t="n">
        <f aca="false">D184-D183</f>
        <v>-0.00172010548497958</v>
      </c>
      <c r="J184" s="29" t="n">
        <f aca="false">E184-E183</f>
        <v>-0.00344407917404421</v>
      </c>
      <c r="K184" s="0" t="n">
        <v>0</v>
      </c>
      <c r="L184" s="0" t="n">
        <v>0</v>
      </c>
      <c r="M184" s="29" t="n">
        <f aca="false">IF(L184=1,J184-Carry!$B$9/Inputs!$B$16,I184)</f>
        <v>-0.00172010548497958</v>
      </c>
      <c r="N184" s="0" t="n">
        <v>0.065</v>
      </c>
      <c r="O184" s="0" t="n">
        <v>0.000125</v>
      </c>
      <c r="P184" s="29" t="n">
        <f aca="false">D184-('2 Hedge ratio'!$B$6+'2 Hedge ratio'!$B$5*E184)</f>
        <v>0.00424537170315631</v>
      </c>
      <c r="Q184" s="29" t="n">
        <f aca="false">D184-('5 Re-specification'!$B$7+'5 Re-specification'!$B$5*E184+'5 Re-specification'!$B$6*F184)</f>
        <v>0.00062219001592112</v>
      </c>
      <c r="R184" s="30" t="n">
        <f aca="false">MIN(F184,Inputs!$B$9)</f>
        <v>179</v>
      </c>
      <c r="S184" s="29" t="n">
        <f aca="true">IF(AND(F184&gt;=1,R184&gt;=Inputs!$B$10),INDEX(LINEST(OFFSET(D184,-R184,0,R184,1),OFFSET(E184,-R184,0,R184,2)),1,1),"")</f>
        <v>-7.50871227722841E-005</v>
      </c>
      <c r="T184" s="29" t="n">
        <f aca="true">IF(AND(F184&gt;=1,R184&gt;=Inputs!$B$10),INDEX(LINEST(OFFSET(D184,-R184,0,R184,1),OFFSET(E184,-R184,0,R184,2)),1,2),"")</f>
        <v>1.02978811850349</v>
      </c>
      <c r="U184" s="29" t="n">
        <f aca="true">IF(AND(F184&gt;=1,R184&gt;=Inputs!$B$10),INDEX(LINEST(OFFSET(D184,-R184,0,R184,1),OFFSET(E184,-R184,0,R184,2)),1,3),"")</f>
        <v>4.35734698489798</v>
      </c>
      <c r="V184" s="29" t="n">
        <f aca="true">IF(AND(F184&gt;=1,R184&gt;=Inputs!$B$10),SQRT(SUMPRODUCT((OFFSET(D184,-R184,0,R184,1)-U184-T184*OFFSET(E184,-R184,0,R184,1)-S184*OFFSET(F184,-R184,0,R184,1))^2)/(R184-3)),"")</f>
        <v>0.00263555723861233</v>
      </c>
      <c r="W184" s="31" t="n">
        <f aca="false">IF(AND(F184&gt;=1,R184&gt;=Inputs!$B$10),(D184-U184-T184*E184-S184*F184)/V184,"")</f>
        <v>0.123793541528911</v>
      </c>
      <c r="X184" s="30" t="n">
        <f aca="false">IF(AB183&lt;&gt;0,AC183+1,0)</f>
        <v>0</v>
      </c>
      <c r="Y184" s="30" t="n">
        <f aca="false">IF(W184="",0,IF(AND(AB183&lt;&gt;0,OR(ABS(W184)&gt;Inputs!$B$7,X184&gt;=Inputs!$B$8,ABS(W184)&lt;Inputs!$B$6)),1,0))</f>
        <v>0</v>
      </c>
      <c r="Z184" s="30" t="n">
        <f aca="false">IF(Y184=1,0,AB183)</f>
        <v>0</v>
      </c>
      <c r="AA184" s="30" t="n">
        <f aca="false">IF(W184="",0,IF(AND(Z184=0,ABS(W184)&gt;Inputs!$B$5,ABS(W184)&lt;=Inputs!$B$7),1,0))</f>
        <v>0</v>
      </c>
      <c r="AB184" s="30" t="n">
        <f aca="false">IF(W184="",0,IF(AA184=1,-SIGN(W184),Z184))</f>
        <v>0</v>
      </c>
      <c r="AC184" s="30" t="n">
        <f aca="false">IF(W184="",0,IF(AA184=1,0,IF(Y184=1,0,X184)))</f>
        <v>0</v>
      </c>
      <c r="AD184" s="30" t="n">
        <f aca="false">IF(AB184=0,0,IF(AB183=AB184,AD183,T184))</f>
        <v>0</v>
      </c>
      <c r="AE184" s="30" t="n">
        <f aca="false">AB184-AB183</f>
        <v>0</v>
      </c>
      <c r="AF184" s="30" t="n">
        <f aca="false">-AD184*AB184</f>
        <v>-0</v>
      </c>
      <c r="AG184" s="30" t="n">
        <f aca="false">AF184-AF183</f>
        <v>0</v>
      </c>
      <c r="AH184" s="30" t="n">
        <f aca="false">MAX(AE184,0)*(Inputs!$B$17+Inputs!$B$18+Inputs!$B$19)+MAX(-AE184,0)*(O184+Inputs!$B$18+Inputs!$B$19)+IF(AND(K184=1,AB184&lt;&gt;0),(Inputs!$B$17+Inputs!$B$18+Inputs!$B$19)+(O184+Inputs!$B$18+Inputs!$B$19),0)+MAX(AG184,0)*(Inputs!$B$20+Inputs!$B$22+Inputs!$B$23)+MAX(-AG184,0)*(Inputs!$B$21+Inputs!$B$22+Inputs!$B$23)</f>
        <v>0</v>
      </c>
      <c r="AI184" s="30" t="n">
        <f aca="false">AB183*(M184-AD183*J184)+AB183*AD183*N184/Inputs!$B$16-AH184</f>
        <v>0</v>
      </c>
      <c r="AJ184" s="30" t="n">
        <f aca="false">MAX(AE184,0)*(Inputs!$B$17+Inputs!$B$24+Inputs!$B$25)+MAX(-AE184,0)*(O184+Inputs!$B$24+Inputs!$B$25)+IF(AND(K184=1,AB184&lt;&gt;0),(Inputs!$B$17+Inputs!$B$24+Inputs!$B$25)+(O184+Inputs!$B$24+Inputs!$B$25),0)+MAX(AG184,0)*(Inputs!$B$20+Inputs!$B$26+Inputs!$B$27)+MAX(-AG184,0)*(Inputs!$B$21+Inputs!$B$26+Inputs!$B$27)</f>
        <v>0</v>
      </c>
      <c r="AK184" s="30" t="n">
        <f aca="false">AB183*(M184-AD183*J184)+AB183*AD183*(N184+Inputs!$B$14)/Inputs!$B$16-AJ184</f>
        <v>0</v>
      </c>
      <c r="AL184" s="30" t="n">
        <f aca="false">IF(AP183&lt;&gt;0,AQ183+1,0)</f>
        <v>0</v>
      </c>
      <c r="AM184" s="30" t="n">
        <f aca="false">IF(W184="",0,IF(AND(AP183&lt;&gt;0,OR(ABS(W184)&gt;Inputs!$B$7,AL184&gt;=Inputs!$B$8,ABS(W184)&lt;Inputs!$B$6)),1,0))</f>
        <v>0</v>
      </c>
      <c r="AN184" s="30" t="n">
        <f aca="false">IF(AM184=1,0,AP183)</f>
        <v>0</v>
      </c>
      <c r="AO184" s="30" t="n">
        <f aca="false">IF(W184="",0,IF(AND(AN184=0,ABS(W184)&gt;Inputs!$B$5,ABS(W184)&lt;=Inputs!$B$7,W184&gt;0),1,0))</f>
        <v>0</v>
      </c>
      <c r="AP184" s="30" t="n">
        <f aca="false">IF(W184="",0,IF(AO184=1,-SIGN(W184),AN184))</f>
        <v>0</v>
      </c>
      <c r="AQ184" s="30" t="n">
        <f aca="false">IF(W184="",0,IF(AO184=1,0,IF(AM184=1,0,AL184)))</f>
        <v>0</v>
      </c>
      <c r="AR184" s="30" t="n">
        <f aca="false">IF(AP184=0,0,IF(AP183=AP184,AR183,T184))</f>
        <v>0</v>
      </c>
      <c r="AS184" s="30" t="n">
        <f aca="false">AP184-AP183</f>
        <v>0</v>
      </c>
      <c r="AT184" s="30" t="n">
        <f aca="false">-AR184*AP184</f>
        <v>-0</v>
      </c>
      <c r="AU184" s="30" t="n">
        <f aca="false">AT184-AT183</f>
        <v>0</v>
      </c>
      <c r="AV184" s="30" t="n">
        <f aca="false">MAX(AS184,0)*(Inputs!$B$17+Inputs!$B$18+Inputs!$B$19)+MAX(-AS184,0)*(O184+Inputs!$B$18+Inputs!$B$19)+IF(AND(K184=1,AP184&lt;&gt;0),(Inputs!$B$17+Inputs!$B$18+Inputs!$B$19)+(O184+Inputs!$B$18+Inputs!$B$19),0)+MAX(AU184,0)*(Inputs!$B$20+Inputs!$B$22+Inputs!$B$23)+MAX(-AU184,0)*(Inputs!$B$21+Inputs!$B$22+Inputs!$B$23)</f>
        <v>0</v>
      </c>
      <c r="AW184" s="30" t="n">
        <f aca="false">AP183*(M184-AR183*J184)+AP183*AR183*N184/Inputs!$B$16-AV184</f>
        <v>0</v>
      </c>
      <c r="AX184" s="30" t="n">
        <f aca="false">AW184-IF(AP183&lt;&gt;0,0.75*AR183*(Inputs!$B$13-N184)/Inputs!$B$16,0)</f>
        <v>0</v>
      </c>
      <c r="AY184" s="30" t="n">
        <f aca="false">MAX(AS184,0)*(Inputs!$B$17+Inputs!$B$18+Inputs!$B$19)+MAX(-AS184,0)*(O184+Inputs!$B$18+Inputs!$B$19)+IF(AND(K184=1,AP184&lt;&gt;0),(Inputs!$B$17+Inputs!$B$18+Inputs!$B$19)+(O184+Inputs!$B$18+Inputs!$B$19),0)</f>
        <v>0</v>
      </c>
      <c r="AZ184" s="30" t="n">
        <f aca="false">AP183*M184-AY184</f>
        <v>-0</v>
      </c>
      <c r="BA184" s="32" t="n">
        <f aca="false">BA183+AI184</f>
        <v>-0.00798192564175577</v>
      </c>
      <c r="BB184" s="30" t="n">
        <f aca="false">MAX(BB183,BA184)</f>
        <v>0</v>
      </c>
      <c r="BC184" s="32" t="n">
        <f aca="false">BA184-BB184</f>
        <v>-0.00798192564175577</v>
      </c>
      <c r="BD184" s="30" t="n">
        <f aca="false">A185-A184</f>
        <v>1</v>
      </c>
    </row>
    <row r="185" customFormat="false" ht="15" hidden="false" customHeight="false" outlineLevel="0" collapsed="false">
      <c r="A185" s="28" t="n">
        <v>45310</v>
      </c>
      <c r="B185" s="0" t="n">
        <v>21675</v>
      </c>
      <c r="C185" s="0" t="n">
        <v>239.33</v>
      </c>
      <c r="D185" s="29" t="n">
        <f aca="false">LN(B185)</f>
        <v>9.98391480164874</v>
      </c>
      <c r="E185" s="29" t="n">
        <f aca="false">LN(C185)</f>
        <v>5.47784335270652</v>
      </c>
      <c r="F185" s="0" t="n">
        <v>180</v>
      </c>
      <c r="G185" s="0" t="n">
        <v>6</v>
      </c>
      <c r="H185" s="29" t="n">
        <f aca="false">D185-E185</f>
        <v>4.50607144894222</v>
      </c>
      <c r="I185" s="29" t="n">
        <f aca="false">D185-D184</f>
        <v>0.00578834649884463</v>
      </c>
      <c r="J185" s="29" t="n">
        <f aca="false">E185-E184</f>
        <v>0.00691812155217164</v>
      </c>
      <c r="K185" s="0" t="n">
        <v>0</v>
      </c>
      <c r="L185" s="0" t="n">
        <v>0</v>
      </c>
      <c r="M185" s="29" t="n">
        <f aca="false">IF(L185=1,J185-Carry!$B$9/Inputs!$B$16,I185)</f>
        <v>0.00578834649884463</v>
      </c>
      <c r="N185" s="0" t="n">
        <v>0.065</v>
      </c>
      <c r="O185" s="0" t="n">
        <v>0.000125</v>
      </c>
      <c r="P185" s="29" t="n">
        <f aca="false">D185-('2 Hedge ratio'!$B$6+'2 Hedge ratio'!$B$5*E185)</f>
        <v>0.00369584192433514</v>
      </c>
      <c r="Q185" s="29" t="n">
        <f aca="false">D185-('5 Re-specification'!$B$7+'5 Re-specification'!$B$5*E185+'5 Re-specification'!$B$6*F185)</f>
        <v>-0.000441690351800972</v>
      </c>
      <c r="R185" s="30" t="n">
        <f aca="false">MIN(F185,Inputs!$B$9)</f>
        <v>180</v>
      </c>
      <c r="S185" s="29" t="n">
        <f aca="true">IF(AND(F185&gt;=1,R185&gt;=Inputs!$B$10),INDEX(LINEST(OFFSET(D185,-R185,0,R185,1),OFFSET(E185,-R185,0,R185,2)),1,1),"")</f>
        <v>-7.50703563490737E-005</v>
      </c>
      <c r="T185" s="29" t="n">
        <f aca="true">IF(AND(F185&gt;=1,R185&gt;=Inputs!$B$10),INDEX(LINEST(OFFSET(D185,-R185,0,R185,1),OFFSET(E185,-R185,0,R185,2)),1,2),"")</f>
        <v>1.02983773805046</v>
      </c>
      <c r="U185" s="29" t="n">
        <f aca="true">IF(AND(F185&gt;=1,R185&gt;=Inputs!$B$10),INDEX(LINEST(OFFSET(D185,-R185,0,R185,1),OFFSET(E185,-R185,0,R185,2)),1,3),"")</f>
        <v>4.35708048805428</v>
      </c>
      <c r="V185" s="29" t="n">
        <f aca="true">IF(AND(F185&gt;=1,R185&gt;=Inputs!$B$10),SQRT(SUMPRODUCT((OFFSET(D185,-R185,0,R185,1)-U185-T185*OFFSET(E185,-R185,0,R185,1)-S185*OFFSET(F185,-R185,0,R185,1))^2)/(R185-3)),"")</f>
        <v>0.00262821323741253</v>
      </c>
      <c r="W185" s="31" t="n">
        <f aca="false">IF(AND(F185&gt;=1,R185&gt;=Inputs!$B$10),(D185-U185-T185*E185-S185*F185)/V185,"")</f>
        <v>-0.358734213543092</v>
      </c>
      <c r="X185" s="30" t="n">
        <f aca="false">IF(AB184&lt;&gt;0,AC184+1,0)</f>
        <v>0</v>
      </c>
      <c r="Y185" s="30" t="n">
        <f aca="false">IF(W185="",0,IF(AND(AB184&lt;&gt;0,OR(ABS(W185)&gt;Inputs!$B$7,X185&gt;=Inputs!$B$8,ABS(W185)&lt;Inputs!$B$6)),1,0))</f>
        <v>0</v>
      </c>
      <c r="Z185" s="30" t="n">
        <f aca="false">IF(Y185=1,0,AB184)</f>
        <v>0</v>
      </c>
      <c r="AA185" s="30" t="n">
        <f aca="false">IF(W185="",0,IF(AND(Z185=0,ABS(W185)&gt;Inputs!$B$5,ABS(W185)&lt;=Inputs!$B$7),1,0))</f>
        <v>0</v>
      </c>
      <c r="AB185" s="30" t="n">
        <f aca="false">IF(W185="",0,IF(AA185=1,-SIGN(W185),Z185))</f>
        <v>0</v>
      </c>
      <c r="AC185" s="30" t="n">
        <f aca="false">IF(W185="",0,IF(AA185=1,0,IF(Y185=1,0,X185)))</f>
        <v>0</v>
      </c>
      <c r="AD185" s="30" t="n">
        <f aca="false">IF(AB185=0,0,IF(AB184=AB185,AD184,T185))</f>
        <v>0</v>
      </c>
      <c r="AE185" s="30" t="n">
        <f aca="false">AB185-AB184</f>
        <v>0</v>
      </c>
      <c r="AF185" s="30" t="n">
        <f aca="false">-AD185*AB185</f>
        <v>-0</v>
      </c>
      <c r="AG185" s="30" t="n">
        <f aca="false">AF185-AF184</f>
        <v>0</v>
      </c>
      <c r="AH185" s="30" t="n">
        <f aca="false">MAX(AE185,0)*(Inputs!$B$17+Inputs!$B$18+Inputs!$B$19)+MAX(-AE185,0)*(O185+Inputs!$B$18+Inputs!$B$19)+IF(AND(K185=1,AB185&lt;&gt;0),(Inputs!$B$17+Inputs!$B$18+Inputs!$B$19)+(O185+Inputs!$B$18+Inputs!$B$19),0)+MAX(AG185,0)*(Inputs!$B$20+Inputs!$B$22+Inputs!$B$23)+MAX(-AG185,0)*(Inputs!$B$21+Inputs!$B$22+Inputs!$B$23)</f>
        <v>0</v>
      </c>
      <c r="AI185" s="30" t="n">
        <f aca="false">AB184*(M185-AD184*J185)+AB184*AD184*N185/Inputs!$B$16-AH185</f>
        <v>0</v>
      </c>
      <c r="AJ185" s="30" t="n">
        <f aca="false">MAX(AE185,0)*(Inputs!$B$17+Inputs!$B$24+Inputs!$B$25)+MAX(-AE185,0)*(O185+Inputs!$B$24+Inputs!$B$25)+IF(AND(K185=1,AB185&lt;&gt;0),(Inputs!$B$17+Inputs!$B$24+Inputs!$B$25)+(O185+Inputs!$B$24+Inputs!$B$25),0)+MAX(AG185,0)*(Inputs!$B$20+Inputs!$B$26+Inputs!$B$27)+MAX(-AG185,0)*(Inputs!$B$21+Inputs!$B$26+Inputs!$B$27)</f>
        <v>0</v>
      </c>
      <c r="AK185" s="30" t="n">
        <f aca="false">AB184*(M185-AD184*J185)+AB184*AD184*(N185+Inputs!$B$14)/Inputs!$B$16-AJ185</f>
        <v>0</v>
      </c>
      <c r="AL185" s="30" t="n">
        <f aca="false">IF(AP184&lt;&gt;0,AQ184+1,0)</f>
        <v>0</v>
      </c>
      <c r="AM185" s="30" t="n">
        <f aca="false">IF(W185="",0,IF(AND(AP184&lt;&gt;0,OR(ABS(W185)&gt;Inputs!$B$7,AL185&gt;=Inputs!$B$8,ABS(W185)&lt;Inputs!$B$6)),1,0))</f>
        <v>0</v>
      </c>
      <c r="AN185" s="30" t="n">
        <f aca="false">IF(AM185=1,0,AP184)</f>
        <v>0</v>
      </c>
      <c r="AO185" s="30" t="n">
        <f aca="false">IF(W185="",0,IF(AND(AN185=0,ABS(W185)&gt;Inputs!$B$5,ABS(W185)&lt;=Inputs!$B$7,W185&gt;0),1,0))</f>
        <v>0</v>
      </c>
      <c r="AP185" s="30" t="n">
        <f aca="false">IF(W185="",0,IF(AO185=1,-SIGN(W185),AN185))</f>
        <v>0</v>
      </c>
      <c r="AQ185" s="30" t="n">
        <f aca="false">IF(W185="",0,IF(AO185=1,0,IF(AM185=1,0,AL185)))</f>
        <v>0</v>
      </c>
      <c r="AR185" s="30" t="n">
        <f aca="false">IF(AP185=0,0,IF(AP184=AP185,AR184,T185))</f>
        <v>0</v>
      </c>
      <c r="AS185" s="30" t="n">
        <f aca="false">AP185-AP184</f>
        <v>0</v>
      </c>
      <c r="AT185" s="30" t="n">
        <f aca="false">-AR185*AP185</f>
        <v>-0</v>
      </c>
      <c r="AU185" s="30" t="n">
        <f aca="false">AT185-AT184</f>
        <v>0</v>
      </c>
      <c r="AV185" s="30" t="n">
        <f aca="false">MAX(AS185,0)*(Inputs!$B$17+Inputs!$B$18+Inputs!$B$19)+MAX(-AS185,0)*(O185+Inputs!$B$18+Inputs!$B$19)+IF(AND(K185=1,AP185&lt;&gt;0),(Inputs!$B$17+Inputs!$B$18+Inputs!$B$19)+(O185+Inputs!$B$18+Inputs!$B$19),0)+MAX(AU185,0)*(Inputs!$B$20+Inputs!$B$22+Inputs!$B$23)+MAX(-AU185,0)*(Inputs!$B$21+Inputs!$B$22+Inputs!$B$23)</f>
        <v>0</v>
      </c>
      <c r="AW185" s="30" t="n">
        <f aca="false">AP184*(M185-AR184*J185)+AP184*AR184*N185/Inputs!$B$16-AV185</f>
        <v>0</v>
      </c>
      <c r="AX185" s="30" t="n">
        <f aca="false">AW185-IF(AP184&lt;&gt;0,0.75*AR184*(Inputs!$B$13-N185)/Inputs!$B$16,0)</f>
        <v>0</v>
      </c>
      <c r="AY185" s="30" t="n">
        <f aca="false">MAX(AS185,0)*(Inputs!$B$17+Inputs!$B$18+Inputs!$B$19)+MAX(-AS185,0)*(O185+Inputs!$B$18+Inputs!$B$19)+IF(AND(K185=1,AP185&lt;&gt;0),(Inputs!$B$17+Inputs!$B$18+Inputs!$B$19)+(O185+Inputs!$B$18+Inputs!$B$19),0)</f>
        <v>0</v>
      </c>
      <c r="AZ185" s="30" t="n">
        <f aca="false">AP184*M185-AY185</f>
        <v>0</v>
      </c>
      <c r="BA185" s="32" t="n">
        <f aca="false">BA184+AI185</f>
        <v>-0.00798192564175577</v>
      </c>
      <c r="BB185" s="30" t="n">
        <f aca="false">MAX(BB184,BA185)</f>
        <v>0</v>
      </c>
      <c r="BC185" s="32" t="n">
        <f aca="false">BA185-BB185</f>
        <v>-0.00798192564175577</v>
      </c>
      <c r="BD185" s="30" t="n">
        <f aca="false">A186-A185</f>
        <v>1</v>
      </c>
    </row>
    <row r="186" customFormat="false" ht="15" hidden="false" customHeight="false" outlineLevel="0" collapsed="false">
      <c r="A186" s="28" t="n">
        <v>45311</v>
      </c>
      <c r="B186" s="0" t="n">
        <v>21620.3</v>
      </c>
      <c r="C186" s="0" t="n">
        <v>238.97</v>
      </c>
      <c r="D186" s="29" t="n">
        <f aca="false">LN(B186)</f>
        <v>9.98138796713763</v>
      </c>
      <c r="E186" s="29" t="n">
        <f aca="false">LN(C186)</f>
        <v>5.47633802104029</v>
      </c>
      <c r="F186" s="0" t="n">
        <v>181</v>
      </c>
      <c r="G186" s="0" t="n">
        <v>5</v>
      </c>
      <c r="H186" s="29" t="n">
        <f aca="false">D186-E186</f>
        <v>4.50504994609734</v>
      </c>
      <c r="I186" s="29" t="n">
        <f aca="false">D186-D185</f>
        <v>-0.00252683451111224</v>
      </c>
      <c r="J186" s="29" t="n">
        <f aca="false">E186-E185</f>
        <v>-0.00150533166623745</v>
      </c>
      <c r="K186" s="0" t="n">
        <v>0</v>
      </c>
      <c r="L186" s="0" t="n">
        <v>0</v>
      </c>
      <c r="M186" s="29" t="n">
        <f aca="false">IF(L186=1,J186-Carry!$B$9/Inputs!$B$16,I186)</f>
        <v>-0.00252683451111224</v>
      </c>
      <c r="N186" s="0" t="n">
        <v>0.065</v>
      </c>
      <c r="O186" s="0" t="n">
        <v>0.000125</v>
      </c>
      <c r="P186" s="29" t="n">
        <f aca="false">D186-('2 Hedge ratio'!$B$6+'2 Hedge ratio'!$B$5*E186)</f>
        <v>0.00254808203420431</v>
      </c>
      <c r="Q186" s="29" t="n">
        <f aca="false">D186-('5 Re-specification'!$B$7+'5 Re-specification'!$B$5*E186+'5 Re-specification'!$B$6*F186)</f>
        <v>-0.00142282578622499</v>
      </c>
      <c r="R186" s="30" t="n">
        <f aca="false">MIN(F186,Inputs!$B$9)</f>
        <v>181</v>
      </c>
      <c r="S186" s="29" t="n">
        <f aca="true">IF(AND(F186&gt;=1,R186&gt;=Inputs!$B$10),INDEX(LINEST(OFFSET(D186,-R186,0,R186,1),OFFSET(E186,-R186,0,R186,2)),1,1),"")</f>
        <v>-7.50724840962997E-005</v>
      </c>
      <c r="T186" s="29" t="n">
        <f aca="true">IF(AND(F186&gt;=1,R186&gt;=Inputs!$B$10),INDEX(LINEST(OFFSET(D186,-R186,0,R186,1),OFFSET(E186,-R186,0,R186,2)),1,2),"")</f>
        <v>1.02964435131228</v>
      </c>
      <c r="U186" s="29" t="n">
        <f aca="true">IF(AND(F186&gt;=1,R186&gt;=Inputs!$B$10),INDEX(LINEST(OFFSET(D186,-R186,0,R186,1),OFFSET(E186,-R186,0,R186,2)),1,3),"")</f>
        <v>4.3581154363311</v>
      </c>
      <c r="V186" s="29" t="n">
        <f aca="true">IF(AND(F186&gt;=1,R186&gt;=Inputs!$B$10),SQRT(SUMPRODUCT((OFFSET(D186,-R186,0,R186,1)-U186-T186*OFFSET(E186,-R186,0,R186,1)-S186*OFFSET(F186,-R186,0,R186,1))^2)/(R186-3)),"")</f>
        <v>0.00262174776737488</v>
      </c>
      <c r="W186" s="31" t="n">
        <f aca="false">IF(AND(F186&gt;=1,R186&gt;=Inputs!$B$10),(D186-U186-T186*E186-S186*F186)/V186,"")</f>
        <v>-0.694139549002016</v>
      </c>
      <c r="X186" s="30" t="n">
        <f aca="false">IF(AB185&lt;&gt;0,AC185+1,0)</f>
        <v>0</v>
      </c>
      <c r="Y186" s="30" t="n">
        <f aca="false">IF(W186="",0,IF(AND(AB185&lt;&gt;0,OR(ABS(W186)&gt;Inputs!$B$7,X186&gt;=Inputs!$B$8,ABS(W186)&lt;Inputs!$B$6)),1,0))</f>
        <v>0</v>
      </c>
      <c r="Z186" s="30" t="n">
        <f aca="false">IF(Y186=1,0,AB185)</f>
        <v>0</v>
      </c>
      <c r="AA186" s="30" t="n">
        <f aca="false">IF(W186="",0,IF(AND(Z186=0,ABS(W186)&gt;Inputs!$B$5,ABS(W186)&lt;=Inputs!$B$7),1,0))</f>
        <v>0</v>
      </c>
      <c r="AB186" s="30" t="n">
        <f aca="false">IF(W186="",0,IF(AA186=1,-SIGN(W186),Z186))</f>
        <v>0</v>
      </c>
      <c r="AC186" s="30" t="n">
        <f aca="false">IF(W186="",0,IF(AA186=1,0,IF(Y186=1,0,X186)))</f>
        <v>0</v>
      </c>
      <c r="AD186" s="30" t="n">
        <f aca="false">IF(AB186=0,0,IF(AB185=AB186,AD185,T186))</f>
        <v>0</v>
      </c>
      <c r="AE186" s="30" t="n">
        <f aca="false">AB186-AB185</f>
        <v>0</v>
      </c>
      <c r="AF186" s="30" t="n">
        <f aca="false">-AD186*AB186</f>
        <v>-0</v>
      </c>
      <c r="AG186" s="30" t="n">
        <f aca="false">AF186-AF185</f>
        <v>0</v>
      </c>
      <c r="AH186" s="30" t="n">
        <f aca="false">MAX(AE186,0)*(Inputs!$B$17+Inputs!$B$18+Inputs!$B$19)+MAX(-AE186,0)*(O186+Inputs!$B$18+Inputs!$B$19)+IF(AND(K186=1,AB186&lt;&gt;0),(Inputs!$B$17+Inputs!$B$18+Inputs!$B$19)+(O186+Inputs!$B$18+Inputs!$B$19),0)+MAX(AG186,0)*(Inputs!$B$20+Inputs!$B$22+Inputs!$B$23)+MAX(-AG186,0)*(Inputs!$B$21+Inputs!$B$22+Inputs!$B$23)</f>
        <v>0</v>
      </c>
      <c r="AI186" s="30" t="n">
        <f aca="false">AB185*(M186-AD185*J186)+AB185*AD185*N186/Inputs!$B$16-AH186</f>
        <v>0</v>
      </c>
      <c r="AJ186" s="30" t="n">
        <f aca="false">MAX(AE186,0)*(Inputs!$B$17+Inputs!$B$24+Inputs!$B$25)+MAX(-AE186,0)*(O186+Inputs!$B$24+Inputs!$B$25)+IF(AND(K186=1,AB186&lt;&gt;0),(Inputs!$B$17+Inputs!$B$24+Inputs!$B$25)+(O186+Inputs!$B$24+Inputs!$B$25),0)+MAX(AG186,0)*(Inputs!$B$20+Inputs!$B$26+Inputs!$B$27)+MAX(-AG186,0)*(Inputs!$B$21+Inputs!$B$26+Inputs!$B$27)</f>
        <v>0</v>
      </c>
      <c r="AK186" s="30" t="n">
        <f aca="false">AB185*(M186-AD185*J186)+AB185*AD185*(N186+Inputs!$B$14)/Inputs!$B$16-AJ186</f>
        <v>0</v>
      </c>
      <c r="AL186" s="30" t="n">
        <f aca="false">IF(AP185&lt;&gt;0,AQ185+1,0)</f>
        <v>0</v>
      </c>
      <c r="AM186" s="30" t="n">
        <f aca="false">IF(W186="",0,IF(AND(AP185&lt;&gt;0,OR(ABS(W186)&gt;Inputs!$B$7,AL186&gt;=Inputs!$B$8,ABS(W186)&lt;Inputs!$B$6)),1,0))</f>
        <v>0</v>
      </c>
      <c r="AN186" s="30" t="n">
        <f aca="false">IF(AM186=1,0,AP185)</f>
        <v>0</v>
      </c>
      <c r="AO186" s="30" t="n">
        <f aca="false">IF(W186="",0,IF(AND(AN186=0,ABS(W186)&gt;Inputs!$B$5,ABS(W186)&lt;=Inputs!$B$7,W186&gt;0),1,0))</f>
        <v>0</v>
      </c>
      <c r="AP186" s="30" t="n">
        <f aca="false">IF(W186="",0,IF(AO186=1,-SIGN(W186),AN186))</f>
        <v>0</v>
      </c>
      <c r="AQ186" s="30" t="n">
        <f aca="false">IF(W186="",0,IF(AO186=1,0,IF(AM186=1,0,AL186)))</f>
        <v>0</v>
      </c>
      <c r="AR186" s="30" t="n">
        <f aca="false">IF(AP186=0,0,IF(AP185=AP186,AR185,T186))</f>
        <v>0</v>
      </c>
      <c r="AS186" s="30" t="n">
        <f aca="false">AP186-AP185</f>
        <v>0</v>
      </c>
      <c r="AT186" s="30" t="n">
        <f aca="false">-AR186*AP186</f>
        <v>-0</v>
      </c>
      <c r="AU186" s="30" t="n">
        <f aca="false">AT186-AT185</f>
        <v>0</v>
      </c>
      <c r="AV186" s="30" t="n">
        <f aca="false">MAX(AS186,0)*(Inputs!$B$17+Inputs!$B$18+Inputs!$B$19)+MAX(-AS186,0)*(O186+Inputs!$B$18+Inputs!$B$19)+IF(AND(K186=1,AP186&lt;&gt;0),(Inputs!$B$17+Inputs!$B$18+Inputs!$B$19)+(O186+Inputs!$B$18+Inputs!$B$19),0)+MAX(AU186,0)*(Inputs!$B$20+Inputs!$B$22+Inputs!$B$23)+MAX(-AU186,0)*(Inputs!$B$21+Inputs!$B$22+Inputs!$B$23)</f>
        <v>0</v>
      </c>
      <c r="AW186" s="30" t="n">
        <f aca="false">AP185*(M186-AR185*J186)+AP185*AR185*N186/Inputs!$B$16-AV186</f>
        <v>0</v>
      </c>
      <c r="AX186" s="30" t="n">
        <f aca="false">AW186-IF(AP185&lt;&gt;0,0.75*AR185*(Inputs!$B$13-N186)/Inputs!$B$16,0)</f>
        <v>0</v>
      </c>
      <c r="AY186" s="30" t="n">
        <f aca="false">MAX(AS186,0)*(Inputs!$B$17+Inputs!$B$18+Inputs!$B$19)+MAX(-AS186,0)*(O186+Inputs!$B$18+Inputs!$B$19)+IF(AND(K186=1,AP186&lt;&gt;0),(Inputs!$B$17+Inputs!$B$18+Inputs!$B$19)+(O186+Inputs!$B$18+Inputs!$B$19),0)</f>
        <v>0</v>
      </c>
      <c r="AZ186" s="30" t="n">
        <f aca="false">AP185*M186-AY186</f>
        <v>-0</v>
      </c>
      <c r="BA186" s="32" t="n">
        <f aca="false">BA185+AI186</f>
        <v>-0.00798192564175577</v>
      </c>
      <c r="BB186" s="30" t="n">
        <f aca="false">MAX(BB185,BA186)</f>
        <v>0</v>
      </c>
      <c r="BC186" s="32" t="n">
        <f aca="false">BA186-BB186</f>
        <v>-0.00798192564175577</v>
      </c>
      <c r="BD186" s="30" t="n">
        <f aca="false">A187-A186</f>
        <v>3</v>
      </c>
    </row>
    <row r="187" customFormat="false" ht="15" hidden="false" customHeight="false" outlineLevel="0" collapsed="false">
      <c r="A187" s="28" t="n">
        <v>45314</v>
      </c>
      <c r="B187" s="0" t="n">
        <v>21201.75</v>
      </c>
      <c r="C187" s="0" t="n">
        <v>235.4</v>
      </c>
      <c r="D187" s="29" t="n">
        <f aca="false">LN(B187)</f>
        <v>9.96183900442309</v>
      </c>
      <c r="E187" s="29" t="n">
        <f aca="false">LN(C187)</f>
        <v>5.46128619482618</v>
      </c>
      <c r="F187" s="0" t="n">
        <v>182</v>
      </c>
      <c r="G187" s="0" t="n">
        <v>2</v>
      </c>
      <c r="H187" s="29" t="n">
        <f aca="false">D187-E187</f>
        <v>4.50055280959691</v>
      </c>
      <c r="I187" s="29" t="n">
        <f aca="false">D187-D186</f>
        <v>-0.0195489627145449</v>
      </c>
      <c r="J187" s="29" t="n">
        <f aca="false">E187-E186</f>
        <v>-0.0150518262141102</v>
      </c>
      <c r="K187" s="0" t="n">
        <v>0</v>
      </c>
      <c r="L187" s="0" t="n">
        <v>0</v>
      </c>
      <c r="M187" s="29" t="n">
        <f aca="false">IF(L187=1,J187-Carry!$B$9/Inputs!$B$16,I187)</f>
        <v>-0.0195489627145449</v>
      </c>
      <c r="N187" s="0" t="n">
        <v>0.065</v>
      </c>
      <c r="O187" s="0" t="n">
        <v>0.000125</v>
      </c>
      <c r="P187" s="29" t="n">
        <f aca="false">D187-('2 Hedge ratio'!$B$6+'2 Hedge ratio'!$B$5*E187)</f>
        <v>-0.00321149991006386</v>
      </c>
      <c r="Q187" s="29" t="n">
        <f aca="false">D187-('5 Re-specification'!$B$7+'5 Re-specification'!$B$5*E187+'5 Re-specification'!$B$6*F187)</f>
        <v>-0.00592064752822452</v>
      </c>
      <c r="R187" s="30" t="n">
        <f aca="false">MIN(F187,Inputs!$B$9)</f>
        <v>182</v>
      </c>
      <c r="S187" s="29" t="n">
        <f aca="true">IF(AND(F187&gt;=1,R187&gt;=Inputs!$B$10),INDEX(LINEST(OFFSET(D187,-R187,0,R187,1),OFFSET(E187,-R187,0,R187,2)),1,1),"")</f>
        <v>-7.51158303271557E-005</v>
      </c>
      <c r="T187" s="29" t="n">
        <f aca="true">IF(AND(F187&gt;=1,R187&gt;=Inputs!$B$10),INDEX(LINEST(OFFSET(D187,-R187,0,R187,1),OFFSET(E187,-R187,0,R187,2)),1,2),"")</f>
        <v>1.02932120199266</v>
      </c>
      <c r="U187" s="29" t="n">
        <f aca="true">IF(AND(F187&gt;=1,R187&gt;=Inputs!$B$10),INDEX(LINEST(OFFSET(D187,-R187,0,R187,1),OFFSET(E187,-R187,0,R187,2)),1,3),"")</f>
        <v>4.3598473184274</v>
      </c>
      <c r="V187" s="29" t="n">
        <f aca="true">IF(AND(F187&gt;=1,R187&gt;=Inputs!$B$10),SQRT(SUMPRODUCT((OFFSET(D187,-R187,0,R187,1)-U187-T187*OFFSET(E187,-R187,0,R187,1)-S187*OFFSET(F187,-R187,0,R187,1))^2)/(R187-3)),"")</f>
        <v>0.00261786167146431</v>
      </c>
      <c r="W187" s="31" t="n">
        <f aca="false">IF(AND(F187&gt;=1,R187&gt;=Inputs!$B$10),(D187-U187-T187*E187-S187*F187)/V187,"")</f>
        <v>-2.19832217718478</v>
      </c>
      <c r="X187" s="30" t="n">
        <f aca="false">IF(AB186&lt;&gt;0,AC186+1,0)</f>
        <v>0</v>
      </c>
      <c r="Y187" s="30" t="n">
        <f aca="false">IF(W187="",0,IF(AND(AB186&lt;&gt;0,OR(ABS(W187)&gt;Inputs!$B$7,X187&gt;=Inputs!$B$8,ABS(W187)&lt;Inputs!$B$6)),1,0))</f>
        <v>0</v>
      </c>
      <c r="Z187" s="30" t="n">
        <f aca="false">IF(Y187=1,0,AB186)</f>
        <v>0</v>
      </c>
      <c r="AA187" s="30" t="n">
        <f aca="false">IF(W187="",0,IF(AND(Z187=0,ABS(W187)&gt;Inputs!$B$5,ABS(W187)&lt;=Inputs!$B$7),1,0))</f>
        <v>1</v>
      </c>
      <c r="AB187" s="30" t="n">
        <f aca="false">IF(W187="",0,IF(AA187=1,-SIGN(W187),Z187))</f>
        <v>1</v>
      </c>
      <c r="AC187" s="30" t="n">
        <f aca="false">IF(W187="",0,IF(AA187=1,0,IF(Y187=1,0,X187)))</f>
        <v>0</v>
      </c>
      <c r="AD187" s="29" t="n">
        <f aca="false">IF(AB187=0,0,IF(AB186=AB187,AD186,T187))</f>
        <v>1.02932120199266</v>
      </c>
      <c r="AE187" s="30" t="n">
        <f aca="false">AB187-AB186</f>
        <v>1</v>
      </c>
      <c r="AF187" s="30" t="n">
        <f aca="false">-AD187*AB187</f>
        <v>-1.02932120199266</v>
      </c>
      <c r="AG187" s="30" t="n">
        <f aca="false">AF187-AF186</f>
        <v>-1.02932120199266</v>
      </c>
      <c r="AH187" s="30" t="n">
        <f aca="false">MAX(AE187,0)*(Inputs!$B$17+Inputs!$B$18+Inputs!$B$19)+MAX(-AE187,0)*(O187+Inputs!$B$18+Inputs!$B$19)+IF(AND(K187=1,AB187&lt;&gt;0),(Inputs!$B$17+Inputs!$B$18+Inputs!$B$19)+(O187+Inputs!$B$18+Inputs!$B$19),0)+MAX(AG187,0)*(Inputs!$B$20+Inputs!$B$22+Inputs!$B$23)+MAX(-AG187,0)*(Inputs!$B$21+Inputs!$B$22+Inputs!$B$23)</f>
        <v>0.000371157452418459</v>
      </c>
      <c r="AI187" s="30" t="n">
        <f aca="false">AB186*(M187-AD186*J187)+AB186*AD186*N187/Inputs!$B$16-AH187</f>
        <v>-0.000371157452418459</v>
      </c>
      <c r="AJ187" s="30" t="n">
        <f aca="false">MAX(AE187,0)*(Inputs!$B$17+Inputs!$B$24+Inputs!$B$25)+MAX(-AE187,0)*(O187+Inputs!$B$24+Inputs!$B$25)+IF(AND(K187=1,AB187&lt;&gt;0),(Inputs!$B$17+Inputs!$B$24+Inputs!$B$25)+(O187+Inputs!$B$24+Inputs!$B$25),0)+MAX(AG187,0)*(Inputs!$B$20+Inputs!$B$26+Inputs!$B$27)+MAX(-AG187,0)*(Inputs!$B$21+Inputs!$B$26+Inputs!$B$27)</f>
        <v>0.000208371938229156</v>
      </c>
      <c r="AK187" s="30" t="n">
        <f aca="false">AB186*(M187-AD186*J187)+AB186*AD186*(N187+Inputs!$B$14)/Inputs!$B$16-AJ187</f>
        <v>-0.000208371938229156</v>
      </c>
      <c r="AL187" s="30" t="n">
        <f aca="false">IF(AP186&lt;&gt;0,AQ186+1,0)</f>
        <v>0</v>
      </c>
      <c r="AM187" s="30" t="n">
        <f aca="false">IF(W187="",0,IF(AND(AP186&lt;&gt;0,OR(ABS(W187)&gt;Inputs!$B$7,AL187&gt;=Inputs!$B$8,ABS(W187)&lt;Inputs!$B$6)),1,0))</f>
        <v>0</v>
      </c>
      <c r="AN187" s="30" t="n">
        <f aca="false">IF(AM187=1,0,AP186)</f>
        <v>0</v>
      </c>
      <c r="AO187" s="30" t="n">
        <f aca="false">IF(W187="",0,IF(AND(AN187=0,ABS(W187)&gt;Inputs!$B$5,ABS(W187)&lt;=Inputs!$B$7,W187&gt;0),1,0))</f>
        <v>0</v>
      </c>
      <c r="AP187" s="30" t="n">
        <f aca="false">IF(W187="",0,IF(AO187=1,-SIGN(W187),AN187))</f>
        <v>0</v>
      </c>
      <c r="AQ187" s="30" t="n">
        <f aca="false">IF(W187="",0,IF(AO187=1,0,IF(AM187=1,0,AL187)))</f>
        <v>0</v>
      </c>
      <c r="AR187" s="30" t="n">
        <f aca="false">IF(AP187=0,0,IF(AP186=AP187,AR186,T187))</f>
        <v>0</v>
      </c>
      <c r="AS187" s="30" t="n">
        <f aca="false">AP187-AP186</f>
        <v>0</v>
      </c>
      <c r="AT187" s="30" t="n">
        <f aca="false">-AR187*AP187</f>
        <v>-0</v>
      </c>
      <c r="AU187" s="30" t="n">
        <f aca="false">AT187-AT186</f>
        <v>0</v>
      </c>
      <c r="AV187" s="30" t="n">
        <f aca="false">MAX(AS187,0)*(Inputs!$B$17+Inputs!$B$18+Inputs!$B$19)+MAX(-AS187,0)*(O187+Inputs!$B$18+Inputs!$B$19)+IF(AND(K187=1,AP187&lt;&gt;0),(Inputs!$B$17+Inputs!$B$18+Inputs!$B$19)+(O187+Inputs!$B$18+Inputs!$B$19),0)+MAX(AU187,0)*(Inputs!$B$20+Inputs!$B$22+Inputs!$B$23)+MAX(-AU187,0)*(Inputs!$B$21+Inputs!$B$22+Inputs!$B$23)</f>
        <v>0</v>
      </c>
      <c r="AW187" s="30" t="n">
        <f aca="false">AP186*(M187-AR186*J187)+AP186*AR186*N187/Inputs!$B$16-AV187</f>
        <v>0</v>
      </c>
      <c r="AX187" s="30" t="n">
        <f aca="false">AW187-IF(AP186&lt;&gt;0,0.75*AR186*(Inputs!$B$13-N187)/Inputs!$B$16,0)</f>
        <v>0</v>
      </c>
      <c r="AY187" s="30" t="n">
        <f aca="false">MAX(AS187,0)*(Inputs!$B$17+Inputs!$B$18+Inputs!$B$19)+MAX(-AS187,0)*(O187+Inputs!$B$18+Inputs!$B$19)+IF(AND(K187=1,AP187&lt;&gt;0),(Inputs!$B$17+Inputs!$B$18+Inputs!$B$19)+(O187+Inputs!$B$18+Inputs!$B$19),0)</f>
        <v>0</v>
      </c>
      <c r="AZ187" s="30" t="n">
        <f aca="false">AP186*M187-AY187</f>
        <v>-0</v>
      </c>
      <c r="BA187" s="32" t="n">
        <f aca="false">BA186+AI187</f>
        <v>-0.00835308309417423</v>
      </c>
      <c r="BB187" s="30" t="n">
        <f aca="false">MAX(BB186,BA187)</f>
        <v>0</v>
      </c>
      <c r="BC187" s="32" t="n">
        <f aca="false">BA187-BB187</f>
        <v>-0.00835308309417423</v>
      </c>
      <c r="BD187" s="30" t="n">
        <f aca="false">A188-A187</f>
        <v>1</v>
      </c>
    </row>
    <row r="188" customFormat="false" ht="15" hidden="false" customHeight="false" outlineLevel="0" collapsed="false">
      <c r="A188" s="28" t="n">
        <v>45315</v>
      </c>
      <c r="B188" s="0" t="n">
        <v>21495.05</v>
      </c>
      <c r="C188" s="0" t="n">
        <v>237.57</v>
      </c>
      <c r="D188" s="29" t="n">
        <f aca="false">LN(B188)</f>
        <v>9.97557795505003</v>
      </c>
      <c r="E188" s="29" t="n">
        <f aca="false">LN(C188)</f>
        <v>5.47046231689043</v>
      </c>
      <c r="F188" s="0" t="n">
        <v>183</v>
      </c>
      <c r="G188" s="0" t="n">
        <v>1</v>
      </c>
      <c r="H188" s="29" t="n">
        <f aca="false">D188-E188</f>
        <v>4.5051156381596</v>
      </c>
      <c r="I188" s="29" t="n">
        <f aca="false">D188-D187</f>
        <v>0.0137389506269443</v>
      </c>
      <c r="J188" s="29" t="n">
        <f aca="false">E188-E187</f>
        <v>0.00917612206425478</v>
      </c>
      <c r="K188" s="0" t="n">
        <v>0</v>
      </c>
      <c r="L188" s="0" t="n">
        <v>0</v>
      </c>
      <c r="M188" s="29" t="n">
        <f aca="false">IF(L188=1,J188-Carry!$B$9/Inputs!$B$16,I188)</f>
        <v>0.0137389506269443</v>
      </c>
      <c r="N188" s="0" t="n">
        <v>0.065</v>
      </c>
      <c r="O188" s="0" t="n">
        <v>0.000125</v>
      </c>
      <c r="P188" s="29" t="n">
        <f aca="false">D188-('2 Hedge ratio'!$B$6+'2 Hedge ratio'!$B$5*E188)</f>
        <v>0.00212095974770143</v>
      </c>
      <c r="Q188" s="29" t="n">
        <f aca="false">D188-('5 Re-specification'!$B$7+'5 Re-specification'!$B$5*E188+'5 Re-specification'!$B$6*F188)</f>
        <v>-0.00128508140932659</v>
      </c>
      <c r="R188" s="30" t="n">
        <f aca="false">MIN(F188,Inputs!$B$9)</f>
        <v>183</v>
      </c>
      <c r="S188" s="29" t="n">
        <f aca="true">IF(AND(F188&gt;=1,R188&gt;=Inputs!$B$10),INDEX(LINEST(OFFSET(D188,-R188,0,R188,1),OFFSET(E188,-R188,0,R188,2)),1,1),"")</f>
        <v>-7.60201968616188E-005</v>
      </c>
      <c r="T188" s="29" t="n">
        <f aca="true">IF(AND(F188&gt;=1,R188&gt;=Inputs!$B$10),INDEX(LINEST(OFFSET(D188,-R188,0,R188,1),OFFSET(E188,-R188,0,R188,2)),1,2),"")</f>
        <v>1.02918372288893</v>
      </c>
      <c r="U188" s="29" t="n">
        <f aca="true">IF(AND(F188&gt;=1,R188&gt;=Inputs!$B$10),INDEX(LINEST(OFFSET(D188,-R188,0,R188,1),OFFSET(E188,-R188,0,R188,2)),1,3),"")</f>
        <v>4.36063761940979</v>
      </c>
      <c r="V188" s="29" t="n">
        <f aca="true">IF(AND(F188&gt;=1,R188&gt;=Inputs!$B$10),SQRT(SUMPRODUCT((OFFSET(D188,-R188,0,R188,1)-U188-T188*OFFSET(E188,-R188,0,R188,1)-S188*OFFSET(F188,-R188,0,R188,1))^2)/(R188-3)),"")</f>
        <v>0.00264482901048425</v>
      </c>
      <c r="W188" s="31" t="n">
        <f aca="false">IF(AND(F188&gt;=1,R188&gt;=Inputs!$B$10),(D188-U188-T188*E188-S188*F188)/V188,"")</f>
        <v>-0.475925494601104</v>
      </c>
      <c r="X188" s="30" t="n">
        <f aca="false">IF(AB187&lt;&gt;0,AC187+1,0)</f>
        <v>1</v>
      </c>
      <c r="Y188" s="30" t="n">
        <f aca="false">IF(W188="",0,IF(AND(AB187&lt;&gt;0,OR(ABS(W188)&gt;Inputs!$B$7,X188&gt;=Inputs!$B$8,ABS(W188)&lt;Inputs!$B$6)),1,0))</f>
        <v>1</v>
      </c>
      <c r="Z188" s="30" t="n">
        <f aca="false">IF(Y188=1,0,AB187)</f>
        <v>0</v>
      </c>
      <c r="AA188" s="30" t="n">
        <f aca="false">IF(W188="",0,IF(AND(Z188=0,ABS(W188)&gt;Inputs!$B$5,ABS(W188)&lt;=Inputs!$B$7),1,0))</f>
        <v>0</v>
      </c>
      <c r="AB188" s="30" t="n">
        <f aca="false">IF(W188="",0,IF(AA188=1,-SIGN(W188),Z188))</f>
        <v>0</v>
      </c>
      <c r="AC188" s="30" t="n">
        <f aca="false">IF(W188="",0,IF(AA188=1,0,IF(Y188=1,0,X188)))</f>
        <v>0</v>
      </c>
      <c r="AD188" s="30" t="n">
        <f aca="false">IF(AB188=0,0,IF(AB187=AB188,AD187,T188))</f>
        <v>0</v>
      </c>
      <c r="AE188" s="30" t="n">
        <f aca="false">AB188-AB187</f>
        <v>-1</v>
      </c>
      <c r="AF188" s="30" t="n">
        <f aca="false">-AD188*AB188</f>
        <v>-0</v>
      </c>
      <c r="AG188" s="30" t="n">
        <f aca="false">AF188-AF187</f>
        <v>1.02932120199266</v>
      </c>
      <c r="AH188" s="30" t="n">
        <f aca="false">MAX(AE188,0)*(Inputs!$B$17+Inputs!$B$18+Inputs!$B$19)+MAX(-AE188,0)*(O188+Inputs!$B$18+Inputs!$B$19)+IF(AND(K188=1,AB188&lt;&gt;0),(Inputs!$B$17+Inputs!$B$18+Inputs!$B$19)+(O188+Inputs!$B$18+Inputs!$B$19),0)+MAX(AG188,0)*(Inputs!$B$20+Inputs!$B$22+Inputs!$B$23)+MAX(-AG188,0)*(Inputs!$B$21+Inputs!$B$22+Inputs!$B$23)</f>
        <v>0.000620262420697432</v>
      </c>
      <c r="AI188" s="30" t="n">
        <f aca="false">AB187*(M188-AD187*J188)+AB187*AD187*N188/Inputs!$B$16-AH188</f>
        <v>0.00393901072982375</v>
      </c>
      <c r="AJ188" s="30" t="n">
        <f aca="false">MAX(AE188,0)*(Inputs!$B$17+Inputs!$B$24+Inputs!$B$25)+MAX(-AE188,0)*(O188+Inputs!$B$24+Inputs!$B$25)+IF(AND(K188=1,AB188&lt;&gt;0),(Inputs!$B$17+Inputs!$B$24+Inputs!$B$25)+(O188+Inputs!$B$24+Inputs!$B$25),0)+MAX(AG188,0)*(Inputs!$B$20+Inputs!$B$26+Inputs!$B$27)+MAX(-AG188,0)*(Inputs!$B$21+Inputs!$B$26+Inputs!$B$27)</f>
        <v>0.000457476906508129</v>
      </c>
      <c r="AK188" s="30" t="n">
        <f aca="false">AB187*(M188-AD187*J188)+AB187*AD187*(N188+Inputs!$B$14)/Inputs!$B$16-AJ188</f>
        <v>0.00413243080359617</v>
      </c>
      <c r="AL188" s="30" t="n">
        <f aca="false">IF(AP187&lt;&gt;0,AQ187+1,0)</f>
        <v>0</v>
      </c>
      <c r="AM188" s="30" t="n">
        <f aca="false">IF(W188="",0,IF(AND(AP187&lt;&gt;0,OR(ABS(W188)&gt;Inputs!$B$7,AL188&gt;=Inputs!$B$8,ABS(W188)&lt;Inputs!$B$6)),1,0))</f>
        <v>0</v>
      </c>
      <c r="AN188" s="30" t="n">
        <f aca="false">IF(AM188=1,0,AP187)</f>
        <v>0</v>
      </c>
      <c r="AO188" s="30" t="n">
        <f aca="false">IF(W188="",0,IF(AND(AN188=0,ABS(W188)&gt;Inputs!$B$5,ABS(W188)&lt;=Inputs!$B$7,W188&gt;0),1,0))</f>
        <v>0</v>
      </c>
      <c r="AP188" s="30" t="n">
        <f aca="false">IF(W188="",0,IF(AO188=1,-SIGN(W188),AN188))</f>
        <v>0</v>
      </c>
      <c r="AQ188" s="30" t="n">
        <f aca="false">IF(W188="",0,IF(AO188=1,0,IF(AM188=1,0,AL188)))</f>
        <v>0</v>
      </c>
      <c r="AR188" s="30" t="n">
        <f aca="false">IF(AP188=0,0,IF(AP187=AP188,AR187,T188))</f>
        <v>0</v>
      </c>
      <c r="AS188" s="30" t="n">
        <f aca="false">AP188-AP187</f>
        <v>0</v>
      </c>
      <c r="AT188" s="30" t="n">
        <f aca="false">-AR188*AP188</f>
        <v>-0</v>
      </c>
      <c r="AU188" s="30" t="n">
        <f aca="false">AT188-AT187</f>
        <v>0</v>
      </c>
      <c r="AV188" s="30" t="n">
        <f aca="false">MAX(AS188,0)*(Inputs!$B$17+Inputs!$B$18+Inputs!$B$19)+MAX(-AS188,0)*(O188+Inputs!$B$18+Inputs!$B$19)+IF(AND(K188=1,AP188&lt;&gt;0),(Inputs!$B$17+Inputs!$B$18+Inputs!$B$19)+(O188+Inputs!$B$18+Inputs!$B$19),0)+MAX(AU188,0)*(Inputs!$B$20+Inputs!$B$22+Inputs!$B$23)+MAX(-AU188,0)*(Inputs!$B$21+Inputs!$B$22+Inputs!$B$23)</f>
        <v>0</v>
      </c>
      <c r="AW188" s="30" t="n">
        <f aca="false">AP187*(M188-AR187*J188)+AP187*AR187*N188/Inputs!$B$16-AV188</f>
        <v>0</v>
      </c>
      <c r="AX188" s="30" t="n">
        <f aca="false">AW188-IF(AP187&lt;&gt;0,0.75*AR187*(Inputs!$B$13-N188)/Inputs!$B$16,0)</f>
        <v>0</v>
      </c>
      <c r="AY188" s="30" t="n">
        <f aca="false">MAX(AS188,0)*(Inputs!$B$17+Inputs!$B$18+Inputs!$B$19)+MAX(-AS188,0)*(O188+Inputs!$B$18+Inputs!$B$19)+IF(AND(K188=1,AP188&lt;&gt;0),(Inputs!$B$17+Inputs!$B$18+Inputs!$B$19)+(O188+Inputs!$B$18+Inputs!$B$19),0)</f>
        <v>0</v>
      </c>
      <c r="AZ188" s="30" t="n">
        <f aca="false">AP187*M188-AY188</f>
        <v>0</v>
      </c>
      <c r="BA188" s="32" t="n">
        <f aca="false">BA187+AI188</f>
        <v>-0.00441407236435048</v>
      </c>
      <c r="BB188" s="30" t="n">
        <f aca="false">MAX(BB187,BA188)</f>
        <v>0</v>
      </c>
      <c r="BC188" s="32" t="n">
        <f aca="false">BA188-BB188</f>
        <v>-0.00441407236435048</v>
      </c>
      <c r="BD188" s="30" t="n">
        <f aca="false">A189-A188</f>
        <v>1</v>
      </c>
    </row>
    <row r="189" customFormat="false" ht="15" hidden="false" customHeight="false" outlineLevel="0" collapsed="false">
      <c r="A189" s="28" t="n">
        <v>45316</v>
      </c>
      <c r="B189" s="0" t="n">
        <v>21351</v>
      </c>
      <c r="C189" s="0" t="n">
        <v>236.7</v>
      </c>
      <c r="D189" s="29" t="n">
        <f aca="false">LN(B189)</f>
        <v>9.96885385596738</v>
      </c>
      <c r="E189" s="29" t="n">
        <f aca="false">LN(C189)</f>
        <v>5.46679351651994</v>
      </c>
      <c r="F189" s="0" t="n">
        <v>184</v>
      </c>
      <c r="G189" s="0" t="n">
        <v>0</v>
      </c>
      <c r="H189" s="29" t="n">
        <f aca="false">D189-E189</f>
        <v>4.50206033944744</v>
      </c>
      <c r="I189" s="29" t="n">
        <f aca="false">D189-D188</f>
        <v>-0.00672409908264804</v>
      </c>
      <c r="J189" s="29" t="n">
        <f aca="false">E189-E188</f>
        <v>-0.00366880037049278</v>
      </c>
      <c r="K189" s="0" t="n">
        <v>1</v>
      </c>
      <c r="L189" s="0" t="n">
        <v>0</v>
      </c>
      <c r="M189" s="29" t="n">
        <f aca="false">IF(L189=1,J189-Carry!$B$9/Inputs!$B$16,I189)</f>
        <v>-0.00672409908264804</v>
      </c>
      <c r="N189" s="0" t="n">
        <v>0.065</v>
      </c>
      <c r="O189" s="0" t="n">
        <v>0.000125</v>
      </c>
      <c r="P189" s="29" t="n">
        <f aca="false">D189-('2 Hedge ratio'!$B$6+'2 Hedge ratio'!$B$5*E189)</f>
        <v>-0.00124205314120296</v>
      </c>
      <c r="Q189" s="29" t="n">
        <f aca="false">D189-('5 Re-specification'!$B$7+'5 Re-specification'!$B$5*E189+'5 Re-specification'!$B$6*F189)</f>
        <v>-0.00430656910298488</v>
      </c>
      <c r="R189" s="30" t="n">
        <f aca="false">MIN(F189,Inputs!$B$9)</f>
        <v>184</v>
      </c>
      <c r="S189" s="29" t="n">
        <f aca="true">IF(AND(F189&gt;=1,R189&gt;=Inputs!$B$10),INDEX(LINEST(OFFSET(D189,-R189,0,R189,1),OFFSET(E189,-R189,0,R189,2)),1,1),"")</f>
        <v>-7.61295328015636E-005</v>
      </c>
      <c r="T189" s="29" t="n">
        <f aca="true">IF(AND(F189&gt;=1,R189&gt;=Inputs!$B$10),INDEX(LINEST(OFFSET(D189,-R189,0,R189,1),OFFSET(E189,-R189,0,R189,2)),1,2),"")</f>
        <v>1.02905624070362</v>
      </c>
      <c r="U189" s="29" t="n">
        <f aca="true">IF(AND(F189&gt;=1,R189&gt;=Inputs!$B$10),INDEX(LINEST(OFFSET(D189,-R189,0,R189,1),OFFSET(E189,-R189,0,R189,2)),1,3),"")</f>
        <v>4.36132652759622</v>
      </c>
      <c r="V189" s="29" t="n">
        <f aca="true">IF(AND(F189&gt;=1,R189&gt;=Inputs!$B$10),SQRT(SUMPRODUCT((OFFSET(D189,-R189,0,R189,1)-U189-T189*OFFSET(E189,-R189,0,R189,1)-S189*OFFSET(F189,-R189,0,R189,1))^2)/(R189-3)),"")</f>
        <v>0.00263913415176426</v>
      </c>
      <c r="W189" s="31" t="n">
        <f aca="false">IF(AND(F189&gt;=1,R189&gt;=Inputs!$B$10),(D189-U189-T189*E189-S189*F189)/V189,"")</f>
        <v>-1.55460926589643</v>
      </c>
      <c r="X189" s="30" t="n">
        <f aca="false">IF(AB188&lt;&gt;0,AC188+1,0)</f>
        <v>0</v>
      </c>
      <c r="Y189" s="30" t="n">
        <f aca="false">IF(W189="",0,IF(AND(AB188&lt;&gt;0,OR(ABS(W189)&gt;Inputs!$B$7,X189&gt;=Inputs!$B$8,ABS(W189)&lt;Inputs!$B$6)),1,0))</f>
        <v>0</v>
      </c>
      <c r="Z189" s="30" t="n">
        <f aca="false">IF(Y189=1,0,AB188)</f>
        <v>0</v>
      </c>
      <c r="AA189" s="30" t="n">
        <f aca="false">IF(W189="",0,IF(AND(Z189=0,ABS(W189)&gt;Inputs!$B$5,ABS(W189)&lt;=Inputs!$B$7),1,0))</f>
        <v>0</v>
      </c>
      <c r="AB189" s="30" t="n">
        <f aca="false">IF(W189="",0,IF(AA189=1,-SIGN(W189),Z189))</f>
        <v>0</v>
      </c>
      <c r="AC189" s="30" t="n">
        <f aca="false">IF(W189="",0,IF(AA189=1,0,IF(Y189=1,0,X189)))</f>
        <v>0</v>
      </c>
      <c r="AD189" s="30" t="n">
        <f aca="false">IF(AB189=0,0,IF(AB188=AB189,AD188,T189))</f>
        <v>0</v>
      </c>
      <c r="AE189" s="30" t="n">
        <f aca="false">AB189-AB188</f>
        <v>0</v>
      </c>
      <c r="AF189" s="30" t="n">
        <f aca="false">-AD189*AB189</f>
        <v>-0</v>
      </c>
      <c r="AG189" s="30" t="n">
        <f aca="false">AF189-AF188</f>
        <v>0</v>
      </c>
      <c r="AH189" s="30" t="n">
        <f aca="false">MAX(AE189,0)*(Inputs!$B$17+Inputs!$B$18+Inputs!$B$19)+MAX(-AE189,0)*(O189+Inputs!$B$18+Inputs!$B$19)+IF(AND(K189=1,AB189&lt;&gt;0),(Inputs!$B$17+Inputs!$B$18+Inputs!$B$19)+(O189+Inputs!$B$18+Inputs!$B$19),0)+MAX(AG189,0)*(Inputs!$B$20+Inputs!$B$22+Inputs!$B$23)+MAX(-AG189,0)*(Inputs!$B$21+Inputs!$B$22+Inputs!$B$23)</f>
        <v>0</v>
      </c>
      <c r="AI189" s="30" t="n">
        <f aca="false">AB188*(M189-AD188*J189)+AB188*AD188*N189/Inputs!$B$16-AH189</f>
        <v>0</v>
      </c>
      <c r="AJ189" s="30" t="n">
        <f aca="false">MAX(AE189,0)*(Inputs!$B$17+Inputs!$B$24+Inputs!$B$25)+MAX(-AE189,0)*(O189+Inputs!$B$24+Inputs!$B$25)+IF(AND(K189=1,AB189&lt;&gt;0),(Inputs!$B$17+Inputs!$B$24+Inputs!$B$25)+(O189+Inputs!$B$24+Inputs!$B$25),0)+MAX(AG189,0)*(Inputs!$B$20+Inputs!$B$26+Inputs!$B$27)+MAX(-AG189,0)*(Inputs!$B$21+Inputs!$B$26+Inputs!$B$27)</f>
        <v>0</v>
      </c>
      <c r="AK189" s="30" t="n">
        <f aca="false">AB188*(M189-AD188*J189)+AB188*AD188*(N189+Inputs!$B$14)/Inputs!$B$16-AJ189</f>
        <v>0</v>
      </c>
      <c r="AL189" s="30" t="n">
        <f aca="false">IF(AP188&lt;&gt;0,AQ188+1,0)</f>
        <v>0</v>
      </c>
      <c r="AM189" s="30" t="n">
        <f aca="false">IF(W189="",0,IF(AND(AP188&lt;&gt;0,OR(ABS(W189)&gt;Inputs!$B$7,AL189&gt;=Inputs!$B$8,ABS(W189)&lt;Inputs!$B$6)),1,0))</f>
        <v>0</v>
      </c>
      <c r="AN189" s="30" t="n">
        <f aca="false">IF(AM189=1,0,AP188)</f>
        <v>0</v>
      </c>
      <c r="AO189" s="30" t="n">
        <f aca="false">IF(W189="",0,IF(AND(AN189=0,ABS(W189)&gt;Inputs!$B$5,ABS(W189)&lt;=Inputs!$B$7,W189&gt;0),1,0))</f>
        <v>0</v>
      </c>
      <c r="AP189" s="30" t="n">
        <f aca="false">IF(W189="",0,IF(AO189=1,-SIGN(W189),AN189))</f>
        <v>0</v>
      </c>
      <c r="AQ189" s="30" t="n">
        <f aca="false">IF(W189="",0,IF(AO189=1,0,IF(AM189=1,0,AL189)))</f>
        <v>0</v>
      </c>
      <c r="AR189" s="30" t="n">
        <f aca="false">IF(AP189=0,0,IF(AP188=AP189,AR188,T189))</f>
        <v>0</v>
      </c>
      <c r="AS189" s="30" t="n">
        <f aca="false">AP189-AP188</f>
        <v>0</v>
      </c>
      <c r="AT189" s="30" t="n">
        <f aca="false">-AR189*AP189</f>
        <v>-0</v>
      </c>
      <c r="AU189" s="30" t="n">
        <f aca="false">AT189-AT188</f>
        <v>0</v>
      </c>
      <c r="AV189" s="30" t="n">
        <f aca="false">MAX(AS189,0)*(Inputs!$B$17+Inputs!$B$18+Inputs!$B$19)+MAX(-AS189,0)*(O189+Inputs!$B$18+Inputs!$B$19)+IF(AND(K189=1,AP189&lt;&gt;0),(Inputs!$B$17+Inputs!$B$18+Inputs!$B$19)+(O189+Inputs!$B$18+Inputs!$B$19),0)+MAX(AU189,0)*(Inputs!$B$20+Inputs!$B$22+Inputs!$B$23)+MAX(-AU189,0)*(Inputs!$B$21+Inputs!$B$22+Inputs!$B$23)</f>
        <v>0</v>
      </c>
      <c r="AW189" s="30" t="n">
        <f aca="false">AP188*(M189-AR188*J189)+AP188*AR188*N189/Inputs!$B$16-AV189</f>
        <v>0</v>
      </c>
      <c r="AX189" s="30" t="n">
        <f aca="false">AW189-IF(AP188&lt;&gt;0,0.75*AR188*(Inputs!$B$13-N189)/Inputs!$B$16,0)</f>
        <v>0</v>
      </c>
      <c r="AY189" s="30" t="n">
        <f aca="false">MAX(AS189,0)*(Inputs!$B$17+Inputs!$B$18+Inputs!$B$19)+MAX(-AS189,0)*(O189+Inputs!$B$18+Inputs!$B$19)+IF(AND(K189=1,AP189&lt;&gt;0),(Inputs!$B$17+Inputs!$B$18+Inputs!$B$19)+(O189+Inputs!$B$18+Inputs!$B$19),0)</f>
        <v>0</v>
      </c>
      <c r="AZ189" s="30" t="n">
        <f aca="false">AP188*M189-AY189</f>
        <v>-0</v>
      </c>
      <c r="BA189" s="32" t="n">
        <f aca="false">BA188+AI189</f>
        <v>-0.00441407236435048</v>
      </c>
      <c r="BB189" s="30" t="n">
        <f aca="false">MAX(BB188,BA189)</f>
        <v>0</v>
      </c>
      <c r="BC189" s="32" t="n">
        <f aca="false">BA189-BB189</f>
        <v>-0.00441407236435048</v>
      </c>
      <c r="BD189" s="30" t="n">
        <f aca="false">A190-A189</f>
        <v>4</v>
      </c>
    </row>
    <row r="190" customFormat="false" ht="15" hidden="false" customHeight="false" outlineLevel="0" collapsed="false">
      <c r="A190" s="28" t="n">
        <v>45320</v>
      </c>
      <c r="B190" s="0" t="n">
        <v>21878.35</v>
      </c>
      <c r="C190" s="0" t="n">
        <v>240.25</v>
      </c>
      <c r="D190" s="29" t="n">
        <f aca="false">LN(B190)</f>
        <v>9.99325284235779</v>
      </c>
      <c r="E190" s="29" t="n">
        <f aca="false">LN(C190)</f>
        <v>5.4816800478504</v>
      </c>
      <c r="F190" s="0" t="n">
        <v>185</v>
      </c>
      <c r="G190" s="0" t="n">
        <v>31</v>
      </c>
      <c r="H190" s="29" t="n">
        <f aca="false">D190-E190</f>
        <v>4.51157279450739</v>
      </c>
      <c r="I190" s="29" t="n">
        <f aca="false">D190-D189</f>
        <v>0.0243989863904055</v>
      </c>
      <c r="J190" s="29" t="n">
        <f aca="false">E190-E189</f>
        <v>0.0148865313304638</v>
      </c>
      <c r="K190" s="0" t="n">
        <v>0</v>
      </c>
      <c r="L190" s="0" t="n">
        <v>1</v>
      </c>
      <c r="M190" s="29" t="n">
        <f aca="false">IF(L190=1,J190-Carry!$B$9/Inputs!$B$16,I190)</f>
        <v>0.0146270731487427</v>
      </c>
      <c r="N190" s="0" t="n">
        <v>0.065</v>
      </c>
      <c r="O190" s="0" t="n">
        <v>0.000125</v>
      </c>
      <c r="P190" s="29" t="n">
        <f aca="false">D190-('2 Hedge ratio'!$B$6+'2 Hedge ratio'!$B$5*E190)</f>
        <v>0.00951898354500003</v>
      </c>
      <c r="Q190" s="29" t="n">
        <f aca="false">D190-('5 Re-specification'!$B$7+'5 Re-specification'!$B$5*E190+'5 Re-specification'!$B$6*F190)</f>
        <v>0.00529592890856456</v>
      </c>
      <c r="R190" s="30" t="n">
        <f aca="false">MIN(F190,Inputs!$B$9)</f>
        <v>185</v>
      </c>
      <c r="S190" s="29" t="n">
        <f aca="true">IF(AND(F190&gt;=1,R190&gt;=Inputs!$B$10),INDEX(LINEST(OFFSET(D190,-R190,0,R190,1),OFFSET(E190,-R190,0,R190,2)),1,1),"")</f>
        <v>-7.66407072827763E-005</v>
      </c>
      <c r="T190" s="29" t="n">
        <f aca="true">IF(AND(F190&gt;=1,R190&gt;=Inputs!$B$10),INDEX(LINEST(OFFSET(D190,-R190,0,R190,1),OFFSET(E190,-R190,0,R190,2)),1,2),"")</f>
        <v>1.02882516021374</v>
      </c>
      <c r="U190" s="29" t="n">
        <f aca="true">IF(AND(F190&gt;=1,R190&gt;=Inputs!$B$10),INDEX(LINEST(OFFSET(D190,-R190,0,R190,1),OFFSET(E190,-R190,0,R190,2)),1,3),"")</f>
        <v>4.36259450276646</v>
      </c>
      <c r="V190" s="29" t="n">
        <f aca="true">IF(AND(F190&gt;=1,R190&gt;=Inputs!$B$10),SQRT(SUMPRODUCT((OFFSET(D190,-R190,0,R190,1)-U190-T190*OFFSET(E190,-R190,0,R190,1)-S190*OFFSET(F190,-R190,0,R190,1))^2)/(R190-3)),"")</f>
        <v>0.0026490064748682</v>
      </c>
      <c r="W190" s="31" t="n">
        <f aca="false">IF(AND(F190&gt;=1,R190&gt;=Inputs!$B$10),(D190-U190-T190*E190-S190*F190)/V190,"")</f>
        <v>1.94281026390188</v>
      </c>
      <c r="X190" s="30" t="n">
        <f aca="false">IF(AB189&lt;&gt;0,AC189+1,0)</f>
        <v>0</v>
      </c>
      <c r="Y190" s="30" t="n">
        <f aca="false">IF(W190="",0,IF(AND(AB189&lt;&gt;0,OR(ABS(W190)&gt;Inputs!$B$7,X190&gt;=Inputs!$B$8,ABS(W190)&lt;Inputs!$B$6)),1,0))</f>
        <v>0</v>
      </c>
      <c r="Z190" s="30" t="n">
        <f aca="false">IF(Y190=1,0,AB189)</f>
        <v>0</v>
      </c>
      <c r="AA190" s="30" t="n">
        <f aca="false">IF(W190="",0,IF(AND(Z190=0,ABS(W190)&gt;Inputs!$B$5,ABS(W190)&lt;=Inputs!$B$7),1,0))</f>
        <v>0</v>
      </c>
      <c r="AB190" s="30" t="n">
        <f aca="false">IF(W190="",0,IF(AA190=1,-SIGN(W190),Z190))</f>
        <v>0</v>
      </c>
      <c r="AC190" s="30" t="n">
        <f aca="false">IF(W190="",0,IF(AA190=1,0,IF(Y190=1,0,X190)))</f>
        <v>0</v>
      </c>
      <c r="AD190" s="30" t="n">
        <f aca="false">IF(AB190=0,0,IF(AB189=AB190,AD189,T190))</f>
        <v>0</v>
      </c>
      <c r="AE190" s="30" t="n">
        <f aca="false">AB190-AB189</f>
        <v>0</v>
      </c>
      <c r="AF190" s="30" t="n">
        <f aca="false">-AD190*AB190</f>
        <v>-0</v>
      </c>
      <c r="AG190" s="30" t="n">
        <f aca="false">AF190-AF189</f>
        <v>0</v>
      </c>
      <c r="AH190" s="30" t="n">
        <f aca="false">MAX(AE190,0)*(Inputs!$B$17+Inputs!$B$18+Inputs!$B$19)+MAX(-AE190,0)*(O190+Inputs!$B$18+Inputs!$B$19)+IF(AND(K190=1,AB190&lt;&gt;0),(Inputs!$B$17+Inputs!$B$18+Inputs!$B$19)+(O190+Inputs!$B$18+Inputs!$B$19),0)+MAX(AG190,0)*(Inputs!$B$20+Inputs!$B$22+Inputs!$B$23)+MAX(-AG190,0)*(Inputs!$B$21+Inputs!$B$22+Inputs!$B$23)</f>
        <v>0</v>
      </c>
      <c r="AI190" s="30" t="n">
        <f aca="false">AB189*(M190-AD189*J190)+AB189*AD189*N190/Inputs!$B$16-AH190</f>
        <v>0</v>
      </c>
      <c r="AJ190" s="30" t="n">
        <f aca="false">MAX(AE190,0)*(Inputs!$B$17+Inputs!$B$24+Inputs!$B$25)+MAX(-AE190,0)*(O190+Inputs!$B$24+Inputs!$B$25)+IF(AND(K190=1,AB190&lt;&gt;0),(Inputs!$B$17+Inputs!$B$24+Inputs!$B$25)+(O190+Inputs!$B$24+Inputs!$B$25),0)+MAX(AG190,0)*(Inputs!$B$20+Inputs!$B$26+Inputs!$B$27)+MAX(-AG190,0)*(Inputs!$B$21+Inputs!$B$26+Inputs!$B$27)</f>
        <v>0</v>
      </c>
      <c r="AK190" s="30" t="n">
        <f aca="false">AB189*(M190-AD189*J190)+AB189*AD189*(N190+Inputs!$B$14)/Inputs!$B$16-AJ190</f>
        <v>0</v>
      </c>
      <c r="AL190" s="30" t="n">
        <f aca="false">IF(AP189&lt;&gt;0,AQ189+1,0)</f>
        <v>0</v>
      </c>
      <c r="AM190" s="30" t="n">
        <f aca="false">IF(W190="",0,IF(AND(AP189&lt;&gt;0,OR(ABS(W190)&gt;Inputs!$B$7,AL190&gt;=Inputs!$B$8,ABS(W190)&lt;Inputs!$B$6)),1,0))</f>
        <v>0</v>
      </c>
      <c r="AN190" s="30" t="n">
        <f aca="false">IF(AM190=1,0,AP189)</f>
        <v>0</v>
      </c>
      <c r="AO190" s="30" t="n">
        <f aca="false">IF(W190="",0,IF(AND(AN190=0,ABS(W190)&gt;Inputs!$B$5,ABS(W190)&lt;=Inputs!$B$7,W190&gt;0),1,0))</f>
        <v>0</v>
      </c>
      <c r="AP190" s="30" t="n">
        <f aca="false">IF(W190="",0,IF(AO190=1,-SIGN(W190),AN190))</f>
        <v>0</v>
      </c>
      <c r="AQ190" s="30" t="n">
        <f aca="false">IF(W190="",0,IF(AO190=1,0,IF(AM190=1,0,AL190)))</f>
        <v>0</v>
      </c>
      <c r="AR190" s="30" t="n">
        <f aca="false">IF(AP190=0,0,IF(AP189=AP190,AR189,T190))</f>
        <v>0</v>
      </c>
      <c r="AS190" s="30" t="n">
        <f aca="false">AP190-AP189</f>
        <v>0</v>
      </c>
      <c r="AT190" s="30" t="n">
        <f aca="false">-AR190*AP190</f>
        <v>-0</v>
      </c>
      <c r="AU190" s="30" t="n">
        <f aca="false">AT190-AT189</f>
        <v>0</v>
      </c>
      <c r="AV190" s="30" t="n">
        <f aca="false">MAX(AS190,0)*(Inputs!$B$17+Inputs!$B$18+Inputs!$B$19)+MAX(-AS190,0)*(O190+Inputs!$B$18+Inputs!$B$19)+IF(AND(K190=1,AP190&lt;&gt;0),(Inputs!$B$17+Inputs!$B$18+Inputs!$B$19)+(O190+Inputs!$B$18+Inputs!$B$19),0)+MAX(AU190,0)*(Inputs!$B$20+Inputs!$B$22+Inputs!$B$23)+MAX(-AU190,0)*(Inputs!$B$21+Inputs!$B$22+Inputs!$B$23)</f>
        <v>0</v>
      </c>
      <c r="AW190" s="30" t="n">
        <f aca="false">AP189*(M190-AR189*J190)+AP189*AR189*N190/Inputs!$B$16-AV190</f>
        <v>0</v>
      </c>
      <c r="AX190" s="30" t="n">
        <f aca="false">AW190-IF(AP189&lt;&gt;0,0.75*AR189*(Inputs!$B$13-N190)/Inputs!$B$16,0)</f>
        <v>0</v>
      </c>
      <c r="AY190" s="30" t="n">
        <f aca="false">MAX(AS190,0)*(Inputs!$B$17+Inputs!$B$18+Inputs!$B$19)+MAX(-AS190,0)*(O190+Inputs!$B$18+Inputs!$B$19)+IF(AND(K190=1,AP190&lt;&gt;0),(Inputs!$B$17+Inputs!$B$18+Inputs!$B$19)+(O190+Inputs!$B$18+Inputs!$B$19),0)</f>
        <v>0</v>
      </c>
      <c r="AZ190" s="30" t="n">
        <f aca="false">AP189*M190-AY190</f>
        <v>0</v>
      </c>
      <c r="BA190" s="32" t="n">
        <f aca="false">BA189+AI190</f>
        <v>-0.00441407236435048</v>
      </c>
      <c r="BB190" s="30" t="n">
        <f aca="false">MAX(BB189,BA190)</f>
        <v>0</v>
      </c>
      <c r="BC190" s="32" t="n">
        <f aca="false">BA190-BB190</f>
        <v>-0.00441407236435048</v>
      </c>
      <c r="BD190" s="30" t="n">
        <f aca="false">A191-A190</f>
        <v>1</v>
      </c>
    </row>
    <row r="191" customFormat="false" ht="15" hidden="false" customHeight="false" outlineLevel="0" collapsed="false">
      <c r="A191" s="28" t="n">
        <v>45321</v>
      </c>
      <c r="B191" s="0" t="n">
        <v>21624</v>
      </c>
      <c r="C191" s="0" t="n">
        <v>238.2</v>
      </c>
      <c r="D191" s="29" t="n">
        <f aca="false">LN(B191)</f>
        <v>9.98155908795628</v>
      </c>
      <c r="E191" s="29" t="n">
        <f aca="false">LN(C191)</f>
        <v>5.4731106569212</v>
      </c>
      <c r="F191" s="0" t="n">
        <v>186</v>
      </c>
      <c r="G191" s="0" t="n">
        <v>30</v>
      </c>
      <c r="H191" s="29" t="n">
        <f aca="false">D191-E191</f>
        <v>4.50844843103508</v>
      </c>
      <c r="I191" s="29" t="n">
        <f aca="false">D191-D190</f>
        <v>-0.0116937544015041</v>
      </c>
      <c r="J191" s="29" t="n">
        <f aca="false">E191-E190</f>
        <v>-0.00856939092920239</v>
      </c>
      <c r="K191" s="0" t="n">
        <v>0</v>
      </c>
      <c r="L191" s="0" t="n">
        <v>0</v>
      </c>
      <c r="M191" s="29" t="n">
        <f aca="false">IF(L191=1,J191-Carry!$B$9/Inputs!$B$16,I191)</f>
        <v>-0.0116937544015041</v>
      </c>
      <c r="N191" s="0" t="n">
        <v>0.065</v>
      </c>
      <c r="O191" s="0" t="n">
        <v>0.000125</v>
      </c>
      <c r="P191" s="29" t="n">
        <f aca="false">D191-('2 Hedge ratio'!$B$6+'2 Hedge ratio'!$B$5*E191)</f>
        <v>0.00567587748418497</v>
      </c>
      <c r="Q191" s="29" t="n">
        <f aca="false">D191-('5 Re-specification'!$B$7+'5 Re-specification'!$B$5*E191+'5 Re-specification'!$B$6*F191)</f>
        <v>0.00219052521496721</v>
      </c>
      <c r="R191" s="30" t="n">
        <f aca="false">MIN(F191,Inputs!$B$9)</f>
        <v>186</v>
      </c>
      <c r="S191" s="29" t="n">
        <f aca="true">IF(AND(F191&gt;=1,R191&gt;=Inputs!$B$10),INDEX(LINEST(OFFSET(D191,-R191,0,R191,1),OFFSET(E191,-R191,0,R191,2)),1,1),"")</f>
        <v>-7.66020457084603E-005</v>
      </c>
      <c r="T191" s="29" t="n">
        <f aca="true">IF(AND(F191&gt;=1,R191&gt;=Inputs!$B$10),INDEX(LINEST(OFFSET(D191,-R191,0,R191,1),OFFSET(E191,-R191,0,R191,2)),1,2),"")</f>
        <v>1.02978223106742</v>
      </c>
      <c r="U191" s="29" t="n">
        <f aca="true">IF(AND(F191&gt;=1,R191&gt;=Inputs!$B$10),INDEX(LINEST(OFFSET(D191,-R191,0,R191,1),OFFSET(E191,-R191,0,R191,2)),1,3),"")</f>
        <v>4.35746939619342</v>
      </c>
      <c r="V191" s="29" t="n">
        <f aca="true">IF(AND(F191&gt;=1,R191&gt;=Inputs!$B$10),SQRT(SUMPRODUCT((OFFSET(D191,-R191,0,R191,1)-U191-T191*OFFSET(E191,-R191,0,R191,1)-S191*OFFSET(F191,-R191,0,R191,1))^2)/(R191-3)),"")</f>
        <v>0.00266833551506467</v>
      </c>
      <c r="W191" s="31" t="n">
        <f aca="false">IF(AND(F191&gt;=1,R191&gt;=Inputs!$B$10),(D191-U191-T191*E191-S191*F191)/V191,"")</f>
        <v>0.834066439133476</v>
      </c>
      <c r="X191" s="30" t="n">
        <f aca="false">IF(AB190&lt;&gt;0,AC190+1,0)</f>
        <v>0</v>
      </c>
      <c r="Y191" s="30" t="n">
        <f aca="false">IF(W191="",0,IF(AND(AB190&lt;&gt;0,OR(ABS(W191)&gt;Inputs!$B$7,X191&gt;=Inputs!$B$8,ABS(W191)&lt;Inputs!$B$6)),1,0))</f>
        <v>0</v>
      </c>
      <c r="Z191" s="30" t="n">
        <f aca="false">IF(Y191=1,0,AB190)</f>
        <v>0</v>
      </c>
      <c r="AA191" s="30" t="n">
        <f aca="false">IF(W191="",0,IF(AND(Z191=0,ABS(W191)&gt;Inputs!$B$5,ABS(W191)&lt;=Inputs!$B$7),1,0))</f>
        <v>0</v>
      </c>
      <c r="AB191" s="30" t="n">
        <f aca="false">IF(W191="",0,IF(AA191=1,-SIGN(W191),Z191))</f>
        <v>0</v>
      </c>
      <c r="AC191" s="30" t="n">
        <f aca="false">IF(W191="",0,IF(AA191=1,0,IF(Y191=1,0,X191)))</f>
        <v>0</v>
      </c>
      <c r="AD191" s="30" t="n">
        <f aca="false">IF(AB191=0,0,IF(AB190=AB191,AD190,T191))</f>
        <v>0</v>
      </c>
      <c r="AE191" s="30" t="n">
        <f aca="false">AB191-AB190</f>
        <v>0</v>
      </c>
      <c r="AF191" s="30" t="n">
        <f aca="false">-AD191*AB191</f>
        <v>-0</v>
      </c>
      <c r="AG191" s="30" t="n">
        <f aca="false">AF191-AF190</f>
        <v>0</v>
      </c>
      <c r="AH191" s="30" t="n">
        <f aca="false">MAX(AE191,0)*(Inputs!$B$17+Inputs!$B$18+Inputs!$B$19)+MAX(-AE191,0)*(O191+Inputs!$B$18+Inputs!$B$19)+IF(AND(K191=1,AB191&lt;&gt;0),(Inputs!$B$17+Inputs!$B$18+Inputs!$B$19)+(O191+Inputs!$B$18+Inputs!$B$19),0)+MAX(AG191,0)*(Inputs!$B$20+Inputs!$B$22+Inputs!$B$23)+MAX(-AG191,0)*(Inputs!$B$21+Inputs!$B$22+Inputs!$B$23)</f>
        <v>0</v>
      </c>
      <c r="AI191" s="30" t="n">
        <f aca="false">AB190*(M191-AD190*J191)+AB190*AD190*N191/Inputs!$B$16-AH191</f>
        <v>0</v>
      </c>
      <c r="AJ191" s="30" t="n">
        <f aca="false">MAX(AE191,0)*(Inputs!$B$17+Inputs!$B$24+Inputs!$B$25)+MAX(-AE191,0)*(O191+Inputs!$B$24+Inputs!$B$25)+IF(AND(K191=1,AB191&lt;&gt;0),(Inputs!$B$17+Inputs!$B$24+Inputs!$B$25)+(O191+Inputs!$B$24+Inputs!$B$25),0)+MAX(AG191,0)*(Inputs!$B$20+Inputs!$B$26+Inputs!$B$27)+MAX(-AG191,0)*(Inputs!$B$21+Inputs!$B$26+Inputs!$B$27)</f>
        <v>0</v>
      </c>
      <c r="AK191" s="30" t="n">
        <f aca="false">AB190*(M191-AD190*J191)+AB190*AD190*(N191+Inputs!$B$14)/Inputs!$B$16-AJ191</f>
        <v>0</v>
      </c>
      <c r="AL191" s="30" t="n">
        <f aca="false">IF(AP190&lt;&gt;0,AQ190+1,0)</f>
        <v>0</v>
      </c>
      <c r="AM191" s="30" t="n">
        <f aca="false">IF(W191="",0,IF(AND(AP190&lt;&gt;0,OR(ABS(W191)&gt;Inputs!$B$7,AL191&gt;=Inputs!$B$8,ABS(W191)&lt;Inputs!$B$6)),1,0))</f>
        <v>0</v>
      </c>
      <c r="AN191" s="30" t="n">
        <f aca="false">IF(AM191=1,0,AP190)</f>
        <v>0</v>
      </c>
      <c r="AO191" s="30" t="n">
        <f aca="false">IF(W191="",0,IF(AND(AN191=0,ABS(W191)&gt;Inputs!$B$5,ABS(W191)&lt;=Inputs!$B$7,W191&gt;0),1,0))</f>
        <v>0</v>
      </c>
      <c r="AP191" s="30" t="n">
        <f aca="false">IF(W191="",0,IF(AO191=1,-SIGN(W191),AN191))</f>
        <v>0</v>
      </c>
      <c r="AQ191" s="30" t="n">
        <f aca="false">IF(W191="",0,IF(AO191=1,0,IF(AM191=1,0,AL191)))</f>
        <v>0</v>
      </c>
      <c r="AR191" s="30" t="n">
        <f aca="false">IF(AP191=0,0,IF(AP190=AP191,AR190,T191))</f>
        <v>0</v>
      </c>
      <c r="AS191" s="30" t="n">
        <f aca="false">AP191-AP190</f>
        <v>0</v>
      </c>
      <c r="AT191" s="30" t="n">
        <f aca="false">-AR191*AP191</f>
        <v>-0</v>
      </c>
      <c r="AU191" s="30" t="n">
        <f aca="false">AT191-AT190</f>
        <v>0</v>
      </c>
      <c r="AV191" s="30" t="n">
        <f aca="false">MAX(AS191,0)*(Inputs!$B$17+Inputs!$B$18+Inputs!$B$19)+MAX(-AS191,0)*(O191+Inputs!$B$18+Inputs!$B$19)+IF(AND(K191=1,AP191&lt;&gt;0),(Inputs!$B$17+Inputs!$B$18+Inputs!$B$19)+(O191+Inputs!$B$18+Inputs!$B$19),0)+MAX(AU191,0)*(Inputs!$B$20+Inputs!$B$22+Inputs!$B$23)+MAX(-AU191,0)*(Inputs!$B$21+Inputs!$B$22+Inputs!$B$23)</f>
        <v>0</v>
      </c>
      <c r="AW191" s="30" t="n">
        <f aca="false">AP190*(M191-AR190*J191)+AP190*AR190*N191/Inputs!$B$16-AV191</f>
        <v>0</v>
      </c>
      <c r="AX191" s="30" t="n">
        <f aca="false">AW191-IF(AP190&lt;&gt;0,0.75*AR190*(Inputs!$B$13-N191)/Inputs!$B$16,0)</f>
        <v>0</v>
      </c>
      <c r="AY191" s="30" t="n">
        <f aca="false">MAX(AS191,0)*(Inputs!$B$17+Inputs!$B$18+Inputs!$B$19)+MAX(-AS191,0)*(O191+Inputs!$B$18+Inputs!$B$19)+IF(AND(K191=1,AP191&lt;&gt;0),(Inputs!$B$17+Inputs!$B$18+Inputs!$B$19)+(O191+Inputs!$B$18+Inputs!$B$19),0)</f>
        <v>0</v>
      </c>
      <c r="AZ191" s="30" t="n">
        <f aca="false">AP190*M191-AY191</f>
        <v>-0</v>
      </c>
      <c r="BA191" s="32" t="n">
        <f aca="false">BA190+AI191</f>
        <v>-0.00441407236435048</v>
      </c>
      <c r="BB191" s="30" t="n">
        <f aca="false">MAX(BB190,BA191)</f>
        <v>0</v>
      </c>
      <c r="BC191" s="32" t="n">
        <f aca="false">BA191-BB191</f>
        <v>-0.00441407236435048</v>
      </c>
      <c r="BD191" s="30" t="n">
        <f aca="false">A192-A191</f>
        <v>1</v>
      </c>
    </row>
    <row r="192" customFormat="false" ht="15" hidden="false" customHeight="false" outlineLevel="0" collapsed="false">
      <c r="A192" s="28" t="n">
        <v>45322</v>
      </c>
      <c r="B192" s="0" t="n">
        <v>21787</v>
      </c>
      <c r="C192" s="0" t="n">
        <v>240.25</v>
      </c>
      <c r="D192" s="29" t="n">
        <f aca="false">LN(B192)</f>
        <v>9.98906874062633</v>
      </c>
      <c r="E192" s="29" t="n">
        <f aca="false">LN(C192)</f>
        <v>5.4816800478504</v>
      </c>
      <c r="F192" s="0" t="n">
        <v>187</v>
      </c>
      <c r="G192" s="0" t="n">
        <v>29</v>
      </c>
      <c r="H192" s="29" t="n">
        <f aca="false">D192-E192</f>
        <v>4.50738869277593</v>
      </c>
      <c r="I192" s="29" t="n">
        <f aca="false">D192-D191</f>
        <v>0.00750965267005022</v>
      </c>
      <c r="J192" s="29" t="n">
        <f aca="false">E192-E191</f>
        <v>0.00856939092920239</v>
      </c>
      <c r="K192" s="0" t="n">
        <v>0</v>
      </c>
      <c r="L192" s="0" t="n">
        <v>0</v>
      </c>
      <c r="M192" s="29" t="n">
        <f aca="false">IF(L192=1,J192-Carry!$B$9/Inputs!$B$16,I192)</f>
        <v>0.00750965267005022</v>
      </c>
      <c r="N192" s="0" t="n">
        <v>0.065</v>
      </c>
      <c r="O192" s="0" t="n">
        <v>0.000125</v>
      </c>
      <c r="P192" s="29" t="n">
        <f aca="false">D192-('2 Hedge ratio'!$B$6+'2 Hedge ratio'!$B$5*E192)</f>
        <v>0.00533488181354613</v>
      </c>
      <c r="Q192" s="29" t="n">
        <f aca="false">D192-('5 Re-specification'!$B$7+'5 Re-specification'!$B$5*E192+'5 Re-specification'!$B$6*F192)</f>
        <v>0.00120168581330482</v>
      </c>
      <c r="R192" s="30" t="n">
        <f aca="false">MIN(F192,Inputs!$B$9)</f>
        <v>187</v>
      </c>
      <c r="S192" s="29" t="n">
        <f aca="true">IF(AND(F192&gt;=1,R192&gt;=Inputs!$B$10),INDEX(LINEST(OFFSET(D192,-R192,0,R192,1),OFFSET(E192,-R192,0,R192,2)),1,1),"")</f>
        <v>-7.64070293824227E-005</v>
      </c>
      <c r="T192" s="29" t="n">
        <f aca="true">IF(AND(F192&gt;=1,R192&gt;=Inputs!$B$10),INDEX(LINEST(OFFSET(D192,-R192,0,R192,1),OFFSET(E192,-R192,0,R192,2)),1,2),"")</f>
        <v>1.02999014259863</v>
      </c>
      <c r="U192" s="29" t="n">
        <f aca="true">IF(AND(F192&gt;=1,R192&gt;=Inputs!$B$10),INDEX(LINEST(OFFSET(D192,-R192,0,R192,1),OFFSET(E192,-R192,0,R192,2)),1,3),"")</f>
        <v>4.35634445927711</v>
      </c>
      <c r="V192" s="29" t="n">
        <f aca="true">IF(AND(F192&gt;=1,R192&gt;=Inputs!$B$10),SQRT(SUMPRODUCT((OFFSET(D192,-R192,0,R192,1)-U192-T192*OFFSET(E192,-R192,0,R192,1)-S192*OFFSET(F192,-R192,0,R192,1))^2)/(R192-3)),"")</f>
        <v>0.00266601616943929</v>
      </c>
      <c r="W192" s="31" t="n">
        <f aca="false">IF(AND(F192&gt;=1,R192&gt;=Inputs!$B$10),(D192-U192-T192*E192-S192*F192)/V192,"")</f>
        <v>0.351078770250215</v>
      </c>
      <c r="X192" s="30" t="n">
        <f aca="false">IF(AB191&lt;&gt;0,AC191+1,0)</f>
        <v>0</v>
      </c>
      <c r="Y192" s="30" t="n">
        <f aca="false">IF(W192="",0,IF(AND(AB191&lt;&gt;0,OR(ABS(W192)&gt;Inputs!$B$7,X192&gt;=Inputs!$B$8,ABS(W192)&lt;Inputs!$B$6)),1,0))</f>
        <v>0</v>
      </c>
      <c r="Z192" s="30" t="n">
        <f aca="false">IF(Y192=1,0,AB191)</f>
        <v>0</v>
      </c>
      <c r="AA192" s="30" t="n">
        <f aca="false">IF(W192="",0,IF(AND(Z192=0,ABS(W192)&gt;Inputs!$B$5,ABS(W192)&lt;=Inputs!$B$7),1,0))</f>
        <v>0</v>
      </c>
      <c r="AB192" s="30" t="n">
        <f aca="false">IF(W192="",0,IF(AA192=1,-SIGN(W192),Z192))</f>
        <v>0</v>
      </c>
      <c r="AC192" s="30" t="n">
        <f aca="false">IF(W192="",0,IF(AA192=1,0,IF(Y192=1,0,X192)))</f>
        <v>0</v>
      </c>
      <c r="AD192" s="30" t="n">
        <f aca="false">IF(AB192=0,0,IF(AB191=AB192,AD191,T192))</f>
        <v>0</v>
      </c>
      <c r="AE192" s="30" t="n">
        <f aca="false">AB192-AB191</f>
        <v>0</v>
      </c>
      <c r="AF192" s="30" t="n">
        <f aca="false">-AD192*AB192</f>
        <v>-0</v>
      </c>
      <c r="AG192" s="30" t="n">
        <f aca="false">AF192-AF191</f>
        <v>0</v>
      </c>
      <c r="AH192" s="30" t="n">
        <f aca="false">MAX(AE192,0)*(Inputs!$B$17+Inputs!$B$18+Inputs!$B$19)+MAX(-AE192,0)*(O192+Inputs!$B$18+Inputs!$B$19)+IF(AND(K192=1,AB192&lt;&gt;0),(Inputs!$B$17+Inputs!$B$18+Inputs!$B$19)+(O192+Inputs!$B$18+Inputs!$B$19),0)+MAX(AG192,0)*(Inputs!$B$20+Inputs!$B$22+Inputs!$B$23)+MAX(-AG192,0)*(Inputs!$B$21+Inputs!$B$22+Inputs!$B$23)</f>
        <v>0</v>
      </c>
      <c r="AI192" s="30" t="n">
        <f aca="false">AB191*(M192-AD191*J192)+AB191*AD191*N192/Inputs!$B$16-AH192</f>
        <v>0</v>
      </c>
      <c r="AJ192" s="30" t="n">
        <f aca="false">MAX(AE192,0)*(Inputs!$B$17+Inputs!$B$24+Inputs!$B$25)+MAX(-AE192,0)*(O192+Inputs!$B$24+Inputs!$B$25)+IF(AND(K192=1,AB192&lt;&gt;0),(Inputs!$B$17+Inputs!$B$24+Inputs!$B$25)+(O192+Inputs!$B$24+Inputs!$B$25),0)+MAX(AG192,0)*(Inputs!$B$20+Inputs!$B$26+Inputs!$B$27)+MAX(-AG192,0)*(Inputs!$B$21+Inputs!$B$26+Inputs!$B$27)</f>
        <v>0</v>
      </c>
      <c r="AK192" s="30" t="n">
        <f aca="false">AB191*(M192-AD191*J192)+AB191*AD191*(N192+Inputs!$B$14)/Inputs!$B$16-AJ192</f>
        <v>0</v>
      </c>
      <c r="AL192" s="30" t="n">
        <f aca="false">IF(AP191&lt;&gt;0,AQ191+1,0)</f>
        <v>0</v>
      </c>
      <c r="AM192" s="30" t="n">
        <f aca="false">IF(W192="",0,IF(AND(AP191&lt;&gt;0,OR(ABS(W192)&gt;Inputs!$B$7,AL192&gt;=Inputs!$B$8,ABS(W192)&lt;Inputs!$B$6)),1,0))</f>
        <v>0</v>
      </c>
      <c r="AN192" s="30" t="n">
        <f aca="false">IF(AM192=1,0,AP191)</f>
        <v>0</v>
      </c>
      <c r="AO192" s="30" t="n">
        <f aca="false">IF(W192="",0,IF(AND(AN192=0,ABS(W192)&gt;Inputs!$B$5,ABS(W192)&lt;=Inputs!$B$7,W192&gt;0),1,0))</f>
        <v>0</v>
      </c>
      <c r="AP192" s="30" t="n">
        <f aca="false">IF(W192="",0,IF(AO192=1,-SIGN(W192),AN192))</f>
        <v>0</v>
      </c>
      <c r="AQ192" s="30" t="n">
        <f aca="false">IF(W192="",0,IF(AO192=1,0,IF(AM192=1,0,AL192)))</f>
        <v>0</v>
      </c>
      <c r="AR192" s="30" t="n">
        <f aca="false">IF(AP192=0,0,IF(AP191=AP192,AR191,T192))</f>
        <v>0</v>
      </c>
      <c r="AS192" s="30" t="n">
        <f aca="false">AP192-AP191</f>
        <v>0</v>
      </c>
      <c r="AT192" s="30" t="n">
        <f aca="false">-AR192*AP192</f>
        <v>-0</v>
      </c>
      <c r="AU192" s="30" t="n">
        <f aca="false">AT192-AT191</f>
        <v>0</v>
      </c>
      <c r="AV192" s="30" t="n">
        <f aca="false">MAX(AS192,0)*(Inputs!$B$17+Inputs!$B$18+Inputs!$B$19)+MAX(-AS192,0)*(O192+Inputs!$B$18+Inputs!$B$19)+IF(AND(K192=1,AP192&lt;&gt;0),(Inputs!$B$17+Inputs!$B$18+Inputs!$B$19)+(O192+Inputs!$B$18+Inputs!$B$19),0)+MAX(AU192,0)*(Inputs!$B$20+Inputs!$B$22+Inputs!$B$23)+MAX(-AU192,0)*(Inputs!$B$21+Inputs!$B$22+Inputs!$B$23)</f>
        <v>0</v>
      </c>
      <c r="AW192" s="30" t="n">
        <f aca="false">AP191*(M192-AR191*J192)+AP191*AR191*N192/Inputs!$B$16-AV192</f>
        <v>0</v>
      </c>
      <c r="AX192" s="30" t="n">
        <f aca="false">AW192-IF(AP191&lt;&gt;0,0.75*AR191*(Inputs!$B$13-N192)/Inputs!$B$16,0)</f>
        <v>0</v>
      </c>
      <c r="AY192" s="30" t="n">
        <f aca="false">MAX(AS192,0)*(Inputs!$B$17+Inputs!$B$18+Inputs!$B$19)+MAX(-AS192,0)*(O192+Inputs!$B$18+Inputs!$B$19)+IF(AND(K192=1,AP192&lt;&gt;0),(Inputs!$B$17+Inputs!$B$18+Inputs!$B$19)+(O192+Inputs!$B$18+Inputs!$B$19),0)</f>
        <v>0</v>
      </c>
      <c r="AZ192" s="30" t="n">
        <f aca="false">AP191*M192-AY192</f>
        <v>0</v>
      </c>
      <c r="BA192" s="32" t="n">
        <f aca="false">BA191+AI192</f>
        <v>-0.00441407236435048</v>
      </c>
      <c r="BB192" s="30" t="n">
        <f aca="false">MAX(BB191,BA192)</f>
        <v>0</v>
      </c>
      <c r="BC192" s="32" t="n">
        <f aca="false">BA192-BB192</f>
        <v>-0.00441407236435048</v>
      </c>
      <c r="BD192" s="30" t="n">
        <f aca="false">A193-A192</f>
        <v>1</v>
      </c>
    </row>
    <row r="193" customFormat="false" ht="15" hidden="false" customHeight="false" outlineLevel="0" collapsed="false">
      <c r="A193" s="28" t="n">
        <v>45323</v>
      </c>
      <c r="B193" s="0" t="n">
        <v>21742.1</v>
      </c>
      <c r="C193" s="0" t="n">
        <v>239.97</v>
      </c>
      <c r="D193" s="29" t="n">
        <f aca="false">LN(B193)</f>
        <v>9.98700575214625</v>
      </c>
      <c r="E193" s="29" t="n">
        <f aca="false">LN(C193)</f>
        <v>5.48051391552884</v>
      </c>
      <c r="F193" s="0" t="n">
        <v>188</v>
      </c>
      <c r="G193" s="0" t="n">
        <v>28</v>
      </c>
      <c r="H193" s="29" t="n">
        <f aca="false">D193-E193</f>
        <v>4.50649183661741</v>
      </c>
      <c r="I193" s="29" t="n">
        <f aca="false">D193-D192</f>
        <v>-0.00206298848008402</v>
      </c>
      <c r="J193" s="29" t="n">
        <f aca="false">E193-E192</f>
        <v>-0.00116613232156126</v>
      </c>
      <c r="K193" s="0" t="n">
        <v>0</v>
      </c>
      <c r="L193" s="0" t="n">
        <v>0</v>
      </c>
      <c r="M193" s="29" t="n">
        <f aca="false">IF(L193=1,J193-Carry!$B$9/Inputs!$B$16,I193)</f>
        <v>-0.00206298848008402</v>
      </c>
      <c r="N193" s="0" t="n">
        <v>0.065</v>
      </c>
      <c r="O193" s="0" t="n">
        <v>0.000125</v>
      </c>
      <c r="P193" s="29" t="n">
        <f aca="false">D193-('2 Hedge ratio'!$B$6+'2 Hedge ratio'!$B$5*E193)</f>
        <v>0.00434021835806675</v>
      </c>
      <c r="Q193" s="29" t="n">
        <f aca="false">D193-('5 Re-specification'!$B$7+'5 Re-specification'!$B$5*E193+'5 Re-specification'!$B$6*F193)</f>
        <v>0.000346225008854617</v>
      </c>
      <c r="R193" s="30" t="n">
        <f aca="false">MIN(F193,Inputs!$B$9)</f>
        <v>188</v>
      </c>
      <c r="S193" s="29" t="n">
        <f aca="true">IF(AND(F193&gt;=1,R193&gt;=Inputs!$B$10),INDEX(LINEST(OFFSET(D193,-R193,0,R193,1),OFFSET(E193,-R193,0,R193,2)),1,1),"")</f>
        <v>-7.63848889969666E-005</v>
      </c>
      <c r="T193" s="29" t="n">
        <f aca="true">IF(AND(F193&gt;=1,R193&gt;=Inputs!$B$10),INDEX(LINEST(OFFSET(D193,-R193,0,R193,1),OFFSET(E193,-R193,0,R193,2)),1,2),"")</f>
        <v>1.03014253188595</v>
      </c>
      <c r="U193" s="29" t="n">
        <f aca="true">IF(AND(F193&gt;=1,R193&gt;=Inputs!$B$10),INDEX(LINEST(OFFSET(D193,-R193,0,R193,1),OFFSET(E193,-R193,0,R193,2)),1,3),"")</f>
        <v>4.35552733052833</v>
      </c>
      <c r="V193" s="29" t="n">
        <f aca="true">IF(AND(F193&gt;=1,R193&gt;=Inputs!$B$10),SQRT(SUMPRODUCT((OFFSET(D193,-R193,0,R193,1)-U193-T193*OFFSET(E193,-R193,0,R193,1)-S193*OFFSET(F193,-R193,0,R193,1))^2)/(R193-3)),"")</f>
        <v>0.00265967006699612</v>
      </c>
      <c r="W193" s="31" t="n">
        <f aca="false">IF(AND(F193&gt;=1,R193&gt;=Inputs!$B$10),(D193-U193-T193*E193-S193*F193)/V193,"")</f>
        <v>0.0482389796730292</v>
      </c>
      <c r="X193" s="30" t="n">
        <f aca="false">IF(AB192&lt;&gt;0,AC192+1,0)</f>
        <v>0</v>
      </c>
      <c r="Y193" s="30" t="n">
        <f aca="false">IF(W193="",0,IF(AND(AB192&lt;&gt;0,OR(ABS(W193)&gt;Inputs!$B$7,X193&gt;=Inputs!$B$8,ABS(W193)&lt;Inputs!$B$6)),1,0))</f>
        <v>0</v>
      </c>
      <c r="Z193" s="30" t="n">
        <f aca="false">IF(Y193=1,0,AB192)</f>
        <v>0</v>
      </c>
      <c r="AA193" s="30" t="n">
        <f aca="false">IF(W193="",0,IF(AND(Z193=0,ABS(W193)&gt;Inputs!$B$5,ABS(W193)&lt;=Inputs!$B$7),1,0))</f>
        <v>0</v>
      </c>
      <c r="AB193" s="30" t="n">
        <f aca="false">IF(W193="",0,IF(AA193=1,-SIGN(W193),Z193))</f>
        <v>0</v>
      </c>
      <c r="AC193" s="30" t="n">
        <f aca="false">IF(W193="",0,IF(AA193=1,0,IF(Y193=1,0,X193)))</f>
        <v>0</v>
      </c>
      <c r="AD193" s="30" t="n">
        <f aca="false">IF(AB193=0,0,IF(AB192=AB193,AD192,T193))</f>
        <v>0</v>
      </c>
      <c r="AE193" s="30" t="n">
        <f aca="false">AB193-AB192</f>
        <v>0</v>
      </c>
      <c r="AF193" s="30" t="n">
        <f aca="false">-AD193*AB193</f>
        <v>-0</v>
      </c>
      <c r="AG193" s="30" t="n">
        <f aca="false">AF193-AF192</f>
        <v>0</v>
      </c>
      <c r="AH193" s="30" t="n">
        <f aca="false">MAX(AE193,0)*(Inputs!$B$17+Inputs!$B$18+Inputs!$B$19)+MAX(-AE193,0)*(O193+Inputs!$B$18+Inputs!$B$19)+IF(AND(K193=1,AB193&lt;&gt;0),(Inputs!$B$17+Inputs!$B$18+Inputs!$B$19)+(O193+Inputs!$B$18+Inputs!$B$19),0)+MAX(AG193,0)*(Inputs!$B$20+Inputs!$B$22+Inputs!$B$23)+MAX(-AG193,0)*(Inputs!$B$21+Inputs!$B$22+Inputs!$B$23)</f>
        <v>0</v>
      </c>
      <c r="AI193" s="30" t="n">
        <f aca="false">AB192*(M193-AD192*J193)+AB192*AD192*N193/Inputs!$B$16-AH193</f>
        <v>0</v>
      </c>
      <c r="AJ193" s="30" t="n">
        <f aca="false">MAX(AE193,0)*(Inputs!$B$17+Inputs!$B$24+Inputs!$B$25)+MAX(-AE193,0)*(O193+Inputs!$B$24+Inputs!$B$25)+IF(AND(K193=1,AB193&lt;&gt;0),(Inputs!$B$17+Inputs!$B$24+Inputs!$B$25)+(O193+Inputs!$B$24+Inputs!$B$25),0)+MAX(AG193,0)*(Inputs!$B$20+Inputs!$B$26+Inputs!$B$27)+MAX(-AG193,0)*(Inputs!$B$21+Inputs!$B$26+Inputs!$B$27)</f>
        <v>0</v>
      </c>
      <c r="AK193" s="30" t="n">
        <f aca="false">AB192*(M193-AD192*J193)+AB192*AD192*(N193+Inputs!$B$14)/Inputs!$B$16-AJ193</f>
        <v>0</v>
      </c>
      <c r="AL193" s="30" t="n">
        <f aca="false">IF(AP192&lt;&gt;0,AQ192+1,0)</f>
        <v>0</v>
      </c>
      <c r="AM193" s="30" t="n">
        <f aca="false">IF(W193="",0,IF(AND(AP192&lt;&gt;0,OR(ABS(W193)&gt;Inputs!$B$7,AL193&gt;=Inputs!$B$8,ABS(W193)&lt;Inputs!$B$6)),1,0))</f>
        <v>0</v>
      </c>
      <c r="AN193" s="30" t="n">
        <f aca="false">IF(AM193=1,0,AP192)</f>
        <v>0</v>
      </c>
      <c r="AO193" s="30" t="n">
        <f aca="false">IF(W193="",0,IF(AND(AN193=0,ABS(W193)&gt;Inputs!$B$5,ABS(W193)&lt;=Inputs!$B$7,W193&gt;0),1,0))</f>
        <v>0</v>
      </c>
      <c r="AP193" s="30" t="n">
        <f aca="false">IF(W193="",0,IF(AO193=1,-SIGN(W193),AN193))</f>
        <v>0</v>
      </c>
      <c r="AQ193" s="30" t="n">
        <f aca="false">IF(W193="",0,IF(AO193=1,0,IF(AM193=1,0,AL193)))</f>
        <v>0</v>
      </c>
      <c r="AR193" s="30" t="n">
        <f aca="false">IF(AP193=0,0,IF(AP192=AP193,AR192,T193))</f>
        <v>0</v>
      </c>
      <c r="AS193" s="30" t="n">
        <f aca="false">AP193-AP192</f>
        <v>0</v>
      </c>
      <c r="AT193" s="30" t="n">
        <f aca="false">-AR193*AP193</f>
        <v>-0</v>
      </c>
      <c r="AU193" s="30" t="n">
        <f aca="false">AT193-AT192</f>
        <v>0</v>
      </c>
      <c r="AV193" s="30" t="n">
        <f aca="false">MAX(AS193,0)*(Inputs!$B$17+Inputs!$B$18+Inputs!$B$19)+MAX(-AS193,0)*(O193+Inputs!$B$18+Inputs!$B$19)+IF(AND(K193=1,AP193&lt;&gt;0),(Inputs!$B$17+Inputs!$B$18+Inputs!$B$19)+(O193+Inputs!$B$18+Inputs!$B$19),0)+MAX(AU193,0)*(Inputs!$B$20+Inputs!$B$22+Inputs!$B$23)+MAX(-AU193,0)*(Inputs!$B$21+Inputs!$B$22+Inputs!$B$23)</f>
        <v>0</v>
      </c>
      <c r="AW193" s="30" t="n">
        <f aca="false">AP192*(M193-AR192*J193)+AP192*AR192*N193/Inputs!$B$16-AV193</f>
        <v>0</v>
      </c>
      <c r="AX193" s="30" t="n">
        <f aca="false">AW193-IF(AP192&lt;&gt;0,0.75*AR192*(Inputs!$B$13-N193)/Inputs!$B$16,0)</f>
        <v>0</v>
      </c>
      <c r="AY193" s="30" t="n">
        <f aca="false">MAX(AS193,0)*(Inputs!$B$17+Inputs!$B$18+Inputs!$B$19)+MAX(-AS193,0)*(O193+Inputs!$B$18+Inputs!$B$19)+IF(AND(K193=1,AP193&lt;&gt;0),(Inputs!$B$17+Inputs!$B$18+Inputs!$B$19)+(O193+Inputs!$B$18+Inputs!$B$19),0)</f>
        <v>0</v>
      </c>
      <c r="AZ193" s="30" t="n">
        <f aca="false">AP192*M193-AY193</f>
        <v>-0</v>
      </c>
      <c r="BA193" s="32" t="n">
        <f aca="false">BA192+AI193</f>
        <v>-0.00441407236435048</v>
      </c>
      <c r="BB193" s="30" t="n">
        <f aca="false">MAX(BB192,BA193)</f>
        <v>0</v>
      </c>
      <c r="BC193" s="32" t="n">
        <f aca="false">BA193-BB193</f>
        <v>-0.00441407236435048</v>
      </c>
      <c r="BD193" s="30" t="n">
        <f aca="false">A194-A193</f>
        <v>1</v>
      </c>
    </row>
    <row r="194" customFormat="false" ht="15" hidden="false" customHeight="false" outlineLevel="0" collapsed="false">
      <c r="A194" s="28" t="n">
        <v>45324</v>
      </c>
      <c r="B194" s="0" t="n">
        <v>21959</v>
      </c>
      <c r="C194" s="0" t="n">
        <v>241.6</v>
      </c>
      <c r="D194" s="29" t="n">
        <f aca="false">LN(B194)</f>
        <v>9.99693235724599</v>
      </c>
      <c r="E194" s="29" t="n">
        <f aca="false">LN(C194)</f>
        <v>5.48728346606066</v>
      </c>
      <c r="F194" s="0" t="n">
        <v>189</v>
      </c>
      <c r="G194" s="0" t="n">
        <v>27</v>
      </c>
      <c r="H194" s="29" t="n">
        <f aca="false">D194-E194</f>
        <v>4.50964889118533</v>
      </c>
      <c r="I194" s="29" t="n">
        <f aca="false">D194-D193</f>
        <v>0.00992660509974286</v>
      </c>
      <c r="J194" s="29" t="n">
        <f aca="false">E194-E193</f>
        <v>0.00676955053181949</v>
      </c>
      <c r="K194" s="0" t="n">
        <v>0</v>
      </c>
      <c r="L194" s="0" t="n">
        <v>0</v>
      </c>
      <c r="M194" s="29" t="n">
        <f aca="false">IF(L194=1,J194-Carry!$B$9/Inputs!$B$16,I194)</f>
        <v>0.00992660509974286</v>
      </c>
      <c r="N194" s="0" t="n">
        <v>0.065</v>
      </c>
      <c r="O194" s="0" t="n">
        <v>0.000125</v>
      </c>
      <c r="P194" s="29" t="n">
        <f aca="false">D194-('2 Hedge ratio'!$B$6+'2 Hedge ratio'!$B$5*E194)</f>
        <v>0.00806505706753669</v>
      </c>
      <c r="Q194" s="29" t="n">
        <f aca="false">D194-('5 Re-specification'!$B$7+'5 Re-specification'!$B$5*E194+'5 Re-specification'!$B$6*F194)</f>
        <v>0.00356872401790298</v>
      </c>
      <c r="R194" s="30" t="n">
        <f aca="false">MIN(F194,Inputs!$B$9)</f>
        <v>189</v>
      </c>
      <c r="S194" s="29" t="n">
        <f aca="true">IF(AND(F194&gt;=1,R194&gt;=Inputs!$B$10),INDEX(LINEST(OFFSET(D194,-R194,0,R194,1),OFFSET(E194,-R194,0,R194,2)),1,1),"")</f>
        <v>-7.63795060037223E-005</v>
      </c>
      <c r="T194" s="29" t="n">
        <f aca="true">IF(AND(F194&gt;=1,R194&gt;=Inputs!$B$10),INDEX(LINEST(OFFSET(D194,-R194,0,R194,1),OFFSET(E194,-R194,0,R194,2)),1,2),"")</f>
        <v>1.03016048162563</v>
      </c>
      <c r="U194" s="29" t="n">
        <f aca="true">IF(AND(F194&gt;=1,R194&gt;=Inputs!$B$10),INDEX(LINEST(OFFSET(D194,-R194,0,R194,1),OFFSET(E194,-R194,0,R194,2)),1,3),"")</f>
        <v>4.35543090278863</v>
      </c>
      <c r="V194" s="29" t="n">
        <f aca="true">IF(AND(F194&gt;=1,R194&gt;=Inputs!$B$10),SQRT(SUMPRODUCT((OFFSET(D194,-R194,0,R194,1)-U194-T194*OFFSET(E194,-R194,0,R194,1)-S194*OFFSET(F194,-R194,0,R194,1))^2)/(R194-3)),"")</f>
        <v>0.00265252707807817</v>
      </c>
      <c r="W194" s="31" t="n">
        <f aca="false">IF(AND(F194&gt;=1,R194&gt;=Inputs!$B$10),(D194-U194-T194*E194-S194*F194)/V194,"")</f>
        <v>1.18928206415556</v>
      </c>
      <c r="X194" s="30" t="n">
        <f aca="false">IF(AB193&lt;&gt;0,AC193+1,0)</f>
        <v>0</v>
      </c>
      <c r="Y194" s="30" t="n">
        <f aca="false">IF(W194="",0,IF(AND(AB193&lt;&gt;0,OR(ABS(W194)&gt;Inputs!$B$7,X194&gt;=Inputs!$B$8,ABS(W194)&lt;Inputs!$B$6)),1,0))</f>
        <v>0</v>
      </c>
      <c r="Z194" s="30" t="n">
        <f aca="false">IF(Y194=1,0,AB193)</f>
        <v>0</v>
      </c>
      <c r="AA194" s="30" t="n">
        <f aca="false">IF(W194="",0,IF(AND(Z194=0,ABS(W194)&gt;Inputs!$B$5,ABS(W194)&lt;=Inputs!$B$7),1,0))</f>
        <v>0</v>
      </c>
      <c r="AB194" s="30" t="n">
        <f aca="false">IF(W194="",0,IF(AA194=1,-SIGN(W194),Z194))</f>
        <v>0</v>
      </c>
      <c r="AC194" s="30" t="n">
        <f aca="false">IF(W194="",0,IF(AA194=1,0,IF(Y194=1,0,X194)))</f>
        <v>0</v>
      </c>
      <c r="AD194" s="30" t="n">
        <f aca="false">IF(AB194=0,0,IF(AB193=AB194,AD193,T194))</f>
        <v>0</v>
      </c>
      <c r="AE194" s="30" t="n">
        <f aca="false">AB194-AB193</f>
        <v>0</v>
      </c>
      <c r="AF194" s="30" t="n">
        <f aca="false">-AD194*AB194</f>
        <v>-0</v>
      </c>
      <c r="AG194" s="30" t="n">
        <f aca="false">AF194-AF193</f>
        <v>0</v>
      </c>
      <c r="AH194" s="30" t="n">
        <f aca="false">MAX(AE194,0)*(Inputs!$B$17+Inputs!$B$18+Inputs!$B$19)+MAX(-AE194,0)*(O194+Inputs!$B$18+Inputs!$B$19)+IF(AND(K194=1,AB194&lt;&gt;0),(Inputs!$B$17+Inputs!$B$18+Inputs!$B$19)+(O194+Inputs!$B$18+Inputs!$B$19),0)+MAX(AG194,0)*(Inputs!$B$20+Inputs!$B$22+Inputs!$B$23)+MAX(-AG194,0)*(Inputs!$B$21+Inputs!$B$22+Inputs!$B$23)</f>
        <v>0</v>
      </c>
      <c r="AI194" s="30" t="n">
        <f aca="false">AB193*(M194-AD193*J194)+AB193*AD193*N194/Inputs!$B$16-AH194</f>
        <v>0</v>
      </c>
      <c r="AJ194" s="30" t="n">
        <f aca="false">MAX(AE194,0)*(Inputs!$B$17+Inputs!$B$24+Inputs!$B$25)+MAX(-AE194,0)*(O194+Inputs!$B$24+Inputs!$B$25)+IF(AND(K194=1,AB194&lt;&gt;0),(Inputs!$B$17+Inputs!$B$24+Inputs!$B$25)+(O194+Inputs!$B$24+Inputs!$B$25),0)+MAX(AG194,0)*(Inputs!$B$20+Inputs!$B$26+Inputs!$B$27)+MAX(-AG194,0)*(Inputs!$B$21+Inputs!$B$26+Inputs!$B$27)</f>
        <v>0</v>
      </c>
      <c r="AK194" s="30" t="n">
        <f aca="false">AB193*(M194-AD193*J194)+AB193*AD193*(N194+Inputs!$B$14)/Inputs!$B$16-AJ194</f>
        <v>0</v>
      </c>
      <c r="AL194" s="30" t="n">
        <f aca="false">IF(AP193&lt;&gt;0,AQ193+1,0)</f>
        <v>0</v>
      </c>
      <c r="AM194" s="30" t="n">
        <f aca="false">IF(W194="",0,IF(AND(AP193&lt;&gt;0,OR(ABS(W194)&gt;Inputs!$B$7,AL194&gt;=Inputs!$B$8,ABS(W194)&lt;Inputs!$B$6)),1,0))</f>
        <v>0</v>
      </c>
      <c r="AN194" s="30" t="n">
        <f aca="false">IF(AM194=1,0,AP193)</f>
        <v>0</v>
      </c>
      <c r="AO194" s="30" t="n">
        <f aca="false">IF(W194="",0,IF(AND(AN194=0,ABS(W194)&gt;Inputs!$B$5,ABS(W194)&lt;=Inputs!$B$7,W194&gt;0),1,0))</f>
        <v>0</v>
      </c>
      <c r="AP194" s="30" t="n">
        <f aca="false">IF(W194="",0,IF(AO194=1,-SIGN(W194),AN194))</f>
        <v>0</v>
      </c>
      <c r="AQ194" s="30" t="n">
        <f aca="false">IF(W194="",0,IF(AO194=1,0,IF(AM194=1,0,AL194)))</f>
        <v>0</v>
      </c>
      <c r="AR194" s="30" t="n">
        <f aca="false">IF(AP194=0,0,IF(AP193=AP194,AR193,T194))</f>
        <v>0</v>
      </c>
      <c r="AS194" s="30" t="n">
        <f aca="false">AP194-AP193</f>
        <v>0</v>
      </c>
      <c r="AT194" s="30" t="n">
        <f aca="false">-AR194*AP194</f>
        <v>-0</v>
      </c>
      <c r="AU194" s="30" t="n">
        <f aca="false">AT194-AT193</f>
        <v>0</v>
      </c>
      <c r="AV194" s="30" t="n">
        <f aca="false">MAX(AS194,0)*(Inputs!$B$17+Inputs!$B$18+Inputs!$B$19)+MAX(-AS194,0)*(O194+Inputs!$B$18+Inputs!$B$19)+IF(AND(K194=1,AP194&lt;&gt;0),(Inputs!$B$17+Inputs!$B$18+Inputs!$B$19)+(O194+Inputs!$B$18+Inputs!$B$19),0)+MAX(AU194,0)*(Inputs!$B$20+Inputs!$B$22+Inputs!$B$23)+MAX(-AU194,0)*(Inputs!$B$21+Inputs!$B$22+Inputs!$B$23)</f>
        <v>0</v>
      </c>
      <c r="AW194" s="30" t="n">
        <f aca="false">AP193*(M194-AR193*J194)+AP193*AR193*N194/Inputs!$B$16-AV194</f>
        <v>0</v>
      </c>
      <c r="AX194" s="30" t="n">
        <f aca="false">AW194-IF(AP193&lt;&gt;0,0.75*AR193*(Inputs!$B$13-N194)/Inputs!$B$16,0)</f>
        <v>0</v>
      </c>
      <c r="AY194" s="30" t="n">
        <f aca="false">MAX(AS194,0)*(Inputs!$B$17+Inputs!$B$18+Inputs!$B$19)+MAX(-AS194,0)*(O194+Inputs!$B$18+Inputs!$B$19)+IF(AND(K194=1,AP194&lt;&gt;0),(Inputs!$B$17+Inputs!$B$18+Inputs!$B$19)+(O194+Inputs!$B$18+Inputs!$B$19),0)</f>
        <v>0</v>
      </c>
      <c r="AZ194" s="30" t="n">
        <f aca="false">AP193*M194-AY194</f>
        <v>0</v>
      </c>
      <c r="BA194" s="32" t="n">
        <f aca="false">BA193+AI194</f>
        <v>-0.00441407236435048</v>
      </c>
      <c r="BB194" s="30" t="n">
        <f aca="false">MAX(BB193,BA194)</f>
        <v>0</v>
      </c>
      <c r="BC194" s="32" t="n">
        <f aca="false">BA194-BB194</f>
        <v>-0.00441407236435048</v>
      </c>
      <c r="BD194" s="30" t="n">
        <f aca="false">A195-A194</f>
        <v>3</v>
      </c>
    </row>
    <row r="195" customFormat="false" ht="15" hidden="false" customHeight="false" outlineLevel="0" collapsed="false">
      <c r="A195" s="28" t="n">
        <v>45327</v>
      </c>
      <c r="B195" s="0" t="n">
        <v>21789</v>
      </c>
      <c r="C195" s="0" t="n">
        <v>240.15</v>
      </c>
      <c r="D195" s="29" t="n">
        <f aca="false">LN(B195)</f>
        <v>9.98916053427428</v>
      </c>
      <c r="E195" s="29" t="n">
        <f aca="false">LN(C195)</f>
        <v>5.48126372811083</v>
      </c>
      <c r="F195" s="0" t="n">
        <v>190</v>
      </c>
      <c r="G195" s="0" t="n">
        <v>24</v>
      </c>
      <c r="H195" s="29" t="n">
        <f aca="false">D195-E195</f>
        <v>4.50789680616345</v>
      </c>
      <c r="I195" s="29" t="n">
        <f aca="false">D195-D194</f>
        <v>-0.00777182297171386</v>
      </c>
      <c r="J195" s="29" t="n">
        <f aca="false">E195-E194</f>
        <v>-0.0060197379498268</v>
      </c>
      <c r="K195" s="0" t="n">
        <v>0</v>
      </c>
      <c r="L195" s="0" t="n">
        <v>0</v>
      </c>
      <c r="M195" s="29" t="n">
        <f aca="false">IF(L195=1,J195-Carry!$B$9/Inputs!$B$16,I195)</f>
        <v>-0.00777182297171386</v>
      </c>
      <c r="N195" s="0" t="n">
        <v>0.065</v>
      </c>
      <c r="O195" s="0" t="n">
        <v>0.000125</v>
      </c>
      <c r="P195" s="29" t="n">
        <f aca="false">D195-('2 Hedge ratio'!$B$6+'2 Hedge ratio'!$B$5*E195)</f>
        <v>0.00580807711531328</v>
      </c>
      <c r="Q195" s="29" t="n">
        <f aca="false">D195-('5 Re-specification'!$B$7+'5 Re-specification'!$B$5*E195+'5 Re-specification'!$B$6*F195)</f>
        <v>0.00184332549813071</v>
      </c>
      <c r="R195" s="30" t="n">
        <f aca="false">MIN(F195,Inputs!$B$9)</f>
        <v>190</v>
      </c>
      <c r="S195" s="29" t="n">
        <f aca="true">IF(AND(F195&gt;=1,R195&gt;=Inputs!$B$10),INDEX(LINEST(OFFSET(D195,-R195,0,R195,1),OFFSET(E195,-R195,0,R195,2)),1,1),"")</f>
        <v>-7.63986417712283E-005</v>
      </c>
      <c r="T195" s="29" t="n">
        <f aca="true">IF(AND(F195&gt;=1,R195&gt;=Inputs!$B$10),INDEX(LINEST(OFFSET(D195,-R195,0,R195,1),OFFSET(E195,-R195,0,R195,2)),1,2),"")</f>
        <v>1.03076274329956</v>
      </c>
      <c r="U195" s="29" t="n">
        <f aca="true">IF(AND(F195&gt;=1,R195&gt;=Inputs!$B$10),INDEX(LINEST(OFFSET(D195,-R195,0,R195,1),OFFSET(E195,-R195,0,R195,2)),1,3),"")</f>
        <v>4.352207772642</v>
      </c>
      <c r="V195" s="29" t="n">
        <f aca="true">IF(AND(F195&gt;=1,R195&gt;=Inputs!$B$10),SQRT(SUMPRODUCT((OFFSET(D195,-R195,0,R195,1)-U195-T195*OFFSET(E195,-R195,0,R195,1)-S195*OFFSET(F195,-R195,0,R195,1))^2)/(R195-3)),"")</f>
        <v>0.00265521657406065</v>
      </c>
      <c r="W195" s="31" t="n">
        <f aca="false">IF(AND(F195&gt;=1,R195&gt;=Inputs!$B$10),(D195-U195-T195*E195-S195*F195)/V195,"")</f>
        <v>0.597339760680954</v>
      </c>
      <c r="X195" s="30" t="n">
        <f aca="false">IF(AB194&lt;&gt;0,AC194+1,0)</f>
        <v>0</v>
      </c>
      <c r="Y195" s="30" t="n">
        <f aca="false">IF(W195="",0,IF(AND(AB194&lt;&gt;0,OR(ABS(W195)&gt;Inputs!$B$7,X195&gt;=Inputs!$B$8,ABS(W195)&lt;Inputs!$B$6)),1,0))</f>
        <v>0</v>
      </c>
      <c r="Z195" s="30" t="n">
        <f aca="false">IF(Y195=1,0,AB194)</f>
        <v>0</v>
      </c>
      <c r="AA195" s="30" t="n">
        <f aca="false">IF(W195="",0,IF(AND(Z195=0,ABS(W195)&gt;Inputs!$B$5,ABS(W195)&lt;=Inputs!$B$7),1,0))</f>
        <v>0</v>
      </c>
      <c r="AB195" s="30" t="n">
        <f aca="false">IF(W195="",0,IF(AA195=1,-SIGN(W195),Z195))</f>
        <v>0</v>
      </c>
      <c r="AC195" s="30" t="n">
        <f aca="false">IF(W195="",0,IF(AA195=1,0,IF(Y195=1,0,X195)))</f>
        <v>0</v>
      </c>
      <c r="AD195" s="30" t="n">
        <f aca="false">IF(AB195=0,0,IF(AB194=AB195,AD194,T195))</f>
        <v>0</v>
      </c>
      <c r="AE195" s="30" t="n">
        <f aca="false">AB195-AB194</f>
        <v>0</v>
      </c>
      <c r="AF195" s="30" t="n">
        <f aca="false">-AD195*AB195</f>
        <v>-0</v>
      </c>
      <c r="AG195" s="30" t="n">
        <f aca="false">AF195-AF194</f>
        <v>0</v>
      </c>
      <c r="AH195" s="30" t="n">
        <f aca="false">MAX(AE195,0)*(Inputs!$B$17+Inputs!$B$18+Inputs!$B$19)+MAX(-AE195,0)*(O195+Inputs!$B$18+Inputs!$B$19)+IF(AND(K195=1,AB195&lt;&gt;0),(Inputs!$B$17+Inputs!$B$18+Inputs!$B$19)+(O195+Inputs!$B$18+Inputs!$B$19),0)+MAX(AG195,0)*(Inputs!$B$20+Inputs!$B$22+Inputs!$B$23)+MAX(-AG195,0)*(Inputs!$B$21+Inputs!$B$22+Inputs!$B$23)</f>
        <v>0</v>
      </c>
      <c r="AI195" s="30" t="n">
        <f aca="false">AB194*(M195-AD194*J195)+AB194*AD194*N195/Inputs!$B$16-AH195</f>
        <v>0</v>
      </c>
      <c r="AJ195" s="30" t="n">
        <f aca="false">MAX(AE195,0)*(Inputs!$B$17+Inputs!$B$24+Inputs!$B$25)+MAX(-AE195,0)*(O195+Inputs!$B$24+Inputs!$B$25)+IF(AND(K195=1,AB195&lt;&gt;0),(Inputs!$B$17+Inputs!$B$24+Inputs!$B$25)+(O195+Inputs!$B$24+Inputs!$B$25),0)+MAX(AG195,0)*(Inputs!$B$20+Inputs!$B$26+Inputs!$B$27)+MAX(-AG195,0)*(Inputs!$B$21+Inputs!$B$26+Inputs!$B$27)</f>
        <v>0</v>
      </c>
      <c r="AK195" s="30" t="n">
        <f aca="false">AB194*(M195-AD194*J195)+AB194*AD194*(N195+Inputs!$B$14)/Inputs!$B$16-AJ195</f>
        <v>0</v>
      </c>
      <c r="AL195" s="30" t="n">
        <f aca="false">IF(AP194&lt;&gt;0,AQ194+1,0)</f>
        <v>0</v>
      </c>
      <c r="AM195" s="30" t="n">
        <f aca="false">IF(W195="",0,IF(AND(AP194&lt;&gt;0,OR(ABS(W195)&gt;Inputs!$B$7,AL195&gt;=Inputs!$B$8,ABS(W195)&lt;Inputs!$B$6)),1,0))</f>
        <v>0</v>
      </c>
      <c r="AN195" s="30" t="n">
        <f aca="false">IF(AM195=1,0,AP194)</f>
        <v>0</v>
      </c>
      <c r="AO195" s="30" t="n">
        <f aca="false">IF(W195="",0,IF(AND(AN195=0,ABS(W195)&gt;Inputs!$B$5,ABS(W195)&lt;=Inputs!$B$7,W195&gt;0),1,0))</f>
        <v>0</v>
      </c>
      <c r="AP195" s="30" t="n">
        <f aca="false">IF(W195="",0,IF(AO195=1,-SIGN(W195),AN195))</f>
        <v>0</v>
      </c>
      <c r="AQ195" s="30" t="n">
        <f aca="false">IF(W195="",0,IF(AO195=1,0,IF(AM195=1,0,AL195)))</f>
        <v>0</v>
      </c>
      <c r="AR195" s="30" t="n">
        <f aca="false">IF(AP195=0,0,IF(AP194=AP195,AR194,T195))</f>
        <v>0</v>
      </c>
      <c r="AS195" s="30" t="n">
        <f aca="false">AP195-AP194</f>
        <v>0</v>
      </c>
      <c r="AT195" s="30" t="n">
        <f aca="false">-AR195*AP195</f>
        <v>-0</v>
      </c>
      <c r="AU195" s="30" t="n">
        <f aca="false">AT195-AT194</f>
        <v>0</v>
      </c>
      <c r="AV195" s="30" t="n">
        <f aca="false">MAX(AS195,0)*(Inputs!$B$17+Inputs!$B$18+Inputs!$B$19)+MAX(-AS195,0)*(O195+Inputs!$B$18+Inputs!$B$19)+IF(AND(K195=1,AP195&lt;&gt;0),(Inputs!$B$17+Inputs!$B$18+Inputs!$B$19)+(O195+Inputs!$B$18+Inputs!$B$19),0)+MAX(AU195,0)*(Inputs!$B$20+Inputs!$B$22+Inputs!$B$23)+MAX(-AU195,0)*(Inputs!$B$21+Inputs!$B$22+Inputs!$B$23)</f>
        <v>0</v>
      </c>
      <c r="AW195" s="30" t="n">
        <f aca="false">AP194*(M195-AR194*J195)+AP194*AR194*N195/Inputs!$B$16-AV195</f>
        <v>0</v>
      </c>
      <c r="AX195" s="30" t="n">
        <f aca="false">AW195-IF(AP194&lt;&gt;0,0.75*AR194*(Inputs!$B$13-N195)/Inputs!$B$16,0)</f>
        <v>0</v>
      </c>
      <c r="AY195" s="30" t="n">
        <f aca="false">MAX(AS195,0)*(Inputs!$B$17+Inputs!$B$18+Inputs!$B$19)+MAX(-AS195,0)*(O195+Inputs!$B$18+Inputs!$B$19)+IF(AND(K195=1,AP195&lt;&gt;0),(Inputs!$B$17+Inputs!$B$18+Inputs!$B$19)+(O195+Inputs!$B$18+Inputs!$B$19),0)</f>
        <v>0</v>
      </c>
      <c r="AZ195" s="30" t="n">
        <f aca="false">AP194*M195-AY195</f>
        <v>-0</v>
      </c>
      <c r="BA195" s="32" t="n">
        <f aca="false">BA194+AI195</f>
        <v>-0.00441407236435048</v>
      </c>
      <c r="BB195" s="30" t="n">
        <f aca="false">MAX(BB194,BA195)</f>
        <v>0</v>
      </c>
      <c r="BC195" s="32" t="n">
        <f aca="false">BA195-BB195</f>
        <v>-0.00441407236435048</v>
      </c>
      <c r="BD195" s="30" t="n">
        <f aca="false">A196-A195</f>
        <v>1</v>
      </c>
    </row>
    <row r="196" customFormat="false" ht="15" hidden="false" customHeight="false" outlineLevel="0" collapsed="false">
      <c r="A196" s="28" t="n">
        <v>45328</v>
      </c>
      <c r="B196" s="0" t="n">
        <v>22000.4</v>
      </c>
      <c r="C196" s="0" t="n">
        <v>242.11</v>
      </c>
      <c r="D196" s="29" t="n">
        <f aca="false">LN(B196)</f>
        <v>9.99881591399335</v>
      </c>
      <c r="E196" s="29" t="n">
        <f aca="false">LN(C196)</f>
        <v>5.48939216833674</v>
      </c>
      <c r="F196" s="0" t="n">
        <v>191</v>
      </c>
      <c r="G196" s="0" t="n">
        <v>23</v>
      </c>
      <c r="H196" s="29" t="n">
        <f aca="false">D196-E196</f>
        <v>4.50942374565661</v>
      </c>
      <c r="I196" s="29" t="n">
        <f aca="false">D196-D195</f>
        <v>0.00965537971906905</v>
      </c>
      <c r="J196" s="29" t="n">
        <f aca="false">E196-E195</f>
        <v>0.00812844022590742</v>
      </c>
      <c r="K196" s="0" t="n">
        <v>0</v>
      </c>
      <c r="L196" s="0" t="n">
        <v>0</v>
      </c>
      <c r="M196" s="29" t="n">
        <f aca="false">IF(L196=1,J196-Carry!$B$9/Inputs!$B$16,I196)</f>
        <v>0.00965537971906905</v>
      </c>
      <c r="N196" s="0" t="n">
        <v>0.065</v>
      </c>
      <c r="O196" s="0" t="n">
        <v>0.000125</v>
      </c>
      <c r="P196" s="29" t="n">
        <f aca="false">D196-('2 Hedge ratio'!$B$6+'2 Hedge ratio'!$B$5*E196)</f>
        <v>0.00801677523249111</v>
      </c>
      <c r="Q196" s="29" t="n">
        <f aca="false">D196-('5 Re-specification'!$B$7+'5 Re-specification'!$B$5*E196+'5 Re-specification'!$B$6*F196)</f>
        <v>0.00343982754766436</v>
      </c>
      <c r="R196" s="30" t="n">
        <f aca="false">MIN(F196,Inputs!$B$9)</f>
        <v>191</v>
      </c>
      <c r="S196" s="29" t="n">
        <f aca="true">IF(AND(F196&gt;=1,R196&gt;=Inputs!$B$10),INDEX(LINEST(OFFSET(D196,-R196,0,R196,1),OFFSET(E196,-R196,0,R196,2)),1,1),"")</f>
        <v>-7.63141475973788E-005</v>
      </c>
      <c r="T196" s="29" t="n">
        <f aca="true">IF(AND(F196&gt;=1,R196&gt;=Inputs!$B$10),INDEX(LINEST(OFFSET(D196,-R196,0,R196,1),OFFSET(E196,-R196,0,R196,2)),1,2),"")</f>
        <v>1.03095720508142</v>
      </c>
      <c r="U196" s="29" t="n">
        <f aca="true">IF(AND(F196&gt;=1,R196&gt;=Inputs!$B$10),INDEX(LINEST(OFFSET(D196,-R196,0,R196,1),OFFSET(E196,-R196,0,R196,2)),1,3),"")</f>
        <v>4.35116130095041</v>
      </c>
      <c r="V196" s="29" t="n">
        <f aca="true">IF(AND(F196&gt;=1,R196&gt;=Inputs!$B$10),SQRT(SUMPRODUCT((OFFSET(D196,-R196,0,R196,1)-U196-T196*OFFSET(E196,-R196,0,R196,1)-S196*OFFSET(F196,-R196,0,R196,1))^2)/(R196-3)),"")</f>
        <v>0.00265061421100301</v>
      </c>
      <c r="W196" s="31" t="n">
        <f aca="false">IF(AND(F196&gt;=1,R196&gt;=Inputs!$B$10),(D196-U196-T196*E196-S196*F196)/V196,"")</f>
        <v>1.09491896545625</v>
      </c>
      <c r="X196" s="30" t="n">
        <f aca="false">IF(AB195&lt;&gt;0,AC195+1,0)</f>
        <v>0</v>
      </c>
      <c r="Y196" s="30" t="n">
        <f aca="false">IF(W196="",0,IF(AND(AB195&lt;&gt;0,OR(ABS(W196)&gt;Inputs!$B$7,X196&gt;=Inputs!$B$8,ABS(W196)&lt;Inputs!$B$6)),1,0))</f>
        <v>0</v>
      </c>
      <c r="Z196" s="30" t="n">
        <f aca="false">IF(Y196=1,0,AB195)</f>
        <v>0</v>
      </c>
      <c r="AA196" s="30" t="n">
        <f aca="false">IF(W196="",0,IF(AND(Z196=0,ABS(W196)&gt;Inputs!$B$5,ABS(W196)&lt;=Inputs!$B$7),1,0))</f>
        <v>0</v>
      </c>
      <c r="AB196" s="30" t="n">
        <f aca="false">IF(W196="",0,IF(AA196=1,-SIGN(W196),Z196))</f>
        <v>0</v>
      </c>
      <c r="AC196" s="30" t="n">
        <f aca="false">IF(W196="",0,IF(AA196=1,0,IF(Y196=1,0,X196)))</f>
        <v>0</v>
      </c>
      <c r="AD196" s="30" t="n">
        <f aca="false">IF(AB196=0,0,IF(AB195=AB196,AD195,T196))</f>
        <v>0</v>
      </c>
      <c r="AE196" s="30" t="n">
        <f aca="false">AB196-AB195</f>
        <v>0</v>
      </c>
      <c r="AF196" s="30" t="n">
        <f aca="false">-AD196*AB196</f>
        <v>-0</v>
      </c>
      <c r="AG196" s="30" t="n">
        <f aca="false">AF196-AF195</f>
        <v>0</v>
      </c>
      <c r="AH196" s="30" t="n">
        <f aca="false">MAX(AE196,0)*(Inputs!$B$17+Inputs!$B$18+Inputs!$B$19)+MAX(-AE196,0)*(O196+Inputs!$B$18+Inputs!$B$19)+IF(AND(K196=1,AB196&lt;&gt;0),(Inputs!$B$17+Inputs!$B$18+Inputs!$B$19)+(O196+Inputs!$B$18+Inputs!$B$19),0)+MAX(AG196,0)*(Inputs!$B$20+Inputs!$B$22+Inputs!$B$23)+MAX(-AG196,0)*(Inputs!$B$21+Inputs!$B$22+Inputs!$B$23)</f>
        <v>0</v>
      </c>
      <c r="AI196" s="30" t="n">
        <f aca="false">AB195*(M196-AD195*J196)+AB195*AD195*N196/Inputs!$B$16-AH196</f>
        <v>0</v>
      </c>
      <c r="AJ196" s="30" t="n">
        <f aca="false">MAX(AE196,0)*(Inputs!$B$17+Inputs!$B$24+Inputs!$B$25)+MAX(-AE196,0)*(O196+Inputs!$B$24+Inputs!$B$25)+IF(AND(K196=1,AB196&lt;&gt;0),(Inputs!$B$17+Inputs!$B$24+Inputs!$B$25)+(O196+Inputs!$B$24+Inputs!$B$25),0)+MAX(AG196,0)*(Inputs!$B$20+Inputs!$B$26+Inputs!$B$27)+MAX(-AG196,0)*(Inputs!$B$21+Inputs!$B$26+Inputs!$B$27)</f>
        <v>0</v>
      </c>
      <c r="AK196" s="30" t="n">
        <f aca="false">AB195*(M196-AD195*J196)+AB195*AD195*(N196+Inputs!$B$14)/Inputs!$B$16-AJ196</f>
        <v>0</v>
      </c>
      <c r="AL196" s="30" t="n">
        <f aca="false">IF(AP195&lt;&gt;0,AQ195+1,0)</f>
        <v>0</v>
      </c>
      <c r="AM196" s="30" t="n">
        <f aca="false">IF(W196="",0,IF(AND(AP195&lt;&gt;0,OR(ABS(W196)&gt;Inputs!$B$7,AL196&gt;=Inputs!$B$8,ABS(W196)&lt;Inputs!$B$6)),1,0))</f>
        <v>0</v>
      </c>
      <c r="AN196" s="30" t="n">
        <f aca="false">IF(AM196=1,0,AP195)</f>
        <v>0</v>
      </c>
      <c r="AO196" s="30" t="n">
        <f aca="false">IF(W196="",0,IF(AND(AN196=0,ABS(W196)&gt;Inputs!$B$5,ABS(W196)&lt;=Inputs!$B$7,W196&gt;0),1,0))</f>
        <v>0</v>
      </c>
      <c r="AP196" s="30" t="n">
        <f aca="false">IF(W196="",0,IF(AO196=1,-SIGN(W196),AN196))</f>
        <v>0</v>
      </c>
      <c r="AQ196" s="30" t="n">
        <f aca="false">IF(W196="",0,IF(AO196=1,0,IF(AM196=1,0,AL196)))</f>
        <v>0</v>
      </c>
      <c r="AR196" s="30" t="n">
        <f aca="false">IF(AP196=0,0,IF(AP195=AP196,AR195,T196))</f>
        <v>0</v>
      </c>
      <c r="AS196" s="30" t="n">
        <f aca="false">AP196-AP195</f>
        <v>0</v>
      </c>
      <c r="AT196" s="30" t="n">
        <f aca="false">-AR196*AP196</f>
        <v>-0</v>
      </c>
      <c r="AU196" s="30" t="n">
        <f aca="false">AT196-AT195</f>
        <v>0</v>
      </c>
      <c r="AV196" s="30" t="n">
        <f aca="false">MAX(AS196,0)*(Inputs!$B$17+Inputs!$B$18+Inputs!$B$19)+MAX(-AS196,0)*(O196+Inputs!$B$18+Inputs!$B$19)+IF(AND(K196=1,AP196&lt;&gt;0),(Inputs!$B$17+Inputs!$B$18+Inputs!$B$19)+(O196+Inputs!$B$18+Inputs!$B$19),0)+MAX(AU196,0)*(Inputs!$B$20+Inputs!$B$22+Inputs!$B$23)+MAX(-AU196,0)*(Inputs!$B$21+Inputs!$B$22+Inputs!$B$23)</f>
        <v>0</v>
      </c>
      <c r="AW196" s="30" t="n">
        <f aca="false">AP195*(M196-AR195*J196)+AP195*AR195*N196/Inputs!$B$16-AV196</f>
        <v>0</v>
      </c>
      <c r="AX196" s="30" t="n">
        <f aca="false">AW196-IF(AP195&lt;&gt;0,0.75*AR195*(Inputs!$B$13-N196)/Inputs!$B$16,0)</f>
        <v>0</v>
      </c>
      <c r="AY196" s="30" t="n">
        <f aca="false">MAX(AS196,0)*(Inputs!$B$17+Inputs!$B$18+Inputs!$B$19)+MAX(-AS196,0)*(O196+Inputs!$B$18+Inputs!$B$19)+IF(AND(K196=1,AP196&lt;&gt;0),(Inputs!$B$17+Inputs!$B$18+Inputs!$B$19)+(O196+Inputs!$B$18+Inputs!$B$19),0)</f>
        <v>0</v>
      </c>
      <c r="AZ196" s="30" t="n">
        <f aca="false">AP195*M196-AY196</f>
        <v>0</v>
      </c>
      <c r="BA196" s="32" t="n">
        <f aca="false">BA195+AI196</f>
        <v>-0.00441407236435048</v>
      </c>
      <c r="BB196" s="30" t="n">
        <f aca="false">MAX(BB195,BA196)</f>
        <v>0</v>
      </c>
      <c r="BC196" s="32" t="n">
        <f aca="false">BA196-BB196</f>
        <v>-0.00441407236435048</v>
      </c>
      <c r="BD196" s="30" t="n">
        <f aca="false">A197-A196</f>
        <v>1</v>
      </c>
    </row>
    <row r="197" customFormat="false" ht="15" hidden="false" customHeight="false" outlineLevel="0" collapsed="false">
      <c r="A197" s="28" t="n">
        <v>45329</v>
      </c>
      <c r="B197" s="0" t="n">
        <v>22019.3</v>
      </c>
      <c r="C197" s="0" t="n">
        <v>242.7</v>
      </c>
      <c r="D197" s="29" t="n">
        <f aca="false">LN(B197)</f>
        <v>9.99967462048891</v>
      </c>
      <c r="E197" s="29" t="n">
        <f aca="false">LN(C197)</f>
        <v>5.49182611273256</v>
      </c>
      <c r="F197" s="0" t="n">
        <v>192</v>
      </c>
      <c r="G197" s="0" t="n">
        <v>22</v>
      </c>
      <c r="H197" s="29" t="n">
        <f aca="false">D197-E197</f>
        <v>4.50784850775636</v>
      </c>
      <c r="I197" s="29" t="n">
        <f aca="false">D197-D196</f>
        <v>0.000858706495563411</v>
      </c>
      <c r="J197" s="29" t="n">
        <f aca="false">E197-E196</f>
        <v>0.00243394439581479</v>
      </c>
      <c r="K197" s="0" t="n">
        <v>0</v>
      </c>
      <c r="L197" s="0" t="n">
        <v>0</v>
      </c>
      <c r="M197" s="29" t="n">
        <f aca="false">IF(L197=1,J197-Carry!$B$9/Inputs!$B$16,I197)</f>
        <v>0.000858706495563411</v>
      </c>
      <c r="N197" s="0" t="n">
        <v>0.065</v>
      </c>
      <c r="O197" s="0" t="n">
        <v>0.000125</v>
      </c>
      <c r="P197" s="29" t="n">
        <f aca="false">D197-('2 Hedge ratio'!$B$6+'2 Hedge ratio'!$B$5*E197)</f>
        <v>0.00664568013652911</v>
      </c>
      <c r="Q197" s="29" t="n">
        <f aca="false">D197-('5 Re-specification'!$B$7+'5 Re-specification'!$B$5*E197+'5 Re-specification'!$B$6*F197)</f>
        <v>0.00191689503405179</v>
      </c>
      <c r="R197" s="30" t="n">
        <f aca="false">MIN(F197,Inputs!$B$9)</f>
        <v>192</v>
      </c>
      <c r="S197" s="29" t="n">
        <f aca="true">IF(AND(F197&gt;=1,R197&gt;=Inputs!$B$10),INDEX(LINEST(OFFSET(D197,-R197,0,R197,1),OFFSET(E197,-R197,0,R197,2)),1,1),"")</f>
        <v>-7.63325666470317E-005</v>
      </c>
      <c r="T197" s="29" t="n">
        <f aca="true">IF(AND(F197&gt;=1,R197&gt;=Inputs!$B$10),INDEX(LINEST(OFFSET(D197,-R197,0,R197,1),OFFSET(E197,-R197,0,R197,2)),1,2),"")</f>
        <v>1.03149786515181</v>
      </c>
      <c r="U197" s="29" t="n">
        <f aca="true">IF(AND(F197&gt;=1,R197&gt;=Inputs!$B$10),INDEX(LINEST(OFFSET(D197,-R197,0,R197,1),OFFSET(E197,-R197,0,R197,2)),1,3),"")</f>
        <v>4.34826761078761</v>
      </c>
      <c r="V197" s="29" t="n">
        <f aca="true">IF(AND(F197&gt;=1,R197&gt;=Inputs!$B$10),SQRT(SUMPRODUCT((OFFSET(D197,-R197,0,R197,1)-U197-T197*OFFSET(E197,-R197,0,R197,1)-S197*OFFSET(F197,-R197,0,R197,1))^2)/(R197-3)),"")</f>
        <v>0.00265180355165973</v>
      </c>
      <c r="W197" s="31" t="n">
        <f aca="false">IF(AND(F197&gt;=1,R197&gt;=Inputs!$B$10),(D197-U197-T197*E197-S197*F197)/V197,"")</f>
        <v>0.473621595436957</v>
      </c>
      <c r="X197" s="30" t="n">
        <f aca="false">IF(AB196&lt;&gt;0,AC196+1,0)</f>
        <v>0</v>
      </c>
      <c r="Y197" s="30" t="n">
        <f aca="false">IF(W197="",0,IF(AND(AB196&lt;&gt;0,OR(ABS(W197)&gt;Inputs!$B$7,X197&gt;=Inputs!$B$8,ABS(W197)&lt;Inputs!$B$6)),1,0))</f>
        <v>0</v>
      </c>
      <c r="Z197" s="30" t="n">
        <f aca="false">IF(Y197=1,0,AB196)</f>
        <v>0</v>
      </c>
      <c r="AA197" s="30" t="n">
        <f aca="false">IF(W197="",0,IF(AND(Z197=0,ABS(W197)&gt;Inputs!$B$5,ABS(W197)&lt;=Inputs!$B$7),1,0))</f>
        <v>0</v>
      </c>
      <c r="AB197" s="30" t="n">
        <f aca="false">IF(W197="",0,IF(AA197=1,-SIGN(W197),Z197))</f>
        <v>0</v>
      </c>
      <c r="AC197" s="30" t="n">
        <f aca="false">IF(W197="",0,IF(AA197=1,0,IF(Y197=1,0,X197)))</f>
        <v>0</v>
      </c>
      <c r="AD197" s="30" t="n">
        <f aca="false">IF(AB197=0,0,IF(AB196=AB197,AD196,T197))</f>
        <v>0</v>
      </c>
      <c r="AE197" s="30" t="n">
        <f aca="false">AB197-AB196</f>
        <v>0</v>
      </c>
      <c r="AF197" s="30" t="n">
        <f aca="false">-AD197*AB197</f>
        <v>-0</v>
      </c>
      <c r="AG197" s="30" t="n">
        <f aca="false">AF197-AF196</f>
        <v>0</v>
      </c>
      <c r="AH197" s="30" t="n">
        <f aca="false">MAX(AE197,0)*(Inputs!$B$17+Inputs!$B$18+Inputs!$B$19)+MAX(-AE197,0)*(O197+Inputs!$B$18+Inputs!$B$19)+IF(AND(K197=1,AB197&lt;&gt;0),(Inputs!$B$17+Inputs!$B$18+Inputs!$B$19)+(O197+Inputs!$B$18+Inputs!$B$19),0)+MAX(AG197,0)*(Inputs!$B$20+Inputs!$B$22+Inputs!$B$23)+MAX(-AG197,0)*(Inputs!$B$21+Inputs!$B$22+Inputs!$B$23)</f>
        <v>0</v>
      </c>
      <c r="AI197" s="30" t="n">
        <f aca="false">AB196*(M197-AD196*J197)+AB196*AD196*N197/Inputs!$B$16-AH197</f>
        <v>0</v>
      </c>
      <c r="AJ197" s="30" t="n">
        <f aca="false">MAX(AE197,0)*(Inputs!$B$17+Inputs!$B$24+Inputs!$B$25)+MAX(-AE197,0)*(O197+Inputs!$B$24+Inputs!$B$25)+IF(AND(K197=1,AB197&lt;&gt;0),(Inputs!$B$17+Inputs!$B$24+Inputs!$B$25)+(O197+Inputs!$B$24+Inputs!$B$25),0)+MAX(AG197,0)*(Inputs!$B$20+Inputs!$B$26+Inputs!$B$27)+MAX(-AG197,0)*(Inputs!$B$21+Inputs!$B$26+Inputs!$B$27)</f>
        <v>0</v>
      </c>
      <c r="AK197" s="30" t="n">
        <f aca="false">AB196*(M197-AD196*J197)+AB196*AD196*(N197+Inputs!$B$14)/Inputs!$B$16-AJ197</f>
        <v>0</v>
      </c>
      <c r="AL197" s="30" t="n">
        <f aca="false">IF(AP196&lt;&gt;0,AQ196+1,0)</f>
        <v>0</v>
      </c>
      <c r="AM197" s="30" t="n">
        <f aca="false">IF(W197="",0,IF(AND(AP196&lt;&gt;0,OR(ABS(W197)&gt;Inputs!$B$7,AL197&gt;=Inputs!$B$8,ABS(W197)&lt;Inputs!$B$6)),1,0))</f>
        <v>0</v>
      </c>
      <c r="AN197" s="30" t="n">
        <f aca="false">IF(AM197=1,0,AP196)</f>
        <v>0</v>
      </c>
      <c r="AO197" s="30" t="n">
        <f aca="false">IF(W197="",0,IF(AND(AN197=0,ABS(W197)&gt;Inputs!$B$5,ABS(W197)&lt;=Inputs!$B$7,W197&gt;0),1,0))</f>
        <v>0</v>
      </c>
      <c r="AP197" s="30" t="n">
        <f aca="false">IF(W197="",0,IF(AO197=1,-SIGN(W197),AN197))</f>
        <v>0</v>
      </c>
      <c r="AQ197" s="30" t="n">
        <f aca="false">IF(W197="",0,IF(AO197=1,0,IF(AM197=1,0,AL197)))</f>
        <v>0</v>
      </c>
      <c r="AR197" s="30" t="n">
        <f aca="false">IF(AP197=0,0,IF(AP196=AP197,AR196,T197))</f>
        <v>0</v>
      </c>
      <c r="AS197" s="30" t="n">
        <f aca="false">AP197-AP196</f>
        <v>0</v>
      </c>
      <c r="AT197" s="30" t="n">
        <f aca="false">-AR197*AP197</f>
        <v>-0</v>
      </c>
      <c r="AU197" s="30" t="n">
        <f aca="false">AT197-AT196</f>
        <v>0</v>
      </c>
      <c r="AV197" s="30" t="n">
        <f aca="false">MAX(AS197,0)*(Inputs!$B$17+Inputs!$B$18+Inputs!$B$19)+MAX(-AS197,0)*(O197+Inputs!$B$18+Inputs!$B$19)+IF(AND(K197=1,AP197&lt;&gt;0),(Inputs!$B$17+Inputs!$B$18+Inputs!$B$19)+(O197+Inputs!$B$18+Inputs!$B$19),0)+MAX(AU197,0)*(Inputs!$B$20+Inputs!$B$22+Inputs!$B$23)+MAX(-AU197,0)*(Inputs!$B$21+Inputs!$B$22+Inputs!$B$23)</f>
        <v>0</v>
      </c>
      <c r="AW197" s="30" t="n">
        <f aca="false">AP196*(M197-AR196*J197)+AP196*AR196*N197/Inputs!$B$16-AV197</f>
        <v>0</v>
      </c>
      <c r="AX197" s="30" t="n">
        <f aca="false">AW197-IF(AP196&lt;&gt;0,0.75*AR196*(Inputs!$B$13-N197)/Inputs!$B$16,0)</f>
        <v>0</v>
      </c>
      <c r="AY197" s="30" t="n">
        <f aca="false">MAX(AS197,0)*(Inputs!$B$17+Inputs!$B$18+Inputs!$B$19)+MAX(-AS197,0)*(O197+Inputs!$B$18+Inputs!$B$19)+IF(AND(K197=1,AP197&lt;&gt;0),(Inputs!$B$17+Inputs!$B$18+Inputs!$B$19)+(O197+Inputs!$B$18+Inputs!$B$19),0)</f>
        <v>0</v>
      </c>
      <c r="AZ197" s="30" t="n">
        <f aca="false">AP196*M197-AY197</f>
        <v>0</v>
      </c>
      <c r="BA197" s="32" t="n">
        <f aca="false">BA196+AI197</f>
        <v>-0.00441407236435048</v>
      </c>
      <c r="BB197" s="30" t="n">
        <f aca="false">MAX(BB196,BA197)</f>
        <v>0</v>
      </c>
      <c r="BC197" s="32" t="n">
        <f aca="false">BA197-BB197</f>
        <v>-0.00441407236435048</v>
      </c>
      <c r="BD197" s="30" t="n">
        <f aca="false">A198-A197</f>
        <v>1</v>
      </c>
    </row>
    <row r="198" customFormat="false" ht="15" hidden="false" customHeight="false" outlineLevel="0" collapsed="false">
      <c r="A198" s="28" t="n">
        <v>45330</v>
      </c>
      <c r="B198" s="0" t="n">
        <v>21827</v>
      </c>
      <c r="C198" s="0" t="n">
        <v>240.55</v>
      </c>
      <c r="D198" s="29" t="n">
        <f aca="false">LN(B198)</f>
        <v>9.99090301453908</v>
      </c>
      <c r="E198" s="29" t="n">
        <f aca="false">LN(C198)</f>
        <v>5.48292796814546</v>
      </c>
      <c r="F198" s="0" t="n">
        <v>193</v>
      </c>
      <c r="G198" s="0" t="n">
        <v>21</v>
      </c>
      <c r="H198" s="29" t="n">
        <f aca="false">D198-E198</f>
        <v>4.50797504639361</v>
      </c>
      <c r="I198" s="29" t="n">
        <f aca="false">D198-D197</f>
        <v>-0.00877160594983373</v>
      </c>
      <c r="J198" s="29" t="n">
        <f aca="false">E198-E197</f>
        <v>-0.00889814458709282</v>
      </c>
      <c r="K198" s="0" t="n">
        <v>0</v>
      </c>
      <c r="L198" s="0" t="n">
        <v>0</v>
      </c>
      <c r="M198" s="29" t="n">
        <f aca="false">IF(L198=1,J198-Carry!$B$9/Inputs!$B$16,I198)</f>
        <v>-0.00877160594983373</v>
      </c>
      <c r="N198" s="0" t="n">
        <v>0.065</v>
      </c>
      <c r="O198" s="0" t="n">
        <v>0.000125</v>
      </c>
      <c r="P198" s="29" t="n">
        <f aca="false">D198-('2 Hedge ratio'!$B$6+'2 Hedge ratio'!$B$5*E198)</f>
        <v>0.00602590255057756</v>
      </c>
      <c r="Q198" s="29" t="n">
        <f aca="false">D198-('5 Re-specification'!$B$7+'5 Re-specification'!$B$5*E198+'5 Re-specification'!$B$6*F198)</f>
        <v>0.00206139716204845</v>
      </c>
      <c r="R198" s="30" t="n">
        <f aca="false">MIN(F198,Inputs!$B$9)</f>
        <v>193</v>
      </c>
      <c r="S198" s="29" t="n">
        <f aca="true">IF(AND(F198&gt;=1,R198&gt;=Inputs!$B$10),INDEX(LINEST(OFFSET(D198,-R198,0,R198,1),OFFSET(E198,-R198,0,R198,2)),1,1),"")</f>
        <v>-7.63542154650553E-005</v>
      </c>
      <c r="T198" s="29" t="n">
        <f aca="true">IF(AND(F198&gt;=1,R198&gt;=Inputs!$B$10),INDEX(LINEST(OFFSET(D198,-R198,0,R198,1),OFFSET(E198,-R198,0,R198,2)),1,2),"")</f>
        <v>1.03174373237287</v>
      </c>
      <c r="U198" s="29" t="n">
        <f aca="true">IF(AND(F198&gt;=1,R198&gt;=Inputs!$B$10),INDEX(LINEST(OFFSET(D198,-R198,0,R198,1),OFFSET(E198,-R198,0,R198,2)),1,3),"")</f>
        <v>4.34695246798793</v>
      </c>
      <c r="V198" s="29" t="n">
        <f aca="true">IF(AND(F198&gt;=1,R198&gt;=Inputs!$B$10),SQRT(SUMPRODUCT((OFFSET(D198,-R198,0,R198,1)-U198-T198*OFFSET(E198,-R198,0,R198,1)-S198*OFFSET(F198,-R198,0,R198,1))^2)/(R198-3)),"")</f>
        <v>0.00264634630087857</v>
      </c>
      <c r="W198" s="31" t="n">
        <f aca="false">IF(AND(F198&gt;=1,R198&gt;=Inputs!$B$10),(D198-U198-T198*E198-S198*F198)/V198,"")</f>
        <v>0.646303905620918</v>
      </c>
      <c r="X198" s="30" t="n">
        <f aca="false">IF(AB197&lt;&gt;0,AC197+1,0)</f>
        <v>0</v>
      </c>
      <c r="Y198" s="30" t="n">
        <f aca="false">IF(W198="",0,IF(AND(AB197&lt;&gt;0,OR(ABS(W198)&gt;Inputs!$B$7,X198&gt;=Inputs!$B$8,ABS(W198)&lt;Inputs!$B$6)),1,0))</f>
        <v>0</v>
      </c>
      <c r="Z198" s="30" t="n">
        <f aca="false">IF(Y198=1,0,AB197)</f>
        <v>0</v>
      </c>
      <c r="AA198" s="30" t="n">
        <f aca="false">IF(W198="",0,IF(AND(Z198=0,ABS(W198)&gt;Inputs!$B$5,ABS(W198)&lt;=Inputs!$B$7),1,0))</f>
        <v>0</v>
      </c>
      <c r="AB198" s="30" t="n">
        <f aca="false">IF(W198="",0,IF(AA198=1,-SIGN(W198),Z198))</f>
        <v>0</v>
      </c>
      <c r="AC198" s="30" t="n">
        <f aca="false">IF(W198="",0,IF(AA198=1,0,IF(Y198=1,0,X198)))</f>
        <v>0</v>
      </c>
      <c r="AD198" s="30" t="n">
        <f aca="false">IF(AB198=0,0,IF(AB197=AB198,AD197,T198))</f>
        <v>0</v>
      </c>
      <c r="AE198" s="30" t="n">
        <f aca="false">AB198-AB197</f>
        <v>0</v>
      </c>
      <c r="AF198" s="30" t="n">
        <f aca="false">-AD198*AB198</f>
        <v>-0</v>
      </c>
      <c r="AG198" s="30" t="n">
        <f aca="false">AF198-AF197</f>
        <v>0</v>
      </c>
      <c r="AH198" s="30" t="n">
        <f aca="false">MAX(AE198,0)*(Inputs!$B$17+Inputs!$B$18+Inputs!$B$19)+MAX(-AE198,0)*(O198+Inputs!$B$18+Inputs!$B$19)+IF(AND(K198=1,AB198&lt;&gt;0),(Inputs!$B$17+Inputs!$B$18+Inputs!$B$19)+(O198+Inputs!$B$18+Inputs!$B$19),0)+MAX(AG198,0)*(Inputs!$B$20+Inputs!$B$22+Inputs!$B$23)+MAX(-AG198,0)*(Inputs!$B$21+Inputs!$B$22+Inputs!$B$23)</f>
        <v>0</v>
      </c>
      <c r="AI198" s="30" t="n">
        <f aca="false">AB197*(M198-AD197*J198)+AB197*AD197*N198/Inputs!$B$16-AH198</f>
        <v>0</v>
      </c>
      <c r="AJ198" s="30" t="n">
        <f aca="false">MAX(AE198,0)*(Inputs!$B$17+Inputs!$B$24+Inputs!$B$25)+MAX(-AE198,0)*(O198+Inputs!$B$24+Inputs!$B$25)+IF(AND(K198=1,AB198&lt;&gt;0),(Inputs!$B$17+Inputs!$B$24+Inputs!$B$25)+(O198+Inputs!$B$24+Inputs!$B$25),0)+MAX(AG198,0)*(Inputs!$B$20+Inputs!$B$26+Inputs!$B$27)+MAX(-AG198,0)*(Inputs!$B$21+Inputs!$B$26+Inputs!$B$27)</f>
        <v>0</v>
      </c>
      <c r="AK198" s="30" t="n">
        <f aca="false">AB197*(M198-AD197*J198)+AB197*AD197*(N198+Inputs!$B$14)/Inputs!$B$16-AJ198</f>
        <v>0</v>
      </c>
      <c r="AL198" s="30" t="n">
        <f aca="false">IF(AP197&lt;&gt;0,AQ197+1,0)</f>
        <v>0</v>
      </c>
      <c r="AM198" s="30" t="n">
        <f aca="false">IF(W198="",0,IF(AND(AP197&lt;&gt;0,OR(ABS(W198)&gt;Inputs!$B$7,AL198&gt;=Inputs!$B$8,ABS(W198)&lt;Inputs!$B$6)),1,0))</f>
        <v>0</v>
      </c>
      <c r="AN198" s="30" t="n">
        <f aca="false">IF(AM198=1,0,AP197)</f>
        <v>0</v>
      </c>
      <c r="AO198" s="30" t="n">
        <f aca="false">IF(W198="",0,IF(AND(AN198=0,ABS(W198)&gt;Inputs!$B$5,ABS(W198)&lt;=Inputs!$B$7,W198&gt;0),1,0))</f>
        <v>0</v>
      </c>
      <c r="AP198" s="30" t="n">
        <f aca="false">IF(W198="",0,IF(AO198=1,-SIGN(W198),AN198))</f>
        <v>0</v>
      </c>
      <c r="AQ198" s="30" t="n">
        <f aca="false">IF(W198="",0,IF(AO198=1,0,IF(AM198=1,0,AL198)))</f>
        <v>0</v>
      </c>
      <c r="AR198" s="30" t="n">
        <f aca="false">IF(AP198=0,0,IF(AP197=AP198,AR197,T198))</f>
        <v>0</v>
      </c>
      <c r="AS198" s="30" t="n">
        <f aca="false">AP198-AP197</f>
        <v>0</v>
      </c>
      <c r="AT198" s="30" t="n">
        <f aca="false">-AR198*AP198</f>
        <v>-0</v>
      </c>
      <c r="AU198" s="30" t="n">
        <f aca="false">AT198-AT197</f>
        <v>0</v>
      </c>
      <c r="AV198" s="30" t="n">
        <f aca="false">MAX(AS198,0)*(Inputs!$B$17+Inputs!$B$18+Inputs!$B$19)+MAX(-AS198,0)*(O198+Inputs!$B$18+Inputs!$B$19)+IF(AND(K198=1,AP198&lt;&gt;0),(Inputs!$B$17+Inputs!$B$18+Inputs!$B$19)+(O198+Inputs!$B$18+Inputs!$B$19),0)+MAX(AU198,0)*(Inputs!$B$20+Inputs!$B$22+Inputs!$B$23)+MAX(-AU198,0)*(Inputs!$B$21+Inputs!$B$22+Inputs!$B$23)</f>
        <v>0</v>
      </c>
      <c r="AW198" s="30" t="n">
        <f aca="false">AP197*(M198-AR197*J198)+AP197*AR197*N198/Inputs!$B$16-AV198</f>
        <v>0</v>
      </c>
      <c r="AX198" s="30" t="n">
        <f aca="false">AW198-IF(AP197&lt;&gt;0,0.75*AR197*(Inputs!$B$13-N198)/Inputs!$B$16,0)</f>
        <v>0</v>
      </c>
      <c r="AY198" s="30" t="n">
        <f aca="false">MAX(AS198,0)*(Inputs!$B$17+Inputs!$B$18+Inputs!$B$19)+MAX(-AS198,0)*(O198+Inputs!$B$18+Inputs!$B$19)+IF(AND(K198=1,AP198&lt;&gt;0),(Inputs!$B$17+Inputs!$B$18+Inputs!$B$19)+(O198+Inputs!$B$18+Inputs!$B$19),0)</f>
        <v>0</v>
      </c>
      <c r="AZ198" s="30" t="n">
        <f aca="false">AP197*M198-AY198</f>
        <v>-0</v>
      </c>
      <c r="BA198" s="32" t="n">
        <f aca="false">BA197+AI198</f>
        <v>-0.00441407236435048</v>
      </c>
      <c r="BB198" s="30" t="n">
        <f aca="false">MAX(BB197,BA198)</f>
        <v>0</v>
      </c>
      <c r="BC198" s="32" t="n">
        <f aca="false">BA198-BB198</f>
        <v>-0.00441407236435048</v>
      </c>
      <c r="BD198" s="30" t="n">
        <f aca="false">A199-A198</f>
        <v>1</v>
      </c>
    </row>
    <row r="199" customFormat="false" ht="15" hidden="false" customHeight="false" outlineLevel="0" collapsed="false">
      <c r="A199" s="28" t="n">
        <v>45331</v>
      </c>
      <c r="B199" s="0" t="n">
        <v>21848.9</v>
      </c>
      <c r="C199" s="0" t="n">
        <v>240.7</v>
      </c>
      <c r="D199" s="29" t="n">
        <f aca="false">LN(B199)</f>
        <v>9.99190585600704</v>
      </c>
      <c r="E199" s="29" t="n">
        <f aca="false">LN(C199)</f>
        <v>5.48355134478903</v>
      </c>
      <c r="F199" s="0" t="n">
        <v>194</v>
      </c>
      <c r="G199" s="0" t="n">
        <v>20</v>
      </c>
      <c r="H199" s="29" t="n">
        <f aca="false">D199-E199</f>
        <v>4.50835451121802</v>
      </c>
      <c r="I199" s="29" t="n">
        <f aca="false">D199-D198</f>
        <v>0.00100284146796703</v>
      </c>
      <c r="J199" s="29" t="n">
        <f aca="false">E199-E198</f>
        <v>0.000623376643563489</v>
      </c>
      <c r="K199" s="0" t="n">
        <v>0</v>
      </c>
      <c r="L199" s="0" t="n">
        <v>0</v>
      </c>
      <c r="M199" s="29" t="n">
        <f aca="false">IF(L199=1,J199-Carry!$B$9/Inputs!$B$16,I199)</f>
        <v>0.00100284146796703</v>
      </c>
      <c r="N199" s="0" t="n">
        <v>0.065</v>
      </c>
      <c r="O199" s="0" t="n">
        <v>0.000125</v>
      </c>
      <c r="P199" s="29" t="n">
        <f aca="false">D199-('2 Hedge ratio'!$B$6+'2 Hedge ratio'!$B$5*E199)</f>
        <v>0.00645765199428539</v>
      </c>
      <c r="Q199" s="29" t="n">
        <f aca="false">D199-('5 Re-specification'!$B$7+'5 Re-specification'!$B$5*E199+'5 Re-specification'!$B$6*F199)</f>
        <v>0.00248768044748182</v>
      </c>
      <c r="R199" s="30" t="n">
        <f aca="false">MIN(F199,Inputs!$B$9)</f>
        <v>194</v>
      </c>
      <c r="S199" s="29" t="n">
        <f aca="true">IF(AND(F199&gt;=1,R199&gt;=Inputs!$B$10),INDEX(LINEST(OFFSET(D199,-R199,0,R199,1),OFFSET(E199,-R199,0,R199,2)),1,1),"")</f>
        <v>-7.62407450184264E-005</v>
      </c>
      <c r="T199" s="29" t="n">
        <f aca="true">IF(AND(F199&gt;=1,R199&gt;=Inputs!$B$10),INDEX(LINEST(OFFSET(D199,-R199,0,R199,1),OFFSET(E199,-R199,0,R199,2)),1,2),"")</f>
        <v>1.03191744301075</v>
      </c>
      <c r="U199" s="29" t="n">
        <f aca="true">IF(AND(F199&gt;=1,R199&gt;=Inputs!$B$10),INDEX(LINEST(OFFSET(D199,-R199,0,R199,1),OFFSET(E199,-R199,0,R199,2)),1,3),"")</f>
        <v>4.34601500205698</v>
      </c>
      <c r="V199" s="29" t="n">
        <f aca="true">IF(AND(F199&gt;=1,R199&gt;=Inputs!$B$10),SQRT(SUMPRODUCT((OFFSET(D199,-R199,0,R199,1)-U199-T199*OFFSET(E199,-R199,0,R199,1)-S199*OFFSET(F199,-R199,0,R199,1))^2)/(R199-3)),"")</f>
        <v>0.00264224684833779</v>
      </c>
      <c r="W199" s="31" t="n">
        <f aca="false">IF(AND(F199&gt;=1,R199&gt;=Inputs!$B$10),(D199-U199-T199*E199-S199*F199)/V199,"")</f>
        <v>0.798288832131651</v>
      </c>
      <c r="X199" s="30" t="n">
        <f aca="false">IF(AB198&lt;&gt;0,AC198+1,0)</f>
        <v>0</v>
      </c>
      <c r="Y199" s="30" t="n">
        <f aca="false">IF(W199="",0,IF(AND(AB198&lt;&gt;0,OR(ABS(W199)&gt;Inputs!$B$7,X199&gt;=Inputs!$B$8,ABS(W199)&lt;Inputs!$B$6)),1,0))</f>
        <v>0</v>
      </c>
      <c r="Z199" s="30" t="n">
        <f aca="false">IF(Y199=1,0,AB198)</f>
        <v>0</v>
      </c>
      <c r="AA199" s="30" t="n">
        <f aca="false">IF(W199="",0,IF(AND(Z199=0,ABS(W199)&gt;Inputs!$B$5,ABS(W199)&lt;=Inputs!$B$7),1,0))</f>
        <v>0</v>
      </c>
      <c r="AB199" s="30" t="n">
        <f aca="false">IF(W199="",0,IF(AA199=1,-SIGN(W199),Z199))</f>
        <v>0</v>
      </c>
      <c r="AC199" s="30" t="n">
        <f aca="false">IF(W199="",0,IF(AA199=1,0,IF(Y199=1,0,X199)))</f>
        <v>0</v>
      </c>
      <c r="AD199" s="30" t="n">
        <f aca="false">IF(AB199=0,0,IF(AB198=AB199,AD198,T199))</f>
        <v>0</v>
      </c>
      <c r="AE199" s="30" t="n">
        <f aca="false">AB199-AB198</f>
        <v>0</v>
      </c>
      <c r="AF199" s="30" t="n">
        <f aca="false">-AD199*AB199</f>
        <v>-0</v>
      </c>
      <c r="AG199" s="30" t="n">
        <f aca="false">AF199-AF198</f>
        <v>0</v>
      </c>
      <c r="AH199" s="30" t="n">
        <f aca="false">MAX(AE199,0)*(Inputs!$B$17+Inputs!$B$18+Inputs!$B$19)+MAX(-AE199,0)*(O199+Inputs!$B$18+Inputs!$B$19)+IF(AND(K199=1,AB199&lt;&gt;0),(Inputs!$B$17+Inputs!$B$18+Inputs!$B$19)+(O199+Inputs!$B$18+Inputs!$B$19),0)+MAX(AG199,0)*(Inputs!$B$20+Inputs!$B$22+Inputs!$B$23)+MAX(-AG199,0)*(Inputs!$B$21+Inputs!$B$22+Inputs!$B$23)</f>
        <v>0</v>
      </c>
      <c r="AI199" s="30" t="n">
        <f aca="false">AB198*(M199-AD198*J199)+AB198*AD198*N199/Inputs!$B$16-AH199</f>
        <v>0</v>
      </c>
      <c r="AJ199" s="30" t="n">
        <f aca="false">MAX(AE199,0)*(Inputs!$B$17+Inputs!$B$24+Inputs!$B$25)+MAX(-AE199,0)*(O199+Inputs!$B$24+Inputs!$B$25)+IF(AND(K199=1,AB199&lt;&gt;0),(Inputs!$B$17+Inputs!$B$24+Inputs!$B$25)+(O199+Inputs!$B$24+Inputs!$B$25),0)+MAX(AG199,0)*(Inputs!$B$20+Inputs!$B$26+Inputs!$B$27)+MAX(-AG199,0)*(Inputs!$B$21+Inputs!$B$26+Inputs!$B$27)</f>
        <v>0</v>
      </c>
      <c r="AK199" s="30" t="n">
        <f aca="false">AB198*(M199-AD198*J199)+AB198*AD198*(N199+Inputs!$B$14)/Inputs!$B$16-AJ199</f>
        <v>0</v>
      </c>
      <c r="AL199" s="30" t="n">
        <f aca="false">IF(AP198&lt;&gt;0,AQ198+1,0)</f>
        <v>0</v>
      </c>
      <c r="AM199" s="30" t="n">
        <f aca="false">IF(W199="",0,IF(AND(AP198&lt;&gt;0,OR(ABS(W199)&gt;Inputs!$B$7,AL199&gt;=Inputs!$B$8,ABS(W199)&lt;Inputs!$B$6)),1,0))</f>
        <v>0</v>
      </c>
      <c r="AN199" s="30" t="n">
        <f aca="false">IF(AM199=1,0,AP198)</f>
        <v>0</v>
      </c>
      <c r="AO199" s="30" t="n">
        <f aca="false">IF(W199="",0,IF(AND(AN199=0,ABS(W199)&gt;Inputs!$B$5,ABS(W199)&lt;=Inputs!$B$7,W199&gt;0),1,0))</f>
        <v>0</v>
      </c>
      <c r="AP199" s="30" t="n">
        <f aca="false">IF(W199="",0,IF(AO199=1,-SIGN(W199),AN199))</f>
        <v>0</v>
      </c>
      <c r="AQ199" s="30" t="n">
        <f aca="false">IF(W199="",0,IF(AO199=1,0,IF(AM199=1,0,AL199)))</f>
        <v>0</v>
      </c>
      <c r="AR199" s="30" t="n">
        <f aca="false">IF(AP199=0,0,IF(AP198=AP199,AR198,T199))</f>
        <v>0</v>
      </c>
      <c r="AS199" s="30" t="n">
        <f aca="false">AP199-AP198</f>
        <v>0</v>
      </c>
      <c r="AT199" s="30" t="n">
        <f aca="false">-AR199*AP199</f>
        <v>-0</v>
      </c>
      <c r="AU199" s="30" t="n">
        <f aca="false">AT199-AT198</f>
        <v>0</v>
      </c>
      <c r="AV199" s="30" t="n">
        <f aca="false">MAX(AS199,0)*(Inputs!$B$17+Inputs!$B$18+Inputs!$B$19)+MAX(-AS199,0)*(O199+Inputs!$B$18+Inputs!$B$19)+IF(AND(K199=1,AP199&lt;&gt;0),(Inputs!$B$17+Inputs!$B$18+Inputs!$B$19)+(O199+Inputs!$B$18+Inputs!$B$19),0)+MAX(AU199,0)*(Inputs!$B$20+Inputs!$B$22+Inputs!$B$23)+MAX(-AU199,0)*(Inputs!$B$21+Inputs!$B$22+Inputs!$B$23)</f>
        <v>0</v>
      </c>
      <c r="AW199" s="30" t="n">
        <f aca="false">AP198*(M199-AR198*J199)+AP198*AR198*N199/Inputs!$B$16-AV199</f>
        <v>0</v>
      </c>
      <c r="AX199" s="30" t="n">
        <f aca="false">AW199-IF(AP198&lt;&gt;0,0.75*AR198*(Inputs!$B$13-N199)/Inputs!$B$16,0)</f>
        <v>0</v>
      </c>
      <c r="AY199" s="30" t="n">
        <f aca="false">MAX(AS199,0)*(Inputs!$B$17+Inputs!$B$18+Inputs!$B$19)+MAX(-AS199,0)*(O199+Inputs!$B$18+Inputs!$B$19)+IF(AND(K199=1,AP199&lt;&gt;0),(Inputs!$B$17+Inputs!$B$18+Inputs!$B$19)+(O199+Inputs!$B$18+Inputs!$B$19),0)</f>
        <v>0</v>
      </c>
      <c r="AZ199" s="30" t="n">
        <f aca="false">AP198*M199-AY199</f>
        <v>0</v>
      </c>
      <c r="BA199" s="32" t="n">
        <f aca="false">BA198+AI199</f>
        <v>-0.00441407236435048</v>
      </c>
      <c r="BB199" s="30" t="n">
        <f aca="false">MAX(BB198,BA199)</f>
        <v>0</v>
      </c>
      <c r="BC199" s="32" t="n">
        <f aca="false">BA199-BB199</f>
        <v>-0.00441407236435048</v>
      </c>
      <c r="BD199" s="30" t="n">
        <f aca="false">A200-A199</f>
        <v>3</v>
      </c>
    </row>
    <row r="200" customFormat="false" ht="15" hidden="false" customHeight="false" outlineLevel="0" collapsed="false">
      <c r="A200" s="28" t="n">
        <v>45334</v>
      </c>
      <c r="B200" s="0" t="n">
        <v>21700.5</v>
      </c>
      <c r="C200" s="0" t="n">
        <v>239.39</v>
      </c>
      <c r="D200" s="29" t="n">
        <f aca="false">LN(B200)</f>
        <v>9.98509058073775</v>
      </c>
      <c r="E200" s="29" t="n">
        <f aca="false">LN(C200)</f>
        <v>5.47809402115703</v>
      </c>
      <c r="F200" s="0" t="n">
        <v>195</v>
      </c>
      <c r="G200" s="0" t="n">
        <v>17</v>
      </c>
      <c r="H200" s="29" t="n">
        <f aca="false">D200-E200</f>
        <v>4.50699655958072</v>
      </c>
      <c r="I200" s="29" t="n">
        <f aca="false">D200-D199</f>
        <v>-0.0068152752692896</v>
      </c>
      <c r="J200" s="29" t="n">
        <f aca="false">E200-E199</f>
        <v>-0.00545732363199214</v>
      </c>
      <c r="K200" s="0" t="n">
        <v>0</v>
      </c>
      <c r="L200" s="0" t="n">
        <v>0</v>
      </c>
      <c r="M200" s="29" t="n">
        <f aca="false">IF(L200=1,J200-Carry!$B$9/Inputs!$B$16,I200)</f>
        <v>-0.0068152752692896</v>
      </c>
      <c r="N200" s="0" t="n">
        <v>0.065</v>
      </c>
      <c r="O200" s="0" t="n">
        <v>0.000125</v>
      </c>
      <c r="P200" s="29" t="n">
        <f aca="false">D200-('2 Hedge ratio'!$B$6+'2 Hedge ratio'!$B$5*E200)</f>
        <v>0.00464197693813517</v>
      </c>
      <c r="Q200" s="29" t="n">
        <f aca="false">D200-('5 Re-specification'!$B$7+'5 Re-specification'!$B$5*E200+'5 Re-specification'!$B$6*F200)</f>
        <v>0.00115811970889901</v>
      </c>
      <c r="R200" s="30" t="n">
        <f aca="false">MIN(F200,Inputs!$B$9)</f>
        <v>195</v>
      </c>
      <c r="S200" s="29" t="n">
        <f aca="true">IF(AND(F200&gt;=1,R200&gt;=Inputs!$B$10),INDEX(LINEST(OFFSET(D200,-R200,0,R200,1),OFFSET(E200,-R200,0,R200,2)),1,1),"")</f>
        <v>-7.60953969635435E-005</v>
      </c>
      <c r="T200" s="29" t="n">
        <f aca="true">IF(AND(F200&gt;=1,R200&gt;=Inputs!$B$10),INDEX(LINEST(OFFSET(D200,-R200,0,R200,1),OFFSET(E200,-R200,0,R200,2)),1,2),"")</f>
        <v>1.03212158408274</v>
      </c>
      <c r="U200" s="29" t="n">
        <f aca="true">IF(AND(F200&gt;=1,R200&gt;=Inputs!$B$10),INDEX(LINEST(OFFSET(D200,-R200,0,R200,1),OFFSET(E200,-R200,0,R200,2)),1,3),"")</f>
        <v>4.34491243363729</v>
      </c>
      <c r="V200" s="29" t="n">
        <f aca="true">IF(AND(F200&gt;=1,R200&gt;=Inputs!$B$10),SQRT(SUMPRODUCT((OFFSET(D200,-R200,0,R200,1)-U200-T200*OFFSET(E200,-R200,0,R200,1)-S200*OFFSET(F200,-R200,0,R200,1))^2)/(R200-3)),"")</f>
        <v>0.00263965600548219</v>
      </c>
      <c r="W200" s="31" t="n">
        <f aca="false">IF(AND(F200&gt;=1,R200&gt;=Inputs!$B$10),(D200-U200-T200*E200-S200*F200)/V200,"")</f>
        <v>0.362801302735711</v>
      </c>
      <c r="X200" s="30" t="n">
        <f aca="false">IF(AB199&lt;&gt;0,AC199+1,0)</f>
        <v>0</v>
      </c>
      <c r="Y200" s="30" t="n">
        <f aca="false">IF(W200="",0,IF(AND(AB199&lt;&gt;0,OR(ABS(W200)&gt;Inputs!$B$7,X200&gt;=Inputs!$B$8,ABS(W200)&lt;Inputs!$B$6)),1,0))</f>
        <v>0</v>
      </c>
      <c r="Z200" s="30" t="n">
        <f aca="false">IF(Y200=1,0,AB199)</f>
        <v>0</v>
      </c>
      <c r="AA200" s="30" t="n">
        <f aca="false">IF(W200="",0,IF(AND(Z200=0,ABS(W200)&gt;Inputs!$B$5,ABS(W200)&lt;=Inputs!$B$7),1,0))</f>
        <v>0</v>
      </c>
      <c r="AB200" s="30" t="n">
        <f aca="false">IF(W200="",0,IF(AA200=1,-SIGN(W200),Z200))</f>
        <v>0</v>
      </c>
      <c r="AC200" s="30" t="n">
        <f aca="false">IF(W200="",0,IF(AA200=1,0,IF(Y200=1,0,X200)))</f>
        <v>0</v>
      </c>
      <c r="AD200" s="30" t="n">
        <f aca="false">IF(AB200=0,0,IF(AB199=AB200,AD199,T200))</f>
        <v>0</v>
      </c>
      <c r="AE200" s="30" t="n">
        <f aca="false">AB200-AB199</f>
        <v>0</v>
      </c>
      <c r="AF200" s="30" t="n">
        <f aca="false">-AD200*AB200</f>
        <v>-0</v>
      </c>
      <c r="AG200" s="30" t="n">
        <f aca="false">AF200-AF199</f>
        <v>0</v>
      </c>
      <c r="AH200" s="30" t="n">
        <f aca="false">MAX(AE200,0)*(Inputs!$B$17+Inputs!$B$18+Inputs!$B$19)+MAX(-AE200,0)*(O200+Inputs!$B$18+Inputs!$B$19)+IF(AND(K200=1,AB200&lt;&gt;0),(Inputs!$B$17+Inputs!$B$18+Inputs!$B$19)+(O200+Inputs!$B$18+Inputs!$B$19),0)+MAX(AG200,0)*(Inputs!$B$20+Inputs!$B$22+Inputs!$B$23)+MAX(-AG200,0)*(Inputs!$B$21+Inputs!$B$22+Inputs!$B$23)</f>
        <v>0</v>
      </c>
      <c r="AI200" s="30" t="n">
        <f aca="false">AB199*(M200-AD199*J200)+AB199*AD199*N200/Inputs!$B$16-AH200</f>
        <v>0</v>
      </c>
      <c r="AJ200" s="30" t="n">
        <f aca="false">MAX(AE200,0)*(Inputs!$B$17+Inputs!$B$24+Inputs!$B$25)+MAX(-AE200,0)*(O200+Inputs!$B$24+Inputs!$B$25)+IF(AND(K200=1,AB200&lt;&gt;0),(Inputs!$B$17+Inputs!$B$24+Inputs!$B$25)+(O200+Inputs!$B$24+Inputs!$B$25),0)+MAX(AG200,0)*(Inputs!$B$20+Inputs!$B$26+Inputs!$B$27)+MAX(-AG200,0)*(Inputs!$B$21+Inputs!$B$26+Inputs!$B$27)</f>
        <v>0</v>
      </c>
      <c r="AK200" s="30" t="n">
        <f aca="false">AB199*(M200-AD199*J200)+AB199*AD199*(N200+Inputs!$B$14)/Inputs!$B$16-AJ200</f>
        <v>0</v>
      </c>
      <c r="AL200" s="30" t="n">
        <f aca="false">IF(AP199&lt;&gt;0,AQ199+1,0)</f>
        <v>0</v>
      </c>
      <c r="AM200" s="30" t="n">
        <f aca="false">IF(W200="",0,IF(AND(AP199&lt;&gt;0,OR(ABS(W200)&gt;Inputs!$B$7,AL200&gt;=Inputs!$B$8,ABS(W200)&lt;Inputs!$B$6)),1,0))</f>
        <v>0</v>
      </c>
      <c r="AN200" s="30" t="n">
        <f aca="false">IF(AM200=1,0,AP199)</f>
        <v>0</v>
      </c>
      <c r="AO200" s="30" t="n">
        <f aca="false">IF(W200="",0,IF(AND(AN200=0,ABS(W200)&gt;Inputs!$B$5,ABS(W200)&lt;=Inputs!$B$7,W200&gt;0),1,0))</f>
        <v>0</v>
      </c>
      <c r="AP200" s="30" t="n">
        <f aca="false">IF(W200="",0,IF(AO200=1,-SIGN(W200),AN200))</f>
        <v>0</v>
      </c>
      <c r="AQ200" s="30" t="n">
        <f aca="false">IF(W200="",0,IF(AO200=1,0,IF(AM200=1,0,AL200)))</f>
        <v>0</v>
      </c>
      <c r="AR200" s="30" t="n">
        <f aca="false">IF(AP200=0,0,IF(AP199=AP200,AR199,T200))</f>
        <v>0</v>
      </c>
      <c r="AS200" s="30" t="n">
        <f aca="false">AP200-AP199</f>
        <v>0</v>
      </c>
      <c r="AT200" s="30" t="n">
        <f aca="false">-AR200*AP200</f>
        <v>-0</v>
      </c>
      <c r="AU200" s="30" t="n">
        <f aca="false">AT200-AT199</f>
        <v>0</v>
      </c>
      <c r="AV200" s="30" t="n">
        <f aca="false">MAX(AS200,0)*(Inputs!$B$17+Inputs!$B$18+Inputs!$B$19)+MAX(-AS200,0)*(O200+Inputs!$B$18+Inputs!$B$19)+IF(AND(K200=1,AP200&lt;&gt;0),(Inputs!$B$17+Inputs!$B$18+Inputs!$B$19)+(O200+Inputs!$B$18+Inputs!$B$19),0)+MAX(AU200,0)*(Inputs!$B$20+Inputs!$B$22+Inputs!$B$23)+MAX(-AU200,0)*(Inputs!$B$21+Inputs!$B$22+Inputs!$B$23)</f>
        <v>0</v>
      </c>
      <c r="AW200" s="30" t="n">
        <f aca="false">AP199*(M200-AR199*J200)+AP199*AR199*N200/Inputs!$B$16-AV200</f>
        <v>0</v>
      </c>
      <c r="AX200" s="30" t="n">
        <f aca="false">AW200-IF(AP199&lt;&gt;0,0.75*AR199*(Inputs!$B$13-N200)/Inputs!$B$16,0)</f>
        <v>0</v>
      </c>
      <c r="AY200" s="30" t="n">
        <f aca="false">MAX(AS200,0)*(Inputs!$B$17+Inputs!$B$18+Inputs!$B$19)+MAX(-AS200,0)*(O200+Inputs!$B$18+Inputs!$B$19)+IF(AND(K200=1,AP200&lt;&gt;0),(Inputs!$B$17+Inputs!$B$18+Inputs!$B$19)+(O200+Inputs!$B$18+Inputs!$B$19),0)</f>
        <v>0</v>
      </c>
      <c r="AZ200" s="30" t="n">
        <f aca="false">AP199*M200-AY200</f>
        <v>-0</v>
      </c>
      <c r="BA200" s="32" t="n">
        <f aca="false">BA199+AI200</f>
        <v>-0.00441407236435048</v>
      </c>
      <c r="BB200" s="30" t="n">
        <f aca="false">MAX(BB199,BA200)</f>
        <v>0</v>
      </c>
      <c r="BC200" s="32" t="n">
        <f aca="false">BA200-BB200</f>
        <v>-0.00441407236435048</v>
      </c>
      <c r="BD200" s="30" t="n">
        <f aca="false">A201-A200</f>
        <v>1</v>
      </c>
    </row>
    <row r="201" customFormat="false" ht="15" hidden="false" customHeight="false" outlineLevel="0" collapsed="false">
      <c r="A201" s="28" t="n">
        <v>45335</v>
      </c>
      <c r="B201" s="0" t="n">
        <v>21816.75</v>
      </c>
      <c r="C201" s="0" t="n">
        <v>240.4</v>
      </c>
      <c r="D201" s="29" t="n">
        <f aca="false">LN(B201)</f>
        <v>9.99043330237234</v>
      </c>
      <c r="E201" s="29" t="n">
        <f aca="false">LN(C201)</f>
        <v>5.48230420266105</v>
      </c>
      <c r="F201" s="0" t="n">
        <v>196</v>
      </c>
      <c r="G201" s="0" t="n">
        <v>16</v>
      </c>
      <c r="H201" s="29" t="n">
        <f aca="false">D201-E201</f>
        <v>4.50812909971129</v>
      </c>
      <c r="I201" s="29" t="n">
        <f aca="false">D201-D200</f>
        <v>0.00534272163458915</v>
      </c>
      <c r="J201" s="29" t="n">
        <f aca="false">E201-E200</f>
        <v>0.00421018150401853</v>
      </c>
      <c r="K201" s="0" t="n">
        <v>0</v>
      </c>
      <c r="L201" s="0" t="n">
        <v>0</v>
      </c>
      <c r="M201" s="29" t="n">
        <f aca="false">IF(L201=1,J201-Carry!$B$9/Inputs!$B$16,I201)</f>
        <v>0.00534272163458915</v>
      </c>
      <c r="N201" s="0" t="n">
        <v>0.065</v>
      </c>
      <c r="O201" s="0" t="n">
        <v>0.000125</v>
      </c>
      <c r="P201" s="29" t="n">
        <f aca="false">D201-('2 Hedge ratio'!$B$6+'2 Hedge ratio'!$B$5*E201)</f>
        <v>0.00612763863560595</v>
      </c>
      <c r="Q201" s="29" t="n">
        <f aca="false">D201-('5 Re-specification'!$B$7+'5 Re-specification'!$B$5*E201+'5 Re-specification'!$B$6*F201)</f>
        <v>0.0023483481127009</v>
      </c>
      <c r="R201" s="30" t="n">
        <f aca="false">MIN(F201,Inputs!$B$9)</f>
        <v>196</v>
      </c>
      <c r="S201" s="29" t="n">
        <f aca="true">IF(AND(F201&gt;=1,R201&gt;=Inputs!$B$10),INDEX(LINEST(OFFSET(D201,-R201,0,R201,1),OFFSET(E201,-R201,0,R201,2)),1,1),"")</f>
        <v>-7.59783560807478E-005</v>
      </c>
      <c r="T201" s="29" t="n">
        <f aca="true">IF(AND(F201&gt;=1,R201&gt;=Inputs!$B$10),INDEX(LINEST(OFFSET(D201,-R201,0,R201,1),OFFSET(E201,-R201,0,R201,2)),1,2),"")</f>
        <v>1.03215647452117</v>
      </c>
      <c r="U201" s="29" t="n">
        <f aca="true">IF(AND(F201&gt;=1,R201&gt;=Inputs!$B$10),INDEX(LINEST(OFFSET(D201,-R201,0,R201,1),OFFSET(E201,-R201,0,R201,2)),1,3),"")</f>
        <v>4.34471800888989</v>
      </c>
      <c r="V201" s="29" t="n">
        <f aca="true">IF(AND(F201&gt;=1,R201&gt;=Inputs!$B$10),SQRT(SUMPRODUCT((OFFSET(D201,-R201,0,R201,1)-U201-T201*OFFSET(E201,-R201,0,R201,1)-S201*OFFSET(F201,-R201,0,R201,1))^2)/(R201-3)),"")</f>
        <v>0.00263369253904153</v>
      </c>
      <c r="W201" s="31" t="n">
        <f aca="false">IF(AND(F201&gt;=1,R201&gt;=Inputs!$B$10),(D201-U201-T201*E201-S201*F201)/V201,"")</f>
        <v>0.763670463890332</v>
      </c>
      <c r="X201" s="30" t="n">
        <f aca="false">IF(AB200&lt;&gt;0,AC200+1,0)</f>
        <v>0</v>
      </c>
      <c r="Y201" s="30" t="n">
        <f aca="false">IF(W201="",0,IF(AND(AB200&lt;&gt;0,OR(ABS(W201)&gt;Inputs!$B$7,X201&gt;=Inputs!$B$8,ABS(W201)&lt;Inputs!$B$6)),1,0))</f>
        <v>0</v>
      </c>
      <c r="Z201" s="30" t="n">
        <f aca="false">IF(Y201=1,0,AB200)</f>
        <v>0</v>
      </c>
      <c r="AA201" s="30" t="n">
        <f aca="false">IF(W201="",0,IF(AND(Z201=0,ABS(W201)&gt;Inputs!$B$5,ABS(W201)&lt;=Inputs!$B$7),1,0))</f>
        <v>0</v>
      </c>
      <c r="AB201" s="30" t="n">
        <f aca="false">IF(W201="",0,IF(AA201=1,-SIGN(W201),Z201))</f>
        <v>0</v>
      </c>
      <c r="AC201" s="30" t="n">
        <f aca="false">IF(W201="",0,IF(AA201=1,0,IF(Y201=1,0,X201)))</f>
        <v>0</v>
      </c>
      <c r="AD201" s="30" t="n">
        <f aca="false">IF(AB201=0,0,IF(AB200=AB201,AD200,T201))</f>
        <v>0</v>
      </c>
      <c r="AE201" s="30" t="n">
        <f aca="false">AB201-AB200</f>
        <v>0</v>
      </c>
      <c r="AF201" s="30" t="n">
        <f aca="false">-AD201*AB201</f>
        <v>-0</v>
      </c>
      <c r="AG201" s="30" t="n">
        <f aca="false">AF201-AF200</f>
        <v>0</v>
      </c>
      <c r="AH201" s="30" t="n">
        <f aca="false">MAX(AE201,0)*(Inputs!$B$17+Inputs!$B$18+Inputs!$B$19)+MAX(-AE201,0)*(O201+Inputs!$B$18+Inputs!$B$19)+IF(AND(K201=1,AB201&lt;&gt;0),(Inputs!$B$17+Inputs!$B$18+Inputs!$B$19)+(O201+Inputs!$B$18+Inputs!$B$19),0)+MAX(AG201,0)*(Inputs!$B$20+Inputs!$B$22+Inputs!$B$23)+MAX(-AG201,0)*(Inputs!$B$21+Inputs!$B$22+Inputs!$B$23)</f>
        <v>0</v>
      </c>
      <c r="AI201" s="30" t="n">
        <f aca="false">AB200*(M201-AD200*J201)+AB200*AD200*N201/Inputs!$B$16-AH201</f>
        <v>0</v>
      </c>
      <c r="AJ201" s="30" t="n">
        <f aca="false">MAX(AE201,0)*(Inputs!$B$17+Inputs!$B$24+Inputs!$B$25)+MAX(-AE201,0)*(O201+Inputs!$B$24+Inputs!$B$25)+IF(AND(K201=1,AB201&lt;&gt;0),(Inputs!$B$17+Inputs!$B$24+Inputs!$B$25)+(O201+Inputs!$B$24+Inputs!$B$25),0)+MAX(AG201,0)*(Inputs!$B$20+Inputs!$B$26+Inputs!$B$27)+MAX(-AG201,0)*(Inputs!$B$21+Inputs!$B$26+Inputs!$B$27)</f>
        <v>0</v>
      </c>
      <c r="AK201" s="30" t="n">
        <f aca="false">AB200*(M201-AD200*J201)+AB200*AD200*(N201+Inputs!$B$14)/Inputs!$B$16-AJ201</f>
        <v>0</v>
      </c>
      <c r="AL201" s="30" t="n">
        <f aca="false">IF(AP200&lt;&gt;0,AQ200+1,0)</f>
        <v>0</v>
      </c>
      <c r="AM201" s="30" t="n">
        <f aca="false">IF(W201="",0,IF(AND(AP200&lt;&gt;0,OR(ABS(W201)&gt;Inputs!$B$7,AL201&gt;=Inputs!$B$8,ABS(W201)&lt;Inputs!$B$6)),1,0))</f>
        <v>0</v>
      </c>
      <c r="AN201" s="30" t="n">
        <f aca="false">IF(AM201=1,0,AP200)</f>
        <v>0</v>
      </c>
      <c r="AO201" s="30" t="n">
        <f aca="false">IF(W201="",0,IF(AND(AN201=0,ABS(W201)&gt;Inputs!$B$5,ABS(W201)&lt;=Inputs!$B$7,W201&gt;0),1,0))</f>
        <v>0</v>
      </c>
      <c r="AP201" s="30" t="n">
        <f aca="false">IF(W201="",0,IF(AO201=1,-SIGN(W201),AN201))</f>
        <v>0</v>
      </c>
      <c r="AQ201" s="30" t="n">
        <f aca="false">IF(W201="",0,IF(AO201=1,0,IF(AM201=1,0,AL201)))</f>
        <v>0</v>
      </c>
      <c r="AR201" s="30" t="n">
        <f aca="false">IF(AP201=0,0,IF(AP200=AP201,AR200,T201))</f>
        <v>0</v>
      </c>
      <c r="AS201" s="30" t="n">
        <f aca="false">AP201-AP200</f>
        <v>0</v>
      </c>
      <c r="AT201" s="30" t="n">
        <f aca="false">-AR201*AP201</f>
        <v>-0</v>
      </c>
      <c r="AU201" s="30" t="n">
        <f aca="false">AT201-AT200</f>
        <v>0</v>
      </c>
      <c r="AV201" s="30" t="n">
        <f aca="false">MAX(AS201,0)*(Inputs!$B$17+Inputs!$B$18+Inputs!$B$19)+MAX(-AS201,0)*(O201+Inputs!$B$18+Inputs!$B$19)+IF(AND(K201=1,AP201&lt;&gt;0),(Inputs!$B$17+Inputs!$B$18+Inputs!$B$19)+(O201+Inputs!$B$18+Inputs!$B$19),0)+MAX(AU201,0)*(Inputs!$B$20+Inputs!$B$22+Inputs!$B$23)+MAX(-AU201,0)*(Inputs!$B$21+Inputs!$B$22+Inputs!$B$23)</f>
        <v>0</v>
      </c>
      <c r="AW201" s="30" t="n">
        <f aca="false">AP200*(M201-AR200*J201)+AP200*AR200*N201/Inputs!$B$16-AV201</f>
        <v>0</v>
      </c>
      <c r="AX201" s="30" t="n">
        <f aca="false">AW201-IF(AP200&lt;&gt;0,0.75*AR200*(Inputs!$B$13-N201)/Inputs!$B$16,0)</f>
        <v>0</v>
      </c>
      <c r="AY201" s="30" t="n">
        <f aca="false">MAX(AS201,0)*(Inputs!$B$17+Inputs!$B$18+Inputs!$B$19)+MAX(-AS201,0)*(O201+Inputs!$B$18+Inputs!$B$19)+IF(AND(K201=1,AP201&lt;&gt;0),(Inputs!$B$17+Inputs!$B$18+Inputs!$B$19)+(O201+Inputs!$B$18+Inputs!$B$19),0)</f>
        <v>0</v>
      </c>
      <c r="AZ201" s="30" t="n">
        <f aca="false">AP200*M201-AY201</f>
        <v>0</v>
      </c>
      <c r="BA201" s="32" t="n">
        <f aca="false">BA200+AI201</f>
        <v>-0.00441407236435048</v>
      </c>
      <c r="BB201" s="30" t="n">
        <f aca="false">MAX(BB200,BA201)</f>
        <v>0</v>
      </c>
      <c r="BC201" s="32" t="n">
        <f aca="false">BA201-BB201</f>
        <v>-0.00441407236435048</v>
      </c>
      <c r="BD201" s="30" t="n">
        <f aca="false">A202-A201</f>
        <v>1</v>
      </c>
    </row>
    <row r="202" customFormat="false" ht="15" hidden="false" customHeight="false" outlineLevel="0" collapsed="false">
      <c r="A202" s="28" t="n">
        <v>45336</v>
      </c>
      <c r="B202" s="0" t="n">
        <v>21925</v>
      </c>
      <c r="C202" s="0" t="n">
        <v>241.7</v>
      </c>
      <c r="D202" s="29" t="n">
        <f aca="false">LN(B202)</f>
        <v>9.99538281724038</v>
      </c>
      <c r="E202" s="29" t="n">
        <f aca="false">LN(C202)</f>
        <v>5.48769728770944</v>
      </c>
      <c r="F202" s="0" t="n">
        <v>197</v>
      </c>
      <c r="G202" s="0" t="n">
        <v>15</v>
      </c>
      <c r="H202" s="29" t="n">
        <f aca="false">D202-E202</f>
        <v>4.50768552953095</v>
      </c>
      <c r="I202" s="29" t="n">
        <f aca="false">D202-D201</f>
        <v>0.00494951486803963</v>
      </c>
      <c r="J202" s="29" t="n">
        <f aca="false">E202-E201</f>
        <v>0.00539308504838498</v>
      </c>
      <c r="K202" s="0" t="n">
        <v>0</v>
      </c>
      <c r="L202" s="0" t="n">
        <v>0</v>
      </c>
      <c r="M202" s="29" t="n">
        <f aca="false">IF(L202=1,J202-Carry!$B$9/Inputs!$B$16,I202)</f>
        <v>0.00494951486803963</v>
      </c>
      <c r="N202" s="0" t="n">
        <v>0.065</v>
      </c>
      <c r="O202" s="0" t="n">
        <v>0.000125</v>
      </c>
      <c r="P202" s="29" t="n">
        <f aca="false">D202-('2 Hedge ratio'!$B$6+'2 Hedge ratio'!$B$5*E202)</f>
        <v>0.00613640397592619</v>
      </c>
      <c r="Q202" s="29" t="n">
        <f aca="false">D202-('5 Re-specification'!$B$7+'5 Re-specification'!$B$5*E202+'5 Re-specification'!$B$6*F202)</f>
        <v>0.00196605099480607</v>
      </c>
      <c r="R202" s="30" t="n">
        <f aca="false">MIN(F202,Inputs!$B$9)</f>
        <v>197</v>
      </c>
      <c r="S202" s="29" t="n">
        <f aca="true">IF(AND(F202&gt;=1,R202&gt;=Inputs!$B$10),INDEX(LINEST(OFFSET(D202,-R202,0,R202,1),OFFSET(E202,-R202,0,R202,2)),1,1),"")</f>
        <v>-7.57898633485998E-005</v>
      </c>
      <c r="T202" s="29" t="n">
        <f aca="true">IF(AND(F202&gt;=1,R202&gt;=Inputs!$B$10),INDEX(LINEST(OFFSET(D202,-R202,0,R202,1),OFFSET(E202,-R202,0,R202,2)),1,2),"")</f>
        <v>1.03228905823068</v>
      </c>
      <c r="U202" s="29" t="n">
        <f aca="true">IF(AND(F202&gt;=1,R202&gt;=Inputs!$B$10),INDEX(LINEST(OFFSET(D202,-R202,0,R202,1),OFFSET(E202,-R202,0,R202,2)),1,3),"")</f>
        <v>4.34399566318913</v>
      </c>
      <c r="V202" s="29" t="n">
        <f aca="true">IF(AND(F202&gt;=1,R202&gt;=Inputs!$B$10),SQRT(SUMPRODUCT((OFFSET(D202,-R202,0,R202,1)-U202-T202*OFFSET(E202,-R202,0,R202,1)-S202*OFFSET(F202,-R202,0,R202,1))^2)/(R202-3)),"")</f>
        <v>0.00263078008655429</v>
      </c>
      <c r="W202" s="31" t="n">
        <f aca="false">IF(AND(F202&gt;=1,R202&gt;=Inputs!$B$10),(D202-U202-T202*E202-S202*F202)/V202,"")</f>
        <v>0.542763780820559</v>
      </c>
      <c r="X202" s="30" t="n">
        <f aca="false">IF(AB201&lt;&gt;0,AC201+1,0)</f>
        <v>0</v>
      </c>
      <c r="Y202" s="30" t="n">
        <f aca="false">IF(W202="",0,IF(AND(AB201&lt;&gt;0,OR(ABS(W202)&gt;Inputs!$B$7,X202&gt;=Inputs!$B$8,ABS(W202)&lt;Inputs!$B$6)),1,0))</f>
        <v>0</v>
      </c>
      <c r="Z202" s="30" t="n">
        <f aca="false">IF(Y202=1,0,AB201)</f>
        <v>0</v>
      </c>
      <c r="AA202" s="30" t="n">
        <f aca="false">IF(W202="",0,IF(AND(Z202=0,ABS(W202)&gt;Inputs!$B$5,ABS(W202)&lt;=Inputs!$B$7),1,0))</f>
        <v>0</v>
      </c>
      <c r="AB202" s="30" t="n">
        <f aca="false">IF(W202="",0,IF(AA202=1,-SIGN(W202),Z202))</f>
        <v>0</v>
      </c>
      <c r="AC202" s="30" t="n">
        <f aca="false">IF(W202="",0,IF(AA202=1,0,IF(Y202=1,0,X202)))</f>
        <v>0</v>
      </c>
      <c r="AD202" s="30" t="n">
        <f aca="false">IF(AB202=0,0,IF(AB201=AB202,AD201,T202))</f>
        <v>0</v>
      </c>
      <c r="AE202" s="30" t="n">
        <f aca="false">AB202-AB201</f>
        <v>0</v>
      </c>
      <c r="AF202" s="30" t="n">
        <f aca="false">-AD202*AB202</f>
        <v>-0</v>
      </c>
      <c r="AG202" s="30" t="n">
        <f aca="false">AF202-AF201</f>
        <v>0</v>
      </c>
      <c r="AH202" s="30" t="n">
        <f aca="false">MAX(AE202,0)*(Inputs!$B$17+Inputs!$B$18+Inputs!$B$19)+MAX(-AE202,0)*(O202+Inputs!$B$18+Inputs!$B$19)+IF(AND(K202=1,AB202&lt;&gt;0),(Inputs!$B$17+Inputs!$B$18+Inputs!$B$19)+(O202+Inputs!$B$18+Inputs!$B$19),0)+MAX(AG202,0)*(Inputs!$B$20+Inputs!$B$22+Inputs!$B$23)+MAX(-AG202,0)*(Inputs!$B$21+Inputs!$B$22+Inputs!$B$23)</f>
        <v>0</v>
      </c>
      <c r="AI202" s="30" t="n">
        <f aca="false">AB201*(M202-AD201*J202)+AB201*AD201*N202/Inputs!$B$16-AH202</f>
        <v>0</v>
      </c>
      <c r="AJ202" s="30" t="n">
        <f aca="false">MAX(AE202,0)*(Inputs!$B$17+Inputs!$B$24+Inputs!$B$25)+MAX(-AE202,0)*(O202+Inputs!$B$24+Inputs!$B$25)+IF(AND(K202=1,AB202&lt;&gt;0),(Inputs!$B$17+Inputs!$B$24+Inputs!$B$25)+(O202+Inputs!$B$24+Inputs!$B$25),0)+MAX(AG202,0)*(Inputs!$B$20+Inputs!$B$26+Inputs!$B$27)+MAX(-AG202,0)*(Inputs!$B$21+Inputs!$B$26+Inputs!$B$27)</f>
        <v>0</v>
      </c>
      <c r="AK202" s="30" t="n">
        <f aca="false">AB201*(M202-AD201*J202)+AB201*AD201*(N202+Inputs!$B$14)/Inputs!$B$16-AJ202</f>
        <v>0</v>
      </c>
      <c r="AL202" s="30" t="n">
        <f aca="false">IF(AP201&lt;&gt;0,AQ201+1,0)</f>
        <v>0</v>
      </c>
      <c r="AM202" s="30" t="n">
        <f aca="false">IF(W202="",0,IF(AND(AP201&lt;&gt;0,OR(ABS(W202)&gt;Inputs!$B$7,AL202&gt;=Inputs!$B$8,ABS(W202)&lt;Inputs!$B$6)),1,0))</f>
        <v>0</v>
      </c>
      <c r="AN202" s="30" t="n">
        <f aca="false">IF(AM202=1,0,AP201)</f>
        <v>0</v>
      </c>
      <c r="AO202" s="30" t="n">
        <f aca="false">IF(W202="",0,IF(AND(AN202=0,ABS(W202)&gt;Inputs!$B$5,ABS(W202)&lt;=Inputs!$B$7,W202&gt;0),1,0))</f>
        <v>0</v>
      </c>
      <c r="AP202" s="30" t="n">
        <f aca="false">IF(W202="",0,IF(AO202=1,-SIGN(W202),AN202))</f>
        <v>0</v>
      </c>
      <c r="AQ202" s="30" t="n">
        <f aca="false">IF(W202="",0,IF(AO202=1,0,IF(AM202=1,0,AL202)))</f>
        <v>0</v>
      </c>
      <c r="AR202" s="30" t="n">
        <f aca="false">IF(AP202=0,0,IF(AP201=AP202,AR201,T202))</f>
        <v>0</v>
      </c>
      <c r="AS202" s="30" t="n">
        <f aca="false">AP202-AP201</f>
        <v>0</v>
      </c>
      <c r="AT202" s="30" t="n">
        <f aca="false">-AR202*AP202</f>
        <v>-0</v>
      </c>
      <c r="AU202" s="30" t="n">
        <f aca="false">AT202-AT201</f>
        <v>0</v>
      </c>
      <c r="AV202" s="30" t="n">
        <f aca="false">MAX(AS202,0)*(Inputs!$B$17+Inputs!$B$18+Inputs!$B$19)+MAX(-AS202,0)*(O202+Inputs!$B$18+Inputs!$B$19)+IF(AND(K202=1,AP202&lt;&gt;0),(Inputs!$B$17+Inputs!$B$18+Inputs!$B$19)+(O202+Inputs!$B$18+Inputs!$B$19),0)+MAX(AU202,0)*(Inputs!$B$20+Inputs!$B$22+Inputs!$B$23)+MAX(-AU202,0)*(Inputs!$B$21+Inputs!$B$22+Inputs!$B$23)</f>
        <v>0</v>
      </c>
      <c r="AW202" s="30" t="n">
        <f aca="false">AP201*(M202-AR201*J202)+AP201*AR201*N202/Inputs!$B$16-AV202</f>
        <v>0</v>
      </c>
      <c r="AX202" s="30" t="n">
        <f aca="false">AW202-IF(AP201&lt;&gt;0,0.75*AR201*(Inputs!$B$13-N202)/Inputs!$B$16,0)</f>
        <v>0</v>
      </c>
      <c r="AY202" s="30" t="n">
        <f aca="false">MAX(AS202,0)*(Inputs!$B$17+Inputs!$B$18+Inputs!$B$19)+MAX(-AS202,0)*(O202+Inputs!$B$18+Inputs!$B$19)+IF(AND(K202=1,AP202&lt;&gt;0),(Inputs!$B$17+Inputs!$B$18+Inputs!$B$19)+(O202+Inputs!$B$18+Inputs!$B$19),0)</f>
        <v>0</v>
      </c>
      <c r="AZ202" s="30" t="n">
        <f aca="false">AP201*M202-AY202</f>
        <v>0</v>
      </c>
      <c r="BA202" s="32" t="n">
        <f aca="false">BA201+AI202</f>
        <v>-0.00441407236435048</v>
      </c>
      <c r="BB202" s="30" t="n">
        <f aca="false">MAX(BB201,BA202)</f>
        <v>0</v>
      </c>
      <c r="BC202" s="32" t="n">
        <f aca="false">BA202-BB202</f>
        <v>-0.00441407236435048</v>
      </c>
      <c r="BD202" s="30" t="n">
        <f aca="false">A203-A202</f>
        <v>1</v>
      </c>
    </row>
    <row r="203" customFormat="false" ht="15" hidden="false" customHeight="false" outlineLevel="0" collapsed="false">
      <c r="A203" s="28" t="n">
        <v>45337</v>
      </c>
      <c r="B203" s="0" t="n">
        <v>22017.1</v>
      </c>
      <c r="C203" s="0" t="n">
        <v>242.9</v>
      </c>
      <c r="D203" s="29" t="n">
        <f aca="false">LN(B203)</f>
        <v>9.99957470314772</v>
      </c>
      <c r="E203" s="29" t="n">
        <f aca="false">LN(C203)</f>
        <v>5.49264983600813</v>
      </c>
      <c r="F203" s="0" t="n">
        <v>198</v>
      </c>
      <c r="G203" s="0" t="n">
        <v>14</v>
      </c>
      <c r="H203" s="29" t="n">
        <f aca="false">D203-E203</f>
        <v>4.50692486713959</v>
      </c>
      <c r="I203" s="29" t="n">
        <f aca="false">D203-D202</f>
        <v>0.00419188590733555</v>
      </c>
      <c r="J203" s="29" t="n">
        <f aca="false">E203-E202</f>
        <v>0.00495254829868941</v>
      </c>
      <c r="K203" s="0" t="n">
        <v>0</v>
      </c>
      <c r="L203" s="0" t="n">
        <v>0</v>
      </c>
      <c r="M203" s="29" t="n">
        <f aca="false">IF(L203=1,J203-Carry!$B$9/Inputs!$B$16,I203)</f>
        <v>0.00419188590733555</v>
      </c>
      <c r="N203" s="0" t="n">
        <v>0.065</v>
      </c>
      <c r="O203" s="0" t="n">
        <v>0.000125</v>
      </c>
      <c r="P203" s="29" t="n">
        <f aca="false">D203-('2 Hedge ratio'!$B$6+'2 Hedge ratio'!$B$5*E203)</f>
        <v>0.0057911278603715</v>
      </c>
      <c r="Q203" s="29" t="n">
        <f aca="false">D203-('5 Re-specification'!$B$7+'5 Re-specification'!$B$5*E203+'5 Re-specification'!$B$6*F203)</f>
        <v>0.00126532661927392</v>
      </c>
      <c r="R203" s="30" t="n">
        <f aca="false">MIN(F203,Inputs!$B$9)</f>
        <v>198</v>
      </c>
      <c r="S203" s="29" t="n">
        <f aca="true">IF(AND(F203&gt;=1,R203&gt;=Inputs!$B$10),INDEX(LINEST(OFFSET(D203,-R203,0,R203,1),OFFSET(E203,-R203,0,R203,2)),1,1),"")</f>
        <v>-7.57101023247015E-005</v>
      </c>
      <c r="T203" s="29" t="n">
        <f aca="true">IF(AND(F203&gt;=1,R203&gt;=Inputs!$B$10),INDEX(LINEST(OFFSET(D203,-R203,0,R203,1),OFFSET(E203,-R203,0,R203,2)),1,2),"")</f>
        <v>1.03243976326216</v>
      </c>
      <c r="U203" s="29" t="n">
        <f aca="true">IF(AND(F203&gt;=1,R203&gt;=Inputs!$B$10),INDEX(LINEST(OFFSET(D203,-R203,0,R203,1),OFFSET(E203,-R203,0,R203,2)),1,3),"")</f>
        <v>4.34318325823149</v>
      </c>
      <c r="V203" s="29" t="n">
        <f aca="true">IF(AND(F203&gt;=1,R203&gt;=Inputs!$B$10),SQRT(SUMPRODUCT((OFFSET(D203,-R203,0,R203,1)-U203-T203*OFFSET(E203,-R203,0,R203,1)-S203*OFFSET(F203,-R203,0,R203,1))^2)/(R203-3)),"")</f>
        <v>0.00262597509642077</v>
      </c>
      <c r="W203" s="31" t="n">
        <f aca="false">IF(AND(F203&gt;=1,R203&gt;=Inputs!$B$10),(D203-U203-T203*E203-S203*F203)/V203,"")</f>
        <v>0.210188134338125</v>
      </c>
      <c r="X203" s="30" t="n">
        <f aca="false">IF(AB202&lt;&gt;0,AC202+1,0)</f>
        <v>0</v>
      </c>
      <c r="Y203" s="30" t="n">
        <f aca="false">IF(W203="",0,IF(AND(AB202&lt;&gt;0,OR(ABS(W203)&gt;Inputs!$B$7,X203&gt;=Inputs!$B$8,ABS(W203)&lt;Inputs!$B$6)),1,0))</f>
        <v>0</v>
      </c>
      <c r="Z203" s="30" t="n">
        <f aca="false">IF(Y203=1,0,AB202)</f>
        <v>0</v>
      </c>
      <c r="AA203" s="30" t="n">
        <f aca="false">IF(W203="",0,IF(AND(Z203=0,ABS(W203)&gt;Inputs!$B$5,ABS(W203)&lt;=Inputs!$B$7),1,0))</f>
        <v>0</v>
      </c>
      <c r="AB203" s="30" t="n">
        <f aca="false">IF(W203="",0,IF(AA203=1,-SIGN(W203),Z203))</f>
        <v>0</v>
      </c>
      <c r="AC203" s="30" t="n">
        <f aca="false">IF(W203="",0,IF(AA203=1,0,IF(Y203=1,0,X203)))</f>
        <v>0</v>
      </c>
      <c r="AD203" s="30" t="n">
        <f aca="false">IF(AB203=0,0,IF(AB202=AB203,AD202,T203))</f>
        <v>0</v>
      </c>
      <c r="AE203" s="30" t="n">
        <f aca="false">AB203-AB202</f>
        <v>0</v>
      </c>
      <c r="AF203" s="30" t="n">
        <f aca="false">-AD203*AB203</f>
        <v>-0</v>
      </c>
      <c r="AG203" s="30" t="n">
        <f aca="false">AF203-AF202</f>
        <v>0</v>
      </c>
      <c r="AH203" s="30" t="n">
        <f aca="false">MAX(AE203,0)*(Inputs!$B$17+Inputs!$B$18+Inputs!$B$19)+MAX(-AE203,0)*(O203+Inputs!$B$18+Inputs!$B$19)+IF(AND(K203=1,AB203&lt;&gt;0),(Inputs!$B$17+Inputs!$B$18+Inputs!$B$19)+(O203+Inputs!$B$18+Inputs!$B$19),0)+MAX(AG203,0)*(Inputs!$B$20+Inputs!$B$22+Inputs!$B$23)+MAX(-AG203,0)*(Inputs!$B$21+Inputs!$B$22+Inputs!$B$23)</f>
        <v>0</v>
      </c>
      <c r="AI203" s="30" t="n">
        <f aca="false">AB202*(M203-AD202*J203)+AB202*AD202*N203/Inputs!$B$16-AH203</f>
        <v>0</v>
      </c>
      <c r="AJ203" s="30" t="n">
        <f aca="false">MAX(AE203,0)*(Inputs!$B$17+Inputs!$B$24+Inputs!$B$25)+MAX(-AE203,0)*(O203+Inputs!$B$24+Inputs!$B$25)+IF(AND(K203=1,AB203&lt;&gt;0),(Inputs!$B$17+Inputs!$B$24+Inputs!$B$25)+(O203+Inputs!$B$24+Inputs!$B$25),0)+MAX(AG203,0)*(Inputs!$B$20+Inputs!$B$26+Inputs!$B$27)+MAX(-AG203,0)*(Inputs!$B$21+Inputs!$B$26+Inputs!$B$27)</f>
        <v>0</v>
      </c>
      <c r="AK203" s="30" t="n">
        <f aca="false">AB202*(M203-AD202*J203)+AB202*AD202*(N203+Inputs!$B$14)/Inputs!$B$16-AJ203</f>
        <v>0</v>
      </c>
      <c r="AL203" s="30" t="n">
        <f aca="false">IF(AP202&lt;&gt;0,AQ202+1,0)</f>
        <v>0</v>
      </c>
      <c r="AM203" s="30" t="n">
        <f aca="false">IF(W203="",0,IF(AND(AP202&lt;&gt;0,OR(ABS(W203)&gt;Inputs!$B$7,AL203&gt;=Inputs!$B$8,ABS(W203)&lt;Inputs!$B$6)),1,0))</f>
        <v>0</v>
      </c>
      <c r="AN203" s="30" t="n">
        <f aca="false">IF(AM203=1,0,AP202)</f>
        <v>0</v>
      </c>
      <c r="AO203" s="30" t="n">
        <f aca="false">IF(W203="",0,IF(AND(AN203=0,ABS(W203)&gt;Inputs!$B$5,ABS(W203)&lt;=Inputs!$B$7,W203&gt;0),1,0))</f>
        <v>0</v>
      </c>
      <c r="AP203" s="30" t="n">
        <f aca="false">IF(W203="",0,IF(AO203=1,-SIGN(W203),AN203))</f>
        <v>0</v>
      </c>
      <c r="AQ203" s="30" t="n">
        <f aca="false">IF(W203="",0,IF(AO203=1,0,IF(AM203=1,0,AL203)))</f>
        <v>0</v>
      </c>
      <c r="AR203" s="30" t="n">
        <f aca="false">IF(AP203=0,0,IF(AP202=AP203,AR202,T203))</f>
        <v>0</v>
      </c>
      <c r="AS203" s="30" t="n">
        <f aca="false">AP203-AP202</f>
        <v>0</v>
      </c>
      <c r="AT203" s="30" t="n">
        <f aca="false">-AR203*AP203</f>
        <v>-0</v>
      </c>
      <c r="AU203" s="30" t="n">
        <f aca="false">AT203-AT202</f>
        <v>0</v>
      </c>
      <c r="AV203" s="30" t="n">
        <f aca="false">MAX(AS203,0)*(Inputs!$B$17+Inputs!$B$18+Inputs!$B$19)+MAX(-AS203,0)*(O203+Inputs!$B$18+Inputs!$B$19)+IF(AND(K203=1,AP203&lt;&gt;0),(Inputs!$B$17+Inputs!$B$18+Inputs!$B$19)+(O203+Inputs!$B$18+Inputs!$B$19),0)+MAX(AU203,0)*(Inputs!$B$20+Inputs!$B$22+Inputs!$B$23)+MAX(-AU203,0)*(Inputs!$B$21+Inputs!$B$22+Inputs!$B$23)</f>
        <v>0</v>
      </c>
      <c r="AW203" s="30" t="n">
        <f aca="false">AP202*(M203-AR202*J203)+AP202*AR202*N203/Inputs!$B$16-AV203</f>
        <v>0</v>
      </c>
      <c r="AX203" s="30" t="n">
        <f aca="false">AW203-IF(AP202&lt;&gt;0,0.75*AR202*(Inputs!$B$13-N203)/Inputs!$B$16,0)</f>
        <v>0</v>
      </c>
      <c r="AY203" s="30" t="n">
        <f aca="false">MAX(AS203,0)*(Inputs!$B$17+Inputs!$B$18+Inputs!$B$19)+MAX(-AS203,0)*(O203+Inputs!$B$18+Inputs!$B$19)+IF(AND(K203=1,AP203&lt;&gt;0),(Inputs!$B$17+Inputs!$B$18+Inputs!$B$19)+(O203+Inputs!$B$18+Inputs!$B$19),0)</f>
        <v>0</v>
      </c>
      <c r="AZ203" s="30" t="n">
        <f aca="false">AP202*M203-AY203</f>
        <v>0</v>
      </c>
      <c r="BA203" s="32" t="n">
        <f aca="false">BA202+AI203</f>
        <v>-0.00441407236435048</v>
      </c>
      <c r="BB203" s="30" t="n">
        <f aca="false">MAX(BB202,BA203)</f>
        <v>0</v>
      </c>
      <c r="BC203" s="32" t="n">
        <f aca="false">BA203-BB203</f>
        <v>-0.00441407236435048</v>
      </c>
      <c r="BD203" s="30" t="n">
        <f aca="false">A204-A203</f>
        <v>1</v>
      </c>
    </row>
    <row r="204" customFormat="false" ht="15" hidden="false" customHeight="false" outlineLevel="0" collapsed="false">
      <c r="A204" s="28" t="n">
        <v>45338</v>
      </c>
      <c r="B204" s="0" t="n">
        <v>22087.55</v>
      </c>
      <c r="C204" s="0" t="n">
        <v>244.19</v>
      </c>
      <c r="D204" s="29" t="n">
        <f aca="false">LN(B204)</f>
        <v>10.0027693803492</v>
      </c>
      <c r="E204" s="29" t="n">
        <f aca="false">LN(C204)</f>
        <v>5.49794661079718</v>
      </c>
      <c r="F204" s="0" t="n">
        <v>199</v>
      </c>
      <c r="G204" s="0" t="n">
        <v>13</v>
      </c>
      <c r="H204" s="29" t="n">
        <f aca="false">D204-E204</f>
        <v>4.50482276955204</v>
      </c>
      <c r="I204" s="29" t="n">
        <f aca="false">D204-D203</f>
        <v>0.00319467720149724</v>
      </c>
      <c r="J204" s="29" t="n">
        <f aca="false">E204-E203</f>
        <v>0.00529677478905199</v>
      </c>
      <c r="K204" s="0" t="n">
        <v>0</v>
      </c>
      <c r="L204" s="0" t="n">
        <v>0</v>
      </c>
      <c r="M204" s="29" t="n">
        <f aca="false">IF(L204=1,J204-Carry!$B$9/Inputs!$B$16,I204)</f>
        <v>0.00319467720149724</v>
      </c>
      <c r="N204" s="0" t="n">
        <v>0.065</v>
      </c>
      <c r="O204" s="0" t="n">
        <v>0.000125</v>
      </c>
      <c r="P204" s="29" t="n">
        <f aca="false">D204-('2 Hedge ratio'!$B$6+'2 Hedge ratio'!$B$5*E204)</f>
        <v>0.00413328793991497</v>
      </c>
      <c r="Q204" s="29" t="n">
        <f aca="false">D204-('5 Re-specification'!$B$7+'5 Re-specification'!$B$5*E204+'5 Re-specification'!$B$6*F204)</f>
        <v>-0.000775789774072777</v>
      </c>
      <c r="R204" s="30" t="n">
        <f aca="false">MIN(F204,Inputs!$B$9)</f>
        <v>199</v>
      </c>
      <c r="S204" s="29" t="n">
        <f aca="true">IF(AND(F204&gt;=1,R204&gt;=Inputs!$B$10),INDEX(LINEST(OFFSET(D204,-R204,0,R204,1),OFFSET(E204,-R204,0,R204,2)),1,1),"")</f>
        <v>-7.56977217213115E-005</v>
      </c>
      <c r="T204" s="29" t="n">
        <f aca="true">IF(AND(F204&gt;=1,R204&gt;=Inputs!$B$10),INDEX(LINEST(OFFSET(D204,-R204,0,R204,1),OFFSET(E204,-R204,0,R204,2)),1,2),"")</f>
        <v>1.03251709954152</v>
      </c>
      <c r="U204" s="29" t="n">
        <f aca="true">IF(AND(F204&gt;=1,R204&gt;=Inputs!$B$10),INDEX(LINEST(OFFSET(D204,-R204,0,R204,1),OFFSET(E204,-R204,0,R204,2)),1,3),"")</f>
        <v>4.34276819946521</v>
      </c>
      <c r="V204" s="29" t="n">
        <f aca="true">IF(AND(F204&gt;=1,R204&gt;=Inputs!$B$10),SQRT(SUMPRODUCT((OFFSET(D204,-R204,0,R204,1)-U204-T204*OFFSET(E204,-R204,0,R204,1)-S204*OFFSET(F204,-R204,0,R204,1))^2)/(R204-3)),"")</f>
        <v>0.00261955776334433</v>
      </c>
      <c r="W204" s="31" t="n">
        <f aca="false">IF(AND(F204&gt;=1,R204&gt;=Inputs!$B$10),(D204-U204-T204*E204-S204*F204)/V204,"")</f>
        <v>-0.633259755168913</v>
      </c>
      <c r="X204" s="30" t="n">
        <f aca="false">IF(AB203&lt;&gt;0,AC203+1,0)</f>
        <v>0</v>
      </c>
      <c r="Y204" s="30" t="n">
        <f aca="false">IF(W204="",0,IF(AND(AB203&lt;&gt;0,OR(ABS(W204)&gt;Inputs!$B$7,X204&gt;=Inputs!$B$8,ABS(W204)&lt;Inputs!$B$6)),1,0))</f>
        <v>0</v>
      </c>
      <c r="Z204" s="30" t="n">
        <f aca="false">IF(Y204=1,0,AB203)</f>
        <v>0</v>
      </c>
      <c r="AA204" s="30" t="n">
        <f aca="false">IF(W204="",0,IF(AND(Z204=0,ABS(W204)&gt;Inputs!$B$5,ABS(W204)&lt;=Inputs!$B$7),1,0))</f>
        <v>0</v>
      </c>
      <c r="AB204" s="30" t="n">
        <f aca="false">IF(W204="",0,IF(AA204=1,-SIGN(W204),Z204))</f>
        <v>0</v>
      </c>
      <c r="AC204" s="30" t="n">
        <f aca="false">IF(W204="",0,IF(AA204=1,0,IF(Y204=1,0,X204)))</f>
        <v>0</v>
      </c>
      <c r="AD204" s="30" t="n">
        <f aca="false">IF(AB204=0,0,IF(AB203=AB204,AD203,T204))</f>
        <v>0</v>
      </c>
      <c r="AE204" s="30" t="n">
        <f aca="false">AB204-AB203</f>
        <v>0</v>
      </c>
      <c r="AF204" s="30" t="n">
        <f aca="false">-AD204*AB204</f>
        <v>-0</v>
      </c>
      <c r="AG204" s="30" t="n">
        <f aca="false">AF204-AF203</f>
        <v>0</v>
      </c>
      <c r="AH204" s="30" t="n">
        <f aca="false">MAX(AE204,0)*(Inputs!$B$17+Inputs!$B$18+Inputs!$B$19)+MAX(-AE204,0)*(O204+Inputs!$B$18+Inputs!$B$19)+IF(AND(K204=1,AB204&lt;&gt;0),(Inputs!$B$17+Inputs!$B$18+Inputs!$B$19)+(O204+Inputs!$B$18+Inputs!$B$19),0)+MAX(AG204,0)*(Inputs!$B$20+Inputs!$B$22+Inputs!$B$23)+MAX(-AG204,0)*(Inputs!$B$21+Inputs!$B$22+Inputs!$B$23)</f>
        <v>0</v>
      </c>
      <c r="AI204" s="30" t="n">
        <f aca="false">AB203*(M204-AD203*J204)+AB203*AD203*N204/Inputs!$B$16-AH204</f>
        <v>0</v>
      </c>
      <c r="AJ204" s="30" t="n">
        <f aca="false">MAX(AE204,0)*(Inputs!$B$17+Inputs!$B$24+Inputs!$B$25)+MAX(-AE204,0)*(O204+Inputs!$B$24+Inputs!$B$25)+IF(AND(K204=1,AB204&lt;&gt;0),(Inputs!$B$17+Inputs!$B$24+Inputs!$B$25)+(O204+Inputs!$B$24+Inputs!$B$25),0)+MAX(AG204,0)*(Inputs!$B$20+Inputs!$B$26+Inputs!$B$27)+MAX(-AG204,0)*(Inputs!$B$21+Inputs!$B$26+Inputs!$B$27)</f>
        <v>0</v>
      </c>
      <c r="AK204" s="30" t="n">
        <f aca="false">AB203*(M204-AD203*J204)+AB203*AD203*(N204+Inputs!$B$14)/Inputs!$B$16-AJ204</f>
        <v>0</v>
      </c>
      <c r="AL204" s="30" t="n">
        <f aca="false">IF(AP203&lt;&gt;0,AQ203+1,0)</f>
        <v>0</v>
      </c>
      <c r="AM204" s="30" t="n">
        <f aca="false">IF(W204="",0,IF(AND(AP203&lt;&gt;0,OR(ABS(W204)&gt;Inputs!$B$7,AL204&gt;=Inputs!$B$8,ABS(W204)&lt;Inputs!$B$6)),1,0))</f>
        <v>0</v>
      </c>
      <c r="AN204" s="30" t="n">
        <f aca="false">IF(AM204=1,0,AP203)</f>
        <v>0</v>
      </c>
      <c r="AO204" s="30" t="n">
        <f aca="false">IF(W204="",0,IF(AND(AN204=0,ABS(W204)&gt;Inputs!$B$5,ABS(W204)&lt;=Inputs!$B$7,W204&gt;0),1,0))</f>
        <v>0</v>
      </c>
      <c r="AP204" s="30" t="n">
        <f aca="false">IF(W204="",0,IF(AO204=1,-SIGN(W204),AN204))</f>
        <v>0</v>
      </c>
      <c r="AQ204" s="30" t="n">
        <f aca="false">IF(W204="",0,IF(AO204=1,0,IF(AM204=1,0,AL204)))</f>
        <v>0</v>
      </c>
      <c r="AR204" s="30" t="n">
        <f aca="false">IF(AP204=0,0,IF(AP203=AP204,AR203,T204))</f>
        <v>0</v>
      </c>
      <c r="AS204" s="30" t="n">
        <f aca="false">AP204-AP203</f>
        <v>0</v>
      </c>
      <c r="AT204" s="30" t="n">
        <f aca="false">-AR204*AP204</f>
        <v>-0</v>
      </c>
      <c r="AU204" s="30" t="n">
        <f aca="false">AT204-AT203</f>
        <v>0</v>
      </c>
      <c r="AV204" s="30" t="n">
        <f aca="false">MAX(AS204,0)*(Inputs!$B$17+Inputs!$B$18+Inputs!$B$19)+MAX(-AS204,0)*(O204+Inputs!$B$18+Inputs!$B$19)+IF(AND(K204=1,AP204&lt;&gt;0),(Inputs!$B$17+Inputs!$B$18+Inputs!$B$19)+(O204+Inputs!$B$18+Inputs!$B$19),0)+MAX(AU204,0)*(Inputs!$B$20+Inputs!$B$22+Inputs!$B$23)+MAX(-AU204,0)*(Inputs!$B$21+Inputs!$B$22+Inputs!$B$23)</f>
        <v>0</v>
      </c>
      <c r="AW204" s="30" t="n">
        <f aca="false">AP203*(M204-AR203*J204)+AP203*AR203*N204/Inputs!$B$16-AV204</f>
        <v>0</v>
      </c>
      <c r="AX204" s="30" t="n">
        <f aca="false">AW204-IF(AP203&lt;&gt;0,0.75*AR203*(Inputs!$B$13-N204)/Inputs!$B$16,0)</f>
        <v>0</v>
      </c>
      <c r="AY204" s="30" t="n">
        <f aca="false">MAX(AS204,0)*(Inputs!$B$17+Inputs!$B$18+Inputs!$B$19)+MAX(-AS204,0)*(O204+Inputs!$B$18+Inputs!$B$19)+IF(AND(K204=1,AP204&lt;&gt;0),(Inputs!$B$17+Inputs!$B$18+Inputs!$B$19)+(O204+Inputs!$B$18+Inputs!$B$19),0)</f>
        <v>0</v>
      </c>
      <c r="AZ204" s="30" t="n">
        <f aca="false">AP203*M204-AY204</f>
        <v>0</v>
      </c>
      <c r="BA204" s="32" t="n">
        <f aca="false">BA203+AI204</f>
        <v>-0.00441407236435048</v>
      </c>
      <c r="BB204" s="30" t="n">
        <f aca="false">MAX(BB203,BA204)</f>
        <v>0</v>
      </c>
      <c r="BC204" s="32" t="n">
        <f aca="false">BA204-BB204</f>
        <v>-0.00441407236435048</v>
      </c>
      <c r="BD204" s="30" t="n">
        <f aca="false">A205-A204</f>
        <v>3</v>
      </c>
    </row>
    <row r="205" customFormat="false" ht="15" hidden="false" customHeight="false" outlineLevel="0" collapsed="false">
      <c r="A205" s="28" t="n">
        <v>45341</v>
      </c>
      <c r="B205" s="0" t="n">
        <v>22168</v>
      </c>
      <c r="C205" s="0" t="n">
        <v>245.17</v>
      </c>
      <c r="D205" s="29" t="n">
        <f aca="false">LN(B205)</f>
        <v>10.0064050865428</v>
      </c>
      <c r="E205" s="29" t="n">
        <f aca="false">LN(C205)</f>
        <v>5.50195184747402</v>
      </c>
      <c r="F205" s="0" t="n">
        <v>200</v>
      </c>
      <c r="G205" s="0" t="n">
        <v>10</v>
      </c>
      <c r="H205" s="29" t="n">
        <f aca="false">D205-E205</f>
        <v>4.50445323906879</v>
      </c>
      <c r="I205" s="29" t="n">
        <f aca="false">D205-D204</f>
        <v>0.00363570619359876</v>
      </c>
      <c r="J205" s="29" t="n">
        <f aca="false">E205-E204</f>
        <v>0.00400523667684194</v>
      </c>
      <c r="K205" s="0" t="n">
        <v>0</v>
      </c>
      <c r="L205" s="0" t="n">
        <v>0</v>
      </c>
      <c r="M205" s="29" t="n">
        <f aca="false">IF(L205=1,J205-Carry!$B$9/Inputs!$B$16,I205)</f>
        <v>0.00363570619359876</v>
      </c>
      <c r="N205" s="0" t="n">
        <v>0.065</v>
      </c>
      <c r="O205" s="0" t="n">
        <v>0.000125</v>
      </c>
      <c r="P205" s="29" t="n">
        <f aca="false">D205-('2 Hedge ratio'!$B$6+'2 Hedge ratio'!$B$5*E205)</f>
        <v>0.00409968963674245</v>
      </c>
      <c r="Q205" s="29" t="n">
        <f aca="false">D205-('5 Re-specification'!$B$7+'5 Re-specification'!$B$5*E205+'5 Re-specification'!$B$6*F205)</f>
        <v>-0.0010882530693852</v>
      </c>
      <c r="R205" s="30" t="n">
        <f aca="false">MIN(F205,Inputs!$B$9)</f>
        <v>200</v>
      </c>
      <c r="S205" s="29" t="n">
        <f aca="true">IF(AND(F205&gt;=1,R205&gt;=Inputs!$B$10),INDEX(LINEST(OFFSET(D205,-R205,0,R205,1),OFFSET(E205,-R205,0,R205,2)),1,1),"")</f>
        <v>-7.56759326706663E-005</v>
      </c>
      <c r="T205" s="29" t="n">
        <f aca="true">IF(AND(F205&gt;=1,R205&gt;=Inputs!$B$10),INDEX(LINEST(OFFSET(D205,-R205,0,R205,1),OFFSET(E205,-R205,0,R205,2)),1,2),"")</f>
        <v>1.03222389300856</v>
      </c>
      <c r="U205" s="29" t="n">
        <f aca="true">IF(AND(F205&gt;=1,R205&gt;=Inputs!$B$10),INDEX(LINEST(OFFSET(D205,-R205,0,R205,1),OFFSET(E205,-R205,0,R205,2)),1,3),"")</f>
        <v>4.34433738891727</v>
      </c>
      <c r="V205" s="29" t="n">
        <f aca="true">IF(AND(F205&gt;=1,R205&gt;=Inputs!$B$10),SQRT(SUMPRODUCT((OFFSET(D205,-R205,0,R205,1)-U205-T205*OFFSET(E205,-R205,0,R205,1)-S205*OFFSET(F205,-R205,0,R205,1))^2)/(R205-3)),"")</f>
        <v>0.00261551033710782</v>
      </c>
      <c r="W205" s="31" t="n">
        <f aca="false">IF(AND(F205&gt;=1,R205&gt;=Inputs!$B$10),(D205-U205-T205*E205-S205*F205)/V205,"")</f>
        <v>-0.7812131179937</v>
      </c>
      <c r="X205" s="30" t="n">
        <f aca="false">IF(AB204&lt;&gt;0,AC204+1,0)</f>
        <v>0</v>
      </c>
      <c r="Y205" s="30" t="n">
        <f aca="false">IF(W205="",0,IF(AND(AB204&lt;&gt;0,OR(ABS(W205)&gt;Inputs!$B$7,X205&gt;=Inputs!$B$8,ABS(W205)&lt;Inputs!$B$6)),1,0))</f>
        <v>0</v>
      </c>
      <c r="Z205" s="30" t="n">
        <f aca="false">IF(Y205=1,0,AB204)</f>
        <v>0</v>
      </c>
      <c r="AA205" s="30" t="n">
        <f aca="false">IF(W205="",0,IF(AND(Z205=0,ABS(W205)&gt;Inputs!$B$5,ABS(W205)&lt;=Inputs!$B$7),1,0))</f>
        <v>0</v>
      </c>
      <c r="AB205" s="30" t="n">
        <f aca="false">IF(W205="",0,IF(AA205=1,-SIGN(W205),Z205))</f>
        <v>0</v>
      </c>
      <c r="AC205" s="30" t="n">
        <f aca="false">IF(W205="",0,IF(AA205=1,0,IF(Y205=1,0,X205)))</f>
        <v>0</v>
      </c>
      <c r="AD205" s="30" t="n">
        <f aca="false">IF(AB205=0,0,IF(AB204=AB205,AD204,T205))</f>
        <v>0</v>
      </c>
      <c r="AE205" s="30" t="n">
        <f aca="false">AB205-AB204</f>
        <v>0</v>
      </c>
      <c r="AF205" s="30" t="n">
        <f aca="false">-AD205*AB205</f>
        <v>-0</v>
      </c>
      <c r="AG205" s="30" t="n">
        <f aca="false">AF205-AF204</f>
        <v>0</v>
      </c>
      <c r="AH205" s="30" t="n">
        <f aca="false">MAX(AE205,0)*(Inputs!$B$17+Inputs!$B$18+Inputs!$B$19)+MAX(-AE205,0)*(O205+Inputs!$B$18+Inputs!$B$19)+IF(AND(K205=1,AB205&lt;&gt;0),(Inputs!$B$17+Inputs!$B$18+Inputs!$B$19)+(O205+Inputs!$B$18+Inputs!$B$19),0)+MAX(AG205,0)*(Inputs!$B$20+Inputs!$B$22+Inputs!$B$23)+MAX(-AG205,0)*(Inputs!$B$21+Inputs!$B$22+Inputs!$B$23)</f>
        <v>0</v>
      </c>
      <c r="AI205" s="30" t="n">
        <f aca="false">AB204*(M205-AD204*J205)+AB204*AD204*N205/Inputs!$B$16-AH205</f>
        <v>0</v>
      </c>
      <c r="AJ205" s="30" t="n">
        <f aca="false">MAX(AE205,0)*(Inputs!$B$17+Inputs!$B$24+Inputs!$B$25)+MAX(-AE205,0)*(O205+Inputs!$B$24+Inputs!$B$25)+IF(AND(K205=1,AB205&lt;&gt;0),(Inputs!$B$17+Inputs!$B$24+Inputs!$B$25)+(O205+Inputs!$B$24+Inputs!$B$25),0)+MAX(AG205,0)*(Inputs!$B$20+Inputs!$B$26+Inputs!$B$27)+MAX(-AG205,0)*(Inputs!$B$21+Inputs!$B$26+Inputs!$B$27)</f>
        <v>0</v>
      </c>
      <c r="AK205" s="30" t="n">
        <f aca="false">AB204*(M205-AD204*J205)+AB204*AD204*(N205+Inputs!$B$14)/Inputs!$B$16-AJ205</f>
        <v>0</v>
      </c>
      <c r="AL205" s="30" t="n">
        <f aca="false">IF(AP204&lt;&gt;0,AQ204+1,0)</f>
        <v>0</v>
      </c>
      <c r="AM205" s="30" t="n">
        <f aca="false">IF(W205="",0,IF(AND(AP204&lt;&gt;0,OR(ABS(W205)&gt;Inputs!$B$7,AL205&gt;=Inputs!$B$8,ABS(W205)&lt;Inputs!$B$6)),1,0))</f>
        <v>0</v>
      </c>
      <c r="AN205" s="30" t="n">
        <f aca="false">IF(AM205=1,0,AP204)</f>
        <v>0</v>
      </c>
      <c r="AO205" s="30" t="n">
        <f aca="false">IF(W205="",0,IF(AND(AN205=0,ABS(W205)&gt;Inputs!$B$5,ABS(W205)&lt;=Inputs!$B$7,W205&gt;0),1,0))</f>
        <v>0</v>
      </c>
      <c r="AP205" s="30" t="n">
        <f aca="false">IF(W205="",0,IF(AO205=1,-SIGN(W205),AN205))</f>
        <v>0</v>
      </c>
      <c r="AQ205" s="30" t="n">
        <f aca="false">IF(W205="",0,IF(AO205=1,0,IF(AM205=1,0,AL205)))</f>
        <v>0</v>
      </c>
      <c r="AR205" s="30" t="n">
        <f aca="false">IF(AP205=0,0,IF(AP204=AP205,AR204,T205))</f>
        <v>0</v>
      </c>
      <c r="AS205" s="30" t="n">
        <f aca="false">AP205-AP204</f>
        <v>0</v>
      </c>
      <c r="AT205" s="30" t="n">
        <f aca="false">-AR205*AP205</f>
        <v>-0</v>
      </c>
      <c r="AU205" s="30" t="n">
        <f aca="false">AT205-AT204</f>
        <v>0</v>
      </c>
      <c r="AV205" s="30" t="n">
        <f aca="false">MAX(AS205,0)*(Inputs!$B$17+Inputs!$B$18+Inputs!$B$19)+MAX(-AS205,0)*(O205+Inputs!$B$18+Inputs!$B$19)+IF(AND(K205=1,AP205&lt;&gt;0),(Inputs!$B$17+Inputs!$B$18+Inputs!$B$19)+(O205+Inputs!$B$18+Inputs!$B$19),0)+MAX(AU205,0)*(Inputs!$B$20+Inputs!$B$22+Inputs!$B$23)+MAX(-AU205,0)*(Inputs!$B$21+Inputs!$B$22+Inputs!$B$23)</f>
        <v>0</v>
      </c>
      <c r="AW205" s="30" t="n">
        <f aca="false">AP204*(M205-AR204*J205)+AP204*AR204*N205/Inputs!$B$16-AV205</f>
        <v>0</v>
      </c>
      <c r="AX205" s="30" t="n">
        <f aca="false">AW205-IF(AP204&lt;&gt;0,0.75*AR204*(Inputs!$B$13-N205)/Inputs!$B$16,0)</f>
        <v>0</v>
      </c>
      <c r="AY205" s="30" t="n">
        <f aca="false">MAX(AS205,0)*(Inputs!$B$17+Inputs!$B$18+Inputs!$B$19)+MAX(-AS205,0)*(O205+Inputs!$B$18+Inputs!$B$19)+IF(AND(K205=1,AP205&lt;&gt;0),(Inputs!$B$17+Inputs!$B$18+Inputs!$B$19)+(O205+Inputs!$B$18+Inputs!$B$19),0)</f>
        <v>0</v>
      </c>
      <c r="AZ205" s="30" t="n">
        <f aca="false">AP204*M205-AY205</f>
        <v>0</v>
      </c>
      <c r="BA205" s="32" t="n">
        <f aca="false">BA204+AI205</f>
        <v>-0.00441407236435048</v>
      </c>
      <c r="BB205" s="30" t="n">
        <f aca="false">MAX(BB204,BA205)</f>
        <v>0</v>
      </c>
      <c r="BC205" s="32" t="n">
        <f aca="false">BA205-BB205</f>
        <v>-0.00441407236435048</v>
      </c>
      <c r="BD205" s="30" t="n">
        <f aca="false">A206-A205</f>
        <v>1</v>
      </c>
    </row>
    <row r="206" customFormat="false" ht="15" hidden="false" customHeight="false" outlineLevel="0" collapsed="false">
      <c r="A206" s="28" t="n">
        <v>45342</v>
      </c>
      <c r="B206" s="0" t="n">
        <v>22231.95</v>
      </c>
      <c r="C206" s="0" t="n">
        <v>245.42</v>
      </c>
      <c r="D206" s="29" t="n">
        <f aca="false">LN(B206)</f>
        <v>10.0092857224094</v>
      </c>
      <c r="E206" s="29" t="n">
        <f aca="false">LN(C206)</f>
        <v>5.5029710285484</v>
      </c>
      <c r="F206" s="0" t="n">
        <v>201</v>
      </c>
      <c r="G206" s="0" t="n">
        <v>9</v>
      </c>
      <c r="H206" s="29" t="n">
        <f aca="false">D206-E206</f>
        <v>4.50631469386097</v>
      </c>
      <c r="I206" s="29" t="n">
        <f aca="false">D206-D205</f>
        <v>0.00288063586656051</v>
      </c>
      <c r="J206" s="29" t="n">
        <f aca="false">E206-E205</f>
        <v>0.0010191810743807</v>
      </c>
      <c r="K206" s="0" t="n">
        <v>0</v>
      </c>
      <c r="L206" s="0" t="n">
        <v>0</v>
      </c>
      <c r="M206" s="29" t="n">
        <f aca="false">IF(L206=1,J206-Carry!$B$9/Inputs!$B$16,I206)</f>
        <v>0.00288063586656051</v>
      </c>
      <c r="N206" s="0" t="n">
        <v>0.065</v>
      </c>
      <c r="O206" s="0" t="n">
        <v>0.000125</v>
      </c>
      <c r="P206" s="29" t="n">
        <f aca="false">D206-('2 Hedge ratio'!$B$6+'2 Hedge ratio'!$B$5*E206)</f>
        <v>0.00604662644854592</v>
      </c>
      <c r="Q206" s="29" t="n">
        <f aca="false">D206-('5 Re-specification'!$B$7+'5 Re-specification'!$B$5*E206+'5 Re-specification'!$B$6*F206)</f>
        <v>0.00082121966915949</v>
      </c>
      <c r="R206" s="30" t="n">
        <f aca="false">MIN(F206,Inputs!$B$9)</f>
        <v>201</v>
      </c>
      <c r="S206" s="29" t="n">
        <f aca="true">IF(AND(F206&gt;=1,R206&gt;=Inputs!$B$10),INDEX(LINEST(OFFSET(D206,-R206,0,R206,1),OFFSET(E206,-R206,0,R206,2)),1,1),"")</f>
        <v>-7.56002045303313E-005</v>
      </c>
      <c r="T206" s="29" t="n">
        <f aca="true">IF(AND(F206&gt;=1,R206&gt;=Inputs!$B$10),INDEX(LINEST(OFFSET(D206,-R206,0,R206,1),OFFSET(E206,-R206,0,R206,2)),1,2),"")</f>
        <v>1.03181427060724</v>
      </c>
      <c r="U206" s="29" t="n">
        <f aca="true">IF(AND(F206&gt;=1,R206&gt;=Inputs!$B$10),INDEX(LINEST(OFFSET(D206,-R206,0,R206,1),OFFSET(E206,-R206,0,R206,2)),1,3),"")</f>
        <v>4.34652672668786</v>
      </c>
      <c r="V206" s="29" t="n">
        <f aca="true">IF(AND(F206&gt;=1,R206&gt;=Inputs!$B$10),SQRT(SUMPRODUCT((OFFSET(D206,-R206,0,R206,1)-U206-T206*OFFSET(E206,-R206,0,R206,1)-S206*OFFSET(F206,-R206,0,R206,1))^2)/(R206-3)),"")</f>
        <v>0.00261283789440344</v>
      </c>
      <c r="W206" s="31" t="n">
        <f aca="false">IF(AND(F206&gt;=1,R206&gt;=Inputs!$B$10),(D206-U206-T206*E206-S206*F206)/V206,"")</f>
        <v>-0.0342161151797777</v>
      </c>
      <c r="X206" s="30" t="n">
        <f aca="false">IF(AB205&lt;&gt;0,AC205+1,0)</f>
        <v>0</v>
      </c>
      <c r="Y206" s="30" t="n">
        <f aca="false">IF(W206="",0,IF(AND(AB205&lt;&gt;0,OR(ABS(W206)&gt;Inputs!$B$7,X206&gt;=Inputs!$B$8,ABS(W206)&lt;Inputs!$B$6)),1,0))</f>
        <v>0</v>
      </c>
      <c r="Z206" s="30" t="n">
        <f aca="false">IF(Y206=1,0,AB205)</f>
        <v>0</v>
      </c>
      <c r="AA206" s="30" t="n">
        <f aca="false">IF(W206="",0,IF(AND(Z206=0,ABS(W206)&gt;Inputs!$B$5,ABS(W206)&lt;=Inputs!$B$7),1,0))</f>
        <v>0</v>
      </c>
      <c r="AB206" s="30" t="n">
        <f aca="false">IF(W206="",0,IF(AA206=1,-SIGN(W206),Z206))</f>
        <v>0</v>
      </c>
      <c r="AC206" s="30" t="n">
        <f aca="false">IF(W206="",0,IF(AA206=1,0,IF(Y206=1,0,X206)))</f>
        <v>0</v>
      </c>
      <c r="AD206" s="30" t="n">
        <f aca="false">IF(AB206=0,0,IF(AB205=AB206,AD205,T206))</f>
        <v>0</v>
      </c>
      <c r="AE206" s="30" t="n">
        <f aca="false">AB206-AB205</f>
        <v>0</v>
      </c>
      <c r="AF206" s="30" t="n">
        <f aca="false">-AD206*AB206</f>
        <v>-0</v>
      </c>
      <c r="AG206" s="30" t="n">
        <f aca="false">AF206-AF205</f>
        <v>0</v>
      </c>
      <c r="AH206" s="30" t="n">
        <f aca="false">MAX(AE206,0)*(Inputs!$B$17+Inputs!$B$18+Inputs!$B$19)+MAX(-AE206,0)*(O206+Inputs!$B$18+Inputs!$B$19)+IF(AND(K206=1,AB206&lt;&gt;0),(Inputs!$B$17+Inputs!$B$18+Inputs!$B$19)+(O206+Inputs!$B$18+Inputs!$B$19),0)+MAX(AG206,0)*(Inputs!$B$20+Inputs!$B$22+Inputs!$B$23)+MAX(-AG206,0)*(Inputs!$B$21+Inputs!$B$22+Inputs!$B$23)</f>
        <v>0</v>
      </c>
      <c r="AI206" s="30" t="n">
        <f aca="false">AB205*(M206-AD205*J206)+AB205*AD205*N206/Inputs!$B$16-AH206</f>
        <v>0</v>
      </c>
      <c r="AJ206" s="30" t="n">
        <f aca="false">MAX(AE206,0)*(Inputs!$B$17+Inputs!$B$24+Inputs!$B$25)+MAX(-AE206,0)*(O206+Inputs!$B$24+Inputs!$B$25)+IF(AND(K206=1,AB206&lt;&gt;0),(Inputs!$B$17+Inputs!$B$24+Inputs!$B$25)+(O206+Inputs!$B$24+Inputs!$B$25),0)+MAX(AG206,0)*(Inputs!$B$20+Inputs!$B$26+Inputs!$B$27)+MAX(-AG206,0)*(Inputs!$B$21+Inputs!$B$26+Inputs!$B$27)</f>
        <v>0</v>
      </c>
      <c r="AK206" s="30" t="n">
        <f aca="false">AB205*(M206-AD205*J206)+AB205*AD205*(N206+Inputs!$B$14)/Inputs!$B$16-AJ206</f>
        <v>0</v>
      </c>
      <c r="AL206" s="30" t="n">
        <f aca="false">IF(AP205&lt;&gt;0,AQ205+1,0)</f>
        <v>0</v>
      </c>
      <c r="AM206" s="30" t="n">
        <f aca="false">IF(W206="",0,IF(AND(AP205&lt;&gt;0,OR(ABS(W206)&gt;Inputs!$B$7,AL206&gt;=Inputs!$B$8,ABS(W206)&lt;Inputs!$B$6)),1,0))</f>
        <v>0</v>
      </c>
      <c r="AN206" s="30" t="n">
        <f aca="false">IF(AM206=1,0,AP205)</f>
        <v>0</v>
      </c>
      <c r="AO206" s="30" t="n">
        <f aca="false">IF(W206="",0,IF(AND(AN206=0,ABS(W206)&gt;Inputs!$B$5,ABS(W206)&lt;=Inputs!$B$7,W206&gt;0),1,0))</f>
        <v>0</v>
      </c>
      <c r="AP206" s="30" t="n">
        <f aca="false">IF(W206="",0,IF(AO206=1,-SIGN(W206),AN206))</f>
        <v>0</v>
      </c>
      <c r="AQ206" s="30" t="n">
        <f aca="false">IF(W206="",0,IF(AO206=1,0,IF(AM206=1,0,AL206)))</f>
        <v>0</v>
      </c>
      <c r="AR206" s="30" t="n">
        <f aca="false">IF(AP206=0,0,IF(AP205=AP206,AR205,T206))</f>
        <v>0</v>
      </c>
      <c r="AS206" s="30" t="n">
        <f aca="false">AP206-AP205</f>
        <v>0</v>
      </c>
      <c r="AT206" s="30" t="n">
        <f aca="false">-AR206*AP206</f>
        <v>-0</v>
      </c>
      <c r="AU206" s="30" t="n">
        <f aca="false">AT206-AT205</f>
        <v>0</v>
      </c>
      <c r="AV206" s="30" t="n">
        <f aca="false">MAX(AS206,0)*(Inputs!$B$17+Inputs!$B$18+Inputs!$B$19)+MAX(-AS206,0)*(O206+Inputs!$B$18+Inputs!$B$19)+IF(AND(K206=1,AP206&lt;&gt;0),(Inputs!$B$17+Inputs!$B$18+Inputs!$B$19)+(O206+Inputs!$B$18+Inputs!$B$19),0)+MAX(AU206,0)*(Inputs!$B$20+Inputs!$B$22+Inputs!$B$23)+MAX(-AU206,0)*(Inputs!$B$21+Inputs!$B$22+Inputs!$B$23)</f>
        <v>0</v>
      </c>
      <c r="AW206" s="30" t="n">
        <f aca="false">AP205*(M206-AR205*J206)+AP205*AR205*N206/Inputs!$B$16-AV206</f>
        <v>0</v>
      </c>
      <c r="AX206" s="30" t="n">
        <f aca="false">AW206-IF(AP205&lt;&gt;0,0.75*AR205*(Inputs!$B$13-N206)/Inputs!$B$16,0)</f>
        <v>0</v>
      </c>
      <c r="AY206" s="30" t="n">
        <f aca="false">MAX(AS206,0)*(Inputs!$B$17+Inputs!$B$18+Inputs!$B$19)+MAX(-AS206,0)*(O206+Inputs!$B$18+Inputs!$B$19)+IF(AND(K206=1,AP206&lt;&gt;0),(Inputs!$B$17+Inputs!$B$18+Inputs!$B$19)+(O206+Inputs!$B$18+Inputs!$B$19),0)</f>
        <v>0</v>
      </c>
      <c r="AZ206" s="30" t="n">
        <f aca="false">AP205*M206-AY206</f>
        <v>0</v>
      </c>
      <c r="BA206" s="32" t="n">
        <f aca="false">BA205+AI206</f>
        <v>-0.00441407236435048</v>
      </c>
      <c r="BB206" s="30" t="n">
        <f aca="false">MAX(BB205,BA206)</f>
        <v>0</v>
      </c>
      <c r="BC206" s="32" t="n">
        <f aca="false">BA206-BB206</f>
        <v>-0.00441407236435048</v>
      </c>
      <c r="BD206" s="30" t="n">
        <f aca="false">A207-A206</f>
        <v>1</v>
      </c>
    </row>
    <row r="207" customFormat="false" ht="15" hidden="false" customHeight="false" outlineLevel="0" collapsed="false">
      <c r="A207" s="28" t="n">
        <v>45343</v>
      </c>
      <c r="B207" s="0" t="n">
        <v>22039</v>
      </c>
      <c r="C207" s="0" t="n">
        <v>243.73</v>
      </c>
      <c r="D207" s="29" t="n">
        <f aca="false">LN(B207)</f>
        <v>10.0005688901867</v>
      </c>
      <c r="E207" s="29" t="n">
        <f aca="false">LN(C207)</f>
        <v>5.49606105522951</v>
      </c>
      <c r="F207" s="0" t="n">
        <v>202</v>
      </c>
      <c r="G207" s="0" t="n">
        <v>8</v>
      </c>
      <c r="H207" s="29" t="n">
        <f aca="false">D207-E207</f>
        <v>4.50450783495718</v>
      </c>
      <c r="I207" s="29" t="n">
        <f aca="false">D207-D206</f>
        <v>-0.00871683222268338</v>
      </c>
      <c r="J207" s="29" t="n">
        <f aca="false">E207-E206</f>
        <v>-0.0069099733188871</v>
      </c>
      <c r="K207" s="0" t="n">
        <v>0</v>
      </c>
      <c r="L207" s="0" t="n">
        <v>0</v>
      </c>
      <c r="M207" s="29" t="n">
        <f aca="false">IF(L207=1,J207-Carry!$B$9/Inputs!$B$16,I207)</f>
        <v>-0.00871683222268338</v>
      </c>
      <c r="N207" s="0" t="n">
        <v>0.065</v>
      </c>
      <c r="O207" s="0" t="n">
        <v>0.000125</v>
      </c>
      <c r="P207" s="29" t="n">
        <f aca="false">D207-('2 Hedge ratio'!$B$6+'2 Hedge ratio'!$B$5*E207)</f>
        <v>0.00366020568897518</v>
      </c>
      <c r="Q207" s="29" t="n">
        <f aca="false">D207-('5 Re-specification'!$B$7+'5 Re-specification'!$B$5*E207+'5 Re-specification'!$B$6*F207)</f>
        <v>-0.000961650590831198</v>
      </c>
      <c r="R207" s="30" t="n">
        <f aca="false">MIN(F207,Inputs!$B$9)</f>
        <v>202</v>
      </c>
      <c r="S207" s="29" t="n">
        <f aca="true">IF(AND(F207&gt;=1,R207&gt;=Inputs!$B$10),INDEX(LINEST(OFFSET(D207,-R207,0,R207,1),OFFSET(E207,-R207,0,R207,2)),1,1),"")</f>
        <v>-7.55970268050238E-005</v>
      </c>
      <c r="T207" s="29" t="n">
        <f aca="true">IF(AND(F207&gt;=1,R207&gt;=Inputs!$B$10),INDEX(LINEST(OFFSET(D207,-R207,0,R207,1),OFFSET(E207,-R207,0,R207,2)),1,2),"")</f>
        <v>1.0317966970642</v>
      </c>
      <c r="U207" s="29" t="n">
        <f aca="true">IF(AND(F207&gt;=1,R207&gt;=Inputs!$B$10),INDEX(LINEST(OFFSET(D207,-R207,0,R207,1),OFFSET(E207,-R207,0,R207,2)),1,3),"")</f>
        <v>4.34662066230546</v>
      </c>
      <c r="V207" s="29" t="n">
        <f aca="true">IF(AND(F207&gt;=1,R207&gt;=Inputs!$B$10),SQRT(SUMPRODUCT((OFFSET(D207,-R207,0,R207,1)-U207-T207*OFFSET(E207,-R207,0,R207,1)-S207*OFFSET(F207,-R207,0,R207,1))^2)/(R207-3)),"")</f>
        <v>0.00260627222831953</v>
      </c>
      <c r="W207" s="31" t="n">
        <f aca="false">IF(AND(F207&gt;=1,R207&gt;=Inputs!$B$10),(D207-U207-T207*E207-S207*F207)/V207,"")</f>
        <v>-0.613449483817006</v>
      </c>
      <c r="X207" s="30" t="n">
        <f aca="false">IF(AB206&lt;&gt;0,AC206+1,0)</f>
        <v>0</v>
      </c>
      <c r="Y207" s="30" t="n">
        <f aca="false">IF(W207="",0,IF(AND(AB206&lt;&gt;0,OR(ABS(W207)&gt;Inputs!$B$7,X207&gt;=Inputs!$B$8,ABS(W207)&lt;Inputs!$B$6)),1,0))</f>
        <v>0</v>
      </c>
      <c r="Z207" s="30" t="n">
        <f aca="false">IF(Y207=1,0,AB206)</f>
        <v>0</v>
      </c>
      <c r="AA207" s="30" t="n">
        <f aca="false">IF(W207="",0,IF(AND(Z207=0,ABS(W207)&gt;Inputs!$B$5,ABS(W207)&lt;=Inputs!$B$7),1,0))</f>
        <v>0</v>
      </c>
      <c r="AB207" s="30" t="n">
        <f aca="false">IF(W207="",0,IF(AA207=1,-SIGN(W207),Z207))</f>
        <v>0</v>
      </c>
      <c r="AC207" s="30" t="n">
        <f aca="false">IF(W207="",0,IF(AA207=1,0,IF(Y207=1,0,X207)))</f>
        <v>0</v>
      </c>
      <c r="AD207" s="30" t="n">
        <f aca="false">IF(AB207=0,0,IF(AB206=AB207,AD206,T207))</f>
        <v>0</v>
      </c>
      <c r="AE207" s="30" t="n">
        <f aca="false">AB207-AB206</f>
        <v>0</v>
      </c>
      <c r="AF207" s="30" t="n">
        <f aca="false">-AD207*AB207</f>
        <v>-0</v>
      </c>
      <c r="AG207" s="30" t="n">
        <f aca="false">AF207-AF206</f>
        <v>0</v>
      </c>
      <c r="AH207" s="30" t="n">
        <f aca="false">MAX(AE207,0)*(Inputs!$B$17+Inputs!$B$18+Inputs!$B$19)+MAX(-AE207,0)*(O207+Inputs!$B$18+Inputs!$B$19)+IF(AND(K207=1,AB207&lt;&gt;0),(Inputs!$B$17+Inputs!$B$18+Inputs!$B$19)+(O207+Inputs!$B$18+Inputs!$B$19),0)+MAX(AG207,0)*(Inputs!$B$20+Inputs!$B$22+Inputs!$B$23)+MAX(-AG207,0)*(Inputs!$B$21+Inputs!$B$22+Inputs!$B$23)</f>
        <v>0</v>
      </c>
      <c r="AI207" s="30" t="n">
        <f aca="false">AB206*(M207-AD206*J207)+AB206*AD206*N207/Inputs!$B$16-AH207</f>
        <v>0</v>
      </c>
      <c r="AJ207" s="30" t="n">
        <f aca="false">MAX(AE207,0)*(Inputs!$B$17+Inputs!$B$24+Inputs!$B$25)+MAX(-AE207,0)*(O207+Inputs!$B$24+Inputs!$B$25)+IF(AND(K207=1,AB207&lt;&gt;0),(Inputs!$B$17+Inputs!$B$24+Inputs!$B$25)+(O207+Inputs!$B$24+Inputs!$B$25),0)+MAX(AG207,0)*(Inputs!$B$20+Inputs!$B$26+Inputs!$B$27)+MAX(-AG207,0)*(Inputs!$B$21+Inputs!$B$26+Inputs!$B$27)</f>
        <v>0</v>
      </c>
      <c r="AK207" s="30" t="n">
        <f aca="false">AB206*(M207-AD206*J207)+AB206*AD206*(N207+Inputs!$B$14)/Inputs!$B$16-AJ207</f>
        <v>0</v>
      </c>
      <c r="AL207" s="30" t="n">
        <f aca="false">IF(AP206&lt;&gt;0,AQ206+1,0)</f>
        <v>0</v>
      </c>
      <c r="AM207" s="30" t="n">
        <f aca="false">IF(W207="",0,IF(AND(AP206&lt;&gt;0,OR(ABS(W207)&gt;Inputs!$B$7,AL207&gt;=Inputs!$B$8,ABS(W207)&lt;Inputs!$B$6)),1,0))</f>
        <v>0</v>
      </c>
      <c r="AN207" s="30" t="n">
        <f aca="false">IF(AM207=1,0,AP206)</f>
        <v>0</v>
      </c>
      <c r="AO207" s="30" t="n">
        <f aca="false">IF(W207="",0,IF(AND(AN207=0,ABS(W207)&gt;Inputs!$B$5,ABS(W207)&lt;=Inputs!$B$7,W207&gt;0),1,0))</f>
        <v>0</v>
      </c>
      <c r="AP207" s="30" t="n">
        <f aca="false">IF(W207="",0,IF(AO207=1,-SIGN(W207),AN207))</f>
        <v>0</v>
      </c>
      <c r="AQ207" s="30" t="n">
        <f aca="false">IF(W207="",0,IF(AO207=1,0,IF(AM207=1,0,AL207)))</f>
        <v>0</v>
      </c>
      <c r="AR207" s="30" t="n">
        <f aca="false">IF(AP207=0,0,IF(AP206=AP207,AR206,T207))</f>
        <v>0</v>
      </c>
      <c r="AS207" s="30" t="n">
        <f aca="false">AP207-AP206</f>
        <v>0</v>
      </c>
      <c r="AT207" s="30" t="n">
        <f aca="false">-AR207*AP207</f>
        <v>-0</v>
      </c>
      <c r="AU207" s="30" t="n">
        <f aca="false">AT207-AT206</f>
        <v>0</v>
      </c>
      <c r="AV207" s="30" t="n">
        <f aca="false">MAX(AS207,0)*(Inputs!$B$17+Inputs!$B$18+Inputs!$B$19)+MAX(-AS207,0)*(O207+Inputs!$B$18+Inputs!$B$19)+IF(AND(K207=1,AP207&lt;&gt;0),(Inputs!$B$17+Inputs!$B$18+Inputs!$B$19)+(O207+Inputs!$B$18+Inputs!$B$19),0)+MAX(AU207,0)*(Inputs!$B$20+Inputs!$B$22+Inputs!$B$23)+MAX(-AU207,0)*(Inputs!$B$21+Inputs!$B$22+Inputs!$B$23)</f>
        <v>0</v>
      </c>
      <c r="AW207" s="30" t="n">
        <f aca="false">AP206*(M207-AR206*J207)+AP206*AR206*N207/Inputs!$B$16-AV207</f>
        <v>0</v>
      </c>
      <c r="AX207" s="30" t="n">
        <f aca="false">AW207-IF(AP206&lt;&gt;0,0.75*AR206*(Inputs!$B$13-N207)/Inputs!$B$16,0)</f>
        <v>0</v>
      </c>
      <c r="AY207" s="30" t="n">
        <f aca="false">MAX(AS207,0)*(Inputs!$B$17+Inputs!$B$18+Inputs!$B$19)+MAX(-AS207,0)*(O207+Inputs!$B$18+Inputs!$B$19)+IF(AND(K207=1,AP207&lt;&gt;0),(Inputs!$B$17+Inputs!$B$18+Inputs!$B$19)+(O207+Inputs!$B$18+Inputs!$B$19),0)</f>
        <v>0</v>
      </c>
      <c r="AZ207" s="30" t="n">
        <f aca="false">AP206*M207-AY207</f>
        <v>-0</v>
      </c>
      <c r="BA207" s="32" t="n">
        <f aca="false">BA206+AI207</f>
        <v>-0.00441407236435048</v>
      </c>
      <c r="BB207" s="30" t="n">
        <f aca="false">MAX(BB206,BA207)</f>
        <v>0</v>
      </c>
      <c r="BC207" s="32" t="n">
        <f aca="false">BA207-BB207</f>
        <v>-0.00441407236435048</v>
      </c>
      <c r="BD207" s="30" t="n">
        <f aca="false">A208-A207</f>
        <v>1</v>
      </c>
    </row>
    <row r="208" customFormat="false" ht="15" hidden="false" customHeight="false" outlineLevel="0" collapsed="false">
      <c r="A208" s="28" t="n">
        <v>45344</v>
      </c>
      <c r="B208" s="0" t="n">
        <v>22269.8</v>
      </c>
      <c r="C208" s="0" t="n">
        <v>245.9</v>
      </c>
      <c r="D208" s="29" t="n">
        <f aca="false">LN(B208)</f>
        <v>10.0109867795196</v>
      </c>
      <c r="E208" s="29" t="n">
        <f aca="false">LN(C208)</f>
        <v>5.50492494922215</v>
      </c>
      <c r="F208" s="0" t="n">
        <v>203</v>
      </c>
      <c r="G208" s="0" t="n">
        <v>7</v>
      </c>
      <c r="H208" s="29" t="n">
        <f aca="false">D208-E208</f>
        <v>4.50606183029743</v>
      </c>
      <c r="I208" s="29" t="n">
        <f aca="false">D208-D207</f>
        <v>0.0104178893328815</v>
      </c>
      <c r="J208" s="29" t="n">
        <f aca="false">E208-E207</f>
        <v>0.00886389399263265</v>
      </c>
      <c r="K208" s="0" t="n">
        <v>0</v>
      </c>
      <c r="L208" s="0" t="n">
        <v>0</v>
      </c>
      <c r="M208" s="29" t="n">
        <f aca="false">IF(L208=1,J208-Carry!$B$9/Inputs!$B$16,I208)</f>
        <v>0.0104178893328815</v>
      </c>
      <c r="N208" s="0" t="n">
        <v>0.065</v>
      </c>
      <c r="O208" s="0" t="n">
        <v>0.000125</v>
      </c>
      <c r="P208" s="29" t="n">
        <f aca="false">D208-('2 Hedge ratio'!$B$6+'2 Hedge ratio'!$B$5*E208)</f>
        <v>0.00595764454407899</v>
      </c>
      <c r="Q208" s="29" t="n">
        <f aca="false">D208-('5 Re-specification'!$B$7+'5 Re-specification'!$B$5*E208+'5 Re-specification'!$B$6*F208)</f>
        <v>0.000664136098448509</v>
      </c>
      <c r="R208" s="30" t="n">
        <f aca="false">MIN(F208,Inputs!$B$9)</f>
        <v>203</v>
      </c>
      <c r="S208" s="29" t="n">
        <f aca="true">IF(AND(F208&gt;=1,R208&gt;=Inputs!$B$10),INDEX(LINEST(OFFSET(D208,-R208,0,R208,1),OFFSET(E208,-R208,0,R208,2)),1,1),"")</f>
        <v>-7.56481492077404E-005</v>
      </c>
      <c r="T208" s="29" t="n">
        <f aca="true">IF(AND(F208&gt;=1,R208&gt;=Inputs!$B$10),INDEX(LINEST(OFFSET(D208,-R208,0,R208,1),OFFSET(E208,-R208,0,R208,2)),1,2),"")</f>
        <v>1.0316019896287</v>
      </c>
      <c r="U208" s="29" t="n">
        <f aca="true">IF(AND(F208&gt;=1,R208&gt;=Inputs!$B$10),INDEX(LINEST(OFFSET(D208,-R208,0,R208,1),OFFSET(E208,-R208,0,R208,2)),1,3),"")</f>
        <v>4.3476672617175</v>
      </c>
      <c r="V208" s="29" t="n">
        <f aca="true">IF(AND(F208&gt;=1,R208&gt;=Inputs!$B$10),SQRT(SUMPRODUCT((OFFSET(D208,-R208,0,R208,1)-U208-T208*OFFSET(E208,-R208,0,R208,1)-S208*OFFSET(F208,-R208,0,R208,1))^2)/(R208-3)),"")</f>
        <v>0.00260215336064779</v>
      </c>
      <c r="W208" s="31" t="n">
        <f aca="false">IF(AND(F208&gt;=1,R208&gt;=Inputs!$B$10),(D208-U208-T208*E208-S208*F208)/V208,"")</f>
        <v>-0.0827923081953676</v>
      </c>
      <c r="X208" s="30" t="n">
        <f aca="false">IF(AB207&lt;&gt;0,AC207+1,0)</f>
        <v>0</v>
      </c>
      <c r="Y208" s="30" t="n">
        <f aca="false">IF(W208="",0,IF(AND(AB207&lt;&gt;0,OR(ABS(W208)&gt;Inputs!$B$7,X208&gt;=Inputs!$B$8,ABS(W208)&lt;Inputs!$B$6)),1,0))</f>
        <v>0</v>
      </c>
      <c r="Z208" s="30" t="n">
        <f aca="false">IF(Y208=1,0,AB207)</f>
        <v>0</v>
      </c>
      <c r="AA208" s="30" t="n">
        <f aca="false">IF(W208="",0,IF(AND(Z208=0,ABS(W208)&gt;Inputs!$B$5,ABS(W208)&lt;=Inputs!$B$7),1,0))</f>
        <v>0</v>
      </c>
      <c r="AB208" s="30" t="n">
        <f aca="false">IF(W208="",0,IF(AA208=1,-SIGN(W208),Z208))</f>
        <v>0</v>
      </c>
      <c r="AC208" s="30" t="n">
        <f aca="false">IF(W208="",0,IF(AA208=1,0,IF(Y208=1,0,X208)))</f>
        <v>0</v>
      </c>
      <c r="AD208" s="30" t="n">
        <f aca="false">IF(AB208=0,0,IF(AB207=AB208,AD207,T208))</f>
        <v>0</v>
      </c>
      <c r="AE208" s="30" t="n">
        <f aca="false">AB208-AB207</f>
        <v>0</v>
      </c>
      <c r="AF208" s="30" t="n">
        <f aca="false">-AD208*AB208</f>
        <v>-0</v>
      </c>
      <c r="AG208" s="30" t="n">
        <f aca="false">AF208-AF207</f>
        <v>0</v>
      </c>
      <c r="AH208" s="30" t="n">
        <f aca="false">MAX(AE208,0)*(Inputs!$B$17+Inputs!$B$18+Inputs!$B$19)+MAX(-AE208,0)*(O208+Inputs!$B$18+Inputs!$B$19)+IF(AND(K208=1,AB208&lt;&gt;0),(Inputs!$B$17+Inputs!$B$18+Inputs!$B$19)+(O208+Inputs!$B$18+Inputs!$B$19),0)+MAX(AG208,0)*(Inputs!$B$20+Inputs!$B$22+Inputs!$B$23)+MAX(-AG208,0)*(Inputs!$B$21+Inputs!$B$22+Inputs!$B$23)</f>
        <v>0</v>
      </c>
      <c r="AI208" s="30" t="n">
        <f aca="false">AB207*(M208-AD207*J208)+AB207*AD207*N208/Inputs!$B$16-AH208</f>
        <v>0</v>
      </c>
      <c r="AJ208" s="30" t="n">
        <f aca="false">MAX(AE208,0)*(Inputs!$B$17+Inputs!$B$24+Inputs!$B$25)+MAX(-AE208,0)*(O208+Inputs!$B$24+Inputs!$B$25)+IF(AND(K208=1,AB208&lt;&gt;0),(Inputs!$B$17+Inputs!$B$24+Inputs!$B$25)+(O208+Inputs!$B$24+Inputs!$B$25),0)+MAX(AG208,0)*(Inputs!$B$20+Inputs!$B$26+Inputs!$B$27)+MAX(-AG208,0)*(Inputs!$B$21+Inputs!$B$26+Inputs!$B$27)</f>
        <v>0</v>
      </c>
      <c r="AK208" s="30" t="n">
        <f aca="false">AB207*(M208-AD207*J208)+AB207*AD207*(N208+Inputs!$B$14)/Inputs!$B$16-AJ208</f>
        <v>0</v>
      </c>
      <c r="AL208" s="30" t="n">
        <f aca="false">IF(AP207&lt;&gt;0,AQ207+1,0)</f>
        <v>0</v>
      </c>
      <c r="AM208" s="30" t="n">
        <f aca="false">IF(W208="",0,IF(AND(AP207&lt;&gt;0,OR(ABS(W208)&gt;Inputs!$B$7,AL208&gt;=Inputs!$B$8,ABS(W208)&lt;Inputs!$B$6)),1,0))</f>
        <v>0</v>
      </c>
      <c r="AN208" s="30" t="n">
        <f aca="false">IF(AM208=1,0,AP207)</f>
        <v>0</v>
      </c>
      <c r="AO208" s="30" t="n">
        <f aca="false">IF(W208="",0,IF(AND(AN208=0,ABS(W208)&gt;Inputs!$B$5,ABS(W208)&lt;=Inputs!$B$7,W208&gt;0),1,0))</f>
        <v>0</v>
      </c>
      <c r="AP208" s="30" t="n">
        <f aca="false">IF(W208="",0,IF(AO208=1,-SIGN(W208),AN208))</f>
        <v>0</v>
      </c>
      <c r="AQ208" s="30" t="n">
        <f aca="false">IF(W208="",0,IF(AO208=1,0,IF(AM208=1,0,AL208)))</f>
        <v>0</v>
      </c>
      <c r="AR208" s="30" t="n">
        <f aca="false">IF(AP208=0,0,IF(AP207=AP208,AR207,T208))</f>
        <v>0</v>
      </c>
      <c r="AS208" s="30" t="n">
        <f aca="false">AP208-AP207</f>
        <v>0</v>
      </c>
      <c r="AT208" s="30" t="n">
        <f aca="false">-AR208*AP208</f>
        <v>-0</v>
      </c>
      <c r="AU208" s="30" t="n">
        <f aca="false">AT208-AT207</f>
        <v>0</v>
      </c>
      <c r="AV208" s="30" t="n">
        <f aca="false">MAX(AS208,0)*(Inputs!$B$17+Inputs!$B$18+Inputs!$B$19)+MAX(-AS208,0)*(O208+Inputs!$B$18+Inputs!$B$19)+IF(AND(K208=1,AP208&lt;&gt;0),(Inputs!$B$17+Inputs!$B$18+Inputs!$B$19)+(O208+Inputs!$B$18+Inputs!$B$19),0)+MAX(AU208,0)*(Inputs!$B$20+Inputs!$B$22+Inputs!$B$23)+MAX(-AU208,0)*(Inputs!$B$21+Inputs!$B$22+Inputs!$B$23)</f>
        <v>0</v>
      </c>
      <c r="AW208" s="30" t="n">
        <f aca="false">AP207*(M208-AR207*J208)+AP207*AR207*N208/Inputs!$B$16-AV208</f>
        <v>0</v>
      </c>
      <c r="AX208" s="30" t="n">
        <f aca="false">AW208-IF(AP207&lt;&gt;0,0.75*AR207*(Inputs!$B$13-N208)/Inputs!$B$16,0)</f>
        <v>0</v>
      </c>
      <c r="AY208" s="30" t="n">
        <f aca="false">MAX(AS208,0)*(Inputs!$B$17+Inputs!$B$18+Inputs!$B$19)+MAX(-AS208,0)*(O208+Inputs!$B$18+Inputs!$B$19)+IF(AND(K208=1,AP208&lt;&gt;0),(Inputs!$B$17+Inputs!$B$18+Inputs!$B$19)+(O208+Inputs!$B$18+Inputs!$B$19),0)</f>
        <v>0</v>
      </c>
      <c r="AZ208" s="30" t="n">
        <f aca="false">AP207*M208-AY208</f>
        <v>0</v>
      </c>
      <c r="BA208" s="32" t="n">
        <f aca="false">BA207+AI208</f>
        <v>-0.00441407236435048</v>
      </c>
      <c r="BB208" s="30" t="n">
        <f aca="false">MAX(BB207,BA208)</f>
        <v>0</v>
      </c>
      <c r="BC208" s="32" t="n">
        <f aca="false">BA208-BB208</f>
        <v>-0.00441407236435048</v>
      </c>
      <c r="BD208" s="30" t="n">
        <f aca="false">A209-A208</f>
        <v>1</v>
      </c>
    </row>
    <row r="209" customFormat="false" ht="15" hidden="false" customHeight="false" outlineLevel="0" collapsed="false">
      <c r="A209" s="28" t="n">
        <v>45345</v>
      </c>
      <c r="B209" s="0" t="n">
        <v>22221</v>
      </c>
      <c r="C209" s="0" t="n">
        <v>245.38</v>
      </c>
      <c r="D209" s="29" t="n">
        <f aca="false">LN(B209)</f>
        <v>10.0087930666814</v>
      </c>
      <c r="E209" s="29" t="n">
        <f aca="false">LN(C209)</f>
        <v>5.50280802936304</v>
      </c>
      <c r="F209" s="0" t="n">
        <v>204</v>
      </c>
      <c r="G209" s="0" t="n">
        <v>6</v>
      </c>
      <c r="H209" s="29" t="n">
        <f aca="false">D209-E209</f>
        <v>4.50598503731836</v>
      </c>
      <c r="I209" s="29" t="n">
        <f aca="false">D209-D208</f>
        <v>-0.00219371283817438</v>
      </c>
      <c r="J209" s="29" t="n">
        <f aca="false">E209-E208</f>
        <v>-0.00211691985911067</v>
      </c>
      <c r="K209" s="0" t="n">
        <v>0</v>
      </c>
      <c r="L209" s="0" t="n">
        <v>0</v>
      </c>
      <c r="M209" s="29" t="n">
        <f aca="false">IF(L209=1,J209-Carry!$B$9/Inputs!$B$16,I209)</f>
        <v>-0.00219371283817438</v>
      </c>
      <c r="N209" s="0" t="n">
        <v>0.065</v>
      </c>
      <c r="O209" s="0" t="n">
        <v>0.000125</v>
      </c>
      <c r="P209" s="29" t="n">
        <f aca="false">D209-('2 Hedge ratio'!$B$6+'2 Hedge ratio'!$B$5*E209)</f>
        <v>0.00570329863601771</v>
      </c>
      <c r="Q209" s="29" t="n">
        <f aca="false">D209-('5 Re-specification'!$B$7+'5 Re-specification'!$B$5*E209+'5 Re-specification'!$B$6*F209)</f>
        <v>0.000625857111801409</v>
      </c>
      <c r="R209" s="30" t="n">
        <f aca="false">MIN(F209,Inputs!$B$9)</f>
        <v>204</v>
      </c>
      <c r="S209" s="29" t="n">
        <f aca="true">IF(AND(F209&gt;=1,R209&gt;=Inputs!$B$10),INDEX(LINEST(OFFSET(D209,-R209,0,R209,1),OFFSET(E209,-R209,0,R209,2)),1,1),"")</f>
        <v>-7.56409447337762E-005</v>
      </c>
      <c r="T209" s="29" t="n">
        <f aca="true">IF(AND(F209&gt;=1,R209&gt;=Inputs!$B$10),INDEX(LINEST(OFFSET(D209,-R209,0,R209,1),OFFSET(E209,-R209,0,R209,2)),1,2),"")</f>
        <v>1.03156101533229</v>
      </c>
      <c r="U209" s="29" t="n">
        <f aca="true">IF(AND(F209&gt;=1,R209&gt;=Inputs!$B$10),INDEX(LINEST(OFFSET(D209,-R209,0,R209,1),OFFSET(E209,-R209,0,R209,2)),1,3),"")</f>
        <v>4.34788631520157</v>
      </c>
      <c r="V209" s="29" t="n">
        <f aca="true">IF(AND(F209&gt;=1,R209&gt;=Inputs!$B$10),SQRT(SUMPRODUCT((OFFSET(D209,-R209,0,R209,1)-U209-T209*OFFSET(E209,-R209,0,R209,1)-S209*OFFSET(F209,-R209,0,R209,1))^2)/(R209-3)),"")</f>
        <v>0.00259571570988532</v>
      </c>
      <c r="W209" s="31" t="n">
        <f aca="false">IF(AND(F209&gt;=1,R209&gt;=Inputs!$B$10),(D209-U209-T209*E209-S209*F209)/V209,"")</f>
        <v>-0.0557587035864997</v>
      </c>
      <c r="X209" s="30" t="n">
        <f aca="false">IF(AB208&lt;&gt;0,AC208+1,0)</f>
        <v>0</v>
      </c>
      <c r="Y209" s="30" t="n">
        <f aca="false">IF(W209="",0,IF(AND(AB208&lt;&gt;0,OR(ABS(W209)&gt;Inputs!$B$7,X209&gt;=Inputs!$B$8,ABS(W209)&lt;Inputs!$B$6)),1,0))</f>
        <v>0</v>
      </c>
      <c r="Z209" s="30" t="n">
        <f aca="false">IF(Y209=1,0,AB208)</f>
        <v>0</v>
      </c>
      <c r="AA209" s="30" t="n">
        <f aca="false">IF(W209="",0,IF(AND(Z209=0,ABS(W209)&gt;Inputs!$B$5,ABS(W209)&lt;=Inputs!$B$7),1,0))</f>
        <v>0</v>
      </c>
      <c r="AB209" s="30" t="n">
        <f aca="false">IF(W209="",0,IF(AA209=1,-SIGN(W209),Z209))</f>
        <v>0</v>
      </c>
      <c r="AC209" s="30" t="n">
        <f aca="false">IF(W209="",0,IF(AA209=1,0,IF(Y209=1,0,X209)))</f>
        <v>0</v>
      </c>
      <c r="AD209" s="30" t="n">
        <f aca="false">IF(AB209=0,0,IF(AB208=AB209,AD208,T209))</f>
        <v>0</v>
      </c>
      <c r="AE209" s="30" t="n">
        <f aca="false">AB209-AB208</f>
        <v>0</v>
      </c>
      <c r="AF209" s="30" t="n">
        <f aca="false">-AD209*AB209</f>
        <v>-0</v>
      </c>
      <c r="AG209" s="30" t="n">
        <f aca="false">AF209-AF208</f>
        <v>0</v>
      </c>
      <c r="AH209" s="30" t="n">
        <f aca="false">MAX(AE209,0)*(Inputs!$B$17+Inputs!$B$18+Inputs!$B$19)+MAX(-AE209,0)*(O209+Inputs!$B$18+Inputs!$B$19)+IF(AND(K209=1,AB209&lt;&gt;0),(Inputs!$B$17+Inputs!$B$18+Inputs!$B$19)+(O209+Inputs!$B$18+Inputs!$B$19),0)+MAX(AG209,0)*(Inputs!$B$20+Inputs!$B$22+Inputs!$B$23)+MAX(-AG209,0)*(Inputs!$B$21+Inputs!$B$22+Inputs!$B$23)</f>
        <v>0</v>
      </c>
      <c r="AI209" s="30" t="n">
        <f aca="false">AB208*(M209-AD208*J209)+AB208*AD208*N209/Inputs!$B$16-AH209</f>
        <v>0</v>
      </c>
      <c r="AJ209" s="30" t="n">
        <f aca="false">MAX(AE209,0)*(Inputs!$B$17+Inputs!$B$24+Inputs!$B$25)+MAX(-AE209,0)*(O209+Inputs!$B$24+Inputs!$B$25)+IF(AND(K209=1,AB209&lt;&gt;0),(Inputs!$B$17+Inputs!$B$24+Inputs!$B$25)+(O209+Inputs!$B$24+Inputs!$B$25),0)+MAX(AG209,0)*(Inputs!$B$20+Inputs!$B$26+Inputs!$B$27)+MAX(-AG209,0)*(Inputs!$B$21+Inputs!$B$26+Inputs!$B$27)</f>
        <v>0</v>
      </c>
      <c r="AK209" s="30" t="n">
        <f aca="false">AB208*(M209-AD208*J209)+AB208*AD208*(N209+Inputs!$B$14)/Inputs!$B$16-AJ209</f>
        <v>0</v>
      </c>
      <c r="AL209" s="30" t="n">
        <f aca="false">IF(AP208&lt;&gt;0,AQ208+1,0)</f>
        <v>0</v>
      </c>
      <c r="AM209" s="30" t="n">
        <f aca="false">IF(W209="",0,IF(AND(AP208&lt;&gt;0,OR(ABS(W209)&gt;Inputs!$B$7,AL209&gt;=Inputs!$B$8,ABS(W209)&lt;Inputs!$B$6)),1,0))</f>
        <v>0</v>
      </c>
      <c r="AN209" s="30" t="n">
        <f aca="false">IF(AM209=1,0,AP208)</f>
        <v>0</v>
      </c>
      <c r="AO209" s="30" t="n">
        <f aca="false">IF(W209="",0,IF(AND(AN209=0,ABS(W209)&gt;Inputs!$B$5,ABS(W209)&lt;=Inputs!$B$7,W209&gt;0),1,0))</f>
        <v>0</v>
      </c>
      <c r="AP209" s="30" t="n">
        <f aca="false">IF(W209="",0,IF(AO209=1,-SIGN(W209),AN209))</f>
        <v>0</v>
      </c>
      <c r="AQ209" s="30" t="n">
        <f aca="false">IF(W209="",0,IF(AO209=1,0,IF(AM209=1,0,AL209)))</f>
        <v>0</v>
      </c>
      <c r="AR209" s="30" t="n">
        <f aca="false">IF(AP209=0,0,IF(AP208=AP209,AR208,T209))</f>
        <v>0</v>
      </c>
      <c r="AS209" s="30" t="n">
        <f aca="false">AP209-AP208</f>
        <v>0</v>
      </c>
      <c r="AT209" s="30" t="n">
        <f aca="false">-AR209*AP209</f>
        <v>-0</v>
      </c>
      <c r="AU209" s="30" t="n">
        <f aca="false">AT209-AT208</f>
        <v>0</v>
      </c>
      <c r="AV209" s="30" t="n">
        <f aca="false">MAX(AS209,0)*(Inputs!$B$17+Inputs!$B$18+Inputs!$B$19)+MAX(-AS209,0)*(O209+Inputs!$B$18+Inputs!$B$19)+IF(AND(K209=1,AP209&lt;&gt;0),(Inputs!$B$17+Inputs!$B$18+Inputs!$B$19)+(O209+Inputs!$B$18+Inputs!$B$19),0)+MAX(AU209,0)*(Inputs!$B$20+Inputs!$B$22+Inputs!$B$23)+MAX(-AU209,0)*(Inputs!$B$21+Inputs!$B$22+Inputs!$B$23)</f>
        <v>0</v>
      </c>
      <c r="AW209" s="30" t="n">
        <f aca="false">AP208*(M209-AR208*J209)+AP208*AR208*N209/Inputs!$B$16-AV209</f>
        <v>0</v>
      </c>
      <c r="AX209" s="30" t="n">
        <f aca="false">AW209-IF(AP208&lt;&gt;0,0.75*AR208*(Inputs!$B$13-N209)/Inputs!$B$16,0)</f>
        <v>0</v>
      </c>
      <c r="AY209" s="30" t="n">
        <f aca="false">MAX(AS209,0)*(Inputs!$B$17+Inputs!$B$18+Inputs!$B$19)+MAX(-AS209,0)*(O209+Inputs!$B$18+Inputs!$B$19)+IF(AND(K209=1,AP209&lt;&gt;0),(Inputs!$B$17+Inputs!$B$18+Inputs!$B$19)+(O209+Inputs!$B$18+Inputs!$B$19),0)</f>
        <v>0</v>
      </c>
      <c r="AZ209" s="30" t="n">
        <f aca="false">AP208*M209-AY209</f>
        <v>-0</v>
      </c>
      <c r="BA209" s="32" t="n">
        <f aca="false">BA208+AI209</f>
        <v>-0.00441407236435048</v>
      </c>
      <c r="BB209" s="30" t="n">
        <f aca="false">MAX(BB208,BA209)</f>
        <v>0</v>
      </c>
      <c r="BC209" s="32" t="n">
        <f aca="false">BA209-BB209</f>
        <v>-0.00441407236435048</v>
      </c>
      <c r="BD209" s="30" t="n">
        <f aca="false">A210-A209</f>
        <v>3</v>
      </c>
    </row>
    <row r="210" customFormat="false" ht="15" hidden="false" customHeight="false" outlineLevel="0" collapsed="false">
      <c r="A210" s="28" t="n">
        <v>45348</v>
      </c>
      <c r="B210" s="0" t="n">
        <v>22139</v>
      </c>
      <c r="C210" s="0" t="n">
        <v>245.24</v>
      </c>
      <c r="D210" s="29" t="n">
        <f aca="false">LN(B210)</f>
        <v>10.0050960381242</v>
      </c>
      <c r="E210" s="29" t="n">
        <f aca="false">LN(C210)</f>
        <v>5.50223732289449</v>
      </c>
      <c r="F210" s="0" t="n">
        <v>205</v>
      </c>
      <c r="G210" s="0" t="n">
        <v>3</v>
      </c>
      <c r="H210" s="29" t="n">
        <f aca="false">D210-E210</f>
        <v>4.50285871522974</v>
      </c>
      <c r="I210" s="29" t="n">
        <f aca="false">D210-D209</f>
        <v>-0.00369702855717335</v>
      </c>
      <c r="J210" s="29" t="n">
        <f aca="false">E210-E209</f>
        <v>-0.000570706468549176</v>
      </c>
      <c r="K210" s="0" t="n">
        <v>0</v>
      </c>
      <c r="L210" s="0" t="n">
        <v>0</v>
      </c>
      <c r="M210" s="29" t="n">
        <f aca="false">IF(L210=1,J210-Carry!$B$9/Inputs!$B$16,I210)</f>
        <v>-0.00369702855717335</v>
      </c>
      <c r="N210" s="0" t="n">
        <v>0.065</v>
      </c>
      <c r="O210" s="0" t="n">
        <v>0.000125</v>
      </c>
      <c r="P210" s="29" t="n">
        <f aca="false">D210-('2 Hedge ratio'!$B$6+'2 Hedge ratio'!$B$5*E210)</f>
        <v>0.00252910954635688</v>
      </c>
      <c r="Q210" s="29" t="n">
        <f aca="false">D210-('5 Re-specification'!$B$7+'5 Re-specification'!$B$5*E210+'5 Re-specification'!$B$6*F210)</f>
        <v>-0.00245726518468992</v>
      </c>
      <c r="R210" s="30" t="n">
        <f aca="false">MIN(F210,Inputs!$B$9)</f>
        <v>205</v>
      </c>
      <c r="S210" s="29" t="n">
        <f aca="true">IF(AND(F210&gt;=1,R210&gt;=Inputs!$B$10),INDEX(LINEST(OFFSET(D210,-R210,0,R210,1),OFFSET(E210,-R210,0,R210,2)),1,1),"")</f>
        <v>-7.56400850865078E-005</v>
      </c>
      <c r="T210" s="29" t="n">
        <f aca="true">IF(AND(F210&gt;=1,R210&gt;=Inputs!$B$10),INDEX(LINEST(OFFSET(D210,-R210,0,R210,1),OFFSET(E210,-R210,0,R210,2)),1,2),"")</f>
        <v>1.03153804640184</v>
      </c>
      <c r="U210" s="29" t="n">
        <f aca="true">IF(AND(F210&gt;=1,R210&gt;=Inputs!$B$10),INDEX(LINEST(OFFSET(D210,-R210,0,R210,1),OFFSET(E210,-R210,0,R210,2)),1,3),"")</f>
        <v>4.34800933073314</v>
      </c>
      <c r="V210" s="29" t="n">
        <f aca="true">IF(AND(F210&gt;=1,R210&gt;=Inputs!$B$10),SQRT(SUMPRODUCT((OFFSET(D210,-R210,0,R210,1)-U210-T210*OFFSET(E210,-R210,0,R210,1)-S210*OFFSET(F210,-R210,0,R210,1))^2)/(R210-3)),"")</f>
        <v>0.00258930228156192</v>
      </c>
      <c r="W210" s="31" t="n">
        <f aca="false">IF(AND(F210&gt;=1,R210&gt;=Inputs!$B$10),(D210-U210-T210*E210-S210*F210)/V210,"")</f>
        <v>-1.22589551890212</v>
      </c>
      <c r="X210" s="30" t="n">
        <f aca="false">IF(AB209&lt;&gt;0,AC209+1,0)</f>
        <v>0</v>
      </c>
      <c r="Y210" s="30" t="n">
        <f aca="false">IF(W210="",0,IF(AND(AB209&lt;&gt;0,OR(ABS(W210)&gt;Inputs!$B$7,X210&gt;=Inputs!$B$8,ABS(W210)&lt;Inputs!$B$6)),1,0))</f>
        <v>0</v>
      </c>
      <c r="Z210" s="30" t="n">
        <f aca="false">IF(Y210=1,0,AB209)</f>
        <v>0</v>
      </c>
      <c r="AA210" s="30" t="n">
        <f aca="false">IF(W210="",0,IF(AND(Z210=0,ABS(W210)&gt;Inputs!$B$5,ABS(W210)&lt;=Inputs!$B$7),1,0))</f>
        <v>0</v>
      </c>
      <c r="AB210" s="30" t="n">
        <f aca="false">IF(W210="",0,IF(AA210=1,-SIGN(W210),Z210))</f>
        <v>0</v>
      </c>
      <c r="AC210" s="30" t="n">
        <f aca="false">IF(W210="",0,IF(AA210=1,0,IF(Y210=1,0,X210)))</f>
        <v>0</v>
      </c>
      <c r="AD210" s="30" t="n">
        <f aca="false">IF(AB210=0,0,IF(AB209=AB210,AD209,T210))</f>
        <v>0</v>
      </c>
      <c r="AE210" s="30" t="n">
        <f aca="false">AB210-AB209</f>
        <v>0</v>
      </c>
      <c r="AF210" s="30" t="n">
        <f aca="false">-AD210*AB210</f>
        <v>-0</v>
      </c>
      <c r="AG210" s="30" t="n">
        <f aca="false">AF210-AF209</f>
        <v>0</v>
      </c>
      <c r="AH210" s="30" t="n">
        <f aca="false">MAX(AE210,0)*(Inputs!$B$17+Inputs!$B$18+Inputs!$B$19)+MAX(-AE210,0)*(O210+Inputs!$B$18+Inputs!$B$19)+IF(AND(K210=1,AB210&lt;&gt;0),(Inputs!$B$17+Inputs!$B$18+Inputs!$B$19)+(O210+Inputs!$B$18+Inputs!$B$19),0)+MAX(AG210,0)*(Inputs!$B$20+Inputs!$B$22+Inputs!$B$23)+MAX(-AG210,0)*(Inputs!$B$21+Inputs!$B$22+Inputs!$B$23)</f>
        <v>0</v>
      </c>
      <c r="AI210" s="30" t="n">
        <f aca="false">AB209*(M210-AD209*J210)+AB209*AD209*N210/Inputs!$B$16-AH210</f>
        <v>0</v>
      </c>
      <c r="AJ210" s="30" t="n">
        <f aca="false">MAX(AE210,0)*(Inputs!$B$17+Inputs!$B$24+Inputs!$B$25)+MAX(-AE210,0)*(O210+Inputs!$B$24+Inputs!$B$25)+IF(AND(K210=1,AB210&lt;&gt;0),(Inputs!$B$17+Inputs!$B$24+Inputs!$B$25)+(O210+Inputs!$B$24+Inputs!$B$25),0)+MAX(AG210,0)*(Inputs!$B$20+Inputs!$B$26+Inputs!$B$27)+MAX(-AG210,0)*(Inputs!$B$21+Inputs!$B$26+Inputs!$B$27)</f>
        <v>0</v>
      </c>
      <c r="AK210" s="30" t="n">
        <f aca="false">AB209*(M210-AD209*J210)+AB209*AD209*(N210+Inputs!$B$14)/Inputs!$B$16-AJ210</f>
        <v>0</v>
      </c>
      <c r="AL210" s="30" t="n">
        <f aca="false">IF(AP209&lt;&gt;0,AQ209+1,0)</f>
        <v>0</v>
      </c>
      <c r="AM210" s="30" t="n">
        <f aca="false">IF(W210="",0,IF(AND(AP209&lt;&gt;0,OR(ABS(W210)&gt;Inputs!$B$7,AL210&gt;=Inputs!$B$8,ABS(W210)&lt;Inputs!$B$6)),1,0))</f>
        <v>0</v>
      </c>
      <c r="AN210" s="30" t="n">
        <f aca="false">IF(AM210=1,0,AP209)</f>
        <v>0</v>
      </c>
      <c r="AO210" s="30" t="n">
        <f aca="false">IF(W210="",0,IF(AND(AN210=0,ABS(W210)&gt;Inputs!$B$5,ABS(W210)&lt;=Inputs!$B$7,W210&gt;0),1,0))</f>
        <v>0</v>
      </c>
      <c r="AP210" s="30" t="n">
        <f aca="false">IF(W210="",0,IF(AO210=1,-SIGN(W210),AN210))</f>
        <v>0</v>
      </c>
      <c r="AQ210" s="30" t="n">
        <f aca="false">IF(W210="",0,IF(AO210=1,0,IF(AM210=1,0,AL210)))</f>
        <v>0</v>
      </c>
      <c r="AR210" s="30" t="n">
        <f aca="false">IF(AP210=0,0,IF(AP209=AP210,AR209,T210))</f>
        <v>0</v>
      </c>
      <c r="AS210" s="30" t="n">
        <f aca="false">AP210-AP209</f>
        <v>0</v>
      </c>
      <c r="AT210" s="30" t="n">
        <f aca="false">-AR210*AP210</f>
        <v>-0</v>
      </c>
      <c r="AU210" s="30" t="n">
        <f aca="false">AT210-AT209</f>
        <v>0</v>
      </c>
      <c r="AV210" s="30" t="n">
        <f aca="false">MAX(AS210,0)*(Inputs!$B$17+Inputs!$B$18+Inputs!$B$19)+MAX(-AS210,0)*(O210+Inputs!$B$18+Inputs!$B$19)+IF(AND(K210=1,AP210&lt;&gt;0),(Inputs!$B$17+Inputs!$B$18+Inputs!$B$19)+(O210+Inputs!$B$18+Inputs!$B$19),0)+MAX(AU210,0)*(Inputs!$B$20+Inputs!$B$22+Inputs!$B$23)+MAX(-AU210,0)*(Inputs!$B$21+Inputs!$B$22+Inputs!$B$23)</f>
        <v>0</v>
      </c>
      <c r="AW210" s="30" t="n">
        <f aca="false">AP209*(M210-AR209*J210)+AP209*AR209*N210/Inputs!$B$16-AV210</f>
        <v>0</v>
      </c>
      <c r="AX210" s="30" t="n">
        <f aca="false">AW210-IF(AP209&lt;&gt;0,0.75*AR209*(Inputs!$B$13-N210)/Inputs!$B$16,0)</f>
        <v>0</v>
      </c>
      <c r="AY210" s="30" t="n">
        <f aca="false">MAX(AS210,0)*(Inputs!$B$17+Inputs!$B$18+Inputs!$B$19)+MAX(-AS210,0)*(O210+Inputs!$B$18+Inputs!$B$19)+IF(AND(K210=1,AP210&lt;&gt;0),(Inputs!$B$17+Inputs!$B$18+Inputs!$B$19)+(O210+Inputs!$B$18+Inputs!$B$19),0)</f>
        <v>0</v>
      </c>
      <c r="AZ210" s="30" t="n">
        <f aca="false">AP209*M210-AY210</f>
        <v>-0</v>
      </c>
      <c r="BA210" s="32" t="n">
        <f aca="false">BA209+AI210</f>
        <v>-0.00441407236435048</v>
      </c>
      <c r="BB210" s="30" t="n">
        <f aca="false">MAX(BB209,BA210)</f>
        <v>0</v>
      </c>
      <c r="BC210" s="32" t="n">
        <f aca="false">BA210-BB210</f>
        <v>-0.00441407236435048</v>
      </c>
      <c r="BD210" s="30" t="n">
        <f aca="false">A211-A210</f>
        <v>1</v>
      </c>
    </row>
    <row r="211" customFormat="false" ht="15" hidden="false" customHeight="false" outlineLevel="0" collapsed="false">
      <c r="A211" s="28" t="n">
        <v>45349</v>
      </c>
      <c r="B211" s="0" t="n">
        <v>22195.1</v>
      </c>
      <c r="C211" s="0" t="n">
        <v>245.38</v>
      </c>
      <c r="D211" s="29" t="n">
        <f aca="false">LN(B211)</f>
        <v>10.0076268227772</v>
      </c>
      <c r="E211" s="29" t="n">
        <f aca="false">LN(C211)</f>
        <v>5.50280802936304</v>
      </c>
      <c r="F211" s="0" t="n">
        <v>206</v>
      </c>
      <c r="G211" s="0" t="n">
        <v>2</v>
      </c>
      <c r="H211" s="29" t="n">
        <f aca="false">D211-E211</f>
        <v>4.50481879341421</v>
      </c>
      <c r="I211" s="29" t="n">
        <f aca="false">D211-D210</f>
        <v>0.00253078465302181</v>
      </c>
      <c r="J211" s="29" t="n">
        <f aca="false">E211-E210</f>
        <v>0.000570706468549176</v>
      </c>
      <c r="K211" s="0" t="n">
        <v>0</v>
      </c>
      <c r="L211" s="0" t="n">
        <v>0</v>
      </c>
      <c r="M211" s="29" t="n">
        <f aca="false">IF(L211=1,J211-Carry!$B$9/Inputs!$B$16,I211)</f>
        <v>0.00253078465302181</v>
      </c>
      <c r="N211" s="0" t="n">
        <v>0.065</v>
      </c>
      <c r="O211" s="0" t="n">
        <v>0.000125</v>
      </c>
      <c r="P211" s="29" t="n">
        <f aca="false">D211-('2 Hedge ratio'!$B$6+'2 Hedge ratio'!$B$5*E211)</f>
        <v>0.00453705473186616</v>
      </c>
      <c r="Q211" s="29" t="n">
        <f aca="false">D211-('5 Re-specification'!$B$7+'5 Re-specification'!$B$5*E211+'5 Re-specification'!$B$6*F211)</f>
        <v>-0.000450528156155983</v>
      </c>
      <c r="R211" s="30" t="n">
        <f aca="false">MIN(F211,Inputs!$B$9)</f>
        <v>206</v>
      </c>
      <c r="S211" s="29" t="n">
        <f aca="true">IF(AND(F211&gt;=1,R211&gt;=Inputs!$B$10),INDEX(LINEST(OFFSET(D211,-R211,0,R211,1),OFFSET(E211,-R211,0,R211,2)),1,1),"")</f>
        <v>-7.56657321182759E-005</v>
      </c>
      <c r="T211" s="29" t="n">
        <f aca="true">IF(AND(F211&gt;=1,R211&gt;=Inputs!$B$10),INDEX(LINEST(OFFSET(D211,-R211,0,R211,1),OFFSET(E211,-R211,0,R211,2)),1,2),"")</f>
        <v>1.03108776668228</v>
      </c>
      <c r="U211" s="29" t="n">
        <f aca="true">IF(AND(F211&gt;=1,R211&gt;=Inputs!$B$10),INDEX(LINEST(OFFSET(D211,-R211,0,R211,1),OFFSET(E211,-R211,0,R211,2)),1,3),"")</f>
        <v>4.35042393445111</v>
      </c>
      <c r="V211" s="29" t="n">
        <f aca="true">IF(AND(F211&gt;=1,R211&gt;=Inputs!$B$10),SQRT(SUMPRODUCT((OFFSET(D211,-R211,0,R211,1)-U211-T211*OFFSET(E211,-R211,0,R211,1)-S211*OFFSET(F211,-R211,0,R211,1))^2)/(R211-3)),"")</f>
        <v>0.00259230139856556</v>
      </c>
      <c r="W211" s="31" t="n">
        <f aca="false">IF(AND(F211&gt;=1,R211&gt;=Inputs!$B$10),(D211-U211-T211*E211-S211*F211)/V211,"")</f>
        <v>-0.419709041308355</v>
      </c>
      <c r="X211" s="30" t="n">
        <f aca="false">IF(AB210&lt;&gt;0,AC210+1,0)</f>
        <v>0</v>
      </c>
      <c r="Y211" s="30" t="n">
        <f aca="false">IF(W211="",0,IF(AND(AB210&lt;&gt;0,OR(ABS(W211)&gt;Inputs!$B$7,X211&gt;=Inputs!$B$8,ABS(W211)&lt;Inputs!$B$6)),1,0))</f>
        <v>0</v>
      </c>
      <c r="Z211" s="30" t="n">
        <f aca="false">IF(Y211=1,0,AB210)</f>
        <v>0</v>
      </c>
      <c r="AA211" s="30" t="n">
        <f aca="false">IF(W211="",0,IF(AND(Z211=0,ABS(W211)&gt;Inputs!$B$5,ABS(W211)&lt;=Inputs!$B$7),1,0))</f>
        <v>0</v>
      </c>
      <c r="AB211" s="30" t="n">
        <f aca="false">IF(W211="",0,IF(AA211=1,-SIGN(W211),Z211))</f>
        <v>0</v>
      </c>
      <c r="AC211" s="30" t="n">
        <f aca="false">IF(W211="",0,IF(AA211=1,0,IF(Y211=1,0,X211)))</f>
        <v>0</v>
      </c>
      <c r="AD211" s="30" t="n">
        <f aca="false">IF(AB211=0,0,IF(AB210=AB211,AD210,T211))</f>
        <v>0</v>
      </c>
      <c r="AE211" s="30" t="n">
        <f aca="false">AB211-AB210</f>
        <v>0</v>
      </c>
      <c r="AF211" s="30" t="n">
        <f aca="false">-AD211*AB211</f>
        <v>-0</v>
      </c>
      <c r="AG211" s="30" t="n">
        <f aca="false">AF211-AF210</f>
        <v>0</v>
      </c>
      <c r="AH211" s="30" t="n">
        <f aca="false">MAX(AE211,0)*(Inputs!$B$17+Inputs!$B$18+Inputs!$B$19)+MAX(-AE211,0)*(O211+Inputs!$B$18+Inputs!$B$19)+IF(AND(K211=1,AB211&lt;&gt;0),(Inputs!$B$17+Inputs!$B$18+Inputs!$B$19)+(O211+Inputs!$B$18+Inputs!$B$19),0)+MAX(AG211,0)*(Inputs!$B$20+Inputs!$B$22+Inputs!$B$23)+MAX(-AG211,0)*(Inputs!$B$21+Inputs!$B$22+Inputs!$B$23)</f>
        <v>0</v>
      </c>
      <c r="AI211" s="30" t="n">
        <f aca="false">AB210*(M211-AD210*J211)+AB210*AD210*N211/Inputs!$B$16-AH211</f>
        <v>0</v>
      </c>
      <c r="AJ211" s="30" t="n">
        <f aca="false">MAX(AE211,0)*(Inputs!$B$17+Inputs!$B$24+Inputs!$B$25)+MAX(-AE211,0)*(O211+Inputs!$B$24+Inputs!$B$25)+IF(AND(K211=1,AB211&lt;&gt;0),(Inputs!$B$17+Inputs!$B$24+Inputs!$B$25)+(O211+Inputs!$B$24+Inputs!$B$25),0)+MAX(AG211,0)*(Inputs!$B$20+Inputs!$B$26+Inputs!$B$27)+MAX(-AG211,0)*(Inputs!$B$21+Inputs!$B$26+Inputs!$B$27)</f>
        <v>0</v>
      </c>
      <c r="AK211" s="30" t="n">
        <f aca="false">AB210*(M211-AD210*J211)+AB210*AD210*(N211+Inputs!$B$14)/Inputs!$B$16-AJ211</f>
        <v>0</v>
      </c>
      <c r="AL211" s="30" t="n">
        <f aca="false">IF(AP210&lt;&gt;0,AQ210+1,0)</f>
        <v>0</v>
      </c>
      <c r="AM211" s="30" t="n">
        <f aca="false">IF(W211="",0,IF(AND(AP210&lt;&gt;0,OR(ABS(W211)&gt;Inputs!$B$7,AL211&gt;=Inputs!$B$8,ABS(W211)&lt;Inputs!$B$6)),1,0))</f>
        <v>0</v>
      </c>
      <c r="AN211" s="30" t="n">
        <f aca="false">IF(AM211=1,0,AP210)</f>
        <v>0</v>
      </c>
      <c r="AO211" s="30" t="n">
        <f aca="false">IF(W211="",0,IF(AND(AN211=0,ABS(W211)&gt;Inputs!$B$5,ABS(W211)&lt;=Inputs!$B$7,W211&gt;0),1,0))</f>
        <v>0</v>
      </c>
      <c r="AP211" s="30" t="n">
        <f aca="false">IF(W211="",0,IF(AO211=1,-SIGN(W211),AN211))</f>
        <v>0</v>
      </c>
      <c r="AQ211" s="30" t="n">
        <f aca="false">IF(W211="",0,IF(AO211=1,0,IF(AM211=1,0,AL211)))</f>
        <v>0</v>
      </c>
      <c r="AR211" s="30" t="n">
        <f aca="false">IF(AP211=0,0,IF(AP210=AP211,AR210,T211))</f>
        <v>0</v>
      </c>
      <c r="AS211" s="30" t="n">
        <f aca="false">AP211-AP210</f>
        <v>0</v>
      </c>
      <c r="AT211" s="30" t="n">
        <f aca="false">-AR211*AP211</f>
        <v>-0</v>
      </c>
      <c r="AU211" s="30" t="n">
        <f aca="false">AT211-AT210</f>
        <v>0</v>
      </c>
      <c r="AV211" s="30" t="n">
        <f aca="false">MAX(AS211,0)*(Inputs!$B$17+Inputs!$B$18+Inputs!$B$19)+MAX(-AS211,0)*(O211+Inputs!$B$18+Inputs!$B$19)+IF(AND(K211=1,AP211&lt;&gt;0),(Inputs!$B$17+Inputs!$B$18+Inputs!$B$19)+(O211+Inputs!$B$18+Inputs!$B$19),0)+MAX(AU211,0)*(Inputs!$B$20+Inputs!$B$22+Inputs!$B$23)+MAX(-AU211,0)*(Inputs!$B$21+Inputs!$B$22+Inputs!$B$23)</f>
        <v>0</v>
      </c>
      <c r="AW211" s="30" t="n">
        <f aca="false">AP210*(M211-AR210*J211)+AP210*AR210*N211/Inputs!$B$16-AV211</f>
        <v>0</v>
      </c>
      <c r="AX211" s="30" t="n">
        <f aca="false">AW211-IF(AP210&lt;&gt;0,0.75*AR210*(Inputs!$B$13-N211)/Inputs!$B$16,0)</f>
        <v>0</v>
      </c>
      <c r="AY211" s="30" t="n">
        <f aca="false">MAX(AS211,0)*(Inputs!$B$17+Inputs!$B$18+Inputs!$B$19)+MAX(-AS211,0)*(O211+Inputs!$B$18+Inputs!$B$19)+IF(AND(K211=1,AP211&lt;&gt;0),(Inputs!$B$17+Inputs!$B$18+Inputs!$B$19)+(O211+Inputs!$B$18+Inputs!$B$19),0)</f>
        <v>0</v>
      </c>
      <c r="AZ211" s="30" t="n">
        <f aca="false">AP210*M211-AY211</f>
        <v>0</v>
      </c>
      <c r="BA211" s="32" t="n">
        <f aca="false">BA210+AI211</f>
        <v>-0.00441407236435048</v>
      </c>
      <c r="BB211" s="30" t="n">
        <f aca="false">MAX(BB210,BA211)</f>
        <v>0</v>
      </c>
      <c r="BC211" s="32" t="n">
        <f aca="false">BA211-BB211</f>
        <v>-0.00441407236435048</v>
      </c>
      <c r="BD211" s="30" t="n">
        <f aca="false">A212-A211</f>
        <v>1</v>
      </c>
    </row>
    <row r="212" customFormat="false" ht="15" hidden="false" customHeight="false" outlineLevel="0" collapsed="false">
      <c r="A212" s="28" t="n">
        <v>45350</v>
      </c>
      <c r="B212" s="0" t="n">
        <v>21897.1</v>
      </c>
      <c r="C212" s="0" t="n">
        <v>243.25</v>
      </c>
      <c r="D212" s="29" t="n">
        <f aca="false">LN(B212)</f>
        <v>9.99410948694495</v>
      </c>
      <c r="E212" s="29" t="n">
        <f aca="false">LN(C212)</f>
        <v>5.49408972106611</v>
      </c>
      <c r="F212" s="0" t="n">
        <v>207</v>
      </c>
      <c r="G212" s="0" t="n">
        <v>1</v>
      </c>
      <c r="H212" s="29" t="n">
        <f aca="false">D212-E212</f>
        <v>4.50001976587884</v>
      </c>
      <c r="I212" s="29" t="n">
        <f aca="false">D212-D211</f>
        <v>-0.0135173358322938</v>
      </c>
      <c r="J212" s="29" t="n">
        <f aca="false">E212-E211</f>
        <v>-0.00871830829692222</v>
      </c>
      <c r="K212" s="0" t="n">
        <v>0</v>
      </c>
      <c r="L212" s="0" t="n">
        <v>0</v>
      </c>
      <c r="M212" s="29" t="n">
        <f aca="false">IF(L212=1,J212-Carry!$B$9/Inputs!$B$16,I212)</f>
        <v>-0.0135173358322938</v>
      </c>
      <c r="N212" s="0" t="n">
        <v>0.065</v>
      </c>
      <c r="O212" s="0" t="n">
        <v>0.000125</v>
      </c>
      <c r="P212" s="29" t="n">
        <f aca="false">D212-('2 Hedge ratio'!$B$6+'2 Hedge ratio'!$B$5*E212)</f>
        <v>-0.000993205574253864</v>
      </c>
      <c r="Q212" s="29" t="n">
        <f aca="false">D212-('5 Re-specification'!$B$7+'5 Re-specification'!$B$5*E212+'5 Re-specification'!$B$6*F212)</f>
        <v>-0.00523104720690881</v>
      </c>
      <c r="R212" s="30" t="n">
        <f aca="false">MIN(F212,Inputs!$B$9)</f>
        <v>207</v>
      </c>
      <c r="S212" s="29" t="n">
        <f aca="true">IF(AND(F212&gt;=1,R212&gt;=Inputs!$B$10),INDEX(LINEST(OFFSET(D212,-R212,0,R212,1),OFFSET(E212,-R212,0,R212,2)),1,1),"")</f>
        <v>-7.56791024013783E-005</v>
      </c>
      <c r="T212" s="29" t="n">
        <f aca="true">IF(AND(F212&gt;=1,R212&gt;=Inputs!$B$10),INDEX(LINEST(OFFSET(D212,-R212,0,R212,1),OFFSET(E212,-R212,0,R212,2)),1,2),"")</f>
        <v>1.03094023300949</v>
      </c>
      <c r="U212" s="29" t="n">
        <f aca="true">IF(AND(F212&gt;=1,R212&gt;=Inputs!$B$10),INDEX(LINEST(OFFSET(D212,-R212,0,R212,1),OFFSET(E212,-R212,0,R212,2)),1,3),"")</f>
        <v>4.35121546499502</v>
      </c>
      <c r="V212" s="29" t="n">
        <f aca="true">IF(AND(F212&gt;=1,R212&gt;=Inputs!$B$10),SQRT(SUMPRODUCT((OFFSET(D212,-R212,0,R212,1)-U212-T212*OFFSET(E212,-R212,0,R212,1)-S212*OFFSET(F212,-R212,0,R212,1))^2)/(R212-3)),"")</f>
        <v>0.00258703787644001</v>
      </c>
      <c r="W212" s="31" t="n">
        <f aca="false">IF(AND(F212&gt;=1,R212&gt;=Inputs!$B$10),(D212-U212-T212*E212-S212*F212)/V212,"")</f>
        <v>-2.13315047072376</v>
      </c>
      <c r="X212" s="30" t="n">
        <f aca="false">IF(AB211&lt;&gt;0,AC211+1,0)</f>
        <v>0</v>
      </c>
      <c r="Y212" s="30" t="n">
        <f aca="false">IF(W212="",0,IF(AND(AB211&lt;&gt;0,OR(ABS(W212)&gt;Inputs!$B$7,X212&gt;=Inputs!$B$8,ABS(W212)&lt;Inputs!$B$6)),1,0))</f>
        <v>0</v>
      </c>
      <c r="Z212" s="30" t="n">
        <f aca="false">IF(Y212=1,0,AB211)</f>
        <v>0</v>
      </c>
      <c r="AA212" s="30" t="n">
        <f aca="false">IF(W212="",0,IF(AND(Z212=0,ABS(W212)&gt;Inputs!$B$5,ABS(W212)&lt;=Inputs!$B$7),1,0))</f>
        <v>1</v>
      </c>
      <c r="AB212" s="30" t="n">
        <f aca="false">IF(W212="",0,IF(AA212=1,-SIGN(W212),Z212))</f>
        <v>1</v>
      </c>
      <c r="AC212" s="30" t="n">
        <f aca="false">IF(W212="",0,IF(AA212=1,0,IF(Y212=1,0,X212)))</f>
        <v>0</v>
      </c>
      <c r="AD212" s="29" t="n">
        <f aca="false">IF(AB212=0,0,IF(AB211=AB212,AD211,T212))</f>
        <v>1.03094023300949</v>
      </c>
      <c r="AE212" s="30" t="n">
        <f aca="false">AB212-AB211</f>
        <v>1</v>
      </c>
      <c r="AF212" s="30" t="n">
        <f aca="false">-AD212*AB212</f>
        <v>-1.03094023300949</v>
      </c>
      <c r="AG212" s="30" t="n">
        <f aca="false">AF212-AF211</f>
        <v>-1.03094023300949</v>
      </c>
      <c r="AH212" s="30" t="n">
        <f aca="false">MAX(AE212,0)*(Inputs!$B$17+Inputs!$B$18+Inputs!$B$19)+MAX(-AE212,0)*(O212+Inputs!$B$18+Inputs!$B$19)+IF(AND(K212=1,AB212&lt;&gt;0),(Inputs!$B$17+Inputs!$B$18+Inputs!$B$19)+(O212+Inputs!$B$18+Inputs!$B$19),0)+MAX(AG212,0)*(Inputs!$B$20+Inputs!$B$22+Inputs!$B$23)+MAX(-AG212,0)*(Inputs!$B$21+Inputs!$B$22+Inputs!$B$23)</f>
        <v>0.000371497448931992</v>
      </c>
      <c r="AI212" s="30" t="n">
        <f aca="false">AB211*(M212-AD211*J212)+AB211*AD211*N212/Inputs!$B$16-AH212</f>
        <v>-0.000371497448931992</v>
      </c>
      <c r="AJ212" s="30" t="n">
        <f aca="false">MAX(AE212,0)*(Inputs!$B$17+Inputs!$B$24+Inputs!$B$25)+MAX(-AE212,0)*(O212+Inputs!$B$24+Inputs!$B$25)+IF(AND(K212=1,AB212&lt;&gt;0),(Inputs!$B$17+Inputs!$B$24+Inputs!$B$25)+(O212+Inputs!$B$24+Inputs!$B$25),0)+MAX(AG212,0)*(Inputs!$B$20+Inputs!$B$26+Inputs!$B$27)+MAX(-AG212,0)*(Inputs!$B$21+Inputs!$B$26+Inputs!$B$27)</f>
        <v>0.000208558126796091</v>
      </c>
      <c r="AK212" s="30" t="n">
        <f aca="false">AB211*(M212-AD211*J212)+AB211*AD211*(N212+Inputs!$B$14)/Inputs!$B$16-AJ212</f>
        <v>-0.000208558126796091</v>
      </c>
      <c r="AL212" s="30" t="n">
        <f aca="false">IF(AP211&lt;&gt;0,AQ211+1,0)</f>
        <v>0</v>
      </c>
      <c r="AM212" s="30" t="n">
        <f aca="false">IF(W212="",0,IF(AND(AP211&lt;&gt;0,OR(ABS(W212)&gt;Inputs!$B$7,AL212&gt;=Inputs!$B$8,ABS(W212)&lt;Inputs!$B$6)),1,0))</f>
        <v>0</v>
      </c>
      <c r="AN212" s="30" t="n">
        <f aca="false">IF(AM212=1,0,AP211)</f>
        <v>0</v>
      </c>
      <c r="AO212" s="30" t="n">
        <f aca="false">IF(W212="",0,IF(AND(AN212=0,ABS(W212)&gt;Inputs!$B$5,ABS(W212)&lt;=Inputs!$B$7,W212&gt;0),1,0))</f>
        <v>0</v>
      </c>
      <c r="AP212" s="30" t="n">
        <f aca="false">IF(W212="",0,IF(AO212=1,-SIGN(W212),AN212))</f>
        <v>0</v>
      </c>
      <c r="AQ212" s="30" t="n">
        <f aca="false">IF(W212="",0,IF(AO212=1,0,IF(AM212=1,0,AL212)))</f>
        <v>0</v>
      </c>
      <c r="AR212" s="30" t="n">
        <f aca="false">IF(AP212=0,0,IF(AP211=AP212,AR211,T212))</f>
        <v>0</v>
      </c>
      <c r="AS212" s="30" t="n">
        <f aca="false">AP212-AP211</f>
        <v>0</v>
      </c>
      <c r="AT212" s="30" t="n">
        <f aca="false">-AR212*AP212</f>
        <v>-0</v>
      </c>
      <c r="AU212" s="30" t="n">
        <f aca="false">AT212-AT211</f>
        <v>0</v>
      </c>
      <c r="AV212" s="30" t="n">
        <f aca="false">MAX(AS212,0)*(Inputs!$B$17+Inputs!$B$18+Inputs!$B$19)+MAX(-AS212,0)*(O212+Inputs!$B$18+Inputs!$B$19)+IF(AND(K212=1,AP212&lt;&gt;0),(Inputs!$B$17+Inputs!$B$18+Inputs!$B$19)+(O212+Inputs!$B$18+Inputs!$B$19),0)+MAX(AU212,0)*(Inputs!$B$20+Inputs!$B$22+Inputs!$B$23)+MAX(-AU212,0)*(Inputs!$B$21+Inputs!$B$22+Inputs!$B$23)</f>
        <v>0</v>
      </c>
      <c r="AW212" s="30" t="n">
        <f aca="false">AP211*(M212-AR211*J212)+AP211*AR211*N212/Inputs!$B$16-AV212</f>
        <v>0</v>
      </c>
      <c r="AX212" s="30" t="n">
        <f aca="false">AW212-IF(AP211&lt;&gt;0,0.75*AR211*(Inputs!$B$13-N212)/Inputs!$B$16,0)</f>
        <v>0</v>
      </c>
      <c r="AY212" s="30" t="n">
        <f aca="false">MAX(AS212,0)*(Inputs!$B$17+Inputs!$B$18+Inputs!$B$19)+MAX(-AS212,0)*(O212+Inputs!$B$18+Inputs!$B$19)+IF(AND(K212=1,AP212&lt;&gt;0),(Inputs!$B$17+Inputs!$B$18+Inputs!$B$19)+(O212+Inputs!$B$18+Inputs!$B$19),0)</f>
        <v>0</v>
      </c>
      <c r="AZ212" s="30" t="n">
        <f aca="false">AP211*M212-AY212</f>
        <v>-0</v>
      </c>
      <c r="BA212" s="32" t="n">
        <f aca="false">BA211+AI212</f>
        <v>-0.00478556981328247</v>
      </c>
      <c r="BB212" s="30" t="n">
        <f aca="false">MAX(BB211,BA212)</f>
        <v>0</v>
      </c>
      <c r="BC212" s="32" t="n">
        <f aca="false">BA212-BB212</f>
        <v>-0.00478556981328247</v>
      </c>
      <c r="BD212" s="30" t="n">
        <f aca="false">A213-A212</f>
        <v>1</v>
      </c>
    </row>
    <row r="213" customFormat="false" ht="15" hidden="false" customHeight="false" outlineLevel="0" collapsed="false">
      <c r="A213" s="28" t="n">
        <v>45351</v>
      </c>
      <c r="B213" s="0" t="n">
        <v>21985.7</v>
      </c>
      <c r="C213" s="0" t="n">
        <v>243.9</v>
      </c>
      <c r="D213" s="29" t="n">
        <f aca="false">LN(B213)</f>
        <v>9.99814752099887</v>
      </c>
      <c r="E213" s="29" t="n">
        <f aca="false">LN(C213)</f>
        <v>5.49675830522187</v>
      </c>
      <c r="F213" s="0" t="n">
        <v>208</v>
      </c>
      <c r="G213" s="0" t="n">
        <v>0</v>
      </c>
      <c r="H213" s="29" t="n">
        <f aca="false">D213-E213</f>
        <v>4.50138921577699</v>
      </c>
      <c r="I213" s="29" t="n">
        <f aca="false">D213-D212</f>
        <v>0.00403803405391301</v>
      </c>
      <c r="J213" s="29" t="n">
        <f aca="false">E213-E212</f>
        <v>0.0026685841557601</v>
      </c>
      <c r="K213" s="0" t="n">
        <v>1</v>
      </c>
      <c r="L213" s="0" t="n">
        <v>0</v>
      </c>
      <c r="M213" s="29" t="n">
        <f aca="false">IF(L213=1,J213-Carry!$B$9/Inputs!$B$16,I213)</f>
        <v>0.00403803405391301</v>
      </c>
      <c r="N213" s="0" t="n">
        <v>0.065</v>
      </c>
      <c r="O213" s="0" t="n">
        <v>0.000125</v>
      </c>
      <c r="P213" s="29" t="n">
        <f aca="false">D213-('2 Hedge ratio'!$B$6+'2 Hedge ratio'!$B$5*E213)</f>
        <v>0.000600067125263948</v>
      </c>
      <c r="Q213" s="29" t="n">
        <f aca="false">D213-('5 Re-specification'!$B$7+'5 Re-specification'!$B$5*E213+'5 Re-specification'!$B$6*F213)</f>
        <v>-0.00380858084631797</v>
      </c>
      <c r="R213" s="30" t="n">
        <f aca="false">MIN(F213,Inputs!$B$9)</f>
        <v>208</v>
      </c>
      <c r="S213" s="29" t="n">
        <f aca="true">IF(AND(F213&gt;=1,R213&gt;=Inputs!$B$10),INDEX(LINEST(OFFSET(D213,-R213,0,R213,1),OFFSET(E213,-R213,0,R213,2)),1,1),"")</f>
        <v>-7.61980935573869E-005</v>
      </c>
      <c r="T213" s="29" t="n">
        <f aca="true">IF(AND(F213&gt;=1,R213&gt;=Inputs!$B$10),INDEX(LINEST(OFFSET(D213,-R213,0,R213,1),OFFSET(E213,-R213,0,R213,2)),1,2),"")</f>
        <v>1.03068145631771</v>
      </c>
      <c r="U213" s="29" t="n">
        <f aca="true">IF(AND(F213&gt;=1,R213&gt;=Inputs!$B$10),INDEX(LINEST(OFFSET(D213,-R213,0,R213,1),OFFSET(E213,-R213,0,R213,2)),1,3),"")</f>
        <v>4.3526379393662</v>
      </c>
      <c r="V213" s="29" t="n">
        <f aca="true">IF(AND(F213&gt;=1,R213&gt;=Inputs!$B$10),SQRT(SUMPRODUCT((OFFSET(D213,-R213,0,R213,1)-U213-T213*OFFSET(E213,-R213,0,R213,1)-S213*OFFSET(F213,-R213,0,R213,1))^2)/(R213-3)),"")</f>
        <v>0.00260879331651403</v>
      </c>
      <c r="W213" s="31" t="n">
        <f aca="false">IF(AND(F213&gt;=1,R213&gt;=Inputs!$B$10),(D213-U213-T213*E213-S213*F213)/V213,"")</f>
        <v>-1.55170205869354</v>
      </c>
      <c r="X213" s="30" t="n">
        <f aca="false">IF(AB212&lt;&gt;0,AC212+1,0)</f>
        <v>1</v>
      </c>
      <c r="Y213" s="30" t="n">
        <f aca="false">IF(W213="",0,IF(AND(AB212&lt;&gt;0,OR(ABS(W213)&gt;Inputs!$B$7,X213&gt;=Inputs!$B$8,ABS(W213)&lt;Inputs!$B$6)),1,0))</f>
        <v>0</v>
      </c>
      <c r="Z213" s="30" t="n">
        <f aca="false">IF(Y213=1,0,AB212)</f>
        <v>1</v>
      </c>
      <c r="AA213" s="30" t="n">
        <f aca="false">IF(W213="",0,IF(AND(Z213=0,ABS(W213)&gt;Inputs!$B$5,ABS(W213)&lt;=Inputs!$B$7),1,0))</f>
        <v>0</v>
      </c>
      <c r="AB213" s="30" t="n">
        <f aca="false">IF(W213="",0,IF(AA213=1,-SIGN(W213),Z213))</f>
        <v>1</v>
      </c>
      <c r="AC213" s="30" t="n">
        <f aca="false">IF(W213="",0,IF(AA213=1,0,IF(Y213=1,0,X213)))</f>
        <v>1</v>
      </c>
      <c r="AD213" s="29" t="n">
        <f aca="false">IF(AB213=0,0,IF(AB212=AB213,AD212,T213))</f>
        <v>1.03094023300949</v>
      </c>
      <c r="AE213" s="30" t="n">
        <f aca="false">AB213-AB212</f>
        <v>0</v>
      </c>
      <c r="AF213" s="30" t="n">
        <f aca="false">-AD213*AB213</f>
        <v>-1.03094023300949</v>
      </c>
      <c r="AG213" s="30" t="n">
        <f aca="false">AF213-AF212</f>
        <v>0</v>
      </c>
      <c r="AH213" s="32" t="n">
        <f aca="false">MAX(AE213,0)*(Inputs!$B$17+Inputs!$B$18+Inputs!$B$19)+MAX(-AE213,0)*(O213+Inputs!$B$18+Inputs!$B$19)+IF(AND(K213=1,AB213&lt;&gt;0),(Inputs!$B$17+Inputs!$B$18+Inputs!$B$19)+(O213+Inputs!$B$18+Inputs!$B$19),0)+MAX(AG213,0)*(Inputs!$B$20+Inputs!$B$22+Inputs!$B$23)+MAX(-AG213,0)*(Inputs!$B$21+Inputs!$B$22+Inputs!$B$23)</f>
        <v>0.000415</v>
      </c>
      <c r="AI213" s="32" t="n">
        <f aca="false">AB212*(M213-AD212*J213)+AB212*AD212*N213/Inputs!$B$16-AH213</f>
        <v>0.00113780040616198</v>
      </c>
      <c r="AJ213" s="32" t="n">
        <f aca="false">MAX(AE213,0)*(Inputs!$B$17+Inputs!$B$24+Inputs!$B$25)+MAX(-AE213,0)*(O213+Inputs!$B$24+Inputs!$B$25)+IF(AND(K213=1,AB213&lt;&gt;0),(Inputs!$B$17+Inputs!$B$24+Inputs!$B$25)+(O213+Inputs!$B$24+Inputs!$B$25),0)+MAX(AG213,0)*(Inputs!$B$20+Inputs!$B$26+Inputs!$B$27)+MAX(-AG213,0)*(Inputs!$B$21+Inputs!$B$26+Inputs!$B$27)</f>
        <v>0.000285</v>
      </c>
      <c r="AK213" s="32" t="n">
        <f aca="false">AB212*(M213-AD212*J213)+AB212*AD212*(N213+Inputs!$B$14)/Inputs!$B$16-AJ213</f>
        <v>0.00129848315119203</v>
      </c>
      <c r="AL213" s="30" t="n">
        <f aca="false">IF(AP212&lt;&gt;0,AQ212+1,0)</f>
        <v>0</v>
      </c>
      <c r="AM213" s="30" t="n">
        <f aca="false">IF(W213="",0,IF(AND(AP212&lt;&gt;0,OR(ABS(W213)&gt;Inputs!$B$7,AL213&gt;=Inputs!$B$8,ABS(W213)&lt;Inputs!$B$6)),1,0))</f>
        <v>0</v>
      </c>
      <c r="AN213" s="30" t="n">
        <f aca="false">IF(AM213=1,0,AP212)</f>
        <v>0</v>
      </c>
      <c r="AO213" s="30" t="n">
        <f aca="false">IF(W213="",0,IF(AND(AN213=0,ABS(W213)&gt;Inputs!$B$5,ABS(W213)&lt;=Inputs!$B$7,W213&gt;0),1,0))</f>
        <v>0</v>
      </c>
      <c r="AP213" s="30" t="n">
        <f aca="false">IF(W213="",0,IF(AO213=1,-SIGN(W213),AN213))</f>
        <v>0</v>
      </c>
      <c r="AQ213" s="30" t="n">
        <f aca="false">IF(W213="",0,IF(AO213=1,0,IF(AM213=1,0,AL213)))</f>
        <v>0</v>
      </c>
      <c r="AR213" s="30" t="n">
        <f aca="false">IF(AP213=0,0,IF(AP212=AP213,AR212,T213))</f>
        <v>0</v>
      </c>
      <c r="AS213" s="30" t="n">
        <f aca="false">AP213-AP212</f>
        <v>0</v>
      </c>
      <c r="AT213" s="30" t="n">
        <f aca="false">-AR213*AP213</f>
        <v>-0</v>
      </c>
      <c r="AU213" s="30" t="n">
        <f aca="false">AT213-AT212</f>
        <v>0</v>
      </c>
      <c r="AV213" s="30" t="n">
        <f aca="false">MAX(AS213,0)*(Inputs!$B$17+Inputs!$B$18+Inputs!$B$19)+MAX(-AS213,0)*(O213+Inputs!$B$18+Inputs!$B$19)+IF(AND(K213=1,AP213&lt;&gt;0),(Inputs!$B$17+Inputs!$B$18+Inputs!$B$19)+(O213+Inputs!$B$18+Inputs!$B$19),0)+MAX(AU213,0)*(Inputs!$B$20+Inputs!$B$22+Inputs!$B$23)+MAX(-AU213,0)*(Inputs!$B$21+Inputs!$B$22+Inputs!$B$23)</f>
        <v>0</v>
      </c>
      <c r="AW213" s="30" t="n">
        <f aca="false">AP212*(M213-AR212*J213)+AP212*AR212*N213/Inputs!$B$16-AV213</f>
        <v>0</v>
      </c>
      <c r="AX213" s="30" t="n">
        <f aca="false">AW213-IF(AP212&lt;&gt;0,0.75*AR212*(Inputs!$B$13-N213)/Inputs!$B$16,0)</f>
        <v>0</v>
      </c>
      <c r="AY213" s="30" t="n">
        <f aca="false">MAX(AS213,0)*(Inputs!$B$17+Inputs!$B$18+Inputs!$B$19)+MAX(-AS213,0)*(O213+Inputs!$B$18+Inputs!$B$19)+IF(AND(K213=1,AP213&lt;&gt;0),(Inputs!$B$17+Inputs!$B$18+Inputs!$B$19)+(O213+Inputs!$B$18+Inputs!$B$19),0)</f>
        <v>0</v>
      </c>
      <c r="AZ213" s="30" t="n">
        <f aca="false">AP212*M213-AY213</f>
        <v>0</v>
      </c>
      <c r="BA213" s="32" t="n">
        <f aca="false">BA212+AI213</f>
        <v>-0.00364776940712049</v>
      </c>
      <c r="BB213" s="30" t="n">
        <f aca="false">MAX(BB212,BA213)</f>
        <v>0</v>
      </c>
      <c r="BC213" s="32" t="n">
        <f aca="false">BA213-BB213</f>
        <v>-0.00364776940712049</v>
      </c>
      <c r="BD213" s="30" t="n">
        <f aca="false">A214-A213</f>
        <v>1</v>
      </c>
    </row>
    <row r="214" customFormat="false" ht="15" hidden="false" customHeight="false" outlineLevel="0" collapsed="false">
      <c r="A214" s="28" t="n">
        <v>45352</v>
      </c>
      <c r="B214" s="0" t="n">
        <v>22448.3</v>
      </c>
      <c r="C214" s="0" t="n">
        <v>246.71</v>
      </c>
      <c r="D214" s="29" t="n">
        <f aca="false">LN(B214)</f>
        <v>10.0189701664725</v>
      </c>
      <c r="E214" s="29" t="n">
        <f aca="false">LN(C214)</f>
        <v>5.50821355777662</v>
      </c>
      <c r="F214" s="0" t="n">
        <v>209</v>
      </c>
      <c r="G214" s="0" t="n">
        <v>27</v>
      </c>
      <c r="H214" s="29" t="n">
        <f aca="false">D214-E214</f>
        <v>4.51075660869585</v>
      </c>
      <c r="I214" s="29" t="n">
        <f aca="false">D214-D213</f>
        <v>0.0208226454736042</v>
      </c>
      <c r="J214" s="29" t="n">
        <f aca="false">E214-E213</f>
        <v>0.0114552525547431</v>
      </c>
      <c r="K214" s="0" t="n">
        <v>0</v>
      </c>
      <c r="L214" s="0" t="n">
        <v>1</v>
      </c>
      <c r="M214" s="29" t="n">
        <f aca="false">IF(L214=1,J214-Carry!$B$9/Inputs!$B$16,I214)</f>
        <v>0.011195794373022</v>
      </c>
      <c r="N214" s="0" t="n">
        <v>0.065</v>
      </c>
      <c r="O214" s="0" t="n">
        <v>0.000125</v>
      </c>
      <c r="P214" s="29" t="n">
        <f aca="false">D214-('2 Hedge ratio'!$B$6+'2 Hedge ratio'!$B$5*E214)</f>
        <v>0.0109282491995391</v>
      </c>
      <c r="Q214" s="29" t="n">
        <f aca="false">D214-('5 Re-specification'!$B$7+'5 Re-specification'!$B$5*E214+'5 Re-specification'!$B$6*F214)</f>
        <v>0.00563845653374884</v>
      </c>
      <c r="R214" s="30" t="n">
        <f aca="false">MIN(F214,Inputs!$B$9)</f>
        <v>209</v>
      </c>
      <c r="S214" s="29" t="n">
        <f aca="true">IF(AND(F214&gt;=1,R214&gt;=Inputs!$B$10),INDEX(LINEST(OFFSET(D214,-R214,0,R214,1),OFFSET(E214,-R214,0,R214,2)),1,1),"")</f>
        <v>-7.65181337309266E-005</v>
      </c>
      <c r="T214" s="29" t="n">
        <f aca="true">IF(AND(F214&gt;=1,R214&gt;=Inputs!$B$10),INDEX(LINEST(OFFSET(D214,-R214,0,R214,1),OFFSET(E214,-R214,0,R214,2)),1,2),"")</f>
        <v>1.03043287222494</v>
      </c>
      <c r="U214" s="29" t="n">
        <f aca="true">IF(AND(F214&gt;=1,R214&gt;=Inputs!$B$10),INDEX(LINEST(OFFSET(D214,-R214,0,R214,1),OFFSET(E214,-R214,0,R214,2)),1,3),"")</f>
        <v>4.35399231260958</v>
      </c>
      <c r="V214" s="29" t="n">
        <f aca="true">IF(AND(F214&gt;=1,R214&gt;=Inputs!$B$10),SQRT(SUMPRODUCT((OFFSET(D214,-R214,0,R214,1)-U214-T214*OFFSET(E214,-R214,0,R214,1)-S214*OFFSET(F214,-R214,0,R214,1))^2)/(R214-3)),"")</f>
        <v>0.00261739718352043</v>
      </c>
      <c r="W214" s="31" t="n">
        <f aca="false">IF(AND(F214&gt;=1,R214&gt;=Inputs!$B$10),(D214-U214-T214*E214-S214*F214)/V214,"")</f>
        <v>1.95836790718243</v>
      </c>
      <c r="X214" s="30" t="n">
        <f aca="false">IF(AB213&lt;&gt;0,AC213+1,0)</f>
        <v>2</v>
      </c>
      <c r="Y214" s="30" t="n">
        <f aca="false">IF(W214="",0,IF(AND(AB213&lt;&gt;0,OR(ABS(W214)&gt;Inputs!$B$7,X214&gt;=Inputs!$B$8,ABS(W214)&lt;Inputs!$B$6)),1,0))</f>
        <v>0</v>
      </c>
      <c r="Z214" s="30" t="n">
        <f aca="false">IF(Y214=1,0,AB213)</f>
        <v>1</v>
      </c>
      <c r="AA214" s="30" t="n">
        <f aca="false">IF(W214="",0,IF(AND(Z214=0,ABS(W214)&gt;Inputs!$B$5,ABS(W214)&lt;=Inputs!$B$7),1,0))</f>
        <v>0</v>
      </c>
      <c r="AB214" s="30" t="n">
        <f aca="false">IF(W214="",0,IF(AA214=1,-SIGN(W214),Z214))</f>
        <v>1</v>
      </c>
      <c r="AC214" s="30" t="n">
        <f aca="false">IF(W214="",0,IF(AA214=1,0,IF(Y214=1,0,X214)))</f>
        <v>2</v>
      </c>
      <c r="AD214" s="29" t="n">
        <f aca="false">IF(AB214=0,0,IF(AB213=AB214,AD213,T214))</f>
        <v>1.03094023300949</v>
      </c>
      <c r="AE214" s="30" t="n">
        <f aca="false">AB214-AB213</f>
        <v>0</v>
      </c>
      <c r="AF214" s="30" t="n">
        <f aca="false">-AD214*AB214</f>
        <v>-1.03094023300949</v>
      </c>
      <c r="AG214" s="30" t="n">
        <f aca="false">AF214-AF213</f>
        <v>0</v>
      </c>
      <c r="AH214" s="30" t="n">
        <f aca="false">MAX(AE214,0)*(Inputs!$B$17+Inputs!$B$18+Inputs!$B$19)+MAX(-AE214,0)*(O214+Inputs!$B$18+Inputs!$B$19)+IF(AND(K214=1,AB214&lt;&gt;0),(Inputs!$B$17+Inputs!$B$18+Inputs!$B$19)+(O214+Inputs!$B$18+Inputs!$B$19),0)+MAX(AG214,0)*(Inputs!$B$20+Inputs!$B$22+Inputs!$B$23)+MAX(-AG214,0)*(Inputs!$B$21+Inputs!$B$22+Inputs!$B$23)</f>
        <v>0</v>
      </c>
      <c r="AI214" s="30" t="n">
        <f aca="false">AB213*(M214-AD213*J214)+AB213*AD213*N214/Inputs!$B$16-AH214</f>
        <v>-0.000347969241353683</v>
      </c>
      <c r="AJ214" s="30" t="n">
        <f aca="false">MAX(AE214,0)*(Inputs!$B$17+Inputs!$B$24+Inputs!$B$25)+MAX(-AE214,0)*(O214+Inputs!$B$24+Inputs!$B$25)+IF(AND(K214=1,AB214&lt;&gt;0),(Inputs!$B$17+Inputs!$B$24+Inputs!$B$25)+(O214+Inputs!$B$24+Inputs!$B$25),0)+MAX(AG214,0)*(Inputs!$B$20+Inputs!$B$26+Inputs!$B$27)+MAX(-AG214,0)*(Inputs!$B$21+Inputs!$B$26+Inputs!$B$27)</f>
        <v>0</v>
      </c>
      <c r="AK214" s="30" t="n">
        <f aca="false">AB213*(M214-AD213*J214)+AB213*AD213*(N214+Inputs!$B$14)/Inputs!$B$16-AJ214</f>
        <v>-0.000317286496323639</v>
      </c>
      <c r="AL214" s="30" t="n">
        <f aca="false">IF(AP213&lt;&gt;0,AQ213+1,0)</f>
        <v>0</v>
      </c>
      <c r="AM214" s="30" t="n">
        <f aca="false">IF(W214="",0,IF(AND(AP213&lt;&gt;0,OR(ABS(W214)&gt;Inputs!$B$7,AL214&gt;=Inputs!$B$8,ABS(W214)&lt;Inputs!$B$6)),1,0))</f>
        <v>0</v>
      </c>
      <c r="AN214" s="30" t="n">
        <f aca="false">IF(AM214=1,0,AP213)</f>
        <v>0</v>
      </c>
      <c r="AO214" s="30" t="n">
        <f aca="false">IF(W214="",0,IF(AND(AN214=0,ABS(W214)&gt;Inputs!$B$5,ABS(W214)&lt;=Inputs!$B$7,W214&gt;0),1,0))</f>
        <v>0</v>
      </c>
      <c r="AP214" s="30" t="n">
        <f aca="false">IF(W214="",0,IF(AO214=1,-SIGN(W214),AN214))</f>
        <v>0</v>
      </c>
      <c r="AQ214" s="30" t="n">
        <f aca="false">IF(W214="",0,IF(AO214=1,0,IF(AM214=1,0,AL214)))</f>
        <v>0</v>
      </c>
      <c r="AR214" s="30" t="n">
        <f aca="false">IF(AP214=0,0,IF(AP213=AP214,AR213,T214))</f>
        <v>0</v>
      </c>
      <c r="AS214" s="30" t="n">
        <f aca="false">AP214-AP213</f>
        <v>0</v>
      </c>
      <c r="AT214" s="30" t="n">
        <f aca="false">-AR214*AP214</f>
        <v>-0</v>
      </c>
      <c r="AU214" s="30" t="n">
        <f aca="false">AT214-AT213</f>
        <v>0</v>
      </c>
      <c r="AV214" s="30" t="n">
        <f aca="false">MAX(AS214,0)*(Inputs!$B$17+Inputs!$B$18+Inputs!$B$19)+MAX(-AS214,0)*(O214+Inputs!$B$18+Inputs!$B$19)+IF(AND(K214=1,AP214&lt;&gt;0),(Inputs!$B$17+Inputs!$B$18+Inputs!$B$19)+(O214+Inputs!$B$18+Inputs!$B$19),0)+MAX(AU214,0)*(Inputs!$B$20+Inputs!$B$22+Inputs!$B$23)+MAX(-AU214,0)*(Inputs!$B$21+Inputs!$B$22+Inputs!$B$23)</f>
        <v>0</v>
      </c>
      <c r="AW214" s="30" t="n">
        <f aca="false">AP213*(M214-AR213*J214)+AP213*AR213*N214/Inputs!$B$16-AV214</f>
        <v>0</v>
      </c>
      <c r="AX214" s="30" t="n">
        <f aca="false">AW214-IF(AP213&lt;&gt;0,0.75*AR213*(Inputs!$B$13-N214)/Inputs!$B$16,0)</f>
        <v>0</v>
      </c>
      <c r="AY214" s="30" t="n">
        <f aca="false">MAX(AS214,0)*(Inputs!$B$17+Inputs!$B$18+Inputs!$B$19)+MAX(-AS214,0)*(O214+Inputs!$B$18+Inputs!$B$19)+IF(AND(K214=1,AP214&lt;&gt;0),(Inputs!$B$17+Inputs!$B$18+Inputs!$B$19)+(O214+Inputs!$B$18+Inputs!$B$19),0)</f>
        <v>0</v>
      </c>
      <c r="AZ214" s="30" t="n">
        <f aca="false">AP213*M214-AY214</f>
        <v>0</v>
      </c>
      <c r="BA214" s="32" t="n">
        <f aca="false">BA213+AI214</f>
        <v>-0.00399573864847417</v>
      </c>
      <c r="BB214" s="30" t="n">
        <f aca="false">MAX(BB213,BA214)</f>
        <v>0</v>
      </c>
      <c r="BC214" s="32" t="n">
        <f aca="false">BA214-BB214</f>
        <v>-0.00399573864847417</v>
      </c>
      <c r="BD214" s="30" t="n">
        <f aca="false">A215-A214</f>
        <v>1</v>
      </c>
    </row>
    <row r="215" customFormat="false" ht="15" hidden="false" customHeight="false" outlineLevel="0" collapsed="false">
      <c r="A215" s="28" t="n">
        <v>45353</v>
      </c>
      <c r="B215" s="0" t="n">
        <v>22507</v>
      </c>
      <c r="C215" s="0" t="n">
        <v>247.31</v>
      </c>
      <c r="D215" s="29" t="n">
        <f aca="false">LN(B215)</f>
        <v>10.0215816509186</v>
      </c>
      <c r="E215" s="29" t="n">
        <f aca="false">LN(C215)</f>
        <v>5.51064261042637</v>
      </c>
      <c r="F215" s="0" t="n">
        <v>210</v>
      </c>
      <c r="G215" s="0" t="n">
        <v>26</v>
      </c>
      <c r="H215" s="29" t="n">
        <f aca="false">D215-E215</f>
        <v>4.51093904049223</v>
      </c>
      <c r="I215" s="29" t="n">
        <f aca="false">D215-D214</f>
        <v>0.0026114844461258</v>
      </c>
      <c r="J215" s="29" t="n">
        <f aca="false">E215-E214</f>
        <v>0.00242905264974969</v>
      </c>
      <c r="K215" s="0" t="n">
        <v>0</v>
      </c>
      <c r="L215" s="0" t="n">
        <v>0</v>
      </c>
      <c r="M215" s="29" t="n">
        <f aca="false">IF(L215=1,J215-Carry!$B$9/Inputs!$B$16,I215)</f>
        <v>0.0026114844461258</v>
      </c>
      <c r="N215" s="0" t="n">
        <v>0.065</v>
      </c>
      <c r="O215" s="0" t="n">
        <v>0.000125</v>
      </c>
      <c r="P215" s="29" t="n">
        <f aca="false">D215-('2 Hedge ratio'!$B$6+'2 Hedge ratio'!$B$5*E215)</f>
        <v>0.0113144135136096</v>
      </c>
      <c r="Q215" s="29" t="n">
        <f aca="false">D215-('5 Re-specification'!$B$7+'5 Re-specification'!$B$5*E215+'5 Re-specification'!$B$6*F215)</f>
        <v>0.00587317889232786</v>
      </c>
      <c r="R215" s="30" t="n">
        <f aca="false">MIN(F215,Inputs!$B$9)</f>
        <v>210</v>
      </c>
      <c r="S215" s="29" t="n">
        <f aca="true">IF(AND(F215&gt;=1,R215&gt;=Inputs!$B$10),INDEX(LINEST(OFFSET(D215,-R215,0,R215,1),OFFSET(E215,-R215,0,R215,2)),1,1),"")</f>
        <v>-7.65648732754376E-005</v>
      </c>
      <c r="T215" s="29" t="n">
        <f aca="true">IF(AND(F215&gt;=1,R215&gt;=Inputs!$B$10),INDEX(LINEST(OFFSET(D215,-R215,0,R215,1),OFFSET(E215,-R215,0,R215,2)),1,2),"")</f>
        <v>1.03122009092943</v>
      </c>
      <c r="U215" s="29" t="n">
        <f aca="true">IF(AND(F215&gt;=1,R215&gt;=Inputs!$B$10),INDEX(LINEST(OFFSET(D215,-R215,0,R215,1),OFFSET(E215,-R215,0,R215,2)),1,3),"")</f>
        <v>4.34977619549297</v>
      </c>
      <c r="V215" s="29" t="n">
        <f aca="true">IF(AND(F215&gt;=1,R215&gt;=Inputs!$B$10),SQRT(SUMPRODUCT((OFFSET(D215,-R215,0,R215,1)-U215-T215*OFFSET(E215,-R215,0,R215,1)-S215*OFFSET(F215,-R215,0,R215,1))^2)/(R215-3)),"")</f>
        <v>0.00263474280597464</v>
      </c>
      <c r="W215" s="31" t="n">
        <f aca="false">IF(AND(F215&gt;=1,R215&gt;=Inputs!$B$10),(D215-U215-T215*E215-S215*F215)/V215,"")</f>
        <v>1.97313566932831</v>
      </c>
      <c r="X215" s="30" t="n">
        <f aca="false">IF(AB214&lt;&gt;0,AC214+1,0)</f>
        <v>3</v>
      </c>
      <c r="Y215" s="30" t="n">
        <f aca="false">IF(W215="",0,IF(AND(AB214&lt;&gt;0,OR(ABS(W215)&gt;Inputs!$B$7,X215&gt;=Inputs!$B$8,ABS(W215)&lt;Inputs!$B$6)),1,0))</f>
        <v>0</v>
      </c>
      <c r="Z215" s="30" t="n">
        <f aca="false">IF(Y215=1,0,AB214)</f>
        <v>1</v>
      </c>
      <c r="AA215" s="30" t="n">
        <f aca="false">IF(W215="",0,IF(AND(Z215=0,ABS(W215)&gt;Inputs!$B$5,ABS(W215)&lt;=Inputs!$B$7),1,0))</f>
        <v>0</v>
      </c>
      <c r="AB215" s="30" t="n">
        <f aca="false">IF(W215="",0,IF(AA215=1,-SIGN(W215),Z215))</f>
        <v>1</v>
      </c>
      <c r="AC215" s="30" t="n">
        <f aca="false">IF(W215="",0,IF(AA215=1,0,IF(Y215=1,0,X215)))</f>
        <v>3</v>
      </c>
      <c r="AD215" s="29" t="n">
        <f aca="false">IF(AB215=0,0,IF(AB214=AB215,AD214,T215))</f>
        <v>1.03094023300949</v>
      </c>
      <c r="AE215" s="30" t="n">
        <f aca="false">AB215-AB214</f>
        <v>0</v>
      </c>
      <c r="AF215" s="30" t="n">
        <f aca="false">-AD215*AB215</f>
        <v>-1.03094023300949</v>
      </c>
      <c r="AG215" s="30" t="n">
        <f aca="false">AF215-AF214</f>
        <v>0</v>
      </c>
      <c r="AH215" s="30" t="n">
        <f aca="false">MAX(AE215,0)*(Inputs!$B$17+Inputs!$B$18+Inputs!$B$19)+MAX(-AE215,0)*(O215+Inputs!$B$18+Inputs!$B$19)+IF(AND(K215=1,AB215&lt;&gt;0),(Inputs!$B$17+Inputs!$B$18+Inputs!$B$19)+(O215+Inputs!$B$18+Inputs!$B$19),0)+MAX(AG215,0)*(Inputs!$B$20+Inputs!$B$22+Inputs!$B$23)+MAX(-AG215,0)*(Inputs!$B$21+Inputs!$B$22+Inputs!$B$23)</f>
        <v>0</v>
      </c>
      <c r="AI215" s="30" t="n">
        <f aca="false">AB214*(M215-AD214*J215)+AB214*AD214*N215/Inputs!$B$16-AH215</f>
        <v>0.000373193464994266</v>
      </c>
      <c r="AJ215" s="30" t="n">
        <f aca="false">MAX(AE215,0)*(Inputs!$B$17+Inputs!$B$24+Inputs!$B$25)+MAX(-AE215,0)*(O215+Inputs!$B$24+Inputs!$B$25)+IF(AND(K215=1,AB215&lt;&gt;0),(Inputs!$B$17+Inputs!$B$24+Inputs!$B$25)+(O215+Inputs!$B$24+Inputs!$B$25),0)+MAX(AG215,0)*(Inputs!$B$20+Inputs!$B$26+Inputs!$B$27)+MAX(-AG215,0)*(Inputs!$B$21+Inputs!$B$26+Inputs!$B$27)</f>
        <v>0</v>
      </c>
      <c r="AK215" s="30" t="n">
        <f aca="false">AB214*(M215-AD214*J215)+AB214*AD214*(N215+Inputs!$B$14)/Inputs!$B$16-AJ215</f>
        <v>0.00040387621002431</v>
      </c>
      <c r="AL215" s="30" t="n">
        <f aca="false">IF(AP214&lt;&gt;0,AQ214+1,0)</f>
        <v>0</v>
      </c>
      <c r="AM215" s="30" t="n">
        <f aca="false">IF(W215="",0,IF(AND(AP214&lt;&gt;0,OR(ABS(W215)&gt;Inputs!$B$7,AL215&gt;=Inputs!$B$8,ABS(W215)&lt;Inputs!$B$6)),1,0))</f>
        <v>0</v>
      </c>
      <c r="AN215" s="30" t="n">
        <f aca="false">IF(AM215=1,0,AP214)</f>
        <v>0</v>
      </c>
      <c r="AO215" s="30" t="n">
        <f aca="false">IF(W215="",0,IF(AND(AN215=0,ABS(W215)&gt;Inputs!$B$5,ABS(W215)&lt;=Inputs!$B$7,W215&gt;0),1,0))</f>
        <v>0</v>
      </c>
      <c r="AP215" s="30" t="n">
        <f aca="false">IF(W215="",0,IF(AO215=1,-SIGN(W215),AN215))</f>
        <v>0</v>
      </c>
      <c r="AQ215" s="30" t="n">
        <f aca="false">IF(W215="",0,IF(AO215=1,0,IF(AM215=1,0,AL215)))</f>
        <v>0</v>
      </c>
      <c r="AR215" s="30" t="n">
        <f aca="false">IF(AP215=0,0,IF(AP214=AP215,AR214,T215))</f>
        <v>0</v>
      </c>
      <c r="AS215" s="30" t="n">
        <f aca="false">AP215-AP214</f>
        <v>0</v>
      </c>
      <c r="AT215" s="30" t="n">
        <f aca="false">-AR215*AP215</f>
        <v>-0</v>
      </c>
      <c r="AU215" s="30" t="n">
        <f aca="false">AT215-AT214</f>
        <v>0</v>
      </c>
      <c r="AV215" s="30" t="n">
        <f aca="false">MAX(AS215,0)*(Inputs!$B$17+Inputs!$B$18+Inputs!$B$19)+MAX(-AS215,0)*(O215+Inputs!$B$18+Inputs!$B$19)+IF(AND(K215=1,AP215&lt;&gt;0),(Inputs!$B$17+Inputs!$B$18+Inputs!$B$19)+(O215+Inputs!$B$18+Inputs!$B$19),0)+MAX(AU215,0)*(Inputs!$B$20+Inputs!$B$22+Inputs!$B$23)+MAX(-AU215,0)*(Inputs!$B$21+Inputs!$B$22+Inputs!$B$23)</f>
        <v>0</v>
      </c>
      <c r="AW215" s="30" t="n">
        <f aca="false">AP214*(M215-AR214*J215)+AP214*AR214*N215/Inputs!$B$16-AV215</f>
        <v>0</v>
      </c>
      <c r="AX215" s="30" t="n">
        <f aca="false">AW215-IF(AP214&lt;&gt;0,0.75*AR214*(Inputs!$B$13-N215)/Inputs!$B$16,0)</f>
        <v>0</v>
      </c>
      <c r="AY215" s="30" t="n">
        <f aca="false">MAX(AS215,0)*(Inputs!$B$17+Inputs!$B$18+Inputs!$B$19)+MAX(-AS215,0)*(O215+Inputs!$B$18+Inputs!$B$19)+IF(AND(K215=1,AP215&lt;&gt;0),(Inputs!$B$17+Inputs!$B$18+Inputs!$B$19)+(O215+Inputs!$B$18+Inputs!$B$19),0)</f>
        <v>0</v>
      </c>
      <c r="AZ215" s="30" t="n">
        <f aca="false">AP214*M215-AY215</f>
        <v>0</v>
      </c>
      <c r="BA215" s="32" t="n">
        <f aca="false">BA214+AI215</f>
        <v>-0.00362254518347991</v>
      </c>
      <c r="BB215" s="30" t="n">
        <f aca="false">MAX(BB214,BA215)</f>
        <v>0</v>
      </c>
      <c r="BC215" s="32" t="n">
        <f aca="false">BA215-BB215</f>
        <v>-0.00362254518347991</v>
      </c>
      <c r="BD215" s="30" t="n">
        <f aca="false">A216-A215</f>
        <v>2</v>
      </c>
    </row>
    <row r="216" customFormat="false" ht="15" hidden="false" customHeight="false" outlineLevel="0" collapsed="false">
      <c r="A216" s="28" t="n">
        <v>45355</v>
      </c>
      <c r="B216" s="0" t="n">
        <v>22499.5</v>
      </c>
      <c r="C216" s="0" t="n">
        <v>247.79</v>
      </c>
      <c r="D216" s="29" t="n">
        <f aca="false">LN(B216)</f>
        <v>10.0212483657234</v>
      </c>
      <c r="E216" s="29" t="n">
        <f aca="false">LN(C216)</f>
        <v>5.51258161325565</v>
      </c>
      <c r="F216" s="0" t="n">
        <v>211</v>
      </c>
      <c r="G216" s="0" t="n">
        <v>24</v>
      </c>
      <c r="H216" s="29" t="n">
        <f aca="false">D216-E216</f>
        <v>4.50866675246772</v>
      </c>
      <c r="I216" s="29" t="n">
        <f aca="false">D216-D215</f>
        <v>-0.00033328519522513</v>
      </c>
      <c r="J216" s="29" t="n">
        <f aca="false">E216-E215</f>
        <v>0.0019390028292845</v>
      </c>
      <c r="K216" s="0" t="n">
        <v>0</v>
      </c>
      <c r="L216" s="0" t="n">
        <v>0</v>
      </c>
      <c r="M216" s="29" t="n">
        <f aca="false">IF(L216=1,J216-Carry!$B$9/Inputs!$B$16,I216)</f>
        <v>-0.00033328519522513</v>
      </c>
      <c r="N216" s="0" t="n">
        <v>0.065</v>
      </c>
      <c r="O216" s="0" t="n">
        <v>0.000125</v>
      </c>
      <c r="P216" s="29" t="n">
        <f aca="false">D216-('2 Hedge ratio'!$B$6+'2 Hedge ratio'!$B$5*E216)</f>
        <v>0.00920475594022285</v>
      </c>
      <c r="Q216" s="29" t="n">
        <f aca="false">D216-('5 Re-specification'!$B$7+'5 Re-specification'!$B$5*E216+'5 Re-specification'!$B$6*F216)</f>
        <v>0.00365169633403184</v>
      </c>
      <c r="R216" s="30" t="n">
        <f aca="false">MIN(F216,Inputs!$B$9)</f>
        <v>211</v>
      </c>
      <c r="S216" s="29" t="n">
        <f aca="true">IF(AND(F216&gt;=1,R216&gt;=Inputs!$B$10),INDEX(LINEST(OFFSET(D216,-R216,0,R216,1),OFFSET(E216,-R216,0,R216,2)),1,1),"")</f>
        <v>-7.66691828630853E-005</v>
      </c>
      <c r="T216" s="29" t="n">
        <f aca="true">IF(AND(F216&gt;=1,R216&gt;=Inputs!$B$10),INDEX(LINEST(OFFSET(D216,-R216,0,R216,1),OFFSET(E216,-R216,0,R216,2)),1,2),"")</f>
        <v>1.032069681788</v>
      </c>
      <c r="U216" s="29" t="n">
        <f aca="true">IF(AND(F216&gt;=1,R216&gt;=Inputs!$B$10),INDEX(LINEST(OFFSET(D216,-R216,0,R216,1),OFFSET(E216,-R216,0,R216,2)),1,3),"")</f>
        <v>4.34522953407507</v>
      </c>
      <c r="V216" s="29" t="n">
        <f aca="true">IF(AND(F216&gt;=1,R216&gt;=Inputs!$B$10),SQRT(SUMPRODUCT((OFFSET(D216,-R216,0,R216,1)-U216-T216*OFFSET(E216,-R216,0,R216,1)-S216*OFFSET(F216,-R216,0,R216,1))^2)/(R216-3)),"")</f>
        <v>0.00265247066240296</v>
      </c>
      <c r="W216" s="31" t="n">
        <f aca="false">IF(AND(F216&gt;=1,R216&gt;=Inputs!$B$10),(D216-U216-T216*E216-S216*F216)/V216,"")</f>
        <v>1.06605432035792</v>
      </c>
      <c r="X216" s="30" t="n">
        <f aca="false">IF(AB215&lt;&gt;0,AC215+1,0)</f>
        <v>4</v>
      </c>
      <c r="Y216" s="30" t="n">
        <f aca="false">IF(W216="",0,IF(AND(AB215&lt;&gt;0,OR(ABS(W216)&gt;Inputs!$B$7,X216&gt;=Inputs!$B$8,ABS(W216)&lt;Inputs!$B$6)),1,0))</f>
        <v>0</v>
      </c>
      <c r="Z216" s="30" t="n">
        <f aca="false">IF(Y216=1,0,AB215)</f>
        <v>1</v>
      </c>
      <c r="AA216" s="30" t="n">
        <f aca="false">IF(W216="",0,IF(AND(Z216=0,ABS(W216)&gt;Inputs!$B$5,ABS(W216)&lt;=Inputs!$B$7),1,0))</f>
        <v>0</v>
      </c>
      <c r="AB216" s="30" t="n">
        <f aca="false">IF(W216="",0,IF(AA216=1,-SIGN(W216),Z216))</f>
        <v>1</v>
      </c>
      <c r="AC216" s="30" t="n">
        <f aca="false">IF(W216="",0,IF(AA216=1,0,IF(Y216=1,0,X216)))</f>
        <v>4</v>
      </c>
      <c r="AD216" s="29" t="n">
        <f aca="false">IF(AB216=0,0,IF(AB215=AB216,AD215,T216))</f>
        <v>1.03094023300949</v>
      </c>
      <c r="AE216" s="30" t="n">
        <f aca="false">AB216-AB215</f>
        <v>0</v>
      </c>
      <c r="AF216" s="30" t="n">
        <f aca="false">-AD216*AB216</f>
        <v>-1.03094023300949</v>
      </c>
      <c r="AG216" s="30" t="n">
        <f aca="false">AF216-AF215</f>
        <v>0</v>
      </c>
      <c r="AH216" s="30" t="n">
        <f aca="false">MAX(AE216,0)*(Inputs!$B$17+Inputs!$B$18+Inputs!$B$19)+MAX(-AE216,0)*(O216+Inputs!$B$18+Inputs!$B$19)+IF(AND(K216=1,AB216&lt;&gt;0),(Inputs!$B$17+Inputs!$B$18+Inputs!$B$19)+(O216+Inputs!$B$18+Inputs!$B$19),0)+MAX(AG216,0)*(Inputs!$B$20+Inputs!$B$22+Inputs!$B$23)+MAX(-AG216,0)*(Inputs!$B$21+Inputs!$B$22+Inputs!$B$23)</f>
        <v>0</v>
      </c>
      <c r="AI216" s="30" t="n">
        <f aca="false">AB215*(M216-AD215*J216)+AB215*AD215*N216/Inputs!$B$16-AH216</f>
        <v>-0.00206636410026003</v>
      </c>
      <c r="AJ216" s="30" t="n">
        <f aca="false">MAX(AE216,0)*(Inputs!$B$17+Inputs!$B$24+Inputs!$B$25)+MAX(-AE216,0)*(O216+Inputs!$B$24+Inputs!$B$25)+IF(AND(K216=1,AB216&lt;&gt;0),(Inputs!$B$17+Inputs!$B$24+Inputs!$B$25)+(O216+Inputs!$B$24+Inputs!$B$25),0)+MAX(AG216,0)*(Inputs!$B$20+Inputs!$B$26+Inputs!$B$27)+MAX(-AG216,0)*(Inputs!$B$21+Inputs!$B$26+Inputs!$B$27)</f>
        <v>0</v>
      </c>
      <c r="AK216" s="30" t="n">
        <f aca="false">AB215*(M216-AD215*J216)+AB215*AD215*(N216+Inputs!$B$14)/Inputs!$B$16-AJ216</f>
        <v>-0.00203568135522998</v>
      </c>
      <c r="AL216" s="30" t="n">
        <f aca="false">IF(AP215&lt;&gt;0,AQ215+1,0)</f>
        <v>0</v>
      </c>
      <c r="AM216" s="30" t="n">
        <f aca="false">IF(W216="",0,IF(AND(AP215&lt;&gt;0,OR(ABS(W216)&gt;Inputs!$B$7,AL216&gt;=Inputs!$B$8,ABS(W216)&lt;Inputs!$B$6)),1,0))</f>
        <v>0</v>
      </c>
      <c r="AN216" s="30" t="n">
        <f aca="false">IF(AM216=1,0,AP215)</f>
        <v>0</v>
      </c>
      <c r="AO216" s="30" t="n">
        <f aca="false">IF(W216="",0,IF(AND(AN216=0,ABS(W216)&gt;Inputs!$B$5,ABS(W216)&lt;=Inputs!$B$7,W216&gt;0),1,0))</f>
        <v>0</v>
      </c>
      <c r="AP216" s="30" t="n">
        <f aca="false">IF(W216="",0,IF(AO216=1,-SIGN(W216),AN216))</f>
        <v>0</v>
      </c>
      <c r="AQ216" s="30" t="n">
        <f aca="false">IF(W216="",0,IF(AO216=1,0,IF(AM216=1,0,AL216)))</f>
        <v>0</v>
      </c>
      <c r="AR216" s="30" t="n">
        <f aca="false">IF(AP216=0,0,IF(AP215=AP216,AR215,T216))</f>
        <v>0</v>
      </c>
      <c r="AS216" s="30" t="n">
        <f aca="false">AP216-AP215</f>
        <v>0</v>
      </c>
      <c r="AT216" s="30" t="n">
        <f aca="false">-AR216*AP216</f>
        <v>-0</v>
      </c>
      <c r="AU216" s="30" t="n">
        <f aca="false">AT216-AT215</f>
        <v>0</v>
      </c>
      <c r="AV216" s="30" t="n">
        <f aca="false">MAX(AS216,0)*(Inputs!$B$17+Inputs!$B$18+Inputs!$B$19)+MAX(-AS216,0)*(O216+Inputs!$B$18+Inputs!$B$19)+IF(AND(K216=1,AP216&lt;&gt;0),(Inputs!$B$17+Inputs!$B$18+Inputs!$B$19)+(O216+Inputs!$B$18+Inputs!$B$19),0)+MAX(AU216,0)*(Inputs!$B$20+Inputs!$B$22+Inputs!$B$23)+MAX(-AU216,0)*(Inputs!$B$21+Inputs!$B$22+Inputs!$B$23)</f>
        <v>0</v>
      </c>
      <c r="AW216" s="30" t="n">
        <f aca="false">AP215*(M216-AR215*J216)+AP215*AR215*N216/Inputs!$B$16-AV216</f>
        <v>0</v>
      </c>
      <c r="AX216" s="30" t="n">
        <f aca="false">AW216-IF(AP215&lt;&gt;0,0.75*AR215*(Inputs!$B$13-N216)/Inputs!$B$16,0)</f>
        <v>0</v>
      </c>
      <c r="AY216" s="30" t="n">
        <f aca="false">MAX(AS216,0)*(Inputs!$B$17+Inputs!$B$18+Inputs!$B$19)+MAX(-AS216,0)*(O216+Inputs!$B$18+Inputs!$B$19)+IF(AND(K216=1,AP216&lt;&gt;0),(Inputs!$B$17+Inputs!$B$18+Inputs!$B$19)+(O216+Inputs!$B$18+Inputs!$B$19),0)</f>
        <v>0</v>
      </c>
      <c r="AZ216" s="30" t="n">
        <f aca="false">AP215*M216-AY216</f>
        <v>-0</v>
      </c>
      <c r="BA216" s="32" t="n">
        <f aca="false">BA215+AI216</f>
        <v>-0.00568890928373993</v>
      </c>
      <c r="BB216" s="30" t="n">
        <f aca="false">MAX(BB215,BA216)</f>
        <v>0</v>
      </c>
      <c r="BC216" s="32" t="n">
        <f aca="false">BA216-BB216</f>
        <v>-0.00568890928373993</v>
      </c>
      <c r="BD216" s="30" t="n">
        <f aca="false">A217-A216</f>
        <v>1</v>
      </c>
    </row>
    <row r="217" customFormat="false" ht="15" hidden="false" customHeight="false" outlineLevel="0" collapsed="false">
      <c r="A217" s="28" t="n">
        <v>45356</v>
      </c>
      <c r="B217" s="0" t="n">
        <v>22438.05</v>
      </c>
      <c r="C217" s="0" t="n">
        <v>247.25</v>
      </c>
      <c r="D217" s="29" t="n">
        <f aca="false">LN(B217)</f>
        <v>10.018513457465</v>
      </c>
      <c r="E217" s="29" t="n">
        <f aca="false">LN(C217)</f>
        <v>5.51039997050282</v>
      </c>
      <c r="F217" s="0" t="n">
        <v>212</v>
      </c>
      <c r="G217" s="0" t="n">
        <v>23</v>
      </c>
      <c r="H217" s="29" t="n">
        <f aca="false">D217-E217</f>
        <v>4.50811348696221</v>
      </c>
      <c r="I217" s="29" t="n">
        <f aca="false">D217-D216</f>
        <v>-0.00273490825834521</v>
      </c>
      <c r="J217" s="29" t="n">
        <f aca="false">E217-E216</f>
        <v>-0.00218164275282984</v>
      </c>
      <c r="K217" s="0" t="n">
        <v>0</v>
      </c>
      <c r="L217" s="0" t="n">
        <v>0</v>
      </c>
      <c r="M217" s="29" t="n">
        <f aca="false">IF(L217=1,J217-Carry!$B$9/Inputs!$B$16,I217)</f>
        <v>-0.00273490825834521</v>
      </c>
      <c r="N217" s="0" t="n">
        <v>0.065</v>
      </c>
      <c r="O217" s="0" t="n">
        <v>0.000125</v>
      </c>
      <c r="P217" s="29" t="n">
        <f aca="false">D217-('2 Hedge ratio'!$B$6+'2 Hedge ratio'!$B$5*E217)</f>
        <v>0.00846850898686213</v>
      </c>
      <c r="Q217" s="29" t="n">
        <f aca="false">D217-('5 Re-specification'!$B$7+'5 Re-specification'!$B$5*E217+'5 Re-specification'!$B$6*F217)</f>
        <v>0.00313674867820524</v>
      </c>
      <c r="R217" s="30" t="n">
        <f aca="false">MIN(F217,Inputs!$B$9)</f>
        <v>212</v>
      </c>
      <c r="S217" s="29" t="n">
        <f aca="true">IF(AND(F217&gt;=1,R217&gt;=Inputs!$B$10),INDEX(LINEST(OFFSET(D217,-R217,0,R217,1),OFFSET(E217,-R217,0,R217,2)),1,1),"")</f>
        <v>-7.67446121360591E-005</v>
      </c>
      <c r="T217" s="29" t="n">
        <f aca="true">IF(AND(F217&gt;=1,R217&gt;=Inputs!$B$10),INDEX(LINEST(OFFSET(D217,-R217,0,R217,1),OFFSET(E217,-R217,0,R217,2)),1,2),"")</f>
        <v>1.03254654667706</v>
      </c>
      <c r="U217" s="29" t="n">
        <f aca="true">IF(AND(F217&gt;=1,R217&gt;=Inputs!$B$10),INDEX(LINEST(OFFSET(D217,-R217,0,R217,1),OFFSET(E217,-R217,0,R217,2)),1,3),"")</f>
        <v>4.34267860024454</v>
      </c>
      <c r="V217" s="29" t="n">
        <f aca="true">IF(AND(F217&gt;=1,R217&gt;=Inputs!$B$10),SQRT(SUMPRODUCT((OFFSET(D217,-R217,0,R217,1)-U217-T217*OFFSET(E217,-R217,0,R217,1)-S217*OFFSET(F217,-R217,0,R217,1))^2)/(R217-3)),"")</f>
        <v>0.00265317868042395</v>
      </c>
      <c r="W217" s="31" t="n">
        <f aca="false">IF(AND(F217&gt;=1,R217&gt;=Inputs!$B$10),(D217-U217-T217*E217-S217*F217)/V217,"")</f>
        <v>0.889595057693534</v>
      </c>
      <c r="X217" s="30" t="n">
        <f aca="false">IF(AB216&lt;&gt;0,AC216+1,0)</f>
        <v>5</v>
      </c>
      <c r="Y217" s="30" t="n">
        <f aca="false">IF(W217="",0,IF(AND(AB216&lt;&gt;0,OR(ABS(W217)&gt;Inputs!$B$7,X217&gt;=Inputs!$B$8,ABS(W217)&lt;Inputs!$B$6)),1,0))</f>
        <v>0</v>
      </c>
      <c r="Z217" s="30" t="n">
        <f aca="false">IF(Y217=1,0,AB216)</f>
        <v>1</v>
      </c>
      <c r="AA217" s="30" t="n">
        <f aca="false">IF(W217="",0,IF(AND(Z217=0,ABS(W217)&gt;Inputs!$B$5,ABS(W217)&lt;=Inputs!$B$7),1,0))</f>
        <v>0</v>
      </c>
      <c r="AB217" s="30" t="n">
        <f aca="false">IF(W217="",0,IF(AA217=1,-SIGN(W217),Z217))</f>
        <v>1</v>
      </c>
      <c r="AC217" s="30" t="n">
        <f aca="false">IF(W217="",0,IF(AA217=1,0,IF(Y217=1,0,X217)))</f>
        <v>5</v>
      </c>
      <c r="AD217" s="29" t="n">
        <f aca="false">IF(AB217=0,0,IF(AB216=AB217,AD216,T217))</f>
        <v>1.03094023300949</v>
      </c>
      <c r="AE217" s="30" t="n">
        <f aca="false">AB217-AB216</f>
        <v>0</v>
      </c>
      <c r="AF217" s="30" t="n">
        <f aca="false">-AD217*AB217</f>
        <v>-1.03094023300949</v>
      </c>
      <c r="AG217" s="30" t="n">
        <f aca="false">AF217-AF216</f>
        <v>0</v>
      </c>
      <c r="AH217" s="30" t="n">
        <f aca="false">MAX(AE217,0)*(Inputs!$B$17+Inputs!$B$18+Inputs!$B$19)+MAX(-AE217,0)*(O217+Inputs!$B$18+Inputs!$B$19)+IF(AND(K217=1,AB217&lt;&gt;0),(Inputs!$B$17+Inputs!$B$18+Inputs!$B$19)+(O217+Inputs!$B$18+Inputs!$B$19),0)+MAX(AG217,0)*(Inputs!$B$20+Inputs!$B$22+Inputs!$B$23)+MAX(-AG217,0)*(Inputs!$B$21+Inputs!$B$22+Inputs!$B$23)</f>
        <v>0</v>
      </c>
      <c r="AI217" s="30" t="n">
        <f aca="false">AB216*(M217-AD216*J217)+AB216*AD216*N217/Inputs!$B$16-AH217</f>
        <v>-0.000219847846805647</v>
      </c>
      <c r="AJ217" s="30" t="n">
        <f aca="false">MAX(AE217,0)*(Inputs!$B$17+Inputs!$B$24+Inputs!$B$25)+MAX(-AE217,0)*(O217+Inputs!$B$24+Inputs!$B$25)+IF(AND(K217=1,AB217&lt;&gt;0),(Inputs!$B$17+Inputs!$B$24+Inputs!$B$25)+(O217+Inputs!$B$24+Inputs!$B$25),0)+MAX(AG217,0)*(Inputs!$B$20+Inputs!$B$26+Inputs!$B$27)+MAX(-AG217,0)*(Inputs!$B$21+Inputs!$B$26+Inputs!$B$27)</f>
        <v>0</v>
      </c>
      <c r="AK217" s="30" t="n">
        <f aca="false">AB216*(M217-AD216*J217)+AB216*AD216*(N217+Inputs!$B$14)/Inputs!$B$16-AJ217</f>
        <v>-0.000189165101775603</v>
      </c>
      <c r="AL217" s="30" t="n">
        <f aca="false">IF(AP216&lt;&gt;0,AQ216+1,0)</f>
        <v>0</v>
      </c>
      <c r="AM217" s="30" t="n">
        <f aca="false">IF(W217="",0,IF(AND(AP216&lt;&gt;0,OR(ABS(W217)&gt;Inputs!$B$7,AL217&gt;=Inputs!$B$8,ABS(W217)&lt;Inputs!$B$6)),1,0))</f>
        <v>0</v>
      </c>
      <c r="AN217" s="30" t="n">
        <f aca="false">IF(AM217=1,0,AP216)</f>
        <v>0</v>
      </c>
      <c r="AO217" s="30" t="n">
        <f aca="false">IF(W217="",0,IF(AND(AN217=0,ABS(W217)&gt;Inputs!$B$5,ABS(W217)&lt;=Inputs!$B$7,W217&gt;0),1,0))</f>
        <v>0</v>
      </c>
      <c r="AP217" s="30" t="n">
        <f aca="false">IF(W217="",0,IF(AO217=1,-SIGN(W217),AN217))</f>
        <v>0</v>
      </c>
      <c r="AQ217" s="30" t="n">
        <f aca="false">IF(W217="",0,IF(AO217=1,0,IF(AM217=1,0,AL217)))</f>
        <v>0</v>
      </c>
      <c r="AR217" s="30" t="n">
        <f aca="false">IF(AP217=0,0,IF(AP216=AP217,AR216,T217))</f>
        <v>0</v>
      </c>
      <c r="AS217" s="30" t="n">
        <f aca="false">AP217-AP216</f>
        <v>0</v>
      </c>
      <c r="AT217" s="30" t="n">
        <f aca="false">-AR217*AP217</f>
        <v>-0</v>
      </c>
      <c r="AU217" s="30" t="n">
        <f aca="false">AT217-AT216</f>
        <v>0</v>
      </c>
      <c r="AV217" s="30" t="n">
        <f aca="false">MAX(AS217,0)*(Inputs!$B$17+Inputs!$B$18+Inputs!$B$19)+MAX(-AS217,0)*(O217+Inputs!$B$18+Inputs!$B$19)+IF(AND(K217=1,AP217&lt;&gt;0),(Inputs!$B$17+Inputs!$B$18+Inputs!$B$19)+(O217+Inputs!$B$18+Inputs!$B$19),0)+MAX(AU217,0)*(Inputs!$B$20+Inputs!$B$22+Inputs!$B$23)+MAX(-AU217,0)*(Inputs!$B$21+Inputs!$B$22+Inputs!$B$23)</f>
        <v>0</v>
      </c>
      <c r="AW217" s="30" t="n">
        <f aca="false">AP216*(M217-AR216*J217)+AP216*AR216*N217/Inputs!$B$16-AV217</f>
        <v>0</v>
      </c>
      <c r="AX217" s="30" t="n">
        <f aca="false">AW217-IF(AP216&lt;&gt;0,0.75*AR216*(Inputs!$B$13-N217)/Inputs!$B$16,0)</f>
        <v>0</v>
      </c>
      <c r="AY217" s="30" t="n">
        <f aca="false">MAX(AS217,0)*(Inputs!$B$17+Inputs!$B$18+Inputs!$B$19)+MAX(-AS217,0)*(O217+Inputs!$B$18+Inputs!$B$19)+IF(AND(K217=1,AP217&lt;&gt;0),(Inputs!$B$17+Inputs!$B$18+Inputs!$B$19)+(O217+Inputs!$B$18+Inputs!$B$19),0)</f>
        <v>0</v>
      </c>
      <c r="AZ217" s="30" t="n">
        <f aca="false">AP216*M217-AY217</f>
        <v>-0</v>
      </c>
      <c r="BA217" s="32" t="n">
        <f aca="false">BA216+AI217</f>
        <v>-0.00590875713054558</v>
      </c>
      <c r="BB217" s="30" t="n">
        <f aca="false">MAX(BB216,BA217)</f>
        <v>0</v>
      </c>
      <c r="BC217" s="32" t="n">
        <f aca="false">BA217-BB217</f>
        <v>-0.00590875713054558</v>
      </c>
      <c r="BD217" s="30" t="n">
        <f aca="false">A218-A217</f>
        <v>1</v>
      </c>
    </row>
    <row r="218" customFormat="false" ht="15" hidden="false" customHeight="false" outlineLevel="0" collapsed="false">
      <c r="A218" s="28" t="n">
        <v>45357</v>
      </c>
      <c r="B218" s="0" t="n">
        <v>22602</v>
      </c>
      <c r="C218" s="0" t="n">
        <v>248.68</v>
      </c>
      <c r="D218" s="29" t="n">
        <f aca="false">LN(B218)</f>
        <v>10.0257936769201</v>
      </c>
      <c r="E218" s="29" t="n">
        <f aca="false">LN(C218)</f>
        <v>5.51616692940114</v>
      </c>
      <c r="F218" s="0" t="n">
        <v>213</v>
      </c>
      <c r="G218" s="0" t="n">
        <v>22</v>
      </c>
      <c r="H218" s="29" t="n">
        <f aca="false">D218-E218</f>
        <v>4.50962674751896</v>
      </c>
      <c r="I218" s="29" t="n">
        <f aca="false">D218-D217</f>
        <v>0.00728021945506896</v>
      </c>
      <c r="J218" s="29" t="n">
        <f aca="false">E218-E217</f>
        <v>0.00576695889831491</v>
      </c>
      <c r="K218" s="0" t="n">
        <v>0</v>
      </c>
      <c r="L218" s="0" t="n">
        <v>0</v>
      </c>
      <c r="M218" s="29" t="n">
        <f aca="false">IF(L218=1,J218-Carry!$B$9/Inputs!$B$16,I218)</f>
        <v>0.00728021945506896</v>
      </c>
      <c r="N218" s="0" t="n">
        <v>0.065</v>
      </c>
      <c r="O218" s="0" t="n">
        <v>0.000125</v>
      </c>
      <c r="P218" s="29" t="n">
        <f aca="false">D218-('2 Hedge ratio'!$B$6+'2 Hedge ratio'!$B$5*E218)</f>
        <v>0.0104654630757075</v>
      </c>
      <c r="Q218" s="29" t="n">
        <f aca="false">D218-('5 Re-specification'!$B$7+'5 Re-specification'!$B$5*E218+'5 Re-specification'!$B$6*F218)</f>
        <v>0.00471241532211764</v>
      </c>
      <c r="R218" s="30" t="n">
        <f aca="false">MIN(F218,Inputs!$B$9)</f>
        <v>213</v>
      </c>
      <c r="S218" s="29" t="n">
        <f aca="true">IF(AND(F218&gt;=1,R218&gt;=Inputs!$B$10),INDEX(LINEST(OFFSET(D218,-R218,0,R218,1),OFFSET(E218,-R218,0,R218,2)),1,1),"")</f>
        <v>-7.67417682008913E-005</v>
      </c>
      <c r="T218" s="29" t="n">
        <f aca="true">IF(AND(F218&gt;=1,R218&gt;=Inputs!$B$10),INDEX(LINEST(OFFSET(D218,-R218,0,R218,1),OFFSET(E218,-R218,0,R218,2)),1,2),"")</f>
        <v>1.03287122649366</v>
      </c>
      <c r="U218" s="29" t="n">
        <f aca="true">IF(AND(F218&gt;=1,R218&gt;=Inputs!$B$10),INDEX(LINEST(OFFSET(D218,-R218,0,R218,1),OFFSET(E218,-R218,0,R218,2)),1,3),"")</f>
        <v>4.34093786553469</v>
      </c>
      <c r="V218" s="29" t="n">
        <f aca="true">IF(AND(F218&gt;=1,R218&gt;=Inputs!$B$10),SQRT(SUMPRODUCT((OFFSET(D218,-R218,0,R218,1)-U218-T218*OFFSET(E218,-R218,0,R218,1)-S218*OFFSET(F218,-R218,0,R218,1))^2)/(R218-3)),"")</f>
        <v>0.00265175667170089</v>
      </c>
      <c r="W218" s="31" t="n">
        <f aca="false">IF(AND(F218&gt;=1,R218&gt;=Inputs!$B$10),(D218-U218-T218*E218-S218*F218)/V218,"")</f>
        <v>1.39971594583246</v>
      </c>
      <c r="X218" s="30" t="n">
        <f aca="false">IF(AB217&lt;&gt;0,AC217+1,0)</f>
        <v>6</v>
      </c>
      <c r="Y218" s="30" t="n">
        <f aca="false">IF(W218="",0,IF(AND(AB217&lt;&gt;0,OR(ABS(W218)&gt;Inputs!$B$7,X218&gt;=Inputs!$B$8,ABS(W218)&lt;Inputs!$B$6)),1,0))</f>
        <v>0</v>
      </c>
      <c r="Z218" s="30" t="n">
        <f aca="false">IF(Y218=1,0,AB217)</f>
        <v>1</v>
      </c>
      <c r="AA218" s="30" t="n">
        <f aca="false">IF(W218="",0,IF(AND(Z218=0,ABS(W218)&gt;Inputs!$B$5,ABS(W218)&lt;=Inputs!$B$7),1,0))</f>
        <v>0</v>
      </c>
      <c r="AB218" s="30" t="n">
        <f aca="false">IF(W218="",0,IF(AA218=1,-SIGN(W218),Z218))</f>
        <v>1</v>
      </c>
      <c r="AC218" s="30" t="n">
        <f aca="false">IF(W218="",0,IF(AA218=1,0,IF(Y218=1,0,X218)))</f>
        <v>6</v>
      </c>
      <c r="AD218" s="29" t="n">
        <f aca="false">IF(AB218=0,0,IF(AB217=AB218,AD217,T218))</f>
        <v>1.03094023300949</v>
      </c>
      <c r="AE218" s="30" t="n">
        <f aca="false">AB218-AB217</f>
        <v>0</v>
      </c>
      <c r="AF218" s="30" t="n">
        <f aca="false">-AD218*AB218</f>
        <v>-1.03094023300949</v>
      </c>
      <c r="AG218" s="30" t="n">
        <f aca="false">AF218-AF217</f>
        <v>0</v>
      </c>
      <c r="AH218" s="30" t="n">
        <f aca="false">MAX(AE218,0)*(Inputs!$B$17+Inputs!$B$18+Inputs!$B$19)+MAX(-AE218,0)*(O218+Inputs!$B$18+Inputs!$B$19)+IF(AND(K218=1,AB218&lt;&gt;0),(Inputs!$B$17+Inputs!$B$18+Inputs!$B$19)+(O218+Inputs!$B$18+Inputs!$B$19),0)+MAX(AG218,0)*(Inputs!$B$20+Inputs!$B$22+Inputs!$B$23)+MAX(-AG218,0)*(Inputs!$B$21+Inputs!$B$22+Inputs!$B$23)</f>
        <v>0</v>
      </c>
      <c r="AI218" s="30" t="n">
        <f aca="false">AB217*(M218-AD217*J218)+AB217*AD217*N218/Inputs!$B$16-AH218</f>
        <v>0.00160074662827777</v>
      </c>
      <c r="AJ218" s="30" t="n">
        <f aca="false">MAX(AE218,0)*(Inputs!$B$17+Inputs!$B$24+Inputs!$B$25)+MAX(-AE218,0)*(O218+Inputs!$B$24+Inputs!$B$25)+IF(AND(K218=1,AB218&lt;&gt;0),(Inputs!$B$17+Inputs!$B$24+Inputs!$B$25)+(O218+Inputs!$B$24+Inputs!$B$25),0)+MAX(AG218,0)*(Inputs!$B$20+Inputs!$B$26+Inputs!$B$27)+MAX(-AG218,0)*(Inputs!$B$21+Inputs!$B$26+Inputs!$B$27)</f>
        <v>0</v>
      </c>
      <c r="AK218" s="30" t="n">
        <f aca="false">AB217*(M218-AD217*J218)+AB217*AD217*(N218+Inputs!$B$14)/Inputs!$B$16-AJ218</f>
        <v>0.00163142937330781</v>
      </c>
      <c r="AL218" s="30" t="n">
        <f aca="false">IF(AP217&lt;&gt;0,AQ217+1,0)</f>
        <v>0</v>
      </c>
      <c r="AM218" s="30" t="n">
        <f aca="false">IF(W218="",0,IF(AND(AP217&lt;&gt;0,OR(ABS(W218)&gt;Inputs!$B$7,AL218&gt;=Inputs!$B$8,ABS(W218)&lt;Inputs!$B$6)),1,0))</f>
        <v>0</v>
      </c>
      <c r="AN218" s="30" t="n">
        <f aca="false">IF(AM218=1,0,AP217)</f>
        <v>0</v>
      </c>
      <c r="AO218" s="30" t="n">
        <f aca="false">IF(W218="",0,IF(AND(AN218=0,ABS(W218)&gt;Inputs!$B$5,ABS(W218)&lt;=Inputs!$B$7,W218&gt;0),1,0))</f>
        <v>0</v>
      </c>
      <c r="AP218" s="30" t="n">
        <f aca="false">IF(W218="",0,IF(AO218=1,-SIGN(W218),AN218))</f>
        <v>0</v>
      </c>
      <c r="AQ218" s="30" t="n">
        <f aca="false">IF(W218="",0,IF(AO218=1,0,IF(AM218=1,0,AL218)))</f>
        <v>0</v>
      </c>
      <c r="AR218" s="30" t="n">
        <f aca="false">IF(AP218=0,0,IF(AP217=AP218,AR217,T218))</f>
        <v>0</v>
      </c>
      <c r="AS218" s="30" t="n">
        <f aca="false">AP218-AP217</f>
        <v>0</v>
      </c>
      <c r="AT218" s="30" t="n">
        <f aca="false">-AR218*AP218</f>
        <v>-0</v>
      </c>
      <c r="AU218" s="30" t="n">
        <f aca="false">AT218-AT217</f>
        <v>0</v>
      </c>
      <c r="AV218" s="30" t="n">
        <f aca="false">MAX(AS218,0)*(Inputs!$B$17+Inputs!$B$18+Inputs!$B$19)+MAX(-AS218,0)*(O218+Inputs!$B$18+Inputs!$B$19)+IF(AND(K218=1,AP218&lt;&gt;0),(Inputs!$B$17+Inputs!$B$18+Inputs!$B$19)+(O218+Inputs!$B$18+Inputs!$B$19),0)+MAX(AU218,0)*(Inputs!$B$20+Inputs!$B$22+Inputs!$B$23)+MAX(-AU218,0)*(Inputs!$B$21+Inputs!$B$22+Inputs!$B$23)</f>
        <v>0</v>
      </c>
      <c r="AW218" s="30" t="n">
        <f aca="false">AP217*(M218-AR217*J218)+AP217*AR217*N218/Inputs!$B$16-AV218</f>
        <v>0</v>
      </c>
      <c r="AX218" s="30" t="n">
        <f aca="false">AW218-IF(AP217&lt;&gt;0,0.75*AR217*(Inputs!$B$13-N218)/Inputs!$B$16,0)</f>
        <v>0</v>
      </c>
      <c r="AY218" s="30" t="n">
        <f aca="false">MAX(AS218,0)*(Inputs!$B$17+Inputs!$B$18+Inputs!$B$19)+MAX(-AS218,0)*(O218+Inputs!$B$18+Inputs!$B$19)+IF(AND(K218=1,AP218&lt;&gt;0),(Inputs!$B$17+Inputs!$B$18+Inputs!$B$19)+(O218+Inputs!$B$18+Inputs!$B$19),0)</f>
        <v>0</v>
      </c>
      <c r="AZ218" s="30" t="n">
        <f aca="false">AP217*M218-AY218</f>
        <v>0</v>
      </c>
      <c r="BA218" s="32" t="n">
        <f aca="false">BA217+AI218</f>
        <v>-0.00430801050226781</v>
      </c>
      <c r="BB218" s="30" t="n">
        <f aca="false">MAX(BB217,BA218)</f>
        <v>0</v>
      </c>
      <c r="BC218" s="32" t="n">
        <f aca="false">BA218-BB218</f>
        <v>-0.00430801050226781</v>
      </c>
      <c r="BD218" s="30" t="n">
        <f aca="false">A219-A218</f>
        <v>1</v>
      </c>
    </row>
    <row r="219" customFormat="false" ht="15" hidden="false" customHeight="false" outlineLevel="0" collapsed="false">
      <c r="A219" s="28" t="n">
        <v>45358</v>
      </c>
      <c r="B219" s="0" t="n">
        <v>22539.8</v>
      </c>
      <c r="C219" s="0" t="n">
        <v>248.68</v>
      </c>
      <c r="D219" s="29" t="n">
        <f aca="false">LN(B219)</f>
        <v>10.0230379144399</v>
      </c>
      <c r="E219" s="29" t="n">
        <f aca="false">LN(C219)</f>
        <v>5.51616692940114</v>
      </c>
      <c r="F219" s="0" t="n">
        <v>214</v>
      </c>
      <c r="G219" s="0" t="n">
        <v>21</v>
      </c>
      <c r="H219" s="29" t="n">
        <f aca="false">D219-E219</f>
        <v>4.5068709850388</v>
      </c>
      <c r="I219" s="29" t="n">
        <f aca="false">D219-D218</f>
        <v>-0.00275576248015774</v>
      </c>
      <c r="J219" s="29" t="n">
        <f aca="false">E219-E218</f>
        <v>0</v>
      </c>
      <c r="K219" s="0" t="n">
        <v>0</v>
      </c>
      <c r="L219" s="0" t="n">
        <v>0</v>
      </c>
      <c r="M219" s="29" t="n">
        <f aca="false">IF(L219=1,J219-Carry!$B$9/Inputs!$B$16,I219)</f>
        <v>-0.00275576248015774</v>
      </c>
      <c r="N219" s="0" t="n">
        <v>0.065</v>
      </c>
      <c r="O219" s="0" t="n">
        <v>0.000125</v>
      </c>
      <c r="P219" s="29" t="n">
        <f aca="false">D219-('2 Hedge ratio'!$B$6+'2 Hedge ratio'!$B$5*E219)</f>
        <v>0.00770970059554976</v>
      </c>
      <c r="Q219" s="29" t="n">
        <f aca="false">D219-('5 Re-specification'!$B$7+'5 Re-specification'!$B$5*E219+'5 Re-specification'!$B$6*F219)</f>
        <v>0.00200158216005697</v>
      </c>
      <c r="R219" s="30" t="n">
        <f aca="false">MIN(F219,Inputs!$B$9)</f>
        <v>214</v>
      </c>
      <c r="S219" s="29" t="n">
        <f aca="true">IF(AND(F219&gt;=1,R219&gt;=Inputs!$B$10),INDEX(LINEST(OFFSET(D219,-R219,0,R219,1),OFFSET(E219,-R219,0,R219,2)),1,1),"")</f>
        <v>-7.68819081805932E-005</v>
      </c>
      <c r="T219" s="29" t="n">
        <f aca="true">IF(AND(F219&gt;=1,R219&gt;=Inputs!$B$10),INDEX(LINEST(OFFSET(D219,-R219,0,R219,1),OFFSET(E219,-R219,0,R219,2)),1,2),"")</f>
        <v>1.03352772661694</v>
      </c>
      <c r="U219" s="29" t="n">
        <f aca="true">IF(AND(F219&gt;=1,R219&gt;=Inputs!$B$10),INDEX(LINEST(OFFSET(D219,-R219,0,R219,1),OFFSET(E219,-R219,0,R219,2)),1,3),"")</f>
        <v>4.3374282133608</v>
      </c>
      <c r="V219" s="29" t="n">
        <f aca="true">IF(AND(F219&gt;=1,R219&gt;=Inputs!$B$10),SQRT(SUMPRODUCT((OFFSET(D219,-R219,0,R219,1)-U219-T219*OFFSET(E219,-R219,0,R219,1)-S219*OFFSET(F219,-R219,0,R219,1))^2)/(R219-3)),"")</f>
        <v>0.00265750634733777</v>
      </c>
      <c r="W219" s="31" t="n">
        <f aca="false">IF(AND(F219&gt;=1,R219&gt;=Inputs!$B$10),(D219-U219-T219*E219-S219*F219)/V219,"")</f>
        <v>0.357840442133515</v>
      </c>
      <c r="X219" s="30" t="n">
        <f aca="false">IF(AB218&lt;&gt;0,AC218+1,0)</f>
        <v>7</v>
      </c>
      <c r="Y219" s="30" t="n">
        <f aca="false">IF(W219="",0,IF(AND(AB218&lt;&gt;0,OR(ABS(W219)&gt;Inputs!$B$7,X219&gt;=Inputs!$B$8,ABS(W219)&lt;Inputs!$B$6)),1,0))</f>
        <v>1</v>
      </c>
      <c r="Z219" s="30" t="n">
        <f aca="false">IF(Y219=1,0,AB218)</f>
        <v>0</v>
      </c>
      <c r="AA219" s="30" t="n">
        <f aca="false">IF(W219="",0,IF(AND(Z219=0,ABS(W219)&gt;Inputs!$B$5,ABS(W219)&lt;=Inputs!$B$7),1,0))</f>
        <v>0</v>
      </c>
      <c r="AB219" s="30" t="n">
        <f aca="false">IF(W219="",0,IF(AA219=1,-SIGN(W219),Z219))</f>
        <v>0</v>
      </c>
      <c r="AC219" s="30" t="n">
        <f aca="false">IF(W219="",0,IF(AA219=1,0,IF(Y219=1,0,X219)))</f>
        <v>0</v>
      </c>
      <c r="AD219" s="30" t="n">
        <f aca="false">IF(AB219=0,0,IF(AB218=AB219,AD218,T219))</f>
        <v>0</v>
      </c>
      <c r="AE219" s="30" t="n">
        <f aca="false">AB219-AB218</f>
        <v>-1</v>
      </c>
      <c r="AF219" s="30" t="n">
        <f aca="false">-AD219*AB219</f>
        <v>-0</v>
      </c>
      <c r="AG219" s="30" t="n">
        <f aca="false">AF219-AF218</f>
        <v>1.03094023300949</v>
      </c>
      <c r="AH219" s="30" t="n">
        <f aca="false">MAX(AE219,0)*(Inputs!$B$17+Inputs!$B$18+Inputs!$B$19)+MAX(-AE219,0)*(O219+Inputs!$B$18+Inputs!$B$19)+IF(AND(K219=1,AB219&lt;&gt;0),(Inputs!$B$17+Inputs!$B$18+Inputs!$B$19)+(O219+Inputs!$B$18+Inputs!$B$19),0)+MAX(AG219,0)*(Inputs!$B$20+Inputs!$B$22+Inputs!$B$23)+MAX(-AG219,0)*(Inputs!$B$21+Inputs!$B$22+Inputs!$B$23)</f>
        <v>0.00062082908155332</v>
      </c>
      <c r="AI219" s="30" t="n">
        <f aca="false">AB218*(M219-AD218*J219)+AB218*AD218*N219/Inputs!$B$16-AH219</f>
        <v>-0.00311067443811735</v>
      </c>
      <c r="AJ219" s="30" t="n">
        <f aca="false">MAX(AE219,0)*(Inputs!$B$17+Inputs!$B$24+Inputs!$B$25)+MAX(-AE219,0)*(O219+Inputs!$B$24+Inputs!$B$25)+IF(AND(K219=1,AB219&lt;&gt;0),(Inputs!$B$17+Inputs!$B$24+Inputs!$B$25)+(O219+Inputs!$B$24+Inputs!$B$25),0)+MAX(AG219,0)*(Inputs!$B$20+Inputs!$B$26+Inputs!$B$27)+MAX(-AG219,0)*(Inputs!$B$21+Inputs!$B$26+Inputs!$B$27)</f>
        <v>0.000457889759417419</v>
      </c>
      <c r="AK219" s="30" t="n">
        <f aca="false">AB218*(M219-AD218*J219)+AB218*AD218*(N219+Inputs!$B$14)/Inputs!$B$16-AJ219</f>
        <v>-0.0029170523709514</v>
      </c>
      <c r="AL219" s="30" t="n">
        <f aca="false">IF(AP218&lt;&gt;0,AQ218+1,0)</f>
        <v>0</v>
      </c>
      <c r="AM219" s="30" t="n">
        <f aca="false">IF(W219="",0,IF(AND(AP218&lt;&gt;0,OR(ABS(W219)&gt;Inputs!$B$7,AL219&gt;=Inputs!$B$8,ABS(W219)&lt;Inputs!$B$6)),1,0))</f>
        <v>0</v>
      </c>
      <c r="AN219" s="30" t="n">
        <f aca="false">IF(AM219=1,0,AP218)</f>
        <v>0</v>
      </c>
      <c r="AO219" s="30" t="n">
        <f aca="false">IF(W219="",0,IF(AND(AN219=0,ABS(W219)&gt;Inputs!$B$5,ABS(W219)&lt;=Inputs!$B$7,W219&gt;0),1,0))</f>
        <v>0</v>
      </c>
      <c r="AP219" s="30" t="n">
        <f aca="false">IF(W219="",0,IF(AO219=1,-SIGN(W219),AN219))</f>
        <v>0</v>
      </c>
      <c r="AQ219" s="30" t="n">
        <f aca="false">IF(W219="",0,IF(AO219=1,0,IF(AM219=1,0,AL219)))</f>
        <v>0</v>
      </c>
      <c r="AR219" s="30" t="n">
        <f aca="false">IF(AP219=0,0,IF(AP218=AP219,AR218,T219))</f>
        <v>0</v>
      </c>
      <c r="AS219" s="30" t="n">
        <f aca="false">AP219-AP218</f>
        <v>0</v>
      </c>
      <c r="AT219" s="30" t="n">
        <f aca="false">-AR219*AP219</f>
        <v>-0</v>
      </c>
      <c r="AU219" s="30" t="n">
        <f aca="false">AT219-AT218</f>
        <v>0</v>
      </c>
      <c r="AV219" s="30" t="n">
        <f aca="false">MAX(AS219,0)*(Inputs!$B$17+Inputs!$B$18+Inputs!$B$19)+MAX(-AS219,0)*(O219+Inputs!$B$18+Inputs!$B$19)+IF(AND(K219=1,AP219&lt;&gt;0),(Inputs!$B$17+Inputs!$B$18+Inputs!$B$19)+(O219+Inputs!$B$18+Inputs!$B$19),0)+MAX(AU219,0)*(Inputs!$B$20+Inputs!$B$22+Inputs!$B$23)+MAX(-AU219,0)*(Inputs!$B$21+Inputs!$B$22+Inputs!$B$23)</f>
        <v>0</v>
      </c>
      <c r="AW219" s="30" t="n">
        <f aca="false">AP218*(M219-AR218*J219)+AP218*AR218*N219/Inputs!$B$16-AV219</f>
        <v>0</v>
      </c>
      <c r="AX219" s="30" t="n">
        <f aca="false">AW219-IF(AP218&lt;&gt;0,0.75*AR218*(Inputs!$B$13-N219)/Inputs!$B$16,0)</f>
        <v>0</v>
      </c>
      <c r="AY219" s="30" t="n">
        <f aca="false">MAX(AS219,0)*(Inputs!$B$17+Inputs!$B$18+Inputs!$B$19)+MAX(-AS219,0)*(O219+Inputs!$B$18+Inputs!$B$19)+IF(AND(K219=1,AP219&lt;&gt;0),(Inputs!$B$17+Inputs!$B$18+Inputs!$B$19)+(O219+Inputs!$B$18+Inputs!$B$19),0)</f>
        <v>0</v>
      </c>
      <c r="AZ219" s="30" t="n">
        <f aca="false">AP218*M219-AY219</f>
        <v>-0</v>
      </c>
      <c r="BA219" s="32" t="n">
        <f aca="false">BA218+AI219</f>
        <v>-0.00741868494038516</v>
      </c>
      <c r="BB219" s="30" t="n">
        <f aca="false">MAX(BB218,BA219)</f>
        <v>0</v>
      </c>
      <c r="BC219" s="32" t="n">
        <f aca="false">BA219-BB219</f>
        <v>-0.00741868494038516</v>
      </c>
      <c r="BD219" s="30" t="n">
        <f aca="false">A220-A219</f>
        <v>4</v>
      </c>
    </row>
    <row r="220" customFormat="false" ht="15" hidden="false" customHeight="false" outlineLevel="0" collapsed="false">
      <c r="A220" s="28" t="n">
        <v>45362</v>
      </c>
      <c r="B220" s="0" t="n">
        <v>22405.05</v>
      </c>
      <c r="C220" s="0" t="n">
        <v>247.38</v>
      </c>
      <c r="D220" s="29" t="n">
        <f aca="false">LN(B220)</f>
        <v>10.0170416588625</v>
      </c>
      <c r="E220" s="29" t="n">
        <f aca="false">LN(C220)</f>
        <v>5.51092561594686</v>
      </c>
      <c r="F220" s="0" t="n">
        <v>215</v>
      </c>
      <c r="G220" s="0" t="n">
        <v>17</v>
      </c>
      <c r="H220" s="29" t="n">
        <f aca="false">D220-E220</f>
        <v>4.50611604291561</v>
      </c>
      <c r="I220" s="29" t="n">
        <f aca="false">D220-D219</f>
        <v>-0.00599625557746286</v>
      </c>
      <c r="J220" s="29" t="n">
        <f aca="false">E220-E219</f>
        <v>-0.00524131345427303</v>
      </c>
      <c r="K220" s="0" t="n">
        <v>0</v>
      </c>
      <c r="L220" s="0" t="n">
        <v>0</v>
      </c>
      <c r="M220" s="29" t="n">
        <f aca="false">IF(L220=1,J220-Carry!$B$9/Inputs!$B$16,I220)</f>
        <v>-0.00599625557746286</v>
      </c>
      <c r="N220" s="0" t="n">
        <v>0.065</v>
      </c>
      <c r="O220" s="0" t="n">
        <v>0.000125</v>
      </c>
      <c r="P220" s="29" t="n">
        <f aca="false">D220-('2 Hedge ratio'!$B$6+'2 Hedge ratio'!$B$5*E220)</f>
        <v>0.00651515252714674</v>
      </c>
      <c r="Q220" s="29" t="n">
        <f aca="false">D220-('5 Re-specification'!$B$7+'5 Re-specification'!$B$5*E220+'5 Re-specification'!$B$6*F220)</f>
        <v>0.00127568555443069</v>
      </c>
      <c r="R220" s="30" t="n">
        <f aca="false">MIN(F220,Inputs!$B$9)</f>
        <v>215</v>
      </c>
      <c r="S220" s="29" t="n">
        <f aca="true">IF(AND(F220&gt;=1,R220&gt;=Inputs!$B$10),INDEX(LINEST(OFFSET(D220,-R220,0,R220,1),OFFSET(E220,-R220,0,R220,2)),1,1),"")</f>
        <v>-7.69083699952503E-005</v>
      </c>
      <c r="T220" s="29" t="n">
        <f aca="true">IF(AND(F220&gt;=1,R220&gt;=Inputs!$B$10),INDEX(LINEST(OFFSET(D220,-R220,0,R220,1),OFFSET(E220,-R220,0,R220,2)),1,2),"")</f>
        <v>1.03368438611631</v>
      </c>
      <c r="U220" s="29" t="n">
        <f aca="true">IF(AND(F220&gt;=1,R220&gt;=Inputs!$B$10),INDEX(LINEST(OFFSET(D220,-R220,0,R220,1),OFFSET(E220,-R220,0,R220,2)),1,3),"")</f>
        <v>4.33659017702796</v>
      </c>
      <c r="V220" s="29" t="n">
        <f aca="true">IF(AND(F220&gt;=1,R220&gt;=Inputs!$B$10),SQRT(SUMPRODUCT((OFFSET(D220,-R220,0,R220,1)-U220-T220*OFFSET(E220,-R220,0,R220,1)-S220*OFFSET(F220,-R220,0,R220,1))^2)/(R220-3)),"")</f>
        <v>0.00265201828687746</v>
      </c>
      <c r="W220" s="31" t="n">
        <f aca="false">IF(AND(F220&gt;=1,R220&gt;=Inputs!$B$10),(D220-U220-T220*E220-S220*F220)/V220,"")</f>
        <v>0.161770804119146</v>
      </c>
      <c r="X220" s="30" t="n">
        <f aca="false">IF(AB219&lt;&gt;0,AC219+1,0)</f>
        <v>0</v>
      </c>
      <c r="Y220" s="30" t="n">
        <f aca="false">IF(W220="",0,IF(AND(AB219&lt;&gt;0,OR(ABS(W220)&gt;Inputs!$B$7,X220&gt;=Inputs!$B$8,ABS(W220)&lt;Inputs!$B$6)),1,0))</f>
        <v>0</v>
      </c>
      <c r="Z220" s="30" t="n">
        <f aca="false">IF(Y220=1,0,AB219)</f>
        <v>0</v>
      </c>
      <c r="AA220" s="30" t="n">
        <f aca="false">IF(W220="",0,IF(AND(Z220=0,ABS(W220)&gt;Inputs!$B$5,ABS(W220)&lt;=Inputs!$B$7),1,0))</f>
        <v>0</v>
      </c>
      <c r="AB220" s="30" t="n">
        <f aca="false">IF(W220="",0,IF(AA220=1,-SIGN(W220),Z220))</f>
        <v>0</v>
      </c>
      <c r="AC220" s="30" t="n">
        <f aca="false">IF(W220="",0,IF(AA220=1,0,IF(Y220=1,0,X220)))</f>
        <v>0</v>
      </c>
      <c r="AD220" s="30" t="n">
        <f aca="false">IF(AB220=0,0,IF(AB219=AB220,AD219,T220))</f>
        <v>0</v>
      </c>
      <c r="AE220" s="30" t="n">
        <f aca="false">AB220-AB219</f>
        <v>0</v>
      </c>
      <c r="AF220" s="30" t="n">
        <f aca="false">-AD220*AB220</f>
        <v>-0</v>
      </c>
      <c r="AG220" s="30" t="n">
        <f aca="false">AF220-AF219</f>
        <v>0</v>
      </c>
      <c r="AH220" s="30" t="n">
        <f aca="false">MAX(AE220,0)*(Inputs!$B$17+Inputs!$B$18+Inputs!$B$19)+MAX(-AE220,0)*(O220+Inputs!$B$18+Inputs!$B$19)+IF(AND(K220=1,AB220&lt;&gt;0),(Inputs!$B$17+Inputs!$B$18+Inputs!$B$19)+(O220+Inputs!$B$18+Inputs!$B$19),0)+MAX(AG220,0)*(Inputs!$B$20+Inputs!$B$22+Inputs!$B$23)+MAX(-AG220,0)*(Inputs!$B$21+Inputs!$B$22+Inputs!$B$23)</f>
        <v>0</v>
      </c>
      <c r="AI220" s="30" t="n">
        <f aca="false">AB219*(M220-AD219*J220)+AB219*AD219*N220/Inputs!$B$16-AH220</f>
        <v>0</v>
      </c>
      <c r="AJ220" s="30" t="n">
        <f aca="false">MAX(AE220,0)*(Inputs!$B$17+Inputs!$B$24+Inputs!$B$25)+MAX(-AE220,0)*(O220+Inputs!$B$24+Inputs!$B$25)+IF(AND(K220=1,AB220&lt;&gt;0),(Inputs!$B$17+Inputs!$B$24+Inputs!$B$25)+(O220+Inputs!$B$24+Inputs!$B$25),0)+MAX(AG220,0)*(Inputs!$B$20+Inputs!$B$26+Inputs!$B$27)+MAX(-AG220,0)*(Inputs!$B$21+Inputs!$B$26+Inputs!$B$27)</f>
        <v>0</v>
      </c>
      <c r="AK220" s="30" t="n">
        <f aca="false">AB219*(M220-AD219*J220)+AB219*AD219*(N220+Inputs!$B$14)/Inputs!$B$16-AJ220</f>
        <v>0</v>
      </c>
      <c r="AL220" s="30" t="n">
        <f aca="false">IF(AP219&lt;&gt;0,AQ219+1,0)</f>
        <v>0</v>
      </c>
      <c r="AM220" s="30" t="n">
        <f aca="false">IF(W220="",0,IF(AND(AP219&lt;&gt;0,OR(ABS(W220)&gt;Inputs!$B$7,AL220&gt;=Inputs!$B$8,ABS(W220)&lt;Inputs!$B$6)),1,0))</f>
        <v>0</v>
      </c>
      <c r="AN220" s="30" t="n">
        <f aca="false">IF(AM220=1,0,AP219)</f>
        <v>0</v>
      </c>
      <c r="AO220" s="30" t="n">
        <f aca="false">IF(W220="",0,IF(AND(AN220=0,ABS(W220)&gt;Inputs!$B$5,ABS(W220)&lt;=Inputs!$B$7,W220&gt;0),1,0))</f>
        <v>0</v>
      </c>
      <c r="AP220" s="30" t="n">
        <f aca="false">IF(W220="",0,IF(AO220=1,-SIGN(W220),AN220))</f>
        <v>0</v>
      </c>
      <c r="AQ220" s="30" t="n">
        <f aca="false">IF(W220="",0,IF(AO220=1,0,IF(AM220=1,0,AL220)))</f>
        <v>0</v>
      </c>
      <c r="AR220" s="30" t="n">
        <f aca="false">IF(AP220=0,0,IF(AP219=AP220,AR219,T220))</f>
        <v>0</v>
      </c>
      <c r="AS220" s="30" t="n">
        <f aca="false">AP220-AP219</f>
        <v>0</v>
      </c>
      <c r="AT220" s="30" t="n">
        <f aca="false">-AR220*AP220</f>
        <v>-0</v>
      </c>
      <c r="AU220" s="30" t="n">
        <f aca="false">AT220-AT219</f>
        <v>0</v>
      </c>
      <c r="AV220" s="30" t="n">
        <f aca="false">MAX(AS220,0)*(Inputs!$B$17+Inputs!$B$18+Inputs!$B$19)+MAX(-AS220,0)*(O220+Inputs!$B$18+Inputs!$B$19)+IF(AND(K220=1,AP220&lt;&gt;0),(Inputs!$B$17+Inputs!$B$18+Inputs!$B$19)+(O220+Inputs!$B$18+Inputs!$B$19),0)+MAX(AU220,0)*(Inputs!$B$20+Inputs!$B$22+Inputs!$B$23)+MAX(-AU220,0)*(Inputs!$B$21+Inputs!$B$22+Inputs!$B$23)</f>
        <v>0</v>
      </c>
      <c r="AW220" s="30" t="n">
        <f aca="false">AP219*(M220-AR219*J220)+AP219*AR219*N220/Inputs!$B$16-AV220</f>
        <v>0</v>
      </c>
      <c r="AX220" s="30" t="n">
        <f aca="false">AW220-IF(AP219&lt;&gt;0,0.75*AR219*(Inputs!$B$13-N220)/Inputs!$B$16,0)</f>
        <v>0</v>
      </c>
      <c r="AY220" s="30" t="n">
        <f aca="false">MAX(AS220,0)*(Inputs!$B$17+Inputs!$B$18+Inputs!$B$19)+MAX(-AS220,0)*(O220+Inputs!$B$18+Inputs!$B$19)+IF(AND(K220=1,AP220&lt;&gt;0),(Inputs!$B$17+Inputs!$B$18+Inputs!$B$19)+(O220+Inputs!$B$18+Inputs!$B$19),0)</f>
        <v>0</v>
      </c>
      <c r="AZ220" s="30" t="n">
        <f aca="false">AP219*M220-AY220</f>
        <v>-0</v>
      </c>
      <c r="BA220" s="32" t="n">
        <f aca="false">BA219+AI220</f>
        <v>-0.00741868494038516</v>
      </c>
      <c r="BB220" s="30" t="n">
        <f aca="false">MAX(BB219,BA220)</f>
        <v>0</v>
      </c>
      <c r="BC220" s="32" t="n">
        <f aca="false">BA220-BB220</f>
        <v>-0.00741868494038516</v>
      </c>
      <c r="BD220" s="30" t="n">
        <f aca="false">A221-A220</f>
        <v>1</v>
      </c>
    </row>
    <row r="221" customFormat="false" ht="15" hidden="false" customHeight="false" outlineLevel="0" collapsed="false">
      <c r="A221" s="28" t="n">
        <v>45363</v>
      </c>
      <c r="B221" s="0" t="n">
        <v>22438.7</v>
      </c>
      <c r="C221" s="0" t="n">
        <v>247.54</v>
      </c>
      <c r="D221" s="29" t="n">
        <f aca="false">LN(B221)</f>
        <v>10.0185424256947</v>
      </c>
      <c r="E221" s="29" t="n">
        <f aca="false">LN(C221)</f>
        <v>5.51157218511188</v>
      </c>
      <c r="F221" s="0" t="n">
        <v>216</v>
      </c>
      <c r="G221" s="0" t="n">
        <v>16</v>
      </c>
      <c r="H221" s="29" t="n">
        <f aca="false">D221-E221</f>
        <v>4.5069702405828</v>
      </c>
      <c r="I221" s="29" t="n">
        <f aca="false">D221-D220</f>
        <v>0.0015007668322049</v>
      </c>
      <c r="J221" s="29" t="n">
        <f aca="false">E221-E220</f>
        <v>0.0006465691650126</v>
      </c>
      <c r="K221" s="0" t="n">
        <v>0</v>
      </c>
      <c r="L221" s="0" t="n">
        <v>0</v>
      </c>
      <c r="M221" s="29" t="n">
        <f aca="false">IF(L221=1,J221-Carry!$B$9/Inputs!$B$16,I221)</f>
        <v>0.0015007668322049</v>
      </c>
      <c r="N221" s="0" t="n">
        <v>0.065</v>
      </c>
      <c r="O221" s="0" t="n">
        <v>0.000125</v>
      </c>
      <c r="P221" s="29" t="n">
        <f aca="false">D221-('2 Hedge ratio'!$B$6+'2 Hedge ratio'!$B$5*E221)</f>
        <v>0.00742358004557886</v>
      </c>
      <c r="Q221" s="29" t="n">
        <f aca="false">D221-('5 Re-specification'!$B$7+'5 Re-specification'!$B$5*E221+'5 Re-specification'!$B$6*F221)</f>
        <v>0.00217677196758892</v>
      </c>
      <c r="R221" s="30" t="n">
        <f aca="false">MIN(F221,Inputs!$B$9)</f>
        <v>216</v>
      </c>
      <c r="S221" s="29" t="n">
        <f aca="true">IF(AND(F221&gt;=1,R221&gt;=Inputs!$B$10),INDEX(LINEST(OFFSET(D221,-R221,0,R221,1),OFFSET(E221,-R221,0,R221,2)),1,1),"")</f>
        <v>-7.68973995480023E-005</v>
      </c>
      <c r="T221" s="29" t="n">
        <f aca="true">IF(AND(F221&gt;=1,R221&gt;=Inputs!$B$10),INDEX(LINEST(OFFSET(D221,-R221,0,R221,1),OFFSET(E221,-R221,0,R221,2)),1,2),"")</f>
        <v>1.0337304163492</v>
      </c>
      <c r="U221" s="29" t="n">
        <f aca="true">IF(AND(F221&gt;=1,R221&gt;=Inputs!$B$10),INDEX(LINEST(OFFSET(D221,-R221,0,R221,1),OFFSET(E221,-R221,0,R221,2)),1,3),"")</f>
        <v>4.33634259309459</v>
      </c>
      <c r="V221" s="29" t="n">
        <f aca="true">IF(AND(F221&gt;=1,R221&gt;=Inputs!$B$10),SQRT(SUMPRODUCT((OFFSET(D221,-R221,0,R221,1)-U221-T221*OFFSET(E221,-R221,0,R221,1)-S221*OFFSET(F221,-R221,0,R221,1))^2)/(R221-3)),"")</f>
        <v>0.00264594565000537</v>
      </c>
      <c r="W221" s="31" t="n">
        <f aca="false">IF(AND(F221&gt;=1,R221&gt;=Inputs!$B$10),(D221-U221-T221*E221-S221*F221)/V221,"")</f>
        <v>0.502603387964303</v>
      </c>
      <c r="X221" s="30" t="n">
        <f aca="false">IF(AB220&lt;&gt;0,AC220+1,0)</f>
        <v>0</v>
      </c>
      <c r="Y221" s="30" t="n">
        <f aca="false">IF(W221="",0,IF(AND(AB220&lt;&gt;0,OR(ABS(W221)&gt;Inputs!$B$7,X221&gt;=Inputs!$B$8,ABS(W221)&lt;Inputs!$B$6)),1,0))</f>
        <v>0</v>
      </c>
      <c r="Z221" s="30" t="n">
        <f aca="false">IF(Y221=1,0,AB220)</f>
        <v>0</v>
      </c>
      <c r="AA221" s="30" t="n">
        <f aca="false">IF(W221="",0,IF(AND(Z221=0,ABS(W221)&gt;Inputs!$B$5,ABS(W221)&lt;=Inputs!$B$7),1,0))</f>
        <v>0</v>
      </c>
      <c r="AB221" s="30" t="n">
        <f aca="false">IF(W221="",0,IF(AA221=1,-SIGN(W221),Z221))</f>
        <v>0</v>
      </c>
      <c r="AC221" s="30" t="n">
        <f aca="false">IF(W221="",0,IF(AA221=1,0,IF(Y221=1,0,X221)))</f>
        <v>0</v>
      </c>
      <c r="AD221" s="30" t="n">
        <f aca="false">IF(AB221=0,0,IF(AB220=AB221,AD220,T221))</f>
        <v>0</v>
      </c>
      <c r="AE221" s="30" t="n">
        <f aca="false">AB221-AB220</f>
        <v>0</v>
      </c>
      <c r="AF221" s="30" t="n">
        <f aca="false">-AD221*AB221</f>
        <v>-0</v>
      </c>
      <c r="AG221" s="30" t="n">
        <f aca="false">AF221-AF220</f>
        <v>0</v>
      </c>
      <c r="AH221" s="30" t="n">
        <f aca="false">MAX(AE221,0)*(Inputs!$B$17+Inputs!$B$18+Inputs!$B$19)+MAX(-AE221,0)*(O221+Inputs!$B$18+Inputs!$B$19)+IF(AND(K221=1,AB221&lt;&gt;0),(Inputs!$B$17+Inputs!$B$18+Inputs!$B$19)+(O221+Inputs!$B$18+Inputs!$B$19),0)+MAX(AG221,0)*(Inputs!$B$20+Inputs!$B$22+Inputs!$B$23)+MAX(-AG221,0)*(Inputs!$B$21+Inputs!$B$22+Inputs!$B$23)</f>
        <v>0</v>
      </c>
      <c r="AI221" s="30" t="n">
        <f aca="false">AB220*(M221-AD220*J221)+AB220*AD220*N221/Inputs!$B$16-AH221</f>
        <v>0</v>
      </c>
      <c r="AJ221" s="30" t="n">
        <f aca="false">MAX(AE221,0)*(Inputs!$B$17+Inputs!$B$24+Inputs!$B$25)+MAX(-AE221,0)*(O221+Inputs!$B$24+Inputs!$B$25)+IF(AND(K221=1,AB221&lt;&gt;0),(Inputs!$B$17+Inputs!$B$24+Inputs!$B$25)+(O221+Inputs!$B$24+Inputs!$B$25),0)+MAX(AG221,0)*(Inputs!$B$20+Inputs!$B$26+Inputs!$B$27)+MAX(-AG221,0)*(Inputs!$B$21+Inputs!$B$26+Inputs!$B$27)</f>
        <v>0</v>
      </c>
      <c r="AK221" s="30" t="n">
        <f aca="false">AB220*(M221-AD220*J221)+AB220*AD220*(N221+Inputs!$B$14)/Inputs!$B$16-AJ221</f>
        <v>0</v>
      </c>
      <c r="AL221" s="30" t="n">
        <f aca="false">IF(AP220&lt;&gt;0,AQ220+1,0)</f>
        <v>0</v>
      </c>
      <c r="AM221" s="30" t="n">
        <f aca="false">IF(W221="",0,IF(AND(AP220&lt;&gt;0,OR(ABS(W221)&gt;Inputs!$B$7,AL221&gt;=Inputs!$B$8,ABS(W221)&lt;Inputs!$B$6)),1,0))</f>
        <v>0</v>
      </c>
      <c r="AN221" s="30" t="n">
        <f aca="false">IF(AM221=1,0,AP220)</f>
        <v>0</v>
      </c>
      <c r="AO221" s="30" t="n">
        <f aca="false">IF(W221="",0,IF(AND(AN221=0,ABS(W221)&gt;Inputs!$B$5,ABS(W221)&lt;=Inputs!$B$7,W221&gt;0),1,0))</f>
        <v>0</v>
      </c>
      <c r="AP221" s="30" t="n">
        <f aca="false">IF(W221="",0,IF(AO221=1,-SIGN(W221),AN221))</f>
        <v>0</v>
      </c>
      <c r="AQ221" s="30" t="n">
        <f aca="false">IF(W221="",0,IF(AO221=1,0,IF(AM221=1,0,AL221)))</f>
        <v>0</v>
      </c>
      <c r="AR221" s="30" t="n">
        <f aca="false">IF(AP221=0,0,IF(AP220=AP221,AR220,T221))</f>
        <v>0</v>
      </c>
      <c r="AS221" s="30" t="n">
        <f aca="false">AP221-AP220</f>
        <v>0</v>
      </c>
      <c r="AT221" s="30" t="n">
        <f aca="false">-AR221*AP221</f>
        <v>-0</v>
      </c>
      <c r="AU221" s="30" t="n">
        <f aca="false">AT221-AT220</f>
        <v>0</v>
      </c>
      <c r="AV221" s="30" t="n">
        <f aca="false">MAX(AS221,0)*(Inputs!$B$17+Inputs!$B$18+Inputs!$B$19)+MAX(-AS221,0)*(O221+Inputs!$B$18+Inputs!$B$19)+IF(AND(K221=1,AP221&lt;&gt;0),(Inputs!$B$17+Inputs!$B$18+Inputs!$B$19)+(O221+Inputs!$B$18+Inputs!$B$19),0)+MAX(AU221,0)*(Inputs!$B$20+Inputs!$B$22+Inputs!$B$23)+MAX(-AU221,0)*(Inputs!$B$21+Inputs!$B$22+Inputs!$B$23)</f>
        <v>0</v>
      </c>
      <c r="AW221" s="30" t="n">
        <f aca="false">AP220*(M221-AR220*J221)+AP220*AR220*N221/Inputs!$B$16-AV221</f>
        <v>0</v>
      </c>
      <c r="AX221" s="30" t="n">
        <f aca="false">AW221-IF(AP220&lt;&gt;0,0.75*AR220*(Inputs!$B$13-N221)/Inputs!$B$16,0)</f>
        <v>0</v>
      </c>
      <c r="AY221" s="30" t="n">
        <f aca="false">MAX(AS221,0)*(Inputs!$B$17+Inputs!$B$18+Inputs!$B$19)+MAX(-AS221,0)*(O221+Inputs!$B$18+Inputs!$B$19)+IF(AND(K221=1,AP221&lt;&gt;0),(Inputs!$B$17+Inputs!$B$18+Inputs!$B$19)+(O221+Inputs!$B$18+Inputs!$B$19),0)</f>
        <v>0</v>
      </c>
      <c r="AZ221" s="30" t="n">
        <f aca="false">AP220*M221-AY221</f>
        <v>0</v>
      </c>
      <c r="BA221" s="32" t="n">
        <f aca="false">BA220+AI221</f>
        <v>-0.00741868494038516</v>
      </c>
      <c r="BB221" s="30" t="n">
        <f aca="false">MAX(BB220,BA221)</f>
        <v>0</v>
      </c>
      <c r="BC221" s="32" t="n">
        <f aca="false">BA221-BB221</f>
        <v>-0.00741868494038516</v>
      </c>
      <c r="BD221" s="30" t="n">
        <f aca="false">A222-A221</f>
        <v>1</v>
      </c>
    </row>
    <row r="222" customFormat="false" ht="15" hidden="false" customHeight="false" outlineLevel="0" collapsed="false">
      <c r="A222" s="28" t="n">
        <v>45364</v>
      </c>
      <c r="B222" s="0" t="n">
        <v>22076.45</v>
      </c>
      <c r="C222" s="0" t="n">
        <v>243.75</v>
      </c>
      <c r="D222" s="29" t="n">
        <f aca="false">LN(B222)</f>
        <v>10.0022667084792</v>
      </c>
      <c r="E222" s="29" t="n">
        <f aca="false">LN(C222)</f>
        <v>5.49614310987796</v>
      </c>
      <c r="F222" s="0" t="n">
        <v>217</v>
      </c>
      <c r="G222" s="0" t="n">
        <v>15</v>
      </c>
      <c r="H222" s="29" t="n">
        <f aca="false">D222-E222</f>
        <v>4.50612359860124</v>
      </c>
      <c r="I222" s="29" t="n">
        <f aca="false">D222-D221</f>
        <v>-0.0162757172154819</v>
      </c>
      <c r="J222" s="29" t="n">
        <f aca="false">E222-E221</f>
        <v>-0.0154290752339197</v>
      </c>
      <c r="K222" s="0" t="n">
        <v>0</v>
      </c>
      <c r="L222" s="0" t="n">
        <v>0</v>
      </c>
      <c r="M222" s="29" t="n">
        <f aca="false">IF(L222=1,J222-Carry!$B$9/Inputs!$B$16,I222)</f>
        <v>-0.0162757172154819</v>
      </c>
      <c r="N222" s="0" t="n">
        <v>0.065</v>
      </c>
      <c r="O222" s="0" t="n">
        <v>0.000125</v>
      </c>
      <c r="P222" s="29" t="n">
        <f aca="false">D222-('2 Hedge ratio'!$B$6+'2 Hedge ratio'!$B$5*E222)</f>
        <v>0.00528285152232222</v>
      </c>
      <c r="Q222" s="29" t="n">
        <f aca="false">D222-('5 Re-specification'!$B$7+'5 Re-specification'!$B$5*E222+'5 Re-specification'!$B$6*F222)</f>
        <v>0.00132830149129859</v>
      </c>
      <c r="R222" s="30" t="n">
        <f aca="false">MIN(F222,Inputs!$B$9)</f>
        <v>217</v>
      </c>
      <c r="S222" s="29" t="n">
        <f aca="true">IF(AND(F222&gt;=1,R222&gt;=Inputs!$B$10),INDEX(LINEST(OFFSET(D222,-R222,0,R222,1),OFFSET(E222,-R222,0,R222,2)),1,1),"")</f>
        <v>-7.68590834762718E-005</v>
      </c>
      <c r="T222" s="29" t="n">
        <f aca="true">IF(AND(F222&gt;=1,R222&gt;=Inputs!$B$10),INDEX(LINEST(OFFSET(D222,-R222,0,R222,1),OFFSET(E222,-R222,0,R222,2)),1,2),"")</f>
        <v>1.03386673692262</v>
      </c>
      <c r="U222" s="29" t="n">
        <f aca="true">IF(AND(F222&gt;=1,R222&gt;=Inputs!$B$10),INDEX(LINEST(OFFSET(D222,-R222,0,R222,1),OFFSET(E222,-R222,0,R222,2)),1,3),"")</f>
        <v>4.33560889052287</v>
      </c>
      <c r="V222" s="29" t="n">
        <f aca="true">IF(AND(F222&gt;=1,R222&gt;=Inputs!$B$10),SQRT(SUMPRODUCT((OFFSET(D222,-R222,0,R222,1)-U222-T222*OFFSET(E222,-R222,0,R222,1)-S222*OFFSET(F222,-R222,0,R222,1))^2)/(R222-3)),"")</f>
        <v>0.00264129067319122</v>
      </c>
      <c r="W222" s="31" t="n">
        <f aca="false">IF(AND(F222&gt;=1,R222&gt;=Inputs!$B$10),(D222-U222-T222*E222-S222*F222)/V222,"")</f>
        <v>0.400068198531917</v>
      </c>
      <c r="X222" s="30" t="n">
        <f aca="false">IF(AB221&lt;&gt;0,AC221+1,0)</f>
        <v>0</v>
      </c>
      <c r="Y222" s="30" t="n">
        <f aca="false">IF(W222="",0,IF(AND(AB221&lt;&gt;0,OR(ABS(W222)&gt;Inputs!$B$7,X222&gt;=Inputs!$B$8,ABS(W222)&lt;Inputs!$B$6)),1,0))</f>
        <v>0</v>
      </c>
      <c r="Z222" s="30" t="n">
        <f aca="false">IF(Y222=1,0,AB221)</f>
        <v>0</v>
      </c>
      <c r="AA222" s="30" t="n">
        <f aca="false">IF(W222="",0,IF(AND(Z222=0,ABS(W222)&gt;Inputs!$B$5,ABS(W222)&lt;=Inputs!$B$7),1,0))</f>
        <v>0</v>
      </c>
      <c r="AB222" s="30" t="n">
        <f aca="false">IF(W222="",0,IF(AA222=1,-SIGN(W222),Z222))</f>
        <v>0</v>
      </c>
      <c r="AC222" s="30" t="n">
        <f aca="false">IF(W222="",0,IF(AA222=1,0,IF(Y222=1,0,X222)))</f>
        <v>0</v>
      </c>
      <c r="AD222" s="30" t="n">
        <f aca="false">IF(AB222=0,0,IF(AB221=AB222,AD221,T222))</f>
        <v>0</v>
      </c>
      <c r="AE222" s="30" t="n">
        <f aca="false">AB222-AB221</f>
        <v>0</v>
      </c>
      <c r="AF222" s="30" t="n">
        <f aca="false">-AD222*AB222</f>
        <v>-0</v>
      </c>
      <c r="AG222" s="30" t="n">
        <f aca="false">AF222-AF221</f>
        <v>0</v>
      </c>
      <c r="AH222" s="30" t="n">
        <f aca="false">MAX(AE222,0)*(Inputs!$B$17+Inputs!$B$18+Inputs!$B$19)+MAX(-AE222,0)*(O222+Inputs!$B$18+Inputs!$B$19)+IF(AND(K222=1,AB222&lt;&gt;0),(Inputs!$B$17+Inputs!$B$18+Inputs!$B$19)+(O222+Inputs!$B$18+Inputs!$B$19),0)+MAX(AG222,0)*(Inputs!$B$20+Inputs!$B$22+Inputs!$B$23)+MAX(-AG222,0)*(Inputs!$B$21+Inputs!$B$22+Inputs!$B$23)</f>
        <v>0</v>
      </c>
      <c r="AI222" s="30" t="n">
        <f aca="false">AB221*(M222-AD221*J222)+AB221*AD221*N222/Inputs!$B$16-AH222</f>
        <v>0</v>
      </c>
      <c r="AJ222" s="30" t="n">
        <f aca="false">MAX(AE222,0)*(Inputs!$B$17+Inputs!$B$24+Inputs!$B$25)+MAX(-AE222,0)*(O222+Inputs!$B$24+Inputs!$B$25)+IF(AND(K222=1,AB222&lt;&gt;0),(Inputs!$B$17+Inputs!$B$24+Inputs!$B$25)+(O222+Inputs!$B$24+Inputs!$B$25),0)+MAX(AG222,0)*(Inputs!$B$20+Inputs!$B$26+Inputs!$B$27)+MAX(-AG222,0)*(Inputs!$B$21+Inputs!$B$26+Inputs!$B$27)</f>
        <v>0</v>
      </c>
      <c r="AK222" s="30" t="n">
        <f aca="false">AB221*(M222-AD221*J222)+AB221*AD221*(N222+Inputs!$B$14)/Inputs!$B$16-AJ222</f>
        <v>0</v>
      </c>
      <c r="AL222" s="30" t="n">
        <f aca="false">IF(AP221&lt;&gt;0,AQ221+1,0)</f>
        <v>0</v>
      </c>
      <c r="AM222" s="30" t="n">
        <f aca="false">IF(W222="",0,IF(AND(AP221&lt;&gt;0,OR(ABS(W222)&gt;Inputs!$B$7,AL222&gt;=Inputs!$B$8,ABS(W222)&lt;Inputs!$B$6)),1,0))</f>
        <v>0</v>
      </c>
      <c r="AN222" s="30" t="n">
        <f aca="false">IF(AM222=1,0,AP221)</f>
        <v>0</v>
      </c>
      <c r="AO222" s="30" t="n">
        <f aca="false">IF(W222="",0,IF(AND(AN222=0,ABS(W222)&gt;Inputs!$B$5,ABS(W222)&lt;=Inputs!$B$7,W222&gt;0),1,0))</f>
        <v>0</v>
      </c>
      <c r="AP222" s="30" t="n">
        <f aca="false">IF(W222="",0,IF(AO222=1,-SIGN(W222),AN222))</f>
        <v>0</v>
      </c>
      <c r="AQ222" s="30" t="n">
        <f aca="false">IF(W222="",0,IF(AO222=1,0,IF(AM222=1,0,AL222)))</f>
        <v>0</v>
      </c>
      <c r="AR222" s="30" t="n">
        <f aca="false">IF(AP222=0,0,IF(AP221=AP222,AR221,T222))</f>
        <v>0</v>
      </c>
      <c r="AS222" s="30" t="n">
        <f aca="false">AP222-AP221</f>
        <v>0</v>
      </c>
      <c r="AT222" s="30" t="n">
        <f aca="false">-AR222*AP222</f>
        <v>-0</v>
      </c>
      <c r="AU222" s="30" t="n">
        <f aca="false">AT222-AT221</f>
        <v>0</v>
      </c>
      <c r="AV222" s="30" t="n">
        <f aca="false">MAX(AS222,0)*(Inputs!$B$17+Inputs!$B$18+Inputs!$B$19)+MAX(-AS222,0)*(O222+Inputs!$B$18+Inputs!$B$19)+IF(AND(K222=1,AP222&lt;&gt;0),(Inputs!$B$17+Inputs!$B$18+Inputs!$B$19)+(O222+Inputs!$B$18+Inputs!$B$19),0)+MAX(AU222,0)*(Inputs!$B$20+Inputs!$B$22+Inputs!$B$23)+MAX(-AU222,0)*(Inputs!$B$21+Inputs!$B$22+Inputs!$B$23)</f>
        <v>0</v>
      </c>
      <c r="AW222" s="30" t="n">
        <f aca="false">AP221*(M222-AR221*J222)+AP221*AR221*N222/Inputs!$B$16-AV222</f>
        <v>0</v>
      </c>
      <c r="AX222" s="30" t="n">
        <f aca="false">AW222-IF(AP221&lt;&gt;0,0.75*AR221*(Inputs!$B$13-N222)/Inputs!$B$16,0)</f>
        <v>0</v>
      </c>
      <c r="AY222" s="30" t="n">
        <f aca="false">MAX(AS222,0)*(Inputs!$B$17+Inputs!$B$18+Inputs!$B$19)+MAX(-AS222,0)*(O222+Inputs!$B$18+Inputs!$B$19)+IF(AND(K222=1,AP222&lt;&gt;0),(Inputs!$B$17+Inputs!$B$18+Inputs!$B$19)+(O222+Inputs!$B$18+Inputs!$B$19),0)</f>
        <v>0</v>
      </c>
      <c r="AZ222" s="30" t="n">
        <f aca="false">AP221*M222-AY222</f>
        <v>-0</v>
      </c>
      <c r="BA222" s="32" t="n">
        <f aca="false">BA221+AI222</f>
        <v>-0.00741868494038516</v>
      </c>
      <c r="BB222" s="30" t="n">
        <f aca="false">MAX(BB221,BA222)</f>
        <v>0</v>
      </c>
      <c r="BC222" s="32" t="n">
        <f aca="false">BA222-BB222</f>
        <v>-0.00741868494038516</v>
      </c>
      <c r="BD222" s="30" t="n">
        <f aca="false">A223-A222</f>
        <v>1</v>
      </c>
    </row>
    <row r="223" customFormat="false" ht="15" hidden="false" customHeight="false" outlineLevel="0" collapsed="false">
      <c r="A223" s="28" t="n">
        <v>45365</v>
      </c>
      <c r="B223" s="0" t="n">
        <v>22250</v>
      </c>
      <c r="C223" s="0" t="n">
        <v>245.5</v>
      </c>
      <c r="D223" s="29" t="n">
        <f aca="false">LN(B223)</f>
        <v>10.0100972875944</v>
      </c>
      <c r="E223" s="29" t="n">
        <f aca="false">LN(C223)</f>
        <v>5.50329694723458</v>
      </c>
      <c r="F223" s="0" t="n">
        <v>218</v>
      </c>
      <c r="G223" s="0" t="n">
        <v>14</v>
      </c>
      <c r="H223" s="29" t="n">
        <f aca="false">D223-E223</f>
        <v>4.50680034035981</v>
      </c>
      <c r="I223" s="29" t="n">
        <f aca="false">D223-D222</f>
        <v>0.00783057911518803</v>
      </c>
      <c r="J223" s="29" t="n">
        <f aca="false">E223-E222</f>
        <v>0.00715383735661845</v>
      </c>
      <c r="K223" s="0" t="n">
        <v>0</v>
      </c>
      <c r="L223" s="0" t="n">
        <v>0</v>
      </c>
      <c r="M223" s="29" t="n">
        <f aca="false">IF(L223=1,J223-Carry!$B$9/Inputs!$B$16,I223)</f>
        <v>0.00783057911518803</v>
      </c>
      <c r="N223" s="0" t="n">
        <v>0.065</v>
      </c>
      <c r="O223" s="0" t="n">
        <v>0.000125</v>
      </c>
      <c r="P223" s="29" t="n">
        <f aca="false">D223-('2 Hedge ratio'!$B$6+'2 Hedge ratio'!$B$5*E223)</f>
        <v>0.00655960880381379</v>
      </c>
      <c r="Q223" s="29" t="n">
        <f aca="false">D223-('5 Re-specification'!$B$7+'5 Re-specification'!$B$5*E223+'5 Re-specification'!$B$6*F223)</f>
        <v>0.00207165227222461</v>
      </c>
      <c r="R223" s="30" t="n">
        <f aca="false">MIN(F223,Inputs!$B$9)</f>
        <v>218</v>
      </c>
      <c r="S223" s="29" t="n">
        <f aca="true">IF(AND(F223&gt;=1,R223&gt;=Inputs!$B$10),INDEX(LINEST(OFFSET(D223,-R223,0,R223,1),OFFSET(E223,-R223,0,R223,2)),1,1),"")</f>
        <v>-7.66832850497663E-005</v>
      </c>
      <c r="T223" s="29" t="n">
        <f aca="true">IF(AND(F223&gt;=1,R223&gt;=Inputs!$B$10),INDEX(LINEST(OFFSET(D223,-R223,0,R223,1),OFFSET(E223,-R223,0,R223,2)),1,2),"")</f>
        <v>1.03382174289696</v>
      </c>
      <c r="U223" s="29" t="n">
        <f aca="true">IF(AND(F223&gt;=1,R223&gt;=Inputs!$B$10),INDEX(LINEST(OFFSET(D223,-R223,0,R223,1),OFFSET(E223,-R223,0,R223,2)),1,3),"")</f>
        <v>4.33583750721552</v>
      </c>
      <c r="V223" s="29" t="n">
        <f aca="true">IF(AND(F223&gt;=1,R223&gt;=Inputs!$B$10),SQRT(SUMPRODUCT((OFFSET(D223,-R223,0,R223,1)-U223-T223*OFFSET(E223,-R223,0,R223,1)-S223*OFFSET(F223,-R223,0,R223,1))^2)/(R223-3)),"")</f>
        <v>0.00263610807725977</v>
      </c>
      <c r="W223" s="31" t="n">
        <f aca="false">IF(AND(F223&gt;=1,R223&gt;=Inputs!$B$10),(D223-U223-T223*E223-S223*F223)/V223,"")</f>
        <v>0.587492926976403</v>
      </c>
      <c r="X223" s="30" t="n">
        <f aca="false">IF(AB222&lt;&gt;0,AC222+1,0)</f>
        <v>0</v>
      </c>
      <c r="Y223" s="30" t="n">
        <f aca="false">IF(W223="",0,IF(AND(AB222&lt;&gt;0,OR(ABS(W223)&gt;Inputs!$B$7,X223&gt;=Inputs!$B$8,ABS(W223)&lt;Inputs!$B$6)),1,0))</f>
        <v>0</v>
      </c>
      <c r="Z223" s="30" t="n">
        <f aca="false">IF(Y223=1,0,AB222)</f>
        <v>0</v>
      </c>
      <c r="AA223" s="30" t="n">
        <f aca="false">IF(W223="",0,IF(AND(Z223=0,ABS(W223)&gt;Inputs!$B$5,ABS(W223)&lt;=Inputs!$B$7),1,0))</f>
        <v>0</v>
      </c>
      <c r="AB223" s="30" t="n">
        <f aca="false">IF(W223="",0,IF(AA223=1,-SIGN(W223),Z223))</f>
        <v>0</v>
      </c>
      <c r="AC223" s="30" t="n">
        <f aca="false">IF(W223="",0,IF(AA223=1,0,IF(Y223=1,0,X223)))</f>
        <v>0</v>
      </c>
      <c r="AD223" s="30" t="n">
        <f aca="false">IF(AB223=0,0,IF(AB222=AB223,AD222,T223))</f>
        <v>0</v>
      </c>
      <c r="AE223" s="30" t="n">
        <f aca="false">AB223-AB222</f>
        <v>0</v>
      </c>
      <c r="AF223" s="30" t="n">
        <f aca="false">-AD223*AB223</f>
        <v>-0</v>
      </c>
      <c r="AG223" s="30" t="n">
        <f aca="false">AF223-AF222</f>
        <v>0</v>
      </c>
      <c r="AH223" s="30" t="n">
        <f aca="false">MAX(AE223,0)*(Inputs!$B$17+Inputs!$B$18+Inputs!$B$19)+MAX(-AE223,0)*(O223+Inputs!$B$18+Inputs!$B$19)+IF(AND(K223=1,AB223&lt;&gt;0),(Inputs!$B$17+Inputs!$B$18+Inputs!$B$19)+(O223+Inputs!$B$18+Inputs!$B$19),0)+MAX(AG223,0)*(Inputs!$B$20+Inputs!$B$22+Inputs!$B$23)+MAX(-AG223,0)*(Inputs!$B$21+Inputs!$B$22+Inputs!$B$23)</f>
        <v>0</v>
      </c>
      <c r="AI223" s="30" t="n">
        <f aca="false">AB222*(M223-AD222*J223)+AB222*AD222*N223/Inputs!$B$16-AH223</f>
        <v>0</v>
      </c>
      <c r="AJ223" s="30" t="n">
        <f aca="false">MAX(AE223,0)*(Inputs!$B$17+Inputs!$B$24+Inputs!$B$25)+MAX(-AE223,0)*(O223+Inputs!$B$24+Inputs!$B$25)+IF(AND(K223=1,AB223&lt;&gt;0),(Inputs!$B$17+Inputs!$B$24+Inputs!$B$25)+(O223+Inputs!$B$24+Inputs!$B$25),0)+MAX(AG223,0)*(Inputs!$B$20+Inputs!$B$26+Inputs!$B$27)+MAX(-AG223,0)*(Inputs!$B$21+Inputs!$B$26+Inputs!$B$27)</f>
        <v>0</v>
      </c>
      <c r="AK223" s="30" t="n">
        <f aca="false">AB222*(M223-AD222*J223)+AB222*AD222*(N223+Inputs!$B$14)/Inputs!$B$16-AJ223</f>
        <v>0</v>
      </c>
      <c r="AL223" s="30" t="n">
        <f aca="false">IF(AP222&lt;&gt;0,AQ222+1,0)</f>
        <v>0</v>
      </c>
      <c r="AM223" s="30" t="n">
        <f aca="false">IF(W223="",0,IF(AND(AP222&lt;&gt;0,OR(ABS(W223)&gt;Inputs!$B$7,AL223&gt;=Inputs!$B$8,ABS(W223)&lt;Inputs!$B$6)),1,0))</f>
        <v>0</v>
      </c>
      <c r="AN223" s="30" t="n">
        <f aca="false">IF(AM223=1,0,AP222)</f>
        <v>0</v>
      </c>
      <c r="AO223" s="30" t="n">
        <f aca="false">IF(W223="",0,IF(AND(AN223=0,ABS(W223)&gt;Inputs!$B$5,ABS(W223)&lt;=Inputs!$B$7,W223&gt;0),1,0))</f>
        <v>0</v>
      </c>
      <c r="AP223" s="30" t="n">
        <f aca="false">IF(W223="",0,IF(AO223=1,-SIGN(W223),AN223))</f>
        <v>0</v>
      </c>
      <c r="AQ223" s="30" t="n">
        <f aca="false">IF(W223="",0,IF(AO223=1,0,IF(AM223=1,0,AL223)))</f>
        <v>0</v>
      </c>
      <c r="AR223" s="30" t="n">
        <f aca="false">IF(AP223=0,0,IF(AP222=AP223,AR222,T223))</f>
        <v>0</v>
      </c>
      <c r="AS223" s="30" t="n">
        <f aca="false">AP223-AP222</f>
        <v>0</v>
      </c>
      <c r="AT223" s="30" t="n">
        <f aca="false">-AR223*AP223</f>
        <v>-0</v>
      </c>
      <c r="AU223" s="30" t="n">
        <f aca="false">AT223-AT222</f>
        <v>0</v>
      </c>
      <c r="AV223" s="30" t="n">
        <f aca="false">MAX(AS223,0)*(Inputs!$B$17+Inputs!$B$18+Inputs!$B$19)+MAX(-AS223,0)*(O223+Inputs!$B$18+Inputs!$B$19)+IF(AND(K223=1,AP223&lt;&gt;0),(Inputs!$B$17+Inputs!$B$18+Inputs!$B$19)+(O223+Inputs!$B$18+Inputs!$B$19),0)+MAX(AU223,0)*(Inputs!$B$20+Inputs!$B$22+Inputs!$B$23)+MAX(-AU223,0)*(Inputs!$B$21+Inputs!$B$22+Inputs!$B$23)</f>
        <v>0</v>
      </c>
      <c r="AW223" s="30" t="n">
        <f aca="false">AP222*(M223-AR222*J223)+AP222*AR222*N223/Inputs!$B$16-AV223</f>
        <v>0</v>
      </c>
      <c r="AX223" s="30" t="n">
        <f aca="false">AW223-IF(AP222&lt;&gt;0,0.75*AR222*(Inputs!$B$13-N223)/Inputs!$B$16,0)</f>
        <v>0</v>
      </c>
      <c r="AY223" s="30" t="n">
        <f aca="false">MAX(AS223,0)*(Inputs!$B$17+Inputs!$B$18+Inputs!$B$19)+MAX(-AS223,0)*(O223+Inputs!$B$18+Inputs!$B$19)+IF(AND(K223=1,AP223&lt;&gt;0),(Inputs!$B$17+Inputs!$B$18+Inputs!$B$19)+(O223+Inputs!$B$18+Inputs!$B$19),0)</f>
        <v>0</v>
      </c>
      <c r="AZ223" s="30" t="n">
        <f aca="false">AP222*M223-AY223</f>
        <v>0</v>
      </c>
      <c r="BA223" s="32" t="n">
        <f aca="false">BA222+AI223</f>
        <v>-0.00741868494038516</v>
      </c>
      <c r="BB223" s="30" t="n">
        <f aca="false">MAX(BB222,BA223)</f>
        <v>0</v>
      </c>
      <c r="BC223" s="32" t="n">
        <f aca="false">BA223-BB223</f>
        <v>-0.00741868494038516</v>
      </c>
      <c r="BD223" s="30" t="n">
        <f aca="false">A224-A223</f>
        <v>1</v>
      </c>
    </row>
    <row r="224" customFormat="false" ht="15" hidden="false" customHeight="false" outlineLevel="0" collapsed="false">
      <c r="A224" s="28" t="n">
        <v>45366</v>
      </c>
      <c r="B224" s="0" t="n">
        <v>22121.25</v>
      </c>
      <c r="C224" s="0" t="n">
        <v>243.79</v>
      </c>
      <c r="D224" s="29" t="n">
        <f aca="false">LN(B224)</f>
        <v>10.0042939639854</v>
      </c>
      <c r="E224" s="29" t="n">
        <f aca="false">LN(C224)</f>
        <v>5.49630719897871</v>
      </c>
      <c r="F224" s="0" t="n">
        <v>219</v>
      </c>
      <c r="G224" s="0" t="n">
        <v>13</v>
      </c>
      <c r="H224" s="29" t="n">
        <f aca="false">D224-E224</f>
        <v>4.50798676500669</v>
      </c>
      <c r="I224" s="29" t="n">
        <f aca="false">D224-D223</f>
        <v>-0.0058033236089905</v>
      </c>
      <c r="J224" s="29" t="n">
        <f aca="false">E224-E223</f>
        <v>-0.00698974825586873</v>
      </c>
      <c r="K224" s="0" t="n">
        <v>0</v>
      </c>
      <c r="L224" s="0" t="n">
        <v>0</v>
      </c>
      <c r="M224" s="29" t="n">
        <f aca="false">IF(L224=1,J224-Carry!$B$9/Inputs!$B$16,I224)</f>
        <v>-0.0058033236089905</v>
      </c>
      <c r="N224" s="0" t="n">
        <v>0.065</v>
      </c>
      <c r="O224" s="0" t="n">
        <v>0.000125</v>
      </c>
      <c r="P224" s="29" t="n">
        <f aca="false">D224-('2 Hedge ratio'!$B$6+'2 Hedge ratio'!$B$5*E224)</f>
        <v>0.0071597806124224</v>
      </c>
      <c r="Q224" s="29" t="n">
        <f aca="false">D224-('5 Re-specification'!$B$7+'5 Re-specification'!$B$5*E224+'5 Re-specification'!$B$6*F224)</f>
        <v>0.00328182380496322</v>
      </c>
      <c r="R224" s="30" t="n">
        <f aca="false">MIN(F224,Inputs!$B$9)</f>
        <v>219</v>
      </c>
      <c r="S224" s="29" t="n">
        <f aca="true">IF(AND(F224&gt;=1,R224&gt;=Inputs!$B$10),INDEX(LINEST(OFFSET(D224,-R224,0,R224,1),OFFSET(E224,-R224,0,R224,2)),1,1),"")</f>
        <v>-7.65087257552023E-005</v>
      </c>
      <c r="T224" s="29" t="n">
        <f aca="true">IF(AND(F224&gt;=1,R224&gt;=Inputs!$B$10),INDEX(LINEST(OFFSET(D224,-R224,0,R224,1),OFFSET(E224,-R224,0,R224,2)),1,2),"")</f>
        <v>1.03384089359155</v>
      </c>
      <c r="U224" s="29" t="n">
        <f aca="true">IF(AND(F224&gt;=1,R224&gt;=Inputs!$B$10),INDEX(LINEST(OFFSET(D224,-R224,0,R224,1),OFFSET(E224,-R224,0,R224,2)),1,3),"")</f>
        <v>4.33572218173414</v>
      </c>
      <c r="V224" s="29" t="n">
        <f aca="true">IF(AND(F224&gt;=1,R224&gt;=Inputs!$B$10),SQRT(SUMPRODUCT((OFFSET(D224,-R224,0,R224,1)-U224-T224*OFFSET(E224,-R224,0,R224,1)-S224*OFFSET(F224,-R224,0,R224,1))^2)/(R224-3)),"")</f>
        <v>0.00263207076953179</v>
      </c>
      <c r="W224" s="31" t="n">
        <f aca="false">IF(AND(F224&gt;=1,R224&gt;=Inputs!$B$10),(D224-U224-T224*E224-S224*F224)/V224,"")</f>
        <v>1.14740347439755</v>
      </c>
      <c r="X224" s="30" t="n">
        <f aca="false">IF(AB223&lt;&gt;0,AC223+1,0)</f>
        <v>0</v>
      </c>
      <c r="Y224" s="30" t="n">
        <f aca="false">IF(W224="",0,IF(AND(AB223&lt;&gt;0,OR(ABS(W224)&gt;Inputs!$B$7,X224&gt;=Inputs!$B$8,ABS(W224)&lt;Inputs!$B$6)),1,0))</f>
        <v>0</v>
      </c>
      <c r="Z224" s="30" t="n">
        <f aca="false">IF(Y224=1,0,AB223)</f>
        <v>0</v>
      </c>
      <c r="AA224" s="30" t="n">
        <f aca="false">IF(W224="",0,IF(AND(Z224=0,ABS(W224)&gt;Inputs!$B$5,ABS(W224)&lt;=Inputs!$B$7),1,0))</f>
        <v>0</v>
      </c>
      <c r="AB224" s="30" t="n">
        <f aca="false">IF(W224="",0,IF(AA224=1,-SIGN(W224),Z224))</f>
        <v>0</v>
      </c>
      <c r="AC224" s="30" t="n">
        <f aca="false">IF(W224="",0,IF(AA224=1,0,IF(Y224=1,0,X224)))</f>
        <v>0</v>
      </c>
      <c r="AD224" s="30" t="n">
        <f aca="false">IF(AB224=0,0,IF(AB223=AB224,AD223,T224))</f>
        <v>0</v>
      </c>
      <c r="AE224" s="30" t="n">
        <f aca="false">AB224-AB223</f>
        <v>0</v>
      </c>
      <c r="AF224" s="30" t="n">
        <f aca="false">-AD224*AB224</f>
        <v>-0</v>
      </c>
      <c r="AG224" s="30" t="n">
        <f aca="false">AF224-AF223</f>
        <v>0</v>
      </c>
      <c r="AH224" s="30" t="n">
        <f aca="false">MAX(AE224,0)*(Inputs!$B$17+Inputs!$B$18+Inputs!$B$19)+MAX(-AE224,0)*(O224+Inputs!$B$18+Inputs!$B$19)+IF(AND(K224=1,AB224&lt;&gt;0),(Inputs!$B$17+Inputs!$B$18+Inputs!$B$19)+(O224+Inputs!$B$18+Inputs!$B$19),0)+MAX(AG224,0)*(Inputs!$B$20+Inputs!$B$22+Inputs!$B$23)+MAX(-AG224,0)*(Inputs!$B$21+Inputs!$B$22+Inputs!$B$23)</f>
        <v>0</v>
      </c>
      <c r="AI224" s="30" t="n">
        <f aca="false">AB223*(M224-AD223*J224)+AB223*AD223*N224/Inputs!$B$16-AH224</f>
        <v>0</v>
      </c>
      <c r="AJ224" s="30" t="n">
        <f aca="false">MAX(AE224,0)*(Inputs!$B$17+Inputs!$B$24+Inputs!$B$25)+MAX(-AE224,0)*(O224+Inputs!$B$24+Inputs!$B$25)+IF(AND(K224=1,AB224&lt;&gt;0),(Inputs!$B$17+Inputs!$B$24+Inputs!$B$25)+(O224+Inputs!$B$24+Inputs!$B$25),0)+MAX(AG224,0)*(Inputs!$B$20+Inputs!$B$26+Inputs!$B$27)+MAX(-AG224,0)*(Inputs!$B$21+Inputs!$B$26+Inputs!$B$27)</f>
        <v>0</v>
      </c>
      <c r="AK224" s="30" t="n">
        <f aca="false">AB223*(M224-AD223*J224)+AB223*AD223*(N224+Inputs!$B$14)/Inputs!$B$16-AJ224</f>
        <v>0</v>
      </c>
      <c r="AL224" s="30" t="n">
        <f aca="false">IF(AP223&lt;&gt;0,AQ223+1,0)</f>
        <v>0</v>
      </c>
      <c r="AM224" s="30" t="n">
        <f aca="false">IF(W224="",0,IF(AND(AP223&lt;&gt;0,OR(ABS(W224)&gt;Inputs!$B$7,AL224&gt;=Inputs!$B$8,ABS(W224)&lt;Inputs!$B$6)),1,0))</f>
        <v>0</v>
      </c>
      <c r="AN224" s="30" t="n">
        <f aca="false">IF(AM224=1,0,AP223)</f>
        <v>0</v>
      </c>
      <c r="AO224" s="30" t="n">
        <f aca="false">IF(W224="",0,IF(AND(AN224=0,ABS(W224)&gt;Inputs!$B$5,ABS(W224)&lt;=Inputs!$B$7,W224&gt;0),1,0))</f>
        <v>0</v>
      </c>
      <c r="AP224" s="30" t="n">
        <f aca="false">IF(W224="",0,IF(AO224=1,-SIGN(W224),AN224))</f>
        <v>0</v>
      </c>
      <c r="AQ224" s="30" t="n">
        <f aca="false">IF(W224="",0,IF(AO224=1,0,IF(AM224=1,0,AL224)))</f>
        <v>0</v>
      </c>
      <c r="AR224" s="30" t="n">
        <f aca="false">IF(AP224=0,0,IF(AP223=AP224,AR223,T224))</f>
        <v>0</v>
      </c>
      <c r="AS224" s="30" t="n">
        <f aca="false">AP224-AP223</f>
        <v>0</v>
      </c>
      <c r="AT224" s="30" t="n">
        <f aca="false">-AR224*AP224</f>
        <v>-0</v>
      </c>
      <c r="AU224" s="30" t="n">
        <f aca="false">AT224-AT223</f>
        <v>0</v>
      </c>
      <c r="AV224" s="30" t="n">
        <f aca="false">MAX(AS224,0)*(Inputs!$B$17+Inputs!$B$18+Inputs!$B$19)+MAX(-AS224,0)*(O224+Inputs!$B$18+Inputs!$B$19)+IF(AND(K224=1,AP224&lt;&gt;0),(Inputs!$B$17+Inputs!$B$18+Inputs!$B$19)+(O224+Inputs!$B$18+Inputs!$B$19),0)+MAX(AU224,0)*(Inputs!$B$20+Inputs!$B$22+Inputs!$B$23)+MAX(-AU224,0)*(Inputs!$B$21+Inputs!$B$22+Inputs!$B$23)</f>
        <v>0</v>
      </c>
      <c r="AW224" s="30" t="n">
        <f aca="false">AP223*(M224-AR223*J224)+AP223*AR223*N224/Inputs!$B$16-AV224</f>
        <v>0</v>
      </c>
      <c r="AX224" s="30" t="n">
        <f aca="false">AW224-IF(AP223&lt;&gt;0,0.75*AR223*(Inputs!$B$13-N224)/Inputs!$B$16,0)</f>
        <v>0</v>
      </c>
      <c r="AY224" s="30" t="n">
        <f aca="false">MAX(AS224,0)*(Inputs!$B$17+Inputs!$B$18+Inputs!$B$19)+MAX(-AS224,0)*(O224+Inputs!$B$18+Inputs!$B$19)+IF(AND(K224=1,AP224&lt;&gt;0),(Inputs!$B$17+Inputs!$B$18+Inputs!$B$19)+(O224+Inputs!$B$18+Inputs!$B$19),0)</f>
        <v>0</v>
      </c>
      <c r="AZ224" s="30" t="n">
        <f aca="false">AP223*M224-AY224</f>
        <v>-0</v>
      </c>
      <c r="BA224" s="32" t="n">
        <f aca="false">BA223+AI224</f>
        <v>-0.00741868494038516</v>
      </c>
      <c r="BB224" s="30" t="n">
        <f aca="false">MAX(BB223,BA224)</f>
        <v>0</v>
      </c>
      <c r="BC224" s="32" t="n">
        <f aca="false">BA224-BB224</f>
        <v>-0.00741868494038516</v>
      </c>
      <c r="BD224" s="30" t="n">
        <f aca="false">A225-A224</f>
        <v>3</v>
      </c>
    </row>
    <row r="225" customFormat="false" ht="15" hidden="false" customHeight="false" outlineLevel="0" collapsed="false">
      <c r="A225" s="28" t="n">
        <v>45369</v>
      </c>
      <c r="B225" s="0" t="n">
        <v>22134</v>
      </c>
      <c r="C225" s="0" t="n">
        <v>244.09</v>
      </c>
      <c r="D225" s="29" t="n">
        <f aca="false">LN(B225)</f>
        <v>10.0048701668247</v>
      </c>
      <c r="E225" s="29" t="n">
        <f aca="false">LN(C225)</f>
        <v>5.49753700974287</v>
      </c>
      <c r="F225" s="0" t="n">
        <v>220</v>
      </c>
      <c r="G225" s="0" t="n">
        <v>10</v>
      </c>
      <c r="H225" s="29" t="n">
        <f aca="false">D225-E225</f>
        <v>4.50733315708186</v>
      </c>
      <c r="I225" s="29" t="n">
        <f aca="false">D225-D224</f>
        <v>0.000576202839335238</v>
      </c>
      <c r="J225" s="29" t="n">
        <f aca="false">E225-E224</f>
        <v>0.00122981076416728</v>
      </c>
      <c r="K225" s="0" t="n">
        <v>0</v>
      </c>
      <c r="L225" s="0" t="n">
        <v>0</v>
      </c>
      <c r="M225" s="29" t="n">
        <f aca="false">IF(L225=1,J225-Carry!$B$9/Inputs!$B$16,I225)</f>
        <v>0.000576202839335238</v>
      </c>
      <c r="N225" s="0" t="n">
        <v>0.065</v>
      </c>
      <c r="O225" s="0" t="n">
        <v>0.000125</v>
      </c>
      <c r="P225" s="29" t="n">
        <f aca="false">D225-('2 Hedge ratio'!$B$6+'2 Hedge ratio'!$B$5*E225)</f>
        <v>0.00660932090189448</v>
      </c>
      <c r="Q225" s="29" t="n">
        <f aca="false">D225-('5 Re-specification'!$B$7+'5 Re-specification'!$B$5*E225+'5 Re-specification'!$B$6*F225)</f>
        <v>0.00267687213977297</v>
      </c>
      <c r="R225" s="30" t="n">
        <f aca="false">MIN(F225,Inputs!$B$9)</f>
        <v>220</v>
      </c>
      <c r="S225" s="29" t="n">
        <f aca="true">IF(AND(F225&gt;=1,R225&gt;=Inputs!$B$10),INDEX(LINEST(OFFSET(D225,-R225,0,R225,1),OFFSET(E225,-R225,0,R225,2)),1,1),"")</f>
        <v>-7.59708130173437E-005</v>
      </c>
      <c r="T225" s="29" t="n">
        <f aca="true">IF(AND(F225&gt;=1,R225&gt;=Inputs!$B$10),INDEX(LINEST(OFFSET(D225,-R225,0,R225,1),OFFSET(E225,-R225,0,R225,2)),1,2),"")</f>
        <v>1.03366788673296</v>
      </c>
      <c r="U225" s="29" t="n">
        <f aca="true">IF(AND(F225&gt;=1,R225&gt;=Inputs!$B$10),INDEX(LINEST(OFFSET(D225,-R225,0,R225,1),OFFSET(E225,-R225,0,R225,2)),1,3),"")</f>
        <v>4.3366109287584</v>
      </c>
      <c r="V225" s="29" t="n">
        <f aca="true">IF(AND(F225&gt;=1,R225&gt;=Inputs!$B$10),SQRT(SUMPRODUCT((OFFSET(D225,-R225,0,R225,1)-U225-T225*OFFSET(E225,-R225,0,R225,1)-S225*OFFSET(F225,-R225,0,R225,1))^2)/(R225-3)),"")</f>
        <v>0.00263384272511687</v>
      </c>
      <c r="W225" s="31" t="n">
        <f aca="false">IF(AND(F225&gt;=1,R225&gt;=Inputs!$B$10),(D225-U225-T225*E225-S225*F225)/V225,"")</f>
        <v>0.890468443932398</v>
      </c>
      <c r="X225" s="30" t="n">
        <f aca="false">IF(AB224&lt;&gt;0,AC224+1,0)</f>
        <v>0</v>
      </c>
      <c r="Y225" s="30" t="n">
        <f aca="false">IF(W225="",0,IF(AND(AB224&lt;&gt;0,OR(ABS(W225)&gt;Inputs!$B$7,X225&gt;=Inputs!$B$8,ABS(W225)&lt;Inputs!$B$6)),1,0))</f>
        <v>0</v>
      </c>
      <c r="Z225" s="30" t="n">
        <f aca="false">IF(Y225=1,0,AB224)</f>
        <v>0</v>
      </c>
      <c r="AA225" s="30" t="n">
        <f aca="false">IF(W225="",0,IF(AND(Z225=0,ABS(W225)&gt;Inputs!$B$5,ABS(W225)&lt;=Inputs!$B$7),1,0))</f>
        <v>0</v>
      </c>
      <c r="AB225" s="30" t="n">
        <f aca="false">IF(W225="",0,IF(AA225=1,-SIGN(W225),Z225))</f>
        <v>0</v>
      </c>
      <c r="AC225" s="30" t="n">
        <f aca="false">IF(W225="",0,IF(AA225=1,0,IF(Y225=1,0,X225)))</f>
        <v>0</v>
      </c>
      <c r="AD225" s="30" t="n">
        <f aca="false">IF(AB225=0,0,IF(AB224=AB225,AD224,T225))</f>
        <v>0</v>
      </c>
      <c r="AE225" s="30" t="n">
        <f aca="false">AB225-AB224</f>
        <v>0</v>
      </c>
      <c r="AF225" s="30" t="n">
        <f aca="false">-AD225*AB225</f>
        <v>-0</v>
      </c>
      <c r="AG225" s="30" t="n">
        <f aca="false">AF225-AF224</f>
        <v>0</v>
      </c>
      <c r="AH225" s="30" t="n">
        <f aca="false">MAX(AE225,0)*(Inputs!$B$17+Inputs!$B$18+Inputs!$B$19)+MAX(-AE225,0)*(O225+Inputs!$B$18+Inputs!$B$19)+IF(AND(K225=1,AB225&lt;&gt;0),(Inputs!$B$17+Inputs!$B$18+Inputs!$B$19)+(O225+Inputs!$B$18+Inputs!$B$19),0)+MAX(AG225,0)*(Inputs!$B$20+Inputs!$B$22+Inputs!$B$23)+MAX(-AG225,0)*(Inputs!$B$21+Inputs!$B$22+Inputs!$B$23)</f>
        <v>0</v>
      </c>
      <c r="AI225" s="30" t="n">
        <f aca="false">AB224*(M225-AD224*J225)+AB224*AD224*N225/Inputs!$B$16-AH225</f>
        <v>0</v>
      </c>
      <c r="AJ225" s="30" t="n">
        <f aca="false">MAX(AE225,0)*(Inputs!$B$17+Inputs!$B$24+Inputs!$B$25)+MAX(-AE225,0)*(O225+Inputs!$B$24+Inputs!$B$25)+IF(AND(K225=1,AB225&lt;&gt;0),(Inputs!$B$17+Inputs!$B$24+Inputs!$B$25)+(O225+Inputs!$B$24+Inputs!$B$25),0)+MAX(AG225,0)*(Inputs!$B$20+Inputs!$B$26+Inputs!$B$27)+MAX(-AG225,0)*(Inputs!$B$21+Inputs!$B$26+Inputs!$B$27)</f>
        <v>0</v>
      </c>
      <c r="AK225" s="30" t="n">
        <f aca="false">AB224*(M225-AD224*J225)+AB224*AD224*(N225+Inputs!$B$14)/Inputs!$B$16-AJ225</f>
        <v>0</v>
      </c>
      <c r="AL225" s="30" t="n">
        <f aca="false">IF(AP224&lt;&gt;0,AQ224+1,0)</f>
        <v>0</v>
      </c>
      <c r="AM225" s="30" t="n">
        <f aca="false">IF(W225="",0,IF(AND(AP224&lt;&gt;0,OR(ABS(W225)&gt;Inputs!$B$7,AL225&gt;=Inputs!$B$8,ABS(W225)&lt;Inputs!$B$6)),1,0))</f>
        <v>0</v>
      </c>
      <c r="AN225" s="30" t="n">
        <f aca="false">IF(AM225=1,0,AP224)</f>
        <v>0</v>
      </c>
      <c r="AO225" s="30" t="n">
        <f aca="false">IF(W225="",0,IF(AND(AN225=0,ABS(W225)&gt;Inputs!$B$5,ABS(W225)&lt;=Inputs!$B$7,W225&gt;0),1,0))</f>
        <v>0</v>
      </c>
      <c r="AP225" s="30" t="n">
        <f aca="false">IF(W225="",0,IF(AO225=1,-SIGN(W225),AN225))</f>
        <v>0</v>
      </c>
      <c r="AQ225" s="30" t="n">
        <f aca="false">IF(W225="",0,IF(AO225=1,0,IF(AM225=1,0,AL225)))</f>
        <v>0</v>
      </c>
      <c r="AR225" s="30" t="n">
        <f aca="false">IF(AP225=0,0,IF(AP224=AP225,AR224,T225))</f>
        <v>0</v>
      </c>
      <c r="AS225" s="30" t="n">
        <f aca="false">AP225-AP224</f>
        <v>0</v>
      </c>
      <c r="AT225" s="30" t="n">
        <f aca="false">-AR225*AP225</f>
        <v>-0</v>
      </c>
      <c r="AU225" s="30" t="n">
        <f aca="false">AT225-AT224</f>
        <v>0</v>
      </c>
      <c r="AV225" s="30" t="n">
        <f aca="false">MAX(AS225,0)*(Inputs!$B$17+Inputs!$B$18+Inputs!$B$19)+MAX(-AS225,0)*(O225+Inputs!$B$18+Inputs!$B$19)+IF(AND(K225=1,AP225&lt;&gt;0),(Inputs!$B$17+Inputs!$B$18+Inputs!$B$19)+(O225+Inputs!$B$18+Inputs!$B$19),0)+MAX(AU225,0)*(Inputs!$B$20+Inputs!$B$22+Inputs!$B$23)+MAX(-AU225,0)*(Inputs!$B$21+Inputs!$B$22+Inputs!$B$23)</f>
        <v>0</v>
      </c>
      <c r="AW225" s="30" t="n">
        <f aca="false">AP224*(M225-AR224*J225)+AP224*AR224*N225/Inputs!$B$16-AV225</f>
        <v>0</v>
      </c>
      <c r="AX225" s="30" t="n">
        <f aca="false">AW225-IF(AP224&lt;&gt;0,0.75*AR224*(Inputs!$B$13-N225)/Inputs!$B$16,0)</f>
        <v>0</v>
      </c>
      <c r="AY225" s="30" t="n">
        <f aca="false">MAX(AS225,0)*(Inputs!$B$17+Inputs!$B$18+Inputs!$B$19)+MAX(-AS225,0)*(O225+Inputs!$B$18+Inputs!$B$19)+IF(AND(K225=1,AP225&lt;&gt;0),(Inputs!$B$17+Inputs!$B$18+Inputs!$B$19)+(O225+Inputs!$B$18+Inputs!$B$19),0)</f>
        <v>0</v>
      </c>
      <c r="AZ225" s="30" t="n">
        <f aca="false">AP224*M225-AY225</f>
        <v>0</v>
      </c>
      <c r="BA225" s="32" t="n">
        <f aca="false">BA224+AI225</f>
        <v>-0.00741868494038516</v>
      </c>
      <c r="BB225" s="30" t="n">
        <f aca="false">MAX(BB224,BA225)</f>
        <v>0</v>
      </c>
      <c r="BC225" s="32" t="n">
        <f aca="false">BA225-BB225</f>
        <v>-0.00741868494038516</v>
      </c>
      <c r="BD225" s="30" t="n">
        <f aca="false">A226-A225</f>
        <v>1</v>
      </c>
    </row>
    <row r="226" customFormat="false" ht="15" hidden="false" customHeight="false" outlineLevel="0" collapsed="false">
      <c r="A226" s="28" t="n">
        <v>45370</v>
      </c>
      <c r="B226" s="0" t="n">
        <v>21883.6</v>
      </c>
      <c r="C226" s="0" t="n">
        <v>241.65</v>
      </c>
      <c r="D226" s="29" t="n">
        <f aca="false">LN(B226)</f>
        <v>9.99349277682256</v>
      </c>
      <c r="E226" s="29" t="n">
        <f aca="false">LN(C226)</f>
        <v>5.48749039829109</v>
      </c>
      <c r="F226" s="0" t="n">
        <v>221</v>
      </c>
      <c r="G226" s="0" t="n">
        <v>9</v>
      </c>
      <c r="H226" s="29" t="n">
        <f aca="false">D226-E226</f>
        <v>4.50600237853146</v>
      </c>
      <c r="I226" s="29" t="n">
        <f aca="false">D226-D225</f>
        <v>-0.0113773900021759</v>
      </c>
      <c r="J226" s="29" t="n">
        <f aca="false">E226-E225</f>
        <v>-0.0100466114517808</v>
      </c>
      <c r="K226" s="0" t="n">
        <v>0</v>
      </c>
      <c r="L226" s="0" t="n">
        <v>0</v>
      </c>
      <c r="M226" s="29" t="n">
        <f aca="false">IF(L226=1,J226-Carry!$B$9/Inputs!$B$16,I226)</f>
        <v>-0.0113773900021759</v>
      </c>
      <c r="N226" s="0" t="n">
        <v>0.065</v>
      </c>
      <c r="O226" s="0" t="n">
        <v>0.000125</v>
      </c>
      <c r="P226" s="29" t="n">
        <f aca="false">D226-('2 Hedge ratio'!$B$6+'2 Hedge ratio'!$B$5*E226)</f>
        <v>0.00443590049044929</v>
      </c>
      <c r="Q226" s="29" t="n">
        <f aca="false">D226-('5 Re-specification'!$B$7+'5 Re-specification'!$B$5*E226+'5 Re-specification'!$B$6*F226)</f>
        <v>0.00136057665125833</v>
      </c>
      <c r="R226" s="30" t="n">
        <f aca="false">MIN(F226,Inputs!$B$9)</f>
        <v>221</v>
      </c>
      <c r="S226" s="29" t="n">
        <f aca="true">IF(AND(F226&gt;=1,R226&gt;=Inputs!$B$10),INDEX(LINEST(OFFSET(D226,-R226,0,R226,1),OFFSET(E226,-R226,0,R226,2)),1,1),"")</f>
        <v>-7.556350058186E-005</v>
      </c>
      <c r="T226" s="29" t="n">
        <f aca="true">IF(AND(F226&gt;=1,R226&gt;=Inputs!$B$10),INDEX(LINEST(OFFSET(D226,-R226,0,R226,1),OFFSET(E226,-R226,0,R226,2)),1,2),"")</f>
        <v>1.03354161982073</v>
      </c>
      <c r="U226" s="29" t="n">
        <f aca="true">IF(AND(F226&gt;=1,R226&gt;=Inputs!$B$10),INDEX(LINEST(OFFSET(D226,-R226,0,R226,1),OFFSET(E226,-R226,0,R226,2)),1,3),"")</f>
        <v>4.33725840427984</v>
      </c>
      <c r="V226" s="29" t="n">
        <f aca="true">IF(AND(F226&gt;=1,R226&gt;=Inputs!$B$10),SQRT(SUMPRODUCT((OFFSET(D226,-R226,0,R226,1)-U226-T226*OFFSET(E226,-R226,0,R226,1)-S226*OFFSET(F226,-R226,0,R226,1))^2)/(R226-3)),"")</f>
        <v>0.00263250384239597</v>
      </c>
      <c r="W226" s="31" t="n">
        <f aca="false">IF(AND(F226&gt;=1,R226&gt;=Inputs!$B$10),(D226-U226-T226*E226-S226*F226)/V226,"")</f>
        <v>0.52580784443301</v>
      </c>
      <c r="X226" s="30" t="n">
        <f aca="false">IF(AB225&lt;&gt;0,AC225+1,0)</f>
        <v>0</v>
      </c>
      <c r="Y226" s="30" t="n">
        <f aca="false">IF(W226="",0,IF(AND(AB225&lt;&gt;0,OR(ABS(W226)&gt;Inputs!$B$7,X226&gt;=Inputs!$B$8,ABS(W226)&lt;Inputs!$B$6)),1,0))</f>
        <v>0</v>
      </c>
      <c r="Z226" s="30" t="n">
        <f aca="false">IF(Y226=1,0,AB225)</f>
        <v>0</v>
      </c>
      <c r="AA226" s="30" t="n">
        <f aca="false">IF(W226="",0,IF(AND(Z226=0,ABS(W226)&gt;Inputs!$B$5,ABS(W226)&lt;=Inputs!$B$7),1,0))</f>
        <v>0</v>
      </c>
      <c r="AB226" s="30" t="n">
        <f aca="false">IF(W226="",0,IF(AA226=1,-SIGN(W226),Z226))</f>
        <v>0</v>
      </c>
      <c r="AC226" s="30" t="n">
        <f aca="false">IF(W226="",0,IF(AA226=1,0,IF(Y226=1,0,X226)))</f>
        <v>0</v>
      </c>
      <c r="AD226" s="30" t="n">
        <f aca="false">IF(AB226=0,0,IF(AB225=AB226,AD225,T226))</f>
        <v>0</v>
      </c>
      <c r="AE226" s="30" t="n">
        <f aca="false">AB226-AB225</f>
        <v>0</v>
      </c>
      <c r="AF226" s="30" t="n">
        <f aca="false">-AD226*AB226</f>
        <v>-0</v>
      </c>
      <c r="AG226" s="30" t="n">
        <f aca="false">AF226-AF225</f>
        <v>0</v>
      </c>
      <c r="AH226" s="30" t="n">
        <f aca="false">MAX(AE226,0)*(Inputs!$B$17+Inputs!$B$18+Inputs!$B$19)+MAX(-AE226,0)*(O226+Inputs!$B$18+Inputs!$B$19)+IF(AND(K226=1,AB226&lt;&gt;0),(Inputs!$B$17+Inputs!$B$18+Inputs!$B$19)+(O226+Inputs!$B$18+Inputs!$B$19),0)+MAX(AG226,0)*(Inputs!$B$20+Inputs!$B$22+Inputs!$B$23)+MAX(-AG226,0)*(Inputs!$B$21+Inputs!$B$22+Inputs!$B$23)</f>
        <v>0</v>
      </c>
      <c r="AI226" s="30" t="n">
        <f aca="false">AB225*(M226-AD225*J226)+AB225*AD225*N226/Inputs!$B$16-AH226</f>
        <v>0</v>
      </c>
      <c r="AJ226" s="30" t="n">
        <f aca="false">MAX(AE226,0)*(Inputs!$B$17+Inputs!$B$24+Inputs!$B$25)+MAX(-AE226,0)*(O226+Inputs!$B$24+Inputs!$B$25)+IF(AND(K226=1,AB226&lt;&gt;0),(Inputs!$B$17+Inputs!$B$24+Inputs!$B$25)+(O226+Inputs!$B$24+Inputs!$B$25),0)+MAX(AG226,0)*(Inputs!$B$20+Inputs!$B$26+Inputs!$B$27)+MAX(-AG226,0)*(Inputs!$B$21+Inputs!$B$26+Inputs!$B$27)</f>
        <v>0</v>
      </c>
      <c r="AK226" s="30" t="n">
        <f aca="false">AB225*(M226-AD225*J226)+AB225*AD225*(N226+Inputs!$B$14)/Inputs!$B$16-AJ226</f>
        <v>0</v>
      </c>
      <c r="AL226" s="30" t="n">
        <f aca="false">IF(AP225&lt;&gt;0,AQ225+1,0)</f>
        <v>0</v>
      </c>
      <c r="AM226" s="30" t="n">
        <f aca="false">IF(W226="",0,IF(AND(AP225&lt;&gt;0,OR(ABS(W226)&gt;Inputs!$B$7,AL226&gt;=Inputs!$B$8,ABS(W226)&lt;Inputs!$B$6)),1,0))</f>
        <v>0</v>
      </c>
      <c r="AN226" s="30" t="n">
        <f aca="false">IF(AM226=1,0,AP225)</f>
        <v>0</v>
      </c>
      <c r="AO226" s="30" t="n">
        <f aca="false">IF(W226="",0,IF(AND(AN226=0,ABS(W226)&gt;Inputs!$B$5,ABS(W226)&lt;=Inputs!$B$7,W226&gt;0),1,0))</f>
        <v>0</v>
      </c>
      <c r="AP226" s="30" t="n">
        <f aca="false">IF(W226="",0,IF(AO226=1,-SIGN(W226),AN226))</f>
        <v>0</v>
      </c>
      <c r="AQ226" s="30" t="n">
        <f aca="false">IF(W226="",0,IF(AO226=1,0,IF(AM226=1,0,AL226)))</f>
        <v>0</v>
      </c>
      <c r="AR226" s="30" t="n">
        <f aca="false">IF(AP226=0,0,IF(AP225=AP226,AR225,T226))</f>
        <v>0</v>
      </c>
      <c r="AS226" s="30" t="n">
        <f aca="false">AP226-AP225</f>
        <v>0</v>
      </c>
      <c r="AT226" s="30" t="n">
        <f aca="false">-AR226*AP226</f>
        <v>-0</v>
      </c>
      <c r="AU226" s="30" t="n">
        <f aca="false">AT226-AT225</f>
        <v>0</v>
      </c>
      <c r="AV226" s="30" t="n">
        <f aca="false">MAX(AS226,0)*(Inputs!$B$17+Inputs!$B$18+Inputs!$B$19)+MAX(-AS226,0)*(O226+Inputs!$B$18+Inputs!$B$19)+IF(AND(K226=1,AP226&lt;&gt;0),(Inputs!$B$17+Inputs!$B$18+Inputs!$B$19)+(O226+Inputs!$B$18+Inputs!$B$19),0)+MAX(AU226,0)*(Inputs!$B$20+Inputs!$B$22+Inputs!$B$23)+MAX(-AU226,0)*(Inputs!$B$21+Inputs!$B$22+Inputs!$B$23)</f>
        <v>0</v>
      </c>
      <c r="AW226" s="30" t="n">
        <f aca="false">AP225*(M226-AR225*J226)+AP225*AR225*N226/Inputs!$B$16-AV226</f>
        <v>0</v>
      </c>
      <c r="AX226" s="30" t="n">
        <f aca="false">AW226-IF(AP225&lt;&gt;0,0.75*AR225*(Inputs!$B$13-N226)/Inputs!$B$16,0)</f>
        <v>0</v>
      </c>
      <c r="AY226" s="30" t="n">
        <f aca="false">MAX(AS226,0)*(Inputs!$B$17+Inputs!$B$18+Inputs!$B$19)+MAX(-AS226,0)*(O226+Inputs!$B$18+Inputs!$B$19)+IF(AND(K226=1,AP226&lt;&gt;0),(Inputs!$B$17+Inputs!$B$18+Inputs!$B$19)+(O226+Inputs!$B$18+Inputs!$B$19),0)</f>
        <v>0</v>
      </c>
      <c r="AZ226" s="30" t="n">
        <f aca="false">AP225*M226-AY226</f>
        <v>-0</v>
      </c>
      <c r="BA226" s="32" t="n">
        <f aca="false">BA225+AI226</f>
        <v>-0.00741868494038516</v>
      </c>
      <c r="BB226" s="30" t="n">
        <f aca="false">MAX(BB225,BA226)</f>
        <v>0</v>
      </c>
      <c r="BC226" s="32" t="n">
        <f aca="false">BA226-BB226</f>
        <v>-0.00741868494038516</v>
      </c>
      <c r="BD226" s="30" t="n">
        <f aca="false">A227-A226</f>
        <v>1</v>
      </c>
    </row>
    <row r="227" customFormat="false" ht="15" hidden="false" customHeight="false" outlineLevel="0" collapsed="false">
      <c r="A227" s="28" t="n">
        <v>45371</v>
      </c>
      <c r="B227" s="0" t="n">
        <v>21917</v>
      </c>
      <c r="C227" s="0" t="n">
        <v>241.8</v>
      </c>
      <c r="D227" s="29" t="n">
        <f aca="false">LN(B227)</f>
        <v>9.99501787038172</v>
      </c>
      <c r="E227" s="29" t="n">
        <f aca="false">LN(C227)</f>
        <v>5.48811093818069</v>
      </c>
      <c r="F227" s="0" t="n">
        <v>222</v>
      </c>
      <c r="G227" s="0" t="n">
        <v>8</v>
      </c>
      <c r="H227" s="29" t="n">
        <f aca="false">D227-E227</f>
        <v>4.50690693220103</v>
      </c>
      <c r="I227" s="29" t="n">
        <f aca="false">D227-D226</f>
        <v>0.00152509355916486</v>
      </c>
      <c r="J227" s="29" t="n">
        <f aca="false">E227-E226</f>
        <v>0.000620539889599314</v>
      </c>
      <c r="K227" s="0" t="n">
        <v>0</v>
      </c>
      <c r="L227" s="0" t="n">
        <v>0</v>
      </c>
      <c r="M227" s="29" t="n">
        <f aca="false">IF(L227=1,J227-Carry!$B$9/Inputs!$B$16,I227)</f>
        <v>0.00152509355916486</v>
      </c>
      <c r="N227" s="0" t="n">
        <v>0.065</v>
      </c>
      <c r="O227" s="0" t="n">
        <v>0.000125</v>
      </c>
      <c r="P227" s="29" t="n">
        <f aca="false">D227-('2 Hedge ratio'!$B$6+'2 Hedge ratio'!$B$5*E227)</f>
        <v>0.00539250085157228</v>
      </c>
      <c r="Q227" s="29" t="n">
        <f aca="false">D227-('5 Re-specification'!$B$7+'5 Re-specification'!$B$5*E227+'5 Re-specification'!$B$6*F227)</f>
        <v>0.00231194018506997</v>
      </c>
      <c r="R227" s="30" t="n">
        <f aca="false">MIN(F227,Inputs!$B$9)</f>
        <v>222</v>
      </c>
      <c r="S227" s="29" t="n">
        <f aca="true">IF(AND(F227&gt;=1,R227&gt;=Inputs!$B$10),INDEX(LINEST(OFFSET(D227,-R227,0,R227,1),OFFSET(E227,-R227,0,R227,2)),1,1),"")</f>
        <v>-7.51998872001984E-005</v>
      </c>
      <c r="T227" s="29" t="n">
        <f aca="true">IF(AND(F227&gt;=1,R227&gt;=Inputs!$B$10),INDEX(LINEST(OFFSET(D227,-R227,0,R227,1),OFFSET(E227,-R227,0,R227,2)),1,2),"")</f>
        <v>1.0333359297314</v>
      </c>
      <c r="U227" s="29" t="n">
        <f aca="true">IF(AND(F227&gt;=1,R227&gt;=Inputs!$B$10),INDEX(LINEST(OFFSET(D227,-R227,0,R227,1),OFFSET(E227,-R227,0,R227,2)),1,3),"")</f>
        <v>4.33833498563684</v>
      </c>
      <c r="V227" s="29" t="n">
        <f aca="true">IF(AND(F227&gt;=1,R227&gt;=Inputs!$B$10),SQRT(SUMPRODUCT((OFFSET(D227,-R227,0,R227,1)-U227-T227*OFFSET(E227,-R227,0,R227,1)-S227*OFFSET(F227,-R227,0,R227,1))^2)/(R227-3)),"")</f>
        <v>0.00262811771752479</v>
      </c>
      <c r="W227" s="31" t="n">
        <f aca="false">IF(AND(F227&gt;=1,R227&gt;=Inputs!$B$10),(D227-U227-T227*E227-S227*F227)/V227,"")</f>
        <v>0.880874138132299</v>
      </c>
      <c r="X227" s="30" t="n">
        <f aca="false">IF(AB226&lt;&gt;0,AC226+1,0)</f>
        <v>0</v>
      </c>
      <c r="Y227" s="30" t="n">
        <f aca="false">IF(W227="",0,IF(AND(AB226&lt;&gt;0,OR(ABS(W227)&gt;Inputs!$B$7,X227&gt;=Inputs!$B$8,ABS(W227)&lt;Inputs!$B$6)),1,0))</f>
        <v>0</v>
      </c>
      <c r="Z227" s="30" t="n">
        <f aca="false">IF(Y227=1,0,AB226)</f>
        <v>0</v>
      </c>
      <c r="AA227" s="30" t="n">
        <f aca="false">IF(W227="",0,IF(AND(Z227=0,ABS(W227)&gt;Inputs!$B$5,ABS(W227)&lt;=Inputs!$B$7),1,0))</f>
        <v>0</v>
      </c>
      <c r="AB227" s="30" t="n">
        <f aca="false">IF(W227="",0,IF(AA227=1,-SIGN(W227),Z227))</f>
        <v>0</v>
      </c>
      <c r="AC227" s="30" t="n">
        <f aca="false">IF(W227="",0,IF(AA227=1,0,IF(Y227=1,0,X227)))</f>
        <v>0</v>
      </c>
      <c r="AD227" s="30" t="n">
        <f aca="false">IF(AB227=0,0,IF(AB226=AB227,AD226,T227))</f>
        <v>0</v>
      </c>
      <c r="AE227" s="30" t="n">
        <f aca="false">AB227-AB226</f>
        <v>0</v>
      </c>
      <c r="AF227" s="30" t="n">
        <f aca="false">-AD227*AB227</f>
        <v>-0</v>
      </c>
      <c r="AG227" s="30" t="n">
        <f aca="false">AF227-AF226</f>
        <v>0</v>
      </c>
      <c r="AH227" s="30" t="n">
        <f aca="false">MAX(AE227,0)*(Inputs!$B$17+Inputs!$B$18+Inputs!$B$19)+MAX(-AE227,0)*(O227+Inputs!$B$18+Inputs!$B$19)+IF(AND(K227=1,AB227&lt;&gt;0),(Inputs!$B$17+Inputs!$B$18+Inputs!$B$19)+(O227+Inputs!$B$18+Inputs!$B$19),0)+MAX(AG227,0)*(Inputs!$B$20+Inputs!$B$22+Inputs!$B$23)+MAX(-AG227,0)*(Inputs!$B$21+Inputs!$B$22+Inputs!$B$23)</f>
        <v>0</v>
      </c>
      <c r="AI227" s="30" t="n">
        <f aca="false">AB226*(M227-AD226*J227)+AB226*AD226*N227/Inputs!$B$16-AH227</f>
        <v>0</v>
      </c>
      <c r="AJ227" s="30" t="n">
        <f aca="false">MAX(AE227,0)*(Inputs!$B$17+Inputs!$B$24+Inputs!$B$25)+MAX(-AE227,0)*(O227+Inputs!$B$24+Inputs!$B$25)+IF(AND(K227=1,AB227&lt;&gt;0),(Inputs!$B$17+Inputs!$B$24+Inputs!$B$25)+(O227+Inputs!$B$24+Inputs!$B$25),0)+MAX(AG227,0)*(Inputs!$B$20+Inputs!$B$26+Inputs!$B$27)+MAX(-AG227,0)*(Inputs!$B$21+Inputs!$B$26+Inputs!$B$27)</f>
        <v>0</v>
      </c>
      <c r="AK227" s="30" t="n">
        <f aca="false">AB226*(M227-AD226*J227)+AB226*AD226*(N227+Inputs!$B$14)/Inputs!$B$16-AJ227</f>
        <v>0</v>
      </c>
      <c r="AL227" s="30" t="n">
        <f aca="false">IF(AP226&lt;&gt;0,AQ226+1,0)</f>
        <v>0</v>
      </c>
      <c r="AM227" s="30" t="n">
        <f aca="false">IF(W227="",0,IF(AND(AP226&lt;&gt;0,OR(ABS(W227)&gt;Inputs!$B$7,AL227&gt;=Inputs!$B$8,ABS(W227)&lt;Inputs!$B$6)),1,0))</f>
        <v>0</v>
      </c>
      <c r="AN227" s="30" t="n">
        <f aca="false">IF(AM227=1,0,AP226)</f>
        <v>0</v>
      </c>
      <c r="AO227" s="30" t="n">
        <f aca="false">IF(W227="",0,IF(AND(AN227=0,ABS(W227)&gt;Inputs!$B$5,ABS(W227)&lt;=Inputs!$B$7,W227&gt;0),1,0))</f>
        <v>0</v>
      </c>
      <c r="AP227" s="30" t="n">
        <f aca="false">IF(W227="",0,IF(AO227=1,-SIGN(W227),AN227))</f>
        <v>0</v>
      </c>
      <c r="AQ227" s="30" t="n">
        <f aca="false">IF(W227="",0,IF(AO227=1,0,IF(AM227=1,0,AL227)))</f>
        <v>0</v>
      </c>
      <c r="AR227" s="30" t="n">
        <f aca="false">IF(AP227=0,0,IF(AP226=AP227,AR226,T227))</f>
        <v>0</v>
      </c>
      <c r="AS227" s="30" t="n">
        <f aca="false">AP227-AP226</f>
        <v>0</v>
      </c>
      <c r="AT227" s="30" t="n">
        <f aca="false">-AR227*AP227</f>
        <v>-0</v>
      </c>
      <c r="AU227" s="30" t="n">
        <f aca="false">AT227-AT226</f>
        <v>0</v>
      </c>
      <c r="AV227" s="30" t="n">
        <f aca="false">MAX(AS227,0)*(Inputs!$B$17+Inputs!$B$18+Inputs!$B$19)+MAX(-AS227,0)*(O227+Inputs!$B$18+Inputs!$B$19)+IF(AND(K227=1,AP227&lt;&gt;0),(Inputs!$B$17+Inputs!$B$18+Inputs!$B$19)+(O227+Inputs!$B$18+Inputs!$B$19),0)+MAX(AU227,0)*(Inputs!$B$20+Inputs!$B$22+Inputs!$B$23)+MAX(-AU227,0)*(Inputs!$B$21+Inputs!$B$22+Inputs!$B$23)</f>
        <v>0</v>
      </c>
      <c r="AW227" s="30" t="n">
        <f aca="false">AP226*(M227-AR226*J227)+AP226*AR226*N227/Inputs!$B$16-AV227</f>
        <v>0</v>
      </c>
      <c r="AX227" s="30" t="n">
        <f aca="false">AW227-IF(AP226&lt;&gt;0,0.75*AR226*(Inputs!$B$13-N227)/Inputs!$B$16,0)</f>
        <v>0</v>
      </c>
      <c r="AY227" s="30" t="n">
        <f aca="false">MAX(AS227,0)*(Inputs!$B$17+Inputs!$B$18+Inputs!$B$19)+MAX(-AS227,0)*(O227+Inputs!$B$18+Inputs!$B$19)+IF(AND(K227=1,AP227&lt;&gt;0),(Inputs!$B$17+Inputs!$B$18+Inputs!$B$19)+(O227+Inputs!$B$18+Inputs!$B$19),0)</f>
        <v>0</v>
      </c>
      <c r="AZ227" s="30" t="n">
        <f aca="false">AP226*M227-AY227</f>
        <v>0</v>
      </c>
      <c r="BA227" s="32" t="n">
        <f aca="false">BA226+AI227</f>
        <v>-0.00741868494038516</v>
      </c>
      <c r="BB227" s="30" t="n">
        <f aca="false">MAX(BB226,BA227)</f>
        <v>0</v>
      </c>
      <c r="BC227" s="32" t="n">
        <f aca="false">BA227-BB227</f>
        <v>-0.00741868494038516</v>
      </c>
      <c r="BD227" s="30" t="n">
        <f aca="false">A228-A227</f>
        <v>1</v>
      </c>
    </row>
    <row r="228" customFormat="false" ht="15" hidden="false" customHeight="false" outlineLevel="0" collapsed="false">
      <c r="A228" s="28" t="n">
        <v>45372</v>
      </c>
      <c r="B228" s="0" t="n">
        <v>22119</v>
      </c>
      <c r="C228" s="0" t="n">
        <v>243.99</v>
      </c>
      <c r="D228" s="29" t="n">
        <f aca="false">LN(B228)</f>
        <v>10.0041922466578</v>
      </c>
      <c r="E228" s="29" t="n">
        <f aca="false">LN(C228)</f>
        <v>5.49712724084679</v>
      </c>
      <c r="F228" s="0" t="n">
        <v>223</v>
      </c>
      <c r="G228" s="0" t="n">
        <v>7</v>
      </c>
      <c r="H228" s="29" t="n">
        <f aca="false">D228-E228</f>
        <v>4.50706500581097</v>
      </c>
      <c r="I228" s="29" t="n">
        <f aca="false">D228-D227</f>
        <v>0.00917437627604123</v>
      </c>
      <c r="J228" s="29" t="n">
        <f aca="false">E228-E227</f>
        <v>0.00901630266610187</v>
      </c>
      <c r="K228" s="0" t="n">
        <v>0</v>
      </c>
      <c r="L228" s="0" t="n">
        <v>0</v>
      </c>
      <c r="M228" s="29" t="n">
        <f aca="false">IF(L228=1,J228-Carry!$B$9/Inputs!$B$16,I228)</f>
        <v>0.00917437627604123</v>
      </c>
      <c r="N228" s="0" t="n">
        <v>0.065</v>
      </c>
      <c r="O228" s="0" t="n">
        <v>0.000125</v>
      </c>
      <c r="P228" s="29" t="n">
        <f aca="false">D228-('2 Hedge ratio'!$B$6+'2 Hedge ratio'!$B$5*E228)</f>
        <v>0.00630680098572967</v>
      </c>
      <c r="Q228" s="29" t="n">
        <f aca="false">D228-('5 Re-specification'!$B$7+'5 Re-specification'!$B$5*E228+'5 Re-specification'!$B$6*F228)</f>
        <v>0.00254226701852822</v>
      </c>
      <c r="R228" s="30" t="n">
        <f aca="false">MIN(F228,Inputs!$B$9)</f>
        <v>223</v>
      </c>
      <c r="S228" s="29" t="n">
        <f aca="true">IF(AND(F228&gt;=1,R228&gt;=Inputs!$B$10),INDEX(LINEST(OFFSET(D228,-R228,0,R228,1),OFFSET(E228,-R228,0,R228,2)),1,1),"")</f>
        <v>-7.45952565558672E-005</v>
      </c>
      <c r="T228" s="29" t="n">
        <f aca="true">IF(AND(F228&gt;=1,R228&gt;=Inputs!$B$10),INDEX(LINEST(OFFSET(D228,-R228,0,R228,1),OFFSET(E228,-R228,0,R228,2)),1,2),"")</f>
        <v>1.03299222832703</v>
      </c>
      <c r="U228" s="29" t="n">
        <f aca="true">IF(AND(F228&gt;=1,R228&gt;=Inputs!$B$10),INDEX(LINEST(OFFSET(D228,-R228,0,R228,1),OFFSET(E228,-R228,0,R228,2)),1,3),"")</f>
        <v>4.3401340421084</v>
      </c>
      <c r="V228" s="29" t="n">
        <f aca="true">IF(AND(F228&gt;=1,R228&gt;=Inputs!$B$10),SQRT(SUMPRODUCT((OFFSET(D228,-R228,0,R228,1)-U228-T228*OFFSET(E228,-R228,0,R228,1)-S228*OFFSET(F228,-R228,0,R228,1))^2)/(R228-3)),"")</f>
        <v>0.00262668489375469</v>
      </c>
      <c r="W228" s="31" t="n">
        <f aca="false">IF(AND(F228&gt;=1,R228&gt;=Inputs!$B$10),(D228-U228-T228*E228-S228*F228)/V228,"")</f>
        <v>0.83878688569975</v>
      </c>
      <c r="X228" s="30" t="n">
        <f aca="false">IF(AB227&lt;&gt;0,AC227+1,0)</f>
        <v>0</v>
      </c>
      <c r="Y228" s="30" t="n">
        <f aca="false">IF(W228="",0,IF(AND(AB227&lt;&gt;0,OR(ABS(W228)&gt;Inputs!$B$7,X228&gt;=Inputs!$B$8,ABS(W228)&lt;Inputs!$B$6)),1,0))</f>
        <v>0</v>
      </c>
      <c r="Z228" s="30" t="n">
        <f aca="false">IF(Y228=1,0,AB227)</f>
        <v>0</v>
      </c>
      <c r="AA228" s="30" t="n">
        <f aca="false">IF(W228="",0,IF(AND(Z228=0,ABS(W228)&gt;Inputs!$B$5,ABS(W228)&lt;=Inputs!$B$7),1,0))</f>
        <v>0</v>
      </c>
      <c r="AB228" s="30" t="n">
        <f aca="false">IF(W228="",0,IF(AA228=1,-SIGN(W228),Z228))</f>
        <v>0</v>
      </c>
      <c r="AC228" s="30" t="n">
        <f aca="false">IF(W228="",0,IF(AA228=1,0,IF(Y228=1,0,X228)))</f>
        <v>0</v>
      </c>
      <c r="AD228" s="30" t="n">
        <f aca="false">IF(AB228=0,0,IF(AB227=AB228,AD227,T228))</f>
        <v>0</v>
      </c>
      <c r="AE228" s="30" t="n">
        <f aca="false">AB228-AB227</f>
        <v>0</v>
      </c>
      <c r="AF228" s="30" t="n">
        <f aca="false">-AD228*AB228</f>
        <v>-0</v>
      </c>
      <c r="AG228" s="30" t="n">
        <f aca="false">AF228-AF227</f>
        <v>0</v>
      </c>
      <c r="AH228" s="30" t="n">
        <f aca="false">MAX(AE228,0)*(Inputs!$B$17+Inputs!$B$18+Inputs!$B$19)+MAX(-AE228,0)*(O228+Inputs!$B$18+Inputs!$B$19)+IF(AND(K228=1,AB228&lt;&gt;0),(Inputs!$B$17+Inputs!$B$18+Inputs!$B$19)+(O228+Inputs!$B$18+Inputs!$B$19),0)+MAX(AG228,0)*(Inputs!$B$20+Inputs!$B$22+Inputs!$B$23)+MAX(-AG228,0)*(Inputs!$B$21+Inputs!$B$22+Inputs!$B$23)</f>
        <v>0</v>
      </c>
      <c r="AI228" s="30" t="n">
        <f aca="false">AB227*(M228-AD227*J228)+AB227*AD227*N228/Inputs!$B$16-AH228</f>
        <v>0</v>
      </c>
      <c r="AJ228" s="30" t="n">
        <f aca="false">MAX(AE228,0)*(Inputs!$B$17+Inputs!$B$24+Inputs!$B$25)+MAX(-AE228,0)*(O228+Inputs!$B$24+Inputs!$B$25)+IF(AND(K228=1,AB228&lt;&gt;0),(Inputs!$B$17+Inputs!$B$24+Inputs!$B$25)+(O228+Inputs!$B$24+Inputs!$B$25),0)+MAX(AG228,0)*(Inputs!$B$20+Inputs!$B$26+Inputs!$B$27)+MAX(-AG228,0)*(Inputs!$B$21+Inputs!$B$26+Inputs!$B$27)</f>
        <v>0</v>
      </c>
      <c r="AK228" s="30" t="n">
        <f aca="false">AB227*(M228-AD227*J228)+AB227*AD227*(N228+Inputs!$B$14)/Inputs!$B$16-AJ228</f>
        <v>0</v>
      </c>
      <c r="AL228" s="30" t="n">
        <f aca="false">IF(AP227&lt;&gt;0,AQ227+1,0)</f>
        <v>0</v>
      </c>
      <c r="AM228" s="30" t="n">
        <f aca="false">IF(W228="",0,IF(AND(AP227&lt;&gt;0,OR(ABS(W228)&gt;Inputs!$B$7,AL228&gt;=Inputs!$B$8,ABS(W228)&lt;Inputs!$B$6)),1,0))</f>
        <v>0</v>
      </c>
      <c r="AN228" s="30" t="n">
        <f aca="false">IF(AM228=1,0,AP227)</f>
        <v>0</v>
      </c>
      <c r="AO228" s="30" t="n">
        <f aca="false">IF(W228="",0,IF(AND(AN228=0,ABS(W228)&gt;Inputs!$B$5,ABS(W228)&lt;=Inputs!$B$7,W228&gt;0),1,0))</f>
        <v>0</v>
      </c>
      <c r="AP228" s="30" t="n">
        <f aca="false">IF(W228="",0,IF(AO228=1,-SIGN(W228),AN228))</f>
        <v>0</v>
      </c>
      <c r="AQ228" s="30" t="n">
        <f aca="false">IF(W228="",0,IF(AO228=1,0,IF(AM228=1,0,AL228)))</f>
        <v>0</v>
      </c>
      <c r="AR228" s="30" t="n">
        <f aca="false">IF(AP228=0,0,IF(AP227=AP228,AR227,T228))</f>
        <v>0</v>
      </c>
      <c r="AS228" s="30" t="n">
        <f aca="false">AP228-AP227</f>
        <v>0</v>
      </c>
      <c r="AT228" s="30" t="n">
        <f aca="false">-AR228*AP228</f>
        <v>-0</v>
      </c>
      <c r="AU228" s="30" t="n">
        <f aca="false">AT228-AT227</f>
        <v>0</v>
      </c>
      <c r="AV228" s="30" t="n">
        <f aca="false">MAX(AS228,0)*(Inputs!$B$17+Inputs!$B$18+Inputs!$B$19)+MAX(-AS228,0)*(O228+Inputs!$B$18+Inputs!$B$19)+IF(AND(K228=1,AP228&lt;&gt;0),(Inputs!$B$17+Inputs!$B$18+Inputs!$B$19)+(O228+Inputs!$B$18+Inputs!$B$19),0)+MAX(AU228,0)*(Inputs!$B$20+Inputs!$B$22+Inputs!$B$23)+MAX(-AU228,0)*(Inputs!$B$21+Inputs!$B$22+Inputs!$B$23)</f>
        <v>0</v>
      </c>
      <c r="AW228" s="30" t="n">
        <f aca="false">AP227*(M228-AR227*J228)+AP227*AR227*N228/Inputs!$B$16-AV228</f>
        <v>0</v>
      </c>
      <c r="AX228" s="30" t="n">
        <f aca="false">AW228-IF(AP227&lt;&gt;0,0.75*AR227*(Inputs!$B$13-N228)/Inputs!$B$16,0)</f>
        <v>0</v>
      </c>
      <c r="AY228" s="30" t="n">
        <f aca="false">MAX(AS228,0)*(Inputs!$B$17+Inputs!$B$18+Inputs!$B$19)+MAX(-AS228,0)*(O228+Inputs!$B$18+Inputs!$B$19)+IF(AND(K228=1,AP228&lt;&gt;0),(Inputs!$B$17+Inputs!$B$18+Inputs!$B$19)+(O228+Inputs!$B$18+Inputs!$B$19),0)</f>
        <v>0</v>
      </c>
      <c r="AZ228" s="30" t="n">
        <f aca="false">AP227*M228-AY228</f>
        <v>0</v>
      </c>
      <c r="BA228" s="32" t="n">
        <f aca="false">BA227+AI228</f>
        <v>-0.00741868494038516</v>
      </c>
      <c r="BB228" s="30" t="n">
        <f aca="false">MAX(BB227,BA228)</f>
        <v>0</v>
      </c>
      <c r="BC228" s="32" t="n">
        <f aca="false">BA228-BB228</f>
        <v>-0.00741868494038516</v>
      </c>
      <c r="BD228" s="30" t="n">
        <f aca="false">A229-A228</f>
        <v>1</v>
      </c>
    </row>
    <row r="229" customFormat="false" ht="15" hidden="false" customHeight="false" outlineLevel="0" collapsed="false">
      <c r="A229" s="28" t="n">
        <v>45373</v>
      </c>
      <c r="B229" s="0" t="n">
        <v>22155</v>
      </c>
      <c r="C229" s="0" t="n">
        <v>244.54</v>
      </c>
      <c r="D229" s="29" t="n">
        <f aca="false">LN(B229)</f>
        <v>10.0058184836336</v>
      </c>
      <c r="E229" s="29" t="n">
        <f aca="false">LN(C229)</f>
        <v>5.49937889471604</v>
      </c>
      <c r="F229" s="0" t="n">
        <v>224</v>
      </c>
      <c r="G229" s="0" t="n">
        <v>6</v>
      </c>
      <c r="H229" s="29" t="n">
        <f aca="false">D229-E229</f>
        <v>4.50643958891755</v>
      </c>
      <c r="I229" s="29" t="n">
        <f aca="false">D229-D228</f>
        <v>0.00162623697582909</v>
      </c>
      <c r="J229" s="29" t="n">
        <f aca="false">E229-E228</f>
        <v>0.00225165386924964</v>
      </c>
      <c r="K229" s="0" t="n">
        <v>0</v>
      </c>
      <c r="L229" s="0" t="n">
        <v>0</v>
      </c>
      <c r="M229" s="29" t="n">
        <f aca="false">IF(L229=1,J229-Carry!$B$9/Inputs!$B$16,I229)</f>
        <v>0.00162623697582909</v>
      </c>
      <c r="N229" s="0" t="n">
        <v>0.065</v>
      </c>
      <c r="O229" s="0" t="n">
        <v>0.000125</v>
      </c>
      <c r="P229" s="29" t="n">
        <f aca="false">D229-('2 Hedge ratio'!$B$6+'2 Hedge ratio'!$B$5*E229)</f>
        <v>0.00587023759937821</v>
      </c>
      <c r="Q229" s="29" t="n">
        <f aca="false">D229-('5 Re-specification'!$B$7+'5 Re-specification'!$B$5*E229+'5 Re-specification'!$B$6*F229)</f>
        <v>0.00196860308030011</v>
      </c>
      <c r="R229" s="30" t="n">
        <f aca="false">MIN(F229,Inputs!$B$9)</f>
        <v>224</v>
      </c>
      <c r="S229" s="29" t="n">
        <f aca="true">IF(AND(F229&gt;=1,R229&gt;=Inputs!$B$10),INDEX(LINEST(OFFSET(D229,-R229,0,R229,1),OFFSET(E229,-R229,0,R229,2)),1,1),"")</f>
        <v>-7.41747572302628E-005</v>
      </c>
      <c r="T229" s="29" t="n">
        <f aca="true">IF(AND(F229&gt;=1,R229&gt;=Inputs!$B$10),INDEX(LINEST(OFFSET(D229,-R229,0,R229,1),OFFSET(E229,-R229,0,R229,2)),1,2),"")</f>
        <v>1.0328255310405</v>
      </c>
      <c r="U229" s="29" t="n">
        <f aca="true">IF(AND(F229&gt;=1,R229&gt;=Inputs!$B$10),INDEX(LINEST(OFFSET(D229,-R229,0,R229,1),OFFSET(E229,-R229,0,R229,2)),1,3),"")</f>
        <v>4.34099713407992</v>
      </c>
      <c r="V229" s="29" t="n">
        <f aca="true">IF(AND(F229&gt;=1,R229&gt;=Inputs!$B$10),SQRT(SUMPRODUCT((OFFSET(D229,-R229,0,R229,1)-U229-T229*OFFSET(E229,-R229,0,R229,1)-S229*OFFSET(F229,-R229,0,R229,1))^2)/(R229-3)),"")</f>
        <v>0.00262484573793435</v>
      </c>
      <c r="W229" s="31" t="n">
        <f aca="false">IF(AND(F229&gt;=1,R229&gt;=Inputs!$B$10),(D229-U229-T229*E229-S229*F229)/V229,"")</f>
        <v>0.585774555439944</v>
      </c>
      <c r="X229" s="30" t="n">
        <f aca="false">IF(AB228&lt;&gt;0,AC228+1,0)</f>
        <v>0</v>
      </c>
      <c r="Y229" s="30" t="n">
        <f aca="false">IF(W229="",0,IF(AND(AB228&lt;&gt;0,OR(ABS(W229)&gt;Inputs!$B$7,X229&gt;=Inputs!$B$8,ABS(W229)&lt;Inputs!$B$6)),1,0))</f>
        <v>0</v>
      </c>
      <c r="Z229" s="30" t="n">
        <f aca="false">IF(Y229=1,0,AB228)</f>
        <v>0</v>
      </c>
      <c r="AA229" s="30" t="n">
        <f aca="false">IF(W229="",0,IF(AND(Z229=0,ABS(W229)&gt;Inputs!$B$5,ABS(W229)&lt;=Inputs!$B$7),1,0))</f>
        <v>0</v>
      </c>
      <c r="AB229" s="30" t="n">
        <f aca="false">IF(W229="",0,IF(AA229=1,-SIGN(W229),Z229))</f>
        <v>0</v>
      </c>
      <c r="AC229" s="30" t="n">
        <f aca="false">IF(W229="",0,IF(AA229=1,0,IF(Y229=1,0,X229)))</f>
        <v>0</v>
      </c>
      <c r="AD229" s="30" t="n">
        <f aca="false">IF(AB229=0,0,IF(AB228=AB229,AD228,T229))</f>
        <v>0</v>
      </c>
      <c r="AE229" s="30" t="n">
        <f aca="false">AB229-AB228</f>
        <v>0</v>
      </c>
      <c r="AF229" s="30" t="n">
        <f aca="false">-AD229*AB229</f>
        <v>-0</v>
      </c>
      <c r="AG229" s="30" t="n">
        <f aca="false">AF229-AF228</f>
        <v>0</v>
      </c>
      <c r="AH229" s="30" t="n">
        <f aca="false">MAX(AE229,0)*(Inputs!$B$17+Inputs!$B$18+Inputs!$B$19)+MAX(-AE229,0)*(O229+Inputs!$B$18+Inputs!$B$19)+IF(AND(K229=1,AB229&lt;&gt;0),(Inputs!$B$17+Inputs!$B$18+Inputs!$B$19)+(O229+Inputs!$B$18+Inputs!$B$19),0)+MAX(AG229,0)*(Inputs!$B$20+Inputs!$B$22+Inputs!$B$23)+MAX(-AG229,0)*(Inputs!$B$21+Inputs!$B$22+Inputs!$B$23)</f>
        <v>0</v>
      </c>
      <c r="AI229" s="30" t="n">
        <f aca="false">AB228*(M229-AD228*J229)+AB228*AD228*N229/Inputs!$B$16-AH229</f>
        <v>0</v>
      </c>
      <c r="AJ229" s="30" t="n">
        <f aca="false">MAX(AE229,0)*(Inputs!$B$17+Inputs!$B$24+Inputs!$B$25)+MAX(-AE229,0)*(O229+Inputs!$B$24+Inputs!$B$25)+IF(AND(K229=1,AB229&lt;&gt;0),(Inputs!$B$17+Inputs!$B$24+Inputs!$B$25)+(O229+Inputs!$B$24+Inputs!$B$25),0)+MAX(AG229,0)*(Inputs!$B$20+Inputs!$B$26+Inputs!$B$27)+MAX(-AG229,0)*(Inputs!$B$21+Inputs!$B$26+Inputs!$B$27)</f>
        <v>0</v>
      </c>
      <c r="AK229" s="30" t="n">
        <f aca="false">AB228*(M229-AD228*J229)+AB228*AD228*(N229+Inputs!$B$14)/Inputs!$B$16-AJ229</f>
        <v>0</v>
      </c>
      <c r="AL229" s="30" t="n">
        <f aca="false">IF(AP228&lt;&gt;0,AQ228+1,0)</f>
        <v>0</v>
      </c>
      <c r="AM229" s="30" t="n">
        <f aca="false">IF(W229="",0,IF(AND(AP228&lt;&gt;0,OR(ABS(W229)&gt;Inputs!$B$7,AL229&gt;=Inputs!$B$8,ABS(W229)&lt;Inputs!$B$6)),1,0))</f>
        <v>0</v>
      </c>
      <c r="AN229" s="30" t="n">
        <f aca="false">IF(AM229=1,0,AP228)</f>
        <v>0</v>
      </c>
      <c r="AO229" s="30" t="n">
        <f aca="false">IF(W229="",0,IF(AND(AN229=0,ABS(W229)&gt;Inputs!$B$5,ABS(W229)&lt;=Inputs!$B$7,W229&gt;0),1,0))</f>
        <v>0</v>
      </c>
      <c r="AP229" s="30" t="n">
        <f aca="false">IF(W229="",0,IF(AO229=1,-SIGN(W229),AN229))</f>
        <v>0</v>
      </c>
      <c r="AQ229" s="30" t="n">
        <f aca="false">IF(W229="",0,IF(AO229=1,0,IF(AM229=1,0,AL229)))</f>
        <v>0</v>
      </c>
      <c r="AR229" s="30" t="n">
        <f aca="false">IF(AP229=0,0,IF(AP228=AP229,AR228,T229))</f>
        <v>0</v>
      </c>
      <c r="AS229" s="30" t="n">
        <f aca="false">AP229-AP228</f>
        <v>0</v>
      </c>
      <c r="AT229" s="30" t="n">
        <f aca="false">-AR229*AP229</f>
        <v>-0</v>
      </c>
      <c r="AU229" s="30" t="n">
        <f aca="false">AT229-AT228</f>
        <v>0</v>
      </c>
      <c r="AV229" s="30" t="n">
        <f aca="false">MAX(AS229,0)*(Inputs!$B$17+Inputs!$B$18+Inputs!$B$19)+MAX(-AS229,0)*(O229+Inputs!$B$18+Inputs!$B$19)+IF(AND(K229=1,AP229&lt;&gt;0),(Inputs!$B$17+Inputs!$B$18+Inputs!$B$19)+(O229+Inputs!$B$18+Inputs!$B$19),0)+MAX(AU229,0)*(Inputs!$B$20+Inputs!$B$22+Inputs!$B$23)+MAX(-AU229,0)*(Inputs!$B$21+Inputs!$B$22+Inputs!$B$23)</f>
        <v>0</v>
      </c>
      <c r="AW229" s="30" t="n">
        <f aca="false">AP228*(M229-AR228*J229)+AP228*AR228*N229/Inputs!$B$16-AV229</f>
        <v>0</v>
      </c>
      <c r="AX229" s="30" t="n">
        <f aca="false">AW229-IF(AP228&lt;&gt;0,0.75*AR228*(Inputs!$B$13-N229)/Inputs!$B$16,0)</f>
        <v>0</v>
      </c>
      <c r="AY229" s="30" t="n">
        <f aca="false">MAX(AS229,0)*(Inputs!$B$17+Inputs!$B$18+Inputs!$B$19)+MAX(-AS229,0)*(O229+Inputs!$B$18+Inputs!$B$19)+IF(AND(K229=1,AP229&lt;&gt;0),(Inputs!$B$17+Inputs!$B$18+Inputs!$B$19)+(O229+Inputs!$B$18+Inputs!$B$19),0)</f>
        <v>0</v>
      </c>
      <c r="AZ229" s="30" t="n">
        <f aca="false">AP228*M229-AY229</f>
        <v>0</v>
      </c>
      <c r="BA229" s="32" t="n">
        <f aca="false">BA228+AI229</f>
        <v>-0.00741868494038516</v>
      </c>
      <c r="BB229" s="30" t="n">
        <f aca="false">MAX(BB228,BA229)</f>
        <v>0</v>
      </c>
      <c r="BC229" s="32" t="n">
        <f aca="false">BA229-BB229</f>
        <v>-0.00741868494038516</v>
      </c>
      <c r="BD229" s="30" t="n">
        <f aca="false">A230-A229</f>
        <v>4</v>
      </c>
    </row>
    <row r="230" customFormat="false" ht="15" hidden="false" customHeight="false" outlineLevel="0" collapsed="false">
      <c r="A230" s="28" t="n">
        <v>45377</v>
      </c>
      <c r="B230" s="0" t="n">
        <v>22095</v>
      </c>
      <c r="C230" s="0" t="n">
        <v>243.73</v>
      </c>
      <c r="D230" s="29" t="n">
        <f aca="false">LN(B230)</f>
        <v>10.0031066175648</v>
      </c>
      <c r="E230" s="29" t="n">
        <f aca="false">LN(C230)</f>
        <v>5.49606105522951</v>
      </c>
      <c r="F230" s="0" t="n">
        <v>225</v>
      </c>
      <c r="G230" s="0" t="n">
        <v>2</v>
      </c>
      <c r="H230" s="29" t="n">
        <f aca="false">D230-E230</f>
        <v>4.50704556233533</v>
      </c>
      <c r="I230" s="29" t="n">
        <f aca="false">D230-D229</f>
        <v>-0.00271186606874885</v>
      </c>
      <c r="J230" s="29" t="n">
        <f aca="false">E230-E229</f>
        <v>-0.0033178394865292</v>
      </c>
      <c r="K230" s="0" t="n">
        <v>0</v>
      </c>
      <c r="L230" s="0" t="n">
        <v>0</v>
      </c>
      <c r="M230" s="29" t="n">
        <f aca="false">IF(L230=1,J230-Carry!$B$9/Inputs!$B$16,I230)</f>
        <v>-0.00271186606874885</v>
      </c>
      <c r="N230" s="0" t="n">
        <v>0.065</v>
      </c>
      <c r="O230" s="0" t="n">
        <v>0.000125</v>
      </c>
      <c r="P230" s="29" t="n">
        <f aca="false">D230-('2 Hedge ratio'!$B$6+'2 Hedge ratio'!$B$5*E230)</f>
        <v>0.00619793306712424</v>
      </c>
      <c r="Q230" s="29" t="n">
        <f aca="false">D230-('5 Re-specification'!$B$7+'5 Re-specification'!$B$5*E230+'5 Re-specification'!$B$6*F230)</f>
        <v>0.00260945110354349</v>
      </c>
      <c r="R230" s="30" t="n">
        <f aca="false">MIN(F230,Inputs!$B$9)</f>
        <v>225</v>
      </c>
      <c r="S230" s="29" t="n">
        <f aca="true">IF(AND(F230&gt;=1,R230&gt;=Inputs!$B$10),INDEX(LINEST(OFFSET(D230,-R230,0,R230,1),OFFSET(E230,-R230,0,R230,2)),1,1),"")</f>
        <v>-7.39015123545792E-005</v>
      </c>
      <c r="T230" s="29" t="n">
        <f aca="true">IF(AND(F230&gt;=1,R230&gt;=Inputs!$B$10),INDEX(LINEST(OFFSET(D230,-R230,0,R230,1),OFFSET(E230,-R230,0,R230,2)),1,2),"")</f>
        <v>1.03272869710262</v>
      </c>
      <c r="U230" s="29" t="n">
        <f aca="true">IF(AND(F230&gt;=1,R230&gt;=Inputs!$B$10),INDEX(LINEST(OFFSET(D230,-R230,0,R230,1),OFFSET(E230,-R230,0,R230,2)),1,3),"")</f>
        <v>4.34149629670741</v>
      </c>
      <c r="V230" s="29" t="n">
        <f aca="true">IF(AND(F230&gt;=1,R230&gt;=Inputs!$B$10),SQRT(SUMPRODUCT((OFFSET(D230,-R230,0,R230,1)-U230-T230*OFFSET(E230,-R230,0,R230,1)-S230*OFFSET(F230,-R230,0,R230,1))^2)/(R230-3)),"")</f>
        <v>0.00262092278994366</v>
      </c>
      <c r="W230" s="31" t="n">
        <f aca="false">IF(AND(F230&gt;=1,R230&gt;=Inputs!$B$10),(D230-U230-T230*E230-S230*F230)/V230,"")</f>
        <v>0.876862295375397</v>
      </c>
      <c r="X230" s="30" t="n">
        <f aca="false">IF(AB229&lt;&gt;0,AC229+1,0)</f>
        <v>0</v>
      </c>
      <c r="Y230" s="30" t="n">
        <f aca="false">IF(W230="",0,IF(AND(AB229&lt;&gt;0,OR(ABS(W230)&gt;Inputs!$B$7,X230&gt;=Inputs!$B$8,ABS(W230)&lt;Inputs!$B$6)),1,0))</f>
        <v>0</v>
      </c>
      <c r="Z230" s="30" t="n">
        <f aca="false">IF(Y230=1,0,AB229)</f>
        <v>0</v>
      </c>
      <c r="AA230" s="30" t="n">
        <f aca="false">IF(W230="",0,IF(AND(Z230=0,ABS(W230)&gt;Inputs!$B$5,ABS(W230)&lt;=Inputs!$B$7),1,0))</f>
        <v>0</v>
      </c>
      <c r="AB230" s="30" t="n">
        <f aca="false">IF(W230="",0,IF(AA230=1,-SIGN(W230),Z230))</f>
        <v>0</v>
      </c>
      <c r="AC230" s="30" t="n">
        <f aca="false">IF(W230="",0,IF(AA230=1,0,IF(Y230=1,0,X230)))</f>
        <v>0</v>
      </c>
      <c r="AD230" s="30" t="n">
        <f aca="false">IF(AB230=0,0,IF(AB229=AB230,AD229,T230))</f>
        <v>0</v>
      </c>
      <c r="AE230" s="30" t="n">
        <f aca="false">AB230-AB229</f>
        <v>0</v>
      </c>
      <c r="AF230" s="30" t="n">
        <f aca="false">-AD230*AB230</f>
        <v>-0</v>
      </c>
      <c r="AG230" s="30" t="n">
        <f aca="false">AF230-AF229</f>
        <v>0</v>
      </c>
      <c r="AH230" s="30" t="n">
        <f aca="false">MAX(AE230,0)*(Inputs!$B$17+Inputs!$B$18+Inputs!$B$19)+MAX(-AE230,0)*(O230+Inputs!$B$18+Inputs!$B$19)+IF(AND(K230=1,AB230&lt;&gt;0),(Inputs!$B$17+Inputs!$B$18+Inputs!$B$19)+(O230+Inputs!$B$18+Inputs!$B$19),0)+MAX(AG230,0)*(Inputs!$B$20+Inputs!$B$22+Inputs!$B$23)+MAX(-AG230,0)*(Inputs!$B$21+Inputs!$B$22+Inputs!$B$23)</f>
        <v>0</v>
      </c>
      <c r="AI230" s="30" t="n">
        <f aca="false">AB229*(M230-AD229*J230)+AB229*AD229*N230/Inputs!$B$16-AH230</f>
        <v>0</v>
      </c>
      <c r="AJ230" s="30" t="n">
        <f aca="false">MAX(AE230,0)*(Inputs!$B$17+Inputs!$B$24+Inputs!$B$25)+MAX(-AE230,0)*(O230+Inputs!$B$24+Inputs!$B$25)+IF(AND(K230=1,AB230&lt;&gt;0),(Inputs!$B$17+Inputs!$B$24+Inputs!$B$25)+(O230+Inputs!$B$24+Inputs!$B$25),0)+MAX(AG230,0)*(Inputs!$B$20+Inputs!$B$26+Inputs!$B$27)+MAX(-AG230,0)*(Inputs!$B$21+Inputs!$B$26+Inputs!$B$27)</f>
        <v>0</v>
      </c>
      <c r="AK230" s="30" t="n">
        <f aca="false">AB229*(M230-AD229*J230)+AB229*AD229*(N230+Inputs!$B$14)/Inputs!$B$16-AJ230</f>
        <v>0</v>
      </c>
      <c r="AL230" s="30" t="n">
        <f aca="false">IF(AP229&lt;&gt;0,AQ229+1,0)</f>
        <v>0</v>
      </c>
      <c r="AM230" s="30" t="n">
        <f aca="false">IF(W230="",0,IF(AND(AP229&lt;&gt;0,OR(ABS(W230)&gt;Inputs!$B$7,AL230&gt;=Inputs!$B$8,ABS(W230)&lt;Inputs!$B$6)),1,0))</f>
        <v>0</v>
      </c>
      <c r="AN230" s="30" t="n">
        <f aca="false">IF(AM230=1,0,AP229)</f>
        <v>0</v>
      </c>
      <c r="AO230" s="30" t="n">
        <f aca="false">IF(W230="",0,IF(AND(AN230=0,ABS(W230)&gt;Inputs!$B$5,ABS(W230)&lt;=Inputs!$B$7,W230&gt;0),1,0))</f>
        <v>0</v>
      </c>
      <c r="AP230" s="30" t="n">
        <f aca="false">IF(W230="",0,IF(AO230=1,-SIGN(W230),AN230))</f>
        <v>0</v>
      </c>
      <c r="AQ230" s="30" t="n">
        <f aca="false">IF(W230="",0,IF(AO230=1,0,IF(AM230=1,0,AL230)))</f>
        <v>0</v>
      </c>
      <c r="AR230" s="30" t="n">
        <f aca="false">IF(AP230=0,0,IF(AP229=AP230,AR229,T230))</f>
        <v>0</v>
      </c>
      <c r="AS230" s="30" t="n">
        <f aca="false">AP230-AP229</f>
        <v>0</v>
      </c>
      <c r="AT230" s="30" t="n">
        <f aca="false">-AR230*AP230</f>
        <v>-0</v>
      </c>
      <c r="AU230" s="30" t="n">
        <f aca="false">AT230-AT229</f>
        <v>0</v>
      </c>
      <c r="AV230" s="30" t="n">
        <f aca="false">MAX(AS230,0)*(Inputs!$B$17+Inputs!$B$18+Inputs!$B$19)+MAX(-AS230,0)*(O230+Inputs!$B$18+Inputs!$B$19)+IF(AND(K230=1,AP230&lt;&gt;0),(Inputs!$B$17+Inputs!$B$18+Inputs!$B$19)+(O230+Inputs!$B$18+Inputs!$B$19),0)+MAX(AU230,0)*(Inputs!$B$20+Inputs!$B$22+Inputs!$B$23)+MAX(-AU230,0)*(Inputs!$B$21+Inputs!$B$22+Inputs!$B$23)</f>
        <v>0</v>
      </c>
      <c r="AW230" s="30" t="n">
        <f aca="false">AP229*(M230-AR229*J230)+AP229*AR229*N230/Inputs!$B$16-AV230</f>
        <v>0</v>
      </c>
      <c r="AX230" s="30" t="n">
        <f aca="false">AW230-IF(AP229&lt;&gt;0,0.75*AR229*(Inputs!$B$13-N230)/Inputs!$B$16,0)</f>
        <v>0</v>
      </c>
      <c r="AY230" s="30" t="n">
        <f aca="false">MAX(AS230,0)*(Inputs!$B$17+Inputs!$B$18+Inputs!$B$19)+MAX(-AS230,0)*(O230+Inputs!$B$18+Inputs!$B$19)+IF(AND(K230=1,AP230&lt;&gt;0),(Inputs!$B$17+Inputs!$B$18+Inputs!$B$19)+(O230+Inputs!$B$18+Inputs!$B$19),0)</f>
        <v>0</v>
      </c>
      <c r="AZ230" s="30" t="n">
        <f aca="false">AP229*M230-AY230</f>
        <v>-0</v>
      </c>
      <c r="BA230" s="32" t="n">
        <f aca="false">BA229+AI230</f>
        <v>-0.00741868494038516</v>
      </c>
      <c r="BB230" s="30" t="n">
        <f aca="false">MAX(BB229,BA230)</f>
        <v>0</v>
      </c>
      <c r="BC230" s="32" t="n">
        <f aca="false">BA230-BB230</f>
        <v>-0.00741868494038516</v>
      </c>
      <c r="BD230" s="30" t="n">
        <f aca="false">A231-A230</f>
        <v>1</v>
      </c>
    </row>
    <row r="231" customFormat="false" ht="15" hidden="false" customHeight="false" outlineLevel="0" collapsed="false">
      <c r="A231" s="28" t="n">
        <v>45378</v>
      </c>
      <c r="B231" s="0" t="n">
        <v>22194.6</v>
      </c>
      <c r="C231" s="0" t="n">
        <v>245</v>
      </c>
      <c r="D231" s="29" t="n">
        <f aca="false">LN(B231)</f>
        <v>10.0076042950287</v>
      </c>
      <c r="E231" s="29" t="n">
        <f aca="false">LN(C231)</f>
        <v>5.50125821054473</v>
      </c>
      <c r="F231" s="0" t="n">
        <v>226</v>
      </c>
      <c r="G231" s="0" t="n">
        <v>1</v>
      </c>
      <c r="H231" s="29" t="n">
        <f aca="false">D231-E231</f>
        <v>4.50634608448396</v>
      </c>
      <c r="I231" s="29" t="n">
        <f aca="false">D231-D230</f>
        <v>0.00449767746385099</v>
      </c>
      <c r="J231" s="29" t="n">
        <f aca="false">E231-E230</f>
        <v>0.00519715531521303</v>
      </c>
      <c r="K231" s="0" t="n">
        <v>0</v>
      </c>
      <c r="L231" s="0" t="n">
        <v>0</v>
      </c>
      <c r="M231" s="29" t="n">
        <f aca="false">IF(L231=1,J231-Carry!$B$9/Inputs!$B$16,I231)</f>
        <v>0.00449767746385099</v>
      </c>
      <c r="N231" s="0" t="n">
        <v>0.065</v>
      </c>
      <c r="O231" s="0" t="n">
        <v>0.000125</v>
      </c>
      <c r="P231" s="29" t="n">
        <f aca="false">D231-('2 Hedge ratio'!$B$6+'2 Hedge ratio'!$B$5*E231)</f>
        <v>0.00593435747474658</v>
      </c>
      <c r="Q231" s="29" t="n">
        <f aca="false">D231-('5 Re-specification'!$B$7+'5 Re-specification'!$B$5*E231+'5 Re-specification'!$B$6*F231)</f>
        <v>0.00197065254957174</v>
      </c>
      <c r="R231" s="30" t="n">
        <f aca="false">MIN(F231,Inputs!$B$9)</f>
        <v>226</v>
      </c>
      <c r="S231" s="29" t="n">
        <f aca="true">IF(AND(F231&gt;=1,R231&gt;=Inputs!$B$10),INDEX(LINEST(OFFSET(D231,-R231,0,R231,1),OFFSET(E231,-R231,0,R231,2)),1,1),"")</f>
        <v>-7.34177028280325E-005</v>
      </c>
      <c r="T231" s="29" t="n">
        <f aca="true">IF(AND(F231&gt;=1,R231&gt;=Inputs!$B$10),INDEX(LINEST(OFFSET(D231,-R231,0,R231,1),OFFSET(E231,-R231,0,R231,2)),1,2),"")</f>
        <v>1.03250161261564</v>
      </c>
      <c r="U231" s="29" t="n">
        <f aca="true">IF(AND(F231&gt;=1,R231&gt;=Inputs!$B$10),INDEX(LINEST(OFFSET(D231,-R231,0,R231,1),OFFSET(E231,-R231,0,R231,2)),1,3),"")</f>
        <v>4.34267845792911</v>
      </c>
      <c r="V231" s="29" t="n">
        <f aca="true">IF(AND(F231&gt;=1,R231&gt;=Inputs!$B$10),SQRT(SUMPRODUCT((OFFSET(D231,-R231,0,R231,1)-U231-T231*OFFSET(E231,-R231,0,R231,1)-S231*OFFSET(F231,-R231,0,R231,1))^2)/(R231-3)),"")</f>
        <v>0.00261947981945127</v>
      </c>
      <c r="W231" s="31" t="n">
        <f aca="false">IF(AND(F231&gt;=1,R231&gt;=Inputs!$B$10),(D231-U231-T231*E231-S231*F231)/V231,"")</f>
        <v>0.557463403770442</v>
      </c>
      <c r="X231" s="30" t="n">
        <f aca="false">IF(AB230&lt;&gt;0,AC230+1,0)</f>
        <v>0</v>
      </c>
      <c r="Y231" s="30" t="n">
        <f aca="false">IF(W231="",0,IF(AND(AB230&lt;&gt;0,OR(ABS(W231)&gt;Inputs!$B$7,X231&gt;=Inputs!$B$8,ABS(W231)&lt;Inputs!$B$6)),1,0))</f>
        <v>0</v>
      </c>
      <c r="Z231" s="30" t="n">
        <f aca="false">IF(Y231=1,0,AB230)</f>
        <v>0</v>
      </c>
      <c r="AA231" s="30" t="n">
        <f aca="false">IF(W231="",0,IF(AND(Z231=0,ABS(W231)&gt;Inputs!$B$5,ABS(W231)&lt;=Inputs!$B$7),1,0))</f>
        <v>0</v>
      </c>
      <c r="AB231" s="30" t="n">
        <f aca="false">IF(W231="",0,IF(AA231=1,-SIGN(W231),Z231))</f>
        <v>0</v>
      </c>
      <c r="AC231" s="30" t="n">
        <f aca="false">IF(W231="",0,IF(AA231=1,0,IF(Y231=1,0,X231)))</f>
        <v>0</v>
      </c>
      <c r="AD231" s="30" t="n">
        <f aca="false">IF(AB231=0,0,IF(AB230=AB231,AD230,T231))</f>
        <v>0</v>
      </c>
      <c r="AE231" s="30" t="n">
        <f aca="false">AB231-AB230</f>
        <v>0</v>
      </c>
      <c r="AF231" s="30" t="n">
        <f aca="false">-AD231*AB231</f>
        <v>-0</v>
      </c>
      <c r="AG231" s="30" t="n">
        <f aca="false">AF231-AF230</f>
        <v>0</v>
      </c>
      <c r="AH231" s="30" t="n">
        <f aca="false">MAX(AE231,0)*(Inputs!$B$17+Inputs!$B$18+Inputs!$B$19)+MAX(-AE231,0)*(O231+Inputs!$B$18+Inputs!$B$19)+IF(AND(K231=1,AB231&lt;&gt;0),(Inputs!$B$17+Inputs!$B$18+Inputs!$B$19)+(O231+Inputs!$B$18+Inputs!$B$19),0)+MAX(AG231,0)*(Inputs!$B$20+Inputs!$B$22+Inputs!$B$23)+MAX(-AG231,0)*(Inputs!$B$21+Inputs!$B$22+Inputs!$B$23)</f>
        <v>0</v>
      </c>
      <c r="AI231" s="30" t="n">
        <f aca="false">AB230*(M231-AD230*J231)+AB230*AD230*N231/Inputs!$B$16-AH231</f>
        <v>0</v>
      </c>
      <c r="AJ231" s="30" t="n">
        <f aca="false">MAX(AE231,0)*(Inputs!$B$17+Inputs!$B$24+Inputs!$B$25)+MAX(-AE231,0)*(O231+Inputs!$B$24+Inputs!$B$25)+IF(AND(K231=1,AB231&lt;&gt;0),(Inputs!$B$17+Inputs!$B$24+Inputs!$B$25)+(O231+Inputs!$B$24+Inputs!$B$25),0)+MAX(AG231,0)*(Inputs!$B$20+Inputs!$B$26+Inputs!$B$27)+MAX(-AG231,0)*(Inputs!$B$21+Inputs!$B$26+Inputs!$B$27)</f>
        <v>0</v>
      </c>
      <c r="AK231" s="30" t="n">
        <f aca="false">AB230*(M231-AD230*J231)+AB230*AD230*(N231+Inputs!$B$14)/Inputs!$B$16-AJ231</f>
        <v>0</v>
      </c>
      <c r="AL231" s="30" t="n">
        <f aca="false">IF(AP230&lt;&gt;0,AQ230+1,0)</f>
        <v>0</v>
      </c>
      <c r="AM231" s="30" t="n">
        <f aca="false">IF(W231="",0,IF(AND(AP230&lt;&gt;0,OR(ABS(W231)&gt;Inputs!$B$7,AL231&gt;=Inputs!$B$8,ABS(W231)&lt;Inputs!$B$6)),1,0))</f>
        <v>0</v>
      </c>
      <c r="AN231" s="30" t="n">
        <f aca="false">IF(AM231=1,0,AP230)</f>
        <v>0</v>
      </c>
      <c r="AO231" s="30" t="n">
        <f aca="false">IF(W231="",0,IF(AND(AN231=0,ABS(W231)&gt;Inputs!$B$5,ABS(W231)&lt;=Inputs!$B$7,W231&gt;0),1,0))</f>
        <v>0</v>
      </c>
      <c r="AP231" s="30" t="n">
        <f aca="false">IF(W231="",0,IF(AO231=1,-SIGN(W231),AN231))</f>
        <v>0</v>
      </c>
      <c r="AQ231" s="30" t="n">
        <f aca="false">IF(W231="",0,IF(AO231=1,0,IF(AM231=1,0,AL231)))</f>
        <v>0</v>
      </c>
      <c r="AR231" s="30" t="n">
        <f aca="false">IF(AP231=0,0,IF(AP230=AP231,AR230,T231))</f>
        <v>0</v>
      </c>
      <c r="AS231" s="30" t="n">
        <f aca="false">AP231-AP230</f>
        <v>0</v>
      </c>
      <c r="AT231" s="30" t="n">
        <f aca="false">-AR231*AP231</f>
        <v>-0</v>
      </c>
      <c r="AU231" s="30" t="n">
        <f aca="false">AT231-AT230</f>
        <v>0</v>
      </c>
      <c r="AV231" s="30" t="n">
        <f aca="false">MAX(AS231,0)*(Inputs!$B$17+Inputs!$B$18+Inputs!$B$19)+MAX(-AS231,0)*(O231+Inputs!$B$18+Inputs!$B$19)+IF(AND(K231=1,AP231&lt;&gt;0),(Inputs!$B$17+Inputs!$B$18+Inputs!$B$19)+(O231+Inputs!$B$18+Inputs!$B$19),0)+MAX(AU231,0)*(Inputs!$B$20+Inputs!$B$22+Inputs!$B$23)+MAX(-AU231,0)*(Inputs!$B$21+Inputs!$B$22+Inputs!$B$23)</f>
        <v>0</v>
      </c>
      <c r="AW231" s="30" t="n">
        <f aca="false">AP230*(M231-AR230*J231)+AP230*AR230*N231/Inputs!$B$16-AV231</f>
        <v>0</v>
      </c>
      <c r="AX231" s="30" t="n">
        <f aca="false">AW231-IF(AP230&lt;&gt;0,0.75*AR230*(Inputs!$B$13-N231)/Inputs!$B$16,0)</f>
        <v>0</v>
      </c>
      <c r="AY231" s="30" t="n">
        <f aca="false">MAX(AS231,0)*(Inputs!$B$17+Inputs!$B$18+Inputs!$B$19)+MAX(-AS231,0)*(O231+Inputs!$B$18+Inputs!$B$19)+IF(AND(K231=1,AP231&lt;&gt;0),(Inputs!$B$17+Inputs!$B$18+Inputs!$B$19)+(O231+Inputs!$B$18+Inputs!$B$19),0)</f>
        <v>0</v>
      </c>
      <c r="AZ231" s="30" t="n">
        <f aca="false">AP230*M231-AY231</f>
        <v>0</v>
      </c>
      <c r="BA231" s="32" t="n">
        <f aca="false">BA230+AI231</f>
        <v>-0.00741868494038516</v>
      </c>
      <c r="BB231" s="30" t="n">
        <f aca="false">MAX(BB230,BA231)</f>
        <v>0</v>
      </c>
      <c r="BC231" s="32" t="n">
        <f aca="false">BA231-BB231</f>
        <v>-0.00741868494038516</v>
      </c>
      <c r="BD231" s="30" t="n">
        <f aca="false">A232-A231</f>
        <v>1</v>
      </c>
    </row>
    <row r="232" customFormat="false" ht="15" hidden="false" customHeight="false" outlineLevel="0" collapsed="false">
      <c r="A232" s="28" t="n">
        <v>45379</v>
      </c>
      <c r="B232" s="0" t="n">
        <v>22328.5</v>
      </c>
      <c r="C232" s="0" t="n">
        <v>247.1</v>
      </c>
      <c r="D232" s="29" t="n">
        <f aca="false">LN(B232)</f>
        <v>10.0136191683728</v>
      </c>
      <c r="E232" s="29" t="n">
        <f aca="false">LN(C232)</f>
        <v>5.50979311299456</v>
      </c>
      <c r="F232" s="0" t="n">
        <v>227</v>
      </c>
      <c r="G232" s="0" t="n">
        <v>0</v>
      </c>
      <c r="H232" s="29" t="n">
        <f aca="false">D232-E232</f>
        <v>4.50382605537825</v>
      </c>
      <c r="I232" s="29" t="n">
        <f aca="false">D232-D231</f>
        <v>0.00601487334411921</v>
      </c>
      <c r="J232" s="29" t="n">
        <f aca="false">E232-E231</f>
        <v>0.00853490244983668</v>
      </c>
      <c r="K232" s="0" t="n">
        <v>1</v>
      </c>
      <c r="L232" s="0" t="n">
        <v>0</v>
      </c>
      <c r="M232" s="29" t="n">
        <f aca="false">IF(L232=1,J232-Carry!$B$9/Inputs!$B$16,I232)</f>
        <v>0.00601487334411921</v>
      </c>
      <c r="N232" s="0" t="n">
        <v>0.065</v>
      </c>
      <c r="O232" s="0" t="n">
        <v>0.000125</v>
      </c>
      <c r="P232" s="29" t="n">
        <f aca="false">D232-('2 Hedge ratio'!$B$6+'2 Hedge ratio'!$B$5*E232)</f>
        <v>0.00413017829700912</v>
      </c>
      <c r="Q232" s="29" t="n">
        <f aca="false">D232-('5 Re-specification'!$B$7+'5 Re-specification'!$B$5*E232+'5 Re-specification'!$B$6*F232)</f>
        <v>-0.000478582215993839</v>
      </c>
      <c r="R232" s="30" t="n">
        <f aca="false">MIN(F232,Inputs!$B$9)</f>
        <v>227</v>
      </c>
      <c r="S232" s="29" t="n">
        <f aca="true">IF(AND(F232&gt;=1,R232&gt;=Inputs!$B$10),INDEX(LINEST(OFFSET(D232,-R232,0,R232,1),OFFSET(E232,-R232,0,R232,2)),1,1),"")</f>
        <v>-7.3165273311036E-005</v>
      </c>
      <c r="T232" s="29" t="n">
        <f aca="true">IF(AND(F232&gt;=1,R232&gt;=Inputs!$B$10),INDEX(LINEST(OFFSET(D232,-R232,0,R232,1),OFFSET(E232,-R232,0,R232,2)),1,2),"")</f>
        <v>1.03241373220935</v>
      </c>
      <c r="U232" s="29" t="n">
        <f aca="true">IF(AND(F232&gt;=1,R232&gt;=Inputs!$B$10),INDEX(LINEST(OFFSET(D232,-R232,0,R232,1),OFFSET(E232,-R232,0,R232,2)),1,3),"")</f>
        <v>4.34313102308452</v>
      </c>
      <c r="V232" s="29" t="n">
        <f aca="true">IF(AND(F232&gt;=1,R232&gt;=Inputs!$B$10),SQRT(SUMPRODUCT((OFFSET(D232,-R232,0,R232,1)-U232-T232*OFFSET(E232,-R232,0,R232,1)-S232*OFFSET(F232,-R232,0,R232,1))^2)/(R232-3)),"")</f>
        <v>0.00261541411953379</v>
      </c>
      <c r="W232" s="31" t="n">
        <f aca="false">IF(AND(F232&gt;=1,R232&gt;=Inputs!$B$10),(D232-U232-T232*E232-S232*F232)/V232,"")</f>
        <v>-0.493003822441793</v>
      </c>
      <c r="X232" s="30" t="n">
        <f aca="false">IF(AB231&lt;&gt;0,AC231+1,0)</f>
        <v>0</v>
      </c>
      <c r="Y232" s="30" t="n">
        <f aca="false">IF(W232="",0,IF(AND(AB231&lt;&gt;0,OR(ABS(W232)&gt;Inputs!$B$7,X232&gt;=Inputs!$B$8,ABS(W232)&lt;Inputs!$B$6)),1,0))</f>
        <v>0</v>
      </c>
      <c r="Z232" s="30" t="n">
        <f aca="false">IF(Y232=1,0,AB231)</f>
        <v>0</v>
      </c>
      <c r="AA232" s="30" t="n">
        <f aca="false">IF(W232="",0,IF(AND(Z232=0,ABS(W232)&gt;Inputs!$B$5,ABS(W232)&lt;=Inputs!$B$7),1,0))</f>
        <v>0</v>
      </c>
      <c r="AB232" s="30" t="n">
        <f aca="false">IF(W232="",0,IF(AA232=1,-SIGN(W232),Z232))</f>
        <v>0</v>
      </c>
      <c r="AC232" s="30" t="n">
        <f aca="false">IF(W232="",0,IF(AA232=1,0,IF(Y232=1,0,X232)))</f>
        <v>0</v>
      </c>
      <c r="AD232" s="30" t="n">
        <f aca="false">IF(AB232=0,0,IF(AB231=AB232,AD231,T232))</f>
        <v>0</v>
      </c>
      <c r="AE232" s="30" t="n">
        <f aca="false">AB232-AB231</f>
        <v>0</v>
      </c>
      <c r="AF232" s="30" t="n">
        <f aca="false">-AD232*AB232</f>
        <v>-0</v>
      </c>
      <c r="AG232" s="30" t="n">
        <f aca="false">AF232-AF231</f>
        <v>0</v>
      </c>
      <c r="AH232" s="30" t="n">
        <f aca="false">MAX(AE232,0)*(Inputs!$B$17+Inputs!$B$18+Inputs!$B$19)+MAX(-AE232,0)*(O232+Inputs!$B$18+Inputs!$B$19)+IF(AND(K232=1,AB232&lt;&gt;0),(Inputs!$B$17+Inputs!$B$18+Inputs!$B$19)+(O232+Inputs!$B$18+Inputs!$B$19),0)+MAX(AG232,0)*(Inputs!$B$20+Inputs!$B$22+Inputs!$B$23)+MAX(-AG232,0)*(Inputs!$B$21+Inputs!$B$22+Inputs!$B$23)</f>
        <v>0</v>
      </c>
      <c r="AI232" s="30" t="n">
        <f aca="false">AB231*(M232-AD231*J232)+AB231*AD231*N232/Inputs!$B$16-AH232</f>
        <v>0</v>
      </c>
      <c r="AJ232" s="30" t="n">
        <f aca="false">MAX(AE232,0)*(Inputs!$B$17+Inputs!$B$24+Inputs!$B$25)+MAX(-AE232,0)*(O232+Inputs!$B$24+Inputs!$B$25)+IF(AND(K232=1,AB232&lt;&gt;0),(Inputs!$B$17+Inputs!$B$24+Inputs!$B$25)+(O232+Inputs!$B$24+Inputs!$B$25),0)+MAX(AG232,0)*(Inputs!$B$20+Inputs!$B$26+Inputs!$B$27)+MAX(-AG232,0)*(Inputs!$B$21+Inputs!$B$26+Inputs!$B$27)</f>
        <v>0</v>
      </c>
      <c r="AK232" s="30" t="n">
        <f aca="false">AB231*(M232-AD231*J232)+AB231*AD231*(N232+Inputs!$B$14)/Inputs!$B$16-AJ232</f>
        <v>0</v>
      </c>
      <c r="AL232" s="30" t="n">
        <f aca="false">IF(AP231&lt;&gt;0,AQ231+1,0)</f>
        <v>0</v>
      </c>
      <c r="AM232" s="30" t="n">
        <f aca="false">IF(W232="",0,IF(AND(AP231&lt;&gt;0,OR(ABS(W232)&gt;Inputs!$B$7,AL232&gt;=Inputs!$B$8,ABS(W232)&lt;Inputs!$B$6)),1,0))</f>
        <v>0</v>
      </c>
      <c r="AN232" s="30" t="n">
        <f aca="false">IF(AM232=1,0,AP231)</f>
        <v>0</v>
      </c>
      <c r="AO232" s="30" t="n">
        <f aca="false">IF(W232="",0,IF(AND(AN232=0,ABS(W232)&gt;Inputs!$B$5,ABS(W232)&lt;=Inputs!$B$7,W232&gt;0),1,0))</f>
        <v>0</v>
      </c>
      <c r="AP232" s="30" t="n">
        <f aca="false">IF(W232="",0,IF(AO232=1,-SIGN(W232),AN232))</f>
        <v>0</v>
      </c>
      <c r="AQ232" s="30" t="n">
        <f aca="false">IF(W232="",0,IF(AO232=1,0,IF(AM232=1,0,AL232)))</f>
        <v>0</v>
      </c>
      <c r="AR232" s="30" t="n">
        <f aca="false">IF(AP232=0,0,IF(AP231=AP232,AR231,T232))</f>
        <v>0</v>
      </c>
      <c r="AS232" s="30" t="n">
        <f aca="false">AP232-AP231</f>
        <v>0</v>
      </c>
      <c r="AT232" s="30" t="n">
        <f aca="false">-AR232*AP232</f>
        <v>-0</v>
      </c>
      <c r="AU232" s="30" t="n">
        <f aca="false">AT232-AT231</f>
        <v>0</v>
      </c>
      <c r="AV232" s="30" t="n">
        <f aca="false">MAX(AS232,0)*(Inputs!$B$17+Inputs!$B$18+Inputs!$B$19)+MAX(-AS232,0)*(O232+Inputs!$B$18+Inputs!$B$19)+IF(AND(K232=1,AP232&lt;&gt;0),(Inputs!$B$17+Inputs!$B$18+Inputs!$B$19)+(O232+Inputs!$B$18+Inputs!$B$19),0)+MAX(AU232,0)*(Inputs!$B$20+Inputs!$B$22+Inputs!$B$23)+MAX(-AU232,0)*(Inputs!$B$21+Inputs!$B$22+Inputs!$B$23)</f>
        <v>0</v>
      </c>
      <c r="AW232" s="30" t="n">
        <f aca="false">AP231*(M232-AR231*J232)+AP231*AR231*N232/Inputs!$B$16-AV232</f>
        <v>0</v>
      </c>
      <c r="AX232" s="30" t="n">
        <f aca="false">AW232-IF(AP231&lt;&gt;0,0.75*AR231*(Inputs!$B$13-N232)/Inputs!$B$16,0)</f>
        <v>0</v>
      </c>
      <c r="AY232" s="30" t="n">
        <f aca="false">MAX(AS232,0)*(Inputs!$B$17+Inputs!$B$18+Inputs!$B$19)+MAX(-AS232,0)*(O232+Inputs!$B$18+Inputs!$B$19)+IF(AND(K232=1,AP232&lt;&gt;0),(Inputs!$B$17+Inputs!$B$18+Inputs!$B$19)+(O232+Inputs!$B$18+Inputs!$B$19),0)</f>
        <v>0</v>
      </c>
      <c r="AZ232" s="30" t="n">
        <f aca="false">AP231*M232-AY232</f>
        <v>0</v>
      </c>
      <c r="BA232" s="32" t="n">
        <f aca="false">BA231+AI232</f>
        <v>-0.00741868494038516</v>
      </c>
      <c r="BB232" s="30" t="n">
        <f aca="false">MAX(BB231,BA232)</f>
        <v>0</v>
      </c>
      <c r="BC232" s="32" t="n">
        <f aca="false">BA232-BB232</f>
        <v>-0.00741868494038516</v>
      </c>
      <c r="BD232" s="30" t="n">
        <f aca="false">A233-A232</f>
        <v>4</v>
      </c>
    </row>
    <row r="233" customFormat="false" ht="15" hidden="false" customHeight="false" outlineLevel="0" collapsed="false">
      <c r="A233" s="28" t="n">
        <v>45383</v>
      </c>
      <c r="B233" s="0" t="n">
        <v>22610</v>
      </c>
      <c r="C233" s="0" t="n">
        <v>248.49</v>
      </c>
      <c r="D233" s="29" t="n">
        <f aca="false">LN(B233)</f>
        <v>10.026147565272</v>
      </c>
      <c r="E233" s="29" t="n">
        <f aca="false">LN(C233)</f>
        <v>5.51540260327828</v>
      </c>
      <c r="F233" s="0" t="n">
        <v>228</v>
      </c>
      <c r="G233" s="0" t="n">
        <v>24</v>
      </c>
      <c r="H233" s="29" t="n">
        <f aca="false">D233-E233</f>
        <v>4.51074496199373</v>
      </c>
      <c r="I233" s="29" t="n">
        <f aca="false">D233-D232</f>
        <v>0.0125283968992047</v>
      </c>
      <c r="J233" s="29" t="n">
        <f aca="false">E233-E232</f>
        <v>0.00560949028371827</v>
      </c>
      <c r="K233" s="0" t="n">
        <v>0</v>
      </c>
      <c r="L233" s="0" t="n">
        <v>1</v>
      </c>
      <c r="M233" s="29" t="n">
        <f aca="false">IF(L233=1,J233-Carry!$B$9/Inputs!$B$16,I233)</f>
        <v>0.00535003210199713</v>
      </c>
      <c r="N233" s="0" t="n">
        <v>0.065</v>
      </c>
      <c r="O233" s="0" t="n">
        <v>0.000125</v>
      </c>
      <c r="P233" s="29" t="n">
        <f aca="false">D233-('2 Hedge ratio'!$B$6+'2 Hedge ratio'!$B$5*E233)</f>
        <v>0.0115195710415659</v>
      </c>
      <c r="Q233" s="29" t="n">
        <f aca="false">D233-('5 Re-specification'!$B$7+'5 Re-specification'!$B$5*E233+'5 Re-specification'!$B$6*F233)</f>
        <v>0.00650225327801302</v>
      </c>
      <c r="R233" s="30" t="n">
        <f aca="false">MIN(F233,Inputs!$B$9)</f>
        <v>228</v>
      </c>
      <c r="S233" s="29" t="n">
        <f aca="true">IF(AND(F233&gt;=1,R233&gt;=Inputs!$B$10),INDEX(LINEST(OFFSET(D233,-R233,0,R233,1),OFFSET(E233,-R233,0,R233,2)),1,1),"")</f>
        <v>-7.33052926297535E-005</v>
      </c>
      <c r="T233" s="29" t="n">
        <f aca="true">IF(AND(F233&gt;=1,R233&gt;=Inputs!$B$10),INDEX(LINEST(OFFSET(D233,-R233,0,R233,1),OFFSET(E233,-R233,0,R233,2)),1,2),"")</f>
        <v>1.03240511382569</v>
      </c>
      <c r="U233" s="29" t="n">
        <f aca="true">IF(AND(F233&gt;=1,R233&gt;=Inputs!$B$10),INDEX(LINEST(OFFSET(D233,-R233,0,R233,1),OFFSET(E233,-R233,0,R233,2)),1,3),"")</f>
        <v>4.34318781341509</v>
      </c>
      <c r="V233" s="29" t="n">
        <f aca="true">IF(AND(F233&gt;=1,R233&gt;=Inputs!$B$10),SQRT(SUMPRODUCT((OFFSET(D233,-R233,0,R233,1)-U233-T233*OFFSET(E233,-R233,0,R233,1)-S233*OFFSET(F233,-R233,0,R233,1))^2)/(R233-3)),"")</f>
        <v>0.0026109863426601</v>
      </c>
      <c r="W233" s="31" t="n">
        <f aca="false">IF(AND(F233&gt;=1,R233&gt;=Inputs!$B$10),(D233-U233-T233*E233-S233*F233)/V233,"")</f>
        <v>2.12314635810886</v>
      </c>
      <c r="X233" s="30" t="n">
        <f aca="false">IF(AB232&lt;&gt;0,AC232+1,0)</f>
        <v>0</v>
      </c>
      <c r="Y233" s="30" t="n">
        <f aca="false">IF(W233="",0,IF(AND(AB232&lt;&gt;0,OR(ABS(W233)&gt;Inputs!$B$7,X233&gt;=Inputs!$B$8,ABS(W233)&lt;Inputs!$B$6)),1,0))</f>
        <v>0</v>
      </c>
      <c r="Z233" s="30" t="n">
        <f aca="false">IF(Y233=1,0,AB232)</f>
        <v>0</v>
      </c>
      <c r="AA233" s="30" t="n">
        <f aca="false">IF(W233="",0,IF(AND(Z233=0,ABS(W233)&gt;Inputs!$B$5,ABS(W233)&lt;=Inputs!$B$7),1,0))</f>
        <v>1</v>
      </c>
      <c r="AB233" s="30" t="n">
        <f aca="false">IF(W233="",0,IF(AA233=1,-SIGN(W233),Z233))</f>
        <v>-1</v>
      </c>
      <c r="AC233" s="30" t="n">
        <f aca="false">IF(W233="",0,IF(AA233=1,0,IF(Y233=1,0,X233)))</f>
        <v>0</v>
      </c>
      <c r="AD233" s="29" t="n">
        <f aca="false">IF(AB233=0,0,IF(AB232=AB233,AD232,T233))</f>
        <v>1.03240511382569</v>
      </c>
      <c r="AE233" s="30" t="n">
        <f aca="false">AB233-AB232</f>
        <v>-1</v>
      </c>
      <c r="AF233" s="30" t="n">
        <f aca="false">-AD233*AB233</f>
        <v>1.03240511382569</v>
      </c>
      <c r="AG233" s="30" t="n">
        <f aca="false">AF233-AF232</f>
        <v>1.03240511382569</v>
      </c>
      <c r="AH233" s="30" t="n">
        <f aca="false">MAX(AE233,0)*(Inputs!$B$17+Inputs!$B$18+Inputs!$B$19)+MAX(-AE233,0)*(O233+Inputs!$B$18+Inputs!$B$19)+IF(AND(K233=1,AB233&lt;&gt;0),(Inputs!$B$17+Inputs!$B$18+Inputs!$B$19)+(O233+Inputs!$B$18+Inputs!$B$19),0)+MAX(AG233,0)*(Inputs!$B$20+Inputs!$B$22+Inputs!$B$23)+MAX(-AG233,0)*(Inputs!$B$21+Inputs!$B$22+Inputs!$B$23)</f>
        <v>0.000621341789838991</v>
      </c>
      <c r="AI233" s="30" t="n">
        <f aca="false">AB232*(M233-AD232*J233)+AB232*AD232*N233/Inputs!$B$16-AH233</f>
        <v>-0.000621341789838991</v>
      </c>
      <c r="AJ233" s="30" t="n">
        <f aca="false">MAX(AE233,0)*(Inputs!$B$17+Inputs!$B$24+Inputs!$B$25)+MAX(-AE233,0)*(O233+Inputs!$B$24+Inputs!$B$25)+IF(AND(K233=1,AB233&lt;&gt;0),(Inputs!$B$17+Inputs!$B$24+Inputs!$B$25)+(O233+Inputs!$B$24+Inputs!$B$25),0)+MAX(AG233,0)*(Inputs!$B$20+Inputs!$B$26+Inputs!$B$27)+MAX(-AG233,0)*(Inputs!$B$21+Inputs!$B$26+Inputs!$B$27)</f>
        <v>0.000458263304025551</v>
      </c>
      <c r="AK233" s="30" t="n">
        <f aca="false">AB232*(M233-AD232*J233)+AB232*AD232*(N233+Inputs!$B$14)/Inputs!$B$16-AJ233</f>
        <v>-0.000458263304025551</v>
      </c>
      <c r="AL233" s="30" t="n">
        <f aca="false">IF(AP232&lt;&gt;0,AQ232+1,0)</f>
        <v>0</v>
      </c>
      <c r="AM233" s="30" t="n">
        <f aca="false">IF(W233="",0,IF(AND(AP232&lt;&gt;0,OR(ABS(W233)&gt;Inputs!$B$7,AL233&gt;=Inputs!$B$8,ABS(W233)&lt;Inputs!$B$6)),1,0))</f>
        <v>0</v>
      </c>
      <c r="AN233" s="30" t="n">
        <f aca="false">IF(AM233=1,0,AP232)</f>
        <v>0</v>
      </c>
      <c r="AO233" s="30" t="n">
        <f aca="false">IF(W233="",0,IF(AND(AN233=0,ABS(W233)&gt;Inputs!$B$5,ABS(W233)&lt;=Inputs!$B$7,W233&gt;0),1,0))</f>
        <v>1</v>
      </c>
      <c r="AP233" s="30" t="n">
        <f aca="false">IF(W233="",0,IF(AO233=1,-SIGN(W233),AN233))</f>
        <v>-1</v>
      </c>
      <c r="AQ233" s="30" t="n">
        <f aca="false">IF(W233="",0,IF(AO233=1,0,IF(AM233=1,0,AL233)))</f>
        <v>0</v>
      </c>
      <c r="AR233" s="29" t="n">
        <f aca="false">IF(AP233=0,0,IF(AP232=AP233,AR232,T233))</f>
        <v>1.03240511382569</v>
      </c>
      <c r="AS233" s="30" t="n">
        <f aca="false">AP233-AP232</f>
        <v>-1</v>
      </c>
      <c r="AT233" s="30" t="n">
        <f aca="false">-AR233*AP233</f>
        <v>1.03240511382569</v>
      </c>
      <c r="AU233" s="30" t="n">
        <f aca="false">AT233-AT232</f>
        <v>1.03240511382569</v>
      </c>
      <c r="AV233" s="30" t="n">
        <f aca="false">MAX(AS233,0)*(Inputs!$B$17+Inputs!$B$18+Inputs!$B$19)+MAX(-AS233,0)*(O233+Inputs!$B$18+Inputs!$B$19)+IF(AND(K233=1,AP233&lt;&gt;0),(Inputs!$B$17+Inputs!$B$18+Inputs!$B$19)+(O233+Inputs!$B$18+Inputs!$B$19),0)+MAX(AU233,0)*(Inputs!$B$20+Inputs!$B$22+Inputs!$B$23)+MAX(-AU233,0)*(Inputs!$B$21+Inputs!$B$22+Inputs!$B$23)</f>
        <v>0.000621341789838991</v>
      </c>
      <c r="AW233" s="30" t="n">
        <f aca="false">AP232*(M233-AR232*J233)+AP232*AR232*N233/Inputs!$B$16-AV233</f>
        <v>-0.000621341789838991</v>
      </c>
      <c r="AX233" s="30" t="n">
        <f aca="false">AW233-IF(AP232&lt;&gt;0,0.75*AR232*(Inputs!$B$13-N233)/Inputs!$B$16,0)</f>
        <v>-0.000621341789838991</v>
      </c>
      <c r="AY233" s="30" t="n">
        <f aca="false">MAX(AS233,0)*(Inputs!$B$17+Inputs!$B$18+Inputs!$B$19)+MAX(-AS233,0)*(O233+Inputs!$B$18+Inputs!$B$19)+IF(AND(K233=1,AP233&lt;&gt;0),(Inputs!$B$17+Inputs!$B$18+Inputs!$B$19)+(O233+Inputs!$B$18+Inputs!$B$19),0)</f>
        <v>0.00026</v>
      </c>
      <c r="AZ233" s="30" t="n">
        <f aca="false">AP232*M233-AY233</f>
        <v>-0.00026</v>
      </c>
      <c r="BA233" s="32" t="n">
        <f aca="false">BA232+AI233</f>
        <v>-0.00804002673022415</v>
      </c>
      <c r="BB233" s="30" t="n">
        <f aca="false">MAX(BB232,BA233)</f>
        <v>0</v>
      </c>
      <c r="BC233" s="32" t="n">
        <f aca="false">BA233-BB233</f>
        <v>-0.00804002673022415</v>
      </c>
      <c r="BD233" s="30" t="n">
        <f aca="false">A234-A233</f>
        <v>1</v>
      </c>
    </row>
    <row r="234" customFormat="false" ht="15" hidden="false" customHeight="false" outlineLevel="0" collapsed="false">
      <c r="A234" s="28" t="n">
        <v>45384</v>
      </c>
      <c r="B234" s="0" t="n">
        <v>22575.35</v>
      </c>
      <c r="C234" s="0" t="n">
        <v>248.89</v>
      </c>
      <c r="D234" s="29" t="n">
        <f aca="false">LN(B234)</f>
        <v>10.024613882041</v>
      </c>
      <c r="E234" s="29" t="n">
        <f aca="false">LN(C234)</f>
        <v>5.51701103178862</v>
      </c>
      <c r="F234" s="0" t="n">
        <v>229</v>
      </c>
      <c r="G234" s="0" t="n">
        <v>23</v>
      </c>
      <c r="H234" s="29" t="n">
        <f aca="false">D234-E234</f>
        <v>4.50760285025236</v>
      </c>
      <c r="I234" s="29" t="n">
        <f aca="false">D234-D233</f>
        <v>-0.0015336832310453</v>
      </c>
      <c r="J234" s="29" t="n">
        <f aca="false">E234-E233</f>
        <v>0.00160842851033305</v>
      </c>
      <c r="K234" s="0" t="n">
        <v>0</v>
      </c>
      <c r="L234" s="0" t="n">
        <v>0</v>
      </c>
      <c r="M234" s="29" t="n">
        <f aca="false">IF(L234=1,J234-Carry!$B$9/Inputs!$B$16,I234)</f>
        <v>-0.0015336832310453</v>
      </c>
      <c r="N234" s="0" t="n">
        <v>0.065</v>
      </c>
      <c r="O234" s="0" t="n">
        <v>0.000125</v>
      </c>
      <c r="P234" s="29" t="n">
        <f aca="false">D234-('2 Hedge ratio'!$B$6+'2 Hedge ratio'!$B$5*E234)</f>
        <v>0.00851236341186912</v>
      </c>
      <c r="Q234" s="29" t="n">
        <f aca="false">D234-('5 Re-specification'!$B$7+'5 Re-specification'!$B$5*E234+'5 Re-specification'!$B$6*F234)</f>
        <v>0.00340994519736526</v>
      </c>
      <c r="R234" s="30" t="n">
        <f aca="false">MIN(F234,Inputs!$B$9)</f>
        <v>229</v>
      </c>
      <c r="S234" s="29" t="n">
        <f aca="true">IF(AND(F234&gt;=1,R234&gt;=Inputs!$B$10),INDEX(LINEST(OFFSET(D234,-R234,0,R234,1),OFFSET(E234,-R234,0,R234,2)),1,1),"")</f>
        <v>-7.29204930279033E-005</v>
      </c>
      <c r="T234" s="29" t="n">
        <f aca="true">IF(AND(F234&gt;=1,R234&gt;=Inputs!$B$10),INDEX(LINEST(OFFSET(D234,-R234,0,R234,1),OFFSET(E234,-R234,0,R234,2)),1,2),"")</f>
        <v>1.03266567465511</v>
      </c>
      <c r="U234" s="29" t="n">
        <f aca="true">IF(AND(F234&gt;=1,R234&gt;=Inputs!$B$10),INDEX(LINEST(OFFSET(D234,-R234,0,R234,1),OFFSET(E234,-R234,0,R234,2)),1,3),"")</f>
        <v>4.34176056740821</v>
      </c>
      <c r="V234" s="29" t="n">
        <f aca="true">IF(AND(F234&gt;=1,R234&gt;=Inputs!$B$10),SQRT(SUMPRODUCT((OFFSET(D234,-R234,0,R234,1)-U234-T234*OFFSET(E234,-R234,0,R234,1)-S234*OFFSET(F234,-R234,0,R234,1))^2)/(R234-3)),"")</f>
        <v>0.00263071600094184</v>
      </c>
      <c r="W234" s="31" t="n">
        <f aca="false">IF(AND(F234&gt;=1,R234&gt;=Inputs!$B$10),(D234-U234-T234*E234-S234*F234)/V234,"")</f>
        <v>0.883481270361393</v>
      </c>
      <c r="X234" s="30" t="n">
        <f aca="false">IF(AB233&lt;&gt;0,AC233+1,0)</f>
        <v>1</v>
      </c>
      <c r="Y234" s="30" t="n">
        <f aca="false">IF(W234="",0,IF(AND(AB233&lt;&gt;0,OR(ABS(W234)&gt;Inputs!$B$7,X234&gt;=Inputs!$B$8,ABS(W234)&lt;Inputs!$B$6)),1,0))</f>
        <v>0</v>
      </c>
      <c r="Z234" s="30" t="n">
        <f aca="false">IF(Y234=1,0,AB233)</f>
        <v>-1</v>
      </c>
      <c r="AA234" s="30" t="n">
        <f aca="false">IF(W234="",0,IF(AND(Z234=0,ABS(W234)&gt;Inputs!$B$5,ABS(W234)&lt;=Inputs!$B$7),1,0))</f>
        <v>0</v>
      </c>
      <c r="AB234" s="30" t="n">
        <f aca="false">IF(W234="",0,IF(AA234=1,-SIGN(W234),Z234))</f>
        <v>-1</v>
      </c>
      <c r="AC234" s="30" t="n">
        <f aca="false">IF(W234="",0,IF(AA234=1,0,IF(Y234=1,0,X234)))</f>
        <v>1</v>
      </c>
      <c r="AD234" s="29" t="n">
        <f aca="false">IF(AB234=0,0,IF(AB233=AB234,AD233,T234))</f>
        <v>1.03240511382569</v>
      </c>
      <c r="AE234" s="30" t="n">
        <f aca="false">AB234-AB233</f>
        <v>0</v>
      </c>
      <c r="AF234" s="30" t="n">
        <f aca="false">-AD234*AB234</f>
        <v>1.03240511382569</v>
      </c>
      <c r="AG234" s="30" t="n">
        <f aca="false">AF234-AF233</f>
        <v>0</v>
      </c>
      <c r="AH234" s="30" t="n">
        <f aca="false">MAX(AE234,0)*(Inputs!$B$17+Inputs!$B$18+Inputs!$B$19)+MAX(-AE234,0)*(O234+Inputs!$B$18+Inputs!$B$19)+IF(AND(K234=1,AB234&lt;&gt;0),(Inputs!$B$17+Inputs!$B$18+Inputs!$B$19)+(O234+Inputs!$B$18+Inputs!$B$19),0)+MAX(AG234,0)*(Inputs!$B$20+Inputs!$B$22+Inputs!$B$23)+MAX(-AG234,0)*(Inputs!$B$21+Inputs!$B$22+Inputs!$B$23)</f>
        <v>0</v>
      </c>
      <c r="AI234" s="30" t="n">
        <f aca="false">AB233*(M234-AD233*J234)+AB233*AD233*N234/Inputs!$B$16-AH234</f>
        <v>0.00292793808050019</v>
      </c>
      <c r="AJ234" s="30" t="n">
        <f aca="false">MAX(AE234,0)*(Inputs!$B$17+Inputs!$B$24+Inputs!$B$25)+MAX(-AE234,0)*(O234+Inputs!$B$24+Inputs!$B$25)+IF(AND(K234=1,AB234&lt;&gt;0),(Inputs!$B$17+Inputs!$B$24+Inputs!$B$25)+(O234+Inputs!$B$24+Inputs!$B$25),0)+MAX(AG234,0)*(Inputs!$B$20+Inputs!$B$26+Inputs!$B$27)+MAX(-AG234,0)*(Inputs!$B$21+Inputs!$B$26+Inputs!$B$27)</f>
        <v>0</v>
      </c>
      <c r="AK234" s="30" t="n">
        <f aca="false">AB233*(M234-AD233*J234)+AB233*AD233*(N234+Inputs!$B$14)/Inputs!$B$16-AJ234</f>
        <v>0.0028972117378268</v>
      </c>
      <c r="AL234" s="30" t="n">
        <f aca="false">IF(AP233&lt;&gt;0,AQ233+1,0)</f>
        <v>1</v>
      </c>
      <c r="AM234" s="30" t="n">
        <f aca="false">IF(W234="",0,IF(AND(AP233&lt;&gt;0,OR(ABS(W234)&gt;Inputs!$B$7,AL234&gt;=Inputs!$B$8,ABS(W234)&lt;Inputs!$B$6)),1,0))</f>
        <v>0</v>
      </c>
      <c r="AN234" s="30" t="n">
        <f aca="false">IF(AM234=1,0,AP233)</f>
        <v>-1</v>
      </c>
      <c r="AO234" s="30" t="n">
        <f aca="false">IF(W234="",0,IF(AND(AN234=0,ABS(W234)&gt;Inputs!$B$5,ABS(W234)&lt;=Inputs!$B$7,W234&gt;0),1,0))</f>
        <v>0</v>
      </c>
      <c r="AP234" s="30" t="n">
        <f aca="false">IF(W234="",0,IF(AO234=1,-SIGN(W234),AN234))</f>
        <v>-1</v>
      </c>
      <c r="AQ234" s="30" t="n">
        <f aca="false">IF(W234="",0,IF(AO234=1,0,IF(AM234=1,0,AL234)))</f>
        <v>1</v>
      </c>
      <c r="AR234" s="29" t="n">
        <f aca="false">IF(AP234=0,0,IF(AP233=AP234,AR233,T234))</f>
        <v>1.03240511382569</v>
      </c>
      <c r="AS234" s="30" t="n">
        <f aca="false">AP234-AP233</f>
        <v>0</v>
      </c>
      <c r="AT234" s="30" t="n">
        <f aca="false">-AR234*AP234</f>
        <v>1.03240511382569</v>
      </c>
      <c r="AU234" s="30" t="n">
        <f aca="false">AT234-AT233</f>
        <v>0</v>
      </c>
      <c r="AV234" s="30" t="n">
        <f aca="false">MAX(AS234,0)*(Inputs!$B$17+Inputs!$B$18+Inputs!$B$19)+MAX(-AS234,0)*(O234+Inputs!$B$18+Inputs!$B$19)+IF(AND(K234=1,AP234&lt;&gt;0),(Inputs!$B$17+Inputs!$B$18+Inputs!$B$19)+(O234+Inputs!$B$18+Inputs!$B$19),0)+MAX(AU234,0)*(Inputs!$B$20+Inputs!$B$22+Inputs!$B$23)+MAX(-AU234,0)*(Inputs!$B$21+Inputs!$B$22+Inputs!$B$23)</f>
        <v>0</v>
      </c>
      <c r="AW234" s="30" t="n">
        <f aca="false">AP233*(M234-AR233*J234)+AP233*AR233*N234/Inputs!$B$16-AV234</f>
        <v>0.00292793808050019</v>
      </c>
      <c r="AX234" s="30" t="n">
        <f aca="false">AW234-IF(AP233&lt;&gt;0,0.75*AR233*(Inputs!$B$13-N234)/Inputs!$B$16,0)</f>
        <v>0.00269749051044981</v>
      </c>
      <c r="AY234" s="30" t="n">
        <f aca="false">MAX(AS234,0)*(Inputs!$B$17+Inputs!$B$18+Inputs!$B$19)+MAX(-AS234,0)*(O234+Inputs!$B$18+Inputs!$B$19)+IF(AND(K234=1,AP234&lt;&gt;0),(Inputs!$B$17+Inputs!$B$18+Inputs!$B$19)+(O234+Inputs!$B$18+Inputs!$B$19),0)</f>
        <v>0</v>
      </c>
      <c r="AZ234" s="30" t="n">
        <f aca="false">AP233*M234-AY234</f>
        <v>0.0015336832310453</v>
      </c>
      <c r="BA234" s="32" t="n">
        <f aca="false">BA233+AI234</f>
        <v>-0.00511208864972396</v>
      </c>
      <c r="BB234" s="30" t="n">
        <f aca="false">MAX(BB233,BA234)</f>
        <v>0</v>
      </c>
      <c r="BC234" s="32" t="n">
        <f aca="false">BA234-BB234</f>
        <v>-0.00511208864972396</v>
      </c>
      <c r="BD234" s="30" t="n">
        <f aca="false">A235-A234</f>
        <v>1</v>
      </c>
    </row>
    <row r="235" customFormat="false" ht="15" hidden="false" customHeight="false" outlineLevel="0" collapsed="false">
      <c r="A235" s="28" t="n">
        <v>45385</v>
      </c>
      <c r="B235" s="0" t="n">
        <v>22546.75</v>
      </c>
      <c r="C235" s="0" t="n">
        <v>248.8</v>
      </c>
      <c r="D235" s="29" t="n">
        <f aca="false">LN(B235)</f>
        <v>10.0233462103754</v>
      </c>
      <c r="E235" s="29" t="n">
        <f aca="false">LN(C235)</f>
        <v>5.51664936086502</v>
      </c>
      <c r="F235" s="0" t="n">
        <v>230</v>
      </c>
      <c r="G235" s="0" t="n">
        <v>22</v>
      </c>
      <c r="H235" s="29" t="n">
        <f aca="false">D235-E235</f>
        <v>4.5066968495104</v>
      </c>
      <c r="I235" s="29" t="n">
        <f aca="false">D235-D234</f>
        <v>-0.00126767166554664</v>
      </c>
      <c r="J235" s="29" t="n">
        <f aca="false">E235-E234</f>
        <v>-0.000361670923591184</v>
      </c>
      <c r="K235" s="0" t="n">
        <v>0</v>
      </c>
      <c r="L235" s="0" t="n">
        <v>0</v>
      </c>
      <c r="M235" s="29" t="n">
        <f aca="false">IF(L235=1,J235-Carry!$B$9/Inputs!$B$16,I235)</f>
        <v>-0.00126767166554664</v>
      </c>
      <c r="N235" s="0" t="n">
        <v>0.065</v>
      </c>
      <c r="O235" s="0" t="n">
        <v>0.000125</v>
      </c>
      <c r="P235" s="29" t="n">
        <f aca="false">D235-('2 Hedge ratio'!$B$6+'2 Hedge ratio'!$B$5*E235)</f>
        <v>0.00757602815746594</v>
      </c>
      <c r="Q235" s="29" t="n">
        <f aca="false">D235-('5 Re-specification'!$B$7+'5 Re-specification'!$B$5*E235+'5 Re-specification'!$B$6*F235)</f>
        <v>0.00254777772976489</v>
      </c>
      <c r="R235" s="30" t="n">
        <f aca="false">MIN(F235,Inputs!$B$9)</f>
        <v>230</v>
      </c>
      <c r="S235" s="29" t="n">
        <f aca="true">IF(AND(F235&gt;=1,R235&gt;=Inputs!$B$10),INDEX(LINEST(OFFSET(D235,-R235,0,R235,1),OFFSET(E235,-R235,0,R235,2)),1,1),"")</f>
        <v>-7.27723377173766E-005</v>
      </c>
      <c r="T235" s="29" t="n">
        <f aca="true">IF(AND(F235&gt;=1,R235&gt;=Inputs!$B$10),INDEX(LINEST(OFFSET(D235,-R235,0,R235,1),OFFSET(E235,-R235,0,R235,2)),1,2),"")</f>
        <v>1.03278632833718</v>
      </c>
      <c r="U235" s="29" t="n">
        <f aca="true">IF(AND(F235&gt;=1,R235&gt;=Inputs!$B$10),INDEX(LINEST(OFFSET(D235,-R235,0,R235,1),OFFSET(E235,-R235,0,R235,2)),1,3),"")</f>
        <v>4.3411018603474</v>
      </c>
      <c r="V235" s="29" t="n">
        <f aca="true">IF(AND(F235&gt;=1,R235&gt;=Inputs!$B$10),SQRT(SUMPRODUCT((OFFSET(D235,-R235,0,R235,1)-U235-T235*OFFSET(E235,-R235,0,R235,1)-S235*OFFSET(F235,-R235,0,R235,1))^2)/(R235-3)),"")</f>
        <v>0.00262936445233557</v>
      </c>
      <c r="W235" s="31" t="n">
        <f aca="false">IF(AND(F235&gt;=1,R235&gt;=Inputs!$B$10),(D235-U235-T235*E235-S235*F235)/V235,"")</f>
        <v>0.556008723053403</v>
      </c>
      <c r="X235" s="30" t="n">
        <f aca="false">IF(AB234&lt;&gt;0,AC234+1,0)</f>
        <v>2</v>
      </c>
      <c r="Y235" s="30" t="n">
        <f aca="false">IF(W235="",0,IF(AND(AB234&lt;&gt;0,OR(ABS(W235)&gt;Inputs!$B$7,X235&gt;=Inputs!$B$8,ABS(W235)&lt;Inputs!$B$6)),1,0))</f>
        <v>0</v>
      </c>
      <c r="Z235" s="30" t="n">
        <f aca="false">IF(Y235=1,0,AB234)</f>
        <v>-1</v>
      </c>
      <c r="AA235" s="30" t="n">
        <f aca="false">IF(W235="",0,IF(AND(Z235=0,ABS(W235)&gt;Inputs!$B$5,ABS(W235)&lt;=Inputs!$B$7),1,0))</f>
        <v>0</v>
      </c>
      <c r="AB235" s="30" t="n">
        <f aca="false">IF(W235="",0,IF(AA235=1,-SIGN(W235),Z235))</f>
        <v>-1</v>
      </c>
      <c r="AC235" s="30" t="n">
        <f aca="false">IF(W235="",0,IF(AA235=1,0,IF(Y235=1,0,X235)))</f>
        <v>2</v>
      </c>
      <c r="AD235" s="29" t="n">
        <f aca="false">IF(AB235=0,0,IF(AB234=AB235,AD234,T235))</f>
        <v>1.03240511382569</v>
      </c>
      <c r="AE235" s="30" t="n">
        <f aca="false">AB235-AB234</f>
        <v>0</v>
      </c>
      <c r="AF235" s="30" t="n">
        <f aca="false">-AD235*AB235</f>
        <v>1.03240511382569</v>
      </c>
      <c r="AG235" s="30" t="n">
        <f aca="false">AF235-AF234</f>
        <v>0</v>
      </c>
      <c r="AH235" s="30" t="n">
        <f aca="false">MAX(AE235,0)*(Inputs!$B$17+Inputs!$B$18+Inputs!$B$19)+MAX(-AE235,0)*(O235+Inputs!$B$18+Inputs!$B$19)+IF(AND(K235=1,AB235&lt;&gt;0),(Inputs!$B$17+Inputs!$B$18+Inputs!$B$19)+(O235+Inputs!$B$18+Inputs!$B$19),0)+MAX(AG235,0)*(Inputs!$B$20+Inputs!$B$22+Inputs!$B$23)+MAX(-AG235,0)*(Inputs!$B$21+Inputs!$B$22+Inputs!$B$23)</f>
        <v>0</v>
      </c>
      <c r="AI235" s="30" t="n">
        <f aca="false">AB234*(M235-AD234*J235)+AB234*AD234*N235/Inputs!$B$16-AH235</f>
        <v>0.000627985784673053</v>
      </c>
      <c r="AJ235" s="30" t="n">
        <f aca="false">MAX(AE235,0)*(Inputs!$B$17+Inputs!$B$24+Inputs!$B$25)+MAX(-AE235,0)*(O235+Inputs!$B$24+Inputs!$B$25)+IF(AND(K235=1,AB235&lt;&gt;0),(Inputs!$B$17+Inputs!$B$24+Inputs!$B$25)+(O235+Inputs!$B$24+Inputs!$B$25),0)+MAX(AG235,0)*(Inputs!$B$20+Inputs!$B$26+Inputs!$B$27)+MAX(-AG235,0)*(Inputs!$B$21+Inputs!$B$26+Inputs!$B$27)</f>
        <v>0</v>
      </c>
      <c r="AK235" s="30" t="n">
        <f aca="false">AB234*(M235-AD234*J235)+AB234*AD234*(N235+Inputs!$B$14)/Inputs!$B$16-AJ235</f>
        <v>0.00059725944199967</v>
      </c>
      <c r="AL235" s="30" t="n">
        <f aca="false">IF(AP234&lt;&gt;0,AQ234+1,0)</f>
        <v>2</v>
      </c>
      <c r="AM235" s="30" t="n">
        <f aca="false">IF(W235="",0,IF(AND(AP234&lt;&gt;0,OR(ABS(W235)&gt;Inputs!$B$7,AL235&gt;=Inputs!$B$8,ABS(W235)&lt;Inputs!$B$6)),1,0))</f>
        <v>0</v>
      </c>
      <c r="AN235" s="30" t="n">
        <f aca="false">IF(AM235=1,0,AP234)</f>
        <v>-1</v>
      </c>
      <c r="AO235" s="30" t="n">
        <f aca="false">IF(W235="",0,IF(AND(AN235=0,ABS(W235)&gt;Inputs!$B$5,ABS(W235)&lt;=Inputs!$B$7,W235&gt;0),1,0))</f>
        <v>0</v>
      </c>
      <c r="AP235" s="30" t="n">
        <f aca="false">IF(W235="",0,IF(AO235=1,-SIGN(W235),AN235))</f>
        <v>-1</v>
      </c>
      <c r="AQ235" s="30" t="n">
        <f aca="false">IF(W235="",0,IF(AO235=1,0,IF(AM235=1,0,AL235)))</f>
        <v>2</v>
      </c>
      <c r="AR235" s="29" t="n">
        <f aca="false">IF(AP235=0,0,IF(AP234=AP235,AR234,T235))</f>
        <v>1.03240511382569</v>
      </c>
      <c r="AS235" s="30" t="n">
        <f aca="false">AP235-AP234</f>
        <v>0</v>
      </c>
      <c r="AT235" s="30" t="n">
        <f aca="false">-AR235*AP235</f>
        <v>1.03240511382569</v>
      </c>
      <c r="AU235" s="30" t="n">
        <f aca="false">AT235-AT234</f>
        <v>0</v>
      </c>
      <c r="AV235" s="30" t="n">
        <f aca="false">MAX(AS235,0)*(Inputs!$B$17+Inputs!$B$18+Inputs!$B$19)+MAX(-AS235,0)*(O235+Inputs!$B$18+Inputs!$B$19)+IF(AND(K235=1,AP235&lt;&gt;0),(Inputs!$B$17+Inputs!$B$18+Inputs!$B$19)+(O235+Inputs!$B$18+Inputs!$B$19),0)+MAX(AU235,0)*(Inputs!$B$20+Inputs!$B$22+Inputs!$B$23)+MAX(-AU235,0)*(Inputs!$B$21+Inputs!$B$22+Inputs!$B$23)</f>
        <v>0</v>
      </c>
      <c r="AW235" s="30" t="n">
        <f aca="false">AP234*(M235-AR234*J235)+AP234*AR234*N235/Inputs!$B$16-AV235</f>
        <v>0.000627985784673053</v>
      </c>
      <c r="AX235" s="30" t="n">
        <f aca="false">AW235-IF(AP234&lt;&gt;0,0.75*AR234*(Inputs!$B$13-N235)/Inputs!$B$16,0)</f>
        <v>0.000397538214622676</v>
      </c>
      <c r="AY235" s="30" t="n">
        <f aca="false">MAX(AS235,0)*(Inputs!$B$17+Inputs!$B$18+Inputs!$B$19)+MAX(-AS235,0)*(O235+Inputs!$B$18+Inputs!$B$19)+IF(AND(K235=1,AP235&lt;&gt;0),(Inputs!$B$17+Inputs!$B$18+Inputs!$B$19)+(O235+Inputs!$B$18+Inputs!$B$19),0)</f>
        <v>0</v>
      </c>
      <c r="AZ235" s="30" t="n">
        <f aca="false">AP234*M235-AY235</f>
        <v>0.00126767166554664</v>
      </c>
      <c r="BA235" s="32" t="n">
        <f aca="false">BA234+AI235</f>
        <v>-0.00448410286505091</v>
      </c>
      <c r="BB235" s="30" t="n">
        <f aca="false">MAX(BB234,BA235)</f>
        <v>0</v>
      </c>
      <c r="BC235" s="32" t="n">
        <f aca="false">BA235-BB235</f>
        <v>-0.00448410286505091</v>
      </c>
      <c r="BD235" s="30" t="n">
        <f aca="false">A236-A235</f>
        <v>1</v>
      </c>
    </row>
    <row r="236" customFormat="false" ht="15" hidden="false" customHeight="false" outlineLevel="0" collapsed="false">
      <c r="A236" s="28" t="n">
        <v>45386</v>
      </c>
      <c r="B236" s="0" t="n">
        <v>22635.5</v>
      </c>
      <c r="C236" s="0" t="n">
        <v>249.77</v>
      </c>
      <c r="D236" s="29" t="n">
        <f aca="false">LN(B236)</f>
        <v>10.0272747493102</v>
      </c>
      <c r="E236" s="29" t="n">
        <f aca="false">LN(C236)</f>
        <v>5.5205404944025</v>
      </c>
      <c r="F236" s="0" t="n">
        <v>231</v>
      </c>
      <c r="G236" s="0" t="n">
        <v>21</v>
      </c>
      <c r="H236" s="29" t="n">
        <f aca="false">D236-E236</f>
        <v>4.5067342549077</v>
      </c>
      <c r="I236" s="29" t="n">
        <f aca="false">D236-D235</f>
        <v>0.00392853893477962</v>
      </c>
      <c r="J236" s="29" t="n">
        <f aca="false">E236-E235</f>
        <v>0.00389113353748005</v>
      </c>
      <c r="K236" s="0" t="n">
        <v>0</v>
      </c>
      <c r="L236" s="0" t="n">
        <v>0</v>
      </c>
      <c r="M236" s="29" t="n">
        <f aca="false">IF(L236=1,J236-Carry!$B$9/Inputs!$B$16,I236)</f>
        <v>0.00392853893477962</v>
      </c>
      <c r="N236" s="0" t="n">
        <v>0.065</v>
      </c>
      <c r="O236" s="0" t="n">
        <v>0.000125</v>
      </c>
      <c r="P236" s="29" t="n">
        <f aca="false">D236-('2 Hedge ratio'!$B$6+'2 Hedge ratio'!$B$5*E236)</f>
        <v>0.00793979553475843</v>
      </c>
      <c r="Q236" s="29" t="n">
        <f aca="false">D236-('5 Re-specification'!$B$7+'5 Re-specification'!$B$5*E236+'5 Re-specification'!$B$6*F236)</f>
        <v>0.00264190452543112</v>
      </c>
      <c r="R236" s="30" t="n">
        <f aca="false">MIN(F236,Inputs!$B$9)</f>
        <v>231</v>
      </c>
      <c r="S236" s="29" t="n">
        <f aca="true">IF(AND(F236&gt;=1,R236&gt;=Inputs!$B$10),INDEX(LINEST(OFFSET(D236,-R236,0,R236,1),OFFSET(E236,-R236,0,R236,2)),1,1),"")</f>
        <v>-7.26636299473435E-005</v>
      </c>
      <c r="T236" s="29" t="n">
        <f aca="true">IF(AND(F236&gt;=1,R236&gt;=Inputs!$B$10),INDEX(LINEST(OFFSET(D236,-R236,0,R236,1),OFFSET(E236,-R236,0,R236,2)),1,2),"")</f>
        <v>1.03284431185245</v>
      </c>
      <c r="U236" s="29" t="n">
        <f aca="true">IF(AND(F236&gt;=1,R236&gt;=Inputs!$B$10),INDEX(LINEST(OFFSET(D236,-R236,0,R236,1),OFFSET(E236,-R236,0,R236,2)),1,3),"")</f>
        <v>4.34078239504636</v>
      </c>
      <c r="V236" s="29" t="n">
        <f aca="true">IF(AND(F236&gt;=1,R236&gt;=Inputs!$B$10),SQRT(SUMPRODUCT((OFFSET(D236,-R236,0,R236,1)-U236-T236*OFFSET(E236,-R236,0,R236,1)-S236*OFFSET(F236,-R236,0,R236,1))^2)/(R236-3)),"")</f>
        <v>0.00262534682775625</v>
      </c>
      <c r="W236" s="31" t="n">
        <f aca="false">IF(AND(F236&gt;=1,R236&gt;=Inputs!$B$10),(D236-U236-T236*E236-S236*F236)/V236,"")</f>
        <v>0.540425658022532</v>
      </c>
      <c r="X236" s="30" t="n">
        <f aca="false">IF(AB235&lt;&gt;0,AC235+1,0)</f>
        <v>3</v>
      </c>
      <c r="Y236" s="30" t="n">
        <f aca="false">IF(W236="",0,IF(AND(AB235&lt;&gt;0,OR(ABS(W236)&gt;Inputs!$B$7,X236&gt;=Inputs!$B$8,ABS(W236)&lt;Inputs!$B$6)),1,0))</f>
        <v>0</v>
      </c>
      <c r="Z236" s="30" t="n">
        <f aca="false">IF(Y236=1,0,AB235)</f>
        <v>-1</v>
      </c>
      <c r="AA236" s="30" t="n">
        <f aca="false">IF(W236="",0,IF(AND(Z236=0,ABS(W236)&gt;Inputs!$B$5,ABS(W236)&lt;=Inputs!$B$7),1,0))</f>
        <v>0</v>
      </c>
      <c r="AB236" s="30" t="n">
        <f aca="false">IF(W236="",0,IF(AA236=1,-SIGN(W236),Z236))</f>
        <v>-1</v>
      </c>
      <c r="AC236" s="30" t="n">
        <f aca="false">IF(W236="",0,IF(AA236=1,0,IF(Y236=1,0,X236)))</f>
        <v>3</v>
      </c>
      <c r="AD236" s="29" t="n">
        <f aca="false">IF(AB236=0,0,IF(AB235=AB236,AD235,T236))</f>
        <v>1.03240511382569</v>
      </c>
      <c r="AE236" s="30" t="n">
        <f aca="false">AB236-AB235</f>
        <v>0</v>
      </c>
      <c r="AF236" s="30" t="n">
        <f aca="false">-AD236*AB236</f>
        <v>1.03240511382569</v>
      </c>
      <c r="AG236" s="30" t="n">
        <f aca="false">AF236-AF235</f>
        <v>0</v>
      </c>
      <c r="AH236" s="30" t="n">
        <f aca="false">MAX(AE236,0)*(Inputs!$B$17+Inputs!$B$18+Inputs!$B$19)+MAX(-AE236,0)*(O236+Inputs!$B$18+Inputs!$B$19)+IF(AND(K236=1,AB236&lt;&gt;0),(Inputs!$B$17+Inputs!$B$18+Inputs!$B$19)+(O236+Inputs!$B$18+Inputs!$B$19),0)+MAX(AG236,0)*(Inputs!$B$20+Inputs!$B$22+Inputs!$B$23)+MAX(-AG236,0)*(Inputs!$B$21+Inputs!$B$22+Inputs!$B$23)</f>
        <v>0</v>
      </c>
      <c r="AI236" s="30" t="n">
        <f aca="false">AB235*(M236-AD235*J236)+AB235*AD235*N236/Inputs!$B$16-AH236</f>
        <v>-0.000177607741942565</v>
      </c>
      <c r="AJ236" s="30" t="n">
        <f aca="false">MAX(AE236,0)*(Inputs!$B$17+Inputs!$B$24+Inputs!$B$25)+MAX(-AE236,0)*(O236+Inputs!$B$24+Inputs!$B$25)+IF(AND(K236=1,AB236&lt;&gt;0),(Inputs!$B$17+Inputs!$B$24+Inputs!$B$25)+(O236+Inputs!$B$24+Inputs!$B$25),0)+MAX(AG236,0)*(Inputs!$B$20+Inputs!$B$26+Inputs!$B$27)+MAX(-AG236,0)*(Inputs!$B$21+Inputs!$B$26+Inputs!$B$27)</f>
        <v>0</v>
      </c>
      <c r="AK236" s="30" t="n">
        <f aca="false">AB235*(M236-AD235*J236)+AB235*AD235*(N236+Inputs!$B$14)/Inputs!$B$16-AJ236</f>
        <v>-0.000208334084615948</v>
      </c>
      <c r="AL236" s="30" t="n">
        <f aca="false">IF(AP235&lt;&gt;0,AQ235+1,0)</f>
        <v>3</v>
      </c>
      <c r="AM236" s="30" t="n">
        <f aca="false">IF(W236="",0,IF(AND(AP235&lt;&gt;0,OR(ABS(W236)&gt;Inputs!$B$7,AL236&gt;=Inputs!$B$8,ABS(W236)&lt;Inputs!$B$6)),1,0))</f>
        <v>0</v>
      </c>
      <c r="AN236" s="30" t="n">
        <f aca="false">IF(AM236=1,0,AP235)</f>
        <v>-1</v>
      </c>
      <c r="AO236" s="30" t="n">
        <f aca="false">IF(W236="",0,IF(AND(AN236=0,ABS(W236)&gt;Inputs!$B$5,ABS(W236)&lt;=Inputs!$B$7,W236&gt;0),1,0))</f>
        <v>0</v>
      </c>
      <c r="AP236" s="30" t="n">
        <f aca="false">IF(W236="",0,IF(AO236=1,-SIGN(W236),AN236))</f>
        <v>-1</v>
      </c>
      <c r="AQ236" s="30" t="n">
        <f aca="false">IF(W236="",0,IF(AO236=1,0,IF(AM236=1,0,AL236)))</f>
        <v>3</v>
      </c>
      <c r="AR236" s="29" t="n">
        <f aca="false">IF(AP236=0,0,IF(AP235=AP236,AR235,T236))</f>
        <v>1.03240511382569</v>
      </c>
      <c r="AS236" s="30" t="n">
        <f aca="false">AP236-AP235</f>
        <v>0</v>
      </c>
      <c r="AT236" s="30" t="n">
        <f aca="false">-AR236*AP236</f>
        <v>1.03240511382569</v>
      </c>
      <c r="AU236" s="30" t="n">
        <f aca="false">AT236-AT235</f>
        <v>0</v>
      </c>
      <c r="AV236" s="30" t="n">
        <f aca="false">MAX(AS236,0)*(Inputs!$B$17+Inputs!$B$18+Inputs!$B$19)+MAX(-AS236,0)*(O236+Inputs!$B$18+Inputs!$B$19)+IF(AND(K236=1,AP236&lt;&gt;0),(Inputs!$B$17+Inputs!$B$18+Inputs!$B$19)+(O236+Inputs!$B$18+Inputs!$B$19),0)+MAX(AU236,0)*(Inputs!$B$20+Inputs!$B$22+Inputs!$B$23)+MAX(-AU236,0)*(Inputs!$B$21+Inputs!$B$22+Inputs!$B$23)</f>
        <v>0</v>
      </c>
      <c r="AW236" s="30" t="n">
        <f aca="false">AP235*(M236-AR235*J236)+AP235*AR235*N236/Inputs!$B$16-AV236</f>
        <v>-0.000177607741942565</v>
      </c>
      <c r="AX236" s="30" t="n">
        <f aca="false">AW236-IF(AP235&lt;&gt;0,0.75*AR235*(Inputs!$B$13-N236)/Inputs!$B$16,0)</f>
        <v>-0.000408055311992942</v>
      </c>
      <c r="AY236" s="30" t="n">
        <f aca="false">MAX(AS236,0)*(Inputs!$B$17+Inputs!$B$18+Inputs!$B$19)+MAX(-AS236,0)*(O236+Inputs!$B$18+Inputs!$B$19)+IF(AND(K236=1,AP236&lt;&gt;0),(Inputs!$B$17+Inputs!$B$18+Inputs!$B$19)+(O236+Inputs!$B$18+Inputs!$B$19),0)</f>
        <v>0</v>
      </c>
      <c r="AZ236" s="30" t="n">
        <f aca="false">AP235*M236-AY236</f>
        <v>-0.00392853893477962</v>
      </c>
      <c r="BA236" s="32" t="n">
        <f aca="false">BA235+AI236</f>
        <v>-0.00466171060699347</v>
      </c>
      <c r="BB236" s="30" t="n">
        <f aca="false">MAX(BB235,BA236)</f>
        <v>0</v>
      </c>
      <c r="BC236" s="32" t="n">
        <f aca="false">BA236-BB236</f>
        <v>-0.00466171060699347</v>
      </c>
      <c r="BD236" s="30" t="n">
        <f aca="false">A237-A236</f>
        <v>1</v>
      </c>
    </row>
    <row r="237" customFormat="false" ht="15" hidden="false" customHeight="false" outlineLevel="0" collapsed="false">
      <c r="A237" s="28" t="n">
        <v>45387</v>
      </c>
      <c r="B237" s="0" t="n">
        <v>22611</v>
      </c>
      <c r="C237" s="0" t="n">
        <v>249.37</v>
      </c>
      <c r="D237" s="29" t="n">
        <f aca="false">LN(B237)</f>
        <v>10.0261917925116</v>
      </c>
      <c r="E237" s="29" t="n">
        <f aca="false">LN(C237)</f>
        <v>5.51893773731781</v>
      </c>
      <c r="F237" s="0" t="n">
        <v>232</v>
      </c>
      <c r="G237" s="0" t="n">
        <v>20</v>
      </c>
      <c r="H237" s="29" t="n">
        <f aca="false">D237-E237</f>
        <v>4.50725405519377</v>
      </c>
      <c r="I237" s="29" t="n">
        <f aca="false">D237-D236</f>
        <v>-0.00108295679862458</v>
      </c>
      <c r="J237" s="29" t="n">
        <f aca="false">E237-E236</f>
        <v>-0.00160275708469637</v>
      </c>
      <c r="K237" s="0" t="n">
        <v>0</v>
      </c>
      <c r="L237" s="0" t="n">
        <v>0</v>
      </c>
      <c r="M237" s="29" t="n">
        <f aca="false">IF(L237=1,J237-Carry!$B$9/Inputs!$B$16,I237)</f>
        <v>-0.00108295679862458</v>
      </c>
      <c r="N237" s="0" t="n">
        <v>0.065</v>
      </c>
      <c r="O237" s="0" t="n">
        <v>0.000125</v>
      </c>
      <c r="P237" s="29" t="n">
        <f aca="false">D237-('2 Hedge ratio'!$B$6+'2 Hedge ratio'!$B$5*E237)</f>
        <v>0.00832516738999622</v>
      </c>
      <c r="Q237" s="29" t="n">
        <f aca="false">D237-('5 Re-specification'!$B$7+'5 Re-specification'!$B$5*E237+'5 Re-specification'!$B$6*F237)</f>
        <v>0.00320177697421897</v>
      </c>
      <c r="R237" s="30" t="n">
        <f aca="false">MIN(F237,Inputs!$B$9)</f>
        <v>232</v>
      </c>
      <c r="S237" s="29" t="n">
        <f aca="true">IF(AND(F237&gt;=1,R237&gt;=Inputs!$B$10),INDEX(LINEST(OFFSET(D237,-R237,0,R237,1),OFFSET(E237,-R237,0,R237,2)),1,1),"")</f>
        <v>-7.25929303788384E-005</v>
      </c>
      <c r="T237" s="29" t="n">
        <f aca="true">IF(AND(F237&gt;=1,R237&gt;=Inputs!$B$10),INDEX(LINEST(OFFSET(D237,-R237,0,R237,1),OFFSET(E237,-R237,0,R237,2)),1,2),"")</f>
        <v>1.03293577553915</v>
      </c>
      <c r="U237" s="29" t="n">
        <f aca="true">IF(AND(F237&gt;=1,R237&gt;=Inputs!$B$10),INDEX(LINEST(OFFSET(D237,-R237,0,R237,1),OFFSET(E237,-R237,0,R237,2)),1,3),"")</f>
        <v>4.34028610795697</v>
      </c>
      <c r="V237" s="29" t="n">
        <f aca="true">IF(AND(F237&gt;=1,R237&gt;=Inputs!$B$10),SQRT(SUMPRODUCT((OFFSET(D237,-R237,0,R237,1)-U237-T237*OFFSET(E237,-R237,0,R237,1)-S237*OFFSET(F237,-R237,0,R237,1))^2)/(R237-3)),"")</f>
        <v>0.00262125611973046</v>
      </c>
      <c r="W237" s="31" t="n">
        <f aca="false">IF(AND(F237&gt;=1,R237&gt;=Inputs!$B$10),(D237-U237-T237*E237-S237*F237)/V237,"")</f>
        <v>0.777876125298918</v>
      </c>
      <c r="X237" s="30" t="n">
        <f aca="false">IF(AB236&lt;&gt;0,AC236+1,0)</f>
        <v>4</v>
      </c>
      <c r="Y237" s="30" t="n">
        <f aca="false">IF(W237="",0,IF(AND(AB236&lt;&gt;0,OR(ABS(W237)&gt;Inputs!$B$7,X237&gt;=Inputs!$B$8,ABS(W237)&lt;Inputs!$B$6)),1,0))</f>
        <v>0</v>
      </c>
      <c r="Z237" s="30" t="n">
        <f aca="false">IF(Y237=1,0,AB236)</f>
        <v>-1</v>
      </c>
      <c r="AA237" s="30" t="n">
        <f aca="false">IF(W237="",0,IF(AND(Z237=0,ABS(W237)&gt;Inputs!$B$5,ABS(W237)&lt;=Inputs!$B$7),1,0))</f>
        <v>0</v>
      </c>
      <c r="AB237" s="30" t="n">
        <f aca="false">IF(W237="",0,IF(AA237=1,-SIGN(W237),Z237))</f>
        <v>-1</v>
      </c>
      <c r="AC237" s="30" t="n">
        <f aca="false">IF(W237="",0,IF(AA237=1,0,IF(Y237=1,0,X237)))</f>
        <v>4</v>
      </c>
      <c r="AD237" s="29" t="n">
        <f aca="false">IF(AB237=0,0,IF(AB236=AB237,AD236,T237))</f>
        <v>1.03240511382569</v>
      </c>
      <c r="AE237" s="30" t="n">
        <f aca="false">AB237-AB236</f>
        <v>0</v>
      </c>
      <c r="AF237" s="30" t="n">
        <f aca="false">-AD237*AB237</f>
        <v>1.03240511382569</v>
      </c>
      <c r="AG237" s="30" t="n">
        <f aca="false">AF237-AF236</f>
        <v>0</v>
      </c>
      <c r="AH237" s="30" t="n">
        <f aca="false">MAX(AE237,0)*(Inputs!$B$17+Inputs!$B$18+Inputs!$B$19)+MAX(-AE237,0)*(O237+Inputs!$B$18+Inputs!$B$19)+IF(AND(K237=1,AB237&lt;&gt;0),(Inputs!$B$17+Inputs!$B$18+Inputs!$B$19)+(O237+Inputs!$B$18+Inputs!$B$19),0)+MAX(AG237,0)*(Inputs!$B$20+Inputs!$B$22+Inputs!$B$23)+MAX(-AG237,0)*(Inputs!$B$21+Inputs!$B$22+Inputs!$B$23)</f>
        <v>0</v>
      </c>
      <c r="AI237" s="30" t="n">
        <f aca="false">AB236*(M237-AD236*J237)+AB236*AD236*N237/Inputs!$B$16-AH237</f>
        <v>-0.0008380327816723</v>
      </c>
      <c r="AJ237" s="30" t="n">
        <f aca="false">MAX(AE237,0)*(Inputs!$B$17+Inputs!$B$24+Inputs!$B$25)+MAX(-AE237,0)*(O237+Inputs!$B$24+Inputs!$B$25)+IF(AND(K237=1,AB237&lt;&gt;0),(Inputs!$B$17+Inputs!$B$24+Inputs!$B$25)+(O237+Inputs!$B$24+Inputs!$B$25),0)+MAX(AG237,0)*(Inputs!$B$20+Inputs!$B$26+Inputs!$B$27)+MAX(-AG237,0)*(Inputs!$B$21+Inputs!$B$26+Inputs!$B$27)</f>
        <v>0</v>
      </c>
      <c r="AK237" s="30" t="n">
        <f aca="false">AB236*(M237-AD236*J237)+AB236*AD236*(N237+Inputs!$B$14)/Inputs!$B$16-AJ237</f>
        <v>-0.000868759124345683</v>
      </c>
      <c r="AL237" s="30" t="n">
        <f aca="false">IF(AP236&lt;&gt;0,AQ236+1,0)</f>
        <v>4</v>
      </c>
      <c r="AM237" s="30" t="n">
        <f aca="false">IF(W237="",0,IF(AND(AP236&lt;&gt;0,OR(ABS(W237)&gt;Inputs!$B$7,AL237&gt;=Inputs!$B$8,ABS(W237)&lt;Inputs!$B$6)),1,0))</f>
        <v>0</v>
      </c>
      <c r="AN237" s="30" t="n">
        <f aca="false">IF(AM237=1,0,AP236)</f>
        <v>-1</v>
      </c>
      <c r="AO237" s="30" t="n">
        <f aca="false">IF(W237="",0,IF(AND(AN237=0,ABS(W237)&gt;Inputs!$B$5,ABS(W237)&lt;=Inputs!$B$7,W237&gt;0),1,0))</f>
        <v>0</v>
      </c>
      <c r="AP237" s="30" t="n">
        <f aca="false">IF(W237="",0,IF(AO237=1,-SIGN(W237),AN237))</f>
        <v>-1</v>
      </c>
      <c r="AQ237" s="30" t="n">
        <f aca="false">IF(W237="",0,IF(AO237=1,0,IF(AM237=1,0,AL237)))</f>
        <v>4</v>
      </c>
      <c r="AR237" s="29" t="n">
        <f aca="false">IF(AP237=0,0,IF(AP236=AP237,AR236,T237))</f>
        <v>1.03240511382569</v>
      </c>
      <c r="AS237" s="30" t="n">
        <f aca="false">AP237-AP236</f>
        <v>0</v>
      </c>
      <c r="AT237" s="30" t="n">
        <f aca="false">-AR237*AP237</f>
        <v>1.03240511382569</v>
      </c>
      <c r="AU237" s="30" t="n">
        <f aca="false">AT237-AT236</f>
        <v>0</v>
      </c>
      <c r="AV237" s="30" t="n">
        <f aca="false">MAX(AS237,0)*(Inputs!$B$17+Inputs!$B$18+Inputs!$B$19)+MAX(-AS237,0)*(O237+Inputs!$B$18+Inputs!$B$19)+IF(AND(K237=1,AP237&lt;&gt;0),(Inputs!$B$17+Inputs!$B$18+Inputs!$B$19)+(O237+Inputs!$B$18+Inputs!$B$19),0)+MAX(AU237,0)*(Inputs!$B$20+Inputs!$B$22+Inputs!$B$23)+MAX(-AU237,0)*(Inputs!$B$21+Inputs!$B$22+Inputs!$B$23)</f>
        <v>0</v>
      </c>
      <c r="AW237" s="30" t="n">
        <f aca="false">AP236*(M237-AR236*J237)+AP236*AR236*N237/Inputs!$B$16-AV237</f>
        <v>-0.0008380327816723</v>
      </c>
      <c r="AX237" s="30" t="n">
        <f aca="false">AW237-IF(AP236&lt;&gt;0,0.75*AR236*(Inputs!$B$13-N237)/Inputs!$B$16,0)</f>
        <v>-0.00106848035172268</v>
      </c>
      <c r="AY237" s="30" t="n">
        <f aca="false">MAX(AS237,0)*(Inputs!$B$17+Inputs!$B$18+Inputs!$B$19)+MAX(-AS237,0)*(O237+Inputs!$B$18+Inputs!$B$19)+IF(AND(K237=1,AP237&lt;&gt;0),(Inputs!$B$17+Inputs!$B$18+Inputs!$B$19)+(O237+Inputs!$B$18+Inputs!$B$19),0)</f>
        <v>0</v>
      </c>
      <c r="AZ237" s="30" t="n">
        <f aca="false">AP236*M237-AY237</f>
        <v>0.00108295679862458</v>
      </c>
      <c r="BA237" s="32" t="n">
        <f aca="false">BA236+AI237</f>
        <v>-0.00549974338866577</v>
      </c>
      <c r="BB237" s="30" t="n">
        <f aca="false">MAX(BB236,BA237)</f>
        <v>0</v>
      </c>
      <c r="BC237" s="32" t="n">
        <f aca="false">BA237-BB237</f>
        <v>-0.00549974338866577</v>
      </c>
      <c r="BD237" s="30" t="n">
        <f aca="false">A238-A237</f>
        <v>3</v>
      </c>
    </row>
    <row r="238" customFormat="false" ht="15" hidden="false" customHeight="false" outlineLevel="0" collapsed="false">
      <c r="A238" s="28" t="n">
        <v>45390</v>
      </c>
      <c r="B238" s="0" t="n">
        <v>22750</v>
      </c>
      <c r="C238" s="0" t="n">
        <v>250.7</v>
      </c>
      <c r="D238" s="29" t="n">
        <f aca="false">LN(B238)</f>
        <v>10.0323204243791</v>
      </c>
      <c r="E238" s="29" t="n">
        <f aca="false">LN(C238)</f>
        <v>5.52425700516425</v>
      </c>
      <c r="F238" s="0" t="n">
        <v>233</v>
      </c>
      <c r="G238" s="0" t="n">
        <v>17</v>
      </c>
      <c r="H238" s="29" t="n">
        <f aca="false">D238-E238</f>
        <v>4.50806341921485</v>
      </c>
      <c r="I238" s="29" t="n">
        <f aca="false">D238-D237</f>
        <v>0.00612863186751689</v>
      </c>
      <c r="J238" s="29" t="n">
        <f aca="false">E238-E237</f>
        <v>0.00531926784643932</v>
      </c>
      <c r="K238" s="0" t="n">
        <v>0</v>
      </c>
      <c r="L238" s="0" t="n">
        <v>0</v>
      </c>
      <c r="M238" s="29" t="n">
        <f aca="false">IF(L238=1,J238-Carry!$B$9/Inputs!$B$16,I238)</f>
        <v>0.00612863186751689</v>
      </c>
      <c r="N238" s="0" t="n">
        <v>0.065</v>
      </c>
      <c r="O238" s="0" t="n">
        <v>0.000125</v>
      </c>
      <c r="P238" s="29" t="n">
        <f aca="false">D238-('2 Hedge ratio'!$B$6+'2 Hedge ratio'!$B$5*E238)</f>
        <v>0.00958067564378951</v>
      </c>
      <c r="Q238" s="29" t="n">
        <f aca="false">D238-('5 Re-specification'!$B$7+'5 Re-specification'!$B$5*E238+'5 Re-specification'!$B$6*F238)</f>
        <v>0.00407219035471584</v>
      </c>
      <c r="R238" s="30" t="n">
        <f aca="false">MIN(F238,Inputs!$B$9)</f>
        <v>233</v>
      </c>
      <c r="S238" s="29" t="n">
        <f aca="true">IF(AND(F238&gt;=1,R238&gt;=Inputs!$B$10),INDEX(LINEST(OFFSET(D238,-R238,0,R238,1),OFFSET(E238,-R238,0,R238,2)),1,1),"")</f>
        <v>-7.24483852544134E-005</v>
      </c>
      <c r="T238" s="29" t="n">
        <f aca="true">IF(AND(F238&gt;=1,R238&gt;=Inputs!$B$10),INDEX(LINEST(OFFSET(D238,-R238,0,R238,1),OFFSET(E238,-R238,0,R238,2)),1,2),"")</f>
        <v>1.03301987908057</v>
      </c>
      <c r="U238" s="29" t="n">
        <f aca="true">IF(AND(F238&gt;=1,R238&gt;=Inputs!$B$10),INDEX(LINEST(OFFSET(D238,-R238,0,R238,1),OFFSET(E238,-R238,0,R238,2)),1,3),"")</f>
        <v>4.33982358497916</v>
      </c>
      <c r="V238" s="29" t="n">
        <f aca="true">IF(AND(F238&gt;=1,R238&gt;=Inputs!$B$10),SQRT(SUMPRODUCT((OFFSET(D238,-R238,0,R238,1)-U238-T238*OFFSET(E238,-R238,0,R238,1)-S238*OFFSET(F238,-R238,0,R238,1))^2)/(R238-3)),"")</f>
        <v>0.00261894528001663</v>
      </c>
      <c r="W238" s="31" t="n">
        <f aca="false">IF(AND(F238&gt;=1,R238&gt;=Inputs!$B$10),(D238-U238-T238*E238-S238*F238)/V238,"")</f>
        <v>1.03477140210373</v>
      </c>
      <c r="X238" s="30" t="n">
        <f aca="false">IF(AB237&lt;&gt;0,AC237+1,0)</f>
        <v>5</v>
      </c>
      <c r="Y238" s="30" t="n">
        <f aca="false">IF(W238="",0,IF(AND(AB237&lt;&gt;0,OR(ABS(W238)&gt;Inputs!$B$7,X238&gt;=Inputs!$B$8,ABS(W238)&lt;Inputs!$B$6)),1,0))</f>
        <v>0</v>
      </c>
      <c r="Z238" s="30" t="n">
        <f aca="false">IF(Y238=1,0,AB237)</f>
        <v>-1</v>
      </c>
      <c r="AA238" s="30" t="n">
        <f aca="false">IF(W238="",0,IF(AND(Z238=0,ABS(W238)&gt;Inputs!$B$5,ABS(W238)&lt;=Inputs!$B$7),1,0))</f>
        <v>0</v>
      </c>
      <c r="AB238" s="30" t="n">
        <f aca="false">IF(W238="",0,IF(AA238=1,-SIGN(W238),Z238))</f>
        <v>-1</v>
      </c>
      <c r="AC238" s="30" t="n">
        <f aca="false">IF(W238="",0,IF(AA238=1,0,IF(Y238=1,0,X238)))</f>
        <v>5</v>
      </c>
      <c r="AD238" s="29" t="n">
        <f aca="false">IF(AB238=0,0,IF(AB237=AB238,AD237,T238))</f>
        <v>1.03240511382569</v>
      </c>
      <c r="AE238" s="30" t="n">
        <f aca="false">AB238-AB237</f>
        <v>0</v>
      </c>
      <c r="AF238" s="30" t="n">
        <f aca="false">-AD238*AB238</f>
        <v>1.03240511382569</v>
      </c>
      <c r="AG238" s="30" t="n">
        <f aca="false">AF238-AF237</f>
        <v>0</v>
      </c>
      <c r="AH238" s="30" t="n">
        <f aca="false">MAX(AE238,0)*(Inputs!$B$17+Inputs!$B$18+Inputs!$B$19)+MAX(-AE238,0)*(O238+Inputs!$B$18+Inputs!$B$19)+IF(AND(K238=1,AB238&lt;&gt;0),(Inputs!$B$17+Inputs!$B$18+Inputs!$B$19)+(O238+Inputs!$B$18+Inputs!$B$19),0)+MAX(AG238,0)*(Inputs!$B$20+Inputs!$B$22+Inputs!$B$23)+MAX(-AG238,0)*(Inputs!$B$21+Inputs!$B$22+Inputs!$B$23)</f>
        <v>0</v>
      </c>
      <c r="AI238" s="30" t="n">
        <f aca="false">AB237*(M238-AD237*J238)+AB237*AD237*N238/Inputs!$B$16-AH238</f>
        <v>-0.000903287510880358</v>
      </c>
      <c r="AJ238" s="30" t="n">
        <f aca="false">MAX(AE238,0)*(Inputs!$B$17+Inputs!$B$24+Inputs!$B$25)+MAX(-AE238,0)*(O238+Inputs!$B$24+Inputs!$B$25)+IF(AND(K238=1,AB238&lt;&gt;0),(Inputs!$B$17+Inputs!$B$24+Inputs!$B$25)+(O238+Inputs!$B$24+Inputs!$B$25),0)+MAX(AG238,0)*(Inputs!$B$20+Inputs!$B$26+Inputs!$B$27)+MAX(-AG238,0)*(Inputs!$B$21+Inputs!$B$26+Inputs!$B$27)</f>
        <v>0</v>
      </c>
      <c r="AK238" s="30" t="n">
        <f aca="false">AB237*(M238-AD237*J238)+AB237*AD237*(N238+Inputs!$B$14)/Inputs!$B$16-AJ238</f>
        <v>-0.000934013853553742</v>
      </c>
      <c r="AL238" s="30" t="n">
        <f aca="false">IF(AP237&lt;&gt;0,AQ237+1,0)</f>
        <v>5</v>
      </c>
      <c r="AM238" s="30" t="n">
        <f aca="false">IF(W238="",0,IF(AND(AP237&lt;&gt;0,OR(ABS(W238)&gt;Inputs!$B$7,AL238&gt;=Inputs!$B$8,ABS(W238)&lt;Inputs!$B$6)),1,0))</f>
        <v>0</v>
      </c>
      <c r="AN238" s="30" t="n">
        <f aca="false">IF(AM238=1,0,AP237)</f>
        <v>-1</v>
      </c>
      <c r="AO238" s="30" t="n">
        <f aca="false">IF(W238="",0,IF(AND(AN238=0,ABS(W238)&gt;Inputs!$B$5,ABS(W238)&lt;=Inputs!$B$7,W238&gt;0),1,0))</f>
        <v>0</v>
      </c>
      <c r="AP238" s="30" t="n">
        <f aca="false">IF(W238="",0,IF(AO238=1,-SIGN(W238),AN238))</f>
        <v>-1</v>
      </c>
      <c r="AQ238" s="30" t="n">
        <f aca="false">IF(W238="",0,IF(AO238=1,0,IF(AM238=1,0,AL238)))</f>
        <v>5</v>
      </c>
      <c r="AR238" s="29" t="n">
        <f aca="false">IF(AP238=0,0,IF(AP237=AP238,AR237,T238))</f>
        <v>1.03240511382569</v>
      </c>
      <c r="AS238" s="30" t="n">
        <f aca="false">AP238-AP237</f>
        <v>0</v>
      </c>
      <c r="AT238" s="30" t="n">
        <f aca="false">-AR238*AP238</f>
        <v>1.03240511382569</v>
      </c>
      <c r="AU238" s="30" t="n">
        <f aca="false">AT238-AT237</f>
        <v>0</v>
      </c>
      <c r="AV238" s="30" t="n">
        <f aca="false">MAX(AS238,0)*(Inputs!$B$17+Inputs!$B$18+Inputs!$B$19)+MAX(-AS238,0)*(O238+Inputs!$B$18+Inputs!$B$19)+IF(AND(K238=1,AP238&lt;&gt;0),(Inputs!$B$17+Inputs!$B$18+Inputs!$B$19)+(O238+Inputs!$B$18+Inputs!$B$19),0)+MAX(AU238,0)*(Inputs!$B$20+Inputs!$B$22+Inputs!$B$23)+MAX(-AU238,0)*(Inputs!$B$21+Inputs!$B$22+Inputs!$B$23)</f>
        <v>0</v>
      </c>
      <c r="AW238" s="30" t="n">
        <f aca="false">AP237*(M238-AR237*J238)+AP237*AR237*N238/Inputs!$B$16-AV238</f>
        <v>-0.000903287510880358</v>
      </c>
      <c r="AX238" s="30" t="n">
        <f aca="false">AW238-IF(AP237&lt;&gt;0,0.75*AR237*(Inputs!$B$13-N238)/Inputs!$B$16,0)</f>
        <v>-0.00113373508093074</v>
      </c>
      <c r="AY238" s="30" t="n">
        <f aca="false">MAX(AS238,0)*(Inputs!$B$17+Inputs!$B$18+Inputs!$B$19)+MAX(-AS238,0)*(O238+Inputs!$B$18+Inputs!$B$19)+IF(AND(K238=1,AP238&lt;&gt;0),(Inputs!$B$17+Inputs!$B$18+Inputs!$B$19)+(O238+Inputs!$B$18+Inputs!$B$19),0)</f>
        <v>0</v>
      </c>
      <c r="AZ238" s="30" t="n">
        <f aca="false">AP237*M238-AY238</f>
        <v>-0.00612863186751689</v>
      </c>
      <c r="BA238" s="32" t="n">
        <f aca="false">BA237+AI238</f>
        <v>-0.00640303089954613</v>
      </c>
      <c r="BB238" s="30" t="n">
        <f aca="false">MAX(BB237,BA238)</f>
        <v>0</v>
      </c>
      <c r="BC238" s="32" t="n">
        <f aca="false">BA238-BB238</f>
        <v>-0.00640303089954613</v>
      </c>
      <c r="BD238" s="30" t="n">
        <f aca="false">A239-A238</f>
        <v>1</v>
      </c>
    </row>
    <row r="239" customFormat="false" ht="15" hidden="false" customHeight="false" outlineLevel="0" collapsed="false">
      <c r="A239" s="28" t="n">
        <v>45391</v>
      </c>
      <c r="B239" s="0" t="n">
        <v>22733.65</v>
      </c>
      <c r="C239" s="0" t="n">
        <v>250.78</v>
      </c>
      <c r="D239" s="29" t="n">
        <f aca="false">LN(B239)</f>
        <v>10.0316014846852</v>
      </c>
      <c r="E239" s="29" t="n">
        <f aca="false">LN(C239)</f>
        <v>5.52457606076239</v>
      </c>
      <c r="F239" s="0" t="n">
        <v>234</v>
      </c>
      <c r="G239" s="0" t="n">
        <v>16</v>
      </c>
      <c r="H239" s="29" t="n">
        <f aca="false">D239-E239</f>
        <v>4.5070254239228</v>
      </c>
      <c r="I239" s="29" t="n">
        <f aca="false">D239-D238</f>
        <v>-0.000718939693900467</v>
      </c>
      <c r="J239" s="29" t="n">
        <f aca="false">E239-E238</f>
        <v>0.000319055598144935</v>
      </c>
      <c r="K239" s="0" t="n">
        <v>0</v>
      </c>
      <c r="L239" s="0" t="n">
        <v>0</v>
      </c>
      <c r="M239" s="29" t="n">
        <f aca="false">IF(L239=1,J239-Carry!$B$9/Inputs!$B$16,I239)</f>
        <v>-0.000718939693900467</v>
      </c>
      <c r="N239" s="0" t="n">
        <v>0.065</v>
      </c>
      <c r="O239" s="0" t="n">
        <v>0.000125</v>
      </c>
      <c r="P239" s="29" t="n">
        <f aca="false">D239-('2 Hedge ratio'!$B$6+'2 Hedge ratio'!$B$5*E239)</f>
        <v>0.00856944057874109</v>
      </c>
      <c r="Q239" s="29" t="n">
        <f aca="false">D239-('5 Re-specification'!$B$7+'5 Re-specification'!$B$5*E239+'5 Re-specification'!$B$6*F239)</f>
        <v>0.00308009127876296</v>
      </c>
      <c r="R239" s="30" t="n">
        <f aca="false">MIN(F239,Inputs!$B$9)</f>
        <v>234</v>
      </c>
      <c r="S239" s="29" t="n">
        <f aca="true">IF(AND(F239&gt;=1,R239&gt;=Inputs!$B$10),INDEX(LINEST(OFFSET(D239,-R239,0,R239,1),OFFSET(E239,-R239,0,R239,2)),1,1),"")</f>
        <v>-7.23544853284935E-005</v>
      </c>
      <c r="T239" s="29" t="n">
        <f aca="true">IF(AND(F239&gt;=1,R239&gt;=Inputs!$B$10),INDEX(LINEST(OFFSET(D239,-R239,0,R239,1),OFFSET(E239,-R239,0,R239,2)),1,2),"")</f>
        <v>1.03323221804668</v>
      </c>
      <c r="U239" s="29" t="n">
        <f aca="true">IF(AND(F239&gt;=1,R239&gt;=Inputs!$B$10),INDEX(LINEST(OFFSET(D239,-R239,0,R239,1),OFFSET(E239,-R239,0,R239,2)),1,3),"")</f>
        <v>4.33867660948896</v>
      </c>
      <c r="V239" s="29" t="n">
        <f aca="true">IF(AND(F239&gt;=1,R239&gt;=Inputs!$B$10),SQRT(SUMPRODUCT((OFFSET(D239,-R239,0,R239,1)-U239-T239*OFFSET(E239,-R239,0,R239,1)-S239*OFFSET(F239,-R239,0,R239,1))^2)/(R239-3)),"")</f>
        <v>0.002619239009949</v>
      </c>
      <c r="W239" s="31" t="n">
        <f aca="false">IF(AND(F239&gt;=1,R239&gt;=Inputs!$B$10),(D239-U239-T239*E239-S239*F239)/V239,"")</f>
        <v>0.643640281625743</v>
      </c>
      <c r="X239" s="30" t="n">
        <f aca="false">IF(AB238&lt;&gt;0,AC238+1,0)</f>
        <v>6</v>
      </c>
      <c r="Y239" s="30" t="n">
        <f aca="false">IF(W239="",0,IF(AND(AB238&lt;&gt;0,OR(ABS(W239)&gt;Inputs!$B$7,X239&gt;=Inputs!$B$8,ABS(W239)&lt;Inputs!$B$6)),1,0))</f>
        <v>0</v>
      </c>
      <c r="Z239" s="30" t="n">
        <f aca="false">IF(Y239=1,0,AB238)</f>
        <v>-1</v>
      </c>
      <c r="AA239" s="30" t="n">
        <f aca="false">IF(W239="",0,IF(AND(Z239=0,ABS(W239)&gt;Inputs!$B$5,ABS(W239)&lt;=Inputs!$B$7),1,0))</f>
        <v>0</v>
      </c>
      <c r="AB239" s="30" t="n">
        <f aca="false">IF(W239="",0,IF(AA239=1,-SIGN(W239),Z239))</f>
        <v>-1</v>
      </c>
      <c r="AC239" s="30" t="n">
        <f aca="false">IF(W239="",0,IF(AA239=1,0,IF(Y239=1,0,X239)))</f>
        <v>6</v>
      </c>
      <c r="AD239" s="29" t="n">
        <f aca="false">IF(AB239=0,0,IF(AB238=AB239,AD238,T239))</f>
        <v>1.03240511382569</v>
      </c>
      <c r="AE239" s="30" t="n">
        <f aca="false">AB239-AB238</f>
        <v>0</v>
      </c>
      <c r="AF239" s="30" t="n">
        <f aca="false">-AD239*AB239</f>
        <v>1.03240511382569</v>
      </c>
      <c r="AG239" s="30" t="n">
        <f aca="false">AF239-AF238</f>
        <v>0</v>
      </c>
      <c r="AH239" s="30" t="n">
        <f aca="false">MAX(AE239,0)*(Inputs!$B$17+Inputs!$B$18+Inputs!$B$19)+MAX(-AE239,0)*(O239+Inputs!$B$18+Inputs!$B$19)+IF(AND(K239=1,AB239&lt;&gt;0),(Inputs!$B$17+Inputs!$B$18+Inputs!$B$19)+(O239+Inputs!$B$18+Inputs!$B$19),0)+MAX(AG239,0)*(Inputs!$B$20+Inputs!$B$22+Inputs!$B$23)+MAX(-AG239,0)*(Inputs!$B$21+Inputs!$B$22+Inputs!$B$23)</f>
        <v>0</v>
      </c>
      <c r="AI239" s="30" t="n">
        <f aca="false">AB238*(M239-AD238*J239)+AB238*AD238*N239/Inputs!$B$16-AH239</f>
        <v>0.00078203935518402</v>
      </c>
      <c r="AJ239" s="30" t="n">
        <f aca="false">MAX(AE239,0)*(Inputs!$B$17+Inputs!$B$24+Inputs!$B$25)+MAX(-AE239,0)*(O239+Inputs!$B$24+Inputs!$B$25)+IF(AND(K239=1,AB239&lt;&gt;0),(Inputs!$B$17+Inputs!$B$24+Inputs!$B$25)+(O239+Inputs!$B$24+Inputs!$B$25),0)+MAX(AG239,0)*(Inputs!$B$20+Inputs!$B$26+Inputs!$B$27)+MAX(-AG239,0)*(Inputs!$B$21+Inputs!$B$26+Inputs!$B$27)</f>
        <v>0</v>
      </c>
      <c r="AK239" s="30" t="n">
        <f aca="false">AB238*(M239-AD238*J239)+AB238*AD238*(N239+Inputs!$B$14)/Inputs!$B$16-AJ239</f>
        <v>0.000751313012510637</v>
      </c>
      <c r="AL239" s="30" t="n">
        <f aca="false">IF(AP238&lt;&gt;0,AQ238+1,0)</f>
        <v>6</v>
      </c>
      <c r="AM239" s="30" t="n">
        <f aca="false">IF(W239="",0,IF(AND(AP238&lt;&gt;0,OR(ABS(W239)&gt;Inputs!$B$7,AL239&gt;=Inputs!$B$8,ABS(W239)&lt;Inputs!$B$6)),1,0))</f>
        <v>0</v>
      </c>
      <c r="AN239" s="30" t="n">
        <f aca="false">IF(AM239=1,0,AP238)</f>
        <v>-1</v>
      </c>
      <c r="AO239" s="30" t="n">
        <f aca="false">IF(W239="",0,IF(AND(AN239=0,ABS(W239)&gt;Inputs!$B$5,ABS(W239)&lt;=Inputs!$B$7,W239&gt;0),1,0))</f>
        <v>0</v>
      </c>
      <c r="AP239" s="30" t="n">
        <f aca="false">IF(W239="",0,IF(AO239=1,-SIGN(W239),AN239))</f>
        <v>-1</v>
      </c>
      <c r="AQ239" s="30" t="n">
        <f aca="false">IF(W239="",0,IF(AO239=1,0,IF(AM239=1,0,AL239)))</f>
        <v>6</v>
      </c>
      <c r="AR239" s="29" t="n">
        <f aca="false">IF(AP239=0,0,IF(AP238=AP239,AR238,T239))</f>
        <v>1.03240511382569</v>
      </c>
      <c r="AS239" s="30" t="n">
        <f aca="false">AP239-AP238</f>
        <v>0</v>
      </c>
      <c r="AT239" s="30" t="n">
        <f aca="false">-AR239*AP239</f>
        <v>1.03240511382569</v>
      </c>
      <c r="AU239" s="30" t="n">
        <f aca="false">AT239-AT238</f>
        <v>0</v>
      </c>
      <c r="AV239" s="30" t="n">
        <f aca="false">MAX(AS239,0)*(Inputs!$B$17+Inputs!$B$18+Inputs!$B$19)+MAX(-AS239,0)*(O239+Inputs!$B$18+Inputs!$B$19)+IF(AND(K239=1,AP239&lt;&gt;0),(Inputs!$B$17+Inputs!$B$18+Inputs!$B$19)+(O239+Inputs!$B$18+Inputs!$B$19),0)+MAX(AU239,0)*(Inputs!$B$20+Inputs!$B$22+Inputs!$B$23)+MAX(-AU239,0)*(Inputs!$B$21+Inputs!$B$22+Inputs!$B$23)</f>
        <v>0</v>
      </c>
      <c r="AW239" s="30" t="n">
        <f aca="false">AP238*(M239-AR238*J239)+AP238*AR238*N239/Inputs!$B$16-AV239</f>
        <v>0.00078203935518402</v>
      </c>
      <c r="AX239" s="30" t="n">
        <f aca="false">AW239-IF(AP238&lt;&gt;0,0.75*AR238*(Inputs!$B$13-N239)/Inputs!$B$16,0)</f>
        <v>0.000551591785133643</v>
      </c>
      <c r="AY239" s="30" t="n">
        <f aca="false">MAX(AS239,0)*(Inputs!$B$17+Inputs!$B$18+Inputs!$B$19)+MAX(-AS239,0)*(O239+Inputs!$B$18+Inputs!$B$19)+IF(AND(K239=1,AP239&lt;&gt;0),(Inputs!$B$17+Inputs!$B$18+Inputs!$B$19)+(O239+Inputs!$B$18+Inputs!$B$19),0)</f>
        <v>0</v>
      </c>
      <c r="AZ239" s="30" t="n">
        <f aca="false">AP238*M239-AY239</f>
        <v>0.000718939693900467</v>
      </c>
      <c r="BA239" s="32" t="n">
        <f aca="false">BA238+AI239</f>
        <v>-0.00562099154436211</v>
      </c>
      <c r="BB239" s="30" t="n">
        <f aca="false">MAX(BB238,BA239)</f>
        <v>0</v>
      </c>
      <c r="BC239" s="32" t="n">
        <f aca="false">BA239-BB239</f>
        <v>-0.00562099154436211</v>
      </c>
      <c r="BD239" s="30" t="n">
        <f aca="false">A240-A239</f>
        <v>1</v>
      </c>
    </row>
    <row r="240" customFormat="false" ht="15" hidden="false" customHeight="false" outlineLevel="0" collapsed="false">
      <c r="A240" s="28" t="n">
        <v>45392</v>
      </c>
      <c r="B240" s="0" t="n">
        <v>22805.25</v>
      </c>
      <c r="C240" s="0" t="n">
        <v>251.46</v>
      </c>
      <c r="D240" s="29" t="n">
        <f aca="false">LN(B240)</f>
        <v>10.0347460515939</v>
      </c>
      <c r="E240" s="29" t="n">
        <f aca="false">LN(C240)</f>
        <v>5.52728393116504</v>
      </c>
      <c r="F240" s="0" t="n">
        <v>235</v>
      </c>
      <c r="G240" s="0" t="n">
        <v>15</v>
      </c>
      <c r="H240" s="29" t="n">
        <f aca="false">D240-E240</f>
        <v>4.5074621204289</v>
      </c>
      <c r="I240" s="29" t="n">
        <f aca="false">D240-D239</f>
        <v>0.00314456690873932</v>
      </c>
      <c r="J240" s="29" t="n">
        <f aca="false">E240-E239</f>
        <v>0.00270787040264331</v>
      </c>
      <c r="K240" s="0" t="n">
        <v>0</v>
      </c>
      <c r="L240" s="0" t="n">
        <v>0</v>
      </c>
      <c r="M240" s="29" t="n">
        <f aca="false">IF(L240=1,J240-Carry!$B$9/Inputs!$B$16,I240)</f>
        <v>0.00314456690873932</v>
      </c>
      <c r="N240" s="0" t="n">
        <v>0.065</v>
      </c>
      <c r="O240" s="0" t="n">
        <v>0.000125</v>
      </c>
      <c r="P240" s="29" t="n">
        <f aca="false">D240-('2 Hedge ratio'!$B$6+'2 Hedge ratio'!$B$5*E240)</f>
        <v>0.00923325495104521</v>
      </c>
      <c r="Q240" s="29" t="n">
        <f aca="false">D240-('5 Re-specification'!$B$7+'5 Re-specification'!$B$5*E240+'5 Re-specification'!$B$6*F240)</f>
        <v>0.00356992330426742</v>
      </c>
      <c r="R240" s="30" t="n">
        <f aca="false">MIN(F240,Inputs!$B$9)</f>
        <v>235</v>
      </c>
      <c r="S240" s="29" t="n">
        <f aca="true">IF(AND(F240&gt;=1,R240&gt;=Inputs!$B$10),INDEX(LINEST(OFFSET(D240,-R240,0,R240,1),OFFSET(E240,-R240,0,R240,2)),1,1),"")</f>
        <v>-7.22867904556115E-005</v>
      </c>
      <c r="T240" s="29" t="n">
        <f aca="true">IF(AND(F240&gt;=1,R240&gt;=Inputs!$B$10),INDEX(LINEST(OFFSET(D240,-R240,0,R240,1),OFFSET(E240,-R240,0,R240,2)),1,2),"")</f>
        <v>1.03335278990353</v>
      </c>
      <c r="U240" s="29" t="n">
        <f aca="true">IF(AND(F240&gt;=1,R240&gt;=Inputs!$B$10),INDEX(LINEST(OFFSET(D240,-R240,0,R240,1),OFFSET(E240,-R240,0,R240,2)),1,3),"")</f>
        <v>4.33802415302194</v>
      </c>
      <c r="V240" s="29" t="n">
        <f aca="true">IF(AND(F240&gt;=1,R240&gt;=Inputs!$B$10),SQRT(SUMPRODUCT((OFFSET(D240,-R240,0,R240,1)-U240-T240*OFFSET(E240,-R240,0,R240,1)-S240*OFFSET(F240,-R240,0,R240,1))^2)/(R240-3)),"")</f>
        <v>0.00261588957939497</v>
      </c>
      <c r="W240" s="31" t="n">
        <f aca="false">IF(AND(F240&gt;=1,R240&gt;=Inputs!$B$10),(D240-U240-T240*E240-S240*F240)/V240,"")</f>
        <v>0.793238173002172</v>
      </c>
      <c r="X240" s="30" t="n">
        <f aca="false">IF(AB239&lt;&gt;0,AC239+1,0)</f>
        <v>7</v>
      </c>
      <c r="Y240" s="30" t="n">
        <f aca="false">IF(W240="",0,IF(AND(AB239&lt;&gt;0,OR(ABS(W240)&gt;Inputs!$B$7,X240&gt;=Inputs!$B$8,ABS(W240)&lt;Inputs!$B$6)),1,0))</f>
        <v>0</v>
      </c>
      <c r="Z240" s="30" t="n">
        <f aca="false">IF(Y240=1,0,AB239)</f>
        <v>-1</v>
      </c>
      <c r="AA240" s="30" t="n">
        <f aca="false">IF(W240="",0,IF(AND(Z240=0,ABS(W240)&gt;Inputs!$B$5,ABS(W240)&lt;=Inputs!$B$7),1,0))</f>
        <v>0</v>
      </c>
      <c r="AB240" s="30" t="n">
        <f aca="false">IF(W240="",0,IF(AA240=1,-SIGN(W240),Z240))</f>
        <v>-1</v>
      </c>
      <c r="AC240" s="30" t="n">
        <f aca="false">IF(W240="",0,IF(AA240=1,0,IF(Y240=1,0,X240)))</f>
        <v>7</v>
      </c>
      <c r="AD240" s="29" t="n">
        <f aca="false">IF(AB240=0,0,IF(AB239=AB240,AD239,T240))</f>
        <v>1.03240511382569</v>
      </c>
      <c r="AE240" s="30" t="n">
        <f aca="false">AB240-AB239</f>
        <v>0</v>
      </c>
      <c r="AF240" s="30" t="n">
        <f aca="false">-AD240*AB240</f>
        <v>1.03240511382569</v>
      </c>
      <c r="AG240" s="30" t="n">
        <f aca="false">AF240-AF239</f>
        <v>0</v>
      </c>
      <c r="AH240" s="30" t="n">
        <f aca="false">MAX(AE240,0)*(Inputs!$B$17+Inputs!$B$18+Inputs!$B$19)+MAX(-AE240,0)*(O240+Inputs!$B$18+Inputs!$B$19)+IF(AND(K240=1,AB240&lt;&gt;0),(Inputs!$B$17+Inputs!$B$18+Inputs!$B$19)+(O240+Inputs!$B$18+Inputs!$B$19),0)+MAX(AG240,0)*(Inputs!$B$20+Inputs!$B$22+Inputs!$B$23)+MAX(-AG240,0)*(Inputs!$B$21+Inputs!$B$22+Inputs!$B$23)</f>
        <v>0</v>
      </c>
      <c r="AI240" s="30" t="n">
        <f aca="false">AB239*(M240-AD239*J240)+AB239*AD239*N240/Inputs!$B$16-AH240</f>
        <v>-0.000615242627309132</v>
      </c>
      <c r="AJ240" s="30" t="n">
        <f aca="false">MAX(AE240,0)*(Inputs!$B$17+Inputs!$B$24+Inputs!$B$25)+MAX(-AE240,0)*(O240+Inputs!$B$24+Inputs!$B$25)+IF(AND(K240=1,AB240&lt;&gt;0),(Inputs!$B$17+Inputs!$B$24+Inputs!$B$25)+(O240+Inputs!$B$24+Inputs!$B$25),0)+MAX(AG240,0)*(Inputs!$B$20+Inputs!$B$26+Inputs!$B$27)+MAX(-AG240,0)*(Inputs!$B$21+Inputs!$B$26+Inputs!$B$27)</f>
        <v>0</v>
      </c>
      <c r="AK240" s="30" t="n">
        <f aca="false">AB239*(M240-AD239*J240)+AB239*AD239*(N240+Inputs!$B$14)/Inputs!$B$16-AJ240</f>
        <v>-0.000645968969982515</v>
      </c>
      <c r="AL240" s="30" t="n">
        <f aca="false">IF(AP239&lt;&gt;0,AQ239+1,0)</f>
        <v>7</v>
      </c>
      <c r="AM240" s="30" t="n">
        <f aca="false">IF(W240="",0,IF(AND(AP239&lt;&gt;0,OR(ABS(W240)&gt;Inputs!$B$7,AL240&gt;=Inputs!$B$8,ABS(W240)&lt;Inputs!$B$6)),1,0))</f>
        <v>0</v>
      </c>
      <c r="AN240" s="30" t="n">
        <f aca="false">IF(AM240=1,0,AP239)</f>
        <v>-1</v>
      </c>
      <c r="AO240" s="30" t="n">
        <f aca="false">IF(W240="",0,IF(AND(AN240=0,ABS(W240)&gt;Inputs!$B$5,ABS(W240)&lt;=Inputs!$B$7,W240&gt;0),1,0))</f>
        <v>0</v>
      </c>
      <c r="AP240" s="30" t="n">
        <f aca="false">IF(W240="",0,IF(AO240=1,-SIGN(W240),AN240))</f>
        <v>-1</v>
      </c>
      <c r="AQ240" s="30" t="n">
        <f aca="false">IF(W240="",0,IF(AO240=1,0,IF(AM240=1,0,AL240)))</f>
        <v>7</v>
      </c>
      <c r="AR240" s="29" t="n">
        <f aca="false">IF(AP240=0,0,IF(AP239=AP240,AR239,T240))</f>
        <v>1.03240511382569</v>
      </c>
      <c r="AS240" s="30" t="n">
        <f aca="false">AP240-AP239</f>
        <v>0</v>
      </c>
      <c r="AT240" s="30" t="n">
        <f aca="false">-AR240*AP240</f>
        <v>1.03240511382569</v>
      </c>
      <c r="AU240" s="30" t="n">
        <f aca="false">AT240-AT239</f>
        <v>0</v>
      </c>
      <c r="AV240" s="30" t="n">
        <f aca="false">MAX(AS240,0)*(Inputs!$B$17+Inputs!$B$18+Inputs!$B$19)+MAX(-AS240,0)*(O240+Inputs!$B$18+Inputs!$B$19)+IF(AND(K240=1,AP240&lt;&gt;0),(Inputs!$B$17+Inputs!$B$18+Inputs!$B$19)+(O240+Inputs!$B$18+Inputs!$B$19),0)+MAX(AU240,0)*(Inputs!$B$20+Inputs!$B$22+Inputs!$B$23)+MAX(-AU240,0)*(Inputs!$B$21+Inputs!$B$22+Inputs!$B$23)</f>
        <v>0</v>
      </c>
      <c r="AW240" s="30" t="n">
        <f aca="false">AP239*(M240-AR239*J240)+AP239*AR239*N240/Inputs!$B$16-AV240</f>
        <v>-0.000615242627309132</v>
      </c>
      <c r="AX240" s="30" t="n">
        <f aca="false">AW240-IF(AP239&lt;&gt;0,0.75*AR239*(Inputs!$B$13-N240)/Inputs!$B$16,0)</f>
        <v>-0.000845690197359509</v>
      </c>
      <c r="AY240" s="30" t="n">
        <f aca="false">MAX(AS240,0)*(Inputs!$B$17+Inputs!$B$18+Inputs!$B$19)+MAX(-AS240,0)*(O240+Inputs!$B$18+Inputs!$B$19)+IF(AND(K240=1,AP240&lt;&gt;0),(Inputs!$B$17+Inputs!$B$18+Inputs!$B$19)+(O240+Inputs!$B$18+Inputs!$B$19),0)</f>
        <v>0</v>
      </c>
      <c r="AZ240" s="30" t="n">
        <f aca="false">AP239*M240-AY240</f>
        <v>-0.00314456690873932</v>
      </c>
      <c r="BA240" s="32" t="n">
        <f aca="false">BA239+AI240</f>
        <v>-0.00623623417167124</v>
      </c>
      <c r="BB240" s="30" t="n">
        <f aca="false">MAX(BB239,BA240)</f>
        <v>0</v>
      </c>
      <c r="BC240" s="32" t="n">
        <f aca="false">BA240-BB240</f>
        <v>-0.00623623417167124</v>
      </c>
      <c r="BD240" s="30" t="n">
        <f aca="false">A241-A240</f>
        <v>2</v>
      </c>
    </row>
    <row r="241" customFormat="false" ht="15" hidden="false" customHeight="false" outlineLevel="0" collapsed="false">
      <c r="A241" s="28" t="n">
        <v>45394</v>
      </c>
      <c r="B241" s="0" t="n">
        <v>22609.75</v>
      </c>
      <c r="C241" s="0" t="n">
        <v>250</v>
      </c>
      <c r="D241" s="29" t="n">
        <f aca="false">LN(B241)</f>
        <v>10.0261365081565</v>
      </c>
      <c r="E241" s="29" t="n">
        <f aca="false">LN(C241)</f>
        <v>5.52146091786225</v>
      </c>
      <c r="F241" s="0" t="n">
        <v>236</v>
      </c>
      <c r="G241" s="0" t="n">
        <v>13</v>
      </c>
      <c r="H241" s="29" t="n">
        <f aca="false">D241-E241</f>
        <v>4.50467559029424</v>
      </c>
      <c r="I241" s="29" t="n">
        <f aca="false">D241-D240</f>
        <v>-0.00860954343744957</v>
      </c>
      <c r="J241" s="29" t="n">
        <f aca="false">E241-E240</f>
        <v>-0.00582301330278945</v>
      </c>
      <c r="K241" s="0" t="n">
        <v>0</v>
      </c>
      <c r="L241" s="0" t="n">
        <v>0</v>
      </c>
      <c r="M241" s="29" t="n">
        <f aca="false">IF(L241=1,J241-Carry!$B$9/Inputs!$B$16,I241)</f>
        <v>-0.00860954343744957</v>
      </c>
      <c r="N241" s="0" t="n">
        <v>0.065</v>
      </c>
      <c r="O241" s="0" t="n">
        <v>0.000125</v>
      </c>
      <c r="P241" s="29" t="n">
        <f aca="false">D241-('2 Hedge ratio'!$B$6+'2 Hedge ratio'!$B$5*E241)</f>
        <v>0.0059583298197321</v>
      </c>
      <c r="Q241" s="29" t="n">
        <f aca="false">D241-('5 Re-specification'!$B$7+'5 Re-specification'!$B$5*E241+'5 Re-specification'!$B$6*F241)</f>
        <v>0.00081067584576644</v>
      </c>
      <c r="R241" s="30" t="n">
        <f aca="false">MIN(F241,Inputs!$B$9)</f>
        <v>236</v>
      </c>
      <c r="S241" s="29" t="n">
        <f aca="true">IF(AND(F241&gt;=1,R241&gt;=Inputs!$B$10),INDEX(LINEST(OFFSET(D241,-R241,0,R241,1),OFFSET(E241,-R241,0,R241,2)),1,1),"")</f>
        <v>-7.22330376990644E-005</v>
      </c>
      <c r="T241" s="29" t="n">
        <f aca="true">IF(AND(F241&gt;=1,R241&gt;=Inputs!$B$10),INDEX(LINEST(OFFSET(D241,-R241,0,R241,1),OFFSET(E241,-R241,0,R241,2)),1,2),"")</f>
        <v>1.03353009221104</v>
      </c>
      <c r="U241" s="29" t="n">
        <f aca="true">IF(AND(F241&gt;=1,R241&gt;=Inputs!$B$10),INDEX(LINEST(OFFSET(D241,-R241,0,R241,1),OFFSET(E241,-R241,0,R241,2)),1,3),"")</f>
        <v>4.33706819073482</v>
      </c>
      <c r="V241" s="29" t="n">
        <f aca="true">IF(AND(F241&gt;=1,R241&gt;=Inputs!$B$10),SQRT(SUMPRODUCT((OFFSET(D241,-R241,0,R241,1)-U241-T241*OFFSET(E241,-R241,0,R241,1)-S241*OFFSET(F241,-R241,0,R241,1))^2)/(R241-3)),"")</f>
        <v>0.0026137449456599</v>
      </c>
      <c r="W241" s="31" t="n">
        <f aca="false">IF(AND(F241&gt;=1,R241&gt;=Inputs!$B$10),(D241-U241-T241*E241-S241*F241)/V241,"")</f>
        <v>-0.1839113108483</v>
      </c>
      <c r="X241" s="30" t="n">
        <f aca="false">IF(AB240&lt;&gt;0,AC240+1,0)</f>
        <v>8</v>
      </c>
      <c r="Y241" s="30" t="n">
        <f aca="false">IF(W241="",0,IF(AND(AB240&lt;&gt;0,OR(ABS(W241)&gt;Inputs!$B$7,X241&gt;=Inputs!$B$8,ABS(W241)&lt;Inputs!$B$6)),1,0))</f>
        <v>1</v>
      </c>
      <c r="Z241" s="30" t="n">
        <f aca="false">IF(Y241=1,0,AB240)</f>
        <v>0</v>
      </c>
      <c r="AA241" s="30" t="n">
        <f aca="false">IF(W241="",0,IF(AND(Z241=0,ABS(W241)&gt;Inputs!$B$5,ABS(W241)&lt;=Inputs!$B$7),1,0))</f>
        <v>0</v>
      </c>
      <c r="AB241" s="30" t="n">
        <f aca="false">IF(W241="",0,IF(AA241=1,-SIGN(W241),Z241))</f>
        <v>0</v>
      </c>
      <c r="AC241" s="30" t="n">
        <f aca="false">IF(W241="",0,IF(AA241=1,0,IF(Y241=1,0,X241)))</f>
        <v>0</v>
      </c>
      <c r="AD241" s="30" t="n">
        <f aca="false">IF(AB241=0,0,IF(AB240=AB241,AD240,T241))</f>
        <v>0</v>
      </c>
      <c r="AE241" s="30" t="n">
        <f aca="false">AB241-AB240</f>
        <v>1</v>
      </c>
      <c r="AF241" s="30" t="n">
        <f aca="false">-AD241*AB241</f>
        <v>-0</v>
      </c>
      <c r="AG241" s="30" t="n">
        <f aca="false">AF241-AF240</f>
        <v>-1.03240511382569</v>
      </c>
      <c r="AH241" s="30" t="n">
        <f aca="false">MAX(AE241,0)*(Inputs!$B$17+Inputs!$B$18+Inputs!$B$19)+MAX(-AE241,0)*(O241+Inputs!$B$18+Inputs!$B$19)+IF(AND(K241=1,AB241&lt;&gt;0),(Inputs!$B$17+Inputs!$B$18+Inputs!$B$19)+(O241+Inputs!$B$18+Inputs!$B$19),0)+MAX(AG241,0)*(Inputs!$B$20+Inputs!$B$22+Inputs!$B$23)+MAX(-AG241,0)*(Inputs!$B$21+Inputs!$B$22+Inputs!$B$23)</f>
        <v>0.000371805073903395</v>
      </c>
      <c r="AI241" s="30" t="n">
        <f aca="false">AB240*(M241-AD240*J241)+AB240*AD240*N241/Inputs!$B$16-AH241</f>
        <v>0.00195973468203534</v>
      </c>
      <c r="AJ241" s="30" t="n">
        <f aca="false">MAX(AE241,0)*(Inputs!$B$17+Inputs!$B$24+Inputs!$B$25)+MAX(-AE241,0)*(O241+Inputs!$B$24+Inputs!$B$25)+IF(AND(K241=1,AB241&lt;&gt;0),(Inputs!$B$17+Inputs!$B$24+Inputs!$B$25)+(O241+Inputs!$B$24+Inputs!$B$25),0)+MAX(AG241,0)*(Inputs!$B$20+Inputs!$B$26+Inputs!$B$27)+MAX(-AG241,0)*(Inputs!$B$21+Inputs!$B$26+Inputs!$B$27)</f>
        <v>0.000208726588089954</v>
      </c>
      <c r="AK241" s="30" t="n">
        <f aca="false">AB240*(M241-AD240*J241)+AB240*AD240*(N241+Inputs!$B$14)/Inputs!$B$16-AJ241</f>
        <v>0.0020920868251754</v>
      </c>
      <c r="AL241" s="30" t="n">
        <f aca="false">IF(AP240&lt;&gt;0,AQ240+1,0)</f>
        <v>8</v>
      </c>
      <c r="AM241" s="30" t="n">
        <f aca="false">IF(W241="",0,IF(AND(AP240&lt;&gt;0,OR(ABS(W241)&gt;Inputs!$B$7,AL241&gt;=Inputs!$B$8,ABS(W241)&lt;Inputs!$B$6)),1,0))</f>
        <v>1</v>
      </c>
      <c r="AN241" s="30" t="n">
        <f aca="false">IF(AM241=1,0,AP240)</f>
        <v>0</v>
      </c>
      <c r="AO241" s="30" t="n">
        <f aca="false">IF(W241="",0,IF(AND(AN241=0,ABS(W241)&gt;Inputs!$B$5,ABS(W241)&lt;=Inputs!$B$7,W241&gt;0),1,0))</f>
        <v>0</v>
      </c>
      <c r="AP241" s="30" t="n">
        <f aca="false">IF(W241="",0,IF(AO241=1,-SIGN(W241),AN241))</f>
        <v>0</v>
      </c>
      <c r="AQ241" s="30" t="n">
        <f aca="false">IF(W241="",0,IF(AO241=1,0,IF(AM241=1,0,AL241)))</f>
        <v>0</v>
      </c>
      <c r="AR241" s="30" t="n">
        <f aca="false">IF(AP241=0,0,IF(AP240=AP241,AR240,T241))</f>
        <v>0</v>
      </c>
      <c r="AS241" s="30" t="n">
        <f aca="false">AP241-AP240</f>
        <v>1</v>
      </c>
      <c r="AT241" s="30" t="n">
        <f aca="false">-AR241*AP241</f>
        <v>-0</v>
      </c>
      <c r="AU241" s="30" t="n">
        <f aca="false">AT241-AT240</f>
        <v>-1.03240511382569</v>
      </c>
      <c r="AV241" s="30" t="n">
        <f aca="false">MAX(AS241,0)*(Inputs!$B$17+Inputs!$B$18+Inputs!$B$19)+MAX(-AS241,0)*(O241+Inputs!$B$18+Inputs!$B$19)+IF(AND(K241=1,AP241&lt;&gt;0),(Inputs!$B$17+Inputs!$B$18+Inputs!$B$19)+(O241+Inputs!$B$18+Inputs!$B$19),0)+MAX(AU241,0)*(Inputs!$B$20+Inputs!$B$22+Inputs!$B$23)+MAX(-AU241,0)*(Inputs!$B$21+Inputs!$B$22+Inputs!$B$23)</f>
        <v>0.000371805073903395</v>
      </c>
      <c r="AW241" s="30" t="n">
        <f aca="false">AP240*(M241-AR240*J241)+AP240*AR240*N241/Inputs!$B$16-AV241</f>
        <v>0.00195973468203534</v>
      </c>
      <c r="AX241" s="30" t="n">
        <f aca="false">AW241-IF(AP240&lt;&gt;0,0.75*AR240*(Inputs!$B$13-N241)/Inputs!$B$16,0)</f>
        <v>0.00172928711198497</v>
      </c>
      <c r="AY241" s="30" t="n">
        <f aca="false">MAX(AS241,0)*(Inputs!$B$17+Inputs!$B$18+Inputs!$B$19)+MAX(-AS241,0)*(O241+Inputs!$B$18+Inputs!$B$19)+IF(AND(K241=1,AP241&lt;&gt;0),(Inputs!$B$17+Inputs!$B$18+Inputs!$B$19)+(O241+Inputs!$B$18+Inputs!$B$19),0)</f>
        <v>0.000155</v>
      </c>
      <c r="AZ241" s="30" t="n">
        <f aca="false">AP240*M241-AY241</f>
        <v>0.00845454343744957</v>
      </c>
      <c r="BA241" s="32" t="n">
        <f aca="false">BA240+AI241</f>
        <v>-0.0042764994896359</v>
      </c>
      <c r="BB241" s="30" t="n">
        <f aca="false">MAX(BB240,BA241)</f>
        <v>0</v>
      </c>
      <c r="BC241" s="32" t="n">
        <f aca="false">BA241-BB241</f>
        <v>-0.0042764994896359</v>
      </c>
      <c r="BD241" s="30" t="n">
        <f aca="false">A242-A241</f>
        <v>3</v>
      </c>
    </row>
    <row r="242" customFormat="false" ht="15" hidden="false" customHeight="false" outlineLevel="0" collapsed="false">
      <c r="A242" s="28" t="n">
        <v>45397</v>
      </c>
      <c r="B242" s="0" t="n">
        <v>22357.35</v>
      </c>
      <c r="C242" s="0" t="n">
        <v>247.1</v>
      </c>
      <c r="D242" s="29" t="n">
        <f aca="false">LN(B242)</f>
        <v>10.0149104050398</v>
      </c>
      <c r="E242" s="29" t="n">
        <f aca="false">LN(C242)</f>
        <v>5.50979311299456</v>
      </c>
      <c r="F242" s="0" t="n">
        <v>237</v>
      </c>
      <c r="G242" s="0" t="n">
        <v>10</v>
      </c>
      <c r="H242" s="29" t="n">
        <f aca="false">D242-E242</f>
        <v>4.50511729204527</v>
      </c>
      <c r="I242" s="29" t="n">
        <f aca="false">D242-D241</f>
        <v>-0.0112261031166554</v>
      </c>
      <c r="J242" s="29" t="n">
        <f aca="false">E242-E241</f>
        <v>-0.0116678048676819</v>
      </c>
      <c r="K242" s="0" t="n">
        <v>0</v>
      </c>
      <c r="L242" s="0" t="n">
        <v>0</v>
      </c>
      <c r="M242" s="29" t="n">
        <f aca="false">IF(L242=1,J242-Carry!$B$9/Inputs!$B$16,I242)</f>
        <v>-0.0112261031166554</v>
      </c>
      <c r="N242" s="0" t="n">
        <v>0.065</v>
      </c>
      <c r="O242" s="0" t="n">
        <v>0.000125</v>
      </c>
      <c r="P242" s="29" t="n">
        <f aca="false">D242-('2 Hedge ratio'!$B$6+'2 Hedge ratio'!$B$5*E242)</f>
        <v>0.0054214149640277</v>
      </c>
      <c r="Q242" s="29" t="n">
        <f aca="false">D242-('5 Re-specification'!$B$7+'5 Re-specification'!$B$5*E242+'5 Re-specification'!$B$6*F242)</f>
        <v>0.00126194763199194</v>
      </c>
      <c r="R242" s="30" t="n">
        <f aca="false">MIN(F242,Inputs!$B$9)</f>
        <v>237</v>
      </c>
      <c r="S242" s="29" t="n">
        <f aca="true">IF(AND(F242&gt;=1,R242&gt;=Inputs!$B$10),INDEX(LINEST(OFFSET(D242,-R242,0,R242,1),OFFSET(E242,-R242,0,R242,2)),1,1),"")</f>
        <v>-7.22725299531716E-005</v>
      </c>
      <c r="T242" s="29" t="n">
        <f aca="true">IF(AND(F242&gt;=1,R242&gt;=Inputs!$B$10),INDEX(LINEST(OFFSET(D242,-R242,0,R242,1),OFFSET(E242,-R242,0,R242,2)),1,2),"")</f>
        <v>1.03351787260265</v>
      </c>
      <c r="U242" s="29" t="n">
        <f aca="true">IF(AND(F242&gt;=1,R242&gt;=Inputs!$B$10),INDEX(LINEST(OFFSET(D242,-R242,0,R242,1),OFFSET(E242,-R242,0,R242,2)),1,3),"")</f>
        <v>4.33713688377475</v>
      </c>
      <c r="V242" s="29" t="n">
        <f aca="true">IF(AND(F242&gt;=1,R242&gt;=Inputs!$B$10),SQRT(SUMPRODUCT((OFFSET(D242,-R242,0,R242,1)-U242-T242*OFFSET(E242,-R242,0,R242,1)-S242*OFFSET(F242,-R242,0,R242,1))^2)/(R242-3)),"")</f>
        <v>0.00260834015145071</v>
      </c>
      <c r="W242" s="31" t="n">
        <f aca="false">IF(AND(F242&gt;=1,R242&gt;=Inputs!$B$10),(D242-U242-T242*E242-S242*F242)/V242,"")</f>
        <v>0.165796719763158</v>
      </c>
      <c r="X242" s="30" t="n">
        <f aca="false">IF(AB241&lt;&gt;0,AC241+1,0)</f>
        <v>0</v>
      </c>
      <c r="Y242" s="30" t="n">
        <f aca="false">IF(W242="",0,IF(AND(AB241&lt;&gt;0,OR(ABS(W242)&gt;Inputs!$B$7,X242&gt;=Inputs!$B$8,ABS(W242)&lt;Inputs!$B$6)),1,0))</f>
        <v>0</v>
      </c>
      <c r="Z242" s="30" t="n">
        <f aca="false">IF(Y242=1,0,AB241)</f>
        <v>0</v>
      </c>
      <c r="AA242" s="30" t="n">
        <f aca="false">IF(W242="",0,IF(AND(Z242=0,ABS(W242)&gt;Inputs!$B$5,ABS(W242)&lt;=Inputs!$B$7),1,0))</f>
        <v>0</v>
      </c>
      <c r="AB242" s="30" t="n">
        <f aca="false">IF(W242="",0,IF(AA242=1,-SIGN(W242),Z242))</f>
        <v>0</v>
      </c>
      <c r="AC242" s="30" t="n">
        <f aca="false">IF(W242="",0,IF(AA242=1,0,IF(Y242=1,0,X242)))</f>
        <v>0</v>
      </c>
      <c r="AD242" s="30" t="n">
        <f aca="false">IF(AB242=0,0,IF(AB241=AB242,AD241,T242))</f>
        <v>0</v>
      </c>
      <c r="AE242" s="30" t="n">
        <f aca="false">AB242-AB241</f>
        <v>0</v>
      </c>
      <c r="AF242" s="30" t="n">
        <f aca="false">-AD242*AB242</f>
        <v>-0</v>
      </c>
      <c r="AG242" s="30" t="n">
        <f aca="false">AF242-AF241</f>
        <v>0</v>
      </c>
      <c r="AH242" s="30" t="n">
        <f aca="false">MAX(AE242,0)*(Inputs!$B$17+Inputs!$B$18+Inputs!$B$19)+MAX(-AE242,0)*(O242+Inputs!$B$18+Inputs!$B$19)+IF(AND(K242=1,AB242&lt;&gt;0),(Inputs!$B$17+Inputs!$B$18+Inputs!$B$19)+(O242+Inputs!$B$18+Inputs!$B$19),0)+MAX(AG242,0)*(Inputs!$B$20+Inputs!$B$22+Inputs!$B$23)+MAX(-AG242,0)*(Inputs!$B$21+Inputs!$B$22+Inputs!$B$23)</f>
        <v>0</v>
      </c>
      <c r="AI242" s="30" t="n">
        <f aca="false">AB241*(M242-AD241*J242)+AB241*AD241*N242/Inputs!$B$16-AH242</f>
        <v>0</v>
      </c>
      <c r="AJ242" s="30" t="n">
        <f aca="false">MAX(AE242,0)*(Inputs!$B$17+Inputs!$B$24+Inputs!$B$25)+MAX(-AE242,0)*(O242+Inputs!$B$24+Inputs!$B$25)+IF(AND(K242=1,AB242&lt;&gt;0),(Inputs!$B$17+Inputs!$B$24+Inputs!$B$25)+(O242+Inputs!$B$24+Inputs!$B$25),0)+MAX(AG242,0)*(Inputs!$B$20+Inputs!$B$26+Inputs!$B$27)+MAX(-AG242,0)*(Inputs!$B$21+Inputs!$B$26+Inputs!$B$27)</f>
        <v>0</v>
      </c>
      <c r="AK242" s="30" t="n">
        <f aca="false">AB241*(M242-AD241*J242)+AB241*AD241*(N242+Inputs!$B$14)/Inputs!$B$16-AJ242</f>
        <v>0</v>
      </c>
      <c r="AL242" s="30" t="n">
        <f aca="false">IF(AP241&lt;&gt;0,AQ241+1,0)</f>
        <v>0</v>
      </c>
      <c r="AM242" s="30" t="n">
        <f aca="false">IF(W242="",0,IF(AND(AP241&lt;&gt;0,OR(ABS(W242)&gt;Inputs!$B$7,AL242&gt;=Inputs!$B$8,ABS(W242)&lt;Inputs!$B$6)),1,0))</f>
        <v>0</v>
      </c>
      <c r="AN242" s="30" t="n">
        <f aca="false">IF(AM242=1,0,AP241)</f>
        <v>0</v>
      </c>
      <c r="AO242" s="30" t="n">
        <f aca="false">IF(W242="",0,IF(AND(AN242=0,ABS(W242)&gt;Inputs!$B$5,ABS(W242)&lt;=Inputs!$B$7,W242&gt;0),1,0))</f>
        <v>0</v>
      </c>
      <c r="AP242" s="30" t="n">
        <f aca="false">IF(W242="",0,IF(AO242=1,-SIGN(W242),AN242))</f>
        <v>0</v>
      </c>
      <c r="AQ242" s="30" t="n">
        <f aca="false">IF(W242="",0,IF(AO242=1,0,IF(AM242=1,0,AL242)))</f>
        <v>0</v>
      </c>
      <c r="AR242" s="30" t="n">
        <f aca="false">IF(AP242=0,0,IF(AP241=AP242,AR241,T242))</f>
        <v>0</v>
      </c>
      <c r="AS242" s="30" t="n">
        <f aca="false">AP242-AP241</f>
        <v>0</v>
      </c>
      <c r="AT242" s="30" t="n">
        <f aca="false">-AR242*AP242</f>
        <v>-0</v>
      </c>
      <c r="AU242" s="30" t="n">
        <f aca="false">AT242-AT241</f>
        <v>0</v>
      </c>
      <c r="AV242" s="30" t="n">
        <f aca="false">MAX(AS242,0)*(Inputs!$B$17+Inputs!$B$18+Inputs!$B$19)+MAX(-AS242,0)*(O242+Inputs!$B$18+Inputs!$B$19)+IF(AND(K242=1,AP242&lt;&gt;0),(Inputs!$B$17+Inputs!$B$18+Inputs!$B$19)+(O242+Inputs!$B$18+Inputs!$B$19),0)+MAX(AU242,0)*(Inputs!$B$20+Inputs!$B$22+Inputs!$B$23)+MAX(-AU242,0)*(Inputs!$B$21+Inputs!$B$22+Inputs!$B$23)</f>
        <v>0</v>
      </c>
      <c r="AW242" s="30" t="n">
        <f aca="false">AP241*(M242-AR241*J242)+AP241*AR241*N242/Inputs!$B$16-AV242</f>
        <v>0</v>
      </c>
      <c r="AX242" s="30" t="n">
        <f aca="false">AW242-IF(AP241&lt;&gt;0,0.75*AR241*(Inputs!$B$13-N242)/Inputs!$B$16,0)</f>
        <v>0</v>
      </c>
      <c r="AY242" s="30" t="n">
        <f aca="false">MAX(AS242,0)*(Inputs!$B$17+Inputs!$B$18+Inputs!$B$19)+MAX(-AS242,0)*(O242+Inputs!$B$18+Inputs!$B$19)+IF(AND(K242=1,AP242&lt;&gt;0),(Inputs!$B$17+Inputs!$B$18+Inputs!$B$19)+(O242+Inputs!$B$18+Inputs!$B$19),0)</f>
        <v>0</v>
      </c>
      <c r="AZ242" s="30" t="n">
        <f aca="false">AP241*M242-AY242</f>
        <v>-0</v>
      </c>
      <c r="BA242" s="32" t="n">
        <f aca="false">BA241+AI242</f>
        <v>-0.0042764994896359</v>
      </c>
      <c r="BB242" s="30" t="n">
        <f aca="false">MAX(BB241,BA242)</f>
        <v>0</v>
      </c>
      <c r="BC242" s="32" t="n">
        <f aca="false">BA242-BB242</f>
        <v>-0.0042764994896359</v>
      </c>
      <c r="BD242" s="30" t="n">
        <f aca="false">A243-A242</f>
        <v>1</v>
      </c>
    </row>
    <row r="243" customFormat="false" ht="15" hidden="false" customHeight="false" outlineLevel="0" collapsed="false">
      <c r="A243" s="28" t="n">
        <v>45398</v>
      </c>
      <c r="B243" s="0" t="n">
        <v>22211</v>
      </c>
      <c r="C243" s="0" t="n">
        <v>246</v>
      </c>
      <c r="D243" s="29" t="n">
        <f aca="false">LN(B243)</f>
        <v>10.0083429406385</v>
      </c>
      <c r="E243" s="29" t="n">
        <f aca="false">LN(C243)</f>
        <v>5.50533153593236</v>
      </c>
      <c r="F243" s="0" t="n">
        <v>238</v>
      </c>
      <c r="G243" s="0" t="n">
        <v>9</v>
      </c>
      <c r="H243" s="29" t="n">
        <f aca="false">D243-E243</f>
        <v>4.50301140470615</v>
      </c>
      <c r="I243" s="29" t="n">
        <f aca="false">D243-D242</f>
        <v>-0.00656746440132139</v>
      </c>
      <c r="J243" s="29" t="n">
        <f aca="false">E243-E242</f>
        <v>-0.00446157706220163</v>
      </c>
      <c r="K243" s="0" t="n">
        <v>0</v>
      </c>
      <c r="L243" s="0" t="n">
        <v>0</v>
      </c>
      <c r="M243" s="29" t="n">
        <f aca="false">IF(L243=1,J243-Carry!$B$9/Inputs!$B$16,I243)</f>
        <v>-0.00656746440132139</v>
      </c>
      <c r="N243" s="0" t="n">
        <v>0.065</v>
      </c>
      <c r="O243" s="0" t="n">
        <v>0.000125</v>
      </c>
      <c r="P243" s="29" t="n">
        <f aca="false">D243-('2 Hedge ratio'!$B$6+'2 Hedge ratio'!$B$5*E243)</f>
        <v>0.00294132069783082</v>
      </c>
      <c r="Q243" s="29" t="n">
        <f aca="false">D243-('5 Re-specification'!$B$7+'5 Re-specification'!$B$5*E243+'5 Re-specification'!$B$6*F243)</f>
        <v>-0.000812531198413069</v>
      </c>
      <c r="R243" s="30" t="n">
        <f aca="false">MIN(F243,Inputs!$B$9)</f>
        <v>238</v>
      </c>
      <c r="S243" s="29" t="n">
        <f aca="true">IF(AND(F243&gt;=1,R243&gt;=Inputs!$B$10),INDEX(LINEST(OFFSET(D243,-R243,0,R243,1),OFFSET(E243,-R243,0,R243,2)),1,1),"")</f>
        <v>-7.21923177997455E-005</v>
      </c>
      <c r="T243" s="29" t="n">
        <f aca="true">IF(AND(F243&gt;=1,R243&gt;=Inputs!$B$10),INDEX(LINEST(OFFSET(D243,-R243,0,R243,1),OFFSET(E243,-R243,0,R243,2)),1,2),"")</f>
        <v>1.03348151548253</v>
      </c>
      <c r="U243" s="29" t="n">
        <f aca="true">IF(AND(F243&gt;=1,R243&gt;=Inputs!$B$10),INDEX(LINEST(OFFSET(D243,-R243,0,R243,1),OFFSET(E243,-R243,0,R243,2)),1,3),"")</f>
        <v>4.33732576406963</v>
      </c>
      <c r="V243" s="29" t="n">
        <f aca="true">IF(AND(F243&gt;=1,R243&gt;=Inputs!$B$10),SQRT(SUMPRODUCT((OFFSET(D243,-R243,0,R243,1)-U243-T243*OFFSET(E243,-R243,0,R243,1)-S243*OFFSET(F243,-R243,0,R243,1))^2)/(R243-3)),"")</f>
        <v>0.00260293477225221</v>
      </c>
      <c r="W243" s="31" t="n">
        <f aca="false">IF(AND(F243&gt;=1,R243&gt;=Inputs!$B$10),(D243-U243-T243*E243-S243*F243)/V243,"")</f>
        <v>-0.560686652426312</v>
      </c>
      <c r="X243" s="30" t="n">
        <f aca="false">IF(AB242&lt;&gt;0,AC242+1,0)</f>
        <v>0</v>
      </c>
      <c r="Y243" s="30" t="n">
        <f aca="false">IF(W243="",0,IF(AND(AB242&lt;&gt;0,OR(ABS(W243)&gt;Inputs!$B$7,X243&gt;=Inputs!$B$8,ABS(W243)&lt;Inputs!$B$6)),1,0))</f>
        <v>0</v>
      </c>
      <c r="Z243" s="30" t="n">
        <f aca="false">IF(Y243=1,0,AB242)</f>
        <v>0</v>
      </c>
      <c r="AA243" s="30" t="n">
        <f aca="false">IF(W243="",0,IF(AND(Z243=0,ABS(W243)&gt;Inputs!$B$5,ABS(W243)&lt;=Inputs!$B$7),1,0))</f>
        <v>0</v>
      </c>
      <c r="AB243" s="30" t="n">
        <f aca="false">IF(W243="",0,IF(AA243=1,-SIGN(W243),Z243))</f>
        <v>0</v>
      </c>
      <c r="AC243" s="30" t="n">
        <f aca="false">IF(W243="",0,IF(AA243=1,0,IF(Y243=1,0,X243)))</f>
        <v>0</v>
      </c>
      <c r="AD243" s="30" t="n">
        <f aca="false">IF(AB243=0,0,IF(AB242=AB243,AD242,T243))</f>
        <v>0</v>
      </c>
      <c r="AE243" s="30" t="n">
        <f aca="false">AB243-AB242</f>
        <v>0</v>
      </c>
      <c r="AF243" s="30" t="n">
        <f aca="false">-AD243*AB243</f>
        <v>-0</v>
      </c>
      <c r="AG243" s="30" t="n">
        <f aca="false">AF243-AF242</f>
        <v>0</v>
      </c>
      <c r="AH243" s="30" t="n">
        <f aca="false">MAX(AE243,0)*(Inputs!$B$17+Inputs!$B$18+Inputs!$B$19)+MAX(-AE243,0)*(O243+Inputs!$B$18+Inputs!$B$19)+IF(AND(K243=1,AB243&lt;&gt;0),(Inputs!$B$17+Inputs!$B$18+Inputs!$B$19)+(O243+Inputs!$B$18+Inputs!$B$19),0)+MAX(AG243,0)*(Inputs!$B$20+Inputs!$B$22+Inputs!$B$23)+MAX(-AG243,0)*(Inputs!$B$21+Inputs!$B$22+Inputs!$B$23)</f>
        <v>0</v>
      </c>
      <c r="AI243" s="30" t="n">
        <f aca="false">AB242*(M243-AD242*J243)+AB242*AD242*N243/Inputs!$B$16-AH243</f>
        <v>0</v>
      </c>
      <c r="AJ243" s="30" t="n">
        <f aca="false">MAX(AE243,0)*(Inputs!$B$17+Inputs!$B$24+Inputs!$B$25)+MAX(-AE243,0)*(O243+Inputs!$B$24+Inputs!$B$25)+IF(AND(K243=1,AB243&lt;&gt;0),(Inputs!$B$17+Inputs!$B$24+Inputs!$B$25)+(O243+Inputs!$B$24+Inputs!$B$25),0)+MAX(AG243,0)*(Inputs!$B$20+Inputs!$B$26+Inputs!$B$27)+MAX(-AG243,0)*(Inputs!$B$21+Inputs!$B$26+Inputs!$B$27)</f>
        <v>0</v>
      </c>
      <c r="AK243" s="30" t="n">
        <f aca="false">AB242*(M243-AD242*J243)+AB242*AD242*(N243+Inputs!$B$14)/Inputs!$B$16-AJ243</f>
        <v>0</v>
      </c>
      <c r="AL243" s="30" t="n">
        <f aca="false">IF(AP242&lt;&gt;0,AQ242+1,0)</f>
        <v>0</v>
      </c>
      <c r="AM243" s="30" t="n">
        <f aca="false">IF(W243="",0,IF(AND(AP242&lt;&gt;0,OR(ABS(W243)&gt;Inputs!$B$7,AL243&gt;=Inputs!$B$8,ABS(W243)&lt;Inputs!$B$6)),1,0))</f>
        <v>0</v>
      </c>
      <c r="AN243" s="30" t="n">
        <f aca="false">IF(AM243=1,0,AP242)</f>
        <v>0</v>
      </c>
      <c r="AO243" s="30" t="n">
        <f aca="false">IF(W243="",0,IF(AND(AN243=0,ABS(W243)&gt;Inputs!$B$5,ABS(W243)&lt;=Inputs!$B$7,W243&gt;0),1,0))</f>
        <v>0</v>
      </c>
      <c r="AP243" s="30" t="n">
        <f aca="false">IF(W243="",0,IF(AO243=1,-SIGN(W243),AN243))</f>
        <v>0</v>
      </c>
      <c r="AQ243" s="30" t="n">
        <f aca="false">IF(W243="",0,IF(AO243=1,0,IF(AM243=1,0,AL243)))</f>
        <v>0</v>
      </c>
      <c r="AR243" s="30" t="n">
        <f aca="false">IF(AP243=0,0,IF(AP242=AP243,AR242,T243))</f>
        <v>0</v>
      </c>
      <c r="AS243" s="30" t="n">
        <f aca="false">AP243-AP242</f>
        <v>0</v>
      </c>
      <c r="AT243" s="30" t="n">
        <f aca="false">-AR243*AP243</f>
        <v>-0</v>
      </c>
      <c r="AU243" s="30" t="n">
        <f aca="false">AT243-AT242</f>
        <v>0</v>
      </c>
      <c r="AV243" s="30" t="n">
        <f aca="false">MAX(AS243,0)*(Inputs!$B$17+Inputs!$B$18+Inputs!$B$19)+MAX(-AS243,0)*(O243+Inputs!$B$18+Inputs!$B$19)+IF(AND(K243=1,AP243&lt;&gt;0),(Inputs!$B$17+Inputs!$B$18+Inputs!$B$19)+(O243+Inputs!$B$18+Inputs!$B$19),0)+MAX(AU243,0)*(Inputs!$B$20+Inputs!$B$22+Inputs!$B$23)+MAX(-AU243,0)*(Inputs!$B$21+Inputs!$B$22+Inputs!$B$23)</f>
        <v>0</v>
      </c>
      <c r="AW243" s="30" t="n">
        <f aca="false">AP242*(M243-AR242*J243)+AP242*AR242*N243/Inputs!$B$16-AV243</f>
        <v>0</v>
      </c>
      <c r="AX243" s="30" t="n">
        <f aca="false">AW243-IF(AP242&lt;&gt;0,0.75*AR242*(Inputs!$B$13-N243)/Inputs!$B$16,0)</f>
        <v>0</v>
      </c>
      <c r="AY243" s="30" t="n">
        <f aca="false">MAX(AS243,0)*(Inputs!$B$17+Inputs!$B$18+Inputs!$B$19)+MAX(-AS243,0)*(O243+Inputs!$B$18+Inputs!$B$19)+IF(AND(K243=1,AP243&lt;&gt;0),(Inputs!$B$17+Inputs!$B$18+Inputs!$B$19)+(O243+Inputs!$B$18+Inputs!$B$19),0)</f>
        <v>0</v>
      </c>
      <c r="AZ243" s="30" t="n">
        <f aca="false">AP242*M243-AY243</f>
        <v>-0</v>
      </c>
      <c r="BA243" s="32" t="n">
        <f aca="false">BA242+AI243</f>
        <v>-0.0042764994896359</v>
      </c>
      <c r="BB243" s="30" t="n">
        <f aca="false">MAX(BB242,BA243)</f>
        <v>0</v>
      </c>
      <c r="BC243" s="32" t="n">
        <f aca="false">BA243-BB243</f>
        <v>-0.0042764994896359</v>
      </c>
      <c r="BD243" s="30" t="n">
        <f aca="false">A244-A243</f>
        <v>2</v>
      </c>
    </row>
    <row r="244" customFormat="false" ht="15" hidden="false" customHeight="false" outlineLevel="0" collapsed="false">
      <c r="A244" s="28" t="n">
        <v>45400</v>
      </c>
      <c r="B244" s="0" t="n">
        <v>22080</v>
      </c>
      <c r="C244" s="0" t="n">
        <v>244.45</v>
      </c>
      <c r="D244" s="29" t="n">
        <f aca="false">LN(B244)</f>
        <v>10.002427500391</v>
      </c>
      <c r="E244" s="29" t="n">
        <f aca="false">LN(C244)</f>
        <v>5.49901078902466</v>
      </c>
      <c r="F244" s="0" t="n">
        <v>239</v>
      </c>
      <c r="G244" s="0" t="n">
        <v>7</v>
      </c>
      <c r="H244" s="29" t="n">
        <f aca="false">D244-E244</f>
        <v>4.50341671136638</v>
      </c>
      <c r="I244" s="29" t="n">
        <f aca="false">D244-D243</f>
        <v>-0.00591544024747748</v>
      </c>
      <c r="J244" s="29" t="n">
        <f aca="false">E244-E243</f>
        <v>-0.00632074690770779</v>
      </c>
      <c r="K244" s="0" t="n">
        <v>0</v>
      </c>
      <c r="L244" s="0" t="n">
        <v>0</v>
      </c>
      <c r="M244" s="29" t="n">
        <f aca="false">IF(L244=1,J244-Carry!$B$9/Inputs!$B$16,I244)</f>
        <v>-0.00591544024747748</v>
      </c>
      <c r="N244" s="0" t="n">
        <v>0.065</v>
      </c>
      <c r="O244" s="0" t="n">
        <v>0.000125</v>
      </c>
      <c r="P244" s="29" t="n">
        <f aca="false">D244-('2 Hedge ratio'!$B$6+'2 Hedge ratio'!$B$5*E244)</f>
        <v>0.00281648583093208</v>
      </c>
      <c r="Q244" s="29" t="n">
        <f aca="false">D244-('5 Re-specification'!$B$7+'5 Re-specification'!$B$5*E244+'5 Re-specification'!$B$6*F244)</f>
        <v>-0.00038145024372227</v>
      </c>
      <c r="R244" s="30" t="n">
        <f aca="false">MIN(F244,Inputs!$B$9)</f>
        <v>239</v>
      </c>
      <c r="S244" s="29" t="n">
        <f aca="true">IF(AND(F244&gt;=1,R244&gt;=Inputs!$B$10),INDEX(LINEST(OFFSET(D244,-R244,0,R244,1),OFFSET(E244,-R244,0,R244,2)),1,1),"")</f>
        <v>-7.25241064982874E-005</v>
      </c>
      <c r="T244" s="29" t="n">
        <f aca="true">IF(AND(F244&gt;=1,R244&gt;=Inputs!$B$10),INDEX(LINEST(OFFSET(D244,-R244,0,R244,1),OFFSET(E244,-R244,0,R244,2)),1,2),"")</f>
        <v>1.03367007195547</v>
      </c>
      <c r="U244" s="29" t="n">
        <f aca="true">IF(AND(F244&gt;=1,R244&gt;=Inputs!$B$10),INDEX(LINEST(OFFSET(D244,-R244,0,R244,1),OFFSET(E244,-R244,0,R244,2)),1,3),"")</f>
        <v>4.33633961322672</v>
      </c>
      <c r="V244" s="29" t="n">
        <f aca="true">IF(AND(F244&gt;=1,R244&gt;=Inputs!$B$10),SQRT(SUMPRODUCT((OFFSET(D244,-R244,0,R244,1)-U244-T244*OFFSET(E244,-R244,0,R244,1)-S244*OFFSET(F244,-R244,0,R244,1))^2)/(R244-3)),"")</f>
        <v>0.00259911880061637</v>
      </c>
      <c r="W244" s="31" t="n">
        <f aca="false">IF(AND(F244&gt;=1,R244&gt;=Inputs!$B$10),(D244-U244-T244*E244-S244*F244)/V244,"")</f>
        <v>-0.28537724302155</v>
      </c>
      <c r="X244" s="30" t="n">
        <f aca="false">IF(AB243&lt;&gt;0,AC243+1,0)</f>
        <v>0</v>
      </c>
      <c r="Y244" s="30" t="n">
        <f aca="false">IF(W244="",0,IF(AND(AB243&lt;&gt;0,OR(ABS(W244)&gt;Inputs!$B$7,X244&gt;=Inputs!$B$8,ABS(W244)&lt;Inputs!$B$6)),1,0))</f>
        <v>0</v>
      </c>
      <c r="Z244" s="30" t="n">
        <f aca="false">IF(Y244=1,0,AB243)</f>
        <v>0</v>
      </c>
      <c r="AA244" s="30" t="n">
        <f aca="false">IF(W244="",0,IF(AND(Z244=0,ABS(W244)&gt;Inputs!$B$5,ABS(W244)&lt;=Inputs!$B$7),1,0))</f>
        <v>0</v>
      </c>
      <c r="AB244" s="30" t="n">
        <f aca="false">IF(W244="",0,IF(AA244=1,-SIGN(W244),Z244))</f>
        <v>0</v>
      </c>
      <c r="AC244" s="30" t="n">
        <f aca="false">IF(W244="",0,IF(AA244=1,0,IF(Y244=1,0,X244)))</f>
        <v>0</v>
      </c>
      <c r="AD244" s="30" t="n">
        <f aca="false">IF(AB244=0,0,IF(AB243=AB244,AD243,T244))</f>
        <v>0</v>
      </c>
      <c r="AE244" s="30" t="n">
        <f aca="false">AB244-AB243</f>
        <v>0</v>
      </c>
      <c r="AF244" s="30" t="n">
        <f aca="false">-AD244*AB244</f>
        <v>-0</v>
      </c>
      <c r="AG244" s="30" t="n">
        <f aca="false">AF244-AF243</f>
        <v>0</v>
      </c>
      <c r="AH244" s="30" t="n">
        <f aca="false">MAX(AE244,0)*(Inputs!$B$17+Inputs!$B$18+Inputs!$B$19)+MAX(-AE244,0)*(O244+Inputs!$B$18+Inputs!$B$19)+IF(AND(K244=1,AB244&lt;&gt;0),(Inputs!$B$17+Inputs!$B$18+Inputs!$B$19)+(O244+Inputs!$B$18+Inputs!$B$19),0)+MAX(AG244,0)*(Inputs!$B$20+Inputs!$B$22+Inputs!$B$23)+MAX(-AG244,0)*(Inputs!$B$21+Inputs!$B$22+Inputs!$B$23)</f>
        <v>0</v>
      </c>
      <c r="AI244" s="30" t="n">
        <f aca="false">AB243*(M244-AD243*J244)+AB243*AD243*N244/Inputs!$B$16-AH244</f>
        <v>0</v>
      </c>
      <c r="AJ244" s="30" t="n">
        <f aca="false">MAX(AE244,0)*(Inputs!$B$17+Inputs!$B$24+Inputs!$B$25)+MAX(-AE244,0)*(O244+Inputs!$B$24+Inputs!$B$25)+IF(AND(K244=1,AB244&lt;&gt;0),(Inputs!$B$17+Inputs!$B$24+Inputs!$B$25)+(O244+Inputs!$B$24+Inputs!$B$25),0)+MAX(AG244,0)*(Inputs!$B$20+Inputs!$B$26+Inputs!$B$27)+MAX(-AG244,0)*(Inputs!$B$21+Inputs!$B$26+Inputs!$B$27)</f>
        <v>0</v>
      </c>
      <c r="AK244" s="30" t="n">
        <f aca="false">AB243*(M244-AD243*J244)+AB243*AD243*(N244+Inputs!$B$14)/Inputs!$B$16-AJ244</f>
        <v>0</v>
      </c>
      <c r="AL244" s="30" t="n">
        <f aca="false">IF(AP243&lt;&gt;0,AQ243+1,0)</f>
        <v>0</v>
      </c>
      <c r="AM244" s="30" t="n">
        <f aca="false">IF(W244="",0,IF(AND(AP243&lt;&gt;0,OR(ABS(W244)&gt;Inputs!$B$7,AL244&gt;=Inputs!$B$8,ABS(W244)&lt;Inputs!$B$6)),1,0))</f>
        <v>0</v>
      </c>
      <c r="AN244" s="30" t="n">
        <f aca="false">IF(AM244=1,0,AP243)</f>
        <v>0</v>
      </c>
      <c r="AO244" s="30" t="n">
        <f aca="false">IF(W244="",0,IF(AND(AN244=0,ABS(W244)&gt;Inputs!$B$5,ABS(W244)&lt;=Inputs!$B$7,W244&gt;0),1,0))</f>
        <v>0</v>
      </c>
      <c r="AP244" s="30" t="n">
        <f aca="false">IF(W244="",0,IF(AO244=1,-SIGN(W244),AN244))</f>
        <v>0</v>
      </c>
      <c r="AQ244" s="30" t="n">
        <f aca="false">IF(W244="",0,IF(AO244=1,0,IF(AM244=1,0,AL244)))</f>
        <v>0</v>
      </c>
      <c r="AR244" s="30" t="n">
        <f aca="false">IF(AP244=0,0,IF(AP243=AP244,AR243,T244))</f>
        <v>0</v>
      </c>
      <c r="AS244" s="30" t="n">
        <f aca="false">AP244-AP243</f>
        <v>0</v>
      </c>
      <c r="AT244" s="30" t="n">
        <f aca="false">-AR244*AP244</f>
        <v>-0</v>
      </c>
      <c r="AU244" s="30" t="n">
        <f aca="false">AT244-AT243</f>
        <v>0</v>
      </c>
      <c r="AV244" s="30" t="n">
        <f aca="false">MAX(AS244,0)*(Inputs!$B$17+Inputs!$B$18+Inputs!$B$19)+MAX(-AS244,0)*(O244+Inputs!$B$18+Inputs!$B$19)+IF(AND(K244=1,AP244&lt;&gt;0),(Inputs!$B$17+Inputs!$B$18+Inputs!$B$19)+(O244+Inputs!$B$18+Inputs!$B$19),0)+MAX(AU244,0)*(Inputs!$B$20+Inputs!$B$22+Inputs!$B$23)+MAX(-AU244,0)*(Inputs!$B$21+Inputs!$B$22+Inputs!$B$23)</f>
        <v>0</v>
      </c>
      <c r="AW244" s="30" t="n">
        <f aca="false">AP243*(M244-AR243*J244)+AP243*AR243*N244/Inputs!$B$16-AV244</f>
        <v>0</v>
      </c>
      <c r="AX244" s="30" t="n">
        <f aca="false">AW244-IF(AP243&lt;&gt;0,0.75*AR243*(Inputs!$B$13-N244)/Inputs!$B$16,0)</f>
        <v>0</v>
      </c>
      <c r="AY244" s="30" t="n">
        <f aca="false">MAX(AS244,0)*(Inputs!$B$17+Inputs!$B$18+Inputs!$B$19)+MAX(-AS244,0)*(O244+Inputs!$B$18+Inputs!$B$19)+IF(AND(K244=1,AP244&lt;&gt;0),(Inputs!$B$17+Inputs!$B$18+Inputs!$B$19)+(O244+Inputs!$B$18+Inputs!$B$19),0)</f>
        <v>0</v>
      </c>
      <c r="AZ244" s="30" t="n">
        <f aca="false">AP243*M244-AY244</f>
        <v>-0</v>
      </c>
      <c r="BA244" s="32" t="n">
        <f aca="false">BA243+AI244</f>
        <v>-0.0042764994896359</v>
      </c>
      <c r="BB244" s="30" t="n">
        <f aca="false">MAX(BB243,BA244)</f>
        <v>0</v>
      </c>
      <c r="BC244" s="32" t="n">
        <f aca="false">BA244-BB244</f>
        <v>-0.0042764994896359</v>
      </c>
      <c r="BD244" s="30" t="n">
        <f aca="false">A245-A244</f>
        <v>1</v>
      </c>
    </row>
    <row r="245" customFormat="false" ht="15" hidden="false" customHeight="false" outlineLevel="0" collapsed="false">
      <c r="A245" s="28" t="n">
        <v>45401</v>
      </c>
      <c r="B245" s="0" t="n">
        <v>22123</v>
      </c>
      <c r="C245" s="0" t="n">
        <v>245.56</v>
      </c>
      <c r="D245" s="29" t="n">
        <f aca="false">LN(B245)</f>
        <v>10.00437307031</v>
      </c>
      <c r="E245" s="29" t="n">
        <f aca="false">LN(C245)</f>
        <v>5.5035413165593</v>
      </c>
      <c r="F245" s="0" t="n">
        <v>240</v>
      </c>
      <c r="G245" s="0" t="n">
        <v>6</v>
      </c>
      <c r="H245" s="29" t="n">
        <f aca="false">D245-E245</f>
        <v>4.50083175375069</v>
      </c>
      <c r="I245" s="29" t="n">
        <f aca="false">D245-D244</f>
        <v>0.00194556991895567</v>
      </c>
      <c r="J245" s="29" t="n">
        <f aca="false">E245-E244</f>
        <v>0.00453052753464078</v>
      </c>
      <c r="K245" s="0" t="n">
        <v>0</v>
      </c>
      <c r="L245" s="0" t="n">
        <v>0</v>
      </c>
      <c r="M245" s="29" t="n">
        <f aca="false">IF(L245=1,J245-Carry!$B$9/Inputs!$B$16,I245)</f>
        <v>0.00194556991895567</v>
      </c>
      <c r="N245" s="0" t="n">
        <v>0.065</v>
      </c>
      <c r="O245" s="0" t="n">
        <v>0.000125</v>
      </c>
      <c r="P245" s="29" t="n">
        <f aca="false">D245-('2 Hedge ratio'!$B$6+'2 Hedge ratio'!$B$5*E245)</f>
        <v>0.000611518241898423</v>
      </c>
      <c r="Q245" s="29" t="n">
        <f aca="false">D245-('5 Re-specification'!$B$7+'5 Re-specification'!$B$5*E245+'5 Re-specification'!$B$6*F245)</f>
        <v>-0.0029077487775222</v>
      </c>
      <c r="R245" s="30" t="n">
        <f aca="false">MIN(F245,Inputs!$B$9)</f>
        <v>240</v>
      </c>
      <c r="S245" s="29" t="n">
        <f aca="true">IF(AND(F245&gt;=1,R245&gt;=Inputs!$B$10),INDEX(LINEST(OFFSET(D245,-R245,0,R245,1),OFFSET(E245,-R245,0,R245,2)),1,1),"")</f>
        <v>-7.27338929228618E-005</v>
      </c>
      <c r="T245" s="29" t="n">
        <f aca="true">IF(AND(F245&gt;=1,R245&gt;=Inputs!$B$10),INDEX(LINEST(OFFSET(D245,-R245,0,R245,1),OFFSET(E245,-R245,0,R245,2)),1,2),"")</f>
        <v>1.03381024408853</v>
      </c>
      <c r="U245" s="29" t="n">
        <f aca="true">IF(AND(F245&gt;=1,R245&gt;=Inputs!$B$10),INDEX(LINEST(OFFSET(D245,-R245,0,R245,1),OFFSET(E245,-R245,0,R245,2)),1,3),"")</f>
        <v>4.33560362589381</v>
      </c>
      <c r="V245" s="29" t="n">
        <f aca="true">IF(AND(F245&gt;=1,R245&gt;=Inputs!$B$10),SQRT(SUMPRODUCT((OFFSET(D245,-R245,0,R245,1)-U245-T245*OFFSET(E245,-R245,0,R245,1)-S245*OFFSET(F245,-R245,0,R245,1))^2)/(R245-3)),"")</f>
        <v>0.00259406786413225</v>
      </c>
      <c r="W245" s="31" t="n">
        <f aca="false">IF(AND(F245&gt;=1,R245&gt;=Inputs!$B$10),(D245-U245-T245*E245-S245*F245)/V245,"")</f>
        <v>-1.30752674311695</v>
      </c>
      <c r="X245" s="30" t="n">
        <f aca="false">IF(AB244&lt;&gt;0,AC244+1,0)</f>
        <v>0</v>
      </c>
      <c r="Y245" s="30" t="n">
        <f aca="false">IF(W245="",0,IF(AND(AB244&lt;&gt;0,OR(ABS(W245)&gt;Inputs!$B$7,X245&gt;=Inputs!$B$8,ABS(W245)&lt;Inputs!$B$6)),1,0))</f>
        <v>0</v>
      </c>
      <c r="Z245" s="30" t="n">
        <f aca="false">IF(Y245=1,0,AB244)</f>
        <v>0</v>
      </c>
      <c r="AA245" s="30" t="n">
        <f aca="false">IF(W245="",0,IF(AND(Z245=0,ABS(W245)&gt;Inputs!$B$5,ABS(W245)&lt;=Inputs!$B$7),1,0))</f>
        <v>0</v>
      </c>
      <c r="AB245" s="30" t="n">
        <f aca="false">IF(W245="",0,IF(AA245=1,-SIGN(W245),Z245))</f>
        <v>0</v>
      </c>
      <c r="AC245" s="30" t="n">
        <f aca="false">IF(W245="",0,IF(AA245=1,0,IF(Y245=1,0,X245)))</f>
        <v>0</v>
      </c>
      <c r="AD245" s="30" t="n">
        <f aca="false">IF(AB245=0,0,IF(AB244=AB245,AD244,T245))</f>
        <v>0</v>
      </c>
      <c r="AE245" s="30" t="n">
        <f aca="false">AB245-AB244</f>
        <v>0</v>
      </c>
      <c r="AF245" s="30" t="n">
        <f aca="false">-AD245*AB245</f>
        <v>-0</v>
      </c>
      <c r="AG245" s="30" t="n">
        <f aca="false">AF245-AF244</f>
        <v>0</v>
      </c>
      <c r="AH245" s="30" t="n">
        <f aca="false">MAX(AE245,0)*(Inputs!$B$17+Inputs!$B$18+Inputs!$B$19)+MAX(-AE245,0)*(O245+Inputs!$B$18+Inputs!$B$19)+IF(AND(K245=1,AB245&lt;&gt;0),(Inputs!$B$17+Inputs!$B$18+Inputs!$B$19)+(O245+Inputs!$B$18+Inputs!$B$19),0)+MAX(AG245,0)*(Inputs!$B$20+Inputs!$B$22+Inputs!$B$23)+MAX(-AG245,0)*(Inputs!$B$21+Inputs!$B$22+Inputs!$B$23)</f>
        <v>0</v>
      </c>
      <c r="AI245" s="30" t="n">
        <f aca="false">AB244*(M245-AD244*J245)+AB244*AD244*N245/Inputs!$B$16-AH245</f>
        <v>0</v>
      </c>
      <c r="AJ245" s="30" t="n">
        <f aca="false">MAX(AE245,0)*(Inputs!$B$17+Inputs!$B$24+Inputs!$B$25)+MAX(-AE245,0)*(O245+Inputs!$B$24+Inputs!$B$25)+IF(AND(K245=1,AB245&lt;&gt;0),(Inputs!$B$17+Inputs!$B$24+Inputs!$B$25)+(O245+Inputs!$B$24+Inputs!$B$25),0)+MAX(AG245,0)*(Inputs!$B$20+Inputs!$B$26+Inputs!$B$27)+MAX(-AG245,0)*(Inputs!$B$21+Inputs!$B$26+Inputs!$B$27)</f>
        <v>0</v>
      </c>
      <c r="AK245" s="30" t="n">
        <f aca="false">AB244*(M245-AD244*J245)+AB244*AD244*(N245+Inputs!$B$14)/Inputs!$B$16-AJ245</f>
        <v>0</v>
      </c>
      <c r="AL245" s="30" t="n">
        <f aca="false">IF(AP244&lt;&gt;0,AQ244+1,0)</f>
        <v>0</v>
      </c>
      <c r="AM245" s="30" t="n">
        <f aca="false">IF(W245="",0,IF(AND(AP244&lt;&gt;0,OR(ABS(W245)&gt;Inputs!$B$7,AL245&gt;=Inputs!$B$8,ABS(W245)&lt;Inputs!$B$6)),1,0))</f>
        <v>0</v>
      </c>
      <c r="AN245" s="30" t="n">
        <f aca="false">IF(AM245=1,0,AP244)</f>
        <v>0</v>
      </c>
      <c r="AO245" s="30" t="n">
        <f aca="false">IF(W245="",0,IF(AND(AN245=0,ABS(W245)&gt;Inputs!$B$5,ABS(W245)&lt;=Inputs!$B$7,W245&gt;0),1,0))</f>
        <v>0</v>
      </c>
      <c r="AP245" s="30" t="n">
        <f aca="false">IF(W245="",0,IF(AO245=1,-SIGN(W245),AN245))</f>
        <v>0</v>
      </c>
      <c r="AQ245" s="30" t="n">
        <f aca="false">IF(W245="",0,IF(AO245=1,0,IF(AM245=1,0,AL245)))</f>
        <v>0</v>
      </c>
      <c r="AR245" s="30" t="n">
        <f aca="false">IF(AP245=0,0,IF(AP244=AP245,AR244,T245))</f>
        <v>0</v>
      </c>
      <c r="AS245" s="30" t="n">
        <f aca="false">AP245-AP244</f>
        <v>0</v>
      </c>
      <c r="AT245" s="30" t="n">
        <f aca="false">-AR245*AP245</f>
        <v>-0</v>
      </c>
      <c r="AU245" s="30" t="n">
        <f aca="false">AT245-AT244</f>
        <v>0</v>
      </c>
      <c r="AV245" s="30" t="n">
        <f aca="false">MAX(AS245,0)*(Inputs!$B$17+Inputs!$B$18+Inputs!$B$19)+MAX(-AS245,0)*(O245+Inputs!$B$18+Inputs!$B$19)+IF(AND(K245=1,AP245&lt;&gt;0),(Inputs!$B$17+Inputs!$B$18+Inputs!$B$19)+(O245+Inputs!$B$18+Inputs!$B$19),0)+MAX(AU245,0)*(Inputs!$B$20+Inputs!$B$22+Inputs!$B$23)+MAX(-AU245,0)*(Inputs!$B$21+Inputs!$B$22+Inputs!$B$23)</f>
        <v>0</v>
      </c>
      <c r="AW245" s="30" t="n">
        <f aca="false">AP244*(M245-AR244*J245)+AP244*AR244*N245/Inputs!$B$16-AV245</f>
        <v>0</v>
      </c>
      <c r="AX245" s="30" t="n">
        <f aca="false">AW245-IF(AP244&lt;&gt;0,0.75*AR244*(Inputs!$B$13-N245)/Inputs!$B$16,0)</f>
        <v>0</v>
      </c>
      <c r="AY245" s="30" t="n">
        <f aca="false">MAX(AS245,0)*(Inputs!$B$17+Inputs!$B$18+Inputs!$B$19)+MAX(-AS245,0)*(O245+Inputs!$B$18+Inputs!$B$19)+IF(AND(K245=1,AP245&lt;&gt;0),(Inputs!$B$17+Inputs!$B$18+Inputs!$B$19)+(O245+Inputs!$B$18+Inputs!$B$19),0)</f>
        <v>0</v>
      </c>
      <c r="AZ245" s="30" t="n">
        <f aca="false">AP244*M245-AY245</f>
        <v>0</v>
      </c>
      <c r="BA245" s="32" t="n">
        <f aca="false">BA244+AI245</f>
        <v>-0.0042764994896359</v>
      </c>
      <c r="BB245" s="30" t="n">
        <f aca="false">MAX(BB244,BA245)</f>
        <v>0</v>
      </c>
      <c r="BC245" s="32" t="n">
        <f aca="false">BA245-BB245</f>
        <v>-0.0042764994896359</v>
      </c>
      <c r="BD245" s="30" t="n">
        <f aca="false">A246-A245</f>
        <v>3</v>
      </c>
    </row>
    <row r="246" customFormat="false" ht="15" hidden="false" customHeight="false" outlineLevel="0" collapsed="false">
      <c r="A246" s="28" t="n">
        <v>45404</v>
      </c>
      <c r="B246" s="0" t="n">
        <v>22393.3</v>
      </c>
      <c r="C246" s="0" t="n">
        <v>247.85</v>
      </c>
      <c r="D246" s="29" t="n">
        <f aca="false">LN(B246)</f>
        <v>10.0165170859588</v>
      </c>
      <c r="E246" s="29" t="n">
        <f aca="false">LN(C246)</f>
        <v>5.51282372446658</v>
      </c>
      <c r="F246" s="0" t="n">
        <v>241</v>
      </c>
      <c r="G246" s="0" t="n">
        <v>3</v>
      </c>
      <c r="H246" s="29" t="n">
        <f aca="false">D246-E246</f>
        <v>4.50369336149223</v>
      </c>
      <c r="I246" s="29" t="n">
        <f aca="false">D246-D245</f>
        <v>0.0121440156488237</v>
      </c>
      <c r="J246" s="29" t="n">
        <f aca="false">E246-E245</f>
        <v>0.00928240790728729</v>
      </c>
      <c r="K246" s="0" t="n">
        <v>0</v>
      </c>
      <c r="L246" s="0" t="n">
        <v>0</v>
      </c>
      <c r="M246" s="29" t="n">
        <f aca="false">IF(L246=1,J246-Carry!$B$9/Inputs!$B$16,I246)</f>
        <v>0.0121440156488237</v>
      </c>
      <c r="N246" s="0" t="n">
        <v>0.065</v>
      </c>
      <c r="O246" s="0" t="n">
        <v>0.000125</v>
      </c>
      <c r="P246" s="29" t="n">
        <f aca="false">D246-('2 Hedge ratio'!$B$6+'2 Hedge ratio'!$B$5*E246)</f>
        <v>0.004251671616613</v>
      </c>
      <c r="Q246" s="29" t="n">
        <f aca="false">D246-('5 Re-specification'!$B$7+'5 Re-specification'!$B$5*E246+'5 Re-specification'!$B$6*F246)</f>
        <v>2.69186194703508E-005</v>
      </c>
      <c r="R246" s="30" t="n">
        <f aca="false">MIN(F246,Inputs!$B$9)</f>
        <v>241</v>
      </c>
      <c r="S246" s="29" t="n">
        <f aca="true">IF(AND(F246&gt;=1,R246&gt;=Inputs!$B$10),INDEX(LINEST(OFFSET(D246,-R246,0,R246,1),OFFSET(E246,-R246,0,R246,2)),1,1),"")</f>
        <v>-7.35789920963037E-005</v>
      </c>
      <c r="T246" s="29" t="n">
        <f aca="true">IF(AND(F246&gt;=1,R246&gt;=Inputs!$B$10),INDEX(LINEST(OFFSET(D246,-R246,0,R246,1),OFFSET(E246,-R246,0,R246,2)),1,2),"")</f>
        <v>1.03433480299161</v>
      </c>
      <c r="U246" s="29" t="n">
        <f aca="true">IF(AND(F246&gt;=1,R246&gt;=Inputs!$B$10),INDEX(LINEST(OFFSET(D246,-R246,0,R246,1),OFFSET(E246,-R246,0,R246,2)),1,3),"")</f>
        <v>4.33285425674866</v>
      </c>
      <c r="V246" s="29" t="n">
        <f aca="true">IF(AND(F246&gt;=1,R246&gt;=Inputs!$B$10),SQRT(SUMPRODUCT((OFFSET(D246,-R246,0,R246,1)-U246-T246*OFFSET(E246,-R246,0,R246,1)-S246*OFFSET(F246,-R246,0,R246,1))^2)/(R246-3)),"")</f>
        <v>0.00259775324521721</v>
      </c>
      <c r="W246" s="31" t="n">
        <f aca="false">IF(AND(F246&gt;=1,R246&gt;=Inputs!$B$10),(D246-U246-T246*E246-S246*F246)/V246,"")</f>
        <v>-0.273341846299459</v>
      </c>
      <c r="X246" s="30" t="n">
        <f aca="false">IF(AB245&lt;&gt;0,AC245+1,0)</f>
        <v>0</v>
      </c>
      <c r="Y246" s="30" t="n">
        <f aca="false">IF(W246="",0,IF(AND(AB245&lt;&gt;0,OR(ABS(W246)&gt;Inputs!$B$7,X246&gt;=Inputs!$B$8,ABS(W246)&lt;Inputs!$B$6)),1,0))</f>
        <v>0</v>
      </c>
      <c r="Z246" s="30" t="n">
        <f aca="false">IF(Y246=1,0,AB245)</f>
        <v>0</v>
      </c>
      <c r="AA246" s="30" t="n">
        <f aca="false">IF(W246="",0,IF(AND(Z246=0,ABS(W246)&gt;Inputs!$B$5,ABS(W246)&lt;=Inputs!$B$7),1,0))</f>
        <v>0</v>
      </c>
      <c r="AB246" s="30" t="n">
        <f aca="false">IF(W246="",0,IF(AA246=1,-SIGN(W246),Z246))</f>
        <v>0</v>
      </c>
      <c r="AC246" s="30" t="n">
        <f aca="false">IF(W246="",0,IF(AA246=1,0,IF(Y246=1,0,X246)))</f>
        <v>0</v>
      </c>
      <c r="AD246" s="30" t="n">
        <f aca="false">IF(AB246=0,0,IF(AB245=AB246,AD245,T246))</f>
        <v>0</v>
      </c>
      <c r="AE246" s="30" t="n">
        <f aca="false">AB246-AB245</f>
        <v>0</v>
      </c>
      <c r="AF246" s="30" t="n">
        <f aca="false">-AD246*AB246</f>
        <v>-0</v>
      </c>
      <c r="AG246" s="30" t="n">
        <f aca="false">AF246-AF245</f>
        <v>0</v>
      </c>
      <c r="AH246" s="30" t="n">
        <f aca="false">MAX(AE246,0)*(Inputs!$B$17+Inputs!$B$18+Inputs!$B$19)+MAX(-AE246,0)*(O246+Inputs!$B$18+Inputs!$B$19)+IF(AND(K246=1,AB246&lt;&gt;0),(Inputs!$B$17+Inputs!$B$18+Inputs!$B$19)+(O246+Inputs!$B$18+Inputs!$B$19),0)+MAX(AG246,0)*(Inputs!$B$20+Inputs!$B$22+Inputs!$B$23)+MAX(-AG246,0)*(Inputs!$B$21+Inputs!$B$22+Inputs!$B$23)</f>
        <v>0</v>
      </c>
      <c r="AI246" s="30" t="n">
        <f aca="false">AB245*(M246-AD245*J246)+AB245*AD245*N246/Inputs!$B$16-AH246</f>
        <v>0</v>
      </c>
      <c r="AJ246" s="30" t="n">
        <f aca="false">MAX(AE246,0)*(Inputs!$B$17+Inputs!$B$24+Inputs!$B$25)+MAX(-AE246,0)*(O246+Inputs!$B$24+Inputs!$B$25)+IF(AND(K246=1,AB246&lt;&gt;0),(Inputs!$B$17+Inputs!$B$24+Inputs!$B$25)+(O246+Inputs!$B$24+Inputs!$B$25),0)+MAX(AG246,0)*(Inputs!$B$20+Inputs!$B$26+Inputs!$B$27)+MAX(-AG246,0)*(Inputs!$B$21+Inputs!$B$26+Inputs!$B$27)</f>
        <v>0</v>
      </c>
      <c r="AK246" s="30" t="n">
        <f aca="false">AB245*(M246-AD245*J246)+AB245*AD245*(N246+Inputs!$B$14)/Inputs!$B$16-AJ246</f>
        <v>0</v>
      </c>
      <c r="AL246" s="30" t="n">
        <f aca="false">IF(AP245&lt;&gt;0,AQ245+1,0)</f>
        <v>0</v>
      </c>
      <c r="AM246" s="30" t="n">
        <f aca="false">IF(W246="",0,IF(AND(AP245&lt;&gt;0,OR(ABS(W246)&gt;Inputs!$B$7,AL246&gt;=Inputs!$B$8,ABS(W246)&lt;Inputs!$B$6)),1,0))</f>
        <v>0</v>
      </c>
      <c r="AN246" s="30" t="n">
        <f aca="false">IF(AM246=1,0,AP245)</f>
        <v>0</v>
      </c>
      <c r="AO246" s="30" t="n">
        <f aca="false">IF(W246="",0,IF(AND(AN246=0,ABS(W246)&gt;Inputs!$B$5,ABS(W246)&lt;=Inputs!$B$7,W246&gt;0),1,0))</f>
        <v>0</v>
      </c>
      <c r="AP246" s="30" t="n">
        <f aca="false">IF(W246="",0,IF(AO246=1,-SIGN(W246),AN246))</f>
        <v>0</v>
      </c>
      <c r="AQ246" s="30" t="n">
        <f aca="false">IF(W246="",0,IF(AO246=1,0,IF(AM246=1,0,AL246)))</f>
        <v>0</v>
      </c>
      <c r="AR246" s="30" t="n">
        <f aca="false">IF(AP246=0,0,IF(AP245=AP246,AR245,T246))</f>
        <v>0</v>
      </c>
      <c r="AS246" s="30" t="n">
        <f aca="false">AP246-AP245</f>
        <v>0</v>
      </c>
      <c r="AT246" s="30" t="n">
        <f aca="false">-AR246*AP246</f>
        <v>-0</v>
      </c>
      <c r="AU246" s="30" t="n">
        <f aca="false">AT246-AT245</f>
        <v>0</v>
      </c>
      <c r="AV246" s="30" t="n">
        <f aca="false">MAX(AS246,0)*(Inputs!$B$17+Inputs!$B$18+Inputs!$B$19)+MAX(-AS246,0)*(O246+Inputs!$B$18+Inputs!$B$19)+IF(AND(K246=1,AP246&lt;&gt;0),(Inputs!$B$17+Inputs!$B$18+Inputs!$B$19)+(O246+Inputs!$B$18+Inputs!$B$19),0)+MAX(AU246,0)*(Inputs!$B$20+Inputs!$B$22+Inputs!$B$23)+MAX(-AU246,0)*(Inputs!$B$21+Inputs!$B$22+Inputs!$B$23)</f>
        <v>0</v>
      </c>
      <c r="AW246" s="30" t="n">
        <f aca="false">AP245*(M246-AR245*J246)+AP245*AR245*N246/Inputs!$B$16-AV246</f>
        <v>0</v>
      </c>
      <c r="AX246" s="30" t="n">
        <f aca="false">AW246-IF(AP245&lt;&gt;0,0.75*AR245*(Inputs!$B$13-N246)/Inputs!$B$16,0)</f>
        <v>0</v>
      </c>
      <c r="AY246" s="30" t="n">
        <f aca="false">MAX(AS246,0)*(Inputs!$B$17+Inputs!$B$18+Inputs!$B$19)+MAX(-AS246,0)*(O246+Inputs!$B$18+Inputs!$B$19)+IF(AND(K246=1,AP246&lt;&gt;0),(Inputs!$B$17+Inputs!$B$18+Inputs!$B$19)+(O246+Inputs!$B$18+Inputs!$B$19),0)</f>
        <v>0</v>
      </c>
      <c r="AZ246" s="30" t="n">
        <f aca="false">AP245*M246-AY246</f>
        <v>0</v>
      </c>
      <c r="BA246" s="32" t="n">
        <f aca="false">BA245+AI246</f>
        <v>-0.0042764994896359</v>
      </c>
      <c r="BB246" s="30" t="n">
        <f aca="false">MAX(BB245,BA246)</f>
        <v>0</v>
      </c>
      <c r="BC246" s="32" t="n">
        <f aca="false">BA246-BB246</f>
        <v>-0.0042764994896359</v>
      </c>
      <c r="BD246" s="30" t="n">
        <f aca="false">A247-A246</f>
        <v>1</v>
      </c>
    </row>
    <row r="247" customFormat="false" ht="15" hidden="false" customHeight="false" outlineLevel="0" collapsed="false">
      <c r="A247" s="28" t="n">
        <v>45405</v>
      </c>
      <c r="B247" s="0" t="n">
        <v>22354.9</v>
      </c>
      <c r="C247" s="0" t="n">
        <v>247.73</v>
      </c>
      <c r="D247" s="29" t="n">
        <f aca="false">LN(B247)</f>
        <v>10.0148008153859</v>
      </c>
      <c r="E247" s="29" t="n">
        <f aca="false">LN(C247)</f>
        <v>5.51233944341269</v>
      </c>
      <c r="F247" s="0" t="n">
        <v>242</v>
      </c>
      <c r="G247" s="0" t="n">
        <v>2</v>
      </c>
      <c r="H247" s="29" t="n">
        <f aca="false">D247-E247</f>
        <v>4.50246137197319</v>
      </c>
      <c r="I247" s="29" t="n">
        <f aca="false">D247-D246</f>
        <v>-0.001716270572933</v>
      </c>
      <c r="J247" s="29" t="n">
        <f aca="false">E247-E246</f>
        <v>-0.000484281053897639</v>
      </c>
      <c r="K247" s="0" t="n">
        <v>0</v>
      </c>
      <c r="L247" s="0" t="n">
        <v>0</v>
      </c>
      <c r="M247" s="29" t="n">
        <f aca="false">IF(L247=1,J247-Carry!$B$9/Inputs!$B$16,I247)</f>
        <v>-0.001716270572933</v>
      </c>
      <c r="N247" s="0" t="n">
        <v>0.065</v>
      </c>
      <c r="O247" s="0" t="n">
        <v>0.000125</v>
      </c>
      <c r="P247" s="29" t="n">
        <f aca="false">D247-('2 Hedge ratio'!$B$6+'2 Hedge ratio'!$B$5*E247)</f>
        <v>0.00297906387615221</v>
      </c>
      <c r="Q247" s="29" t="n">
        <f aca="false">D247-('5 Re-specification'!$B$7+'5 Re-specification'!$B$5*E247+'5 Re-specification'!$B$6*F247)</f>
        <v>-0.00116160919521136</v>
      </c>
      <c r="R247" s="30" t="n">
        <f aca="false">MIN(F247,Inputs!$B$9)</f>
        <v>242</v>
      </c>
      <c r="S247" s="29" t="n">
        <f aca="true">IF(AND(F247&gt;=1,R247&gt;=Inputs!$B$10),INDEX(LINEST(OFFSET(D247,-R247,0,R247,1),OFFSET(E247,-R247,0,R247,2)),1,1),"")</f>
        <v>-7.37055456519377E-005</v>
      </c>
      <c r="T247" s="29" t="n">
        <f aca="true">IF(AND(F247&gt;=1,R247&gt;=Inputs!$B$10),INDEX(LINEST(OFFSET(D247,-R247,0,R247,1),OFFSET(E247,-R247,0,R247,2)),1,2),"")</f>
        <v>1.03439206241508</v>
      </c>
      <c r="U247" s="29" t="n">
        <f aca="true">IF(AND(F247&gt;=1,R247&gt;=Inputs!$B$10),INDEX(LINEST(OFFSET(D247,-R247,0,R247,1),OFFSET(E247,-R247,0,R247,2)),1,3),"")</f>
        <v>4.33255690017159</v>
      </c>
      <c r="V247" s="29" t="n">
        <f aca="true">IF(AND(F247&gt;=1,R247&gt;=Inputs!$B$10),SQRT(SUMPRODUCT((OFFSET(D247,-R247,0,R247,1)-U247-T247*OFFSET(E247,-R247,0,R247,1)-S247*OFFSET(F247,-R247,0,R247,1))^2)/(R247-3)),"")</f>
        <v>0.00259271280396994</v>
      </c>
      <c r="W247" s="31" t="n">
        <f aca="false">IF(AND(F247&gt;=1,R247&gt;=Inputs!$B$10),(D247-U247-T247*E247-S247*F247)/V247,"")</f>
        <v>-0.70949174887045</v>
      </c>
      <c r="X247" s="30" t="n">
        <f aca="false">IF(AB246&lt;&gt;0,AC246+1,0)</f>
        <v>0</v>
      </c>
      <c r="Y247" s="30" t="n">
        <f aca="false">IF(W247="",0,IF(AND(AB246&lt;&gt;0,OR(ABS(W247)&gt;Inputs!$B$7,X247&gt;=Inputs!$B$8,ABS(W247)&lt;Inputs!$B$6)),1,0))</f>
        <v>0</v>
      </c>
      <c r="Z247" s="30" t="n">
        <f aca="false">IF(Y247=1,0,AB246)</f>
        <v>0</v>
      </c>
      <c r="AA247" s="30" t="n">
        <f aca="false">IF(W247="",0,IF(AND(Z247=0,ABS(W247)&gt;Inputs!$B$5,ABS(W247)&lt;=Inputs!$B$7),1,0))</f>
        <v>0</v>
      </c>
      <c r="AB247" s="30" t="n">
        <f aca="false">IF(W247="",0,IF(AA247=1,-SIGN(W247),Z247))</f>
        <v>0</v>
      </c>
      <c r="AC247" s="30" t="n">
        <f aca="false">IF(W247="",0,IF(AA247=1,0,IF(Y247=1,0,X247)))</f>
        <v>0</v>
      </c>
      <c r="AD247" s="30" t="n">
        <f aca="false">IF(AB247=0,0,IF(AB246=AB247,AD246,T247))</f>
        <v>0</v>
      </c>
      <c r="AE247" s="30" t="n">
        <f aca="false">AB247-AB246</f>
        <v>0</v>
      </c>
      <c r="AF247" s="30" t="n">
        <f aca="false">-AD247*AB247</f>
        <v>-0</v>
      </c>
      <c r="AG247" s="30" t="n">
        <f aca="false">AF247-AF246</f>
        <v>0</v>
      </c>
      <c r="AH247" s="30" t="n">
        <f aca="false">MAX(AE247,0)*(Inputs!$B$17+Inputs!$B$18+Inputs!$B$19)+MAX(-AE247,0)*(O247+Inputs!$B$18+Inputs!$B$19)+IF(AND(K247=1,AB247&lt;&gt;0),(Inputs!$B$17+Inputs!$B$18+Inputs!$B$19)+(O247+Inputs!$B$18+Inputs!$B$19),0)+MAX(AG247,0)*(Inputs!$B$20+Inputs!$B$22+Inputs!$B$23)+MAX(-AG247,0)*(Inputs!$B$21+Inputs!$B$22+Inputs!$B$23)</f>
        <v>0</v>
      </c>
      <c r="AI247" s="30" t="n">
        <f aca="false">AB246*(M247-AD246*J247)+AB246*AD246*N247/Inputs!$B$16-AH247</f>
        <v>0</v>
      </c>
      <c r="AJ247" s="30" t="n">
        <f aca="false">MAX(AE247,0)*(Inputs!$B$17+Inputs!$B$24+Inputs!$B$25)+MAX(-AE247,0)*(O247+Inputs!$B$24+Inputs!$B$25)+IF(AND(K247=1,AB247&lt;&gt;0),(Inputs!$B$17+Inputs!$B$24+Inputs!$B$25)+(O247+Inputs!$B$24+Inputs!$B$25),0)+MAX(AG247,0)*(Inputs!$B$20+Inputs!$B$26+Inputs!$B$27)+MAX(-AG247,0)*(Inputs!$B$21+Inputs!$B$26+Inputs!$B$27)</f>
        <v>0</v>
      </c>
      <c r="AK247" s="30" t="n">
        <f aca="false">AB246*(M247-AD246*J247)+AB246*AD246*(N247+Inputs!$B$14)/Inputs!$B$16-AJ247</f>
        <v>0</v>
      </c>
      <c r="AL247" s="30" t="n">
        <f aca="false">IF(AP246&lt;&gt;0,AQ246+1,0)</f>
        <v>0</v>
      </c>
      <c r="AM247" s="30" t="n">
        <f aca="false">IF(W247="",0,IF(AND(AP246&lt;&gt;0,OR(ABS(W247)&gt;Inputs!$B$7,AL247&gt;=Inputs!$B$8,ABS(W247)&lt;Inputs!$B$6)),1,0))</f>
        <v>0</v>
      </c>
      <c r="AN247" s="30" t="n">
        <f aca="false">IF(AM247=1,0,AP246)</f>
        <v>0</v>
      </c>
      <c r="AO247" s="30" t="n">
        <f aca="false">IF(W247="",0,IF(AND(AN247=0,ABS(W247)&gt;Inputs!$B$5,ABS(W247)&lt;=Inputs!$B$7,W247&gt;0),1,0))</f>
        <v>0</v>
      </c>
      <c r="AP247" s="30" t="n">
        <f aca="false">IF(W247="",0,IF(AO247=1,-SIGN(W247),AN247))</f>
        <v>0</v>
      </c>
      <c r="AQ247" s="30" t="n">
        <f aca="false">IF(W247="",0,IF(AO247=1,0,IF(AM247=1,0,AL247)))</f>
        <v>0</v>
      </c>
      <c r="AR247" s="30" t="n">
        <f aca="false">IF(AP247=0,0,IF(AP246=AP247,AR246,T247))</f>
        <v>0</v>
      </c>
      <c r="AS247" s="30" t="n">
        <f aca="false">AP247-AP246</f>
        <v>0</v>
      </c>
      <c r="AT247" s="30" t="n">
        <f aca="false">-AR247*AP247</f>
        <v>-0</v>
      </c>
      <c r="AU247" s="30" t="n">
        <f aca="false">AT247-AT246</f>
        <v>0</v>
      </c>
      <c r="AV247" s="30" t="n">
        <f aca="false">MAX(AS247,0)*(Inputs!$B$17+Inputs!$B$18+Inputs!$B$19)+MAX(-AS247,0)*(O247+Inputs!$B$18+Inputs!$B$19)+IF(AND(K247=1,AP247&lt;&gt;0),(Inputs!$B$17+Inputs!$B$18+Inputs!$B$19)+(O247+Inputs!$B$18+Inputs!$B$19),0)+MAX(AU247,0)*(Inputs!$B$20+Inputs!$B$22+Inputs!$B$23)+MAX(-AU247,0)*(Inputs!$B$21+Inputs!$B$22+Inputs!$B$23)</f>
        <v>0</v>
      </c>
      <c r="AW247" s="30" t="n">
        <f aca="false">AP246*(M247-AR246*J247)+AP246*AR246*N247/Inputs!$B$16-AV247</f>
        <v>0</v>
      </c>
      <c r="AX247" s="30" t="n">
        <f aca="false">AW247-IF(AP246&lt;&gt;0,0.75*AR246*(Inputs!$B$13-N247)/Inputs!$B$16,0)</f>
        <v>0</v>
      </c>
      <c r="AY247" s="30" t="n">
        <f aca="false">MAX(AS247,0)*(Inputs!$B$17+Inputs!$B$18+Inputs!$B$19)+MAX(-AS247,0)*(O247+Inputs!$B$18+Inputs!$B$19)+IF(AND(K247=1,AP247&lt;&gt;0),(Inputs!$B$17+Inputs!$B$18+Inputs!$B$19)+(O247+Inputs!$B$18+Inputs!$B$19),0)</f>
        <v>0</v>
      </c>
      <c r="AZ247" s="30" t="n">
        <f aca="false">AP246*M247-AY247</f>
        <v>-0</v>
      </c>
      <c r="BA247" s="32" t="n">
        <f aca="false">BA246+AI247</f>
        <v>-0.0042764994896359</v>
      </c>
      <c r="BB247" s="30" t="n">
        <f aca="false">MAX(BB246,BA247)</f>
        <v>0</v>
      </c>
      <c r="BC247" s="32" t="n">
        <f aca="false">BA247-BB247</f>
        <v>-0.0042764994896359</v>
      </c>
      <c r="BD247" s="30" t="n">
        <f aca="false">A248-A247</f>
        <v>1</v>
      </c>
    </row>
    <row r="248" customFormat="false" ht="15" hidden="false" customHeight="false" outlineLevel="0" collapsed="false">
      <c r="A248" s="28" t="n">
        <v>45406</v>
      </c>
      <c r="B248" s="0" t="n">
        <v>22420</v>
      </c>
      <c r="C248" s="0" t="n">
        <v>248.1</v>
      </c>
      <c r="D248" s="29" t="n">
        <f aca="false">LN(B248)</f>
        <v>10.0177086966262</v>
      </c>
      <c r="E248" s="29" t="n">
        <f aca="false">LN(C248)</f>
        <v>5.51383189069776</v>
      </c>
      <c r="F248" s="0" t="n">
        <v>243</v>
      </c>
      <c r="G248" s="0" t="n">
        <v>1</v>
      </c>
      <c r="H248" s="29" t="n">
        <f aca="false">D248-E248</f>
        <v>4.5038768059284</v>
      </c>
      <c r="I248" s="29" t="n">
        <f aca="false">D248-D247</f>
        <v>0.00290788124027408</v>
      </c>
      <c r="J248" s="29" t="n">
        <f aca="false">E248-E247</f>
        <v>0.00149244728507014</v>
      </c>
      <c r="K248" s="0" t="n">
        <v>0</v>
      </c>
      <c r="L248" s="0" t="n">
        <v>0</v>
      </c>
      <c r="M248" s="29" t="n">
        <f aca="false">IF(L248=1,J248-Carry!$B$9/Inputs!$B$16,I248)</f>
        <v>0.00290788124027408</v>
      </c>
      <c r="N248" s="0" t="n">
        <v>0.065</v>
      </c>
      <c r="O248" s="0" t="n">
        <v>0.000125</v>
      </c>
      <c r="P248" s="29" t="n">
        <f aca="false">D248-('2 Hedge ratio'!$B$6+'2 Hedge ratio'!$B$5*E248)</f>
        <v>0.00451967422180744</v>
      </c>
      <c r="Q248" s="29" t="n">
        <f aca="false">D248-('5 Re-specification'!$B$7+'5 Re-specification'!$B$5*E248+'5 Re-specification'!$B$6*F248)</f>
        <v>0.000303276939618513</v>
      </c>
      <c r="R248" s="30" t="n">
        <f aca="false">MIN(F248,Inputs!$B$9)</f>
        <v>243</v>
      </c>
      <c r="S248" s="29" t="n">
        <f aca="true">IF(AND(F248&gt;=1,R248&gt;=Inputs!$B$10),INDEX(LINEST(OFFSET(D248,-R248,0,R248,1),OFFSET(E248,-R248,0,R248,2)),1,1),"")</f>
        <v>-7.40504894042943E-005</v>
      </c>
      <c r="T248" s="29" t="n">
        <f aca="true">IF(AND(F248&gt;=1,R248&gt;=Inputs!$B$10),INDEX(LINEST(OFFSET(D248,-R248,0,R248,1),OFFSET(E248,-R248,0,R248,2)),1,2),"")</f>
        <v>1.03456031165189</v>
      </c>
      <c r="U248" s="29" t="n">
        <f aca="true">IF(AND(F248&gt;=1,R248&gt;=Inputs!$B$10),INDEX(LINEST(OFFSET(D248,-R248,0,R248,1),OFFSET(E248,-R248,0,R248,2)),1,3),"")</f>
        <v>4.3316810658479</v>
      </c>
      <c r="V248" s="29" t="n">
        <f aca="true">IF(AND(F248&gt;=1,R248&gt;=Inputs!$B$10),SQRT(SUMPRODUCT((OFFSET(D248,-R248,0,R248,1)-U248-T248*OFFSET(E248,-R248,0,R248,1)-S248*OFFSET(F248,-R248,0,R248,1))^2)/(R248-3)),"")</f>
        <v>0.00258998177410267</v>
      </c>
      <c r="W248" s="31" t="n">
        <f aca="false">IF(AND(F248&gt;=1,R248&gt;=Inputs!$B$10),(D248-U248-T248*E248-S248*F248)/V248,"")</f>
        <v>-0.142757580993297</v>
      </c>
      <c r="X248" s="30" t="n">
        <f aca="false">IF(AB247&lt;&gt;0,AC247+1,0)</f>
        <v>0</v>
      </c>
      <c r="Y248" s="30" t="n">
        <f aca="false">IF(W248="",0,IF(AND(AB247&lt;&gt;0,OR(ABS(W248)&gt;Inputs!$B$7,X248&gt;=Inputs!$B$8,ABS(W248)&lt;Inputs!$B$6)),1,0))</f>
        <v>0</v>
      </c>
      <c r="Z248" s="30" t="n">
        <f aca="false">IF(Y248=1,0,AB247)</f>
        <v>0</v>
      </c>
      <c r="AA248" s="30" t="n">
        <f aca="false">IF(W248="",0,IF(AND(Z248=0,ABS(W248)&gt;Inputs!$B$5,ABS(W248)&lt;=Inputs!$B$7),1,0))</f>
        <v>0</v>
      </c>
      <c r="AB248" s="30" t="n">
        <f aca="false">IF(W248="",0,IF(AA248=1,-SIGN(W248),Z248))</f>
        <v>0</v>
      </c>
      <c r="AC248" s="30" t="n">
        <f aca="false">IF(W248="",0,IF(AA248=1,0,IF(Y248=1,0,X248)))</f>
        <v>0</v>
      </c>
      <c r="AD248" s="30" t="n">
        <f aca="false">IF(AB248=0,0,IF(AB247=AB248,AD247,T248))</f>
        <v>0</v>
      </c>
      <c r="AE248" s="30" t="n">
        <f aca="false">AB248-AB247</f>
        <v>0</v>
      </c>
      <c r="AF248" s="30" t="n">
        <f aca="false">-AD248*AB248</f>
        <v>-0</v>
      </c>
      <c r="AG248" s="30" t="n">
        <f aca="false">AF248-AF247</f>
        <v>0</v>
      </c>
      <c r="AH248" s="30" t="n">
        <f aca="false">MAX(AE248,0)*(Inputs!$B$17+Inputs!$B$18+Inputs!$B$19)+MAX(-AE248,0)*(O248+Inputs!$B$18+Inputs!$B$19)+IF(AND(K248=1,AB248&lt;&gt;0),(Inputs!$B$17+Inputs!$B$18+Inputs!$B$19)+(O248+Inputs!$B$18+Inputs!$B$19),0)+MAX(AG248,0)*(Inputs!$B$20+Inputs!$B$22+Inputs!$B$23)+MAX(-AG248,0)*(Inputs!$B$21+Inputs!$B$22+Inputs!$B$23)</f>
        <v>0</v>
      </c>
      <c r="AI248" s="30" t="n">
        <f aca="false">AB247*(M248-AD247*J248)+AB247*AD247*N248/Inputs!$B$16-AH248</f>
        <v>0</v>
      </c>
      <c r="AJ248" s="30" t="n">
        <f aca="false">MAX(AE248,0)*(Inputs!$B$17+Inputs!$B$24+Inputs!$B$25)+MAX(-AE248,0)*(O248+Inputs!$B$24+Inputs!$B$25)+IF(AND(K248=1,AB248&lt;&gt;0),(Inputs!$B$17+Inputs!$B$24+Inputs!$B$25)+(O248+Inputs!$B$24+Inputs!$B$25),0)+MAX(AG248,0)*(Inputs!$B$20+Inputs!$B$26+Inputs!$B$27)+MAX(-AG248,0)*(Inputs!$B$21+Inputs!$B$26+Inputs!$B$27)</f>
        <v>0</v>
      </c>
      <c r="AK248" s="30" t="n">
        <f aca="false">AB247*(M248-AD247*J248)+AB247*AD247*(N248+Inputs!$B$14)/Inputs!$B$16-AJ248</f>
        <v>0</v>
      </c>
      <c r="AL248" s="30" t="n">
        <f aca="false">IF(AP247&lt;&gt;0,AQ247+1,0)</f>
        <v>0</v>
      </c>
      <c r="AM248" s="30" t="n">
        <f aca="false">IF(W248="",0,IF(AND(AP247&lt;&gt;0,OR(ABS(W248)&gt;Inputs!$B$7,AL248&gt;=Inputs!$B$8,ABS(W248)&lt;Inputs!$B$6)),1,0))</f>
        <v>0</v>
      </c>
      <c r="AN248" s="30" t="n">
        <f aca="false">IF(AM248=1,0,AP247)</f>
        <v>0</v>
      </c>
      <c r="AO248" s="30" t="n">
        <f aca="false">IF(W248="",0,IF(AND(AN248=0,ABS(W248)&gt;Inputs!$B$5,ABS(W248)&lt;=Inputs!$B$7,W248&gt;0),1,0))</f>
        <v>0</v>
      </c>
      <c r="AP248" s="30" t="n">
        <f aca="false">IF(W248="",0,IF(AO248=1,-SIGN(W248),AN248))</f>
        <v>0</v>
      </c>
      <c r="AQ248" s="30" t="n">
        <f aca="false">IF(W248="",0,IF(AO248=1,0,IF(AM248=1,0,AL248)))</f>
        <v>0</v>
      </c>
      <c r="AR248" s="30" t="n">
        <f aca="false">IF(AP248=0,0,IF(AP247=AP248,AR247,T248))</f>
        <v>0</v>
      </c>
      <c r="AS248" s="30" t="n">
        <f aca="false">AP248-AP247</f>
        <v>0</v>
      </c>
      <c r="AT248" s="30" t="n">
        <f aca="false">-AR248*AP248</f>
        <v>-0</v>
      </c>
      <c r="AU248" s="30" t="n">
        <f aca="false">AT248-AT247</f>
        <v>0</v>
      </c>
      <c r="AV248" s="30" t="n">
        <f aca="false">MAX(AS248,0)*(Inputs!$B$17+Inputs!$B$18+Inputs!$B$19)+MAX(-AS248,0)*(O248+Inputs!$B$18+Inputs!$B$19)+IF(AND(K248=1,AP248&lt;&gt;0),(Inputs!$B$17+Inputs!$B$18+Inputs!$B$19)+(O248+Inputs!$B$18+Inputs!$B$19),0)+MAX(AU248,0)*(Inputs!$B$20+Inputs!$B$22+Inputs!$B$23)+MAX(-AU248,0)*(Inputs!$B$21+Inputs!$B$22+Inputs!$B$23)</f>
        <v>0</v>
      </c>
      <c r="AW248" s="30" t="n">
        <f aca="false">AP247*(M248-AR247*J248)+AP247*AR247*N248/Inputs!$B$16-AV248</f>
        <v>0</v>
      </c>
      <c r="AX248" s="30" t="n">
        <f aca="false">AW248-IF(AP247&lt;&gt;0,0.75*AR247*(Inputs!$B$13-N248)/Inputs!$B$16,0)</f>
        <v>0</v>
      </c>
      <c r="AY248" s="30" t="n">
        <f aca="false">MAX(AS248,0)*(Inputs!$B$17+Inputs!$B$18+Inputs!$B$19)+MAX(-AS248,0)*(O248+Inputs!$B$18+Inputs!$B$19)+IF(AND(K248=1,AP248&lt;&gt;0),(Inputs!$B$17+Inputs!$B$18+Inputs!$B$19)+(O248+Inputs!$B$18+Inputs!$B$19),0)</f>
        <v>0</v>
      </c>
      <c r="AZ248" s="30" t="n">
        <f aca="false">AP247*M248-AY248</f>
        <v>0</v>
      </c>
      <c r="BA248" s="32" t="n">
        <f aca="false">BA247+AI248</f>
        <v>-0.0042764994896359</v>
      </c>
      <c r="BB248" s="30" t="n">
        <f aca="false">MAX(BB247,BA248)</f>
        <v>0</v>
      </c>
      <c r="BC248" s="32" t="n">
        <f aca="false">BA248-BB248</f>
        <v>-0.0042764994896359</v>
      </c>
      <c r="BD248" s="30" t="n">
        <f aca="false">A249-A248</f>
        <v>1</v>
      </c>
    </row>
    <row r="249" customFormat="false" ht="15" hidden="false" customHeight="false" outlineLevel="0" collapsed="false">
      <c r="A249" s="28" t="n">
        <v>45407</v>
      </c>
      <c r="B249" s="0" t="n">
        <v>22574.7</v>
      </c>
      <c r="C249" s="0" t="n">
        <v>249.38</v>
      </c>
      <c r="D249" s="29" t="n">
        <f aca="false">LN(B249)</f>
        <v>10.0245850891603</v>
      </c>
      <c r="E249" s="29" t="n">
        <f aca="false">LN(C249)</f>
        <v>5.51897783756844</v>
      </c>
      <c r="F249" s="0" t="n">
        <v>244</v>
      </c>
      <c r="G249" s="0" t="n">
        <v>0</v>
      </c>
      <c r="H249" s="29" t="n">
        <f aca="false">D249-E249</f>
        <v>4.5056072515919</v>
      </c>
      <c r="I249" s="29" t="n">
        <f aca="false">D249-D248</f>
        <v>0.00687639253419015</v>
      </c>
      <c r="J249" s="29" t="n">
        <f aca="false">E249-E248</f>
        <v>0.0051459468706847</v>
      </c>
      <c r="K249" s="0" t="n">
        <v>1</v>
      </c>
      <c r="L249" s="0" t="n">
        <v>0</v>
      </c>
      <c r="M249" s="29" t="n">
        <f aca="false">IF(L249=1,J249-Carry!$B$9/Inputs!$B$16,I249)</f>
        <v>0.00687639253419015</v>
      </c>
      <c r="N249" s="0" t="n">
        <v>0.065</v>
      </c>
      <c r="O249" s="0" t="n">
        <v>0.000125</v>
      </c>
      <c r="P249" s="29" t="n">
        <f aca="false">D249-('2 Hedge ratio'!$B$6+'2 Hedge ratio'!$B$5*E249)</f>
        <v>0.00668172712610193</v>
      </c>
      <c r="Q249" s="29" t="n">
        <f aca="false">D249-('5 Re-specification'!$B$7+'5 Re-specification'!$B$5*E249+'5 Re-specification'!$B$6*F249)</f>
        <v>0.00209424671332137</v>
      </c>
      <c r="R249" s="30" t="n">
        <f aca="false">MIN(F249,Inputs!$B$9)</f>
        <v>244</v>
      </c>
      <c r="S249" s="29" t="n">
        <f aca="true">IF(AND(F249&gt;=1,R249&gt;=Inputs!$B$10),INDEX(LINEST(OFFSET(D249,-R249,0,R249,1),OFFSET(E249,-R249,0,R249,2)),1,1),"")</f>
        <v>-7.41173030615958E-005</v>
      </c>
      <c r="T249" s="29" t="n">
        <f aca="true">IF(AND(F249&gt;=1,R249&gt;=Inputs!$B$10),INDEX(LINEST(OFFSET(D249,-R249,0,R249,1),OFFSET(E249,-R249,0,R249,2)),1,2),"")</f>
        <v>1.03459181689636</v>
      </c>
      <c r="U249" s="29" t="n">
        <f aca="true">IF(AND(F249&gt;=1,R249&gt;=Inputs!$B$10),INDEX(LINEST(OFFSET(D249,-R249,0,R249,1),OFFSET(E249,-R249,0,R249,2)),1,3),"")</f>
        <v>4.33151725371919</v>
      </c>
      <c r="V249" s="29" t="n">
        <f aca="true">IF(AND(F249&gt;=1,R249&gt;=Inputs!$B$10),SQRT(SUMPRODUCT((OFFSET(D249,-R249,0,R249,1)-U249-T249*OFFSET(E249,-R249,0,R249,1)-S249*OFFSET(F249,-R249,0,R249,1))^2)/(R249-3)),"")</f>
        <v>0.00258471063680764</v>
      </c>
      <c r="W249" s="31" t="n">
        <f aca="false">IF(AND(F249&gt;=1,R249&gt;=Inputs!$B$10),(D249-U249-T249*E249-S249*F249)/V249,"")</f>
        <v>0.488700355675642</v>
      </c>
      <c r="X249" s="30" t="n">
        <f aca="false">IF(AB248&lt;&gt;0,AC248+1,0)</f>
        <v>0</v>
      </c>
      <c r="Y249" s="30" t="n">
        <f aca="false">IF(W249="",0,IF(AND(AB248&lt;&gt;0,OR(ABS(W249)&gt;Inputs!$B$7,X249&gt;=Inputs!$B$8,ABS(W249)&lt;Inputs!$B$6)),1,0))</f>
        <v>0</v>
      </c>
      <c r="Z249" s="30" t="n">
        <f aca="false">IF(Y249=1,0,AB248)</f>
        <v>0</v>
      </c>
      <c r="AA249" s="30" t="n">
        <f aca="false">IF(W249="",0,IF(AND(Z249=0,ABS(W249)&gt;Inputs!$B$5,ABS(W249)&lt;=Inputs!$B$7),1,0))</f>
        <v>0</v>
      </c>
      <c r="AB249" s="30" t="n">
        <f aca="false">IF(W249="",0,IF(AA249=1,-SIGN(W249),Z249))</f>
        <v>0</v>
      </c>
      <c r="AC249" s="30" t="n">
        <f aca="false">IF(W249="",0,IF(AA249=1,0,IF(Y249=1,0,X249)))</f>
        <v>0</v>
      </c>
      <c r="AD249" s="30" t="n">
        <f aca="false">IF(AB249=0,0,IF(AB248=AB249,AD248,T249))</f>
        <v>0</v>
      </c>
      <c r="AE249" s="30" t="n">
        <f aca="false">AB249-AB248</f>
        <v>0</v>
      </c>
      <c r="AF249" s="30" t="n">
        <f aca="false">-AD249*AB249</f>
        <v>-0</v>
      </c>
      <c r="AG249" s="30" t="n">
        <f aca="false">AF249-AF248</f>
        <v>0</v>
      </c>
      <c r="AH249" s="30" t="n">
        <f aca="false">MAX(AE249,0)*(Inputs!$B$17+Inputs!$B$18+Inputs!$B$19)+MAX(-AE249,0)*(O249+Inputs!$B$18+Inputs!$B$19)+IF(AND(K249=1,AB249&lt;&gt;0),(Inputs!$B$17+Inputs!$B$18+Inputs!$B$19)+(O249+Inputs!$B$18+Inputs!$B$19),0)+MAX(AG249,0)*(Inputs!$B$20+Inputs!$B$22+Inputs!$B$23)+MAX(-AG249,0)*(Inputs!$B$21+Inputs!$B$22+Inputs!$B$23)</f>
        <v>0</v>
      </c>
      <c r="AI249" s="30" t="n">
        <f aca="false">AB248*(M249-AD248*J249)+AB248*AD248*N249/Inputs!$B$16-AH249</f>
        <v>0</v>
      </c>
      <c r="AJ249" s="30" t="n">
        <f aca="false">MAX(AE249,0)*(Inputs!$B$17+Inputs!$B$24+Inputs!$B$25)+MAX(-AE249,0)*(O249+Inputs!$B$24+Inputs!$B$25)+IF(AND(K249=1,AB249&lt;&gt;0),(Inputs!$B$17+Inputs!$B$24+Inputs!$B$25)+(O249+Inputs!$B$24+Inputs!$B$25),0)+MAX(AG249,0)*(Inputs!$B$20+Inputs!$B$26+Inputs!$B$27)+MAX(-AG249,0)*(Inputs!$B$21+Inputs!$B$26+Inputs!$B$27)</f>
        <v>0</v>
      </c>
      <c r="AK249" s="30" t="n">
        <f aca="false">AB248*(M249-AD248*J249)+AB248*AD248*(N249+Inputs!$B$14)/Inputs!$B$16-AJ249</f>
        <v>0</v>
      </c>
      <c r="AL249" s="30" t="n">
        <f aca="false">IF(AP248&lt;&gt;0,AQ248+1,0)</f>
        <v>0</v>
      </c>
      <c r="AM249" s="30" t="n">
        <f aca="false">IF(W249="",0,IF(AND(AP248&lt;&gt;0,OR(ABS(W249)&gt;Inputs!$B$7,AL249&gt;=Inputs!$B$8,ABS(W249)&lt;Inputs!$B$6)),1,0))</f>
        <v>0</v>
      </c>
      <c r="AN249" s="30" t="n">
        <f aca="false">IF(AM249=1,0,AP248)</f>
        <v>0</v>
      </c>
      <c r="AO249" s="30" t="n">
        <f aca="false">IF(W249="",0,IF(AND(AN249=0,ABS(W249)&gt;Inputs!$B$5,ABS(W249)&lt;=Inputs!$B$7,W249&gt;0),1,0))</f>
        <v>0</v>
      </c>
      <c r="AP249" s="30" t="n">
        <f aca="false">IF(W249="",0,IF(AO249=1,-SIGN(W249),AN249))</f>
        <v>0</v>
      </c>
      <c r="AQ249" s="30" t="n">
        <f aca="false">IF(W249="",0,IF(AO249=1,0,IF(AM249=1,0,AL249)))</f>
        <v>0</v>
      </c>
      <c r="AR249" s="30" t="n">
        <f aca="false">IF(AP249=0,0,IF(AP248=AP249,AR248,T249))</f>
        <v>0</v>
      </c>
      <c r="AS249" s="30" t="n">
        <f aca="false">AP249-AP248</f>
        <v>0</v>
      </c>
      <c r="AT249" s="30" t="n">
        <f aca="false">-AR249*AP249</f>
        <v>-0</v>
      </c>
      <c r="AU249" s="30" t="n">
        <f aca="false">AT249-AT248</f>
        <v>0</v>
      </c>
      <c r="AV249" s="30" t="n">
        <f aca="false">MAX(AS249,0)*(Inputs!$B$17+Inputs!$B$18+Inputs!$B$19)+MAX(-AS249,0)*(O249+Inputs!$B$18+Inputs!$B$19)+IF(AND(K249=1,AP249&lt;&gt;0),(Inputs!$B$17+Inputs!$B$18+Inputs!$B$19)+(O249+Inputs!$B$18+Inputs!$B$19),0)+MAX(AU249,0)*(Inputs!$B$20+Inputs!$B$22+Inputs!$B$23)+MAX(-AU249,0)*(Inputs!$B$21+Inputs!$B$22+Inputs!$B$23)</f>
        <v>0</v>
      </c>
      <c r="AW249" s="30" t="n">
        <f aca="false">AP248*(M249-AR248*J249)+AP248*AR248*N249/Inputs!$B$16-AV249</f>
        <v>0</v>
      </c>
      <c r="AX249" s="30" t="n">
        <f aca="false">AW249-IF(AP248&lt;&gt;0,0.75*AR248*(Inputs!$B$13-N249)/Inputs!$B$16,0)</f>
        <v>0</v>
      </c>
      <c r="AY249" s="30" t="n">
        <f aca="false">MAX(AS249,0)*(Inputs!$B$17+Inputs!$B$18+Inputs!$B$19)+MAX(-AS249,0)*(O249+Inputs!$B$18+Inputs!$B$19)+IF(AND(K249=1,AP249&lt;&gt;0),(Inputs!$B$17+Inputs!$B$18+Inputs!$B$19)+(O249+Inputs!$B$18+Inputs!$B$19),0)</f>
        <v>0</v>
      </c>
      <c r="AZ249" s="30" t="n">
        <f aca="false">AP248*M249-AY249</f>
        <v>0</v>
      </c>
      <c r="BA249" s="32" t="n">
        <f aca="false">BA248+AI249</f>
        <v>-0.0042764994896359</v>
      </c>
      <c r="BB249" s="30" t="n">
        <f aca="false">MAX(BB248,BA249)</f>
        <v>0</v>
      </c>
      <c r="BC249" s="32" t="n">
        <f aca="false">BA249-BB249</f>
        <v>-0.0042764994896359</v>
      </c>
      <c r="BD249" s="30" t="n">
        <f aca="false">A250-A249</f>
        <v>1</v>
      </c>
    </row>
    <row r="250" customFormat="false" ht="15" hidden="false" customHeight="false" outlineLevel="0" collapsed="false">
      <c r="A250" s="28" t="n">
        <v>45408</v>
      </c>
      <c r="B250" s="0" t="n">
        <v>22571.85</v>
      </c>
      <c r="C250" s="0" t="n">
        <v>248.72</v>
      </c>
      <c r="D250" s="29" t="n">
        <f aca="false">LN(B250)</f>
        <v>10.0244588336656</v>
      </c>
      <c r="E250" s="29" t="n">
        <f aca="false">LN(C250)</f>
        <v>5.5163277657505</v>
      </c>
      <c r="F250" s="0" t="n">
        <v>245</v>
      </c>
      <c r="G250" s="0" t="n">
        <v>34</v>
      </c>
      <c r="H250" s="29" t="n">
        <f aca="false">D250-E250</f>
        <v>4.50813106791507</v>
      </c>
      <c r="I250" s="29" t="n">
        <f aca="false">D250-D249</f>
        <v>-0.000126255494773631</v>
      </c>
      <c r="J250" s="29" t="n">
        <f aca="false">E250-E249</f>
        <v>-0.00265007181794186</v>
      </c>
      <c r="K250" s="0" t="n">
        <v>0</v>
      </c>
      <c r="L250" s="0" t="n">
        <v>1</v>
      </c>
      <c r="M250" s="29" t="n">
        <f aca="false">IF(L250=1,J250-Carry!$B$9/Inputs!$B$16,I250)</f>
        <v>-0.00290952999966299</v>
      </c>
      <c r="N250" s="0" t="n">
        <v>0.065</v>
      </c>
      <c r="O250" s="0" t="n">
        <v>0.000125</v>
      </c>
      <c r="P250" s="29" t="n">
        <f aca="false">D250-('2 Hedge ratio'!$B$6+'2 Hedge ratio'!$B$5*E250)</f>
        <v>0.00898327333767135</v>
      </c>
      <c r="Q250" s="29" t="n">
        <f aca="false">D250-('5 Re-specification'!$B$7+'5 Re-specification'!$B$5*E250+'5 Re-specification'!$B$6*F250)</f>
        <v>0.00465496131188736</v>
      </c>
      <c r="R250" s="30" t="n">
        <f aca="false">MIN(F250,Inputs!$B$9)</f>
        <v>245</v>
      </c>
      <c r="S250" s="29" t="n">
        <f aca="true">IF(AND(F250&gt;=1,R250&gt;=Inputs!$B$10),INDEX(LINEST(OFFSET(D250,-R250,0,R250,1),OFFSET(E250,-R250,0,R250,2)),1,1),"")</f>
        <v>-7.39345501436765E-005</v>
      </c>
      <c r="T250" s="29" t="n">
        <f aca="true">IF(AND(F250&gt;=1,R250&gt;=Inputs!$B$10),INDEX(LINEST(OFFSET(D250,-R250,0,R250,1),OFFSET(E250,-R250,0,R250,2)),1,2),"")</f>
        <v>1.03453131975023</v>
      </c>
      <c r="U250" s="29" t="n">
        <f aca="true">IF(AND(F250&gt;=1,R250&gt;=Inputs!$B$10),INDEX(LINEST(OFFSET(D250,-R250,0,R250,1),OFFSET(E250,-R250,0,R250,2)),1,3),"")</f>
        <v>4.33182737513808</v>
      </c>
      <c r="V250" s="29" t="n">
        <f aca="true">IF(AND(F250&gt;=1,R250&gt;=Inputs!$B$10),SQRT(SUMPRODUCT((OFFSET(D250,-R250,0,R250,1)-U250-T250*OFFSET(E250,-R250,0,R250,1)-S250*OFFSET(F250,-R250,0,R250,1))^2)/(R250-3)),"")</f>
        <v>0.00258062147396052</v>
      </c>
      <c r="W250" s="31" t="n">
        <f aca="false">IF(AND(F250&gt;=1,R250&gt;=Inputs!$B$10),(D250-U250-T250*E250-S250*F250)/V250,"")</f>
        <v>1.52350109292747</v>
      </c>
      <c r="X250" s="30" t="n">
        <f aca="false">IF(AB249&lt;&gt;0,AC249+1,0)</f>
        <v>0</v>
      </c>
      <c r="Y250" s="30" t="n">
        <f aca="false">IF(W250="",0,IF(AND(AB249&lt;&gt;0,OR(ABS(W250)&gt;Inputs!$B$7,X250&gt;=Inputs!$B$8,ABS(W250)&lt;Inputs!$B$6)),1,0))</f>
        <v>0</v>
      </c>
      <c r="Z250" s="30" t="n">
        <f aca="false">IF(Y250=1,0,AB249)</f>
        <v>0</v>
      </c>
      <c r="AA250" s="30" t="n">
        <f aca="false">IF(W250="",0,IF(AND(Z250=0,ABS(W250)&gt;Inputs!$B$5,ABS(W250)&lt;=Inputs!$B$7),1,0))</f>
        <v>0</v>
      </c>
      <c r="AB250" s="30" t="n">
        <f aca="false">IF(W250="",0,IF(AA250=1,-SIGN(W250),Z250))</f>
        <v>0</v>
      </c>
      <c r="AC250" s="30" t="n">
        <f aca="false">IF(W250="",0,IF(AA250=1,0,IF(Y250=1,0,X250)))</f>
        <v>0</v>
      </c>
      <c r="AD250" s="30" t="n">
        <f aca="false">IF(AB250=0,0,IF(AB249=AB250,AD249,T250))</f>
        <v>0</v>
      </c>
      <c r="AE250" s="30" t="n">
        <f aca="false">AB250-AB249</f>
        <v>0</v>
      </c>
      <c r="AF250" s="30" t="n">
        <f aca="false">-AD250*AB250</f>
        <v>-0</v>
      </c>
      <c r="AG250" s="30" t="n">
        <f aca="false">AF250-AF249</f>
        <v>0</v>
      </c>
      <c r="AH250" s="30" t="n">
        <f aca="false">MAX(AE250,0)*(Inputs!$B$17+Inputs!$B$18+Inputs!$B$19)+MAX(-AE250,0)*(O250+Inputs!$B$18+Inputs!$B$19)+IF(AND(K250=1,AB250&lt;&gt;0),(Inputs!$B$17+Inputs!$B$18+Inputs!$B$19)+(O250+Inputs!$B$18+Inputs!$B$19),0)+MAX(AG250,0)*(Inputs!$B$20+Inputs!$B$22+Inputs!$B$23)+MAX(-AG250,0)*(Inputs!$B$21+Inputs!$B$22+Inputs!$B$23)</f>
        <v>0</v>
      </c>
      <c r="AI250" s="30" t="n">
        <f aca="false">AB249*(M250-AD249*J250)+AB249*AD249*N250/Inputs!$B$16-AH250</f>
        <v>0</v>
      </c>
      <c r="AJ250" s="30" t="n">
        <f aca="false">MAX(AE250,0)*(Inputs!$B$17+Inputs!$B$24+Inputs!$B$25)+MAX(-AE250,0)*(O250+Inputs!$B$24+Inputs!$B$25)+IF(AND(K250=1,AB250&lt;&gt;0),(Inputs!$B$17+Inputs!$B$24+Inputs!$B$25)+(O250+Inputs!$B$24+Inputs!$B$25),0)+MAX(AG250,0)*(Inputs!$B$20+Inputs!$B$26+Inputs!$B$27)+MAX(-AG250,0)*(Inputs!$B$21+Inputs!$B$26+Inputs!$B$27)</f>
        <v>0</v>
      </c>
      <c r="AK250" s="30" t="n">
        <f aca="false">AB249*(M250-AD249*J250)+AB249*AD249*(N250+Inputs!$B$14)/Inputs!$B$16-AJ250</f>
        <v>0</v>
      </c>
      <c r="AL250" s="30" t="n">
        <f aca="false">IF(AP249&lt;&gt;0,AQ249+1,0)</f>
        <v>0</v>
      </c>
      <c r="AM250" s="30" t="n">
        <f aca="false">IF(W250="",0,IF(AND(AP249&lt;&gt;0,OR(ABS(W250)&gt;Inputs!$B$7,AL250&gt;=Inputs!$B$8,ABS(W250)&lt;Inputs!$B$6)),1,0))</f>
        <v>0</v>
      </c>
      <c r="AN250" s="30" t="n">
        <f aca="false">IF(AM250=1,0,AP249)</f>
        <v>0</v>
      </c>
      <c r="AO250" s="30" t="n">
        <f aca="false">IF(W250="",0,IF(AND(AN250=0,ABS(W250)&gt;Inputs!$B$5,ABS(W250)&lt;=Inputs!$B$7,W250&gt;0),1,0))</f>
        <v>0</v>
      </c>
      <c r="AP250" s="30" t="n">
        <f aca="false">IF(W250="",0,IF(AO250=1,-SIGN(W250),AN250))</f>
        <v>0</v>
      </c>
      <c r="AQ250" s="30" t="n">
        <f aca="false">IF(W250="",0,IF(AO250=1,0,IF(AM250=1,0,AL250)))</f>
        <v>0</v>
      </c>
      <c r="AR250" s="30" t="n">
        <f aca="false">IF(AP250=0,0,IF(AP249=AP250,AR249,T250))</f>
        <v>0</v>
      </c>
      <c r="AS250" s="30" t="n">
        <f aca="false">AP250-AP249</f>
        <v>0</v>
      </c>
      <c r="AT250" s="30" t="n">
        <f aca="false">-AR250*AP250</f>
        <v>-0</v>
      </c>
      <c r="AU250" s="30" t="n">
        <f aca="false">AT250-AT249</f>
        <v>0</v>
      </c>
      <c r="AV250" s="30" t="n">
        <f aca="false">MAX(AS250,0)*(Inputs!$B$17+Inputs!$B$18+Inputs!$B$19)+MAX(-AS250,0)*(O250+Inputs!$B$18+Inputs!$B$19)+IF(AND(K250=1,AP250&lt;&gt;0),(Inputs!$B$17+Inputs!$B$18+Inputs!$B$19)+(O250+Inputs!$B$18+Inputs!$B$19),0)+MAX(AU250,0)*(Inputs!$B$20+Inputs!$B$22+Inputs!$B$23)+MAX(-AU250,0)*(Inputs!$B$21+Inputs!$B$22+Inputs!$B$23)</f>
        <v>0</v>
      </c>
      <c r="AW250" s="30" t="n">
        <f aca="false">AP249*(M250-AR249*J250)+AP249*AR249*N250/Inputs!$B$16-AV250</f>
        <v>0</v>
      </c>
      <c r="AX250" s="30" t="n">
        <f aca="false">AW250-IF(AP249&lt;&gt;0,0.75*AR249*(Inputs!$B$13-N250)/Inputs!$B$16,0)</f>
        <v>0</v>
      </c>
      <c r="AY250" s="30" t="n">
        <f aca="false">MAX(AS250,0)*(Inputs!$B$17+Inputs!$B$18+Inputs!$B$19)+MAX(-AS250,0)*(O250+Inputs!$B$18+Inputs!$B$19)+IF(AND(K250=1,AP250&lt;&gt;0),(Inputs!$B$17+Inputs!$B$18+Inputs!$B$19)+(O250+Inputs!$B$18+Inputs!$B$19),0)</f>
        <v>0</v>
      </c>
      <c r="AZ250" s="30" t="n">
        <f aca="false">AP249*M250-AY250</f>
        <v>-0</v>
      </c>
      <c r="BA250" s="32" t="n">
        <f aca="false">BA249+AI250</f>
        <v>-0.0042764994896359</v>
      </c>
      <c r="BB250" s="30" t="n">
        <f aca="false">MAX(BB249,BA250)</f>
        <v>0</v>
      </c>
      <c r="BC250" s="32" t="n">
        <f aca="false">BA250-BB250</f>
        <v>-0.0042764994896359</v>
      </c>
      <c r="BD250" s="30" t="n">
        <f aca="false">A251-A250</f>
        <v>3</v>
      </c>
    </row>
    <row r="251" customFormat="false" ht="15" hidden="false" customHeight="false" outlineLevel="0" collapsed="false">
      <c r="A251" s="28" t="n">
        <v>45411</v>
      </c>
      <c r="B251" s="0" t="n">
        <v>22745.15</v>
      </c>
      <c r="C251" s="0" t="n">
        <v>250.31</v>
      </c>
      <c r="D251" s="29" t="n">
        <f aca="false">LN(B251)</f>
        <v>10.0321072148384</v>
      </c>
      <c r="E251" s="29" t="n">
        <f aca="false">LN(C251)</f>
        <v>5.5227001496972</v>
      </c>
      <c r="F251" s="0" t="n">
        <v>246</v>
      </c>
      <c r="G251" s="0" t="n">
        <v>31</v>
      </c>
      <c r="H251" s="29" t="n">
        <f aca="false">D251-E251</f>
        <v>4.50940706514117</v>
      </c>
      <c r="I251" s="29" t="n">
        <f aca="false">D251-D250</f>
        <v>0.0076483811728032</v>
      </c>
      <c r="J251" s="29" t="n">
        <f aca="false">E251-E250</f>
        <v>0.00637238394669915</v>
      </c>
      <c r="K251" s="0" t="n">
        <v>0</v>
      </c>
      <c r="L251" s="0" t="n">
        <v>0</v>
      </c>
      <c r="M251" s="29" t="n">
        <f aca="false">IF(L251=1,J251-Carry!$B$9/Inputs!$B$16,I251)</f>
        <v>0.0076483811728032</v>
      </c>
      <c r="N251" s="0" t="n">
        <v>0.065</v>
      </c>
      <c r="O251" s="0" t="n">
        <v>0.000125</v>
      </c>
      <c r="P251" s="29" t="n">
        <f aca="false">D251-('2 Hedge ratio'!$B$6+'2 Hedge ratio'!$B$5*E251)</f>
        <v>0.0107937430567073</v>
      </c>
      <c r="Q251" s="29" t="n">
        <f aca="false">D251-('5 Re-specification'!$B$7+'5 Re-specification'!$B$5*E251+'5 Re-specification'!$B$6*F251)</f>
        <v>0.00599519936577053</v>
      </c>
      <c r="R251" s="30" t="n">
        <f aca="false">MIN(F251,Inputs!$B$9)</f>
        <v>246</v>
      </c>
      <c r="S251" s="29" t="n">
        <f aca="true">IF(AND(F251&gt;=1,R251&gt;=Inputs!$B$10),INDEX(LINEST(OFFSET(D251,-R251,0,R251,1),OFFSET(E251,-R251,0,R251,2)),1,1),"")</f>
        <v>-7.32585365006097E-005</v>
      </c>
      <c r="T251" s="29" t="n">
        <f aca="true">IF(AND(F251&gt;=1,R251&gt;=Inputs!$B$10),INDEX(LINEST(OFFSET(D251,-R251,0,R251,1),OFFSET(E251,-R251,0,R251,2)),1,2),"")</f>
        <v>1.03422560596811</v>
      </c>
      <c r="U251" s="29" t="n">
        <f aca="true">IF(AND(F251&gt;=1,R251&gt;=Inputs!$B$10),INDEX(LINEST(OFFSET(D251,-R251,0,R251,1),OFFSET(E251,-R251,0,R251,2)),1,3),"")</f>
        <v>4.33341444829841</v>
      </c>
      <c r="V251" s="29" t="n">
        <f aca="true">IF(AND(F251&gt;=1,R251&gt;=Inputs!$B$10),SQRT(SUMPRODUCT((OFFSET(D251,-R251,0,R251,1)-U251-T251*OFFSET(E251,-R251,0,R251,1)-S251*OFFSET(F251,-R251,0,R251,1))^2)/(R251-3)),"")</f>
        <v>0.0025874194505597</v>
      </c>
      <c r="W251" s="31" t="n">
        <f aca="false">IF(AND(F251&gt;=1,R251&gt;=Inputs!$B$10),(D251-U251-T251*E251-S251*F251)/V251,"")</f>
        <v>1.93105822764116</v>
      </c>
      <c r="X251" s="30" t="n">
        <f aca="false">IF(AB250&lt;&gt;0,AC250+1,0)</f>
        <v>0</v>
      </c>
      <c r="Y251" s="30" t="n">
        <f aca="false">IF(W251="",0,IF(AND(AB250&lt;&gt;0,OR(ABS(W251)&gt;Inputs!$B$7,X251&gt;=Inputs!$B$8,ABS(W251)&lt;Inputs!$B$6)),1,0))</f>
        <v>0</v>
      </c>
      <c r="Z251" s="30" t="n">
        <f aca="false">IF(Y251=1,0,AB250)</f>
        <v>0</v>
      </c>
      <c r="AA251" s="30" t="n">
        <f aca="false">IF(W251="",0,IF(AND(Z251=0,ABS(W251)&gt;Inputs!$B$5,ABS(W251)&lt;=Inputs!$B$7),1,0))</f>
        <v>0</v>
      </c>
      <c r="AB251" s="30" t="n">
        <f aca="false">IF(W251="",0,IF(AA251=1,-SIGN(W251),Z251))</f>
        <v>0</v>
      </c>
      <c r="AC251" s="30" t="n">
        <f aca="false">IF(W251="",0,IF(AA251=1,0,IF(Y251=1,0,X251)))</f>
        <v>0</v>
      </c>
      <c r="AD251" s="30" t="n">
        <f aca="false">IF(AB251=0,0,IF(AB250=AB251,AD250,T251))</f>
        <v>0</v>
      </c>
      <c r="AE251" s="30" t="n">
        <f aca="false">AB251-AB250</f>
        <v>0</v>
      </c>
      <c r="AF251" s="30" t="n">
        <f aca="false">-AD251*AB251</f>
        <v>-0</v>
      </c>
      <c r="AG251" s="30" t="n">
        <f aca="false">AF251-AF250</f>
        <v>0</v>
      </c>
      <c r="AH251" s="30" t="n">
        <f aca="false">MAX(AE251,0)*(Inputs!$B$17+Inputs!$B$18+Inputs!$B$19)+MAX(-AE251,0)*(O251+Inputs!$B$18+Inputs!$B$19)+IF(AND(K251=1,AB251&lt;&gt;0),(Inputs!$B$17+Inputs!$B$18+Inputs!$B$19)+(O251+Inputs!$B$18+Inputs!$B$19),0)+MAX(AG251,0)*(Inputs!$B$20+Inputs!$B$22+Inputs!$B$23)+MAX(-AG251,0)*(Inputs!$B$21+Inputs!$B$22+Inputs!$B$23)</f>
        <v>0</v>
      </c>
      <c r="AI251" s="30" t="n">
        <f aca="false">AB250*(M251-AD250*J251)+AB250*AD250*N251/Inputs!$B$16-AH251</f>
        <v>0</v>
      </c>
      <c r="AJ251" s="30" t="n">
        <f aca="false">MAX(AE251,0)*(Inputs!$B$17+Inputs!$B$24+Inputs!$B$25)+MAX(-AE251,0)*(O251+Inputs!$B$24+Inputs!$B$25)+IF(AND(K251=1,AB251&lt;&gt;0),(Inputs!$B$17+Inputs!$B$24+Inputs!$B$25)+(O251+Inputs!$B$24+Inputs!$B$25),0)+MAX(AG251,0)*(Inputs!$B$20+Inputs!$B$26+Inputs!$B$27)+MAX(-AG251,0)*(Inputs!$B$21+Inputs!$B$26+Inputs!$B$27)</f>
        <v>0</v>
      </c>
      <c r="AK251" s="30" t="n">
        <f aca="false">AB250*(M251-AD250*J251)+AB250*AD250*(N251+Inputs!$B$14)/Inputs!$B$16-AJ251</f>
        <v>0</v>
      </c>
      <c r="AL251" s="30" t="n">
        <f aca="false">IF(AP250&lt;&gt;0,AQ250+1,0)</f>
        <v>0</v>
      </c>
      <c r="AM251" s="30" t="n">
        <f aca="false">IF(W251="",0,IF(AND(AP250&lt;&gt;0,OR(ABS(W251)&gt;Inputs!$B$7,AL251&gt;=Inputs!$B$8,ABS(W251)&lt;Inputs!$B$6)),1,0))</f>
        <v>0</v>
      </c>
      <c r="AN251" s="30" t="n">
        <f aca="false">IF(AM251=1,0,AP250)</f>
        <v>0</v>
      </c>
      <c r="AO251" s="30" t="n">
        <f aca="false">IF(W251="",0,IF(AND(AN251=0,ABS(W251)&gt;Inputs!$B$5,ABS(W251)&lt;=Inputs!$B$7,W251&gt;0),1,0))</f>
        <v>0</v>
      </c>
      <c r="AP251" s="30" t="n">
        <f aca="false">IF(W251="",0,IF(AO251=1,-SIGN(W251),AN251))</f>
        <v>0</v>
      </c>
      <c r="AQ251" s="30" t="n">
        <f aca="false">IF(W251="",0,IF(AO251=1,0,IF(AM251=1,0,AL251)))</f>
        <v>0</v>
      </c>
      <c r="AR251" s="30" t="n">
        <f aca="false">IF(AP251=0,0,IF(AP250=AP251,AR250,T251))</f>
        <v>0</v>
      </c>
      <c r="AS251" s="30" t="n">
        <f aca="false">AP251-AP250</f>
        <v>0</v>
      </c>
      <c r="AT251" s="30" t="n">
        <f aca="false">-AR251*AP251</f>
        <v>-0</v>
      </c>
      <c r="AU251" s="30" t="n">
        <f aca="false">AT251-AT250</f>
        <v>0</v>
      </c>
      <c r="AV251" s="30" t="n">
        <f aca="false">MAX(AS251,0)*(Inputs!$B$17+Inputs!$B$18+Inputs!$B$19)+MAX(-AS251,0)*(O251+Inputs!$B$18+Inputs!$B$19)+IF(AND(K251=1,AP251&lt;&gt;0),(Inputs!$B$17+Inputs!$B$18+Inputs!$B$19)+(O251+Inputs!$B$18+Inputs!$B$19),0)+MAX(AU251,0)*(Inputs!$B$20+Inputs!$B$22+Inputs!$B$23)+MAX(-AU251,0)*(Inputs!$B$21+Inputs!$B$22+Inputs!$B$23)</f>
        <v>0</v>
      </c>
      <c r="AW251" s="30" t="n">
        <f aca="false">AP250*(M251-AR250*J251)+AP250*AR250*N251/Inputs!$B$16-AV251</f>
        <v>0</v>
      </c>
      <c r="AX251" s="30" t="n">
        <f aca="false">AW251-IF(AP250&lt;&gt;0,0.75*AR250*(Inputs!$B$13-N251)/Inputs!$B$16,0)</f>
        <v>0</v>
      </c>
      <c r="AY251" s="30" t="n">
        <f aca="false">MAX(AS251,0)*(Inputs!$B$17+Inputs!$B$18+Inputs!$B$19)+MAX(-AS251,0)*(O251+Inputs!$B$18+Inputs!$B$19)+IF(AND(K251=1,AP251&lt;&gt;0),(Inputs!$B$17+Inputs!$B$18+Inputs!$B$19)+(O251+Inputs!$B$18+Inputs!$B$19),0)</f>
        <v>0</v>
      </c>
      <c r="AZ251" s="30" t="n">
        <f aca="false">AP250*M251-AY251</f>
        <v>0</v>
      </c>
      <c r="BA251" s="32" t="n">
        <f aca="false">BA250+AI251</f>
        <v>-0.0042764994896359</v>
      </c>
      <c r="BB251" s="30" t="n">
        <f aca="false">MAX(BB250,BA251)</f>
        <v>0</v>
      </c>
      <c r="BC251" s="32" t="n">
        <f aca="false">BA251-BB251</f>
        <v>-0.0042764994896359</v>
      </c>
      <c r="BD251" s="30" t="n">
        <f aca="false">A252-A251</f>
        <v>1</v>
      </c>
    </row>
    <row r="252" customFormat="false" ht="15" hidden="false" customHeight="false" outlineLevel="0" collapsed="false">
      <c r="A252" s="28" t="n">
        <v>45412</v>
      </c>
      <c r="B252" s="0" t="n">
        <v>22705</v>
      </c>
      <c r="C252" s="0" t="n">
        <v>249.98</v>
      </c>
      <c r="D252" s="29" t="n">
        <f aca="false">LN(B252)</f>
        <v>10.0303404435321</v>
      </c>
      <c r="E252" s="29" t="n">
        <f aca="false">LN(C252)</f>
        <v>5.52138091466208</v>
      </c>
      <c r="F252" s="0" t="n">
        <v>247</v>
      </c>
      <c r="G252" s="0" t="n">
        <v>30</v>
      </c>
      <c r="H252" s="29" t="n">
        <f aca="false">D252-E252</f>
        <v>4.50895952886998</v>
      </c>
      <c r="I252" s="29" t="n">
        <f aca="false">D252-D251</f>
        <v>-0.00176677130632008</v>
      </c>
      <c r="J252" s="29" t="n">
        <f aca="false">E252-E251</f>
        <v>-0.00131923503512166</v>
      </c>
      <c r="K252" s="0" t="n">
        <v>0</v>
      </c>
      <c r="L252" s="0" t="n">
        <v>0</v>
      </c>
      <c r="M252" s="29" t="n">
        <f aca="false">IF(L252=1,J252-Carry!$B$9/Inputs!$B$16,I252)</f>
        <v>-0.00176677130632008</v>
      </c>
      <c r="N252" s="0" t="n">
        <v>0.065</v>
      </c>
      <c r="O252" s="0" t="n">
        <v>0.000125</v>
      </c>
      <c r="P252" s="29" t="n">
        <f aca="false">D252-('2 Hedge ratio'!$B$6+'2 Hedge ratio'!$B$5*E252)</f>
        <v>0.010235558267798</v>
      </c>
      <c r="Q252" s="29" t="n">
        <f aca="false">D252-('5 Re-specification'!$B$7+'5 Re-specification'!$B$5*E252+'5 Re-specification'!$B$6*F252)</f>
        <v>0.00558859447086846</v>
      </c>
      <c r="R252" s="30" t="n">
        <f aca="false">MIN(F252,Inputs!$B$9)</f>
        <v>247</v>
      </c>
      <c r="S252" s="29" t="n">
        <f aca="true">IF(AND(F252&gt;=1,R252&gt;=Inputs!$B$10),INDEX(LINEST(OFFSET(D252,-R252,0,R252,1),OFFSET(E252,-R252,0,R252,2)),1,1),"")</f>
        <v>-7.26274749574885E-005</v>
      </c>
      <c r="T252" s="29" t="n">
        <f aca="true">IF(AND(F252&gt;=1,R252&gt;=Inputs!$B$10),INDEX(LINEST(OFFSET(D252,-R252,0,R252,1),OFFSET(E252,-R252,0,R252,2)),1,2),"")</f>
        <v>1.03407506538337</v>
      </c>
      <c r="U252" s="29" t="n">
        <f aca="true">IF(AND(F252&gt;=1,R252&gt;=Inputs!$B$10),INDEX(LINEST(OFFSET(D252,-R252,0,R252,1),OFFSET(E252,-R252,0,R252,2)),1,3),"")</f>
        <v>4.33417154525696</v>
      </c>
      <c r="V252" s="29" t="n">
        <f aca="true">IF(AND(F252&gt;=1,R252&gt;=Inputs!$B$10),SQRT(SUMPRODUCT((OFFSET(D252,-R252,0,R252,1)-U252-T252*OFFSET(E252,-R252,0,R252,1)-S252*OFFSET(F252,-R252,0,R252,1))^2)/(R252-3)),"")</f>
        <v>0.00260152998404956</v>
      </c>
      <c r="W252" s="31" t="n">
        <f aca="false">IF(AND(F252&gt;=1,R252&gt;=Inputs!$B$10),(D252-U252-T252*E252-S252*F252)/V252,"")</f>
        <v>1.76263747950309</v>
      </c>
      <c r="X252" s="30" t="n">
        <f aca="false">IF(AB251&lt;&gt;0,AC251+1,0)</f>
        <v>0</v>
      </c>
      <c r="Y252" s="30" t="n">
        <f aca="false">IF(W252="",0,IF(AND(AB251&lt;&gt;0,OR(ABS(W252)&gt;Inputs!$B$7,X252&gt;=Inputs!$B$8,ABS(W252)&lt;Inputs!$B$6)),1,0))</f>
        <v>0</v>
      </c>
      <c r="Z252" s="30" t="n">
        <f aca="false">IF(Y252=1,0,AB251)</f>
        <v>0</v>
      </c>
      <c r="AA252" s="30" t="n">
        <f aca="false">IF(W252="",0,IF(AND(Z252=0,ABS(W252)&gt;Inputs!$B$5,ABS(W252)&lt;=Inputs!$B$7),1,0))</f>
        <v>0</v>
      </c>
      <c r="AB252" s="30" t="n">
        <f aca="false">IF(W252="",0,IF(AA252=1,-SIGN(W252),Z252))</f>
        <v>0</v>
      </c>
      <c r="AC252" s="30" t="n">
        <f aca="false">IF(W252="",0,IF(AA252=1,0,IF(Y252=1,0,X252)))</f>
        <v>0</v>
      </c>
      <c r="AD252" s="30" t="n">
        <f aca="false">IF(AB252=0,0,IF(AB251=AB252,AD251,T252))</f>
        <v>0</v>
      </c>
      <c r="AE252" s="30" t="n">
        <f aca="false">AB252-AB251</f>
        <v>0</v>
      </c>
      <c r="AF252" s="30" t="n">
        <f aca="false">-AD252*AB252</f>
        <v>-0</v>
      </c>
      <c r="AG252" s="30" t="n">
        <f aca="false">AF252-AF251</f>
        <v>0</v>
      </c>
      <c r="AH252" s="30" t="n">
        <f aca="false">MAX(AE252,0)*(Inputs!$B$17+Inputs!$B$18+Inputs!$B$19)+MAX(-AE252,0)*(O252+Inputs!$B$18+Inputs!$B$19)+IF(AND(K252=1,AB252&lt;&gt;0),(Inputs!$B$17+Inputs!$B$18+Inputs!$B$19)+(O252+Inputs!$B$18+Inputs!$B$19),0)+MAX(AG252,0)*(Inputs!$B$20+Inputs!$B$22+Inputs!$B$23)+MAX(-AG252,0)*(Inputs!$B$21+Inputs!$B$22+Inputs!$B$23)</f>
        <v>0</v>
      </c>
      <c r="AI252" s="30" t="n">
        <f aca="false">AB251*(M252-AD251*J252)+AB251*AD251*N252/Inputs!$B$16-AH252</f>
        <v>0</v>
      </c>
      <c r="AJ252" s="30" t="n">
        <f aca="false">MAX(AE252,0)*(Inputs!$B$17+Inputs!$B$24+Inputs!$B$25)+MAX(-AE252,0)*(O252+Inputs!$B$24+Inputs!$B$25)+IF(AND(K252=1,AB252&lt;&gt;0),(Inputs!$B$17+Inputs!$B$24+Inputs!$B$25)+(O252+Inputs!$B$24+Inputs!$B$25),0)+MAX(AG252,0)*(Inputs!$B$20+Inputs!$B$26+Inputs!$B$27)+MAX(-AG252,0)*(Inputs!$B$21+Inputs!$B$26+Inputs!$B$27)</f>
        <v>0</v>
      </c>
      <c r="AK252" s="30" t="n">
        <f aca="false">AB251*(M252-AD251*J252)+AB251*AD251*(N252+Inputs!$B$14)/Inputs!$B$16-AJ252</f>
        <v>0</v>
      </c>
      <c r="AL252" s="30" t="n">
        <f aca="false">IF(AP251&lt;&gt;0,AQ251+1,0)</f>
        <v>0</v>
      </c>
      <c r="AM252" s="30" t="n">
        <f aca="false">IF(W252="",0,IF(AND(AP251&lt;&gt;0,OR(ABS(W252)&gt;Inputs!$B$7,AL252&gt;=Inputs!$B$8,ABS(W252)&lt;Inputs!$B$6)),1,0))</f>
        <v>0</v>
      </c>
      <c r="AN252" s="30" t="n">
        <f aca="false">IF(AM252=1,0,AP251)</f>
        <v>0</v>
      </c>
      <c r="AO252" s="30" t="n">
        <f aca="false">IF(W252="",0,IF(AND(AN252=0,ABS(W252)&gt;Inputs!$B$5,ABS(W252)&lt;=Inputs!$B$7,W252&gt;0),1,0))</f>
        <v>0</v>
      </c>
      <c r="AP252" s="30" t="n">
        <f aca="false">IF(W252="",0,IF(AO252=1,-SIGN(W252),AN252))</f>
        <v>0</v>
      </c>
      <c r="AQ252" s="30" t="n">
        <f aca="false">IF(W252="",0,IF(AO252=1,0,IF(AM252=1,0,AL252)))</f>
        <v>0</v>
      </c>
      <c r="AR252" s="30" t="n">
        <f aca="false">IF(AP252=0,0,IF(AP251=AP252,AR251,T252))</f>
        <v>0</v>
      </c>
      <c r="AS252" s="30" t="n">
        <f aca="false">AP252-AP251</f>
        <v>0</v>
      </c>
      <c r="AT252" s="30" t="n">
        <f aca="false">-AR252*AP252</f>
        <v>-0</v>
      </c>
      <c r="AU252" s="30" t="n">
        <f aca="false">AT252-AT251</f>
        <v>0</v>
      </c>
      <c r="AV252" s="30" t="n">
        <f aca="false">MAX(AS252,0)*(Inputs!$B$17+Inputs!$B$18+Inputs!$B$19)+MAX(-AS252,0)*(O252+Inputs!$B$18+Inputs!$B$19)+IF(AND(K252=1,AP252&lt;&gt;0),(Inputs!$B$17+Inputs!$B$18+Inputs!$B$19)+(O252+Inputs!$B$18+Inputs!$B$19),0)+MAX(AU252,0)*(Inputs!$B$20+Inputs!$B$22+Inputs!$B$23)+MAX(-AU252,0)*(Inputs!$B$21+Inputs!$B$22+Inputs!$B$23)</f>
        <v>0</v>
      </c>
      <c r="AW252" s="30" t="n">
        <f aca="false">AP251*(M252-AR251*J252)+AP251*AR251*N252/Inputs!$B$16-AV252</f>
        <v>0</v>
      </c>
      <c r="AX252" s="30" t="n">
        <f aca="false">AW252-IF(AP251&lt;&gt;0,0.75*AR251*(Inputs!$B$13-N252)/Inputs!$B$16,0)</f>
        <v>0</v>
      </c>
      <c r="AY252" s="30" t="n">
        <f aca="false">MAX(AS252,0)*(Inputs!$B$17+Inputs!$B$18+Inputs!$B$19)+MAX(-AS252,0)*(O252+Inputs!$B$18+Inputs!$B$19)+IF(AND(K252=1,AP252&lt;&gt;0),(Inputs!$B$17+Inputs!$B$18+Inputs!$B$19)+(O252+Inputs!$B$18+Inputs!$B$19),0)</f>
        <v>0</v>
      </c>
      <c r="AZ252" s="30" t="n">
        <f aca="false">AP251*M252-AY252</f>
        <v>-0</v>
      </c>
      <c r="BA252" s="32" t="n">
        <f aca="false">BA251+AI252</f>
        <v>-0.0042764994896359</v>
      </c>
      <c r="BB252" s="30" t="n">
        <f aca="false">MAX(BB251,BA252)</f>
        <v>0</v>
      </c>
      <c r="BC252" s="32" t="n">
        <f aca="false">BA252-BB252</f>
        <v>-0.0042764994896359</v>
      </c>
      <c r="BD252" s="30" t="n">
        <f aca="false">A253-A252</f>
        <v>2</v>
      </c>
    </row>
    <row r="253" customFormat="false" ht="15" hidden="false" customHeight="false" outlineLevel="0" collapsed="false">
      <c r="A253" s="28" t="n">
        <v>45414</v>
      </c>
      <c r="B253" s="0" t="n">
        <v>22779.95</v>
      </c>
      <c r="C253" s="0" t="n">
        <v>250.89</v>
      </c>
      <c r="D253" s="29" t="n">
        <f aca="false">LN(B253)</f>
        <v>10.033636042091</v>
      </c>
      <c r="E253" s="29" t="n">
        <f aca="false">LN(C253)</f>
        <v>5.52501459606154</v>
      </c>
      <c r="F253" s="0" t="n">
        <v>248</v>
      </c>
      <c r="G253" s="0" t="n">
        <v>28</v>
      </c>
      <c r="H253" s="29" t="n">
        <f aca="false">D253-E253</f>
        <v>4.50862144602941</v>
      </c>
      <c r="I253" s="29" t="n">
        <f aca="false">D253-D252</f>
        <v>0.00329559855889983</v>
      </c>
      <c r="J253" s="29" t="n">
        <f aca="false">E253-E252</f>
        <v>0.00363368139946818</v>
      </c>
      <c r="K253" s="0" t="n">
        <v>0</v>
      </c>
      <c r="L253" s="0" t="n">
        <v>0</v>
      </c>
      <c r="M253" s="29" t="n">
        <f aca="false">IF(L253=1,J253-Carry!$B$9/Inputs!$B$16,I253)</f>
        <v>0.00329559855889983</v>
      </c>
      <c r="N253" s="0" t="n">
        <v>0.065</v>
      </c>
      <c r="O253" s="0" t="n">
        <v>0.000125</v>
      </c>
      <c r="P253" s="29" t="n">
        <f aca="false">D253-('2 Hedge ratio'!$B$6+'2 Hedge ratio'!$B$5*E253)</f>
        <v>0.0102022440620679</v>
      </c>
      <c r="Q253" s="29" t="n">
        <f aca="false">D253-('5 Re-specification'!$B$7+'5 Re-specification'!$B$5*E253+'5 Re-specification'!$B$6*F253)</f>
        <v>0.0053064528199549</v>
      </c>
      <c r="R253" s="30" t="n">
        <f aca="false">MIN(F253,Inputs!$B$9)</f>
        <v>248</v>
      </c>
      <c r="S253" s="29" t="n">
        <f aca="true">IF(AND(F253&gt;=1,R253&gt;=Inputs!$B$10),INDEX(LINEST(OFFSET(D253,-R253,0,R253,1),OFFSET(E253,-R253,0,R253,2)),1,1),"")</f>
        <v>-7.19709113529253E-005</v>
      </c>
      <c r="T253" s="29" t="n">
        <f aca="true">IF(AND(F253&gt;=1,R253&gt;=Inputs!$B$10),INDEX(LINEST(OFFSET(D253,-R253,0,R253,1),OFFSET(E253,-R253,0,R253,2)),1,2),"")</f>
        <v>1.03385068677377</v>
      </c>
      <c r="U253" s="29" t="n">
        <f aca="true">IF(AND(F253&gt;=1,R253&gt;=Inputs!$B$10),INDEX(LINEST(OFFSET(D253,-R253,0,R253,1),OFFSET(E253,-R253,0,R253,2)),1,3),"")</f>
        <v>4.33532303442765</v>
      </c>
      <c r="V253" s="29" t="n">
        <f aca="true">IF(AND(F253&gt;=1,R253&gt;=Inputs!$B$10),SQRT(SUMPRODUCT((OFFSET(D253,-R253,0,R253,1)-U253-T253*OFFSET(E253,-R253,0,R253,1)-S253*OFFSET(F253,-R253,0,R253,1))^2)/(R253-3)),"")</f>
        <v>0.00261242417111613</v>
      </c>
      <c r="W253" s="31" t="n">
        <f aca="false">IF(AND(F253&gt;=1,R253&gt;=Inputs!$B$10),(D253-U253-T253*E253-S253*F253)/V253,"")</f>
        <v>1.57771435092489</v>
      </c>
      <c r="X253" s="30" t="n">
        <f aca="false">IF(AB252&lt;&gt;0,AC252+1,0)</f>
        <v>0</v>
      </c>
      <c r="Y253" s="30" t="n">
        <f aca="false">IF(W253="",0,IF(AND(AB252&lt;&gt;0,OR(ABS(W253)&gt;Inputs!$B$7,X253&gt;=Inputs!$B$8,ABS(W253)&lt;Inputs!$B$6)),1,0))</f>
        <v>0</v>
      </c>
      <c r="Z253" s="30" t="n">
        <f aca="false">IF(Y253=1,0,AB252)</f>
        <v>0</v>
      </c>
      <c r="AA253" s="30" t="n">
        <f aca="false">IF(W253="",0,IF(AND(Z253=0,ABS(W253)&gt;Inputs!$B$5,ABS(W253)&lt;=Inputs!$B$7),1,0))</f>
        <v>0</v>
      </c>
      <c r="AB253" s="30" t="n">
        <f aca="false">IF(W253="",0,IF(AA253=1,-SIGN(W253),Z253))</f>
        <v>0</v>
      </c>
      <c r="AC253" s="30" t="n">
        <f aca="false">IF(W253="",0,IF(AA253=1,0,IF(Y253=1,0,X253)))</f>
        <v>0</v>
      </c>
      <c r="AD253" s="30" t="n">
        <f aca="false">IF(AB253=0,0,IF(AB252=AB253,AD252,T253))</f>
        <v>0</v>
      </c>
      <c r="AE253" s="30" t="n">
        <f aca="false">AB253-AB252</f>
        <v>0</v>
      </c>
      <c r="AF253" s="30" t="n">
        <f aca="false">-AD253*AB253</f>
        <v>-0</v>
      </c>
      <c r="AG253" s="30" t="n">
        <f aca="false">AF253-AF252</f>
        <v>0</v>
      </c>
      <c r="AH253" s="30" t="n">
        <f aca="false">MAX(AE253,0)*(Inputs!$B$17+Inputs!$B$18+Inputs!$B$19)+MAX(-AE253,0)*(O253+Inputs!$B$18+Inputs!$B$19)+IF(AND(K253=1,AB253&lt;&gt;0),(Inputs!$B$17+Inputs!$B$18+Inputs!$B$19)+(O253+Inputs!$B$18+Inputs!$B$19),0)+MAX(AG253,0)*(Inputs!$B$20+Inputs!$B$22+Inputs!$B$23)+MAX(-AG253,0)*(Inputs!$B$21+Inputs!$B$22+Inputs!$B$23)</f>
        <v>0</v>
      </c>
      <c r="AI253" s="30" t="n">
        <f aca="false">AB252*(M253-AD252*J253)+AB252*AD252*N253/Inputs!$B$16-AH253</f>
        <v>0</v>
      </c>
      <c r="AJ253" s="30" t="n">
        <f aca="false">MAX(AE253,0)*(Inputs!$B$17+Inputs!$B$24+Inputs!$B$25)+MAX(-AE253,0)*(O253+Inputs!$B$24+Inputs!$B$25)+IF(AND(K253=1,AB253&lt;&gt;0),(Inputs!$B$17+Inputs!$B$24+Inputs!$B$25)+(O253+Inputs!$B$24+Inputs!$B$25),0)+MAX(AG253,0)*(Inputs!$B$20+Inputs!$B$26+Inputs!$B$27)+MAX(-AG253,0)*(Inputs!$B$21+Inputs!$B$26+Inputs!$B$27)</f>
        <v>0</v>
      </c>
      <c r="AK253" s="30" t="n">
        <f aca="false">AB252*(M253-AD252*J253)+AB252*AD252*(N253+Inputs!$B$14)/Inputs!$B$16-AJ253</f>
        <v>0</v>
      </c>
      <c r="AL253" s="30" t="n">
        <f aca="false">IF(AP252&lt;&gt;0,AQ252+1,0)</f>
        <v>0</v>
      </c>
      <c r="AM253" s="30" t="n">
        <f aca="false">IF(W253="",0,IF(AND(AP252&lt;&gt;0,OR(ABS(W253)&gt;Inputs!$B$7,AL253&gt;=Inputs!$B$8,ABS(W253)&lt;Inputs!$B$6)),1,0))</f>
        <v>0</v>
      </c>
      <c r="AN253" s="30" t="n">
        <f aca="false">IF(AM253=1,0,AP252)</f>
        <v>0</v>
      </c>
      <c r="AO253" s="30" t="n">
        <f aca="false">IF(W253="",0,IF(AND(AN253=0,ABS(W253)&gt;Inputs!$B$5,ABS(W253)&lt;=Inputs!$B$7,W253&gt;0),1,0))</f>
        <v>0</v>
      </c>
      <c r="AP253" s="30" t="n">
        <f aca="false">IF(W253="",0,IF(AO253=1,-SIGN(W253),AN253))</f>
        <v>0</v>
      </c>
      <c r="AQ253" s="30" t="n">
        <f aca="false">IF(W253="",0,IF(AO253=1,0,IF(AM253=1,0,AL253)))</f>
        <v>0</v>
      </c>
      <c r="AR253" s="30" t="n">
        <f aca="false">IF(AP253=0,0,IF(AP252=AP253,AR252,T253))</f>
        <v>0</v>
      </c>
      <c r="AS253" s="30" t="n">
        <f aca="false">AP253-AP252</f>
        <v>0</v>
      </c>
      <c r="AT253" s="30" t="n">
        <f aca="false">-AR253*AP253</f>
        <v>-0</v>
      </c>
      <c r="AU253" s="30" t="n">
        <f aca="false">AT253-AT252</f>
        <v>0</v>
      </c>
      <c r="AV253" s="30" t="n">
        <f aca="false">MAX(AS253,0)*(Inputs!$B$17+Inputs!$B$18+Inputs!$B$19)+MAX(-AS253,0)*(O253+Inputs!$B$18+Inputs!$B$19)+IF(AND(K253=1,AP253&lt;&gt;0),(Inputs!$B$17+Inputs!$B$18+Inputs!$B$19)+(O253+Inputs!$B$18+Inputs!$B$19),0)+MAX(AU253,0)*(Inputs!$B$20+Inputs!$B$22+Inputs!$B$23)+MAX(-AU253,0)*(Inputs!$B$21+Inputs!$B$22+Inputs!$B$23)</f>
        <v>0</v>
      </c>
      <c r="AW253" s="30" t="n">
        <f aca="false">AP252*(M253-AR252*J253)+AP252*AR252*N253/Inputs!$B$16-AV253</f>
        <v>0</v>
      </c>
      <c r="AX253" s="30" t="n">
        <f aca="false">AW253-IF(AP252&lt;&gt;0,0.75*AR252*(Inputs!$B$13-N253)/Inputs!$B$16,0)</f>
        <v>0</v>
      </c>
      <c r="AY253" s="30" t="n">
        <f aca="false">MAX(AS253,0)*(Inputs!$B$17+Inputs!$B$18+Inputs!$B$19)+MAX(-AS253,0)*(O253+Inputs!$B$18+Inputs!$B$19)+IF(AND(K253=1,AP253&lt;&gt;0),(Inputs!$B$17+Inputs!$B$18+Inputs!$B$19)+(O253+Inputs!$B$18+Inputs!$B$19),0)</f>
        <v>0</v>
      </c>
      <c r="AZ253" s="30" t="n">
        <f aca="false">AP252*M253-AY253</f>
        <v>0</v>
      </c>
      <c r="BA253" s="32" t="n">
        <f aca="false">BA252+AI253</f>
        <v>-0.0042764994896359</v>
      </c>
      <c r="BB253" s="30" t="n">
        <f aca="false">MAX(BB252,BA253)</f>
        <v>0</v>
      </c>
      <c r="BC253" s="32" t="n">
        <f aca="false">BA253-BB253</f>
        <v>-0.0042764994896359</v>
      </c>
      <c r="BD253" s="30" t="n">
        <f aca="false">A254-A253</f>
        <v>1</v>
      </c>
    </row>
    <row r="254" customFormat="false" ht="15" hidden="false" customHeight="false" outlineLevel="0" collapsed="false">
      <c r="A254" s="28" t="n">
        <v>45415</v>
      </c>
      <c r="B254" s="0" t="n">
        <v>22559.75</v>
      </c>
      <c r="C254" s="0" t="n">
        <v>248.8</v>
      </c>
      <c r="D254" s="29" t="n">
        <f aca="false">LN(B254)</f>
        <v>10.0239226239903</v>
      </c>
      <c r="E254" s="29" t="n">
        <f aca="false">LN(C254)</f>
        <v>5.51664936086502</v>
      </c>
      <c r="F254" s="0" t="n">
        <v>249</v>
      </c>
      <c r="G254" s="0" t="n">
        <v>27</v>
      </c>
      <c r="H254" s="29" t="n">
        <f aca="false">D254-E254</f>
        <v>4.50727326312529</v>
      </c>
      <c r="I254" s="29" t="n">
        <f aca="false">D254-D253</f>
        <v>-0.00971341810063997</v>
      </c>
      <c r="J254" s="29" t="n">
        <f aca="false">E254-E253</f>
        <v>-0.00836523519651955</v>
      </c>
      <c r="K254" s="0" t="n">
        <v>0</v>
      </c>
      <c r="L254" s="0" t="n">
        <v>0</v>
      </c>
      <c r="M254" s="29" t="n">
        <f aca="false">IF(L254=1,J254-Carry!$B$9/Inputs!$B$16,I254)</f>
        <v>-0.00971341810063997</v>
      </c>
      <c r="N254" s="0" t="n">
        <v>0.065</v>
      </c>
      <c r="O254" s="0" t="n">
        <v>0.000125</v>
      </c>
      <c r="P254" s="29" t="n">
        <f aca="false">D254-('2 Hedge ratio'!$B$6+'2 Hedge ratio'!$B$5*E254)</f>
        <v>0.00815244177235286</v>
      </c>
      <c r="Q254" s="29" t="n">
        <f aca="false">D254-('5 Re-specification'!$B$7+'5 Re-specification'!$B$5*E254+'5 Re-specification'!$B$6*F254)</f>
        <v>0.00397784838849091</v>
      </c>
      <c r="R254" s="30" t="n">
        <f aca="false">MIN(F254,Inputs!$B$9)</f>
        <v>249</v>
      </c>
      <c r="S254" s="29" t="n">
        <f aca="true">IF(AND(F254&gt;=1,R254&gt;=Inputs!$B$10),INDEX(LINEST(OFFSET(D254,-R254,0,R254,1),OFFSET(E254,-R254,0,R254,2)),1,1),"")</f>
        <v>-7.14761559784246E-005</v>
      </c>
      <c r="T254" s="29" t="n">
        <f aca="true">IF(AND(F254&gt;=1,R254&gt;=Inputs!$B$10),INDEX(LINEST(OFFSET(D254,-R254,0,R254,1),OFFSET(E254,-R254,0,R254,2)),1,2),"")</f>
        <v>1.03374699608571</v>
      </c>
      <c r="U254" s="29" t="n">
        <f aca="true">IF(AND(F254&gt;=1,R254&gt;=Inputs!$B$10),INDEX(LINEST(OFFSET(D254,-R254,0,R254,1),OFFSET(E254,-R254,0,R254,2)),1,3),"")</f>
        <v>4.33583934250491</v>
      </c>
      <c r="V254" s="29" t="n">
        <f aca="true">IF(AND(F254&gt;=1,R254&gt;=Inputs!$B$10),SQRT(SUMPRODUCT((OFFSET(D254,-R254,0,R254,1)-U254-T254*OFFSET(E254,-R254,0,R254,1)-S254*OFFSET(F254,-R254,0,R254,1))^2)/(R254-3)),"")</f>
        <v>0.00262010812718071</v>
      </c>
      <c r="W254" s="31" t="n">
        <f aca="false">IF(AND(F254&gt;=1,R254&gt;=Inputs!$B$10),(D254-U254-T254*E254-S254*F254)/V254,"")</f>
        <v>1.16832547477242</v>
      </c>
      <c r="X254" s="30" t="n">
        <f aca="false">IF(AB253&lt;&gt;0,AC253+1,0)</f>
        <v>0</v>
      </c>
      <c r="Y254" s="30" t="n">
        <f aca="false">IF(W254="",0,IF(AND(AB253&lt;&gt;0,OR(ABS(W254)&gt;Inputs!$B$7,X254&gt;=Inputs!$B$8,ABS(W254)&lt;Inputs!$B$6)),1,0))</f>
        <v>0</v>
      </c>
      <c r="Z254" s="30" t="n">
        <f aca="false">IF(Y254=1,0,AB253)</f>
        <v>0</v>
      </c>
      <c r="AA254" s="30" t="n">
        <f aca="false">IF(W254="",0,IF(AND(Z254=0,ABS(W254)&gt;Inputs!$B$5,ABS(W254)&lt;=Inputs!$B$7),1,0))</f>
        <v>0</v>
      </c>
      <c r="AB254" s="30" t="n">
        <f aca="false">IF(W254="",0,IF(AA254=1,-SIGN(W254),Z254))</f>
        <v>0</v>
      </c>
      <c r="AC254" s="30" t="n">
        <f aca="false">IF(W254="",0,IF(AA254=1,0,IF(Y254=1,0,X254)))</f>
        <v>0</v>
      </c>
      <c r="AD254" s="30" t="n">
        <f aca="false">IF(AB254=0,0,IF(AB253=AB254,AD253,T254))</f>
        <v>0</v>
      </c>
      <c r="AE254" s="30" t="n">
        <f aca="false">AB254-AB253</f>
        <v>0</v>
      </c>
      <c r="AF254" s="30" t="n">
        <f aca="false">-AD254*AB254</f>
        <v>-0</v>
      </c>
      <c r="AG254" s="30" t="n">
        <f aca="false">AF254-AF253</f>
        <v>0</v>
      </c>
      <c r="AH254" s="30" t="n">
        <f aca="false">MAX(AE254,0)*(Inputs!$B$17+Inputs!$B$18+Inputs!$B$19)+MAX(-AE254,0)*(O254+Inputs!$B$18+Inputs!$B$19)+IF(AND(K254=1,AB254&lt;&gt;0),(Inputs!$B$17+Inputs!$B$18+Inputs!$B$19)+(O254+Inputs!$B$18+Inputs!$B$19),0)+MAX(AG254,0)*(Inputs!$B$20+Inputs!$B$22+Inputs!$B$23)+MAX(-AG254,0)*(Inputs!$B$21+Inputs!$B$22+Inputs!$B$23)</f>
        <v>0</v>
      </c>
      <c r="AI254" s="30" t="n">
        <f aca="false">AB253*(M254-AD253*J254)+AB253*AD253*N254/Inputs!$B$16-AH254</f>
        <v>0</v>
      </c>
      <c r="AJ254" s="30" t="n">
        <f aca="false">MAX(AE254,0)*(Inputs!$B$17+Inputs!$B$24+Inputs!$B$25)+MAX(-AE254,0)*(O254+Inputs!$B$24+Inputs!$B$25)+IF(AND(K254=1,AB254&lt;&gt;0),(Inputs!$B$17+Inputs!$B$24+Inputs!$B$25)+(O254+Inputs!$B$24+Inputs!$B$25),0)+MAX(AG254,0)*(Inputs!$B$20+Inputs!$B$26+Inputs!$B$27)+MAX(-AG254,0)*(Inputs!$B$21+Inputs!$B$26+Inputs!$B$27)</f>
        <v>0</v>
      </c>
      <c r="AK254" s="30" t="n">
        <f aca="false">AB253*(M254-AD253*J254)+AB253*AD253*(N254+Inputs!$B$14)/Inputs!$B$16-AJ254</f>
        <v>0</v>
      </c>
      <c r="AL254" s="30" t="n">
        <f aca="false">IF(AP253&lt;&gt;0,AQ253+1,0)</f>
        <v>0</v>
      </c>
      <c r="AM254" s="30" t="n">
        <f aca="false">IF(W254="",0,IF(AND(AP253&lt;&gt;0,OR(ABS(W254)&gt;Inputs!$B$7,AL254&gt;=Inputs!$B$8,ABS(W254)&lt;Inputs!$B$6)),1,0))</f>
        <v>0</v>
      </c>
      <c r="AN254" s="30" t="n">
        <f aca="false">IF(AM254=1,0,AP253)</f>
        <v>0</v>
      </c>
      <c r="AO254" s="30" t="n">
        <f aca="false">IF(W254="",0,IF(AND(AN254=0,ABS(W254)&gt;Inputs!$B$5,ABS(W254)&lt;=Inputs!$B$7,W254&gt;0),1,0))</f>
        <v>0</v>
      </c>
      <c r="AP254" s="30" t="n">
        <f aca="false">IF(W254="",0,IF(AO254=1,-SIGN(W254),AN254))</f>
        <v>0</v>
      </c>
      <c r="AQ254" s="30" t="n">
        <f aca="false">IF(W254="",0,IF(AO254=1,0,IF(AM254=1,0,AL254)))</f>
        <v>0</v>
      </c>
      <c r="AR254" s="30" t="n">
        <f aca="false">IF(AP254=0,0,IF(AP253=AP254,AR253,T254))</f>
        <v>0</v>
      </c>
      <c r="AS254" s="30" t="n">
        <f aca="false">AP254-AP253</f>
        <v>0</v>
      </c>
      <c r="AT254" s="30" t="n">
        <f aca="false">-AR254*AP254</f>
        <v>-0</v>
      </c>
      <c r="AU254" s="30" t="n">
        <f aca="false">AT254-AT253</f>
        <v>0</v>
      </c>
      <c r="AV254" s="30" t="n">
        <f aca="false">MAX(AS254,0)*(Inputs!$B$17+Inputs!$B$18+Inputs!$B$19)+MAX(-AS254,0)*(O254+Inputs!$B$18+Inputs!$B$19)+IF(AND(K254=1,AP254&lt;&gt;0),(Inputs!$B$17+Inputs!$B$18+Inputs!$B$19)+(O254+Inputs!$B$18+Inputs!$B$19),0)+MAX(AU254,0)*(Inputs!$B$20+Inputs!$B$22+Inputs!$B$23)+MAX(-AU254,0)*(Inputs!$B$21+Inputs!$B$22+Inputs!$B$23)</f>
        <v>0</v>
      </c>
      <c r="AW254" s="30" t="n">
        <f aca="false">AP253*(M254-AR253*J254)+AP253*AR253*N254/Inputs!$B$16-AV254</f>
        <v>0</v>
      </c>
      <c r="AX254" s="30" t="n">
        <f aca="false">AW254-IF(AP253&lt;&gt;0,0.75*AR253*(Inputs!$B$13-N254)/Inputs!$B$16,0)</f>
        <v>0</v>
      </c>
      <c r="AY254" s="30" t="n">
        <f aca="false">MAX(AS254,0)*(Inputs!$B$17+Inputs!$B$18+Inputs!$B$19)+MAX(-AS254,0)*(O254+Inputs!$B$18+Inputs!$B$19)+IF(AND(K254=1,AP254&lt;&gt;0),(Inputs!$B$17+Inputs!$B$18+Inputs!$B$19)+(O254+Inputs!$B$18+Inputs!$B$19),0)</f>
        <v>0</v>
      </c>
      <c r="AZ254" s="30" t="n">
        <f aca="false">AP253*M254-AY254</f>
        <v>-0</v>
      </c>
      <c r="BA254" s="32" t="n">
        <f aca="false">BA253+AI254</f>
        <v>-0.0042764994896359</v>
      </c>
      <c r="BB254" s="30" t="n">
        <f aca="false">MAX(BB253,BA254)</f>
        <v>0</v>
      </c>
      <c r="BC254" s="32" t="n">
        <f aca="false">BA254-BB254</f>
        <v>-0.0042764994896359</v>
      </c>
      <c r="BD254" s="30" t="n">
        <f aca="false">A255-A254</f>
        <v>3</v>
      </c>
    </row>
    <row r="255" customFormat="false" ht="15" hidden="false" customHeight="false" outlineLevel="0" collapsed="false">
      <c r="A255" s="28" t="n">
        <v>45418</v>
      </c>
      <c r="B255" s="0" t="n">
        <v>22559</v>
      </c>
      <c r="C255" s="0" t="n">
        <v>248.5</v>
      </c>
      <c r="D255" s="29" t="n">
        <f aca="false">LN(B255)</f>
        <v>10.0238893783884</v>
      </c>
      <c r="E255" s="29" t="n">
        <f aca="false">LN(C255)</f>
        <v>5.51544284553668</v>
      </c>
      <c r="F255" s="0" t="n">
        <v>250</v>
      </c>
      <c r="G255" s="0" t="n">
        <v>24</v>
      </c>
      <c r="H255" s="29" t="n">
        <f aca="false">D255-E255</f>
        <v>4.50844653285174</v>
      </c>
      <c r="I255" s="29" t="n">
        <f aca="false">D255-D254</f>
        <v>-3.32456018874439E-005</v>
      </c>
      <c r="J255" s="29" t="n">
        <f aca="false">E255-E254</f>
        <v>-0.00120651532834071</v>
      </c>
      <c r="K255" s="0" t="n">
        <v>0</v>
      </c>
      <c r="L255" s="0" t="n">
        <v>0</v>
      </c>
      <c r="M255" s="29" t="n">
        <f aca="false">IF(L255=1,J255-Carry!$B$9/Inputs!$B$16,I255)</f>
        <v>-3.32456018874439E-005</v>
      </c>
      <c r="N255" s="0" t="n">
        <v>0.065</v>
      </c>
      <c r="O255" s="0" t="n">
        <v>0.000125</v>
      </c>
      <c r="P255" s="29" t="n">
        <f aca="false">D255-('2 Hedge ratio'!$B$6+'2 Hedge ratio'!$B$5*E255)</f>
        <v>0.0092245171481995</v>
      </c>
      <c r="Q255" s="29" t="n">
        <f aca="false">D255-('5 Re-specification'!$B$7+'5 Re-specification'!$B$5*E255+'5 Re-specification'!$B$6*F255)</f>
        <v>0.00519239108831471</v>
      </c>
      <c r="R255" s="30" t="n">
        <f aca="false">MIN(F255,Inputs!$B$9)</f>
        <v>250</v>
      </c>
      <c r="S255" s="29" t="n">
        <f aca="true">IF(AND(F255&gt;=1,R255&gt;=Inputs!$B$10),INDEX(LINEST(OFFSET(D255,-R255,0,R255,1),OFFSET(E255,-R255,0,R255,2)),1,1),"")</f>
        <v>-7.08843433735719E-005</v>
      </c>
      <c r="T255" s="29" t="n">
        <f aca="true">IF(AND(F255&gt;=1,R255&gt;=Inputs!$B$10),INDEX(LINEST(OFFSET(D255,-R255,0,R255,1),OFFSET(E255,-R255,0,R255,2)),1,2),"")</f>
        <v>1.03342845226779</v>
      </c>
      <c r="U255" s="29" t="n">
        <f aca="true">IF(AND(F255&gt;=1,R255&gt;=Inputs!$B$10),INDEX(LINEST(OFFSET(D255,-R255,0,R255,1),OFFSET(E255,-R255,0,R255,2)),1,3),"")</f>
        <v>4.33750178742183</v>
      </c>
      <c r="V255" s="29" t="n">
        <f aca="true">IF(AND(F255&gt;=1,R255&gt;=Inputs!$B$10),SQRT(SUMPRODUCT((OFFSET(D255,-R255,0,R255,1)-U255-T255*OFFSET(E255,-R255,0,R255,1)-S255*OFFSET(F255,-R255,0,R255,1))^2)/(R255-3)),"")</f>
        <v>0.00262191913665978</v>
      </c>
      <c r="W255" s="31" t="n">
        <f aca="false">IF(AND(F255&gt;=1,R255&gt;=Inputs!$B$10),(D255-U255-T255*E255-S255*F255)/V255,"")</f>
        <v>1.63739350902159</v>
      </c>
      <c r="X255" s="30" t="n">
        <f aca="false">IF(AB254&lt;&gt;0,AC254+1,0)</f>
        <v>0</v>
      </c>
      <c r="Y255" s="30" t="n">
        <f aca="false">IF(W255="",0,IF(AND(AB254&lt;&gt;0,OR(ABS(W255)&gt;Inputs!$B$7,X255&gt;=Inputs!$B$8,ABS(W255)&lt;Inputs!$B$6)),1,0))</f>
        <v>0</v>
      </c>
      <c r="Z255" s="30" t="n">
        <f aca="false">IF(Y255=1,0,AB254)</f>
        <v>0</v>
      </c>
      <c r="AA255" s="30" t="n">
        <f aca="false">IF(W255="",0,IF(AND(Z255=0,ABS(W255)&gt;Inputs!$B$5,ABS(W255)&lt;=Inputs!$B$7),1,0))</f>
        <v>0</v>
      </c>
      <c r="AB255" s="30" t="n">
        <f aca="false">IF(W255="",0,IF(AA255=1,-SIGN(W255),Z255))</f>
        <v>0</v>
      </c>
      <c r="AC255" s="30" t="n">
        <f aca="false">IF(W255="",0,IF(AA255=1,0,IF(Y255=1,0,X255)))</f>
        <v>0</v>
      </c>
      <c r="AD255" s="30" t="n">
        <f aca="false">IF(AB255=0,0,IF(AB254=AB255,AD254,T255))</f>
        <v>0</v>
      </c>
      <c r="AE255" s="30" t="n">
        <f aca="false">AB255-AB254</f>
        <v>0</v>
      </c>
      <c r="AF255" s="30" t="n">
        <f aca="false">-AD255*AB255</f>
        <v>-0</v>
      </c>
      <c r="AG255" s="30" t="n">
        <f aca="false">AF255-AF254</f>
        <v>0</v>
      </c>
      <c r="AH255" s="30" t="n">
        <f aca="false">MAX(AE255,0)*(Inputs!$B$17+Inputs!$B$18+Inputs!$B$19)+MAX(-AE255,0)*(O255+Inputs!$B$18+Inputs!$B$19)+IF(AND(K255=1,AB255&lt;&gt;0),(Inputs!$B$17+Inputs!$B$18+Inputs!$B$19)+(O255+Inputs!$B$18+Inputs!$B$19),0)+MAX(AG255,0)*(Inputs!$B$20+Inputs!$B$22+Inputs!$B$23)+MAX(-AG255,0)*(Inputs!$B$21+Inputs!$B$22+Inputs!$B$23)</f>
        <v>0</v>
      </c>
      <c r="AI255" s="30" t="n">
        <f aca="false">AB254*(M255-AD254*J255)+AB254*AD254*N255/Inputs!$B$16-AH255</f>
        <v>0</v>
      </c>
      <c r="AJ255" s="30" t="n">
        <f aca="false">MAX(AE255,0)*(Inputs!$B$17+Inputs!$B$24+Inputs!$B$25)+MAX(-AE255,0)*(O255+Inputs!$B$24+Inputs!$B$25)+IF(AND(K255=1,AB255&lt;&gt;0),(Inputs!$B$17+Inputs!$B$24+Inputs!$B$25)+(O255+Inputs!$B$24+Inputs!$B$25),0)+MAX(AG255,0)*(Inputs!$B$20+Inputs!$B$26+Inputs!$B$27)+MAX(-AG255,0)*(Inputs!$B$21+Inputs!$B$26+Inputs!$B$27)</f>
        <v>0</v>
      </c>
      <c r="AK255" s="30" t="n">
        <f aca="false">AB254*(M255-AD254*J255)+AB254*AD254*(N255+Inputs!$B$14)/Inputs!$B$16-AJ255</f>
        <v>0</v>
      </c>
      <c r="AL255" s="30" t="n">
        <f aca="false">IF(AP254&lt;&gt;0,AQ254+1,0)</f>
        <v>0</v>
      </c>
      <c r="AM255" s="30" t="n">
        <f aca="false">IF(W255="",0,IF(AND(AP254&lt;&gt;0,OR(ABS(W255)&gt;Inputs!$B$7,AL255&gt;=Inputs!$B$8,ABS(W255)&lt;Inputs!$B$6)),1,0))</f>
        <v>0</v>
      </c>
      <c r="AN255" s="30" t="n">
        <f aca="false">IF(AM255=1,0,AP254)</f>
        <v>0</v>
      </c>
      <c r="AO255" s="30" t="n">
        <f aca="false">IF(W255="",0,IF(AND(AN255=0,ABS(W255)&gt;Inputs!$B$5,ABS(W255)&lt;=Inputs!$B$7,W255&gt;0),1,0))</f>
        <v>0</v>
      </c>
      <c r="AP255" s="30" t="n">
        <f aca="false">IF(W255="",0,IF(AO255=1,-SIGN(W255),AN255))</f>
        <v>0</v>
      </c>
      <c r="AQ255" s="30" t="n">
        <f aca="false">IF(W255="",0,IF(AO255=1,0,IF(AM255=1,0,AL255)))</f>
        <v>0</v>
      </c>
      <c r="AR255" s="30" t="n">
        <f aca="false">IF(AP255=0,0,IF(AP254=AP255,AR254,T255))</f>
        <v>0</v>
      </c>
      <c r="AS255" s="30" t="n">
        <f aca="false">AP255-AP254</f>
        <v>0</v>
      </c>
      <c r="AT255" s="30" t="n">
        <f aca="false">-AR255*AP255</f>
        <v>-0</v>
      </c>
      <c r="AU255" s="30" t="n">
        <f aca="false">AT255-AT254</f>
        <v>0</v>
      </c>
      <c r="AV255" s="30" t="n">
        <f aca="false">MAX(AS255,0)*(Inputs!$B$17+Inputs!$B$18+Inputs!$B$19)+MAX(-AS255,0)*(O255+Inputs!$B$18+Inputs!$B$19)+IF(AND(K255=1,AP255&lt;&gt;0),(Inputs!$B$17+Inputs!$B$18+Inputs!$B$19)+(O255+Inputs!$B$18+Inputs!$B$19),0)+MAX(AU255,0)*(Inputs!$B$20+Inputs!$B$22+Inputs!$B$23)+MAX(-AU255,0)*(Inputs!$B$21+Inputs!$B$22+Inputs!$B$23)</f>
        <v>0</v>
      </c>
      <c r="AW255" s="30" t="n">
        <f aca="false">AP254*(M255-AR254*J255)+AP254*AR254*N255/Inputs!$B$16-AV255</f>
        <v>0</v>
      </c>
      <c r="AX255" s="30" t="n">
        <f aca="false">AW255-IF(AP254&lt;&gt;0,0.75*AR254*(Inputs!$B$13-N255)/Inputs!$B$16,0)</f>
        <v>0</v>
      </c>
      <c r="AY255" s="30" t="n">
        <f aca="false">MAX(AS255,0)*(Inputs!$B$17+Inputs!$B$18+Inputs!$B$19)+MAX(-AS255,0)*(O255+Inputs!$B$18+Inputs!$B$19)+IF(AND(K255=1,AP255&lt;&gt;0),(Inputs!$B$17+Inputs!$B$18+Inputs!$B$19)+(O255+Inputs!$B$18+Inputs!$B$19),0)</f>
        <v>0</v>
      </c>
      <c r="AZ255" s="30" t="n">
        <f aca="false">AP254*M255-AY255</f>
        <v>-0</v>
      </c>
      <c r="BA255" s="32" t="n">
        <f aca="false">BA254+AI255</f>
        <v>-0.0042764994896359</v>
      </c>
      <c r="BB255" s="30" t="n">
        <f aca="false">MAX(BB254,BA255)</f>
        <v>0</v>
      </c>
      <c r="BC255" s="32" t="n">
        <f aca="false">BA255-BB255</f>
        <v>-0.0042764994896359</v>
      </c>
      <c r="BD255" s="30" t="n">
        <f aca="false">A256-A255</f>
        <v>1</v>
      </c>
    </row>
    <row r="256" customFormat="false" ht="15" hidden="false" customHeight="false" outlineLevel="0" collapsed="false">
      <c r="A256" s="28" t="n">
        <v>45419</v>
      </c>
      <c r="B256" s="0" t="n">
        <v>22375</v>
      </c>
      <c r="C256" s="0" t="n">
        <v>247.49</v>
      </c>
      <c r="D256" s="29" t="n">
        <f aca="false">LN(B256)</f>
        <v>10.0156995431431</v>
      </c>
      <c r="E256" s="29" t="n">
        <f aca="false">LN(C256)</f>
        <v>5.51137017715208</v>
      </c>
      <c r="F256" s="0" t="n">
        <v>251</v>
      </c>
      <c r="G256" s="0" t="n">
        <v>23</v>
      </c>
      <c r="H256" s="29" t="n">
        <f aca="false">D256-E256</f>
        <v>4.50432936599098</v>
      </c>
      <c r="I256" s="29" t="n">
        <f aca="false">D256-D255</f>
        <v>-0.00818983524536776</v>
      </c>
      <c r="J256" s="29" t="n">
        <f aca="false">E256-E255</f>
        <v>-0.00407266838460796</v>
      </c>
      <c r="K256" s="0" t="n">
        <v>0</v>
      </c>
      <c r="L256" s="0" t="n">
        <v>0</v>
      </c>
      <c r="M256" s="29" t="n">
        <f aca="false">IF(L256=1,J256-Carry!$B$9/Inputs!$B$16,I256)</f>
        <v>-0.00818983524536776</v>
      </c>
      <c r="N256" s="0" t="n">
        <v>0.065</v>
      </c>
      <c r="O256" s="0" t="n">
        <v>0.000125</v>
      </c>
      <c r="P256" s="29" t="n">
        <f aca="false">D256-('2 Hedge ratio'!$B$6+'2 Hedge ratio'!$B$5*E256)</f>
        <v>0.00476576239150894</v>
      </c>
      <c r="Q256" s="29" t="n">
        <f aca="false">D256-('5 Re-specification'!$B$7+'5 Re-specification'!$B$5*E256+'5 Re-specification'!$B$6*F256)</f>
        <v>0.00110781132402416</v>
      </c>
      <c r="R256" s="30" t="n">
        <f aca="false">MIN(F256,Inputs!$B$9)</f>
        <v>250</v>
      </c>
      <c r="S256" s="29" t="n">
        <f aca="true">IF(AND(F256&gt;=1,R256&gt;=Inputs!$B$10),INDEX(LINEST(OFFSET(D256,-R256,0,R256,1),OFFSET(E256,-R256,0,R256,2)),1,1),"")</f>
        <v>-6.97081735178402E-005</v>
      </c>
      <c r="T256" s="29" t="n">
        <f aca="true">IF(AND(F256&gt;=1,R256&gt;=Inputs!$B$10),INDEX(LINEST(OFFSET(D256,-R256,0,R256,1),OFFSET(E256,-R256,0,R256,2)),1,2),"")</f>
        <v>1.03319725374471</v>
      </c>
      <c r="U256" s="29" t="n">
        <f aca="true">IF(AND(F256&gt;=1,R256&gt;=Inputs!$B$10),INDEX(LINEST(OFFSET(D256,-R256,0,R256,1),OFFSET(E256,-R256,0,R256,2)),1,3),"")</f>
        <v>4.33859996536157</v>
      </c>
      <c r="V256" s="29" t="n">
        <f aca="true">IF(AND(F256&gt;=1,R256&gt;=Inputs!$B$10),SQRT(SUMPRODUCT((OFFSET(D256,-R256,0,R256,1)-U256-T256*OFFSET(E256,-R256,0,R256,1)-S256*OFFSET(F256,-R256,0,R256,1))^2)/(R256-3)),"")</f>
        <v>0.00261013674619072</v>
      </c>
      <c r="W256" s="31" t="n">
        <f aca="false">IF(AND(F256&gt;=1,R256&gt;=Inputs!$B$10),(D256-U256-T256*E256-S256*F256)/V256,"")</f>
        <v>0.101066708787509</v>
      </c>
      <c r="X256" s="30" t="n">
        <f aca="false">IF(AB255&lt;&gt;0,AC255+1,0)</f>
        <v>0</v>
      </c>
      <c r="Y256" s="30" t="n">
        <f aca="false">IF(W256="",0,IF(AND(AB255&lt;&gt;0,OR(ABS(W256)&gt;Inputs!$B$7,X256&gt;=Inputs!$B$8,ABS(W256)&lt;Inputs!$B$6)),1,0))</f>
        <v>0</v>
      </c>
      <c r="Z256" s="30" t="n">
        <f aca="false">IF(Y256=1,0,AB255)</f>
        <v>0</v>
      </c>
      <c r="AA256" s="30" t="n">
        <f aca="false">IF(W256="",0,IF(AND(Z256=0,ABS(W256)&gt;Inputs!$B$5,ABS(W256)&lt;=Inputs!$B$7),1,0))</f>
        <v>0</v>
      </c>
      <c r="AB256" s="30" t="n">
        <f aca="false">IF(W256="",0,IF(AA256=1,-SIGN(W256),Z256))</f>
        <v>0</v>
      </c>
      <c r="AC256" s="30" t="n">
        <f aca="false">IF(W256="",0,IF(AA256=1,0,IF(Y256=1,0,X256)))</f>
        <v>0</v>
      </c>
      <c r="AD256" s="30" t="n">
        <f aca="false">IF(AB256=0,0,IF(AB255=AB256,AD255,T256))</f>
        <v>0</v>
      </c>
      <c r="AE256" s="30" t="n">
        <f aca="false">AB256-AB255</f>
        <v>0</v>
      </c>
      <c r="AF256" s="30" t="n">
        <f aca="false">-AD256*AB256</f>
        <v>-0</v>
      </c>
      <c r="AG256" s="30" t="n">
        <f aca="false">AF256-AF255</f>
        <v>0</v>
      </c>
      <c r="AH256" s="30" t="n">
        <f aca="false">MAX(AE256,0)*(Inputs!$B$17+Inputs!$B$18+Inputs!$B$19)+MAX(-AE256,0)*(O256+Inputs!$B$18+Inputs!$B$19)+IF(AND(K256=1,AB256&lt;&gt;0),(Inputs!$B$17+Inputs!$B$18+Inputs!$B$19)+(O256+Inputs!$B$18+Inputs!$B$19),0)+MAX(AG256,0)*(Inputs!$B$20+Inputs!$B$22+Inputs!$B$23)+MAX(-AG256,0)*(Inputs!$B$21+Inputs!$B$22+Inputs!$B$23)</f>
        <v>0</v>
      </c>
      <c r="AI256" s="30" t="n">
        <f aca="false">AB255*(M256-AD255*J256)+AB255*AD255*N256/Inputs!$B$16-AH256</f>
        <v>0</v>
      </c>
      <c r="AJ256" s="30" t="n">
        <f aca="false">MAX(AE256,0)*(Inputs!$B$17+Inputs!$B$24+Inputs!$B$25)+MAX(-AE256,0)*(O256+Inputs!$B$24+Inputs!$B$25)+IF(AND(K256=1,AB256&lt;&gt;0),(Inputs!$B$17+Inputs!$B$24+Inputs!$B$25)+(O256+Inputs!$B$24+Inputs!$B$25),0)+MAX(AG256,0)*(Inputs!$B$20+Inputs!$B$26+Inputs!$B$27)+MAX(-AG256,0)*(Inputs!$B$21+Inputs!$B$26+Inputs!$B$27)</f>
        <v>0</v>
      </c>
      <c r="AK256" s="30" t="n">
        <f aca="false">AB255*(M256-AD255*J256)+AB255*AD255*(N256+Inputs!$B$14)/Inputs!$B$16-AJ256</f>
        <v>0</v>
      </c>
      <c r="AL256" s="30" t="n">
        <f aca="false">IF(AP255&lt;&gt;0,AQ255+1,0)</f>
        <v>0</v>
      </c>
      <c r="AM256" s="30" t="n">
        <f aca="false">IF(W256="",0,IF(AND(AP255&lt;&gt;0,OR(ABS(W256)&gt;Inputs!$B$7,AL256&gt;=Inputs!$B$8,ABS(W256)&lt;Inputs!$B$6)),1,0))</f>
        <v>0</v>
      </c>
      <c r="AN256" s="30" t="n">
        <f aca="false">IF(AM256=1,0,AP255)</f>
        <v>0</v>
      </c>
      <c r="AO256" s="30" t="n">
        <f aca="false">IF(W256="",0,IF(AND(AN256=0,ABS(W256)&gt;Inputs!$B$5,ABS(W256)&lt;=Inputs!$B$7,W256&gt;0),1,0))</f>
        <v>0</v>
      </c>
      <c r="AP256" s="30" t="n">
        <f aca="false">IF(W256="",0,IF(AO256=1,-SIGN(W256),AN256))</f>
        <v>0</v>
      </c>
      <c r="AQ256" s="30" t="n">
        <f aca="false">IF(W256="",0,IF(AO256=1,0,IF(AM256=1,0,AL256)))</f>
        <v>0</v>
      </c>
      <c r="AR256" s="30" t="n">
        <f aca="false">IF(AP256=0,0,IF(AP255=AP256,AR255,T256))</f>
        <v>0</v>
      </c>
      <c r="AS256" s="30" t="n">
        <f aca="false">AP256-AP255</f>
        <v>0</v>
      </c>
      <c r="AT256" s="30" t="n">
        <f aca="false">-AR256*AP256</f>
        <v>-0</v>
      </c>
      <c r="AU256" s="30" t="n">
        <f aca="false">AT256-AT255</f>
        <v>0</v>
      </c>
      <c r="AV256" s="30" t="n">
        <f aca="false">MAX(AS256,0)*(Inputs!$B$17+Inputs!$B$18+Inputs!$B$19)+MAX(-AS256,0)*(O256+Inputs!$B$18+Inputs!$B$19)+IF(AND(K256=1,AP256&lt;&gt;0),(Inputs!$B$17+Inputs!$B$18+Inputs!$B$19)+(O256+Inputs!$B$18+Inputs!$B$19),0)+MAX(AU256,0)*(Inputs!$B$20+Inputs!$B$22+Inputs!$B$23)+MAX(-AU256,0)*(Inputs!$B$21+Inputs!$B$22+Inputs!$B$23)</f>
        <v>0</v>
      </c>
      <c r="AW256" s="30" t="n">
        <f aca="false">AP255*(M256-AR255*J256)+AP255*AR255*N256/Inputs!$B$16-AV256</f>
        <v>0</v>
      </c>
      <c r="AX256" s="30" t="n">
        <f aca="false">AW256-IF(AP255&lt;&gt;0,0.75*AR255*(Inputs!$B$13-N256)/Inputs!$B$16,0)</f>
        <v>0</v>
      </c>
      <c r="AY256" s="30" t="n">
        <f aca="false">MAX(AS256,0)*(Inputs!$B$17+Inputs!$B$18+Inputs!$B$19)+MAX(-AS256,0)*(O256+Inputs!$B$18+Inputs!$B$19)+IF(AND(K256=1,AP256&lt;&gt;0),(Inputs!$B$17+Inputs!$B$18+Inputs!$B$19)+(O256+Inputs!$B$18+Inputs!$B$19),0)</f>
        <v>0</v>
      </c>
      <c r="AZ256" s="30" t="n">
        <f aca="false">AP255*M256-AY256</f>
        <v>-0</v>
      </c>
      <c r="BA256" s="32" t="n">
        <f aca="false">BA255+AI256</f>
        <v>-0.0042764994896359</v>
      </c>
      <c r="BB256" s="30" t="n">
        <f aca="false">MAX(BB255,BA256)</f>
        <v>0</v>
      </c>
      <c r="BC256" s="32" t="n">
        <f aca="false">BA256-BB256</f>
        <v>-0.0042764994896359</v>
      </c>
      <c r="BD256" s="30" t="n">
        <f aca="false">A257-A256</f>
        <v>1</v>
      </c>
    </row>
    <row r="257" customFormat="false" ht="15" hidden="false" customHeight="false" outlineLevel="0" collapsed="false">
      <c r="A257" s="28" t="n">
        <v>45420</v>
      </c>
      <c r="B257" s="0" t="n">
        <v>22392.85</v>
      </c>
      <c r="C257" s="0" t="n">
        <v>247.6</v>
      </c>
      <c r="D257" s="29" t="n">
        <f aca="false">LN(B257)</f>
        <v>10.0164969904605</v>
      </c>
      <c r="E257" s="29" t="n">
        <f aca="false">LN(C257)</f>
        <v>5.51181454081044</v>
      </c>
      <c r="F257" s="0" t="n">
        <v>252</v>
      </c>
      <c r="G257" s="0" t="n">
        <v>22</v>
      </c>
      <c r="H257" s="29" t="n">
        <f aca="false">D257-E257</f>
        <v>4.5046824496501</v>
      </c>
      <c r="I257" s="29" t="n">
        <f aca="false">D257-D256</f>
        <v>0.000797447317481215</v>
      </c>
      <c r="J257" s="29" t="n">
        <f aca="false">E257-E256</f>
        <v>0.000444363658365532</v>
      </c>
      <c r="K257" s="0" t="n">
        <v>0</v>
      </c>
      <c r="L257" s="0" t="n">
        <v>0</v>
      </c>
      <c r="M257" s="29" t="n">
        <f aca="false">IF(L257=1,J257-Carry!$B$9/Inputs!$B$16,I257)</f>
        <v>0.000797447317481215</v>
      </c>
      <c r="N257" s="0" t="n">
        <v>0.065</v>
      </c>
      <c r="O257" s="0" t="n">
        <v>0.000125</v>
      </c>
      <c r="P257" s="29" t="n">
        <f aca="false">D257-('2 Hedge ratio'!$B$6+'2 Hedge ratio'!$B$5*E257)</f>
        <v>0.0051561162707241</v>
      </c>
      <c r="Q257" s="29" t="n">
        <f aca="false">D257-('5 Re-specification'!$B$7+'5 Re-specification'!$B$5*E257+'5 Re-specification'!$B$6*F257)</f>
        <v>0.00150717094531139</v>
      </c>
      <c r="R257" s="30" t="n">
        <f aca="false">MIN(F257,Inputs!$B$9)</f>
        <v>250</v>
      </c>
      <c r="S257" s="29" t="n">
        <f aca="true">IF(AND(F257&gt;=1,R257&gt;=Inputs!$B$10),INDEX(LINEST(OFFSET(D257,-R257,0,R257,1),OFFSET(E257,-R257,0,R257,2)),1,1),"")</f>
        <v>-6.95549728302968E-005</v>
      </c>
      <c r="T257" s="29" t="n">
        <f aca="true">IF(AND(F257&gt;=1,R257&gt;=Inputs!$B$10),INDEX(LINEST(OFFSET(D257,-R257,0,R257,1),OFFSET(E257,-R257,0,R257,2)),1,2),"")</f>
        <v>1.03369137933362</v>
      </c>
      <c r="U257" s="29" t="n">
        <f aca="true">IF(AND(F257&gt;=1,R257&gt;=Inputs!$B$10),INDEX(LINEST(OFFSET(D257,-R257,0,R257,1),OFFSET(E257,-R257,0,R257,2)),1,3),"")</f>
        <v>4.33588219078373</v>
      </c>
      <c r="V257" s="29" t="n">
        <f aca="true">IF(AND(F257&gt;=1,R257&gt;=Inputs!$B$10),SQRT(SUMPRODUCT((OFFSET(D257,-R257,0,R257,1)-U257-T257*OFFSET(E257,-R257,0,R257,1)-S257*OFFSET(F257,-R257,0,R257,1))^2)/(R257-3)),"")</f>
        <v>0.00258048540522255</v>
      </c>
      <c r="W257" s="31" t="n">
        <f aca="false">IF(AND(F257&gt;=1,R257&gt;=Inputs!$B$10),(D257-U257-T257*E257-S257*F257)/V257,"")</f>
        <v>0.243162587669237</v>
      </c>
      <c r="X257" s="30" t="n">
        <f aca="false">IF(AB256&lt;&gt;0,AC256+1,0)</f>
        <v>0</v>
      </c>
      <c r="Y257" s="30" t="n">
        <f aca="false">IF(W257="",0,IF(AND(AB256&lt;&gt;0,OR(ABS(W257)&gt;Inputs!$B$7,X257&gt;=Inputs!$B$8,ABS(W257)&lt;Inputs!$B$6)),1,0))</f>
        <v>0</v>
      </c>
      <c r="Z257" s="30" t="n">
        <f aca="false">IF(Y257=1,0,AB256)</f>
        <v>0</v>
      </c>
      <c r="AA257" s="30" t="n">
        <f aca="false">IF(W257="",0,IF(AND(Z257=0,ABS(W257)&gt;Inputs!$B$5,ABS(W257)&lt;=Inputs!$B$7),1,0))</f>
        <v>0</v>
      </c>
      <c r="AB257" s="30" t="n">
        <f aca="false">IF(W257="",0,IF(AA257=1,-SIGN(W257),Z257))</f>
        <v>0</v>
      </c>
      <c r="AC257" s="30" t="n">
        <f aca="false">IF(W257="",0,IF(AA257=1,0,IF(Y257=1,0,X257)))</f>
        <v>0</v>
      </c>
      <c r="AD257" s="30" t="n">
        <f aca="false">IF(AB257=0,0,IF(AB256=AB257,AD256,T257))</f>
        <v>0</v>
      </c>
      <c r="AE257" s="30" t="n">
        <f aca="false">AB257-AB256</f>
        <v>0</v>
      </c>
      <c r="AF257" s="30" t="n">
        <f aca="false">-AD257*AB257</f>
        <v>-0</v>
      </c>
      <c r="AG257" s="30" t="n">
        <f aca="false">AF257-AF256</f>
        <v>0</v>
      </c>
      <c r="AH257" s="30" t="n">
        <f aca="false">MAX(AE257,0)*(Inputs!$B$17+Inputs!$B$18+Inputs!$B$19)+MAX(-AE257,0)*(O257+Inputs!$B$18+Inputs!$B$19)+IF(AND(K257=1,AB257&lt;&gt;0),(Inputs!$B$17+Inputs!$B$18+Inputs!$B$19)+(O257+Inputs!$B$18+Inputs!$B$19),0)+MAX(AG257,0)*(Inputs!$B$20+Inputs!$B$22+Inputs!$B$23)+MAX(-AG257,0)*(Inputs!$B$21+Inputs!$B$22+Inputs!$B$23)</f>
        <v>0</v>
      </c>
      <c r="AI257" s="30" t="n">
        <f aca="false">AB256*(M257-AD256*J257)+AB256*AD256*N257/Inputs!$B$16-AH257</f>
        <v>0</v>
      </c>
      <c r="AJ257" s="30" t="n">
        <f aca="false">MAX(AE257,0)*(Inputs!$B$17+Inputs!$B$24+Inputs!$B$25)+MAX(-AE257,0)*(O257+Inputs!$B$24+Inputs!$B$25)+IF(AND(K257=1,AB257&lt;&gt;0),(Inputs!$B$17+Inputs!$B$24+Inputs!$B$25)+(O257+Inputs!$B$24+Inputs!$B$25),0)+MAX(AG257,0)*(Inputs!$B$20+Inputs!$B$26+Inputs!$B$27)+MAX(-AG257,0)*(Inputs!$B$21+Inputs!$B$26+Inputs!$B$27)</f>
        <v>0</v>
      </c>
      <c r="AK257" s="30" t="n">
        <f aca="false">AB256*(M257-AD256*J257)+AB256*AD256*(N257+Inputs!$B$14)/Inputs!$B$16-AJ257</f>
        <v>0</v>
      </c>
      <c r="AL257" s="30" t="n">
        <f aca="false">IF(AP256&lt;&gt;0,AQ256+1,0)</f>
        <v>0</v>
      </c>
      <c r="AM257" s="30" t="n">
        <f aca="false">IF(W257="",0,IF(AND(AP256&lt;&gt;0,OR(ABS(W257)&gt;Inputs!$B$7,AL257&gt;=Inputs!$B$8,ABS(W257)&lt;Inputs!$B$6)),1,0))</f>
        <v>0</v>
      </c>
      <c r="AN257" s="30" t="n">
        <f aca="false">IF(AM257=1,0,AP256)</f>
        <v>0</v>
      </c>
      <c r="AO257" s="30" t="n">
        <f aca="false">IF(W257="",0,IF(AND(AN257=0,ABS(W257)&gt;Inputs!$B$5,ABS(W257)&lt;=Inputs!$B$7,W257&gt;0),1,0))</f>
        <v>0</v>
      </c>
      <c r="AP257" s="30" t="n">
        <f aca="false">IF(W257="",0,IF(AO257=1,-SIGN(W257),AN257))</f>
        <v>0</v>
      </c>
      <c r="AQ257" s="30" t="n">
        <f aca="false">IF(W257="",0,IF(AO257=1,0,IF(AM257=1,0,AL257)))</f>
        <v>0</v>
      </c>
      <c r="AR257" s="30" t="n">
        <f aca="false">IF(AP257=0,0,IF(AP256=AP257,AR256,T257))</f>
        <v>0</v>
      </c>
      <c r="AS257" s="30" t="n">
        <f aca="false">AP257-AP256</f>
        <v>0</v>
      </c>
      <c r="AT257" s="30" t="n">
        <f aca="false">-AR257*AP257</f>
        <v>-0</v>
      </c>
      <c r="AU257" s="30" t="n">
        <f aca="false">AT257-AT256</f>
        <v>0</v>
      </c>
      <c r="AV257" s="30" t="n">
        <f aca="false">MAX(AS257,0)*(Inputs!$B$17+Inputs!$B$18+Inputs!$B$19)+MAX(-AS257,0)*(O257+Inputs!$B$18+Inputs!$B$19)+IF(AND(K257=1,AP257&lt;&gt;0),(Inputs!$B$17+Inputs!$B$18+Inputs!$B$19)+(O257+Inputs!$B$18+Inputs!$B$19),0)+MAX(AU257,0)*(Inputs!$B$20+Inputs!$B$22+Inputs!$B$23)+MAX(-AU257,0)*(Inputs!$B$21+Inputs!$B$22+Inputs!$B$23)</f>
        <v>0</v>
      </c>
      <c r="AW257" s="30" t="n">
        <f aca="false">AP256*(M257-AR256*J257)+AP256*AR256*N257/Inputs!$B$16-AV257</f>
        <v>0</v>
      </c>
      <c r="AX257" s="30" t="n">
        <f aca="false">AW257-IF(AP256&lt;&gt;0,0.75*AR256*(Inputs!$B$13-N257)/Inputs!$B$16,0)</f>
        <v>0</v>
      </c>
      <c r="AY257" s="30" t="n">
        <f aca="false">MAX(AS257,0)*(Inputs!$B$17+Inputs!$B$18+Inputs!$B$19)+MAX(-AS257,0)*(O257+Inputs!$B$18+Inputs!$B$19)+IF(AND(K257=1,AP257&lt;&gt;0),(Inputs!$B$17+Inputs!$B$18+Inputs!$B$19)+(O257+Inputs!$B$18+Inputs!$B$19),0)</f>
        <v>0</v>
      </c>
      <c r="AZ257" s="30" t="n">
        <f aca="false">AP256*M257-AY257</f>
        <v>0</v>
      </c>
      <c r="BA257" s="32" t="n">
        <f aca="false">BA256+AI257</f>
        <v>-0.0042764994896359</v>
      </c>
      <c r="BB257" s="30" t="n">
        <f aca="false">MAX(BB256,BA257)</f>
        <v>0</v>
      </c>
      <c r="BC257" s="32" t="n">
        <f aca="false">BA257-BB257</f>
        <v>-0.0042764994896359</v>
      </c>
      <c r="BD257" s="30" t="n">
        <f aca="false">A258-A257</f>
        <v>1</v>
      </c>
    </row>
    <row r="258" customFormat="false" ht="15" hidden="false" customHeight="false" outlineLevel="0" collapsed="false">
      <c r="A258" s="28" t="n">
        <v>45421</v>
      </c>
      <c r="B258" s="0" t="n">
        <v>22072.8</v>
      </c>
      <c r="C258" s="0" t="n">
        <v>243.79</v>
      </c>
      <c r="D258" s="29" t="n">
        <f aca="false">LN(B258)</f>
        <v>10.0021013602566</v>
      </c>
      <c r="E258" s="29" t="n">
        <f aca="false">LN(C258)</f>
        <v>5.49630719897871</v>
      </c>
      <c r="F258" s="0" t="n">
        <v>253</v>
      </c>
      <c r="G258" s="0" t="n">
        <v>21</v>
      </c>
      <c r="H258" s="29" t="n">
        <f aca="false">D258-E258</f>
        <v>4.50579416127789</v>
      </c>
      <c r="I258" s="29" t="n">
        <f aca="false">D258-D257</f>
        <v>-0.0143956302039392</v>
      </c>
      <c r="J258" s="29" t="n">
        <f aca="false">E258-E257</f>
        <v>-0.0155073418317349</v>
      </c>
      <c r="K258" s="0" t="n">
        <v>0</v>
      </c>
      <c r="L258" s="0" t="n">
        <v>0</v>
      </c>
      <c r="M258" s="29" t="n">
        <f aca="false">IF(L258=1,J258-Carry!$B$9/Inputs!$B$16,I258)</f>
        <v>-0.0143956302039392</v>
      </c>
      <c r="N258" s="0" t="n">
        <v>0.065</v>
      </c>
      <c r="O258" s="0" t="n">
        <v>0.000125</v>
      </c>
      <c r="P258" s="29" t="n">
        <f aca="false">D258-('2 Hedge ratio'!$B$6+'2 Hedge ratio'!$B$5*E258)</f>
        <v>0.0049671768836248</v>
      </c>
      <c r="Q258" s="29" t="n">
        <f aca="false">D258-('5 Re-specification'!$B$7+'5 Re-specification'!$B$5*E258+'5 Re-specification'!$B$6*F258)</f>
        <v>0.00261681689145554</v>
      </c>
      <c r="R258" s="30" t="n">
        <f aca="false">MIN(F258,Inputs!$B$9)</f>
        <v>250</v>
      </c>
      <c r="S258" s="29" t="n">
        <f aca="true">IF(AND(F258&gt;=1,R258&gt;=Inputs!$B$10),INDEX(LINEST(OFFSET(D258,-R258,0,R258,1),OFFSET(E258,-R258,0,R258,2)),1,1),"")</f>
        <v>-6.90355833189181E-005</v>
      </c>
      <c r="T258" s="29" t="n">
        <f aca="true">IF(AND(F258&gt;=1,R258&gt;=Inputs!$B$10),INDEX(LINEST(OFFSET(D258,-R258,0,R258,1),OFFSET(E258,-R258,0,R258,2)),1,2),"")</f>
        <v>1.03368358070765</v>
      </c>
      <c r="U258" s="29" t="n">
        <f aca="true">IF(AND(F258&gt;=1,R258&gt;=Inputs!$B$10),INDEX(LINEST(OFFSET(D258,-R258,0,R258,1),OFFSET(E258,-R258,0,R258,2)),1,3),"")</f>
        <v>4.33584194061341</v>
      </c>
      <c r="V258" s="29" t="n">
        <f aca="true">IF(AND(F258&gt;=1,R258&gt;=Inputs!$B$10),SQRT(SUMPRODUCT((OFFSET(D258,-R258,0,R258,1)-U258-T258*OFFSET(E258,-R258,0,R258,1)-S258*OFFSET(F258,-R258,0,R258,1))^2)/(R258-3)),"")</f>
        <v>0.00256315575360919</v>
      </c>
      <c r="W258" s="31" t="n">
        <f aca="false">IF(AND(F258&gt;=1,R258&gt;=Inputs!$B$10),(D258-U258-T258*E258-S258*F258)/V258,"")</f>
        <v>0.890666168115917</v>
      </c>
      <c r="X258" s="30" t="n">
        <f aca="false">IF(AB257&lt;&gt;0,AC257+1,0)</f>
        <v>0</v>
      </c>
      <c r="Y258" s="30" t="n">
        <f aca="false">IF(W258="",0,IF(AND(AB257&lt;&gt;0,OR(ABS(W258)&gt;Inputs!$B$7,X258&gt;=Inputs!$B$8,ABS(W258)&lt;Inputs!$B$6)),1,0))</f>
        <v>0</v>
      </c>
      <c r="Z258" s="30" t="n">
        <f aca="false">IF(Y258=1,0,AB257)</f>
        <v>0</v>
      </c>
      <c r="AA258" s="30" t="n">
        <f aca="false">IF(W258="",0,IF(AND(Z258=0,ABS(W258)&gt;Inputs!$B$5,ABS(W258)&lt;=Inputs!$B$7),1,0))</f>
        <v>0</v>
      </c>
      <c r="AB258" s="30" t="n">
        <f aca="false">IF(W258="",0,IF(AA258=1,-SIGN(W258),Z258))</f>
        <v>0</v>
      </c>
      <c r="AC258" s="30" t="n">
        <f aca="false">IF(W258="",0,IF(AA258=1,0,IF(Y258=1,0,X258)))</f>
        <v>0</v>
      </c>
      <c r="AD258" s="30" t="n">
        <f aca="false">IF(AB258=0,0,IF(AB257=AB258,AD257,T258))</f>
        <v>0</v>
      </c>
      <c r="AE258" s="30" t="n">
        <f aca="false">AB258-AB257</f>
        <v>0</v>
      </c>
      <c r="AF258" s="30" t="n">
        <f aca="false">-AD258*AB258</f>
        <v>-0</v>
      </c>
      <c r="AG258" s="30" t="n">
        <f aca="false">AF258-AF257</f>
        <v>0</v>
      </c>
      <c r="AH258" s="30" t="n">
        <f aca="false">MAX(AE258,0)*(Inputs!$B$17+Inputs!$B$18+Inputs!$B$19)+MAX(-AE258,0)*(O258+Inputs!$B$18+Inputs!$B$19)+IF(AND(K258=1,AB258&lt;&gt;0),(Inputs!$B$17+Inputs!$B$18+Inputs!$B$19)+(O258+Inputs!$B$18+Inputs!$B$19),0)+MAX(AG258,0)*(Inputs!$B$20+Inputs!$B$22+Inputs!$B$23)+MAX(-AG258,0)*(Inputs!$B$21+Inputs!$B$22+Inputs!$B$23)</f>
        <v>0</v>
      </c>
      <c r="AI258" s="30" t="n">
        <f aca="false">AB257*(M258-AD257*J258)+AB257*AD257*N258/Inputs!$B$16-AH258</f>
        <v>0</v>
      </c>
      <c r="AJ258" s="30" t="n">
        <f aca="false">MAX(AE258,0)*(Inputs!$B$17+Inputs!$B$24+Inputs!$B$25)+MAX(-AE258,0)*(O258+Inputs!$B$24+Inputs!$B$25)+IF(AND(K258=1,AB258&lt;&gt;0),(Inputs!$B$17+Inputs!$B$24+Inputs!$B$25)+(O258+Inputs!$B$24+Inputs!$B$25),0)+MAX(AG258,0)*(Inputs!$B$20+Inputs!$B$26+Inputs!$B$27)+MAX(-AG258,0)*(Inputs!$B$21+Inputs!$B$26+Inputs!$B$27)</f>
        <v>0</v>
      </c>
      <c r="AK258" s="30" t="n">
        <f aca="false">AB257*(M258-AD257*J258)+AB257*AD257*(N258+Inputs!$B$14)/Inputs!$B$16-AJ258</f>
        <v>0</v>
      </c>
      <c r="AL258" s="30" t="n">
        <f aca="false">IF(AP257&lt;&gt;0,AQ257+1,0)</f>
        <v>0</v>
      </c>
      <c r="AM258" s="30" t="n">
        <f aca="false">IF(W258="",0,IF(AND(AP257&lt;&gt;0,OR(ABS(W258)&gt;Inputs!$B$7,AL258&gt;=Inputs!$B$8,ABS(W258)&lt;Inputs!$B$6)),1,0))</f>
        <v>0</v>
      </c>
      <c r="AN258" s="30" t="n">
        <f aca="false">IF(AM258=1,0,AP257)</f>
        <v>0</v>
      </c>
      <c r="AO258" s="30" t="n">
        <f aca="false">IF(W258="",0,IF(AND(AN258=0,ABS(W258)&gt;Inputs!$B$5,ABS(W258)&lt;=Inputs!$B$7,W258&gt;0),1,0))</f>
        <v>0</v>
      </c>
      <c r="AP258" s="30" t="n">
        <f aca="false">IF(W258="",0,IF(AO258=1,-SIGN(W258),AN258))</f>
        <v>0</v>
      </c>
      <c r="AQ258" s="30" t="n">
        <f aca="false">IF(W258="",0,IF(AO258=1,0,IF(AM258=1,0,AL258)))</f>
        <v>0</v>
      </c>
      <c r="AR258" s="30" t="n">
        <f aca="false">IF(AP258=0,0,IF(AP257=AP258,AR257,T258))</f>
        <v>0</v>
      </c>
      <c r="AS258" s="30" t="n">
        <f aca="false">AP258-AP257</f>
        <v>0</v>
      </c>
      <c r="AT258" s="30" t="n">
        <f aca="false">-AR258*AP258</f>
        <v>-0</v>
      </c>
      <c r="AU258" s="30" t="n">
        <f aca="false">AT258-AT257</f>
        <v>0</v>
      </c>
      <c r="AV258" s="30" t="n">
        <f aca="false">MAX(AS258,0)*(Inputs!$B$17+Inputs!$B$18+Inputs!$B$19)+MAX(-AS258,0)*(O258+Inputs!$B$18+Inputs!$B$19)+IF(AND(K258=1,AP258&lt;&gt;0),(Inputs!$B$17+Inputs!$B$18+Inputs!$B$19)+(O258+Inputs!$B$18+Inputs!$B$19),0)+MAX(AU258,0)*(Inputs!$B$20+Inputs!$B$22+Inputs!$B$23)+MAX(-AU258,0)*(Inputs!$B$21+Inputs!$B$22+Inputs!$B$23)</f>
        <v>0</v>
      </c>
      <c r="AW258" s="30" t="n">
        <f aca="false">AP257*(M258-AR257*J258)+AP257*AR257*N258/Inputs!$B$16-AV258</f>
        <v>0</v>
      </c>
      <c r="AX258" s="30" t="n">
        <f aca="false">AW258-IF(AP257&lt;&gt;0,0.75*AR257*(Inputs!$B$13-N258)/Inputs!$B$16,0)</f>
        <v>0</v>
      </c>
      <c r="AY258" s="30" t="n">
        <f aca="false">MAX(AS258,0)*(Inputs!$B$17+Inputs!$B$18+Inputs!$B$19)+MAX(-AS258,0)*(O258+Inputs!$B$18+Inputs!$B$19)+IF(AND(K258=1,AP258&lt;&gt;0),(Inputs!$B$17+Inputs!$B$18+Inputs!$B$19)+(O258+Inputs!$B$18+Inputs!$B$19),0)</f>
        <v>0</v>
      </c>
      <c r="AZ258" s="30" t="n">
        <f aca="false">AP257*M258-AY258</f>
        <v>-0</v>
      </c>
      <c r="BA258" s="32" t="n">
        <f aca="false">BA257+AI258</f>
        <v>-0.0042764994896359</v>
      </c>
      <c r="BB258" s="30" t="n">
        <f aca="false">MAX(BB257,BA258)</f>
        <v>0</v>
      </c>
      <c r="BC258" s="32" t="n">
        <f aca="false">BA258-BB258</f>
        <v>-0.0042764994896359</v>
      </c>
      <c r="BD258" s="30" t="n">
        <f aca="false">A259-A258</f>
        <v>1</v>
      </c>
    </row>
    <row r="259" customFormat="false" ht="15" hidden="false" customHeight="false" outlineLevel="0" collapsed="false">
      <c r="A259" s="28" t="n">
        <v>45422</v>
      </c>
      <c r="B259" s="0" t="n">
        <v>22127.7</v>
      </c>
      <c r="C259" s="0" t="n">
        <v>244.98</v>
      </c>
      <c r="D259" s="29" t="n">
        <f aca="false">LN(B259)</f>
        <v>10.0045854963289</v>
      </c>
      <c r="E259" s="29" t="n">
        <f aca="false">LN(C259)</f>
        <v>5.50117657455954</v>
      </c>
      <c r="F259" s="0" t="n">
        <v>254</v>
      </c>
      <c r="G259" s="0" t="n">
        <v>20</v>
      </c>
      <c r="H259" s="29" t="n">
        <f aca="false">D259-E259</f>
        <v>4.50340892176937</v>
      </c>
      <c r="I259" s="29" t="n">
        <f aca="false">D259-D258</f>
        <v>0.00248413607230802</v>
      </c>
      <c r="J259" s="29" t="n">
        <f aca="false">E259-E258</f>
        <v>0.00486937558083334</v>
      </c>
      <c r="K259" s="0" t="n">
        <v>0</v>
      </c>
      <c r="L259" s="0" t="n">
        <v>0</v>
      </c>
      <c r="M259" s="29" t="n">
        <f aca="false">IF(L259=1,J259-Carry!$B$9/Inputs!$B$16,I259)</f>
        <v>0.00248413607230802</v>
      </c>
      <c r="N259" s="0" t="n">
        <v>0.065</v>
      </c>
      <c r="O259" s="0" t="n">
        <v>0.000125</v>
      </c>
      <c r="P259" s="29" t="n">
        <f aca="false">D259-('2 Hedge ratio'!$B$6+'2 Hedge ratio'!$B$5*E259)</f>
        <v>0.00299034768550932</v>
      </c>
      <c r="Q259" s="29" t="n">
        <f aca="false">D259-('5 Re-specification'!$B$7+'5 Re-specification'!$B$5*E259+'5 Re-specification'!$B$6*F259)</f>
        <v>0.000291263343827453</v>
      </c>
      <c r="R259" s="30" t="n">
        <f aca="false">MIN(F259,Inputs!$B$9)</f>
        <v>250</v>
      </c>
      <c r="S259" s="29" t="n">
        <f aca="true">IF(AND(F259&gt;=1,R259&gt;=Inputs!$B$10),INDEX(LINEST(OFFSET(D259,-R259,0,R259,1),OFFSET(E259,-R259,0,R259,2)),1,1),"")</f>
        <v>-6.8161026762899E-005</v>
      </c>
      <c r="T259" s="29" t="n">
        <f aca="true">IF(AND(F259&gt;=1,R259&gt;=Inputs!$B$10),INDEX(LINEST(OFFSET(D259,-R259,0,R259,1),OFFSET(E259,-R259,0,R259,2)),1,2),"")</f>
        <v>1.03337870554357</v>
      </c>
      <c r="U259" s="29" t="n">
        <f aca="true">IF(AND(F259&gt;=1,R259&gt;=Inputs!$B$10),INDEX(LINEST(OFFSET(D259,-R259,0,R259,1),OFFSET(E259,-R259,0,R259,2)),1,3),"")</f>
        <v>4.33737417605761</v>
      </c>
      <c r="V259" s="29" t="n">
        <f aca="true">IF(AND(F259&gt;=1,R259&gt;=Inputs!$B$10),SQRT(SUMPRODUCT((OFFSET(D259,-R259,0,R259,1)-U259-T259*OFFSET(E259,-R259,0,R259,1)-S259*OFFSET(F259,-R259,0,R259,1))^2)/(R259-3)),"")</f>
        <v>0.0025550320034809</v>
      </c>
      <c r="W259" s="31" t="n">
        <f aca="false">IF(AND(F259&gt;=1,R259&gt;=Inputs!$B$10),(D259-U259-T259*E259-S259*F259)/V259,"")</f>
        <v>-0.10743760372344</v>
      </c>
      <c r="X259" s="30" t="n">
        <f aca="false">IF(AB258&lt;&gt;0,AC258+1,0)</f>
        <v>0</v>
      </c>
      <c r="Y259" s="30" t="n">
        <f aca="false">IF(W259="",0,IF(AND(AB258&lt;&gt;0,OR(ABS(W259)&gt;Inputs!$B$7,X259&gt;=Inputs!$B$8,ABS(W259)&lt;Inputs!$B$6)),1,0))</f>
        <v>0</v>
      </c>
      <c r="Z259" s="30" t="n">
        <f aca="false">IF(Y259=1,0,AB258)</f>
        <v>0</v>
      </c>
      <c r="AA259" s="30" t="n">
        <f aca="false">IF(W259="",0,IF(AND(Z259=0,ABS(W259)&gt;Inputs!$B$5,ABS(W259)&lt;=Inputs!$B$7),1,0))</f>
        <v>0</v>
      </c>
      <c r="AB259" s="30" t="n">
        <f aca="false">IF(W259="",0,IF(AA259=1,-SIGN(W259),Z259))</f>
        <v>0</v>
      </c>
      <c r="AC259" s="30" t="n">
        <f aca="false">IF(W259="",0,IF(AA259=1,0,IF(Y259=1,0,X259)))</f>
        <v>0</v>
      </c>
      <c r="AD259" s="30" t="n">
        <f aca="false">IF(AB259=0,0,IF(AB258=AB259,AD258,T259))</f>
        <v>0</v>
      </c>
      <c r="AE259" s="30" t="n">
        <f aca="false">AB259-AB258</f>
        <v>0</v>
      </c>
      <c r="AF259" s="30" t="n">
        <f aca="false">-AD259*AB259</f>
        <v>-0</v>
      </c>
      <c r="AG259" s="30" t="n">
        <f aca="false">AF259-AF258</f>
        <v>0</v>
      </c>
      <c r="AH259" s="30" t="n">
        <f aca="false">MAX(AE259,0)*(Inputs!$B$17+Inputs!$B$18+Inputs!$B$19)+MAX(-AE259,0)*(O259+Inputs!$B$18+Inputs!$B$19)+IF(AND(K259=1,AB259&lt;&gt;0),(Inputs!$B$17+Inputs!$B$18+Inputs!$B$19)+(O259+Inputs!$B$18+Inputs!$B$19),0)+MAX(AG259,0)*(Inputs!$B$20+Inputs!$B$22+Inputs!$B$23)+MAX(-AG259,0)*(Inputs!$B$21+Inputs!$B$22+Inputs!$B$23)</f>
        <v>0</v>
      </c>
      <c r="AI259" s="30" t="n">
        <f aca="false">AB258*(M259-AD258*J259)+AB258*AD258*N259/Inputs!$B$16-AH259</f>
        <v>0</v>
      </c>
      <c r="AJ259" s="30" t="n">
        <f aca="false">MAX(AE259,0)*(Inputs!$B$17+Inputs!$B$24+Inputs!$B$25)+MAX(-AE259,0)*(O259+Inputs!$B$24+Inputs!$B$25)+IF(AND(K259=1,AB259&lt;&gt;0),(Inputs!$B$17+Inputs!$B$24+Inputs!$B$25)+(O259+Inputs!$B$24+Inputs!$B$25),0)+MAX(AG259,0)*(Inputs!$B$20+Inputs!$B$26+Inputs!$B$27)+MAX(-AG259,0)*(Inputs!$B$21+Inputs!$B$26+Inputs!$B$27)</f>
        <v>0</v>
      </c>
      <c r="AK259" s="30" t="n">
        <f aca="false">AB258*(M259-AD258*J259)+AB258*AD258*(N259+Inputs!$B$14)/Inputs!$B$16-AJ259</f>
        <v>0</v>
      </c>
      <c r="AL259" s="30" t="n">
        <f aca="false">IF(AP258&lt;&gt;0,AQ258+1,0)</f>
        <v>0</v>
      </c>
      <c r="AM259" s="30" t="n">
        <f aca="false">IF(W259="",0,IF(AND(AP258&lt;&gt;0,OR(ABS(W259)&gt;Inputs!$B$7,AL259&gt;=Inputs!$B$8,ABS(W259)&lt;Inputs!$B$6)),1,0))</f>
        <v>0</v>
      </c>
      <c r="AN259" s="30" t="n">
        <f aca="false">IF(AM259=1,0,AP258)</f>
        <v>0</v>
      </c>
      <c r="AO259" s="30" t="n">
        <f aca="false">IF(W259="",0,IF(AND(AN259=0,ABS(W259)&gt;Inputs!$B$5,ABS(W259)&lt;=Inputs!$B$7,W259&gt;0),1,0))</f>
        <v>0</v>
      </c>
      <c r="AP259" s="30" t="n">
        <f aca="false">IF(W259="",0,IF(AO259=1,-SIGN(W259),AN259))</f>
        <v>0</v>
      </c>
      <c r="AQ259" s="30" t="n">
        <f aca="false">IF(W259="",0,IF(AO259=1,0,IF(AM259=1,0,AL259)))</f>
        <v>0</v>
      </c>
      <c r="AR259" s="30" t="n">
        <f aca="false">IF(AP259=0,0,IF(AP258=AP259,AR258,T259))</f>
        <v>0</v>
      </c>
      <c r="AS259" s="30" t="n">
        <f aca="false">AP259-AP258</f>
        <v>0</v>
      </c>
      <c r="AT259" s="30" t="n">
        <f aca="false">-AR259*AP259</f>
        <v>-0</v>
      </c>
      <c r="AU259" s="30" t="n">
        <f aca="false">AT259-AT258</f>
        <v>0</v>
      </c>
      <c r="AV259" s="30" t="n">
        <f aca="false">MAX(AS259,0)*(Inputs!$B$17+Inputs!$B$18+Inputs!$B$19)+MAX(-AS259,0)*(O259+Inputs!$B$18+Inputs!$B$19)+IF(AND(K259=1,AP259&lt;&gt;0),(Inputs!$B$17+Inputs!$B$18+Inputs!$B$19)+(O259+Inputs!$B$18+Inputs!$B$19),0)+MAX(AU259,0)*(Inputs!$B$20+Inputs!$B$22+Inputs!$B$23)+MAX(-AU259,0)*(Inputs!$B$21+Inputs!$B$22+Inputs!$B$23)</f>
        <v>0</v>
      </c>
      <c r="AW259" s="30" t="n">
        <f aca="false">AP258*(M259-AR258*J259)+AP258*AR258*N259/Inputs!$B$16-AV259</f>
        <v>0</v>
      </c>
      <c r="AX259" s="30" t="n">
        <f aca="false">AW259-IF(AP258&lt;&gt;0,0.75*AR258*(Inputs!$B$13-N259)/Inputs!$B$16,0)</f>
        <v>0</v>
      </c>
      <c r="AY259" s="30" t="n">
        <f aca="false">MAX(AS259,0)*(Inputs!$B$17+Inputs!$B$18+Inputs!$B$19)+MAX(-AS259,0)*(O259+Inputs!$B$18+Inputs!$B$19)+IF(AND(K259=1,AP259&lt;&gt;0),(Inputs!$B$17+Inputs!$B$18+Inputs!$B$19)+(O259+Inputs!$B$18+Inputs!$B$19),0)</f>
        <v>0</v>
      </c>
      <c r="AZ259" s="30" t="n">
        <f aca="false">AP258*M259-AY259</f>
        <v>0</v>
      </c>
      <c r="BA259" s="32" t="n">
        <f aca="false">BA258+AI259</f>
        <v>-0.0042764994896359</v>
      </c>
      <c r="BB259" s="30" t="n">
        <f aca="false">MAX(BB258,BA259)</f>
        <v>0</v>
      </c>
      <c r="BC259" s="32" t="n">
        <f aca="false">BA259-BB259</f>
        <v>-0.0042764994896359</v>
      </c>
      <c r="BD259" s="30" t="n">
        <f aca="false">A260-A259</f>
        <v>3</v>
      </c>
    </row>
    <row r="260" customFormat="false" ht="15" hidden="false" customHeight="false" outlineLevel="0" collapsed="false">
      <c r="A260" s="28" t="n">
        <v>45425</v>
      </c>
      <c r="B260" s="0" t="n">
        <v>22224.3</v>
      </c>
      <c r="C260" s="0" t="n">
        <v>245.36</v>
      </c>
      <c r="D260" s="29" t="n">
        <f aca="false">LN(B260)</f>
        <v>10.0089415638231</v>
      </c>
      <c r="E260" s="29" t="n">
        <f aca="false">LN(C260)</f>
        <v>5.502726519806</v>
      </c>
      <c r="F260" s="0" t="n">
        <v>255</v>
      </c>
      <c r="G260" s="0" t="n">
        <v>17</v>
      </c>
      <c r="H260" s="29" t="n">
        <f aca="false">D260-E260</f>
        <v>4.50621504401711</v>
      </c>
      <c r="I260" s="29" t="n">
        <f aca="false">D260-D259</f>
        <v>0.00435606749419648</v>
      </c>
      <c r="J260" s="29" t="n">
        <f aca="false">E260-E259</f>
        <v>0.00154994524645691</v>
      </c>
      <c r="K260" s="0" t="n">
        <v>0</v>
      </c>
      <c r="L260" s="0" t="n">
        <v>0</v>
      </c>
      <c r="M260" s="29" t="n">
        <f aca="false">IF(L260=1,J260-Carry!$B$9/Inputs!$B$16,I260)</f>
        <v>0.00435606749419648</v>
      </c>
      <c r="N260" s="0" t="n">
        <v>0.065</v>
      </c>
      <c r="O260" s="0" t="n">
        <v>0.000125</v>
      </c>
      <c r="P260" s="29" t="n">
        <f aca="false">D260-('2 Hedge ratio'!$B$6+'2 Hedge ratio'!$B$5*E260)</f>
        <v>0.00592646886405923</v>
      </c>
      <c r="Q260" s="29" t="n">
        <f aca="false">D260-('5 Re-specification'!$B$7+'5 Re-specification'!$B$5*E260+'5 Re-specification'!$B$6*F260)</f>
        <v>0.00314701201876666</v>
      </c>
      <c r="R260" s="30" t="n">
        <f aca="false">MIN(F260,Inputs!$B$9)</f>
        <v>250</v>
      </c>
      <c r="S260" s="29" t="n">
        <f aca="true">IF(AND(F260&gt;=1,R260&gt;=Inputs!$B$10),INDEX(LINEST(OFFSET(D260,-R260,0,R260,1),OFFSET(E260,-R260,0,R260,2)),1,1),"")</f>
        <v>-6.79459506526913E-005</v>
      </c>
      <c r="T260" s="29" t="n">
        <f aca="true">IF(AND(F260&gt;=1,R260&gt;=Inputs!$B$10),INDEX(LINEST(OFFSET(D260,-R260,0,R260,1),OFFSET(E260,-R260,0,R260,2)),1,2),"")</f>
        <v>1.0335199600414</v>
      </c>
      <c r="U260" s="29" t="n">
        <f aca="true">IF(AND(F260&gt;=1,R260&gt;=Inputs!$B$10),INDEX(LINEST(OFFSET(D260,-R260,0,R260,1),OFFSET(E260,-R260,0,R260,2)),1,3),"")</f>
        <v>4.33656474427988</v>
      </c>
      <c r="V260" s="29" t="n">
        <f aca="true">IF(AND(F260&gt;=1,R260&gt;=Inputs!$B$10),SQRT(SUMPRODUCT((OFFSET(D260,-R260,0,R260,1)-U260-T260*OFFSET(E260,-R260,0,R260,1)-S260*OFFSET(F260,-R260,0,R260,1))^2)/(R260-3)),"")</f>
        <v>0.00254308529813028</v>
      </c>
      <c r="W260" s="31" t="n">
        <f aca="false">IF(AND(F260&gt;=1,R260&gt;=Inputs!$B$10),(D260-U260-T260*E260-S260*F260)/V260,"")</f>
        <v>0.993023746730161</v>
      </c>
      <c r="X260" s="30" t="n">
        <f aca="false">IF(AB259&lt;&gt;0,AC259+1,0)</f>
        <v>0</v>
      </c>
      <c r="Y260" s="30" t="n">
        <f aca="false">IF(W260="",0,IF(AND(AB259&lt;&gt;0,OR(ABS(W260)&gt;Inputs!$B$7,X260&gt;=Inputs!$B$8,ABS(W260)&lt;Inputs!$B$6)),1,0))</f>
        <v>0</v>
      </c>
      <c r="Z260" s="30" t="n">
        <f aca="false">IF(Y260=1,0,AB259)</f>
        <v>0</v>
      </c>
      <c r="AA260" s="30" t="n">
        <f aca="false">IF(W260="",0,IF(AND(Z260=0,ABS(W260)&gt;Inputs!$B$5,ABS(W260)&lt;=Inputs!$B$7),1,0))</f>
        <v>0</v>
      </c>
      <c r="AB260" s="30" t="n">
        <f aca="false">IF(W260="",0,IF(AA260=1,-SIGN(W260),Z260))</f>
        <v>0</v>
      </c>
      <c r="AC260" s="30" t="n">
        <f aca="false">IF(W260="",0,IF(AA260=1,0,IF(Y260=1,0,X260)))</f>
        <v>0</v>
      </c>
      <c r="AD260" s="30" t="n">
        <f aca="false">IF(AB260=0,0,IF(AB259=AB260,AD259,T260))</f>
        <v>0</v>
      </c>
      <c r="AE260" s="30" t="n">
        <f aca="false">AB260-AB259</f>
        <v>0</v>
      </c>
      <c r="AF260" s="30" t="n">
        <f aca="false">-AD260*AB260</f>
        <v>-0</v>
      </c>
      <c r="AG260" s="30" t="n">
        <f aca="false">AF260-AF259</f>
        <v>0</v>
      </c>
      <c r="AH260" s="30" t="n">
        <f aca="false">MAX(AE260,0)*(Inputs!$B$17+Inputs!$B$18+Inputs!$B$19)+MAX(-AE260,0)*(O260+Inputs!$B$18+Inputs!$B$19)+IF(AND(K260=1,AB260&lt;&gt;0),(Inputs!$B$17+Inputs!$B$18+Inputs!$B$19)+(O260+Inputs!$B$18+Inputs!$B$19),0)+MAX(AG260,0)*(Inputs!$B$20+Inputs!$B$22+Inputs!$B$23)+MAX(-AG260,0)*(Inputs!$B$21+Inputs!$B$22+Inputs!$B$23)</f>
        <v>0</v>
      </c>
      <c r="AI260" s="30" t="n">
        <f aca="false">AB259*(M260-AD259*J260)+AB259*AD259*N260/Inputs!$B$16-AH260</f>
        <v>0</v>
      </c>
      <c r="AJ260" s="30" t="n">
        <f aca="false">MAX(AE260,0)*(Inputs!$B$17+Inputs!$B$24+Inputs!$B$25)+MAX(-AE260,0)*(O260+Inputs!$B$24+Inputs!$B$25)+IF(AND(K260=1,AB260&lt;&gt;0),(Inputs!$B$17+Inputs!$B$24+Inputs!$B$25)+(O260+Inputs!$B$24+Inputs!$B$25),0)+MAX(AG260,0)*(Inputs!$B$20+Inputs!$B$26+Inputs!$B$27)+MAX(-AG260,0)*(Inputs!$B$21+Inputs!$B$26+Inputs!$B$27)</f>
        <v>0</v>
      </c>
      <c r="AK260" s="30" t="n">
        <f aca="false">AB259*(M260-AD259*J260)+AB259*AD259*(N260+Inputs!$B$14)/Inputs!$B$16-AJ260</f>
        <v>0</v>
      </c>
      <c r="AL260" s="30" t="n">
        <f aca="false">IF(AP259&lt;&gt;0,AQ259+1,0)</f>
        <v>0</v>
      </c>
      <c r="AM260" s="30" t="n">
        <f aca="false">IF(W260="",0,IF(AND(AP259&lt;&gt;0,OR(ABS(W260)&gt;Inputs!$B$7,AL260&gt;=Inputs!$B$8,ABS(W260)&lt;Inputs!$B$6)),1,0))</f>
        <v>0</v>
      </c>
      <c r="AN260" s="30" t="n">
        <f aca="false">IF(AM260=1,0,AP259)</f>
        <v>0</v>
      </c>
      <c r="AO260" s="30" t="n">
        <f aca="false">IF(W260="",0,IF(AND(AN260=0,ABS(W260)&gt;Inputs!$B$5,ABS(W260)&lt;=Inputs!$B$7,W260&gt;0),1,0))</f>
        <v>0</v>
      </c>
      <c r="AP260" s="30" t="n">
        <f aca="false">IF(W260="",0,IF(AO260=1,-SIGN(W260),AN260))</f>
        <v>0</v>
      </c>
      <c r="AQ260" s="30" t="n">
        <f aca="false">IF(W260="",0,IF(AO260=1,0,IF(AM260=1,0,AL260)))</f>
        <v>0</v>
      </c>
      <c r="AR260" s="30" t="n">
        <f aca="false">IF(AP260=0,0,IF(AP259=AP260,AR259,T260))</f>
        <v>0</v>
      </c>
      <c r="AS260" s="30" t="n">
        <f aca="false">AP260-AP259</f>
        <v>0</v>
      </c>
      <c r="AT260" s="30" t="n">
        <f aca="false">-AR260*AP260</f>
        <v>-0</v>
      </c>
      <c r="AU260" s="30" t="n">
        <f aca="false">AT260-AT259</f>
        <v>0</v>
      </c>
      <c r="AV260" s="30" t="n">
        <f aca="false">MAX(AS260,0)*(Inputs!$B$17+Inputs!$B$18+Inputs!$B$19)+MAX(-AS260,0)*(O260+Inputs!$B$18+Inputs!$B$19)+IF(AND(K260=1,AP260&lt;&gt;0),(Inputs!$B$17+Inputs!$B$18+Inputs!$B$19)+(O260+Inputs!$B$18+Inputs!$B$19),0)+MAX(AU260,0)*(Inputs!$B$20+Inputs!$B$22+Inputs!$B$23)+MAX(-AU260,0)*(Inputs!$B$21+Inputs!$B$22+Inputs!$B$23)</f>
        <v>0</v>
      </c>
      <c r="AW260" s="30" t="n">
        <f aca="false">AP259*(M260-AR259*J260)+AP259*AR259*N260/Inputs!$B$16-AV260</f>
        <v>0</v>
      </c>
      <c r="AX260" s="30" t="n">
        <f aca="false">AW260-IF(AP259&lt;&gt;0,0.75*AR259*(Inputs!$B$13-N260)/Inputs!$B$16,0)</f>
        <v>0</v>
      </c>
      <c r="AY260" s="30" t="n">
        <f aca="false">MAX(AS260,0)*(Inputs!$B$17+Inputs!$B$18+Inputs!$B$19)+MAX(-AS260,0)*(O260+Inputs!$B$18+Inputs!$B$19)+IF(AND(K260=1,AP260&lt;&gt;0),(Inputs!$B$17+Inputs!$B$18+Inputs!$B$19)+(O260+Inputs!$B$18+Inputs!$B$19),0)</f>
        <v>0</v>
      </c>
      <c r="AZ260" s="30" t="n">
        <f aca="false">AP259*M260-AY260</f>
        <v>0</v>
      </c>
      <c r="BA260" s="32" t="n">
        <f aca="false">BA259+AI260</f>
        <v>-0.0042764994896359</v>
      </c>
      <c r="BB260" s="30" t="n">
        <f aca="false">MAX(BB259,BA260)</f>
        <v>0</v>
      </c>
      <c r="BC260" s="32" t="n">
        <f aca="false">BA260-BB260</f>
        <v>-0.0042764994896359</v>
      </c>
      <c r="BD260" s="30" t="n">
        <f aca="false">A261-A260</f>
        <v>1</v>
      </c>
    </row>
    <row r="261" customFormat="false" ht="15" hidden="false" customHeight="false" outlineLevel="0" collapsed="false">
      <c r="A261" s="28" t="n">
        <v>45426</v>
      </c>
      <c r="B261" s="0" t="n">
        <v>22312.2</v>
      </c>
      <c r="C261" s="0" t="n">
        <v>246.84</v>
      </c>
      <c r="D261" s="29" t="n">
        <f aca="false">LN(B261)</f>
        <v>10.0128888930535</v>
      </c>
      <c r="E261" s="29" t="n">
        <f aca="false">LN(C261)</f>
        <v>5.50874035345287</v>
      </c>
      <c r="F261" s="0" t="n">
        <v>256</v>
      </c>
      <c r="G261" s="0" t="n">
        <v>16</v>
      </c>
      <c r="H261" s="29" t="n">
        <f aca="false">D261-E261</f>
        <v>4.50414853960059</v>
      </c>
      <c r="I261" s="29" t="n">
        <f aca="false">D261-D260</f>
        <v>0.00394732923035157</v>
      </c>
      <c r="J261" s="29" t="n">
        <f aca="false">E261-E260</f>
        <v>0.00601383364687003</v>
      </c>
      <c r="K261" s="0" t="n">
        <v>0</v>
      </c>
      <c r="L261" s="0" t="n">
        <v>0</v>
      </c>
      <c r="M261" s="29" t="n">
        <f aca="false">IF(L261=1,J261-Carry!$B$9/Inputs!$B$16,I261)</f>
        <v>0.00394732923035157</v>
      </c>
      <c r="N261" s="0" t="n">
        <v>0.065</v>
      </c>
      <c r="O261" s="0" t="n">
        <v>0.000125</v>
      </c>
      <c r="P261" s="29" t="n">
        <f aca="false">D261-('2 Hedge ratio'!$B$6+'2 Hedge ratio'!$B$5*E261)</f>
        <v>0.00436436416485364</v>
      </c>
      <c r="Q261" s="29" t="n">
        <f aca="false">D261-('5 Re-specification'!$B$7+'5 Re-specification'!$B$5*E261+'5 Re-specification'!$B$6*F261)</f>
        <v>0.00114366184334003</v>
      </c>
      <c r="R261" s="30" t="n">
        <f aca="false">MIN(F261,Inputs!$B$9)</f>
        <v>250</v>
      </c>
      <c r="S261" s="29" t="n">
        <f aca="true">IF(AND(F261&gt;=1,R261&gt;=Inputs!$B$10),INDEX(LINEST(OFFSET(D261,-R261,0,R261,1),OFFSET(E261,-R261,0,R261,2)),1,1),"")</f>
        <v>-6.6881461060357E-005</v>
      </c>
      <c r="T261" s="29" t="n">
        <f aca="true">IF(AND(F261&gt;=1,R261&gt;=Inputs!$B$10),INDEX(LINEST(OFFSET(D261,-R261,0,R261,1),OFFSET(E261,-R261,0,R261,2)),1,2),"")</f>
        <v>1.03304685423757</v>
      </c>
      <c r="U261" s="29" t="n">
        <f aca="true">IF(AND(F261&gt;=1,R261&gt;=Inputs!$B$10),INDEX(LINEST(OFFSET(D261,-R261,0,R261,1),OFFSET(E261,-R261,0,R261,2)),1,3),"")</f>
        <v>4.33898263583629</v>
      </c>
      <c r="V261" s="29" t="n">
        <f aca="true">IF(AND(F261&gt;=1,R261&gt;=Inputs!$B$10),SQRT(SUMPRODUCT((OFFSET(D261,-R261,0,R261,1)-U261-T261*OFFSET(E261,-R261,0,R261,1)-S261*OFFSET(F261,-R261,0,R261,1))^2)/(R261-3)),"")</f>
        <v>0.00253487973695532</v>
      </c>
      <c r="W261" s="31" t="n">
        <f aca="false">IF(AND(F261&gt;=1,R261&gt;=Inputs!$B$10),(D261-U261-T261*E261-S261*F261)/V261,"")</f>
        <v>0.0950807642151368</v>
      </c>
      <c r="X261" s="30" t="n">
        <f aca="false">IF(AB260&lt;&gt;0,AC260+1,0)</f>
        <v>0</v>
      </c>
      <c r="Y261" s="30" t="n">
        <f aca="false">IF(W261="",0,IF(AND(AB260&lt;&gt;0,OR(ABS(W261)&gt;Inputs!$B$7,X261&gt;=Inputs!$B$8,ABS(W261)&lt;Inputs!$B$6)),1,0))</f>
        <v>0</v>
      </c>
      <c r="Z261" s="30" t="n">
        <f aca="false">IF(Y261=1,0,AB260)</f>
        <v>0</v>
      </c>
      <c r="AA261" s="30" t="n">
        <f aca="false">IF(W261="",0,IF(AND(Z261=0,ABS(W261)&gt;Inputs!$B$5,ABS(W261)&lt;=Inputs!$B$7),1,0))</f>
        <v>0</v>
      </c>
      <c r="AB261" s="30" t="n">
        <f aca="false">IF(W261="",0,IF(AA261=1,-SIGN(W261),Z261))</f>
        <v>0</v>
      </c>
      <c r="AC261" s="30" t="n">
        <f aca="false">IF(W261="",0,IF(AA261=1,0,IF(Y261=1,0,X261)))</f>
        <v>0</v>
      </c>
      <c r="AD261" s="30" t="n">
        <f aca="false">IF(AB261=0,0,IF(AB260=AB261,AD260,T261))</f>
        <v>0</v>
      </c>
      <c r="AE261" s="30" t="n">
        <f aca="false">AB261-AB260</f>
        <v>0</v>
      </c>
      <c r="AF261" s="30" t="n">
        <f aca="false">-AD261*AB261</f>
        <v>-0</v>
      </c>
      <c r="AG261" s="30" t="n">
        <f aca="false">AF261-AF260</f>
        <v>0</v>
      </c>
      <c r="AH261" s="30" t="n">
        <f aca="false">MAX(AE261,0)*(Inputs!$B$17+Inputs!$B$18+Inputs!$B$19)+MAX(-AE261,0)*(O261+Inputs!$B$18+Inputs!$B$19)+IF(AND(K261=1,AB261&lt;&gt;0),(Inputs!$B$17+Inputs!$B$18+Inputs!$B$19)+(O261+Inputs!$B$18+Inputs!$B$19),0)+MAX(AG261,0)*(Inputs!$B$20+Inputs!$B$22+Inputs!$B$23)+MAX(-AG261,0)*(Inputs!$B$21+Inputs!$B$22+Inputs!$B$23)</f>
        <v>0</v>
      </c>
      <c r="AI261" s="30" t="n">
        <f aca="false">AB260*(M261-AD260*J261)+AB260*AD260*N261/Inputs!$B$16-AH261</f>
        <v>0</v>
      </c>
      <c r="AJ261" s="30" t="n">
        <f aca="false">MAX(AE261,0)*(Inputs!$B$17+Inputs!$B$24+Inputs!$B$25)+MAX(-AE261,0)*(O261+Inputs!$B$24+Inputs!$B$25)+IF(AND(K261=1,AB261&lt;&gt;0),(Inputs!$B$17+Inputs!$B$24+Inputs!$B$25)+(O261+Inputs!$B$24+Inputs!$B$25),0)+MAX(AG261,0)*(Inputs!$B$20+Inputs!$B$26+Inputs!$B$27)+MAX(-AG261,0)*(Inputs!$B$21+Inputs!$B$26+Inputs!$B$27)</f>
        <v>0</v>
      </c>
      <c r="AK261" s="30" t="n">
        <f aca="false">AB260*(M261-AD260*J261)+AB260*AD260*(N261+Inputs!$B$14)/Inputs!$B$16-AJ261</f>
        <v>0</v>
      </c>
      <c r="AL261" s="30" t="n">
        <f aca="false">IF(AP260&lt;&gt;0,AQ260+1,0)</f>
        <v>0</v>
      </c>
      <c r="AM261" s="30" t="n">
        <f aca="false">IF(W261="",0,IF(AND(AP260&lt;&gt;0,OR(ABS(W261)&gt;Inputs!$B$7,AL261&gt;=Inputs!$B$8,ABS(W261)&lt;Inputs!$B$6)),1,0))</f>
        <v>0</v>
      </c>
      <c r="AN261" s="30" t="n">
        <f aca="false">IF(AM261=1,0,AP260)</f>
        <v>0</v>
      </c>
      <c r="AO261" s="30" t="n">
        <f aca="false">IF(W261="",0,IF(AND(AN261=0,ABS(W261)&gt;Inputs!$B$5,ABS(W261)&lt;=Inputs!$B$7,W261&gt;0),1,0))</f>
        <v>0</v>
      </c>
      <c r="AP261" s="30" t="n">
        <f aca="false">IF(W261="",0,IF(AO261=1,-SIGN(W261),AN261))</f>
        <v>0</v>
      </c>
      <c r="AQ261" s="30" t="n">
        <f aca="false">IF(W261="",0,IF(AO261=1,0,IF(AM261=1,0,AL261)))</f>
        <v>0</v>
      </c>
      <c r="AR261" s="30" t="n">
        <f aca="false">IF(AP261=0,0,IF(AP260=AP261,AR260,T261))</f>
        <v>0</v>
      </c>
      <c r="AS261" s="30" t="n">
        <f aca="false">AP261-AP260</f>
        <v>0</v>
      </c>
      <c r="AT261" s="30" t="n">
        <f aca="false">-AR261*AP261</f>
        <v>-0</v>
      </c>
      <c r="AU261" s="30" t="n">
        <f aca="false">AT261-AT260</f>
        <v>0</v>
      </c>
      <c r="AV261" s="30" t="n">
        <f aca="false">MAX(AS261,0)*(Inputs!$B$17+Inputs!$B$18+Inputs!$B$19)+MAX(-AS261,0)*(O261+Inputs!$B$18+Inputs!$B$19)+IF(AND(K261=1,AP261&lt;&gt;0),(Inputs!$B$17+Inputs!$B$18+Inputs!$B$19)+(O261+Inputs!$B$18+Inputs!$B$19),0)+MAX(AU261,0)*(Inputs!$B$20+Inputs!$B$22+Inputs!$B$23)+MAX(-AU261,0)*(Inputs!$B$21+Inputs!$B$22+Inputs!$B$23)</f>
        <v>0</v>
      </c>
      <c r="AW261" s="30" t="n">
        <f aca="false">AP260*(M261-AR260*J261)+AP260*AR260*N261/Inputs!$B$16-AV261</f>
        <v>0</v>
      </c>
      <c r="AX261" s="30" t="n">
        <f aca="false">AW261-IF(AP260&lt;&gt;0,0.75*AR260*(Inputs!$B$13-N261)/Inputs!$B$16,0)</f>
        <v>0</v>
      </c>
      <c r="AY261" s="30" t="n">
        <f aca="false">MAX(AS261,0)*(Inputs!$B$17+Inputs!$B$18+Inputs!$B$19)+MAX(-AS261,0)*(O261+Inputs!$B$18+Inputs!$B$19)+IF(AND(K261=1,AP261&lt;&gt;0),(Inputs!$B$17+Inputs!$B$18+Inputs!$B$19)+(O261+Inputs!$B$18+Inputs!$B$19),0)</f>
        <v>0</v>
      </c>
      <c r="AZ261" s="30" t="n">
        <f aca="false">AP260*M261-AY261</f>
        <v>0</v>
      </c>
      <c r="BA261" s="32" t="n">
        <f aca="false">BA260+AI261</f>
        <v>-0.0042764994896359</v>
      </c>
      <c r="BB261" s="30" t="n">
        <f aca="false">MAX(BB260,BA261)</f>
        <v>0</v>
      </c>
      <c r="BC261" s="32" t="n">
        <f aca="false">BA261-BB261</f>
        <v>-0.0042764994896359</v>
      </c>
      <c r="BD261" s="30" t="n">
        <f aca="false">A262-A261</f>
        <v>1</v>
      </c>
    </row>
    <row r="262" customFormat="false" ht="15" hidden="false" customHeight="false" outlineLevel="0" collapsed="false">
      <c r="A262" s="28" t="n">
        <v>45427</v>
      </c>
      <c r="B262" s="0" t="n">
        <v>22276.75</v>
      </c>
      <c r="C262" s="0" t="n">
        <v>246.55</v>
      </c>
      <c r="D262" s="29" t="n">
        <f aca="false">LN(B262)</f>
        <v>10.011298812665</v>
      </c>
      <c r="E262" s="29" t="n">
        <f aca="false">LN(C262)</f>
        <v>5.50756481267014</v>
      </c>
      <c r="F262" s="0" t="n">
        <v>257</v>
      </c>
      <c r="G262" s="0" t="n">
        <v>15</v>
      </c>
      <c r="H262" s="29" t="n">
        <f aca="false">D262-E262</f>
        <v>4.50373399999483</v>
      </c>
      <c r="I262" s="29" t="n">
        <f aca="false">D262-D261</f>
        <v>-0.00159008038849073</v>
      </c>
      <c r="J262" s="29" t="n">
        <f aca="false">E262-E261</f>
        <v>-0.00117554078273141</v>
      </c>
      <c r="K262" s="0" t="n">
        <v>0</v>
      </c>
      <c r="L262" s="0" t="n">
        <v>0</v>
      </c>
      <c r="M262" s="29" t="n">
        <f aca="false">IF(L262=1,J262-Carry!$B$9/Inputs!$B$16,I262)</f>
        <v>-0.00159008038849073</v>
      </c>
      <c r="N262" s="0" t="n">
        <v>0.065</v>
      </c>
      <c r="O262" s="0" t="n">
        <v>0.000125</v>
      </c>
      <c r="P262" s="29" t="n">
        <f aca="false">D262-('2 Hedge ratio'!$B$6+'2 Hedge ratio'!$B$5*E262)</f>
        <v>0.00385122814400951</v>
      </c>
      <c r="Q262" s="29" t="n">
        <f aca="false">D262-('5 Re-specification'!$B$7+'5 Re-specification'!$B$5*E262+'5 Re-specification'!$B$6*F262)</f>
        <v>0.000770489079307879</v>
      </c>
      <c r="R262" s="30" t="n">
        <f aca="false">MIN(F262,Inputs!$B$9)</f>
        <v>250</v>
      </c>
      <c r="S262" s="29" t="n">
        <f aca="true">IF(AND(F262&gt;=1,R262&gt;=Inputs!$B$10),INDEX(LINEST(OFFSET(D262,-R262,0,R262,1),OFFSET(E262,-R262,0,R262,2)),1,1),"")</f>
        <v>-6.65275955853107E-005</v>
      </c>
      <c r="T262" s="29" t="n">
        <f aca="true">IF(AND(F262&gt;=1,R262&gt;=Inputs!$B$10),INDEX(LINEST(OFFSET(D262,-R262,0,R262,1),OFFSET(E262,-R262,0,R262,2)),1,2),"")</f>
        <v>1.03309881490414</v>
      </c>
      <c r="U262" s="29" t="n">
        <f aca="true">IF(AND(F262&gt;=1,R262&gt;=Inputs!$B$10),INDEX(LINEST(OFFSET(D262,-R262,0,R262,1),OFFSET(E262,-R262,0,R262,2)),1,3),"")</f>
        <v>4.33863984649612</v>
      </c>
      <c r="V262" s="29" t="n">
        <f aca="true">IF(AND(F262&gt;=1,R262&gt;=Inputs!$B$10),SQRT(SUMPRODUCT((OFFSET(D262,-R262,0,R262,1)-U262-T262*OFFSET(E262,-R262,0,R262,1)-S262*OFFSET(F262,-R262,0,R262,1))^2)/(R262-3)),"")</f>
        <v>0.00252236408086564</v>
      </c>
      <c r="W262" s="31" t="n">
        <f aca="false">IF(AND(F262&gt;=1,R262&gt;=Inputs!$B$10),(D262-U262-T262*E262-S262*F262)/V262,"")</f>
        <v>-0.0404869161280701</v>
      </c>
      <c r="X262" s="30" t="n">
        <f aca="false">IF(AB261&lt;&gt;0,AC261+1,0)</f>
        <v>0</v>
      </c>
      <c r="Y262" s="30" t="n">
        <f aca="false">IF(W262="",0,IF(AND(AB261&lt;&gt;0,OR(ABS(W262)&gt;Inputs!$B$7,X262&gt;=Inputs!$B$8,ABS(W262)&lt;Inputs!$B$6)),1,0))</f>
        <v>0</v>
      </c>
      <c r="Z262" s="30" t="n">
        <f aca="false">IF(Y262=1,0,AB261)</f>
        <v>0</v>
      </c>
      <c r="AA262" s="30" t="n">
        <f aca="false">IF(W262="",0,IF(AND(Z262=0,ABS(W262)&gt;Inputs!$B$5,ABS(W262)&lt;=Inputs!$B$7),1,0))</f>
        <v>0</v>
      </c>
      <c r="AB262" s="30" t="n">
        <f aca="false">IF(W262="",0,IF(AA262=1,-SIGN(W262),Z262))</f>
        <v>0</v>
      </c>
      <c r="AC262" s="30" t="n">
        <f aca="false">IF(W262="",0,IF(AA262=1,0,IF(Y262=1,0,X262)))</f>
        <v>0</v>
      </c>
      <c r="AD262" s="30" t="n">
        <f aca="false">IF(AB262=0,0,IF(AB261=AB262,AD261,T262))</f>
        <v>0</v>
      </c>
      <c r="AE262" s="30" t="n">
        <f aca="false">AB262-AB261</f>
        <v>0</v>
      </c>
      <c r="AF262" s="30" t="n">
        <f aca="false">-AD262*AB262</f>
        <v>-0</v>
      </c>
      <c r="AG262" s="30" t="n">
        <f aca="false">AF262-AF261</f>
        <v>0</v>
      </c>
      <c r="AH262" s="30" t="n">
        <f aca="false">MAX(AE262,0)*(Inputs!$B$17+Inputs!$B$18+Inputs!$B$19)+MAX(-AE262,0)*(O262+Inputs!$B$18+Inputs!$B$19)+IF(AND(K262=1,AB262&lt;&gt;0),(Inputs!$B$17+Inputs!$B$18+Inputs!$B$19)+(O262+Inputs!$B$18+Inputs!$B$19),0)+MAX(AG262,0)*(Inputs!$B$20+Inputs!$B$22+Inputs!$B$23)+MAX(-AG262,0)*(Inputs!$B$21+Inputs!$B$22+Inputs!$B$23)</f>
        <v>0</v>
      </c>
      <c r="AI262" s="30" t="n">
        <f aca="false">AB261*(M262-AD261*J262)+AB261*AD261*N262/Inputs!$B$16-AH262</f>
        <v>0</v>
      </c>
      <c r="AJ262" s="30" t="n">
        <f aca="false">MAX(AE262,0)*(Inputs!$B$17+Inputs!$B$24+Inputs!$B$25)+MAX(-AE262,0)*(O262+Inputs!$B$24+Inputs!$B$25)+IF(AND(K262=1,AB262&lt;&gt;0),(Inputs!$B$17+Inputs!$B$24+Inputs!$B$25)+(O262+Inputs!$B$24+Inputs!$B$25),0)+MAX(AG262,0)*(Inputs!$B$20+Inputs!$B$26+Inputs!$B$27)+MAX(-AG262,0)*(Inputs!$B$21+Inputs!$B$26+Inputs!$B$27)</f>
        <v>0</v>
      </c>
      <c r="AK262" s="30" t="n">
        <f aca="false">AB261*(M262-AD261*J262)+AB261*AD261*(N262+Inputs!$B$14)/Inputs!$B$16-AJ262</f>
        <v>0</v>
      </c>
      <c r="AL262" s="30" t="n">
        <f aca="false">IF(AP261&lt;&gt;0,AQ261+1,0)</f>
        <v>0</v>
      </c>
      <c r="AM262" s="30" t="n">
        <f aca="false">IF(W262="",0,IF(AND(AP261&lt;&gt;0,OR(ABS(W262)&gt;Inputs!$B$7,AL262&gt;=Inputs!$B$8,ABS(W262)&lt;Inputs!$B$6)),1,0))</f>
        <v>0</v>
      </c>
      <c r="AN262" s="30" t="n">
        <f aca="false">IF(AM262=1,0,AP261)</f>
        <v>0</v>
      </c>
      <c r="AO262" s="30" t="n">
        <f aca="false">IF(W262="",0,IF(AND(AN262=0,ABS(W262)&gt;Inputs!$B$5,ABS(W262)&lt;=Inputs!$B$7,W262&gt;0),1,0))</f>
        <v>0</v>
      </c>
      <c r="AP262" s="30" t="n">
        <f aca="false">IF(W262="",0,IF(AO262=1,-SIGN(W262),AN262))</f>
        <v>0</v>
      </c>
      <c r="AQ262" s="30" t="n">
        <f aca="false">IF(W262="",0,IF(AO262=1,0,IF(AM262=1,0,AL262)))</f>
        <v>0</v>
      </c>
      <c r="AR262" s="30" t="n">
        <f aca="false">IF(AP262=0,0,IF(AP261=AP262,AR261,T262))</f>
        <v>0</v>
      </c>
      <c r="AS262" s="30" t="n">
        <f aca="false">AP262-AP261</f>
        <v>0</v>
      </c>
      <c r="AT262" s="30" t="n">
        <f aca="false">-AR262*AP262</f>
        <v>-0</v>
      </c>
      <c r="AU262" s="30" t="n">
        <f aca="false">AT262-AT261</f>
        <v>0</v>
      </c>
      <c r="AV262" s="30" t="n">
        <f aca="false">MAX(AS262,0)*(Inputs!$B$17+Inputs!$B$18+Inputs!$B$19)+MAX(-AS262,0)*(O262+Inputs!$B$18+Inputs!$B$19)+IF(AND(K262=1,AP262&lt;&gt;0),(Inputs!$B$17+Inputs!$B$18+Inputs!$B$19)+(O262+Inputs!$B$18+Inputs!$B$19),0)+MAX(AU262,0)*(Inputs!$B$20+Inputs!$B$22+Inputs!$B$23)+MAX(-AU262,0)*(Inputs!$B$21+Inputs!$B$22+Inputs!$B$23)</f>
        <v>0</v>
      </c>
      <c r="AW262" s="30" t="n">
        <f aca="false">AP261*(M262-AR261*J262)+AP261*AR261*N262/Inputs!$B$16-AV262</f>
        <v>0</v>
      </c>
      <c r="AX262" s="30" t="n">
        <f aca="false">AW262-IF(AP261&lt;&gt;0,0.75*AR261*(Inputs!$B$13-N262)/Inputs!$B$16,0)</f>
        <v>0</v>
      </c>
      <c r="AY262" s="30" t="n">
        <f aca="false">MAX(AS262,0)*(Inputs!$B$17+Inputs!$B$18+Inputs!$B$19)+MAX(-AS262,0)*(O262+Inputs!$B$18+Inputs!$B$19)+IF(AND(K262=1,AP262&lt;&gt;0),(Inputs!$B$17+Inputs!$B$18+Inputs!$B$19)+(O262+Inputs!$B$18+Inputs!$B$19),0)</f>
        <v>0</v>
      </c>
      <c r="AZ262" s="30" t="n">
        <f aca="false">AP261*M262-AY262</f>
        <v>-0</v>
      </c>
      <c r="BA262" s="32" t="n">
        <f aca="false">BA261+AI262</f>
        <v>-0.0042764994896359</v>
      </c>
      <c r="BB262" s="30" t="n">
        <f aca="false">MAX(BB261,BA262)</f>
        <v>0</v>
      </c>
      <c r="BC262" s="32" t="n">
        <f aca="false">BA262-BB262</f>
        <v>-0.0042764994896359</v>
      </c>
      <c r="BD262" s="30" t="n">
        <f aca="false">A263-A262</f>
        <v>1</v>
      </c>
    </row>
    <row r="263" customFormat="false" ht="15" hidden="false" customHeight="false" outlineLevel="0" collapsed="false">
      <c r="A263" s="28" t="n">
        <v>45428</v>
      </c>
      <c r="B263" s="0" t="n">
        <v>22472.55</v>
      </c>
      <c r="C263" s="0" t="n">
        <v>248.45</v>
      </c>
      <c r="D263" s="29" t="n">
        <f aca="false">LN(B263)</f>
        <v>10.0200498433867</v>
      </c>
      <c r="E263" s="29" t="n">
        <f aca="false">LN(C263)</f>
        <v>5.51524161804833</v>
      </c>
      <c r="F263" s="0" t="n">
        <v>258</v>
      </c>
      <c r="G263" s="0" t="n">
        <v>14</v>
      </c>
      <c r="H263" s="29" t="n">
        <f aca="false">D263-E263</f>
        <v>4.50480822533835</v>
      </c>
      <c r="I263" s="29" t="n">
        <f aca="false">D263-D262</f>
        <v>0.00875103072171157</v>
      </c>
      <c r="J263" s="29" t="n">
        <f aca="false">E263-E262</f>
        <v>0.00767680537819437</v>
      </c>
      <c r="K263" s="0" t="n">
        <v>0</v>
      </c>
      <c r="L263" s="0" t="n">
        <v>0</v>
      </c>
      <c r="M263" s="29" t="n">
        <f aca="false">IF(L263=1,J263-Carry!$B$9/Inputs!$B$16,I263)</f>
        <v>0.00875103072171157</v>
      </c>
      <c r="N263" s="0" t="n">
        <v>0.065</v>
      </c>
      <c r="O263" s="0" t="n">
        <v>0.000125</v>
      </c>
      <c r="P263" s="29" t="n">
        <f aca="false">D263-('2 Hedge ratio'!$B$6+'2 Hedge ratio'!$B$5*E263)</f>
        <v>0.00556933203322707</v>
      </c>
      <c r="Q263" s="29" t="n">
        <f aca="false">D263-('5 Re-specification'!$B$7+'5 Re-specification'!$B$5*E263+'5 Re-specification'!$B$6*F263)</f>
        <v>0.00191290829978286</v>
      </c>
      <c r="R263" s="30" t="n">
        <f aca="false">MIN(F263,Inputs!$B$9)</f>
        <v>250</v>
      </c>
      <c r="S263" s="29" t="n">
        <f aca="true">IF(AND(F263&gt;=1,R263&gt;=Inputs!$B$10),INDEX(LINEST(OFFSET(D263,-R263,0,R263,1),OFFSET(E263,-R263,0,R263,2)),1,1),"")</f>
        <v>-6.62736861118364E-005</v>
      </c>
      <c r="T263" s="29" t="n">
        <f aca="true">IF(AND(F263&gt;=1,R263&gt;=Inputs!$B$10),INDEX(LINEST(OFFSET(D263,-R263,0,R263,1),OFFSET(E263,-R263,0,R263,2)),1,2),"")</f>
        <v>1.03322670292988</v>
      </c>
      <c r="U263" s="29" t="n">
        <f aca="true">IF(AND(F263&gt;=1,R263&gt;=Inputs!$B$10),INDEX(LINEST(OFFSET(D263,-R263,0,R263,1),OFFSET(E263,-R263,0,R263,2)),1,3),"")</f>
        <v>4.33789701946657</v>
      </c>
      <c r="V263" s="29" t="n">
        <f aca="true">IF(AND(F263&gt;=1,R263&gt;=Inputs!$B$10),SQRT(SUMPRODUCT((OFFSET(D263,-R263,0,R263,1)-U263-T263*OFFSET(E263,-R263,0,R263,1)-S263*OFFSET(F263,-R263,0,R263,1))^2)/(R263-3)),"")</f>
        <v>0.00250961076636648</v>
      </c>
      <c r="W263" s="31" t="n">
        <f aca="false">IF(AND(F263&gt;=1,R263&gt;=Inputs!$B$10),(D263-U263-T263*E263-S263*F263)/V263,"")</f>
        <v>0.301449957656086</v>
      </c>
      <c r="X263" s="30" t="n">
        <f aca="false">IF(AB262&lt;&gt;0,AC262+1,0)</f>
        <v>0</v>
      </c>
      <c r="Y263" s="30" t="n">
        <f aca="false">IF(W263="",0,IF(AND(AB262&lt;&gt;0,OR(ABS(W263)&gt;Inputs!$B$7,X263&gt;=Inputs!$B$8,ABS(W263)&lt;Inputs!$B$6)),1,0))</f>
        <v>0</v>
      </c>
      <c r="Z263" s="30" t="n">
        <f aca="false">IF(Y263=1,0,AB262)</f>
        <v>0</v>
      </c>
      <c r="AA263" s="30" t="n">
        <f aca="false">IF(W263="",0,IF(AND(Z263=0,ABS(W263)&gt;Inputs!$B$5,ABS(W263)&lt;=Inputs!$B$7),1,0))</f>
        <v>0</v>
      </c>
      <c r="AB263" s="30" t="n">
        <f aca="false">IF(W263="",0,IF(AA263=1,-SIGN(W263),Z263))</f>
        <v>0</v>
      </c>
      <c r="AC263" s="30" t="n">
        <f aca="false">IF(W263="",0,IF(AA263=1,0,IF(Y263=1,0,X263)))</f>
        <v>0</v>
      </c>
      <c r="AD263" s="30" t="n">
        <f aca="false">IF(AB263=0,0,IF(AB262=AB263,AD262,T263))</f>
        <v>0</v>
      </c>
      <c r="AE263" s="30" t="n">
        <f aca="false">AB263-AB262</f>
        <v>0</v>
      </c>
      <c r="AF263" s="30" t="n">
        <f aca="false">-AD263*AB263</f>
        <v>-0</v>
      </c>
      <c r="AG263" s="30" t="n">
        <f aca="false">AF263-AF262</f>
        <v>0</v>
      </c>
      <c r="AH263" s="30" t="n">
        <f aca="false">MAX(AE263,0)*(Inputs!$B$17+Inputs!$B$18+Inputs!$B$19)+MAX(-AE263,0)*(O263+Inputs!$B$18+Inputs!$B$19)+IF(AND(K263=1,AB263&lt;&gt;0),(Inputs!$B$17+Inputs!$B$18+Inputs!$B$19)+(O263+Inputs!$B$18+Inputs!$B$19),0)+MAX(AG263,0)*(Inputs!$B$20+Inputs!$B$22+Inputs!$B$23)+MAX(-AG263,0)*(Inputs!$B$21+Inputs!$B$22+Inputs!$B$23)</f>
        <v>0</v>
      </c>
      <c r="AI263" s="30" t="n">
        <f aca="false">AB262*(M263-AD262*J263)+AB262*AD262*N263/Inputs!$B$16-AH263</f>
        <v>0</v>
      </c>
      <c r="AJ263" s="30" t="n">
        <f aca="false">MAX(AE263,0)*(Inputs!$B$17+Inputs!$B$24+Inputs!$B$25)+MAX(-AE263,0)*(O263+Inputs!$B$24+Inputs!$B$25)+IF(AND(K263=1,AB263&lt;&gt;0),(Inputs!$B$17+Inputs!$B$24+Inputs!$B$25)+(O263+Inputs!$B$24+Inputs!$B$25),0)+MAX(AG263,0)*(Inputs!$B$20+Inputs!$B$26+Inputs!$B$27)+MAX(-AG263,0)*(Inputs!$B$21+Inputs!$B$26+Inputs!$B$27)</f>
        <v>0</v>
      </c>
      <c r="AK263" s="30" t="n">
        <f aca="false">AB262*(M263-AD262*J263)+AB262*AD262*(N263+Inputs!$B$14)/Inputs!$B$16-AJ263</f>
        <v>0</v>
      </c>
      <c r="AL263" s="30" t="n">
        <f aca="false">IF(AP262&lt;&gt;0,AQ262+1,0)</f>
        <v>0</v>
      </c>
      <c r="AM263" s="30" t="n">
        <f aca="false">IF(W263="",0,IF(AND(AP262&lt;&gt;0,OR(ABS(W263)&gt;Inputs!$B$7,AL263&gt;=Inputs!$B$8,ABS(W263)&lt;Inputs!$B$6)),1,0))</f>
        <v>0</v>
      </c>
      <c r="AN263" s="30" t="n">
        <f aca="false">IF(AM263=1,0,AP262)</f>
        <v>0</v>
      </c>
      <c r="AO263" s="30" t="n">
        <f aca="false">IF(W263="",0,IF(AND(AN263=0,ABS(W263)&gt;Inputs!$B$5,ABS(W263)&lt;=Inputs!$B$7,W263&gt;0),1,0))</f>
        <v>0</v>
      </c>
      <c r="AP263" s="30" t="n">
        <f aca="false">IF(W263="",0,IF(AO263=1,-SIGN(W263),AN263))</f>
        <v>0</v>
      </c>
      <c r="AQ263" s="30" t="n">
        <f aca="false">IF(W263="",0,IF(AO263=1,0,IF(AM263=1,0,AL263)))</f>
        <v>0</v>
      </c>
      <c r="AR263" s="30" t="n">
        <f aca="false">IF(AP263=0,0,IF(AP262=AP263,AR262,T263))</f>
        <v>0</v>
      </c>
      <c r="AS263" s="30" t="n">
        <f aca="false">AP263-AP262</f>
        <v>0</v>
      </c>
      <c r="AT263" s="30" t="n">
        <f aca="false">-AR263*AP263</f>
        <v>-0</v>
      </c>
      <c r="AU263" s="30" t="n">
        <f aca="false">AT263-AT262</f>
        <v>0</v>
      </c>
      <c r="AV263" s="30" t="n">
        <f aca="false">MAX(AS263,0)*(Inputs!$B$17+Inputs!$B$18+Inputs!$B$19)+MAX(-AS263,0)*(O263+Inputs!$B$18+Inputs!$B$19)+IF(AND(K263=1,AP263&lt;&gt;0),(Inputs!$B$17+Inputs!$B$18+Inputs!$B$19)+(O263+Inputs!$B$18+Inputs!$B$19),0)+MAX(AU263,0)*(Inputs!$B$20+Inputs!$B$22+Inputs!$B$23)+MAX(-AU263,0)*(Inputs!$B$21+Inputs!$B$22+Inputs!$B$23)</f>
        <v>0</v>
      </c>
      <c r="AW263" s="30" t="n">
        <f aca="false">AP262*(M263-AR262*J263)+AP262*AR262*N263/Inputs!$B$16-AV263</f>
        <v>0</v>
      </c>
      <c r="AX263" s="30" t="n">
        <f aca="false">AW263-IF(AP262&lt;&gt;0,0.75*AR262*(Inputs!$B$13-N263)/Inputs!$B$16,0)</f>
        <v>0</v>
      </c>
      <c r="AY263" s="30" t="n">
        <f aca="false">MAX(AS263,0)*(Inputs!$B$17+Inputs!$B$18+Inputs!$B$19)+MAX(-AS263,0)*(O263+Inputs!$B$18+Inputs!$B$19)+IF(AND(K263=1,AP263&lt;&gt;0),(Inputs!$B$17+Inputs!$B$18+Inputs!$B$19)+(O263+Inputs!$B$18+Inputs!$B$19),0)</f>
        <v>0</v>
      </c>
      <c r="AZ263" s="30" t="n">
        <f aca="false">AP262*M263-AY263</f>
        <v>0</v>
      </c>
      <c r="BA263" s="32" t="n">
        <f aca="false">BA262+AI263</f>
        <v>-0.0042764994896359</v>
      </c>
      <c r="BB263" s="30" t="n">
        <f aca="false">MAX(BB262,BA263)</f>
        <v>0</v>
      </c>
      <c r="BC263" s="32" t="n">
        <f aca="false">BA263-BB263</f>
        <v>-0.0042764994896359</v>
      </c>
      <c r="BD263" s="30" t="n">
        <f aca="false">A264-A263</f>
        <v>1</v>
      </c>
    </row>
    <row r="264" customFormat="false" ht="15" hidden="false" customHeight="false" outlineLevel="0" collapsed="false">
      <c r="A264" s="28" t="n">
        <v>45429</v>
      </c>
      <c r="B264" s="0" t="n">
        <v>22511.85</v>
      </c>
      <c r="C264" s="0" t="n">
        <v>248.9</v>
      </c>
      <c r="D264" s="29" t="n">
        <f aca="false">LN(B264)</f>
        <v>10.021797116219</v>
      </c>
      <c r="E264" s="29" t="n">
        <f aca="false">LN(C264)</f>
        <v>5.51705120937355</v>
      </c>
      <c r="F264" s="0" t="n">
        <v>259</v>
      </c>
      <c r="G264" s="0" t="n">
        <v>13</v>
      </c>
      <c r="H264" s="29" t="n">
        <f aca="false">D264-E264</f>
        <v>4.50474590684542</v>
      </c>
      <c r="I264" s="29" t="n">
        <f aca="false">D264-D263</f>
        <v>0.00174727283229004</v>
      </c>
      <c r="J264" s="29" t="n">
        <f aca="false">E264-E263</f>
        <v>0.00180959132521696</v>
      </c>
      <c r="K264" s="0" t="n">
        <v>0</v>
      </c>
      <c r="L264" s="0" t="n">
        <v>0</v>
      </c>
      <c r="M264" s="29" t="n">
        <f aca="false">IF(L264=1,J264-Carry!$B$9/Inputs!$B$16,I264)</f>
        <v>0.00174727283229004</v>
      </c>
      <c r="N264" s="0" t="n">
        <v>0.065</v>
      </c>
      <c r="O264" s="0" t="n">
        <v>0.000125</v>
      </c>
      <c r="P264" s="29" t="n">
        <f aca="false">D264-('2 Hedge ratio'!$B$6+'2 Hedge ratio'!$B$5*E264)</f>
        <v>0.00565878982918555</v>
      </c>
      <c r="Q264" s="29" t="n">
        <f aca="false">D264-('5 Re-specification'!$B$7+'5 Re-specification'!$B$5*E264+'5 Re-specification'!$B$6*F264)</f>
        <v>0.00190100309150409</v>
      </c>
      <c r="R264" s="30" t="n">
        <f aca="false">MIN(F264,Inputs!$B$9)</f>
        <v>250</v>
      </c>
      <c r="S264" s="29" t="n">
        <f aca="true">IF(AND(F264&gt;=1,R264&gt;=Inputs!$B$10),INDEX(LINEST(OFFSET(D264,-R264,0,R264,1),OFFSET(E264,-R264,0,R264,2)),1,1),"")</f>
        <v>-6.58776440288136E-005</v>
      </c>
      <c r="T264" s="29" t="n">
        <f aca="true">IF(AND(F264&gt;=1,R264&gt;=Inputs!$B$10),INDEX(LINEST(OFFSET(D264,-R264,0,R264,1),OFFSET(E264,-R264,0,R264,2)),1,2),"")</f>
        <v>1.03332242514205</v>
      </c>
      <c r="U264" s="29" t="n">
        <f aca="true">IF(AND(F264&gt;=1,R264&gt;=Inputs!$B$10),INDEX(LINEST(OFFSET(D264,-R264,0,R264,1),OFFSET(E264,-R264,0,R264,2)),1,3),"")</f>
        <v>4.33731134916398</v>
      </c>
      <c r="V264" s="29" t="n">
        <f aca="true">IF(AND(F264&gt;=1,R264&gt;=Inputs!$B$10),SQRT(SUMPRODUCT((OFFSET(D264,-R264,0,R264,1)-U264-T264*OFFSET(E264,-R264,0,R264,1)-S264*OFFSET(F264,-R264,0,R264,1))^2)/(R264-3)),"")</f>
        <v>0.00249506299071805</v>
      </c>
      <c r="W264" s="31" t="n">
        <f aca="false">IF(AND(F264&gt;=1,R264&gt;=Inputs!$B$10),(D264-U264-T264*E264-S264*F264)/V264,"")</f>
        <v>0.26265531497081</v>
      </c>
      <c r="X264" s="30" t="n">
        <f aca="false">IF(AB263&lt;&gt;0,AC263+1,0)</f>
        <v>0</v>
      </c>
      <c r="Y264" s="30" t="n">
        <f aca="false">IF(W264="",0,IF(AND(AB263&lt;&gt;0,OR(ABS(W264)&gt;Inputs!$B$7,X264&gt;=Inputs!$B$8,ABS(W264)&lt;Inputs!$B$6)),1,0))</f>
        <v>0</v>
      </c>
      <c r="Z264" s="30" t="n">
        <f aca="false">IF(Y264=1,0,AB263)</f>
        <v>0</v>
      </c>
      <c r="AA264" s="30" t="n">
        <f aca="false">IF(W264="",0,IF(AND(Z264=0,ABS(W264)&gt;Inputs!$B$5,ABS(W264)&lt;=Inputs!$B$7),1,0))</f>
        <v>0</v>
      </c>
      <c r="AB264" s="30" t="n">
        <f aca="false">IF(W264="",0,IF(AA264=1,-SIGN(W264),Z264))</f>
        <v>0</v>
      </c>
      <c r="AC264" s="30" t="n">
        <f aca="false">IF(W264="",0,IF(AA264=1,0,IF(Y264=1,0,X264)))</f>
        <v>0</v>
      </c>
      <c r="AD264" s="30" t="n">
        <f aca="false">IF(AB264=0,0,IF(AB263=AB264,AD263,T264))</f>
        <v>0</v>
      </c>
      <c r="AE264" s="30" t="n">
        <f aca="false">AB264-AB263</f>
        <v>0</v>
      </c>
      <c r="AF264" s="30" t="n">
        <f aca="false">-AD264*AB264</f>
        <v>-0</v>
      </c>
      <c r="AG264" s="30" t="n">
        <f aca="false">AF264-AF263</f>
        <v>0</v>
      </c>
      <c r="AH264" s="30" t="n">
        <f aca="false">MAX(AE264,0)*(Inputs!$B$17+Inputs!$B$18+Inputs!$B$19)+MAX(-AE264,0)*(O264+Inputs!$B$18+Inputs!$B$19)+IF(AND(K264=1,AB264&lt;&gt;0),(Inputs!$B$17+Inputs!$B$18+Inputs!$B$19)+(O264+Inputs!$B$18+Inputs!$B$19),0)+MAX(AG264,0)*(Inputs!$B$20+Inputs!$B$22+Inputs!$B$23)+MAX(-AG264,0)*(Inputs!$B$21+Inputs!$B$22+Inputs!$B$23)</f>
        <v>0</v>
      </c>
      <c r="AI264" s="30" t="n">
        <f aca="false">AB263*(M264-AD263*J264)+AB263*AD263*N264/Inputs!$B$16-AH264</f>
        <v>0</v>
      </c>
      <c r="AJ264" s="30" t="n">
        <f aca="false">MAX(AE264,0)*(Inputs!$B$17+Inputs!$B$24+Inputs!$B$25)+MAX(-AE264,0)*(O264+Inputs!$B$24+Inputs!$B$25)+IF(AND(K264=1,AB264&lt;&gt;0),(Inputs!$B$17+Inputs!$B$24+Inputs!$B$25)+(O264+Inputs!$B$24+Inputs!$B$25),0)+MAX(AG264,0)*(Inputs!$B$20+Inputs!$B$26+Inputs!$B$27)+MAX(-AG264,0)*(Inputs!$B$21+Inputs!$B$26+Inputs!$B$27)</f>
        <v>0</v>
      </c>
      <c r="AK264" s="30" t="n">
        <f aca="false">AB263*(M264-AD263*J264)+AB263*AD263*(N264+Inputs!$B$14)/Inputs!$B$16-AJ264</f>
        <v>0</v>
      </c>
      <c r="AL264" s="30" t="n">
        <f aca="false">IF(AP263&lt;&gt;0,AQ263+1,0)</f>
        <v>0</v>
      </c>
      <c r="AM264" s="30" t="n">
        <f aca="false">IF(W264="",0,IF(AND(AP263&lt;&gt;0,OR(ABS(W264)&gt;Inputs!$B$7,AL264&gt;=Inputs!$B$8,ABS(W264)&lt;Inputs!$B$6)),1,0))</f>
        <v>0</v>
      </c>
      <c r="AN264" s="30" t="n">
        <f aca="false">IF(AM264=1,0,AP263)</f>
        <v>0</v>
      </c>
      <c r="AO264" s="30" t="n">
        <f aca="false">IF(W264="",0,IF(AND(AN264=0,ABS(W264)&gt;Inputs!$B$5,ABS(W264)&lt;=Inputs!$B$7,W264&gt;0),1,0))</f>
        <v>0</v>
      </c>
      <c r="AP264" s="30" t="n">
        <f aca="false">IF(W264="",0,IF(AO264=1,-SIGN(W264),AN264))</f>
        <v>0</v>
      </c>
      <c r="AQ264" s="30" t="n">
        <f aca="false">IF(W264="",0,IF(AO264=1,0,IF(AM264=1,0,AL264)))</f>
        <v>0</v>
      </c>
      <c r="AR264" s="30" t="n">
        <f aca="false">IF(AP264=0,0,IF(AP263=AP264,AR263,T264))</f>
        <v>0</v>
      </c>
      <c r="AS264" s="30" t="n">
        <f aca="false">AP264-AP263</f>
        <v>0</v>
      </c>
      <c r="AT264" s="30" t="n">
        <f aca="false">-AR264*AP264</f>
        <v>-0</v>
      </c>
      <c r="AU264" s="30" t="n">
        <f aca="false">AT264-AT263</f>
        <v>0</v>
      </c>
      <c r="AV264" s="30" t="n">
        <f aca="false">MAX(AS264,0)*(Inputs!$B$17+Inputs!$B$18+Inputs!$B$19)+MAX(-AS264,0)*(O264+Inputs!$B$18+Inputs!$B$19)+IF(AND(K264=1,AP264&lt;&gt;0),(Inputs!$B$17+Inputs!$B$18+Inputs!$B$19)+(O264+Inputs!$B$18+Inputs!$B$19),0)+MAX(AU264,0)*(Inputs!$B$20+Inputs!$B$22+Inputs!$B$23)+MAX(-AU264,0)*(Inputs!$B$21+Inputs!$B$22+Inputs!$B$23)</f>
        <v>0</v>
      </c>
      <c r="AW264" s="30" t="n">
        <f aca="false">AP263*(M264-AR263*J264)+AP263*AR263*N264/Inputs!$B$16-AV264</f>
        <v>0</v>
      </c>
      <c r="AX264" s="30" t="n">
        <f aca="false">AW264-IF(AP263&lt;&gt;0,0.75*AR263*(Inputs!$B$13-N264)/Inputs!$B$16,0)</f>
        <v>0</v>
      </c>
      <c r="AY264" s="30" t="n">
        <f aca="false">MAX(AS264,0)*(Inputs!$B$17+Inputs!$B$18+Inputs!$B$19)+MAX(-AS264,0)*(O264+Inputs!$B$18+Inputs!$B$19)+IF(AND(K264=1,AP264&lt;&gt;0),(Inputs!$B$17+Inputs!$B$18+Inputs!$B$19)+(O264+Inputs!$B$18+Inputs!$B$19),0)</f>
        <v>0</v>
      </c>
      <c r="AZ264" s="30" t="n">
        <f aca="false">AP263*M264-AY264</f>
        <v>0</v>
      </c>
      <c r="BA264" s="32" t="n">
        <f aca="false">BA263+AI264</f>
        <v>-0.0042764994896359</v>
      </c>
      <c r="BB264" s="30" t="n">
        <f aca="false">MAX(BB263,BA264)</f>
        <v>0</v>
      </c>
      <c r="BC264" s="32" t="n">
        <f aca="false">BA264-BB264</f>
        <v>-0.0042764994896359</v>
      </c>
      <c r="BD264" s="30" t="n">
        <f aca="false">A265-A264</f>
        <v>1</v>
      </c>
    </row>
    <row r="265" customFormat="false" ht="15" hidden="false" customHeight="false" outlineLevel="0" collapsed="false">
      <c r="A265" s="28" t="n">
        <v>45430</v>
      </c>
      <c r="B265" s="0" t="n">
        <v>22540.5</v>
      </c>
      <c r="C265" s="0" t="n">
        <v>249.05</v>
      </c>
      <c r="D265" s="29" t="n">
        <f aca="false">LN(B265)</f>
        <v>10.0230689701339</v>
      </c>
      <c r="E265" s="29" t="n">
        <f aca="false">LN(C265)</f>
        <v>5.51765367951929</v>
      </c>
      <c r="F265" s="0" t="n">
        <v>260</v>
      </c>
      <c r="G265" s="0" t="n">
        <v>12</v>
      </c>
      <c r="H265" s="29" t="n">
        <f aca="false">D265-E265</f>
        <v>4.5054152906146</v>
      </c>
      <c r="I265" s="29" t="n">
        <f aca="false">D265-D264</f>
        <v>0.00127185391492723</v>
      </c>
      <c r="J265" s="29" t="n">
        <f aca="false">E265-E264</f>
        <v>0.000602470145746104</v>
      </c>
      <c r="K265" s="0" t="n">
        <v>0</v>
      </c>
      <c r="L265" s="0" t="n">
        <v>0</v>
      </c>
      <c r="M265" s="29" t="n">
        <f aca="false">IF(L265=1,J265-Carry!$B$9/Inputs!$B$16,I265)</f>
        <v>0.00127185391492723</v>
      </c>
      <c r="N265" s="0" t="n">
        <v>0.065</v>
      </c>
      <c r="O265" s="0" t="n">
        <v>0.000125</v>
      </c>
      <c r="P265" s="29" t="n">
        <f aca="false">D265-('2 Hedge ratio'!$B$6+'2 Hedge ratio'!$B$5*E265)</f>
        <v>0.00637870472194813</v>
      </c>
      <c r="Q265" s="29" t="n">
        <f aca="false">D265-('5 Re-specification'!$B$7+'5 Re-specification'!$B$5*E265+'5 Re-specification'!$B$6*F265)</f>
        <v>0.00261714196457241</v>
      </c>
      <c r="R265" s="30" t="n">
        <f aca="false">MIN(F265,Inputs!$B$9)</f>
        <v>250</v>
      </c>
      <c r="S265" s="29" t="n">
        <f aca="true">IF(AND(F265&gt;=1,R265&gt;=Inputs!$B$10),INDEX(LINEST(OFFSET(D265,-R265,0,R265,1),OFFSET(E265,-R265,0,R265,2)),1,1),"")</f>
        <v>-6.55617636738497E-005</v>
      </c>
      <c r="T265" s="29" t="n">
        <f aca="true">IF(AND(F265&gt;=1,R265&gt;=Inputs!$B$10),INDEX(LINEST(OFFSET(D265,-R265,0,R265,1),OFFSET(E265,-R265,0,R265,2)),1,2),"")</f>
        <v>1.03323996960623</v>
      </c>
      <c r="U265" s="29" t="n">
        <f aca="true">IF(AND(F265&gt;=1,R265&gt;=Inputs!$B$10),INDEX(LINEST(OFFSET(D265,-R265,0,R265,1),OFFSET(E265,-R265,0,R265,2)),1,3),"")</f>
        <v>4.33771103011914</v>
      </c>
      <c r="V265" s="29" t="n">
        <f aca="true">IF(AND(F265&gt;=1,R265&gt;=Inputs!$B$10),SQRT(SUMPRODUCT((OFFSET(D265,-R265,0,R265,1)-U265-T265*OFFSET(E265,-R265,0,R265,1)-S265*OFFSET(F265,-R265,0,R265,1))^2)/(R265-3)),"")</f>
        <v>0.00249257722626886</v>
      </c>
      <c r="W265" s="31" t="n">
        <f aca="false">IF(AND(F265&gt;=1,R265&gt;=Inputs!$B$10),(D265-U265-T265*E265-S265*F265)/V265,"")</f>
        <v>0.539071941906066</v>
      </c>
      <c r="X265" s="30" t="n">
        <f aca="false">IF(AB264&lt;&gt;0,AC264+1,0)</f>
        <v>0</v>
      </c>
      <c r="Y265" s="30" t="n">
        <f aca="false">IF(W265="",0,IF(AND(AB264&lt;&gt;0,OR(ABS(W265)&gt;Inputs!$B$7,X265&gt;=Inputs!$B$8,ABS(W265)&lt;Inputs!$B$6)),1,0))</f>
        <v>0</v>
      </c>
      <c r="Z265" s="30" t="n">
        <f aca="false">IF(Y265=1,0,AB264)</f>
        <v>0</v>
      </c>
      <c r="AA265" s="30" t="n">
        <f aca="false">IF(W265="",0,IF(AND(Z265=0,ABS(W265)&gt;Inputs!$B$5,ABS(W265)&lt;=Inputs!$B$7),1,0))</f>
        <v>0</v>
      </c>
      <c r="AB265" s="30" t="n">
        <f aca="false">IF(W265="",0,IF(AA265=1,-SIGN(W265),Z265))</f>
        <v>0</v>
      </c>
      <c r="AC265" s="30" t="n">
        <f aca="false">IF(W265="",0,IF(AA265=1,0,IF(Y265=1,0,X265)))</f>
        <v>0</v>
      </c>
      <c r="AD265" s="30" t="n">
        <f aca="false">IF(AB265=0,0,IF(AB264=AB265,AD264,T265))</f>
        <v>0</v>
      </c>
      <c r="AE265" s="30" t="n">
        <f aca="false">AB265-AB264</f>
        <v>0</v>
      </c>
      <c r="AF265" s="30" t="n">
        <f aca="false">-AD265*AB265</f>
        <v>-0</v>
      </c>
      <c r="AG265" s="30" t="n">
        <f aca="false">AF265-AF264</f>
        <v>0</v>
      </c>
      <c r="AH265" s="30" t="n">
        <f aca="false">MAX(AE265,0)*(Inputs!$B$17+Inputs!$B$18+Inputs!$B$19)+MAX(-AE265,0)*(O265+Inputs!$B$18+Inputs!$B$19)+IF(AND(K265=1,AB265&lt;&gt;0),(Inputs!$B$17+Inputs!$B$18+Inputs!$B$19)+(O265+Inputs!$B$18+Inputs!$B$19),0)+MAX(AG265,0)*(Inputs!$B$20+Inputs!$B$22+Inputs!$B$23)+MAX(-AG265,0)*(Inputs!$B$21+Inputs!$B$22+Inputs!$B$23)</f>
        <v>0</v>
      </c>
      <c r="AI265" s="30" t="n">
        <f aca="false">AB264*(M265-AD264*J265)+AB264*AD264*N265/Inputs!$B$16-AH265</f>
        <v>0</v>
      </c>
      <c r="AJ265" s="30" t="n">
        <f aca="false">MAX(AE265,0)*(Inputs!$B$17+Inputs!$B$24+Inputs!$B$25)+MAX(-AE265,0)*(O265+Inputs!$B$24+Inputs!$B$25)+IF(AND(K265=1,AB265&lt;&gt;0),(Inputs!$B$17+Inputs!$B$24+Inputs!$B$25)+(O265+Inputs!$B$24+Inputs!$B$25),0)+MAX(AG265,0)*(Inputs!$B$20+Inputs!$B$26+Inputs!$B$27)+MAX(-AG265,0)*(Inputs!$B$21+Inputs!$B$26+Inputs!$B$27)</f>
        <v>0</v>
      </c>
      <c r="AK265" s="30" t="n">
        <f aca="false">AB264*(M265-AD264*J265)+AB264*AD264*(N265+Inputs!$B$14)/Inputs!$B$16-AJ265</f>
        <v>0</v>
      </c>
      <c r="AL265" s="30" t="n">
        <f aca="false">IF(AP264&lt;&gt;0,AQ264+1,0)</f>
        <v>0</v>
      </c>
      <c r="AM265" s="30" t="n">
        <f aca="false">IF(W265="",0,IF(AND(AP264&lt;&gt;0,OR(ABS(W265)&gt;Inputs!$B$7,AL265&gt;=Inputs!$B$8,ABS(W265)&lt;Inputs!$B$6)),1,0))</f>
        <v>0</v>
      </c>
      <c r="AN265" s="30" t="n">
        <f aca="false">IF(AM265=1,0,AP264)</f>
        <v>0</v>
      </c>
      <c r="AO265" s="30" t="n">
        <f aca="false">IF(W265="",0,IF(AND(AN265=0,ABS(W265)&gt;Inputs!$B$5,ABS(W265)&lt;=Inputs!$B$7,W265&gt;0),1,0))</f>
        <v>0</v>
      </c>
      <c r="AP265" s="30" t="n">
        <f aca="false">IF(W265="",0,IF(AO265=1,-SIGN(W265),AN265))</f>
        <v>0</v>
      </c>
      <c r="AQ265" s="30" t="n">
        <f aca="false">IF(W265="",0,IF(AO265=1,0,IF(AM265=1,0,AL265)))</f>
        <v>0</v>
      </c>
      <c r="AR265" s="30" t="n">
        <f aca="false">IF(AP265=0,0,IF(AP264=AP265,AR264,T265))</f>
        <v>0</v>
      </c>
      <c r="AS265" s="30" t="n">
        <f aca="false">AP265-AP264</f>
        <v>0</v>
      </c>
      <c r="AT265" s="30" t="n">
        <f aca="false">-AR265*AP265</f>
        <v>-0</v>
      </c>
      <c r="AU265" s="30" t="n">
        <f aca="false">AT265-AT264</f>
        <v>0</v>
      </c>
      <c r="AV265" s="30" t="n">
        <f aca="false">MAX(AS265,0)*(Inputs!$B$17+Inputs!$B$18+Inputs!$B$19)+MAX(-AS265,0)*(O265+Inputs!$B$18+Inputs!$B$19)+IF(AND(K265=1,AP265&lt;&gt;0),(Inputs!$B$17+Inputs!$B$18+Inputs!$B$19)+(O265+Inputs!$B$18+Inputs!$B$19),0)+MAX(AU265,0)*(Inputs!$B$20+Inputs!$B$22+Inputs!$B$23)+MAX(-AU265,0)*(Inputs!$B$21+Inputs!$B$22+Inputs!$B$23)</f>
        <v>0</v>
      </c>
      <c r="AW265" s="30" t="n">
        <f aca="false">AP264*(M265-AR264*J265)+AP264*AR264*N265/Inputs!$B$16-AV265</f>
        <v>0</v>
      </c>
      <c r="AX265" s="30" t="n">
        <f aca="false">AW265-IF(AP264&lt;&gt;0,0.75*AR264*(Inputs!$B$13-N265)/Inputs!$B$16,0)</f>
        <v>0</v>
      </c>
      <c r="AY265" s="30" t="n">
        <f aca="false">MAX(AS265,0)*(Inputs!$B$17+Inputs!$B$18+Inputs!$B$19)+MAX(-AS265,0)*(O265+Inputs!$B$18+Inputs!$B$19)+IF(AND(K265=1,AP265&lt;&gt;0),(Inputs!$B$17+Inputs!$B$18+Inputs!$B$19)+(O265+Inputs!$B$18+Inputs!$B$19),0)</f>
        <v>0</v>
      </c>
      <c r="AZ265" s="30" t="n">
        <f aca="false">AP264*M265-AY265</f>
        <v>0</v>
      </c>
      <c r="BA265" s="32" t="n">
        <f aca="false">BA264+AI265</f>
        <v>-0.0042764994896359</v>
      </c>
      <c r="BB265" s="30" t="n">
        <f aca="false">MAX(BB264,BA265)</f>
        <v>0</v>
      </c>
      <c r="BC265" s="32" t="n">
        <f aca="false">BA265-BB265</f>
        <v>-0.0042764994896359</v>
      </c>
      <c r="BD265" s="30" t="n">
        <f aca="false">A266-A265</f>
        <v>3</v>
      </c>
    </row>
    <row r="266" customFormat="false" ht="15" hidden="false" customHeight="false" outlineLevel="0" collapsed="false">
      <c r="A266" s="28" t="n">
        <v>45433</v>
      </c>
      <c r="B266" s="0" t="n">
        <v>22591.1</v>
      </c>
      <c r="C266" s="0" t="n">
        <v>249.4</v>
      </c>
      <c r="D266" s="29" t="n">
        <f aca="false">LN(B266)</f>
        <v>10.025311302389</v>
      </c>
      <c r="E266" s="29" t="n">
        <f aca="false">LN(C266)</f>
        <v>5.51905803324594</v>
      </c>
      <c r="F266" s="0" t="n">
        <v>261</v>
      </c>
      <c r="G266" s="0" t="n">
        <v>9</v>
      </c>
      <c r="H266" s="29" t="n">
        <f aca="false">D266-E266</f>
        <v>4.50625326914303</v>
      </c>
      <c r="I266" s="29" t="n">
        <f aca="false">D266-D265</f>
        <v>0.00224233225507575</v>
      </c>
      <c r="J266" s="29" t="n">
        <f aca="false">E266-E265</f>
        <v>0.00140435372664349</v>
      </c>
      <c r="K266" s="0" t="n">
        <v>0</v>
      </c>
      <c r="L266" s="0" t="n">
        <v>0</v>
      </c>
      <c r="M266" s="29" t="n">
        <f aca="false">IF(L266=1,J266-Carry!$B$9/Inputs!$B$16,I266)</f>
        <v>0.00224233225507575</v>
      </c>
      <c r="N266" s="0" t="n">
        <v>0.065</v>
      </c>
      <c r="O266" s="0" t="n">
        <v>0.000125</v>
      </c>
      <c r="P266" s="29" t="n">
        <f aca="false">D266-('2 Hedge ratio'!$B$6+'2 Hedge ratio'!$B$5*E266)</f>
        <v>0.00733447094859763</v>
      </c>
      <c r="Q266" s="29" t="n">
        <f aca="false">D266-('5 Re-specification'!$B$7+'5 Re-specification'!$B$5*E266+'5 Re-specification'!$B$6*F266)</f>
        <v>0.00350430570509808</v>
      </c>
      <c r="R266" s="30" t="n">
        <f aca="false">MIN(F266,Inputs!$B$9)</f>
        <v>250</v>
      </c>
      <c r="S266" s="29" t="n">
        <f aca="true">IF(AND(F266&gt;=1,R266&gt;=Inputs!$B$10),INDEX(LINEST(OFFSET(D266,-R266,0,R266,1),OFFSET(E266,-R266,0,R266,2)),1,1),"")</f>
        <v>-6.51617205478205E-005</v>
      </c>
      <c r="T266" s="29" t="n">
        <f aca="true">IF(AND(F266&gt;=1,R266&gt;=Inputs!$B$10),INDEX(LINEST(OFFSET(D266,-R266,0,R266,1),OFFSET(E266,-R266,0,R266,2)),1,2),"")</f>
        <v>1.03315477934976</v>
      </c>
      <c r="U266" s="29" t="n">
        <f aca="true">IF(AND(F266&gt;=1,R266&gt;=Inputs!$B$10),INDEX(LINEST(OFFSET(D266,-R266,0,R266,1),OFFSET(E266,-R266,0,R266,2)),1,3),"")</f>
        <v>4.338115975734</v>
      </c>
      <c r="V266" s="29" t="n">
        <f aca="true">IF(AND(F266&gt;=1,R266&gt;=Inputs!$B$10),SQRT(SUMPRODUCT((OFFSET(D266,-R266,0,R266,1)-U266-T266*OFFSET(E266,-R266,0,R266,1)-S266*OFFSET(F266,-R266,0,R266,1))^2)/(R266-3)),"")</f>
        <v>0.00249063975446109</v>
      </c>
      <c r="W266" s="31" t="n">
        <f aca="false">IF(AND(F266&gt;=1,R266&gt;=Inputs!$B$10),(D266-U266-T266*E266-S266*F266)/V266,"")</f>
        <v>0.867789553804947</v>
      </c>
      <c r="X266" s="30" t="n">
        <f aca="false">IF(AB265&lt;&gt;0,AC265+1,0)</f>
        <v>0</v>
      </c>
      <c r="Y266" s="30" t="n">
        <f aca="false">IF(W266="",0,IF(AND(AB265&lt;&gt;0,OR(ABS(W266)&gt;Inputs!$B$7,X266&gt;=Inputs!$B$8,ABS(W266)&lt;Inputs!$B$6)),1,0))</f>
        <v>0</v>
      </c>
      <c r="Z266" s="30" t="n">
        <f aca="false">IF(Y266=1,0,AB265)</f>
        <v>0</v>
      </c>
      <c r="AA266" s="30" t="n">
        <f aca="false">IF(W266="",0,IF(AND(Z266=0,ABS(W266)&gt;Inputs!$B$5,ABS(W266)&lt;=Inputs!$B$7),1,0))</f>
        <v>0</v>
      </c>
      <c r="AB266" s="30" t="n">
        <f aca="false">IF(W266="",0,IF(AA266=1,-SIGN(W266),Z266))</f>
        <v>0</v>
      </c>
      <c r="AC266" s="30" t="n">
        <f aca="false">IF(W266="",0,IF(AA266=1,0,IF(Y266=1,0,X266)))</f>
        <v>0</v>
      </c>
      <c r="AD266" s="30" t="n">
        <f aca="false">IF(AB266=0,0,IF(AB265=AB266,AD265,T266))</f>
        <v>0</v>
      </c>
      <c r="AE266" s="30" t="n">
        <f aca="false">AB266-AB265</f>
        <v>0</v>
      </c>
      <c r="AF266" s="30" t="n">
        <f aca="false">-AD266*AB266</f>
        <v>-0</v>
      </c>
      <c r="AG266" s="30" t="n">
        <f aca="false">AF266-AF265</f>
        <v>0</v>
      </c>
      <c r="AH266" s="30" t="n">
        <f aca="false">MAX(AE266,0)*(Inputs!$B$17+Inputs!$B$18+Inputs!$B$19)+MAX(-AE266,0)*(O266+Inputs!$B$18+Inputs!$B$19)+IF(AND(K266=1,AB266&lt;&gt;0),(Inputs!$B$17+Inputs!$B$18+Inputs!$B$19)+(O266+Inputs!$B$18+Inputs!$B$19),0)+MAX(AG266,0)*(Inputs!$B$20+Inputs!$B$22+Inputs!$B$23)+MAX(-AG266,0)*(Inputs!$B$21+Inputs!$B$22+Inputs!$B$23)</f>
        <v>0</v>
      </c>
      <c r="AI266" s="30" t="n">
        <f aca="false">AB265*(M266-AD265*J266)+AB265*AD265*N266/Inputs!$B$16-AH266</f>
        <v>0</v>
      </c>
      <c r="AJ266" s="30" t="n">
        <f aca="false">MAX(AE266,0)*(Inputs!$B$17+Inputs!$B$24+Inputs!$B$25)+MAX(-AE266,0)*(O266+Inputs!$B$24+Inputs!$B$25)+IF(AND(K266=1,AB266&lt;&gt;0),(Inputs!$B$17+Inputs!$B$24+Inputs!$B$25)+(O266+Inputs!$B$24+Inputs!$B$25),0)+MAX(AG266,0)*(Inputs!$B$20+Inputs!$B$26+Inputs!$B$27)+MAX(-AG266,0)*(Inputs!$B$21+Inputs!$B$26+Inputs!$B$27)</f>
        <v>0</v>
      </c>
      <c r="AK266" s="30" t="n">
        <f aca="false">AB265*(M266-AD265*J266)+AB265*AD265*(N266+Inputs!$B$14)/Inputs!$B$16-AJ266</f>
        <v>0</v>
      </c>
      <c r="AL266" s="30" t="n">
        <f aca="false">IF(AP265&lt;&gt;0,AQ265+1,0)</f>
        <v>0</v>
      </c>
      <c r="AM266" s="30" t="n">
        <f aca="false">IF(W266="",0,IF(AND(AP265&lt;&gt;0,OR(ABS(W266)&gt;Inputs!$B$7,AL266&gt;=Inputs!$B$8,ABS(W266)&lt;Inputs!$B$6)),1,0))</f>
        <v>0</v>
      </c>
      <c r="AN266" s="30" t="n">
        <f aca="false">IF(AM266=1,0,AP265)</f>
        <v>0</v>
      </c>
      <c r="AO266" s="30" t="n">
        <f aca="false">IF(W266="",0,IF(AND(AN266=0,ABS(W266)&gt;Inputs!$B$5,ABS(W266)&lt;=Inputs!$B$7,W266&gt;0),1,0))</f>
        <v>0</v>
      </c>
      <c r="AP266" s="30" t="n">
        <f aca="false">IF(W266="",0,IF(AO266=1,-SIGN(W266),AN266))</f>
        <v>0</v>
      </c>
      <c r="AQ266" s="30" t="n">
        <f aca="false">IF(W266="",0,IF(AO266=1,0,IF(AM266=1,0,AL266)))</f>
        <v>0</v>
      </c>
      <c r="AR266" s="30" t="n">
        <f aca="false">IF(AP266=0,0,IF(AP265=AP266,AR265,T266))</f>
        <v>0</v>
      </c>
      <c r="AS266" s="30" t="n">
        <f aca="false">AP266-AP265</f>
        <v>0</v>
      </c>
      <c r="AT266" s="30" t="n">
        <f aca="false">-AR266*AP266</f>
        <v>-0</v>
      </c>
      <c r="AU266" s="30" t="n">
        <f aca="false">AT266-AT265</f>
        <v>0</v>
      </c>
      <c r="AV266" s="30" t="n">
        <f aca="false">MAX(AS266,0)*(Inputs!$B$17+Inputs!$B$18+Inputs!$B$19)+MAX(-AS266,0)*(O266+Inputs!$B$18+Inputs!$B$19)+IF(AND(K266=1,AP266&lt;&gt;0),(Inputs!$B$17+Inputs!$B$18+Inputs!$B$19)+(O266+Inputs!$B$18+Inputs!$B$19),0)+MAX(AU266,0)*(Inputs!$B$20+Inputs!$B$22+Inputs!$B$23)+MAX(-AU266,0)*(Inputs!$B$21+Inputs!$B$22+Inputs!$B$23)</f>
        <v>0</v>
      </c>
      <c r="AW266" s="30" t="n">
        <f aca="false">AP265*(M266-AR265*J266)+AP265*AR265*N266/Inputs!$B$16-AV266</f>
        <v>0</v>
      </c>
      <c r="AX266" s="30" t="n">
        <f aca="false">AW266-IF(AP265&lt;&gt;0,0.75*AR265*(Inputs!$B$13-N266)/Inputs!$B$16,0)</f>
        <v>0</v>
      </c>
      <c r="AY266" s="30" t="n">
        <f aca="false">MAX(AS266,0)*(Inputs!$B$17+Inputs!$B$18+Inputs!$B$19)+MAX(-AS266,0)*(O266+Inputs!$B$18+Inputs!$B$19)+IF(AND(K266=1,AP266&lt;&gt;0),(Inputs!$B$17+Inputs!$B$18+Inputs!$B$19)+(O266+Inputs!$B$18+Inputs!$B$19),0)</f>
        <v>0</v>
      </c>
      <c r="AZ266" s="30" t="n">
        <f aca="false">AP265*M266-AY266</f>
        <v>0</v>
      </c>
      <c r="BA266" s="32" t="n">
        <f aca="false">BA265+AI266</f>
        <v>-0.0042764994896359</v>
      </c>
      <c r="BB266" s="30" t="n">
        <f aca="false">MAX(BB265,BA266)</f>
        <v>0</v>
      </c>
      <c r="BC266" s="32" t="n">
        <f aca="false">BA266-BB266</f>
        <v>-0.0042764994896359</v>
      </c>
      <c r="BD266" s="30" t="n">
        <f aca="false">A267-A266</f>
        <v>1</v>
      </c>
    </row>
    <row r="267" customFormat="false" ht="15" hidden="false" customHeight="false" outlineLevel="0" collapsed="false">
      <c r="A267" s="28" t="n">
        <v>45434</v>
      </c>
      <c r="B267" s="0" t="n">
        <v>22667.4</v>
      </c>
      <c r="C267" s="0" t="n">
        <v>250.49</v>
      </c>
      <c r="D267" s="29" t="n">
        <f aca="false">LN(B267)</f>
        <v>10.028683047908</v>
      </c>
      <c r="E267" s="29" t="n">
        <f aca="false">LN(C267)</f>
        <v>5.52341899956841</v>
      </c>
      <c r="F267" s="0" t="n">
        <v>262</v>
      </c>
      <c r="G267" s="0" t="n">
        <v>8</v>
      </c>
      <c r="H267" s="29" t="n">
        <f aca="false">D267-E267</f>
        <v>4.50526404833956</v>
      </c>
      <c r="I267" s="29" t="n">
        <f aca="false">D267-D266</f>
        <v>0.00337174551899722</v>
      </c>
      <c r="J267" s="29" t="n">
        <f aca="false">E267-E266</f>
        <v>0.00436096632247196</v>
      </c>
      <c r="K267" s="0" t="n">
        <v>0</v>
      </c>
      <c r="L267" s="0" t="n">
        <v>0</v>
      </c>
      <c r="M267" s="29" t="n">
        <f aca="false">IF(L267=1,J267-Carry!$B$9/Inputs!$B$16,I267)</f>
        <v>0.00337174551899722</v>
      </c>
      <c r="N267" s="0" t="n">
        <v>0.065</v>
      </c>
      <c r="O267" s="0" t="n">
        <v>0.000125</v>
      </c>
      <c r="P267" s="29" t="n">
        <f aca="false">D267-('2 Hedge ratio'!$B$6+'2 Hedge ratio'!$B$5*E267)</f>
        <v>0.00671101852340428</v>
      </c>
      <c r="Q267" s="29" t="n">
        <f aca="false">D267-('5 Re-specification'!$B$7+'5 Re-specification'!$B$5*E267+'5 Re-specification'!$B$6*F267)</f>
        <v>0.00257323012825239</v>
      </c>
      <c r="R267" s="30" t="n">
        <f aca="false">MIN(F267,Inputs!$B$9)</f>
        <v>250</v>
      </c>
      <c r="S267" s="29" t="n">
        <f aca="true">IF(AND(F267&gt;=1,R267&gt;=Inputs!$B$10),INDEX(LINEST(OFFSET(D267,-R267,0,R267,1),OFFSET(E267,-R267,0,R267,2)),1,1),"")</f>
        <v>-6.46951602613125E-005</v>
      </c>
      <c r="T267" s="29" t="n">
        <f aca="true">IF(AND(F267&gt;=1,R267&gt;=Inputs!$B$10),INDEX(LINEST(OFFSET(D267,-R267,0,R267,1),OFFSET(E267,-R267,0,R267,2)),1,2),"")</f>
        <v>1.03287550322429</v>
      </c>
      <c r="U267" s="29" t="n">
        <f aca="true">IF(AND(F267&gt;=1,R267&gt;=Inputs!$B$10),INDEX(LINEST(OFFSET(D267,-R267,0,R267,1),OFFSET(E267,-R267,0,R267,2)),1,3),"")</f>
        <v>4.33957491335427</v>
      </c>
      <c r="V267" s="29" t="n">
        <f aca="true">IF(AND(F267&gt;=1,R267&gt;=Inputs!$B$10),SQRT(SUMPRODUCT((OFFSET(D267,-R267,0,R267,1)-U267-T267*OFFSET(E267,-R267,0,R267,1)-S267*OFFSET(F267,-R267,0,R267,1))^2)/(R267-3)),"")</f>
        <v>0.00249436015289285</v>
      </c>
      <c r="W267" s="31" t="n">
        <f aca="false">IF(AND(F267&gt;=1,R267&gt;=Inputs!$B$10),(D267-U267-T267*E267-S267*F267)/V267,"")</f>
        <v>0.422588471473863</v>
      </c>
      <c r="X267" s="30" t="n">
        <f aca="false">IF(AB266&lt;&gt;0,AC266+1,0)</f>
        <v>0</v>
      </c>
      <c r="Y267" s="30" t="n">
        <f aca="false">IF(W267="",0,IF(AND(AB266&lt;&gt;0,OR(ABS(W267)&gt;Inputs!$B$7,X267&gt;=Inputs!$B$8,ABS(W267)&lt;Inputs!$B$6)),1,0))</f>
        <v>0</v>
      </c>
      <c r="Z267" s="30" t="n">
        <f aca="false">IF(Y267=1,0,AB266)</f>
        <v>0</v>
      </c>
      <c r="AA267" s="30" t="n">
        <f aca="false">IF(W267="",0,IF(AND(Z267=0,ABS(W267)&gt;Inputs!$B$5,ABS(W267)&lt;=Inputs!$B$7),1,0))</f>
        <v>0</v>
      </c>
      <c r="AB267" s="30" t="n">
        <f aca="false">IF(W267="",0,IF(AA267=1,-SIGN(W267),Z267))</f>
        <v>0</v>
      </c>
      <c r="AC267" s="30" t="n">
        <f aca="false">IF(W267="",0,IF(AA267=1,0,IF(Y267=1,0,X267)))</f>
        <v>0</v>
      </c>
      <c r="AD267" s="30" t="n">
        <f aca="false">IF(AB267=0,0,IF(AB266=AB267,AD266,T267))</f>
        <v>0</v>
      </c>
      <c r="AE267" s="30" t="n">
        <f aca="false">AB267-AB266</f>
        <v>0</v>
      </c>
      <c r="AF267" s="30" t="n">
        <f aca="false">-AD267*AB267</f>
        <v>-0</v>
      </c>
      <c r="AG267" s="30" t="n">
        <f aca="false">AF267-AF266</f>
        <v>0</v>
      </c>
      <c r="AH267" s="30" t="n">
        <f aca="false">MAX(AE267,0)*(Inputs!$B$17+Inputs!$B$18+Inputs!$B$19)+MAX(-AE267,0)*(O267+Inputs!$B$18+Inputs!$B$19)+IF(AND(K267=1,AB267&lt;&gt;0),(Inputs!$B$17+Inputs!$B$18+Inputs!$B$19)+(O267+Inputs!$B$18+Inputs!$B$19),0)+MAX(AG267,0)*(Inputs!$B$20+Inputs!$B$22+Inputs!$B$23)+MAX(-AG267,0)*(Inputs!$B$21+Inputs!$B$22+Inputs!$B$23)</f>
        <v>0</v>
      </c>
      <c r="AI267" s="30" t="n">
        <f aca="false">AB266*(M267-AD266*J267)+AB266*AD266*N267/Inputs!$B$16-AH267</f>
        <v>0</v>
      </c>
      <c r="AJ267" s="30" t="n">
        <f aca="false">MAX(AE267,0)*(Inputs!$B$17+Inputs!$B$24+Inputs!$B$25)+MAX(-AE267,0)*(O267+Inputs!$B$24+Inputs!$B$25)+IF(AND(K267=1,AB267&lt;&gt;0),(Inputs!$B$17+Inputs!$B$24+Inputs!$B$25)+(O267+Inputs!$B$24+Inputs!$B$25),0)+MAX(AG267,0)*(Inputs!$B$20+Inputs!$B$26+Inputs!$B$27)+MAX(-AG267,0)*(Inputs!$B$21+Inputs!$B$26+Inputs!$B$27)</f>
        <v>0</v>
      </c>
      <c r="AK267" s="30" t="n">
        <f aca="false">AB266*(M267-AD266*J267)+AB266*AD266*(N267+Inputs!$B$14)/Inputs!$B$16-AJ267</f>
        <v>0</v>
      </c>
      <c r="AL267" s="30" t="n">
        <f aca="false">IF(AP266&lt;&gt;0,AQ266+1,0)</f>
        <v>0</v>
      </c>
      <c r="AM267" s="30" t="n">
        <f aca="false">IF(W267="",0,IF(AND(AP266&lt;&gt;0,OR(ABS(W267)&gt;Inputs!$B$7,AL267&gt;=Inputs!$B$8,ABS(W267)&lt;Inputs!$B$6)),1,0))</f>
        <v>0</v>
      </c>
      <c r="AN267" s="30" t="n">
        <f aca="false">IF(AM267=1,0,AP266)</f>
        <v>0</v>
      </c>
      <c r="AO267" s="30" t="n">
        <f aca="false">IF(W267="",0,IF(AND(AN267=0,ABS(W267)&gt;Inputs!$B$5,ABS(W267)&lt;=Inputs!$B$7,W267&gt;0),1,0))</f>
        <v>0</v>
      </c>
      <c r="AP267" s="30" t="n">
        <f aca="false">IF(W267="",0,IF(AO267=1,-SIGN(W267),AN267))</f>
        <v>0</v>
      </c>
      <c r="AQ267" s="30" t="n">
        <f aca="false">IF(W267="",0,IF(AO267=1,0,IF(AM267=1,0,AL267)))</f>
        <v>0</v>
      </c>
      <c r="AR267" s="30" t="n">
        <f aca="false">IF(AP267=0,0,IF(AP266=AP267,AR266,T267))</f>
        <v>0</v>
      </c>
      <c r="AS267" s="30" t="n">
        <f aca="false">AP267-AP266</f>
        <v>0</v>
      </c>
      <c r="AT267" s="30" t="n">
        <f aca="false">-AR267*AP267</f>
        <v>-0</v>
      </c>
      <c r="AU267" s="30" t="n">
        <f aca="false">AT267-AT266</f>
        <v>0</v>
      </c>
      <c r="AV267" s="30" t="n">
        <f aca="false">MAX(AS267,0)*(Inputs!$B$17+Inputs!$B$18+Inputs!$B$19)+MAX(-AS267,0)*(O267+Inputs!$B$18+Inputs!$B$19)+IF(AND(K267=1,AP267&lt;&gt;0),(Inputs!$B$17+Inputs!$B$18+Inputs!$B$19)+(O267+Inputs!$B$18+Inputs!$B$19),0)+MAX(AU267,0)*(Inputs!$B$20+Inputs!$B$22+Inputs!$B$23)+MAX(-AU267,0)*(Inputs!$B$21+Inputs!$B$22+Inputs!$B$23)</f>
        <v>0</v>
      </c>
      <c r="AW267" s="30" t="n">
        <f aca="false">AP266*(M267-AR266*J267)+AP266*AR266*N267/Inputs!$B$16-AV267</f>
        <v>0</v>
      </c>
      <c r="AX267" s="30" t="n">
        <f aca="false">AW267-IF(AP266&lt;&gt;0,0.75*AR266*(Inputs!$B$13-N267)/Inputs!$B$16,0)</f>
        <v>0</v>
      </c>
      <c r="AY267" s="30" t="n">
        <f aca="false">MAX(AS267,0)*(Inputs!$B$17+Inputs!$B$18+Inputs!$B$19)+MAX(-AS267,0)*(O267+Inputs!$B$18+Inputs!$B$19)+IF(AND(K267=1,AP267&lt;&gt;0),(Inputs!$B$17+Inputs!$B$18+Inputs!$B$19)+(O267+Inputs!$B$18+Inputs!$B$19),0)</f>
        <v>0</v>
      </c>
      <c r="AZ267" s="30" t="n">
        <f aca="false">AP266*M267-AY267</f>
        <v>0</v>
      </c>
      <c r="BA267" s="32" t="n">
        <f aca="false">BA266+AI267</f>
        <v>-0.0042764994896359</v>
      </c>
      <c r="BB267" s="30" t="n">
        <f aca="false">MAX(BB266,BA267)</f>
        <v>0</v>
      </c>
      <c r="BC267" s="32" t="n">
        <f aca="false">BA267-BB267</f>
        <v>-0.0042764994896359</v>
      </c>
      <c r="BD267" s="30" t="n">
        <f aca="false">A268-A267</f>
        <v>1</v>
      </c>
    </row>
    <row r="268" customFormat="false" ht="15" hidden="false" customHeight="false" outlineLevel="0" collapsed="false">
      <c r="A268" s="28" t="n">
        <v>45435</v>
      </c>
      <c r="B268" s="0" t="n">
        <v>23010</v>
      </c>
      <c r="C268" s="0" t="n">
        <v>254.35</v>
      </c>
      <c r="D268" s="29" t="n">
        <f aca="false">LN(B268)</f>
        <v>10.0436841830294</v>
      </c>
      <c r="E268" s="29" t="n">
        <f aca="false">LN(C268)</f>
        <v>5.53871127126877</v>
      </c>
      <c r="F268" s="0" t="n">
        <v>263</v>
      </c>
      <c r="G268" s="0" t="n">
        <v>7</v>
      </c>
      <c r="H268" s="29" t="n">
        <f aca="false">D268-E268</f>
        <v>4.50497291176064</v>
      </c>
      <c r="I268" s="29" t="n">
        <f aca="false">D268-D267</f>
        <v>0.0150011351214463</v>
      </c>
      <c r="J268" s="29" t="n">
        <f aca="false">E268-E267</f>
        <v>0.0152922717003658</v>
      </c>
      <c r="K268" s="0" t="n">
        <v>0</v>
      </c>
      <c r="L268" s="0" t="n">
        <v>0</v>
      </c>
      <c r="M268" s="29" t="n">
        <f aca="false">IF(L268=1,J268-Carry!$B$9/Inputs!$B$16,I268)</f>
        <v>0.0150011351214463</v>
      </c>
      <c r="N268" s="0" t="n">
        <v>0.065</v>
      </c>
      <c r="O268" s="0" t="n">
        <v>0.000125</v>
      </c>
      <c r="P268" s="29" t="n">
        <f aca="false">D268-('2 Hedge ratio'!$B$6+'2 Hedge ratio'!$B$5*E268)</f>
        <v>0.00770249433047532</v>
      </c>
      <c r="Q268" s="29" t="n">
        <f aca="false">D268-('5 Re-specification'!$B$7+'5 Re-specification'!$B$5*E268+'5 Re-specification'!$B$6*F268)</f>
        <v>0.00237336609714234</v>
      </c>
      <c r="R268" s="30" t="n">
        <f aca="false">MIN(F268,Inputs!$B$9)</f>
        <v>250</v>
      </c>
      <c r="S268" s="29" t="n">
        <f aca="true">IF(AND(F268&gt;=1,R268&gt;=Inputs!$B$10),INDEX(LINEST(OFFSET(D268,-R268,0,R268,1),OFFSET(E268,-R268,0,R268,2)),1,1),"")</f>
        <v>-6.45141517753568E-005</v>
      </c>
      <c r="T268" s="29" t="n">
        <f aca="true">IF(AND(F268&gt;=1,R268&gt;=Inputs!$B$10),INDEX(LINEST(OFFSET(D268,-R268,0,R268,1),OFFSET(E268,-R268,0,R268,2)),1,2),"")</f>
        <v>1.03288998084973</v>
      </c>
      <c r="U268" s="29" t="n">
        <f aca="true">IF(AND(F268&gt;=1,R268&gt;=Inputs!$B$10),INDEX(LINEST(OFFSET(D268,-R268,0,R268,1),OFFSET(E268,-R268,0,R268,2)),1,3),"")</f>
        <v>4.33947185677617</v>
      </c>
      <c r="V268" s="29" t="n">
        <f aca="true">IF(AND(F268&gt;=1,R268&gt;=Inputs!$B$10),SQRT(SUMPRODUCT((OFFSET(D268,-R268,0,R268,1)-U268-T268*OFFSET(E268,-R268,0,R268,1)-S268*OFFSET(F268,-R268,0,R268,1))^2)/(R268-3)),"")</f>
        <v>0.00249446121778848</v>
      </c>
      <c r="W268" s="31" t="n">
        <f aca="false">IF(AND(F268&gt;=1,R268&gt;=Inputs!$B$10),(D268-U268-T268*E268-S268*F268)/V268,"")</f>
        <v>0.120334305060422</v>
      </c>
      <c r="X268" s="30" t="n">
        <f aca="false">IF(AB267&lt;&gt;0,AC267+1,0)</f>
        <v>0</v>
      </c>
      <c r="Y268" s="30" t="n">
        <f aca="false">IF(W268="",0,IF(AND(AB267&lt;&gt;0,OR(ABS(W268)&gt;Inputs!$B$7,X268&gt;=Inputs!$B$8,ABS(W268)&lt;Inputs!$B$6)),1,0))</f>
        <v>0</v>
      </c>
      <c r="Z268" s="30" t="n">
        <f aca="false">IF(Y268=1,0,AB267)</f>
        <v>0</v>
      </c>
      <c r="AA268" s="30" t="n">
        <f aca="false">IF(W268="",0,IF(AND(Z268=0,ABS(W268)&gt;Inputs!$B$5,ABS(W268)&lt;=Inputs!$B$7),1,0))</f>
        <v>0</v>
      </c>
      <c r="AB268" s="30" t="n">
        <f aca="false">IF(W268="",0,IF(AA268=1,-SIGN(W268),Z268))</f>
        <v>0</v>
      </c>
      <c r="AC268" s="30" t="n">
        <f aca="false">IF(W268="",0,IF(AA268=1,0,IF(Y268=1,0,X268)))</f>
        <v>0</v>
      </c>
      <c r="AD268" s="30" t="n">
        <f aca="false">IF(AB268=0,0,IF(AB267=AB268,AD267,T268))</f>
        <v>0</v>
      </c>
      <c r="AE268" s="30" t="n">
        <f aca="false">AB268-AB267</f>
        <v>0</v>
      </c>
      <c r="AF268" s="30" t="n">
        <f aca="false">-AD268*AB268</f>
        <v>-0</v>
      </c>
      <c r="AG268" s="30" t="n">
        <f aca="false">AF268-AF267</f>
        <v>0</v>
      </c>
      <c r="AH268" s="30" t="n">
        <f aca="false">MAX(AE268,0)*(Inputs!$B$17+Inputs!$B$18+Inputs!$B$19)+MAX(-AE268,0)*(O268+Inputs!$B$18+Inputs!$B$19)+IF(AND(K268=1,AB268&lt;&gt;0),(Inputs!$B$17+Inputs!$B$18+Inputs!$B$19)+(O268+Inputs!$B$18+Inputs!$B$19),0)+MAX(AG268,0)*(Inputs!$B$20+Inputs!$B$22+Inputs!$B$23)+MAX(-AG268,0)*(Inputs!$B$21+Inputs!$B$22+Inputs!$B$23)</f>
        <v>0</v>
      </c>
      <c r="AI268" s="30" t="n">
        <f aca="false">AB267*(M268-AD267*J268)+AB267*AD267*N268/Inputs!$B$16-AH268</f>
        <v>0</v>
      </c>
      <c r="AJ268" s="30" t="n">
        <f aca="false">MAX(AE268,0)*(Inputs!$B$17+Inputs!$B$24+Inputs!$B$25)+MAX(-AE268,0)*(O268+Inputs!$B$24+Inputs!$B$25)+IF(AND(K268=1,AB268&lt;&gt;0),(Inputs!$B$17+Inputs!$B$24+Inputs!$B$25)+(O268+Inputs!$B$24+Inputs!$B$25),0)+MAX(AG268,0)*(Inputs!$B$20+Inputs!$B$26+Inputs!$B$27)+MAX(-AG268,0)*(Inputs!$B$21+Inputs!$B$26+Inputs!$B$27)</f>
        <v>0</v>
      </c>
      <c r="AK268" s="30" t="n">
        <f aca="false">AB267*(M268-AD267*J268)+AB267*AD267*(N268+Inputs!$B$14)/Inputs!$B$16-AJ268</f>
        <v>0</v>
      </c>
      <c r="AL268" s="30" t="n">
        <f aca="false">IF(AP267&lt;&gt;0,AQ267+1,0)</f>
        <v>0</v>
      </c>
      <c r="AM268" s="30" t="n">
        <f aca="false">IF(W268="",0,IF(AND(AP267&lt;&gt;0,OR(ABS(W268)&gt;Inputs!$B$7,AL268&gt;=Inputs!$B$8,ABS(W268)&lt;Inputs!$B$6)),1,0))</f>
        <v>0</v>
      </c>
      <c r="AN268" s="30" t="n">
        <f aca="false">IF(AM268=1,0,AP267)</f>
        <v>0</v>
      </c>
      <c r="AO268" s="30" t="n">
        <f aca="false">IF(W268="",0,IF(AND(AN268=0,ABS(W268)&gt;Inputs!$B$5,ABS(W268)&lt;=Inputs!$B$7,W268&gt;0),1,0))</f>
        <v>0</v>
      </c>
      <c r="AP268" s="30" t="n">
        <f aca="false">IF(W268="",0,IF(AO268=1,-SIGN(W268),AN268))</f>
        <v>0</v>
      </c>
      <c r="AQ268" s="30" t="n">
        <f aca="false">IF(W268="",0,IF(AO268=1,0,IF(AM268=1,0,AL268)))</f>
        <v>0</v>
      </c>
      <c r="AR268" s="30" t="n">
        <f aca="false">IF(AP268=0,0,IF(AP267=AP268,AR267,T268))</f>
        <v>0</v>
      </c>
      <c r="AS268" s="30" t="n">
        <f aca="false">AP268-AP267</f>
        <v>0</v>
      </c>
      <c r="AT268" s="30" t="n">
        <f aca="false">-AR268*AP268</f>
        <v>-0</v>
      </c>
      <c r="AU268" s="30" t="n">
        <f aca="false">AT268-AT267</f>
        <v>0</v>
      </c>
      <c r="AV268" s="30" t="n">
        <f aca="false">MAX(AS268,0)*(Inputs!$B$17+Inputs!$B$18+Inputs!$B$19)+MAX(-AS268,0)*(O268+Inputs!$B$18+Inputs!$B$19)+IF(AND(K268=1,AP268&lt;&gt;0),(Inputs!$B$17+Inputs!$B$18+Inputs!$B$19)+(O268+Inputs!$B$18+Inputs!$B$19),0)+MAX(AU268,0)*(Inputs!$B$20+Inputs!$B$22+Inputs!$B$23)+MAX(-AU268,0)*(Inputs!$B$21+Inputs!$B$22+Inputs!$B$23)</f>
        <v>0</v>
      </c>
      <c r="AW268" s="30" t="n">
        <f aca="false">AP267*(M268-AR267*J268)+AP267*AR267*N268/Inputs!$B$16-AV268</f>
        <v>0</v>
      </c>
      <c r="AX268" s="30" t="n">
        <f aca="false">AW268-IF(AP267&lt;&gt;0,0.75*AR267*(Inputs!$B$13-N268)/Inputs!$B$16,0)</f>
        <v>0</v>
      </c>
      <c r="AY268" s="30" t="n">
        <f aca="false">MAX(AS268,0)*(Inputs!$B$17+Inputs!$B$18+Inputs!$B$19)+MAX(-AS268,0)*(O268+Inputs!$B$18+Inputs!$B$19)+IF(AND(K268=1,AP268&lt;&gt;0),(Inputs!$B$17+Inputs!$B$18+Inputs!$B$19)+(O268+Inputs!$B$18+Inputs!$B$19),0)</f>
        <v>0</v>
      </c>
      <c r="AZ268" s="30" t="n">
        <f aca="false">AP267*M268-AY268</f>
        <v>0</v>
      </c>
      <c r="BA268" s="32" t="n">
        <f aca="false">BA267+AI268</f>
        <v>-0.0042764994896359</v>
      </c>
      <c r="BB268" s="30" t="n">
        <f aca="false">MAX(BB267,BA268)</f>
        <v>0</v>
      </c>
      <c r="BC268" s="32" t="n">
        <f aca="false">BA268-BB268</f>
        <v>-0.0042764994896359</v>
      </c>
      <c r="BD268" s="30" t="n">
        <f aca="false">A269-A268</f>
        <v>1</v>
      </c>
    </row>
    <row r="269" customFormat="false" ht="15" hidden="false" customHeight="false" outlineLevel="0" collapsed="false">
      <c r="A269" s="28" t="n">
        <v>45436</v>
      </c>
      <c r="B269" s="0" t="n">
        <v>23023.45</v>
      </c>
      <c r="C269" s="0" t="n">
        <v>254.8</v>
      </c>
      <c r="D269" s="29" t="n">
        <f aca="false">LN(B269)</f>
        <v>10.0442685407251</v>
      </c>
      <c r="E269" s="29" t="n">
        <f aca="false">LN(C269)</f>
        <v>5.54047892369801</v>
      </c>
      <c r="F269" s="0" t="n">
        <v>264</v>
      </c>
      <c r="G269" s="0" t="n">
        <v>6</v>
      </c>
      <c r="H269" s="29" t="n">
        <f aca="false">D269-E269</f>
        <v>4.50378961702707</v>
      </c>
      <c r="I269" s="29" t="n">
        <f aca="false">D269-D268</f>
        <v>0.000584357695665005</v>
      </c>
      <c r="J269" s="29" t="n">
        <f aca="false">E269-E268</f>
        <v>0.00176765242923427</v>
      </c>
      <c r="K269" s="0" t="n">
        <v>0</v>
      </c>
      <c r="L269" s="0" t="n">
        <v>0</v>
      </c>
      <c r="M269" s="29" t="n">
        <f aca="false">IF(L269=1,J269-Carry!$B$9/Inputs!$B$16,I269)</f>
        <v>0.000584357695665005</v>
      </c>
      <c r="N269" s="0" t="n">
        <v>0.065</v>
      </c>
      <c r="O269" s="0" t="n">
        <v>0.000125</v>
      </c>
      <c r="P269" s="29" t="n">
        <f aca="false">D269-('2 Hedge ratio'!$B$6+'2 Hedge ratio'!$B$5*E269)</f>
        <v>0.00666745833466997</v>
      </c>
      <c r="Q269" s="29" t="n">
        <f aca="false">D269-('5 Re-specification'!$B$7+'5 Re-specification'!$B$5*E269+'5 Re-specification'!$B$6*F269)</f>
        <v>0.00124035755239404</v>
      </c>
      <c r="R269" s="30" t="n">
        <f aca="false">MIN(F269,Inputs!$B$9)</f>
        <v>250</v>
      </c>
      <c r="S269" s="29" t="n">
        <f aca="true">IF(AND(F269&gt;=1,R269&gt;=Inputs!$B$10),INDEX(LINEST(OFFSET(D269,-R269,0,R269,1),OFFSET(E269,-R269,0,R269,2)),1,1),"")</f>
        <v>-6.45016070387207E-005</v>
      </c>
      <c r="T269" s="29" t="n">
        <f aca="true">IF(AND(F269&gt;=1,R269&gt;=Inputs!$B$10),INDEX(LINEST(OFFSET(D269,-R269,0,R269,1),OFFSET(E269,-R269,0,R269,2)),1,2),"")</f>
        <v>1.033065210611</v>
      </c>
      <c r="U269" s="29" t="n">
        <f aca="true">IF(AND(F269&gt;=1,R269&gt;=Inputs!$B$10),INDEX(LINEST(OFFSET(D269,-R269,0,R269,1),OFFSET(E269,-R269,0,R269,2)),1,3),"")</f>
        <v>4.33851498565169</v>
      </c>
      <c r="V269" s="29" t="n">
        <f aca="true">IF(AND(F269&gt;=1,R269&gt;=Inputs!$B$10),SQRT(SUMPRODUCT((OFFSET(D269,-R269,0,R269,1)-U269-T269*OFFSET(E269,-R269,0,R269,1)-S269*OFFSET(F269,-R269,0,R269,1))^2)/(R269-3)),"")</f>
        <v>0.00249272797261833</v>
      </c>
      <c r="W269" s="31" t="n">
        <f aca="false">IF(AND(F269&gt;=1,R269&gt;=Inputs!$B$10),(D269-U269-T269*E269-S269*F269)/V269,"")</f>
        <v>-0.358662025731545</v>
      </c>
      <c r="X269" s="30" t="n">
        <f aca="false">IF(AB268&lt;&gt;0,AC268+1,0)</f>
        <v>0</v>
      </c>
      <c r="Y269" s="30" t="n">
        <f aca="false">IF(W269="",0,IF(AND(AB268&lt;&gt;0,OR(ABS(W269)&gt;Inputs!$B$7,X269&gt;=Inputs!$B$8,ABS(W269)&lt;Inputs!$B$6)),1,0))</f>
        <v>0</v>
      </c>
      <c r="Z269" s="30" t="n">
        <f aca="false">IF(Y269=1,0,AB268)</f>
        <v>0</v>
      </c>
      <c r="AA269" s="30" t="n">
        <f aca="false">IF(W269="",0,IF(AND(Z269=0,ABS(W269)&gt;Inputs!$B$5,ABS(W269)&lt;=Inputs!$B$7),1,0))</f>
        <v>0</v>
      </c>
      <c r="AB269" s="30" t="n">
        <f aca="false">IF(W269="",0,IF(AA269=1,-SIGN(W269),Z269))</f>
        <v>0</v>
      </c>
      <c r="AC269" s="30" t="n">
        <f aca="false">IF(W269="",0,IF(AA269=1,0,IF(Y269=1,0,X269)))</f>
        <v>0</v>
      </c>
      <c r="AD269" s="30" t="n">
        <f aca="false">IF(AB269=0,0,IF(AB268=AB269,AD268,T269))</f>
        <v>0</v>
      </c>
      <c r="AE269" s="30" t="n">
        <f aca="false">AB269-AB268</f>
        <v>0</v>
      </c>
      <c r="AF269" s="30" t="n">
        <f aca="false">-AD269*AB269</f>
        <v>-0</v>
      </c>
      <c r="AG269" s="30" t="n">
        <f aca="false">AF269-AF268</f>
        <v>0</v>
      </c>
      <c r="AH269" s="30" t="n">
        <f aca="false">MAX(AE269,0)*(Inputs!$B$17+Inputs!$B$18+Inputs!$B$19)+MAX(-AE269,0)*(O269+Inputs!$B$18+Inputs!$B$19)+IF(AND(K269=1,AB269&lt;&gt;0),(Inputs!$B$17+Inputs!$B$18+Inputs!$B$19)+(O269+Inputs!$B$18+Inputs!$B$19),0)+MAX(AG269,0)*(Inputs!$B$20+Inputs!$B$22+Inputs!$B$23)+MAX(-AG269,0)*(Inputs!$B$21+Inputs!$B$22+Inputs!$B$23)</f>
        <v>0</v>
      </c>
      <c r="AI269" s="30" t="n">
        <f aca="false">AB268*(M269-AD268*J269)+AB268*AD268*N269/Inputs!$B$16-AH269</f>
        <v>0</v>
      </c>
      <c r="AJ269" s="30" t="n">
        <f aca="false">MAX(AE269,0)*(Inputs!$B$17+Inputs!$B$24+Inputs!$B$25)+MAX(-AE269,0)*(O269+Inputs!$B$24+Inputs!$B$25)+IF(AND(K269=1,AB269&lt;&gt;0),(Inputs!$B$17+Inputs!$B$24+Inputs!$B$25)+(O269+Inputs!$B$24+Inputs!$B$25),0)+MAX(AG269,0)*(Inputs!$B$20+Inputs!$B$26+Inputs!$B$27)+MAX(-AG269,0)*(Inputs!$B$21+Inputs!$B$26+Inputs!$B$27)</f>
        <v>0</v>
      </c>
      <c r="AK269" s="30" t="n">
        <f aca="false">AB268*(M269-AD268*J269)+AB268*AD268*(N269+Inputs!$B$14)/Inputs!$B$16-AJ269</f>
        <v>0</v>
      </c>
      <c r="AL269" s="30" t="n">
        <f aca="false">IF(AP268&lt;&gt;0,AQ268+1,0)</f>
        <v>0</v>
      </c>
      <c r="AM269" s="30" t="n">
        <f aca="false">IF(W269="",0,IF(AND(AP268&lt;&gt;0,OR(ABS(W269)&gt;Inputs!$B$7,AL269&gt;=Inputs!$B$8,ABS(W269)&lt;Inputs!$B$6)),1,0))</f>
        <v>0</v>
      </c>
      <c r="AN269" s="30" t="n">
        <f aca="false">IF(AM269=1,0,AP268)</f>
        <v>0</v>
      </c>
      <c r="AO269" s="30" t="n">
        <f aca="false">IF(W269="",0,IF(AND(AN269=0,ABS(W269)&gt;Inputs!$B$5,ABS(W269)&lt;=Inputs!$B$7,W269&gt;0),1,0))</f>
        <v>0</v>
      </c>
      <c r="AP269" s="30" t="n">
        <f aca="false">IF(W269="",0,IF(AO269=1,-SIGN(W269),AN269))</f>
        <v>0</v>
      </c>
      <c r="AQ269" s="30" t="n">
        <f aca="false">IF(W269="",0,IF(AO269=1,0,IF(AM269=1,0,AL269)))</f>
        <v>0</v>
      </c>
      <c r="AR269" s="30" t="n">
        <f aca="false">IF(AP269=0,0,IF(AP268=AP269,AR268,T269))</f>
        <v>0</v>
      </c>
      <c r="AS269" s="30" t="n">
        <f aca="false">AP269-AP268</f>
        <v>0</v>
      </c>
      <c r="AT269" s="30" t="n">
        <f aca="false">-AR269*AP269</f>
        <v>-0</v>
      </c>
      <c r="AU269" s="30" t="n">
        <f aca="false">AT269-AT268</f>
        <v>0</v>
      </c>
      <c r="AV269" s="30" t="n">
        <f aca="false">MAX(AS269,0)*(Inputs!$B$17+Inputs!$B$18+Inputs!$B$19)+MAX(-AS269,0)*(O269+Inputs!$B$18+Inputs!$B$19)+IF(AND(K269=1,AP269&lt;&gt;0),(Inputs!$B$17+Inputs!$B$18+Inputs!$B$19)+(O269+Inputs!$B$18+Inputs!$B$19),0)+MAX(AU269,0)*(Inputs!$B$20+Inputs!$B$22+Inputs!$B$23)+MAX(-AU269,0)*(Inputs!$B$21+Inputs!$B$22+Inputs!$B$23)</f>
        <v>0</v>
      </c>
      <c r="AW269" s="30" t="n">
        <f aca="false">AP268*(M269-AR268*J269)+AP268*AR268*N269/Inputs!$B$16-AV269</f>
        <v>0</v>
      </c>
      <c r="AX269" s="30" t="n">
        <f aca="false">AW269-IF(AP268&lt;&gt;0,0.75*AR268*(Inputs!$B$13-N269)/Inputs!$B$16,0)</f>
        <v>0</v>
      </c>
      <c r="AY269" s="30" t="n">
        <f aca="false">MAX(AS269,0)*(Inputs!$B$17+Inputs!$B$18+Inputs!$B$19)+MAX(-AS269,0)*(O269+Inputs!$B$18+Inputs!$B$19)+IF(AND(K269=1,AP269&lt;&gt;0),(Inputs!$B$17+Inputs!$B$18+Inputs!$B$19)+(O269+Inputs!$B$18+Inputs!$B$19),0)</f>
        <v>0</v>
      </c>
      <c r="AZ269" s="30" t="n">
        <f aca="false">AP268*M269-AY269</f>
        <v>0</v>
      </c>
      <c r="BA269" s="32" t="n">
        <f aca="false">BA268+AI269</f>
        <v>-0.0042764994896359</v>
      </c>
      <c r="BB269" s="30" t="n">
        <f aca="false">MAX(BB268,BA269)</f>
        <v>0</v>
      </c>
      <c r="BC269" s="32" t="n">
        <f aca="false">BA269-BB269</f>
        <v>-0.0042764994896359</v>
      </c>
      <c r="BD269" s="30" t="n">
        <f aca="false">A270-A269</f>
        <v>3</v>
      </c>
    </row>
    <row r="270" customFormat="false" ht="15" hidden="false" customHeight="false" outlineLevel="0" collapsed="false">
      <c r="A270" s="28" t="n">
        <v>45439</v>
      </c>
      <c r="B270" s="0" t="n">
        <v>23001.1</v>
      </c>
      <c r="C270" s="0" t="n">
        <v>255.02</v>
      </c>
      <c r="D270" s="29" t="n">
        <f aca="false">LN(B270)</f>
        <v>10.0432973198546</v>
      </c>
      <c r="E270" s="29" t="n">
        <f aca="false">LN(C270)</f>
        <v>5.5413419734554</v>
      </c>
      <c r="F270" s="0" t="n">
        <v>265</v>
      </c>
      <c r="G270" s="0" t="n">
        <v>3</v>
      </c>
      <c r="H270" s="29" t="n">
        <f aca="false">D270-E270</f>
        <v>4.50195534639922</v>
      </c>
      <c r="I270" s="29" t="n">
        <f aca="false">D270-D269</f>
        <v>-0.000971220870463085</v>
      </c>
      <c r="J270" s="29" t="n">
        <f aca="false">E270-E269</f>
        <v>0.000863049757388268</v>
      </c>
      <c r="K270" s="0" t="n">
        <v>0</v>
      </c>
      <c r="L270" s="0" t="n">
        <v>0</v>
      </c>
      <c r="M270" s="29" t="n">
        <f aca="false">IF(L270=1,J270-Carry!$B$9/Inputs!$B$16,I270)</f>
        <v>-0.000971220870463085</v>
      </c>
      <c r="N270" s="0" t="n">
        <v>0.065</v>
      </c>
      <c r="O270" s="0" t="n">
        <v>0.000125</v>
      </c>
      <c r="P270" s="29" t="n">
        <f aca="false">D270-('2 Hedge ratio'!$B$6+'2 Hedge ratio'!$B$5*E270)</f>
        <v>0.00490557448690154</v>
      </c>
      <c r="Q270" s="29" t="n">
        <f aca="false">D270-('5 Re-specification'!$B$7+'5 Re-specification'!$B$5*E270+'5 Re-specification'!$B$6*F270)</f>
        <v>-0.000546368285052168</v>
      </c>
      <c r="R270" s="30" t="n">
        <f aca="false">MIN(F270,Inputs!$B$9)</f>
        <v>250</v>
      </c>
      <c r="S270" s="29" t="n">
        <f aca="true">IF(AND(F270&gt;=1,R270&gt;=Inputs!$B$10),INDEX(LINEST(OFFSET(D270,-R270,0,R270,1),OFFSET(E270,-R270,0,R270,2)),1,1),"")</f>
        <v>-6.45352308163334E-005</v>
      </c>
      <c r="T270" s="29" t="n">
        <f aca="true">IF(AND(F270&gt;=1,R270&gt;=Inputs!$B$10),INDEX(LINEST(OFFSET(D270,-R270,0,R270,1),OFFSET(E270,-R270,0,R270,2)),1,2),"")</f>
        <v>1.03314515795514</v>
      </c>
      <c r="U270" s="29" t="n">
        <f aca="true">IF(AND(F270&gt;=1,R270&gt;=Inputs!$B$10),INDEX(LINEST(OFFSET(D270,-R270,0,R270,1),OFFSET(E270,-R270,0,R270,2)),1,3),"")</f>
        <v>4.33807724669602</v>
      </c>
      <c r="V270" s="29" t="n">
        <f aca="true">IF(AND(F270&gt;=1,R270&gt;=Inputs!$B$10),SQRT(SUMPRODUCT((OFFSET(D270,-R270,0,R270,1)-U270-T270*OFFSET(E270,-R270,0,R270,1)-S270*OFFSET(F270,-R270,0,R270,1))^2)/(R270-3)),"")</f>
        <v>0.00249201349816427</v>
      </c>
      <c r="W270" s="31" t="n">
        <f aca="false">IF(AND(F270&gt;=1,R270&gt;=Inputs!$B$10),(D270-U270-T270*E270-S270*F270)/V270,"")</f>
        <v>-1.07893441432359</v>
      </c>
      <c r="X270" s="30" t="n">
        <f aca="false">IF(AB269&lt;&gt;0,AC269+1,0)</f>
        <v>0</v>
      </c>
      <c r="Y270" s="30" t="n">
        <f aca="false">IF(W270="",0,IF(AND(AB269&lt;&gt;0,OR(ABS(W270)&gt;Inputs!$B$7,X270&gt;=Inputs!$B$8,ABS(W270)&lt;Inputs!$B$6)),1,0))</f>
        <v>0</v>
      </c>
      <c r="Z270" s="30" t="n">
        <f aca="false">IF(Y270=1,0,AB269)</f>
        <v>0</v>
      </c>
      <c r="AA270" s="30" t="n">
        <f aca="false">IF(W270="",0,IF(AND(Z270=0,ABS(W270)&gt;Inputs!$B$5,ABS(W270)&lt;=Inputs!$B$7),1,0))</f>
        <v>0</v>
      </c>
      <c r="AB270" s="30" t="n">
        <f aca="false">IF(W270="",0,IF(AA270=1,-SIGN(W270),Z270))</f>
        <v>0</v>
      </c>
      <c r="AC270" s="30" t="n">
        <f aca="false">IF(W270="",0,IF(AA270=1,0,IF(Y270=1,0,X270)))</f>
        <v>0</v>
      </c>
      <c r="AD270" s="30" t="n">
        <f aca="false">IF(AB270=0,0,IF(AB269=AB270,AD269,T270))</f>
        <v>0</v>
      </c>
      <c r="AE270" s="30" t="n">
        <f aca="false">AB270-AB269</f>
        <v>0</v>
      </c>
      <c r="AF270" s="30" t="n">
        <f aca="false">-AD270*AB270</f>
        <v>-0</v>
      </c>
      <c r="AG270" s="30" t="n">
        <f aca="false">AF270-AF269</f>
        <v>0</v>
      </c>
      <c r="AH270" s="30" t="n">
        <f aca="false">MAX(AE270,0)*(Inputs!$B$17+Inputs!$B$18+Inputs!$B$19)+MAX(-AE270,0)*(O270+Inputs!$B$18+Inputs!$B$19)+IF(AND(K270=1,AB270&lt;&gt;0),(Inputs!$B$17+Inputs!$B$18+Inputs!$B$19)+(O270+Inputs!$B$18+Inputs!$B$19),0)+MAX(AG270,0)*(Inputs!$B$20+Inputs!$B$22+Inputs!$B$23)+MAX(-AG270,0)*(Inputs!$B$21+Inputs!$B$22+Inputs!$B$23)</f>
        <v>0</v>
      </c>
      <c r="AI270" s="30" t="n">
        <f aca="false">AB269*(M270-AD269*J270)+AB269*AD269*N270/Inputs!$B$16-AH270</f>
        <v>0</v>
      </c>
      <c r="AJ270" s="30" t="n">
        <f aca="false">MAX(AE270,0)*(Inputs!$B$17+Inputs!$B$24+Inputs!$B$25)+MAX(-AE270,0)*(O270+Inputs!$B$24+Inputs!$B$25)+IF(AND(K270=1,AB270&lt;&gt;0),(Inputs!$B$17+Inputs!$B$24+Inputs!$B$25)+(O270+Inputs!$B$24+Inputs!$B$25),0)+MAX(AG270,0)*(Inputs!$B$20+Inputs!$B$26+Inputs!$B$27)+MAX(-AG270,0)*(Inputs!$B$21+Inputs!$B$26+Inputs!$B$27)</f>
        <v>0</v>
      </c>
      <c r="AK270" s="30" t="n">
        <f aca="false">AB269*(M270-AD269*J270)+AB269*AD269*(N270+Inputs!$B$14)/Inputs!$B$16-AJ270</f>
        <v>0</v>
      </c>
      <c r="AL270" s="30" t="n">
        <f aca="false">IF(AP269&lt;&gt;0,AQ269+1,0)</f>
        <v>0</v>
      </c>
      <c r="AM270" s="30" t="n">
        <f aca="false">IF(W270="",0,IF(AND(AP269&lt;&gt;0,OR(ABS(W270)&gt;Inputs!$B$7,AL270&gt;=Inputs!$B$8,ABS(W270)&lt;Inputs!$B$6)),1,0))</f>
        <v>0</v>
      </c>
      <c r="AN270" s="30" t="n">
        <f aca="false">IF(AM270=1,0,AP269)</f>
        <v>0</v>
      </c>
      <c r="AO270" s="30" t="n">
        <f aca="false">IF(W270="",0,IF(AND(AN270=0,ABS(W270)&gt;Inputs!$B$5,ABS(W270)&lt;=Inputs!$B$7,W270&gt;0),1,0))</f>
        <v>0</v>
      </c>
      <c r="AP270" s="30" t="n">
        <f aca="false">IF(W270="",0,IF(AO270=1,-SIGN(W270),AN270))</f>
        <v>0</v>
      </c>
      <c r="AQ270" s="30" t="n">
        <f aca="false">IF(W270="",0,IF(AO270=1,0,IF(AM270=1,0,AL270)))</f>
        <v>0</v>
      </c>
      <c r="AR270" s="30" t="n">
        <f aca="false">IF(AP270=0,0,IF(AP269=AP270,AR269,T270))</f>
        <v>0</v>
      </c>
      <c r="AS270" s="30" t="n">
        <f aca="false">AP270-AP269</f>
        <v>0</v>
      </c>
      <c r="AT270" s="30" t="n">
        <f aca="false">-AR270*AP270</f>
        <v>-0</v>
      </c>
      <c r="AU270" s="30" t="n">
        <f aca="false">AT270-AT269</f>
        <v>0</v>
      </c>
      <c r="AV270" s="30" t="n">
        <f aca="false">MAX(AS270,0)*(Inputs!$B$17+Inputs!$B$18+Inputs!$B$19)+MAX(-AS270,0)*(O270+Inputs!$B$18+Inputs!$B$19)+IF(AND(K270=1,AP270&lt;&gt;0),(Inputs!$B$17+Inputs!$B$18+Inputs!$B$19)+(O270+Inputs!$B$18+Inputs!$B$19),0)+MAX(AU270,0)*(Inputs!$B$20+Inputs!$B$22+Inputs!$B$23)+MAX(-AU270,0)*(Inputs!$B$21+Inputs!$B$22+Inputs!$B$23)</f>
        <v>0</v>
      </c>
      <c r="AW270" s="30" t="n">
        <f aca="false">AP269*(M270-AR269*J270)+AP269*AR269*N270/Inputs!$B$16-AV270</f>
        <v>0</v>
      </c>
      <c r="AX270" s="30" t="n">
        <f aca="false">AW270-IF(AP269&lt;&gt;0,0.75*AR269*(Inputs!$B$13-N270)/Inputs!$B$16,0)</f>
        <v>0</v>
      </c>
      <c r="AY270" s="30" t="n">
        <f aca="false">MAX(AS270,0)*(Inputs!$B$17+Inputs!$B$18+Inputs!$B$19)+MAX(-AS270,0)*(O270+Inputs!$B$18+Inputs!$B$19)+IF(AND(K270=1,AP270&lt;&gt;0),(Inputs!$B$17+Inputs!$B$18+Inputs!$B$19)+(O270+Inputs!$B$18+Inputs!$B$19),0)</f>
        <v>0</v>
      </c>
      <c r="AZ270" s="30" t="n">
        <f aca="false">AP269*M270-AY270</f>
        <v>-0</v>
      </c>
      <c r="BA270" s="32" t="n">
        <f aca="false">BA269+AI270</f>
        <v>-0.0042764994896359</v>
      </c>
      <c r="BB270" s="30" t="n">
        <f aca="false">MAX(BB269,BA270)</f>
        <v>0</v>
      </c>
      <c r="BC270" s="32" t="n">
        <f aca="false">BA270-BB270</f>
        <v>-0.0042764994896359</v>
      </c>
      <c r="BD270" s="30" t="n">
        <f aca="false">A271-A270</f>
        <v>1</v>
      </c>
    </row>
    <row r="271" customFormat="false" ht="15" hidden="false" customHeight="false" outlineLevel="0" collapsed="false">
      <c r="A271" s="28" t="n">
        <v>45440</v>
      </c>
      <c r="B271" s="0" t="n">
        <v>22926.15</v>
      </c>
      <c r="C271" s="0" t="n">
        <v>254.05</v>
      </c>
      <c r="D271" s="29" t="n">
        <f aca="false">LN(B271)</f>
        <v>10.0400334594434</v>
      </c>
      <c r="E271" s="29" t="n">
        <f aca="false">LN(C271)</f>
        <v>5.53753109803974</v>
      </c>
      <c r="F271" s="0" t="n">
        <v>266</v>
      </c>
      <c r="G271" s="0" t="n">
        <v>2</v>
      </c>
      <c r="H271" s="29" t="n">
        <f aca="false">D271-E271</f>
        <v>4.50250236140366</v>
      </c>
      <c r="I271" s="29" t="n">
        <f aca="false">D271-D270</f>
        <v>-0.00326386041121651</v>
      </c>
      <c r="J271" s="29" t="n">
        <f aca="false">E271-E270</f>
        <v>-0.00381087541565517</v>
      </c>
      <c r="K271" s="0" t="n">
        <v>0</v>
      </c>
      <c r="L271" s="0" t="n">
        <v>0</v>
      </c>
      <c r="M271" s="29" t="n">
        <f aca="false">IF(L271=1,J271-Carry!$B$9/Inputs!$B$16,I271)</f>
        <v>-0.00326386041121651</v>
      </c>
      <c r="N271" s="0" t="n">
        <v>0.065</v>
      </c>
      <c r="O271" s="0" t="n">
        <v>0.000125</v>
      </c>
      <c r="P271" s="29" t="n">
        <f aca="false">D271-('2 Hedge ratio'!$B$6+'2 Hedge ratio'!$B$5*E271)</f>
        <v>0.00513295902012345</v>
      </c>
      <c r="Q271" s="29" t="n">
        <f aca="false">D271-('5 Re-specification'!$B$7+'5 Re-specification'!$B$5*E271+'5 Re-specification'!$B$6*F271)</f>
        <v>3.40271794563307E-005</v>
      </c>
      <c r="R271" s="30" t="n">
        <f aca="false">MIN(F271,Inputs!$B$9)</f>
        <v>250</v>
      </c>
      <c r="S271" s="29" t="n">
        <f aca="true">IF(AND(F271&gt;=1,R271&gt;=Inputs!$B$10),INDEX(LINEST(OFFSET(D271,-R271,0,R271,1),OFFSET(E271,-R271,0,R271,2)),1,1),"")</f>
        <v>-6.46785171533316E-005</v>
      </c>
      <c r="T271" s="29" t="n">
        <f aca="true">IF(AND(F271&gt;=1,R271&gt;=Inputs!$B$10),INDEX(LINEST(OFFSET(D271,-R271,0,R271,1),OFFSET(E271,-R271,0,R271,2)),1,2),"")</f>
        <v>1.03324836632748</v>
      </c>
      <c r="U271" s="29" t="n">
        <f aca="true">IF(AND(F271&gt;=1,R271&gt;=Inputs!$B$10),INDEX(LINEST(OFFSET(D271,-R271,0,R271,1),OFFSET(E271,-R271,0,R271,2)),1,3),"")</f>
        <v>4.33751804393494</v>
      </c>
      <c r="V271" s="29" t="n">
        <f aca="true">IF(AND(F271&gt;=1,R271&gt;=Inputs!$B$10),SQRT(SUMPRODUCT((OFFSET(D271,-R271,0,R271,1)-U271-T271*OFFSET(E271,-R271,0,R271,1)-S271*OFFSET(F271,-R271,0,R271,1))^2)/(R271-3)),"")</f>
        <v>0.0024940598577651</v>
      </c>
      <c r="W271" s="31" t="n">
        <f aca="false">IF(AND(F271&gt;=1,R271&gt;=Inputs!$B$10),(D271-U271-T271*E271-S271*F271)/V271,"")</f>
        <v>-0.771857764335399</v>
      </c>
      <c r="X271" s="30" t="n">
        <f aca="false">IF(AB270&lt;&gt;0,AC270+1,0)</f>
        <v>0</v>
      </c>
      <c r="Y271" s="30" t="n">
        <f aca="false">IF(W271="",0,IF(AND(AB270&lt;&gt;0,OR(ABS(W271)&gt;Inputs!$B$7,X271&gt;=Inputs!$B$8,ABS(W271)&lt;Inputs!$B$6)),1,0))</f>
        <v>0</v>
      </c>
      <c r="Z271" s="30" t="n">
        <f aca="false">IF(Y271=1,0,AB270)</f>
        <v>0</v>
      </c>
      <c r="AA271" s="30" t="n">
        <f aca="false">IF(W271="",0,IF(AND(Z271=0,ABS(W271)&gt;Inputs!$B$5,ABS(W271)&lt;=Inputs!$B$7),1,0))</f>
        <v>0</v>
      </c>
      <c r="AB271" s="30" t="n">
        <f aca="false">IF(W271="",0,IF(AA271=1,-SIGN(W271),Z271))</f>
        <v>0</v>
      </c>
      <c r="AC271" s="30" t="n">
        <f aca="false">IF(W271="",0,IF(AA271=1,0,IF(Y271=1,0,X271)))</f>
        <v>0</v>
      </c>
      <c r="AD271" s="30" t="n">
        <f aca="false">IF(AB271=0,0,IF(AB270=AB271,AD270,T271))</f>
        <v>0</v>
      </c>
      <c r="AE271" s="30" t="n">
        <f aca="false">AB271-AB270</f>
        <v>0</v>
      </c>
      <c r="AF271" s="30" t="n">
        <f aca="false">-AD271*AB271</f>
        <v>-0</v>
      </c>
      <c r="AG271" s="30" t="n">
        <f aca="false">AF271-AF270</f>
        <v>0</v>
      </c>
      <c r="AH271" s="30" t="n">
        <f aca="false">MAX(AE271,0)*(Inputs!$B$17+Inputs!$B$18+Inputs!$B$19)+MAX(-AE271,0)*(O271+Inputs!$B$18+Inputs!$B$19)+IF(AND(K271=1,AB271&lt;&gt;0),(Inputs!$B$17+Inputs!$B$18+Inputs!$B$19)+(O271+Inputs!$B$18+Inputs!$B$19),0)+MAX(AG271,0)*(Inputs!$B$20+Inputs!$B$22+Inputs!$B$23)+MAX(-AG271,0)*(Inputs!$B$21+Inputs!$B$22+Inputs!$B$23)</f>
        <v>0</v>
      </c>
      <c r="AI271" s="30" t="n">
        <f aca="false">AB270*(M271-AD270*J271)+AB270*AD270*N271/Inputs!$B$16-AH271</f>
        <v>0</v>
      </c>
      <c r="AJ271" s="30" t="n">
        <f aca="false">MAX(AE271,0)*(Inputs!$B$17+Inputs!$B$24+Inputs!$B$25)+MAX(-AE271,0)*(O271+Inputs!$B$24+Inputs!$B$25)+IF(AND(K271=1,AB271&lt;&gt;0),(Inputs!$B$17+Inputs!$B$24+Inputs!$B$25)+(O271+Inputs!$B$24+Inputs!$B$25),0)+MAX(AG271,0)*(Inputs!$B$20+Inputs!$B$26+Inputs!$B$27)+MAX(-AG271,0)*(Inputs!$B$21+Inputs!$B$26+Inputs!$B$27)</f>
        <v>0</v>
      </c>
      <c r="AK271" s="30" t="n">
        <f aca="false">AB270*(M271-AD270*J271)+AB270*AD270*(N271+Inputs!$B$14)/Inputs!$B$16-AJ271</f>
        <v>0</v>
      </c>
      <c r="AL271" s="30" t="n">
        <f aca="false">IF(AP270&lt;&gt;0,AQ270+1,0)</f>
        <v>0</v>
      </c>
      <c r="AM271" s="30" t="n">
        <f aca="false">IF(W271="",0,IF(AND(AP270&lt;&gt;0,OR(ABS(W271)&gt;Inputs!$B$7,AL271&gt;=Inputs!$B$8,ABS(W271)&lt;Inputs!$B$6)),1,0))</f>
        <v>0</v>
      </c>
      <c r="AN271" s="30" t="n">
        <f aca="false">IF(AM271=1,0,AP270)</f>
        <v>0</v>
      </c>
      <c r="AO271" s="30" t="n">
        <f aca="false">IF(W271="",0,IF(AND(AN271=0,ABS(W271)&gt;Inputs!$B$5,ABS(W271)&lt;=Inputs!$B$7,W271&gt;0),1,0))</f>
        <v>0</v>
      </c>
      <c r="AP271" s="30" t="n">
        <f aca="false">IF(W271="",0,IF(AO271=1,-SIGN(W271),AN271))</f>
        <v>0</v>
      </c>
      <c r="AQ271" s="30" t="n">
        <f aca="false">IF(W271="",0,IF(AO271=1,0,IF(AM271=1,0,AL271)))</f>
        <v>0</v>
      </c>
      <c r="AR271" s="30" t="n">
        <f aca="false">IF(AP271=0,0,IF(AP270=AP271,AR270,T271))</f>
        <v>0</v>
      </c>
      <c r="AS271" s="30" t="n">
        <f aca="false">AP271-AP270</f>
        <v>0</v>
      </c>
      <c r="AT271" s="30" t="n">
        <f aca="false">-AR271*AP271</f>
        <v>-0</v>
      </c>
      <c r="AU271" s="30" t="n">
        <f aca="false">AT271-AT270</f>
        <v>0</v>
      </c>
      <c r="AV271" s="30" t="n">
        <f aca="false">MAX(AS271,0)*(Inputs!$B$17+Inputs!$B$18+Inputs!$B$19)+MAX(-AS271,0)*(O271+Inputs!$B$18+Inputs!$B$19)+IF(AND(K271=1,AP271&lt;&gt;0),(Inputs!$B$17+Inputs!$B$18+Inputs!$B$19)+(O271+Inputs!$B$18+Inputs!$B$19),0)+MAX(AU271,0)*(Inputs!$B$20+Inputs!$B$22+Inputs!$B$23)+MAX(-AU271,0)*(Inputs!$B$21+Inputs!$B$22+Inputs!$B$23)</f>
        <v>0</v>
      </c>
      <c r="AW271" s="30" t="n">
        <f aca="false">AP270*(M271-AR270*J271)+AP270*AR270*N271/Inputs!$B$16-AV271</f>
        <v>0</v>
      </c>
      <c r="AX271" s="30" t="n">
        <f aca="false">AW271-IF(AP270&lt;&gt;0,0.75*AR270*(Inputs!$B$13-N271)/Inputs!$B$16,0)</f>
        <v>0</v>
      </c>
      <c r="AY271" s="30" t="n">
        <f aca="false">MAX(AS271,0)*(Inputs!$B$17+Inputs!$B$18+Inputs!$B$19)+MAX(-AS271,0)*(O271+Inputs!$B$18+Inputs!$B$19)+IF(AND(K271=1,AP271&lt;&gt;0),(Inputs!$B$17+Inputs!$B$18+Inputs!$B$19)+(O271+Inputs!$B$18+Inputs!$B$19),0)</f>
        <v>0</v>
      </c>
      <c r="AZ271" s="30" t="n">
        <f aca="false">AP270*M271-AY271</f>
        <v>-0</v>
      </c>
      <c r="BA271" s="32" t="n">
        <f aca="false">BA270+AI271</f>
        <v>-0.0042764994896359</v>
      </c>
      <c r="BB271" s="30" t="n">
        <f aca="false">MAX(BB270,BA271)</f>
        <v>0</v>
      </c>
      <c r="BC271" s="32" t="n">
        <f aca="false">BA271-BB271</f>
        <v>-0.0042764994896359</v>
      </c>
      <c r="BD271" s="30" t="n">
        <f aca="false">A272-A271</f>
        <v>1</v>
      </c>
    </row>
    <row r="272" customFormat="false" ht="15" hidden="false" customHeight="false" outlineLevel="0" collapsed="false">
      <c r="A272" s="28" t="n">
        <v>45441</v>
      </c>
      <c r="B272" s="0" t="n">
        <v>22731</v>
      </c>
      <c r="C272" s="0" t="n">
        <v>252.57</v>
      </c>
      <c r="D272" s="29" t="n">
        <f aca="false">LN(B272)</f>
        <v>10.0314849105995</v>
      </c>
      <c r="E272" s="29" t="n">
        <f aca="false">LN(C272)</f>
        <v>5.53168843801768</v>
      </c>
      <c r="F272" s="0" t="n">
        <v>267</v>
      </c>
      <c r="G272" s="0" t="n">
        <v>1</v>
      </c>
      <c r="H272" s="29" t="n">
        <f aca="false">D272-E272</f>
        <v>4.4997964725818</v>
      </c>
      <c r="I272" s="29" t="n">
        <f aca="false">D272-D271</f>
        <v>-0.00854854884391365</v>
      </c>
      <c r="J272" s="29" t="n">
        <f aca="false">E272-E271</f>
        <v>-0.00584266002205869</v>
      </c>
      <c r="K272" s="0" t="n">
        <v>0</v>
      </c>
      <c r="L272" s="0" t="n">
        <v>0</v>
      </c>
      <c r="M272" s="29" t="n">
        <f aca="false">IF(L272=1,J272-Carry!$B$9/Inputs!$B$16,I272)</f>
        <v>-0.00854854884391365</v>
      </c>
      <c r="N272" s="0" t="n">
        <v>0.065</v>
      </c>
      <c r="O272" s="0" t="n">
        <v>0.000125</v>
      </c>
      <c r="P272" s="29" t="n">
        <f aca="false">D272-('2 Hedge ratio'!$B$6+'2 Hedge ratio'!$B$5*E272)</f>
        <v>0.00193702736759782</v>
      </c>
      <c r="Q272" s="29" t="n">
        <f aca="false">D272-('5 Re-specification'!$B$7+'5 Re-specification'!$B$5*E272+'5 Re-specification'!$B$6*F272)</f>
        <v>-0.00264463850562358</v>
      </c>
      <c r="R272" s="30" t="n">
        <f aca="false">MIN(F272,Inputs!$B$9)</f>
        <v>250</v>
      </c>
      <c r="S272" s="29" t="n">
        <f aca="true">IF(AND(F272&gt;=1,R272&gt;=Inputs!$B$10),INDEX(LINEST(OFFSET(D272,-R272,0,R272,1),OFFSET(E272,-R272,0,R272,2)),1,1),"")</f>
        <v>-6.48834257386113E-005</v>
      </c>
      <c r="T272" s="29" t="n">
        <f aca="true">IF(AND(F272&gt;=1,R272&gt;=Inputs!$B$10),INDEX(LINEST(OFFSET(D272,-R272,0,R272,1),OFFSET(E272,-R272,0,R272,2)),1,2),"")</f>
        <v>1.03340212889719</v>
      </c>
      <c r="U272" s="29" t="n">
        <f aca="true">IF(AND(F272&gt;=1,R272&gt;=Inputs!$B$10),INDEX(LINEST(OFFSET(D272,-R272,0,R272,1),OFFSET(E272,-R272,0,R272,2)),1,3),"")</f>
        <v>4.33670001738498</v>
      </c>
      <c r="V272" s="29" t="n">
        <f aca="true">IF(AND(F272&gt;=1,R272&gt;=Inputs!$B$10),SQRT(SUMPRODUCT((OFFSET(D272,-R272,0,R272,1)-U272-T272*OFFSET(E272,-R272,0,R272,1)-S272*OFFSET(F272,-R272,0,R272,1))^2)/(R272-3)),"")</f>
        <v>0.00249581660772113</v>
      </c>
      <c r="W272" s="31" t="n">
        <f aca="false">IF(AND(F272&gt;=1,R272&gt;=Inputs!$B$10),(D272-U272-T272*E272-S272*F272)/V272,"")</f>
        <v>-1.74285255707049</v>
      </c>
      <c r="X272" s="30" t="n">
        <f aca="false">IF(AB271&lt;&gt;0,AC271+1,0)</f>
        <v>0</v>
      </c>
      <c r="Y272" s="30" t="n">
        <f aca="false">IF(W272="",0,IF(AND(AB271&lt;&gt;0,OR(ABS(W272)&gt;Inputs!$B$7,X272&gt;=Inputs!$B$8,ABS(W272)&lt;Inputs!$B$6)),1,0))</f>
        <v>0</v>
      </c>
      <c r="Z272" s="30" t="n">
        <f aca="false">IF(Y272=1,0,AB271)</f>
        <v>0</v>
      </c>
      <c r="AA272" s="30" t="n">
        <f aca="false">IF(W272="",0,IF(AND(Z272=0,ABS(W272)&gt;Inputs!$B$5,ABS(W272)&lt;=Inputs!$B$7),1,0))</f>
        <v>0</v>
      </c>
      <c r="AB272" s="30" t="n">
        <f aca="false">IF(W272="",0,IF(AA272=1,-SIGN(W272),Z272))</f>
        <v>0</v>
      </c>
      <c r="AC272" s="30" t="n">
        <f aca="false">IF(W272="",0,IF(AA272=1,0,IF(Y272=1,0,X272)))</f>
        <v>0</v>
      </c>
      <c r="AD272" s="30" t="n">
        <f aca="false">IF(AB272=0,0,IF(AB271=AB272,AD271,T272))</f>
        <v>0</v>
      </c>
      <c r="AE272" s="30" t="n">
        <f aca="false">AB272-AB271</f>
        <v>0</v>
      </c>
      <c r="AF272" s="30" t="n">
        <f aca="false">-AD272*AB272</f>
        <v>-0</v>
      </c>
      <c r="AG272" s="30" t="n">
        <f aca="false">AF272-AF271</f>
        <v>0</v>
      </c>
      <c r="AH272" s="30" t="n">
        <f aca="false">MAX(AE272,0)*(Inputs!$B$17+Inputs!$B$18+Inputs!$B$19)+MAX(-AE272,0)*(O272+Inputs!$B$18+Inputs!$B$19)+IF(AND(K272=1,AB272&lt;&gt;0),(Inputs!$B$17+Inputs!$B$18+Inputs!$B$19)+(O272+Inputs!$B$18+Inputs!$B$19),0)+MAX(AG272,0)*(Inputs!$B$20+Inputs!$B$22+Inputs!$B$23)+MAX(-AG272,0)*(Inputs!$B$21+Inputs!$B$22+Inputs!$B$23)</f>
        <v>0</v>
      </c>
      <c r="AI272" s="30" t="n">
        <f aca="false">AB271*(M272-AD271*J272)+AB271*AD271*N272/Inputs!$B$16-AH272</f>
        <v>0</v>
      </c>
      <c r="AJ272" s="30" t="n">
        <f aca="false">MAX(AE272,0)*(Inputs!$B$17+Inputs!$B$24+Inputs!$B$25)+MAX(-AE272,0)*(O272+Inputs!$B$24+Inputs!$B$25)+IF(AND(K272=1,AB272&lt;&gt;0),(Inputs!$B$17+Inputs!$B$24+Inputs!$B$25)+(O272+Inputs!$B$24+Inputs!$B$25),0)+MAX(AG272,0)*(Inputs!$B$20+Inputs!$B$26+Inputs!$B$27)+MAX(-AG272,0)*(Inputs!$B$21+Inputs!$B$26+Inputs!$B$27)</f>
        <v>0</v>
      </c>
      <c r="AK272" s="30" t="n">
        <f aca="false">AB271*(M272-AD271*J272)+AB271*AD271*(N272+Inputs!$B$14)/Inputs!$B$16-AJ272</f>
        <v>0</v>
      </c>
      <c r="AL272" s="30" t="n">
        <f aca="false">IF(AP271&lt;&gt;0,AQ271+1,0)</f>
        <v>0</v>
      </c>
      <c r="AM272" s="30" t="n">
        <f aca="false">IF(W272="",0,IF(AND(AP271&lt;&gt;0,OR(ABS(W272)&gt;Inputs!$B$7,AL272&gt;=Inputs!$B$8,ABS(W272)&lt;Inputs!$B$6)),1,0))</f>
        <v>0</v>
      </c>
      <c r="AN272" s="30" t="n">
        <f aca="false">IF(AM272=1,0,AP271)</f>
        <v>0</v>
      </c>
      <c r="AO272" s="30" t="n">
        <f aca="false">IF(W272="",0,IF(AND(AN272=0,ABS(W272)&gt;Inputs!$B$5,ABS(W272)&lt;=Inputs!$B$7,W272&gt;0),1,0))</f>
        <v>0</v>
      </c>
      <c r="AP272" s="30" t="n">
        <f aca="false">IF(W272="",0,IF(AO272=1,-SIGN(W272),AN272))</f>
        <v>0</v>
      </c>
      <c r="AQ272" s="30" t="n">
        <f aca="false">IF(W272="",0,IF(AO272=1,0,IF(AM272=1,0,AL272)))</f>
        <v>0</v>
      </c>
      <c r="AR272" s="30" t="n">
        <f aca="false">IF(AP272=0,0,IF(AP271=AP272,AR271,T272))</f>
        <v>0</v>
      </c>
      <c r="AS272" s="30" t="n">
        <f aca="false">AP272-AP271</f>
        <v>0</v>
      </c>
      <c r="AT272" s="30" t="n">
        <f aca="false">-AR272*AP272</f>
        <v>-0</v>
      </c>
      <c r="AU272" s="30" t="n">
        <f aca="false">AT272-AT271</f>
        <v>0</v>
      </c>
      <c r="AV272" s="30" t="n">
        <f aca="false">MAX(AS272,0)*(Inputs!$B$17+Inputs!$B$18+Inputs!$B$19)+MAX(-AS272,0)*(O272+Inputs!$B$18+Inputs!$B$19)+IF(AND(K272=1,AP272&lt;&gt;0),(Inputs!$B$17+Inputs!$B$18+Inputs!$B$19)+(O272+Inputs!$B$18+Inputs!$B$19),0)+MAX(AU272,0)*(Inputs!$B$20+Inputs!$B$22+Inputs!$B$23)+MAX(-AU272,0)*(Inputs!$B$21+Inputs!$B$22+Inputs!$B$23)</f>
        <v>0</v>
      </c>
      <c r="AW272" s="30" t="n">
        <f aca="false">AP271*(M272-AR271*J272)+AP271*AR271*N272/Inputs!$B$16-AV272</f>
        <v>0</v>
      </c>
      <c r="AX272" s="30" t="n">
        <f aca="false">AW272-IF(AP271&lt;&gt;0,0.75*AR271*(Inputs!$B$13-N272)/Inputs!$B$16,0)</f>
        <v>0</v>
      </c>
      <c r="AY272" s="30" t="n">
        <f aca="false">MAX(AS272,0)*(Inputs!$B$17+Inputs!$B$18+Inputs!$B$19)+MAX(-AS272,0)*(O272+Inputs!$B$18+Inputs!$B$19)+IF(AND(K272=1,AP272&lt;&gt;0),(Inputs!$B$17+Inputs!$B$18+Inputs!$B$19)+(O272+Inputs!$B$18+Inputs!$B$19),0)</f>
        <v>0</v>
      </c>
      <c r="AZ272" s="30" t="n">
        <f aca="false">AP271*M272-AY272</f>
        <v>-0</v>
      </c>
      <c r="BA272" s="32" t="n">
        <f aca="false">BA271+AI272</f>
        <v>-0.0042764994896359</v>
      </c>
      <c r="BB272" s="30" t="n">
        <f aca="false">MAX(BB271,BA272)</f>
        <v>0</v>
      </c>
      <c r="BC272" s="32" t="n">
        <f aca="false">BA272-BB272</f>
        <v>-0.0042764994896359</v>
      </c>
      <c r="BD272" s="30" t="n">
        <f aca="false">A273-A272</f>
        <v>1</v>
      </c>
    </row>
    <row r="273" customFormat="false" ht="15" hidden="false" customHeight="false" outlineLevel="0" collapsed="false">
      <c r="A273" s="28" t="n">
        <v>45442</v>
      </c>
      <c r="B273" s="0" t="n">
        <v>22487.75</v>
      </c>
      <c r="C273" s="0" t="n">
        <v>251</v>
      </c>
      <c r="D273" s="29" t="n">
        <f aca="false">LN(B273)</f>
        <v>10.0207259954844</v>
      </c>
      <c r="E273" s="29" t="n">
        <f aca="false">LN(C273)</f>
        <v>5.52545293913178</v>
      </c>
      <c r="F273" s="0" t="n">
        <v>268</v>
      </c>
      <c r="G273" s="0" t="n">
        <v>0</v>
      </c>
      <c r="H273" s="29" t="n">
        <f aca="false">D273-E273</f>
        <v>4.49527305635259</v>
      </c>
      <c r="I273" s="29" t="n">
        <f aca="false">D273-D272</f>
        <v>-0.0107589151151082</v>
      </c>
      <c r="J273" s="29" t="n">
        <f aca="false">E273-E272</f>
        <v>-0.00623549888589903</v>
      </c>
      <c r="K273" s="0" t="n">
        <v>1</v>
      </c>
      <c r="L273" s="0" t="n">
        <v>0</v>
      </c>
      <c r="M273" s="29" t="n">
        <f aca="false">IF(L273=1,J273-Carry!$B$9/Inputs!$B$16,I273)</f>
        <v>-0.0107589151151082</v>
      </c>
      <c r="N273" s="0" t="n">
        <v>0.065</v>
      </c>
      <c r="O273" s="0" t="n">
        <v>0.000125</v>
      </c>
      <c r="P273" s="29" t="n">
        <f aca="false">D273-('2 Hedge ratio'!$B$6+'2 Hedge ratio'!$B$5*E273)</f>
        <v>-0.00310938036088437</v>
      </c>
      <c r="Q273" s="29" t="n">
        <f aca="false">D273-('5 Re-specification'!$B$7+'5 Re-specification'!$B$5*E273+'5 Re-specification'!$B$6*F273)</f>
        <v>-0.00714202209624304</v>
      </c>
      <c r="R273" s="30" t="n">
        <f aca="false">MIN(F273,Inputs!$B$9)</f>
        <v>250</v>
      </c>
      <c r="S273" s="29" t="n">
        <f aca="true">IF(AND(F273&gt;=1,R273&gt;=Inputs!$B$10),INDEX(LINEST(OFFSET(D273,-R273,0,R273,1),OFFSET(E273,-R273,0,R273,2)),1,1),"")</f>
        <v>-6.55558496315748E-005</v>
      </c>
      <c r="T273" s="29" t="n">
        <f aca="true">IF(AND(F273&gt;=1,R273&gt;=Inputs!$B$10),INDEX(LINEST(OFFSET(D273,-R273,0,R273,1),OFFSET(E273,-R273,0,R273,2)),1,2),"")</f>
        <v>1.03371742692039</v>
      </c>
      <c r="U273" s="29" t="n">
        <f aca="true">IF(AND(F273&gt;=1,R273&gt;=Inputs!$B$10),INDEX(LINEST(OFFSET(D273,-R273,0,R273,1),OFFSET(E273,-R273,0,R273,2)),1,3),"")</f>
        <v>4.33506597590367</v>
      </c>
      <c r="V273" s="29" t="n">
        <f aca="true">IF(AND(F273&gt;=1,R273&gt;=Inputs!$B$10),SQRT(SUMPRODUCT((OFFSET(D273,-R273,0,R273,1)-U273-T273*OFFSET(E273,-R273,0,R273,1)-S273*OFFSET(F273,-R273,0,R273,1))^2)/(R273-3)),"")</f>
        <v>0.00251081494724043</v>
      </c>
      <c r="W273" s="31" t="n">
        <f aca="false">IF(AND(F273&gt;=1,R273&gt;=Inputs!$B$10),(D273-U273-T273*E273-S273*F273)/V273,"")</f>
        <v>-3.39650978118673</v>
      </c>
      <c r="X273" s="30" t="n">
        <f aca="false">IF(AB272&lt;&gt;0,AC272+1,0)</f>
        <v>0</v>
      </c>
      <c r="Y273" s="30" t="n">
        <f aca="false">IF(W273="",0,IF(AND(AB272&lt;&gt;0,OR(ABS(W273)&gt;Inputs!$B$7,X273&gt;=Inputs!$B$8,ABS(W273)&lt;Inputs!$B$6)),1,0))</f>
        <v>0</v>
      </c>
      <c r="Z273" s="30" t="n">
        <f aca="false">IF(Y273=1,0,AB272)</f>
        <v>0</v>
      </c>
      <c r="AA273" s="30" t="n">
        <f aca="false">IF(W273="",0,IF(AND(Z273=0,ABS(W273)&gt;Inputs!$B$5,ABS(W273)&lt;=Inputs!$B$7),1,0))</f>
        <v>1</v>
      </c>
      <c r="AB273" s="30" t="n">
        <f aca="false">IF(W273="",0,IF(AA273=1,-SIGN(W273),Z273))</f>
        <v>1</v>
      </c>
      <c r="AC273" s="30" t="n">
        <f aca="false">IF(W273="",0,IF(AA273=1,0,IF(Y273=1,0,X273)))</f>
        <v>0</v>
      </c>
      <c r="AD273" s="29" t="n">
        <f aca="false">IF(AB273=0,0,IF(AB272=AB273,AD272,T273))</f>
        <v>1.03371742692039</v>
      </c>
      <c r="AE273" s="30" t="n">
        <f aca="false">AB273-AB272</f>
        <v>1</v>
      </c>
      <c r="AF273" s="30" t="n">
        <f aca="false">-AD273*AB273</f>
        <v>-1.03371742692039</v>
      </c>
      <c r="AG273" s="30" t="n">
        <f aca="false">AF273-AF272</f>
        <v>-1.03371742692039</v>
      </c>
      <c r="AH273" s="32" t="n">
        <f aca="false">MAX(AE273,0)*(Inputs!$B$17+Inputs!$B$18+Inputs!$B$19)+MAX(-AE273,0)*(O273+Inputs!$B$18+Inputs!$B$19)+IF(AND(K273=1,AB273&lt;&gt;0),(Inputs!$B$17+Inputs!$B$18+Inputs!$B$19)+(O273+Inputs!$B$18+Inputs!$B$19),0)+MAX(AG273,0)*(Inputs!$B$20+Inputs!$B$22+Inputs!$B$23)+MAX(-AG273,0)*(Inputs!$B$21+Inputs!$B$22+Inputs!$B$23)</f>
        <v>0.000787080659653282</v>
      </c>
      <c r="AI273" s="32" t="n">
        <f aca="false">AB272*(M273-AD272*J273)+AB272*AD272*N273/Inputs!$B$16-AH273</f>
        <v>-0.000787080659653282</v>
      </c>
      <c r="AJ273" s="32" t="n">
        <f aca="false">MAX(AE273,0)*(Inputs!$B$17+Inputs!$B$24+Inputs!$B$25)+MAX(-AE273,0)*(O273+Inputs!$B$24+Inputs!$B$25)+IF(AND(K273=1,AB273&lt;&gt;0),(Inputs!$B$17+Inputs!$B$24+Inputs!$B$25)+(O273+Inputs!$B$24+Inputs!$B$25),0)+MAX(AG273,0)*(Inputs!$B$20+Inputs!$B$26+Inputs!$B$27)+MAX(-AG273,0)*(Inputs!$B$21+Inputs!$B$26+Inputs!$B$27)</f>
        <v>0.000493877504095845</v>
      </c>
      <c r="AK273" s="32" t="n">
        <f aca="false">AB272*(M273-AD272*J273)+AB272*AD272*(N273+Inputs!$B$14)/Inputs!$B$16-AJ273</f>
        <v>-0.000493877504095845</v>
      </c>
      <c r="AL273" s="30" t="n">
        <f aca="false">IF(AP272&lt;&gt;0,AQ272+1,0)</f>
        <v>0</v>
      </c>
      <c r="AM273" s="30" t="n">
        <f aca="false">IF(W273="",0,IF(AND(AP272&lt;&gt;0,OR(ABS(W273)&gt;Inputs!$B$7,AL273&gt;=Inputs!$B$8,ABS(W273)&lt;Inputs!$B$6)),1,0))</f>
        <v>0</v>
      </c>
      <c r="AN273" s="30" t="n">
        <f aca="false">IF(AM273=1,0,AP272)</f>
        <v>0</v>
      </c>
      <c r="AO273" s="30" t="n">
        <f aca="false">IF(W273="",0,IF(AND(AN273=0,ABS(W273)&gt;Inputs!$B$5,ABS(W273)&lt;=Inputs!$B$7,W273&gt;0),1,0))</f>
        <v>0</v>
      </c>
      <c r="AP273" s="30" t="n">
        <f aca="false">IF(W273="",0,IF(AO273=1,-SIGN(W273),AN273))</f>
        <v>0</v>
      </c>
      <c r="AQ273" s="30" t="n">
        <f aca="false">IF(W273="",0,IF(AO273=1,0,IF(AM273=1,0,AL273)))</f>
        <v>0</v>
      </c>
      <c r="AR273" s="30" t="n">
        <f aca="false">IF(AP273=0,0,IF(AP272=AP273,AR272,T273))</f>
        <v>0</v>
      </c>
      <c r="AS273" s="30" t="n">
        <f aca="false">AP273-AP272</f>
        <v>0</v>
      </c>
      <c r="AT273" s="30" t="n">
        <f aca="false">-AR273*AP273</f>
        <v>-0</v>
      </c>
      <c r="AU273" s="30" t="n">
        <f aca="false">AT273-AT272</f>
        <v>0</v>
      </c>
      <c r="AV273" s="30" t="n">
        <f aca="false">MAX(AS273,0)*(Inputs!$B$17+Inputs!$B$18+Inputs!$B$19)+MAX(-AS273,0)*(O273+Inputs!$B$18+Inputs!$B$19)+IF(AND(K273=1,AP273&lt;&gt;0),(Inputs!$B$17+Inputs!$B$18+Inputs!$B$19)+(O273+Inputs!$B$18+Inputs!$B$19),0)+MAX(AU273,0)*(Inputs!$B$20+Inputs!$B$22+Inputs!$B$23)+MAX(-AU273,0)*(Inputs!$B$21+Inputs!$B$22+Inputs!$B$23)</f>
        <v>0</v>
      </c>
      <c r="AW273" s="30" t="n">
        <f aca="false">AP272*(M273-AR272*J273)+AP272*AR272*N273/Inputs!$B$16-AV273</f>
        <v>0</v>
      </c>
      <c r="AX273" s="30" t="n">
        <f aca="false">AW273-IF(AP272&lt;&gt;0,0.75*AR272*(Inputs!$B$13-N273)/Inputs!$B$16,0)</f>
        <v>0</v>
      </c>
      <c r="AY273" s="30" t="n">
        <f aca="false">MAX(AS273,0)*(Inputs!$B$17+Inputs!$B$18+Inputs!$B$19)+MAX(-AS273,0)*(O273+Inputs!$B$18+Inputs!$B$19)+IF(AND(K273=1,AP273&lt;&gt;0),(Inputs!$B$17+Inputs!$B$18+Inputs!$B$19)+(O273+Inputs!$B$18+Inputs!$B$19),0)</f>
        <v>0</v>
      </c>
      <c r="AZ273" s="30" t="n">
        <f aca="false">AP272*M273-AY273</f>
        <v>-0</v>
      </c>
      <c r="BA273" s="32" t="n">
        <f aca="false">BA272+AI273</f>
        <v>-0.00506358014928918</v>
      </c>
      <c r="BB273" s="30" t="n">
        <f aca="false">MAX(BB272,BA273)</f>
        <v>0</v>
      </c>
      <c r="BC273" s="32" t="n">
        <f aca="false">BA273-BB273</f>
        <v>-0.00506358014928918</v>
      </c>
      <c r="BD273" s="30" t="n">
        <f aca="false">A274-A273</f>
        <v>1</v>
      </c>
    </row>
    <row r="274" customFormat="false" ht="15" hidden="false" customHeight="false" outlineLevel="0" collapsed="false">
      <c r="A274" s="28" t="n">
        <v>45443</v>
      </c>
      <c r="B274" s="0" t="n">
        <v>22699</v>
      </c>
      <c r="C274" s="0" t="n">
        <v>251.5</v>
      </c>
      <c r="D274" s="29" t="n">
        <f aca="false">LN(B274)</f>
        <v>10.0300761496357</v>
      </c>
      <c r="E274" s="29" t="n">
        <f aca="false">LN(C274)</f>
        <v>5.52744298953979</v>
      </c>
      <c r="F274" s="0" t="n">
        <v>269</v>
      </c>
      <c r="G274" s="0" t="n">
        <v>27</v>
      </c>
      <c r="H274" s="29" t="n">
        <f aca="false">D274-E274</f>
        <v>4.50263316009591</v>
      </c>
      <c r="I274" s="29" t="n">
        <f aca="false">D274-D273</f>
        <v>0.00935015415132767</v>
      </c>
      <c r="J274" s="29" t="n">
        <f aca="false">E274-E273</f>
        <v>0.00199005040801037</v>
      </c>
      <c r="K274" s="0" t="n">
        <v>0</v>
      </c>
      <c r="L274" s="0" t="n">
        <v>1</v>
      </c>
      <c r="M274" s="29" t="n">
        <f aca="false">IF(L274=1,J274-Carry!$B$9/Inputs!$B$16,I274)</f>
        <v>0.00173059222628924</v>
      </c>
      <c r="N274" s="0" t="n">
        <v>0.065</v>
      </c>
      <c r="O274" s="0" t="n">
        <v>0.000125</v>
      </c>
      <c r="P274" s="29" t="n">
        <f aca="false">D274-('2 Hedge ratio'!$B$6+'2 Hedge ratio'!$B$5*E274)</f>
        <v>0.00441763535941497</v>
      </c>
      <c r="Q274" s="29" t="n">
        <f aca="false">D274-('5 Re-specification'!$B$7+'5 Re-specification'!$B$5*E274+'5 Re-specification'!$B$6*F274)</f>
        <v>0.000269041812975601</v>
      </c>
      <c r="R274" s="30" t="n">
        <f aca="false">MIN(F274,Inputs!$B$9)</f>
        <v>250</v>
      </c>
      <c r="S274" s="29" t="n">
        <f aca="true">IF(AND(F274&gt;=1,R274&gt;=Inputs!$B$10),INDEX(LINEST(OFFSET(D274,-R274,0,R274,1),OFFSET(E274,-R274,0,R274,2)),1,1),"")</f>
        <v>-6.71069666047934E-005</v>
      </c>
      <c r="T274" s="29" t="n">
        <f aca="true">IF(AND(F274&gt;=1,R274&gt;=Inputs!$B$10),INDEX(LINEST(OFFSET(D274,-R274,0,R274,1),OFFSET(E274,-R274,0,R274,2)),1,2),"")</f>
        <v>1.0348122182541</v>
      </c>
      <c r="U274" s="29" t="n">
        <f aca="true">IF(AND(F274&gt;=1,R274&gt;=Inputs!$B$10),INDEX(LINEST(OFFSET(D274,-R274,0,R274,1),OFFSET(E274,-R274,0,R274,2)),1,3),"")</f>
        <v>4.32930107994328</v>
      </c>
      <c r="V274" s="29" t="n">
        <f aca="true">IF(AND(F274&gt;=1,R274&gt;=Inputs!$B$10),SQRT(SUMPRODUCT((OFFSET(D274,-R274,0,R274,1)-U274-T274*OFFSET(E274,-R274,0,R274,1)-S274*OFFSET(F274,-R274,0,R274,1))^2)/(R274-3)),"")</f>
        <v>0.00256275644328211</v>
      </c>
      <c r="W274" s="31" t="n">
        <f aca="false">IF(AND(F274&gt;=1,R274&gt;=Inputs!$B$10),(D274-U274-T274*E274-S274*F274)/V274,"")</f>
        <v>-0.40530483198227</v>
      </c>
      <c r="X274" s="30" t="n">
        <f aca="false">IF(AB273&lt;&gt;0,AC273+1,0)</f>
        <v>1</v>
      </c>
      <c r="Y274" s="30" t="n">
        <f aca="false">IF(W274="",0,IF(AND(AB273&lt;&gt;0,OR(ABS(W274)&gt;Inputs!$B$7,X274&gt;=Inputs!$B$8,ABS(W274)&lt;Inputs!$B$6)),1,0))</f>
        <v>1</v>
      </c>
      <c r="Z274" s="30" t="n">
        <f aca="false">IF(Y274=1,0,AB273)</f>
        <v>0</v>
      </c>
      <c r="AA274" s="30" t="n">
        <f aca="false">IF(W274="",0,IF(AND(Z274=0,ABS(W274)&gt;Inputs!$B$5,ABS(W274)&lt;=Inputs!$B$7),1,0))</f>
        <v>0</v>
      </c>
      <c r="AB274" s="30" t="n">
        <f aca="false">IF(W274="",0,IF(AA274=1,-SIGN(W274),Z274))</f>
        <v>0</v>
      </c>
      <c r="AC274" s="30" t="n">
        <f aca="false">IF(W274="",0,IF(AA274=1,0,IF(Y274=1,0,X274)))</f>
        <v>0</v>
      </c>
      <c r="AD274" s="30" t="n">
        <f aca="false">IF(AB274=0,0,IF(AB273=AB274,AD273,T274))</f>
        <v>0</v>
      </c>
      <c r="AE274" s="30" t="n">
        <f aca="false">AB274-AB273</f>
        <v>-1</v>
      </c>
      <c r="AF274" s="30" t="n">
        <f aca="false">-AD274*AB274</f>
        <v>-0</v>
      </c>
      <c r="AG274" s="30" t="n">
        <f aca="false">AF274-AF273</f>
        <v>1.03371742692039</v>
      </c>
      <c r="AH274" s="30" t="n">
        <f aca="false">MAX(AE274,0)*(Inputs!$B$17+Inputs!$B$18+Inputs!$B$19)+MAX(-AE274,0)*(O274+Inputs!$B$18+Inputs!$B$19)+IF(AND(K274=1,AB274&lt;&gt;0),(Inputs!$B$17+Inputs!$B$18+Inputs!$B$19)+(O274+Inputs!$B$18+Inputs!$B$19),0)+MAX(AG274,0)*(Inputs!$B$20+Inputs!$B$22+Inputs!$B$23)+MAX(-AG274,0)*(Inputs!$B$21+Inputs!$B$22+Inputs!$B$23)</f>
        <v>0.000621801099422137</v>
      </c>
      <c r="AI274" s="30" t="n">
        <f aca="false">AB273*(M274-AD273*J274)+AB273*AD273*N274/Inputs!$B$16-AH274</f>
        <v>-0.000681725197050294</v>
      </c>
      <c r="AJ274" s="30" t="n">
        <f aca="false">MAX(AE274,0)*(Inputs!$B$17+Inputs!$B$24+Inputs!$B$25)+MAX(-AE274,0)*(O274+Inputs!$B$24+Inputs!$B$25)+IF(AND(K274=1,AB274&lt;&gt;0),(Inputs!$B$17+Inputs!$B$24+Inputs!$B$25)+(O274+Inputs!$B$24+Inputs!$B$25),0)+MAX(AG274,0)*(Inputs!$B$20+Inputs!$B$26+Inputs!$B$27)+MAX(-AG274,0)*(Inputs!$B$21+Inputs!$B$26+Inputs!$B$27)</f>
        <v>0.0004585979438647</v>
      </c>
      <c r="AK274" s="30" t="n">
        <f aca="false">AB273*(M274-AD273*J274)+AB273*AD273*(N274+Inputs!$B$14)/Inputs!$B$16-AJ274</f>
        <v>-0.000487756641882131</v>
      </c>
      <c r="AL274" s="30" t="n">
        <f aca="false">IF(AP273&lt;&gt;0,AQ273+1,0)</f>
        <v>0</v>
      </c>
      <c r="AM274" s="30" t="n">
        <f aca="false">IF(W274="",0,IF(AND(AP273&lt;&gt;0,OR(ABS(W274)&gt;Inputs!$B$7,AL274&gt;=Inputs!$B$8,ABS(W274)&lt;Inputs!$B$6)),1,0))</f>
        <v>0</v>
      </c>
      <c r="AN274" s="30" t="n">
        <f aca="false">IF(AM274=1,0,AP273)</f>
        <v>0</v>
      </c>
      <c r="AO274" s="30" t="n">
        <f aca="false">IF(W274="",0,IF(AND(AN274=0,ABS(W274)&gt;Inputs!$B$5,ABS(W274)&lt;=Inputs!$B$7,W274&gt;0),1,0))</f>
        <v>0</v>
      </c>
      <c r="AP274" s="30" t="n">
        <f aca="false">IF(W274="",0,IF(AO274=1,-SIGN(W274),AN274))</f>
        <v>0</v>
      </c>
      <c r="AQ274" s="30" t="n">
        <f aca="false">IF(W274="",0,IF(AO274=1,0,IF(AM274=1,0,AL274)))</f>
        <v>0</v>
      </c>
      <c r="AR274" s="30" t="n">
        <f aca="false">IF(AP274=0,0,IF(AP273=AP274,AR273,T274))</f>
        <v>0</v>
      </c>
      <c r="AS274" s="30" t="n">
        <f aca="false">AP274-AP273</f>
        <v>0</v>
      </c>
      <c r="AT274" s="30" t="n">
        <f aca="false">-AR274*AP274</f>
        <v>-0</v>
      </c>
      <c r="AU274" s="30" t="n">
        <f aca="false">AT274-AT273</f>
        <v>0</v>
      </c>
      <c r="AV274" s="30" t="n">
        <f aca="false">MAX(AS274,0)*(Inputs!$B$17+Inputs!$B$18+Inputs!$B$19)+MAX(-AS274,0)*(O274+Inputs!$B$18+Inputs!$B$19)+IF(AND(K274=1,AP274&lt;&gt;0),(Inputs!$B$17+Inputs!$B$18+Inputs!$B$19)+(O274+Inputs!$B$18+Inputs!$B$19),0)+MAX(AU274,0)*(Inputs!$B$20+Inputs!$B$22+Inputs!$B$23)+MAX(-AU274,0)*(Inputs!$B$21+Inputs!$B$22+Inputs!$B$23)</f>
        <v>0</v>
      </c>
      <c r="AW274" s="30" t="n">
        <f aca="false">AP273*(M274-AR273*J274)+AP273*AR273*N274/Inputs!$B$16-AV274</f>
        <v>0</v>
      </c>
      <c r="AX274" s="30" t="n">
        <f aca="false">AW274-IF(AP273&lt;&gt;0,0.75*AR273*(Inputs!$B$13-N274)/Inputs!$B$16,0)</f>
        <v>0</v>
      </c>
      <c r="AY274" s="30" t="n">
        <f aca="false">MAX(AS274,0)*(Inputs!$B$17+Inputs!$B$18+Inputs!$B$19)+MAX(-AS274,0)*(O274+Inputs!$B$18+Inputs!$B$19)+IF(AND(K274=1,AP274&lt;&gt;0),(Inputs!$B$17+Inputs!$B$18+Inputs!$B$19)+(O274+Inputs!$B$18+Inputs!$B$19),0)</f>
        <v>0</v>
      </c>
      <c r="AZ274" s="30" t="n">
        <f aca="false">AP273*M274-AY274</f>
        <v>0</v>
      </c>
      <c r="BA274" s="32" t="n">
        <f aca="false">BA273+AI274</f>
        <v>-0.00574530534633948</v>
      </c>
      <c r="BB274" s="30" t="n">
        <f aca="false">MAX(BB273,BA274)</f>
        <v>0</v>
      </c>
      <c r="BC274" s="32" t="n">
        <f aca="false">BA274-BB274</f>
        <v>-0.00574530534633948</v>
      </c>
      <c r="BD274" s="30" t="n">
        <f aca="false">A275-A274</f>
        <v>3</v>
      </c>
    </row>
    <row r="275" customFormat="false" ht="15" hidden="false" customHeight="false" outlineLevel="0" collapsed="false">
      <c r="A275" s="28" t="n">
        <v>45446</v>
      </c>
      <c r="B275" s="0" t="n">
        <v>23450</v>
      </c>
      <c r="C275" s="0" t="n">
        <v>258.3</v>
      </c>
      <c r="D275" s="29" t="n">
        <f aca="false">LN(B275)</f>
        <v>10.0626257738744</v>
      </c>
      <c r="E275" s="29" t="n">
        <f aca="false">LN(C275)</f>
        <v>5.5541217001018</v>
      </c>
      <c r="F275" s="0" t="n">
        <v>270</v>
      </c>
      <c r="G275" s="0" t="n">
        <v>24</v>
      </c>
      <c r="H275" s="29" t="n">
        <f aca="false">D275-E275</f>
        <v>4.50850407377263</v>
      </c>
      <c r="I275" s="29" t="n">
        <f aca="false">D275-D274</f>
        <v>0.0325496242387224</v>
      </c>
      <c r="J275" s="29" t="n">
        <f aca="false">E275-E274</f>
        <v>0.0266787105620008</v>
      </c>
      <c r="K275" s="0" t="n">
        <v>0</v>
      </c>
      <c r="L275" s="0" t="n">
        <v>0</v>
      </c>
      <c r="M275" s="29" t="n">
        <f aca="false">IF(L275=1,J275-Carry!$B$9/Inputs!$B$16,I275)</f>
        <v>0.0325496242387224</v>
      </c>
      <c r="N275" s="0" t="n">
        <v>0.065</v>
      </c>
      <c r="O275" s="0" t="n">
        <v>0.000125</v>
      </c>
      <c r="P275" s="29" t="n">
        <f aca="false">D275-('2 Hedge ratio'!$B$6+'2 Hedge ratio'!$B$5*E275)</f>
        <v>0.0125261789500914</v>
      </c>
      <c r="Q275" s="29" t="n">
        <f aca="false">D275-('5 Re-specification'!$B$7+'5 Re-specification'!$B$5*E275+'5 Re-specification'!$B$6*F275)</f>
        <v>0.00626573464071711</v>
      </c>
      <c r="R275" s="30" t="n">
        <f aca="false">MIN(F275,Inputs!$B$9)</f>
        <v>250</v>
      </c>
      <c r="S275" s="29" t="n">
        <f aca="true">IF(AND(F275&gt;=1,R275&gt;=Inputs!$B$10),INDEX(LINEST(OFFSET(D275,-R275,0,R275,1),OFFSET(E275,-R275,0,R275,2)),1,1),"")</f>
        <v>-6.69654287295886E-005</v>
      </c>
      <c r="T275" s="29" t="n">
        <f aca="true">IF(AND(F275&gt;=1,R275&gt;=Inputs!$B$10),INDEX(LINEST(OFFSET(D275,-R275,0,R275,1),OFFSET(E275,-R275,0,R275,2)),1,2),"")</f>
        <v>1.03488245543344</v>
      </c>
      <c r="U275" s="29" t="n">
        <f aca="true">IF(AND(F275&gt;=1,R275&gt;=Inputs!$B$10),INDEX(LINEST(OFFSET(D275,-R275,0,R275,1),OFFSET(E275,-R275,0,R275,2)),1,3),"")</f>
        <v>4.32888252034225</v>
      </c>
      <c r="V275" s="29" t="n">
        <f aca="true">IF(AND(F275&gt;=1,R275&gt;=Inputs!$B$10),SQRT(SUMPRODUCT((OFFSET(D275,-R275,0,R275,1)-U275-T275*OFFSET(E275,-R275,0,R275,1)-S275*OFFSET(F275,-R275,0,R275,1))^2)/(R275-3)),"")</f>
        <v>0.00255565080469849</v>
      </c>
      <c r="W275" s="31" t="n">
        <f aca="false">IF(AND(F275&gt;=1,R275&gt;=Inputs!$B$10),(D275-U275-T275*E275-S275*F275)/V275,"")</f>
        <v>1.54982695772613</v>
      </c>
      <c r="X275" s="30" t="n">
        <f aca="false">IF(AB274&lt;&gt;0,AC274+1,0)</f>
        <v>0</v>
      </c>
      <c r="Y275" s="30" t="n">
        <f aca="false">IF(W275="",0,IF(AND(AB274&lt;&gt;0,OR(ABS(W275)&gt;Inputs!$B$7,X275&gt;=Inputs!$B$8,ABS(W275)&lt;Inputs!$B$6)),1,0))</f>
        <v>0</v>
      </c>
      <c r="Z275" s="30" t="n">
        <f aca="false">IF(Y275=1,0,AB274)</f>
        <v>0</v>
      </c>
      <c r="AA275" s="30" t="n">
        <f aca="false">IF(W275="",0,IF(AND(Z275=0,ABS(W275)&gt;Inputs!$B$5,ABS(W275)&lt;=Inputs!$B$7),1,0))</f>
        <v>0</v>
      </c>
      <c r="AB275" s="30" t="n">
        <f aca="false">IF(W275="",0,IF(AA275=1,-SIGN(W275),Z275))</f>
        <v>0</v>
      </c>
      <c r="AC275" s="30" t="n">
        <f aca="false">IF(W275="",0,IF(AA275=1,0,IF(Y275=1,0,X275)))</f>
        <v>0</v>
      </c>
      <c r="AD275" s="30" t="n">
        <f aca="false">IF(AB275=0,0,IF(AB274=AB275,AD274,T275))</f>
        <v>0</v>
      </c>
      <c r="AE275" s="30" t="n">
        <f aca="false">AB275-AB274</f>
        <v>0</v>
      </c>
      <c r="AF275" s="30" t="n">
        <f aca="false">-AD275*AB275</f>
        <v>-0</v>
      </c>
      <c r="AG275" s="30" t="n">
        <f aca="false">AF275-AF274</f>
        <v>0</v>
      </c>
      <c r="AH275" s="30" t="n">
        <f aca="false">MAX(AE275,0)*(Inputs!$B$17+Inputs!$B$18+Inputs!$B$19)+MAX(-AE275,0)*(O275+Inputs!$B$18+Inputs!$B$19)+IF(AND(K275=1,AB275&lt;&gt;0),(Inputs!$B$17+Inputs!$B$18+Inputs!$B$19)+(O275+Inputs!$B$18+Inputs!$B$19),0)+MAX(AG275,0)*(Inputs!$B$20+Inputs!$B$22+Inputs!$B$23)+MAX(-AG275,0)*(Inputs!$B$21+Inputs!$B$22+Inputs!$B$23)</f>
        <v>0</v>
      </c>
      <c r="AI275" s="30" t="n">
        <f aca="false">AB274*(M275-AD274*J275)+AB274*AD274*N275/Inputs!$B$16-AH275</f>
        <v>0</v>
      </c>
      <c r="AJ275" s="30" t="n">
        <f aca="false">MAX(AE275,0)*(Inputs!$B$17+Inputs!$B$24+Inputs!$B$25)+MAX(-AE275,0)*(O275+Inputs!$B$24+Inputs!$B$25)+IF(AND(K275=1,AB275&lt;&gt;0),(Inputs!$B$17+Inputs!$B$24+Inputs!$B$25)+(O275+Inputs!$B$24+Inputs!$B$25),0)+MAX(AG275,0)*(Inputs!$B$20+Inputs!$B$26+Inputs!$B$27)+MAX(-AG275,0)*(Inputs!$B$21+Inputs!$B$26+Inputs!$B$27)</f>
        <v>0</v>
      </c>
      <c r="AK275" s="30" t="n">
        <f aca="false">AB274*(M275-AD274*J275)+AB274*AD274*(N275+Inputs!$B$14)/Inputs!$B$16-AJ275</f>
        <v>0</v>
      </c>
      <c r="AL275" s="30" t="n">
        <f aca="false">IF(AP274&lt;&gt;0,AQ274+1,0)</f>
        <v>0</v>
      </c>
      <c r="AM275" s="30" t="n">
        <f aca="false">IF(W275="",0,IF(AND(AP274&lt;&gt;0,OR(ABS(W275)&gt;Inputs!$B$7,AL275&gt;=Inputs!$B$8,ABS(W275)&lt;Inputs!$B$6)),1,0))</f>
        <v>0</v>
      </c>
      <c r="AN275" s="30" t="n">
        <f aca="false">IF(AM275=1,0,AP274)</f>
        <v>0</v>
      </c>
      <c r="AO275" s="30" t="n">
        <f aca="false">IF(W275="",0,IF(AND(AN275=0,ABS(W275)&gt;Inputs!$B$5,ABS(W275)&lt;=Inputs!$B$7,W275&gt;0),1,0))</f>
        <v>0</v>
      </c>
      <c r="AP275" s="30" t="n">
        <f aca="false">IF(W275="",0,IF(AO275=1,-SIGN(W275),AN275))</f>
        <v>0</v>
      </c>
      <c r="AQ275" s="30" t="n">
        <f aca="false">IF(W275="",0,IF(AO275=1,0,IF(AM275=1,0,AL275)))</f>
        <v>0</v>
      </c>
      <c r="AR275" s="30" t="n">
        <f aca="false">IF(AP275=0,0,IF(AP274=AP275,AR274,T275))</f>
        <v>0</v>
      </c>
      <c r="AS275" s="30" t="n">
        <f aca="false">AP275-AP274</f>
        <v>0</v>
      </c>
      <c r="AT275" s="30" t="n">
        <f aca="false">-AR275*AP275</f>
        <v>-0</v>
      </c>
      <c r="AU275" s="30" t="n">
        <f aca="false">AT275-AT274</f>
        <v>0</v>
      </c>
      <c r="AV275" s="30" t="n">
        <f aca="false">MAX(AS275,0)*(Inputs!$B$17+Inputs!$B$18+Inputs!$B$19)+MAX(-AS275,0)*(O275+Inputs!$B$18+Inputs!$B$19)+IF(AND(K275=1,AP275&lt;&gt;0),(Inputs!$B$17+Inputs!$B$18+Inputs!$B$19)+(O275+Inputs!$B$18+Inputs!$B$19),0)+MAX(AU275,0)*(Inputs!$B$20+Inputs!$B$22+Inputs!$B$23)+MAX(-AU275,0)*(Inputs!$B$21+Inputs!$B$22+Inputs!$B$23)</f>
        <v>0</v>
      </c>
      <c r="AW275" s="30" t="n">
        <f aca="false">AP274*(M275-AR274*J275)+AP274*AR274*N275/Inputs!$B$16-AV275</f>
        <v>0</v>
      </c>
      <c r="AX275" s="30" t="n">
        <f aca="false">AW275-IF(AP274&lt;&gt;0,0.75*AR274*(Inputs!$B$13-N275)/Inputs!$B$16,0)</f>
        <v>0</v>
      </c>
      <c r="AY275" s="30" t="n">
        <f aca="false">MAX(AS275,0)*(Inputs!$B$17+Inputs!$B$18+Inputs!$B$19)+MAX(-AS275,0)*(O275+Inputs!$B$18+Inputs!$B$19)+IF(AND(K275=1,AP275&lt;&gt;0),(Inputs!$B$17+Inputs!$B$18+Inputs!$B$19)+(O275+Inputs!$B$18+Inputs!$B$19),0)</f>
        <v>0</v>
      </c>
      <c r="AZ275" s="30" t="n">
        <f aca="false">AP274*M275-AY275</f>
        <v>0</v>
      </c>
      <c r="BA275" s="32" t="n">
        <f aca="false">BA274+AI275</f>
        <v>-0.00574530534633948</v>
      </c>
      <c r="BB275" s="30" t="n">
        <f aca="false">MAX(BB274,BA275)</f>
        <v>0</v>
      </c>
      <c r="BC275" s="32" t="n">
        <f aca="false">BA275-BB275</f>
        <v>-0.00574530534633948</v>
      </c>
      <c r="BD275" s="30" t="n">
        <f aca="false">A276-A275</f>
        <v>1</v>
      </c>
    </row>
    <row r="276" customFormat="false" ht="15" hidden="false" customHeight="false" outlineLevel="0" collapsed="false">
      <c r="A276" s="28" t="n">
        <v>45447</v>
      </c>
      <c r="B276" s="0" t="n">
        <v>21972.55</v>
      </c>
      <c r="C276" s="0" t="n">
        <v>251.95</v>
      </c>
      <c r="D276" s="29" t="n">
        <f aca="false">LN(B276)</f>
        <v>9.99754922600795</v>
      </c>
      <c r="E276" s="29" t="n">
        <f aca="false">LN(C276)</f>
        <v>5.52923065512661</v>
      </c>
      <c r="F276" s="0" t="n">
        <v>271</v>
      </c>
      <c r="G276" s="0" t="n">
        <v>23</v>
      </c>
      <c r="H276" s="29" t="n">
        <f aca="false">D276-E276</f>
        <v>4.46831857088134</v>
      </c>
      <c r="I276" s="29" t="n">
        <f aca="false">D276-D275</f>
        <v>-0.065076547866477</v>
      </c>
      <c r="J276" s="29" t="n">
        <f aca="false">E276-E275</f>
        <v>-0.0248910449751874</v>
      </c>
      <c r="K276" s="0" t="n">
        <v>0</v>
      </c>
      <c r="L276" s="0" t="n">
        <v>0</v>
      </c>
      <c r="M276" s="29" t="n">
        <f aca="false">IF(L276=1,J276-Carry!$B$9/Inputs!$B$16,I276)</f>
        <v>-0.065076547866477</v>
      </c>
      <c r="N276" s="0" t="n">
        <v>0.065</v>
      </c>
      <c r="O276" s="0" t="n">
        <v>0.000125</v>
      </c>
      <c r="P276" s="29" t="n">
        <f aca="false">D276-('2 Hedge ratio'!$B$6+'2 Hedge ratio'!$B$5*E276)</f>
        <v>-0.0297470165490026</v>
      </c>
      <c r="Q276" s="29" t="n">
        <f aca="false">D276-('5 Re-specification'!$B$7+'5 Re-specification'!$B$5*E276+'5 Re-specification'!$B$6*F276)</f>
        <v>-0.0339502712447999</v>
      </c>
      <c r="R276" s="30" t="n">
        <f aca="false">MIN(F276,Inputs!$B$9)</f>
        <v>250</v>
      </c>
      <c r="S276" s="29" t="n">
        <f aca="true">IF(AND(F276&gt;=1,R276&gt;=Inputs!$B$10),INDEX(LINEST(OFFSET(D276,-R276,0,R276,1),OFFSET(E276,-R276,0,R276,2)),1,1),"")</f>
        <v>-6.6531627457629E-005</v>
      </c>
      <c r="T276" s="29" t="n">
        <f aca="true">IF(AND(F276&gt;=1,R276&gt;=Inputs!$B$10),INDEX(LINEST(OFFSET(D276,-R276,0,R276,1),OFFSET(E276,-R276,0,R276,2)),1,2),"")</f>
        <v>1.0351848445274</v>
      </c>
      <c r="U276" s="29" t="n">
        <f aca="true">IF(AND(F276&gt;=1,R276&gt;=Inputs!$B$10),INDEX(LINEST(OFFSET(D276,-R276,0,R276,1),OFFSET(E276,-R276,0,R276,2)),1,3),"")</f>
        <v>4.32717962536743</v>
      </c>
      <c r="V276" s="29" t="n">
        <f aca="true">IF(AND(F276&gt;=1,R276&gt;=Inputs!$B$10),SQRT(SUMPRODUCT((OFFSET(D276,-R276,0,R276,1)-U276-T276*OFFSET(E276,-R276,0,R276,1)-S276*OFFSET(F276,-R276,0,R276,1))^2)/(R276-3)),"")</f>
        <v>0.00255845474222947</v>
      </c>
      <c r="W276" s="31" t="n">
        <f aca="false">IF(AND(F276&gt;=1,R276&gt;=Inputs!$B$10),(D276-U276-T276*E276-S276*F276)/V276,"")</f>
        <v>-13.8271370675019</v>
      </c>
      <c r="X276" s="30" t="n">
        <f aca="false">IF(AB275&lt;&gt;0,AC275+1,0)</f>
        <v>0</v>
      </c>
      <c r="Y276" s="30" t="n">
        <f aca="false">IF(W276="",0,IF(AND(AB275&lt;&gt;0,OR(ABS(W276)&gt;Inputs!$B$7,X276&gt;=Inputs!$B$8,ABS(W276)&lt;Inputs!$B$6)),1,0))</f>
        <v>0</v>
      </c>
      <c r="Z276" s="30" t="n">
        <f aca="false">IF(Y276=1,0,AB275)</f>
        <v>0</v>
      </c>
      <c r="AA276" s="30" t="n">
        <f aca="false">IF(W276="",0,IF(AND(Z276=0,ABS(W276)&gt;Inputs!$B$5,ABS(W276)&lt;=Inputs!$B$7),1,0))</f>
        <v>0</v>
      </c>
      <c r="AB276" s="30" t="n">
        <f aca="false">IF(W276="",0,IF(AA276=1,-SIGN(W276),Z276))</f>
        <v>0</v>
      </c>
      <c r="AC276" s="30" t="n">
        <f aca="false">IF(W276="",0,IF(AA276=1,0,IF(Y276=1,0,X276)))</f>
        <v>0</v>
      </c>
      <c r="AD276" s="30" t="n">
        <f aca="false">IF(AB276=0,0,IF(AB275=AB276,AD275,T276))</f>
        <v>0</v>
      </c>
      <c r="AE276" s="30" t="n">
        <f aca="false">AB276-AB275</f>
        <v>0</v>
      </c>
      <c r="AF276" s="30" t="n">
        <f aca="false">-AD276*AB276</f>
        <v>-0</v>
      </c>
      <c r="AG276" s="30" t="n">
        <f aca="false">AF276-AF275</f>
        <v>0</v>
      </c>
      <c r="AH276" s="30" t="n">
        <f aca="false">MAX(AE276,0)*(Inputs!$B$17+Inputs!$B$18+Inputs!$B$19)+MAX(-AE276,0)*(O276+Inputs!$B$18+Inputs!$B$19)+IF(AND(K276=1,AB276&lt;&gt;0),(Inputs!$B$17+Inputs!$B$18+Inputs!$B$19)+(O276+Inputs!$B$18+Inputs!$B$19),0)+MAX(AG276,0)*(Inputs!$B$20+Inputs!$B$22+Inputs!$B$23)+MAX(-AG276,0)*(Inputs!$B$21+Inputs!$B$22+Inputs!$B$23)</f>
        <v>0</v>
      </c>
      <c r="AI276" s="30" t="n">
        <f aca="false">AB275*(M276-AD275*J276)+AB275*AD275*N276/Inputs!$B$16-AH276</f>
        <v>0</v>
      </c>
      <c r="AJ276" s="30" t="n">
        <f aca="false">MAX(AE276,0)*(Inputs!$B$17+Inputs!$B$24+Inputs!$B$25)+MAX(-AE276,0)*(O276+Inputs!$B$24+Inputs!$B$25)+IF(AND(K276=1,AB276&lt;&gt;0),(Inputs!$B$17+Inputs!$B$24+Inputs!$B$25)+(O276+Inputs!$B$24+Inputs!$B$25),0)+MAX(AG276,0)*(Inputs!$B$20+Inputs!$B$26+Inputs!$B$27)+MAX(-AG276,0)*(Inputs!$B$21+Inputs!$B$26+Inputs!$B$27)</f>
        <v>0</v>
      </c>
      <c r="AK276" s="30" t="n">
        <f aca="false">AB275*(M276-AD275*J276)+AB275*AD275*(N276+Inputs!$B$14)/Inputs!$B$16-AJ276</f>
        <v>0</v>
      </c>
      <c r="AL276" s="30" t="n">
        <f aca="false">IF(AP275&lt;&gt;0,AQ275+1,0)</f>
        <v>0</v>
      </c>
      <c r="AM276" s="30" t="n">
        <f aca="false">IF(W276="",0,IF(AND(AP275&lt;&gt;0,OR(ABS(W276)&gt;Inputs!$B$7,AL276&gt;=Inputs!$B$8,ABS(W276)&lt;Inputs!$B$6)),1,0))</f>
        <v>0</v>
      </c>
      <c r="AN276" s="30" t="n">
        <f aca="false">IF(AM276=1,0,AP275)</f>
        <v>0</v>
      </c>
      <c r="AO276" s="30" t="n">
        <f aca="false">IF(W276="",0,IF(AND(AN276=0,ABS(W276)&gt;Inputs!$B$5,ABS(W276)&lt;=Inputs!$B$7,W276&gt;0),1,0))</f>
        <v>0</v>
      </c>
      <c r="AP276" s="30" t="n">
        <f aca="false">IF(W276="",0,IF(AO276=1,-SIGN(W276),AN276))</f>
        <v>0</v>
      </c>
      <c r="AQ276" s="30" t="n">
        <f aca="false">IF(W276="",0,IF(AO276=1,0,IF(AM276=1,0,AL276)))</f>
        <v>0</v>
      </c>
      <c r="AR276" s="30" t="n">
        <f aca="false">IF(AP276=0,0,IF(AP275=AP276,AR275,T276))</f>
        <v>0</v>
      </c>
      <c r="AS276" s="30" t="n">
        <f aca="false">AP276-AP275</f>
        <v>0</v>
      </c>
      <c r="AT276" s="30" t="n">
        <f aca="false">-AR276*AP276</f>
        <v>-0</v>
      </c>
      <c r="AU276" s="30" t="n">
        <f aca="false">AT276-AT275</f>
        <v>0</v>
      </c>
      <c r="AV276" s="30" t="n">
        <f aca="false">MAX(AS276,0)*(Inputs!$B$17+Inputs!$B$18+Inputs!$B$19)+MAX(-AS276,0)*(O276+Inputs!$B$18+Inputs!$B$19)+IF(AND(K276=1,AP276&lt;&gt;0),(Inputs!$B$17+Inputs!$B$18+Inputs!$B$19)+(O276+Inputs!$B$18+Inputs!$B$19),0)+MAX(AU276,0)*(Inputs!$B$20+Inputs!$B$22+Inputs!$B$23)+MAX(-AU276,0)*(Inputs!$B$21+Inputs!$B$22+Inputs!$B$23)</f>
        <v>0</v>
      </c>
      <c r="AW276" s="30" t="n">
        <f aca="false">AP275*(M276-AR275*J276)+AP275*AR275*N276/Inputs!$B$16-AV276</f>
        <v>0</v>
      </c>
      <c r="AX276" s="30" t="n">
        <f aca="false">AW276-IF(AP275&lt;&gt;0,0.75*AR275*(Inputs!$B$13-N276)/Inputs!$B$16,0)</f>
        <v>0</v>
      </c>
      <c r="AY276" s="30" t="n">
        <f aca="false">MAX(AS276,0)*(Inputs!$B$17+Inputs!$B$18+Inputs!$B$19)+MAX(-AS276,0)*(O276+Inputs!$B$18+Inputs!$B$19)+IF(AND(K276=1,AP276&lt;&gt;0),(Inputs!$B$17+Inputs!$B$18+Inputs!$B$19)+(O276+Inputs!$B$18+Inputs!$B$19),0)</f>
        <v>0</v>
      </c>
      <c r="AZ276" s="30" t="n">
        <f aca="false">AP275*M276-AY276</f>
        <v>-0</v>
      </c>
      <c r="BA276" s="32" t="n">
        <f aca="false">BA275+AI276</f>
        <v>-0.00574530534633948</v>
      </c>
      <c r="BB276" s="30" t="n">
        <f aca="false">MAX(BB275,BA276)</f>
        <v>0</v>
      </c>
      <c r="BC276" s="32" t="n">
        <f aca="false">BA276-BB276</f>
        <v>-0.00574530534633948</v>
      </c>
      <c r="BD276" s="30" t="n">
        <f aca="false">A277-A276</f>
        <v>1</v>
      </c>
    </row>
    <row r="277" customFormat="false" ht="15" hidden="false" customHeight="false" outlineLevel="0" collapsed="false">
      <c r="A277" s="28" t="n">
        <v>45448</v>
      </c>
      <c r="B277" s="0" t="n">
        <v>22586</v>
      </c>
      <c r="C277" s="0" t="n">
        <v>250.95</v>
      </c>
      <c r="D277" s="29" t="n">
        <f aca="false">LN(B277)</f>
        <v>10.0250855242836</v>
      </c>
      <c r="E277" s="29" t="n">
        <f aca="false">LN(C277)</f>
        <v>5.52525371610094</v>
      </c>
      <c r="F277" s="0" t="n">
        <v>272</v>
      </c>
      <c r="G277" s="0" t="n">
        <v>22</v>
      </c>
      <c r="H277" s="29" t="n">
        <f aca="false">D277-E277</f>
        <v>4.49983180818267</v>
      </c>
      <c r="I277" s="29" t="n">
        <f aca="false">D277-D276</f>
        <v>0.0275362982756686</v>
      </c>
      <c r="J277" s="29" t="n">
        <f aca="false">E277-E276</f>
        <v>-0.00397693902566498</v>
      </c>
      <c r="K277" s="0" t="n">
        <v>0</v>
      </c>
      <c r="L277" s="0" t="n">
        <v>0</v>
      </c>
      <c r="M277" s="29" t="n">
        <f aca="false">IF(L277=1,J277-Carry!$B$9/Inputs!$B$16,I277)</f>
        <v>0.0275362982756686</v>
      </c>
      <c r="N277" s="0" t="n">
        <v>0.065</v>
      </c>
      <c r="O277" s="0" t="n">
        <v>0.000125</v>
      </c>
      <c r="P277" s="29" t="n">
        <f aca="false">D277-('2 Hedge ratio'!$B$6+'2 Hedge ratio'!$B$5*E277)</f>
        <v>0.00143266198796965</v>
      </c>
      <c r="Q277" s="29" t="n">
        <f aca="false">D277-('5 Re-specification'!$B$7+'5 Re-specification'!$B$5*E277+'5 Re-specification'!$B$6*F277)</f>
        <v>-0.00240415673917127</v>
      </c>
      <c r="R277" s="30" t="n">
        <f aca="false">MIN(F277,Inputs!$B$9)</f>
        <v>250</v>
      </c>
      <c r="S277" s="29" t="n">
        <f aca="true">IF(AND(F277&gt;=1,R277&gt;=Inputs!$B$10),INDEX(LINEST(OFFSET(D277,-R277,0,R277,1),OFFSET(E277,-R277,0,R277,2)),1,1),"")</f>
        <v>-7.32017684710235E-005</v>
      </c>
      <c r="T277" s="29" t="n">
        <f aca="true">IF(AND(F277&gt;=1,R277&gt;=Inputs!$B$10),INDEX(LINEST(OFFSET(D277,-R277,0,R277,1),OFFSET(E277,-R277,0,R277,2)),1,2),"")</f>
        <v>1.03920311794259</v>
      </c>
      <c r="U277" s="29" t="n">
        <f aca="true">IF(AND(F277&gt;=1,R277&gt;=Inputs!$B$10),INDEX(LINEST(OFFSET(D277,-R277,0,R277,1),OFFSET(E277,-R277,0,R277,2)),1,3),"")</f>
        <v>4.30617836002983</v>
      </c>
      <c r="V277" s="29" t="n">
        <f aca="true">IF(AND(F277&gt;=1,R277&gt;=Inputs!$B$10),SQRT(SUMPRODUCT((OFFSET(D277,-R277,0,R277,1)-U277-T277*OFFSET(E277,-R277,0,R277,1)-S277*OFFSET(F277,-R277,0,R277,1))^2)/(R277-3)),"")</f>
        <v>0.00338930300236982</v>
      </c>
      <c r="W277" s="31" t="n">
        <f aca="false">IF(AND(F277&gt;=1,R277&gt;=Inputs!$B$10),(D277-U277-T277*E277-S277*F277)/V277,"")</f>
        <v>-0.89777866302911</v>
      </c>
      <c r="X277" s="30" t="n">
        <f aca="false">IF(AB276&lt;&gt;0,AC276+1,0)</f>
        <v>0</v>
      </c>
      <c r="Y277" s="30" t="n">
        <f aca="false">IF(W277="",0,IF(AND(AB276&lt;&gt;0,OR(ABS(W277)&gt;Inputs!$B$7,X277&gt;=Inputs!$B$8,ABS(W277)&lt;Inputs!$B$6)),1,0))</f>
        <v>0</v>
      </c>
      <c r="Z277" s="30" t="n">
        <f aca="false">IF(Y277=1,0,AB276)</f>
        <v>0</v>
      </c>
      <c r="AA277" s="30" t="n">
        <f aca="false">IF(W277="",0,IF(AND(Z277=0,ABS(W277)&gt;Inputs!$B$5,ABS(W277)&lt;=Inputs!$B$7),1,0))</f>
        <v>0</v>
      </c>
      <c r="AB277" s="30" t="n">
        <f aca="false">IF(W277="",0,IF(AA277=1,-SIGN(W277),Z277))</f>
        <v>0</v>
      </c>
      <c r="AC277" s="30" t="n">
        <f aca="false">IF(W277="",0,IF(AA277=1,0,IF(Y277=1,0,X277)))</f>
        <v>0</v>
      </c>
      <c r="AD277" s="30" t="n">
        <f aca="false">IF(AB277=0,0,IF(AB276=AB277,AD276,T277))</f>
        <v>0</v>
      </c>
      <c r="AE277" s="30" t="n">
        <f aca="false">AB277-AB276</f>
        <v>0</v>
      </c>
      <c r="AF277" s="30" t="n">
        <f aca="false">-AD277*AB277</f>
        <v>-0</v>
      </c>
      <c r="AG277" s="30" t="n">
        <f aca="false">AF277-AF276</f>
        <v>0</v>
      </c>
      <c r="AH277" s="30" t="n">
        <f aca="false">MAX(AE277,0)*(Inputs!$B$17+Inputs!$B$18+Inputs!$B$19)+MAX(-AE277,0)*(O277+Inputs!$B$18+Inputs!$B$19)+IF(AND(K277=1,AB277&lt;&gt;0),(Inputs!$B$17+Inputs!$B$18+Inputs!$B$19)+(O277+Inputs!$B$18+Inputs!$B$19),0)+MAX(AG277,0)*(Inputs!$B$20+Inputs!$B$22+Inputs!$B$23)+MAX(-AG277,0)*(Inputs!$B$21+Inputs!$B$22+Inputs!$B$23)</f>
        <v>0</v>
      </c>
      <c r="AI277" s="30" t="n">
        <f aca="false">AB276*(M277-AD276*J277)+AB276*AD276*N277/Inputs!$B$16-AH277</f>
        <v>0</v>
      </c>
      <c r="AJ277" s="30" t="n">
        <f aca="false">MAX(AE277,0)*(Inputs!$B$17+Inputs!$B$24+Inputs!$B$25)+MAX(-AE277,0)*(O277+Inputs!$B$24+Inputs!$B$25)+IF(AND(K277=1,AB277&lt;&gt;0),(Inputs!$B$17+Inputs!$B$24+Inputs!$B$25)+(O277+Inputs!$B$24+Inputs!$B$25),0)+MAX(AG277,0)*(Inputs!$B$20+Inputs!$B$26+Inputs!$B$27)+MAX(-AG277,0)*(Inputs!$B$21+Inputs!$B$26+Inputs!$B$27)</f>
        <v>0</v>
      </c>
      <c r="AK277" s="30" t="n">
        <f aca="false">AB276*(M277-AD276*J277)+AB276*AD276*(N277+Inputs!$B$14)/Inputs!$B$16-AJ277</f>
        <v>0</v>
      </c>
      <c r="AL277" s="30" t="n">
        <f aca="false">IF(AP276&lt;&gt;0,AQ276+1,0)</f>
        <v>0</v>
      </c>
      <c r="AM277" s="30" t="n">
        <f aca="false">IF(W277="",0,IF(AND(AP276&lt;&gt;0,OR(ABS(W277)&gt;Inputs!$B$7,AL277&gt;=Inputs!$B$8,ABS(W277)&lt;Inputs!$B$6)),1,0))</f>
        <v>0</v>
      </c>
      <c r="AN277" s="30" t="n">
        <f aca="false">IF(AM277=1,0,AP276)</f>
        <v>0</v>
      </c>
      <c r="AO277" s="30" t="n">
        <f aca="false">IF(W277="",0,IF(AND(AN277=0,ABS(W277)&gt;Inputs!$B$5,ABS(W277)&lt;=Inputs!$B$7,W277&gt;0),1,0))</f>
        <v>0</v>
      </c>
      <c r="AP277" s="30" t="n">
        <f aca="false">IF(W277="",0,IF(AO277=1,-SIGN(W277),AN277))</f>
        <v>0</v>
      </c>
      <c r="AQ277" s="30" t="n">
        <f aca="false">IF(W277="",0,IF(AO277=1,0,IF(AM277=1,0,AL277)))</f>
        <v>0</v>
      </c>
      <c r="AR277" s="30" t="n">
        <f aca="false">IF(AP277=0,0,IF(AP276=AP277,AR276,T277))</f>
        <v>0</v>
      </c>
      <c r="AS277" s="30" t="n">
        <f aca="false">AP277-AP276</f>
        <v>0</v>
      </c>
      <c r="AT277" s="30" t="n">
        <f aca="false">-AR277*AP277</f>
        <v>-0</v>
      </c>
      <c r="AU277" s="30" t="n">
        <f aca="false">AT277-AT276</f>
        <v>0</v>
      </c>
      <c r="AV277" s="30" t="n">
        <f aca="false">MAX(AS277,0)*(Inputs!$B$17+Inputs!$B$18+Inputs!$B$19)+MAX(-AS277,0)*(O277+Inputs!$B$18+Inputs!$B$19)+IF(AND(K277=1,AP277&lt;&gt;0),(Inputs!$B$17+Inputs!$B$18+Inputs!$B$19)+(O277+Inputs!$B$18+Inputs!$B$19),0)+MAX(AU277,0)*(Inputs!$B$20+Inputs!$B$22+Inputs!$B$23)+MAX(-AU277,0)*(Inputs!$B$21+Inputs!$B$22+Inputs!$B$23)</f>
        <v>0</v>
      </c>
      <c r="AW277" s="30" t="n">
        <f aca="false">AP276*(M277-AR276*J277)+AP276*AR276*N277/Inputs!$B$16-AV277</f>
        <v>0</v>
      </c>
      <c r="AX277" s="30" t="n">
        <f aca="false">AW277-IF(AP276&lt;&gt;0,0.75*AR276*(Inputs!$B$13-N277)/Inputs!$B$16,0)</f>
        <v>0</v>
      </c>
      <c r="AY277" s="30" t="n">
        <f aca="false">MAX(AS277,0)*(Inputs!$B$17+Inputs!$B$18+Inputs!$B$19)+MAX(-AS277,0)*(O277+Inputs!$B$18+Inputs!$B$19)+IF(AND(K277=1,AP277&lt;&gt;0),(Inputs!$B$17+Inputs!$B$18+Inputs!$B$19)+(O277+Inputs!$B$18+Inputs!$B$19),0)</f>
        <v>0</v>
      </c>
      <c r="AZ277" s="30" t="n">
        <f aca="false">AP276*M277-AY277</f>
        <v>0</v>
      </c>
      <c r="BA277" s="32" t="n">
        <f aca="false">BA276+AI277</f>
        <v>-0.00574530534633948</v>
      </c>
      <c r="BB277" s="30" t="n">
        <f aca="false">MAX(BB276,BA277)</f>
        <v>0</v>
      </c>
      <c r="BC277" s="32" t="n">
        <f aca="false">BA277-BB277</f>
        <v>-0.00574530534633948</v>
      </c>
      <c r="BD277" s="30" t="n">
        <f aca="false">A278-A277</f>
        <v>1</v>
      </c>
    </row>
    <row r="278" customFormat="false" ht="15" hidden="false" customHeight="false" outlineLevel="0" collapsed="false">
      <c r="A278" s="28" t="n">
        <v>45449</v>
      </c>
      <c r="B278" s="0" t="n">
        <v>22930.7</v>
      </c>
      <c r="C278" s="0" t="n">
        <v>253.3</v>
      </c>
      <c r="D278" s="29" t="n">
        <f aca="false">LN(B278)</f>
        <v>10.040231903079</v>
      </c>
      <c r="E278" s="29" t="n">
        <f aca="false">LN(C278)</f>
        <v>5.53457455700763</v>
      </c>
      <c r="F278" s="0" t="n">
        <v>273</v>
      </c>
      <c r="G278" s="0" t="n">
        <v>21</v>
      </c>
      <c r="H278" s="29" t="n">
        <f aca="false">D278-E278</f>
        <v>4.50565734607134</v>
      </c>
      <c r="I278" s="29" t="n">
        <f aca="false">D278-D277</f>
        <v>0.0151463787953521</v>
      </c>
      <c r="J278" s="29" t="n">
        <f aca="false">E278-E277</f>
        <v>0.00932084090668717</v>
      </c>
      <c r="K278" s="0" t="n">
        <v>0</v>
      </c>
      <c r="L278" s="0" t="n">
        <v>0</v>
      </c>
      <c r="M278" s="29" t="n">
        <f aca="false">IF(L278=1,J278-Carry!$B$9/Inputs!$B$16,I278)</f>
        <v>0.0151463787953521</v>
      </c>
      <c r="N278" s="0" t="n">
        <v>0.065</v>
      </c>
      <c r="O278" s="0" t="n">
        <v>0.000125</v>
      </c>
      <c r="P278" s="29" t="n">
        <f aca="false">D278-('2 Hedge ratio'!$B$6+'2 Hedge ratio'!$B$5*E278)</f>
        <v>0.00803996901002435</v>
      </c>
      <c r="Q278" s="29" t="n">
        <f aca="false">D278-('5 Re-specification'!$B$7+'5 Re-specification'!$B$5*E278+'5 Re-specification'!$B$6*F278)</f>
        <v>0.00349455727615577</v>
      </c>
      <c r="R278" s="30" t="n">
        <f aca="false">MIN(F278,Inputs!$B$9)</f>
        <v>250</v>
      </c>
      <c r="S278" s="29" t="n">
        <f aca="true">IF(AND(F278&gt;=1,R278&gt;=Inputs!$B$10),INDEX(LINEST(OFFSET(D278,-R278,0,R278,1),OFFSET(E278,-R278,0,R278,2)),1,1),"")</f>
        <v>-7.37425035071656E-005</v>
      </c>
      <c r="T278" s="29" t="n">
        <f aca="true">IF(AND(F278&gt;=1,R278&gt;=Inputs!$B$10),INDEX(LINEST(OFFSET(D278,-R278,0,R278,1),OFFSET(E278,-R278,0,R278,2)),1,2),"")</f>
        <v>1.03980986503737</v>
      </c>
      <c r="U278" s="29" t="n">
        <f aca="true">IF(AND(F278&gt;=1,R278&gt;=Inputs!$B$10),INDEX(LINEST(OFFSET(D278,-R278,0,R278,1),OFFSET(E278,-R278,0,R278,2)),1,3),"")</f>
        <v>4.30293794595483</v>
      </c>
      <c r="V278" s="29" t="n">
        <f aca="true">IF(AND(F278&gt;=1,R278&gt;=Inputs!$B$10),SQRT(SUMPRODUCT((OFFSET(D278,-R278,0,R278,1)-U278-T278*OFFSET(E278,-R278,0,R278,1)-S278*OFFSET(F278,-R278,0,R278,1))^2)/(R278-3)),"")</f>
        <v>0.0033892064649061</v>
      </c>
      <c r="W278" s="31" t="n">
        <f aca="false">IF(AND(F278&gt;=1,R278&gt;=Inputs!$B$10),(D278-U278-T278*E278-S278*F278)/V278,"")</f>
        <v>0.743665942552317</v>
      </c>
      <c r="X278" s="30" t="n">
        <f aca="false">IF(AB277&lt;&gt;0,AC277+1,0)</f>
        <v>0</v>
      </c>
      <c r="Y278" s="30" t="n">
        <f aca="false">IF(W278="",0,IF(AND(AB277&lt;&gt;0,OR(ABS(W278)&gt;Inputs!$B$7,X278&gt;=Inputs!$B$8,ABS(W278)&lt;Inputs!$B$6)),1,0))</f>
        <v>0</v>
      </c>
      <c r="Z278" s="30" t="n">
        <f aca="false">IF(Y278=1,0,AB277)</f>
        <v>0</v>
      </c>
      <c r="AA278" s="30" t="n">
        <f aca="false">IF(W278="",0,IF(AND(Z278=0,ABS(W278)&gt;Inputs!$B$5,ABS(W278)&lt;=Inputs!$B$7),1,0))</f>
        <v>0</v>
      </c>
      <c r="AB278" s="30" t="n">
        <f aca="false">IF(W278="",0,IF(AA278=1,-SIGN(W278),Z278))</f>
        <v>0</v>
      </c>
      <c r="AC278" s="30" t="n">
        <f aca="false">IF(W278="",0,IF(AA278=1,0,IF(Y278=1,0,X278)))</f>
        <v>0</v>
      </c>
      <c r="AD278" s="30" t="n">
        <f aca="false">IF(AB278=0,0,IF(AB277=AB278,AD277,T278))</f>
        <v>0</v>
      </c>
      <c r="AE278" s="30" t="n">
        <f aca="false">AB278-AB277</f>
        <v>0</v>
      </c>
      <c r="AF278" s="30" t="n">
        <f aca="false">-AD278*AB278</f>
        <v>-0</v>
      </c>
      <c r="AG278" s="30" t="n">
        <f aca="false">AF278-AF277</f>
        <v>0</v>
      </c>
      <c r="AH278" s="30" t="n">
        <f aca="false">MAX(AE278,0)*(Inputs!$B$17+Inputs!$B$18+Inputs!$B$19)+MAX(-AE278,0)*(O278+Inputs!$B$18+Inputs!$B$19)+IF(AND(K278=1,AB278&lt;&gt;0),(Inputs!$B$17+Inputs!$B$18+Inputs!$B$19)+(O278+Inputs!$B$18+Inputs!$B$19),0)+MAX(AG278,0)*(Inputs!$B$20+Inputs!$B$22+Inputs!$B$23)+MAX(-AG278,0)*(Inputs!$B$21+Inputs!$B$22+Inputs!$B$23)</f>
        <v>0</v>
      </c>
      <c r="AI278" s="30" t="n">
        <f aca="false">AB277*(M278-AD277*J278)+AB277*AD277*N278/Inputs!$B$16-AH278</f>
        <v>0</v>
      </c>
      <c r="AJ278" s="30" t="n">
        <f aca="false">MAX(AE278,0)*(Inputs!$B$17+Inputs!$B$24+Inputs!$B$25)+MAX(-AE278,0)*(O278+Inputs!$B$24+Inputs!$B$25)+IF(AND(K278=1,AB278&lt;&gt;0),(Inputs!$B$17+Inputs!$B$24+Inputs!$B$25)+(O278+Inputs!$B$24+Inputs!$B$25),0)+MAX(AG278,0)*(Inputs!$B$20+Inputs!$B$26+Inputs!$B$27)+MAX(-AG278,0)*(Inputs!$B$21+Inputs!$B$26+Inputs!$B$27)</f>
        <v>0</v>
      </c>
      <c r="AK278" s="30" t="n">
        <f aca="false">AB277*(M278-AD277*J278)+AB277*AD277*(N278+Inputs!$B$14)/Inputs!$B$16-AJ278</f>
        <v>0</v>
      </c>
      <c r="AL278" s="30" t="n">
        <f aca="false">IF(AP277&lt;&gt;0,AQ277+1,0)</f>
        <v>0</v>
      </c>
      <c r="AM278" s="30" t="n">
        <f aca="false">IF(W278="",0,IF(AND(AP277&lt;&gt;0,OR(ABS(W278)&gt;Inputs!$B$7,AL278&gt;=Inputs!$B$8,ABS(W278)&lt;Inputs!$B$6)),1,0))</f>
        <v>0</v>
      </c>
      <c r="AN278" s="30" t="n">
        <f aca="false">IF(AM278=1,0,AP277)</f>
        <v>0</v>
      </c>
      <c r="AO278" s="30" t="n">
        <f aca="false">IF(W278="",0,IF(AND(AN278=0,ABS(W278)&gt;Inputs!$B$5,ABS(W278)&lt;=Inputs!$B$7,W278&gt;0),1,0))</f>
        <v>0</v>
      </c>
      <c r="AP278" s="30" t="n">
        <f aca="false">IF(W278="",0,IF(AO278=1,-SIGN(W278),AN278))</f>
        <v>0</v>
      </c>
      <c r="AQ278" s="30" t="n">
        <f aca="false">IF(W278="",0,IF(AO278=1,0,IF(AM278=1,0,AL278)))</f>
        <v>0</v>
      </c>
      <c r="AR278" s="30" t="n">
        <f aca="false">IF(AP278=0,0,IF(AP277=AP278,AR277,T278))</f>
        <v>0</v>
      </c>
      <c r="AS278" s="30" t="n">
        <f aca="false">AP278-AP277</f>
        <v>0</v>
      </c>
      <c r="AT278" s="30" t="n">
        <f aca="false">-AR278*AP278</f>
        <v>-0</v>
      </c>
      <c r="AU278" s="30" t="n">
        <f aca="false">AT278-AT277</f>
        <v>0</v>
      </c>
      <c r="AV278" s="30" t="n">
        <f aca="false">MAX(AS278,0)*(Inputs!$B$17+Inputs!$B$18+Inputs!$B$19)+MAX(-AS278,0)*(O278+Inputs!$B$18+Inputs!$B$19)+IF(AND(K278=1,AP278&lt;&gt;0),(Inputs!$B$17+Inputs!$B$18+Inputs!$B$19)+(O278+Inputs!$B$18+Inputs!$B$19),0)+MAX(AU278,0)*(Inputs!$B$20+Inputs!$B$22+Inputs!$B$23)+MAX(-AU278,0)*(Inputs!$B$21+Inputs!$B$22+Inputs!$B$23)</f>
        <v>0</v>
      </c>
      <c r="AW278" s="30" t="n">
        <f aca="false">AP277*(M278-AR277*J278)+AP277*AR277*N278/Inputs!$B$16-AV278</f>
        <v>0</v>
      </c>
      <c r="AX278" s="30" t="n">
        <f aca="false">AW278-IF(AP277&lt;&gt;0,0.75*AR277*(Inputs!$B$13-N278)/Inputs!$B$16,0)</f>
        <v>0</v>
      </c>
      <c r="AY278" s="30" t="n">
        <f aca="false">MAX(AS278,0)*(Inputs!$B$17+Inputs!$B$18+Inputs!$B$19)+MAX(-AS278,0)*(O278+Inputs!$B$18+Inputs!$B$19)+IF(AND(K278=1,AP278&lt;&gt;0),(Inputs!$B$17+Inputs!$B$18+Inputs!$B$19)+(O278+Inputs!$B$18+Inputs!$B$19),0)</f>
        <v>0</v>
      </c>
      <c r="AZ278" s="30" t="n">
        <f aca="false">AP277*M278-AY278</f>
        <v>0</v>
      </c>
      <c r="BA278" s="32" t="n">
        <f aca="false">BA277+AI278</f>
        <v>-0.00574530534633948</v>
      </c>
      <c r="BB278" s="30" t="n">
        <f aca="false">MAX(BB277,BA278)</f>
        <v>0</v>
      </c>
      <c r="BC278" s="32" t="n">
        <f aca="false">BA278-BB278</f>
        <v>-0.00574530534633948</v>
      </c>
      <c r="BD278" s="30" t="n">
        <f aca="false">A279-A278</f>
        <v>1</v>
      </c>
    </row>
    <row r="279" customFormat="false" ht="15" hidden="false" customHeight="false" outlineLevel="0" collapsed="false">
      <c r="A279" s="28" t="n">
        <v>45450</v>
      </c>
      <c r="B279" s="0" t="n">
        <v>23339.85</v>
      </c>
      <c r="C279" s="0" t="n">
        <v>258.3</v>
      </c>
      <c r="D279" s="29" t="n">
        <f aca="false">LN(B279)</f>
        <v>10.0579174790847</v>
      </c>
      <c r="E279" s="29" t="n">
        <f aca="false">LN(C279)</f>
        <v>5.5541217001018</v>
      </c>
      <c r="F279" s="0" t="n">
        <v>274</v>
      </c>
      <c r="G279" s="0" t="n">
        <v>20</v>
      </c>
      <c r="H279" s="29" t="n">
        <f aca="false">D279-E279</f>
        <v>4.50379577898288</v>
      </c>
      <c r="I279" s="29" t="n">
        <f aca="false">D279-D278</f>
        <v>0.0176855760057091</v>
      </c>
      <c r="J279" s="29" t="n">
        <f aca="false">E279-E278</f>
        <v>0.0195471430941652</v>
      </c>
      <c r="K279" s="0" t="n">
        <v>0</v>
      </c>
      <c r="L279" s="0" t="n">
        <v>0</v>
      </c>
      <c r="M279" s="29" t="n">
        <f aca="false">IF(L279=1,J279-Carry!$B$9/Inputs!$B$16,I279)</f>
        <v>0.0176855760057091</v>
      </c>
      <c r="N279" s="0" t="n">
        <v>0.065</v>
      </c>
      <c r="O279" s="0" t="n">
        <v>0.000125</v>
      </c>
      <c r="P279" s="29" t="n">
        <f aca="false">D279-('2 Hedge ratio'!$B$6+'2 Hedge ratio'!$B$5*E279)</f>
        <v>0.00781788416034424</v>
      </c>
      <c r="Q279" s="29" t="n">
        <f aca="false">D279-('5 Re-specification'!$B$7+'5 Re-specification'!$B$5*E279+'5 Re-specification'!$B$6*F279)</f>
        <v>0.00173715712335643</v>
      </c>
      <c r="R279" s="30" t="n">
        <f aca="false">MIN(F279,Inputs!$B$9)</f>
        <v>250</v>
      </c>
      <c r="S279" s="29" t="n">
        <f aca="true">IF(AND(F279&gt;=1,R279&gt;=Inputs!$B$10),INDEX(LINEST(OFFSET(D279,-R279,0,R279,1),OFFSET(E279,-R279,0,R279,2)),1,1),"")</f>
        <v>-7.31038140531272E-005</v>
      </c>
      <c r="T279" s="29" t="n">
        <f aca="true">IF(AND(F279&gt;=1,R279&gt;=Inputs!$B$10),INDEX(LINEST(OFFSET(D279,-R279,0,R279,1),OFFSET(E279,-R279,0,R279,2)),1,2),"")</f>
        <v>1.03975088612568</v>
      </c>
      <c r="U279" s="29" t="n">
        <f aca="true">IF(AND(F279&gt;=1,R279&gt;=Inputs!$B$10),INDEX(LINEST(OFFSET(D279,-R279,0,R279,1),OFFSET(E279,-R279,0,R279,2)),1,3),"")</f>
        <v>4.30315928854683</v>
      </c>
      <c r="V279" s="29" t="n">
        <f aca="true">IF(AND(F279&gt;=1,R279&gt;=Inputs!$B$10),SQRT(SUMPRODUCT((OFFSET(D279,-R279,0,R279,1)-U279-T279*OFFSET(E279,-R279,0,R279,1)-S279*OFFSET(F279,-R279,0,R279,1))^2)/(R279-3)),"")</f>
        <v>0.00338507460576125</v>
      </c>
      <c r="W279" s="31" t="n">
        <f aca="false">IF(AND(F279&gt;=1,R279&gt;=Inputs!$B$10),(D279-U279-T279*E279-S279*F279)/V279,"")</f>
        <v>-0.0337728870521113</v>
      </c>
      <c r="X279" s="30" t="n">
        <f aca="false">IF(AB278&lt;&gt;0,AC278+1,0)</f>
        <v>0</v>
      </c>
      <c r="Y279" s="30" t="n">
        <f aca="false">IF(W279="",0,IF(AND(AB278&lt;&gt;0,OR(ABS(W279)&gt;Inputs!$B$7,X279&gt;=Inputs!$B$8,ABS(W279)&lt;Inputs!$B$6)),1,0))</f>
        <v>0</v>
      </c>
      <c r="Z279" s="30" t="n">
        <f aca="false">IF(Y279=1,0,AB278)</f>
        <v>0</v>
      </c>
      <c r="AA279" s="30" t="n">
        <f aca="false">IF(W279="",0,IF(AND(Z279=0,ABS(W279)&gt;Inputs!$B$5,ABS(W279)&lt;=Inputs!$B$7),1,0))</f>
        <v>0</v>
      </c>
      <c r="AB279" s="30" t="n">
        <f aca="false">IF(W279="",0,IF(AA279=1,-SIGN(W279),Z279))</f>
        <v>0</v>
      </c>
      <c r="AC279" s="30" t="n">
        <f aca="false">IF(W279="",0,IF(AA279=1,0,IF(Y279=1,0,X279)))</f>
        <v>0</v>
      </c>
      <c r="AD279" s="30" t="n">
        <f aca="false">IF(AB279=0,0,IF(AB278=AB279,AD278,T279))</f>
        <v>0</v>
      </c>
      <c r="AE279" s="30" t="n">
        <f aca="false">AB279-AB278</f>
        <v>0</v>
      </c>
      <c r="AF279" s="30" t="n">
        <f aca="false">-AD279*AB279</f>
        <v>-0</v>
      </c>
      <c r="AG279" s="30" t="n">
        <f aca="false">AF279-AF278</f>
        <v>0</v>
      </c>
      <c r="AH279" s="30" t="n">
        <f aca="false">MAX(AE279,0)*(Inputs!$B$17+Inputs!$B$18+Inputs!$B$19)+MAX(-AE279,0)*(O279+Inputs!$B$18+Inputs!$B$19)+IF(AND(K279=1,AB279&lt;&gt;0),(Inputs!$B$17+Inputs!$B$18+Inputs!$B$19)+(O279+Inputs!$B$18+Inputs!$B$19),0)+MAX(AG279,0)*(Inputs!$B$20+Inputs!$B$22+Inputs!$B$23)+MAX(-AG279,0)*(Inputs!$B$21+Inputs!$B$22+Inputs!$B$23)</f>
        <v>0</v>
      </c>
      <c r="AI279" s="30" t="n">
        <f aca="false">AB278*(M279-AD278*J279)+AB278*AD278*N279/Inputs!$B$16-AH279</f>
        <v>0</v>
      </c>
      <c r="AJ279" s="30" t="n">
        <f aca="false">MAX(AE279,0)*(Inputs!$B$17+Inputs!$B$24+Inputs!$B$25)+MAX(-AE279,0)*(O279+Inputs!$B$24+Inputs!$B$25)+IF(AND(K279=1,AB279&lt;&gt;0),(Inputs!$B$17+Inputs!$B$24+Inputs!$B$25)+(O279+Inputs!$B$24+Inputs!$B$25),0)+MAX(AG279,0)*(Inputs!$B$20+Inputs!$B$26+Inputs!$B$27)+MAX(-AG279,0)*(Inputs!$B$21+Inputs!$B$26+Inputs!$B$27)</f>
        <v>0</v>
      </c>
      <c r="AK279" s="30" t="n">
        <f aca="false">AB278*(M279-AD278*J279)+AB278*AD278*(N279+Inputs!$B$14)/Inputs!$B$16-AJ279</f>
        <v>0</v>
      </c>
      <c r="AL279" s="30" t="n">
        <f aca="false">IF(AP278&lt;&gt;0,AQ278+1,0)</f>
        <v>0</v>
      </c>
      <c r="AM279" s="30" t="n">
        <f aca="false">IF(W279="",0,IF(AND(AP278&lt;&gt;0,OR(ABS(W279)&gt;Inputs!$B$7,AL279&gt;=Inputs!$B$8,ABS(W279)&lt;Inputs!$B$6)),1,0))</f>
        <v>0</v>
      </c>
      <c r="AN279" s="30" t="n">
        <f aca="false">IF(AM279=1,0,AP278)</f>
        <v>0</v>
      </c>
      <c r="AO279" s="30" t="n">
        <f aca="false">IF(W279="",0,IF(AND(AN279=0,ABS(W279)&gt;Inputs!$B$5,ABS(W279)&lt;=Inputs!$B$7,W279&gt;0),1,0))</f>
        <v>0</v>
      </c>
      <c r="AP279" s="30" t="n">
        <f aca="false">IF(W279="",0,IF(AO279=1,-SIGN(W279),AN279))</f>
        <v>0</v>
      </c>
      <c r="AQ279" s="30" t="n">
        <f aca="false">IF(W279="",0,IF(AO279=1,0,IF(AM279=1,0,AL279)))</f>
        <v>0</v>
      </c>
      <c r="AR279" s="30" t="n">
        <f aca="false">IF(AP279=0,0,IF(AP278=AP279,AR278,T279))</f>
        <v>0</v>
      </c>
      <c r="AS279" s="30" t="n">
        <f aca="false">AP279-AP278</f>
        <v>0</v>
      </c>
      <c r="AT279" s="30" t="n">
        <f aca="false">-AR279*AP279</f>
        <v>-0</v>
      </c>
      <c r="AU279" s="30" t="n">
        <f aca="false">AT279-AT278</f>
        <v>0</v>
      </c>
      <c r="AV279" s="30" t="n">
        <f aca="false">MAX(AS279,0)*(Inputs!$B$17+Inputs!$B$18+Inputs!$B$19)+MAX(-AS279,0)*(O279+Inputs!$B$18+Inputs!$B$19)+IF(AND(K279=1,AP279&lt;&gt;0),(Inputs!$B$17+Inputs!$B$18+Inputs!$B$19)+(O279+Inputs!$B$18+Inputs!$B$19),0)+MAX(AU279,0)*(Inputs!$B$20+Inputs!$B$22+Inputs!$B$23)+MAX(-AU279,0)*(Inputs!$B$21+Inputs!$B$22+Inputs!$B$23)</f>
        <v>0</v>
      </c>
      <c r="AW279" s="30" t="n">
        <f aca="false">AP278*(M279-AR278*J279)+AP278*AR278*N279/Inputs!$B$16-AV279</f>
        <v>0</v>
      </c>
      <c r="AX279" s="30" t="n">
        <f aca="false">AW279-IF(AP278&lt;&gt;0,0.75*AR278*(Inputs!$B$13-N279)/Inputs!$B$16,0)</f>
        <v>0</v>
      </c>
      <c r="AY279" s="30" t="n">
        <f aca="false">MAX(AS279,0)*(Inputs!$B$17+Inputs!$B$18+Inputs!$B$19)+MAX(-AS279,0)*(O279+Inputs!$B$18+Inputs!$B$19)+IF(AND(K279=1,AP279&lt;&gt;0),(Inputs!$B$17+Inputs!$B$18+Inputs!$B$19)+(O279+Inputs!$B$18+Inputs!$B$19),0)</f>
        <v>0</v>
      </c>
      <c r="AZ279" s="30" t="n">
        <f aca="false">AP278*M279-AY279</f>
        <v>0</v>
      </c>
      <c r="BA279" s="32" t="n">
        <f aca="false">BA278+AI279</f>
        <v>-0.00574530534633948</v>
      </c>
      <c r="BB279" s="30" t="n">
        <f aca="false">MAX(BB278,BA279)</f>
        <v>0</v>
      </c>
      <c r="BC279" s="32" t="n">
        <f aca="false">BA279-BB279</f>
        <v>-0.00574530534633948</v>
      </c>
      <c r="BD279" s="30" t="n">
        <f aca="false">A280-A279</f>
        <v>3</v>
      </c>
    </row>
    <row r="280" customFormat="false" ht="15" hidden="false" customHeight="false" outlineLevel="0" collapsed="false">
      <c r="A280" s="28" t="n">
        <v>45453</v>
      </c>
      <c r="B280" s="0" t="n">
        <v>23231.1</v>
      </c>
      <c r="C280" s="0" t="n">
        <v>257.94</v>
      </c>
      <c r="D280" s="29" t="n">
        <f aca="false">LN(B280)</f>
        <v>10.0532471772047</v>
      </c>
      <c r="E280" s="29" t="n">
        <f aca="false">LN(C280)</f>
        <v>5.55272699973625</v>
      </c>
      <c r="F280" s="0" t="n">
        <v>275</v>
      </c>
      <c r="G280" s="0" t="n">
        <v>17</v>
      </c>
      <c r="H280" s="29" t="n">
        <f aca="false">D280-E280</f>
        <v>4.50052017746846</v>
      </c>
      <c r="I280" s="29" t="n">
        <f aca="false">D280-D279</f>
        <v>-0.00467030187997608</v>
      </c>
      <c r="J280" s="29" t="n">
        <f aca="false">E280-E279</f>
        <v>-0.00139470036554989</v>
      </c>
      <c r="K280" s="0" t="n">
        <v>0</v>
      </c>
      <c r="L280" s="0" t="n">
        <v>0</v>
      </c>
      <c r="M280" s="29" t="n">
        <f aca="false">IF(L280=1,J280-Carry!$B$9/Inputs!$B$16,I280)</f>
        <v>-0.00467030187997608</v>
      </c>
      <c r="N280" s="0" t="n">
        <v>0.065</v>
      </c>
      <c r="O280" s="0" t="n">
        <v>0.000125</v>
      </c>
      <c r="P280" s="29" t="n">
        <f aca="false">D280-('2 Hedge ratio'!$B$6+'2 Hedge ratio'!$B$5*E280)</f>
        <v>0.00442530460637869</v>
      </c>
      <c r="Q280" s="29" t="n">
        <f aca="false">D280-('5 Re-specification'!$B$7+'5 Re-specification'!$B$5*E280+'5 Re-specification'!$B$6*F280)</f>
        <v>-0.00149774171245909</v>
      </c>
      <c r="R280" s="30" t="n">
        <f aca="false">MIN(F280,Inputs!$B$9)</f>
        <v>250</v>
      </c>
      <c r="S280" s="29" t="n">
        <f aca="true">IF(AND(F280&gt;=1,R280&gt;=Inputs!$B$10),INDEX(LINEST(OFFSET(D280,-R280,0,R280,1),OFFSET(E280,-R280,0,R280,2)),1,1),"")</f>
        <v>-7.27837760401955E-005</v>
      </c>
      <c r="T280" s="29" t="n">
        <f aca="true">IF(AND(F280&gt;=1,R280&gt;=Inputs!$B$10),INDEX(LINEST(OFFSET(D280,-R280,0,R280,1),OFFSET(E280,-R280,0,R280,2)),1,2),"")</f>
        <v>1.0398105057122</v>
      </c>
      <c r="U280" s="29" t="n">
        <f aca="true">IF(AND(F280&gt;=1,R280&gt;=Inputs!$B$10),INDEX(LINEST(OFFSET(D280,-R280,0,R280,1),OFFSET(E280,-R280,0,R280,2)),1,3),"")</f>
        <v>4.3027710778735</v>
      </c>
      <c r="V280" s="29" t="n">
        <f aca="true">IF(AND(F280&gt;=1,R280&gt;=Inputs!$B$10),SQRT(SUMPRODUCT((OFFSET(D280,-R280,0,R280,1)-U280-T280*OFFSET(E280,-R280,0,R280,1)-S280*OFFSET(F280,-R280,0,R280,1))^2)/(R280-3)),"")</f>
        <v>0.00337541593310936</v>
      </c>
      <c r="W280" s="31" t="n">
        <f aca="false">IF(AND(F280&gt;=1,R280&gt;=Inputs!$B$10),(D280-U280-T280*E280-S280*F280)/V280,"")</f>
        <v>-0.975355926652666</v>
      </c>
      <c r="X280" s="30" t="n">
        <f aca="false">IF(AB279&lt;&gt;0,AC279+1,0)</f>
        <v>0</v>
      </c>
      <c r="Y280" s="30" t="n">
        <f aca="false">IF(W280="",0,IF(AND(AB279&lt;&gt;0,OR(ABS(W280)&gt;Inputs!$B$7,X280&gt;=Inputs!$B$8,ABS(W280)&lt;Inputs!$B$6)),1,0))</f>
        <v>0</v>
      </c>
      <c r="Z280" s="30" t="n">
        <f aca="false">IF(Y280=1,0,AB279)</f>
        <v>0</v>
      </c>
      <c r="AA280" s="30" t="n">
        <f aca="false">IF(W280="",0,IF(AND(Z280=0,ABS(W280)&gt;Inputs!$B$5,ABS(W280)&lt;=Inputs!$B$7),1,0))</f>
        <v>0</v>
      </c>
      <c r="AB280" s="30" t="n">
        <f aca="false">IF(W280="",0,IF(AA280=1,-SIGN(W280),Z280))</f>
        <v>0</v>
      </c>
      <c r="AC280" s="30" t="n">
        <f aca="false">IF(W280="",0,IF(AA280=1,0,IF(Y280=1,0,X280)))</f>
        <v>0</v>
      </c>
      <c r="AD280" s="30" t="n">
        <f aca="false">IF(AB280=0,0,IF(AB279=AB280,AD279,T280))</f>
        <v>0</v>
      </c>
      <c r="AE280" s="30" t="n">
        <f aca="false">AB280-AB279</f>
        <v>0</v>
      </c>
      <c r="AF280" s="30" t="n">
        <f aca="false">-AD280*AB280</f>
        <v>-0</v>
      </c>
      <c r="AG280" s="30" t="n">
        <f aca="false">AF280-AF279</f>
        <v>0</v>
      </c>
      <c r="AH280" s="30" t="n">
        <f aca="false">MAX(AE280,0)*(Inputs!$B$17+Inputs!$B$18+Inputs!$B$19)+MAX(-AE280,0)*(O280+Inputs!$B$18+Inputs!$B$19)+IF(AND(K280=1,AB280&lt;&gt;0),(Inputs!$B$17+Inputs!$B$18+Inputs!$B$19)+(O280+Inputs!$B$18+Inputs!$B$19),0)+MAX(AG280,0)*(Inputs!$B$20+Inputs!$B$22+Inputs!$B$23)+MAX(-AG280,0)*(Inputs!$B$21+Inputs!$B$22+Inputs!$B$23)</f>
        <v>0</v>
      </c>
      <c r="AI280" s="30" t="n">
        <f aca="false">AB279*(M280-AD279*J280)+AB279*AD279*N280/Inputs!$B$16-AH280</f>
        <v>0</v>
      </c>
      <c r="AJ280" s="30" t="n">
        <f aca="false">MAX(AE280,0)*(Inputs!$B$17+Inputs!$B$24+Inputs!$B$25)+MAX(-AE280,0)*(O280+Inputs!$B$24+Inputs!$B$25)+IF(AND(K280=1,AB280&lt;&gt;0),(Inputs!$B$17+Inputs!$B$24+Inputs!$B$25)+(O280+Inputs!$B$24+Inputs!$B$25),0)+MAX(AG280,0)*(Inputs!$B$20+Inputs!$B$26+Inputs!$B$27)+MAX(-AG280,0)*(Inputs!$B$21+Inputs!$B$26+Inputs!$B$27)</f>
        <v>0</v>
      </c>
      <c r="AK280" s="30" t="n">
        <f aca="false">AB279*(M280-AD279*J280)+AB279*AD279*(N280+Inputs!$B$14)/Inputs!$B$16-AJ280</f>
        <v>0</v>
      </c>
      <c r="AL280" s="30" t="n">
        <f aca="false">IF(AP279&lt;&gt;0,AQ279+1,0)</f>
        <v>0</v>
      </c>
      <c r="AM280" s="30" t="n">
        <f aca="false">IF(W280="",0,IF(AND(AP279&lt;&gt;0,OR(ABS(W280)&gt;Inputs!$B$7,AL280&gt;=Inputs!$B$8,ABS(W280)&lt;Inputs!$B$6)),1,0))</f>
        <v>0</v>
      </c>
      <c r="AN280" s="30" t="n">
        <f aca="false">IF(AM280=1,0,AP279)</f>
        <v>0</v>
      </c>
      <c r="AO280" s="30" t="n">
        <f aca="false">IF(W280="",0,IF(AND(AN280=0,ABS(W280)&gt;Inputs!$B$5,ABS(W280)&lt;=Inputs!$B$7,W280&gt;0),1,0))</f>
        <v>0</v>
      </c>
      <c r="AP280" s="30" t="n">
        <f aca="false">IF(W280="",0,IF(AO280=1,-SIGN(W280),AN280))</f>
        <v>0</v>
      </c>
      <c r="AQ280" s="30" t="n">
        <f aca="false">IF(W280="",0,IF(AO280=1,0,IF(AM280=1,0,AL280)))</f>
        <v>0</v>
      </c>
      <c r="AR280" s="30" t="n">
        <f aca="false">IF(AP280=0,0,IF(AP279=AP280,AR279,T280))</f>
        <v>0</v>
      </c>
      <c r="AS280" s="30" t="n">
        <f aca="false">AP280-AP279</f>
        <v>0</v>
      </c>
      <c r="AT280" s="30" t="n">
        <f aca="false">-AR280*AP280</f>
        <v>-0</v>
      </c>
      <c r="AU280" s="30" t="n">
        <f aca="false">AT280-AT279</f>
        <v>0</v>
      </c>
      <c r="AV280" s="30" t="n">
        <f aca="false">MAX(AS280,0)*(Inputs!$B$17+Inputs!$B$18+Inputs!$B$19)+MAX(-AS280,0)*(O280+Inputs!$B$18+Inputs!$B$19)+IF(AND(K280=1,AP280&lt;&gt;0),(Inputs!$B$17+Inputs!$B$18+Inputs!$B$19)+(O280+Inputs!$B$18+Inputs!$B$19),0)+MAX(AU280,0)*(Inputs!$B$20+Inputs!$B$22+Inputs!$B$23)+MAX(-AU280,0)*(Inputs!$B$21+Inputs!$B$22+Inputs!$B$23)</f>
        <v>0</v>
      </c>
      <c r="AW280" s="30" t="n">
        <f aca="false">AP279*(M280-AR279*J280)+AP279*AR279*N280/Inputs!$B$16-AV280</f>
        <v>0</v>
      </c>
      <c r="AX280" s="30" t="n">
        <f aca="false">AW280-IF(AP279&lt;&gt;0,0.75*AR279*(Inputs!$B$13-N280)/Inputs!$B$16,0)</f>
        <v>0</v>
      </c>
      <c r="AY280" s="30" t="n">
        <f aca="false">MAX(AS280,0)*(Inputs!$B$17+Inputs!$B$18+Inputs!$B$19)+MAX(-AS280,0)*(O280+Inputs!$B$18+Inputs!$B$19)+IF(AND(K280=1,AP280&lt;&gt;0),(Inputs!$B$17+Inputs!$B$18+Inputs!$B$19)+(O280+Inputs!$B$18+Inputs!$B$19),0)</f>
        <v>0</v>
      </c>
      <c r="AZ280" s="30" t="n">
        <f aca="false">AP279*M280-AY280</f>
        <v>-0</v>
      </c>
      <c r="BA280" s="32" t="n">
        <f aca="false">BA279+AI280</f>
        <v>-0.00574530534633948</v>
      </c>
      <c r="BB280" s="30" t="n">
        <f aca="false">MAX(BB279,BA280)</f>
        <v>0</v>
      </c>
      <c r="BC280" s="32" t="n">
        <f aca="false">BA280-BB280</f>
        <v>-0.00574530534633948</v>
      </c>
      <c r="BD280" s="30" t="n">
        <f aca="false">A281-A280</f>
        <v>1</v>
      </c>
    </row>
    <row r="281" customFormat="false" ht="15" hidden="false" customHeight="false" outlineLevel="0" collapsed="false">
      <c r="A281" s="28" t="n">
        <v>45454</v>
      </c>
      <c r="B281" s="0" t="n">
        <v>23310</v>
      </c>
      <c r="C281" s="0" t="n">
        <v>258.72</v>
      </c>
      <c r="D281" s="29" t="n">
        <f aca="false">LN(B281)</f>
        <v>10.0566377320298</v>
      </c>
      <c r="E281" s="29" t="n">
        <f aca="false">LN(C281)</f>
        <v>5.5557463958288</v>
      </c>
      <c r="F281" s="0" t="n">
        <v>276</v>
      </c>
      <c r="G281" s="0" t="n">
        <v>16</v>
      </c>
      <c r="H281" s="29" t="n">
        <f aca="false">D281-E281</f>
        <v>4.50089133620101</v>
      </c>
      <c r="I281" s="29" t="n">
        <f aca="false">D281-D280</f>
        <v>0.00339055482510098</v>
      </c>
      <c r="J281" s="29" t="n">
        <f aca="false">E281-E280</f>
        <v>0.00301939609255175</v>
      </c>
      <c r="K281" s="0" t="n">
        <v>0</v>
      </c>
      <c r="L281" s="0" t="n">
        <v>0</v>
      </c>
      <c r="M281" s="29" t="n">
        <f aca="false">IF(L281=1,J281-Carry!$B$9/Inputs!$B$16,I281)</f>
        <v>0.00339055482510098</v>
      </c>
      <c r="N281" s="0" t="n">
        <v>0.065</v>
      </c>
      <c r="O281" s="0" t="n">
        <v>0.000125</v>
      </c>
      <c r="P281" s="29" t="n">
        <f aca="false">D281-('2 Hedge ratio'!$B$6+'2 Hedge ratio'!$B$5*E281)</f>
        <v>0.00504970987432785</v>
      </c>
      <c r="Q281" s="29" t="n">
        <f aca="false">D281-('5 Re-specification'!$B$7+'5 Re-specification'!$B$5*E281+'5 Re-specification'!$B$6*F281)</f>
        <v>-0.00107250338188969</v>
      </c>
      <c r="R281" s="30" t="n">
        <f aca="false">MIN(F281,Inputs!$B$9)</f>
        <v>250</v>
      </c>
      <c r="S281" s="29" t="n">
        <f aca="true">IF(AND(F281&gt;=1,R281&gt;=Inputs!$B$10),INDEX(LINEST(OFFSET(D281,-R281,0,R281,1),OFFSET(E281,-R281,0,R281,2)),1,1),"")</f>
        <v>-7.26817847062825E-005</v>
      </c>
      <c r="T281" s="29" t="n">
        <f aca="true">IF(AND(F281&gt;=1,R281&gt;=Inputs!$B$10),INDEX(LINEST(OFFSET(D281,-R281,0,R281,1),OFFSET(E281,-R281,0,R281,2)),1,2),"")</f>
        <v>1.03973379751751</v>
      </c>
      <c r="U281" s="29" t="n">
        <f aca="true">IF(AND(F281&gt;=1,R281&gt;=Inputs!$B$10),INDEX(LINEST(OFFSET(D281,-R281,0,R281,1),OFFSET(E281,-R281,0,R281,2)),1,3),"")</f>
        <v>4.30314499773593</v>
      </c>
      <c r="V281" s="29" t="n">
        <f aca="true">IF(AND(F281&gt;=1,R281&gt;=Inputs!$B$10),SQRT(SUMPRODUCT((OFFSET(D281,-R281,0,R281,1)-U281-T281*OFFSET(E281,-R281,0,R281,1)-S281*OFFSET(F281,-R281,0,R281,1))^2)/(R281-3)),"")</f>
        <v>0.00337397256588553</v>
      </c>
      <c r="W281" s="31" t="n">
        <f aca="false">IF(AND(F281&gt;=1,R281&gt;=Inputs!$B$10),(D281-U281-T281*E281-S281*F281)/V281,"")</f>
        <v>-0.872677903857981</v>
      </c>
      <c r="X281" s="30" t="n">
        <f aca="false">IF(AB280&lt;&gt;0,AC280+1,0)</f>
        <v>0</v>
      </c>
      <c r="Y281" s="30" t="n">
        <f aca="false">IF(W281="",0,IF(AND(AB280&lt;&gt;0,OR(ABS(W281)&gt;Inputs!$B$7,X281&gt;=Inputs!$B$8,ABS(W281)&lt;Inputs!$B$6)),1,0))</f>
        <v>0</v>
      </c>
      <c r="Z281" s="30" t="n">
        <f aca="false">IF(Y281=1,0,AB280)</f>
        <v>0</v>
      </c>
      <c r="AA281" s="30" t="n">
        <f aca="false">IF(W281="",0,IF(AND(Z281=0,ABS(W281)&gt;Inputs!$B$5,ABS(W281)&lt;=Inputs!$B$7),1,0))</f>
        <v>0</v>
      </c>
      <c r="AB281" s="30" t="n">
        <f aca="false">IF(W281="",0,IF(AA281=1,-SIGN(W281),Z281))</f>
        <v>0</v>
      </c>
      <c r="AC281" s="30" t="n">
        <f aca="false">IF(W281="",0,IF(AA281=1,0,IF(Y281=1,0,X281)))</f>
        <v>0</v>
      </c>
      <c r="AD281" s="30" t="n">
        <f aca="false">IF(AB281=0,0,IF(AB280=AB281,AD280,T281))</f>
        <v>0</v>
      </c>
      <c r="AE281" s="30" t="n">
        <f aca="false">AB281-AB280</f>
        <v>0</v>
      </c>
      <c r="AF281" s="30" t="n">
        <f aca="false">-AD281*AB281</f>
        <v>-0</v>
      </c>
      <c r="AG281" s="30" t="n">
        <f aca="false">AF281-AF280</f>
        <v>0</v>
      </c>
      <c r="AH281" s="30" t="n">
        <f aca="false">MAX(AE281,0)*(Inputs!$B$17+Inputs!$B$18+Inputs!$B$19)+MAX(-AE281,0)*(O281+Inputs!$B$18+Inputs!$B$19)+IF(AND(K281=1,AB281&lt;&gt;0),(Inputs!$B$17+Inputs!$B$18+Inputs!$B$19)+(O281+Inputs!$B$18+Inputs!$B$19),0)+MAX(AG281,0)*(Inputs!$B$20+Inputs!$B$22+Inputs!$B$23)+MAX(-AG281,0)*(Inputs!$B$21+Inputs!$B$22+Inputs!$B$23)</f>
        <v>0</v>
      </c>
      <c r="AI281" s="30" t="n">
        <f aca="false">AB280*(M281-AD280*J281)+AB280*AD280*N281/Inputs!$B$16-AH281</f>
        <v>0</v>
      </c>
      <c r="AJ281" s="30" t="n">
        <f aca="false">MAX(AE281,0)*(Inputs!$B$17+Inputs!$B$24+Inputs!$B$25)+MAX(-AE281,0)*(O281+Inputs!$B$24+Inputs!$B$25)+IF(AND(K281=1,AB281&lt;&gt;0),(Inputs!$B$17+Inputs!$B$24+Inputs!$B$25)+(O281+Inputs!$B$24+Inputs!$B$25),0)+MAX(AG281,0)*(Inputs!$B$20+Inputs!$B$26+Inputs!$B$27)+MAX(-AG281,0)*(Inputs!$B$21+Inputs!$B$26+Inputs!$B$27)</f>
        <v>0</v>
      </c>
      <c r="AK281" s="30" t="n">
        <f aca="false">AB280*(M281-AD280*J281)+AB280*AD280*(N281+Inputs!$B$14)/Inputs!$B$16-AJ281</f>
        <v>0</v>
      </c>
      <c r="AL281" s="30" t="n">
        <f aca="false">IF(AP280&lt;&gt;0,AQ280+1,0)</f>
        <v>0</v>
      </c>
      <c r="AM281" s="30" t="n">
        <f aca="false">IF(W281="",0,IF(AND(AP280&lt;&gt;0,OR(ABS(W281)&gt;Inputs!$B$7,AL281&gt;=Inputs!$B$8,ABS(W281)&lt;Inputs!$B$6)),1,0))</f>
        <v>0</v>
      </c>
      <c r="AN281" s="30" t="n">
        <f aca="false">IF(AM281=1,0,AP280)</f>
        <v>0</v>
      </c>
      <c r="AO281" s="30" t="n">
        <f aca="false">IF(W281="",0,IF(AND(AN281=0,ABS(W281)&gt;Inputs!$B$5,ABS(W281)&lt;=Inputs!$B$7,W281&gt;0),1,0))</f>
        <v>0</v>
      </c>
      <c r="AP281" s="30" t="n">
        <f aca="false">IF(W281="",0,IF(AO281=1,-SIGN(W281),AN281))</f>
        <v>0</v>
      </c>
      <c r="AQ281" s="30" t="n">
        <f aca="false">IF(W281="",0,IF(AO281=1,0,IF(AM281=1,0,AL281)))</f>
        <v>0</v>
      </c>
      <c r="AR281" s="30" t="n">
        <f aca="false">IF(AP281=0,0,IF(AP280=AP281,AR280,T281))</f>
        <v>0</v>
      </c>
      <c r="AS281" s="30" t="n">
        <f aca="false">AP281-AP280</f>
        <v>0</v>
      </c>
      <c r="AT281" s="30" t="n">
        <f aca="false">-AR281*AP281</f>
        <v>-0</v>
      </c>
      <c r="AU281" s="30" t="n">
        <f aca="false">AT281-AT280</f>
        <v>0</v>
      </c>
      <c r="AV281" s="30" t="n">
        <f aca="false">MAX(AS281,0)*(Inputs!$B$17+Inputs!$B$18+Inputs!$B$19)+MAX(-AS281,0)*(O281+Inputs!$B$18+Inputs!$B$19)+IF(AND(K281=1,AP281&lt;&gt;0),(Inputs!$B$17+Inputs!$B$18+Inputs!$B$19)+(O281+Inputs!$B$18+Inputs!$B$19),0)+MAX(AU281,0)*(Inputs!$B$20+Inputs!$B$22+Inputs!$B$23)+MAX(-AU281,0)*(Inputs!$B$21+Inputs!$B$22+Inputs!$B$23)</f>
        <v>0</v>
      </c>
      <c r="AW281" s="30" t="n">
        <f aca="false">AP280*(M281-AR280*J281)+AP280*AR280*N281/Inputs!$B$16-AV281</f>
        <v>0</v>
      </c>
      <c r="AX281" s="30" t="n">
        <f aca="false">AW281-IF(AP280&lt;&gt;0,0.75*AR280*(Inputs!$B$13-N281)/Inputs!$B$16,0)</f>
        <v>0</v>
      </c>
      <c r="AY281" s="30" t="n">
        <f aca="false">MAX(AS281,0)*(Inputs!$B$17+Inputs!$B$18+Inputs!$B$19)+MAX(-AS281,0)*(O281+Inputs!$B$18+Inputs!$B$19)+IF(AND(K281=1,AP281&lt;&gt;0),(Inputs!$B$17+Inputs!$B$18+Inputs!$B$19)+(O281+Inputs!$B$18+Inputs!$B$19),0)</f>
        <v>0</v>
      </c>
      <c r="AZ281" s="30" t="n">
        <f aca="false">AP280*M281-AY281</f>
        <v>0</v>
      </c>
      <c r="BA281" s="32" t="n">
        <f aca="false">BA280+AI281</f>
        <v>-0.00574530534633948</v>
      </c>
      <c r="BB281" s="30" t="n">
        <f aca="false">MAX(BB280,BA281)</f>
        <v>0</v>
      </c>
      <c r="BC281" s="32" t="n">
        <f aca="false">BA281-BB281</f>
        <v>-0.00574530534633948</v>
      </c>
      <c r="BD281" s="30" t="n">
        <f aca="false">A282-A281</f>
        <v>1</v>
      </c>
    </row>
    <row r="282" customFormat="false" ht="15" hidden="false" customHeight="false" outlineLevel="0" collapsed="false">
      <c r="A282" s="28" t="n">
        <v>45455</v>
      </c>
      <c r="B282" s="0" t="n">
        <v>23360</v>
      </c>
      <c r="C282" s="0" t="n">
        <v>259.4</v>
      </c>
      <c r="D282" s="29" t="n">
        <f aca="false">LN(B282)</f>
        <v>10.0587804369422</v>
      </c>
      <c r="E282" s="29" t="n">
        <f aca="false">LN(C282)</f>
        <v>5.55837127188234</v>
      </c>
      <c r="F282" s="0" t="n">
        <v>277</v>
      </c>
      <c r="G282" s="0" t="n">
        <v>15</v>
      </c>
      <c r="H282" s="29" t="n">
        <f aca="false">D282-E282</f>
        <v>4.50040916505982</v>
      </c>
      <c r="I282" s="29" t="n">
        <f aca="false">D282-D281</f>
        <v>0.00214270491236057</v>
      </c>
      <c r="J282" s="29" t="n">
        <f aca="false">E282-E281</f>
        <v>0.002624876053547</v>
      </c>
      <c r="K282" s="0" t="n">
        <v>0</v>
      </c>
      <c r="L282" s="0" t="n">
        <v>0</v>
      </c>
      <c r="M282" s="29" t="n">
        <f aca="false">IF(L282=1,J282-Carry!$B$9/Inputs!$B$16,I282)</f>
        <v>0.00214270491236057</v>
      </c>
      <c r="N282" s="0" t="n">
        <v>0.065</v>
      </c>
      <c r="O282" s="0" t="n">
        <v>0.000125</v>
      </c>
      <c r="P282" s="29" t="n">
        <f aca="false">D282-('2 Hedge ratio'!$B$6+'2 Hedge ratio'!$B$5*E282)</f>
        <v>0.00478769559432912</v>
      </c>
      <c r="Q282" s="29" t="n">
        <f aca="false">D282-('5 Re-specification'!$B$7+'5 Re-specification'!$B$5*E282+'5 Re-specification'!$B$6*F282)</f>
        <v>-0.00150179051804322</v>
      </c>
      <c r="R282" s="30" t="n">
        <f aca="false">MIN(F282,Inputs!$B$9)</f>
        <v>250</v>
      </c>
      <c r="S282" s="29" t="n">
        <f aca="true">IF(AND(F282&gt;=1,R282&gt;=Inputs!$B$10),INDEX(LINEST(OFFSET(D282,-R282,0,R282,1),OFFSET(E282,-R282,0,R282,2)),1,1),"")</f>
        <v>-7.23242069443046E-005</v>
      </c>
      <c r="T282" s="29" t="n">
        <f aca="true">IF(AND(F282&gt;=1,R282&gt;=Inputs!$B$10),INDEX(LINEST(OFFSET(D282,-R282,0,R282,1),OFFSET(E282,-R282,0,R282,2)),1,2),"")</f>
        <v>1.03948521569969</v>
      </c>
      <c r="U282" s="29" t="n">
        <f aca="true">IF(AND(F282&gt;=1,R282&gt;=Inputs!$B$10),INDEX(LINEST(OFFSET(D282,-R282,0,R282,1),OFFSET(E282,-R282,0,R282,2)),1,3),"")</f>
        <v>4.30441296404505</v>
      </c>
      <c r="V282" s="29" t="n">
        <f aca="true">IF(AND(F282&gt;=1,R282&gt;=Inputs!$B$10),SQRT(SUMPRODUCT((OFFSET(D282,-R282,0,R282,1)-U282-T282*OFFSET(E282,-R282,0,R282,1)-S282*OFFSET(F282,-R282,0,R282,1))^2)/(R282-3)),"")</f>
        <v>0.00336781009147749</v>
      </c>
      <c r="W282" s="31" t="n">
        <f aca="false">IF(AND(F282&gt;=1,R282&gt;=Inputs!$B$10),(D282-U282-T282*E282-S282*F282)/V282,"")</f>
        <v>-1.02246925372394</v>
      </c>
      <c r="X282" s="30" t="n">
        <f aca="false">IF(AB281&lt;&gt;0,AC281+1,0)</f>
        <v>0</v>
      </c>
      <c r="Y282" s="30" t="n">
        <f aca="false">IF(W282="",0,IF(AND(AB281&lt;&gt;0,OR(ABS(W282)&gt;Inputs!$B$7,X282&gt;=Inputs!$B$8,ABS(W282)&lt;Inputs!$B$6)),1,0))</f>
        <v>0</v>
      </c>
      <c r="Z282" s="30" t="n">
        <f aca="false">IF(Y282=1,0,AB281)</f>
        <v>0</v>
      </c>
      <c r="AA282" s="30" t="n">
        <f aca="false">IF(W282="",0,IF(AND(Z282=0,ABS(W282)&gt;Inputs!$B$5,ABS(W282)&lt;=Inputs!$B$7),1,0))</f>
        <v>0</v>
      </c>
      <c r="AB282" s="30" t="n">
        <f aca="false">IF(W282="",0,IF(AA282=1,-SIGN(W282),Z282))</f>
        <v>0</v>
      </c>
      <c r="AC282" s="30" t="n">
        <f aca="false">IF(W282="",0,IF(AA282=1,0,IF(Y282=1,0,X282)))</f>
        <v>0</v>
      </c>
      <c r="AD282" s="30" t="n">
        <f aca="false">IF(AB282=0,0,IF(AB281=AB282,AD281,T282))</f>
        <v>0</v>
      </c>
      <c r="AE282" s="30" t="n">
        <f aca="false">AB282-AB281</f>
        <v>0</v>
      </c>
      <c r="AF282" s="30" t="n">
        <f aca="false">-AD282*AB282</f>
        <v>-0</v>
      </c>
      <c r="AG282" s="30" t="n">
        <f aca="false">AF282-AF281</f>
        <v>0</v>
      </c>
      <c r="AH282" s="30" t="n">
        <f aca="false">MAX(AE282,0)*(Inputs!$B$17+Inputs!$B$18+Inputs!$B$19)+MAX(-AE282,0)*(O282+Inputs!$B$18+Inputs!$B$19)+IF(AND(K282=1,AB282&lt;&gt;0),(Inputs!$B$17+Inputs!$B$18+Inputs!$B$19)+(O282+Inputs!$B$18+Inputs!$B$19),0)+MAX(AG282,0)*(Inputs!$B$20+Inputs!$B$22+Inputs!$B$23)+MAX(-AG282,0)*(Inputs!$B$21+Inputs!$B$22+Inputs!$B$23)</f>
        <v>0</v>
      </c>
      <c r="AI282" s="30" t="n">
        <f aca="false">AB281*(M282-AD281*J282)+AB281*AD281*N282/Inputs!$B$16-AH282</f>
        <v>0</v>
      </c>
      <c r="AJ282" s="30" t="n">
        <f aca="false">MAX(AE282,0)*(Inputs!$B$17+Inputs!$B$24+Inputs!$B$25)+MAX(-AE282,0)*(O282+Inputs!$B$24+Inputs!$B$25)+IF(AND(K282=1,AB282&lt;&gt;0),(Inputs!$B$17+Inputs!$B$24+Inputs!$B$25)+(O282+Inputs!$B$24+Inputs!$B$25),0)+MAX(AG282,0)*(Inputs!$B$20+Inputs!$B$26+Inputs!$B$27)+MAX(-AG282,0)*(Inputs!$B$21+Inputs!$B$26+Inputs!$B$27)</f>
        <v>0</v>
      </c>
      <c r="AK282" s="30" t="n">
        <f aca="false">AB281*(M282-AD281*J282)+AB281*AD281*(N282+Inputs!$B$14)/Inputs!$B$16-AJ282</f>
        <v>0</v>
      </c>
      <c r="AL282" s="30" t="n">
        <f aca="false">IF(AP281&lt;&gt;0,AQ281+1,0)</f>
        <v>0</v>
      </c>
      <c r="AM282" s="30" t="n">
        <f aca="false">IF(W282="",0,IF(AND(AP281&lt;&gt;0,OR(ABS(W282)&gt;Inputs!$B$7,AL282&gt;=Inputs!$B$8,ABS(W282)&lt;Inputs!$B$6)),1,0))</f>
        <v>0</v>
      </c>
      <c r="AN282" s="30" t="n">
        <f aca="false">IF(AM282=1,0,AP281)</f>
        <v>0</v>
      </c>
      <c r="AO282" s="30" t="n">
        <f aca="false">IF(W282="",0,IF(AND(AN282=0,ABS(W282)&gt;Inputs!$B$5,ABS(W282)&lt;=Inputs!$B$7,W282&gt;0),1,0))</f>
        <v>0</v>
      </c>
      <c r="AP282" s="30" t="n">
        <f aca="false">IF(W282="",0,IF(AO282=1,-SIGN(W282),AN282))</f>
        <v>0</v>
      </c>
      <c r="AQ282" s="30" t="n">
        <f aca="false">IF(W282="",0,IF(AO282=1,0,IF(AM282=1,0,AL282)))</f>
        <v>0</v>
      </c>
      <c r="AR282" s="30" t="n">
        <f aca="false">IF(AP282=0,0,IF(AP281=AP282,AR281,T282))</f>
        <v>0</v>
      </c>
      <c r="AS282" s="30" t="n">
        <f aca="false">AP282-AP281</f>
        <v>0</v>
      </c>
      <c r="AT282" s="30" t="n">
        <f aca="false">-AR282*AP282</f>
        <v>-0</v>
      </c>
      <c r="AU282" s="30" t="n">
        <f aca="false">AT282-AT281</f>
        <v>0</v>
      </c>
      <c r="AV282" s="30" t="n">
        <f aca="false">MAX(AS282,0)*(Inputs!$B$17+Inputs!$B$18+Inputs!$B$19)+MAX(-AS282,0)*(O282+Inputs!$B$18+Inputs!$B$19)+IF(AND(K282=1,AP282&lt;&gt;0),(Inputs!$B$17+Inputs!$B$18+Inputs!$B$19)+(O282+Inputs!$B$18+Inputs!$B$19),0)+MAX(AU282,0)*(Inputs!$B$20+Inputs!$B$22+Inputs!$B$23)+MAX(-AU282,0)*(Inputs!$B$21+Inputs!$B$22+Inputs!$B$23)</f>
        <v>0</v>
      </c>
      <c r="AW282" s="30" t="n">
        <f aca="false">AP281*(M282-AR281*J282)+AP281*AR281*N282/Inputs!$B$16-AV282</f>
        <v>0</v>
      </c>
      <c r="AX282" s="30" t="n">
        <f aca="false">AW282-IF(AP281&lt;&gt;0,0.75*AR281*(Inputs!$B$13-N282)/Inputs!$B$16,0)</f>
        <v>0</v>
      </c>
      <c r="AY282" s="30" t="n">
        <f aca="false">MAX(AS282,0)*(Inputs!$B$17+Inputs!$B$18+Inputs!$B$19)+MAX(-AS282,0)*(O282+Inputs!$B$18+Inputs!$B$19)+IF(AND(K282=1,AP282&lt;&gt;0),(Inputs!$B$17+Inputs!$B$18+Inputs!$B$19)+(O282+Inputs!$B$18+Inputs!$B$19),0)</f>
        <v>0</v>
      </c>
      <c r="AZ282" s="30" t="n">
        <f aca="false">AP281*M282-AY282</f>
        <v>0</v>
      </c>
      <c r="BA282" s="32" t="n">
        <f aca="false">BA281+AI282</f>
        <v>-0.00574530534633948</v>
      </c>
      <c r="BB282" s="30" t="n">
        <f aca="false">MAX(BB281,BA282)</f>
        <v>0</v>
      </c>
      <c r="BC282" s="32" t="n">
        <f aca="false">BA282-BB282</f>
        <v>-0.00574530534633948</v>
      </c>
      <c r="BD282" s="30" t="n">
        <f aca="false">A283-A282</f>
        <v>1</v>
      </c>
    </row>
    <row r="283" customFormat="false" ht="15" hidden="false" customHeight="false" outlineLevel="0" collapsed="false">
      <c r="A283" s="28" t="n">
        <v>45456</v>
      </c>
      <c r="B283" s="0" t="n">
        <v>23396.9</v>
      </c>
      <c r="C283" s="0" t="n">
        <v>260.12</v>
      </c>
      <c r="D283" s="29" t="n">
        <f aca="false">LN(B283)</f>
        <v>10.0603588139372</v>
      </c>
      <c r="E283" s="29" t="n">
        <f aca="false">LN(C283)</f>
        <v>5.56114306300095</v>
      </c>
      <c r="F283" s="0" t="n">
        <v>278</v>
      </c>
      <c r="G283" s="0" t="n">
        <v>14</v>
      </c>
      <c r="H283" s="29" t="n">
        <f aca="false">D283-E283</f>
        <v>4.49921575093629</v>
      </c>
      <c r="I283" s="29" t="n">
        <f aca="false">D283-D282</f>
        <v>0.00157837699508256</v>
      </c>
      <c r="J283" s="29" t="n">
        <f aca="false">E283-E282</f>
        <v>0.00277179111860804</v>
      </c>
      <c r="K283" s="0" t="n">
        <v>0</v>
      </c>
      <c r="L283" s="0" t="n">
        <v>0</v>
      </c>
      <c r="M283" s="29" t="n">
        <f aca="false">IF(L283=1,J283-Carry!$B$9/Inputs!$B$16,I283)</f>
        <v>0.00157837699508256</v>
      </c>
      <c r="N283" s="0" t="n">
        <v>0.065</v>
      </c>
      <c r="O283" s="0" t="n">
        <v>0.000125</v>
      </c>
      <c r="P283" s="29" t="n">
        <f aca="false">D283-('2 Hedge ratio'!$B$6+'2 Hedge ratio'!$B$5*E283)</f>
        <v>0.0038267605746114</v>
      </c>
      <c r="Q283" s="29" t="n">
        <f aca="false">D283-('5 Re-specification'!$B$7+'5 Re-specification'!$B$5*E283+'5 Re-specification'!$B$6*F283)</f>
        <v>-0.00264187541042915</v>
      </c>
      <c r="R283" s="30" t="n">
        <f aca="false">MIN(F283,Inputs!$B$9)</f>
        <v>250</v>
      </c>
      <c r="S283" s="29" t="n">
        <f aca="true">IF(AND(F283&gt;=1,R283&gt;=Inputs!$B$10),INDEX(LINEST(OFFSET(D283,-R283,0,R283,1),OFFSET(E283,-R283,0,R283,2)),1,1),"")</f>
        <v>-7.21138930462661E-005</v>
      </c>
      <c r="T283" s="29" t="n">
        <f aca="true">IF(AND(F283&gt;=1,R283&gt;=Inputs!$B$10),INDEX(LINEST(OFFSET(D283,-R283,0,R283,1),OFFSET(E283,-R283,0,R283,2)),1,2),"")</f>
        <v>1.03929539187617</v>
      </c>
      <c r="U283" s="29" t="n">
        <f aca="true">IF(AND(F283&gt;=1,R283&gt;=Inputs!$B$10),INDEX(LINEST(OFFSET(D283,-R283,0,R283,1),OFFSET(E283,-R283,0,R283,2)),1,3),"")</f>
        <v>4.3053837796212</v>
      </c>
      <c r="V283" s="29" t="n">
        <f aca="true">IF(AND(F283&gt;=1,R283&gt;=Inputs!$B$10),SQRT(SUMPRODUCT((OFFSET(D283,-R283,0,R283,1)-U283-T283*OFFSET(E283,-R283,0,R283,1)-S283*OFFSET(F283,-R283,0,R283,1))^2)/(R283-3)),"")</f>
        <v>0.00336596806012705</v>
      </c>
      <c r="W283" s="31" t="n">
        <f aca="false">IF(AND(F283&gt;=1,R283&gt;=Inputs!$B$10),(D283-U283-T283*E283-S283*F283)/V283,"")</f>
        <v>-1.38078029115941</v>
      </c>
      <c r="X283" s="30" t="n">
        <f aca="false">IF(AB282&lt;&gt;0,AC282+1,0)</f>
        <v>0</v>
      </c>
      <c r="Y283" s="30" t="n">
        <f aca="false">IF(W283="",0,IF(AND(AB282&lt;&gt;0,OR(ABS(W283)&gt;Inputs!$B$7,X283&gt;=Inputs!$B$8,ABS(W283)&lt;Inputs!$B$6)),1,0))</f>
        <v>0</v>
      </c>
      <c r="Z283" s="30" t="n">
        <f aca="false">IF(Y283=1,0,AB282)</f>
        <v>0</v>
      </c>
      <c r="AA283" s="30" t="n">
        <f aca="false">IF(W283="",0,IF(AND(Z283=0,ABS(W283)&gt;Inputs!$B$5,ABS(W283)&lt;=Inputs!$B$7),1,0))</f>
        <v>0</v>
      </c>
      <c r="AB283" s="30" t="n">
        <f aca="false">IF(W283="",0,IF(AA283=1,-SIGN(W283),Z283))</f>
        <v>0</v>
      </c>
      <c r="AC283" s="30" t="n">
        <f aca="false">IF(W283="",0,IF(AA283=1,0,IF(Y283=1,0,X283)))</f>
        <v>0</v>
      </c>
      <c r="AD283" s="30" t="n">
        <f aca="false">IF(AB283=0,0,IF(AB282=AB283,AD282,T283))</f>
        <v>0</v>
      </c>
      <c r="AE283" s="30" t="n">
        <f aca="false">AB283-AB282</f>
        <v>0</v>
      </c>
      <c r="AF283" s="30" t="n">
        <f aca="false">-AD283*AB283</f>
        <v>-0</v>
      </c>
      <c r="AG283" s="30" t="n">
        <f aca="false">AF283-AF282</f>
        <v>0</v>
      </c>
      <c r="AH283" s="30" t="n">
        <f aca="false">MAX(AE283,0)*(Inputs!$B$17+Inputs!$B$18+Inputs!$B$19)+MAX(-AE283,0)*(O283+Inputs!$B$18+Inputs!$B$19)+IF(AND(K283=1,AB283&lt;&gt;0),(Inputs!$B$17+Inputs!$B$18+Inputs!$B$19)+(O283+Inputs!$B$18+Inputs!$B$19),0)+MAX(AG283,0)*(Inputs!$B$20+Inputs!$B$22+Inputs!$B$23)+MAX(-AG283,0)*(Inputs!$B$21+Inputs!$B$22+Inputs!$B$23)</f>
        <v>0</v>
      </c>
      <c r="AI283" s="30" t="n">
        <f aca="false">AB282*(M283-AD282*J283)+AB282*AD282*N283/Inputs!$B$16-AH283</f>
        <v>0</v>
      </c>
      <c r="AJ283" s="30" t="n">
        <f aca="false">MAX(AE283,0)*(Inputs!$B$17+Inputs!$B$24+Inputs!$B$25)+MAX(-AE283,0)*(O283+Inputs!$B$24+Inputs!$B$25)+IF(AND(K283=1,AB283&lt;&gt;0),(Inputs!$B$17+Inputs!$B$24+Inputs!$B$25)+(O283+Inputs!$B$24+Inputs!$B$25),0)+MAX(AG283,0)*(Inputs!$B$20+Inputs!$B$26+Inputs!$B$27)+MAX(-AG283,0)*(Inputs!$B$21+Inputs!$B$26+Inputs!$B$27)</f>
        <v>0</v>
      </c>
      <c r="AK283" s="30" t="n">
        <f aca="false">AB282*(M283-AD282*J283)+AB282*AD282*(N283+Inputs!$B$14)/Inputs!$B$16-AJ283</f>
        <v>0</v>
      </c>
      <c r="AL283" s="30" t="n">
        <f aca="false">IF(AP282&lt;&gt;0,AQ282+1,0)</f>
        <v>0</v>
      </c>
      <c r="AM283" s="30" t="n">
        <f aca="false">IF(W283="",0,IF(AND(AP282&lt;&gt;0,OR(ABS(W283)&gt;Inputs!$B$7,AL283&gt;=Inputs!$B$8,ABS(W283)&lt;Inputs!$B$6)),1,0))</f>
        <v>0</v>
      </c>
      <c r="AN283" s="30" t="n">
        <f aca="false">IF(AM283=1,0,AP282)</f>
        <v>0</v>
      </c>
      <c r="AO283" s="30" t="n">
        <f aca="false">IF(W283="",0,IF(AND(AN283=0,ABS(W283)&gt;Inputs!$B$5,ABS(W283)&lt;=Inputs!$B$7,W283&gt;0),1,0))</f>
        <v>0</v>
      </c>
      <c r="AP283" s="30" t="n">
        <f aca="false">IF(W283="",0,IF(AO283=1,-SIGN(W283),AN283))</f>
        <v>0</v>
      </c>
      <c r="AQ283" s="30" t="n">
        <f aca="false">IF(W283="",0,IF(AO283=1,0,IF(AM283=1,0,AL283)))</f>
        <v>0</v>
      </c>
      <c r="AR283" s="30" t="n">
        <f aca="false">IF(AP283=0,0,IF(AP282=AP283,AR282,T283))</f>
        <v>0</v>
      </c>
      <c r="AS283" s="30" t="n">
        <f aca="false">AP283-AP282</f>
        <v>0</v>
      </c>
      <c r="AT283" s="30" t="n">
        <f aca="false">-AR283*AP283</f>
        <v>-0</v>
      </c>
      <c r="AU283" s="30" t="n">
        <f aca="false">AT283-AT282</f>
        <v>0</v>
      </c>
      <c r="AV283" s="30" t="n">
        <f aca="false">MAX(AS283,0)*(Inputs!$B$17+Inputs!$B$18+Inputs!$B$19)+MAX(-AS283,0)*(O283+Inputs!$B$18+Inputs!$B$19)+IF(AND(K283=1,AP283&lt;&gt;0),(Inputs!$B$17+Inputs!$B$18+Inputs!$B$19)+(O283+Inputs!$B$18+Inputs!$B$19),0)+MAX(AU283,0)*(Inputs!$B$20+Inputs!$B$22+Inputs!$B$23)+MAX(-AU283,0)*(Inputs!$B$21+Inputs!$B$22+Inputs!$B$23)</f>
        <v>0</v>
      </c>
      <c r="AW283" s="30" t="n">
        <f aca="false">AP282*(M283-AR282*J283)+AP282*AR282*N283/Inputs!$B$16-AV283</f>
        <v>0</v>
      </c>
      <c r="AX283" s="30" t="n">
        <f aca="false">AW283-IF(AP282&lt;&gt;0,0.75*AR282*(Inputs!$B$13-N283)/Inputs!$B$16,0)</f>
        <v>0</v>
      </c>
      <c r="AY283" s="30" t="n">
        <f aca="false">MAX(AS283,0)*(Inputs!$B$17+Inputs!$B$18+Inputs!$B$19)+MAX(-AS283,0)*(O283+Inputs!$B$18+Inputs!$B$19)+IF(AND(K283=1,AP283&lt;&gt;0),(Inputs!$B$17+Inputs!$B$18+Inputs!$B$19)+(O283+Inputs!$B$18+Inputs!$B$19),0)</f>
        <v>0</v>
      </c>
      <c r="AZ283" s="30" t="n">
        <f aca="false">AP282*M283-AY283</f>
        <v>0</v>
      </c>
      <c r="BA283" s="32" t="n">
        <f aca="false">BA282+AI283</f>
        <v>-0.00574530534633948</v>
      </c>
      <c r="BB283" s="30" t="n">
        <f aca="false">MAX(BB282,BA283)</f>
        <v>0</v>
      </c>
      <c r="BC283" s="32" t="n">
        <f aca="false">BA283-BB283</f>
        <v>-0.00574530534633948</v>
      </c>
      <c r="BD283" s="30" t="n">
        <f aca="false">A284-A283</f>
        <v>1</v>
      </c>
    </row>
    <row r="284" customFormat="false" ht="15" hidden="false" customHeight="false" outlineLevel="0" collapsed="false">
      <c r="A284" s="28" t="n">
        <v>45457</v>
      </c>
      <c r="B284" s="0" t="n">
        <v>23462</v>
      </c>
      <c r="C284" s="0" t="n">
        <v>260.78</v>
      </c>
      <c r="D284" s="29" t="n">
        <f aca="false">LN(B284)</f>
        <v>10.0631373700657</v>
      </c>
      <c r="E284" s="29" t="n">
        <f aca="false">LN(C284)</f>
        <v>5.56367713999533</v>
      </c>
      <c r="F284" s="0" t="n">
        <v>279</v>
      </c>
      <c r="G284" s="0" t="n">
        <v>13</v>
      </c>
      <c r="H284" s="29" t="n">
        <f aca="false">D284-E284</f>
        <v>4.49946023007034</v>
      </c>
      <c r="I284" s="29" t="n">
        <f aca="false">D284-D283</f>
        <v>0.00277855612842082</v>
      </c>
      <c r="J284" s="29" t="n">
        <f aca="false">E284-E283</f>
        <v>0.00253407699437425</v>
      </c>
      <c r="K284" s="0" t="n">
        <v>0</v>
      </c>
      <c r="L284" s="0" t="n">
        <v>0</v>
      </c>
      <c r="M284" s="29" t="n">
        <f aca="false">IF(L284=1,J284-Carry!$B$9/Inputs!$B$16,I284)</f>
        <v>0.00277855612842082</v>
      </c>
      <c r="N284" s="0" t="n">
        <v>0.065</v>
      </c>
      <c r="O284" s="0" t="n">
        <v>0.000125</v>
      </c>
      <c r="P284" s="29" t="n">
        <f aca="false">D284-('2 Hedge ratio'!$B$6+'2 Hedge ratio'!$B$5*E284)</f>
        <v>0.00428378095849347</v>
      </c>
      <c r="Q284" s="29" t="n">
        <f aca="false">D284-('5 Re-specification'!$B$7+'5 Re-specification'!$B$5*E284+'5 Re-specification'!$B$6*F284)</f>
        <v>-0.00234478743790056</v>
      </c>
      <c r="R284" s="30" t="n">
        <f aca="false">MIN(F284,Inputs!$B$9)</f>
        <v>250</v>
      </c>
      <c r="S284" s="29" t="n">
        <f aca="true">IF(AND(F284&gt;=1,R284&gt;=Inputs!$B$10),INDEX(LINEST(OFFSET(D284,-R284,0,R284,1),OFFSET(E284,-R284,0,R284,2)),1,1),"")</f>
        <v>-7.2054687961417E-005</v>
      </c>
      <c r="T284" s="29" t="n">
        <f aca="true">IF(AND(F284&gt;=1,R284&gt;=Inputs!$B$10),INDEX(LINEST(OFFSET(D284,-R284,0,R284,1),OFFSET(E284,-R284,0,R284,2)),1,2),"")</f>
        <v>1.03896108178946</v>
      </c>
      <c r="U284" s="29" t="n">
        <f aca="true">IF(AND(F284&gt;=1,R284&gt;=Inputs!$B$10),INDEX(LINEST(OFFSET(D284,-R284,0,R284,1),OFFSET(E284,-R284,0,R284,2)),1,3),"")</f>
        <v>4.30716547432014</v>
      </c>
      <c r="V284" s="29" t="n">
        <f aca="true">IF(AND(F284&gt;=1,R284&gt;=Inputs!$B$10),SQRT(SUMPRODUCT((OFFSET(D284,-R284,0,R284,1)-U284-T284*OFFSET(E284,-R284,0,R284,1)-S284*OFFSET(F284,-R284,0,R284,1))^2)/(R284-3)),"")</f>
        <v>0.0033760841914882</v>
      </c>
      <c r="W284" s="31" t="n">
        <f aca="false">IF(AND(F284&gt;=1,R284&gt;=Inputs!$B$10),(D284-U284-T284*E284-S284*F284)/V284,"")</f>
        <v>-1.2940632289532</v>
      </c>
      <c r="X284" s="30" t="n">
        <f aca="false">IF(AB283&lt;&gt;0,AC283+1,0)</f>
        <v>0</v>
      </c>
      <c r="Y284" s="30" t="n">
        <f aca="false">IF(W284="",0,IF(AND(AB283&lt;&gt;0,OR(ABS(W284)&gt;Inputs!$B$7,X284&gt;=Inputs!$B$8,ABS(W284)&lt;Inputs!$B$6)),1,0))</f>
        <v>0</v>
      </c>
      <c r="Z284" s="30" t="n">
        <f aca="false">IF(Y284=1,0,AB283)</f>
        <v>0</v>
      </c>
      <c r="AA284" s="30" t="n">
        <f aca="false">IF(W284="",0,IF(AND(Z284=0,ABS(W284)&gt;Inputs!$B$5,ABS(W284)&lt;=Inputs!$B$7),1,0))</f>
        <v>0</v>
      </c>
      <c r="AB284" s="30" t="n">
        <f aca="false">IF(W284="",0,IF(AA284=1,-SIGN(W284),Z284))</f>
        <v>0</v>
      </c>
      <c r="AC284" s="30" t="n">
        <f aca="false">IF(W284="",0,IF(AA284=1,0,IF(Y284=1,0,X284)))</f>
        <v>0</v>
      </c>
      <c r="AD284" s="30" t="n">
        <f aca="false">IF(AB284=0,0,IF(AB283=AB284,AD283,T284))</f>
        <v>0</v>
      </c>
      <c r="AE284" s="30" t="n">
        <f aca="false">AB284-AB283</f>
        <v>0</v>
      </c>
      <c r="AF284" s="30" t="n">
        <f aca="false">-AD284*AB284</f>
        <v>-0</v>
      </c>
      <c r="AG284" s="30" t="n">
        <f aca="false">AF284-AF283</f>
        <v>0</v>
      </c>
      <c r="AH284" s="30" t="n">
        <f aca="false">MAX(AE284,0)*(Inputs!$B$17+Inputs!$B$18+Inputs!$B$19)+MAX(-AE284,0)*(O284+Inputs!$B$18+Inputs!$B$19)+IF(AND(K284=1,AB284&lt;&gt;0),(Inputs!$B$17+Inputs!$B$18+Inputs!$B$19)+(O284+Inputs!$B$18+Inputs!$B$19),0)+MAX(AG284,0)*(Inputs!$B$20+Inputs!$B$22+Inputs!$B$23)+MAX(-AG284,0)*(Inputs!$B$21+Inputs!$B$22+Inputs!$B$23)</f>
        <v>0</v>
      </c>
      <c r="AI284" s="30" t="n">
        <f aca="false">AB283*(M284-AD283*J284)+AB283*AD283*N284/Inputs!$B$16-AH284</f>
        <v>0</v>
      </c>
      <c r="AJ284" s="30" t="n">
        <f aca="false">MAX(AE284,0)*(Inputs!$B$17+Inputs!$B$24+Inputs!$B$25)+MAX(-AE284,0)*(O284+Inputs!$B$24+Inputs!$B$25)+IF(AND(K284=1,AB284&lt;&gt;0),(Inputs!$B$17+Inputs!$B$24+Inputs!$B$25)+(O284+Inputs!$B$24+Inputs!$B$25),0)+MAX(AG284,0)*(Inputs!$B$20+Inputs!$B$26+Inputs!$B$27)+MAX(-AG284,0)*(Inputs!$B$21+Inputs!$B$26+Inputs!$B$27)</f>
        <v>0</v>
      </c>
      <c r="AK284" s="30" t="n">
        <f aca="false">AB283*(M284-AD283*J284)+AB283*AD283*(N284+Inputs!$B$14)/Inputs!$B$16-AJ284</f>
        <v>0</v>
      </c>
      <c r="AL284" s="30" t="n">
        <f aca="false">IF(AP283&lt;&gt;0,AQ283+1,0)</f>
        <v>0</v>
      </c>
      <c r="AM284" s="30" t="n">
        <f aca="false">IF(W284="",0,IF(AND(AP283&lt;&gt;0,OR(ABS(W284)&gt;Inputs!$B$7,AL284&gt;=Inputs!$B$8,ABS(W284)&lt;Inputs!$B$6)),1,0))</f>
        <v>0</v>
      </c>
      <c r="AN284" s="30" t="n">
        <f aca="false">IF(AM284=1,0,AP283)</f>
        <v>0</v>
      </c>
      <c r="AO284" s="30" t="n">
        <f aca="false">IF(W284="",0,IF(AND(AN284=0,ABS(W284)&gt;Inputs!$B$5,ABS(W284)&lt;=Inputs!$B$7,W284&gt;0),1,0))</f>
        <v>0</v>
      </c>
      <c r="AP284" s="30" t="n">
        <f aca="false">IF(W284="",0,IF(AO284=1,-SIGN(W284),AN284))</f>
        <v>0</v>
      </c>
      <c r="AQ284" s="30" t="n">
        <f aca="false">IF(W284="",0,IF(AO284=1,0,IF(AM284=1,0,AL284)))</f>
        <v>0</v>
      </c>
      <c r="AR284" s="30" t="n">
        <f aca="false">IF(AP284=0,0,IF(AP283=AP284,AR283,T284))</f>
        <v>0</v>
      </c>
      <c r="AS284" s="30" t="n">
        <f aca="false">AP284-AP283</f>
        <v>0</v>
      </c>
      <c r="AT284" s="30" t="n">
        <f aca="false">-AR284*AP284</f>
        <v>-0</v>
      </c>
      <c r="AU284" s="30" t="n">
        <f aca="false">AT284-AT283</f>
        <v>0</v>
      </c>
      <c r="AV284" s="30" t="n">
        <f aca="false">MAX(AS284,0)*(Inputs!$B$17+Inputs!$B$18+Inputs!$B$19)+MAX(-AS284,0)*(O284+Inputs!$B$18+Inputs!$B$19)+IF(AND(K284=1,AP284&lt;&gt;0),(Inputs!$B$17+Inputs!$B$18+Inputs!$B$19)+(O284+Inputs!$B$18+Inputs!$B$19),0)+MAX(AU284,0)*(Inputs!$B$20+Inputs!$B$22+Inputs!$B$23)+MAX(-AU284,0)*(Inputs!$B$21+Inputs!$B$22+Inputs!$B$23)</f>
        <v>0</v>
      </c>
      <c r="AW284" s="30" t="n">
        <f aca="false">AP283*(M284-AR283*J284)+AP283*AR283*N284/Inputs!$B$16-AV284</f>
        <v>0</v>
      </c>
      <c r="AX284" s="30" t="n">
        <f aca="false">AW284-IF(AP283&lt;&gt;0,0.75*AR283*(Inputs!$B$13-N284)/Inputs!$B$16,0)</f>
        <v>0</v>
      </c>
      <c r="AY284" s="30" t="n">
        <f aca="false">MAX(AS284,0)*(Inputs!$B$17+Inputs!$B$18+Inputs!$B$19)+MAX(-AS284,0)*(O284+Inputs!$B$18+Inputs!$B$19)+IF(AND(K284=1,AP284&lt;&gt;0),(Inputs!$B$17+Inputs!$B$18+Inputs!$B$19)+(O284+Inputs!$B$18+Inputs!$B$19),0)</f>
        <v>0</v>
      </c>
      <c r="AZ284" s="30" t="n">
        <f aca="false">AP283*M284-AY284</f>
        <v>0</v>
      </c>
      <c r="BA284" s="32" t="n">
        <f aca="false">BA283+AI284</f>
        <v>-0.00574530534633948</v>
      </c>
      <c r="BB284" s="30" t="n">
        <f aca="false">MAX(BB283,BA284)</f>
        <v>0</v>
      </c>
      <c r="BC284" s="32" t="n">
        <f aca="false">BA284-BB284</f>
        <v>-0.00574530534633948</v>
      </c>
      <c r="BD284" s="30" t="n">
        <f aca="false">A285-A284</f>
        <v>4</v>
      </c>
    </row>
    <row r="285" customFormat="false" ht="15" hidden="false" customHeight="false" outlineLevel="0" collapsed="false">
      <c r="A285" s="28" t="n">
        <v>45461</v>
      </c>
      <c r="B285" s="0" t="n">
        <v>23570</v>
      </c>
      <c r="C285" s="0" t="n">
        <v>261.6</v>
      </c>
      <c r="D285" s="29" t="n">
        <f aca="false">LN(B285)</f>
        <v>10.0677299959302</v>
      </c>
      <c r="E285" s="29" t="n">
        <f aca="false">LN(C285)</f>
        <v>5.56681661958304</v>
      </c>
      <c r="F285" s="0" t="n">
        <v>280</v>
      </c>
      <c r="G285" s="0" t="n">
        <v>9</v>
      </c>
      <c r="H285" s="29" t="n">
        <f aca="false">D285-E285</f>
        <v>4.50091337634713</v>
      </c>
      <c r="I285" s="29" t="n">
        <f aca="false">D285-D284</f>
        <v>0.00459262586451104</v>
      </c>
      <c r="J285" s="29" t="n">
        <f aca="false">E285-E284</f>
        <v>0.00313947958771799</v>
      </c>
      <c r="K285" s="0" t="n">
        <v>0</v>
      </c>
      <c r="L285" s="0" t="n">
        <v>0</v>
      </c>
      <c r="M285" s="29" t="n">
        <f aca="false">IF(L285=1,J285-Carry!$B$9/Inputs!$B$16,I285)</f>
        <v>0.00459262586451104</v>
      </c>
      <c r="N285" s="0" t="n">
        <v>0.065</v>
      </c>
      <c r="O285" s="0" t="n">
        <v>0.000125</v>
      </c>
      <c r="P285" s="29" t="n">
        <f aca="false">D285-('2 Hedge ratio'!$B$6+'2 Hedge ratio'!$B$5*E285)</f>
        <v>0.00600024556258738</v>
      </c>
      <c r="Q285" s="29" t="n">
        <f aca="false">D285-('5 Re-specification'!$B$7+'5 Re-specification'!$B$5*E285+'5 Re-specification'!$B$6*F285)</f>
        <v>-0.000837197650053412</v>
      </c>
      <c r="R285" s="30" t="n">
        <f aca="false">MIN(F285,Inputs!$B$9)</f>
        <v>250</v>
      </c>
      <c r="S285" s="29" t="n">
        <f aca="true">IF(AND(F285&gt;=1,R285&gt;=Inputs!$B$10),INDEX(LINEST(OFFSET(D285,-R285,0,R285,1),OFFSET(E285,-R285,0,R285,2)),1,1),"")</f>
        <v>-7.18910423273928E-005</v>
      </c>
      <c r="T285" s="29" t="n">
        <f aca="true">IF(AND(F285&gt;=1,R285&gt;=Inputs!$B$10),INDEX(LINEST(OFFSET(D285,-R285,0,R285,1),OFFSET(E285,-R285,0,R285,2)),1,2),"")</f>
        <v>1.03858925274791</v>
      </c>
      <c r="U285" s="29" t="n">
        <f aca="true">IF(AND(F285&gt;=1,R285&gt;=Inputs!$B$10),INDEX(LINEST(OFFSET(D285,-R285,0,R285,1),OFFSET(E285,-R285,0,R285,2)),1,3),"")</f>
        <v>4.30913464238311</v>
      </c>
      <c r="V285" s="29" t="n">
        <f aca="true">IF(AND(F285&gt;=1,R285&gt;=Inputs!$B$10),SQRT(SUMPRODUCT((OFFSET(D285,-R285,0,R285,1)-U285-T285*OFFSET(E285,-R285,0,R285,1)-S285*OFFSET(F285,-R285,0,R285,1))^2)/(R285-3)),"")</f>
        <v>0.00338340501334422</v>
      </c>
      <c r="W285" s="31" t="n">
        <f aca="false">IF(AND(F285&gt;=1,R285&gt;=Inputs!$B$10),(D285-U285-T285*E285-S285*F285)/V285,"")</f>
        <v>-0.86039587550479</v>
      </c>
      <c r="X285" s="30" t="n">
        <f aca="false">IF(AB284&lt;&gt;0,AC284+1,0)</f>
        <v>0</v>
      </c>
      <c r="Y285" s="30" t="n">
        <f aca="false">IF(W285="",0,IF(AND(AB284&lt;&gt;0,OR(ABS(W285)&gt;Inputs!$B$7,X285&gt;=Inputs!$B$8,ABS(W285)&lt;Inputs!$B$6)),1,0))</f>
        <v>0</v>
      </c>
      <c r="Z285" s="30" t="n">
        <f aca="false">IF(Y285=1,0,AB284)</f>
        <v>0</v>
      </c>
      <c r="AA285" s="30" t="n">
        <f aca="false">IF(W285="",0,IF(AND(Z285=0,ABS(W285)&gt;Inputs!$B$5,ABS(W285)&lt;=Inputs!$B$7),1,0))</f>
        <v>0</v>
      </c>
      <c r="AB285" s="30" t="n">
        <f aca="false">IF(W285="",0,IF(AA285=1,-SIGN(W285),Z285))</f>
        <v>0</v>
      </c>
      <c r="AC285" s="30" t="n">
        <f aca="false">IF(W285="",0,IF(AA285=1,0,IF(Y285=1,0,X285)))</f>
        <v>0</v>
      </c>
      <c r="AD285" s="30" t="n">
        <f aca="false">IF(AB285=0,0,IF(AB284=AB285,AD284,T285))</f>
        <v>0</v>
      </c>
      <c r="AE285" s="30" t="n">
        <f aca="false">AB285-AB284</f>
        <v>0</v>
      </c>
      <c r="AF285" s="30" t="n">
        <f aca="false">-AD285*AB285</f>
        <v>-0</v>
      </c>
      <c r="AG285" s="30" t="n">
        <f aca="false">AF285-AF284</f>
        <v>0</v>
      </c>
      <c r="AH285" s="30" t="n">
        <f aca="false">MAX(AE285,0)*(Inputs!$B$17+Inputs!$B$18+Inputs!$B$19)+MAX(-AE285,0)*(O285+Inputs!$B$18+Inputs!$B$19)+IF(AND(K285=1,AB285&lt;&gt;0),(Inputs!$B$17+Inputs!$B$18+Inputs!$B$19)+(O285+Inputs!$B$18+Inputs!$B$19),0)+MAX(AG285,0)*(Inputs!$B$20+Inputs!$B$22+Inputs!$B$23)+MAX(-AG285,0)*(Inputs!$B$21+Inputs!$B$22+Inputs!$B$23)</f>
        <v>0</v>
      </c>
      <c r="AI285" s="30" t="n">
        <f aca="false">AB284*(M285-AD284*J285)+AB284*AD284*N285/Inputs!$B$16-AH285</f>
        <v>0</v>
      </c>
      <c r="AJ285" s="30" t="n">
        <f aca="false">MAX(AE285,0)*(Inputs!$B$17+Inputs!$B$24+Inputs!$B$25)+MAX(-AE285,0)*(O285+Inputs!$B$24+Inputs!$B$25)+IF(AND(K285=1,AB285&lt;&gt;0),(Inputs!$B$17+Inputs!$B$24+Inputs!$B$25)+(O285+Inputs!$B$24+Inputs!$B$25),0)+MAX(AG285,0)*(Inputs!$B$20+Inputs!$B$26+Inputs!$B$27)+MAX(-AG285,0)*(Inputs!$B$21+Inputs!$B$26+Inputs!$B$27)</f>
        <v>0</v>
      </c>
      <c r="AK285" s="30" t="n">
        <f aca="false">AB284*(M285-AD284*J285)+AB284*AD284*(N285+Inputs!$B$14)/Inputs!$B$16-AJ285</f>
        <v>0</v>
      </c>
      <c r="AL285" s="30" t="n">
        <f aca="false">IF(AP284&lt;&gt;0,AQ284+1,0)</f>
        <v>0</v>
      </c>
      <c r="AM285" s="30" t="n">
        <f aca="false">IF(W285="",0,IF(AND(AP284&lt;&gt;0,OR(ABS(W285)&gt;Inputs!$B$7,AL285&gt;=Inputs!$B$8,ABS(W285)&lt;Inputs!$B$6)),1,0))</f>
        <v>0</v>
      </c>
      <c r="AN285" s="30" t="n">
        <f aca="false">IF(AM285=1,0,AP284)</f>
        <v>0</v>
      </c>
      <c r="AO285" s="30" t="n">
        <f aca="false">IF(W285="",0,IF(AND(AN285=0,ABS(W285)&gt;Inputs!$B$5,ABS(W285)&lt;=Inputs!$B$7,W285&gt;0),1,0))</f>
        <v>0</v>
      </c>
      <c r="AP285" s="30" t="n">
        <f aca="false">IF(W285="",0,IF(AO285=1,-SIGN(W285),AN285))</f>
        <v>0</v>
      </c>
      <c r="AQ285" s="30" t="n">
        <f aca="false">IF(W285="",0,IF(AO285=1,0,IF(AM285=1,0,AL285)))</f>
        <v>0</v>
      </c>
      <c r="AR285" s="30" t="n">
        <f aca="false">IF(AP285=0,0,IF(AP284=AP285,AR284,T285))</f>
        <v>0</v>
      </c>
      <c r="AS285" s="30" t="n">
        <f aca="false">AP285-AP284</f>
        <v>0</v>
      </c>
      <c r="AT285" s="30" t="n">
        <f aca="false">-AR285*AP285</f>
        <v>-0</v>
      </c>
      <c r="AU285" s="30" t="n">
        <f aca="false">AT285-AT284</f>
        <v>0</v>
      </c>
      <c r="AV285" s="30" t="n">
        <f aca="false">MAX(AS285,0)*(Inputs!$B$17+Inputs!$B$18+Inputs!$B$19)+MAX(-AS285,0)*(O285+Inputs!$B$18+Inputs!$B$19)+IF(AND(K285=1,AP285&lt;&gt;0),(Inputs!$B$17+Inputs!$B$18+Inputs!$B$19)+(O285+Inputs!$B$18+Inputs!$B$19),0)+MAX(AU285,0)*(Inputs!$B$20+Inputs!$B$22+Inputs!$B$23)+MAX(-AU285,0)*(Inputs!$B$21+Inputs!$B$22+Inputs!$B$23)</f>
        <v>0</v>
      </c>
      <c r="AW285" s="30" t="n">
        <f aca="false">AP284*(M285-AR284*J285)+AP284*AR284*N285/Inputs!$B$16-AV285</f>
        <v>0</v>
      </c>
      <c r="AX285" s="30" t="n">
        <f aca="false">AW285-IF(AP284&lt;&gt;0,0.75*AR284*(Inputs!$B$13-N285)/Inputs!$B$16,0)</f>
        <v>0</v>
      </c>
      <c r="AY285" s="30" t="n">
        <f aca="false">MAX(AS285,0)*(Inputs!$B$17+Inputs!$B$18+Inputs!$B$19)+MAX(-AS285,0)*(O285+Inputs!$B$18+Inputs!$B$19)+IF(AND(K285=1,AP285&lt;&gt;0),(Inputs!$B$17+Inputs!$B$18+Inputs!$B$19)+(O285+Inputs!$B$18+Inputs!$B$19),0)</f>
        <v>0</v>
      </c>
      <c r="AZ285" s="30" t="n">
        <f aca="false">AP284*M285-AY285</f>
        <v>0</v>
      </c>
      <c r="BA285" s="32" t="n">
        <f aca="false">BA284+AI285</f>
        <v>-0.00574530534633948</v>
      </c>
      <c r="BB285" s="30" t="n">
        <f aca="false">MAX(BB284,BA285)</f>
        <v>0</v>
      </c>
      <c r="BC285" s="32" t="n">
        <f aca="false">BA285-BB285</f>
        <v>-0.00574530534633948</v>
      </c>
      <c r="BD285" s="30" t="n">
        <f aca="false">A286-A285</f>
        <v>1</v>
      </c>
    </row>
    <row r="286" customFormat="false" ht="15" hidden="false" customHeight="false" outlineLevel="0" collapsed="false">
      <c r="A286" s="28" t="n">
        <v>45462</v>
      </c>
      <c r="B286" s="0" t="n">
        <v>23497.95</v>
      </c>
      <c r="C286" s="0" t="n">
        <v>261.28</v>
      </c>
      <c r="D286" s="29" t="n">
        <f aca="false">LN(B286)</f>
        <v>10.0646684622846</v>
      </c>
      <c r="E286" s="29" t="n">
        <f aca="false">LN(C286)</f>
        <v>5.56559262922216</v>
      </c>
      <c r="F286" s="0" t="n">
        <v>281</v>
      </c>
      <c r="G286" s="0" t="n">
        <v>8</v>
      </c>
      <c r="H286" s="29" t="n">
        <f aca="false">D286-E286</f>
        <v>4.49907583306243</v>
      </c>
      <c r="I286" s="29" t="n">
        <f aca="false">D286-D285</f>
        <v>-0.00306153364559059</v>
      </c>
      <c r="J286" s="29" t="n">
        <f aca="false">E286-E285</f>
        <v>-0.00122399036088883</v>
      </c>
      <c r="K286" s="0" t="n">
        <v>0</v>
      </c>
      <c r="L286" s="0" t="n">
        <v>0</v>
      </c>
      <c r="M286" s="29" t="n">
        <f aca="false">IF(L286=1,J286-Carry!$B$9/Inputs!$B$16,I286)</f>
        <v>-0.00306153364559059</v>
      </c>
      <c r="N286" s="0" t="n">
        <v>0.065</v>
      </c>
      <c r="O286" s="0" t="n">
        <v>0.000125</v>
      </c>
      <c r="P286" s="29" t="n">
        <f aca="false">D286-('2 Hedge ratio'!$B$6+'2 Hedge ratio'!$B$5*E286)</f>
        <v>0.0040600422396686</v>
      </c>
      <c r="Q286" s="29" t="n">
        <f aca="false">D286-('5 Re-specification'!$B$7+'5 Re-specification'!$B$5*E286+'5 Re-specification'!$B$6*F286)</f>
        <v>-0.00263352091947233</v>
      </c>
      <c r="R286" s="30" t="n">
        <f aca="false">MIN(F286,Inputs!$B$9)</f>
        <v>250</v>
      </c>
      <c r="S286" s="29" t="n">
        <f aca="true">IF(AND(F286&gt;=1,R286&gt;=Inputs!$B$10),INDEX(LINEST(OFFSET(D286,-R286,0,R286,1),OFFSET(E286,-R286,0,R286,2)),1,1),"")</f>
        <v>-7.16388122578241E-005</v>
      </c>
      <c r="T286" s="29" t="n">
        <f aca="true">IF(AND(F286&gt;=1,R286&gt;=Inputs!$B$10),INDEX(LINEST(OFFSET(D286,-R286,0,R286,1),OFFSET(E286,-R286,0,R286,2)),1,2),"")</f>
        <v>1.03824526701798</v>
      </c>
      <c r="U286" s="29" t="n">
        <f aca="true">IF(AND(F286&gt;=1,R286&gt;=Inputs!$B$10),INDEX(LINEST(OFFSET(D286,-R286,0,R286,1),OFFSET(E286,-R286,0,R286,2)),1,3),"")</f>
        <v>4.31094569925302</v>
      </c>
      <c r="V286" s="29" t="n">
        <f aca="true">IF(AND(F286&gt;=1,R286&gt;=Inputs!$B$10),SQRT(SUMPRODUCT((OFFSET(D286,-R286,0,R286,1)-U286-T286*OFFSET(E286,-R286,0,R286,1)-S286*OFFSET(F286,-R286,0,R286,1))^2)/(R286-3)),"")</f>
        <v>0.00338523517432014</v>
      </c>
      <c r="W286" s="31" t="n">
        <f aca="false">IF(AND(F286&gt;=1,R286&gt;=Inputs!$B$10),(D286-U286-T286*E286-S286*F286)/V286,"")</f>
        <v>-1.3579370198217</v>
      </c>
      <c r="X286" s="30" t="n">
        <f aca="false">IF(AB285&lt;&gt;0,AC285+1,0)</f>
        <v>0</v>
      </c>
      <c r="Y286" s="30" t="n">
        <f aca="false">IF(W286="",0,IF(AND(AB285&lt;&gt;0,OR(ABS(W286)&gt;Inputs!$B$7,X286&gt;=Inputs!$B$8,ABS(W286)&lt;Inputs!$B$6)),1,0))</f>
        <v>0</v>
      </c>
      <c r="Z286" s="30" t="n">
        <f aca="false">IF(Y286=1,0,AB285)</f>
        <v>0</v>
      </c>
      <c r="AA286" s="30" t="n">
        <f aca="false">IF(W286="",0,IF(AND(Z286=0,ABS(W286)&gt;Inputs!$B$5,ABS(W286)&lt;=Inputs!$B$7),1,0))</f>
        <v>0</v>
      </c>
      <c r="AB286" s="30" t="n">
        <f aca="false">IF(W286="",0,IF(AA286=1,-SIGN(W286),Z286))</f>
        <v>0</v>
      </c>
      <c r="AC286" s="30" t="n">
        <f aca="false">IF(W286="",0,IF(AA286=1,0,IF(Y286=1,0,X286)))</f>
        <v>0</v>
      </c>
      <c r="AD286" s="30" t="n">
        <f aca="false">IF(AB286=0,0,IF(AB285=AB286,AD285,T286))</f>
        <v>0</v>
      </c>
      <c r="AE286" s="30" t="n">
        <f aca="false">AB286-AB285</f>
        <v>0</v>
      </c>
      <c r="AF286" s="30" t="n">
        <f aca="false">-AD286*AB286</f>
        <v>-0</v>
      </c>
      <c r="AG286" s="30" t="n">
        <f aca="false">AF286-AF285</f>
        <v>0</v>
      </c>
      <c r="AH286" s="30" t="n">
        <f aca="false">MAX(AE286,0)*(Inputs!$B$17+Inputs!$B$18+Inputs!$B$19)+MAX(-AE286,0)*(O286+Inputs!$B$18+Inputs!$B$19)+IF(AND(K286=1,AB286&lt;&gt;0),(Inputs!$B$17+Inputs!$B$18+Inputs!$B$19)+(O286+Inputs!$B$18+Inputs!$B$19),0)+MAX(AG286,0)*(Inputs!$B$20+Inputs!$B$22+Inputs!$B$23)+MAX(-AG286,0)*(Inputs!$B$21+Inputs!$B$22+Inputs!$B$23)</f>
        <v>0</v>
      </c>
      <c r="AI286" s="30" t="n">
        <f aca="false">AB285*(M286-AD285*J286)+AB285*AD285*N286/Inputs!$B$16-AH286</f>
        <v>0</v>
      </c>
      <c r="AJ286" s="30" t="n">
        <f aca="false">MAX(AE286,0)*(Inputs!$B$17+Inputs!$B$24+Inputs!$B$25)+MAX(-AE286,0)*(O286+Inputs!$B$24+Inputs!$B$25)+IF(AND(K286=1,AB286&lt;&gt;0),(Inputs!$B$17+Inputs!$B$24+Inputs!$B$25)+(O286+Inputs!$B$24+Inputs!$B$25),0)+MAX(AG286,0)*(Inputs!$B$20+Inputs!$B$26+Inputs!$B$27)+MAX(-AG286,0)*(Inputs!$B$21+Inputs!$B$26+Inputs!$B$27)</f>
        <v>0</v>
      </c>
      <c r="AK286" s="30" t="n">
        <f aca="false">AB285*(M286-AD285*J286)+AB285*AD285*(N286+Inputs!$B$14)/Inputs!$B$16-AJ286</f>
        <v>0</v>
      </c>
      <c r="AL286" s="30" t="n">
        <f aca="false">IF(AP285&lt;&gt;0,AQ285+1,0)</f>
        <v>0</v>
      </c>
      <c r="AM286" s="30" t="n">
        <f aca="false">IF(W286="",0,IF(AND(AP285&lt;&gt;0,OR(ABS(W286)&gt;Inputs!$B$7,AL286&gt;=Inputs!$B$8,ABS(W286)&lt;Inputs!$B$6)),1,0))</f>
        <v>0</v>
      </c>
      <c r="AN286" s="30" t="n">
        <f aca="false">IF(AM286=1,0,AP285)</f>
        <v>0</v>
      </c>
      <c r="AO286" s="30" t="n">
        <f aca="false">IF(W286="",0,IF(AND(AN286=0,ABS(W286)&gt;Inputs!$B$5,ABS(W286)&lt;=Inputs!$B$7,W286&gt;0),1,0))</f>
        <v>0</v>
      </c>
      <c r="AP286" s="30" t="n">
        <f aca="false">IF(W286="",0,IF(AO286=1,-SIGN(W286),AN286))</f>
        <v>0</v>
      </c>
      <c r="AQ286" s="30" t="n">
        <f aca="false">IF(W286="",0,IF(AO286=1,0,IF(AM286=1,0,AL286)))</f>
        <v>0</v>
      </c>
      <c r="AR286" s="30" t="n">
        <f aca="false">IF(AP286=0,0,IF(AP285=AP286,AR285,T286))</f>
        <v>0</v>
      </c>
      <c r="AS286" s="30" t="n">
        <f aca="false">AP286-AP285</f>
        <v>0</v>
      </c>
      <c r="AT286" s="30" t="n">
        <f aca="false">-AR286*AP286</f>
        <v>-0</v>
      </c>
      <c r="AU286" s="30" t="n">
        <f aca="false">AT286-AT285</f>
        <v>0</v>
      </c>
      <c r="AV286" s="30" t="n">
        <f aca="false">MAX(AS286,0)*(Inputs!$B$17+Inputs!$B$18+Inputs!$B$19)+MAX(-AS286,0)*(O286+Inputs!$B$18+Inputs!$B$19)+IF(AND(K286=1,AP286&lt;&gt;0),(Inputs!$B$17+Inputs!$B$18+Inputs!$B$19)+(O286+Inputs!$B$18+Inputs!$B$19),0)+MAX(AU286,0)*(Inputs!$B$20+Inputs!$B$22+Inputs!$B$23)+MAX(-AU286,0)*(Inputs!$B$21+Inputs!$B$22+Inputs!$B$23)</f>
        <v>0</v>
      </c>
      <c r="AW286" s="30" t="n">
        <f aca="false">AP285*(M286-AR285*J286)+AP285*AR285*N286/Inputs!$B$16-AV286</f>
        <v>0</v>
      </c>
      <c r="AX286" s="30" t="n">
        <f aca="false">AW286-IF(AP285&lt;&gt;0,0.75*AR285*(Inputs!$B$13-N286)/Inputs!$B$16,0)</f>
        <v>0</v>
      </c>
      <c r="AY286" s="30" t="n">
        <f aca="false">MAX(AS286,0)*(Inputs!$B$17+Inputs!$B$18+Inputs!$B$19)+MAX(-AS286,0)*(O286+Inputs!$B$18+Inputs!$B$19)+IF(AND(K286=1,AP286&lt;&gt;0),(Inputs!$B$17+Inputs!$B$18+Inputs!$B$19)+(O286+Inputs!$B$18+Inputs!$B$19),0)</f>
        <v>0</v>
      </c>
      <c r="AZ286" s="30" t="n">
        <f aca="false">AP285*M286-AY286</f>
        <v>-0</v>
      </c>
      <c r="BA286" s="32" t="n">
        <f aca="false">BA285+AI286</f>
        <v>-0.00574530534633948</v>
      </c>
      <c r="BB286" s="30" t="n">
        <f aca="false">MAX(BB285,BA286)</f>
        <v>0</v>
      </c>
      <c r="BC286" s="32" t="n">
        <f aca="false">BA286-BB286</f>
        <v>-0.00574530534633948</v>
      </c>
      <c r="BD286" s="30" t="n">
        <f aca="false">A287-A286</f>
        <v>1</v>
      </c>
    </row>
    <row r="287" customFormat="false" ht="15" hidden="false" customHeight="false" outlineLevel="0" collapsed="false">
      <c r="A287" s="28" t="n">
        <v>45463</v>
      </c>
      <c r="B287" s="0" t="n">
        <v>23596</v>
      </c>
      <c r="C287" s="0" t="n">
        <v>261.84</v>
      </c>
      <c r="D287" s="29" t="n">
        <f aca="false">LN(B287)</f>
        <v>10.068832485123</v>
      </c>
      <c r="E287" s="29" t="n">
        <f aca="false">LN(C287)</f>
        <v>5.56773363019293</v>
      </c>
      <c r="F287" s="0" t="n">
        <v>282</v>
      </c>
      <c r="G287" s="0" t="n">
        <v>7</v>
      </c>
      <c r="H287" s="29" t="n">
        <f aca="false">D287-E287</f>
        <v>4.50109885493004</v>
      </c>
      <c r="I287" s="29" t="n">
        <f aca="false">D287-D286</f>
        <v>0.00416402283837947</v>
      </c>
      <c r="J287" s="29" t="n">
        <f aca="false">E287-E286</f>
        <v>0.00214100097077008</v>
      </c>
      <c r="K287" s="0" t="n">
        <v>0</v>
      </c>
      <c r="L287" s="0" t="n">
        <v>0</v>
      </c>
      <c r="M287" s="29" t="n">
        <f aca="false">IF(L287=1,J287-Carry!$B$9/Inputs!$B$16,I287)</f>
        <v>0.00416402283837947</v>
      </c>
      <c r="N287" s="0" t="n">
        <v>0.065</v>
      </c>
      <c r="O287" s="0" t="n">
        <v>0.000125</v>
      </c>
      <c r="P287" s="29" t="n">
        <f aca="false">D287-('2 Hedge ratio'!$B$6+'2 Hedge ratio'!$B$5*E287)</f>
        <v>0.00626263679715144</v>
      </c>
      <c r="Q287" s="29" t="n">
        <f aca="false">D287-('5 Re-specification'!$B$7+'5 Re-specification'!$B$5*E287+'5 Re-specification'!$B$6*F287)</f>
        <v>-0.000559081430278496</v>
      </c>
      <c r="R287" s="30" t="n">
        <f aca="false">MIN(F287,Inputs!$B$9)</f>
        <v>250</v>
      </c>
      <c r="S287" s="29" t="n">
        <f aca="true">IF(AND(F287&gt;=1,R287&gt;=Inputs!$B$10),INDEX(LINEST(OFFSET(D287,-R287,0,R287,1),OFFSET(E287,-R287,0,R287,2)),1,1),"")</f>
        <v>-7.1385945540258E-005</v>
      </c>
      <c r="T287" s="29" t="n">
        <f aca="true">IF(AND(F287&gt;=1,R287&gt;=Inputs!$B$10),INDEX(LINEST(OFFSET(D287,-R287,0,R287,1),OFFSET(E287,-R287,0,R287,2)),1,2),"")</f>
        <v>1.03776958466845</v>
      </c>
      <c r="U287" s="29" t="n">
        <f aca="true">IF(AND(F287&gt;=1,R287&gt;=Inputs!$B$10),INDEX(LINEST(OFFSET(D287,-R287,0,R287,1),OFFSET(E287,-R287,0,R287,2)),1,3),"")</f>
        <v>4.31346469883165</v>
      </c>
      <c r="V287" s="29" t="n">
        <f aca="true">IF(AND(F287&gt;=1,R287&gt;=Inputs!$B$10),SQRT(SUMPRODUCT((OFFSET(D287,-R287,0,R287,1)-U287-T287*OFFSET(E287,-R287,0,R287,1)-S287*OFFSET(F287,-R287,0,R287,1))^2)/(R287-3)),"")</f>
        <v>0.00339318581469682</v>
      </c>
      <c r="W287" s="31" t="n">
        <f aca="false">IF(AND(F287&gt;=1,R287&gt;=Inputs!$B$10),(D287-U287-T287*E287-S287*F287)/V287,"")</f>
        <v>-0.744431385170174</v>
      </c>
      <c r="X287" s="30" t="n">
        <f aca="false">IF(AB286&lt;&gt;0,AC286+1,0)</f>
        <v>0</v>
      </c>
      <c r="Y287" s="30" t="n">
        <f aca="false">IF(W287="",0,IF(AND(AB286&lt;&gt;0,OR(ABS(W287)&gt;Inputs!$B$7,X287&gt;=Inputs!$B$8,ABS(W287)&lt;Inputs!$B$6)),1,0))</f>
        <v>0</v>
      </c>
      <c r="Z287" s="30" t="n">
        <f aca="false">IF(Y287=1,0,AB286)</f>
        <v>0</v>
      </c>
      <c r="AA287" s="30" t="n">
        <f aca="false">IF(W287="",0,IF(AND(Z287=0,ABS(W287)&gt;Inputs!$B$5,ABS(W287)&lt;=Inputs!$B$7),1,0))</f>
        <v>0</v>
      </c>
      <c r="AB287" s="30" t="n">
        <f aca="false">IF(W287="",0,IF(AA287=1,-SIGN(W287),Z287))</f>
        <v>0</v>
      </c>
      <c r="AC287" s="30" t="n">
        <f aca="false">IF(W287="",0,IF(AA287=1,0,IF(Y287=1,0,X287)))</f>
        <v>0</v>
      </c>
      <c r="AD287" s="30" t="n">
        <f aca="false">IF(AB287=0,0,IF(AB286=AB287,AD286,T287))</f>
        <v>0</v>
      </c>
      <c r="AE287" s="30" t="n">
        <f aca="false">AB287-AB286</f>
        <v>0</v>
      </c>
      <c r="AF287" s="30" t="n">
        <f aca="false">-AD287*AB287</f>
        <v>-0</v>
      </c>
      <c r="AG287" s="30" t="n">
        <f aca="false">AF287-AF286</f>
        <v>0</v>
      </c>
      <c r="AH287" s="30" t="n">
        <f aca="false">MAX(AE287,0)*(Inputs!$B$17+Inputs!$B$18+Inputs!$B$19)+MAX(-AE287,0)*(O287+Inputs!$B$18+Inputs!$B$19)+IF(AND(K287=1,AB287&lt;&gt;0),(Inputs!$B$17+Inputs!$B$18+Inputs!$B$19)+(O287+Inputs!$B$18+Inputs!$B$19),0)+MAX(AG287,0)*(Inputs!$B$20+Inputs!$B$22+Inputs!$B$23)+MAX(-AG287,0)*(Inputs!$B$21+Inputs!$B$22+Inputs!$B$23)</f>
        <v>0</v>
      </c>
      <c r="AI287" s="30" t="n">
        <f aca="false">AB286*(M287-AD286*J287)+AB286*AD286*N287/Inputs!$B$16-AH287</f>
        <v>0</v>
      </c>
      <c r="AJ287" s="30" t="n">
        <f aca="false">MAX(AE287,0)*(Inputs!$B$17+Inputs!$B$24+Inputs!$B$25)+MAX(-AE287,0)*(O287+Inputs!$B$24+Inputs!$B$25)+IF(AND(K287=1,AB287&lt;&gt;0),(Inputs!$B$17+Inputs!$B$24+Inputs!$B$25)+(O287+Inputs!$B$24+Inputs!$B$25),0)+MAX(AG287,0)*(Inputs!$B$20+Inputs!$B$26+Inputs!$B$27)+MAX(-AG287,0)*(Inputs!$B$21+Inputs!$B$26+Inputs!$B$27)</f>
        <v>0</v>
      </c>
      <c r="AK287" s="30" t="n">
        <f aca="false">AB286*(M287-AD286*J287)+AB286*AD286*(N287+Inputs!$B$14)/Inputs!$B$16-AJ287</f>
        <v>0</v>
      </c>
      <c r="AL287" s="30" t="n">
        <f aca="false">IF(AP286&lt;&gt;0,AQ286+1,0)</f>
        <v>0</v>
      </c>
      <c r="AM287" s="30" t="n">
        <f aca="false">IF(W287="",0,IF(AND(AP286&lt;&gt;0,OR(ABS(W287)&gt;Inputs!$B$7,AL287&gt;=Inputs!$B$8,ABS(W287)&lt;Inputs!$B$6)),1,0))</f>
        <v>0</v>
      </c>
      <c r="AN287" s="30" t="n">
        <f aca="false">IF(AM287=1,0,AP286)</f>
        <v>0</v>
      </c>
      <c r="AO287" s="30" t="n">
        <f aca="false">IF(W287="",0,IF(AND(AN287=0,ABS(W287)&gt;Inputs!$B$5,ABS(W287)&lt;=Inputs!$B$7,W287&gt;0),1,0))</f>
        <v>0</v>
      </c>
      <c r="AP287" s="30" t="n">
        <f aca="false">IF(W287="",0,IF(AO287=1,-SIGN(W287),AN287))</f>
        <v>0</v>
      </c>
      <c r="AQ287" s="30" t="n">
        <f aca="false">IF(W287="",0,IF(AO287=1,0,IF(AM287=1,0,AL287)))</f>
        <v>0</v>
      </c>
      <c r="AR287" s="30" t="n">
        <f aca="false">IF(AP287=0,0,IF(AP286=AP287,AR286,T287))</f>
        <v>0</v>
      </c>
      <c r="AS287" s="30" t="n">
        <f aca="false">AP287-AP286</f>
        <v>0</v>
      </c>
      <c r="AT287" s="30" t="n">
        <f aca="false">-AR287*AP287</f>
        <v>-0</v>
      </c>
      <c r="AU287" s="30" t="n">
        <f aca="false">AT287-AT286</f>
        <v>0</v>
      </c>
      <c r="AV287" s="30" t="n">
        <f aca="false">MAX(AS287,0)*(Inputs!$B$17+Inputs!$B$18+Inputs!$B$19)+MAX(-AS287,0)*(O287+Inputs!$B$18+Inputs!$B$19)+IF(AND(K287=1,AP287&lt;&gt;0),(Inputs!$B$17+Inputs!$B$18+Inputs!$B$19)+(O287+Inputs!$B$18+Inputs!$B$19),0)+MAX(AU287,0)*(Inputs!$B$20+Inputs!$B$22+Inputs!$B$23)+MAX(-AU287,0)*(Inputs!$B$21+Inputs!$B$22+Inputs!$B$23)</f>
        <v>0</v>
      </c>
      <c r="AW287" s="30" t="n">
        <f aca="false">AP286*(M287-AR286*J287)+AP286*AR286*N287/Inputs!$B$16-AV287</f>
        <v>0</v>
      </c>
      <c r="AX287" s="30" t="n">
        <f aca="false">AW287-IF(AP286&lt;&gt;0,0.75*AR286*(Inputs!$B$13-N287)/Inputs!$B$16,0)</f>
        <v>0</v>
      </c>
      <c r="AY287" s="30" t="n">
        <f aca="false">MAX(AS287,0)*(Inputs!$B$17+Inputs!$B$18+Inputs!$B$19)+MAX(-AS287,0)*(O287+Inputs!$B$18+Inputs!$B$19)+IF(AND(K287=1,AP287&lt;&gt;0),(Inputs!$B$17+Inputs!$B$18+Inputs!$B$19)+(O287+Inputs!$B$18+Inputs!$B$19),0)</f>
        <v>0</v>
      </c>
      <c r="AZ287" s="30" t="n">
        <f aca="false">AP286*M287-AY287</f>
        <v>0</v>
      </c>
      <c r="BA287" s="32" t="n">
        <f aca="false">BA286+AI287</f>
        <v>-0.00574530534633948</v>
      </c>
      <c r="BB287" s="30" t="n">
        <f aca="false">MAX(BB286,BA287)</f>
        <v>0</v>
      </c>
      <c r="BC287" s="32" t="n">
        <f aca="false">BA287-BB287</f>
        <v>-0.00574530534633948</v>
      </c>
      <c r="BD287" s="30" t="n">
        <f aca="false">A288-A287</f>
        <v>1</v>
      </c>
    </row>
    <row r="288" customFormat="false" ht="15" hidden="false" customHeight="false" outlineLevel="0" collapsed="false">
      <c r="A288" s="28" t="n">
        <v>45464</v>
      </c>
      <c r="B288" s="0" t="n">
        <v>23460.2</v>
      </c>
      <c r="C288" s="0" t="n">
        <v>260.86</v>
      </c>
      <c r="D288" s="29" t="n">
        <f aca="false">LN(B288)</f>
        <v>10.0630606473203</v>
      </c>
      <c r="E288" s="29" t="n">
        <f aca="false">LN(C288)</f>
        <v>5.56398386494214</v>
      </c>
      <c r="F288" s="0" t="n">
        <v>283</v>
      </c>
      <c r="G288" s="0" t="n">
        <v>6</v>
      </c>
      <c r="H288" s="29" t="n">
        <f aca="false">D288-E288</f>
        <v>4.49907678237818</v>
      </c>
      <c r="I288" s="29" t="n">
        <f aca="false">D288-D287</f>
        <v>-0.00577183780264789</v>
      </c>
      <c r="J288" s="29" t="n">
        <f aca="false">E288-E287</f>
        <v>-0.00374976525078807</v>
      </c>
      <c r="K288" s="0" t="n">
        <v>0</v>
      </c>
      <c r="L288" s="0" t="n">
        <v>0</v>
      </c>
      <c r="M288" s="29" t="n">
        <f aca="false">IF(L288=1,J288-Carry!$B$9/Inputs!$B$16,I288)</f>
        <v>-0.00577183780264789</v>
      </c>
      <c r="N288" s="0" t="n">
        <v>0.065</v>
      </c>
      <c r="O288" s="0" t="n">
        <v>0.000125</v>
      </c>
      <c r="P288" s="29" t="n">
        <f aca="false">D288-('2 Hedge ratio'!$B$6+'2 Hedge ratio'!$B$5*E288)</f>
        <v>0.00392605928164436</v>
      </c>
      <c r="Q288" s="29" t="n">
        <f aca="false">D288-('5 Re-specification'!$B$7+'5 Re-specification'!$B$5*E288+'5 Re-specification'!$B$6*F288)</f>
        <v>-0.00254758832771529</v>
      </c>
      <c r="R288" s="30" t="n">
        <f aca="false">MIN(F288,Inputs!$B$9)</f>
        <v>250</v>
      </c>
      <c r="S288" s="29" t="n">
        <f aca="true">IF(AND(F288&gt;=1,R288&gt;=Inputs!$B$10),INDEX(LINEST(OFFSET(D288,-R288,0,R288,1),OFFSET(E288,-R288,0,R288,2)),1,1),"")</f>
        <v>-7.12569397068657E-005</v>
      </c>
      <c r="T288" s="29" t="n">
        <f aca="true">IF(AND(F288&gt;=1,R288&gt;=Inputs!$B$10),INDEX(LINEST(OFFSET(D288,-R288,0,R288,1),OFFSET(E288,-R288,0,R288,2)),1,2),"")</f>
        <v>1.03753000420889</v>
      </c>
      <c r="U288" s="29" t="n">
        <f aca="true">IF(AND(F288&gt;=1,R288&gt;=Inputs!$B$10),INDEX(LINEST(OFFSET(D288,-R288,0,R288,1),OFFSET(E288,-R288,0,R288,2)),1,3),"")</f>
        <v>4.31473151769564</v>
      </c>
      <c r="V288" s="29" t="n">
        <f aca="true">IF(AND(F288&gt;=1,R288&gt;=Inputs!$B$10),SQRT(SUMPRODUCT((OFFSET(D288,-R288,0,R288,1)-U288-T288*OFFSET(E288,-R288,0,R288,1)-S288*OFFSET(F288,-R288,0,R288,1))^2)/(R288-3)),"")</f>
        <v>0.00339540133734963</v>
      </c>
      <c r="W288" s="31" t="n">
        <f aca="false">IF(AND(F288&gt;=1,R288&gt;=Inputs!$B$10),(D288-U288-T288*E288-S288*F288)/V288,"")</f>
        <v>-1.26799715913331</v>
      </c>
      <c r="X288" s="30" t="n">
        <f aca="false">IF(AB287&lt;&gt;0,AC287+1,0)</f>
        <v>0</v>
      </c>
      <c r="Y288" s="30" t="n">
        <f aca="false">IF(W288="",0,IF(AND(AB287&lt;&gt;0,OR(ABS(W288)&gt;Inputs!$B$7,X288&gt;=Inputs!$B$8,ABS(W288)&lt;Inputs!$B$6)),1,0))</f>
        <v>0</v>
      </c>
      <c r="Z288" s="30" t="n">
        <f aca="false">IF(Y288=1,0,AB287)</f>
        <v>0</v>
      </c>
      <c r="AA288" s="30" t="n">
        <f aca="false">IF(W288="",0,IF(AND(Z288=0,ABS(W288)&gt;Inputs!$B$5,ABS(W288)&lt;=Inputs!$B$7),1,0))</f>
        <v>0</v>
      </c>
      <c r="AB288" s="30" t="n">
        <f aca="false">IF(W288="",0,IF(AA288=1,-SIGN(W288),Z288))</f>
        <v>0</v>
      </c>
      <c r="AC288" s="30" t="n">
        <f aca="false">IF(W288="",0,IF(AA288=1,0,IF(Y288=1,0,X288)))</f>
        <v>0</v>
      </c>
      <c r="AD288" s="30" t="n">
        <f aca="false">IF(AB288=0,0,IF(AB287=AB288,AD287,T288))</f>
        <v>0</v>
      </c>
      <c r="AE288" s="30" t="n">
        <f aca="false">AB288-AB287</f>
        <v>0</v>
      </c>
      <c r="AF288" s="30" t="n">
        <f aca="false">-AD288*AB288</f>
        <v>-0</v>
      </c>
      <c r="AG288" s="30" t="n">
        <f aca="false">AF288-AF287</f>
        <v>0</v>
      </c>
      <c r="AH288" s="30" t="n">
        <f aca="false">MAX(AE288,0)*(Inputs!$B$17+Inputs!$B$18+Inputs!$B$19)+MAX(-AE288,0)*(O288+Inputs!$B$18+Inputs!$B$19)+IF(AND(K288=1,AB288&lt;&gt;0),(Inputs!$B$17+Inputs!$B$18+Inputs!$B$19)+(O288+Inputs!$B$18+Inputs!$B$19),0)+MAX(AG288,0)*(Inputs!$B$20+Inputs!$B$22+Inputs!$B$23)+MAX(-AG288,0)*(Inputs!$B$21+Inputs!$B$22+Inputs!$B$23)</f>
        <v>0</v>
      </c>
      <c r="AI288" s="30" t="n">
        <f aca="false">AB287*(M288-AD287*J288)+AB287*AD287*N288/Inputs!$B$16-AH288</f>
        <v>0</v>
      </c>
      <c r="AJ288" s="30" t="n">
        <f aca="false">MAX(AE288,0)*(Inputs!$B$17+Inputs!$B$24+Inputs!$B$25)+MAX(-AE288,0)*(O288+Inputs!$B$24+Inputs!$B$25)+IF(AND(K288=1,AB288&lt;&gt;0),(Inputs!$B$17+Inputs!$B$24+Inputs!$B$25)+(O288+Inputs!$B$24+Inputs!$B$25),0)+MAX(AG288,0)*(Inputs!$B$20+Inputs!$B$26+Inputs!$B$27)+MAX(-AG288,0)*(Inputs!$B$21+Inputs!$B$26+Inputs!$B$27)</f>
        <v>0</v>
      </c>
      <c r="AK288" s="30" t="n">
        <f aca="false">AB287*(M288-AD287*J288)+AB287*AD287*(N288+Inputs!$B$14)/Inputs!$B$16-AJ288</f>
        <v>0</v>
      </c>
      <c r="AL288" s="30" t="n">
        <f aca="false">IF(AP287&lt;&gt;0,AQ287+1,0)</f>
        <v>0</v>
      </c>
      <c r="AM288" s="30" t="n">
        <f aca="false">IF(W288="",0,IF(AND(AP287&lt;&gt;0,OR(ABS(W288)&gt;Inputs!$B$7,AL288&gt;=Inputs!$B$8,ABS(W288)&lt;Inputs!$B$6)),1,0))</f>
        <v>0</v>
      </c>
      <c r="AN288" s="30" t="n">
        <f aca="false">IF(AM288=1,0,AP287)</f>
        <v>0</v>
      </c>
      <c r="AO288" s="30" t="n">
        <f aca="false">IF(W288="",0,IF(AND(AN288=0,ABS(W288)&gt;Inputs!$B$5,ABS(W288)&lt;=Inputs!$B$7,W288&gt;0),1,0))</f>
        <v>0</v>
      </c>
      <c r="AP288" s="30" t="n">
        <f aca="false">IF(W288="",0,IF(AO288=1,-SIGN(W288),AN288))</f>
        <v>0</v>
      </c>
      <c r="AQ288" s="30" t="n">
        <f aca="false">IF(W288="",0,IF(AO288=1,0,IF(AM288=1,0,AL288)))</f>
        <v>0</v>
      </c>
      <c r="AR288" s="30" t="n">
        <f aca="false">IF(AP288=0,0,IF(AP287=AP288,AR287,T288))</f>
        <v>0</v>
      </c>
      <c r="AS288" s="30" t="n">
        <f aca="false">AP288-AP287</f>
        <v>0</v>
      </c>
      <c r="AT288" s="30" t="n">
        <f aca="false">-AR288*AP288</f>
        <v>-0</v>
      </c>
      <c r="AU288" s="30" t="n">
        <f aca="false">AT288-AT287</f>
        <v>0</v>
      </c>
      <c r="AV288" s="30" t="n">
        <f aca="false">MAX(AS288,0)*(Inputs!$B$17+Inputs!$B$18+Inputs!$B$19)+MAX(-AS288,0)*(O288+Inputs!$B$18+Inputs!$B$19)+IF(AND(K288=1,AP288&lt;&gt;0),(Inputs!$B$17+Inputs!$B$18+Inputs!$B$19)+(O288+Inputs!$B$18+Inputs!$B$19),0)+MAX(AU288,0)*(Inputs!$B$20+Inputs!$B$22+Inputs!$B$23)+MAX(-AU288,0)*(Inputs!$B$21+Inputs!$B$22+Inputs!$B$23)</f>
        <v>0</v>
      </c>
      <c r="AW288" s="30" t="n">
        <f aca="false">AP287*(M288-AR287*J288)+AP287*AR287*N288/Inputs!$B$16-AV288</f>
        <v>0</v>
      </c>
      <c r="AX288" s="30" t="n">
        <f aca="false">AW288-IF(AP287&lt;&gt;0,0.75*AR287*(Inputs!$B$13-N288)/Inputs!$B$16,0)</f>
        <v>0</v>
      </c>
      <c r="AY288" s="30" t="n">
        <f aca="false">MAX(AS288,0)*(Inputs!$B$17+Inputs!$B$18+Inputs!$B$19)+MAX(-AS288,0)*(O288+Inputs!$B$18+Inputs!$B$19)+IF(AND(K288=1,AP288&lt;&gt;0),(Inputs!$B$17+Inputs!$B$18+Inputs!$B$19)+(O288+Inputs!$B$18+Inputs!$B$19),0)</f>
        <v>0</v>
      </c>
      <c r="AZ288" s="30" t="n">
        <f aca="false">AP287*M288-AY288</f>
        <v>-0</v>
      </c>
      <c r="BA288" s="32" t="n">
        <f aca="false">BA287+AI288</f>
        <v>-0.00574530534633948</v>
      </c>
      <c r="BB288" s="30" t="n">
        <f aca="false">MAX(BB287,BA288)</f>
        <v>0</v>
      </c>
      <c r="BC288" s="32" t="n">
        <f aca="false">BA288-BB288</f>
        <v>-0.00574530534633948</v>
      </c>
      <c r="BD288" s="30" t="n">
        <f aca="false">A289-A288</f>
        <v>3</v>
      </c>
    </row>
    <row r="289" customFormat="false" ht="15" hidden="false" customHeight="false" outlineLevel="0" collapsed="false">
      <c r="A289" s="28" t="n">
        <v>45467</v>
      </c>
      <c r="B289" s="0" t="n">
        <v>23554.6</v>
      </c>
      <c r="C289" s="0" t="n">
        <v>261.65</v>
      </c>
      <c r="D289" s="29" t="n">
        <f aca="false">LN(B289)</f>
        <v>10.0670764094574</v>
      </c>
      <c r="E289" s="29" t="n">
        <f aca="false">LN(C289)</f>
        <v>5.56700773281822</v>
      </c>
      <c r="F289" s="0" t="n">
        <v>284</v>
      </c>
      <c r="G289" s="0" t="n">
        <v>3</v>
      </c>
      <c r="H289" s="29" t="n">
        <f aca="false">D289-E289</f>
        <v>4.50006867663915</v>
      </c>
      <c r="I289" s="29" t="n">
        <f aca="false">D289-D288</f>
        <v>0.00401576213705113</v>
      </c>
      <c r="J289" s="29" t="n">
        <f aca="false">E289-E288</f>
        <v>0.00302386787608011</v>
      </c>
      <c r="K289" s="0" t="n">
        <v>0</v>
      </c>
      <c r="L289" s="0" t="n">
        <v>0</v>
      </c>
      <c r="M289" s="29" t="n">
        <f aca="false">IF(L289=1,J289-Carry!$B$9/Inputs!$B$16,I289)</f>
        <v>0.00401576213705113</v>
      </c>
      <c r="N289" s="0" t="n">
        <v>0.065</v>
      </c>
      <c r="O289" s="0" t="n">
        <v>0.000125</v>
      </c>
      <c r="P289" s="29" t="n">
        <f aca="false">D289-('2 Hedge ratio'!$B$6+'2 Hedge ratio'!$B$5*E289)</f>
        <v>0.00517157514099331</v>
      </c>
      <c r="Q289" s="29" t="n">
        <f aca="false">D289-('5 Re-specification'!$B$7+'5 Re-specification'!$B$5*E289+'5 Re-specification'!$B$6*F289)</f>
        <v>-0.00150160091698481</v>
      </c>
      <c r="R289" s="30" t="n">
        <f aca="false">MIN(F289,Inputs!$B$9)</f>
        <v>250</v>
      </c>
      <c r="S289" s="29" t="n">
        <f aca="true">IF(AND(F289&gt;=1,R289&gt;=Inputs!$B$10),INDEX(LINEST(OFFSET(D289,-R289,0,R289,1),OFFSET(E289,-R289,0,R289,2)),1,1),"")</f>
        <v>-7.10435247836603E-005</v>
      </c>
      <c r="T289" s="29" t="n">
        <f aca="true">IF(AND(F289&gt;=1,R289&gt;=Inputs!$B$10),INDEX(LINEST(OFFSET(D289,-R289,0,R289,1),OFFSET(E289,-R289,0,R289,2)),1,2),"")</f>
        <v>1.03715432140733</v>
      </c>
      <c r="U289" s="29" t="n">
        <f aca="true">IF(AND(F289&gt;=1,R289&gt;=Inputs!$B$10),INDEX(LINEST(OFFSET(D289,-R289,0,R289,1),OFFSET(E289,-R289,0,R289,2)),1,3),"")</f>
        <v>4.31671319468539</v>
      </c>
      <c r="V289" s="29" t="n">
        <f aca="true">IF(AND(F289&gt;=1,R289&gt;=Inputs!$B$10),SQRT(SUMPRODUCT((OFFSET(D289,-R289,0,R289,1)-U289-T289*OFFSET(E289,-R289,0,R289,1)-S289*OFFSET(F289,-R289,0,R289,1))^2)/(R289-3)),"")</f>
        <v>0.00340103364362905</v>
      </c>
      <c r="W289" s="31" t="n">
        <f aca="false">IF(AND(F289&gt;=1,R289&gt;=Inputs!$B$10),(D289-U289-T289*E289-S289*F289)/V289,"")</f>
        <v>-0.972219606267223</v>
      </c>
      <c r="X289" s="30" t="n">
        <f aca="false">IF(AB288&lt;&gt;0,AC288+1,0)</f>
        <v>0</v>
      </c>
      <c r="Y289" s="30" t="n">
        <f aca="false">IF(W289="",0,IF(AND(AB288&lt;&gt;0,OR(ABS(W289)&gt;Inputs!$B$7,X289&gt;=Inputs!$B$8,ABS(W289)&lt;Inputs!$B$6)),1,0))</f>
        <v>0</v>
      </c>
      <c r="Z289" s="30" t="n">
        <f aca="false">IF(Y289=1,0,AB288)</f>
        <v>0</v>
      </c>
      <c r="AA289" s="30" t="n">
        <f aca="false">IF(W289="",0,IF(AND(Z289=0,ABS(W289)&gt;Inputs!$B$5,ABS(W289)&lt;=Inputs!$B$7),1,0))</f>
        <v>0</v>
      </c>
      <c r="AB289" s="30" t="n">
        <f aca="false">IF(W289="",0,IF(AA289=1,-SIGN(W289),Z289))</f>
        <v>0</v>
      </c>
      <c r="AC289" s="30" t="n">
        <f aca="false">IF(W289="",0,IF(AA289=1,0,IF(Y289=1,0,X289)))</f>
        <v>0</v>
      </c>
      <c r="AD289" s="30" t="n">
        <f aca="false">IF(AB289=0,0,IF(AB288=AB289,AD288,T289))</f>
        <v>0</v>
      </c>
      <c r="AE289" s="30" t="n">
        <f aca="false">AB289-AB288</f>
        <v>0</v>
      </c>
      <c r="AF289" s="30" t="n">
        <f aca="false">-AD289*AB289</f>
        <v>-0</v>
      </c>
      <c r="AG289" s="30" t="n">
        <f aca="false">AF289-AF288</f>
        <v>0</v>
      </c>
      <c r="AH289" s="30" t="n">
        <f aca="false">MAX(AE289,0)*(Inputs!$B$17+Inputs!$B$18+Inputs!$B$19)+MAX(-AE289,0)*(O289+Inputs!$B$18+Inputs!$B$19)+IF(AND(K289=1,AB289&lt;&gt;0),(Inputs!$B$17+Inputs!$B$18+Inputs!$B$19)+(O289+Inputs!$B$18+Inputs!$B$19),0)+MAX(AG289,0)*(Inputs!$B$20+Inputs!$B$22+Inputs!$B$23)+MAX(-AG289,0)*(Inputs!$B$21+Inputs!$B$22+Inputs!$B$23)</f>
        <v>0</v>
      </c>
      <c r="AI289" s="30" t="n">
        <f aca="false">AB288*(M289-AD288*J289)+AB288*AD288*N289/Inputs!$B$16-AH289</f>
        <v>0</v>
      </c>
      <c r="AJ289" s="30" t="n">
        <f aca="false">MAX(AE289,0)*(Inputs!$B$17+Inputs!$B$24+Inputs!$B$25)+MAX(-AE289,0)*(O289+Inputs!$B$24+Inputs!$B$25)+IF(AND(K289=1,AB289&lt;&gt;0),(Inputs!$B$17+Inputs!$B$24+Inputs!$B$25)+(O289+Inputs!$B$24+Inputs!$B$25),0)+MAX(AG289,0)*(Inputs!$B$20+Inputs!$B$26+Inputs!$B$27)+MAX(-AG289,0)*(Inputs!$B$21+Inputs!$B$26+Inputs!$B$27)</f>
        <v>0</v>
      </c>
      <c r="AK289" s="30" t="n">
        <f aca="false">AB288*(M289-AD288*J289)+AB288*AD288*(N289+Inputs!$B$14)/Inputs!$B$16-AJ289</f>
        <v>0</v>
      </c>
      <c r="AL289" s="30" t="n">
        <f aca="false">IF(AP288&lt;&gt;0,AQ288+1,0)</f>
        <v>0</v>
      </c>
      <c r="AM289" s="30" t="n">
        <f aca="false">IF(W289="",0,IF(AND(AP288&lt;&gt;0,OR(ABS(W289)&gt;Inputs!$B$7,AL289&gt;=Inputs!$B$8,ABS(W289)&lt;Inputs!$B$6)),1,0))</f>
        <v>0</v>
      </c>
      <c r="AN289" s="30" t="n">
        <f aca="false">IF(AM289=1,0,AP288)</f>
        <v>0</v>
      </c>
      <c r="AO289" s="30" t="n">
        <f aca="false">IF(W289="",0,IF(AND(AN289=0,ABS(W289)&gt;Inputs!$B$5,ABS(W289)&lt;=Inputs!$B$7,W289&gt;0),1,0))</f>
        <v>0</v>
      </c>
      <c r="AP289" s="30" t="n">
        <f aca="false">IF(W289="",0,IF(AO289=1,-SIGN(W289),AN289))</f>
        <v>0</v>
      </c>
      <c r="AQ289" s="30" t="n">
        <f aca="false">IF(W289="",0,IF(AO289=1,0,IF(AM289=1,0,AL289)))</f>
        <v>0</v>
      </c>
      <c r="AR289" s="30" t="n">
        <f aca="false">IF(AP289=0,0,IF(AP288=AP289,AR288,T289))</f>
        <v>0</v>
      </c>
      <c r="AS289" s="30" t="n">
        <f aca="false">AP289-AP288</f>
        <v>0</v>
      </c>
      <c r="AT289" s="30" t="n">
        <f aca="false">-AR289*AP289</f>
        <v>-0</v>
      </c>
      <c r="AU289" s="30" t="n">
        <f aca="false">AT289-AT288</f>
        <v>0</v>
      </c>
      <c r="AV289" s="30" t="n">
        <f aca="false">MAX(AS289,0)*(Inputs!$B$17+Inputs!$B$18+Inputs!$B$19)+MAX(-AS289,0)*(O289+Inputs!$B$18+Inputs!$B$19)+IF(AND(K289=1,AP289&lt;&gt;0),(Inputs!$B$17+Inputs!$B$18+Inputs!$B$19)+(O289+Inputs!$B$18+Inputs!$B$19),0)+MAX(AU289,0)*(Inputs!$B$20+Inputs!$B$22+Inputs!$B$23)+MAX(-AU289,0)*(Inputs!$B$21+Inputs!$B$22+Inputs!$B$23)</f>
        <v>0</v>
      </c>
      <c r="AW289" s="30" t="n">
        <f aca="false">AP288*(M289-AR288*J289)+AP288*AR288*N289/Inputs!$B$16-AV289</f>
        <v>0</v>
      </c>
      <c r="AX289" s="30" t="n">
        <f aca="false">AW289-IF(AP288&lt;&gt;0,0.75*AR288*(Inputs!$B$13-N289)/Inputs!$B$16,0)</f>
        <v>0</v>
      </c>
      <c r="AY289" s="30" t="n">
        <f aca="false">MAX(AS289,0)*(Inputs!$B$17+Inputs!$B$18+Inputs!$B$19)+MAX(-AS289,0)*(O289+Inputs!$B$18+Inputs!$B$19)+IF(AND(K289=1,AP289&lt;&gt;0),(Inputs!$B$17+Inputs!$B$18+Inputs!$B$19)+(O289+Inputs!$B$18+Inputs!$B$19),0)</f>
        <v>0</v>
      </c>
      <c r="AZ289" s="30" t="n">
        <f aca="false">AP288*M289-AY289</f>
        <v>0</v>
      </c>
      <c r="BA289" s="32" t="n">
        <f aca="false">BA288+AI289</f>
        <v>-0.00574530534633948</v>
      </c>
      <c r="BB289" s="30" t="n">
        <f aca="false">MAX(BB288,BA289)</f>
        <v>0</v>
      </c>
      <c r="BC289" s="32" t="n">
        <f aca="false">BA289-BB289</f>
        <v>-0.00574530534633948</v>
      </c>
      <c r="BD289" s="30" t="n">
        <f aca="false">A290-A289</f>
        <v>1</v>
      </c>
    </row>
    <row r="290" customFormat="false" ht="15" hidden="false" customHeight="false" outlineLevel="0" collapsed="false">
      <c r="A290" s="28" t="n">
        <v>45468</v>
      </c>
      <c r="B290" s="0" t="n">
        <v>23737</v>
      </c>
      <c r="C290" s="0" t="n">
        <v>263.68</v>
      </c>
      <c r="D290" s="29" t="n">
        <f aca="false">LN(B290)</f>
        <v>10.074790291181</v>
      </c>
      <c r="E290" s="29" t="n">
        <f aca="false">LN(C290)</f>
        <v>5.57473624672111</v>
      </c>
      <c r="F290" s="0" t="n">
        <v>285</v>
      </c>
      <c r="G290" s="0" t="n">
        <v>2</v>
      </c>
      <c r="H290" s="29" t="n">
        <f aca="false">D290-E290</f>
        <v>4.50005404445984</v>
      </c>
      <c r="I290" s="29" t="n">
        <f aca="false">D290-D289</f>
        <v>0.00771388172358201</v>
      </c>
      <c r="J290" s="29" t="n">
        <f aca="false">E290-E289</f>
        <v>0.0077285139028902</v>
      </c>
      <c r="K290" s="0" t="n">
        <v>0</v>
      </c>
      <c r="L290" s="0" t="n">
        <v>0</v>
      </c>
      <c r="M290" s="29" t="n">
        <f aca="false">IF(L290=1,J290-Carry!$B$9/Inputs!$B$16,I290)</f>
        <v>0.00771388172358201</v>
      </c>
      <c r="N290" s="0" t="n">
        <v>0.065</v>
      </c>
      <c r="O290" s="0" t="n">
        <v>0.000125</v>
      </c>
      <c r="P290" s="29" t="n">
        <f aca="false">D290-('2 Hedge ratio'!$B$6+'2 Hedge ratio'!$B$5*E290)</f>
        <v>0.0058051584689256</v>
      </c>
      <c r="Q290" s="29" t="n">
        <f aca="false">D290-('5 Re-specification'!$B$7+'5 Re-specification'!$B$5*E290+'5 Re-specification'!$B$6*F290)</f>
        <v>-0.00144788251664885</v>
      </c>
      <c r="R290" s="30" t="n">
        <f aca="false">MIN(F290,Inputs!$B$9)</f>
        <v>250</v>
      </c>
      <c r="S290" s="29" t="n">
        <f aca="true">IF(AND(F290&gt;=1,R290&gt;=Inputs!$B$10),INDEX(LINEST(OFFSET(D290,-R290,0,R290,1),OFFSET(E290,-R290,0,R290,2)),1,1),"")</f>
        <v>-7.07624518912417E-005</v>
      </c>
      <c r="T290" s="29" t="n">
        <f aca="true">IF(AND(F290&gt;=1,R290&gt;=Inputs!$B$10),INDEX(LINEST(OFFSET(D290,-R290,0,R290,1),OFFSET(E290,-R290,0,R290,2)),1,2),"")</f>
        <v>1.03694317005366</v>
      </c>
      <c r="U290" s="29" t="n">
        <f aca="true">IF(AND(F290&gt;=1,R290&gt;=Inputs!$B$10),INDEX(LINEST(OFFSET(D290,-R290,0,R290,1),OFFSET(E290,-R290,0,R290,2)),1,3),"")</f>
        <v>4.31778762831001</v>
      </c>
      <c r="V290" s="29" t="n">
        <f aca="true">IF(AND(F290&gt;=1,R290&gt;=Inputs!$B$10),SQRT(SUMPRODUCT((OFFSET(D290,-R290,0,R290,1)-U290-T290*OFFSET(E290,-R290,0,R290,1)-S290*OFFSET(F290,-R290,0,R290,1))^2)/(R290-3)),"")</f>
        <v>0.00339679552628838</v>
      </c>
      <c r="W290" s="31" t="n">
        <f aca="false">IF(AND(F290&gt;=1,R290&gt;=Inputs!$B$10),(D290-U290-T290*E290-S290*F290)/V290,"")</f>
        <v>-1.03471468943594</v>
      </c>
      <c r="X290" s="30" t="n">
        <f aca="false">IF(AB289&lt;&gt;0,AC289+1,0)</f>
        <v>0</v>
      </c>
      <c r="Y290" s="30" t="n">
        <f aca="false">IF(W290="",0,IF(AND(AB289&lt;&gt;0,OR(ABS(W290)&gt;Inputs!$B$7,X290&gt;=Inputs!$B$8,ABS(W290)&lt;Inputs!$B$6)),1,0))</f>
        <v>0</v>
      </c>
      <c r="Z290" s="30" t="n">
        <f aca="false">IF(Y290=1,0,AB289)</f>
        <v>0</v>
      </c>
      <c r="AA290" s="30" t="n">
        <f aca="false">IF(W290="",0,IF(AND(Z290=0,ABS(W290)&gt;Inputs!$B$5,ABS(W290)&lt;=Inputs!$B$7),1,0))</f>
        <v>0</v>
      </c>
      <c r="AB290" s="30" t="n">
        <f aca="false">IF(W290="",0,IF(AA290=1,-SIGN(W290),Z290))</f>
        <v>0</v>
      </c>
      <c r="AC290" s="30" t="n">
        <f aca="false">IF(W290="",0,IF(AA290=1,0,IF(Y290=1,0,X290)))</f>
        <v>0</v>
      </c>
      <c r="AD290" s="30" t="n">
        <f aca="false">IF(AB290=0,0,IF(AB289=AB290,AD289,T290))</f>
        <v>0</v>
      </c>
      <c r="AE290" s="30" t="n">
        <f aca="false">AB290-AB289</f>
        <v>0</v>
      </c>
      <c r="AF290" s="30" t="n">
        <f aca="false">-AD290*AB290</f>
        <v>-0</v>
      </c>
      <c r="AG290" s="30" t="n">
        <f aca="false">AF290-AF289</f>
        <v>0</v>
      </c>
      <c r="AH290" s="30" t="n">
        <f aca="false">MAX(AE290,0)*(Inputs!$B$17+Inputs!$B$18+Inputs!$B$19)+MAX(-AE290,0)*(O290+Inputs!$B$18+Inputs!$B$19)+IF(AND(K290=1,AB290&lt;&gt;0),(Inputs!$B$17+Inputs!$B$18+Inputs!$B$19)+(O290+Inputs!$B$18+Inputs!$B$19),0)+MAX(AG290,0)*(Inputs!$B$20+Inputs!$B$22+Inputs!$B$23)+MAX(-AG290,0)*(Inputs!$B$21+Inputs!$B$22+Inputs!$B$23)</f>
        <v>0</v>
      </c>
      <c r="AI290" s="30" t="n">
        <f aca="false">AB289*(M290-AD289*J290)+AB289*AD289*N290/Inputs!$B$16-AH290</f>
        <v>0</v>
      </c>
      <c r="AJ290" s="30" t="n">
        <f aca="false">MAX(AE290,0)*(Inputs!$B$17+Inputs!$B$24+Inputs!$B$25)+MAX(-AE290,0)*(O290+Inputs!$B$24+Inputs!$B$25)+IF(AND(K290=1,AB290&lt;&gt;0),(Inputs!$B$17+Inputs!$B$24+Inputs!$B$25)+(O290+Inputs!$B$24+Inputs!$B$25),0)+MAX(AG290,0)*(Inputs!$B$20+Inputs!$B$26+Inputs!$B$27)+MAX(-AG290,0)*(Inputs!$B$21+Inputs!$B$26+Inputs!$B$27)</f>
        <v>0</v>
      </c>
      <c r="AK290" s="30" t="n">
        <f aca="false">AB289*(M290-AD289*J290)+AB289*AD289*(N290+Inputs!$B$14)/Inputs!$B$16-AJ290</f>
        <v>0</v>
      </c>
      <c r="AL290" s="30" t="n">
        <f aca="false">IF(AP289&lt;&gt;0,AQ289+1,0)</f>
        <v>0</v>
      </c>
      <c r="AM290" s="30" t="n">
        <f aca="false">IF(W290="",0,IF(AND(AP289&lt;&gt;0,OR(ABS(W290)&gt;Inputs!$B$7,AL290&gt;=Inputs!$B$8,ABS(W290)&lt;Inputs!$B$6)),1,0))</f>
        <v>0</v>
      </c>
      <c r="AN290" s="30" t="n">
        <f aca="false">IF(AM290=1,0,AP289)</f>
        <v>0</v>
      </c>
      <c r="AO290" s="30" t="n">
        <f aca="false">IF(W290="",0,IF(AND(AN290=0,ABS(W290)&gt;Inputs!$B$5,ABS(W290)&lt;=Inputs!$B$7,W290&gt;0),1,0))</f>
        <v>0</v>
      </c>
      <c r="AP290" s="30" t="n">
        <f aca="false">IF(W290="",0,IF(AO290=1,-SIGN(W290),AN290))</f>
        <v>0</v>
      </c>
      <c r="AQ290" s="30" t="n">
        <f aca="false">IF(W290="",0,IF(AO290=1,0,IF(AM290=1,0,AL290)))</f>
        <v>0</v>
      </c>
      <c r="AR290" s="30" t="n">
        <f aca="false">IF(AP290=0,0,IF(AP289=AP290,AR289,T290))</f>
        <v>0</v>
      </c>
      <c r="AS290" s="30" t="n">
        <f aca="false">AP290-AP289</f>
        <v>0</v>
      </c>
      <c r="AT290" s="30" t="n">
        <f aca="false">-AR290*AP290</f>
        <v>-0</v>
      </c>
      <c r="AU290" s="30" t="n">
        <f aca="false">AT290-AT289</f>
        <v>0</v>
      </c>
      <c r="AV290" s="30" t="n">
        <f aca="false">MAX(AS290,0)*(Inputs!$B$17+Inputs!$B$18+Inputs!$B$19)+MAX(-AS290,0)*(O290+Inputs!$B$18+Inputs!$B$19)+IF(AND(K290=1,AP290&lt;&gt;0),(Inputs!$B$17+Inputs!$B$18+Inputs!$B$19)+(O290+Inputs!$B$18+Inputs!$B$19),0)+MAX(AU290,0)*(Inputs!$B$20+Inputs!$B$22+Inputs!$B$23)+MAX(-AU290,0)*(Inputs!$B$21+Inputs!$B$22+Inputs!$B$23)</f>
        <v>0</v>
      </c>
      <c r="AW290" s="30" t="n">
        <f aca="false">AP289*(M290-AR289*J290)+AP289*AR289*N290/Inputs!$B$16-AV290</f>
        <v>0</v>
      </c>
      <c r="AX290" s="30" t="n">
        <f aca="false">AW290-IF(AP289&lt;&gt;0,0.75*AR289*(Inputs!$B$13-N290)/Inputs!$B$16,0)</f>
        <v>0</v>
      </c>
      <c r="AY290" s="30" t="n">
        <f aca="false">MAX(AS290,0)*(Inputs!$B$17+Inputs!$B$18+Inputs!$B$19)+MAX(-AS290,0)*(O290+Inputs!$B$18+Inputs!$B$19)+IF(AND(K290=1,AP290&lt;&gt;0),(Inputs!$B$17+Inputs!$B$18+Inputs!$B$19)+(O290+Inputs!$B$18+Inputs!$B$19),0)</f>
        <v>0</v>
      </c>
      <c r="AZ290" s="30" t="n">
        <f aca="false">AP289*M290-AY290</f>
        <v>0</v>
      </c>
      <c r="BA290" s="32" t="n">
        <f aca="false">BA289+AI290</f>
        <v>-0.00574530534633948</v>
      </c>
      <c r="BB290" s="30" t="n">
        <f aca="false">MAX(BB289,BA290)</f>
        <v>0</v>
      </c>
      <c r="BC290" s="32" t="n">
        <f aca="false">BA290-BB290</f>
        <v>-0.00574530534633948</v>
      </c>
      <c r="BD290" s="30" t="n">
        <f aca="false">A291-A290</f>
        <v>1</v>
      </c>
    </row>
    <row r="291" customFormat="false" ht="15" hidden="false" customHeight="false" outlineLevel="0" collapsed="false">
      <c r="A291" s="28" t="n">
        <v>45469</v>
      </c>
      <c r="B291" s="0" t="n">
        <v>23856</v>
      </c>
      <c r="C291" s="0" t="n">
        <v>264.83</v>
      </c>
      <c r="D291" s="29" t="n">
        <f aca="false">LN(B291)</f>
        <v>10.0797910370045</v>
      </c>
      <c r="E291" s="29" t="n">
        <f aca="false">LN(C291)</f>
        <v>5.57908811069704</v>
      </c>
      <c r="F291" s="0" t="n">
        <v>286</v>
      </c>
      <c r="G291" s="0" t="n">
        <v>1</v>
      </c>
      <c r="H291" s="29" t="n">
        <f aca="false">D291-E291</f>
        <v>4.50070292630748</v>
      </c>
      <c r="I291" s="29" t="n">
        <f aca="false">D291-D290</f>
        <v>0.00500074582356902</v>
      </c>
      <c r="J291" s="29" t="n">
        <f aca="false">E291-E290</f>
        <v>0.00435186397593235</v>
      </c>
      <c r="K291" s="0" t="n">
        <v>0</v>
      </c>
      <c r="L291" s="0" t="n">
        <v>0</v>
      </c>
      <c r="M291" s="29" t="n">
        <f aca="false">IF(L291=1,J291-Carry!$B$9/Inputs!$B$16,I291)</f>
        <v>0.00500074582356902</v>
      </c>
      <c r="N291" s="0" t="n">
        <v>0.065</v>
      </c>
      <c r="O291" s="0" t="n">
        <v>0.000125</v>
      </c>
      <c r="P291" s="29" t="n">
        <f aca="false">D291-('2 Hedge ratio'!$B$6+'2 Hedge ratio'!$B$5*E291)</f>
        <v>0.00681904525154131</v>
      </c>
      <c r="Q291" s="29" t="n">
        <f aca="false">D291-('5 Re-specification'!$B$7+'5 Re-specification'!$B$5*E291+'5 Re-specification'!$B$6*F291)</f>
        <v>-0.000740883027043893</v>
      </c>
      <c r="R291" s="30" t="n">
        <f aca="false">MIN(F291,Inputs!$B$9)</f>
        <v>250</v>
      </c>
      <c r="S291" s="29" t="n">
        <f aca="true">IF(AND(F291&gt;=1,R291&gt;=Inputs!$B$10),INDEX(LINEST(OFFSET(D291,-R291,0,R291,1),OFFSET(E291,-R291,0,R291,2)),1,1),"")</f>
        <v>-7.04125044376992E-005</v>
      </c>
      <c r="T291" s="29" t="n">
        <f aca="true">IF(AND(F291&gt;=1,R291&gt;=Inputs!$B$10),INDEX(LINEST(OFFSET(D291,-R291,0,R291,1),OFFSET(E291,-R291,0,R291,2)),1,2),"")</f>
        <v>1.03642656182095</v>
      </c>
      <c r="U291" s="29" t="n">
        <f aca="true">IF(AND(F291&gt;=1,R291&gt;=Inputs!$B$10),INDEX(LINEST(OFFSET(D291,-R291,0,R291,1),OFFSET(E291,-R291,0,R291,2)),1,3),"")</f>
        <v>4.32052089549778</v>
      </c>
      <c r="V291" s="29" t="n">
        <f aca="true">IF(AND(F291&gt;=1,R291&gt;=Inputs!$B$10),SQRT(SUMPRODUCT((OFFSET(D291,-R291,0,R291,1)-U291-T291*OFFSET(E291,-R291,0,R291,1)-S291*OFFSET(F291,-R291,0,R291,1))^2)/(R291-3)),"")</f>
        <v>0.00340096815835314</v>
      </c>
      <c r="W291" s="31" t="n">
        <f aca="false">IF(AND(F291&gt;=1,R291&gt;=Inputs!$B$10),(D291-U291-T291*E291-S291*F291)/V291,"")</f>
        <v>-0.854753927288321</v>
      </c>
      <c r="X291" s="30" t="n">
        <f aca="false">IF(AB290&lt;&gt;0,AC290+1,0)</f>
        <v>0</v>
      </c>
      <c r="Y291" s="30" t="n">
        <f aca="false">IF(W291="",0,IF(AND(AB290&lt;&gt;0,OR(ABS(W291)&gt;Inputs!$B$7,X291&gt;=Inputs!$B$8,ABS(W291)&lt;Inputs!$B$6)),1,0))</f>
        <v>0</v>
      </c>
      <c r="Z291" s="30" t="n">
        <f aca="false">IF(Y291=1,0,AB290)</f>
        <v>0</v>
      </c>
      <c r="AA291" s="30" t="n">
        <f aca="false">IF(W291="",0,IF(AND(Z291=0,ABS(W291)&gt;Inputs!$B$5,ABS(W291)&lt;=Inputs!$B$7),1,0))</f>
        <v>0</v>
      </c>
      <c r="AB291" s="30" t="n">
        <f aca="false">IF(W291="",0,IF(AA291=1,-SIGN(W291),Z291))</f>
        <v>0</v>
      </c>
      <c r="AC291" s="30" t="n">
        <f aca="false">IF(W291="",0,IF(AA291=1,0,IF(Y291=1,0,X291)))</f>
        <v>0</v>
      </c>
      <c r="AD291" s="30" t="n">
        <f aca="false">IF(AB291=0,0,IF(AB290=AB291,AD290,T291))</f>
        <v>0</v>
      </c>
      <c r="AE291" s="30" t="n">
        <f aca="false">AB291-AB290</f>
        <v>0</v>
      </c>
      <c r="AF291" s="30" t="n">
        <f aca="false">-AD291*AB291</f>
        <v>-0</v>
      </c>
      <c r="AG291" s="30" t="n">
        <f aca="false">AF291-AF290</f>
        <v>0</v>
      </c>
      <c r="AH291" s="30" t="n">
        <f aca="false">MAX(AE291,0)*(Inputs!$B$17+Inputs!$B$18+Inputs!$B$19)+MAX(-AE291,0)*(O291+Inputs!$B$18+Inputs!$B$19)+IF(AND(K291=1,AB291&lt;&gt;0),(Inputs!$B$17+Inputs!$B$18+Inputs!$B$19)+(O291+Inputs!$B$18+Inputs!$B$19),0)+MAX(AG291,0)*(Inputs!$B$20+Inputs!$B$22+Inputs!$B$23)+MAX(-AG291,0)*(Inputs!$B$21+Inputs!$B$22+Inputs!$B$23)</f>
        <v>0</v>
      </c>
      <c r="AI291" s="30" t="n">
        <f aca="false">AB290*(M291-AD290*J291)+AB290*AD290*N291/Inputs!$B$16-AH291</f>
        <v>0</v>
      </c>
      <c r="AJ291" s="30" t="n">
        <f aca="false">MAX(AE291,0)*(Inputs!$B$17+Inputs!$B$24+Inputs!$B$25)+MAX(-AE291,0)*(O291+Inputs!$B$24+Inputs!$B$25)+IF(AND(K291=1,AB291&lt;&gt;0),(Inputs!$B$17+Inputs!$B$24+Inputs!$B$25)+(O291+Inputs!$B$24+Inputs!$B$25),0)+MAX(AG291,0)*(Inputs!$B$20+Inputs!$B$26+Inputs!$B$27)+MAX(-AG291,0)*(Inputs!$B$21+Inputs!$B$26+Inputs!$B$27)</f>
        <v>0</v>
      </c>
      <c r="AK291" s="30" t="n">
        <f aca="false">AB290*(M291-AD290*J291)+AB290*AD290*(N291+Inputs!$B$14)/Inputs!$B$16-AJ291</f>
        <v>0</v>
      </c>
      <c r="AL291" s="30" t="n">
        <f aca="false">IF(AP290&lt;&gt;0,AQ290+1,0)</f>
        <v>0</v>
      </c>
      <c r="AM291" s="30" t="n">
        <f aca="false">IF(W291="",0,IF(AND(AP290&lt;&gt;0,OR(ABS(W291)&gt;Inputs!$B$7,AL291&gt;=Inputs!$B$8,ABS(W291)&lt;Inputs!$B$6)),1,0))</f>
        <v>0</v>
      </c>
      <c r="AN291" s="30" t="n">
        <f aca="false">IF(AM291=1,0,AP290)</f>
        <v>0</v>
      </c>
      <c r="AO291" s="30" t="n">
        <f aca="false">IF(W291="",0,IF(AND(AN291=0,ABS(W291)&gt;Inputs!$B$5,ABS(W291)&lt;=Inputs!$B$7,W291&gt;0),1,0))</f>
        <v>0</v>
      </c>
      <c r="AP291" s="30" t="n">
        <f aca="false">IF(W291="",0,IF(AO291=1,-SIGN(W291),AN291))</f>
        <v>0</v>
      </c>
      <c r="AQ291" s="30" t="n">
        <f aca="false">IF(W291="",0,IF(AO291=1,0,IF(AM291=1,0,AL291)))</f>
        <v>0</v>
      </c>
      <c r="AR291" s="30" t="n">
        <f aca="false">IF(AP291=0,0,IF(AP290=AP291,AR290,T291))</f>
        <v>0</v>
      </c>
      <c r="AS291" s="30" t="n">
        <f aca="false">AP291-AP290</f>
        <v>0</v>
      </c>
      <c r="AT291" s="30" t="n">
        <f aca="false">-AR291*AP291</f>
        <v>-0</v>
      </c>
      <c r="AU291" s="30" t="n">
        <f aca="false">AT291-AT290</f>
        <v>0</v>
      </c>
      <c r="AV291" s="30" t="n">
        <f aca="false">MAX(AS291,0)*(Inputs!$B$17+Inputs!$B$18+Inputs!$B$19)+MAX(-AS291,0)*(O291+Inputs!$B$18+Inputs!$B$19)+IF(AND(K291=1,AP291&lt;&gt;0),(Inputs!$B$17+Inputs!$B$18+Inputs!$B$19)+(O291+Inputs!$B$18+Inputs!$B$19),0)+MAX(AU291,0)*(Inputs!$B$20+Inputs!$B$22+Inputs!$B$23)+MAX(-AU291,0)*(Inputs!$B$21+Inputs!$B$22+Inputs!$B$23)</f>
        <v>0</v>
      </c>
      <c r="AW291" s="30" t="n">
        <f aca="false">AP290*(M291-AR290*J291)+AP290*AR290*N291/Inputs!$B$16-AV291</f>
        <v>0</v>
      </c>
      <c r="AX291" s="30" t="n">
        <f aca="false">AW291-IF(AP290&lt;&gt;0,0.75*AR290*(Inputs!$B$13-N291)/Inputs!$B$16,0)</f>
        <v>0</v>
      </c>
      <c r="AY291" s="30" t="n">
        <f aca="false">MAX(AS291,0)*(Inputs!$B$17+Inputs!$B$18+Inputs!$B$19)+MAX(-AS291,0)*(O291+Inputs!$B$18+Inputs!$B$19)+IF(AND(K291=1,AP291&lt;&gt;0),(Inputs!$B$17+Inputs!$B$18+Inputs!$B$19)+(O291+Inputs!$B$18+Inputs!$B$19),0)</f>
        <v>0</v>
      </c>
      <c r="AZ291" s="30" t="n">
        <f aca="false">AP290*M291-AY291</f>
        <v>0</v>
      </c>
      <c r="BA291" s="32" t="n">
        <f aca="false">BA290+AI291</f>
        <v>-0.00574530534633948</v>
      </c>
      <c r="BB291" s="30" t="n">
        <f aca="false">MAX(BB290,BA291)</f>
        <v>0</v>
      </c>
      <c r="BC291" s="32" t="n">
        <f aca="false">BA291-BB291</f>
        <v>-0.00574530534633948</v>
      </c>
      <c r="BD291" s="30" t="n">
        <f aca="false">A292-A291</f>
        <v>1</v>
      </c>
    </row>
    <row r="292" customFormat="false" ht="15" hidden="false" customHeight="false" outlineLevel="0" collapsed="false">
      <c r="A292" s="28" t="n">
        <v>45470</v>
      </c>
      <c r="B292" s="0" t="n">
        <v>24047.1</v>
      </c>
      <c r="C292" s="0" t="n">
        <v>266.95</v>
      </c>
      <c r="D292" s="29" t="n">
        <f aca="false">LN(B292)</f>
        <v>10.0877696861427</v>
      </c>
      <c r="E292" s="29" t="n">
        <f aca="false">LN(C292)</f>
        <v>5.5870613749462</v>
      </c>
      <c r="F292" s="0" t="n">
        <v>287</v>
      </c>
      <c r="G292" s="0" t="n">
        <v>0</v>
      </c>
      <c r="H292" s="29" t="n">
        <f aca="false">D292-E292</f>
        <v>4.50070831119652</v>
      </c>
      <c r="I292" s="29" t="n">
        <f aca="false">D292-D291</f>
        <v>0.00797864913819701</v>
      </c>
      <c r="J292" s="29" t="n">
        <f aca="false">E292-E291</f>
        <v>0.00797326424915568</v>
      </c>
      <c r="K292" s="0" t="n">
        <v>1</v>
      </c>
      <c r="L292" s="0" t="n">
        <v>0</v>
      </c>
      <c r="M292" s="29" t="n">
        <f aca="false">IF(L292=1,J292-Carry!$B$9/Inputs!$B$16,I292)</f>
        <v>0.00797864913819701</v>
      </c>
      <c r="N292" s="0" t="n">
        <v>0.065</v>
      </c>
      <c r="O292" s="0" t="n">
        <v>0.000125</v>
      </c>
      <c r="P292" s="29" t="n">
        <f aca="false">D292-('2 Hedge ratio'!$B$6+'2 Hedge ratio'!$B$5*E292)</f>
        <v>0.00749317365254143</v>
      </c>
      <c r="Q292" s="29" t="n">
        <f aca="false">D292-('5 Re-specification'!$B$7+'5 Re-specification'!$B$5*E292+'5 Re-specification'!$B$6*F292)</f>
        <v>-0.000666405842430606</v>
      </c>
      <c r="R292" s="30" t="n">
        <f aca="false">MIN(F292,Inputs!$B$9)</f>
        <v>250</v>
      </c>
      <c r="S292" s="29" t="n">
        <f aca="true">IF(AND(F292&gt;=1,R292&gt;=Inputs!$B$10),INDEX(LINEST(OFFSET(D292,-R292,0,R292,1),OFFSET(E292,-R292,0,R292,2)),1,1),"")</f>
        <v>-7.00711148514877E-005</v>
      </c>
      <c r="T292" s="29" t="n">
        <f aca="true">IF(AND(F292&gt;=1,R292&gt;=Inputs!$B$10),INDEX(LINEST(OFFSET(D292,-R292,0,R292,1),OFFSET(E292,-R292,0,R292,2)),1,2),"")</f>
        <v>1.03591832970079</v>
      </c>
      <c r="U292" s="29" t="n">
        <f aca="true">IF(AND(F292&gt;=1,R292&gt;=Inputs!$B$10),INDEX(LINEST(OFFSET(D292,-R292,0,R292,1),OFFSET(E292,-R292,0,R292,2)),1,3),"")</f>
        <v>4.3232150216771</v>
      </c>
      <c r="V292" s="29" t="n">
        <f aca="true">IF(AND(F292&gt;=1,R292&gt;=Inputs!$B$10),SQRT(SUMPRODUCT((OFFSET(D292,-R292,0,R292,1)-U292-T292*OFFSET(E292,-R292,0,R292,1)-S292*OFFSET(F292,-R292,0,R292,1))^2)/(R292-3)),"")</f>
        <v>0.0034043009540662</v>
      </c>
      <c r="W292" s="31" t="n">
        <f aca="false">IF(AND(F292&gt;=1,R292&gt;=Inputs!$B$10),(D292-U292-T292*E292-S292*F292)/V292,"")</f>
        <v>-0.903037975657914</v>
      </c>
      <c r="X292" s="30" t="n">
        <f aca="false">IF(AB291&lt;&gt;0,AC291+1,0)</f>
        <v>0</v>
      </c>
      <c r="Y292" s="30" t="n">
        <f aca="false">IF(W292="",0,IF(AND(AB291&lt;&gt;0,OR(ABS(W292)&gt;Inputs!$B$7,X292&gt;=Inputs!$B$8,ABS(W292)&lt;Inputs!$B$6)),1,0))</f>
        <v>0</v>
      </c>
      <c r="Z292" s="30" t="n">
        <f aca="false">IF(Y292=1,0,AB291)</f>
        <v>0</v>
      </c>
      <c r="AA292" s="30" t="n">
        <f aca="false">IF(W292="",0,IF(AND(Z292=0,ABS(W292)&gt;Inputs!$B$5,ABS(W292)&lt;=Inputs!$B$7),1,0))</f>
        <v>0</v>
      </c>
      <c r="AB292" s="30" t="n">
        <f aca="false">IF(W292="",0,IF(AA292=1,-SIGN(W292),Z292))</f>
        <v>0</v>
      </c>
      <c r="AC292" s="30" t="n">
        <f aca="false">IF(W292="",0,IF(AA292=1,0,IF(Y292=1,0,X292)))</f>
        <v>0</v>
      </c>
      <c r="AD292" s="30" t="n">
        <f aca="false">IF(AB292=0,0,IF(AB291=AB292,AD291,T292))</f>
        <v>0</v>
      </c>
      <c r="AE292" s="30" t="n">
        <f aca="false">AB292-AB291</f>
        <v>0</v>
      </c>
      <c r="AF292" s="30" t="n">
        <f aca="false">-AD292*AB292</f>
        <v>-0</v>
      </c>
      <c r="AG292" s="30" t="n">
        <f aca="false">AF292-AF291</f>
        <v>0</v>
      </c>
      <c r="AH292" s="30" t="n">
        <f aca="false">MAX(AE292,0)*(Inputs!$B$17+Inputs!$B$18+Inputs!$B$19)+MAX(-AE292,0)*(O292+Inputs!$B$18+Inputs!$B$19)+IF(AND(K292=1,AB292&lt;&gt;0),(Inputs!$B$17+Inputs!$B$18+Inputs!$B$19)+(O292+Inputs!$B$18+Inputs!$B$19),0)+MAX(AG292,0)*(Inputs!$B$20+Inputs!$B$22+Inputs!$B$23)+MAX(-AG292,0)*(Inputs!$B$21+Inputs!$B$22+Inputs!$B$23)</f>
        <v>0</v>
      </c>
      <c r="AI292" s="30" t="n">
        <f aca="false">AB291*(M292-AD291*J292)+AB291*AD291*N292/Inputs!$B$16-AH292</f>
        <v>0</v>
      </c>
      <c r="AJ292" s="30" t="n">
        <f aca="false">MAX(AE292,0)*(Inputs!$B$17+Inputs!$B$24+Inputs!$B$25)+MAX(-AE292,0)*(O292+Inputs!$B$24+Inputs!$B$25)+IF(AND(K292=1,AB292&lt;&gt;0),(Inputs!$B$17+Inputs!$B$24+Inputs!$B$25)+(O292+Inputs!$B$24+Inputs!$B$25),0)+MAX(AG292,0)*(Inputs!$B$20+Inputs!$B$26+Inputs!$B$27)+MAX(-AG292,0)*(Inputs!$B$21+Inputs!$B$26+Inputs!$B$27)</f>
        <v>0</v>
      </c>
      <c r="AK292" s="30" t="n">
        <f aca="false">AB291*(M292-AD291*J292)+AB291*AD291*(N292+Inputs!$B$14)/Inputs!$B$16-AJ292</f>
        <v>0</v>
      </c>
      <c r="AL292" s="30" t="n">
        <f aca="false">IF(AP291&lt;&gt;0,AQ291+1,0)</f>
        <v>0</v>
      </c>
      <c r="AM292" s="30" t="n">
        <f aca="false">IF(W292="",0,IF(AND(AP291&lt;&gt;0,OR(ABS(W292)&gt;Inputs!$B$7,AL292&gt;=Inputs!$B$8,ABS(W292)&lt;Inputs!$B$6)),1,0))</f>
        <v>0</v>
      </c>
      <c r="AN292" s="30" t="n">
        <f aca="false">IF(AM292=1,0,AP291)</f>
        <v>0</v>
      </c>
      <c r="AO292" s="30" t="n">
        <f aca="false">IF(W292="",0,IF(AND(AN292=0,ABS(W292)&gt;Inputs!$B$5,ABS(W292)&lt;=Inputs!$B$7,W292&gt;0),1,0))</f>
        <v>0</v>
      </c>
      <c r="AP292" s="30" t="n">
        <f aca="false">IF(W292="",0,IF(AO292=1,-SIGN(W292),AN292))</f>
        <v>0</v>
      </c>
      <c r="AQ292" s="30" t="n">
        <f aca="false">IF(W292="",0,IF(AO292=1,0,IF(AM292=1,0,AL292)))</f>
        <v>0</v>
      </c>
      <c r="AR292" s="30" t="n">
        <f aca="false">IF(AP292=0,0,IF(AP291=AP292,AR291,T292))</f>
        <v>0</v>
      </c>
      <c r="AS292" s="30" t="n">
        <f aca="false">AP292-AP291</f>
        <v>0</v>
      </c>
      <c r="AT292" s="30" t="n">
        <f aca="false">-AR292*AP292</f>
        <v>-0</v>
      </c>
      <c r="AU292" s="30" t="n">
        <f aca="false">AT292-AT291</f>
        <v>0</v>
      </c>
      <c r="AV292" s="30" t="n">
        <f aca="false">MAX(AS292,0)*(Inputs!$B$17+Inputs!$B$18+Inputs!$B$19)+MAX(-AS292,0)*(O292+Inputs!$B$18+Inputs!$B$19)+IF(AND(K292=1,AP292&lt;&gt;0),(Inputs!$B$17+Inputs!$B$18+Inputs!$B$19)+(O292+Inputs!$B$18+Inputs!$B$19),0)+MAX(AU292,0)*(Inputs!$B$20+Inputs!$B$22+Inputs!$B$23)+MAX(-AU292,0)*(Inputs!$B$21+Inputs!$B$22+Inputs!$B$23)</f>
        <v>0</v>
      </c>
      <c r="AW292" s="30" t="n">
        <f aca="false">AP291*(M292-AR291*J292)+AP291*AR291*N292/Inputs!$B$16-AV292</f>
        <v>0</v>
      </c>
      <c r="AX292" s="30" t="n">
        <f aca="false">AW292-IF(AP291&lt;&gt;0,0.75*AR291*(Inputs!$B$13-N292)/Inputs!$B$16,0)</f>
        <v>0</v>
      </c>
      <c r="AY292" s="30" t="n">
        <f aca="false">MAX(AS292,0)*(Inputs!$B$17+Inputs!$B$18+Inputs!$B$19)+MAX(-AS292,0)*(O292+Inputs!$B$18+Inputs!$B$19)+IF(AND(K292=1,AP292&lt;&gt;0),(Inputs!$B$17+Inputs!$B$18+Inputs!$B$19)+(O292+Inputs!$B$18+Inputs!$B$19),0)</f>
        <v>0</v>
      </c>
      <c r="AZ292" s="30" t="n">
        <f aca="false">AP291*M292-AY292</f>
        <v>0</v>
      </c>
      <c r="BA292" s="32" t="n">
        <f aca="false">BA291+AI292</f>
        <v>-0.00574530534633948</v>
      </c>
      <c r="BB292" s="30" t="n">
        <f aca="false">MAX(BB291,BA292)</f>
        <v>0</v>
      </c>
      <c r="BC292" s="32" t="n">
        <f aca="false">BA292-BB292</f>
        <v>-0.00574530534633948</v>
      </c>
      <c r="BD292" s="30" t="n">
        <f aca="false">A293-A292</f>
        <v>1</v>
      </c>
    </row>
    <row r="293" customFormat="false" ht="15" hidden="false" customHeight="false" outlineLevel="0" collapsed="false">
      <c r="A293" s="28" t="n">
        <v>45471</v>
      </c>
      <c r="B293" s="0" t="n">
        <v>24134.95</v>
      </c>
      <c r="C293" s="0" t="n">
        <v>267.5</v>
      </c>
      <c r="D293" s="29" t="n">
        <f aca="false">LN(B293)</f>
        <v>10.0914162764123</v>
      </c>
      <c r="E293" s="29" t="n">
        <f aca="false">LN(C293)</f>
        <v>5.58911956633606</v>
      </c>
      <c r="F293" s="0" t="n">
        <v>288</v>
      </c>
      <c r="G293" s="0" t="n">
        <v>27</v>
      </c>
      <c r="H293" s="29" t="n">
        <f aca="false">D293-E293</f>
        <v>4.50229671007625</v>
      </c>
      <c r="I293" s="29" t="n">
        <f aca="false">D293-D292</f>
        <v>0.00364659026959657</v>
      </c>
      <c r="J293" s="29" t="n">
        <f aca="false">E293-E292</f>
        <v>0.00205819138986563</v>
      </c>
      <c r="K293" s="0" t="n">
        <v>0</v>
      </c>
      <c r="L293" s="0" t="n">
        <v>1</v>
      </c>
      <c r="M293" s="29" t="n">
        <f aca="false">IF(L293=1,J293-Carry!$B$9/Inputs!$B$16,I293)</f>
        <v>0.0017987332081445</v>
      </c>
      <c r="N293" s="0" t="n">
        <v>0.065</v>
      </c>
      <c r="O293" s="0" t="n">
        <v>0.000125</v>
      </c>
      <c r="P293" s="29" t="n">
        <f aca="false">D293-('2 Hedge ratio'!$B$6+'2 Hedge ratio'!$B$5*E293)</f>
        <v>0.00925419971423125</v>
      </c>
      <c r="Q293" s="29" t="n">
        <f aca="false">D293-('5 Re-specification'!$B$7+'5 Re-specification'!$B$5*E293+'5 Re-specification'!$B$6*F293)</f>
        <v>0.000973159704448889</v>
      </c>
      <c r="R293" s="30" t="n">
        <f aca="false">MIN(F293,Inputs!$B$9)</f>
        <v>250</v>
      </c>
      <c r="S293" s="29" t="n">
        <f aca="true">IF(AND(F293&gt;=1,R293&gt;=Inputs!$B$10),INDEX(LINEST(OFFSET(D293,-R293,0,R293,1),OFFSET(E293,-R293,0,R293,2)),1,1),"")</f>
        <v>-6.95910211474187E-005</v>
      </c>
      <c r="T293" s="29" t="n">
        <f aca="true">IF(AND(F293&gt;=1,R293&gt;=Inputs!$B$10),INDEX(LINEST(OFFSET(D293,-R293,0,R293,1),OFFSET(E293,-R293,0,R293,2)),1,2),"")</f>
        <v>1.03528635013507</v>
      </c>
      <c r="U293" s="29" t="n">
        <f aca="true">IF(AND(F293&gt;=1,R293&gt;=Inputs!$B$10),INDEX(LINEST(OFFSET(D293,-R293,0,R293,1),OFFSET(E293,-R293,0,R293,2)),1,3),"")</f>
        <v>4.32655838845924</v>
      </c>
      <c r="V293" s="29" t="n">
        <f aca="true">IF(AND(F293&gt;=1,R293&gt;=Inputs!$B$10),SQRT(SUMPRODUCT((OFFSET(D293,-R293,0,R293,1)-U293-T293*OFFSET(E293,-R293,0,R293,1)-S293*OFFSET(F293,-R293,0,R293,1))^2)/(R293-3)),"")</f>
        <v>0.00340726278325906</v>
      </c>
      <c r="W293" s="31" t="n">
        <f aca="false">IF(AND(F293&gt;=1,R293&gt;=Inputs!$B$10),(D293-U293-T293*E293-S293*F293)/V293,"")</f>
        <v>-0.422360806478959</v>
      </c>
      <c r="X293" s="30" t="n">
        <f aca="false">IF(AB292&lt;&gt;0,AC292+1,0)</f>
        <v>0</v>
      </c>
      <c r="Y293" s="30" t="n">
        <f aca="false">IF(W293="",0,IF(AND(AB292&lt;&gt;0,OR(ABS(W293)&gt;Inputs!$B$7,X293&gt;=Inputs!$B$8,ABS(W293)&lt;Inputs!$B$6)),1,0))</f>
        <v>0</v>
      </c>
      <c r="Z293" s="30" t="n">
        <f aca="false">IF(Y293=1,0,AB292)</f>
        <v>0</v>
      </c>
      <c r="AA293" s="30" t="n">
        <f aca="false">IF(W293="",0,IF(AND(Z293=0,ABS(W293)&gt;Inputs!$B$5,ABS(W293)&lt;=Inputs!$B$7),1,0))</f>
        <v>0</v>
      </c>
      <c r="AB293" s="30" t="n">
        <f aca="false">IF(W293="",0,IF(AA293=1,-SIGN(W293),Z293))</f>
        <v>0</v>
      </c>
      <c r="AC293" s="30" t="n">
        <f aca="false">IF(W293="",0,IF(AA293=1,0,IF(Y293=1,0,X293)))</f>
        <v>0</v>
      </c>
      <c r="AD293" s="30" t="n">
        <f aca="false">IF(AB293=0,0,IF(AB292=AB293,AD292,T293))</f>
        <v>0</v>
      </c>
      <c r="AE293" s="30" t="n">
        <f aca="false">AB293-AB292</f>
        <v>0</v>
      </c>
      <c r="AF293" s="30" t="n">
        <f aca="false">-AD293*AB293</f>
        <v>-0</v>
      </c>
      <c r="AG293" s="30" t="n">
        <f aca="false">AF293-AF292</f>
        <v>0</v>
      </c>
      <c r="AH293" s="30" t="n">
        <f aca="false">MAX(AE293,0)*(Inputs!$B$17+Inputs!$B$18+Inputs!$B$19)+MAX(-AE293,0)*(O293+Inputs!$B$18+Inputs!$B$19)+IF(AND(K293=1,AB293&lt;&gt;0),(Inputs!$B$17+Inputs!$B$18+Inputs!$B$19)+(O293+Inputs!$B$18+Inputs!$B$19),0)+MAX(AG293,0)*(Inputs!$B$20+Inputs!$B$22+Inputs!$B$23)+MAX(-AG293,0)*(Inputs!$B$21+Inputs!$B$22+Inputs!$B$23)</f>
        <v>0</v>
      </c>
      <c r="AI293" s="30" t="n">
        <f aca="false">AB292*(M293-AD292*J293)+AB292*AD292*N293/Inputs!$B$16-AH293</f>
        <v>0</v>
      </c>
      <c r="AJ293" s="30" t="n">
        <f aca="false">MAX(AE293,0)*(Inputs!$B$17+Inputs!$B$24+Inputs!$B$25)+MAX(-AE293,0)*(O293+Inputs!$B$24+Inputs!$B$25)+IF(AND(K293=1,AB293&lt;&gt;0),(Inputs!$B$17+Inputs!$B$24+Inputs!$B$25)+(O293+Inputs!$B$24+Inputs!$B$25),0)+MAX(AG293,0)*(Inputs!$B$20+Inputs!$B$26+Inputs!$B$27)+MAX(-AG293,0)*(Inputs!$B$21+Inputs!$B$26+Inputs!$B$27)</f>
        <v>0</v>
      </c>
      <c r="AK293" s="30" t="n">
        <f aca="false">AB292*(M293-AD292*J293)+AB292*AD292*(N293+Inputs!$B$14)/Inputs!$B$16-AJ293</f>
        <v>0</v>
      </c>
      <c r="AL293" s="30" t="n">
        <f aca="false">IF(AP292&lt;&gt;0,AQ292+1,0)</f>
        <v>0</v>
      </c>
      <c r="AM293" s="30" t="n">
        <f aca="false">IF(W293="",0,IF(AND(AP292&lt;&gt;0,OR(ABS(W293)&gt;Inputs!$B$7,AL293&gt;=Inputs!$B$8,ABS(W293)&lt;Inputs!$B$6)),1,0))</f>
        <v>0</v>
      </c>
      <c r="AN293" s="30" t="n">
        <f aca="false">IF(AM293=1,0,AP292)</f>
        <v>0</v>
      </c>
      <c r="AO293" s="30" t="n">
        <f aca="false">IF(W293="",0,IF(AND(AN293=0,ABS(W293)&gt;Inputs!$B$5,ABS(W293)&lt;=Inputs!$B$7,W293&gt;0),1,0))</f>
        <v>0</v>
      </c>
      <c r="AP293" s="30" t="n">
        <f aca="false">IF(W293="",0,IF(AO293=1,-SIGN(W293),AN293))</f>
        <v>0</v>
      </c>
      <c r="AQ293" s="30" t="n">
        <f aca="false">IF(W293="",0,IF(AO293=1,0,IF(AM293=1,0,AL293)))</f>
        <v>0</v>
      </c>
      <c r="AR293" s="30" t="n">
        <f aca="false">IF(AP293=0,0,IF(AP292=AP293,AR292,T293))</f>
        <v>0</v>
      </c>
      <c r="AS293" s="30" t="n">
        <f aca="false">AP293-AP292</f>
        <v>0</v>
      </c>
      <c r="AT293" s="30" t="n">
        <f aca="false">-AR293*AP293</f>
        <v>-0</v>
      </c>
      <c r="AU293" s="30" t="n">
        <f aca="false">AT293-AT292</f>
        <v>0</v>
      </c>
      <c r="AV293" s="30" t="n">
        <f aca="false">MAX(AS293,0)*(Inputs!$B$17+Inputs!$B$18+Inputs!$B$19)+MAX(-AS293,0)*(O293+Inputs!$B$18+Inputs!$B$19)+IF(AND(K293=1,AP293&lt;&gt;0),(Inputs!$B$17+Inputs!$B$18+Inputs!$B$19)+(O293+Inputs!$B$18+Inputs!$B$19),0)+MAX(AU293,0)*(Inputs!$B$20+Inputs!$B$22+Inputs!$B$23)+MAX(-AU293,0)*(Inputs!$B$21+Inputs!$B$22+Inputs!$B$23)</f>
        <v>0</v>
      </c>
      <c r="AW293" s="30" t="n">
        <f aca="false">AP292*(M293-AR292*J293)+AP292*AR292*N293/Inputs!$B$16-AV293</f>
        <v>0</v>
      </c>
      <c r="AX293" s="30" t="n">
        <f aca="false">AW293-IF(AP292&lt;&gt;0,0.75*AR292*(Inputs!$B$13-N293)/Inputs!$B$16,0)</f>
        <v>0</v>
      </c>
      <c r="AY293" s="30" t="n">
        <f aca="false">MAX(AS293,0)*(Inputs!$B$17+Inputs!$B$18+Inputs!$B$19)+MAX(-AS293,0)*(O293+Inputs!$B$18+Inputs!$B$19)+IF(AND(K293=1,AP293&lt;&gt;0),(Inputs!$B$17+Inputs!$B$18+Inputs!$B$19)+(O293+Inputs!$B$18+Inputs!$B$19),0)</f>
        <v>0</v>
      </c>
      <c r="AZ293" s="30" t="n">
        <f aca="false">AP292*M293-AY293</f>
        <v>0</v>
      </c>
      <c r="BA293" s="32" t="n">
        <f aca="false">BA292+AI293</f>
        <v>-0.00574530534633948</v>
      </c>
      <c r="BB293" s="30" t="n">
        <f aca="false">MAX(BB292,BA293)</f>
        <v>0</v>
      </c>
      <c r="BC293" s="32" t="n">
        <f aca="false">BA293-BB293</f>
        <v>-0.00574530534633948</v>
      </c>
      <c r="BD293" s="30" t="n">
        <f aca="false">A294-A293</f>
        <v>3</v>
      </c>
    </row>
    <row r="294" customFormat="false" ht="15" hidden="false" customHeight="false" outlineLevel="0" collapsed="false">
      <c r="A294" s="28" t="n">
        <v>45474</v>
      </c>
      <c r="B294" s="0" t="n">
        <v>24215</v>
      </c>
      <c r="C294" s="0" t="n">
        <v>268.45</v>
      </c>
      <c r="D294" s="29" t="n">
        <f aca="false">LN(B294)</f>
        <v>10.0947275548373</v>
      </c>
      <c r="E294" s="29" t="n">
        <f aca="false">LN(C294)</f>
        <v>5.59266467686858</v>
      </c>
      <c r="F294" s="0" t="n">
        <v>289</v>
      </c>
      <c r="G294" s="0" t="n">
        <v>24</v>
      </c>
      <c r="H294" s="29" t="n">
        <f aca="false">D294-E294</f>
        <v>4.50206287796875</v>
      </c>
      <c r="I294" s="29" t="n">
        <f aca="false">D294-D293</f>
        <v>0.00331127842501466</v>
      </c>
      <c r="J294" s="29" t="n">
        <f aca="false">E294-E293</f>
        <v>0.00354511053251727</v>
      </c>
      <c r="K294" s="0" t="n">
        <v>0</v>
      </c>
      <c r="L294" s="0" t="n">
        <v>0</v>
      </c>
      <c r="M294" s="29" t="n">
        <f aca="false">IF(L294=1,J294-Carry!$B$9/Inputs!$B$16,I294)</f>
        <v>0.00331127842501466</v>
      </c>
      <c r="N294" s="0" t="n">
        <v>0.065</v>
      </c>
      <c r="O294" s="0" t="n">
        <v>0.000125</v>
      </c>
      <c r="P294" s="29" t="n">
        <f aca="false">D294-('2 Hedge ratio'!$B$6+'2 Hedge ratio'!$B$5*E294)</f>
        <v>0.00931770751591898</v>
      </c>
      <c r="Q294" s="29" t="n">
        <f aca="false">D294-('5 Re-specification'!$B$7+'5 Re-specification'!$B$5*E294+'5 Re-specification'!$B$6*F294)</f>
        <v>0.000795000372587396</v>
      </c>
      <c r="R294" s="30" t="n">
        <f aca="false">MIN(F294,Inputs!$B$9)</f>
        <v>250</v>
      </c>
      <c r="S294" s="29" t="n">
        <f aca="true">IF(AND(F294&gt;=1,R294&gt;=Inputs!$B$10),INDEX(LINEST(OFFSET(D294,-R294,0,R294,1),OFFSET(E294,-R294,0,R294,2)),1,1),"")</f>
        <v>-6.93995916884071E-005</v>
      </c>
      <c r="T294" s="29" t="n">
        <f aca="true">IF(AND(F294&gt;=1,R294&gt;=Inputs!$B$10),INDEX(LINEST(OFFSET(D294,-R294,0,R294,1),OFFSET(E294,-R294,0,R294,2)),1,2),"")</f>
        <v>1.03506030237418</v>
      </c>
      <c r="U294" s="29" t="n">
        <f aca="true">IF(AND(F294&gt;=1,R294&gt;=Inputs!$B$10),INDEX(LINEST(OFFSET(D294,-R294,0,R294,1),OFFSET(E294,-R294,0,R294,2)),1,3),"")</f>
        <v>4.32774759081631</v>
      </c>
      <c r="V294" s="29" t="n">
        <f aca="true">IF(AND(F294&gt;=1,R294&gt;=Inputs!$B$10),SQRT(SUMPRODUCT((OFFSET(D294,-R294,0,R294,1)-U294-T294*OFFSET(E294,-R294,0,R294,1)-S294*OFFSET(F294,-R294,0,R294,1))^2)/(R294-3)),"")</f>
        <v>0.00340750009984674</v>
      </c>
      <c r="W294" s="31" t="n">
        <f aca="false">IF(AND(F294&gt;=1,R294&gt;=Inputs!$B$10),(D294-U294-T294*E294-S294*F294)/V294,"")</f>
        <v>-0.501466015540953</v>
      </c>
      <c r="X294" s="30" t="n">
        <f aca="false">IF(AB293&lt;&gt;0,AC293+1,0)</f>
        <v>0</v>
      </c>
      <c r="Y294" s="30" t="n">
        <f aca="false">IF(W294="",0,IF(AND(AB293&lt;&gt;0,OR(ABS(W294)&gt;Inputs!$B$7,X294&gt;=Inputs!$B$8,ABS(W294)&lt;Inputs!$B$6)),1,0))</f>
        <v>0</v>
      </c>
      <c r="Z294" s="30" t="n">
        <f aca="false">IF(Y294=1,0,AB293)</f>
        <v>0</v>
      </c>
      <c r="AA294" s="30" t="n">
        <f aca="false">IF(W294="",0,IF(AND(Z294=0,ABS(W294)&gt;Inputs!$B$5,ABS(W294)&lt;=Inputs!$B$7),1,0))</f>
        <v>0</v>
      </c>
      <c r="AB294" s="30" t="n">
        <f aca="false">IF(W294="",0,IF(AA294=1,-SIGN(W294),Z294))</f>
        <v>0</v>
      </c>
      <c r="AC294" s="30" t="n">
        <f aca="false">IF(W294="",0,IF(AA294=1,0,IF(Y294=1,0,X294)))</f>
        <v>0</v>
      </c>
      <c r="AD294" s="30" t="n">
        <f aca="false">IF(AB294=0,0,IF(AB293=AB294,AD293,T294))</f>
        <v>0</v>
      </c>
      <c r="AE294" s="30" t="n">
        <f aca="false">AB294-AB293</f>
        <v>0</v>
      </c>
      <c r="AF294" s="30" t="n">
        <f aca="false">-AD294*AB294</f>
        <v>-0</v>
      </c>
      <c r="AG294" s="30" t="n">
        <f aca="false">AF294-AF293</f>
        <v>0</v>
      </c>
      <c r="AH294" s="30" t="n">
        <f aca="false">MAX(AE294,0)*(Inputs!$B$17+Inputs!$B$18+Inputs!$B$19)+MAX(-AE294,0)*(O294+Inputs!$B$18+Inputs!$B$19)+IF(AND(K294=1,AB294&lt;&gt;0),(Inputs!$B$17+Inputs!$B$18+Inputs!$B$19)+(O294+Inputs!$B$18+Inputs!$B$19),0)+MAX(AG294,0)*(Inputs!$B$20+Inputs!$B$22+Inputs!$B$23)+MAX(-AG294,0)*(Inputs!$B$21+Inputs!$B$22+Inputs!$B$23)</f>
        <v>0</v>
      </c>
      <c r="AI294" s="30" t="n">
        <f aca="false">AB293*(M294-AD293*J294)+AB293*AD293*N294/Inputs!$B$16-AH294</f>
        <v>0</v>
      </c>
      <c r="AJ294" s="30" t="n">
        <f aca="false">MAX(AE294,0)*(Inputs!$B$17+Inputs!$B$24+Inputs!$B$25)+MAX(-AE294,0)*(O294+Inputs!$B$24+Inputs!$B$25)+IF(AND(K294=1,AB294&lt;&gt;0),(Inputs!$B$17+Inputs!$B$24+Inputs!$B$25)+(O294+Inputs!$B$24+Inputs!$B$25),0)+MAX(AG294,0)*(Inputs!$B$20+Inputs!$B$26+Inputs!$B$27)+MAX(-AG294,0)*(Inputs!$B$21+Inputs!$B$26+Inputs!$B$27)</f>
        <v>0</v>
      </c>
      <c r="AK294" s="30" t="n">
        <f aca="false">AB293*(M294-AD293*J294)+AB293*AD293*(N294+Inputs!$B$14)/Inputs!$B$16-AJ294</f>
        <v>0</v>
      </c>
      <c r="AL294" s="30" t="n">
        <f aca="false">IF(AP293&lt;&gt;0,AQ293+1,0)</f>
        <v>0</v>
      </c>
      <c r="AM294" s="30" t="n">
        <f aca="false">IF(W294="",0,IF(AND(AP293&lt;&gt;0,OR(ABS(W294)&gt;Inputs!$B$7,AL294&gt;=Inputs!$B$8,ABS(W294)&lt;Inputs!$B$6)),1,0))</f>
        <v>0</v>
      </c>
      <c r="AN294" s="30" t="n">
        <f aca="false">IF(AM294=1,0,AP293)</f>
        <v>0</v>
      </c>
      <c r="AO294" s="30" t="n">
        <f aca="false">IF(W294="",0,IF(AND(AN294=0,ABS(W294)&gt;Inputs!$B$5,ABS(W294)&lt;=Inputs!$B$7,W294&gt;0),1,0))</f>
        <v>0</v>
      </c>
      <c r="AP294" s="30" t="n">
        <f aca="false">IF(W294="",0,IF(AO294=1,-SIGN(W294),AN294))</f>
        <v>0</v>
      </c>
      <c r="AQ294" s="30" t="n">
        <f aca="false">IF(W294="",0,IF(AO294=1,0,IF(AM294=1,0,AL294)))</f>
        <v>0</v>
      </c>
      <c r="AR294" s="30" t="n">
        <f aca="false">IF(AP294=0,0,IF(AP293=AP294,AR293,T294))</f>
        <v>0</v>
      </c>
      <c r="AS294" s="30" t="n">
        <f aca="false">AP294-AP293</f>
        <v>0</v>
      </c>
      <c r="AT294" s="30" t="n">
        <f aca="false">-AR294*AP294</f>
        <v>-0</v>
      </c>
      <c r="AU294" s="30" t="n">
        <f aca="false">AT294-AT293</f>
        <v>0</v>
      </c>
      <c r="AV294" s="30" t="n">
        <f aca="false">MAX(AS294,0)*(Inputs!$B$17+Inputs!$B$18+Inputs!$B$19)+MAX(-AS294,0)*(O294+Inputs!$B$18+Inputs!$B$19)+IF(AND(K294=1,AP294&lt;&gt;0),(Inputs!$B$17+Inputs!$B$18+Inputs!$B$19)+(O294+Inputs!$B$18+Inputs!$B$19),0)+MAX(AU294,0)*(Inputs!$B$20+Inputs!$B$22+Inputs!$B$23)+MAX(-AU294,0)*(Inputs!$B$21+Inputs!$B$22+Inputs!$B$23)</f>
        <v>0</v>
      </c>
      <c r="AW294" s="30" t="n">
        <f aca="false">AP293*(M294-AR293*J294)+AP293*AR293*N294/Inputs!$B$16-AV294</f>
        <v>0</v>
      </c>
      <c r="AX294" s="30" t="n">
        <f aca="false">AW294-IF(AP293&lt;&gt;0,0.75*AR293*(Inputs!$B$13-N294)/Inputs!$B$16,0)</f>
        <v>0</v>
      </c>
      <c r="AY294" s="30" t="n">
        <f aca="false">MAX(AS294,0)*(Inputs!$B$17+Inputs!$B$18+Inputs!$B$19)+MAX(-AS294,0)*(O294+Inputs!$B$18+Inputs!$B$19)+IF(AND(K294=1,AP294&lt;&gt;0),(Inputs!$B$17+Inputs!$B$18+Inputs!$B$19)+(O294+Inputs!$B$18+Inputs!$B$19),0)</f>
        <v>0</v>
      </c>
      <c r="AZ294" s="30" t="n">
        <f aca="false">AP293*M294-AY294</f>
        <v>0</v>
      </c>
      <c r="BA294" s="32" t="n">
        <f aca="false">BA293+AI294</f>
        <v>-0.00574530534633948</v>
      </c>
      <c r="BB294" s="30" t="n">
        <f aca="false">MAX(BB293,BA294)</f>
        <v>0</v>
      </c>
      <c r="BC294" s="32" t="n">
        <f aca="false">BA294-BB294</f>
        <v>-0.00574530534633948</v>
      </c>
      <c r="BD294" s="30" t="n">
        <f aca="false">A295-A294</f>
        <v>1</v>
      </c>
    </row>
    <row r="295" customFormat="false" ht="15" hidden="false" customHeight="false" outlineLevel="0" collapsed="false">
      <c r="A295" s="28" t="n">
        <v>45475</v>
      </c>
      <c r="B295" s="0" t="n">
        <v>24211.3</v>
      </c>
      <c r="C295" s="0" t="n">
        <v>269.12</v>
      </c>
      <c r="D295" s="29" t="n">
        <f aca="false">LN(B295)</f>
        <v>10.09457474531</v>
      </c>
      <c r="E295" s="29" t="n">
        <f aca="false">LN(C295)</f>
        <v>5.59515737678458</v>
      </c>
      <c r="F295" s="0" t="n">
        <v>290</v>
      </c>
      <c r="G295" s="0" t="n">
        <v>23</v>
      </c>
      <c r="H295" s="29" t="n">
        <f aca="false">D295-E295</f>
        <v>4.49941736852539</v>
      </c>
      <c r="I295" s="29" t="n">
        <f aca="false">D295-D294</f>
        <v>-0.000152809527351749</v>
      </c>
      <c r="J295" s="29" t="n">
        <f aca="false">E295-E294</f>
        <v>0.00249269991600531</v>
      </c>
      <c r="K295" s="0" t="n">
        <v>0</v>
      </c>
      <c r="L295" s="0" t="n">
        <v>0</v>
      </c>
      <c r="M295" s="29" t="n">
        <f aca="false">IF(L295=1,J295-Carry!$B$9/Inputs!$B$16,I295)</f>
        <v>-0.000152809527351749</v>
      </c>
      <c r="N295" s="0" t="n">
        <v>0.065</v>
      </c>
      <c r="O295" s="0" t="n">
        <v>0.000125</v>
      </c>
      <c r="P295" s="29" t="n">
        <f aca="false">D295-('2 Hedge ratio'!$B$6+'2 Hedge ratio'!$B$5*E295)</f>
        <v>0.00688126889274443</v>
      </c>
      <c r="Q295" s="29" t="n">
        <f aca="false">D295-('5 Re-specification'!$B$7+'5 Re-specification'!$B$5*E295+'5 Re-specification'!$B$6*F295)</f>
        <v>-0.00179802562552567</v>
      </c>
      <c r="R295" s="30" t="n">
        <f aca="false">MIN(F295,Inputs!$B$9)</f>
        <v>250</v>
      </c>
      <c r="S295" s="29" t="n">
        <f aca="true">IF(AND(F295&gt;=1,R295&gt;=Inputs!$B$10),INDEX(LINEST(OFFSET(D295,-R295,0,R295,1),OFFSET(E295,-R295,0,R295,2)),1,1),"")</f>
        <v>-6.91571641947398E-005</v>
      </c>
      <c r="T295" s="29" t="n">
        <f aca="true">IF(AND(F295&gt;=1,R295&gt;=Inputs!$B$10),INDEX(LINEST(OFFSET(D295,-R295,0,R295,1),OFFSET(E295,-R295,0,R295,2)),1,2),"")</f>
        <v>1.03471912893887</v>
      </c>
      <c r="U295" s="29" t="n">
        <f aca="true">IF(AND(F295&gt;=1,R295&gt;=Inputs!$B$10),INDEX(LINEST(OFFSET(D295,-R295,0,R295,1),OFFSET(E295,-R295,0,R295,2)),1,3),"")</f>
        <v>4.32955582729279</v>
      </c>
      <c r="V295" s="29" t="n">
        <f aca="true">IF(AND(F295&gt;=1,R295&gt;=Inputs!$B$10),SQRT(SUMPRODUCT((OFFSET(D295,-R295,0,R295,1)-U295-T295*OFFSET(E295,-R295,0,R295,1)-S295*OFFSET(F295,-R295,0,R295,1))^2)/(R295-3)),"")</f>
        <v>0.00340863336928639</v>
      </c>
      <c r="W295" s="31" t="n">
        <f aca="false">IF(AND(F295&gt;=1,R295&gt;=Inputs!$B$10),(D295-U295-T295*E295-S295*F295)/V295,"")</f>
        <v>-1.2737866113464</v>
      </c>
      <c r="X295" s="30" t="n">
        <f aca="false">IF(AB294&lt;&gt;0,AC294+1,0)</f>
        <v>0</v>
      </c>
      <c r="Y295" s="30" t="n">
        <f aca="false">IF(W295="",0,IF(AND(AB294&lt;&gt;0,OR(ABS(W295)&gt;Inputs!$B$7,X295&gt;=Inputs!$B$8,ABS(W295)&lt;Inputs!$B$6)),1,0))</f>
        <v>0</v>
      </c>
      <c r="Z295" s="30" t="n">
        <f aca="false">IF(Y295=1,0,AB294)</f>
        <v>0</v>
      </c>
      <c r="AA295" s="30" t="n">
        <f aca="false">IF(W295="",0,IF(AND(Z295=0,ABS(W295)&gt;Inputs!$B$5,ABS(W295)&lt;=Inputs!$B$7),1,0))</f>
        <v>0</v>
      </c>
      <c r="AB295" s="30" t="n">
        <f aca="false">IF(W295="",0,IF(AA295=1,-SIGN(W295),Z295))</f>
        <v>0</v>
      </c>
      <c r="AC295" s="30" t="n">
        <f aca="false">IF(W295="",0,IF(AA295=1,0,IF(Y295=1,0,X295)))</f>
        <v>0</v>
      </c>
      <c r="AD295" s="30" t="n">
        <f aca="false">IF(AB295=0,0,IF(AB294=AB295,AD294,T295))</f>
        <v>0</v>
      </c>
      <c r="AE295" s="30" t="n">
        <f aca="false">AB295-AB294</f>
        <v>0</v>
      </c>
      <c r="AF295" s="30" t="n">
        <f aca="false">-AD295*AB295</f>
        <v>-0</v>
      </c>
      <c r="AG295" s="30" t="n">
        <f aca="false">AF295-AF294</f>
        <v>0</v>
      </c>
      <c r="AH295" s="30" t="n">
        <f aca="false">MAX(AE295,0)*(Inputs!$B$17+Inputs!$B$18+Inputs!$B$19)+MAX(-AE295,0)*(O295+Inputs!$B$18+Inputs!$B$19)+IF(AND(K295=1,AB295&lt;&gt;0),(Inputs!$B$17+Inputs!$B$18+Inputs!$B$19)+(O295+Inputs!$B$18+Inputs!$B$19),0)+MAX(AG295,0)*(Inputs!$B$20+Inputs!$B$22+Inputs!$B$23)+MAX(-AG295,0)*(Inputs!$B$21+Inputs!$B$22+Inputs!$B$23)</f>
        <v>0</v>
      </c>
      <c r="AI295" s="30" t="n">
        <f aca="false">AB294*(M295-AD294*J295)+AB294*AD294*N295/Inputs!$B$16-AH295</f>
        <v>0</v>
      </c>
      <c r="AJ295" s="30" t="n">
        <f aca="false">MAX(AE295,0)*(Inputs!$B$17+Inputs!$B$24+Inputs!$B$25)+MAX(-AE295,0)*(O295+Inputs!$B$24+Inputs!$B$25)+IF(AND(K295=1,AB295&lt;&gt;0),(Inputs!$B$17+Inputs!$B$24+Inputs!$B$25)+(O295+Inputs!$B$24+Inputs!$B$25),0)+MAX(AG295,0)*(Inputs!$B$20+Inputs!$B$26+Inputs!$B$27)+MAX(-AG295,0)*(Inputs!$B$21+Inputs!$B$26+Inputs!$B$27)</f>
        <v>0</v>
      </c>
      <c r="AK295" s="30" t="n">
        <f aca="false">AB294*(M295-AD294*J295)+AB294*AD294*(N295+Inputs!$B$14)/Inputs!$B$16-AJ295</f>
        <v>0</v>
      </c>
      <c r="AL295" s="30" t="n">
        <f aca="false">IF(AP294&lt;&gt;0,AQ294+1,0)</f>
        <v>0</v>
      </c>
      <c r="AM295" s="30" t="n">
        <f aca="false">IF(W295="",0,IF(AND(AP294&lt;&gt;0,OR(ABS(W295)&gt;Inputs!$B$7,AL295&gt;=Inputs!$B$8,ABS(W295)&lt;Inputs!$B$6)),1,0))</f>
        <v>0</v>
      </c>
      <c r="AN295" s="30" t="n">
        <f aca="false">IF(AM295=1,0,AP294)</f>
        <v>0</v>
      </c>
      <c r="AO295" s="30" t="n">
        <f aca="false">IF(W295="",0,IF(AND(AN295=0,ABS(W295)&gt;Inputs!$B$5,ABS(W295)&lt;=Inputs!$B$7,W295&gt;0),1,0))</f>
        <v>0</v>
      </c>
      <c r="AP295" s="30" t="n">
        <f aca="false">IF(W295="",0,IF(AO295=1,-SIGN(W295),AN295))</f>
        <v>0</v>
      </c>
      <c r="AQ295" s="30" t="n">
        <f aca="false">IF(W295="",0,IF(AO295=1,0,IF(AM295=1,0,AL295)))</f>
        <v>0</v>
      </c>
      <c r="AR295" s="30" t="n">
        <f aca="false">IF(AP295=0,0,IF(AP294=AP295,AR294,T295))</f>
        <v>0</v>
      </c>
      <c r="AS295" s="30" t="n">
        <f aca="false">AP295-AP294</f>
        <v>0</v>
      </c>
      <c r="AT295" s="30" t="n">
        <f aca="false">-AR295*AP295</f>
        <v>-0</v>
      </c>
      <c r="AU295" s="30" t="n">
        <f aca="false">AT295-AT294</f>
        <v>0</v>
      </c>
      <c r="AV295" s="30" t="n">
        <f aca="false">MAX(AS295,0)*(Inputs!$B$17+Inputs!$B$18+Inputs!$B$19)+MAX(-AS295,0)*(O295+Inputs!$B$18+Inputs!$B$19)+IF(AND(K295=1,AP295&lt;&gt;0),(Inputs!$B$17+Inputs!$B$18+Inputs!$B$19)+(O295+Inputs!$B$18+Inputs!$B$19),0)+MAX(AU295,0)*(Inputs!$B$20+Inputs!$B$22+Inputs!$B$23)+MAX(-AU295,0)*(Inputs!$B$21+Inputs!$B$22+Inputs!$B$23)</f>
        <v>0</v>
      </c>
      <c r="AW295" s="30" t="n">
        <f aca="false">AP294*(M295-AR294*J295)+AP294*AR294*N295/Inputs!$B$16-AV295</f>
        <v>0</v>
      </c>
      <c r="AX295" s="30" t="n">
        <f aca="false">AW295-IF(AP294&lt;&gt;0,0.75*AR294*(Inputs!$B$13-N295)/Inputs!$B$16,0)</f>
        <v>0</v>
      </c>
      <c r="AY295" s="30" t="n">
        <f aca="false">MAX(AS295,0)*(Inputs!$B$17+Inputs!$B$18+Inputs!$B$19)+MAX(-AS295,0)*(O295+Inputs!$B$18+Inputs!$B$19)+IF(AND(K295=1,AP295&lt;&gt;0),(Inputs!$B$17+Inputs!$B$18+Inputs!$B$19)+(O295+Inputs!$B$18+Inputs!$B$19),0)</f>
        <v>0</v>
      </c>
      <c r="AZ295" s="30" t="n">
        <f aca="false">AP294*M295-AY295</f>
        <v>-0</v>
      </c>
      <c r="BA295" s="32" t="n">
        <f aca="false">BA294+AI295</f>
        <v>-0.00574530534633948</v>
      </c>
      <c r="BB295" s="30" t="n">
        <f aca="false">MAX(BB294,BA295)</f>
        <v>0</v>
      </c>
      <c r="BC295" s="32" t="n">
        <f aca="false">BA295-BB295</f>
        <v>-0.00574530534633948</v>
      </c>
      <c r="BD295" s="30" t="n">
        <f aca="false">A296-A295</f>
        <v>1</v>
      </c>
    </row>
    <row r="296" customFormat="false" ht="15" hidden="false" customHeight="false" outlineLevel="0" collapsed="false">
      <c r="A296" s="28" t="n">
        <v>45476</v>
      </c>
      <c r="B296" s="0" t="n">
        <v>24365.1</v>
      </c>
      <c r="C296" s="0" t="n">
        <v>270.34</v>
      </c>
      <c r="D296" s="29" t="n">
        <f aca="false">LN(B296)</f>
        <v>10.1009070595171</v>
      </c>
      <c r="E296" s="29" t="n">
        <f aca="false">LN(C296)</f>
        <v>5.59968042605568</v>
      </c>
      <c r="F296" s="0" t="n">
        <v>291</v>
      </c>
      <c r="G296" s="0" t="n">
        <v>22</v>
      </c>
      <c r="H296" s="29" t="n">
        <f aca="false">D296-E296</f>
        <v>4.5012266334614</v>
      </c>
      <c r="I296" s="29" t="n">
        <f aca="false">D296-D295</f>
        <v>0.00633231420710345</v>
      </c>
      <c r="J296" s="29" t="n">
        <f aca="false">E296-E295</f>
        <v>0.00452304927109815</v>
      </c>
      <c r="K296" s="0" t="n">
        <v>0</v>
      </c>
      <c r="L296" s="0" t="n">
        <v>0</v>
      </c>
      <c r="M296" s="29" t="n">
        <f aca="false">IF(L296=1,J296-Carry!$B$9/Inputs!$B$16,I296)</f>
        <v>0.00633231420710345</v>
      </c>
      <c r="N296" s="0" t="n">
        <v>0.065</v>
      </c>
      <c r="O296" s="0" t="n">
        <v>0.000125</v>
      </c>
      <c r="P296" s="29" t="n">
        <f aca="false">D296-('2 Hedge ratio'!$B$6+'2 Hedge ratio'!$B$5*E296)</f>
        <v>0.0090698966292031</v>
      </c>
      <c r="Q296" s="29" t="n">
        <f aca="false">D296-('5 Re-specification'!$B$7+'5 Re-specification'!$B$5*E296+'5 Re-specification'!$B$6*F296)</f>
        <v>6.98757294887997E-005</v>
      </c>
      <c r="R296" s="30" t="n">
        <f aca="false">MIN(F296,Inputs!$B$9)</f>
        <v>250</v>
      </c>
      <c r="S296" s="29" t="n">
        <f aca="true">IF(AND(F296&gt;=1,R296&gt;=Inputs!$B$10),INDEX(LINEST(OFFSET(D296,-R296,0,R296,1),OFFSET(E296,-R296,0,R296,2)),1,1),"")</f>
        <v>-6.85238456485478E-005</v>
      </c>
      <c r="T296" s="29" t="n">
        <f aca="true">IF(AND(F296&gt;=1,R296&gt;=Inputs!$B$10),INDEX(LINEST(OFFSET(D296,-R296,0,R296,1),OFFSET(E296,-R296,0,R296,2)),1,2),"")</f>
        <v>1.03367410018158</v>
      </c>
      <c r="U296" s="29" t="n">
        <f aca="true">IF(AND(F296&gt;=1,R296&gt;=Inputs!$B$10),INDEX(LINEST(OFFSET(D296,-R296,0,R296,1),OFFSET(E296,-R296,0,R296,2)),1,3),"")</f>
        <v>4.33512473391244</v>
      </c>
      <c r="V296" s="29" t="n">
        <f aca="true">IF(AND(F296&gt;=1,R296&gt;=Inputs!$B$10),SQRT(SUMPRODUCT((OFFSET(D296,-R296,0,R296,1)-U296-T296*OFFSET(E296,-R296,0,R296,1)-S296*OFFSET(F296,-R296,0,R296,1))^2)/(R296-3)),"")</f>
        <v>0.00341903818216723</v>
      </c>
      <c r="W296" s="31" t="n">
        <f aca="false">IF(AND(F296&gt;=1,R296&gt;=Inputs!$B$10),(D296-U296-T296*E296-S296*F296)/V296,"")</f>
        <v>-0.737593698799342</v>
      </c>
      <c r="X296" s="30" t="n">
        <f aca="false">IF(AB295&lt;&gt;0,AC295+1,0)</f>
        <v>0</v>
      </c>
      <c r="Y296" s="30" t="n">
        <f aca="false">IF(W296="",0,IF(AND(AB295&lt;&gt;0,OR(ABS(W296)&gt;Inputs!$B$7,X296&gt;=Inputs!$B$8,ABS(W296)&lt;Inputs!$B$6)),1,0))</f>
        <v>0</v>
      </c>
      <c r="Z296" s="30" t="n">
        <f aca="false">IF(Y296=1,0,AB295)</f>
        <v>0</v>
      </c>
      <c r="AA296" s="30" t="n">
        <f aca="false">IF(W296="",0,IF(AND(Z296=0,ABS(W296)&gt;Inputs!$B$5,ABS(W296)&lt;=Inputs!$B$7),1,0))</f>
        <v>0</v>
      </c>
      <c r="AB296" s="30" t="n">
        <f aca="false">IF(W296="",0,IF(AA296=1,-SIGN(W296),Z296))</f>
        <v>0</v>
      </c>
      <c r="AC296" s="30" t="n">
        <f aca="false">IF(W296="",0,IF(AA296=1,0,IF(Y296=1,0,X296)))</f>
        <v>0</v>
      </c>
      <c r="AD296" s="30" t="n">
        <f aca="false">IF(AB296=0,0,IF(AB295=AB296,AD295,T296))</f>
        <v>0</v>
      </c>
      <c r="AE296" s="30" t="n">
        <f aca="false">AB296-AB295</f>
        <v>0</v>
      </c>
      <c r="AF296" s="30" t="n">
        <f aca="false">-AD296*AB296</f>
        <v>-0</v>
      </c>
      <c r="AG296" s="30" t="n">
        <f aca="false">AF296-AF295</f>
        <v>0</v>
      </c>
      <c r="AH296" s="30" t="n">
        <f aca="false">MAX(AE296,0)*(Inputs!$B$17+Inputs!$B$18+Inputs!$B$19)+MAX(-AE296,0)*(O296+Inputs!$B$18+Inputs!$B$19)+IF(AND(K296=1,AB296&lt;&gt;0),(Inputs!$B$17+Inputs!$B$18+Inputs!$B$19)+(O296+Inputs!$B$18+Inputs!$B$19),0)+MAX(AG296,0)*(Inputs!$B$20+Inputs!$B$22+Inputs!$B$23)+MAX(-AG296,0)*(Inputs!$B$21+Inputs!$B$22+Inputs!$B$23)</f>
        <v>0</v>
      </c>
      <c r="AI296" s="30" t="n">
        <f aca="false">AB295*(M296-AD295*J296)+AB295*AD295*N296/Inputs!$B$16-AH296</f>
        <v>0</v>
      </c>
      <c r="AJ296" s="30" t="n">
        <f aca="false">MAX(AE296,0)*(Inputs!$B$17+Inputs!$B$24+Inputs!$B$25)+MAX(-AE296,0)*(O296+Inputs!$B$24+Inputs!$B$25)+IF(AND(K296=1,AB296&lt;&gt;0),(Inputs!$B$17+Inputs!$B$24+Inputs!$B$25)+(O296+Inputs!$B$24+Inputs!$B$25),0)+MAX(AG296,0)*(Inputs!$B$20+Inputs!$B$26+Inputs!$B$27)+MAX(-AG296,0)*(Inputs!$B$21+Inputs!$B$26+Inputs!$B$27)</f>
        <v>0</v>
      </c>
      <c r="AK296" s="30" t="n">
        <f aca="false">AB295*(M296-AD295*J296)+AB295*AD295*(N296+Inputs!$B$14)/Inputs!$B$16-AJ296</f>
        <v>0</v>
      </c>
      <c r="AL296" s="30" t="n">
        <f aca="false">IF(AP295&lt;&gt;0,AQ295+1,0)</f>
        <v>0</v>
      </c>
      <c r="AM296" s="30" t="n">
        <f aca="false">IF(W296="",0,IF(AND(AP295&lt;&gt;0,OR(ABS(W296)&gt;Inputs!$B$7,AL296&gt;=Inputs!$B$8,ABS(W296)&lt;Inputs!$B$6)),1,0))</f>
        <v>0</v>
      </c>
      <c r="AN296" s="30" t="n">
        <f aca="false">IF(AM296=1,0,AP295)</f>
        <v>0</v>
      </c>
      <c r="AO296" s="30" t="n">
        <f aca="false">IF(W296="",0,IF(AND(AN296=0,ABS(W296)&gt;Inputs!$B$5,ABS(W296)&lt;=Inputs!$B$7,W296&gt;0),1,0))</f>
        <v>0</v>
      </c>
      <c r="AP296" s="30" t="n">
        <f aca="false">IF(W296="",0,IF(AO296=1,-SIGN(W296),AN296))</f>
        <v>0</v>
      </c>
      <c r="AQ296" s="30" t="n">
        <f aca="false">IF(W296="",0,IF(AO296=1,0,IF(AM296=1,0,AL296)))</f>
        <v>0</v>
      </c>
      <c r="AR296" s="30" t="n">
        <f aca="false">IF(AP296=0,0,IF(AP295=AP296,AR295,T296))</f>
        <v>0</v>
      </c>
      <c r="AS296" s="30" t="n">
        <f aca="false">AP296-AP295</f>
        <v>0</v>
      </c>
      <c r="AT296" s="30" t="n">
        <f aca="false">-AR296*AP296</f>
        <v>-0</v>
      </c>
      <c r="AU296" s="30" t="n">
        <f aca="false">AT296-AT295</f>
        <v>0</v>
      </c>
      <c r="AV296" s="30" t="n">
        <f aca="false">MAX(AS296,0)*(Inputs!$B$17+Inputs!$B$18+Inputs!$B$19)+MAX(-AS296,0)*(O296+Inputs!$B$18+Inputs!$B$19)+IF(AND(K296=1,AP296&lt;&gt;0),(Inputs!$B$17+Inputs!$B$18+Inputs!$B$19)+(O296+Inputs!$B$18+Inputs!$B$19),0)+MAX(AU296,0)*(Inputs!$B$20+Inputs!$B$22+Inputs!$B$23)+MAX(-AU296,0)*(Inputs!$B$21+Inputs!$B$22+Inputs!$B$23)</f>
        <v>0</v>
      </c>
      <c r="AW296" s="30" t="n">
        <f aca="false">AP295*(M296-AR295*J296)+AP295*AR295*N296/Inputs!$B$16-AV296</f>
        <v>0</v>
      </c>
      <c r="AX296" s="30" t="n">
        <f aca="false">AW296-IF(AP295&lt;&gt;0,0.75*AR295*(Inputs!$B$13-N296)/Inputs!$B$16,0)</f>
        <v>0</v>
      </c>
      <c r="AY296" s="30" t="n">
        <f aca="false">MAX(AS296,0)*(Inputs!$B$17+Inputs!$B$18+Inputs!$B$19)+MAX(-AS296,0)*(O296+Inputs!$B$18+Inputs!$B$19)+IF(AND(K296=1,AP296&lt;&gt;0),(Inputs!$B$17+Inputs!$B$18+Inputs!$B$19)+(O296+Inputs!$B$18+Inputs!$B$19),0)</f>
        <v>0</v>
      </c>
      <c r="AZ296" s="30" t="n">
        <f aca="false">AP295*M296-AY296</f>
        <v>0</v>
      </c>
      <c r="BA296" s="32" t="n">
        <f aca="false">BA295+AI296</f>
        <v>-0.00574530534633948</v>
      </c>
      <c r="BB296" s="30" t="n">
        <f aca="false">MAX(BB295,BA296)</f>
        <v>0</v>
      </c>
      <c r="BC296" s="32" t="n">
        <f aca="false">BA296-BB296</f>
        <v>-0.00574530534633948</v>
      </c>
      <c r="BD296" s="30" t="n">
        <f aca="false">A297-A296</f>
        <v>1</v>
      </c>
    </row>
    <row r="297" customFormat="false" ht="15" hidden="false" customHeight="false" outlineLevel="0" collapsed="false">
      <c r="A297" s="28" t="n">
        <v>45477</v>
      </c>
      <c r="B297" s="0" t="n">
        <v>24377.55</v>
      </c>
      <c r="C297" s="0" t="n">
        <v>270.73</v>
      </c>
      <c r="D297" s="29" t="n">
        <f aca="false">LN(B297)</f>
        <v>10.1014179057789</v>
      </c>
      <c r="E297" s="29" t="n">
        <f aca="false">LN(C297)</f>
        <v>5.60112201426993</v>
      </c>
      <c r="F297" s="0" t="n">
        <v>292</v>
      </c>
      <c r="G297" s="0" t="n">
        <v>21</v>
      </c>
      <c r="H297" s="29" t="n">
        <f aca="false">D297-E297</f>
        <v>4.50029589150893</v>
      </c>
      <c r="I297" s="29" t="n">
        <f aca="false">D297-D296</f>
        <v>0.000510846261775555</v>
      </c>
      <c r="J297" s="29" t="n">
        <f aca="false">E297-E296</f>
        <v>0.00144158821424512</v>
      </c>
      <c r="K297" s="0" t="n">
        <v>0</v>
      </c>
      <c r="L297" s="0" t="n">
        <v>0</v>
      </c>
      <c r="M297" s="29" t="n">
        <f aca="false">IF(L297=1,J297-Carry!$B$9/Inputs!$B$16,I297)</f>
        <v>0.000510846261775555</v>
      </c>
      <c r="N297" s="0" t="n">
        <v>0.065</v>
      </c>
      <c r="O297" s="0" t="n">
        <v>0.000125</v>
      </c>
      <c r="P297" s="29" t="n">
        <f aca="false">D297-('2 Hedge ratio'!$B$6+'2 Hedge ratio'!$B$5*E297)</f>
        <v>0.00826006535209345</v>
      </c>
      <c r="Q297" s="29" t="n">
        <f aca="false">D297-('5 Re-specification'!$B$7+'5 Re-specification'!$B$5*E297+'5 Re-specification'!$B$6*F297)</f>
        <v>-0.000811568171771526</v>
      </c>
      <c r="R297" s="30" t="n">
        <f aca="false">MIN(F297,Inputs!$B$9)</f>
        <v>250</v>
      </c>
      <c r="S297" s="29" t="n">
        <f aca="true">IF(AND(F297&gt;=1,R297&gt;=Inputs!$B$10),INDEX(LINEST(OFFSET(D297,-R297,0,R297,1),OFFSET(E297,-R297,0,R297,2)),1,1),"")</f>
        <v>-6.82133512787019E-005</v>
      </c>
      <c r="T297" s="29" t="n">
        <f aca="true">IF(AND(F297&gt;=1,R297&gt;=Inputs!$B$10),INDEX(LINEST(OFFSET(D297,-R297,0,R297,1),OFFSET(E297,-R297,0,R297,2)),1,2),"")</f>
        <v>1.03301005542796</v>
      </c>
      <c r="U297" s="29" t="n">
        <f aca="true">IF(AND(F297&gt;=1,R297&gt;=Inputs!$B$10),INDEX(LINEST(OFFSET(D297,-R297,0,R297,1),OFFSET(E297,-R297,0,R297,2)),1,3),"")</f>
        <v>4.33868479968248</v>
      </c>
      <c r="V297" s="29" t="n">
        <f aca="true">IF(AND(F297&gt;=1,R297&gt;=Inputs!$B$10),SQRT(SUMPRODUCT((OFFSET(D297,-R297,0,R297,1)-U297-T297*OFFSET(E297,-R297,0,R297,1)-S297*OFFSET(F297,-R297,0,R297,1))^2)/(R297-3)),"")</f>
        <v>0.00342247314593667</v>
      </c>
      <c r="W297" s="31" t="n">
        <f aca="false">IF(AND(F297&gt;=1,R297&gt;=Inputs!$B$10),(D297-U297-T297*E297-S297*F297)/V297,"")</f>
        <v>-0.982902598950089</v>
      </c>
      <c r="X297" s="30" t="n">
        <f aca="false">IF(AB296&lt;&gt;0,AC296+1,0)</f>
        <v>0</v>
      </c>
      <c r="Y297" s="30" t="n">
        <f aca="false">IF(W297="",0,IF(AND(AB296&lt;&gt;0,OR(ABS(W297)&gt;Inputs!$B$7,X297&gt;=Inputs!$B$8,ABS(W297)&lt;Inputs!$B$6)),1,0))</f>
        <v>0</v>
      </c>
      <c r="Z297" s="30" t="n">
        <f aca="false">IF(Y297=1,0,AB296)</f>
        <v>0</v>
      </c>
      <c r="AA297" s="30" t="n">
        <f aca="false">IF(W297="",0,IF(AND(Z297=0,ABS(W297)&gt;Inputs!$B$5,ABS(W297)&lt;=Inputs!$B$7),1,0))</f>
        <v>0</v>
      </c>
      <c r="AB297" s="30" t="n">
        <f aca="false">IF(W297="",0,IF(AA297=1,-SIGN(W297),Z297))</f>
        <v>0</v>
      </c>
      <c r="AC297" s="30" t="n">
        <f aca="false">IF(W297="",0,IF(AA297=1,0,IF(Y297=1,0,X297)))</f>
        <v>0</v>
      </c>
      <c r="AD297" s="30" t="n">
        <f aca="false">IF(AB297=0,0,IF(AB296=AB297,AD296,T297))</f>
        <v>0</v>
      </c>
      <c r="AE297" s="30" t="n">
        <f aca="false">AB297-AB296</f>
        <v>0</v>
      </c>
      <c r="AF297" s="30" t="n">
        <f aca="false">-AD297*AB297</f>
        <v>-0</v>
      </c>
      <c r="AG297" s="30" t="n">
        <f aca="false">AF297-AF296</f>
        <v>0</v>
      </c>
      <c r="AH297" s="30" t="n">
        <f aca="false">MAX(AE297,0)*(Inputs!$B$17+Inputs!$B$18+Inputs!$B$19)+MAX(-AE297,0)*(O297+Inputs!$B$18+Inputs!$B$19)+IF(AND(K297=1,AB297&lt;&gt;0),(Inputs!$B$17+Inputs!$B$18+Inputs!$B$19)+(O297+Inputs!$B$18+Inputs!$B$19),0)+MAX(AG297,0)*(Inputs!$B$20+Inputs!$B$22+Inputs!$B$23)+MAX(-AG297,0)*(Inputs!$B$21+Inputs!$B$22+Inputs!$B$23)</f>
        <v>0</v>
      </c>
      <c r="AI297" s="30" t="n">
        <f aca="false">AB296*(M297-AD296*J297)+AB296*AD296*N297/Inputs!$B$16-AH297</f>
        <v>0</v>
      </c>
      <c r="AJ297" s="30" t="n">
        <f aca="false">MAX(AE297,0)*(Inputs!$B$17+Inputs!$B$24+Inputs!$B$25)+MAX(-AE297,0)*(O297+Inputs!$B$24+Inputs!$B$25)+IF(AND(K297=1,AB297&lt;&gt;0),(Inputs!$B$17+Inputs!$B$24+Inputs!$B$25)+(O297+Inputs!$B$24+Inputs!$B$25),0)+MAX(AG297,0)*(Inputs!$B$20+Inputs!$B$26+Inputs!$B$27)+MAX(-AG297,0)*(Inputs!$B$21+Inputs!$B$26+Inputs!$B$27)</f>
        <v>0</v>
      </c>
      <c r="AK297" s="30" t="n">
        <f aca="false">AB296*(M297-AD296*J297)+AB296*AD296*(N297+Inputs!$B$14)/Inputs!$B$16-AJ297</f>
        <v>0</v>
      </c>
      <c r="AL297" s="30" t="n">
        <f aca="false">IF(AP296&lt;&gt;0,AQ296+1,0)</f>
        <v>0</v>
      </c>
      <c r="AM297" s="30" t="n">
        <f aca="false">IF(W297="",0,IF(AND(AP296&lt;&gt;0,OR(ABS(W297)&gt;Inputs!$B$7,AL297&gt;=Inputs!$B$8,ABS(W297)&lt;Inputs!$B$6)),1,0))</f>
        <v>0</v>
      </c>
      <c r="AN297" s="30" t="n">
        <f aca="false">IF(AM297=1,0,AP296)</f>
        <v>0</v>
      </c>
      <c r="AO297" s="30" t="n">
        <f aca="false">IF(W297="",0,IF(AND(AN297=0,ABS(W297)&gt;Inputs!$B$5,ABS(W297)&lt;=Inputs!$B$7,W297&gt;0),1,0))</f>
        <v>0</v>
      </c>
      <c r="AP297" s="30" t="n">
        <f aca="false">IF(W297="",0,IF(AO297=1,-SIGN(W297),AN297))</f>
        <v>0</v>
      </c>
      <c r="AQ297" s="30" t="n">
        <f aca="false">IF(W297="",0,IF(AO297=1,0,IF(AM297=1,0,AL297)))</f>
        <v>0</v>
      </c>
      <c r="AR297" s="30" t="n">
        <f aca="false">IF(AP297=0,0,IF(AP296=AP297,AR296,T297))</f>
        <v>0</v>
      </c>
      <c r="AS297" s="30" t="n">
        <f aca="false">AP297-AP296</f>
        <v>0</v>
      </c>
      <c r="AT297" s="30" t="n">
        <f aca="false">-AR297*AP297</f>
        <v>-0</v>
      </c>
      <c r="AU297" s="30" t="n">
        <f aca="false">AT297-AT296</f>
        <v>0</v>
      </c>
      <c r="AV297" s="30" t="n">
        <f aca="false">MAX(AS297,0)*(Inputs!$B$17+Inputs!$B$18+Inputs!$B$19)+MAX(-AS297,0)*(O297+Inputs!$B$18+Inputs!$B$19)+IF(AND(K297=1,AP297&lt;&gt;0),(Inputs!$B$17+Inputs!$B$18+Inputs!$B$19)+(O297+Inputs!$B$18+Inputs!$B$19),0)+MAX(AU297,0)*(Inputs!$B$20+Inputs!$B$22+Inputs!$B$23)+MAX(-AU297,0)*(Inputs!$B$21+Inputs!$B$22+Inputs!$B$23)</f>
        <v>0</v>
      </c>
      <c r="AW297" s="30" t="n">
        <f aca="false">AP296*(M297-AR296*J297)+AP296*AR296*N297/Inputs!$B$16-AV297</f>
        <v>0</v>
      </c>
      <c r="AX297" s="30" t="n">
        <f aca="false">AW297-IF(AP296&lt;&gt;0,0.75*AR296*(Inputs!$B$13-N297)/Inputs!$B$16,0)</f>
        <v>0</v>
      </c>
      <c r="AY297" s="30" t="n">
        <f aca="false">MAX(AS297,0)*(Inputs!$B$17+Inputs!$B$18+Inputs!$B$19)+MAX(-AS297,0)*(O297+Inputs!$B$18+Inputs!$B$19)+IF(AND(K297=1,AP297&lt;&gt;0),(Inputs!$B$17+Inputs!$B$18+Inputs!$B$19)+(O297+Inputs!$B$18+Inputs!$B$19),0)</f>
        <v>0</v>
      </c>
      <c r="AZ297" s="30" t="n">
        <f aca="false">AP296*M297-AY297</f>
        <v>0</v>
      </c>
      <c r="BA297" s="32" t="n">
        <f aca="false">BA296+AI297</f>
        <v>-0.00574530534633948</v>
      </c>
      <c r="BB297" s="30" t="n">
        <f aca="false">MAX(BB296,BA297)</f>
        <v>0</v>
      </c>
      <c r="BC297" s="32" t="n">
        <f aca="false">BA297-BB297</f>
        <v>-0.00574530534633948</v>
      </c>
      <c r="BD297" s="30" t="n">
        <f aca="false">A298-A297</f>
        <v>1</v>
      </c>
    </row>
    <row r="298" customFormat="false" ht="15" hidden="false" customHeight="false" outlineLevel="0" collapsed="false">
      <c r="A298" s="28" t="n">
        <v>45478</v>
      </c>
      <c r="B298" s="0" t="n">
        <v>24389.9</v>
      </c>
      <c r="C298" s="0" t="n">
        <v>270.94</v>
      </c>
      <c r="D298" s="29" t="n">
        <f aca="false">LN(B298)</f>
        <v>10.1019243911606</v>
      </c>
      <c r="E298" s="29" t="n">
        <f aca="false">LN(C298)</f>
        <v>5.60189739415259</v>
      </c>
      <c r="F298" s="0" t="n">
        <v>293</v>
      </c>
      <c r="G298" s="0" t="n">
        <v>20</v>
      </c>
      <c r="H298" s="29" t="n">
        <f aca="false">D298-E298</f>
        <v>4.50002699700797</v>
      </c>
      <c r="I298" s="29" t="n">
        <f aca="false">D298-D297</f>
        <v>0.00050648538170428</v>
      </c>
      <c r="J298" s="29" t="n">
        <f aca="false">E298-E297</f>
        <v>0.000775379882663962</v>
      </c>
      <c r="K298" s="0" t="n">
        <v>0</v>
      </c>
      <c r="L298" s="0" t="n">
        <v>0</v>
      </c>
      <c r="M298" s="29" t="n">
        <f aca="false">IF(L298=1,J298-Carry!$B$9/Inputs!$B$16,I298)</f>
        <v>0.00050648538170428</v>
      </c>
      <c r="N298" s="0" t="n">
        <v>0.065</v>
      </c>
      <c r="O298" s="0" t="n">
        <v>0.000125</v>
      </c>
      <c r="P298" s="29" t="n">
        <f aca="false">D298-('2 Hedge ratio'!$B$6+'2 Hedge ratio'!$B$5*E298)</f>
        <v>0.00805620447470723</v>
      </c>
      <c r="Q298" s="29" t="n">
        <f aca="false">D298-('5 Re-specification'!$B$7+'5 Re-specification'!$B$5*E298+'5 Re-specification'!$B$6*F298)</f>
        <v>-0.00103318356588211</v>
      </c>
      <c r="R298" s="30" t="n">
        <f aca="false">MIN(F298,Inputs!$B$9)</f>
        <v>250</v>
      </c>
      <c r="S298" s="29" t="n">
        <f aca="true">IF(AND(F298&gt;=1,R298&gt;=Inputs!$B$10),INDEX(LINEST(OFFSET(D298,-R298,0,R298,1),OFFSET(E298,-R298,0,R298,2)),1,1),"")</f>
        <v>-6.70091089217777E-005</v>
      </c>
      <c r="T298" s="29" t="n">
        <f aca="true">IF(AND(F298&gt;=1,R298&gt;=Inputs!$B$10),INDEX(LINEST(OFFSET(D298,-R298,0,R298,1),OFFSET(E298,-R298,0,R298,2)),1,2),"")</f>
        <v>1.03171994964644</v>
      </c>
      <c r="U298" s="29" t="n">
        <f aca="true">IF(AND(F298&gt;=1,R298&gt;=Inputs!$B$10),INDEX(LINEST(OFFSET(D298,-R298,0,R298,1),OFFSET(E298,-R298,0,R298,2)),1,3),"")</f>
        <v>4.34548886105388</v>
      </c>
      <c r="V298" s="29" t="n">
        <f aca="true">IF(AND(F298&gt;=1,R298&gt;=Inputs!$B$10),SQRT(SUMPRODUCT((OFFSET(D298,-R298,0,R298,1)-U298-T298*OFFSET(E298,-R298,0,R298,1)-S298*OFFSET(F298,-R298,0,R298,1))^2)/(R298-3)),"")</f>
        <v>0.00342179877794332</v>
      </c>
      <c r="W298" s="31" t="n">
        <f aca="false">IF(AND(F298&gt;=1,R298&gt;=Inputs!$B$10),(D298-U298-T298*E298-S298*F298)/V298,"")</f>
        <v>-1.02872746976634</v>
      </c>
      <c r="X298" s="30" t="n">
        <f aca="false">IF(AB297&lt;&gt;0,AC297+1,0)</f>
        <v>0</v>
      </c>
      <c r="Y298" s="30" t="n">
        <f aca="false">IF(W298="",0,IF(AND(AB297&lt;&gt;0,OR(ABS(W298)&gt;Inputs!$B$7,X298&gt;=Inputs!$B$8,ABS(W298)&lt;Inputs!$B$6)),1,0))</f>
        <v>0</v>
      </c>
      <c r="Z298" s="30" t="n">
        <f aca="false">IF(Y298=1,0,AB297)</f>
        <v>0</v>
      </c>
      <c r="AA298" s="30" t="n">
        <f aca="false">IF(W298="",0,IF(AND(Z298=0,ABS(W298)&gt;Inputs!$B$5,ABS(W298)&lt;=Inputs!$B$7),1,0))</f>
        <v>0</v>
      </c>
      <c r="AB298" s="30" t="n">
        <f aca="false">IF(W298="",0,IF(AA298=1,-SIGN(W298),Z298))</f>
        <v>0</v>
      </c>
      <c r="AC298" s="30" t="n">
        <f aca="false">IF(W298="",0,IF(AA298=1,0,IF(Y298=1,0,X298)))</f>
        <v>0</v>
      </c>
      <c r="AD298" s="30" t="n">
        <f aca="false">IF(AB298=0,0,IF(AB297=AB298,AD297,T298))</f>
        <v>0</v>
      </c>
      <c r="AE298" s="30" t="n">
        <f aca="false">AB298-AB297</f>
        <v>0</v>
      </c>
      <c r="AF298" s="30" t="n">
        <f aca="false">-AD298*AB298</f>
        <v>-0</v>
      </c>
      <c r="AG298" s="30" t="n">
        <f aca="false">AF298-AF297</f>
        <v>0</v>
      </c>
      <c r="AH298" s="30" t="n">
        <f aca="false">MAX(AE298,0)*(Inputs!$B$17+Inputs!$B$18+Inputs!$B$19)+MAX(-AE298,0)*(O298+Inputs!$B$18+Inputs!$B$19)+IF(AND(K298=1,AB298&lt;&gt;0),(Inputs!$B$17+Inputs!$B$18+Inputs!$B$19)+(O298+Inputs!$B$18+Inputs!$B$19),0)+MAX(AG298,0)*(Inputs!$B$20+Inputs!$B$22+Inputs!$B$23)+MAX(-AG298,0)*(Inputs!$B$21+Inputs!$B$22+Inputs!$B$23)</f>
        <v>0</v>
      </c>
      <c r="AI298" s="30" t="n">
        <f aca="false">AB297*(M298-AD297*J298)+AB297*AD297*N298/Inputs!$B$16-AH298</f>
        <v>0</v>
      </c>
      <c r="AJ298" s="30" t="n">
        <f aca="false">MAX(AE298,0)*(Inputs!$B$17+Inputs!$B$24+Inputs!$B$25)+MAX(-AE298,0)*(O298+Inputs!$B$24+Inputs!$B$25)+IF(AND(K298=1,AB298&lt;&gt;0),(Inputs!$B$17+Inputs!$B$24+Inputs!$B$25)+(O298+Inputs!$B$24+Inputs!$B$25),0)+MAX(AG298,0)*(Inputs!$B$20+Inputs!$B$26+Inputs!$B$27)+MAX(-AG298,0)*(Inputs!$B$21+Inputs!$B$26+Inputs!$B$27)</f>
        <v>0</v>
      </c>
      <c r="AK298" s="30" t="n">
        <f aca="false">AB297*(M298-AD297*J298)+AB297*AD297*(N298+Inputs!$B$14)/Inputs!$B$16-AJ298</f>
        <v>0</v>
      </c>
      <c r="AL298" s="30" t="n">
        <f aca="false">IF(AP297&lt;&gt;0,AQ297+1,0)</f>
        <v>0</v>
      </c>
      <c r="AM298" s="30" t="n">
        <f aca="false">IF(W298="",0,IF(AND(AP297&lt;&gt;0,OR(ABS(W298)&gt;Inputs!$B$7,AL298&gt;=Inputs!$B$8,ABS(W298)&lt;Inputs!$B$6)),1,0))</f>
        <v>0</v>
      </c>
      <c r="AN298" s="30" t="n">
        <f aca="false">IF(AM298=1,0,AP297)</f>
        <v>0</v>
      </c>
      <c r="AO298" s="30" t="n">
        <f aca="false">IF(W298="",0,IF(AND(AN298=0,ABS(W298)&gt;Inputs!$B$5,ABS(W298)&lt;=Inputs!$B$7,W298&gt;0),1,0))</f>
        <v>0</v>
      </c>
      <c r="AP298" s="30" t="n">
        <f aca="false">IF(W298="",0,IF(AO298=1,-SIGN(W298),AN298))</f>
        <v>0</v>
      </c>
      <c r="AQ298" s="30" t="n">
        <f aca="false">IF(W298="",0,IF(AO298=1,0,IF(AM298=1,0,AL298)))</f>
        <v>0</v>
      </c>
      <c r="AR298" s="30" t="n">
        <f aca="false">IF(AP298=0,0,IF(AP297=AP298,AR297,T298))</f>
        <v>0</v>
      </c>
      <c r="AS298" s="30" t="n">
        <f aca="false">AP298-AP297</f>
        <v>0</v>
      </c>
      <c r="AT298" s="30" t="n">
        <f aca="false">-AR298*AP298</f>
        <v>-0</v>
      </c>
      <c r="AU298" s="30" t="n">
        <f aca="false">AT298-AT297</f>
        <v>0</v>
      </c>
      <c r="AV298" s="30" t="n">
        <f aca="false">MAX(AS298,0)*(Inputs!$B$17+Inputs!$B$18+Inputs!$B$19)+MAX(-AS298,0)*(O298+Inputs!$B$18+Inputs!$B$19)+IF(AND(K298=1,AP298&lt;&gt;0),(Inputs!$B$17+Inputs!$B$18+Inputs!$B$19)+(O298+Inputs!$B$18+Inputs!$B$19),0)+MAX(AU298,0)*(Inputs!$B$20+Inputs!$B$22+Inputs!$B$23)+MAX(-AU298,0)*(Inputs!$B$21+Inputs!$B$22+Inputs!$B$23)</f>
        <v>0</v>
      </c>
      <c r="AW298" s="30" t="n">
        <f aca="false">AP297*(M298-AR297*J298)+AP297*AR297*N298/Inputs!$B$16-AV298</f>
        <v>0</v>
      </c>
      <c r="AX298" s="30" t="n">
        <f aca="false">AW298-IF(AP297&lt;&gt;0,0.75*AR297*(Inputs!$B$13-N298)/Inputs!$B$16,0)</f>
        <v>0</v>
      </c>
      <c r="AY298" s="30" t="n">
        <f aca="false">MAX(AS298,0)*(Inputs!$B$17+Inputs!$B$18+Inputs!$B$19)+MAX(-AS298,0)*(O298+Inputs!$B$18+Inputs!$B$19)+IF(AND(K298=1,AP298&lt;&gt;0),(Inputs!$B$17+Inputs!$B$18+Inputs!$B$19)+(O298+Inputs!$B$18+Inputs!$B$19),0)</f>
        <v>0</v>
      </c>
      <c r="AZ298" s="30" t="n">
        <f aca="false">AP297*M298-AY298</f>
        <v>0</v>
      </c>
      <c r="BA298" s="32" t="n">
        <f aca="false">BA297+AI298</f>
        <v>-0.00574530534633948</v>
      </c>
      <c r="BB298" s="30" t="n">
        <f aca="false">MAX(BB297,BA298)</f>
        <v>0</v>
      </c>
      <c r="BC298" s="32" t="n">
        <f aca="false">BA298-BB298</f>
        <v>-0.00574530534633948</v>
      </c>
      <c r="BD298" s="30" t="n">
        <f aca="false">A299-A298</f>
        <v>3</v>
      </c>
    </row>
    <row r="299" customFormat="false" ht="15" hidden="false" customHeight="false" outlineLevel="0" collapsed="false">
      <c r="A299" s="28" t="n">
        <v>45481</v>
      </c>
      <c r="B299" s="0" t="n">
        <v>24374</v>
      </c>
      <c r="C299" s="0" t="n">
        <v>270.25</v>
      </c>
      <c r="D299" s="29" t="n">
        <f aca="false">LN(B299)</f>
        <v>10.1012722693834</v>
      </c>
      <c r="E299" s="29" t="n">
        <f aca="false">LN(C299)</f>
        <v>5.59934745651932</v>
      </c>
      <c r="F299" s="0" t="n">
        <v>294</v>
      </c>
      <c r="G299" s="0" t="n">
        <v>17</v>
      </c>
      <c r="H299" s="29" t="n">
        <f aca="false">D299-E299</f>
        <v>4.50192481286413</v>
      </c>
      <c r="I299" s="29" t="n">
        <f aca="false">D299-D298</f>
        <v>-0.000652121777113379</v>
      </c>
      <c r="J299" s="29" t="n">
        <f aca="false">E299-E298</f>
        <v>-0.00254993763327338</v>
      </c>
      <c r="K299" s="0" t="n">
        <v>0</v>
      </c>
      <c r="L299" s="0" t="n">
        <v>0</v>
      </c>
      <c r="M299" s="29" t="n">
        <f aca="false">IF(L299=1,J299-Carry!$B$9/Inputs!$B$16,I299)</f>
        <v>-0.000652121777113379</v>
      </c>
      <c r="N299" s="0" t="n">
        <v>0.065</v>
      </c>
      <c r="O299" s="0" t="n">
        <v>0.000125</v>
      </c>
      <c r="P299" s="29" t="n">
        <f aca="false">D299-('2 Hedge ratio'!$B$6+'2 Hedge ratio'!$B$5*E299)</f>
        <v>0.0097401487978459</v>
      </c>
      <c r="Q299" s="29" t="n">
        <f aca="false">D299-('5 Re-specification'!$B$7+'5 Re-specification'!$B$5*E299+'5 Re-specification'!$B$6*F299)</f>
        <v>0.000901834022323911</v>
      </c>
      <c r="R299" s="30" t="n">
        <f aca="false">MIN(F299,Inputs!$B$9)</f>
        <v>250</v>
      </c>
      <c r="S299" s="29" t="n">
        <f aca="true">IF(AND(F299&gt;=1,R299&gt;=Inputs!$B$10),INDEX(LINEST(OFFSET(D299,-R299,0,R299,1),OFFSET(E299,-R299,0,R299,2)),1,1),"")</f>
        <v>-6.54935579647099E-005</v>
      </c>
      <c r="T299" s="29" t="n">
        <f aca="true">IF(AND(F299&gt;=1,R299&gt;=Inputs!$B$10),INDEX(LINEST(OFFSET(D299,-R299,0,R299,1),OFFSET(E299,-R299,0,R299,2)),1,2),"")</f>
        <v>1.03014706360832</v>
      </c>
      <c r="U299" s="29" t="n">
        <f aca="true">IF(AND(F299&gt;=1,R299&gt;=Inputs!$B$10),INDEX(LINEST(OFFSET(D299,-R299,0,R299,1),OFFSET(E299,-R299,0,R299,2)),1,3),"")</f>
        <v>4.35377941863837</v>
      </c>
      <c r="V299" s="29" t="n">
        <f aca="true">IF(AND(F299&gt;=1,R299&gt;=Inputs!$B$10),SQRT(SUMPRODUCT((OFFSET(D299,-R299,0,R299,1)-U299-T299*OFFSET(E299,-R299,0,R299,1)-S299*OFFSET(F299,-R299,0,R299,1))^2)/(R299-3)),"")</f>
        <v>0.00341904062856562</v>
      </c>
      <c r="W299" s="31" t="n">
        <f aca="false">IF(AND(F299&gt;=1,R299&gt;=Inputs!$B$10),(D299-U299-T299*E299-S299*F299)/V299,"")</f>
        <v>-0.410461243906272</v>
      </c>
      <c r="X299" s="30" t="n">
        <f aca="false">IF(AB298&lt;&gt;0,AC298+1,0)</f>
        <v>0</v>
      </c>
      <c r="Y299" s="30" t="n">
        <f aca="false">IF(W299="",0,IF(AND(AB298&lt;&gt;0,OR(ABS(W299)&gt;Inputs!$B$7,X299&gt;=Inputs!$B$8,ABS(W299)&lt;Inputs!$B$6)),1,0))</f>
        <v>0</v>
      </c>
      <c r="Z299" s="30" t="n">
        <f aca="false">IF(Y299=1,0,AB298)</f>
        <v>0</v>
      </c>
      <c r="AA299" s="30" t="n">
        <f aca="false">IF(W299="",0,IF(AND(Z299=0,ABS(W299)&gt;Inputs!$B$5,ABS(W299)&lt;=Inputs!$B$7),1,0))</f>
        <v>0</v>
      </c>
      <c r="AB299" s="30" t="n">
        <f aca="false">IF(W299="",0,IF(AA299=1,-SIGN(W299),Z299))</f>
        <v>0</v>
      </c>
      <c r="AC299" s="30" t="n">
        <f aca="false">IF(W299="",0,IF(AA299=1,0,IF(Y299=1,0,X299)))</f>
        <v>0</v>
      </c>
      <c r="AD299" s="30" t="n">
        <f aca="false">IF(AB299=0,0,IF(AB298=AB299,AD298,T299))</f>
        <v>0</v>
      </c>
      <c r="AE299" s="30" t="n">
        <f aca="false">AB299-AB298</f>
        <v>0</v>
      </c>
      <c r="AF299" s="30" t="n">
        <f aca="false">-AD299*AB299</f>
        <v>-0</v>
      </c>
      <c r="AG299" s="30" t="n">
        <f aca="false">AF299-AF298</f>
        <v>0</v>
      </c>
      <c r="AH299" s="30" t="n">
        <f aca="false">MAX(AE299,0)*(Inputs!$B$17+Inputs!$B$18+Inputs!$B$19)+MAX(-AE299,0)*(O299+Inputs!$B$18+Inputs!$B$19)+IF(AND(K299=1,AB299&lt;&gt;0),(Inputs!$B$17+Inputs!$B$18+Inputs!$B$19)+(O299+Inputs!$B$18+Inputs!$B$19),0)+MAX(AG299,0)*(Inputs!$B$20+Inputs!$B$22+Inputs!$B$23)+MAX(-AG299,0)*(Inputs!$B$21+Inputs!$B$22+Inputs!$B$23)</f>
        <v>0</v>
      </c>
      <c r="AI299" s="30" t="n">
        <f aca="false">AB298*(M299-AD298*J299)+AB298*AD298*N299/Inputs!$B$16-AH299</f>
        <v>0</v>
      </c>
      <c r="AJ299" s="30" t="n">
        <f aca="false">MAX(AE299,0)*(Inputs!$B$17+Inputs!$B$24+Inputs!$B$25)+MAX(-AE299,0)*(O299+Inputs!$B$24+Inputs!$B$25)+IF(AND(K299=1,AB299&lt;&gt;0),(Inputs!$B$17+Inputs!$B$24+Inputs!$B$25)+(O299+Inputs!$B$24+Inputs!$B$25),0)+MAX(AG299,0)*(Inputs!$B$20+Inputs!$B$26+Inputs!$B$27)+MAX(-AG299,0)*(Inputs!$B$21+Inputs!$B$26+Inputs!$B$27)</f>
        <v>0</v>
      </c>
      <c r="AK299" s="30" t="n">
        <f aca="false">AB298*(M299-AD298*J299)+AB298*AD298*(N299+Inputs!$B$14)/Inputs!$B$16-AJ299</f>
        <v>0</v>
      </c>
      <c r="AL299" s="30" t="n">
        <f aca="false">IF(AP298&lt;&gt;0,AQ298+1,0)</f>
        <v>0</v>
      </c>
      <c r="AM299" s="30" t="n">
        <f aca="false">IF(W299="",0,IF(AND(AP298&lt;&gt;0,OR(ABS(W299)&gt;Inputs!$B$7,AL299&gt;=Inputs!$B$8,ABS(W299)&lt;Inputs!$B$6)),1,0))</f>
        <v>0</v>
      </c>
      <c r="AN299" s="30" t="n">
        <f aca="false">IF(AM299=1,0,AP298)</f>
        <v>0</v>
      </c>
      <c r="AO299" s="30" t="n">
        <f aca="false">IF(W299="",0,IF(AND(AN299=0,ABS(W299)&gt;Inputs!$B$5,ABS(W299)&lt;=Inputs!$B$7,W299&gt;0),1,0))</f>
        <v>0</v>
      </c>
      <c r="AP299" s="30" t="n">
        <f aca="false">IF(W299="",0,IF(AO299=1,-SIGN(W299),AN299))</f>
        <v>0</v>
      </c>
      <c r="AQ299" s="30" t="n">
        <f aca="false">IF(W299="",0,IF(AO299=1,0,IF(AM299=1,0,AL299)))</f>
        <v>0</v>
      </c>
      <c r="AR299" s="30" t="n">
        <f aca="false">IF(AP299=0,0,IF(AP298=AP299,AR298,T299))</f>
        <v>0</v>
      </c>
      <c r="AS299" s="30" t="n">
        <f aca="false">AP299-AP298</f>
        <v>0</v>
      </c>
      <c r="AT299" s="30" t="n">
        <f aca="false">-AR299*AP299</f>
        <v>-0</v>
      </c>
      <c r="AU299" s="30" t="n">
        <f aca="false">AT299-AT298</f>
        <v>0</v>
      </c>
      <c r="AV299" s="30" t="n">
        <f aca="false">MAX(AS299,0)*(Inputs!$B$17+Inputs!$B$18+Inputs!$B$19)+MAX(-AS299,0)*(O299+Inputs!$B$18+Inputs!$B$19)+IF(AND(K299=1,AP299&lt;&gt;0),(Inputs!$B$17+Inputs!$B$18+Inputs!$B$19)+(O299+Inputs!$B$18+Inputs!$B$19),0)+MAX(AU299,0)*(Inputs!$B$20+Inputs!$B$22+Inputs!$B$23)+MAX(-AU299,0)*(Inputs!$B$21+Inputs!$B$22+Inputs!$B$23)</f>
        <v>0</v>
      </c>
      <c r="AW299" s="30" t="n">
        <f aca="false">AP298*(M299-AR298*J299)+AP298*AR298*N299/Inputs!$B$16-AV299</f>
        <v>0</v>
      </c>
      <c r="AX299" s="30" t="n">
        <f aca="false">AW299-IF(AP298&lt;&gt;0,0.75*AR298*(Inputs!$B$13-N299)/Inputs!$B$16,0)</f>
        <v>0</v>
      </c>
      <c r="AY299" s="30" t="n">
        <f aca="false">MAX(AS299,0)*(Inputs!$B$17+Inputs!$B$18+Inputs!$B$19)+MAX(-AS299,0)*(O299+Inputs!$B$18+Inputs!$B$19)+IF(AND(K299=1,AP299&lt;&gt;0),(Inputs!$B$17+Inputs!$B$18+Inputs!$B$19)+(O299+Inputs!$B$18+Inputs!$B$19),0)</f>
        <v>0</v>
      </c>
      <c r="AZ299" s="30" t="n">
        <f aca="false">AP298*M299-AY299</f>
        <v>-0</v>
      </c>
      <c r="BA299" s="32" t="n">
        <f aca="false">BA298+AI299</f>
        <v>-0.00574530534633948</v>
      </c>
      <c r="BB299" s="30" t="n">
        <f aca="false">MAX(BB298,BA299)</f>
        <v>0</v>
      </c>
      <c r="BC299" s="32" t="n">
        <f aca="false">BA299-BB299</f>
        <v>-0.00574530534633948</v>
      </c>
      <c r="BD299" s="30" t="n">
        <f aca="false">A300-A299</f>
        <v>1</v>
      </c>
    </row>
    <row r="300" customFormat="false" ht="15" hidden="false" customHeight="false" outlineLevel="0" collapsed="false">
      <c r="A300" s="28" t="n">
        <v>45482</v>
      </c>
      <c r="B300" s="0" t="n">
        <v>24484.95</v>
      </c>
      <c r="C300" s="0" t="n">
        <v>271.35</v>
      </c>
      <c r="D300" s="29" t="n">
        <f aca="false">LN(B300)</f>
        <v>10.1058139220678</v>
      </c>
      <c r="E300" s="29" t="n">
        <f aca="false">LN(C300)</f>
        <v>5.60340950050941</v>
      </c>
      <c r="F300" s="0" t="n">
        <v>295</v>
      </c>
      <c r="G300" s="0" t="n">
        <v>16</v>
      </c>
      <c r="H300" s="29" t="n">
        <f aca="false">D300-E300</f>
        <v>4.50240442155835</v>
      </c>
      <c r="I300" s="29" t="n">
        <f aca="false">D300-D299</f>
        <v>0.00454165268431517</v>
      </c>
      <c r="J300" s="29" t="n">
        <f aca="false">E300-E299</f>
        <v>0.00406204399009624</v>
      </c>
      <c r="K300" s="0" t="n">
        <v>0</v>
      </c>
      <c r="L300" s="0" t="n">
        <v>0</v>
      </c>
      <c r="M300" s="29" t="n">
        <f aca="false">IF(L300=1,J300-Carry!$B$9/Inputs!$B$16,I300)</f>
        <v>0.00454165268431517</v>
      </c>
      <c r="N300" s="0" t="n">
        <v>0.065</v>
      </c>
      <c r="O300" s="0" t="n">
        <v>0.000125</v>
      </c>
      <c r="P300" s="29" t="n">
        <f aca="false">D300-('2 Hedge ratio'!$B$6+'2 Hedge ratio'!$B$5*E300)</f>
        <v>0.0105604542855975</v>
      </c>
      <c r="Q300" s="29" t="n">
        <f aca="false">D300-('5 Re-specification'!$B$7+'5 Re-specification'!$B$5*E300+'5 Re-specification'!$B$6*F300)</f>
        <v>0.0014386820590353</v>
      </c>
      <c r="R300" s="30" t="n">
        <f aca="false">MIN(F300,Inputs!$B$9)</f>
        <v>250</v>
      </c>
      <c r="S300" s="29" t="n">
        <f aca="true">IF(AND(F300&gt;=1,R300&gt;=Inputs!$B$10),INDEX(LINEST(OFFSET(D300,-R300,0,R300,1),OFFSET(E300,-R300,0,R300,2)),1,1),"")</f>
        <v>-6.48113036503723E-005</v>
      </c>
      <c r="T300" s="29" t="n">
        <f aca="true">IF(AND(F300&gt;=1,R300&gt;=Inputs!$B$10),INDEX(LINEST(OFFSET(D300,-R300,0,R300,1),OFFSET(E300,-R300,0,R300,2)),1,2),"")</f>
        <v>1.02946545820186</v>
      </c>
      <c r="U300" s="29" t="n">
        <f aca="true">IF(AND(F300&gt;=1,R300&gt;=Inputs!$B$10),INDEX(LINEST(OFFSET(D300,-R300,0,R300,1),OFFSET(E300,-R300,0,R300,2)),1,3),"")</f>
        <v>4.35736784016293</v>
      </c>
      <c r="V300" s="29" t="n">
        <f aca="true">IF(AND(F300&gt;=1,R300&gt;=Inputs!$B$10),SQRT(SUMPRODUCT((OFFSET(D300,-R300,0,R300,1)-U300-T300*OFFSET(E300,-R300,0,R300,1)-S300*OFFSET(F300,-R300,0,R300,1))^2)/(R300-3)),"")</f>
        <v>0.00341808183369278</v>
      </c>
      <c r="W300" s="31" t="n">
        <f aca="false">IF(AND(F300&gt;=1,R300&gt;=Inputs!$B$10),(D300-U300-T300*E300-S300*F300)/V300,"")</f>
        <v>-0.278259122851598</v>
      </c>
      <c r="X300" s="30" t="n">
        <f aca="false">IF(AB299&lt;&gt;0,AC299+1,0)</f>
        <v>0</v>
      </c>
      <c r="Y300" s="30" t="n">
        <f aca="false">IF(W300="",0,IF(AND(AB299&lt;&gt;0,OR(ABS(W300)&gt;Inputs!$B$7,X300&gt;=Inputs!$B$8,ABS(W300)&lt;Inputs!$B$6)),1,0))</f>
        <v>0</v>
      </c>
      <c r="Z300" s="30" t="n">
        <f aca="false">IF(Y300=1,0,AB299)</f>
        <v>0</v>
      </c>
      <c r="AA300" s="30" t="n">
        <f aca="false">IF(W300="",0,IF(AND(Z300=0,ABS(W300)&gt;Inputs!$B$5,ABS(W300)&lt;=Inputs!$B$7),1,0))</f>
        <v>0</v>
      </c>
      <c r="AB300" s="30" t="n">
        <f aca="false">IF(W300="",0,IF(AA300=1,-SIGN(W300),Z300))</f>
        <v>0</v>
      </c>
      <c r="AC300" s="30" t="n">
        <f aca="false">IF(W300="",0,IF(AA300=1,0,IF(Y300=1,0,X300)))</f>
        <v>0</v>
      </c>
      <c r="AD300" s="30" t="n">
        <f aca="false">IF(AB300=0,0,IF(AB299=AB300,AD299,T300))</f>
        <v>0</v>
      </c>
      <c r="AE300" s="30" t="n">
        <f aca="false">AB300-AB299</f>
        <v>0</v>
      </c>
      <c r="AF300" s="30" t="n">
        <f aca="false">-AD300*AB300</f>
        <v>-0</v>
      </c>
      <c r="AG300" s="30" t="n">
        <f aca="false">AF300-AF299</f>
        <v>0</v>
      </c>
      <c r="AH300" s="30" t="n">
        <f aca="false">MAX(AE300,0)*(Inputs!$B$17+Inputs!$B$18+Inputs!$B$19)+MAX(-AE300,0)*(O300+Inputs!$B$18+Inputs!$B$19)+IF(AND(K300=1,AB300&lt;&gt;0),(Inputs!$B$17+Inputs!$B$18+Inputs!$B$19)+(O300+Inputs!$B$18+Inputs!$B$19),0)+MAX(AG300,0)*(Inputs!$B$20+Inputs!$B$22+Inputs!$B$23)+MAX(-AG300,0)*(Inputs!$B$21+Inputs!$B$22+Inputs!$B$23)</f>
        <v>0</v>
      </c>
      <c r="AI300" s="30" t="n">
        <f aca="false">AB299*(M300-AD299*J300)+AB299*AD299*N300/Inputs!$B$16-AH300</f>
        <v>0</v>
      </c>
      <c r="AJ300" s="30" t="n">
        <f aca="false">MAX(AE300,0)*(Inputs!$B$17+Inputs!$B$24+Inputs!$B$25)+MAX(-AE300,0)*(O300+Inputs!$B$24+Inputs!$B$25)+IF(AND(K300=1,AB300&lt;&gt;0),(Inputs!$B$17+Inputs!$B$24+Inputs!$B$25)+(O300+Inputs!$B$24+Inputs!$B$25),0)+MAX(AG300,0)*(Inputs!$B$20+Inputs!$B$26+Inputs!$B$27)+MAX(-AG300,0)*(Inputs!$B$21+Inputs!$B$26+Inputs!$B$27)</f>
        <v>0</v>
      </c>
      <c r="AK300" s="30" t="n">
        <f aca="false">AB299*(M300-AD299*J300)+AB299*AD299*(N300+Inputs!$B$14)/Inputs!$B$16-AJ300</f>
        <v>0</v>
      </c>
      <c r="AL300" s="30" t="n">
        <f aca="false">IF(AP299&lt;&gt;0,AQ299+1,0)</f>
        <v>0</v>
      </c>
      <c r="AM300" s="30" t="n">
        <f aca="false">IF(W300="",0,IF(AND(AP299&lt;&gt;0,OR(ABS(W300)&gt;Inputs!$B$7,AL300&gt;=Inputs!$B$8,ABS(W300)&lt;Inputs!$B$6)),1,0))</f>
        <v>0</v>
      </c>
      <c r="AN300" s="30" t="n">
        <f aca="false">IF(AM300=1,0,AP299)</f>
        <v>0</v>
      </c>
      <c r="AO300" s="30" t="n">
        <f aca="false">IF(W300="",0,IF(AND(AN300=0,ABS(W300)&gt;Inputs!$B$5,ABS(W300)&lt;=Inputs!$B$7,W300&gt;0),1,0))</f>
        <v>0</v>
      </c>
      <c r="AP300" s="30" t="n">
        <f aca="false">IF(W300="",0,IF(AO300=1,-SIGN(W300),AN300))</f>
        <v>0</v>
      </c>
      <c r="AQ300" s="30" t="n">
        <f aca="false">IF(W300="",0,IF(AO300=1,0,IF(AM300=1,0,AL300)))</f>
        <v>0</v>
      </c>
      <c r="AR300" s="30" t="n">
        <f aca="false">IF(AP300=0,0,IF(AP299=AP300,AR299,T300))</f>
        <v>0</v>
      </c>
      <c r="AS300" s="30" t="n">
        <f aca="false">AP300-AP299</f>
        <v>0</v>
      </c>
      <c r="AT300" s="30" t="n">
        <f aca="false">-AR300*AP300</f>
        <v>-0</v>
      </c>
      <c r="AU300" s="30" t="n">
        <f aca="false">AT300-AT299</f>
        <v>0</v>
      </c>
      <c r="AV300" s="30" t="n">
        <f aca="false">MAX(AS300,0)*(Inputs!$B$17+Inputs!$B$18+Inputs!$B$19)+MAX(-AS300,0)*(O300+Inputs!$B$18+Inputs!$B$19)+IF(AND(K300=1,AP300&lt;&gt;0),(Inputs!$B$17+Inputs!$B$18+Inputs!$B$19)+(O300+Inputs!$B$18+Inputs!$B$19),0)+MAX(AU300,0)*(Inputs!$B$20+Inputs!$B$22+Inputs!$B$23)+MAX(-AU300,0)*(Inputs!$B$21+Inputs!$B$22+Inputs!$B$23)</f>
        <v>0</v>
      </c>
      <c r="AW300" s="30" t="n">
        <f aca="false">AP299*(M300-AR299*J300)+AP299*AR299*N300/Inputs!$B$16-AV300</f>
        <v>0</v>
      </c>
      <c r="AX300" s="30" t="n">
        <f aca="false">AW300-IF(AP299&lt;&gt;0,0.75*AR299*(Inputs!$B$13-N300)/Inputs!$B$16,0)</f>
        <v>0</v>
      </c>
      <c r="AY300" s="30" t="n">
        <f aca="false">MAX(AS300,0)*(Inputs!$B$17+Inputs!$B$18+Inputs!$B$19)+MAX(-AS300,0)*(O300+Inputs!$B$18+Inputs!$B$19)+IF(AND(K300=1,AP300&lt;&gt;0),(Inputs!$B$17+Inputs!$B$18+Inputs!$B$19)+(O300+Inputs!$B$18+Inputs!$B$19),0)</f>
        <v>0</v>
      </c>
      <c r="AZ300" s="30" t="n">
        <f aca="false">AP299*M300-AY300</f>
        <v>0</v>
      </c>
      <c r="BA300" s="32" t="n">
        <f aca="false">BA299+AI300</f>
        <v>-0.00574530534633948</v>
      </c>
      <c r="BB300" s="30" t="n">
        <f aca="false">MAX(BB299,BA300)</f>
        <v>0</v>
      </c>
      <c r="BC300" s="32" t="n">
        <f aca="false">BA300-BB300</f>
        <v>-0.00574530534633948</v>
      </c>
      <c r="BD300" s="30" t="n">
        <f aca="false">A301-A300</f>
        <v>1</v>
      </c>
    </row>
    <row r="301" customFormat="false" ht="15" hidden="false" customHeight="false" outlineLevel="0" collapsed="false">
      <c r="A301" s="28" t="n">
        <v>45483</v>
      </c>
      <c r="B301" s="0" t="n">
        <v>24340</v>
      </c>
      <c r="C301" s="0" t="n">
        <v>270.59</v>
      </c>
      <c r="D301" s="29" t="n">
        <f aca="false">LN(B301)</f>
        <v>10.0998763665415</v>
      </c>
      <c r="E301" s="29" t="n">
        <f aca="false">LN(C301)</f>
        <v>5.60060476013883</v>
      </c>
      <c r="F301" s="0" t="n">
        <v>296</v>
      </c>
      <c r="G301" s="0" t="n">
        <v>15</v>
      </c>
      <c r="H301" s="29" t="n">
        <f aca="false">D301-E301</f>
        <v>4.49927160640269</v>
      </c>
      <c r="I301" s="29" t="n">
        <f aca="false">D301-D300</f>
        <v>-0.00593755552624309</v>
      </c>
      <c r="J301" s="29" t="n">
        <f aca="false">E301-E300</f>
        <v>-0.00280474037057932</v>
      </c>
      <c r="K301" s="0" t="n">
        <v>0</v>
      </c>
      <c r="L301" s="0" t="n">
        <v>0</v>
      </c>
      <c r="M301" s="29" t="n">
        <f aca="false">IF(L301=1,J301-Carry!$B$9/Inputs!$B$16,I301)</f>
        <v>-0.00593755552624309</v>
      </c>
      <c r="N301" s="0" t="n">
        <v>0.065</v>
      </c>
      <c r="O301" s="0" t="n">
        <v>0.000125</v>
      </c>
      <c r="P301" s="29" t="n">
        <f aca="false">D301-('2 Hedge ratio'!$B$6+'2 Hedge ratio'!$B$5*E301)</f>
        <v>0.00719239646558023</v>
      </c>
      <c r="Q301" s="29" t="n">
        <f aca="false">D301-('5 Re-specification'!$B$7+'5 Re-specification'!$B$5*E301+'5 Re-specification'!$B$6*F301)</f>
        <v>-0.00165770354428396</v>
      </c>
      <c r="R301" s="30" t="n">
        <f aca="false">MIN(F301,Inputs!$B$9)</f>
        <v>250</v>
      </c>
      <c r="S301" s="29" t="n">
        <f aca="true">IF(AND(F301&gt;=1,R301&gt;=Inputs!$B$10),INDEX(LINEST(OFFSET(D301,-R301,0,R301,1),OFFSET(E301,-R301,0,R301,2)),1,1),"")</f>
        <v>-6.37961678178088E-005</v>
      </c>
      <c r="T301" s="29" t="n">
        <f aca="true">IF(AND(F301&gt;=1,R301&gt;=Inputs!$B$10),INDEX(LINEST(OFFSET(D301,-R301,0,R301,1),OFFSET(E301,-R301,0,R301,2)),1,2),"")</f>
        <v>1.02861972016991</v>
      </c>
      <c r="U301" s="29" t="n">
        <f aca="true">IF(AND(F301&gt;=1,R301&gt;=Inputs!$B$10),INDEX(LINEST(OFFSET(D301,-R301,0,R301,1),OFFSET(E301,-R301,0,R301,2)),1,3),"")</f>
        <v>4.36179108282865</v>
      </c>
      <c r="V301" s="29" t="n">
        <f aca="true">IF(AND(F301&gt;=1,R301&gt;=Inputs!$B$10),SQRT(SUMPRODUCT((OFFSET(D301,-R301,0,R301,1)-U301-T301*OFFSET(E301,-R301,0,R301,1)-S301*OFFSET(F301,-R301,0,R301,1))^2)/(R301-3)),"")</f>
        <v>0.00341228828011942</v>
      </c>
      <c r="W301" s="31" t="n">
        <f aca="false">IF(AND(F301&gt;=1,R301&gt;=Inputs!$B$10),(D301-U301-T301*E301-S301*F301)/V301,"")</f>
        <v>-1.14983009852684</v>
      </c>
      <c r="X301" s="30" t="n">
        <f aca="false">IF(AB300&lt;&gt;0,AC300+1,0)</f>
        <v>0</v>
      </c>
      <c r="Y301" s="30" t="n">
        <f aca="false">IF(W301="",0,IF(AND(AB300&lt;&gt;0,OR(ABS(W301)&gt;Inputs!$B$7,X301&gt;=Inputs!$B$8,ABS(W301)&lt;Inputs!$B$6)),1,0))</f>
        <v>0</v>
      </c>
      <c r="Z301" s="30" t="n">
        <f aca="false">IF(Y301=1,0,AB300)</f>
        <v>0</v>
      </c>
      <c r="AA301" s="30" t="n">
        <f aca="false">IF(W301="",0,IF(AND(Z301=0,ABS(W301)&gt;Inputs!$B$5,ABS(W301)&lt;=Inputs!$B$7),1,0))</f>
        <v>0</v>
      </c>
      <c r="AB301" s="30" t="n">
        <f aca="false">IF(W301="",0,IF(AA301=1,-SIGN(W301),Z301))</f>
        <v>0</v>
      </c>
      <c r="AC301" s="30" t="n">
        <f aca="false">IF(W301="",0,IF(AA301=1,0,IF(Y301=1,0,X301)))</f>
        <v>0</v>
      </c>
      <c r="AD301" s="30" t="n">
        <f aca="false">IF(AB301=0,0,IF(AB300=AB301,AD300,T301))</f>
        <v>0</v>
      </c>
      <c r="AE301" s="30" t="n">
        <f aca="false">AB301-AB300</f>
        <v>0</v>
      </c>
      <c r="AF301" s="30" t="n">
        <f aca="false">-AD301*AB301</f>
        <v>-0</v>
      </c>
      <c r="AG301" s="30" t="n">
        <f aca="false">AF301-AF300</f>
        <v>0</v>
      </c>
      <c r="AH301" s="30" t="n">
        <f aca="false">MAX(AE301,0)*(Inputs!$B$17+Inputs!$B$18+Inputs!$B$19)+MAX(-AE301,0)*(O301+Inputs!$B$18+Inputs!$B$19)+IF(AND(K301=1,AB301&lt;&gt;0),(Inputs!$B$17+Inputs!$B$18+Inputs!$B$19)+(O301+Inputs!$B$18+Inputs!$B$19),0)+MAX(AG301,0)*(Inputs!$B$20+Inputs!$B$22+Inputs!$B$23)+MAX(-AG301,0)*(Inputs!$B$21+Inputs!$B$22+Inputs!$B$23)</f>
        <v>0</v>
      </c>
      <c r="AI301" s="30" t="n">
        <f aca="false">AB300*(M301-AD300*J301)+AB300*AD300*N301/Inputs!$B$16-AH301</f>
        <v>0</v>
      </c>
      <c r="AJ301" s="30" t="n">
        <f aca="false">MAX(AE301,0)*(Inputs!$B$17+Inputs!$B$24+Inputs!$B$25)+MAX(-AE301,0)*(O301+Inputs!$B$24+Inputs!$B$25)+IF(AND(K301=1,AB301&lt;&gt;0),(Inputs!$B$17+Inputs!$B$24+Inputs!$B$25)+(O301+Inputs!$B$24+Inputs!$B$25),0)+MAX(AG301,0)*(Inputs!$B$20+Inputs!$B$26+Inputs!$B$27)+MAX(-AG301,0)*(Inputs!$B$21+Inputs!$B$26+Inputs!$B$27)</f>
        <v>0</v>
      </c>
      <c r="AK301" s="30" t="n">
        <f aca="false">AB300*(M301-AD300*J301)+AB300*AD300*(N301+Inputs!$B$14)/Inputs!$B$16-AJ301</f>
        <v>0</v>
      </c>
      <c r="AL301" s="30" t="n">
        <f aca="false">IF(AP300&lt;&gt;0,AQ300+1,0)</f>
        <v>0</v>
      </c>
      <c r="AM301" s="30" t="n">
        <f aca="false">IF(W301="",0,IF(AND(AP300&lt;&gt;0,OR(ABS(W301)&gt;Inputs!$B$7,AL301&gt;=Inputs!$B$8,ABS(W301)&lt;Inputs!$B$6)),1,0))</f>
        <v>0</v>
      </c>
      <c r="AN301" s="30" t="n">
        <f aca="false">IF(AM301=1,0,AP300)</f>
        <v>0</v>
      </c>
      <c r="AO301" s="30" t="n">
        <f aca="false">IF(W301="",0,IF(AND(AN301=0,ABS(W301)&gt;Inputs!$B$5,ABS(W301)&lt;=Inputs!$B$7,W301&gt;0),1,0))</f>
        <v>0</v>
      </c>
      <c r="AP301" s="30" t="n">
        <f aca="false">IF(W301="",0,IF(AO301=1,-SIGN(W301),AN301))</f>
        <v>0</v>
      </c>
      <c r="AQ301" s="30" t="n">
        <f aca="false">IF(W301="",0,IF(AO301=1,0,IF(AM301=1,0,AL301)))</f>
        <v>0</v>
      </c>
      <c r="AR301" s="30" t="n">
        <f aca="false">IF(AP301=0,0,IF(AP300=AP301,AR300,T301))</f>
        <v>0</v>
      </c>
      <c r="AS301" s="30" t="n">
        <f aca="false">AP301-AP300</f>
        <v>0</v>
      </c>
      <c r="AT301" s="30" t="n">
        <f aca="false">-AR301*AP301</f>
        <v>-0</v>
      </c>
      <c r="AU301" s="30" t="n">
        <f aca="false">AT301-AT300</f>
        <v>0</v>
      </c>
      <c r="AV301" s="30" t="n">
        <f aca="false">MAX(AS301,0)*(Inputs!$B$17+Inputs!$B$18+Inputs!$B$19)+MAX(-AS301,0)*(O301+Inputs!$B$18+Inputs!$B$19)+IF(AND(K301=1,AP301&lt;&gt;0),(Inputs!$B$17+Inputs!$B$18+Inputs!$B$19)+(O301+Inputs!$B$18+Inputs!$B$19),0)+MAX(AU301,0)*(Inputs!$B$20+Inputs!$B$22+Inputs!$B$23)+MAX(-AU301,0)*(Inputs!$B$21+Inputs!$B$22+Inputs!$B$23)</f>
        <v>0</v>
      </c>
      <c r="AW301" s="30" t="n">
        <f aca="false">AP300*(M301-AR300*J301)+AP300*AR300*N301/Inputs!$B$16-AV301</f>
        <v>0</v>
      </c>
      <c r="AX301" s="30" t="n">
        <f aca="false">AW301-IF(AP300&lt;&gt;0,0.75*AR300*(Inputs!$B$13-N301)/Inputs!$B$16,0)</f>
        <v>0</v>
      </c>
      <c r="AY301" s="30" t="n">
        <f aca="false">MAX(AS301,0)*(Inputs!$B$17+Inputs!$B$18+Inputs!$B$19)+MAX(-AS301,0)*(O301+Inputs!$B$18+Inputs!$B$19)+IF(AND(K301=1,AP301&lt;&gt;0),(Inputs!$B$17+Inputs!$B$18+Inputs!$B$19)+(O301+Inputs!$B$18+Inputs!$B$19),0)</f>
        <v>0</v>
      </c>
      <c r="AZ301" s="30" t="n">
        <f aca="false">AP300*M301-AY301</f>
        <v>-0</v>
      </c>
      <c r="BA301" s="32" t="n">
        <f aca="false">BA300+AI301</f>
        <v>-0.00574530534633948</v>
      </c>
      <c r="BB301" s="30" t="n">
        <f aca="false">MAX(BB300,BA301)</f>
        <v>0</v>
      </c>
      <c r="BC301" s="32" t="n">
        <f aca="false">BA301-BB301</f>
        <v>-0.00574530534633948</v>
      </c>
      <c r="BD301" s="30" t="n">
        <f aca="false">A302-A301</f>
        <v>1</v>
      </c>
    </row>
    <row r="302" customFormat="false" ht="15" hidden="false" customHeight="false" outlineLevel="0" collapsed="false">
      <c r="A302" s="28" t="n">
        <v>45484</v>
      </c>
      <c r="B302" s="0" t="n">
        <v>24402.25</v>
      </c>
      <c r="C302" s="0" t="n">
        <v>270.8</v>
      </c>
      <c r="D302" s="29" t="n">
        <f aca="false">LN(B302)</f>
        <v>10.1024306201447</v>
      </c>
      <c r="E302" s="29" t="n">
        <f aca="false">LN(C302)</f>
        <v>5.60138054103812</v>
      </c>
      <c r="F302" s="0" t="n">
        <v>297</v>
      </c>
      <c r="G302" s="0" t="n">
        <v>14</v>
      </c>
      <c r="H302" s="29" t="n">
        <f aca="false">D302-E302</f>
        <v>4.50105007910656</v>
      </c>
      <c r="I302" s="29" t="n">
        <f aca="false">D302-D301</f>
        <v>0.00255425360315975</v>
      </c>
      <c r="J302" s="29" t="n">
        <f aca="false">E302-E301</f>
        <v>0.00077578089928565</v>
      </c>
      <c r="K302" s="0" t="n">
        <v>0</v>
      </c>
      <c r="L302" s="0" t="n">
        <v>0</v>
      </c>
      <c r="M302" s="29" t="n">
        <f aca="false">IF(L302=1,J302-Carry!$B$9/Inputs!$B$16,I302)</f>
        <v>0.00255425360315975</v>
      </c>
      <c r="N302" s="0" t="n">
        <v>0.065</v>
      </c>
      <c r="O302" s="0" t="n">
        <v>0.000125</v>
      </c>
      <c r="P302" s="29" t="n">
        <f aca="false">D302-('2 Hedge ratio'!$B$6+'2 Hedge ratio'!$B$5*E302)</f>
        <v>0.00903593642759226</v>
      </c>
      <c r="Q302" s="29" t="n">
        <f aca="false">D302-('5 Re-specification'!$B$7+'5 Re-specification'!$B$5*E302+'5 Re-specification'!$B$6*F302)</f>
        <v>0.000168049481720445</v>
      </c>
      <c r="R302" s="30" t="n">
        <f aca="false">MIN(F302,Inputs!$B$9)</f>
        <v>250</v>
      </c>
      <c r="S302" s="29" t="n">
        <f aca="true">IF(AND(F302&gt;=1,R302&gt;=Inputs!$B$10),INDEX(LINEST(OFFSET(D302,-R302,0,R302,1),OFFSET(E302,-R302,0,R302,2)),1,1),"")</f>
        <v>-6.27245899491522E-005</v>
      </c>
      <c r="T302" s="29" t="n">
        <f aca="true">IF(AND(F302&gt;=1,R302&gt;=Inputs!$B$10),INDEX(LINEST(OFFSET(D302,-R302,0,R302,1),OFFSET(E302,-R302,0,R302,2)),1,2),"")</f>
        <v>1.0273120587559</v>
      </c>
      <c r="U302" s="29" t="n">
        <f aca="true">IF(AND(F302&gt;=1,R302&gt;=Inputs!$B$10),INDEX(LINEST(OFFSET(D302,-R302,0,R302,1),OFFSET(E302,-R302,0,R302,2)),1,3),"")</f>
        <v>4.3687166847266</v>
      </c>
      <c r="V302" s="29" t="n">
        <f aca="true">IF(AND(F302&gt;=1,R302&gt;=Inputs!$B$10),SQRT(SUMPRODUCT((OFFSET(D302,-R302,0,R302,1)-U302-T302*OFFSET(E302,-R302,0,R302,1)-S302*OFFSET(F302,-R302,0,R302,1))^2)/(R302-3)),"")</f>
        <v>0.00341832247841018</v>
      </c>
      <c r="W302" s="31" t="n">
        <f aca="false">IF(AND(F302&gt;=1,R302&gt;=Inputs!$B$10),(D302-U302-T302*E302-S302*F302)/V302,"")</f>
        <v>-0.591704518486155</v>
      </c>
      <c r="X302" s="30" t="n">
        <f aca="false">IF(AB301&lt;&gt;0,AC301+1,0)</f>
        <v>0</v>
      </c>
      <c r="Y302" s="30" t="n">
        <f aca="false">IF(W302="",0,IF(AND(AB301&lt;&gt;0,OR(ABS(W302)&gt;Inputs!$B$7,X302&gt;=Inputs!$B$8,ABS(W302)&lt;Inputs!$B$6)),1,0))</f>
        <v>0</v>
      </c>
      <c r="Z302" s="30" t="n">
        <f aca="false">IF(Y302=1,0,AB301)</f>
        <v>0</v>
      </c>
      <c r="AA302" s="30" t="n">
        <f aca="false">IF(W302="",0,IF(AND(Z302=0,ABS(W302)&gt;Inputs!$B$5,ABS(W302)&lt;=Inputs!$B$7),1,0))</f>
        <v>0</v>
      </c>
      <c r="AB302" s="30" t="n">
        <f aca="false">IF(W302="",0,IF(AA302=1,-SIGN(W302),Z302))</f>
        <v>0</v>
      </c>
      <c r="AC302" s="30" t="n">
        <f aca="false">IF(W302="",0,IF(AA302=1,0,IF(Y302=1,0,X302)))</f>
        <v>0</v>
      </c>
      <c r="AD302" s="30" t="n">
        <f aca="false">IF(AB302=0,0,IF(AB301=AB302,AD301,T302))</f>
        <v>0</v>
      </c>
      <c r="AE302" s="30" t="n">
        <f aca="false">AB302-AB301</f>
        <v>0</v>
      </c>
      <c r="AF302" s="30" t="n">
        <f aca="false">-AD302*AB302</f>
        <v>-0</v>
      </c>
      <c r="AG302" s="30" t="n">
        <f aca="false">AF302-AF301</f>
        <v>0</v>
      </c>
      <c r="AH302" s="30" t="n">
        <f aca="false">MAX(AE302,0)*(Inputs!$B$17+Inputs!$B$18+Inputs!$B$19)+MAX(-AE302,0)*(O302+Inputs!$B$18+Inputs!$B$19)+IF(AND(K302=1,AB302&lt;&gt;0),(Inputs!$B$17+Inputs!$B$18+Inputs!$B$19)+(O302+Inputs!$B$18+Inputs!$B$19),0)+MAX(AG302,0)*(Inputs!$B$20+Inputs!$B$22+Inputs!$B$23)+MAX(-AG302,0)*(Inputs!$B$21+Inputs!$B$22+Inputs!$B$23)</f>
        <v>0</v>
      </c>
      <c r="AI302" s="30" t="n">
        <f aca="false">AB301*(M302-AD301*J302)+AB301*AD301*N302/Inputs!$B$16-AH302</f>
        <v>0</v>
      </c>
      <c r="AJ302" s="30" t="n">
        <f aca="false">MAX(AE302,0)*(Inputs!$B$17+Inputs!$B$24+Inputs!$B$25)+MAX(-AE302,0)*(O302+Inputs!$B$24+Inputs!$B$25)+IF(AND(K302=1,AB302&lt;&gt;0),(Inputs!$B$17+Inputs!$B$24+Inputs!$B$25)+(O302+Inputs!$B$24+Inputs!$B$25),0)+MAX(AG302,0)*(Inputs!$B$20+Inputs!$B$26+Inputs!$B$27)+MAX(-AG302,0)*(Inputs!$B$21+Inputs!$B$26+Inputs!$B$27)</f>
        <v>0</v>
      </c>
      <c r="AK302" s="30" t="n">
        <f aca="false">AB301*(M302-AD301*J302)+AB301*AD301*(N302+Inputs!$B$14)/Inputs!$B$16-AJ302</f>
        <v>0</v>
      </c>
      <c r="AL302" s="30" t="n">
        <f aca="false">IF(AP301&lt;&gt;0,AQ301+1,0)</f>
        <v>0</v>
      </c>
      <c r="AM302" s="30" t="n">
        <f aca="false">IF(W302="",0,IF(AND(AP301&lt;&gt;0,OR(ABS(W302)&gt;Inputs!$B$7,AL302&gt;=Inputs!$B$8,ABS(W302)&lt;Inputs!$B$6)),1,0))</f>
        <v>0</v>
      </c>
      <c r="AN302" s="30" t="n">
        <f aca="false">IF(AM302=1,0,AP301)</f>
        <v>0</v>
      </c>
      <c r="AO302" s="30" t="n">
        <f aca="false">IF(W302="",0,IF(AND(AN302=0,ABS(W302)&gt;Inputs!$B$5,ABS(W302)&lt;=Inputs!$B$7,W302&gt;0),1,0))</f>
        <v>0</v>
      </c>
      <c r="AP302" s="30" t="n">
        <f aca="false">IF(W302="",0,IF(AO302=1,-SIGN(W302),AN302))</f>
        <v>0</v>
      </c>
      <c r="AQ302" s="30" t="n">
        <f aca="false">IF(W302="",0,IF(AO302=1,0,IF(AM302=1,0,AL302)))</f>
        <v>0</v>
      </c>
      <c r="AR302" s="30" t="n">
        <f aca="false">IF(AP302=0,0,IF(AP301=AP302,AR301,T302))</f>
        <v>0</v>
      </c>
      <c r="AS302" s="30" t="n">
        <f aca="false">AP302-AP301</f>
        <v>0</v>
      </c>
      <c r="AT302" s="30" t="n">
        <f aca="false">-AR302*AP302</f>
        <v>-0</v>
      </c>
      <c r="AU302" s="30" t="n">
        <f aca="false">AT302-AT301</f>
        <v>0</v>
      </c>
      <c r="AV302" s="30" t="n">
        <f aca="false">MAX(AS302,0)*(Inputs!$B$17+Inputs!$B$18+Inputs!$B$19)+MAX(-AS302,0)*(O302+Inputs!$B$18+Inputs!$B$19)+IF(AND(K302=1,AP302&lt;&gt;0),(Inputs!$B$17+Inputs!$B$18+Inputs!$B$19)+(O302+Inputs!$B$18+Inputs!$B$19),0)+MAX(AU302,0)*(Inputs!$B$20+Inputs!$B$22+Inputs!$B$23)+MAX(-AU302,0)*(Inputs!$B$21+Inputs!$B$22+Inputs!$B$23)</f>
        <v>0</v>
      </c>
      <c r="AW302" s="30" t="n">
        <f aca="false">AP301*(M302-AR301*J302)+AP301*AR301*N302/Inputs!$B$16-AV302</f>
        <v>0</v>
      </c>
      <c r="AX302" s="30" t="n">
        <f aca="false">AW302-IF(AP301&lt;&gt;0,0.75*AR301*(Inputs!$B$13-N302)/Inputs!$B$16,0)</f>
        <v>0</v>
      </c>
      <c r="AY302" s="30" t="n">
        <f aca="false">MAX(AS302,0)*(Inputs!$B$17+Inputs!$B$18+Inputs!$B$19)+MAX(-AS302,0)*(O302+Inputs!$B$18+Inputs!$B$19)+IF(AND(K302=1,AP302&lt;&gt;0),(Inputs!$B$17+Inputs!$B$18+Inputs!$B$19)+(O302+Inputs!$B$18+Inputs!$B$19),0)</f>
        <v>0</v>
      </c>
      <c r="AZ302" s="30" t="n">
        <f aca="false">AP301*M302-AY302</f>
        <v>0</v>
      </c>
      <c r="BA302" s="32" t="n">
        <f aca="false">BA301+AI302</f>
        <v>-0.00574530534633948</v>
      </c>
      <c r="BB302" s="30" t="n">
        <f aca="false">MAX(BB301,BA302)</f>
        <v>0</v>
      </c>
      <c r="BC302" s="32" t="n">
        <f aca="false">BA302-BB302</f>
        <v>-0.00574530534633948</v>
      </c>
      <c r="BD302" s="30" t="n">
        <f aca="false">A303-A302</f>
        <v>1</v>
      </c>
    </row>
    <row r="303" customFormat="false" ht="15" hidden="false" customHeight="false" outlineLevel="0" collapsed="false">
      <c r="A303" s="28" t="n">
        <v>45485</v>
      </c>
      <c r="B303" s="0" t="n">
        <v>24529</v>
      </c>
      <c r="C303" s="0" t="n">
        <v>272</v>
      </c>
      <c r="D303" s="29" t="n">
        <f aca="false">LN(B303)</f>
        <v>10.1076113700131</v>
      </c>
      <c r="E303" s="29" t="n">
        <f aca="false">LN(C303)</f>
        <v>5.605802066296</v>
      </c>
      <c r="F303" s="0" t="n">
        <v>298</v>
      </c>
      <c r="G303" s="0" t="n">
        <v>13</v>
      </c>
      <c r="H303" s="29" t="n">
        <f aca="false">D303-E303</f>
        <v>4.50180930371709</v>
      </c>
      <c r="I303" s="29" t="n">
        <f aca="false">D303-D302</f>
        <v>0.00518074986840489</v>
      </c>
      <c r="J303" s="29" t="n">
        <f aca="false">E303-E302</f>
        <v>0.00442152525787787</v>
      </c>
      <c r="K303" s="0" t="n">
        <v>0</v>
      </c>
      <c r="L303" s="0" t="n">
        <v>0</v>
      </c>
      <c r="M303" s="29" t="n">
        <f aca="false">IF(L303=1,J303-Carry!$B$9/Inputs!$B$16,I303)</f>
        <v>0.00518074986840489</v>
      </c>
      <c r="N303" s="0" t="n">
        <v>0.065</v>
      </c>
      <c r="O303" s="0" t="n">
        <v>0.000125</v>
      </c>
      <c r="P303" s="29" t="n">
        <f aca="false">D303-('2 Hedge ratio'!$B$6+'2 Hedge ratio'!$B$5*E303)</f>
        <v>0.0101660086905699</v>
      </c>
      <c r="Q303" s="29" t="n">
        <f aca="false">D303-('5 Re-specification'!$B$7+'5 Re-specification'!$B$5*E303+'5 Re-specification'!$B$6*F303)</f>
        <v>0.000985602842730415</v>
      </c>
      <c r="R303" s="30" t="n">
        <f aca="false">MIN(F303,Inputs!$B$9)</f>
        <v>250</v>
      </c>
      <c r="S303" s="29" t="n">
        <f aca="true">IF(AND(F303&gt;=1,R303&gt;=Inputs!$B$10),INDEX(LINEST(OFFSET(D303,-R303,0,R303,1),OFFSET(E303,-R303,0,R303,2)),1,1),"")</f>
        <v>-6.26954134519329E-005</v>
      </c>
      <c r="T303" s="29" t="n">
        <f aca="true">IF(AND(F303&gt;=1,R303&gt;=Inputs!$B$10),INDEX(LINEST(OFFSET(D303,-R303,0,R303,1),OFFSET(E303,-R303,0,R303,2)),1,2),"")</f>
        <v>1.02701356814682</v>
      </c>
      <c r="U303" s="29" t="n">
        <f aca="true">IF(AND(F303&gt;=1,R303&gt;=Inputs!$B$10),INDEX(LINEST(OFFSET(D303,-R303,0,R303,1),OFFSET(E303,-R303,0,R303,2)),1,3),"")</f>
        <v>4.37033476596163</v>
      </c>
      <c r="V303" s="29" t="n">
        <f aca="true">IF(AND(F303&gt;=1,R303&gt;=Inputs!$B$10),SQRT(SUMPRODUCT((OFFSET(D303,-R303,0,R303,1)-U303-T303*OFFSET(E303,-R303,0,R303,1)-S303*OFFSET(F303,-R303,0,R303,1))^2)/(R303-3)),"")</f>
        <v>0.00342044687670623</v>
      </c>
      <c r="W303" s="31" t="n">
        <f aca="false">IF(AND(F303&gt;=1,R303&gt;=Inputs!$B$10),(D303-U303-T303*E303-S303*F303)/V303,"")</f>
        <v>-0.372742281137047</v>
      </c>
      <c r="X303" s="30" t="n">
        <f aca="false">IF(AB302&lt;&gt;0,AC302+1,0)</f>
        <v>0</v>
      </c>
      <c r="Y303" s="30" t="n">
        <f aca="false">IF(W303="",0,IF(AND(AB302&lt;&gt;0,OR(ABS(W303)&gt;Inputs!$B$7,X303&gt;=Inputs!$B$8,ABS(W303)&lt;Inputs!$B$6)),1,0))</f>
        <v>0</v>
      </c>
      <c r="Z303" s="30" t="n">
        <f aca="false">IF(Y303=1,0,AB302)</f>
        <v>0</v>
      </c>
      <c r="AA303" s="30" t="n">
        <f aca="false">IF(W303="",0,IF(AND(Z303=0,ABS(W303)&gt;Inputs!$B$5,ABS(W303)&lt;=Inputs!$B$7),1,0))</f>
        <v>0</v>
      </c>
      <c r="AB303" s="30" t="n">
        <f aca="false">IF(W303="",0,IF(AA303=1,-SIGN(W303),Z303))</f>
        <v>0</v>
      </c>
      <c r="AC303" s="30" t="n">
        <f aca="false">IF(W303="",0,IF(AA303=1,0,IF(Y303=1,0,X303)))</f>
        <v>0</v>
      </c>
      <c r="AD303" s="30" t="n">
        <f aca="false">IF(AB303=0,0,IF(AB302=AB303,AD302,T303))</f>
        <v>0</v>
      </c>
      <c r="AE303" s="30" t="n">
        <f aca="false">AB303-AB302</f>
        <v>0</v>
      </c>
      <c r="AF303" s="30" t="n">
        <f aca="false">-AD303*AB303</f>
        <v>-0</v>
      </c>
      <c r="AG303" s="30" t="n">
        <f aca="false">AF303-AF302</f>
        <v>0</v>
      </c>
      <c r="AH303" s="30" t="n">
        <f aca="false">MAX(AE303,0)*(Inputs!$B$17+Inputs!$B$18+Inputs!$B$19)+MAX(-AE303,0)*(O303+Inputs!$B$18+Inputs!$B$19)+IF(AND(K303=1,AB303&lt;&gt;0),(Inputs!$B$17+Inputs!$B$18+Inputs!$B$19)+(O303+Inputs!$B$18+Inputs!$B$19),0)+MAX(AG303,0)*(Inputs!$B$20+Inputs!$B$22+Inputs!$B$23)+MAX(-AG303,0)*(Inputs!$B$21+Inputs!$B$22+Inputs!$B$23)</f>
        <v>0</v>
      </c>
      <c r="AI303" s="30" t="n">
        <f aca="false">AB302*(M303-AD302*J303)+AB302*AD302*N303/Inputs!$B$16-AH303</f>
        <v>0</v>
      </c>
      <c r="AJ303" s="30" t="n">
        <f aca="false">MAX(AE303,0)*(Inputs!$B$17+Inputs!$B$24+Inputs!$B$25)+MAX(-AE303,0)*(O303+Inputs!$B$24+Inputs!$B$25)+IF(AND(K303=1,AB303&lt;&gt;0),(Inputs!$B$17+Inputs!$B$24+Inputs!$B$25)+(O303+Inputs!$B$24+Inputs!$B$25),0)+MAX(AG303,0)*(Inputs!$B$20+Inputs!$B$26+Inputs!$B$27)+MAX(-AG303,0)*(Inputs!$B$21+Inputs!$B$26+Inputs!$B$27)</f>
        <v>0</v>
      </c>
      <c r="AK303" s="30" t="n">
        <f aca="false">AB302*(M303-AD302*J303)+AB302*AD302*(N303+Inputs!$B$14)/Inputs!$B$16-AJ303</f>
        <v>0</v>
      </c>
      <c r="AL303" s="30" t="n">
        <f aca="false">IF(AP302&lt;&gt;0,AQ302+1,0)</f>
        <v>0</v>
      </c>
      <c r="AM303" s="30" t="n">
        <f aca="false">IF(W303="",0,IF(AND(AP302&lt;&gt;0,OR(ABS(W303)&gt;Inputs!$B$7,AL303&gt;=Inputs!$B$8,ABS(W303)&lt;Inputs!$B$6)),1,0))</f>
        <v>0</v>
      </c>
      <c r="AN303" s="30" t="n">
        <f aca="false">IF(AM303=1,0,AP302)</f>
        <v>0</v>
      </c>
      <c r="AO303" s="30" t="n">
        <f aca="false">IF(W303="",0,IF(AND(AN303=0,ABS(W303)&gt;Inputs!$B$5,ABS(W303)&lt;=Inputs!$B$7,W303&gt;0),1,0))</f>
        <v>0</v>
      </c>
      <c r="AP303" s="30" t="n">
        <f aca="false">IF(W303="",0,IF(AO303=1,-SIGN(W303),AN303))</f>
        <v>0</v>
      </c>
      <c r="AQ303" s="30" t="n">
        <f aca="false">IF(W303="",0,IF(AO303=1,0,IF(AM303=1,0,AL303)))</f>
        <v>0</v>
      </c>
      <c r="AR303" s="30" t="n">
        <f aca="false">IF(AP303=0,0,IF(AP302=AP303,AR302,T303))</f>
        <v>0</v>
      </c>
      <c r="AS303" s="30" t="n">
        <f aca="false">AP303-AP302</f>
        <v>0</v>
      </c>
      <c r="AT303" s="30" t="n">
        <f aca="false">-AR303*AP303</f>
        <v>-0</v>
      </c>
      <c r="AU303" s="30" t="n">
        <f aca="false">AT303-AT302</f>
        <v>0</v>
      </c>
      <c r="AV303" s="30" t="n">
        <f aca="false">MAX(AS303,0)*(Inputs!$B$17+Inputs!$B$18+Inputs!$B$19)+MAX(-AS303,0)*(O303+Inputs!$B$18+Inputs!$B$19)+IF(AND(K303=1,AP303&lt;&gt;0),(Inputs!$B$17+Inputs!$B$18+Inputs!$B$19)+(O303+Inputs!$B$18+Inputs!$B$19),0)+MAX(AU303,0)*(Inputs!$B$20+Inputs!$B$22+Inputs!$B$23)+MAX(-AU303,0)*(Inputs!$B$21+Inputs!$B$22+Inputs!$B$23)</f>
        <v>0</v>
      </c>
      <c r="AW303" s="30" t="n">
        <f aca="false">AP302*(M303-AR302*J303)+AP302*AR302*N303/Inputs!$B$16-AV303</f>
        <v>0</v>
      </c>
      <c r="AX303" s="30" t="n">
        <f aca="false">AW303-IF(AP302&lt;&gt;0,0.75*AR302*(Inputs!$B$13-N303)/Inputs!$B$16,0)</f>
        <v>0</v>
      </c>
      <c r="AY303" s="30" t="n">
        <f aca="false">MAX(AS303,0)*(Inputs!$B$17+Inputs!$B$18+Inputs!$B$19)+MAX(-AS303,0)*(O303+Inputs!$B$18+Inputs!$B$19)+IF(AND(K303=1,AP303&lt;&gt;0),(Inputs!$B$17+Inputs!$B$18+Inputs!$B$19)+(O303+Inputs!$B$18+Inputs!$B$19),0)</f>
        <v>0</v>
      </c>
      <c r="AZ303" s="30" t="n">
        <f aca="false">AP302*M303-AY303</f>
        <v>0</v>
      </c>
      <c r="BA303" s="32" t="n">
        <f aca="false">BA302+AI303</f>
        <v>-0.00574530534633948</v>
      </c>
      <c r="BB303" s="30" t="n">
        <f aca="false">MAX(BB302,BA303)</f>
        <v>0</v>
      </c>
      <c r="BC303" s="32" t="n">
        <f aca="false">BA303-BB303</f>
        <v>-0.00574530534633948</v>
      </c>
      <c r="BD303" s="30" t="n">
        <f aca="false">A304-A303</f>
        <v>3</v>
      </c>
    </row>
    <row r="304" customFormat="false" ht="15" hidden="false" customHeight="false" outlineLevel="0" collapsed="false">
      <c r="A304" s="28" t="n">
        <v>45488</v>
      </c>
      <c r="B304" s="0" t="n">
        <v>24623.95</v>
      </c>
      <c r="C304" s="0" t="n">
        <v>273.18</v>
      </c>
      <c r="D304" s="29" t="n">
        <f aca="false">LN(B304)</f>
        <v>10.1114748255373</v>
      </c>
      <c r="E304" s="29" t="n">
        <f aca="false">LN(C304)</f>
        <v>5.61013091857475</v>
      </c>
      <c r="F304" s="0" t="n">
        <v>299</v>
      </c>
      <c r="G304" s="0" t="n">
        <v>10</v>
      </c>
      <c r="H304" s="29" t="n">
        <f aca="false">D304-E304</f>
        <v>4.50134390696254</v>
      </c>
      <c r="I304" s="29" t="n">
        <f aca="false">D304-D303</f>
        <v>0.00386345552420408</v>
      </c>
      <c r="J304" s="29" t="n">
        <f aca="false">E304-E303</f>
        <v>0.00432885227874813</v>
      </c>
      <c r="K304" s="0" t="n">
        <v>0</v>
      </c>
      <c r="L304" s="0" t="n">
        <v>0</v>
      </c>
      <c r="M304" s="29" t="n">
        <f aca="false">IF(L304=1,J304-Carry!$B$9/Inputs!$B$16,I304)</f>
        <v>0.00386345552420408</v>
      </c>
      <c r="N304" s="0" t="n">
        <v>0.065</v>
      </c>
      <c r="O304" s="0" t="n">
        <v>0.000125</v>
      </c>
      <c r="P304" s="29" t="n">
        <f aca="false">D304-('2 Hedge ratio'!$B$6+'2 Hedge ratio'!$B$5*E304)</f>
        <v>0.0100636868053865</v>
      </c>
      <c r="Q304" s="29" t="n">
        <f aca="false">D304-('5 Re-specification'!$B$7+'5 Re-specification'!$B$5*E304+'5 Re-specification'!$B$6*F304)</f>
        <v>0.000578253993205991</v>
      </c>
      <c r="R304" s="30" t="n">
        <f aca="false">MIN(F304,Inputs!$B$9)</f>
        <v>250</v>
      </c>
      <c r="S304" s="29" t="n">
        <f aca="true">IF(AND(F304&gt;=1,R304&gt;=Inputs!$B$10),INDEX(LINEST(OFFSET(D304,-R304,0,R304,1),OFFSET(E304,-R304,0,R304,2)),1,1),"")</f>
        <v>-6.19534666165935E-005</v>
      </c>
      <c r="T304" s="29" t="n">
        <f aca="true">IF(AND(F304&gt;=1,R304&gt;=Inputs!$B$10),INDEX(LINEST(OFFSET(D304,-R304,0,R304,1),OFFSET(E304,-R304,0,R304,2)),1,2),"")</f>
        <v>1.02633820044521</v>
      </c>
      <c r="U304" s="29" t="n">
        <f aca="true">IF(AND(F304&gt;=1,R304&gt;=Inputs!$B$10),INDEX(LINEST(OFFSET(D304,-R304,0,R304,1),OFFSET(E304,-R304,0,R304,2)),1,3),"")</f>
        <v>4.37387757147071</v>
      </c>
      <c r="V304" s="29" t="n">
        <f aca="true">IF(AND(F304&gt;=1,R304&gt;=Inputs!$B$10),SQRT(SUMPRODUCT((OFFSET(D304,-R304,0,R304,1)-U304-T304*OFFSET(E304,-R304,0,R304,1)-S304*OFFSET(F304,-R304,0,R304,1))^2)/(R304-3)),"")</f>
        <v>0.00341827684531098</v>
      </c>
      <c r="W304" s="31" t="n">
        <f aca="false">IF(AND(F304&gt;=1,R304&gt;=Inputs!$B$10),(D304-U304-T304*E304-S304*F304)/V304,"")</f>
        <v>-0.517901482880534</v>
      </c>
      <c r="X304" s="30" t="n">
        <f aca="false">IF(AB303&lt;&gt;0,AC303+1,0)</f>
        <v>0</v>
      </c>
      <c r="Y304" s="30" t="n">
        <f aca="false">IF(W304="",0,IF(AND(AB303&lt;&gt;0,OR(ABS(W304)&gt;Inputs!$B$7,X304&gt;=Inputs!$B$8,ABS(W304)&lt;Inputs!$B$6)),1,0))</f>
        <v>0</v>
      </c>
      <c r="Z304" s="30" t="n">
        <f aca="false">IF(Y304=1,0,AB303)</f>
        <v>0</v>
      </c>
      <c r="AA304" s="30" t="n">
        <f aca="false">IF(W304="",0,IF(AND(Z304=0,ABS(W304)&gt;Inputs!$B$5,ABS(W304)&lt;=Inputs!$B$7),1,0))</f>
        <v>0</v>
      </c>
      <c r="AB304" s="30" t="n">
        <f aca="false">IF(W304="",0,IF(AA304=1,-SIGN(W304),Z304))</f>
        <v>0</v>
      </c>
      <c r="AC304" s="30" t="n">
        <f aca="false">IF(W304="",0,IF(AA304=1,0,IF(Y304=1,0,X304)))</f>
        <v>0</v>
      </c>
      <c r="AD304" s="30" t="n">
        <f aca="false">IF(AB304=0,0,IF(AB303=AB304,AD303,T304))</f>
        <v>0</v>
      </c>
      <c r="AE304" s="30" t="n">
        <f aca="false">AB304-AB303</f>
        <v>0</v>
      </c>
      <c r="AF304" s="30" t="n">
        <f aca="false">-AD304*AB304</f>
        <v>-0</v>
      </c>
      <c r="AG304" s="30" t="n">
        <f aca="false">AF304-AF303</f>
        <v>0</v>
      </c>
      <c r="AH304" s="30" t="n">
        <f aca="false">MAX(AE304,0)*(Inputs!$B$17+Inputs!$B$18+Inputs!$B$19)+MAX(-AE304,0)*(O304+Inputs!$B$18+Inputs!$B$19)+IF(AND(K304=1,AB304&lt;&gt;0),(Inputs!$B$17+Inputs!$B$18+Inputs!$B$19)+(O304+Inputs!$B$18+Inputs!$B$19),0)+MAX(AG304,0)*(Inputs!$B$20+Inputs!$B$22+Inputs!$B$23)+MAX(-AG304,0)*(Inputs!$B$21+Inputs!$B$22+Inputs!$B$23)</f>
        <v>0</v>
      </c>
      <c r="AI304" s="30" t="n">
        <f aca="false">AB303*(M304-AD303*J304)+AB303*AD303*N304/Inputs!$B$16-AH304</f>
        <v>0</v>
      </c>
      <c r="AJ304" s="30" t="n">
        <f aca="false">MAX(AE304,0)*(Inputs!$B$17+Inputs!$B$24+Inputs!$B$25)+MAX(-AE304,0)*(O304+Inputs!$B$24+Inputs!$B$25)+IF(AND(K304=1,AB304&lt;&gt;0),(Inputs!$B$17+Inputs!$B$24+Inputs!$B$25)+(O304+Inputs!$B$24+Inputs!$B$25),0)+MAX(AG304,0)*(Inputs!$B$20+Inputs!$B$26+Inputs!$B$27)+MAX(-AG304,0)*(Inputs!$B$21+Inputs!$B$26+Inputs!$B$27)</f>
        <v>0</v>
      </c>
      <c r="AK304" s="30" t="n">
        <f aca="false">AB303*(M304-AD303*J304)+AB303*AD303*(N304+Inputs!$B$14)/Inputs!$B$16-AJ304</f>
        <v>0</v>
      </c>
      <c r="AL304" s="30" t="n">
        <f aca="false">IF(AP303&lt;&gt;0,AQ303+1,0)</f>
        <v>0</v>
      </c>
      <c r="AM304" s="30" t="n">
        <f aca="false">IF(W304="",0,IF(AND(AP303&lt;&gt;0,OR(ABS(W304)&gt;Inputs!$B$7,AL304&gt;=Inputs!$B$8,ABS(W304)&lt;Inputs!$B$6)),1,0))</f>
        <v>0</v>
      </c>
      <c r="AN304" s="30" t="n">
        <f aca="false">IF(AM304=1,0,AP303)</f>
        <v>0</v>
      </c>
      <c r="AO304" s="30" t="n">
        <f aca="false">IF(W304="",0,IF(AND(AN304=0,ABS(W304)&gt;Inputs!$B$5,ABS(W304)&lt;=Inputs!$B$7,W304&gt;0),1,0))</f>
        <v>0</v>
      </c>
      <c r="AP304" s="30" t="n">
        <f aca="false">IF(W304="",0,IF(AO304=1,-SIGN(W304),AN304))</f>
        <v>0</v>
      </c>
      <c r="AQ304" s="30" t="n">
        <f aca="false">IF(W304="",0,IF(AO304=1,0,IF(AM304=1,0,AL304)))</f>
        <v>0</v>
      </c>
      <c r="AR304" s="30" t="n">
        <f aca="false">IF(AP304=0,0,IF(AP303=AP304,AR303,T304))</f>
        <v>0</v>
      </c>
      <c r="AS304" s="30" t="n">
        <f aca="false">AP304-AP303</f>
        <v>0</v>
      </c>
      <c r="AT304" s="30" t="n">
        <f aca="false">-AR304*AP304</f>
        <v>-0</v>
      </c>
      <c r="AU304" s="30" t="n">
        <f aca="false">AT304-AT303</f>
        <v>0</v>
      </c>
      <c r="AV304" s="30" t="n">
        <f aca="false">MAX(AS304,0)*(Inputs!$B$17+Inputs!$B$18+Inputs!$B$19)+MAX(-AS304,0)*(O304+Inputs!$B$18+Inputs!$B$19)+IF(AND(K304=1,AP304&lt;&gt;0),(Inputs!$B$17+Inputs!$B$18+Inputs!$B$19)+(O304+Inputs!$B$18+Inputs!$B$19),0)+MAX(AU304,0)*(Inputs!$B$20+Inputs!$B$22+Inputs!$B$23)+MAX(-AU304,0)*(Inputs!$B$21+Inputs!$B$22+Inputs!$B$23)</f>
        <v>0</v>
      </c>
      <c r="AW304" s="30" t="n">
        <f aca="false">AP303*(M304-AR303*J304)+AP303*AR303*N304/Inputs!$B$16-AV304</f>
        <v>0</v>
      </c>
      <c r="AX304" s="30" t="n">
        <f aca="false">AW304-IF(AP303&lt;&gt;0,0.75*AR303*(Inputs!$B$13-N304)/Inputs!$B$16,0)</f>
        <v>0</v>
      </c>
      <c r="AY304" s="30" t="n">
        <f aca="false">MAX(AS304,0)*(Inputs!$B$17+Inputs!$B$18+Inputs!$B$19)+MAX(-AS304,0)*(O304+Inputs!$B$18+Inputs!$B$19)+IF(AND(K304=1,AP304&lt;&gt;0),(Inputs!$B$17+Inputs!$B$18+Inputs!$B$19)+(O304+Inputs!$B$18+Inputs!$B$19),0)</f>
        <v>0</v>
      </c>
      <c r="AZ304" s="30" t="n">
        <f aca="false">AP303*M304-AY304</f>
        <v>0</v>
      </c>
      <c r="BA304" s="32" t="n">
        <f aca="false">BA303+AI304</f>
        <v>-0.00574530534633948</v>
      </c>
      <c r="BB304" s="30" t="n">
        <f aca="false">MAX(BB303,BA304)</f>
        <v>0</v>
      </c>
      <c r="BC304" s="32" t="n">
        <f aca="false">BA304-BB304</f>
        <v>-0.00574530534633948</v>
      </c>
      <c r="BD304" s="30" t="n">
        <f aca="false">A305-A304</f>
        <v>1</v>
      </c>
    </row>
    <row r="305" customFormat="false" ht="15" hidden="false" customHeight="false" outlineLevel="0" collapsed="false">
      <c r="A305" s="28" t="n">
        <v>45489</v>
      </c>
      <c r="B305" s="0" t="n">
        <v>24640</v>
      </c>
      <c r="C305" s="0" t="n">
        <v>273.68</v>
      </c>
      <c r="D305" s="29" t="n">
        <f aca="false">LN(B305)</f>
        <v>10.1121264176475</v>
      </c>
      <c r="E305" s="29" t="n">
        <f aca="false">LN(C305)</f>
        <v>5.61195954066935</v>
      </c>
      <c r="F305" s="0" t="n">
        <v>300</v>
      </c>
      <c r="G305" s="0" t="n">
        <v>9</v>
      </c>
      <c r="H305" s="29" t="n">
        <f aca="false">D305-E305</f>
        <v>4.50016687697811</v>
      </c>
      <c r="I305" s="29" t="n">
        <f aca="false">D305-D304</f>
        <v>0.000651592110168409</v>
      </c>
      <c r="J305" s="29" t="n">
        <f aca="false">E305-E304</f>
        <v>0.00182862209460311</v>
      </c>
      <c r="K305" s="0" t="n">
        <v>0</v>
      </c>
      <c r="L305" s="0" t="n">
        <v>0</v>
      </c>
      <c r="M305" s="29" t="n">
        <f aca="false">IF(L305=1,J305-Carry!$B$9/Inputs!$B$16,I305)</f>
        <v>0.000651592110168409</v>
      </c>
      <c r="N305" s="0" t="n">
        <v>0.065</v>
      </c>
      <c r="O305" s="0" t="n">
        <v>0.000125</v>
      </c>
      <c r="P305" s="29" t="n">
        <f aca="false">D305-('2 Hedge ratio'!$B$6+'2 Hedge ratio'!$B$5*E305)</f>
        <v>0.00904002928213998</v>
      </c>
      <c r="Q305" s="29" t="n">
        <f aca="false">D305-('5 Re-specification'!$B$7+'5 Re-specification'!$B$5*E305+'5 Re-specification'!$B$6*F305)</f>
        <v>-0.000548305033834851</v>
      </c>
      <c r="R305" s="30" t="n">
        <f aca="false">MIN(F305,Inputs!$B$9)</f>
        <v>250</v>
      </c>
      <c r="S305" s="29" t="n">
        <f aca="true">IF(AND(F305&gt;=1,R305&gt;=Inputs!$B$10),INDEX(LINEST(OFFSET(D305,-R305,0,R305,1),OFFSET(E305,-R305,0,R305,2)),1,1),"")</f>
        <v>-6.09632288017634E-005</v>
      </c>
      <c r="T305" s="29" t="n">
        <f aca="true">IF(AND(F305&gt;=1,R305&gt;=Inputs!$B$10),INDEX(LINEST(OFFSET(D305,-R305,0,R305,1),OFFSET(E305,-R305,0,R305,2)),1,2),"")</f>
        <v>1.02538866506465</v>
      </c>
      <c r="U305" s="29" t="n">
        <f aca="true">IF(AND(F305&gt;=1,R305&gt;=Inputs!$B$10),INDEX(LINEST(OFFSET(D305,-R305,0,R305,1),OFFSET(E305,-R305,0,R305,2)),1,3),"")</f>
        <v>4.37887030708282</v>
      </c>
      <c r="V305" s="29" t="n">
        <f aca="true">IF(AND(F305&gt;=1,R305&gt;=Inputs!$B$10),SQRT(SUMPRODUCT((OFFSET(D305,-R305,0,R305,1)-U305-T305*OFFSET(E305,-R305,0,R305,1)-S305*OFFSET(F305,-R305,0,R305,1))^2)/(R305-3)),"")</f>
        <v>0.00341610133752904</v>
      </c>
      <c r="W305" s="31" t="n">
        <f aca="false">IF(AND(F305&gt;=1,R305&gt;=Inputs!$B$10),(D305-U305-T305*E305-S305*F305)/V305,"")</f>
        <v>-0.84734681808549</v>
      </c>
      <c r="X305" s="30" t="n">
        <f aca="false">IF(AB304&lt;&gt;0,AC304+1,0)</f>
        <v>0</v>
      </c>
      <c r="Y305" s="30" t="n">
        <f aca="false">IF(W305="",0,IF(AND(AB304&lt;&gt;0,OR(ABS(W305)&gt;Inputs!$B$7,X305&gt;=Inputs!$B$8,ABS(W305)&lt;Inputs!$B$6)),1,0))</f>
        <v>0</v>
      </c>
      <c r="Z305" s="30" t="n">
        <f aca="false">IF(Y305=1,0,AB304)</f>
        <v>0</v>
      </c>
      <c r="AA305" s="30" t="n">
        <f aca="false">IF(W305="",0,IF(AND(Z305=0,ABS(W305)&gt;Inputs!$B$5,ABS(W305)&lt;=Inputs!$B$7),1,0))</f>
        <v>0</v>
      </c>
      <c r="AB305" s="30" t="n">
        <f aca="false">IF(W305="",0,IF(AA305=1,-SIGN(W305),Z305))</f>
        <v>0</v>
      </c>
      <c r="AC305" s="30" t="n">
        <f aca="false">IF(W305="",0,IF(AA305=1,0,IF(Y305=1,0,X305)))</f>
        <v>0</v>
      </c>
      <c r="AD305" s="30" t="n">
        <f aca="false">IF(AB305=0,0,IF(AB304=AB305,AD304,T305))</f>
        <v>0</v>
      </c>
      <c r="AE305" s="30" t="n">
        <f aca="false">AB305-AB304</f>
        <v>0</v>
      </c>
      <c r="AF305" s="30" t="n">
        <f aca="false">-AD305*AB305</f>
        <v>-0</v>
      </c>
      <c r="AG305" s="30" t="n">
        <f aca="false">AF305-AF304</f>
        <v>0</v>
      </c>
      <c r="AH305" s="30" t="n">
        <f aca="false">MAX(AE305,0)*(Inputs!$B$17+Inputs!$B$18+Inputs!$B$19)+MAX(-AE305,0)*(O305+Inputs!$B$18+Inputs!$B$19)+IF(AND(K305=1,AB305&lt;&gt;0),(Inputs!$B$17+Inputs!$B$18+Inputs!$B$19)+(O305+Inputs!$B$18+Inputs!$B$19),0)+MAX(AG305,0)*(Inputs!$B$20+Inputs!$B$22+Inputs!$B$23)+MAX(-AG305,0)*(Inputs!$B$21+Inputs!$B$22+Inputs!$B$23)</f>
        <v>0</v>
      </c>
      <c r="AI305" s="30" t="n">
        <f aca="false">AB304*(M305-AD304*J305)+AB304*AD304*N305/Inputs!$B$16-AH305</f>
        <v>0</v>
      </c>
      <c r="AJ305" s="30" t="n">
        <f aca="false">MAX(AE305,0)*(Inputs!$B$17+Inputs!$B$24+Inputs!$B$25)+MAX(-AE305,0)*(O305+Inputs!$B$24+Inputs!$B$25)+IF(AND(K305=1,AB305&lt;&gt;0),(Inputs!$B$17+Inputs!$B$24+Inputs!$B$25)+(O305+Inputs!$B$24+Inputs!$B$25),0)+MAX(AG305,0)*(Inputs!$B$20+Inputs!$B$26+Inputs!$B$27)+MAX(-AG305,0)*(Inputs!$B$21+Inputs!$B$26+Inputs!$B$27)</f>
        <v>0</v>
      </c>
      <c r="AK305" s="30" t="n">
        <f aca="false">AB304*(M305-AD304*J305)+AB304*AD304*(N305+Inputs!$B$14)/Inputs!$B$16-AJ305</f>
        <v>0</v>
      </c>
      <c r="AL305" s="30" t="n">
        <f aca="false">IF(AP304&lt;&gt;0,AQ304+1,0)</f>
        <v>0</v>
      </c>
      <c r="AM305" s="30" t="n">
        <f aca="false">IF(W305="",0,IF(AND(AP304&lt;&gt;0,OR(ABS(W305)&gt;Inputs!$B$7,AL305&gt;=Inputs!$B$8,ABS(W305)&lt;Inputs!$B$6)),1,0))</f>
        <v>0</v>
      </c>
      <c r="AN305" s="30" t="n">
        <f aca="false">IF(AM305=1,0,AP304)</f>
        <v>0</v>
      </c>
      <c r="AO305" s="30" t="n">
        <f aca="false">IF(W305="",0,IF(AND(AN305=0,ABS(W305)&gt;Inputs!$B$5,ABS(W305)&lt;=Inputs!$B$7,W305&gt;0),1,0))</f>
        <v>0</v>
      </c>
      <c r="AP305" s="30" t="n">
        <f aca="false">IF(W305="",0,IF(AO305=1,-SIGN(W305),AN305))</f>
        <v>0</v>
      </c>
      <c r="AQ305" s="30" t="n">
        <f aca="false">IF(W305="",0,IF(AO305=1,0,IF(AM305=1,0,AL305)))</f>
        <v>0</v>
      </c>
      <c r="AR305" s="30" t="n">
        <f aca="false">IF(AP305=0,0,IF(AP304=AP305,AR304,T305))</f>
        <v>0</v>
      </c>
      <c r="AS305" s="30" t="n">
        <f aca="false">AP305-AP304</f>
        <v>0</v>
      </c>
      <c r="AT305" s="30" t="n">
        <f aca="false">-AR305*AP305</f>
        <v>-0</v>
      </c>
      <c r="AU305" s="30" t="n">
        <f aca="false">AT305-AT304</f>
        <v>0</v>
      </c>
      <c r="AV305" s="30" t="n">
        <f aca="false">MAX(AS305,0)*(Inputs!$B$17+Inputs!$B$18+Inputs!$B$19)+MAX(-AS305,0)*(O305+Inputs!$B$18+Inputs!$B$19)+IF(AND(K305=1,AP305&lt;&gt;0),(Inputs!$B$17+Inputs!$B$18+Inputs!$B$19)+(O305+Inputs!$B$18+Inputs!$B$19),0)+MAX(AU305,0)*(Inputs!$B$20+Inputs!$B$22+Inputs!$B$23)+MAX(-AU305,0)*(Inputs!$B$21+Inputs!$B$22+Inputs!$B$23)</f>
        <v>0</v>
      </c>
      <c r="AW305" s="30" t="n">
        <f aca="false">AP304*(M305-AR304*J305)+AP304*AR304*N305/Inputs!$B$16-AV305</f>
        <v>0</v>
      </c>
      <c r="AX305" s="30" t="n">
        <f aca="false">AW305-IF(AP304&lt;&gt;0,0.75*AR304*(Inputs!$B$13-N305)/Inputs!$B$16,0)</f>
        <v>0</v>
      </c>
      <c r="AY305" s="30" t="n">
        <f aca="false">MAX(AS305,0)*(Inputs!$B$17+Inputs!$B$18+Inputs!$B$19)+MAX(-AS305,0)*(O305+Inputs!$B$18+Inputs!$B$19)+IF(AND(K305=1,AP305&lt;&gt;0),(Inputs!$B$17+Inputs!$B$18+Inputs!$B$19)+(O305+Inputs!$B$18+Inputs!$B$19),0)</f>
        <v>0</v>
      </c>
      <c r="AZ305" s="30" t="n">
        <f aca="false">AP304*M305-AY305</f>
        <v>0</v>
      </c>
      <c r="BA305" s="32" t="n">
        <f aca="false">BA304+AI305</f>
        <v>-0.00574530534633948</v>
      </c>
      <c r="BB305" s="30" t="n">
        <f aca="false">MAX(BB304,BA305)</f>
        <v>0</v>
      </c>
      <c r="BC305" s="32" t="n">
        <f aca="false">BA305-BB305</f>
        <v>-0.00574530534633948</v>
      </c>
      <c r="BD305" s="30" t="n">
        <f aca="false">A306-A305</f>
        <v>2</v>
      </c>
    </row>
    <row r="306" customFormat="false" ht="15" hidden="false" customHeight="false" outlineLevel="0" collapsed="false">
      <c r="A306" s="28" t="n">
        <v>45491</v>
      </c>
      <c r="B306" s="0" t="n">
        <v>24808</v>
      </c>
      <c r="C306" s="0" t="n">
        <v>275.4</v>
      </c>
      <c r="D306" s="29" t="n">
        <f aca="false">LN(B306)</f>
        <v>10.1189214607803</v>
      </c>
      <c r="E306" s="29" t="n">
        <f aca="false">LN(C306)</f>
        <v>5.61822458629456</v>
      </c>
      <c r="F306" s="0" t="n">
        <v>301</v>
      </c>
      <c r="G306" s="0" t="n">
        <v>7</v>
      </c>
      <c r="H306" s="29" t="n">
        <f aca="false">D306-E306</f>
        <v>4.50069687448573</v>
      </c>
      <c r="I306" s="29" t="n">
        <f aca="false">D306-D305</f>
        <v>0.00679504313282919</v>
      </c>
      <c r="J306" s="29" t="n">
        <f aca="false">E306-E305</f>
        <v>0.0062650456252058</v>
      </c>
      <c r="K306" s="0" t="n">
        <v>0</v>
      </c>
      <c r="L306" s="0" t="n">
        <v>0</v>
      </c>
      <c r="M306" s="29" t="n">
        <f aca="false">IF(L306=1,J306-Carry!$B$9/Inputs!$B$16,I306)</f>
        <v>0.00679504313282919</v>
      </c>
      <c r="N306" s="0" t="n">
        <v>0.065</v>
      </c>
      <c r="O306" s="0" t="n">
        <v>0.000125</v>
      </c>
      <c r="P306" s="29" t="n">
        <f aca="false">D306-('2 Hedge ratio'!$B$6+'2 Hedge ratio'!$B$5*E306)</f>
        <v>0.0100954964698161</v>
      </c>
      <c r="Q306" s="29" t="n">
        <f aca="false">D306-('5 Re-specification'!$B$7+'5 Re-specification'!$B$5*E306+'5 Re-specification'!$B$6*F306)</f>
        <v>4.56080127850811E-005</v>
      </c>
      <c r="R306" s="30" t="n">
        <f aca="false">MIN(F306,Inputs!$B$9)</f>
        <v>250</v>
      </c>
      <c r="S306" s="29" t="n">
        <f aca="true">IF(AND(F306&gt;=1,R306&gt;=Inputs!$B$10),INDEX(LINEST(OFFSET(D306,-R306,0,R306,1),OFFSET(E306,-R306,0,R306,2)),1,1),"")</f>
        <v>-6.02435550931239E-005</v>
      </c>
      <c r="T306" s="29" t="n">
        <f aca="true">IF(AND(F306&gt;=1,R306&gt;=Inputs!$B$10),INDEX(LINEST(OFFSET(D306,-R306,0,R306,1),OFFSET(E306,-R306,0,R306,2)),1,2),"")</f>
        <v>1.02446894823556</v>
      </c>
      <c r="U306" s="29" t="n">
        <f aca="true">IF(AND(F306&gt;=1,R306&gt;=Inputs!$B$10),INDEX(LINEST(OFFSET(D306,-R306,0,R306,1),OFFSET(E306,-R306,0,R306,2)),1,3),"")</f>
        <v>4.38374898381838</v>
      </c>
      <c r="V306" s="29" t="n">
        <f aca="true">IF(AND(F306&gt;=1,R306&gt;=Inputs!$B$10),SQRT(SUMPRODUCT((OFFSET(D306,-R306,0,R306,1)-U306-T306*OFFSET(E306,-R306,0,R306,1)-S306*OFFSET(F306,-R306,0,R306,1))^2)/(R306-3)),"")</f>
        <v>0.0034201904785255</v>
      </c>
      <c r="W306" s="31" t="n">
        <f aca="false">IF(AND(F306&gt;=1,R306&gt;=Inputs!$B$10),(D306-U306-T306*E306-S306*F306)/V306,"")</f>
        <v>-0.699038794017008</v>
      </c>
      <c r="X306" s="30" t="n">
        <f aca="false">IF(AB305&lt;&gt;0,AC305+1,0)</f>
        <v>0</v>
      </c>
      <c r="Y306" s="30" t="n">
        <f aca="false">IF(W306="",0,IF(AND(AB305&lt;&gt;0,OR(ABS(W306)&gt;Inputs!$B$7,X306&gt;=Inputs!$B$8,ABS(W306)&lt;Inputs!$B$6)),1,0))</f>
        <v>0</v>
      </c>
      <c r="Z306" s="30" t="n">
        <f aca="false">IF(Y306=1,0,AB305)</f>
        <v>0</v>
      </c>
      <c r="AA306" s="30" t="n">
        <f aca="false">IF(W306="",0,IF(AND(Z306=0,ABS(W306)&gt;Inputs!$B$5,ABS(W306)&lt;=Inputs!$B$7),1,0))</f>
        <v>0</v>
      </c>
      <c r="AB306" s="30" t="n">
        <f aca="false">IF(W306="",0,IF(AA306=1,-SIGN(W306),Z306))</f>
        <v>0</v>
      </c>
      <c r="AC306" s="30" t="n">
        <f aca="false">IF(W306="",0,IF(AA306=1,0,IF(Y306=1,0,X306)))</f>
        <v>0</v>
      </c>
      <c r="AD306" s="30" t="n">
        <f aca="false">IF(AB306=0,0,IF(AB305=AB306,AD305,T306))</f>
        <v>0</v>
      </c>
      <c r="AE306" s="30" t="n">
        <f aca="false">AB306-AB305</f>
        <v>0</v>
      </c>
      <c r="AF306" s="30" t="n">
        <f aca="false">-AD306*AB306</f>
        <v>-0</v>
      </c>
      <c r="AG306" s="30" t="n">
        <f aca="false">AF306-AF305</f>
        <v>0</v>
      </c>
      <c r="AH306" s="30" t="n">
        <f aca="false">MAX(AE306,0)*(Inputs!$B$17+Inputs!$B$18+Inputs!$B$19)+MAX(-AE306,0)*(O306+Inputs!$B$18+Inputs!$B$19)+IF(AND(K306=1,AB306&lt;&gt;0),(Inputs!$B$17+Inputs!$B$18+Inputs!$B$19)+(O306+Inputs!$B$18+Inputs!$B$19),0)+MAX(AG306,0)*(Inputs!$B$20+Inputs!$B$22+Inputs!$B$23)+MAX(-AG306,0)*(Inputs!$B$21+Inputs!$B$22+Inputs!$B$23)</f>
        <v>0</v>
      </c>
      <c r="AI306" s="30" t="n">
        <f aca="false">AB305*(M306-AD305*J306)+AB305*AD305*N306/Inputs!$B$16-AH306</f>
        <v>0</v>
      </c>
      <c r="AJ306" s="30" t="n">
        <f aca="false">MAX(AE306,0)*(Inputs!$B$17+Inputs!$B$24+Inputs!$B$25)+MAX(-AE306,0)*(O306+Inputs!$B$24+Inputs!$B$25)+IF(AND(K306=1,AB306&lt;&gt;0),(Inputs!$B$17+Inputs!$B$24+Inputs!$B$25)+(O306+Inputs!$B$24+Inputs!$B$25),0)+MAX(AG306,0)*(Inputs!$B$20+Inputs!$B$26+Inputs!$B$27)+MAX(-AG306,0)*(Inputs!$B$21+Inputs!$B$26+Inputs!$B$27)</f>
        <v>0</v>
      </c>
      <c r="AK306" s="30" t="n">
        <f aca="false">AB305*(M306-AD305*J306)+AB305*AD305*(N306+Inputs!$B$14)/Inputs!$B$16-AJ306</f>
        <v>0</v>
      </c>
      <c r="AL306" s="30" t="n">
        <f aca="false">IF(AP305&lt;&gt;0,AQ305+1,0)</f>
        <v>0</v>
      </c>
      <c r="AM306" s="30" t="n">
        <f aca="false">IF(W306="",0,IF(AND(AP305&lt;&gt;0,OR(ABS(W306)&gt;Inputs!$B$7,AL306&gt;=Inputs!$B$8,ABS(W306)&lt;Inputs!$B$6)),1,0))</f>
        <v>0</v>
      </c>
      <c r="AN306" s="30" t="n">
        <f aca="false">IF(AM306=1,0,AP305)</f>
        <v>0</v>
      </c>
      <c r="AO306" s="30" t="n">
        <f aca="false">IF(W306="",0,IF(AND(AN306=0,ABS(W306)&gt;Inputs!$B$5,ABS(W306)&lt;=Inputs!$B$7,W306&gt;0),1,0))</f>
        <v>0</v>
      </c>
      <c r="AP306" s="30" t="n">
        <f aca="false">IF(W306="",0,IF(AO306=1,-SIGN(W306),AN306))</f>
        <v>0</v>
      </c>
      <c r="AQ306" s="30" t="n">
        <f aca="false">IF(W306="",0,IF(AO306=1,0,IF(AM306=1,0,AL306)))</f>
        <v>0</v>
      </c>
      <c r="AR306" s="30" t="n">
        <f aca="false">IF(AP306=0,0,IF(AP305=AP306,AR305,T306))</f>
        <v>0</v>
      </c>
      <c r="AS306" s="30" t="n">
        <f aca="false">AP306-AP305</f>
        <v>0</v>
      </c>
      <c r="AT306" s="30" t="n">
        <f aca="false">-AR306*AP306</f>
        <v>-0</v>
      </c>
      <c r="AU306" s="30" t="n">
        <f aca="false">AT306-AT305</f>
        <v>0</v>
      </c>
      <c r="AV306" s="30" t="n">
        <f aca="false">MAX(AS306,0)*(Inputs!$B$17+Inputs!$B$18+Inputs!$B$19)+MAX(-AS306,0)*(O306+Inputs!$B$18+Inputs!$B$19)+IF(AND(K306=1,AP306&lt;&gt;0),(Inputs!$B$17+Inputs!$B$18+Inputs!$B$19)+(O306+Inputs!$B$18+Inputs!$B$19),0)+MAX(AU306,0)*(Inputs!$B$20+Inputs!$B$22+Inputs!$B$23)+MAX(-AU306,0)*(Inputs!$B$21+Inputs!$B$22+Inputs!$B$23)</f>
        <v>0</v>
      </c>
      <c r="AW306" s="30" t="n">
        <f aca="false">AP305*(M306-AR305*J306)+AP305*AR305*N306/Inputs!$B$16-AV306</f>
        <v>0</v>
      </c>
      <c r="AX306" s="30" t="n">
        <f aca="false">AW306-IF(AP305&lt;&gt;0,0.75*AR305*(Inputs!$B$13-N306)/Inputs!$B$16,0)</f>
        <v>0</v>
      </c>
      <c r="AY306" s="30" t="n">
        <f aca="false">MAX(AS306,0)*(Inputs!$B$17+Inputs!$B$18+Inputs!$B$19)+MAX(-AS306,0)*(O306+Inputs!$B$18+Inputs!$B$19)+IF(AND(K306=1,AP306&lt;&gt;0),(Inputs!$B$17+Inputs!$B$18+Inputs!$B$19)+(O306+Inputs!$B$18+Inputs!$B$19),0)</f>
        <v>0</v>
      </c>
      <c r="AZ306" s="30" t="n">
        <f aca="false">AP305*M306-AY306</f>
        <v>0</v>
      </c>
      <c r="BA306" s="32" t="n">
        <f aca="false">BA305+AI306</f>
        <v>-0.00574530534633948</v>
      </c>
      <c r="BB306" s="30" t="n">
        <f aca="false">MAX(BB305,BA306)</f>
        <v>0</v>
      </c>
      <c r="BC306" s="32" t="n">
        <f aca="false">BA306-BB306</f>
        <v>-0.00574530534633948</v>
      </c>
      <c r="BD306" s="30" t="n">
        <f aca="false">A307-A306</f>
        <v>1</v>
      </c>
    </row>
    <row r="307" customFormat="false" ht="15" hidden="false" customHeight="false" outlineLevel="0" collapsed="false">
      <c r="A307" s="28" t="n">
        <v>45492</v>
      </c>
      <c r="B307" s="0" t="n">
        <v>24529.15</v>
      </c>
      <c r="C307" s="0" t="n">
        <v>273.2</v>
      </c>
      <c r="D307" s="29" t="n">
        <f aca="false">LN(B307)</f>
        <v>10.107617485205</v>
      </c>
      <c r="E307" s="29" t="n">
        <f aca="false">LN(C307)</f>
        <v>5.61020412769664</v>
      </c>
      <c r="F307" s="0" t="n">
        <v>302</v>
      </c>
      <c r="G307" s="0" t="n">
        <v>6</v>
      </c>
      <c r="H307" s="29" t="n">
        <f aca="false">D307-E307</f>
        <v>4.49741335750832</v>
      </c>
      <c r="I307" s="29" t="n">
        <f aca="false">D307-D306</f>
        <v>-0.0113039755753324</v>
      </c>
      <c r="J307" s="29" t="n">
        <f aca="false">E307-E306</f>
        <v>-0.00802045859791978</v>
      </c>
      <c r="K307" s="0" t="n">
        <v>0</v>
      </c>
      <c r="L307" s="0" t="n">
        <v>0</v>
      </c>
      <c r="M307" s="29" t="n">
        <f aca="false">IF(L307=1,J307-Carry!$B$9/Inputs!$B$16,I307)</f>
        <v>-0.0113039755753324</v>
      </c>
      <c r="N307" s="0" t="n">
        <v>0.065</v>
      </c>
      <c r="O307" s="0" t="n">
        <v>0.000125</v>
      </c>
      <c r="P307" s="29" t="n">
        <f aca="false">D307-('2 Hedge ratio'!$B$6+'2 Hedge ratio'!$B$5*E307)</f>
        <v>0.0061392776374678</v>
      </c>
      <c r="Q307" s="29" t="n">
        <f aca="false">D307-('5 Re-specification'!$B$7+'5 Re-specification'!$B$5*E307+'5 Re-specification'!$B$6*F307)</f>
        <v>-0.00321728564648183</v>
      </c>
      <c r="R307" s="30" t="n">
        <f aca="false">MIN(F307,Inputs!$B$9)</f>
        <v>250</v>
      </c>
      <c r="S307" s="29" t="n">
        <f aca="true">IF(AND(F307&gt;=1,R307&gt;=Inputs!$B$10),INDEX(LINEST(OFFSET(D307,-R307,0,R307,1),OFFSET(E307,-R307,0,R307,2)),1,1),"")</f>
        <v>-5.94422102081667E-005</v>
      </c>
      <c r="T307" s="29" t="n">
        <f aca="true">IF(AND(F307&gt;=1,R307&gt;=Inputs!$B$10),INDEX(LINEST(OFFSET(D307,-R307,0,R307,1),OFFSET(E307,-R307,0,R307,2)),1,2),"")</f>
        <v>1.02354108857222</v>
      </c>
      <c r="U307" s="29" t="n">
        <f aca="true">IF(AND(F307&gt;=1,R307&gt;=Inputs!$B$10),INDEX(LINEST(OFFSET(D307,-R307,0,R307,1),OFFSET(E307,-R307,0,R307,2)),1,3),"")</f>
        <v>4.3886591062637</v>
      </c>
      <c r="V307" s="29" t="n">
        <f aca="true">IF(AND(F307&gt;=1,R307&gt;=Inputs!$B$10),SQRT(SUMPRODUCT((OFFSET(D307,-R307,0,R307,1)-U307-T307*OFFSET(E307,-R307,0,R307,1)-S307*OFFSET(F307,-R307,0,R307,1))^2)/(R307-3)),"")</f>
        <v>0.0034224173064982</v>
      </c>
      <c r="W307" s="31" t="n">
        <f aca="false">IF(AND(F307&gt;=1,R307&gt;=Inputs!$B$10),(D307-U307-T307*E307-S307*F307)/V307,"")</f>
        <v>-1.56746330748989</v>
      </c>
      <c r="X307" s="30" t="n">
        <f aca="false">IF(AB306&lt;&gt;0,AC306+1,0)</f>
        <v>0</v>
      </c>
      <c r="Y307" s="30" t="n">
        <f aca="false">IF(W307="",0,IF(AND(AB306&lt;&gt;0,OR(ABS(W307)&gt;Inputs!$B$7,X307&gt;=Inputs!$B$8,ABS(W307)&lt;Inputs!$B$6)),1,0))</f>
        <v>0</v>
      </c>
      <c r="Z307" s="30" t="n">
        <f aca="false">IF(Y307=1,0,AB306)</f>
        <v>0</v>
      </c>
      <c r="AA307" s="30" t="n">
        <f aca="false">IF(W307="",0,IF(AND(Z307=0,ABS(W307)&gt;Inputs!$B$5,ABS(W307)&lt;=Inputs!$B$7),1,0))</f>
        <v>0</v>
      </c>
      <c r="AB307" s="30" t="n">
        <f aca="false">IF(W307="",0,IF(AA307=1,-SIGN(W307),Z307))</f>
        <v>0</v>
      </c>
      <c r="AC307" s="30" t="n">
        <f aca="false">IF(W307="",0,IF(AA307=1,0,IF(Y307=1,0,X307)))</f>
        <v>0</v>
      </c>
      <c r="AD307" s="30" t="n">
        <f aca="false">IF(AB307=0,0,IF(AB306=AB307,AD306,T307))</f>
        <v>0</v>
      </c>
      <c r="AE307" s="30" t="n">
        <f aca="false">AB307-AB306</f>
        <v>0</v>
      </c>
      <c r="AF307" s="30" t="n">
        <f aca="false">-AD307*AB307</f>
        <v>-0</v>
      </c>
      <c r="AG307" s="30" t="n">
        <f aca="false">AF307-AF306</f>
        <v>0</v>
      </c>
      <c r="AH307" s="30" t="n">
        <f aca="false">MAX(AE307,0)*(Inputs!$B$17+Inputs!$B$18+Inputs!$B$19)+MAX(-AE307,0)*(O307+Inputs!$B$18+Inputs!$B$19)+IF(AND(K307=1,AB307&lt;&gt;0),(Inputs!$B$17+Inputs!$B$18+Inputs!$B$19)+(O307+Inputs!$B$18+Inputs!$B$19),0)+MAX(AG307,0)*(Inputs!$B$20+Inputs!$B$22+Inputs!$B$23)+MAX(-AG307,0)*(Inputs!$B$21+Inputs!$B$22+Inputs!$B$23)</f>
        <v>0</v>
      </c>
      <c r="AI307" s="30" t="n">
        <f aca="false">AB306*(M307-AD306*J307)+AB306*AD306*N307/Inputs!$B$16-AH307</f>
        <v>0</v>
      </c>
      <c r="AJ307" s="30" t="n">
        <f aca="false">MAX(AE307,0)*(Inputs!$B$17+Inputs!$B$24+Inputs!$B$25)+MAX(-AE307,0)*(O307+Inputs!$B$24+Inputs!$B$25)+IF(AND(K307=1,AB307&lt;&gt;0),(Inputs!$B$17+Inputs!$B$24+Inputs!$B$25)+(O307+Inputs!$B$24+Inputs!$B$25),0)+MAX(AG307,0)*(Inputs!$B$20+Inputs!$B$26+Inputs!$B$27)+MAX(-AG307,0)*(Inputs!$B$21+Inputs!$B$26+Inputs!$B$27)</f>
        <v>0</v>
      </c>
      <c r="AK307" s="30" t="n">
        <f aca="false">AB306*(M307-AD306*J307)+AB306*AD306*(N307+Inputs!$B$14)/Inputs!$B$16-AJ307</f>
        <v>0</v>
      </c>
      <c r="AL307" s="30" t="n">
        <f aca="false">IF(AP306&lt;&gt;0,AQ306+1,0)</f>
        <v>0</v>
      </c>
      <c r="AM307" s="30" t="n">
        <f aca="false">IF(W307="",0,IF(AND(AP306&lt;&gt;0,OR(ABS(W307)&gt;Inputs!$B$7,AL307&gt;=Inputs!$B$8,ABS(W307)&lt;Inputs!$B$6)),1,0))</f>
        <v>0</v>
      </c>
      <c r="AN307" s="30" t="n">
        <f aca="false">IF(AM307=1,0,AP306)</f>
        <v>0</v>
      </c>
      <c r="AO307" s="30" t="n">
        <f aca="false">IF(W307="",0,IF(AND(AN307=0,ABS(W307)&gt;Inputs!$B$5,ABS(W307)&lt;=Inputs!$B$7,W307&gt;0),1,0))</f>
        <v>0</v>
      </c>
      <c r="AP307" s="30" t="n">
        <f aca="false">IF(W307="",0,IF(AO307=1,-SIGN(W307),AN307))</f>
        <v>0</v>
      </c>
      <c r="AQ307" s="30" t="n">
        <f aca="false">IF(W307="",0,IF(AO307=1,0,IF(AM307=1,0,AL307)))</f>
        <v>0</v>
      </c>
      <c r="AR307" s="30" t="n">
        <f aca="false">IF(AP307=0,0,IF(AP306=AP307,AR306,T307))</f>
        <v>0</v>
      </c>
      <c r="AS307" s="30" t="n">
        <f aca="false">AP307-AP306</f>
        <v>0</v>
      </c>
      <c r="AT307" s="30" t="n">
        <f aca="false">-AR307*AP307</f>
        <v>-0</v>
      </c>
      <c r="AU307" s="30" t="n">
        <f aca="false">AT307-AT306</f>
        <v>0</v>
      </c>
      <c r="AV307" s="30" t="n">
        <f aca="false">MAX(AS307,0)*(Inputs!$B$17+Inputs!$B$18+Inputs!$B$19)+MAX(-AS307,0)*(O307+Inputs!$B$18+Inputs!$B$19)+IF(AND(K307=1,AP307&lt;&gt;0),(Inputs!$B$17+Inputs!$B$18+Inputs!$B$19)+(O307+Inputs!$B$18+Inputs!$B$19),0)+MAX(AU307,0)*(Inputs!$B$20+Inputs!$B$22+Inputs!$B$23)+MAX(-AU307,0)*(Inputs!$B$21+Inputs!$B$22+Inputs!$B$23)</f>
        <v>0</v>
      </c>
      <c r="AW307" s="30" t="n">
        <f aca="false">AP306*(M307-AR306*J307)+AP306*AR306*N307/Inputs!$B$16-AV307</f>
        <v>0</v>
      </c>
      <c r="AX307" s="30" t="n">
        <f aca="false">AW307-IF(AP306&lt;&gt;0,0.75*AR306*(Inputs!$B$13-N307)/Inputs!$B$16,0)</f>
        <v>0</v>
      </c>
      <c r="AY307" s="30" t="n">
        <f aca="false">MAX(AS307,0)*(Inputs!$B$17+Inputs!$B$18+Inputs!$B$19)+MAX(-AS307,0)*(O307+Inputs!$B$18+Inputs!$B$19)+IF(AND(K307=1,AP307&lt;&gt;0),(Inputs!$B$17+Inputs!$B$18+Inputs!$B$19)+(O307+Inputs!$B$18+Inputs!$B$19),0)</f>
        <v>0</v>
      </c>
      <c r="AZ307" s="30" t="n">
        <f aca="false">AP306*M307-AY307</f>
        <v>-0</v>
      </c>
      <c r="BA307" s="32" t="n">
        <f aca="false">BA306+AI307</f>
        <v>-0.00574530534633948</v>
      </c>
      <c r="BB307" s="30" t="n">
        <f aca="false">MAX(BB306,BA307)</f>
        <v>0</v>
      </c>
      <c r="BC307" s="32" t="n">
        <f aca="false">BA307-BB307</f>
        <v>-0.00574530534633948</v>
      </c>
      <c r="BD307" s="30" t="n">
        <f aca="false">A308-A307</f>
        <v>3</v>
      </c>
    </row>
    <row r="308" customFormat="false" ht="15" hidden="false" customHeight="false" outlineLevel="0" collapsed="false">
      <c r="A308" s="28" t="n">
        <v>45495</v>
      </c>
      <c r="B308" s="0" t="n">
        <v>24517.65</v>
      </c>
      <c r="C308" s="0" t="n">
        <v>272.67</v>
      </c>
      <c r="D308" s="29" t="n">
        <f aca="false">LN(B308)</f>
        <v>10.1071485453267</v>
      </c>
      <c r="E308" s="29" t="n">
        <f aca="false">LN(C308)</f>
        <v>5.60826227279879</v>
      </c>
      <c r="F308" s="0" t="n">
        <v>303</v>
      </c>
      <c r="G308" s="0" t="n">
        <v>3</v>
      </c>
      <c r="H308" s="29" t="n">
        <f aca="false">D308-E308</f>
        <v>4.4988862725279</v>
      </c>
      <c r="I308" s="29" t="n">
        <f aca="false">D308-D307</f>
        <v>-0.000468939878269126</v>
      </c>
      <c r="J308" s="29" t="n">
        <f aca="false">E308-E307</f>
        <v>-0.00194185489784626</v>
      </c>
      <c r="K308" s="0" t="n">
        <v>0</v>
      </c>
      <c r="L308" s="0" t="n">
        <v>0</v>
      </c>
      <c r="M308" s="29" t="n">
        <f aca="false">IF(L308=1,J308-Carry!$B$9/Inputs!$B$16,I308)</f>
        <v>-0.000468939878269126</v>
      </c>
      <c r="N308" s="0" t="n">
        <v>0.065</v>
      </c>
      <c r="O308" s="0" t="n">
        <v>0.000125</v>
      </c>
      <c r="P308" s="29" t="n">
        <f aca="false">D308-('2 Hedge ratio'!$B$6+'2 Hedge ratio'!$B$5*E308)</f>
        <v>0.00744932299368983</v>
      </c>
      <c r="Q308" s="29" t="n">
        <f aca="false">D308-('5 Re-specification'!$B$7+'5 Re-specification'!$B$5*E308+'5 Re-specification'!$B$6*F308)</f>
        <v>-0.00170532610011698</v>
      </c>
      <c r="R308" s="30" t="n">
        <f aca="false">MIN(F308,Inputs!$B$9)</f>
        <v>250</v>
      </c>
      <c r="S308" s="29" t="n">
        <f aca="true">IF(AND(F308&gt;=1,R308&gt;=Inputs!$B$10),INDEX(LINEST(OFFSET(D308,-R308,0,R308,1),OFFSET(E308,-R308,0,R308,2)),1,1),"")</f>
        <v>-5.84114876266709E-005</v>
      </c>
      <c r="T308" s="29" t="n">
        <f aca="true">IF(AND(F308&gt;=1,R308&gt;=Inputs!$B$10),INDEX(LINEST(OFFSET(D308,-R308,0,R308,1),OFFSET(E308,-R308,0,R308,2)),1,2),"")</f>
        <v>1.02209962623917</v>
      </c>
      <c r="U308" s="29" t="n">
        <f aca="true">IF(AND(F308&gt;=1,R308&gt;=Inputs!$B$10),INDEX(LINEST(OFFSET(D308,-R308,0,R308,1),OFFSET(E308,-R308,0,R308,2)),1,3),"")</f>
        <v>4.39632138806588</v>
      </c>
      <c r="V308" s="29" t="n">
        <f aca="true">IF(AND(F308&gt;=1,R308&gt;=Inputs!$B$10),SQRT(SUMPRODUCT((OFFSET(D308,-R308,0,R308,1)-U308-T308*OFFSET(E308,-R308,0,R308,1)-S308*OFFSET(F308,-R308,0,R308,1))^2)/(R308-3)),"")</f>
        <v>0.00343787024992352</v>
      </c>
      <c r="W308" s="31" t="n">
        <f aca="false">IF(AND(F308&gt;=1,R308&gt;=Inputs!$B$10),(D308-U308-T308*E308-S308*F308)/V308,"")</f>
        <v>-1.06953858054431</v>
      </c>
      <c r="X308" s="30" t="n">
        <f aca="false">IF(AB307&lt;&gt;0,AC307+1,0)</f>
        <v>0</v>
      </c>
      <c r="Y308" s="30" t="n">
        <f aca="false">IF(W308="",0,IF(AND(AB307&lt;&gt;0,OR(ABS(W308)&gt;Inputs!$B$7,X308&gt;=Inputs!$B$8,ABS(W308)&lt;Inputs!$B$6)),1,0))</f>
        <v>0</v>
      </c>
      <c r="Z308" s="30" t="n">
        <f aca="false">IF(Y308=1,0,AB307)</f>
        <v>0</v>
      </c>
      <c r="AA308" s="30" t="n">
        <f aca="false">IF(W308="",0,IF(AND(Z308=0,ABS(W308)&gt;Inputs!$B$5,ABS(W308)&lt;=Inputs!$B$7),1,0))</f>
        <v>0</v>
      </c>
      <c r="AB308" s="30" t="n">
        <f aca="false">IF(W308="",0,IF(AA308=1,-SIGN(W308),Z308))</f>
        <v>0</v>
      </c>
      <c r="AC308" s="30" t="n">
        <f aca="false">IF(W308="",0,IF(AA308=1,0,IF(Y308=1,0,X308)))</f>
        <v>0</v>
      </c>
      <c r="AD308" s="30" t="n">
        <f aca="false">IF(AB308=0,0,IF(AB307=AB308,AD307,T308))</f>
        <v>0</v>
      </c>
      <c r="AE308" s="30" t="n">
        <f aca="false">AB308-AB307</f>
        <v>0</v>
      </c>
      <c r="AF308" s="30" t="n">
        <f aca="false">-AD308*AB308</f>
        <v>-0</v>
      </c>
      <c r="AG308" s="30" t="n">
        <f aca="false">AF308-AF307</f>
        <v>0</v>
      </c>
      <c r="AH308" s="30" t="n">
        <f aca="false">MAX(AE308,0)*(Inputs!$B$17+Inputs!$B$18+Inputs!$B$19)+MAX(-AE308,0)*(O308+Inputs!$B$18+Inputs!$B$19)+IF(AND(K308=1,AB308&lt;&gt;0),(Inputs!$B$17+Inputs!$B$18+Inputs!$B$19)+(O308+Inputs!$B$18+Inputs!$B$19),0)+MAX(AG308,0)*(Inputs!$B$20+Inputs!$B$22+Inputs!$B$23)+MAX(-AG308,0)*(Inputs!$B$21+Inputs!$B$22+Inputs!$B$23)</f>
        <v>0</v>
      </c>
      <c r="AI308" s="30" t="n">
        <f aca="false">AB307*(M308-AD307*J308)+AB307*AD307*N308/Inputs!$B$16-AH308</f>
        <v>0</v>
      </c>
      <c r="AJ308" s="30" t="n">
        <f aca="false">MAX(AE308,0)*(Inputs!$B$17+Inputs!$B$24+Inputs!$B$25)+MAX(-AE308,0)*(O308+Inputs!$B$24+Inputs!$B$25)+IF(AND(K308=1,AB308&lt;&gt;0),(Inputs!$B$17+Inputs!$B$24+Inputs!$B$25)+(O308+Inputs!$B$24+Inputs!$B$25),0)+MAX(AG308,0)*(Inputs!$B$20+Inputs!$B$26+Inputs!$B$27)+MAX(-AG308,0)*(Inputs!$B$21+Inputs!$B$26+Inputs!$B$27)</f>
        <v>0</v>
      </c>
      <c r="AK308" s="30" t="n">
        <f aca="false">AB307*(M308-AD307*J308)+AB307*AD307*(N308+Inputs!$B$14)/Inputs!$B$16-AJ308</f>
        <v>0</v>
      </c>
      <c r="AL308" s="30" t="n">
        <f aca="false">IF(AP307&lt;&gt;0,AQ307+1,0)</f>
        <v>0</v>
      </c>
      <c r="AM308" s="30" t="n">
        <f aca="false">IF(W308="",0,IF(AND(AP307&lt;&gt;0,OR(ABS(W308)&gt;Inputs!$B$7,AL308&gt;=Inputs!$B$8,ABS(W308)&lt;Inputs!$B$6)),1,0))</f>
        <v>0</v>
      </c>
      <c r="AN308" s="30" t="n">
        <f aca="false">IF(AM308=1,0,AP307)</f>
        <v>0</v>
      </c>
      <c r="AO308" s="30" t="n">
        <f aca="false">IF(W308="",0,IF(AND(AN308=0,ABS(W308)&gt;Inputs!$B$5,ABS(W308)&lt;=Inputs!$B$7,W308&gt;0),1,0))</f>
        <v>0</v>
      </c>
      <c r="AP308" s="30" t="n">
        <f aca="false">IF(W308="",0,IF(AO308=1,-SIGN(W308),AN308))</f>
        <v>0</v>
      </c>
      <c r="AQ308" s="30" t="n">
        <f aca="false">IF(W308="",0,IF(AO308=1,0,IF(AM308=1,0,AL308)))</f>
        <v>0</v>
      </c>
      <c r="AR308" s="30" t="n">
        <f aca="false">IF(AP308=0,0,IF(AP307=AP308,AR307,T308))</f>
        <v>0</v>
      </c>
      <c r="AS308" s="30" t="n">
        <f aca="false">AP308-AP307</f>
        <v>0</v>
      </c>
      <c r="AT308" s="30" t="n">
        <f aca="false">-AR308*AP308</f>
        <v>-0</v>
      </c>
      <c r="AU308" s="30" t="n">
        <f aca="false">AT308-AT307</f>
        <v>0</v>
      </c>
      <c r="AV308" s="30" t="n">
        <f aca="false">MAX(AS308,0)*(Inputs!$B$17+Inputs!$B$18+Inputs!$B$19)+MAX(-AS308,0)*(O308+Inputs!$B$18+Inputs!$B$19)+IF(AND(K308=1,AP308&lt;&gt;0),(Inputs!$B$17+Inputs!$B$18+Inputs!$B$19)+(O308+Inputs!$B$18+Inputs!$B$19),0)+MAX(AU308,0)*(Inputs!$B$20+Inputs!$B$22+Inputs!$B$23)+MAX(-AU308,0)*(Inputs!$B$21+Inputs!$B$22+Inputs!$B$23)</f>
        <v>0</v>
      </c>
      <c r="AW308" s="30" t="n">
        <f aca="false">AP307*(M308-AR307*J308)+AP307*AR307*N308/Inputs!$B$16-AV308</f>
        <v>0</v>
      </c>
      <c r="AX308" s="30" t="n">
        <f aca="false">AW308-IF(AP307&lt;&gt;0,0.75*AR307*(Inputs!$B$13-N308)/Inputs!$B$16,0)</f>
        <v>0</v>
      </c>
      <c r="AY308" s="30" t="n">
        <f aca="false">MAX(AS308,0)*(Inputs!$B$17+Inputs!$B$18+Inputs!$B$19)+MAX(-AS308,0)*(O308+Inputs!$B$18+Inputs!$B$19)+IF(AND(K308=1,AP308&lt;&gt;0),(Inputs!$B$17+Inputs!$B$18+Inputs!$B$19)+(O308+Inputs!$B$18+Inputs!$B$19),0)</f>
        <v>0</v>
      </c>
      <c r="AZ308" s="30" t="n">
        <f aca="false">AP307*M308-AY308</f>
        <v>-0</v>
      </c>
      <c r="BA308" s="32" t="n">
        <f aca="false">BA307+AI308</f>
        <v>-0.00574530534633948</v>
      </c>
      <c r="BB308" s="30" t="n">
        <f aca="false">MAX(BB307,BA308)</f>
        <v>0</v>
      </c>
      <c r="BC308" s="32" t="n">
        <f aca="false">BA308-BB308</f>
        <v>-0.00574530534633948</v>
      </c>
      <c r="BD308" s="30" t="n">
        <f aca="false">A309-A308</f>
        <v>1</v>
      </c>
    </row>
    <row r="309" customFormat="false" ht="15" hidden="false" customHeight="false" outlineLevel="0" collapsed="false">
      <c r="A309" s="28" t="n">
        <v>45496</v>
      </c>
      <c r="B309" s="0" t="n">
        <v>24453</v>
      </c>
      <c r="C309" s="0" t="n">
        <v>272.55</v>
      </c>
      <c r="D309" s="29" t="n">
        <f aca="false">LN(B309)</f>
        <v>10.1045081867626</v>
      </c>
      <c r="E309" s="29" t="n">
        <f aca="false">LN(C309)</f>
        <v>5.60782208351029</v>
      </c>
      <c r="F309" s="0" t="n">
        <v>304</v>
      </c>
      <c r="G309" s="0" t="n">
        <v>2</v>
      </c>
      <c r="H309" s="29" t="n">
        <f aca="false">D309-E309</f>
        <v>4.49668610325228</v>
      </c>
      <c r="I309" s="29" t="n">
        <f aca="false">D309-D308</f>
        <v>-0.0026403585641166</v>
      </c>
      <c r="J309" s="29" t="n">
        <f aca="false">E309-E308</f>
        <v>-0.000440189288498871</v>
      </c>
      <c r="K309" s="0" t="n">
        <v>0</v>
      </c>
      <c r="L309" s="0" t="n">
        <v>0</v>
      </c>
      <c r="M309" s="29" t="n">
        <f aca="false">IF(L309=1,J309-Carry!$B$9/Inputs!$B$16,I309)</f>
        <v>-0.0026403585641166</v>
      </c>
      <c r="N309" s="0" t="n">
        <v>0.065</v>
      </c>
      <c r="O309" s="0" t="n">
        <v>0.000125</v>
      </c>
      <c r="P309" s="29" t="n">
        <f aca="false">D309-('2 Hedge ratio'!$B$6+'2 Hedge ratio'!$B$5*E309)</f>
        <v>0.00521223361590195</v>
      </c>
      <c r="Q309" s="29" t="n">
        <f aca="false">D309-('5 Re-specification'!$B$7+'5 Re-specification'!$B$5*E309+'5 Re-specification'!$B$6*F309)</f>
        <v>-0.00386190005128562</v>
      </c>
      <c r="R309" s="30" t="n">
        <f aca="false">MIN(F309,Inputs!$B$9)</f>
        <v>250</v>
      </c>
      <c r="S309" s="29" t="n">
        <f aca="true">IF(AND(F309&gt;=1,R309&gt;=Inputs!$B$10),INDEX(LINEST(OFFSET(D309,-R309,0,R309,1),OFFSET(E309,-R309,0,R309,2)),1,1),"")</f>
        <v>-5.82132581983295E-005</v>
      </c>
      <c r="T309" s="29" t="n">
        <f aca="true">IF(AND(F309&gt;=1,R309&gt;=Inputs!$B$10),INDEX(LINEST(OFFSET(D309,-R309,0,R309,1),OFFSET(E309,-R309,0,R309,2)),1,2),"")</f>
        <v>1.02151610233606</v>
      </c>
      <c r="U309" s="29" t="n">
        <f aca="true">IF(AND(F309&gt;=1,R309&gt;=Inputs!$B$10),INDEX(LINEST(OFFSET(D309,-R309,0,R309,1),OFFSET(E309,-R309,0,R309,2)),1,3),"")</f>
        <v>4.39945964202329</v>
      </c>
      <c r="V309" s="29" t="n">
        <f aca="true">IF(AND(F309&gt;=1,R309&gt;=Inputs!$B$10),SQRT(SUMPRODUCT((OFFSET(D309,-R309,0,R309,1)-U309-T309*OFFSET(E309,-R309,0,R309,1)-S309*OFFSET(F309,-R309,0,R309,1))^2)/(R309-3)),"")</f>
        <v>0.00344562306314017</v>
      </c>
      <c r="W309" s="31" t="n">
        <f aca="false">IF(AND(F309&gt;=1,R309&gt;=Inputs!$B$10),(D309-U309-T309*E309-S309*F309)/V309,"")</f>
        <v>-1.66448331836197</v>
      </c>
      <c r="X309" s="30" t="n">
        <f aca="false">IF(AB308&lt;&gt;0,AC308+1,0)</f>
        <v>0</v>
      </c>
      <c r="Y309" s="30" t="n">
        <f aca="false">IF(W309="",0,IF(AND(AB308&lt;&gt;0,OR(ABS(W309)&gt;Inputs!$B$7,X309&gt;=Inputs!$B$8,ABS(W309)&lt;Inputs!$B$6)),1,0))</f>
        <v>0</v>
      </c>
      <c r="Z309" s="30" t="n">
        <f aca="false">IF(Y309=1,0,AB308)</f>
        <v>0</v>
      </c>
      <c r="AA309" s="30" t="n">
        <f aca="false">IF(W309="",0,IF(AND(Z309=0,ABS(W309)&gt;Inputs!$B$5,ABS(W309)&lt;=Inputs!$B$7),1,0))</f>
        <v>0</v>
      </c>
      <c r="AB309" s="30" t="n">
        <f aca="false">IF(W309="",0,IF(AA309=1,-SIGN(W309),Z309))</f>
        <v>0</v>
      </c>
      <c r="AC309" s="30" t="n">
        <f aca="false">IF(W309="",0,IF(AA309=1,0,IF(Y309=1,0,X309)))</f>
        <v>0</v>
      </c>
      <c r="AD309" s="30" t="n">
        <f aca="false">IF(AB309=0,0,IF(AB308=AB309,AD308,T309))</f>
        <v>0</v>
      </c>
      <c r="AE309" s="30" t="n">
        <f aca="false">AB309-AB308</f>
        <v>0</v>
      </c>
      <c r="AF309" s="30" t="n">
        <f aca="false">-AD309*AB309</f>
        <v>-0</v>
      </c>
      <c r="AG309" s="30" t="n">
        <f aca="false">AF309-AF308</f>
        <v>0</v>
      </c>
      <c r="AH309" s="30" t="n">
        <f aca="false">MAX(AE309,0)*(Inputs!$B$17+Inputs!$B$18+Inputs!$B$19)+MAX(-AE309,0)*(O309+Inputs!$B$18+Inputs!$B$19)+IF(AND(K309=1,AB309&lt;&gt;0),(Inputs!$B$17+Inputs!$B$18+Inputs!$B$19)+(O309+Inputs!$B$18+Inputs!$B$19),0)+MAX(AG309,0)*(Inputs!$B$20+Inputs!$B$22+Inputs!$B$23)+MAX(-AG309,0)*(Inputs!$B$21+Inputs!$B$22+Inputs!$B$23)</f>
        <v>0</v>
      </c>
      <c r="AI309" s="30" t="n">
        <f aca="false">AB308*(M309-AD308*J309)+AB308*AD308*N309/Inputs!$B$16-AH309</f>
        <v>0</v>
      </c>
      <c r="AJ309" s="30" t="n">
        <f aca="false">MAX(AE309,0)*(Inputs!$B$17+Inputs!$B$24+Inputs!$B$25)+MAX(-AE309,0)*(O309+Inputs!$B$24+Inputs!$B$25)+IF(AND(K309=1,AB309&lt;&gt;0),(Inputs!$B$17+Inputs!$B$24+Inputs!$B$25)+(O309+Inputs!$B$24+Inputs!$B$25),0)+MAX(AG309,0)*(Inputs!$B$20+Inputs!$B$26+Inputs!$B$27)+MAX(-AG309,0)*(Inputs!$B$21+Inputs!$B$26+Inputs!$B$27)</f>
        <v>0</v>
      </c>
      <c r="AK309" s="30" t="n">
        <f aca="false">AB308*(M309-AD308*J309)+AB308*AD308*(N309+Inputs!$B$14)/Inputs!$B$16-AJ309</f>
        <v>0</v>
      </c>
      <c r="AL309" s="30" t="n">
        <f aca="false">IF(AP308&lt;&gt;0,AQ308+1,0)</f>
        <v>0</v>
      </c>
      <c r="AM309" s="30" t="n">
        <f aca="false">IF(W309="",0,IF(AND(AP308&lt;&gt;0,OR(ABS(W309)&gt;Inputs!$B$7,AL309&gt;=Inputs!$B$8,ABS(W309)&lt;Inputs!$B$6)),1,0))</f>
        <v>0</v>
      </c>
      <c r="AN309" s="30" t="n">
        <f aca="false">IF(AM309=1,0,AP308)</f>
        <v>0</v>
      </c>
      <c r="AO309" s="30" t="n">
        <f aca="false">IF(W309="",0,IF(AND(AN309=0,ABS(W309)&gt;Inputs!$B$5,ABS(W309)&lt;=Inputs!$B$7,W309&gt;0),1,0))</f>
        <v>0</v>
      </c>
      <c r="AP309" s="30" t="n">
        <f aca="false">IF(W309="",0,IF(AO309=1,-SIGN(W309),AN309))</f>
        <v>0</v>
      </c>
      <c r="AQ309" s="30" t="n">
        <f aca="false">IF(W309="",0,IF(AO309=1,0,IF(AM309=1,0,AL309)))</f>
        <v>0</v>
      </c>
      <c r="AR309" s="30" t="n">
        <f aca="false">IF(AP309=0,0,IF(AP308=AP309,AR308,T309))</f>
        <v>0</v>
      </c>
      <c r="AS309" s="30" t="n">
        <f aca="false">AP309-AP308</f>
        <v>0</v>
      </c>
      <c r="AT309" s="30" t="n">
        <f aca="false">-AR309*AP309</f>
        <v>-0</v>
      </c>
      <c r="AU309" s="30" t="n">
        <f aca="false">AT309-AT308</f>
        <v>0</v>
      </c>
      <c r="AV309" s="30" t="n">
        <f aca="false">MAX(AS309,0)*(Inputs!$B$17+Inputs!$B$18+Inputs!$B$19)+MAX(-AS309,0)*(O309+Inputs!$B$18+Inputs!$B$19)+IF(AND(K309=1,AP309&lt;&gt;0),(Inputs!$B$17+Inputs!$B$18+Inputs!$B$19)+(O309+Inputs!$B$18+Inputs!$B$19),0)+MAX(AU309,0)*(Inputs!$B$20+Inputs!$B$22+Inputs!$B$23)+MAX(-AU309,0)*(Inputs!$B$21+Inputs!$B$22+Inputs!$B$23)</f>
        <v>0</v>
      </c>
      <c r="AW309" s="30" t="n">
        <f aca="false">AP308*(M309-AR308*J309)+AP308*AR308*N309/Inputs!$B$16-AV309</f>
        <v>0</v>
      </c>
      <c r="AX309" s="30" t="n">
        <f aca="false">AW309-IF(AP308&lt;&gt;0,0.75*AR308*(Inputs!$B$13-N309)/Inputs!$B$16,0)</f>
        <v>0</v>
      </c>
      <c r="AY309" s="30" t="n">
        <f aca="false">MAX(AS309,0)*(Inputs!$B$17+Inputs!$B$18+Inputs!$B$19)+MAX(-AS309,0)*(O309+Inputs!$B$18+Inputs!$B$19)+IF(AND(K309=1,AP309&lt;&gt;0),(Inputs!$B$17+Inputs!$B$18+Inputs!$B$19)+(O309+Inputs!$B$18+Inputs!$B$19),0)</f>
        <v>0</v>
      </c>
      <c r="AZ309" s="30" t="n">
        <f aca="false">AP308*M309-AY309</f>
        <v>-0</v>
      </c>
      <c r="BA309" s="32" t="n">
        <f aca="false">BA308+AI309</f>
        <v>-0.00574530534633948</v>
      </c>
      <c r="BB309" s="30" t="n">
        <f aca="false">MAX(BB308,BA309)</f>
        <v>0</v>
      </c>
      <c r="BC309" s="32" t="n">
        <f aca="false">BA309-BB309</f>
        <v>-0.00574530534633948</v>
      </c>
      <c r="BD309" s="30" t="n">
        <f aca="false">A310-A309</f>
        <v>1</v>
      </c>
    </row>
    <row r="310" customFormat="false" ht="15" hidden="false" customHeight="false" outlineLevel="0" collapsed="false">
      <c r="A310" s="28" t="n">
        <v>45497</v>
      </c>
      <c r="B310" s="0" t="n">
        <v>24421.45</v>
      </c>
      <c r="C310" s="0" t="n">
        <v>272.39</v>
      </c>
      <c r="D310" s="29" t="n">
        <f aca="false">LN(B310)</f>
        <v>10.1032171234613</v>
      </c>
      <c r="E310" s="29" t="n">
        <f aca="false">LN(C310)</f>
        <v>5.60723486288197</v>
      </c>
      <c r="F310" s="0" t="n">
        <v>305</v>
      </c>
      <c r="G310" s="0" t="n">
        <v>1</v>
      </c>
      <c r="H310" s="29" t="n">
        <f aca="false">D310-E310</f>
        <v>4.49598226057932</v>
      </c>
      <c r="I310" s="29" t="n">
        <f aca="false">D310-D309</f>
        <v>-0.00129106330127193</v>
      </c>
      <c r="J310" s="29" t="n">
        <f aca="false">E310-E309</f>
        <v>-0.000587220628317731</v>
      </c>
      <c r="K310" s="0" t="n">
        <v>0</v>
      </c>
      <c r="L310" s="0" t="n">
        <v>0</v>
      </c>
      <c r="M310" s="29" t="n">
        <f aca="false">IF(L310=1,J310-Carry!$B$9/Inputs!$B$16,I310)</f>
        <v>-0.00129106330127193</v>
      </c>
      <c r="N310" s="0" t="n">
        <v>0.065</v>
      </c>
      <c r="O310" s="0" t="n">
        <v>0.000125</v>
      </c>
      <c r="P310" s="29" t="n">
        <f aca="false">D310-('2 Hedge ratio'!$B$6+'2 Hedge ratio'!$B$5*E310)</f>
        <v>0.00445913884581373</v>
      </c>
      <c r="Q310" s="29" t="n">
        <f aca="false">D310-('5 Re-specification'!$B$7+'5 Re-specification'!$B$5*E310+'5 Re-specification'!$B$6*F310)</f>
        <v>-0.00452259297827062</v>
      </c>
      <c r="R310" s="30" t="n">
        <f aca="false">MIN(F310,Inputs!$B$9)</f>
        <v>250</v>
      </c>
      <c r="S310" s="29" t="n">
        <f aca="true">IF(AND(F310&gt;=1,R310&gt;=Inputs!$B$10),INDEX(LINEST(OFFSET(D310,-R310,0,R310,1),OFFSET(E310,-R310,0,R310,2)),1,1),"")</f>
        <v>-5.78986658453542E-005</v>
      </c>
      <c r="T310" s="29" t="n">
        <f aca="true">IF(AND(F310&gt;=1,R310&gt;=Inputs!$B$10),INDEX(LINEST(OFFSET(D310,-R310,0,R310,1),OFFSET(E310,-R310,0,R310,2)),1,2),"")</f>
        <v>1.02062715006731</v>
      </c>
      <c r="U310" s="29" t="n">
        <f aca="true">IF(AND(F310&gt;=1,R310&gt;=Inputs!$B$10),INDEX(LINEST(OFFSET(D310,-R310,0,R310,1),OFFSET(E310,-R310,0,R310,2)),1,3),"")</f>
        <v>4.40423740076826</v>
      </c>
      <c r="V310" s="29" t="n">
        <f aca="true">IF(AND(F310&gt;=1,R310&gt;=Inputs!$B$10),SQRT(SUMPRODUCT((OFFSET(D310,-R310,0,R310,1)-U310-T310*OFFSET(E310,-R310,0,R310,1)-S310*OFFSET(F310,-R310,0,R310,1))^2)/(R310-3)),"")</f>
        <v>0.00346450020627802</v>
      </c>
      <c r="W310" s="31" t="n">
        <f aca="false">IF(AND(F310&gt;=1,R310&gt;=Inputs!$B$10),(D310-U310-T310*E310-S310*F310)/V310,"")</f>
        <v>-1.80612547635642</v>
      </c>
      <c r="X310" s="30" t="n">
        <f aca="false">IF(AB309&lt;&gt;0,AC309+1,0)</f>
        <v>0</v>
      </c>
      <c r="Y310" s="30" t="n">
        <f aca="false">IF(W310="",0,IF(AND(AB309&lt;&gt;0,OR(ABS(W310)&gt;Inputs!$B$7,X310&gt;=Inputs!$B$8,ABS(W310)&lt;Inputs!$B$6)),1,0))</f>
        <v>0</v>
      </c>
      <c r="Z310" s="30" t="n">
        <f aca="false">IF(Y310=1,0,AB309)</f>
        <v>0</v>
      </c>
      <c r="AA310" s="30" t="n">
        <f aca="false">IF(W310="",0,IF(AND(Z310=0,ABS(W310)&gt;Inputs!$B$5,ABS(W310)&lt;=Inputs!$B$7),1,0))</f>
        <v>0</v>
      </c>
      <c r="AB310" s="30" t="n">
        <f aca="false">IF(W310="",0,IF(AA310=1,-SIGN(W310),Z310))</f>
        <v>0</v>
      </c>
      <c r="AC310" s="30" t="n">
        <f aca="false">IF(W310="",0,IF(AA310=1,0,IF(Y310=1,0,X310)))</f>
        <v>0</v>
      </c>
      <c r="AD310" s="30" t="n">
        <f aca="false">IF(AB310=0,0,IF(AB309=AB310,AD309,T310))</f>
        <v>0</v>
      </c>
      <c r="AE310" s="30" t="n">
        <f aca="false">AB310-AB309</f>
        <v>0</v>
      </c>
      <c r="AF310" s="30" t="n">
        <f aca="false">-AD310*AB310</f>
        <v>-0</v>
      </c>
      <c r="AG310" s="30" t="n">
        <f aca="false">AF310-AF309</f>
        <v>0</v>
      </c>
      <c r="AH310" s="30" t="n">
        <f aca="false">MAX(AE310,0)*(Inputs!$B$17+Inputs!$B$18+Inputs!$B$19)+MAX(-AE310,0)*(O310+Inputs!$B$18+Inputs!$B$19)+IF(AND(K310=1,AB310&lt;&gt;0),(Inputs!$B$17+Inputs!$B$18+Inputs!$B$19)+(O310+Inputs!$B$18+Inputs!$B$19),0)+MAX(AG310,0)*(Inputs!$B$20+Inputs!$B$22+Inputs!$B$23)+MAX(-AG310,0)*(Inputs!$B$21+Inputs!$B$22+Inputs!$B$23)</f>
        <v>0</v>
      </c>
      <c r="AI310" s="30" t="n">
        <f aca="false">AB309*(M310-AD309*J310)+AB309*AD309*N310/Inputs!$B$16-AH310</f>
        <v>0</v>
      </c>
      <c r="AJ310" s="30" t="n">
        <f aca="false">MAX(AE310,0)*(Inputs!$B$17+Inputs!$B$24+Inputs!$B$25)+MAX(-AE310,0)*(O310+Inputs!$B$24+Inputs!$B$25)+IF(AND(K310=1,AB310&lt;&gt;0),(Inputs!$B$17+Inputs!$B$24+Inputs!$B$25)+(O310+Inputs!$B$24+Inputs!$B$25),0)+MAX(AG310,0)*(Inputs!$B$20+Inputs!$B$26+Inputs!$B$27)+MAX(-AG310,0)*(Inputs!$B$21+Inputs!$B$26+Inputs!$B$27)</f>
        <v>0</v>
      </c>
      <c r="AK310" s="30" t="n">
        <f aca="false">AB309*(M310-AD309*J310)+AB309*AD309*(N310+Inputs!$B$14)/Inputs!$B$16-AJ310</f>
        <v>0</v>
      </c>
      <c r="AL310" s="30" t="n">
        <f aca="false">IF(AP309&lt;&gt;0,AQ309+1,0)</f>
        <v>0</v>
      </c>
      <c r="AM310" s="30" t="n">
        <f aca="false">IF(W310="",0,IF(AND(AP309&lt;&gt;0,OR(ABS(W310)&gt;Inputs!$B$7,AL310&gt;=Inputs!$B$8,ABS(W310)&lt;Inputs!$B$6)),1,0))</f>
        <v>0</v>
      </c>
      <c r="AN310" s="30" t="n">
        <f aca="false">IF(AM310=1,0,AP309)</f>
        <v>0</v>
      </c>
      <c r="AO310" s="30" t="n">
        <f aca="false">IF(W310="",0,IF(AND(AN310=0,ABS(W310)&gt;Inputs!$B$5,ABS(W310)&lt;=Inputs!$B$7,W310&gt;0),1,0))</f>
        <v>0</v>
      </c>
      <c r="AP310" s="30" t="n">
        <f aca="false">IF(W310="",0,IF(AO310=1,-SIGN(W310),AN310))</f>
        <v>0</v>
      </c>
      <c r="AQ310" s="30" t="n">
        <f aca="false">IF(W310="",0,IF(AO310=1,0,IF(AM310=1,0,AL310)))</f>
        <v>0</v>
      </c>
      <c r="AR310" s="30" t="n">
        <f aca="false">IF(AP310=0,0,IF(AP309=AP310,AR309,T310))</f>
        <v>0</v>
      </c>
      <c r="AS310" s="30" t="n">
        <f aca="false">AP310-AP309</f>
        <v>0</v>
      </c>
      <c r="AT310" s="30" t="n">
        <f aca="false">-AR310*AP310</f>
        <v>-0</v>
      </c>
      <c r="AU310" s="30" t="n">
        <f aca="false">AT310-AT309</f>
        <v>0</v>
      </c>
      <c r="AV310" s="30" t="n">
        <f aca="false">MAX(AS310,0)*(Inputs!$B$17+Inputs!$B$18+Inputs!$B$19)+MAX(-AS310,0)*(O310+Inputs!$B$18+Inputs!$B$19)+IF(AND(K310=1,AP310&lt;&gt;0),(Inputs!$B$17+Inputs!$B$18+Inputs!$B$19)+(O310+Inputs!$B$18+Inputs!$B$19),0)+MAX(AU310,0)*(Inputs!$B$20+Inputs!$B$22+Inputs!$B$23)+MAX(-AU310,0)*(Inputs!$B$21+Inputs!$B$22+Inputs!$B$23)</f>
        <v>0</v>
      </c>
      <c r="AW310" s="30" t="n">
        <f aca="false">AP309*(M310-AR309*J310)+AP309*AR309*N310/Inputs!$B$16-AV310</f>
        <v>0</v>
      </c>
      <c r="AX310" s="30" t="n">
        <f aca="false">AW310-IF(AP309&lt;&gt;0,0.75*AR309*(Inputs!$B$13-N310)/Inputs!$B$16,0)</f>
        <v>0</v>
      </c>
      <c r="AY310" s="30" t="n">
        <f aca="false">MAX(AS310,0)*(Inputs!$B$17+Inputs!$B$18+Inputs!$B$19)+MAX(-AS310,0)*(O310+Inputs!$B$18+Inputs!$B$19)+IF(AND(K310=1,AP310&lt;&gt;0),(Inputs!$B$17+Inputs!$B$18+Inputs!$B$19)+(O310+Inputs!$B$18+Inputs!$B$19),0)</f>
        <v>0</v>
      </c>
      <c r="AZ310" s="30" t="n">
        <f aca="false">AP309*M310-AY310</f>
        <v>-0</v>
      </c>
      <c r="BA310" s="32" t="n">
        <f aca="false">BA309+AI310</f>
        <v>-0.00574530534633948</v>
      </c>
      <c r="BB310" s="30" t="n">
        <f aca="false">MAX(BB309,BA310)</f>
        <v>0</v>
      </c>
      <c r="BC310" s="32" t="n">
        <f aca="false">BA310-BB310</f>
        <v>-0.00574530534633948</v>
      </c>
      <c r="BD310" s="30" t="n">
        <f aca="false">A311-A310</f>
        <v>1</v>
      </c>
    </row>
    <row r="311" customFormat="false" ht="15" hidden="false" customHeight="false" outlineLevel="0" collapsed="false">
      <c r="A311" s="28" t="n">
        <v>45498</v>
      </c>
      <c r="B311" s="0" t="n">
        <v>24408</v>
      </c>
      <c r="C311" s="0" t="n">
        <v>272.1</v>
      </c>
      <c r="D311" s="29" t="n">
        <f aca="false">LN(B311)</f>
        <v>10.1026662263965</v>
      </c>
      <c r="E311" s="29" t="n">
        <f aca="false">LN(C311)</f>
        <v>5.6061696457892</v>
      </c>
      <c r="F311" s="0" t="n">
        <v>306</v>
      </c>
      <c r="G311" s="0" t="n">
        <v>0</v>
      </c>
      <c r="H311" s="29" t="n">
        <f aca="false">D311-E311</f>
        <v>4.49649658060731</v>
      </c>
      <c r="I311" s="29" t="n">
        <f aca="false">D311-D310</f>
        <v>-0.000550897064789169</v>
      </c>
      <c r="J311" s="29" t="n">
        <f aca="false">E311-E310</f>
        <v>-0.00106521709277185</v>
      </c>
      <c r="K311" s="0" t="n">
        <v>1</v>
      </c>
      <c r="L311" s="0" t="n">
        <v>0</v>
      </c>
      <c r="M311" s="29" t="n">
        <f aca="false">IF(L311=1,J311-Carry!$B$9/Inputs!$B$16,I311)</f>
        <v>-0.000550897064789169</v>
      </c>
      <c r="N311" s="0" t="n">
        <v>0.065</v>
      </c>
      <c r="O311" s="0" t="n">
        <v>0.000125</v>
      </c>
      <c r="P311" s="29" t="n">
        <f aca="false">D311-('2 Hedge ratio'!$B$6+'2 Hedge ratio'!$B$5*E311)</f>
        <v>0.00488411566412061</v>
      </c>
      <c r="Q311" s="29" t="n">
        <f aca="false">D311-('5 Re-specification'!$B$7+'5 Re-specification'!$B$5*E311+'5 Re-specification'!$B$6*F311)</f>
        <v>-0.00396657177261339</v>
      </c>
      <c r="R311" s="30" t="n">
        <f aca="false">MIN(F311,Inputs!$B$9)</f>
        <v>250</v>
      </c>
      <c r="S311" s="29" t="n">
        <f aca="true">IF(AND(F311&gt;=1,R311&gt;=Inputs!$B$10),INDEX(LINEST(OFFSET(D311,-R311,0,R311,1),OFFSET(E311,-R311,0,R311,2)),1,1),"")</f>
        <v>-5.75360070416115E-005</v>
      </c>
      <c r="T311" s="29" t="n">
        <f aca="true">IF(AND(F311&gt;=1,R311&gt;=Inputs!$B$10),INDEX(LINEST(OFFSET(D311,-R311,0,R311,1),OFFSET(E311,-R311,0,R311,2)),1,2),"")</f>
        <v>1.01966888748207</v>
      </c>
      <c r="U311" s="29" t="n">
        <f aca="true">IF(AND(F311&gt;=1,R311&gt;=Inputs!$B$10),INDEX(LINEST(OFFSET(D311,-R311,0,R311,1),OFFSET(E311,-R311,0,R311,2)),1,3),"")</f>
        <v>4.40938261262367</v>
      </c>
      <c r="V311" s="29" t="n">
        <f aca="true">IF(AND(F311&gt;=1,R311&gt;=Inputs!$B$10),SQRT(SUMPRODUCT((OFFSET(D311,-R311,0,R311,1)-U311-T311*OFFSET(E311,-R311,0,R311,1)-S311*OFFSET(F311,-R311,0,R311,1))^2)/(R311-3)),"")</f>
        <v>0.00348687373034826</v>
      </c>
      <c r="W311" s="31" t="n">
        <f aca="false">IF(AND(F311&gt;=1,R311&gt;=Inputs!$B$10),(D311-U311-T311*E311-S311*F311)/V311,"")</f>
        <v>-1.59086168844333</v>
      </c>
      <c r="X311" s="30" t="n">
        <f aca="false">IF(AB310&lt;&gt;0,AC310+1,0)</f>
        <v>0</v>
      </c>
      <c r="Y311" s="30" t="n">
        <f aca="false">IF(W311="",0,IF(AND(AB310&lt;&gt;0,OR(ABS(W311)&gt;Inputs!$B$7,X311&gt;=Inputs!$B$8,ABS(W311)&lt;Inputs!$B$6)),1,0))</f>
        <v>0</v>
      </c>
      <c r="Z311" s="30" t="n">
        <f aca="false">IF(Y311=1,0,AB310)</f>
        <v>0</v>
      </c>
      <c r="AA311" s="30" t="n">
        <f aca="false">IF(W311="",0,IF(AND(Z311=0,ABS(W311)&gt;Inputs!$B$5,ABS(W311)&lt;=Inputs!$B$7),1,0))</f>
        <v>0</v>
      </c>
      <c r="AB311" s="30" t="n">
        <f aca="false">IF(W311="",0,IF(AA311=1,-SIGN(W311),Z311))</f>
        <v>0</v>
      </c>
      <c r="AC311" s="30" t="n">
        <f aca="false">IF(W311="",0,IF(AA311=1,0,IF(Y311=1,0,X311)))</f>
        <v>0</v>
      </c>
      <c r="AD311" s="30" t="n">
        <f aca="false">IF(AB311=0,0,IF(AB310=AB311,AD310,T311))</f>
        <v>0</v>
      </c>
      <c r="AE311" s="30" t="n">
        <f aca="false">AB311-AB310</f>
        <v>0</v>
      </c>
      <c r="AF311" s="30" t="n">
        <f aca="false">-AD311*AB311</f>
        <v>-0</v>
      </c>
      <c r="AG311" s="30" t="n">
        <f aca="false">AF311-AF310</f>
        <v>0</v>
      </c>
      <c r="AH311" s="30" t="n">
        <f aca="false">MAX(AE311,0)*(Inputs!$B$17+Inputs!$B$18+Inputs!$B$19)+MAX(-AE311,0)*(O311+Inputs!$B$18+Inputs!$B$19)+IF(AND(K311=1,AB311&lt;&gt;0),(Inputs!$B$17+Inputs!$B$18+Inputs!$B$19)+(O311+Inputs!$B$18+Inputs!$B$19),0)+MAX(AG311,0)*(Inputs!$B$20+Inputs!$B$22+Inputs!$B$23)+MAX(-AG311,0)*(Inputs!$B$21+Inputs!$B$22+Inputs!$B$23)</f>
        <v>0</v>
      </c>
      <c r="AI311" s="30" t="n">
        <f aca="false">AB310*(M311-AD310*J311)+AB310*AD310*N311/Inputs!$B$16-AH311</f>
        <v>0</v>
      </c>
      <c r="AJ311" s="30" t="n">
        <f aca="false">MAX(AE311,0)*(Inputs!$B$17+Inputs!$B$24+Inputs!$B$25)+MAX(-AE311,0)*(O311+Inputs!$B$24+Inputs!$B$25)+IF(AND(K311=1,AB311&lt;&gt;0),(Inputs!$B$17+Inputs!$B$24+Inputs!$B$25)+(O311+Inputs!$B$24+Inputs!$B$25),0)+MAX(AG311,0)*(Inputs!$B$20+Inputs!$B$26+Inputs!$B$27)+MAX(-AG311,0)*(Inputs!$B$21+Inputs!$B$26+Inputs!$B$27)</f>
        <v>0</v>
      </c>
      <c r="AK311" s="30" t="n">
        <f aca="false">AB310*(M311-AD310*J311)+AB310*AD310*(N311+Inputs!$B$14)/Inputs!$B$16-AJ311</f>
        <v>0</v>
      </c>
      <c r="AL311" s="30" t="n">
        <f aca="false">IF(AP310&lt;&gt;0,AQ310+1,0)</f>
        <v>0</v>
      </c>
      <c r="AM311" s="30" t="n">
        <f aca="false">IF(W311="",0,IF(AND(AP310&lt;&gt;0,OR(ABS(W311)&gt;Inputs!$B$7,AL311&gt;=Inputs!$B$8,ABS(W311)&lt;Inputs!$B$6)),1,0))</f>
        <v>0</v>
      </c>
      <c r="AN311" s="30" t="n">
        <f aca="false">IF(AM311=1,0,AP310)</f>
        <v>0</v>
      </c>
      <c r="AO311" s="30" t="n">
        <f aca="false">IF(W311="",0,IF(AND(AN311=0,ABS(W311)&gt;Inputs!$B$5,ABS(W311)&lt;=Inputs!$B$7,W311&gt;0),1,0))</f>
        <v>0</v>
      </c>
      <c r="AP311" s="30" t="n">
        <f aca="false">IF(W311="",0,IF(AO311=1,-SIGN(W311),AN311))</f>
        <v>0</v>
      </c>
      <c r="AQ311" s="30" t="n">
        <f aca="false">IF(W311="",0,IF(AO311=1,0,IF(AM311=1,0,AL311)))</f>
        <v>0</v>
      </c>
      <c r="AR311" s="30" t="n">
        <f aca="false">IF(AP311=0,0,IF(AP310=AP311,AR310,T311))</f>
        <v>0</v>
      </c>
      <c r="AS311" s="30" t="n">
        <f aca="false">AP311-AP310</f>
        <v>0</v>
      </c>
      <c r="AT311" s="30" t="n">
        <f aca="false">-AR311*AP311</f>
        <v>-0</v>
      </c>
      <c r="AU311" s="30" t="n">
        <f aca="false">AT311-AT310</f>
        <v>0</v>
      </c>
      <c r="AV311" s="30" t="n">
        <f aca="false">MAX(AS311,0)*(Inputs!$B$17+Inputs!$B$18+Inputs!$B$19)+MAX(-AS311,0)*(O311+Inputs!$B$18+Inputs!$B$19)+IF(AND(K311=1,AP311&lt;&gt;0),(Inputs!$B$17+Inputs!$B$18+Inputs!$B$19)+(O311+Inputs!$B$18+Inputs!$B$19),0)+MAX(AU311,0)*(Inputs!$B$20+Inputs!$B$22+Inputs!$B$23)+MAX(-AU311,0)*(Inputs!$B$21+Inputs!$B$22+Inputs!$B$23)</f>
        <v>0</v>
      </c>
      <c r="AW311" s="30" t="n">
        <f aca="false">AP310*(M311-AR310*J311)+AP310*AR310*N311/Inputs!$B$16-AV311</f>
        <v>0</v>
      </c>
      <c r="AX311" s="30" t="n">
        <f aca="false">AW311-IF(AP310&lt;&gt;0,0.75*AR310*(Inputs!$B$13-N311)/Inputs!$B$16,0)</f>
        <v>0</v>
      </c>
      <c r="AY311" s="30" t="n">
        <f aca="false">MAX(AS311,0)*(Inputs!$B$17+Inputs!$B$18+Inputs!$B$19)+MAX(-AS311,0)*(O311+Inputs!$B$18+Inputs!$B$19)+IF(AND(K311=1,AP311&lt;&gt;0),(Inputs!$B$17+Inputs!$B$18+Inputs!$B$19)+(O311+Inputs!$B$18+Inputs!$B$19),0)</f>
        <v>0</v>
      </c>
      <c r="AZ311" s="30" t="n">
        <f aca="false">AP310*M311-AY311</f>
        <v>-0</v>
      </c>
      <c r="BA311" s="32" t="n">
        <f aca="false">BA310+AI311</f>
        <v>-0.00574530534633948</v>
      </c>
      <c r="BB311" s="30" t="n">
        <f aca="false">MAX(BB310,BA311)</f>
        <v>0</v>
      </c>
      <c r="BC311" s="32" t="n">
        <f aca="false">BA311-BB311</f>
        <v>-0.00574530534633948</v>
      </c>
      <c r="BD311" s="30" t="n">
        <f aca="false">A312-A311</f>
        <v>1</v>
      </c>
    </row>
    <row r="312" customFormat="false" ht="15" hidden="false" customHeight="false" outlineLevel="0" collapsed="false">
      <c r="A312" s="28" t="n">
        <v>45499</v>
      </c>
      <c r="B312" s="0" t="n">
        <v>24924</v>
      </c>
      <c r="C312" s="0" t="n">
        <v>276</v>
      </c>
      <c r="D312" s="29" t="n">
        <f aca="false">LN(B312)</f>
        <v>10.1235864736641</v>
      </c>
      <c r="E312" s="29" t="n">
        <f aca="false">LN(C312)</f>
        <v>5.62040086571715</v>
      </c>
      <c r="F312" s="0" t="n">
        <v>307</v>
      </c>
      <c r="G312" s="0" t="n">
        <v>34</v>
      </c>
      <c r="H312" s="29" t="n">
        <f aca="false">D312-E312</f>
        <v>4.50318560794696</v>
      </c>
      <c r="I312" s="29" t="n">
        <f aca="false">D312-D311</f>
        <v>0.0209202472676058</v>
      </c>
      <c r="J312" s="29" t="n">
        <f aca="false">E312-E311</f>
        <v>0.0142312199279493</v>
      </c>
      <c r="K312" s="0" t="n">
        <v>0</v>
      </c>
      <c r="L312" s="0" t="n">
        <v>1</v>
      </c>
      <c r="M312" s="29" t="n">
        <f aca="false">IF(L312=1,J312-Carry!$B$9/Inputs!$B$16,I312)</f>
        <v>0.0139717617462282</v>
      </c>
      <c r="N312" s="0" t="n">
        <v>0.065</v>
      </c>
      <c r="O312" s="0" t="n">
        <v>0.000125</v>
      </c>
      <c r="P312" s="29" t="n">
        <f aca="false">D312-('2 Hedge ratio'!$B$6+'2 Hedge ratio'!$B$5*E312)</f>
        <v>0.0127667615390052</v>
      </c>
      <c r="Q312" s="29" t="n">
        <f aca="false">D312-('5 Re-specification'!$B$7+'5 Re-specification'!$B$5*E312+'5 Re-specification'!$B$6*F312)</f>
        <v>0.00281051259743315</v>
      </c>
      <c r="R312" s="30" t="n">
        <f aca="false">MIN(F312,Inputs!$B$9)</f>
        <v>250</v>
      </c>
      <c r="S312" s="29" t="n">
        <f aca="true">IF(AND(F312&gt;=1,R312&gt;=Inputs!$B$10),INDEX(LINEST(OFFSET(D312,-R312,0,R312,1),OFFSET(E312,-R312,0,R312,2)),1,1),"")</f>
        <v>-5.70643692504662E-005</v>
      </c>
      <c r="T312" s="29" t="n">
        <f aca="true">IF(AND(F312&gt;=1,R312&gt;=Inputs!$B$10),INDEX(LINEST(OFFSET(D312,-R312,0,R312,1),OFFSET(E312,-R312,0,R312,2)),1,2),"")</f>
        <v>1.01872339985856</v>
      </c>
      <c r="U312" s="29" t="n">
        <f aca="true">IF(AND(F312&gt;=1,R312&gt;=Inputs!$B$10),INDEX(LINEST(OFFSET(D312,-R312,0,R312,1),OFFSET(E312,-R312,0,R312,2)),1,3),"")</f>
        <v>4.41443955841806</v>
      </c>
      <c r="V312" s="29" t="n">
        <f aca="true">IF(AND(F312&gt;=1,R312&gt;=Inputs!$B$10),SQRT(SUMPRODUCT((OFFSET(D312,-R312,0,R312,1)-U312-T312*OFFSET(E312,-R312,0,R312,1)-S312*OFFSET(F312,-R312,0,R312,1))^2)/(R312-3)),"")</f>
        <v>0.00350418536026253</v>
      </c>
      <c r="W312" s="31" t="n">
        <f aca="false">IF(AND(F312&gt;=1,R312&gt;=Inputs!$B$10),(D312-U312-T312*E312-S312*F312)/V312,"")</f>
        <v>0.294447356083767</v>
      </c>
      <c r="X312" s="30" t="n">
        <f aca="false">IF(AB311&lt;&gt;0,AC311+1,0)</f>
        <v>0</v>
      </c>
      <c r="Y312" s="30" t="n">
        <f aca="false">IF(W312="",0,IF(AND(AB311&lt;&gt;0,OR(ABS(W312)&gt;Inputs!$B$7,X312&gt;=Inputs!$B$8,ABS(W312)&lt;Inputs!$B$6)),1,0))</f>
        <v>0</v>
      </c>
      <c r="Z312" s="30" t="n">
        <f aca="false">IF(Y312=1,0,AB311)</f>
        <v>0</v>
      </c>
      <c r="AA312" s="30" t="n">
        <f aca="false">IF(W312="",0,IF(AND(Z312=0,ABS(W312)&gt;Inputs!$B$5,ABS(W312)&lt;=Inputs!$B$7),1,0))</f>
        <v>0</v>
      </c>
      <c r="AB312" s="30" t="n">
        <f aca="false">IF(W312="",0,IF(AA312=1,-SIGN(W312),Z312))</f>
        <v>0</v>
      </c>
      <c r="AC312" s="30" t="n">
        <f aca="false">IF(W312="",0,IF(AA312=1,0,IF(Y312=1,0,X312)))</f>
        <v>0</v>
      </c>
      <c r="AD312" s="30" t="n">
        <f aca="false">IF(AB312=0,0,IF(AB311=AB312,AD311,T312))</f>
        <v>0</v>
      </c>
      <c r="AE312" s="30" t="n">
        <f aca="false">AB312-AB311</f>
        <v>0</v>
      </c>
      <c r="AF312" s="30" t="n">
        <f aca="false">-AD312*AB312</f>
        <v>-0</v>
      </c>
      <c r="AG312" s="30" t="n">
        <f aca="false">AF312-AF311</f>
        <v>0</v>
      </c>
      <c r="AH312" s="30" t="n">
        <f aca="false">MAX(AE312,0)*(Inputs!$B$17+Inputs!$B$18+Inputs!$B$19)+MAX(-AE312,0)*(O312+Inputs!$B$18+Inputs!$B$19)+IF(AND(K312=1,AB312&lt;&gt;0),(Inputs!$B$17+Inputs!$B$18+Inputs!$B$19)+(O312+Inputs!$B$18+Inputs!$B$19),0)+MAX(AG312,0)*(Inputs!$B$20+Inputs!$B$22+Inputs!$B$23)+MAX(-AG312,0)*(Inputs!$B$21+Inputs!$B$22+Inputs!$B$23)</f>
        <v>0</v>
      </c>
      <c r="AI312" s="30" t="n">
        <f aca="false">AB311*(M312-AD311*J312)+AB311*AD311*N312/Inputs!$B$16-AH312</f>
        <v>0</v>
      </c>
      <c r="AJ312" s="30" t="n">
        <f aca="false">MAX(AE312,0)*(Inputs!$B$17+Inputs!$B$24+Inputs!$B$25)+MAX(-AE312,0)*(O312+Inputs!$B$24+Inputs!$B$25)+IF(AND(K312=1,AB312&lt;&gt;0),(Inputs!$B$17+Inputs!$B$24+Inputs!$B$25)+(O312+Inputs!$B$24+Inputs!$B$25),0)+MAX(AG312,0)*(Inputs!$B$20+Inputs!$B$26+Inputs!$B$27)+MAX(-AG312,0)*(Inputs!$B$21+Inputs!$B$26+Inputs!$B$27)</f>
        <v>0</v>
      </c>
      <c r="AK312" s="30" t="n">
        <f aca="false">AB311*(M312-AD311*J312)+AB311*AD311*(N312+Inputs!$B$14)/Inputs!$B$16-AJ312</f>
        <v>0</v>
      </c>
      <c r="AL312" s="30" t="n">
        <f aca="false">IF(AP311&lt;&gt;0,AQ311+1,0)</f>
        <v>0</v>
      </c>
      <c r="AM312" s="30" t="n">
        <f aca="false">IF(W312="",0,IF(AND(AP311&lt;&gt;0,OR(ABS(W312)&gt;Inputs!$B$7,AL312&gt;=Inputs!$B$8,ABS(W312)&lt;Inputs!$B$6)),1,0))</f>
        <v>0</v>
      </c>
      <c r="AN312" s="30" t="n">
        <f aca="false">IF(AM312=1,0,AP311)</f>
        <v>0</v>
      </c>
      <c r="AO312" s="30" t="n">
        <f aca="false">IF(W312="",0,IF(AND(AN312=0,ABS(W312)&gt;Inputs!$B$5,ABS(W312)&lt;=Inputs!$B$7,W312&gt;0),1,0))</f>
        <v>0</v>
      </c>
      <c r="AP312" s="30" t="n">
        <f aca="false">IF(W312="",0,IF(AO312=1,-SIGN(W312),AN312))</f>
        <v>0</v>
      </c>
      <c r="AQ312" s="30" t="n">
        <f aca="false">IF(W312="",0,IF(AO312=1,0,IF(AM312=1,0,AL312)))</f>
        <v>0</v>
      </c>
      <c r="AR312" s="30" t="n">
        <f aca="false">IF(AP312=0,0,IF(AP311=AP312,AR311,T312))</f>
        <v>0</v>
      </c>
      <c r="AS312" s="30" t="n">
        <f aca="false">AP312-AP311</f>
        <v>0</v>
      </c>
      <c r="AT312" s="30" t="n">
        <f aca="false">-AR312*AP312</f>
        <v>-0</v>
      </c>
      <c r="AU312" s="30" t="n">
        <f aca="false">AT312-AT311</f>
        <v>0</v>
      </c>
      <c r="AV312" s="30" t="n">
        <f aca="false">MAX(AS312,0)*(Inputs!$B$17+Inputs!$B$18+Inputs!$B$19)+MAX(-AS312,0)*(O312+Inputs!$B$18+Inputs!$B$19)+IF(AND(K312=1,AP312&lt;&gt;0),(Inputs!$B$17+Inputs!$B$18+Inputs!$B$19)+(O312+Inputs!$B$18+Inputs!$B$19),0)+MAX(AU312,0)*(Inputs!$B$20+Inputs!$B$22+Inputs!$B$23)+MAX(-AU312,0)*(Inputs!$B$21+Inputs!$B$22+Inputs!$B$23)</f>
        <v>0</v>
      </c>
      <c r="AW312" s="30" t="n">
        <f aca="false">AP311*(M312-AR311*J312)+AP311*AR311*N312/Inputs!$B$16-AV312</f>
        <v>0</v>
      </c>
      <c r="AX312" s="30" t="n">
        <f aca="false">AW312-IF(AP311&lt;&gt;0,0.75*AR311*(Inputs!$B$13-N312)/Inputs!$B$16,0)</f>
        <v>0</v>
      </c>
      <c r="AY312" s="30" t="n">
        <f aca="false">MAX(AS312,0)*(Inputs!$B$17+Inputs!$B$18+Inputs!$B$19)+MAX(-AS312,0)*(O312+Inputs!$B$18+Inputs!$B$19)+IF(AND(K312=1,AP312&lt;&gt;0),(Inputs!$B$17+Inputs!$B$18+Inputs!$B$19)+(O312+Inputs!$B$18+Inputs!$B$19),0)</f>
        <v>0</v>
      </c>
      <c r="AZ312" s="30" t="n">
        <f aca="false">AP311*M312-AY312</f>
        <v>0</v>
      </c>
      <c r="BA312" s="32" t="n">
        <f aca="false">BA311+AI312</f>
        <v>-0.00574530534633948</v>
      </c>
      <c r="BB312" s="30" t="n">
        <f aca="false">MAX(BB311,BA312)</f>
        <v>0</v>
      </c>
      <c r="BC312" s="32" t="n">
        <f aca="false">BA312-BB312</f>
        <v>-0.00574530534633948</v>
      </c>
      <c r="BD312" s="30" t="n">
        <f aca="false">A313-A312</f>
        <v>3</v>
      </c>
    </row>
    <row r="313" customFormat="false" ht="15" hidden="false" customHeight="false" outlineLevel="0" collapsed="false">
      <c r="A313" s="28" t="n">
        <v>45502</v>
      </c>
      <c r="B313" s="0" t="n">
        <v>24924.6</v>
      </c>
      <c r="C313" s="0" t="n">
        <v>276.98</v>
      </c>
      <c r="D313" s="29" t="n">
        <f aca="false">LN(B313)</f>
        <v>10.1236105465568</v>
      </c>
      <c r="E313" s="29" t="n">
        <f aca="false">LN(C313)</f>
        <v>5.62394530141457</v>
      </c>
      <c r="F313" s="0" t="n">
        <v>308</v>
      </c>
      <c r="G313" s="0" t="n">
        <v>31</v>
      </c>
      <c r="H313" s="29" t="n">
        <f aca="false">D313-E313</f>
        <v>4.49966524514226</v>
      </c>
      <c r="I313" s="29" t="n">
        <f aca="false">D313-D312</f>
        <v>2.40728927209943E-005</v>
      </c>
      <c r="J313" s="29" t="n">
        <f aca="false">E313-E312</f>
        <v>0.00354443569742191</v>
      </c>
      <c r="K313" s="0" t="n">
        <v>0</v>
      </c>
      <c r="L313" s="0" t="n">
        <v>0</v>
      </c>
      <c r="M313" s="29" t="n">
        <f aca="false">IF(L313=1,J313-Carry!$B$9/Inputs!$B$16,I313)</f>
        <v>2.40728927209943E-005</v>
      </c>
      <c r="N313" s="0" t="n">
        <v>0.065</v>
      </c>
      <c r="O313" s="0" t="n">
        <v>0.000125</v>
      </c>
      <c r="P313" s="29" t="n">
        <f aca="false">D313-('2 Hedge ratio'!$B$6+'2 Hedge ratio'!$B$5*E313)</f>
        <v>0.00954368204288869</v>
      </c>
      <c r="Q313" s="29" t="n">
        <f aca="false">D313-('5 Re-specification'!$B$7+'5 Re-specification'!$B$5*E313+'5 Re-specification'!$B$6*F313)</f>
        <v>-0.0006541794767152</v>
      </c>
      <c r="R313" s="30" t="n">
        <f aca="false">MIN(F313,Inputs!$B$9)</f>
        <v>250</v>
      </c>
      <c r="S313" s="29" t="n">
        <f aca="true">IF(AND(F313&gt;=1,R313&gt;=Inputs!$B$10),INDEX(LINEST(OFFSET(D313,-R313,0,R313,1),OFFSET(E313,-R313,0,R313,2)),1,1),"")</f>
        <v>-5.78014194196733E-005</v>
      </c>
      <c r="T313" s="29" t="n">
        <f aca="true">IF(AND(F313&gt;=1,R313&gt;=Inputs!$B$10),INDEX(LINEST(OFFSET(D313,-R313,0,R313,1),OFFSET(E313,-R313,0,R313,2)),1,2),"")</f>
        <v>1.01942475450086</v>
      </c>
      <c r="U313" s="29" t="n">
        <f aca="true">IF(AND(F313&gt;=1,R313&gt;=Inputs!$B$10),INDEX(LINEST(OFFSET(D313,-R313,0,R313,1),OFFSET(E313,-R313,0,R313,2)),1,3),"")</f>
        <v>4.41075000549579</v>
      </c>
      <c r="V313" s="29" t="n">
        <f aca="true">IF(AND(F313&gt;=1,R313&gt;=Inputs!$B$10),SQRT(SUMPRODUCT((OFFSET(D313,-R313,0,R313,1)-U313-T313*OFFSET(E313,-R313,0,R313,1)-S313*OFFSET(F313,-R313,0,R313,1))^2)/(R313-3)),"")</f>
        <v>0.00350373363783132</v>
      </c>
      <c r="W313" s="31" t="n">
        <f aca="false">IF(AND(F313&gt;=1,R313&gt;=Inputs!$B$10),(D313-U313-T313*E313-S313*F313)/V313,"")</f>
        <v>-0.720853877483032</v>
      </c>
      <c r="X313" s="30" t="n">
        <f aca="false">IF(AB312&lt;&gt;0,AC312+1,0)</f>
        <v>0</v>
      </c>
      <c r="Y313" s="30" t="n">
        <f aca="false">IF(W313="",0,IF(AND(AB312&lt;&gt;0,OR(ABS(W313)&gt;Inputs!$B$7,X313&gt;=Inputs!$B$8,ABS(W313)&lt;Inputs!$B$6)),1,0))</f>
        <v>0</v>
      </c>
      <c r="Z313" s="30" t="n">
        <f aca="false">IF(Y313=1,0,AB312)</f>
        <v>0</v>
      </c>
      <c r="AA313" s="30" t="n">
        <f aca="false">IF(W313="",0,IF(AND(Z313=0,ABS(W313)&gt;Inputs!$B$5,ABS(W313)&lt;=Inputs!$B$7),1,0))</f>
        <v>0</v>
      </c>
      <c r="AB313" s="30" t="n">
        <f aca="false">IF(W313="",0,IF(AA313=1,-SIGN(W313),Z313))</f>
        <v>0</v>
      </c>
      <c r="AC313" s="30" t="n">
        <f aca="false">IF(W313="",0,IF(AA313=1,0,IF(Y313=1,0,X313)))</f>
        <v>0</v>
      </c>
      <c r="AD313" s="30" t="n">
        <f aca="false">IF(AB313=0,0,IF(AB312=AB313,AD312,T313))</f>
        <v>0</v>
      </c>
      <c r="AE313" s="30" t="n">
        <f aca="false">AB313-AB312</f>
        <v>0</v>
      </c>
      <c r="AF313" s="30" t="n">
        <f aca="false">-AD313*AB313</f>
        <v>-0</v>
      </c>
      <c r="AG313" s="30" t="n">
        <f aca="false">AF313-AF312</f>
        <v>0</v>
      </c>
      <c r="AH313" s="30" t="n">
        <f aca="false">MAX(AE313,0)*(Inputs!$B$17+Inputs!$B$18+Inputs!$B$19)+MAX(-AE313,0)*(O313+Inputs!$B$18+Inputs!$B$19)+IF(AND(K313=1,AB313&lt;&gt;0),(Inputs!$B$17+Inputs!$B$18+Inputs!$B$19)+(O313+Inputs!$B$18+Inputs!$B$19),0)+MAX(AG313,0)*(Inputs!$B$20+Inputs!$B$22+Inputs!$B$23)+MAX(-AG313,0)*(Inputs!$B$21+Inputs!$B$22+Inputs!$B$23)</f>
        <v>0</v>
      </c>
      <c r="AI313" s="30" t="n">
        <f aca="false">AB312*(M313-AD312*J313)+AB312*AD312*N313/Inputs!$B$16-AH313</f>
        <v>0</v>
      </c>
      <c r="AJ313" s="30" t="n">
        <f aca="false">MAX(AE313,0)*(Inputs!$B$17+Inputs!$B$24+Inputs!$B$25)+MAX(-AE313,0)*(O313+Inputs!$B$24+Inputs!$B$25)+IF(AND(K313=1,AB313&lt;&gt;0),(Inputs!$B$17+Inputs!$B$24+Inputs!$B$25)+(O313+Inputs!$B$24+Inputs!$B$25),0)+MAX(AG313,0)*(Inputs!$B$20+Inputs!$B$26+Inputs!$B$27)+MAX(-AG313,0)*(Inputs!$B$21+Inputs!$B$26+Inputs!$B$27)</f>
        <v>0</v>
      </c>
      <c r="AK313" s="30" t="n">
        <f aca="false">AB312*(M313-AD312*J313)+AB312*AD312*(N313+Inputs!$B$14)/Inputs!$B$16-AJ313</f>
        <v>0</v>
      </c>
      <c r="AL313" s="30" t="n">
        <f aca="false">IF(AP312&lt;&gt;0,AQ312+1,0)</f>
        <v>0</v>
      </c>
      <c r="AM313" s="30" t="n">
        <f aca="false">IF(W313="",0,IF(AND(AP312&lt;&gt;0,OR(ABS(W313)&gt;Inputs!$B$7,AL313&gt;=Inputs!$B$8,ABS(W313)&lt;Inputs!$B$6)),1,0))</f>
        <v>0</v>
      </c>
      <c r="AN313" s="30" t="n">
        <f aca="false">IF(AM313=1,0,AP312)</f>
        <v>0</v>
      </c>
      <c r="AO313" s="30" t="n">
        <f aca="false">IF(W313="",0,IF(AND(AN313=0,ABS(W313)&gt;Inputs!$B$5,ABS(W313)&lt;=Inputs!$B$7,W313&gt;0),1,0))</f>
        <v>0</v>
      </c>
      <c r="AP313" s="30" t="n">
        <f aca="false">IF(W313="",0,IF(AO313=1,-SIGN(W313),AN313))</f>
        <v>0</v>
      </c>
      <c r="AQ313" s="30" t="n">
        <f aca="false">IF(W313="",0,IF(AO313=1,0,IF(AM313=1,0,AL313)))</f>
        <v>0</v>
      </c>
      <c r="AR313" s="30" t="n">
        <f aca="false">IF(AP313=0,0,IF(AP312=AP313,AR312,T313))</f>
        <v>0</v>
      </c>
      <c r="AS313" s="30" t="n">
        <f aca="false">AP313-AP312</f>
        <v>0</v>
      </c>
      <c r="AT313" s="30" t="n">
        <f aca="false">-AR313*AP313</f>
        <v>-0</v>
      </c>
      <c r="AU313" s="30" t="n">
        <f aca="false">AT313-AT312</f>
        <v>0</v>
      </c>
      <c r="AV313" s="30" t="n">
        <f aca="false">MAX(AS313,0)*(Inputs!$B$17+Inputs!$B$18+Inputs!$B$19)+MAX(-AS313,0)*(O313+Inputs!$B$18+Inputs!$B$19)+IF(AND(K313=1,AP313&lt;&gt;0),(Inputs!$B$17+Inputs!$B$18+Inputs!$B$19)+(O313+Inputs!$B$18+Inputs!$B$19),0)+MAX(AU313,0)*(Inputs!$B$20+Inputs!$B$22+Inputs!$B$23)+MAX(-AU313,0)*(Inputs!$B$21+Inputs!$B$22+Inputs!$B$23)</f>
        <v>0</v>
      </c>
      <c r="AW313" s="30" t="n">
        <f aca="false">AP312*(M313-AR312*J313)+AP312*AR312*N313/Inputs!$B$16-AV313</f>
        <v>0</v>
      </c>
      <c r="AX313" s="30" t="n">
        <f aca="false">AW313-IF(AP312&lt;&gt;0,0.75*AR312*(Inputs!$B$13-N313)/Inputs!$B$16,0)</f>
        <v>0</v>
      </c>
      <c r="AY313" s="30" t="n">
        <f aca="false">MAX(AS313,0)*(Inputs!$B$17+Inputs!$B$18+Inputs!$B$19)+MAX(-AS313,0)*(O313+Inputs!$B$18+Inputs!$B$19)+IF(AND(K313=1,AP313&lt;&gt;0),(Inputs!$B$17+Inputs!$B$18+Inputs!$B$19)+(O313+Inputs!$B$18+Inputs!$B$19),0)</f>
        <v>0</v>
      </c>
      <c r="AZ313" s="30" t="n">
        <f aca="false">AP312*M313-AY313</f>
        <v>0</v>
      </c>
      <c r="BA313" s="32" t="n">
        <f aca="false">BA312+AI313</f>
        <v>-0.00574530534633948</v>
      </c>
      <c r="BB313" s="30" t="n">
        <f aca="false">MAX(BB312,BA313)</f>
        <v>0</v>
      </c>
      <c r="BC313" s="32" t="n">
        <f aca="false">BA313-BB313</f>
        <v>-0.00574530534633948</v>
      </c>
      <c r="BD313" s="30" t="n">
        <f aca="false">A314-A313</f>
        <v>1</v>
      </c>
    </row>
    <row r="314" customFormat="false" ht="15" hidden="false" customHeight="false" outlineLevel="0" collapsed="false">
      <c r="A314" s="28" t="n">
        <v>45503</v>
      </c>
      <c r="B314" s="0" t="n">
        <v>24935</v>
      </c>
      <c r="C314" s="0" t="n">
        <v>276.89</v>
      </c>
      <c r="D314" s="29" t="n">
        <f aca="false">LN(B314)</f>
        <v>10.1240277179802</v>
      </c>
      <c r="E314" s="29" t="n">
        <f aca="false">LN(C314)</f>
        <v>5.62362031540416</v>
      </c>
      <c r="F314" s="0" t="n">
        <v>309</v>
      </c>
      <c r="G314" s="0" t="n">
        <v>30</v>
      </c>
      <c r="H314" s="29" t="n">
        <f aca="false">D314-E314</f>
        <v>4.50040740257606</v>
      </c>
      <c r="I314" s="29" t="n">
        <f aca="false">D314-D313</f>
        <v>0.000417171423389817</v>
      </c>
      <c r="J314" s="29" t="n">
        <f aca="false">E314-E313</f>
        <v>-0.000324986010407535</v>
      </c>
      <c r="K314" s="0" t="n">
        <v>0</v>
      </c>
      <c r="L314" s="0" t="n">
        <v>0</v>
      </c>
      <c r="M314" s="29" t="n">
        <f aca="false">IF(L314=1,J314-Carry!$B$9/Inputs!$B$16,I314)</f>
        <v>0.000417171423389817</v>
      </c>
      <c r="N314" s="0" t="n">
        <v>0.065</v>
      </c>
      <c r="O314" s="0" t="n">
        <v>0.000125</v>
      </c>
      <c r="P314" s="29" t="n">
        <f aca="false">D314-('2 Hedge ratio'!$B$6+'2 Hedge ratio'!$B$5*E314)</f>
        <v>0.0102585818467951</v>
      </c>
      <c r="Q314" s="29" t="n">
        <f aca="false">D314-('5 Re-specification'!$B$7+'5 Re-specification'!$B$5*E314+'5 Re-specification'!$B$6*F314)</f>
        <v>0.000131922405067542</v>
      </c>
      <c r="R314" s="30" t="n">
        <f aca="false">MIN(F314,Inputs!$B$9)</f>
        <v>250</v>
      </c>
      <c r="S314" s="29" t="n">
        <f aca="true">IF(AND(F314&gt;=1,R314&gt;=Inputs!$B$10),INDEX(LINEST(OFFSET(D314,-R314,0,R314,1),OFFSET(E314,-R314,0,R314,2)),1,1),"")</f>
        <v>-5.86467403519095E-005</v>
      </c>
      <c r="T314" s="29" t="n">
        <f aca="true">IF(AND(F314&gt;=1,R314&gt;=Inputs!$B$10),INDEX(LINEST(OFFSET(D314,-R314,0,R314,1),OFFSET(E314,-R314,0,R314,2)),1,2),"")</f>
        <v>1.01973735605541</v>
      </c>
      <c r="U314" s="29" t="n">
        <f aca="true">IF(AND(F314&gt;=1,R314&gt;=Inputs!$B$10),INDEX(LINEST(OFFSET(D314,-R314,0,R314,1),OFFSET(E314,-R314,0,R314,2)),1,3),"")</f>
        <v>4.40919795828018</v>
      </c>
      <c r="V314" s="29" t="n">
        <f aca="true">IF(AND(F314&gt;=1,R314&gt;=Inputs!$B$10),SQRT(SUMPRODUCT((OFFSET(D314,-R314,0,R314,1)-U314-T314*OFFSET(E314,-R314,0,R314,1)-S314*OFFSET(F314,-R314,0,R314,1))^2)/(R314-3)),"")</f>
        <v>0.00350210573005193</v>
      </c>
      <c r="W314" s="31" t="n">
        <f aca="false">IF(AND(F314&gt;=1,R314&gt;=Inputs!$B$10),(D314-U314-T314*E314-S314*F314)/V314,"")</f>
        <v>-0.475173952260074</v>
      </c>
      <c r="X314" s="30" t="n">
        <f aca="false">IF(AB313&lt;&gt;0,AC313+1,0)</f>
        <v>0</v>
      </c>
      <c r="Y314" s="30" t="n">
        <f aca="false">IF(W314="",0,IF(AND(AB313&lt;&gt;0,OR(ABS(W314)&gt;Inputs!$B$7,X314&gt;=Inputs!$B$8,ABS(W314)&lt;Inputs!$B$6)),1,0))</f>
        <v>0</v>
      </c>
      <c r="Z314" s="30" t="n">
        <f aca="false">IF(Y314=1,0,AB313)</f>
        <v>0</v>
      </c>
      <c r="AA314" s="30" t="n">
        <f aca="false">IF(W314="",0,IF(AND(Z314=0,ABS(W314)&gt;Inputs!$B$5,ABS(W314)&lt;=Inputs!$B$7),1,0))</f>
        <v>0</v>
      </c>
      <c r="AB314" s="30" t="n">
        <f aca="false">IF(W314="",0,IF(AA314=1,-SIGN(W314),Z314))</f>
        <v>0</v>
      </c>
      <c r="AC314" s="30" t="n">
        <f aca="false">IF(W314="",0,IF(AA314=1,0,IF(Y314=1,0,X314)))</f>
        <v>0</v>
      </c>
      <c r="AD314" s="30" t="n">
        <f aca="false">IF(AB314=0,0,IF(AB313=AB314,AD313,T314))</f>
        <v>0</v>
      </c>
      <c r="AE314" s="30" t="n">
        <f aca="false">AB314-AB313</f>
        <v>0</v>
      </c>
      <c r="AF314" s="30" t="n">
        <f aca="false">-AD314*AB314</f>
        <v>-0</v>
      </c>
      <c r="AG314" s="30" t="n">
        <f aca="false">AF314-AF313</f>
        <v>0</v>
      </c>
      <c r="AH314" s="30" t="n">
        <f aca="false">MAX(AE314,0)*(Inputs!$B$17+Inputs!$B$18+Inputs!$B$19)+MAX(-AE314,0)*(O314+Inputs!$B$18+Inputs!$B$19)+IF(AND(K314=1,AB314&lt;&gt;0),(Inputs!$B$17+Inputs!$B$18+Inputs!$B$19)+(O314+Inputs!$B$18+Inputs!$B$19),0)+MAX(AG314,0)*(Inputs!$B$20+Inputs!$B$22+Inputs!$B$23)+MAX(-AG314,0)*(Inputs!$B$21+Inputs!$B$22+Inputs!$B$23)</f>
        <v>0</v>
      </c>
      <c r="AI314" s="30" t="n">
        <f aca="false">AB313*(M314-AD313*J314)+AB313*AD313*N314/Inputs!$B$16-AH314</f>
        <v>0</v>
      </c>
      <c r="AJ314" s="30" t="n">
        <f aca="false">MAX(AE314,0)*(Inputs!$B$17+Inputs!$B$24+Inputs!$B$25)+MAX(-AE314,0)*(O314+Inputs!$B$24+Inputs!$B$25)+IF(AND(K314=1,AB314&lt;&gt;0),(Inputs!$B$17+Inputs!$B$24+Inputs!$B$25)+(O314+Inputs!$B$24+Inputs!$B$25),0)+MAX(AG314,0)*(Inputs!$B$20+Inputs!$B$26+Inputs!$B$27)+MAX(-AG314,0)*(Inputs!$B$21+Inputs!$B$26+Inputs!$B$27)</f>
        <v>0</v>
      </c>
      <c r="AK314" s="30" t="n">
        <f aca="false">AB313*(M314-AD313*J314)+AB313*AD313*(N314+Inputs!$B$14)/Inputs!$B$16-AJ314</f>
        <v>0</v>
      </c>
      <c r="AL314" s="30" t="n">
        <f aca="false">IF(AP313&lt;&gt;0,AQ313+1,0)</f>
        <v>0</v>
      </c>
      <c r="AM314" s="30" t="n">
        <f aca="false">IF(W314="",0,IF(AND(AP313&lt;&gt;0,OR(ABS(W314)&gt;Inputs!$B$7,AL314&gt;=Inputs!$B$8,ABS(W314)&lt;Inputs!$B$6)),1,0))</f>
        <v>0</v>
      </c>
      <c r="AN314" s="30" t="n">
        <f aca="false">IF(AM314=1,0,AP313)</f>
        <v>0</v>
      </c>
      <c r="AO314" s="30" t="n">
        <f aca="false">IF(W314="",0,IF(AND(AN314=0,ABS(W314)&gt;Inputs!$B$5,ABS(W314)&lt;=Inputs!$B$7,W314&gt;0),1,0))</f>
        <v>0</v>
      </c>
      <c r="AP314" s="30" t="n">
        <f aca="false">IF(W314="",0,IF(AO314=1,-SIGN(W314),AN314))</f>
        <v>0</v>
      </c>
      <c r="AQ314" s="30" t="n">
        <f aca="false">IF(W314="",0,IF(AO314=1,0,IF(AM314=1,0,AL314)))</f>
        <v>0</v>
      </c>
      <c r="AR314" s="30" t="n">
        <f aca="false">IF(AP314=0,0,IF(AP313=AP314,AR313,T314))</f>
        <v>0</v>
      </c>
      <c r="AS314" s="30" t="n">
        <f aca="false">AP314-AP313</f>
        <v>0</v>
      </c>
      <c r="AT314" s="30" t="n">
        <f aca="false">-AR314*AP314</f>
        <v>-0</v>
      </c>
      <c r="AU314" s="30" t="n">
        <f aca="false">AT314-AT313</f>
        <v>0</v>
      </c>
      <c r="AV314" s="30" t="n">
        <f aca="false">MAX(AS314,0)*(Inputs!$B$17+Inputs!$B$18+Inputs!$B$19)+MAX(-AS314,0)*(O314+Inputs!$B$18+Inputs!$B$19)+IF(AND(K314=1,AP314&lt;&gt;0),(Inputs!$B$17+Inputs!$B$18+Inputs!$B$19)+(O314+Inputs!$B$18+Inputs!$B$19),0)+MAX(AU314,0)*(Inputs!$B$20+Inputs!$B$22+Inputs!$B$23)+MAX(-AU314,0)*(Inputs!$B$21+Inputs!$B$22+Inputs!$B$23)</f>
        <v>0</v>
      </c>
      <c r="AW314" s="30" t="n">
        <f aca="false">AP313*(M314-AR313*J314)+AP313*AR313*N314/Inputs!$B$16-AV314</f>
        <v>0</v>
      </c>
      <c r="AX314" s="30" t="n">
        <f aca="false">AW314-IF(AP313&lt;&gt;0,0.75*AR313*(Inputs!$B$13-N314)/Inputs!$B$16,0)</f>
        <v>0</v>
      </c>
      <c r="AY314" s="30" t="n">
        <f aca="false">MAX(AS314,0)*(Inputs!$B$17+Inputs!$B$18+Inputs!$B$19)+MAX(-AS314,0)*(O314+Inputs!$B$18+Inputs!$B$19)+IF(AND(K314=1,AP314&lt;&gt;0),(Inputs!$B$17+Inputs!$B$18+Inputs!$B$19)+(O314+Inputs!$B$18+Inputs!$B$19),0)</f>
        <v>0</v>
      </c>
      <c r="AZ314" s="30" t="n">
        <f aca="false">AP313*M314-AY314</f>
        <v>0</v>
      </c>
      <c r="BA314" s="32" t="n">
        <f aca="false">BA313+AI314</f>
        <v>-0.00574530534633948</v>
      </c>
      <c r="BB314" s="30" t="n">
        <f aca="false">MAX(BB313,BA314)</f>
        <v>0</v>
      </c>
      <c r="BC314" s="32" t="n">
        <f aca="false">BA314-BB314</f>
        <v>-0.00574530534633948</v>
      </c>
      <c r="BD314" s="30" t="n">
        <f aca="false">A315-A314</f>
        <v>1</v>
      </c>
    </row>
    <row r="315" customFormat="false" ht="15" hidden="false" customHeight="false" outlineLevel="0" collapsed="false">
      <c r="A315" s="28" t="n">
        <v>45504</v>
      </c>
      <c r="B315" s="0" t="n">
        <v>25031.35</v>
      </c>
      <c r="C315" s="0" t="n">
        <v>278</v>
      </c>
      <c r="D315" s="29" t="n">
        <f aca="false">LN(B315)</f>
        <v>10.127884318249</v>
      </c>
      <c r="E315" s="29" t="n">
        <f aca="false">LN(C315)</f>
        <v>5.62762111369064</v>
      </c>
      <c r="F315" s="0" t="n">
        <v>310</v>
      </c>
      <c r="G315" s="0" t="n">
        <v>29</v>
      </c>
      <c r="H315" s="29" t="n">
        <f aca="false">D315-E315</f>
        <v>4.5002632045584</v>
      </c>
      <c r="I315" s="29" t="n">
        <f aca="false">D315-D314</f>
        <v>0.00385660026880963</v>
      </c>
      <c r="J315" s="29" t="n">
        <f aca="false">E315-E314</f>
        <v>0.00400079828647293</v>
      </c>
      <c r="K315" s="0" t="n">
        <v>0</v>
      </c>
      <c r="L315" s="0" t="n">
        <v>0</v>
      </c>
      <c r="M315" s="29" t="n">
        <f aca="false">IF(L315=1,J315-Carry!$B$9/Inputs!$B$16,I315)</f>
        <v>0.00385660026880963</v>
      </c>
      <c r="N315" s="0" t="n">
        <v>0.065</v>
      </c>
      <c r="O315" s="0" t="n">
        <v>0.000125</v>
      </c>
      <c r="P315" s="29" t="n">
        <f aca="false">D315-('2 Hedge ratio'!$B$6+'2 Hedge ratio'!$B$5*E315)</f>
        <v>0.0104499437470178</v>
      </c>
      <c r="Q315" s="29" t="n">
        <f aca="false">D315-('5 Re-specification'!$B$7+'5 Re-specification'!$B$5*E315+'5 Re-specification'!$B$6*F315)</f>
        <v>4.4778124793865E-005</v>
      </c>
      <c r="R315" s="30" t="n">
        <f aca="false">MIN(F315,Inputs!$B$9)</f>
        <v>250</v>
      </c>
      <c r="S315" s="29" t="n">
        <f aca="true">IF(AND(F315&gt;=1,R315&gt;=Inputs!$B$10),INDEX(LINEST(OFFSET(D315,-R315,0,R315,1),OFFSET(E315,-R315,0,R315,2)),1,1),"")</f>
        <v>-5.94525260889783E-005</v>
      </c>
      <c r="T315" s="29" t="n">
        <f aca="true">IF(AND(F315&gt;=1,R315&gt;=Inputs!$B$10),INDEX(LINEST(OFFSET(D315,-R315,0,R315,1),OFFSET(E315,-R315,0,R315,2)),1,2),"")</f>
        <v>1.02013630333535</v>
      </c>
      <c r="U315" s="29" t="n">
        <f aca="true">IF(AND(F315&gt;=1,R315&gt;=Inputs!$B$10),INDEX(LINEST(OFFSET(D315,-R315,0,R315,1),OFFSET(E315,-R315,0,R315,2)),1,3),"")</f>
        <v>4.40716851021416</v>
      </c>
      <c r="V315" s="29" t="n">
        <f aca="true">IF(AND(F315&gt;=1,R315&gt;=Inputs!$B$10),SQRT(SUMPRODUCT((OFFSET(D315,-R315,0,R315,1)-U315-T315*OFFSET(E315,-R315,0,R315,1)-S315*OFFSET(F315,-R315,0,R315,1))^2)/(R315-3)),"")</f>
        <v>0.00350002579063089</v>
      </c>
      <c r="W315" s="31" t="n">
        <f aca="false">IF(AND(F315&gt;=1,R315&gt;=Inputs!$B$10),(D315-U315-T315*E315-S315*F315)/V315,"")</f>
        <v>-0.51271289904682</v>
      </c>
      <c r="X315" s="30" t="n">
        <f aca="false">IF(AB314&lt;&gt;0,AC314+1,0)</f>
        <v>0</v>
      </c>
      <c r="Y315" s="30" t="n">
        <f aca="false">IF(W315="",0,IF(AND(AB314&lt;&gt;0,OR(ABS(W315)&gt;Inputs!$B$7,X315&gt;=Inputs!$B$8,ABS(W315)&lt;Inputs!$B$6)),1,0))</f>
        <v>0</v>
      </c>
      <c r="Z315" s="30" t="n">
        <f aca="false">IF(Y315=1,0,AB314)</f>
        <v>0</v>
      </c>
      <c r="AA315" s="30" t="n">
        <f aca="false">IF(W315="",0,IF(AND(Z315=0,ABS(W315)&gt;Inputs!$B$5,ABS(W315)&lt;=Inputs!$B$7),1,0))</f>
        <v>0</v>
      </c>
      <c r="AB315" s="30" t="n">
        <f aca="false">IF(W315="",0,IF(AA315=1,-SIGN(W315),Z315))</f>
        <v>0</v>
      </c>
      <c r="AC315" s="30" t="n">
        <f aca="false">IF(W315="",0,IF(AA315=1,0,IF(Y315=1,0,X315)))</f>
        <v>0</v>
      </c>
      <c r="AD315" s="30" t="n">
        <f aca="false">IF(AB315=0,0,IF(AB314=AB315,AD314,T315))</f>
        <v>0</v>
      </c>
      <c r="AE315" s="30" t="n">
        <f aca="false">AB315-AB314</f>
        <v>0</v>
      </c>
      <c r="AF315" s="30" t="n">
        <f aca="false">-AD315*AB315</f>
        <v>-0</v>
      </c>
      <c r="AG315" s="30" t="n">
        <f aca="false">AF315-AF314</f>
        <v>0</v>
      </c>
      <c r="AH315" s="30" t="n">
        <f aca="false">MAX(AE315,0)*(Inputs!$B$17+Inputs!$B$18+Inputs!$B$19)+MAX(-AE315,0)*(O315+Inputs!$B$18+Inputs!$B$19)+IF(AND(K315=1,AB315&lt;&gt;0),(Inputs!$B$17+Inputs!$B$18+Inputs!$B$19)+(O315+Inputs!$B$18+Inputs!$B$19),0)+MAX(AG315,0)*(Inputs!$B$20+Inputs!$B$22+Inputs!$B$23)+MAX(-AG315,0)*(Inputs!$B$21+Inputs!$B$22+Inputs!$B$23)</f>
        <v>0</v>
      </c>
      <c r="AI315" s="30" t="n">
        <f aca="false">AB314*(M315-AD314*J315)+AB314*AD314*N315/Inputs!$B$16-AH315</f>
        <v>0</v>
      </c>
      <c r="AJ315" s="30" t="n">
        <f aca="false">MAX(AE315,0)*(Inputs!$B$17+Inputs!$B$24+Inputs!$B$25)+MAX(-AE315,0)*(O315+Inputs!$B$24+Inputs!$B$25)+IF(AND(K315=1,AB315&lt;&gt;0),(Inputs!$B$17+Inputs!$B$24+Inputs!$B$25)+(O315+Inputs!$B$24+Inputs!$B$25),0)+MAX(AG315,0)*(Inputs!$B$20+Inputs!$B$26+Inputs!$B$27)+MAX(-AG315,0)*(Inputs!$B$21+Inputs!$B$26+Inputs!$B$27)</f>
        <v>0</v>
      </c>
      <c r="AK315" s="30" t="n">
        <f aca="false">AB314*(M315-AD314*J315)+AB314*AD314*(N315+Inputs!$B$14)/Inputs!$B$16-AJ315</f>
        <v>0</v>
      </c>
      <c r="AL315" s="30" t="n">
        <f aca="false">IF(AP314&lt;&gt;0,AQ314+1,0)</f>
        <v>0</v>
      </c>
      <c r="AM315" s="30" t="n">
        <f aca="false">IF(W315="",0,IF(AND(AP314&lt;&gt;0,OR(ABS(W315)&gt;Inputs!$B$7,AL315&gt;=Inputs!$B$8,ABS(W315)&lt;Inputs!$B$6)),1,0))</f>
        <v>0</v>
      </c>
      <c r="AN315" s="30" t="n">
        <f aca="false">IF(AM315=1,0,AP314)</f>
        <v>0</v>
      </c>
      <c r="AO315" s="30" t="n">
        <f aca="false">IF(W315="",0,IF(AND(AN315=0,ABS(W315)&gt;Inputs!$B$5,ABS(W315)&lt;=Inputs!$B$7,W315&gt;0),1,0))</f>
        <v>0</v>
      </c>
      <c r="AP315" s="30" t="n">
        <f aca="false">IF(W315="",0,IF(AO315=1,-SIGN(W315),AN315))</f>
        <v>0</v>
      </c>
      <c r="AQ315" s="30" t="n">
        <f aca="false">IF(W315="",0,IF(AO315=1,0,IF(AM315=1,0,AL315)))</f>
        <v>0</v>
      </c>
      <c r="AR315" s="30" t="n">
        <f aca="false">IF(AP315=0,0,IF(AP314=AP315,AR314,T315))</f>
        <v>0</v>
      </c>
      <c r="AS315" s="30" t="n">
        <f aca="false">AP315-AP314</f>
        <v>0</v>
      </c>
      <c r="AT315" s="30" t="n">
        <f aca="false">-AR315*AP315</f>
        <v>-0</v>
      </c>
      <c r="AU315" s="30" t="n">
        <f aca="false">AT315-AT314</f>
        <v>0</v>
      </c>
      <c r="AV315" s="30" t="n">
        <f aca="false">MAX(AS315,0)*(Inputs!$B$17+Inputs!$B$18+Inputs!$B$19)+MAX(-AS315,0)*(O315+Inputs!$B$18+Inputs!$B$19)+IF(AND(K315=1,AP315&lt;&gt;0),(Inputs!$B$17+Inputs!$B$18+Inputs!$B$19)+(O315+Inputs!$B$18+Inputs!$B$19),0)+MAX(AU315,0)*(Inputs!$B$20+Inputs!$B$22+Inputs!$B$23)+MAX(-AU315,0)*(Inputs!$B$21+Inputs!$B$22+Inputs!$B$23)</f>
        <v>0</v>
      </c>
      <c r="AW315" s="30" t="n">
        <f aca="false">AP314*(M315-AR314*J315)+AP314*AR314*N315/Inputs!$B$16-AV315</f>
        <v>0</v>
      </c>
      <c r="AX315" s="30" t="n">
        <f aca="false">AW315-IF(AP314&lt;&gt;0,0.75*AR314*(Inputs!$B$13-N315)/Inputs!$B$16,0)</f>
        <v>0</v>
      </c>
      <c r="AY315" s="30" t="n">
        <f aca="false">MAX(AS315,0)*(Inputs!$B$17+Inputs!$B$18+Inputs!$B$19)+MAX(-AS315,0)*(O315+Inputs!$B$18+Inputs!$B$19)+IF(AND(K315=1,AP315&lt;&gt;0),(Inputs!$B$17+Inputs!$B$18+Inputs!$B$19)+(O315+Inputs!$B$18+Inputs!$B$19),0)</f>
        <v>0</v>
      </c>
      <c r="AZ315" s="30" t="n">
        <f aca="false">AP314*M315-AY315</f>
        <v>0</v>
      </c>
      <c r="BA315" s="32" t="n">
        <f aca="false">BA314+AI315</f>
        <v>-0.00574530534633948</v>
      </c>
      <c r="BB315" s="30" t="n">
        <f aca="false">MAX(BB314,BA315)</f>
        <v>0</v>
      </c>
      <c r="BC315" s="32" t="n">
        <f aca="false">BA315-BB315</f>
        <v>-0.00574530534633948</v>
      </c>
      <c r="BD315" s="30" t="n">
        <f aca="false">A316-A315</f>
        <v>1</v>
      </c>
    </row>
    <row r="316" customFormat="false" ht="15" hidden="false" customHeight="false" outlineLevel="0" collapsed="false">
      <c r="A316" s="28" t="n">
        <v>45505</v>
      </c>
      <c r="B316" s="0" t="n">
        <v>25038</v>
      </c>
      <c r="C316" s="0" t="n">
        <v>278.41</v>
      </c>
      <c r="D316" s="29" t="n">
        <f aca="false">LN(B316)</f>
        <v>10.1281499498196</v>
      </c>
      <c r="E316" s="29" t="n">
        <f aca="false">LN(C316)</f>
        <v>5.6290948473554</v>
      </c>
      <c r="F316" s="0" t="n">
        <v>311</v>
      </c>
      <c r="G316" s="0" t="n">
        <v>28</v>
      </c>
      <c r="H316" s="29" t="n">
        <f aca="false">D316-E316</f>
        <v>4.49905510246421</v>
      </c>
      <c r="I316" s="29" t="n">
        <f aca="false">D316-D315</f>
        <v>0.000265631570576019</v>
      </c>
      <c r="J316" s="29" t="n">
        <f aca="false">E316-E315</f>
        <v>0.00147373366476611</v>
      </c>
      <c r="K316" s="0" t="n">
        <v>0</v>
      </c>
      <c r="L316" s="0" t="n">
        <v>0</v>
      </c>
      <c r="M316" s="29" t="n">
        <f aca="false">IF(L316=1,J316-Carry!$B$9/Inputs!$B$16,I316)</f>
        <v>0.000265631570576019</v>
      </c>
      <c r="N316" s="0" t="n">
        <v>0.065</v>
      </c>
      <c r="O316" s="0" t="n">
        <v>0.000125</v>
      </c>
      <c r="P316" s="29" t="n">
        <f aca="false">D316-('2 Hedge ratio'!$B$6+'2 Hedge ratio'!$B$5*E316)</f>
        <v>0.00936544847129817</v>
      </c>
      <c r="Q316" s="29" t="n">
        <f aca="false">D316-('5 Re-specification'!$B$7+'5 Re-specification'!$B$5*E316+'5 Re-specification'!$B$6*F316)</f>
        <v>-0.0011139285013968</v>
      </c>
      <c r="R316" s="30" t="n">
        <f aca="false">MIN(F316,Inputs!$B$9)</f>
        <v>250</v>
      </c>
      <c r="S316" s="29" t="n">
        <f aca="true">IF(AND(F316&gt;=1,R316&gt;=Inputs!$B$10),INDEX(LINEST(OFFSET(D316,-R316,0,R316,1),OFFSET(E316,-R316,0,R316,2)),1,1),"")</f>
        <v>-6.0815197678494E-005</v>
      </c>
      <c r="T316" s="29" t="n">
        <f aca="true">IF(AND(F316&gt;=1,R316&gt;=Inputs!$B$10),INDEX(LINEST(OFFSET(D316,-R316,0,R316,1),OFFSET(E316,-R316,0,R316,2)),1,2),"")</f>
        <v>1.02095975750837</v>
      </c>
      <c r="U316" s="29" t="n">
        <f aca="true">IF(AND(F316&gt;=1,R316&gt;=Inputs!$B$10),INDEX(LINEST(OFFSET(D316,-R316,0,R316,1),OFFSET(E316,-R316,0,R316,2)),1,3),"")</f>
        <v>4.40292505797843</v>
      </c>
      <c r="V316" s="29" t="n">
        <f aca="true">IF(AND(F316&gt;=1,R316&gt;=Inputs!$B$10),SQRT(SUMPRODUCT((OFFSET(D316,-R316,0,R316,1)-U316-T316*OFFSET(E316,-R316,0,R316,1)-S316*OFFSET(F316,-R316,0,R316,1))^2)/(R316-3)),"")</f>
        <v>0.00349429073164393</v>
      </c>
      <c r="W316" s="31" t="n">
        <f aca="false">IF(AND(F316&gt;=1,R316&gt;=Inputs!$B$10),(D316-U316-T316*E316-S316*F316)/V316,"")</f>
        <v>-0.841627744868378</v>
      </c>
      <c r="X316" s="30" t="n">
        <f aca="false">IF(AB315&lt;&gt;0,AC315+1,0)</f>
        <v>0</v>
      </c>
      <c r="Y316" s="30" t="n">
        <f aca="false">IF(W316="",0,IF(AND(AB315&lt;&gt;0,OR(ABS(W316)&gt;Inputs!$B$7,X316&gt;=Inputs!$B$8,ABS(W316)&lt;Inputs!$B$6)),1,0))</f>
        <v>0</v>
      </c>
      <c r="Z316" s="30" t="n">
        <f aca="false">IF(Y316=1,0,AB315)</f>
        <v>0</v>
      </c>
      <c r="AA316" s="30" t="n">
        <f aca="false">IF(W316="",0,IF(AND(Z316=0,ABS(W316)&gt;Inputs!$B$5,ABS(W316)&lt;=Inputs!$B$7),1,0))</f>
        <v>0</v>
      </c>
      <c r="AB316" s="30" t="n">
        <f aca="false">IF(W316="",0,IF(AA316=1,-SIGN(W316),Z316))</f>
        <v>0</v>
      </c>
      <c r="AC316" s="30" t="n">
        <f aca="false">IF(W316="",0,IF(AA316=1,0,IF(Y316=1,0,X316)))</f>
        <v>0</v>
      </c>
      <c r="AD316" s="30" t="n">
        <f aca="false">IF(AB316=0,0,IF(AB315=AB316,AD315,T316))</f>
        <v>0</v>
      </c>
      <c r="AE316" s="30" t="n">
        <f aca="false">AB316-AB315</f>
        <v>0</v>
      </c>
      <c r="AF316" s="30" t="n">
        <f aca="false">-AD316*AB316</f>
        <v>-0</v>
      </c>
      <c r="AG316" s="30" t="n">
        <f aca="false">AF316-AF315</f>
        <v>0</v>
      </c>
      <c r="AH316" s="30" t="n">
        <f aca="false">MAX(AE316,0)*(Inputs!$B$17+Inputs!$B$18+Inputs!$B$19)+MAX(-AE316,0)*(O316+Inputs!$B$18+Inputs!$B$19)+IF(AND(K316=1,AB316&lt;&gt;0),(Inputs!$B$17+Inputs!$B$18+Inputs!$B$19)+(O316+Inputs!$B$18+Inputs!$B$19),0)+MAX(AG316,0)*(Inputs!$B$20+Inputs!$B$22+Inputs!$B$23)+MAX(-AG316,0)*(Inputs!$B$21+Inputs!$B$22+Inputs!$B$23)</f>
        <v>0</v>
      </c>
      <c r="AI316" s="30" t="n">
        <f aca="false">AB315*(M316-AD315*J316)+AB315*AD315*N316/Inputs!$B$16-AH316</f>
        <v>0</v>
      </c>
      <c r="AJ316" s="30" t="n">
        <f aca="false">MAX(AE316,0)*(Inputs!$B$17+Inputs!$B$24+Inputs!$B$25)+MAX(-AE316,0)*(O316+Inputs!$B$24+Inputs!$B$25)+IF(AND(K316=1,AB316&lt;&gt;0),(Inputs!$B$17+Inputs!$B$24+Inputs!$B$25)+(O316+Inputs!$B$24+Inputs!$B$25),0)+MAX(AG316,0)*(Inputs!$B$20+Inputs!$B$26+Inputs!$B$27)+MAX(-AG316,0)*(Inputs!$B$21+Inputs!$B$26+Inputs!$B$27)</f>
        <v>0</v>
      </c>
      <c r="AK316" s="30" t="n">
        <f aca="false">AB315*(M316-AD315*J316)+AB315*AD315*(N316+Inputs!$B$14)/Inputs!$B$16-AJ316</f>
        <v>0</v>
      </c>
      <c r="AL316" s="30" t="n">
        <f aca="false">IF(AP315&lt;&gt;0,AQ315+1,0)</f>
        <v>0</v>
      </c>
      <c r="AM316" s="30" t="n">
        <f aca="false">IF(W316="",0,IF(AND(AP315&lt;&gt;0,OR(ABS(W316)&gt;Inputs!$B$7,AL316&gt;=Inputs!$B$8,ABS(W316)&lt;Inputs!$B$6)),1,0))</f>
        <v>0</v>
      </c>
      <c r="AN316" s="30" t="n">
        <f aca="false">IF(AM316=1,0,AP315)</f>
        <v>0</v>
      </c>
      <c r="AO316" s="30" t="n">
        <f aca="false">IF(W316="",0,IF(AND(AN316=0,ABS(W316)&gt;Inputs!$B$5,ABS(W316)&lt;=Inputs!$B$7,W316&gt;0),1,0))</f>
        <v>0</v>
      </c>
      <c r="AP316" s="30" t="n">
        <f aca="false">IF(W316="",0,IF(AO316=1,-SIGN(W316),AN316))</f>
        <v>0</v>
      </c>
      <c r="AQ316" s="30" t="n">
        <f aca="false">IF(W316="",0,IF(AO316=1,0,IF(AM316=1,0,AL316)))</f>
        <v>0</v>
      </c>
      <c r="AR316" s="30" t="n">
        <f aca="false">IF(AP316=0,0,IF(AP315=AP316,AR315,T316))</f>
        <v>0</v>
      </c>
      <c r="AS316" s="30" t="n">
        <f aca="false">AP316-AP315</f>
        <v>0</v>
      </c>
      <c r="AT316" s="30" t="n">
        <f aca="false">-AR316*AP316</f>
        <v>-0</v>
      </c>
      <c r="AU316" s="30" t="n">
        <f aca="false">AT316-AT315</f>
        <v>0</v>
      </c>
      <c r="AV316" s="30" t="n">
        <f aca="false">MAX(AS316,0)*(Inputs!$B$17+Inputs!$B$18+Inputs!$B$19)+MAX(-AS316,0)*(O316+Inputs!$B$18+Inputs!$B$19)+IF(AND(K316=1,AP316&lt;&gt;0),(Inputs!$B$17+Inputs!$B$18+Inputs!$B$19)+(O316+Inputs!$B$18+Inputs!$B$19),0)+MAX(AU316,0)*(Inputs!$B$20+Inputs!$B$22+Inputs!$B$23)+MAX(-AU316,0)*(Inputs!$B$21+Inputs!$B$22+Inputs!$B$23)</f>
        <v>0</v>
      </c>
      <c r="AW316" s="30" t="n">
        <f aca="false">AP315*(M316-AR315*J316)+AP315*AR315*N316/Inputs!$B$16-AV316</f>
        <v>0</v>
      </c>
      <c r="AX316" s="30" t="n">
        <f aca="false">AW316-IF(AP315&lt;&gt;0,0.75*AR315*(Inputs!$B$13-N316)/Inputs!$B$16,0)</f>
        <v>0</v>
      </c>
      <c r="AY316" s="30" t="n">
        <f aca="false">MAX(AS316,0)*(Inputs!$B$17+Inputs!$B$18+Inputs!$B$19)+MAX(-AS316,0)*(O316+Inputs!$B$18+Inputs!$B$19)+IF(AND(K316=1,AP316&lt;&gt;0),(Inputs!$B$17+Inputs!$B$18+Inputs!$B$19)+(O316+Inputs!$B$18+Inputs!$B$19),0)</f>
        <v>0</v>
      </c>
      <c r="AZ316" s="30" t="n">
        <f aca="false">AP315*M316-AY316</f>
        <v>0</v>
      </c>
      <c r="BA316" s="32" t="n">
        <f aca="false">BA315+AI316</f>
        <v>-0.00574530534633948</v>
      </c>
      <c r="BB316" s="30" t="n">
        <f aca="false">MAX(BB315,BA316)</f>
        <v>0</v>
      </c>
      <c r="BC316" s="32" t="n">
        <f aca="false">BA316-BB316</f>
        <v>-0.00574530534633948</v>
      </c>
      <c r="BD316" s="30" t="n">
        <f aca="false">A317-A316</f>
        <v>1</v>
      </c>
    </row>
    <row r="317" customFormat="false" ht="15" hidden="false" customHeight="false" outlineLevel="0" collapsed="false">
      <c r="A317" s="28" t="n">
        <v>45506</v>
      </c>
      <c r="B317" s="0" t="n">
        <v>24700</v>
      </c>
      <c r="C317" s="0" t="n">
        <v>275.74</v>
      </c>
      <c r="D317" s="29" t="n">
        <f aca="false">LN(B317)</f>
        <v>10.1145585226161</v>
      </c>
      <c r="E317" s="29" t="n">
        <f aca="false">LN(C317)</f>
        <v>5.61945839274348</v>
      </c>
      <c r="F317" s="0" t="n">
        <v>312</v>
      </c>
      <c r="G317" s="0" t="n">
        <v>27</v>
      </c>
      <c r="H317" s="29" t="n">
        <f aca="false">D317-E317</f>
        <v>4.49510012987259</v>
      </c>
      <c r="I317" s="29" t="n">
        <f aca="false">D317-D316</f>
        <v>-0.01359142720354</v>
      </c>
      <c r="J317" s="29" t="n">
        <f aca="false">E317-E316</f>
        <v>-0.00963645461192009</v>
      </c>
      <c r="K317" s="0" t="n">
        <v>0</v>
      </c>
      <c r="L317" s="0" t="n">
        <v>0</v>
      </c>
      <c r="M317" s="29" t="n">
        <f aca="false">IF(L317=1,J317-Carry!$B$9/Inputs!$B$16,I317)</f>
        <v>-0.01359142720354</v>
      </c>
      <c r="N317" s="0" t="n">
        <v>0.065</v>
      </c>
      <c r="O317" s="0" t="n">
        <v>0.000125</v>
      </c>
      <c r="P317" s="29" t="n">
        <f aca="false">D317-('2 Hedge ratio'!$B$6+'2 Hedge ratio'!$B$5*E317)</f>
        <v>0.00460223520200387</v>
      </c>
      <c r="Q317" s="29" t="n">
        <f aca="false">D317-('5 Re-specification'!$B$7+'5 Re-specification'!$B$5*E317+'5 Re-specification'!$B$6*F317)</f>
        <v>-0.00505317505082736</v>
      </c>
      <c r="R317" s="30" t="n">
        <f aca="false">MIN(F317,Inputs!$B$9)</f>
        <v>250</v>
      </c>
      <c r="S317" s="29" t="n">
        <f aca="true">IF(AND(F317&gt;=1,R317&gt;=Inputs!$B$10),INDEX(LINEST(OFFSET(D317,-R317,0,R317,1),OFFSET(E317,-R317,0,R317,2)),1,1),"")</f>
        <v>-6.28381529944528E-005</v>
      </c>
      <c r="T317" s="29" t="n">
        <f aca="true">IF(AND(F317&gt;=1,R317&gt;=Inputs!$B$10),INDEX(LINEST(OFFSET(D317,-R317,0,R317,1),OFFSET(E317,-R317,0,R317,2)),1,2),"")</f>
        <v>1.02210864176411</v>
      </c>
      <c r="U317" s="29" t="n">
        <f aca="true">IF(AND(F317&gt;=1,R317&gt;=Inputs!$B$10),INDEX(LINEST(OFFSET(D317,-R317,0,R317,1),OFFSET(E317,-R317,0,R317,2)),1,3),"")</f>
        <v>4.3970292983612</v>
      </c>
      <c r="V317" s="29" t="n">
        <f aca="true">IF(AND(F317&gt;=1,R317&gt;=Inputs!$B$10),SQRT(SUMPRODUCT((OFFSET(D317,-R317,0,R317,1)-U317-T317*OFFSET(E317,-R317,0,R317,1)-S317*OFFSET(F317,-R317,0,R317,1))^2)/(R317-3)),"")</f>
        <v>0.00347969333728834</v>
      </c>
      <c r="W317" s="31" t="n">
        <f aca="false">IF(AND(F317&gt;=1,R317&gt;=Inputs!$B$10),(D317-U317-T317*E317-S317*F317)/V317,"")</f>
        <v>-1.88587229728957</v>
      </c>
      <c r="X317" s="30" t="n">
        <f aca="false">IF(AB316&lt;&gt;0,AC316+1,0)</f>
        <v>0</v>
      </c>
      <c r="Y317" s="30" t="n">
        <f aca="false">IF(W317="",0,IF(AND(AB316&lt;&gt;0,OR(ABS(W317)&gt;Inputs!$B$7,X317&gt;=Inputs!$B$8,ABS(W317)&lt;Inputs!$B$6)),1,0))</f>
        <v>0</v>
      </c>
      <c r="Z317" s="30" t="n">
        <f aca="false">IF(Y317=1,0,AB316)</f>
        <v>0</v>
      </c>
      <c r="AA317" s="30" t="n">
        <f aca="false">IF(W317="",0,IF(AND(Z317=0,ABS(W317)&gt;Inputs!$B$5,ABS(W317)&lt;=Inputs!$B$7),1,0))</f>
        <v>0</v>
      </c>
      <c r="AB317" s="30" t="n">
        <f aca="false">IF(W317="",0,IF(AA317=1,-SIGN(W317),Z317))</f>
        <v>0</v>
      </c>
      <c r="AC317" s="30" t="n">
        <f aca="false">IF(W317="",0,IF(AA317=1,0,IF(Y317=1,0,X317)))</f>
        <v>0</v>
      </c>
      <c r="AD317" s="30" t="n">
        <f aca="false">IF(AB317=0,0,IF(AB316=AB317,AD316,T317))</f>
        <v>0</v>
      </c>
      <c r="AE317" s="30" t="n">
        <f aca="false">AB317-AB316</f>
        <v>0</v>
      </c>
      <c r="AF317" s="30" t="n">
        <f aca="false">-AD317*AB317</f>
        <v>-0</v>
      </c>
      <c r="AG317" s="30" t="n">
        <f aca="false">AF317-AF316</f>
        <v>0</v>
      </c>
      <c r="AH317" s="30" t="n">
        <f aca="false">MAX(AE317,0)*(Inputs!$B$17+Inputs!$B$18+Inputs!$B$19)+MAX(-AE317,0)*(O317+Inputs!$B$18+Inputs!$B$19)+IF(AND(K317=1,AB317&lt;&gt;0),(Inputs!$B$17+Inputs!$B$18+Inputs!$B$19)+(O317+Inputs!$B$18+Inputs!$B$19),0)+MAX(AG317,0)*(Inputs!$B$20+Inputs!$B$22+Inputs!$B$23)+MAX(-AG317,0)*(Inputs!$B$21+Inputs!$B$22+Inputs!$B$23)</f>
        <v>0</v>
      </c>
      <c r="AI317" s="30" t="n">
        <f aca="false">AB316*(M317-AD316*J317)+AB316*AD316*N317/Inputs!$B$16-AH317</f>
        <v>0</v>
      </c>
      <c r="AJ317" s="30" t="n">
        <f aca="false">MAX(AE317,0)*(Inputs!$B$17+Inputs!$B$24+Inputs!$B$25)+MAX(-AE317,0)*(O317+Inputs!$B$24+Inputs!$B$25)+IF(AND(K317=1,AB317&lt;&gt;0),(Inputs!$B$17+Inputs!$B$24+Inputs!$B$25)+(O317+Inputs!$B$24+Inputs!$B$25),0)+MAX(AG317,0)*(Inputs!$B$20+Inputs!$B$26+Inputs!$B$27)+MAX(-AG317,0)*(Inputs!$B$21+Inputs!$B$26+Inputs!$B$27)</f>
        <v>0</v>
      </c>
      <c r="AK317" s="30" t="n">
        <f aca="false">AB316*(M317-AD316*J317)+AB316*AD316*(N317+Inputs!$B$14)/Inputs!$B$16-AJ317</f>
        <v>0</v>
      </c>
      <c r="AL317" s="30" t="n">
        <f aca="false">IF(AP316&lt;&gt;0,AQ316+1,0)</f>
        <v>0</v>
      </c>
      <c r="AM317" s="30" t="n">
        <f aca="false">IF(W317="",0,IF(AND(AP316&lt;&gt;0,OR(ABS(W317)&gt;Inputs!$B$7,AL317&gt;=Inputs!$B$8,ABS(W317)&lt;Inputs!$B$6)),1,0))</f>
        <v>0</v>
      </c>
      <c r="AN317" s="30" t="n">
        <f aca="false">IF(AM317=1,0,AP316)</f>
        <v>0</v>
      </c>
      <c r="AO317" s="30" t="n">
        <f aca="false">IF(W317="",0,IF(AND(AN317=0,ABS(W317)&gt;Inputs!$B$5,ABS(W317)&lt;=Inputs!$B$7,W317&gt;0),1,0))</f>
        <v>0</v>
      </c>
      <c r="AP317" s="30" t="n">
        <f aca="false">IF(W317="",0,IF(AO317=1,-SIGN(W317),AN317))</f>
        <v>0</v>
      </c>
      <c r="AQ317" s="30" t="n">
        <f aca="false">IF(W317="",0,IF(AO317=1,0,IF(AM317=1,0,AL317)))</f>
        <v>0</v>
      </c>
      <c r="AR317" s="30" t="n">
        <f aca="false">IF(AP317=0,0,IF(AP316=AP317,AR316,T317))</f>
        <v>0</v>
      </c>
      <c r="AS317" s="30" t="n">
        <f aca="false">AP317-AP316</f>
        <v>0</v>
      </c>
      <c r="AT317" s="30" t="n">
        <f aca="false">-AR317*AP317</f>
        <v>-0</v>
      </c>
      <c r="AU317" s="30" t="n">
        <f aca="false">AT317-AT316</f>
        <v>0</v>
      </c>
      <c r="AV317" s="30" t="n">
        <f aca="false">MAX(AS317,0)*(Inputs!$B$17+Inputs!$B$18+Inputs!$B$19)+MAX(-AS317,0)*(O317+Inputs!$B$18+Inputs!$B$19)+IF(AND(K317=1,AP317&lt;&gt;0),(Inputs!$B$17+Inputs!$B$18+Inputs!$B$19)+(O317+Inputs!$B$18+Inputs!$B$19),0)+MAX(AU317,0)*(Inputs!$B$20+Inputs!$B$22+Inputs!$B$23)+MAX(-AU317,0)*(Inputs!$B$21+Inputs!$B$22+Inputs!$B$23)</f>
        <v>0</v>
      </c>
      <c r="AW317" s="30" t="n">
        <f aca="false">AP316*(M317-AR316*J317)+AP316*AR316*N317/Inputs!$B$16-AV317</f>
        <v>0</v>
      </c>
      <c r="AX317" s="30" t="n">
        <f aca="false">AW317-IF(AP316&lt;&gt;0,0.75*AR316*(Inputs!$B$13-N317)/Inputs!$B$16,0)</f>
        <v>0</v>
      </c>
      <c r="AY317" s="30" t="n">
        <f aca="false">MAX(AS317,0)*(Inputs!$B$17+Inputs!$B$18+Inputs!$B$19)+MAX(-AS317,0)*(O317+Inputs!$B$18+Inputs!$B$19)+IF(AND(K317=1,AP317&lt;&gt;0),(Inputs!$B$17+Inputs!$B$18+Inputs!$B$19)+(O317+Inputs!$B$18+Inputs!$B$19),0)</f>
        <v>0</v>
      </c>
      <c r="AZ317" s="30" t="n">
        <f aca="false">AP316*M317-AY317</f>
        <v>-0</v>
      </c>
      <c r="BA317" s="32" t="n">
        <f aca="false">BA316+AI317</f>
        <v>-0.00574530534633948</v>
      </c>
      <c r="BB317" s="30" t="n">
        <f aca="false">MAX(BB316,BA317)</f>
        <v>0</v>
      </c>
      <c r="BC317" s="32" t="n">
        <f aca="false">BA317-BB317</f>
        <v>-0.00574530534633948</v>
      </c>
      <c r="BD317" s="30" t="n">
        <f aca="false">A318-A317</f>
        <v>3</v>
      </c>
    </row>
    <row r="318" customFormat="false" ht="15" hidden="false" customHeight="false" outlineLevel="0" collapsed="false">
      <c r="A318" s="28" t="n">
        <v>45509</v>
      </c>
      <c r="B318" s="0" t="n">
        <v>24096</v>
      </c>
      <c r="C318" s="0" t="n">
        <v>270.33</v>
      </c>
      <c r="D318" s="29" t="n">
        <f aca="false">LN(B318)</f>
        <v>10.0898011305996</v>
      </c>
      <c r="E318" s="29" t="n">
        <f aca="false">LN(C318)</f>
        <v>5.59964343491506</v>
      </c>
      <c r="F318" s="0" t="n">
        <v>313</v>
      </c>
      <c r="G318" s="0" t="n">
        <v>24</v>
      </c>
      <c r="H318" s="29" t="n">
        <f aca="false">D318-E318</f>
        <v>4.49015769568456</v>
      </c>
      <c r="I318" s="29" t="n">
        <f aca="false">D318-D317</f>
        <v>-0.0247573920164488</v>
      </c>
      <c r="J318" s="29" t="n">
        <f aca="false">E318-E317</f>
        <v>-0.0198149578284275</v>
      </c>
      <c r="K318" s="0" t="n">
        <v>0</v>
      </c>
      <c r="L318" s="0" t="n">
        <v>0</v>
      </c>
      <c r="M318" s="29" t="n">
        <f aca="false">IF(L318=1,J318-Carry!$B$9/Inputs!$B$16,I318)</f>
        <v>-0.0247573920164488</v>
      </c>
      <c r="N318" s="0" t="n">
        <v>0.065</v>
      </c>
      <c r="O318" s="0" t="n">
        <v>0.000125</v>
      </c>
      <c r="P318" s="29" t="n">
        <f aca="false">D318-('2 Hedge ratio'!$B$6+'2 Hedge ratio'!$B$5*E318)</f>
        <v>-0.00200214371447593</v>
      </c>
      <c r="Q318" s="29" t="n">
        <f aca="false">D318-('5 Re-specification'!$B$7+'5 Re-specification'!$B$5*E318+'5 Re-specification'!$B$6*F318)</f>
        <v>-0.0100107291508706</v>
      </c>
      <c r="R318" s="30" t="n">
        <f aca="false">MIN(F318,Inputs!$B$9)</f>
        <v>250</v>
      </c>
      <c r="S318" s="29" t="n">
        <f aca="true">IF(AND(F318&gt;=1,R318&gt;=Inputs!$B$10),INDEX(LINEST(OFFSET(D318,-R318,0,R318,1),OFFSET(E318,-R318,0,R318,2)),1,1),"")</f>
        <v>-6.19235083671197E-005</v>
      </c>
      <c r="T318" s="29" t="n">
        <f aca="true">IF(AND(F318&gt;=1,R318&gt;=Inputs!$B$10),INDEX(LINEST(OFFSET(D318,-R318,0,R318,1),OFFSET(E318,-R318,0,R318,2)),1,2),"")</f>
        <v>1.02073518800597</v>
      </c>
      <c r="U318" s="29" t="n">
        <f aca="true">IF(AND(F318&gt;=1,R318&gt;=Inputs!$B$10),INDEX(LINEST(OFFSET(D318,-R318,0,R318,1),OFFSET(E318,-R318,0,R318,2)),1,3),"")</f>
        <v>4.40434075883909</v>
      </c>
      <c r="V318" s="29" t="n">
        <f aca="true">IF(AND(F318&gt;=1,R318&gt;=Inputs!$B$10),SQRT(SUMPRODUCT((OFFSET(D318,-R318,0,R318,1)-U318-T318*OFFSET(E318,-R318,0,R318,1)-S318*OFFSET(F318,-R318,0,R318,1))^2)/(R318-3)),"")</f>
        <v>0.00350341258294621</v>
      </c>
      <c r="W318" s="31" t="n">
        <f aca="false">IF(AND(F318&gt;=1,R318&gt;=Inputs!$B$10),(D318-U318-T318*E318-S318*F318)/V318,"")</f>
        <v>-3.11429618027619</v>
      </c>
      <c r="X318" s="30" t="n">
        <f aca="false">IF(AB317&lt;&gt;0,AC317+1,0)</f>
        <v>0</v>
      </c>
      <c r="Y318" s="30" t="n">
        <f aca="false">IF(W318="",0,IF(AND(AB317&lt;&gt;0,OR(ABS(W318)&gt;Inputs!$B$7,X318&gt;=Inputs!$B$8,ABS(W318)&lt;Inputs!$B$6)),1,0))</f>
        <v>0</v>
      </c>
      <c r="Z318" s="30" t="n">
        <f aca="false">IF(Y318=1,0,AB317)</f>
        <v>0</v>
      </c>
      <c r="AA318" s="30" t="n">
        <f aca="false">IF(W318="",0,IF(AND(Z318=0,ABS(W318)&gt;Inputs!$B$5,ABS(W318)&lt;=Inputs!$B$7),1,0))</f>
        <v>1</v>
      </c>
      <c r="AB318" s="30" t="n">
        <f aca="false">IF(W318="",0,IF(AA318=1,-SIGN(W318),Z318))</f>
        <v>1</v>
      </c>
      <c r="AC318" s="30" t="n">
        <f aca="false">IF(W318="",0,IF(AA318=1,0,IF(Y318=1,0,X318)))</f>
        <v>0</v>
      </c>
      <c r="AD318" s="29" t="n">
        <f aca="false">IF(AB318=0,0,IF(AB317=AB318,AD317,T318))</f>
        <v>1.02073518800597</v>
      </c>
      <c r="AE318" s="30" t="n">
        <f aca="false">AB318-AB317</f>
        <v>1</v>
      </c>
      <c r="AF318" s="30" t="n">
        <f aca="false">-AD318*AB318</f>
        <v>-1.02073518800597</v>
      </c>
      <c r="AG318" s="30" t="n">
        <f aca="false">AF318-AF317</f>
        <v>-1.02073518800597</v>
      </c>
      <c r="AH318" s="30" t="n">
        <f aca="false">MAX(AE318,0)*(Inputs!$B$17+Inputs!$B$18+Inputs!$B$19)+MAX(-AE318,0)*(O318+Inputs!$B$18+Inputs!$B$19)+IF(AND(K318=1,AB318&lt;&gt;0),(Inputs!$B$17+Inputs!$B$18+Inputs!$B$19)+(O318+Inputs!$B$18+Inputs!$B$19),0)+MAX(AG318,0)*(Inputs!$B$20+Inputs!$B$22+Inputs!$B$23)+MAX(-AG318,0)*(Inputs!$B$21+Inputs!$B$22+Inputs!$B$23)</f>
        <v>0.000369354389481255</v>
      </c>
      <c r="AI318" s="30" t="n">
        <f aca="false">AB317*(M318-AD317*J318)+AB317*AD317*N318/Inputs!$B$16-AH318</f>
        <v>-0.000369354389481255</v>
      </c>
      <c r="AJ318" s="30" t="n">
        <f aca="false">MAX(AE318,0)*(Inputs!$B$17+Inputs!$B$24+Inputs!$B$25)+MAX(-AE318,0)*(O318+Inputs!$B$24+Inputs!$B$25)+IF(AND(K318=1,AB318&lt;&gt;0),(Inputs!$B$17+Inputs!$B$24+Inputs!$B$25)+(O318+Inputs!$B$24+Inputs!$B$25),0)+MAX(AG318,0)*(Inputs!$B$20+Inputs!$B$26+Inputs!$B$27)+MAX(-AG318,0)*(Inputs!$B$21+Inputs!$B$26+Inputs!$B$27)</f>
        <v>0.000207384546620687</v>
      </c>
      <c r="AK318" s="30" t="n">
        <f aca="false">AB317*(M318-AD317*J318)+AB317*AD317*(N318+Inputs!$B$14)/Inputs!$B$16-AJ318</f>
        <v>-0.000207384546620687</v>
      </c>
      <c r="AL318" s="30" t="n">
        <f aca="false">IF(AP317&lt;&gt;0,AQ317+1,0)</f>
        <v>0</v>
      </c>
      <c r="AM318" s="30" t="n">
        <f aca="false">IF(W318="",0,IF(AND(AP317&lt;&gt;0,OR(ABS(W318)&gt;Inputs!$B$7,AL318&gt;=Inputs!$B$8,ABS(W318)&lt;Inputs!$B$6)),1,0))</f>
        <v>0</v>
      </c>
      <c r="AN318" s="30" t="n">
        <f aca="false">IF(AM318=1,0,AP317)</f>
        <v>0</v>
      </c>
      <c r="AO318" s="30" t="n">
        <f aca="false">IF(W318="",0,IF(AND(AN318=0,ABS(W318)&gt;Inputs!$B$5,ABS(W318)&lt;=Inputs!$B$7,W318&gt;0),1,0))</f>
        <v>0</v>
      </c>
      <c r="AP318" s="30" t="n">
        <f aca="false">IF(W318="",0,IF(AO318=1,-SIGN(W318),AN318))</f>
        <v>0</v>
      </c>
      <c r="AQ318" s="30" t="n">
        <f aca="false">IF(W318="",0,IF(AO318=1,0,IF(AM318=1,0,AL318)))</f>
        <v>0</v>
      </c>
      <c r="AR318" s="30" t="n">
        <f aca="false">IF(AP318=0,0,IF(AP317=AP318,AR317,T318))</f>
        <v>0</v>
      </c>
      <c r="AS318" s="30" t="n">
        <f aca="false">AP318-AP317</f>
        <v>0</v>
      </c>
      <c r="AT318" s="30" t="n">
        <f aca="false">-AR318*AP318</f>
        <v>-0</v>
      </c>
      <c r="AU318" s="30" t="n">
        <f aca="false">AT318-AT317</f>
        <v>0</v>
      </c>
      <c r="AV318" s="30" t="n">
        <f aca="false">MAX(AS318,0)*(Inputs!$B$17+Inputs!$B$18+Inputs!$B$19)+MAX(-AS318,0)*(O318+Inputs!$B$18+Inputs!$B$19)+IF(AND(K318=1,AP318&lt;&gt;0),(Inputs!$B$17+Inputs!$B$18+Inputs!$B$19)+(O318+Inputs!$B$18+Inputs!$B$19),0)+MAX(AU318,0)*(Inputs!$B$20+Inputs!$B$22+Inputs!$B$23)+MAX(-AU318,0)*(Inputs!$B$21+Inputs!$B$22+Inputs!$B$23)</f>
        <v>0</v>
      </c>
      <c r="AW318" s="30" t="n">
        <f aca="false">AP317*(M318-AR317*J318)+AP317*AR317*N318/Inputs!$B$16-AV318</f>
        <v>0</v>
      </c>
      <c r="AX318" s="30" t="n">
        <f aca="false">AW318-IF(AP317&lt;&gt;0,0.75*AR317*(Inputs!$B$13-N318)/Inputs!$B$16,0)</f>
        <v>0</v>
      </c>
      <c r="AY318" s="30" t="n">
        <f aca="false">MAX(AS318,0)*(Inputs!$B$17+Inputs!$B$18+Inputs!$B$19)+MAX(-AS318,0)*(O318+Inputs!$B$18+Inputs!$B$19)+IF(AND(K318=1,AP318&lt;&gt;0),(Inputs!$B$17+Inputs!$B$18+Inputs!$B$19)+(O318+Inputs!$B$18+Inputs!$B$19),0)</f>
        <v>0</v>
      </c>
      <c r="AZ318" s="30" t="n">
        <f aca="false">AP317*M318-AY318</f>
        <v>-0</v>
      </c>
      <c r="BA318" s="32" t="n">
        <f aca="false">BA317+AI318</f>
        <v>-0.00611465973582073</v>
      </c>
      <c r="BB318" s="30" t="n">
        <f aca="false">MAX(BB317,BA318)</f>
        <v>0</v>
      </c>
      <c r="BC318" s="32" t="n">
        <f aca="false">BA318-BB318</f>
        <v>-0.00611465973582073</v>
      </c>
      <c r="BD318" s="30" t="n">
        <f aca="false">A319-A318</f>
        <v>1</v>
      </c>
    </row>
    <row r="319" customFormat="false" ht="15" hidden="false" customHeight="false" outlineLevel="0" collapsed="false">
      <c r="A319" s="28" t="n">
        <v>45510</v>
      </c>
      <c r="B319" s="0" t="n">
        <v>24091</v>
      </c>
      <c r="C319" s="0" t="n">
        <v>268.28</v>
      </c>
      <c r="D319" s="29" t="n">
        <f aca="false">LN(B319)</f>
        <v>10.0895936057478</v>
      </c>
      <c r="E319" s="29" t="n">
        <f aca="false">LN(C319)</f>
        <v>5.59203121123154</v>
      </c>
      <c r="F319" s="0" t="n">
        <v>314</v>
      </c>
      <c r="G319" s="0" t="n">
        <v>23</v>
      </c>
      <c r="H319" s="29" t="n">
        <f aca="false">D319-E319</f>
        <v>4.49756239451624</v>
      </c>
      <c r="I319" s="29" t="n">
        <f aca="false">D319-D318</f>
        <v>-0.000207524851845164</v>
      </c>
      <c r="J319" s="29" t="n">
        <f aca="false">E319-E318</f>
        <v>-0.00761222368351877</v>
      </c>
      <c r="K319" s="0" t="n">
        <v>0</v>
      </c>
      <c r="L319" s="0" t="n">
        <v>0</v>
      </c>
      <c r="M319" s="29" t="n">
        <f aca="false">IF(L319=1,J319-Carry!$B$9/Inputs!$B$16,I319)</f>
        <v>-0.000207524851845164</v>
      </c>
      <c r="N319" s="0" t="n">
        <v>0.065</v>
      </c>
      <c r="O319" s="0" t="n">
        <v>0.000125</v>
      </c>
      <c r="P319" s="29" t="n">
        <f aca="false">D319-('2 Hedge ratio'!$B$6+'2 Hedge ratio'!$B$5*E319)</f>
        <v>0.00476409324752147</v>
      </c>
      <c r="Q319" s="29" t="n">
        <f aca="false">D319-('5 Re-specification'!$B$7+'5 Re-specification'!$B$5*E319+'5 Re-specification'!$B$6*F319)</f>
        <v>-0.0025841698451341</v>
      </c>
      <c r="R319" s="30" t="n">
        <f aca="false">MIN(F319,Inputs!$B$9)</f>
        <v>250</v>
      </c>
      <c r="S319" s="29" t="n">
        <f aca="true">IF(AND(F319&gt;=1,R319&gt;=Inputs!$B$10),INDEX(LINEST(OFFSET(D319,-R319,0,R319,1),OFFSET(E319,-R319,0,R319,2)),1,1),"")</f>
        <v>-6.27994790613377E-005</v>
      </c>
      <c r="T319" s="29" t="n">
        <f aca="true">IF(AND(F319&gt;=1,R319&gt;=Inputs!$B$10),INDEX(LINEST(OFFSET(D319,-R319,0,R319,1),OFFSET(E319,-R319,0,R319,2)),1,2),"")</f>
        <v>1.02064916661496</v>
      </c>
      <c r="U319" s="29" t="n">
        <f aca="true">IF(AND(F319&gt;=1,R319&gt;=Inputs!$B$10),INDEX(LINEST(OFFSET(D319,-R319,0,R319,1),OFFSET(E319,-R319,0,R319,2)),1,3),"")</f>
        <v>4.40492970351046</v>
      </c>
      <c r="V319" s="29" t="n">
        <f aca="true">IF(AND(F319&gt;=1,R319&gt;=Inputs!$B$10),SQRT(SUMPRODUCT((OFFSET(D319,-R319,0,R319,1)-U319-T319*OFFSET(E319,-R319,0,R319,1)-S319*OFFSET(F319,-R319,0,R319,1))^2)/(R319-3)),"")</f>
        <v>0.003570168459662</v>
      </c>
      <c r="W319" s="31" t="n">
        <f aca="false">IF(AND(F319&gt;=1,R319&gt;=Inputs!$B$10),(D319-U319-T319*E319-S319*F319)/V319,"")</f>
        <v>-0.873644143405074</v>
      </c>
      <c r="X319" s="30" t="n">
        <f aca="false">IF(AB318&lt;&gt;0,AC318+1,0)</f>
        <v>1</v>
      </c>
      <c r="Y319" s="30" t="n">
        <f aca="false">IF(W319="",0,IF(AND(AB318&lt;&gt;0,OR(ABS(W319)&gt;Inputs!$B$7,X319&gt;=Inputs!$B$8,ABS(W319)&lt;Inputs!$B$6)),1,0))</f>
        <v>0</v>
      </c>
      <c r="Z319" s="30" t="n">
        <f aca="false">IF(Y319=1,0,AB318)</f>
        <v>1</v>
      </c>
      <c r="AA319" s="30" t="n">
        <f aca="false">IF(W319="",0,IF(AND(Z319=0,ABS(W319)&gt;Inputs!$B$5,ABS(W319)&lt;=Inputs!$B$7),1,0))</f>
        <v>0</v>
      </c>
      <c r="AB319" s="30" t="n">
        <f aca="false">IF(W319="",0,IF(AA319=1,-SIGN(W319),Z319))</f>
        <v>1</v>
      </c>
      <c r="AC319" s="30" t="n">
        <f aca="false">IF(W319="",0,IF(AA319=1,0,IF(Y319=1,0,X319)))</f>
        <v>1</v>
      </c>
      <c r="AD319" s="29" t="n">
        <f aca="false">IF(AB319=0,0,IF(AB318=AB319,AD318,T319))</f>
        <v>1.02073518800597</v>
      </c>
      <c r="AE319" s="30" t="n">
        <f aca="false">AB319-AB318</f>
        <v>0</v>
      </c>
      <c r="AF319" s="30" t="n">
        <f aca="false">-AD319*AB319</f>
        <v>-1.02073518800597</v>
      </c>
      <c r="AG319" s="30" t="n">
        <f aca="false">AF319-AF318</f>
        <v>0</v>
      </c>
      <c r="AH319" s="30" t="n">
        <f aca="false">MAX(AE319,0)*(Inputs!$B$17+Inputs!$B$18+Inputs!$B$19)+MAX(-AE319,0)*(O319+Inputs!$B$18+Inputs!$B$19)+IF(AND(K319=1,AB319&lt;&gt;0),(Inputs!$B$17+Inputs!$B$18+Inputs!$B$19)+(O319+Inputs!$B$18+Inputs!$B$19),0)+MAX(AG319,0)*(Inputs!$B$20+Inputs!$B$22+Inputs!$B$23)+MAX(-AG319,0)*(Inputs!$B$21+Inputs!$B$22+Inputs!$B$23)</f>
        <v>0</v>
      </c>
      <c r="AI319" s="30" t="n">
        <f aca="false">AB318*(M319-AD318*J319)+AB318*AD318*N319/Inputs!$B$16-AH319</f>
        <v>0.00782582459081707</v>
      </c>
      <c r="AJ319" s="30" t="n">
        <f aca="false">MAX(AE319,0)*(Inputs!$B$17+Inputs!$B$24+Inputs!$B$25)+MAX(-AE319,0)*(O319+Inputs!$B$24+Inputs!$B$25)+IF(AND(K319=1,AB319&lt;&gt;0),(Inputs!$B$17+Inputs!$B$24+Inputs!$B$25)+(O319+Inputs!$B$24+Inputs!$B$25),0)+MAX(AG319,0)*(Inputs!$B$20+Inputs!$B$26+Inputs!$B$27)+MAX(-AG319,0)*(Inputs!$B$21+Inputs!$B$26+Inputs!$B$27)</f>
        <v>0</v>
      </c>
      <c r="AK319" s="30" t="n">
        <f aca="false">AB318*(M319-AD318*J319)+AB318*AD318*(N319+Inputs!$B$14)/Inputs!$B$16-AJ319</f>
        <v>0.00785620361426963</v>
      </c>
      <c r="AL319" s="30" t="n">
        <f aca="false">IF(AP318&lt;&gt;0,AQ318+1,0)</f>
        <v>0</v>
      </c>
      <c r="AM319" s="30" t="n">
        <f aca="false">IF(W319="",0,IF(AND(AP318&lt;&gt;0,OR(ABS(W319)&gt;Inputs!$B$7,AL319&gt;=Inputs!$B$8,ABS(W319)&lt;Inputs!$B$6)),1,0))</f>
        <v>0</v>
      </c>
      <c r="AN319" s="30" t="n">
        <f aca="false">IF(AM319=1,0,AP318)</f>
        <v>0</v>
      </c>
      <c r="AO319" s="30" t="n">
        <f aca="false">IF(W319="",0,IF(AND(AN319=0,ABS(W319)&gt;Inputs!$B$5,ABS(W319)&lt;=Inputs!$B$7,W319&gt;0),1,0))</f>
        <v>0</v>
      </c>
      <c r="AP319" s="30" t="n">
        <f aca="false">IF(W319="",0,IF(AO319=1,-SIGN(W319),AN319))</f>
        <v>0</v>
      </c>
      <c r="AQ319" s="30" t="n">
        <f aca="false">IF(W319="",0,IF(AO319=1,0,IF(AM319=1,0,AL319)))</f>
        <v>0</v>
      </c>
      <c r="AR319" s="30" t="n">
        <f aca="false">IF(AP319=0,0,IF(AP318=AP319,AR318,T319))</f>
        <v>0</v>
      </c>
      <c r="AS319" s="30" t="n">
        <f aca="false">AP319-AP318</f>
        <v>0</v>
      </c>
      <c r="AT319" s="30" t="n">
        <f aca="false">-AR319*AP319</f>
        <v>-0</v>
      </c>
      <c r="AU319" s="30" t="n">
        <f aca="false">AT319-AT318</f>
        <v>0</v>
      </c>
      <c r="AV319" s="30" t="n">
        <f aca="false">MAX(AS319,0)*(Inputs!$B$17+Inputs!$B$18+Inputs!$B$19)+MAX(-AS319,0)*(O319+Inputs!$B$18+Inputs!$B$19)+IF(AND(K319=1,AP319&lt;&gt;0),(Inputs!$B$17+Inputs!$B$18+Inputs!$B$19)+(O319+Inputs!$B$18+Inputs!$B$19),0)+MAX(AU319,0)*(Inputs!$B$20+Inputs!$B$22+Inputs!$B$23)+MAX(-AU319,0)*(Inputs!$B$21+Inputs!$B$22+Inputs!$B$23)</f>
        <v>0</v>
      </c>
      <c r="AW319" s="30" t="n">
        <f aca="false">AP318*(M319-AR318*J319)+AP318*AR318*N319/Inputs!$B$16-AV319</f>
        <v>0</v>
      </c>
      <c r="AX319" s="30" t="n">
        <f aca="false">AW319-IF(AP318&lt;&gt;0,0.75*AR318*(Inputs!$B$13-N319)/Inputs!$B$16,0)</f>
        <v>0</v>
      </c>
      <c r="AY319" s="30" t="n">
        <f aca="false">MAX(AS319,0)*(Inputs!$B$17+Inputs!$B$18+Inputs!$B$19)+MAX(-AS319,0)*(O319+Inputs!$B$18+Inputs!$B$19)+IF(AND(K319=1,AP319&lt;&gt;0),(Inputs!$B$17+Inputs!$B$18+Inputs!$B$19)+(O319+Inputs!$B$18+Inputs!$B$19),0)</f>
        <v>0</v>
      </c>
      <c r="AZ319" s="30" t="n">
        <f aca="false">AP318*M319-AY319</f>
        <v>-0</v>
      </c>
      <c r="BA319" s="32" t="n">
        <f aca="false">BA318+AI319</f>
        <v>0.00171116485499634</v>
      </c>
      <c r="BB319" s="30" t="n">
        <f aca="false">MAX(BB318,BA319)</f>
        <v>0.00171116485499634</v>
      </c>
      <c r="BC319" s="32" t="n">
        <f aca="false">BA319-BB319</f>
        <v>0</v>
      </c>
      <c r="BD319" s="30" t="n">
        <f aca="false">A320-A319</f>
        <v>1</v>
      </c>
    </row>
    <row r="320" customFormat="false" ht="15" hidden="false" customHeight="false" outlineLevel="0" collapsed="false">
      <c r="A320" s="28" t="n">
        <v>45511</v>
      </c>
      <c r="B320" s="0" t="n">
        <v>24373.9</v>
      </c>
      <c r="C320" s="0" t="n">
        <v>271.2</v>
      </c>
      <c r="D320" s="29" t="n">
        <f aca="false">LN(B320)</f>
        <v>10.1012681666426</v>
      </c>
      <c r="E320" s="29" t="n">
        <f aca="false">LN(C320)</f>
        <v>5.60285655606624</v>
      </c>
      <c r="F320" s="0" t="n">
        <v>315</v>
      </c>
      <c r="G320" s="0" t="n">
        <v>22</v>
      </c>
      <c r="H320" s="29" t="n">
        <f aca="false">D320-E320</f>
        <v>4.49841161057637</v>
      </c>
      <c r="I320" s="29" t="n">
        <f aca="false">D320-D319</f>
        <v>0.0116745608948374</v>
      </c>
      <c r="J320" s="29" t="n">
        <f aca="false">E320-E319</f>
        <v>0.0108253448347035</v>
      </c>
      <c r="K320" s="0" t="n">
        <v>0</v>
      </c>
      <c r="L320" s="0" t="n">
        <v>0</v>
      </c>
      <c r="M320" s="29" t="n">
        <f aca="false">IF(L320=1,J320-Carry!$B$9/Inputs!$B$16,I320)</f>
        <v>0.0116745608948374</v>
      </c>
      <c r="N320" s="0" t="n">
        <v>0.065</v>
      </c>
      <c r="O320" s="0" t="n">
        <v>0.000125</v>
      </c>
      <c r="P320" s="29" t="n">
        <f aca="false">D320-('2 Hedge ratio'!$B$6+'2 Hedge ratio'!$B$5*E320)</f>
        <v>0.00652126606121328</v>
      </c>
      <c r="Q320" s="29" t="n">
        <f aca="false">D320-('5 Re-specification'!$B$7+'5 Re-specification'!$B$5*E320+'5 Re-specification'!$B$6*F320)</f>
        <v>-0.00165721825915277</v>
      </c>
      <c r="R320" s="30" t="n">
        <f aca="false">MIN(F320,Inputs!$B$9)</f>
        <v>250</v>
      </c>
      <c r="S320" s="29" t="n">
        <f aca="true">IF(AND(F320&gt;=1,R320&gt;=Inputs!$B$10),INDEX(LINEST(OFFSET(D320,-R320,0,R320,1),OFFSET(E320,-R320,0,R320,2)),1,1),"")</f>
        <v>-6.30447717294682E-005</v>
      </c>
      <c r="T320" s="29" t="n">
        <f aca="true">IF(AND(F320&gt;=1,R320&gt;=Inputs!$B$10),INDEX(LINEST(OFFSET(D320,-R320,0,R320,1),OFFSET(E320,-R320,0,R320,2)),1,2),"")</f>
        <v>1.0206706271641</v>
      </c>
      <c r="U320" s="29" t="n">
        <f aca="true">IF(AND(F320&gt;=1,R320&gt;=Inputs!$B$10),INDEX(LINEST(OFFSET(D320,-R320,0,R320,1),OFFSET(E320,-R320,0,R320,2)),1,3),"")</f>
        <v>4.40484313730593</v>
      </c>
      <c r="V320" s="29" t="n">
        <f aca="true">IF(AND(F320&gt;=1,R320&gt;=Inputs!$B$10),SQRT(SUMPRODUCT((OFFSET(D320,-R320,0,R320,1)-U320-T320*OFFSET(E320,-R320,0,R320,1)-S320*OFFSET(F320,-R320,0,R320,1))^2)/(R320-3)),"")</f>
        <v>0.00357526235373121</v>
      </c>
      <c r="W320" s="31" t="n">
        <f aca="false">IF(AND(F320&gt;=1,R320&gt;=Inputs!$B$10),(D320-U320-T320*E320-S320*F320)/V320,"")</f>
        <v>-0.667638434047694</v>
      </c>
      <c r="X320" s="30" t="n">
        <f aca="false">IF(AB319&lt;&gt;0,AC319+1,0)</f>
        <v>2</v>
      </c>
      <c r="Y320" s="30" t="n">
        <f aca="false">IF(W320="",0,IF(AND(AB319&lt;&gt;0,OR(ABS(W320)&gt;Inputs!$B$7,X320&gt;=Inputs!$B$8,ABS(W320)&lt;Inputs!$B$6)),1,0))</f>
        <v>0</v>
      </c>
      <c r="Z320" s="30" t="n">
        <f aca="false">IF(Y320=1,0,AB319)</f>
        <v>1</v>
      </c>
      <c r="AA320" s="30" t="n">
        <f aca="false">IF(W320="",0,IF(AND(Z320=0,ABS(W320)&gt;Inputs!$B$5,ABS(W320)&lt;=Inputs!$B$7),1,0))</f>
        <v>0</v>
      </c>
      <c r="AB320" s="30" t="n">
        <f aca="false">IF(W320="",0,IF(AA320=1,-SIGN(W320),Z320))</f>
        <v>1</v>
      </c>
      <c r="AC320" s="30" t="n">
        <f aca="false">IF(W320="",0,IF(AA320=1,0,IF(Y320=1,0,X320)))</f>
        <v>2</v>
      </c>
      <c r="AD320" s="29" t="n">
        <f aca="false">IF(AB320=0,0,IF(AB319=AB320,AD319,T320))</f>
        <v>1.02073518800597</v>
      </c>
      <c r="AE320" s="30" t="n">
        <f aca="false">AB320-AB319</f>
        <v>0</v>
      </c>
      <c r="AF320" s="30" t="n">
        <f aca="false">-AD320*AB320</f>
        <v>-1.02073518800597</v>
      </c>
      <c r="AG320" s="30" t="n">
        <f aca="false">AF320-AF319</f>
        <v>0</v>
      </c>
      <c r="AH320" s="30" t="n">
        <f aca="false">MAX(AE320,0)*(Inputs!$B$17+Inputs!$B$18+Inputs!$B$19)+MAX(-AE320,0)*(O320+Inputs!$B$18+Inputs!$B$19)+IF(AND(K320=1,AB320&lt;&gt;0),(Inputs!$B$17+Inputs!$B$18+Inputs!$B$19)+(O320+Inputs!$B$18+Inputs!$B$19),0)+MAX(AG320,0)*(Inputs!$B$20+Inputs!$B$22+Inputs!$B$23)+MAX(-AG320,0)*(Inputs!$B$21+Inputs!$B$22+Inputs!$B$23)</f>
        <v>0</v>
      </c>
      <c r="AI320" s="30" t="n">
        <f aca="false">AB319*(M320-AD319*J320)+AB319*AD319*N320/Inputs!$B$16-AH320</f>
        <v>0.000888035369678982</v>
      </c>
      <c r="AJ320" s="30" t="n">
        <f aca="false">MAX(AE320,0)*(Inputs!$B$17+Inputs!$B$24+Inputs!$B$25)+MAX(-AE320,0)*(O320+Inputs!$B$24+Inputs!$B$25)+IF(AND(K320=1,AB320&lt;&gt;0),(Inputs!$B$17+Inputs!$B$24+Inputs!$B$25)+(O320+Inputs!$B$24+Inputs!$B$25),0)+MAX(AG320,0)*(Inputs!$B$20+Inputs!$B$26+Inputs!$B$27)+MAX(-AG320,0)*(Inputs!$B$21+Inputs!$B$26+Inputs!$B$27)</f>
        <v>0</v>
      </c>
      <c r="AK320" s="30" t="n">
        <f aca="false">AB319*(M320-AD319*J320)+AB319*AD319*(N320+Inputs!$B$14)/Inputs!$B$16-AJ320</f>
        <v>0.00091841439313154</v>
      </c>
      <c r="AL320" s="30" t="n">
        <f aca="false">IF(AP319&lt;&gt;0,AQ319+1,0)</f>
        <v>0</v>
      </c>
      <c r="AM320" s="30" t="n">
        <f aca="false">IF(W320="",0,IF(AND(AP319&lt;&gt;0,OR(ABS(W320)&gt;Inputs!$B$7,AL320&gt;=Inputs!$B$8,ABS(W320)&lt;Inputs!$B$6)),1,0))</f>
        <v>0</v>
      </c>
      <c r="AN320" s="30" t="n">
        <f aca="false">IF(AM320=1,0,AP319)</f>
        <v>0</v>
      </c>
      <c r="AO320" s="30" t="n">
        <f aca="false">IF(W320="",0,IF(AND(AN320=0,ABS(W320)&gt;Inputs!$B$5,ABS(W320)&lt;=Inputs!$B$7,W320&gt;0),1,0))</f>
        <v>0</v>
      </c>
      <c r="AP320" s="30" t="n">
        <f aca="false">IF(W320="",0,IF(AO320=1,-SIGN(W320),AN320))</f>
        <v>0</v>
      </c>
      <c r="AQ320" s="30" t="n">
        <f aca="false">IF(W320="",0,IF(AO320=1,0,IF(AM320=1,0,AL320)))</f>
        <v>0</v>
      </c>
      <c r="AR320" s="30" t="n">
        <f aca="false">IF(AP320=0,0,IF(AP319=AP320,AR319,T320))</f>
        <v>0</v>
      </c>
      <c r="AS320" s="30" t="n">
        <f aca="false">AP320-AP319</f>
        <v>0</v>
      </c>
      <c r="AT320" s="30" t="n">
        <f aca="false">-AR320*AP320</f>
        <v>-0</v>
      </c>
      <c r="AU320" s="30" t="n">
        <f aca="false">AT320-AT319</f>
        <v>0</v>
      </c>
      <c r="AV320" s="30" t="n">
        <f aca="false">MAX(AS320,0)*(Inputs!$B$17+Inputs!$B$18+Inputs!$B$19)+MAX(-AS320,0)*(O320+Inputs!$B$18+Inputs!$B$19)+IF(AND(K320=1,AP320&lt;&gt;0),(Inputs!$B$17+Inputs!$B$18+Inputs!$B$19)+(O320+Inputs!$B$18+Inputs!$B$19),0)+MAX(AU320,0)*(Inputs!$B$20+Inputs!$B$22+Inputs!$B$23)+MAX(-AU320,0)*(Inputs!$B$21+Inputs!$B$22+Inputs!$B$23)</f>
        <v>0</v>
      </c>
      <c r="AW320" s="30" t="n">
        <f aca="false">AP319*(M320-AR319*J320)+AP319*AR319*N320/Inputs!$B$16-AV320</f>
        <v>0</v>
      </c>
      <c r="AX320" s="30" t="n">
        <f aca="false">AW320-IF(AP319&lt;&gt;0,0.75*AR319*(Inputs!$B$13-N320)/Inputs!$B$16,0)</f>
        <v>0</v>
      </c>
      <c r="AY320" s="30" t="n">
        <f aca="false">MAX(AS320,0)*(Inputs!$B$17+Inputs!$B$18+Inputs!$B$19)+MAX(-AS320,0)*(O320+Inputs!$B$18+Inputs!$B$19)+IF(AND(K320=1,AP320&lt;&gt;0),(Inputs!$B$17+Inputs!$B$18+Inputs!$B$19)+(O320+Inputs!$B$18+Inputs!$B$19),0)</f>
        <v>0</v>
      </c>
      <c r="AZ320" s="30" t="n">
        <f aca="false">AP319*M320-AY320</f>
        <v>0</v>
      </c>
      <c r="BA320" s="32" t="n">
        <f aca="false">BA319+AI320</f>
        <v>0.00259920022467532</v>
      </c>
      <c r="BB320" s="30" t="n">
        <f aca="false">MAX(BB319,BA320)</f>
        <v>0.00259920022467532</v>
      </c>
      <c r="BC320" s="32" t="n">
        <f aca="false">BA320-BB320</f>
        <v>0</v>
      </c>
      <c r="BD320" s="30" t="n">
        <f aca="false">A321-A320</f>
        <v>1</v>
      </c>
    </row>
    <row r="321" customFormat="false" ht="15" hidden="false" customHeight="false" outlineLevel="0" collapsed="false">
      <c r="A321" s="28" t="n">
        <v>45512</v>
      </c>
      <c r="B321" s="0" t="n">
        <v>24123.35</v>
      </c>
      <c r="C321" s="0" t="n">
        <v>269.18</v>
      </c>
      <c r="D321" s="29" t="n">
        <f aca="false">LN(B321)</f>
        <v>10.0909355300858</v>
      </c>
      <c r="E321" s="29" t="n">
        <f aca="false">LN(C321)</f>
        <v>5.59538030080557</v>
      </c>
      <c r="F321" s="0" t="n">
        <v>316</v>
      </c>
      <c r="G321" s="0" t="n">
        <v>21</v>
      </c>
      <c r="H321" s="29" t="n">
        <f aca="false">D321-E321</f>
        <v>4.49555522928027</v>
      </c>
      <c r="I321" s="29" t="n">
        <f aca="false">D321-D320</f>
        <v>-0.01033263655677</v>
      </c>
      <c r="J321" s="29" t="n">
        <f aca="false">E321-E320</f>
        <v>-0.00747625526067086</v>
      </c>
      <c r="K321" s="0" t="n">
        <v>0</v>
      </c>
      <c r="L321" s="0" t="n">
        <v>0</v>
      </c>
      <c r="M321" s="29" t="n">
        <f aca="false">IF(L321=1,J321-Carry!$B$9/Inputs!$B$16,I321)</f>
        <v>-0.01033263655677</v>
      </c>
      <c r="N321" s="0" t="n">
        <v>0.065</v>
      </c>
      <c r="O321" s="0" t="n">
        <v>0.000125</v>
      </c>
      <c r="P321" s="29" t="n">
        <f aca="false">D321-('2 Hedge ratio'!$B$6+'2 Hedge ratio'!$B$5*E321)</f>
        <v>0.00303782700770405</v>
      </c>
      <c r="Q321" s="29" t="n">
        <f aca="false">D321-('5 Re-specification'!$B$7+'5 Re-specification'!$B$5*E321+'5 Re-specification'!$B$6*F321)</f>
        <v>-0.00449132702888022</v>
      </c>
      <c r="R321" s="30" t="n">
        <f aca="false">MIN(F321,Inputs!$B$9)</f>
        <v>250</v>
      </c>
      <c r="S321" s="29" t="n">
        <f aca="true">IF(AND(F321&gt;=1,R321&gt;=Inputs!$B$10),INDEX(LINEST(OFFSET(D321,-R321,0,R321,1),OFFSET(E321,-R321,0,R321,2)),1,1),"")</f>
        <v>-6.35811554920612E-005</v>
      </c>
      <c r="T321" s="29" t="n">
        <f aca="true">IF(AND(F321&gt;=1,R321&gt;=Inputs!$B$10),INDEX(LINEST(OFFSET(D321,-R321,0,R321,1),OFFSET(E321,-R321,0,R321,2)),1,2),"")</f>
        <v>1.02089378198834</v>
      </c>
      <c r="U321" s="29" t="n">
        <f aca="true">IF(AND(F321&gt;=1,R321&gt;=Inputs!$B$10),INDEX(LINEST(OFFSET(D321,-R321,0,R321,1),OFFSET(E321,-R321,0,R321,2)),1,3),"")</f>
        <v>4.40371741114727</v>
      </c>
      <c r="V321" s="29" t="n">
        <f aca="true">IF(AND(F321&gt;=1,R321&gt;=Inputs!$B$10),SQRT(SUMPRODUCT((OFFSET(D321,-R321,0,R321,1)-U321-T321*OFFSET(E321,-R321,0,R321,1)-S321*OFFSET(F321,-R321,0,R321,1))^2)/(R321-3)),"")</f>
        <v>0.00357808058741475</v>
      </c>
      <c r="W321" s="31" t="n">
        <f aca="false">IF(AND(F321&gt;=1,R321&gt;=Inputs!$B$10),(D321-U321-T321*E321-S321*F321)/V321,"")</f>
        <v>-1.39158209457361</v>
      </c>
      <c r="X321" s="30" t="n">
        <f aca="false">IF(AB320&lt;&gt;0,AC320+1,0)</f>
        <v>3</v>
      </c>
      <c r="Y321" s="30" t="n">
        <f aca="false">IF(W321="",0,IF(AND(AB320&lt;&gt;0,OR(ABS(W321)&gt;Inputs!$B$7,X321&gt;=Inputs!$B$8,ABS(W321)&lt;Inputs!$B$6)),1,0))</f>
        <v>0</v>
      </c>
      <c r="Z321" s="30" t="n">
        <f aca="false">IF(Y321=1,0,AB320)</f>
        <v>1</v>
      </c>
      <c r="AA321" s="30" t="n">
        <f aca="false">IF(W321="",0,IF(AND(Z321=0,ABS(W321)&gt;Inputs!$B$5,ABS(W321)&lt;=Inputs!$B$7),1,0))</f>
        <v>0</v>
      </c>
      <c r="AB321" s="30" t="n">
        <f aca="false">IF(W321="",0,IF(AA321=1,-SIGN(W321),Z321))</f>
        <v>1</v>
      </c>
      <c r="AC321" s="30" t="n">
        <f aca="false">IF(W321="",0,IF(AA321=1,0,IF(Y321=1,0,X321)))</f>
        <v>3</v>
      </c>
      <c r="AD321" s="29" t="n">
        <f aca="false">IF(AB321=0,0,IF(AB320=AB321,AD320,T321))</f>
        <v>1.02073518800597</v>
      </c>
      <c r="AE321" s="30" t="n">
        <f aca="false">AB321-AB320</f>
        <v>0</v>
      </c>
      <c r="AF321" s="30" t="n">
        <f aca="false">-AD321*AB321</f>
        <v>-1.02073518800597</v>
      </c>
      <c r="AG321" s="30" t="n">
        <f aca="false">AF321-AF320</f>
        <v>0</v>
      </c>
      <c r="AH321" s="30" t="n">
        <f aca="false">MAX(AE321,0)*(Inputs!$B$17+Inputs!$B$18+Inputs!$B$19)+MAX(-AE321,0)*(O321+Inputs!$B$18+Inputs!$B$19)+IF(AND(K321=1,AB321&lt;&gt;0),(Inputs!$B$17+Inputs!$B$18+Inputs!$B$19)+(O321+Inputs!$B$18+Inputs!$B$19),0)+MAX(AG321,0)*(Inputs!$B$20+Inputs!$B$22+Inputs!$B$23)+MAX(-AG321,0)*(Inputs!$B$21+Inputs!$B$22+Inputs!$B$23)</f>
        <v>0</v>
      </c>
      <c r="AI321" s="30" t="n">
        <f aca="false">AB320*(M321-AD320*J321)+AB320*AD320*N321/Inputs!$B$16-AH321</f>
        <v>-0.00243807486776627</v>
      </c>
      <c r="AJ321" s="30" t="n">
        <f aca="false">MAX(AE321,0)*(Inputs!$B$17+Inputs!$B$24+Inputs!$B$25)+MAX(-AE321,0)*(O321+Inputs!$B$24+Inputs!$B$25)+IF(AND(K321=1,AB321&lt;&gt;0),(Inputs!$B$17+Inputs!$B$24+Inputs!$B$25)+(O321+Inputs!$B$24+Inputs!$B$25),0)+MAX(AG321,0)*(Inputs!$B$20+Inputs!$B$26+Inputs!$B$27)+MAX(-AG321,0)*(Inputs!$B$21+Inputs!$B$26+Inputs!$B$27)</f>
        <v>0</v>
      </c>
      <c r="AK321" s="30" t="n">
        <f aca="false">AB320*(M321-AD320*J321)+AB320*AD320*(N321+Inputs!$B$14)/Inputs!$B$16-AJ321</f>
        <v>-0.00240769584431371</v>
      </c>
      <c r="AL321" s="30" t="n">
        <f aca="false">IF(AP320&lt;&gt;0,AQ320+1,0)</f>
        <v>0</v>
      </c>
      <c r="AM321" s="30" t="n">
        <f aca="false">IF(W321="",0,IF(AND(AP320&lt;&gt;0,OR(ABS(W321)&gt;Inputs!$B$7,AL321&gt;=Inputs!$B$8,ABS(W321)&lt;Inputs!$B$6)),1,0))</f>
        <v>0</v>
      </c>
      <c r="AN321" s="30" t="n">
        <f aca="false">IF(AM321=1,0,AP320)</f>
        <v>0</v>
      </c>
      <c r="AO321" s="30" t="n">
        <f aca="false">IF(W321="",0,IF(AND(AN321=0,ABS(W321)&gt;Inputs!$B$5,ABS(W321)&lt;=Inputs!$B$7,W321&gt;0),1,0))</f>
        <v>0</v>
      </c>
      <c r="AP321" s="30" t="n">
        <f aca="false">IF(W321="",0,IF(AO321=1,-SIGN(W321),AN321))</f>
        <v>0</v>
      </c>
      <c r="AQ321" s="30" t="n">
        <f aca="false">IF(W321="",0,IF(AO321=1,0,IF(AM321=1,0,AL321)))</f>
        <v>0</v>
      </c>
      <c r="AR321" s="30" t="n">
        <f aca="false">IF(AP321=0,0,IF(AP320=AP321,AR320,T321))</f>
        <v>0</v>
      </c>
      <c r="AS321" s="30" t="n">
        <f aca="false">AP321-AP320</f>
        <v>0</v>
      </c>
      <c r="AT321" s="30" t="n">
        <f aca="false">-AR321*AP321</f>
        <v>-0</v>
      </c>
      <c r="AU321" s="30" t="n">
        <f aca="false">AT321-AT320</f>
        <v>0</v>
      </c>
      <c r="AV321" s="30" t="n">
        <f aca="false">MAX(AS321,0)*(Inputs!$B$17+Inputs!$B$18+Inputs!$B$19)+MAX(-AS321,0)*(O321+Inputs!$B$18+Inputs!$B$19)+IF(AND(K321=1,AP321&lt;&gt;0),(Inputs!$B$17+Inputs!$B$18+Inputs!$B$19)+(O321+Inputs!$B$18+Inputs!$B$19),0)+MAX(AU321,0)*(Inputs!$B$20+Inputs!$B$22+Inputs!$B$23)+MAX(-AU321,0)*(Inputs!$B$21+Inputs!$B$22+Inputs!$B$23)</f>
        <v>0</v>
      </c>
      <c r="AW321" s="30" t="n">
        <f aca="false">AP320*(M321-AR320*J321)+AP320*AR320*N321/Inputs!$B$16-AV321</f>
        <v>0</v>
      </c>
      <c r="AX321" s="30" t="n">
        <f aca="false">AW321-IF(AP320&lt;&gt;0,0.75*AR320*(Inputs!$B$13-N321)/Inputs!$B$16,0)</f>
        <v>0</v>
      </c>
      <c r="AY321" s="30" t="n">
        <f aca="false">MAX(AS321,0)*(Inputs!$B$17+Inputs!$B$18+Inputs!$B$19)+MAX(-AS321,0)*(O321+Inputs!$B$18+Inputs!$B$19)+IF(AND(K321=1,AP321&lt;&gt;0),(Inputs!$B$17+Inputs!$B$18+Inputs!$B$19)+(O321+Inputs!$B$18+Inputs!$B$19),0)</f>
        <v>0</v>
      </c>
      <c r="AZ321" s="30" t="n">
        <f aca="false">AP320*M321-AY321</f>
        <v>-0</v>
      </c>
      <c r="BA321" s="32" t="n">
        <f aca="false">BA320+AI321</f>
        <v>0.000161125356909055</v>
      </c>
      <c r="BB321" s="30" t="n">
        <f aca="false">MAX(BB320,BA321)</f>
        <v>0.00259920022467532</v>
      </c>
      <c r="BC321" s="32" t="n">
        <f aca="false">BA321-BB321</f>
        <v>-0.00243807486776627</v>
      </c>
      <c r="BD321" s="30" t="n">
        <f aca="false">A322-A321</f>
        <v>1</v>
      </c>
    </row>
    <row r="322" customFormat="false" ht="15" hidden="false" customHeight="false" outlineLevel="0" collapsed="false">
      <c r="A322" s="28" t="n">
        <v>45513</v>
      </c>
      <c r="B322" s="0" t="n">
        <v>24398.5</v>
      </c>
      <c r="C322" s="0" t="n">
        <v>271.8</v>
      </c>
      <c r="D322" s="29" t="n">
        <f aca="false">LN(B322)</f>
        <v>10.1022769339818</v>
      </c>
      <c r="E322" s="29" t="n">
        <f aca="false">LN(C322)</f>
        <v>5.60506650171704</v>
      </c>
      <c r="F322" s="0" t="n">
        <v>317</v>
      </c>
      <c r="G322" s="0" t="n">
        <v>20</v>
      </c>
      <c r="H322" s="29" t="n">
        <f aca="false">D322-E322</f>
        <v>4.49721043226472</v>
      </c>
      <c r="I322" s="29" t="n">
        <f aca="false">D322-D321</f>
        <v>0.0113414038959245</v>
      </c>
      <c r="J322" s="29" t="n">
        <f aca="false">E322-E321</f>
        <v>0.00968620091147443</v>
      </c>
      <c r="K322" s="0" t="n">
        <v>0</v>
      </c>
      <c r="L322" s="0" t="n">
        <v>0</v>
      </c>
      <c r="M322" s="29" t="n">
        <f aca="false">IF(L322=1,J322-Carry!$B$9/Inputs!$B$16,I322)</f>
        <v>0.0113414038959245</v>
      </c>
      <c r="N322" s="0" t="n">
        <v>0.065</v>
      </c>
      <c r="O322" s="0" t="n">
        <v>0.000125</v>
      </c>
      <c r="P322" s="29" t="n">
        <f aca="false">D322-('2 Hedge ratio'!$B$6+'2 Hedge ratio'!$B$5*E322)</f>
        <v>0.00550544305318645</v>
      </c>
      <c r="Q322" s="29" t="n">
        <f aca="false">D322-('5 Re-specification'!$B$7+'5 Re-specification'!$B$5*E322+'5 Re-specification'!$B$6*F322)</f>
        <v>-0.00276184069426577</v>
      </c>
      <c r="R322" s="30" t="n">
        <f aca="false">MIN(F322,Inputs!$B$9)</f>
        <v>250</v>
      </c>
      <c r="S322" s="29" t="n">
        <f aca="true">IF(AND(F322&gt;=1,R322&gt;=Inputs!$B$10),INDEX(LINEST(OFFSET(D322,-R322,0,R322,1),OFFSET(E322,-R322,0,R322,2)),1,1),"")</f>
        <v>-6.43825862620282E-005</v>
      </c>
      <c r="T322" s="29" t="n">
        <f aca="true">IF(AND(F322&gt;=1,R322&gt;=Inputs!$B$10),INDEX(LINEST(OFFSET(D322,-R322,0,R322,1),OFFSET(E322,-R322,0,R322,2)),1,2),"")</f>
        <v>1.02123946152855</v>
      </c>
      <c r="U322" s="29" t="n">
        <f aca="true">IF(AND(F322&gt;=1,R322&gt;=Inputs!$B$10),INDEX(LINEST(OFFSET(D322,-R322,0,R322,1),OFFSET(E322,-R322,0,R322,2)),1,3),"")</f>
        <v>4.40195701616728</v>
      </c>
      <c r="V322" s="29" t="n">
        <f aca="true">IF(AND(F322&gt;=1,R322&gt;=Inputs!$B$10),SQRT(SUMPRODUCT((OFFSET(D322,-R322,0,R322,1)-U322-T322*OFFSET(E322,-R322,0,R322,1)-S322*OFFSET(F322,-R322,0,R322,1))^2)/(R322-3)),"")</f>
        <v>0.00359177634444238</v>
      </c>
      <c r="W322" s="31" t="n">
        <f aca="false">IF(AND(F322&gt;=1,R322&gt;=Inputs!$B$10),(D322-U322-T322*E322-S322*F322)/V322,"")</f>
        <v>-0.942680740942347</v>
      </c>
      <c r="X322" s="30" t="n">
        <f aca="false">IF(AB321&lt;&gt;0,AC321+1,0)</f>
        <v>4</v>
      </c>
      <c r="Y322" s="30" t="n">
        <f aca="false">IF(W322="",0,IF(AND(AB321&lt;&gt;0,OR(ABS(W322)&gt;Inputs!$B$7,X322&gt;=Inputs!$B$8,ABS(W322)&lt;Inputs!$B$6)),1,0))</f>
        <v>0</v>
      </c>
      <c r="Z322" s="30" t="n">
        <f aca="false">IF(Y322=1,0,AB321)</f>
        <v>1</v>
      </c>
      <c r="AA322" s="30" t="n">
        <f aca="false">IF(W322="",0,IF(AND(Z322=0,ABS(W322)&gt;Inputs!$B$5,ABS(W322)&lt;=Inputs!$B$7),1,0))</f>
        <v>0</v>
      </c>
      <c r="AB322" s="30" t="n">
        <f aca="false">IF(W322="",0,IF(AA322=1,-SIGN(W322),Z322))</f>
        <v>1</v>
      </c>
      <c r="AC322" s="30" t="n">
        <f aca="false">IF(W322="",0,IF(AA322=1,0,IF(Y322=1,0,X322)))</f>
        <v>4</v>
      </c>
      <c r="AD322" s="29" t="n">
        <f aca="false">IF(AB322=0,0,IF(AB321=AB322,AD321,T322))</f>
        <v>1.02073518800597</v>
      </c>
      <c r="AE322" s="30" t="n">
        <f aca="false">AB322-AB321</f>
        <v>0</v>
      </c>
      <c r="AF322" s="30" t="n">
        <f aca="false">-AD322*AB322</f>
        <v>-1.02073518800597</v>
      </c>
      <c r="AG322" s="30" t="n">
        <f aca="false">AF322-AF321</f>
        <v>0</v>
      </c>
      <c r="AH322" s="30" t="n">
        <f aca="false">MAX(AE322,0)*(Inputs!$B$17+Inputs!$B$18+Inputs!$B$19)+MAX(-AE322,0)*(O322+Inputs!$B$18+Inputs!$B$19)+IF(AND(K322=1,AB322&lt;&gt;0),(Inputs!$B$17+Inputs!$B$18+Inputs!$B$19)+(O322+Inputs!$B$18+Inputs!$B$19),0)+MAX(AG322,0)*(Inputs!$B$20+Inputs!$B$22+Inputs!$B$23)+MAX(-AG322,0)*(Inputs!$B$21+Inputs!$B$22+Inputs!$B$23)</f>
        <v>0</v>
      </c>
      <c r="AI322" s="30" t="n">
        <f aca="false">AB321*(M322-AD321*J322)+AB321*AD321*N322/Inputs!$B$16-AH322</f>
        <v>0.00171764265740921</v>
      </c>
      <c r="AJ322" s="30" t="n">
        <f aca="false">MAX(AE322,0)*(Inputs!$B$17+Inputs!$B$24+Inputs!$B$25)+MAX(-AE322,0)*(O322+Inputs!$B$24+Inputs!$B$25)+IF(AND(K322=1,AB322&lt;&gt;0),(Inputs!$B$17+Inputs!$B$24+Inputs!$B$25)+(O322+Inputs!$B$24+Inputs!$B$25),0)+MAX(AG322,0)*(Inputs!$B$20+Inputs!$B$26+Inputs!$B$27)+MAX(-AG322,0)*(Inputs!$B$21+Inputs!$B$26+Inputs!$B$27)</f>
        <v>0</v>
      </c>
      <c r="AK322" s="30" t="n">
        <f aca="false">AB321*(M322-AD321*J322)+AB321*AD321*(N322+Inputs!$B$14)/Inputs!$B$16-AJ322</f>
        <v>0.00174802168086177</v>
      </c>
      <c r="AL322" s="30" t="n">
        <f aca="false">IF(AP321&lt;&gt;0,AQ321+1,0)</f>
        <v>0</v>
      </c>
      <c r="AM322" s="30" t="n">
        <f aca="false">IF(W322="",0,IF(AND(AP321&lt;&gt;0,OR(ABS(W322)&gt;Inputs!$B$7,AL322&gt;=Inputs!$B$8,ABS(W322)&lt;Inputs!$B$6)),1,0))</f>
        <v>0</v>
      </c>
      <c r="AN322" s="30" t="n">
        <f aca="false">IF(AM322=1,0,AP321)</f>
        <v>0</v>
      </c>
      <c r="AO322" s="30" t="n">
        <f aca="false">IF(W322="",0,IF(AND(AN322=0,ABS(W322)&gt;Inputs!$B$5,ABS(W322)&lt;=Inputs!$B$7,W322&gt;0),1,0))</f>
        <v>0</v>
      </c>
      <c r="AP322" s="30" t="n">
        <f aca="false">IF(W322="",0,IF(AO322=1,-SIGN(W322),AN322))</f>
        <v>0</v>
      </c>
      <c r="AQ322" s="30" t="n">
        <f aca="false">IF(W322="",0,IF(AO322=1,0,IF(AM322=1,0,AL322)))</f>
        <v>0</v>
      </c>
      <c r="AR322" s="30" t="n">
        <f aca="false">IF(AP322=0,0,IF(AP321=AP322,AR321,T322))</f>
        <v>0</v>
      </c>
      <c r="AS322" s="30" t="n">
        <f aca="false">AP322-AP321</f>
        <v>0</v>
      </c>
      <c r="AT322" s="30" t="n">
        <f aca="false">-AR322*AP322</f>
        <v>-0</v>
      </c>
      <c r="AU322" s="30" t="n">
        <f aca="false">AT322-AT321</f>
        <v>0</v>
      </c>
      <c r="AV322" s="30" t="n">
        <f aca="false">MAX(AS322,0)*(Inputs!$B$17+Inputs!$B$18+Inputs!$B$19)+MAX(-AS322,0)*(O322+Inputs!$B$18+Inputs!$B$19)+IF(AND(K322=1,AP322&lt;&gt;0),(Inputs!$B$17+Inputs!$B$18+Inputs!$B$19)+(O322+Inputs!$B$18+Inputs!$B$19),0)+MAX(AU322,0)*(Inputs!$B$20+Inputs!$B$22+Inputs!$B$23)+MAX(-AU322,0)*(Inputs!$B$21+Inputs!$B$22+Inputs!$B$23)</f>
        <v>0</v>
      </c>
      <c r="AW322" s="30" t="n">
        <f aca="false">AP321*(M322-AR321*J322)+AP321*AR321*N322/Inputs!$B$16-AV322</f>
        <v>0</v>
      </c>
      <c r="AX322" s="30" t="n">
        <f aca="false">AW322-IF(AP321&lt;&gt;0,0.75*AR321*(Inputs!$B$13-N322)/Inputs!$B$16,0)</f>
        <v>0</v>
      </c>
      <c r="AY322" s="30" t="n">
        <f aca="false">MAX(AS322,0)*(Inputs!$B$17+Inputs!$B$18+Inputs!$B$19)+MAX(-AS322,0)*(O322+Inputs!$B$18+Inputs!$B$19)+IF(AND(K322=1,AP322&lt;&gt;0),(Inputs!$B$17+Inputs!$B$18+Inputs!$B$19)+(O322+Inputs!$B$18+Inputs!$B$19),0)</f>
        <v>0</v>
      </c>
      <c r="AZ322" s="30" t="n">
        <f aca="false">AP321*M322-AY322</f>
        <v>0</v>
      </c>
      <c r="BA322" s="32" t="n">
        <f aca="false">BA321+AI322</f>
        <v>0.00187876801431827</v>
      </c>
      <c r="BB322" s="30" t="n">
        <f aca="false">MAX(BB321,BA322)</f>
        <v>0.00259920022467532</v>
      </c>
      <c r="BC322" s="32" t="n">
        <f aca="false">BA322-BB322</f>
        <v>-0.000720432210357055</v>
      </c>
      <c r="BD322" s="30" t="n">
        <f aca="false">A323-A322</f>
        <v>3</v>
      </c>
    </row>
    <row r="323" customFormat="false" ht="15" hidden="false" customHeight="false" outlineLevel="0" collapsed="false">
      <c r="A323" s="28" t="n">
        <v>45516</v>
      </c>
      <c r="B323" s="0" t="n">
        <v>24363.55</v>
      </c>
      <c r="C323" s="0" t="n">
        <v>271.59</v>
      </c>
      <c r="D323" s="29" t="n">
        <f aca="false">LN(B323)</f>
        <v>10.1008434419122</v>
      </c>
      <c r="E323" s="29" t="n">
        <f aca="false">LN(C323)</f>
        <v>5.60429357615546</v>
      </c>
      <c r="F323" s="0" t="n">
        <v>318</v>
      </c>
      <c r="G323" s="0" t="n">
        <v>17</v>
      </c>
      <c r="H323" s="29" t="n">
        <f aca="false">D323-E323</f>
        <v>4.49654986575676</v>
      </c>
      <c r="I323" s="29" t="n">
        <f aca="false">D323-D322</f>
        <v>-0.00143349206954468</v>
      </c>
      <c r="J323" s="29" t="n">
        <f aca="false">E323-E322</f>
        <v>-0.000772925561585147</v>
      </c>
      <c r="K323" s="0" t="n">
        <v>0</v>
      </c>
      <c r="L323" s="0" t="n">
        <v>0</v>
      </c>
      <c r="M323" s="29" t="n">
        <f aca="false">IF(L323=1,J323-Carry!$B$9/Inputs!$B$16,I323)</f>
        <v>-0.00143349206954468</v>
      </c>
      <c r="N323" s="0" t="n">
        <v>0.065</v>
      </c>
      <c r="O323" s="0" t="n">
        <v>0.000125</v>
      </c>
      <c r="P323" s="29" t="n">
        <f aca="false">D323-('2 Hedge ratio'!$B$6+'2 Hedge ratio'!$B$5*E323)</f>
        <v>0.00478004877351523</v>
      </c>
      <c r="Q323" s="29" t="n">
        <f aca="false">D323-('5 Re-specification'!$B$7+'5 Re-specification'!$B$5*E323+'5 Re-specification'!$B$6*F323)</f>
        <v>-0.003379820235061</v>
      </c>
      <c r="R323" s="30" t="n">
        <f aca="false">MIN(F323,Inputs!$B$9)</f>
        <v>250</v>
      </c>
      <c r="S323" s="29" t="n">
        <f aca="true">IF(AND(F323&gt;=1,R323&gt;=Inputs!$B$10),INDEX(LINEST(OFFSET(D323,-R323,0,R323,1),OFFSET(E323,-R323,0,R323,2)),1,1),"")</f>
        <v>-6.50209359988673E-005</v>
      </c>
      <c r="T323" s="29" t="n">
        <f aca="true">IF(AND(F323&gt;=1,R323&gt;=Inputs!$B$10),INDEX(LINEST(OFFSET(D323,-R323,0,R323,1),OFFSET(E323,-R323,0,R323,2)),1,2),"")</f>
        <v>1.02146766526746</v>
      </c>
      <c r="U323" s="29" t="n">
        <f aca="true">IF(AND(F323&gt;=1,R323&gt;=Inputs!$B$10),INDEX(LINEST(OFFSET(D323,-R323,0,R323,1),OFFSET(E323,-R323,0,R323,2)),1,3),"")</f>
        <v>4.40081994884436</v>
      </c>
      <c r="V323" s="29" t="n">
        <f aca="true">IF(AND(F323&gt;=1,R323&gt;=Inputs!$B$10),SQRT(SUMPRODUCT((OFFSET(D323,-R323,0,R323,1)-U323-T323*OFFSET(E323,-R323,0,R323,1)-S323*OFFSET(F323,-R323,0,R323,1))^2)/(R323-3)),"")</f>
        <v>0.00359776626017982</v>
      </c>
      <c r="W323" s="31" t="n">
        <f aca="false">IF(AND(F323&gt;=1,R323&gt;=Inputs!$B$10),(D323-U323-T323*E323-S323*F323)/V323,"")</f>
        <v>-1.0852633859628</v>
      </c>
      <c r="X323" s="30" t="n">
        <f aca="false">IF(AB322&lt;&gt;0,AC322+1,0)</f>
        <v>5</v>
      </c>
      <c r="Y323" s="30" t="n">
        <f aca="false">IF(W323="",0,IF(AND(AB322&lt;&gt;0,OR(ABS(W323)&gt;Inputs!$B$7,X323&gt;=Inputs!$B$8,ABS(W323)&lt;Inputs!$B$6)),1,0))</f>
        <v>0</v>
      </c>
      <c r="Z323" s="30" t="n">
        <f aca="false">IF(Y323=1,0,AB322)</f>
        <v>1</v>
      </c>
      <c r="AA323" s="30" t="n">
        <f aca="false">IF(W323="",0,IF(AND(Z323=0,ABS(W323)&gt;Inputs!$B$5,ABS(W323)&lt;=Inputs!$B$7),1,0))</f>
        <v>0</v>
      </c>
      <c r="AB323" s="30" t="n">
        <f aca="false">IF(W323="",0,IF(AA323=1,-SIGN(W323),Z323))</f>
        <v>1</v>
      </c>
      <c r="AC323" s="30" t="n">
        <f aca="false">IF(W323="",0,IF(AA323=1,0,IF(Y323=1,0,X323)))</f>
        <v>5</v>
      </c>
      <c r="AD323" s="29" t="n">
        <f aca="false">IF(AB323=0,0,IF(AB322=AB323,AD322,T323))</f>
        <v>1.02073518800597</v>
      </c>
      <c r="AE323" s="30" t="n">
        <f aca="false">AB323-AB322</f>
        <v>0</v>
      </c>
      <c r="AF323" s="30" t="n">
        <f aca="false">-AD323*AB323</f>
        <v>-1.02073518800597</v>
      </c>
      <c r="AG323" s="30" t="n">
        <f aca="false">AF323-AF322</f>
        <v>0</v>
      </c>
      <c r="AH323" s="30" t="n">
        <f aca="false">MAX(AE323,0)*(Inputs!$B$17+Inputs!$B$18+Inputs!$B$19)+MAX(-AE323,0)*(O323+Inputs!$B$18+Inputs!$B$19)+IF(AND(K323=1,AB323&lt;&gt;0),(Inputs!$B$17+Inputs!$B$18+Inputs!$B$19)+(O323+Inputs!$B$18+Inputs!$B$19),0)+MAX(AG323,0)*(Inputs!$B$20+Inputs!$B$22+Inputs!$B$23)+MAX(-AG323,0)*(Inputs!$B$21+Inputs!$B$22+Inputs!$B$23)</f>
        <v>0</v>
      </c>
      <c r="AI323" s="30" t="n">
        <f aca="false">AB322*(M323-AD322*J323)+AB322*AD322*N323/Inputs!$B$16-AH323</f>
        <v>-0.00038125488120327</v>
      </c>
      <c r="AJ323" s="30" t="n">
        <f aca="false">MAX(AE323,0)*(Inputs!$B$17+Inputs!$B$24+Inputs!$B$25)+MAX(-AE323,0)*(O323+Inputs!$B$24+Inputs!$B$25)+IF(AND(K323=1,AB323&lt;&gt;0),(Inputs!$B$17+Inputs!$B$24+Inputs!$B$25)+(O323+Inputs!$B$24+Inputs!$B$25),0)+MAX(AG323,0)*(Inputs!$B$20+Inputs!$B$26+Inputs!$B$27)+MAX(-AG323,0)*(Inputs!$B$21+Inputs!$B$26+Inputs!$B$27)</f>
        <v>0</v>
      </c>
      <c r="AK323" s="30" t="n">
        <f aca="false">AB322*(M323-AD322*J323)+AB322*AD322*(N323+Inputs!$B$14)/Inputs!$B$16-AJ323</f>
        <v>-0.000350875857750711</v>
      </c>
      <c r="AL323" s="30" t="n">
        <f aca="false">IF(AP322&lt;&gt;0,AQ322+1,0)</f>
        <v>0</v>
      </c>
      <c r="AM323" s="30" t="n">
        <f aca="false">IF(W323="",0,IF(AND(AP322&lt;&gt;0,OR(ABS(W323)&gt;Inputs!$B$7,AL323&gt;=Inputs!$B$8,ABS(W323)&lt;Inputs!$B$6)),1,0))</f>
        <v>0</v>
      </c>
      <c r="AN323" s="30" t="n">
        <f aca="false">IF(AM323=1,0,AP322)</f>
        <v>0</v>
      </c>
      <c r="AO323" s="30" t="n">
        <f aca="false">IF(W323="",0,IF(AND(AN323=0,ABS(W323)&gt;Inputs!$B$5,ABS(W323)&lt;=Inputs!$B$7,W323&gt;0),1,0))</f>
        <v>0</v>
      </c>
      <c r="AP323" s="30" t="n">
        <f aca="false">IF(W323="",0,IF(AO323=1,-SIGN(W323),AN323))</f>
        <v>0</v>
      </c>
      <c r="AQ323" s="30" t="n">
        <f aca="false">IF(W323="",0,IF(AO323=1,0,IF(AM323=1,0,AL323)))</f>
        <v>0</v>
      </c>
      <c r="AR323" s="30" t="n">
        <f aca="false">IF(AP323=0,0,IF(AP322=AP323,AR322,T323))</f>
        <v>0</v>
      </c>
      <c r="AS323" s="30" t="n">
        <f aca="false">AP323-AP322</f>
        <v>0</v>
      </c>
      <c r="AT323" s="30" t="n">
        <f aca="false">-AR323*AP323</f>
        <v>-0</v>
      </c>
      <c r="AU323" s="30" t="n">
        <f aca="false">AT323-AT322</f>
        <v>0</v>
      </c>
      <c r="AV323" s="30" t="n">
        <f aca="false">MAX(AS323,0)*(Inputs!$B$17+Inputs!$B$18+Inputs!$B$19)+MAX(-AS323,0)*(O323+Inputs!$B$18+Inputs!$B$19)+IF(AND(K323=1,AP323&lt;&gt;0),(Inputs!$B$17+Inputs!$B$18+Inputs!$B$19)+(O323+Inputs!$B$18+Inputs!$B$19),0)+MAX(AU323,0)*(Inputs!$B$20+Inputs!$B$22+Inputs!$B$23)+MAX(-AU323,0)*(Inputs!$B$21+Inputs!$B$22+Inputs!$B$23)</f>
        <v>0</v>
      </c>
      <c r="AW323" s="30" t="n">
        <f aca="false">AP322*(M323-AR322*J323)+AP322*AR322*N323/Inputs!$B$16-AV323</f>
        <v>0</v>
      </c>
      <c r="AX323" s="30" t="n">
        <f aca="false">AW323-IF(AP322&lt;&gt;0,0.75*AR322*(Inputs!$B$13-N323)/Inputs!$B$16,0)</f>
        <v>0</v>
      </c>
      <c r="AY323" s="30" t="n">
        <f aca="false">MAX(AS323,0)*(Inputs!$B$17+Inputs!$B$18+Inputs!$B$19)+MAX(-AS323,0)*(O323+Inputs!$B$18+Inputs!$B$19)+IF(AND(K323=1,AP323&lt;&gt;0),(Inputs!$B$17+Inputs!$B$18+Inputs!$B$19)+(O323+Inputs!$B$18+Inputs!$B$19),0)</f>
        <v>0</v>
      </c>
      <c r="AZ323" s="30" t="n">
        <f aca="false">AP322*M323-AY323</f>
        <v>-0</v>
      </c>
      <c r="BA323" s="32" t="n">
        <f aca="false">BA322+AI323</f>
        <v>0.001497513133115</v>
      </c>
      <c r="BB323" s="30" t="n">
        <f aca="false">MAX(BB322,BA323)</f>
        <v>0.00259920022467532</v>
      </c>
      <c r="BC323" s="32" t="n">
        <f aca="false">BA323-BB323</f>
        <v>-0.00110168709156032</v>
      </c>
      <c r="BD323" s="30" t="n">
        <f aca="false">A324-A323</f>
        <v>1</v>
      </c>
    </row>
    <row r="324" customFormat="false" ht="15" hidden="false" customHeight="false" outlineLevel="0" collapsed="false">
      <c r="A324" s="28" t="n">
        <v>45517</v>
      </c>
      <c r="B324" s="0" t="n">
        <v>24158</v>
      </c>
      <c r="C324" s="0" t="n">
        <v>269.8</v>
      </c>
      <c r="D324" s="29" t="n">
        <f aca="false">LN(B324)</f>
        <v>10.0923708671652</v>
      </c>
      <c r="E324" s="29" t="n">
        <f aca="false">LN(C324)</f>
        <v>5.59768094377366</v>
      </c>
      <c r="F324" s="0" t="n">
        <v>319</v>
      </c>
      <c r="G324" s="0" t="n">
        <v>16</v>
      </c>
      <c r="H324" s="29" t="n">
        <f aca="false">D324-E324</f>
        <v>4.49468992339157</v>
      </c>
      <c r="I324" s="29" t="n">
        <f aca="false">D324-D323</f>
        <v>-0.00847257474699781</v>
      </c>
      <c r="J324" s="29" t="n">
        <f aca="false">E324-E323</f>
        <v>-0.00661263238180343</v>
      </c>
      <c r="K324" s="0" t="n">
        <v>0</v>
      </c>
      <c r="L324" s="0" t="n">
        <v>0</v>
      </c>
      <c r="M324" s="29" t="n">
        <f aca="false">IF(L324=1,J324-Carry!$B$9/Inputs!$B$16,I324)</f>
        <v>-0.00847257474699781</v>
      </c>
      <c r="N324" s="0" t="n">
        <v>0.065</v>
      </c>
      <c r="O324" s="0" t="n">
        <v>0.000125</v>
      </c>
      <c r="P324" s="29" t="n">
        <f aca="false">D324-('2 Hedge ratio'!$B$6+'2 Hedge ratio'!$B$5*E324)</f>
        <v>0.0023654835005491</v>
      </c>
      <c r="Q324" s="29" t="n">
        <f aca="false">D324-('5 Re-specification'!$B$7+'5 Re-specification'!$B$5*E324+'5 Re-specification'!$B$6*F324)</f>
        <v>-0.00521487286473032</v>
      </c>
      <c r="R324" s="30" t="n">
        <f aca="false">MIN(F324,Inputs!$B$9)</f>
        <v>250</v>
      </c>
      <c r="S324" s="29" t="n">
        <f aca="true">IF(AND(F324&gt;=1,R324&gt;=Inputs!$B$10),INDEX(LINEST(OFFSET(D324,-R324,0,R324,1),OFFSET(E324,-R324,0,R324,2)),1,1),"")</f>
        <v>-6.56687240686657E-005</v>
      </c>
      <c r="T324" s="29" t="n">
        <f aca="true">IF(AND(F324&gt;=1,R324&gt;=Inputs!$B$10),INDEX(LINEST(OFFSET(D324,-R324,0,R324,1),OFFSET(E324,-R324,0,R324,2)),1,2),"")</f>
        <v>1.02169212406248</v>
      </c>
      <c r="U324" s="29" t="n">
        <f aca="true">IF(AND(F324&gt;=1,R324&gt;=Inputs!$B$10),INDEX(LINEST(OFFSET(D324,-R324,0,R324,1),OFFSET(E324,-R324,0,R324,2)),1,3),"")</f>
        <v>4.39970204304696</v>
      </c>
      <c r="V324" s="29" t="n">
        <f aca="true">IF(AND(F324&gt;=1,R324&gt;=Inputs!$B$10),SQRT(SUMPRODUCT((OFFSET(D324,-R324,0,R324,1)-U324-T324*OFFSET(E324,-R324,0,R324,1)-S324*OFFSET(F324,-R324,0,R324,1))^2)/(R324-3)),"")</f>
        <v>0.00360609649507363</v>
      </c>
      <c r="W324" s="31" t="n">
        <f aca="false">IF(AND(F324&gt;=1,R324&gt;=Inputs!$B$10),(D324-U324-T324*E324-S324*F324)/V324,"")</f>
        <v>-1.52225160349988</v>
      </c>
      <c r="X324" s="30" t="n">
        <f aca="false">IF(AB323&lt;&gt;0,AC323+1,0)</f>
        <v>6</v>
      </c>
      <c r="Y324" s="30" t="n">
        <f aca="false">IF(W324="",0,IF(AND(AB323&lt;&gt;0,OR(ABS(W324)&gt;Inputs!$B$7,X324&gt;=Inputs!$B$8,ABS(W324)&lt;Inputs!$B$6)),1,0))</f>
        <v>0</v>
      </c>
      <c r="Z324" s="30" t="n">
        <f aca="false">IF(Y324=1,0,AB323)</f>
        <v>1</v>
      </c>
      <c r="AA324" s="30" t="n">
        <f aca="false">IF(W324="",0,IF(AND(Z324=0,ABS(W324)&gt;Inputs!$B$5,ABS(W324)&lt;=Inputs!$B$7),1,0))</f>
        <v>0</v>
      </c>
      <c r="AB324" s="30" t="n">
        <f aca="false">IF(W324="",0,IF(AA324=1,-SIGN(W324),Z324))</f>
        <v>1</v>
      </c>
      <c r="AC324" s="30" t="n">
        <f aca="false">IF(W324="",0,IF(AA324=1,0,IF(Y324=1,0,X324)))</f>
        <v>6</v>
      </c>
      <c r="AD324" s="29" t="n">
        <f aca="false">IF(AB324=0,0,IF(AB323=AB324,AD323,T324))</f>
        <v>1.02073518800597</v>
      </c>
      <c r="AE324" s="30" t="n">
        <f aca="false">AB324-AB323</f>
        <v>0</v>
      </c>
      <c r="AF324" s="30" t="n">
        <f aca="false">-AD324*AB324</f>
        <v>-1.02073518800597</v>
      </c>
      <c r="AG324" s="30" t="n">
        <f aca="false">AF324-AF323</f>
        <v>0</v>
      </c>
      <c r="AH324" s="30" t="n">
        <f aca="false">MAX(AE324,0)*(Inputs!$B$17+Inputs!$B$18+Inputs!$B$19)+MAX(-AE324,0)*(O324+Inputs!$B$18+Inputs!$B$19)+IF(AND(K324=1,AB324&lt;&gt;0),(Inputs!$B$17+Inputs!$B$18+Inputs!$B$19)+(O324+Inputs!$B$18+Inputs!$B$19),0)+MAX(AG324,0)*(Inputs!$B$20+Inputs!$B$22+Inputs!$B$23)+MAX(-AG324,0)*(Inputs!$B$21+Inputs!$B$22+Inputs!$B$23)</f>
        <v>0</v>
      </c>
      <c r="AI324" s="30" t="n">
        <f aca="false">AB323*(M324-AD323*J324)+AB323*AD323*N324/Inputs!$B$16-AH324</f>
        <v>-0.00145954331962112</v>
      </c>
      <c r="AJ324" s="30" t="n">
        <f aca="false">MAX(AE324,0)*(Inputs!$B$17+Inputs!$B$24+Inputs!$B$25)+MAX(-AE324,0)*(O324+Inputs!$B$24+Inputs!$B$25)+IF(AND(K324=1,AB324&lt;&gt;0),(Inputs!$B$17+Inputs!$B$24+Inputs!$B$25)+(O324+Inputs!$B$24+Inputs!$B$25),0)+MAX(AG324,0)*(Inputs!$B$20+Inputs!$B$26+Inputs!$B$27)+MAX(-AG324,0)*(Inputs!$B$21+Inputs!$B$26+Inputs!$B$27)</f>
        <v>0</v>
      </c>
      <c r="AK324" s="30" t="n">
        <f aca="false">AB323*(M324-AD323*J324)+AB323*AD323*(N324+Inputs!$B$14)/Inputs!$B$16-AJ324</f>
        <v>-0.00142916429616856</v>
      </c>
      <c r="AL324" s="30" t="n">
        <f aca="false">IF(AP323&lt;&gt;0,AQ323+1,0)</f>
        <v>0</v>
      </c>
      <c r="AM324" s="30" t="n">
        <f aca="false">IF(W324="",0,IF(AND(AP323&lt;&gt;0,OR(ABS(W324)&gt;Inputs!$B$7,AL324&gt;=Inputs!$B$8,ABS(W324)&lt;Inputs!$B$6)),1,0))</f>
        <v>0</v>
      </c>
      <c r="AN324" s="30" t="n">
        <f aca="false">IF(AM324=1,0,AP323)</f>
        <v>0</v>
      </c>
      <c r="AO324" s="30" t="n">
        <f aca="false">IF(W324="",0,IF(AND(AN324=0,ABS(W324)&gt;Inputs!$B$5,ABS(W324)&lt;=Inputs!$B$7,W324&gt;0),1,0))</f>
        <v>0</v>
      </c>
      <c r="AP324" s="30" t="n">
        <f aca="false">IF(W324="",0,IF(AO324=1,-SIGN(W324),AN324))</f>
        <v>0</v>
      </c>
      <c r="AQ324" s="30" t="n">
        <f aca="false">IF(W324="",0,IF(AO324=1,0,IF(AM324=1,0,AL324)))</f>
        <v>0</v>
      </c>
      <c r="AR324" s="30" t="n">
        <f aca="false">IF(AP324=0,0,IF(AP323=AP324,AR323,T324))</f>
        <v>0</v>
      </c>
      <c r="AS324" s="30" t="n">
        <f aca="false">AP324-AP323</f>
        <v>0</v>
      </c>
      <c r="AT324" s="30" t="n">
        <f aca="false">-AR324*AP324</f>
        <v>-0</v>
      </c>
      <c r="AU324" s="30" t="n">
        <f aca="false">AT324-AT323</f>
        <v>0</v>
      </c>
      <c r="AV324" s="30" t="n">
        <f aca="false">MAX(AS324,0)*(Inputs!$B$17+Inputs!$B$18+Inputs!$B$19)+MAX(-AS324,0)*(O324+Inputs!$B$18+Inputs!$B$19)+IF(AND(K324=1,AP324&lt;&gt;0),(Inputs!$B$17+Inputs!$B$18+Inputs!$B$19)+(O324+Inputs!$B$18+Inputs!$B$19),0)+MAX(AU324,0)*(Inputs!$B$20+Inputs!$B$22+Inputs!$B$23)+MAX(-AU324,0)*(Inputs!$B$21+Inputs!$B$22+Inputs!$B$23)</f>
        <v>0</v>
      </c>
      <c r="AW324" s="30" t="n">
        <f aca="false">AP323*(M324-AR323*J324)+AP323*AR323*N324/Inputs!$B$16-AV324</f>
        <v>0</v>
      </c>
      <c r="AX324" s="30" t="n">
        <f aca="false">AW324-IF(AP323&lt;&gt;0,0.75*AR323*(Inputs!$B$13-N324)/Inputs!$B$16,0)</f>
        <v>0</v>
      </c>
      <c r="AY324" s="30" t="n">
        <f aca="false">MAX(AS324,0)*(Inputs!$B$17+Inputs!$B$18+Inputs!$B$19)+MAX(-AS324,0)*(O324+Inputs!$B$18+Inputs!$B$19)+IF(AND(K324=1,AP324&lt;&gt;0),(Inputs!$B$17+Inputs!$B$18+Inputs!$B$19)+(O324+Inputs!$B$18+Inputs!$B$19),0)</f>
        <v>0</v>
      </c>
      <c r="AZ324" s="30" t="n">
        <f aca="false">AP323*M324-AY324</f>
        <v>-0</v>
      </c>
      <c r="BA324" s="32" t="n">
        <f aca="false">BA323+AI324</f>
        <v>3.79698134938841E-005</v>
      </c>
      <c r="BB324" s="30" t="n">
        <f aca="false">MAX(BB323,BA324)</f>
        <v>0.00259920022467532</v>
      </c>
      <c r="BC324" s="32" t="n">
        <f aca="false">BA324-BB324</f>
        <v>-0.00256123041118144</v>
      </c>
      <c r="BD324" s="30" t="n">
        <f aca="false">A325-A324</f>
        <v>1</v>
      </c>
    </row>
    <row r="325" customFormat="false" ht="15" hidden="false" customHeight="false" outlineLevel="0" collapsed="false">
      <c r="A325" s="28" t="n">
        <v>45518</v>
      </c>
      <c r="B325" s="0" t="n">
        <v>24172</v>
      </c>
      <c r="C325" s="0" t="n">
        <v>269.48</v>
      </c>
      <c r="D325" s="29" t="n">
        <f aca="false">LN(B325)</f>
        <v>10.0929502174815</v>
      </c>
      <c r="E325" s="29" t="n">
        <f aca="false">LN(C325)</f>
        <v>5.59649417609246</v>
      </c>
      <c r="F325" s="0" t="n">
        <v>320</v>
      </c>
      <c r="G325" s="0" t="n">
        <v>15</v>
      </c>
      <c r="H325" s="29" t="n">
        <f aca="false">D325-E325</f>
        <v>4.49645604138899</v>
      </c>
      <c r="I325" s="29" t="n">
        <f aca="false">D325-D324</f>
        <v>0.000579350316225913</v>
      </c>
      <c r="J325" s="29" t="n">
        <f aca="false">E325-E324</f>
        <v>-0.00118676768119563</v>
      </c>
      <c r="K325" s="0" t="n">
        <v>0</v>
      </c>
      <c r="L325" s="0" t="n">
        <v>0</v>
      </c>
      <c r="M325" s="29" t="n">
        <f aca="false">IF(L325=1,J325-Carry!$B$9/Inputs!$B$16,I325)</f>
        <v>0.000579350316225913</v>
      </c>
      <c r="N325" s="0" t="n">
        <v>0.065</v>
      </c>
      <c r="O325" s="0" t="n">
        <v>0.000125</v>
      </c>
      <c r="P325" s="29" t="n">
        <f aca="false">D325-('2 Hedge ratio'!$B$6+'2 Hedge ratio'!$B$5*E325)</f>
        <v>0.00403206344652851</v>
      </c>
      <c r="Q325" s="29" t="n">
        <f aca="false">D325-('5 Re-specification'!$B$7+'5 Re-specification'!$B$5*E325+'5 Re-specification'!$B$6*F325)</f>
        <v>-0.00340742204869393</v>
      </c>
      <c r="R325" s="30" t="n">
        <f aca="false">MIN(F325,Inputs!$B$9)</f>
        <v>250</v>
      </c>
      <c r="S325" s="29" t="n">
        <f aca="true">IF(AND(F325&gt;=1,R325&gt;=Inputs!$B$10),INDEX(LINEST(OFFSET(D325,-R325,0,R325,1),OFFSET(E325,-R325,0,R325,2)),1,1),"")</f>
        <v>-6.7781865646246E-005</v>
      </c>
      <c r="T325" s="29" t="n">
        <f aca="true">IF(AND(F325&gt;=1,R325&gt;=Inputs!$B$10),INDEX(LINEST(OFFSET(D325,-R325,0,R325,1),OFFSET(E325,-R325,0,R325,2)),1,2),"")</f>
        <v>1.02294596167291</v>
      </c>
      <c r="U325" s="29" t="n">
        <f aca="true">IF(AND(F325&gt;=1,R325&gt;=Inputs!$B$10),INDEX(LINEST(OFFSET(D325,-R325,0,R325,1),OFFSET(E325,-R325,0,R325,2)),1,3),"")</f>
        <v>4.39323454136793</v>
      </c>
      <c r="V325" s="29" t="n">
        <f aca="true">IF(AND(F325&gt;=1,R325&gt;=Inputs!$B$10),SQRT(SUMPRODUCT((OFFSET(D325,-R325,0,R325,1)-U325-T325*OFFSET(E325,-R325,0,R325,1)-S325*OFFSET(F325,-R325,0,R325,1))^2)/(R325-3)),"")</f>
        <v>0.00361833318211771</v>
      </c>
      <c r="W325" s="31" t="n">
        <f aca="false">IF(AND(F325&gt;=1,R325&gt;=Inputs!$B$10),(D325-U325-T325*E325-S325*F325)/V325,"")</f>
        <v>-0.968745459025492</v>
      </c>
      <c r="X325" s="30" t="n">
        <f aca="false">IF(AB324&lt;&gt;0,AC324+1,0)</f>
        <v>7</v>
      </c>
      <c r="Y325" s="30" t="n">
        <f aca="false">IF(W325="",0,IF(AND(AB324&lt;&gt;0,OR(ABS(W325)&gt;Inputs!$B$7,X325&gt;=Inputs!$B$8,ABS(W325)&lt;Inputs!$B$6)),1,0))</f>
        <v>0</v>
      </c>
      <c r="Z325" s="30" t="n">
        <f aca="false">IF(Y325=1,0,AB324)</f>
        <v>1</v>
      </c>
      <c r="AA325" s="30" t="n">
        <f aca="false">IF(W325="",0,IF(AND(Z325=0,ABS(W325)&gt;Inputs!$B$5,ABS(W325)&lt;=Inputs!$B$7),1,0))</f>
        <v>0</v>
      </c>
      <c r="AB325" s="30" t="n">
        <f aca="false">IF(W325="",0,IF(AA325=1,-SIGN(W325),Z325))</f>
        <v>1</v>
      </c>
      <c r="AC325" s="30" t="n">
        <f aca="false">IF(W325="",0,IF(AA325=1,0,IF(Y325=1,0,X325)))</f>
        <v>7</v>
      </c>
      <c r="AD325" s="29" t="n">
        <f aca="false">IF(AB325=0,0,IF(AB324=AB325,AD324,T325))</f>
        <v>1.02073518800597</v>
      </c>
      <c r="AE325" s="30" t="n">
        <f aca="false">AB325-AB324</f>
        <v>0</v>
      </c>
      <c r="AF325" s="30" t="n">
        <f aca="false">-AD325*AB325</f>
        <v>-1.02073518800597</v>
      </c>
      <c r="AG325" s="30" t="n">
        <f aca="false">AF325-AF324</f>
        <v>0</v>
      </c>
      <c r="AH325" s="30" t="n">
        <f aca="false">MAX(AE325,0)*(Inputs!$B$17+Inputs!$B$18+Inputs!$B$19)+MAX(-AE325,0)*(O325+Inputs!$B$18+Inputs!$B$19)+IF(AND(K325=1,AB325&lt;&gt;0),(Inputs!$B$17+Inputs!$B$18+Inputs!$B$19)+(O325+Inputs!$B$18+Inputs!$B$19),0)+MAX(AG325,0)*(Inputs!$B$20+Inputs!$B$22+Inputs!$B$23)+MAX(-AG325,0)*(Inputs!$B$21+Inputs!$B$22+Inputs!$B$23)</f>
        <v>0</v>
      </c>
      <c r="AI325" s="30" t="n">
        <f aca="false">AB324*(M325-AD324*J325)+AB324*AD324*N325/Inputs!$B$16-AH325</f>
        <v>0.00205401071833273</v>
      </c>
      <c r="AJ325" s="30" t="n">
        <f aca="false">MAX(AE325,0)*(Inputs!$B$17+Inputs!$B$24+Inputs!$B$25)+MAX(-AE325,0)*(O325+Inputs!$B$24+Inputs!$B$25)+IF(AND(K325=1,AB325&lt;&gt;0),(Inputs!$B$17+Inputs!$B$24+Inputs!$B$25)+(O325+Inputs!$B$24+Inputs!$B$25),0)+MAX(AG325,0)*(Inputs!$B$20+Inputs!$B$26+Inputs!$B$27)+MAX(-AG325,0)*(Inputs!$B$21+Inputs!$B$26+Inputs!$B$27)</f>
        <v>0</v>
      </c>
      <c r="AK325" s="30" t="n">
        <f aca="false">AB324*(M325-AD324*J325)+AB324*AD324*(N325+Inputs!$B$14)/Inputs!$B$16-AJ325</f>
        <v>0.00208438974178529</v>
      </c>
      <c r="AL325" s="30" t="n">
        <f aca="false">IF(AP324&lt;&gt;0,AQ324+1,0)</f>
        <v>0</v>
      </c>
      <c r="AM325" s="30" t="n">
        <f aca="false">IF(W325="",0,IF(AND(AP324&lt;&gt;0,OR(ABS(W325)&gt;Inputs!$B$7,AL325&gt;=Inputs!$B$8,ABS(W325)&lt;Inputs!$B$6)),1,0))</f>
        <v>0</v>
      </c>
      <c r="AN325" s="30" t="n">
        <f aca="false">IF(AM325=1,0,AP324)</f>
        <v>0</v>
      </c>
      <c r="AO325" s="30" t="n">
        <f aca="false">IF(W325="",0,IF(AND(AN325=0,ABS(W325)&gt;Inputs!$B$5,ABS(W325)&lt;=Inputs!$B$7,W325&gt;0),1,0))</f>
        <v>0</v>
      </c>
      <c r="AP325" s="30" t="n">
        <f aca="false">IF(W325="",0,IF(AO325=1,-SIGN(W325),AN325))</f>
        <v>0</v>
      </c>
      <c r="AQ325" s="30" t="n">
        <f aca="false">IF(W325="",0,IF(AO325=1,0,IF(AM325=1,0,AL325)))</f>
        <v>0</v>
      </c>
      <c r="AR325" s="30" t="n">
        <f aca="false">IF(AP325=0,0,IF(AP324=AP325,AR324,T325))</f>
        <v>0</v>
      </c>
      <c r="AS325" s="30" t="n">
        <f aca="false">AP325-AP324</f>
        <v>0</v>
      </c>
      <c r="AT325" s="30" t="n">
        <f aca="false">-AR325*AP325</f>
        <v>-0</v>
      </c>
      <c r="AU325" s="30" t="n">
        <f aca="false">AT325-AT324</f>
        <v>0</v>
      </c>
      <c r="AV325" s="30" t="n">
        <f aca="false">MAX(AS325,0)*(Inputs!$B$17+Inputs!$B$18+Inputs!$B$19)+MAX(-AS325,0)*(O325+Inputs!$B$18+Inputs!$B$19)+IF(AND(K325=1,AP325&lt;&gt;0),(Inputs!$B$17+Inputs!$B$18+Inputs!$B$19)+(O325+Inputs!$B$18+Inputs!$B$19),0)+MAX(AU325,0)*(Inputs!$B$20+Inputs!$B$22+Inputs!$B$23)+MAX(-AU325,0)*(Inputs!$B$21+Inputs!$B$22+Inputs!$B$23)</f>
        <v>0</v>
      </c>
      <c r="AW325" s="30" t="n">
        <f aca="false">AP324*(M325-AR324*J325)+AP324*AR324*N325/Inputs!$B$16-AV325</f>
        <v>0</v>
      </c>
      <c r="AX325" s="30" t="n">
        <f aca="false">AW325-IF(AP324&lt;&gt;0,0.75*AR324*(Inputs!$B$13-N325)/Inputs!$B$16,0)</f>
        <v>0</v>
      </c>
      <c r="AY325" s="30" t="n">
        <f aca="false">MAX(AS325,0)*(Inputs!$B$17+Inputs!$B$18+Inputs!$B$19)+MAX(-AS325,0)*(O325+Inputs!$B$18+Inputs!$B$19)+IF(AND(K325=1,AP325&lt;&gt;0),(Inputs!$B$17+Inputs!$B$18+Inputs!$B$19)+(O325+Inputs!$B$18+Inputs!$B$19),0)</f>
        <v>0</v>
      </c>
      <c r="AZ325" s="30" t="n">
        <f aca="false">AP324*M325-AY325</f>
        <v>0</v>
      </c>
      <c r="BA325" s="32" t="n">
        <f aca="false">BA324+AI325</f>
        <v>0.00209198053182661</v>
      </c>
      <c r="BB325" s="30" t="n">
        <f aca="false">MAX(BB324,BA325)</f>
        <v>0.00259920022467532</v>
      </c>
      <c r="BC325" s="32" t="n">
        <f aca="false">BA325-BB325</f>
        <v>-0.000507219692848714</v>
      </c>
      <c r="BD325" s="30" t="n">
        <f aca="false">A326-A325</f>
        <v>2</v>
      </c>
    </row>
    <row r="326" customFormat="false" ht="15" hidden="false" customHeight="false" outlineLevel="0" collapsed="false">
      <c r="A326" s="28" t="n">
        <v>45520</v>
      </c>
      <c r="B326" s="0" t="n">
        <v>24598.05</v>
      </c>
      <c r="C326" s="0" t="n">
        <v>274</v>
      </c>
      <c r="D326" s="29" t="n">
        <f aca="false">LN(B326)</f>
        <v>10.1104224504859</v>
      </c>
      <c r="E326" s="29" t="n">
        <f aca="false">LN(C326)</f>
        <v>5.61312810638807</v>
      </c>
      <c r="F326" s="0" t="n">
        <v>321</v>
      </c>
      <c r="G326" s="0" t="n">
        <v>13</v>
      </c>
      <c r="H326" s="29" t="n">
        <f aca="false">D326-E326</f>
        <v>4.4972943440978</v>
      </c>
      <c r="I326" s="29" t="n">
        <f aca="false">D326-D325</f>
        <v>0.0174722330044244</v>
      </c>
      <c r="J326" s="29" t="n">
        <f aca="false">E326-E325</f>
        <v>0.0166339302956109</v>
      </c>
      <c r="K326" s="0" t="n">
        <v>0</v>
      </c>
      <c r="L326" s="0" t="n">
        <v>0</v>
      </c>
      <c r="M326" s="29" t="n">
        <f aca="false">IF(L326=1,J326-Carry!$B$9/Inputs!$B$16,I326)</f>
        <v>0.0174722330044244</v>
      </c>
      <c r="N326" s="0" t="n">
        <v>0.065</v>
      </c>
      <c r="O326" s="0" t="n">
        <v>0.000125</v>
      </c>
      <c r="P326" s="29" t="n">
        <f aca="false">D326-('2 Hedge ratio'!$B$6+'2 Hedge ratio'!$B$5*E326)</f>
        <v>0.00626550779569968</v>
      </c>
      <c r="Q326" s="29" t="n">
        <f aca="false">D326-('5 Re-specification'!$B$7+'5 Re-specification'!$B$5*E326+'5 Re-specification'!$B$6*F326)</f>
        <v>-0.00247378089567007</v>
      </c>
      <c r="R326" s="30" t="n">
        <f aca="false">MIN(F326,Inputs!$B$9)</f>
        <v>250</v>
      </c>
      <c r="S326" s="29" t="n">
        <f aca="true">IF(AND(F326&gt;=1,R326&gt;=Inputs!$B$10),INDEX(LINEST(OFFSET(D326,-R326,0,R326,1),OFFSET(E326,-R326,0,R326,2)),1,1),"")</f>
        <v>-6.913822701835E-005</v>
      </c>
      <c r="T326" s="29" t="n">
        <f aca="true">IF(AND(F326&gt;=1,R326&gt;=Inputs!$B$10),INDEX(LINEST(OFFSET(D326,-R326,0,R326,1),OFFSET(E326,-R326,0,R326,2)),1,2),"")</f>
        <v>1.02377751269879</v>
      </c>
      <c r="U326" s="29" t="n">
        <f aca="true">IF(AND(F326&gt;=1,R326&gt;=Inputs!$B$10),INDEX(LINEST(OFFSET(D326,-R326,0,R326,1),OFFSET(E326,-R326,0,R326,2)),1,3),"")</f>
        <v>4.38893626729707</v>
      </c>
      <c r="V326" s="29" t="n">
        <f aca="true">IF(AND(F326&gt;=1,R326&gt;=Inputs!$B$10),SQRT(SUMPRODUCT((OFFSET(D326,-R326,0,R326,1)-U326-T326*OFFSET(E326,-R326,0,R326,1)-S326*OFFSET(F326,-R326,0,R326,1))^2)/(R326-3)),"")</f>
        <v>0.00362382454432696</v>
      </c>
      <c r="W326" s="31" t="n">
        <f aca="false">IF(AND(F326&gt;=1,R326&gt;=Inputs!$B$10),(D326-U326-T326*E326-S326*F326)/V326,"")</f>
        <v>-0.804337274136037</v>
      </c>
      <c r="X326" s="30" t="n">
        <f aca="false">IF(AB325&lt;&gt;0,AC325+1,0)</f>
        <v>8</v>
      </c>
      <c r="Y326" s="30" t="n">
        <f aca="false">IF(W326="",0,IF(AND(AB325&lt;&gt;0,OR(ABS(W326)&gt;Inputs!$B$7,X326&gt;=Inputs!$B$8,ABS(W326)&lt;Inputs!$B$6)),1,0))</f>
        <v>0</v>
      </c>
      <c r="Z326" s="30" t="n">
        <f aca="false">IF(Y326=1,0,AB325)</f>
        <v>1</v>
      </c>
      <c r="AA326" s="30" t="n">
        <f aca="false">IF(W326="",0,IF(AND(Z326=0,ABS(W326)&gt;Inputs!$B$5,ABS(W326)&lt;=Inputs!$B$7),1,0))</f>
        <v>0</v>
      </c>
      <c r="AB326" s="30" t="n">
        <f aca="false">IF(W326="",0,IF(AA326=1,-SIGN(W326),Z326))</f>
        <v>1</v>
      </c>
      <c r="AC326" s="30" t="n">
        <f aca="false">IF(W326="",0,IF(AA326=1,0,IF(Y326=1,0,X326)))</f>
        <v>8</v>
      </c>
      <c r="AD326" s="29" t="n">
        <f aca="false">IF(AB326=0,0,IF(AB325=AB326,AD325,T326))</f>
        <v>1.02073518800597</v>
      </c>
      <c r="AE326" s="30" t="n">
        <f aca="false">AB326-AB325</f>
        <v>0</v>
      </c>
      <c r="AF326" s="30" t="n">
        <f aca="false">-AD326*AB326</f>
        <v>-1.02073518800597</v>
      </c>
      <c r="AG326" s="30" t="n">
        <f aca="false">AF326-AF325</f>
        <v>0</v>
      </c>
      <c r="AH326" s="30" t="n">
        <f aca="false">MAX(AE326,0)*(Inputs!$B$17+Inputs!$B$18+Inputs!$B$19)+MAX(-AE326,0)*(O326+Inputs!$B$18+Inputs!$B$19)+IF(AND(K326=1,AB326&lt;&gt;0),(Inputs!$B$17+Inputs!$B$18+Inputs!$B$19)+(O326+Inputs!$B$18+Inputs!$B$19),0)+MAX(AG326,0)*(Inputs!$B$20+Inputs!$B$22+Inputs!$B$23)+MAX(-AG326,0)*(Inputs!$B$21+Inputs!$B$22+Inputs!$B$23)</f>
        <v>0</v>
      </c>
      <c r="AI326" s="30" t="n">
        <f aca="false">AB325*(M326-AD325*J326)+AB325*AD325*N326/Inputs!$B$16-AH326</f>
        <v>0.000756679906777883</v>
      </c>
      <c r="AJ326" s="30" t="n">
        <f aca="false">MAX(AE326,0)*(Inputs!$B$17+Inputs!$B$24+Inputs!$B$25)+MAX(-AE326,0)*(O326+Inputs!$B$24+Inputs!$B$25)+IF(AND(K326=1,AB326&lt;&gt;0),(Inputs!$B$17+Inputs!$B$24+Inputs!$B$25)+(O326+Inputs!$B$24+Inputs!$B$25),0)+MAX(AG326,0)*(Inputs!$B$20+Inputs!$B$26+Inputs!$B$27)+MAX(-AG326,0)*(Inputs!$B$21+Inputs!$B$26+Inputs!$B$27)</f>
        <v>0</v>
      </c>
      <c r="AK326" s="30" t="n">
        <f aca="false">AB325*(M326-AD325*J326)+AB325*AD325*(N326+Inputs!$B$14)/Inputs!$B$16-AJ326</f>
        <v>0.000787058930230441</v>
      </c>
      <c r="AL326" s="30" t="n">
        <f aca="false">IF(AP325&lt;&gt;0,AQ325+1,0)</f>
        <v>0</v>
      </c>
      <c r="AM326" s="30" t="n">
        <f aca="false">IF(W326="",0,IF(AND(AP325&lt;&gt;0,OR(ABS(W326)&gt;Inputs!$B$7,AL326&gt;=Inputs!$B$8,ABS(W326)&lt;Inputs!$B$6)),1,0))</f>
        <v>0</v>
      </c>
      <c r="AN326" s="30" t="n">
        <f aca="false">IF(AM326=1,0,AP325)</f>
        <v>0</v>
      </c>
      <c r="AO326" s="30" t="n">
        <f aca="false">IF(W326="",0,IF(AND(AN326=0,ABS(W326)&gt;Inputs!$B$5,ABS(W326)&lt;=Inputs!$B$7,W326&gt;0),1,0))</f>
        <v>0</v>
      </c>
      <c r="AP326" s="30" t="n">
        <f aca="false">IF(W326="",0,IF(AO326=1,-SIGN(W326),AN326))</f>
        <v>0</v>
      </c>
      <c r="AQ326" s="30" t="n">
        <f aca="false">IF(W326="",0,IF(AO326=1,0,IF(AM326=1,0,AL326)))</f>
        <v>0</v>
      </c>
      <c r="AR326" s="30" t="n">
        <f aca="false">IF(AP326=0,0,IF(AP325=AP326,AR325,T326))</f>
        <v>0</v>
      </c>
      <c r="AS326" s="30" t="n">
        <f aca="false">AP326-AP325</f>
        <v>0</v>
      </c>
      <c r="AT326" s="30" t="n">
        <f aca="false">-AR326*AP326</f>
        <v>-0</v>
      </c>
      <c r="AU326" s="30" t="n">
        <f aca="false">AT326-AT325</f>
        <v>0</v>
      </c>
      <c r="AV326" s="30" t="n">
        <f aca="false">MAX(AS326,0)*(Inputs!$B$17+Inputs!$B$18+Inputs!$B$19)+MAX(-AS326,0)*(O326+Inputs!$B$18+Inputs!$B$19)+IF(AND(K326=1,AP326&lt;&gt;0),(Inputs!$B$17+Inputs!$B$18+Inputs!$B$19)+(O326+Inputs!$B$18+Inputs!$B$19),0)+MAX(AU326,0)*(Inputs!$B$20+Inputs!$B$22+Inputs!$B$23)+MAX(-AU326,0)*(Inputs!$B$21+Inputs!$B$22+Inputs!$B$23)</f>
        <v>0</v>
      </c>
      <c r="AW326" s="30" t="n">
        <f aca="false">AP325*(M326-AR325*J326)+AP325*AR325*N326/Inputs!$B$16-AV326</f>
        <v>0</v>
      </c>
      <c r="AX326" s="30" t="n">
        <f aca="false">AW326-IF(AP325&lt;&gt;0,0.75*AR325*(Inputs!$B$13-N326)/Inputs!$B$16,0)</f>
        <v>0</v>
      </c>
      <c r="AY326" s="30" t="n">
        <f aca="false">MAX(AS326,0)*(Inputs!$B$17+Inputs!$B$18+Inputs!$B$19)+MAX(-AS326,0)*(O326+Inputs!$B$18+Inputs!$B$19)+IF(AND(K326=1,AP326&lt;&gt;0),(Inputs!$B$17+Inputs!$B$18+Inputs!$B$19)+(O326+Inputs!$B$18+Inputs!$B$19),0)</f>
        <v>0</v>
      </c>
      <c r="AZ326" s="30" t="n">
        <f aca="false">AP325*M326-AY326</f>
        <v>0</v>
      </c>
      <c r="BA326" s="32" t="n">
        <f aca="false">BA325+AI326</f>
        <v>0.00284866043860449</v>
      </c>
      <c r="BB326" s="30" t="n">
        <f aca="false">MAX(BB325,BA326)</f>
        <v>0.00284866043860449</v>
      </c>
      <c r="BC326" s="32" t="n">
        <f aca="false">BA326-BB326</f>
        <v>0</v>
      </c>
      <c r="BD326" s="30" t="n">
        <f aca="false">A327-A326</f>
        <v>3</v>
      </c>
    </row>
    <row r="327" customFormat="false" ht="15" hidden="false" customHeight="false" outlineLevel="0" collapsed="false">
      <c r="A327" s="28" t="n">
        <v>45523</v>
      </c>
      <c r="B327" s="0" t="n">
        <v>24590.15</v>
      </c>
      <c r="C327" s="0" t="n">
        <v>274.5</v>
      </c>
      <c r="D327" s="29" t="n">
        <f aca="false">LN(B327)</f>
        <v>10.1101012352323</v>
      </c>
      <c r="E327" s="29" t="n">
        <f aca="false">LN(C327)</f>
        <v>5.61495126094959</v>
      </c>
      <c r="F327" s="0" t="n">
        <v>322</v>
      </c>
      <c r="G327" s="0" t="n">
        <v>10</v>
      </c>
      <c r="H327" s="29" t="n">
        <f aca="false">D327-E327</f>
        <v>4.49514997428272</v>
      </c>
      <c r="I327" s="29" t="n">
        <f aca="false">D327-D326</f>
        <v>-0.000321215253574536</v>
      </c>
      <c r="J327" s="29" t="n">
        <f aca="false">E327-E326</f>
        <v>0.00182315456151461</v>
      </c>
      <c r="K327" s="0" t="n">
        <v>0</v>
      </c>
      <c r="L327" s="0" t="n">
        <v>0</v>
      </c>
      <c r="M327" s="29" t="n">
        <f aca="false">IF(L327=1,J327-Carry!$B$9/Inputs!$B$16,I327)</f>
        <v>-0.000321215253574536</v>
      </c>
      <c r="N327" s="0" t="n">
        <v>0.065</v>
      </c>
      <c r="O327" s="0" t="n">
        <v>0.000125</v>
      </c>
      <c r="P327" s="29" t="n">
        <f aca="false">D327-('2 Hedge ratio'!$B$6+'2 Hedge ratio'!$B$5*E327)</f>
        <v>0.00427405186207785</v>
      </c>
      <c r="Q327" s="29" t="n">
        <f aca="false">D327-('5 Re-specification'!$B$7+'5 Re-specification'!$B$5*E327+'5 Re-specification'!$B$6*F327)</f>
        <v>-0.00456769632272547</v>
      </c>
      <c r="R327" s="30" t="n">
        <f aca="false">MIN(F327,Inputs!$B$9)</f>
        <v>250</v>
      </c>
      <c r="S327" s="29" t="n">
        <f aca="true">IF(AND(F327&gt;=1,R327&gt;=Inputs!$B$10),INDEX(LINEST(OFFSET(D327,-R327,0,R327,1),OFFSET(E327,-R327,0,R327,2)),1,1),"")</f>
        <v>-6.97627288833858E-005</v>
      </c>
      <c r="T327" s="29" t="n">
        <f aca="true">IF(AND(F327&gt;=1,R327&gt;=Inputs!$B$10),INDEX(LINEST(OFFSET(D327,-R327,0,R327,1),OFFSET(E327,-R327,0,R327,2)),1,2),"")</f>
        <v>1.02400126512661</v>
      </c>
      <c r="U327" s="29" t="n">
        <f aca="true">IF(AND(F327&gt;=1,R327&gt;=Inputs!$B$10),INDEX(LINEST(OFFSET(D327,-R327,0,R327,1),OFFSET(E327,-R327,0,R327,2)),1,3),"")</f>
        <v>4.38782587775163</v>
      </c>
      <c r="V327" s="29" t="n">
        <f aca="true">IF(AND(F327&gt;=1,R327&gt;=Inputs!$B$10),SQRT(SUMPRODUCT((OFFSET(D327,-R327,0,R327,1)-U327-T327*OFFSET(E327,-R327,0,R327,1)-S327*OFFSET(F327,-R327,0,R327,1))^2)/(R327-3)),"")</f>
        <v>0.00362775111937689</v>
      </c>
      <c r="W327" s="31" t="n">
        <f aca="false">IF(AND(F327&gt;=1,R327&gt;=Inputs!$B$10),(D327-U327-T327*E327-S327*F327)/V327,"")</f>
        <v>-1.37226576237325</v>
      </c>
      <c r="X327" s="30" t="n">
        <f aca="false">IF(AB326&lt;&gt;0,AC326+1,0)</f>
        <v>9</v>
      </c>
      <c r="Y327" s="30" t="n">
        <f aca="false">IF(W327="",0,IF(AND(AB326&lt;&gt;0,OR(ABS(W327)&gt;Inputs!$B$7,X327&gt;=Inputs!$B$8,ABS(W327)&lt;Inputs!$B$6)),1,0))</f>
        <v>0</v>
      </c>
      <c r="Z327" s="30" t="n">
        <f aca="false">IF(Y327=1,0,AB326)</f>
        <v>1</v>
      </c>
      <c r="AA327" s="30" t="n">
        <f aca="false">IF(W327="",0,IF(AND(Z327=0,ABS(W327)&gt;Inputs!$B$5,ABS(W327)&lt;=Inputs!$B$7),1,0))</f>
        <v>0</v>
      </c>
      <c r="AB327" s="30" t="n">
        <f aca="false">IF(W327="",0,IF(AA327=1,-SIGN(W327),Z327))</f>
        <v>1</v>
      </c>
      <c r="AC327" s="30" t="n">
        <f aca="false">IF(W327="",0,IF(AA327=1,0,IF(Y327=1,0,X327)))</f>
        <v>9</v>
      </c>
      <c r="AD327" s="29" t="n">
        <f aca="false">IF(AB327=0,0,IF(AB326=AB327,AD326,T327))</f>
        <v>1.02073518800597</v>
      </c>
      <c r="AE327" s="30" t="n">
        <f aca="false">AB327-AB326</f>
        <v>0</v>
      </c>
      <c r="AF327" s="30" t="n">
        <f aca="false">-AD327*AB327</f>
        <v>-1.02073518800597</v>
      </c>
      <c r="AG327" s="30" t="n">
        <f aca="false">AF327-AF326</f>
        <v>0</v>
      </c>
      <c r="AH327" s="30" t="n">
        <f aca="false">MAX(AE327,0)*(Inputs!$B$17+Inputs!$B$18+Inputs!$B$19)+MAX(-AE327,0)*(O327+Inputs!$B$18+Inputs!$B$19)+IF(AND(K327=1,AB327&lt;&gt;0),(Inputs!$B$17+Inputs!$B$18+Inputs!$B$19)+(O327+Inputs!$B$18+Inputs!$B$19),0)+MAX(AG327,0)*(Inputs!$B$20+Inputs!$B$22+Inputs!$B$23)+MAX(-AG327,0)*(Inputs!$B$21+Inputs!$B$22+Inputs!$B$23)</f>
        <v>0</v>
      </c>
      <c r="AI327" s="30" t="n">
        <f aca="false">AB326*(M327-AD326*J327)+AB326*AD326*N327/Inputs!$B$16-AH327</f>
        <v>-0.00191888839776392</v>
      </c>
      <c r="AJ327" s="30" t="n">
        <f aca="false">MAX(AE327,0)*(Inputs!$B$17+Inputs!$B$24+Inputs!$B$25)+MAX(-AE327,0)*(O327+Inputs!$B$24+Inputs!$B$25)+IF(AND(K327=1,AB327&lt;&gt;0),(Inputs!$B$17+Inputs!$B$24+Inputs!$B$25)+(O327+Inputs!$B$24+Inputs!$B$25),0)+MAX(AG327,0)*(Inputs!$B$20+Inputs!$B$26+Inputs!$B$27)+MAX(-AG327,0)*(Inputs!$B$21+Inputs!$B$26+Inputs!$B$27)</f>
        <v>0</v>
      </c>
      <c r="AK327" s="30" t="n">
        <f aca="false">AB326*(M327-AD326*J327)+AB326*AD326*(N327+Inputs!$B$14)/Inputs!$B$16-AJ327</f>
        <v>-0.00188850937431136</v>
      </c>
      <c r="AL327" s="30" t="n">
        <f aca="false">IF(AP326&lt;&gt;0,AQ326+1,0)</f>
        <v>0</v>
      </c>
      <c r="AM327" s="30" t="n">
        <f aca="false">IF(W327="",0,IF(AND(AP326&lt;&gt;0,OR(ABS(W327)&gt;Inputs!$B$7,AL327&gt;=Inputs!$B$8,ABS(W327)&lt;Inputs!$B$6)),1,0))</f>
        <v>0</v>
      </c>
      <c r="AN327" s="30" t="n">
        <f aca="false">IF(AM327=1,0,AP326)</f>
        <v>0</v>
      </c>
      <c r="AO327" s="30" t="n">
        <f aca="false">IF(W327="",0,IF(AND(AN327=0,ABS(W327)&gt;Inputs!$B$5,ABS(W327)&lt;=Inputs!$B$7,W327&gt;0),1,0))</f>
        <v>0</v>
      </c>
      <c r="AP327" s="30" t="n">
        <f aca="false">IF(W327="",0,IF(AO327=1,-SIGN(W327),AN327))</f>
        <v>0</v>
      </c>
      <c r="AQ327" s="30" t="n">
        <f aca="false">IF(W327="",0,IF(AO327=1,0,IF(AM327=1,0,AL327)))</f>
        <v>0</v>
      </c>
      <c r="AR327" s="30" t="n">
        <f aca="false">IF(AP327=0,0,IF(AP326=AP327,AR326,T327))</f>
        <v>0</v>
      </c>
      <c r="AS327" s="30" t="n">
        <f aca="false">AP327-AP326</f>
        <v>0</v>
      </c>
      <c r="AT327" s="30" t="n">
        <f aca="false">-AR327*AP327</f>
        <v>-0</v>
      </c>
      <c r="AU327" s="30" t="n">
        <f aca="false">AT327-AT326</f>
        <v>0</v>
      </c>
      <c r="AV327" s="30" t="n">
        <f aca="false">MAX(AS327,0)*(Inputs!$B$17+Inputs!$B$18+Inputs!$B$19)+MAX(-AS327,0)*(O327+Inputs!$B$18+Inputs!$B$19)+IF(AND(K327=1,AP327&lt;&gt;0),(Inputs!$B$17+Inputs!$B$18+Inputs!$B$19)+(O327+Inputs!$B$18+Inputs!$B$19),0)+MAX(AU327,0)*(Inputs!$B$20+Inputs!$B$22+Inputs!$B$23)+MAX(-AU327,0)*(Inputs!$B$21+Inputs!$B$22+Inputs!$B$23)</f>
        <v>0</v>
      </c>
      <c r="AW327" s="30" t="n">
        <f aca="false">AP326*(M327-AR326*J327)+AP326*AR326*N327/Inputs!$B$16-AV327</f>
        <v>0</v>
      </c>
      <c r="AX327" s="30" t="n">
        <f aca="false">AW327-IF(AP326&lt;&gt;0,0.75*AR326*(Inputs!$B$13-N327)/Inputs!$B$16,0)</f>
        <v>0</v>
      </c>
      <c r="AY327" s="30" t="n">
        <f aca="false">MAX(AS327,0)*(Inputs!$B$17+Inputs!$B$18+Inputs!$B$19)+MAX(-AS327,0)*(O327+Inputs!$B$18+Inputs!$B$19)+IF(AND(K327=1,AP327&lt;&gt;0),(Inputs!$B$17+Inputs!$B$18+Inputs!$B$19)+(O327+Inputs!$B$18+Inputs!$B$19),0)</f>
        <v>0</v>
      </c>
      <c r="AZ327" s="30" t="n">
        <f aca="false">AP326*M327-AY327</f>
        <v>-0</v>
      </c>
      <c r="BA327" s="32" t="n">
        <f aca="false">BA326+AI327</f>
        <v>0.000929772040840572</v>
      </c>
      <c r="BB327" s="30" t="n">
        <f aca="false">MAX(BB326,BA327)</f>
        <v>0.00284866043860449</v>
      </c>
      <c r="BC327" s="32" t="n">
        <f aca="false">BA327-BB327</f>
        <v>-0.00191888839776392</v>
      </c>
      <c r="BD327" s="30" t="n">
        <f aca="false">A328-A327</f>
        <v>1</v>
      </c>
    </row>
    <row r="328" customFormat="false" ht="15" hidden="false" customHeight="false" outlineLevel="0" collapsed="false">
      <c r="A328" s="28" t="n">
        <v>45524</v>
      </c>
      <c r="B328" s="0" t="n">
        <v>24708</v>
      </c>
      <c r="C328" s="0" t="n">
        <v>275.5</v>
      </c>
      <c r="D328" s="29" t="n">
        <f aca="false">LN(B328)</f>
        <v>10.1148823568158</v>
      </c>
      <c r="E328" s="29" t="n">
        <f aca="false">LN(C328)</f>
        <v>5.61858762859297</v>
      </c>
      <c r="F328" s="0" t="n">
        <v>323</v>
      </c>
      <c r="G328" s="0" t="n">
        <v>9</v>
      </c>
      <c r="H328" s="29" t="n">
        <f aca="false">D328-E328</f>
        <v>4.49629472822282</v>
      </c>
      <c r="I328" s="29" t="n">
        <f aca="false">D328-D327</f>
        <v>0.00478112158348942</v>
      </c>
      <c r="J328" s="29" t="n">
        <f aca="false">E328-E327</f>
        <v>0.00363636764338438</v>
      </c>
      <c r="K328" s="0" t="n">
        <v>0</v>
      </c>
      <c r="L328" s="0" t="n">
        <v>0</v>
      </c>
      <c r="M328" s="29" t="n">
        <f aca="false">IF(L328=1,J328-Carry!$B$9/Inputs!$B$16,I328)</f>
        <v>0.00478112158348942</v>
      </c>
      <c r="N328" s="0" t="n">
        <v>0.065</v>
      </c>
      <c r="O328" s="0" t="n">
        <v>0.000125</v>
      </c>
      <c r="P328" s="29" t="n">
        <f aca="false">D328-('2 Hedge ratio'!$B$6+'2 Hedge ratio'!$B$5*E328)</f>
        <v>0.00572379974100379</v>
      </c>
      <c r="Q328" s="29" t="n">
        <f aca="false">D328-('5 Re-specification'!$B$7+'5 Re-specification'!$B$5*E328+'5 Re-specification'!$B$6*F328)</f>
        <v>-0.00336699305230503</v>
      </c>
      <c r="R328" s="30" t="n">
        <f aca="false">MIN(F328,Inputs!$B$9)</f>
        <v>250</v>
      </c>
      <c r="S328" s="29" t="n">
        <f aca="true">IF(AND(F328&gt;=1,R328&gt;=Inputs!$B$10),INDEX(LINEST(OFFSET(D328,-R328,0,R328,1),OFFSET(E328,-R328,0,R328,2)),1,1),"")</f>
        <v>-7.06481812679278E-005</v>
      </c>
      <c r="T328" s="29" t="n">
        <f aca="true">IF(AND(F328&gt;=1,R328&gt;=Inputs!$B$10),INDEX(LINEST(OFFSET(D328,-R328,0,R328,1),OFFSET(E328,-R328,0,R328,2)),1,2),"")</f>
        <v>1.02423234883259</v>
      </c>
      <c r="U328" s="29" t="n">
        <f aca="true">IF(AND(F328&gt;=1,R328&gt;=Inputs!$B$10),INDEX(LINEST(OFFSET(D328,-R328,0,R328,1),OFFSET(E328,-R328,0,R328,2)),1,3),"")</f>
        <v>4.38672129643369</v>
      </c>
      <c r="V328" s="29" t="n">
        <f aca="true">IF(AND(F328&gt;=1,R328&gt;=Inputs!$B$10),SQRT(SUMPRODUCT((OFFSET(D328,-R328,0,R328,1)-U328-T328*OFFSET(E328,-R328,0,R328,1)-S328*OFFSET(F328,-R328,0,R328,1))^2)/(R328-3)),"")</f>
        <v>0.00363963931334402</v>
      </c>
      <c r="W328" s="31" t="n">
        <f aca="false">IF(AND(F328&gt;=1,R328&gt;=Inputs!$B$10),(D328-U328-T328*E328-S328*F328)/V328,"")</f>
        <v>-1.03273448281472</v>
      </c>
      <c r="X328" s="30" t="n">
        <f aca="false">IF(AB327&lt;&gt;0,AC327+1,0)</f>
        <v>10</v>
      </c>
      <c r="Y328" s="30" t="n">
        <f aca="false">IF(W328="",0,IF(AND(AB327&lt;&gt;0,OR(ABS(W328)&gt;Inputs!$B$7,X328&gt;=Inputs!$B$8,ABS(W328)&lt;Inputs!$B$6)),1,0))</f>
        <v>1</v>
      </c>
      <c r="Z328" s="30" t="n">
        <f aca="false">IF(Y328=1,0,AB327)</f>
        <v>0</v>
      </c>
      <c r="AA328" s="30" t="n">
        <f aca="false">IF(W328="",0,IF(AND(Z328=0,ABS(W328)&gt;Inputs!$B$5,ABS(W328)&lt;=Inputs!$B$7),1,0))</f>
        <v>0</v>
      </c>
      <c r="AB328" s="30" t="n">
        <f aca="false">IF(W328="",0,IF(AA328=1,-SIGN(W328),Z328))</f>
        <v>0</v>
      </c>
      <c r="AC328" s="30" t="n">
        <f aca="false">IF(W328="",0,IF(AA328=1,0,IF(Y328=1,0,X328)))</f>
        <v>0</v>
      </c>
      <c r="AD328" s="30" t="n">
        <f aca="false">IF(AB328=0,0,IF(AB327=AB328,AD327,T328))</f>
        <v>0</v>
      </c>
      <c r="AE328" s="30" t="n">
        <f aca="false">AB328-AB327</f>
        <v>-1</v>
      </c>
      <c r="AF328" s="30" t="n">
        <f aca="false">-AD328*AB328</f>
        <v>-0</v>
      </c>
      <c r="AG328" s="30" t="n">
        <f aca="false">AF328-AF327</f>
        <v>1.02073518800597</v>
      </c>
      <c r="AH328" s="30" t="n">
        <f aca="false">MAX(AE328,0)*(Inputs!$B$17+Inputs!$B$18+Inputs!$B$19)+MAX(-AE328,0)*(O328+Inputs!$B$18+Inputs!$B$19)+IF(AND(K328=1,AB328&lt;&gt;0),(Inputs!$B$17+Inputs!$B$18+Inputs!$B$19)+(O328+Inputs!$B$18+Inputs!$B$19),0)+MAX(AG328,0)*(Inputs!$B$20+Inputs!$B$22+Inputs!$B$23)+MAX(-AG328,0)*(Inputs!$B$21+Inputs!$B$22+Inputs!$B$23)</f>
        <v>0.000617257315802091</v>
      </c>
      <c r="AI328" s="30" t="n">
        <f aca="false">AB327*(M328-AD327*J328)+AB327*AD327*N328/Inputs!$B$16-AH328</f>
        <v>0.000715380727480717</v>
      </c>
      <c r="AJ328" s="30" t="n">
        <f aca="false">MAX(AE328,0)*(Inputs!$B$17+Inputs!$B$24+Inputs!$B$25)+MAX(-AE328,0)*(O328+Inputs!$B$24+Inputs!$B$25)+IF(AND(K328=1,AB328&lt;&gt;0),(Inputs!$B$17+Inputs!$B$24+Inputs!$B$25)+(O328+Inputs!$B$24+Inputs!$B$25),0)+MAX(AG328,0)*(Inputs!$B$20+Inputs!$B$26+Inputs!$B$27)+MAX(-AG328,0)*(Inputs!$B$21+Inputs!$B$26+Inputs!$B$27)</f>
        <v>0.000455287472941523</v>
      </c>
      <c r="AK328" s="30" t="n">
        <f aca="false">AB327*(M328-AD327*J328)+AB327*AD327*(N328+Inputs!$B$14)/Inputs!$B$16-AJ328</f>
        <v>0.000907729593793843</v>
      </c>
      <c r="AL328" s="30" t="n">
        <f aca="false">IF(AP327&lt;&gt;0,AQ327+1,0)</f>
        <v>0</v>
      </c>
      <c r="AM328" s="30" t="n">
        <f aca="false">IF(W328="",0,IF(AND(AP327&lt;&gt;0,OR(ABS(W328)&gt;Inputs!$B$7,AL328&gt;=Inputs!$B$8,ABS(W328)&lt;Inputs!$B$6)),1,0))</f>
        <v>0</v>
      </c>
      <c r="AN328" s="30" t="n">
        <f aca="false">IF(AM328=1,0,AP327)</f>
        <v>0</v>
      </c>
      <c r="AO328" s="30" t="n">
        <f aca="false">IF(W328="",0,IF(AND(AN328=0,ABS(W328)&gt;Inputs!$B$5,ABS(W328)&lt;=Inputs!$B$7,W328&gt;0),1,0))</f>
        <v>0</v>
      </c>
      <c r="AP328" s="30" t="n">
        <f aca="false">IF(W328="",0,IF(AO328=1,-SIGN(W328),AN328))</f>
        <v>0</v>
      </c>
      <c r="AQ328" s="30" t="n">
        <f aca="false">IF(W328="",0,IF(AO328=1,0,IF(AM328=1,0,AL328)))</f>
        <v>0</v>
      </c>
      <c r="AR328" s="30" t="n">
        <f aca="false">IF(AP328=0,0,IF(AP327=AP328,AR327,T328))</f>
        <v>0</v>
      </c>
      <c r="AS328" s="30" t="n">
        <f aca="false">AP328-AP327</f>
        <v>0</v>
      </c>
      <c r="AT328" s="30" t="n">
        <f aca="false">-AR328*AP328</f>
        <v>-0</v>
      </c>
      <c r="AU328" s="30" t="n">
        <f aca="false">AT328-AT327</f>
        <v>0</v>
      </c>
      <c r="AV328" s="30" t="n">
        <f aca="false">MAX(AS328,0)*(Inputs!$B$17+Inputs!$B$18+Inputs!$B$19)+MAX(-AS328,0)*(O328+Inputs!$B$18+Inputs!$B$19)+IF(AND(K328=1,AP328&lt;&gt;0),(Inputs!$B$17+Inputs!$B$18+Inputs!$B$19)+(O328+Inputs!$B$18+Inputs!$B$19),0)+MAX(AU328,0)*(Inputs!$B$20+Inputs!$B$22+Inputs!$B$23)+MAX(-AU328,0)*(Inputs!$B$21+Inputs!$B$22+Inputs!$B$23)</f>
        <v>0</v>
      </c>
      <c r="AW328" s="30" t="n">
        <f aca="false">AP327*(M328-AR327*J328)+AP327*AR327*N328/Inputs!$B$16-AV328</f>
        <v>0</v>
      </c>
      <c r="AX328" s="30" t="n">
        <f aca="false">AW328-IF(AP327&lt;&gt;0,0.75*AR327*(Inputs!$B$13-N328)/Inputs!$B$16,0)</f>
        <v>0</v>
      </c>
      <c r="AY328" s="30" t="n">
        <f aca="false">MAX(AS328,0)*(Inputs!$B$17+Inputs!$B$18+Inputs!$B$19)+MAX(-AS328,0)*(O328+Inputs!$B$18+Inputs!$B$19)+IF(AND(K328=1,AP328&lt;&gt;0),(Inputs!$B$17+Inputs!$B$18+Inputs!$B$19)+(O328+Inputs!$B$18+Inputs!$B$19),0)</f>
        <v>0</v>
      </c>
      <c r="AZ328" s="30" t="n">
        <f aca="false">AP327*M328-AY328</f>
        <v>0</v>
      </c>
      <c r="BA328" s="32" t="n">
        <f aca="false">BA327+AI328</f>
        <v>0.00164515276832129</v>
      </c>
      <c r="BB328" s="30" t="n">
        <f aca="false">MAX(BB327,BA328)</f>
        <v>0.00284866043860449</v>
      </c>
      <c r="BC328" s="32" t="n">
        <f aca="false">BA328-BB328</f>
        <v>-0.0012035076702832</v>
      </c>
      <c r="BD328" s="30" t="n">
        <f aca="false">A329-A328</f>
        <v>1</v>
      </c>
    </row>
    <row r="329" customFormat="false" ht="15" hidden="false" customHeight="false" outlineLevel="0" collapsed="false">
      <c r="A329" s="28" t="n">
        <v>45525</v>
      </c>
      <c r="B329" s="0" t="n">
        <v>24795.55</v>
      </c>
      <c r="C329" s="0" t="n">
        <v>276.34</v>
      </c>
      <c r="D329" s="29" t="n">
        <f aca="false">LN(B329)</f>
        <v>10.1184194805687</v>
      </c>
      <c r="E329" s="29" t="n">
        <f aca="false">LN(C329)</f>
        <v>5.62163199162852</v>
      </c>
      <c r="F329" s="0" t="n">
        <v>324</v>
      </c>
      <c r="G329" s="0" t="n">
        <v>8</v>
      </c>
      <c r="H329" s="29" t="n">
        <f aca="false">D329-E329</f>
        <v>4.49678748894021</v>
      </c>
      <c r="I329" s="29" t="n">
        <f aca="false">D329-D328</f>
        <v>0.0035371237529418</v>
      </c>
      <c r="J329" s="29" t="n">
        <f aca="false">E329-E328</f>
        <v>0.00304436303555367</v>
      </c>
      <c r="K329" s="0" t="n">
        <v>0</v>
      </c>
      <c r="L329" s="0" t="n">
        <v>0</v>
      </c>
      <c r="M329" s="29" t="n">
        <f aca="false">IF(L329=1,J329-Carry!$B$9/Inputs!$B$16,I329)</f>
        <v>0.0035371237529418</v>
      </c>
      <c r="N329" s="0" t="n">
        <v>0.065</v>
      </c>
      <c r="O329" s="0" t="n">
        <v>0.000125</v>
      </c>
      <c r="P329" s="29" t="n">
        <f aca="false">D329-('2 Hedge ratio'!$B$6+'2 Hedge ratio'!$B$5*E329)</f>
        <v>0.00647190105221362</v>
      </c>
      <c r="Q329" s="29" t="n">
        <f aca="false">D329-('5 Re-specification'!$B$7+'5 Re-specification'!$B$5*E329+'5 Re-specification'!$B$6*F329)</f>
        <v>-0.00282007707457588</v>
      </c>
      <c r="R329" s="30" t="n">
        <f aca="false">MIN(F329,Inputs!$B$9)</f>
        <v>250</v>
      </c>
      <c r="S329" s="29" t="n">
        <f aca="true">IF(AND(F329&gt;=1,R329&gt;=Inputs!$B$10),INDEX(LINEST(OFFSET(D329,-R329,0,R329,1),OFFSET(E329,-R329,0,R329,2)),1,1),"")</f>
        <v>-7.17485563126724E-005</v>
      </c>
      <c r="T329" s="29" t="n">
        <f aca="true">IF(AND(F329&gt;=1,R329&gt;=Inputs!$B$10),INDEX(LINEST(OFFSET(D329,-R329,0,R329,1),OFFSET(E329,-R329,0,R329,2)),1,2),"")</f>
        <v>1.0246521825509</v>
      </c>
      <c r="U329" s="29" t="n">
        <f aca="true">IF(AND(F329&gt;=1,R329&gt;=Inputs!$B$10),INDEX(LINEST(OFFSET(D329,-R329,0,R329,1),OFFSET(E329,-R329,0,R329,2)),1,3),"")</f>
        <v>4.38463575457088</v>
      </c>
      <c r="V329" s="29" t="n">
        <f aca="true">IF(AND(F329&gt;=1,R329&gt;=Inputs!$B$10),SQRT(SUMPRODUCT((OFFSET(D329,-R329,0,R329,1)-U329-T329*OFFSET(E329,-R329,0,R329,1)-S329*OFFSET(F329,-R329,0,R329,1))^2)/(R329-3)),"")</f>
        <v>0.00364206192870652</v>
      </c>
      <c r="W329" s="31" t="n">
        <f aca="false">IF(AND(F329&gt;=1,R329&gt;=Inputs!$B$10),(D329-U329-T329*E329-S329*F329)/V329,"")</f>
        <v>-0.875117320727253</v>
      </c>
      <c r="X329" s="30" t="n">
        <f aca="false">IF(AB328&lt;&gt;0,AC328+1,0)</f>
        <v>0</v>
      </c>
      <c r="Y329" s="30" t="n">
        <f aca="false">IF(W329="",0,IF(AND(AB328&lt;&gt;0,OR(ABS(W329)&gt;Inputs!$B$7,X329&gt;=Inputs!$B$8,ABS(W329)&lt;Inputs!$B$6)),1,0))</f>
        <v>0</v>
      </c>
      <c r="Z329" s="30" t="n">
        <f aca="false">IF(Y329=1,0,AB328)</f>
        <v>0</v>
      </c>
      <c r="AA329" s="30" t="n">
        <f aca="false">IF(W329="",0,IF(AND(Z329=0,ABS(W329)&gt;Inputs!$B$5,ABS(W329)&lt;=Inputs!$B$7),1,0))</f>
        <v>0</v>
      </c>
      <c r="AB329" s="30" t="n">
        <f aca="false">IF(W329="",0,IF(AA329=1,-SIGN(W329),Z329))</f>
        <v>0</v>
      </c>
      <c r="AC329" s="30" t="n">
        <f aca="false">IF(W329="",0,IF(AA329=1,0,IF(Y329=1,0,X329)))</f>
        <v>0</v>
      </c>
      <c r="AD329" s="30" t="n">
        <f aca="false">IF(AB329=0,0,IF(AB328=AB329,AD328,T329))</f>
        <v>0</v>
      </c>
      <c r="AE329" s="30" t="n">
        <f aca="false">AB329-AB328</f>
        <v>0</v>
      </c>
      <c r="AF329" s="30" t="n">
        <f aca="false">-AD329*AB329</f>
        <v>-0</v>
      </c>
      <c r="AG329" s="30" t="n">
        <f aca="false">AF329-AF328</f>
        <v>0</v>
      </c>
      <c r="AH329" s="30" t="n">
        <f aca="false">MAX(AE329,0)*(Inputs!$B$17+Inputs!$B$18+Inputs!$B$19)+MAX(-AE329,0)*(O329+Inputs!$B$18+Inputs!$B$19)+IF(AND(K329=1,AB329&lt;&gt;0),(Inputs!$B$17+Inputs!$B$18+Inputs!$B$19)+(O329+Inputs!$B$18+Inputs!$B$19),0)+MAX(AG329,0)*(Inputs!$B$20+Inputs!$B$22+Inputs!$B$23)+MAX(-AG329,0)*(Inputs!$B$21+Inputs!$B$22+Inputs!$B$23)</f>
        <v>0</v>
      </c>
      <c r="AI329" s="30" t="n">
        <f aca="false">AB328*(M329-AD328*J329)+AB328*AD328*N329/Inputs!$B$16-AH329</f>
        <v>0</v>
      </c>
      <c r="AJ329" s="30" t="n">
        <f aca="false">MAX(AE329,0)*(Inputs!$B$17+Inputs!$B$24+Inputs!$B$25)+MAX(-AE329,0)*(O329+Inputs!$B$24+Inputs!$B$25)+IF(AND(K329=1,AB329&lt;&gt;0),(Inputs!$B$17+Inputs!$B$24+Inputs!$B$25)+(O329+Inputs!$B$24+Inputs!$B$25),0)+MAX(AG329,0)*(Inputs!$B$20+Inputs!$B$26+Inputs!$B$27)+MAX(-AG329,0)*(Inputs!$B$21+Inputs!$B$26+Inputs!$B$27)</f>
        <v>0</v>
      </c>
      <c r="AK329" s="30" t="n">
        <f aca="false">AB328*(M329-AD328*J329)+AB328*AD328*(N329+Inputs!$B$14)/Inputs!$B$16-AJ329</f>
        <v>0</v>
      </c>
      <c r="AL329" s="30" t="n">
        <f aca="false">IF(AP328&lt;&gt;0,AQ328+1,0)</f>
        <v>0</v>
      </c>
      <c r="AM329" s="30" t="n">
        <f aca="false">IF(W329="",0,IF(AND(AP328&lt;&gt;0,OR(ABS(W329)&gt;Inputs!$B$7,AL329&gt;=Inputs!$B$8,ABS(W329)&lt;Inputs!$B$6)),1,0))</f>
        <v>0</v>
      </c>
      <c r="AN329" s="30" t="n">
        <f aca="false">IF(AM329=1,0,AP328)</f>
        <v>0</v>
      </c>
      <c r="AO329" s="30" t="n">
        <f aca="false">IF(W329="",0,IF(AND(AN329=0,ABS(W329)&gt;Inputs!$B$5,ABS(W329)&lt;=Inputs!$B$7,W329&gt;0),1,0))</f>
        <v>0</v>
      </c>
      <c r="AP329" s="30" t="n">
        <f aca="false">IF(W329="",0,IF(AO329=1,-SIGN(W329),AN329))</f>
        <v>0</v>
      </c>
      <c r="AQ329" s="30" t="n">
        <f aca="false">IF(W329="",0,IF(AO329=1,0,IF(AM329=1,0,AL329)))</f>
        <v>0</v>
      </c>
      <c r="AR329" s="30" t="n">
        <f aca="false">IF(AP329=0,0,IF(AP328=AP329,AR328,T329))</f>
        <v>0</v>
      </c>
      <c r="AS329" s="30" t="n">
        <f aca="false">AP329-AP328</f>
        <v>0</v>
      </c>
      <c r="AT329" s="30" t="n">
        <f aca="false">-AR329*AP329</f>
        <v>-0</v>
      </c>
      <c r="AU329" s="30" t="n">
        <f aca="false">AT329-AT328</f>
        <v>0</v>
      </c>
      <c r="AV329" s="30" t="n">
        <f aca="false">MAX(AS329,0)*(Inputs!$B$17+Inputs!$B$18+Inputs!$B$19)+MAX(-AS329,0)*(O329+Inputs!$B$18+Inputs!$B$19)+IF(AND(K329=1,AP329&lt;&gt;0),(Inputs!$B$17+Inputs!$B$18+Inputs!$B$19)+(O329+Inputs!$B$18+Inputs!$B$19),0)+MAX(AU329,0)*(Inputs!$B$20+Inputs!$B$22+Inputs!$B$23)+MAX(-AU329,0)*(Inputs!$B$21+Inputs!$B$22+Inputs!$B$23)</f>
        <v>0</v>
      </c>
      <c r="AW329" s="30" t="n">
        <f aca="false">AP328*(M329-AR328*J329)+AP328*AR328*N329/Inputs!$B$16-AV329</f>
        <v>0</v>
      </c>
      <c r="AX329" s="30" t="n">
        <f aca="false">AW329-IF(AP328&lt;&gt;0,0.75*AR328*(Inputs!$B$13-N329)/Inputs!$B$16,0)</f>
        <v>0</v>
      </c>
      <c r="AY329" s="30" t="n">
        <f aca="false">MAX(AS329,0)*(Inputs!$B$17+Inputs!$B$18+Inputs!$B$19)+MAX(-AS329,0)*(O329+Inputs!$B$18+Inputs!$B$19)+IF(AND(K329=1,AP329&lt;&gt;0),(Inputs!$B$17+Inputs!$B$18+Inputs!$B$19)+(O329+Inputs!$B$18+Inputs!$B$19),0)</f>
        <v>0</v>
      </c>
      <c r="AZ329" s="30" t="n">
        <f aca="false">AP328*M329-AY329</f>
        <v>0</v>
      </c>
      <c r="BA329" s="32" t="n">
        <f aca="false">BA328+AI329</f>
        <v>0.00164515276832129</v>
      </c>
      <c r="BB329" s="30" t="n">
        <f aca="false">MAX(BB328,BA329)</f>
        <v>0.00284866043860449</v>
      </c>
      <c r="BC329" s="32" t="n">
        <f aca="false">BA329-BB329</f>
        <v>-0.0012035076702832</v>
      </c>
      <c r="BD329" s="30" t="n">
        <f aca="false">A330-A329</f>
        <v>1</v>
      </c>
    </row>
    <row r="330" customFormat="false" ht="15" hidden="false" customHeight="false" outlineLevel="0" collapsed="false">
      <c r="A330" s="28" t="n">
        <v>45526</v>
      </c>
      <c r="B330" s="0" t="n">
        <v>24840</v>
      </c>
      <c r="C330" s="0" t="n">
        <v>276.42</v>
      </c>
      <c r="D330" s="29" t="n">
        <f aca="false">LN(B330)</f>
        <v>10.1202105360474</v>
      </c>
      <c r="E330" s="29" t="n">
        <f aca="false">LN(C330)</f>
        <v>5.62192144817588</v>
      </c>
      <c r="F330" s="0" t="n">
        <v>325</v>
      </c>
      <c r="G330" s="0" t="n">
        <v>7</v>
      </c>
      <c r="H330" s="29" t="n">
        <f aca="false">D330-E330</f>
        <v>4.49828908787153</v>
      </c>
      <c r="I330" s="29" t="n">
        <f aca="false">D330-D329</f>
        <v>0.00179105547868375</v>
      </c>
      <c r="J330" s="29" t="n">
        <f aca="false">E330-E329</f>
        <v>0.00028945654735768</v>
      </c>
      <c r="K330" s="0" t="n">
        <v>0</v>
      </c>
      <c r="L330" s="0" t="n">
        <v>0</v>
      </c>
      <c r="M330" s="29" t="n">
        <f aca="false">IF(L330=1,J330-Carry!$B$9/Inputs!$B$16,I330)</f>
        <v>0.00179105547868375</v>
      </c>
      <c r="N330" s="0" t="n">
        <v>0.065</v>
      </c>
      <c r="O330" s="0" t="n">
        <v>0.000125</v>
      </c>
      <c r="P330" s="29" t="n">
        <f aca="false">D330-('2 Hedge ratio'!$B$6+'2 Hedge ratio'!$B$5*E330)</f>
        <v>0.0079977776422222</v>
      </c>
      <c r="Q330" s="29" t="n">
        <f aca="false">D330-('5 Re-specification'!$B$7+'5 Re-specification'!$B$5*E330+'5 Re-specification'!$B$6*F330)</f>
        <v>-0.00127267162707945</v>
      </c>
      <c r="R330" s="30" t="n">
        <f aca="false">MIN(F330,Inputs!$B$9)</f>
        <v>250</v>
      </c>
      <c r="S330" s="29" t="n">
        <f aca="true">IF(AND(F330&gt;=1,R330&gt;=Inputs!$B$10),INDEX(LINEST(OFFSET(D330,-R330,0,R330,1),OFFSET(E330,-R330,0,R330,2)),1,1),"")</f>
        <v>-7.30384615430966E-005</v>
      </c>
      <c r="T330" s="29" t="n">
        <f aca="true">IF(AND(F330&gt;=1,R330&gt;=Inputs!$B$10),INDEX(LINEST(OFFSET(D330,-R330,0,R330,1),OFFSET(E330,-R330,0,R330,2)),1,2),"")</f>
        <v>1.02521778876038</v>
      </c>
      <c r="U330" s="29" t="n">
        <f aca="true">IF(AND(F330&gt;=1,R330&gt;=Inputs!$B$10),INDEX(LINEST(OFFSET(D330,-R330,0,R330,1),OFFSET(E330,-R330,0,R330,2)),1,3),"")</f>
        <v>4.38179548194484</v>
      </c>
      <c r="V330" s="29" t="n">
        <f aca="true">IF(AND(F330&gt;=1,R330&gt;=Inputs!$B$10),SQRT(SUMPRODUCT((OFFSET(D330,-R330,0,R330,1)-U330-T330*OFFSET(E330,-R330,0,R330,1)-S330*OFFSET(F330,-R330,0,R330,1))^2)/(R330-3)),"")</f>
        <v>0.00363874455271877</v>
      </c>
      <c r="W330" s="31" t="n">
        <f aca="false">IF(AND(F330&gt;=1,R330&gt;=Inputs!$B$10),(D330-U330-T330*E330-S330*F330)/V330,"")</f>
        <v>-0.423586090488788</v>
      </c>
      <c r="X330" s="30" t="n">
        <f aca="false">IF(AB329&lt;&gt;0,AC329+1,0)</f>
        <v>0</v>
      </c>
      <c r="Y330" s="30" t="n">
        <f aca="false">IF(W330="",0,IF(AND(AB329&lt;&gt;0,OR(ABS(W330)&gt;Inputs!$B$7,X330&gt;=Inputs!$B$8,ABS(W330)&lt;Inputs!$B$6)),1,0))</f>
        <v>0</v>
      </c>
      <c r="Z330" s="30" t="n">
        <f aca="false">IF(Y330=1,0,AB329)</f>
        <v>0</v>
      </c>
      <c r="AA330" s="30" t="n">
        <f aca="false">IF(W330="",0,IF(AND(Z330=0,ABS(W330)&gt;Inputs!$B$5,ABS(W330)&lt;=Inputs!$B$7),1,0))</f>
        <v>0</v>
      </c>
      <c r="AB330" s="30" t="n">
        <f aca="false">IF(W330="",0,IF(AA330=1,-SIGN(W330),Z330))</f>
        <v>0</v>
      </c>
      <c r="AC330" s="30" t="n">
        <f aca="false">IF(W330="",0,IF(AA330=1,0,IF(Y330=1,0,X330)))</f>
        <v>0</v>
      </c>
      <c r="AD330" s="30" t="n">
        <f aca="false">IF(AB330=0,0,IF(AB329=AB330,AD329,T330))</f>
        <v>0</v>
      </c>
      <c r="AE330" s="30" t="n">
        <f aca="false">AB330-AB329</f>
        <v>0</v>
      </c>
      <c r="AF330" s="30" t="n">
        <f aca="false">-AD330*AB330</f>
        <v>-0</v>
      </c>
      <c r="AG330" s="30" t="n">
        <f aca="false">AF330-AF329</f>
        <v>0</v>
      </c>
      <c r="AH330" s="30" t="n">
        <f aca="false">MAX(AE330,0)*(Inputs!$B$17+Inputs!$B$18+Inputs!$B$19)+MAX(-AE330,0)*(O330+Inputs!$B$18+Inputs!$B$19)+IF(AND(K330=1,AB330&lt;&gt;0),(Inputs!$B$17+Inputs!$B$18+Inputs!$B$19)+(O330+Inputs!$B$18+Inputs!$B$19),0)+MAX(AG330,0)*(Inputs!$B$20+Inputs!$B$22+Inputs!$B$23)+MAX(-AG330,0)*(Inputs!$B$21+Inputs!$B$22+Inputs!$B$23)</f>
        <v>0</v>
      </c>
      <c r="AI330" s="30" t="n">
        <f aca="false">AB329*(M330-AD329*J330)+AB329*AD329*N330/Inputs!$B$16-AH330</f>
        <v>0</v>
      </c>
      <c r="AJ330" s="30" t="n">
        <f aca="false">MAX(AE330,0)*(Inputs!$B$17+Inputs!$B$24+Inputs!$B$25)+MAX(-AE330,0)*(O330+Inputs!$B$24+Inputs!$B$25)+IF(AND(K330=1,AB330&lt;&gt;0),(Inputs!$B$17+Inputs!$B$24+Inputs!$B$25)+(O330+Inputs!$B$24+Inputs!$B$25),0)+MAX(AG330,0)*(Inputs!$B$20+Inputs!$B$26+Inputs!$B$27)+MAX(-AG330,0)*(Inputs!$B$21+Inputs!$B$26+Inputs!$B$27)</f>
        <v>0</v>
      </c>
      <c r="AK330" s="30" t="n">
        <f aca="false">AB329*(M330-AD329*J330)+AB329*AD329*(N330+Inputs!$B$14)/Inputs!$B$16-AJ330</f>
        <v>0</v>
      </c>
      <c r="AL330" s="30" t="n">
        <f aca="false">IF(AP329&lt;&gt;0,AQ329+1,0)</f>
        <v>0</v>
      </c>
      <c r="AM330" s="30" t="n">
        <f aca="false">IF(W330="",0,IF(AND(AP329&lt;&gt;0,OR(ABS(W330)&gt;Inputs!$B$7,AL330&gt;=Inputs!$B$8,ABS(W330)&lt;Inputs!$B$6)),1,0))</f>
        <v>0</v>
      </c>
      <c r="AN330" s="30" t="n">
        <f aca="false">IF(AM330=1,0,AP329)</f>
        <v>0</v>
      </c>
      <c r="AO330" s="30" t="n">
        <f aca="false">IF(W330="",0,IF(AND(AN330=0,ABS(W330)&gt;Inputs!$B$5,ABS(W330)&lt;=Inputs!$B$7,W330&gt;0),1,0))</f>
        <v>0</v>
      </c>
      <c r="AP330" s="30" t="n">
        <f aca="false">IF(W330="",0,IF(AO330=1,-SIGN(W330),AN330))</f>
        <v>0</v>
      </c>
      <c r="AQ330" s="30" t="n">
        <f aca="false">IF(W330="",0,IF(AO330=1,0,IF(AM330=1,0,AL330)))</f>
        <v>0</v>
      </c>
      <c r="AR330" s="30" t="n">
        <f aca="false">IF(AP330=0,0,IF(AP329=AP330,AR329,T330))</f>
        <v>0</v>
      </c>
      <c r="AS330" s="30" t="n">
        <f aca="false">AP330-AP329</f>
        <v>0</v>
      </c>
      <c r="AT330" s="30" t="n">
        <f aca="false">-AR330*AP330</f>
        <v>-0</v>
      </c>
      <c r="AU330" s="30" t="n">
        <f aca="false">AT330-AT329</f>
        <v>0</v>
      </c>
      <c r="AV330" s="30" t="n">
        <f aca="false">MAX(AS330,0)*(Inputs!$B$17+Inputs!$B$18+Inputs!$B$19)+MAX(-AS330,0)*(O330+Inputs!$B$18+Inputs!$B$19)+IF(AND(K330=1,AP330&lt;&gt;0),(Inputs!$B$17+Inputs!$B$18+Inputs!$B$19)+(O330+Inputs!$B$18+Inputs!$B$19),0)+MAX(AU330,0)*(Inputs!$B$20+Inputs!$B$22+Inputs!$B$23)+MAX(-AU330,0)*(Inputs!$B$21+Inputs!$B$22+Inputs!$B$23)</f>
        <v>0</v>
      </c>
      <c r="AW330" s="30" t="n">
        <f aca="false">AP329*(M330-AR329*J330)+AP329*AR329*N330/Inputs!$B$16-AV330</f>
        <v>0</v>
      </c>
      <c r="AX330" s="30" t="n">
        <f aca="false">AW330-IF(AP329&lt;&gt;0,0.75*AR329*(Inputs!$B$13-N330)/Inputs!$B$16,0)</f>
        <v>0</v>
      </c>
      <c r="AY330" s="30" t="n">
        <f aca="false">MAX(AS330,0)*(Inputs!$B$17+Inputs!$B$18+Inputs!$B$19)+MAX(-AS330,0)*(O330+Inputs!$B$18+Inputs!$B$19)+IF(AND(K330=1,AP330&lt;&gt;0),(Inputs!$B$17+Inputs!$B$18+Inputs!$B$19)+(O330+Inputs!$B$18+Inputs!$B$19),0)</f>
        <v>0</v>
      </c>
      <c r="AZ330" s="30" t="n">
        <f aca="false">AP329*M330-AY330</f>
        <v>0</v>
      </c>
      <c r="BA330" s="32" t="n">
        <f aca="false">BA329+AI330</f>
        <v>0.00164515276832129</v>
      </c>
      <c r="BB330" s="30" t="n">
        <f aca="false">MAX(BB329,BA330)</f>
        <v>0.00284866043860449</v>
      </c>
      <c r="BC330" s="32" t="n">
        <f aca="false">BA330-BB330</f>
        <v>-0.0012035076702832</v>
      </c>
      <c r="BD330" s="30" t="n">
        <f aca="false">A331-A330</f>
        <v>1</v>
      </c>
    </row>
    <row r="331" customFormat="false" ht="15" hidden="false" customHeight="false" outlineLevel="0" collapsed="false">
      <c r="A331" s="28" t="n">
        <v>45527</v>
      </c>
      <c r="B331" s="0" t="n">
        <v>24861</v>
      </c>
      <c r="C331" s="0" t="n">
        <v>276.55</v>
      </c>
      <c r="D331" s="29" t="n">
        <f aca="false">LN(B331)</f>
        <v>10.1210555895172</v>
      </c>
      <c r="E331" s="29" t="n">
        <f aca="false">LN(C331)</f>
        <v>5.62239163644069</v>
      </c>
      <c r="F331" s="0" t="n">
        <v>326</v>
      </c>
      <c r="G331" s="0" t="n">
        <v>6</v>
      </c>
      <c r="H331" s="29" t="n">
        <f aca="false">D331-E331</f>
        <v>4.49866395307646</v>
      </c>
      <c r="I331" s="29" t="n">
        <f aca="false">D331-D330</f>
        <v>0.000845053469737067</v>
      </c>
      <c r="J331" s="29" t="n">
        <f aca="false">E331-E330</f>
        <v>0.000470188264806382</v>
      </c>
      <c r="K331" s="0" t="n">
        <v>0</v>
      </c>
      <c r="L331" s="0" t="n">
        <v>0</v>
      </c>
      <c r="M331" s="29" t="n">
        <f aca="false">IF(L331=1,J331-Carry!$B$9/Inputs!$B$16,I331)</f>
        <v>0.000845053469737067</v>
      </c>
      <c r="N331" s="0" t="n">
        <v>0.065</v>
      </c>
      <c r="O331" s="0" t="n">
        <v>0.000125</v>
      </c>
      <c r="P331" s="29" t="n">
        <f aca="false">D331-('2 Hedge ratio'!$B$6+'2 Hedge ratio'!$B$5*E331)</f>
        <v>0.00841207906068675</v>
      </c>
      <c r="Q331" s="29" t="n">
        <f aca="false">D331-('5 Re-specification'!$B$7+'5 Re-specification'!$B$5*E331+'5 Re-specification'!$B$6*F331)</f>
        <v>-0.000851452198505243</v>
      </c>
      <c r="R331" s="30" t="n">
        <f aca="false">MIN(F331,Inputs!$B$9)</f>
        <v>250</v>
      </c>
      <c r="S331" s="29" t="n">
        <f aca="true">IF(AND(F331&gt;=1,R331&gt;=Inputs!$B$10),INDEX(LINEST(OFFSET(D331,-R331,0,R331,1),OFFSET(E331,-R331,0,R331,2)),1,1),"")</f>
        <v>-7.39454398689545E-005</v>
      </c>
      <c r="T331" s="29" t="n">
        <f aca="true">IF(AND(F331&gt;=1,R331&gt;=Inputs!$B$10),INDEX(LINEST(OFFSET(D331,-R331,0,R331,1),OFFSET(E331,-R331,0,R331,2)),1,2),"")</f>
        <v>1.02562292939367</v>
      </c>
      <c r="U331" s="29" t="n">
        <f aca="true">IF(AND(F331&gt;=1,R331&gt;=Inputs!$B$10),INDEX(LINEST(OFFSET(D331,-R331,0,R331,1),OFFSET(E331,-R331,0,R331,2)),1,3),"")</f>
        <v>4.37976328424959</v>
      </c>
      <c r="V331" s="29" t="n">
        <f aca="true">IF(AND(F331&gt;=1,R331&gt;=Inputs!$B$10),SQRT(SUMPRODUCT((OFFSET(D331,-R331,0,R331,1)-U331-T331*OFFSET(E331,-R331,0,R331,1)-S331*OFFSET(F331,-R331,0,R331,1))^2)/(R331-3)),"")</f>
        <v>0.00363356881866366</v>
      </c>
      <c r="W331" s="31" t="n">
        <f aca="false">IF(AND(F331&gt;=1,R331&gt;=Inputs!$B$10),(D331-U331-T331*E331-S331*F331)/V331,"")</f>
        <v>-0.290420177135822</v>
      </c>
      <c r="X331" s="30" t="n">
        <f aca="false">IF(AB330&lt;&gt;0,AC330+1,0)</f>
        <v>0</v>
      </c>
      <c r="Y331" s="30" t="n">
        <f aca="false">IF(W331="",0,IF(AND(AB330&lt;&gt;0,OR(ABS(W331)&gt;Inputs!$B$7,X331&gt;=Inputs!$B$8,ABS(W331)&lt;Inputs!$B$6)),1,0))</f>
        <v>0</v>
      </c>
      <c r="Z331" s="30" t="n">
        <f aca="false">IF(Y331=1,0,AB330)</f>
        <v>0</v>
      </c>
      <c r="AA331" s="30" t="n">
        <f aca="false">IF(W331="",0,IF(AND(Z331=0,ABS(W331)&gt;Inputs!$B$5,ABS(W331)&lt;=Inputs!$B$7),1,0))</f>
        <v>0</v>
      </c>
      <c r="AB331" s="30" t="n">
        <f aca="false">IF(W331="",0,IF(AA331=1,-SIGN(W331),Z331))</f>
        <v>0</v>
      </c>
      <c r="AC331" s="30" t="n">
        <f aca="false">IF(W331="",0,IF(AA331=1,0,IF(Y331=1,0,X331)))</f>
        <v>0</v>
      </c>
      <c r="AD331" s="30" t="n">
        <f aca="false">IF(AB331=0,0,IF(AB330=AB331,AD330,T331))</f>
        <v>0</v>
      </c>
      <c r="AE331" s="30" t="n">
        <f aca="false">AB331-AB330</f>
        <v>0</v>
      </c>
      <c r="AF331" s="30" t="n">
        <f aca="false">-AD331*AB331</f>
        <v>-0</v>
      </c>
      <c r="AG331" s="30" t="n">
        <f aca="false">AF331-AF330</f>
        <v>0</v>
      </c>
      <c r="AH331" s="30" t="n">
        <f aca="false">MAX(AE331,0)*(Inputs!$B$17+Inputs!$B$18+Inputs!$B$19)+MAX(-AE331,0)*(O331+Inputs!$B$18+Inputs!$B$19)+IF(AND(K331=1,AB331&lt;&gt;0),(Inputs!$B$17+Inputs!$B$18+Inputs!$B$19)+(O331+Inputs!$B$18+Inputs!$B$19),0)+MAX(AG331,0)*(Inputs!$B$20+Inputs!$B$22+Inputs!$B$23)+MAX(-AG331,0)*(Inputs!$B$21+Inputs!$B$22+Inputs!$B$23)</f>
        <v>0</v>
      </c>
      <c r="AI331" s="30" t="n">
        <f aca="false">AB330*(M331-AD330*J331)+AB330*AD330*N331/Inputs!$B$16-AH331</f>
        <v>0</v>
      </c>
      <c r="AJ331" s="30" t="n">
        <f aca="false">MAX(AE331,0)*(Inputs!$B$17+Inputs!$B$24+Inputs!$B$25)+MAX(-AE331,0)*(O331+Inputs!$B$24+Inputs!$B$25)+IF(AND(K331=1,AB331&lt;&gt;0),(Inputs!$B$17+Inputs!$B$24+Inputs!$B$25)+(O331+Inputs!$B$24+Inputs!$B$25),0)+MAX(AG331,0)*(Inputs!$B$20+Inputs!$B$26+Inputs!$B$27)+MAX(-AG331,0)*(Inputs!$B$21+Inputs!$B$26+Inputs!$B$27)</f>
        <v>0</v>
      </c>
      <c r="AK331" s="30" t="n">
        <f aca="false">AB330*(M331-AD330*J331)+AB330*AD330*(N331+Inputs!$B$14)/Inputs!$B$16-AJ331</f>
        <v>0</v>
      </c>
      <c r="AL331" s="30" t="n">
        <f aca="false">IF(AP330&lt;&gt;0,AQ330+1,0)</f>
        <v>0</v>
      </c>
      <c r="AM331" s="30" t="n">
        <f aca="false">IF(W331="",0,IF(AND(AP330&lt;&gt;0,OR(ABS(W331)&gt;Inputs!$B$7,AL331&gt;=Inputs!$B$8,ABS(W331)&lt;Inputs!$B$6)),1,0))</f>
        <v>0</v>
      </c>
      <c r="AN331" s="30" t="n">
        <f aca="false">IF(AM331=1,0,AP330)</f>
        <v>0</v>
      </c>
      <c r="AO331" s="30" t="n">
        <f aca="false">IF(W331="",0,IF(AND(AN331=0,ABS(W331)&gt;Inputs!$B$5,ABS(W331)&lt;=Inputs!$B$7,W331&gt;0),1,0))</f>
        <v>0</v>
      </c>
      <c r="AP331" s="30" t="n">
        <f aca="false">IF(W331="",0,IF(AO331=1,-SIGN(W331),AN331))</f>
        <v>0</v>
      </c>
      <c r="AQ331" s="30" t="n">
        <f aca="false">IF(W331="",0,IF(AO331=1,0,IF(AM331=1,0,AL331)))</f>
        <v>0</v>
      </c>
      <c r="AR331" s="30" t="n">
        <f aca="false">IF(AP331=0,0,IF(AP330=AP331,AR330,T331))</f>
        <v>0</v>
      </c>
      <c r="AS331" s="30" t="n">
        <f aca="false">AP331-AP330</f>
        <v>0</v>
      </c>
      <c r="AT331" s="30" t="n">
        <f aca="false">-AR331*AP331</f>
        <v>-0</v>
      </c>
      <c r="AU331" s="30" t="n">
        <f aca="false">AT331-AT330</f>
        <v>0</v>
      </c>
      <c r="AV331" s="30" t="n">
        <f aca="false">MAX(AS331,0)*(Inputs!$B$17+Inputs!$B$18+Inputs!$B$19)+MAX(-AS331,0)*(O331+Inputs!$B$18+Inputs!$B$19)+IF(AND(K331=1,AP331&lt;&gt;0),(Inputs!$B$17+Inputs!$B$18+Inputs!$B$19)+(O331+Inputs!$B$18+Inputs!$B$19),0)+MAX(AU331,0)*(Inputs!$B$20+Inputs!$B$22+Inputs!$B$23)+MAX(-AU331,0)*(Inputs!$B$21+Inputs!$B$22+Inputs!$B$23)</f>
        <v>0</v>
      </c>
      <c r="AW331" s="30" t="n">
        <f aca="false">AP330*(M331-AR330*J331)+AP330*AR330*N331/Inputs!$B$16-AV331</f>
        <v>0</v>
      </c>
      <c r="AX331" s="30" t="n">
        <f aca="false">AW331-IF(AP330&lt;&gt;0,0.75*AR330*(Inputs!$B$13-N331)/Inputs!$B$16,0)</f>
        <v>0</v>
      </c>
      <c r="AY331" s="30" t="n">
        <f aca="false">MAX(AS331,0)*(Inputs!$B$17+Inputs!$B$18+Inputs!$B$19)+MAX(-AS331,0)*(O331+Inputs!$B$18+Inputs!$B$19)+IF(AND(K331=1,AP331&lt;&gt;0),(Inputs!$B$17+Inputs!$B$18+Inputs!$B$19)+(O331+Inputs!$B$18+Inputs!$B$19),0)</f>
        <v>0</v>
      </c>
      <c r="AZ331" s="30" t="n">
        <f aca="false">AP330*M331-AY331</f>
        <v>0</v>
      </c>
      <c r="BA331" s="32" t="n">
        <f aca="false">BA330+AI331</f>
        <v>0.00164515276832129</v>
      </c>
      <c r="BB331" s="30" t="n">
        <f aca="false">MAX(BB330,BA331)</f>
        <v>0.00284866043860449</v>
      </c>
      <c r="BC331" s="32" t="n">
        <f aca="false">BA331-BB331</f>
        <v>-0.0012035076702832</v>
      </c>
      <c r="BD331" s="30" t="n">
        <f aca="false">A332-A331</f>
        <v>3</v>
      </c>
    </row>
    <row r="332" customFormat="false" ht="15" hidden="false" customHeight="false" outlineLevel="0" collapsed="false">
      <c r="A332" s="28" t="n">
        <v>45530</v>
      </c>
      <c r="B332" s="0" t="n">
        <v>25045</v>
      </c>
      <c r="C332" s="0" t="n">
        <v>278.78</v>
      </c>
      <c r="D332" s="29" t="n">
        <f aca="false">LN(B332)</f>
        <v>10.1284294857917</v>
      </c>
      <c r="E332" s="29" t="n">
        <f aca="false">LN(C332)</f>
        <v>5.63042294030174</v>
      </c>
      <c r="F332" s="0" t="n">
        <v>327</v>
      </c>
      <c r="G332" s="0" t="n">
        <v>3</v>
      </c>
      <c r="H332" s="29" t="n">
        <f aca="false">D332-E332</f>
        <v>4.49800654548998</v>
      </c>
      <c r="I332" s="29" t="n">
        <f aca="false">D332-D331</f>
        <v>0.00737389627456508</v>
      </c>
      <c r="J332" s="29" t="n">
        <f aca="false">E332-E331</f>
        <v>0.00803130386105266</v>
      </c>
      <c r="K332" s="0" t="n">
        <v>0</v>
      </c>
      <c r="L332" s="0" t="n">
        <v>0</v>
      </c>
      <c r="M332" s="29" t="n">
        <f aca="false">IF(L332=1,J332-Carry!$B$9/Inputs!$B$16,I332)</f>
        <v>0.00737389627456508</v>
      </c>
      <c r="N332" s="0" t="n">
        <v>0.065</v>
      </c>
      <c r="O332" s="0" t="n">
        <v>0.000125</v>
      </c>
      <c r="P332" s="29" t="n">
        <f aca="false">D332-('2 Hedge ratio'!$B$6+'2 Hedge ratio'!$B$5*E332)</f>
        <v>0.00842828295650122</v>
      </c>
      <c r="Q332" s="29" t="n">
        <f aca="false">D332-('5 Re-specification'!$B$7+'5 Re-specification'!$B$5*E332+'5 Re-specification'!$B$6*F332)</f>
        <v>-0.00143959160037532</v>
      </c>
      <c r="R332" s="30" t="n">
        <f aca="false">MIN(F332,Inputs!$B$9)</f>
        <v>250</v>
      </c>
      <c r="S332" s="29" t="n">
        <f aca="true">IF(AND(F332&gt;=1,R332&gt;=Inputs!$B$10),INDEX(LINEST(OFFSET(D332,-R332,0,R332,1),OFFSET(E332,-R332,0,R332,2)),1,1),"")</f>
        <v>-7.47619642615877E-005</v>
      </c>
      <c r="T332" s="29" t="n">
        <f aca="true">IF(AND(F332&gt;=1,R332&gt;=Inputs!$B$10),INDEX(LINEST(OFFSET(D332,-R332,0,R332,1),OFFSET(E332,-R332,0,R332,2)),1,2),"")</f>
        <v>1.02596255124144</v>
      </c>
      <c r="U332" s="29" t="n">
        <f aca="true">IF(AND(F332&gt;=1,R332&gt;=Inputs!$B$10),INDEX(LINEST(OFFSET(D332,-R332,0,R332,1),OFFSET(E332,-R332,0,R332,2)),1,3),"")</f>
        <v>4.37807566230548</v>
      </c>
      <c r="V332" s="29" t="n">
        <f aca="true">IF(AND(F332&gt;=1,R332&gt;=Inputs!$B$10),SQRT(SUMPRODUCT((OFFSET(D332,-R332,0,R332,1)-U332-T332*OFFSET(E332,-R332,0,R332,1)-S332*OFFSET(F332,-R332,0,R332,1))^2)/(R332-3)),"")</f>
        <v>0.00362664370667354</v>
      </c>
      <c r="W332" s="31" t="n">
        <f aca="false">IF(AND(F332&gt;=1,R332&gt;=Inputs!$B$10),(D332-U332-T332*E332-S332*F332)/V332,"")</f>
        <v>-0.496905333494601</v>
      </c>
      <c r="X332" s="30" t="n">
        <f aca="false">IF(AB331&lt;&gt;0,AC331+1,0)</f>
        <v>0</v>
      </c>
      <c r="Y332" s="30" t="n">
        <f aca="false">IF(W332="",0,IF(AND(AB331&lt;&gt;0,OR(ABS(W332)&gt;Inputs!$B$7,X332&gt;=Inputs!$B$8,ABS(W332)&lt;Inputs!$B$6)),1,0))</f>
        <v>0</v>
      </c>
      <c r="Z332" s="30" t="n">
        <f aca="false">IF(Y332=1,0,AB331)</f>
        <v>0</v>
      </c>
      <c r="AA332" s="30" t="n">
        <f aca="false">IF(W332="",0,IF(AND(Z332=0,ABS(W332)&gt;Inputs!$B$5,ABS(W332)&lt;=Inputs!$B$7),1,0))</f>
        <v>0</v>
      </c>
      <c r="AB332" s="30" t="n">
        <f aca="false">IF(W332="",0,IF(AA332=1,-SIGN(W332),Z332))</f>
        <v>0</v>
      </c>
      <c r="AC332" s="30" t="n">
        <f aca="false">IF(W332="",0,IF(AA332=1,0,IF(Y332=1,0,X332)))</f>
        <v>0</v>
      </c>
      <c r="AD332" s="30" t="n">
        <f aca="false">IF(AB332=0,0,IF(AB331=AB332,AD331,T332))</f>
        <v>0</v>
      </c>
      <c r="AE332" s="30" t="n">
        <f aca="false">AB332-AB331</f>
        <v>0</v>
      </c>
      <c r="AF332" s="30" t="n">
        <f aca="false">-AD332*AB332</f>
        <v>-0</v>
      </c>
      <c r="AG332" s="30" t="n">
        <f aca="false">AF332-AF331</f>
        <v>0</v>
      </c>
      <c r="AH332" s="30" t="n">
        <f aca="false">MAX(AE332,0)*(Inputs!$B$17+Inputs!$B$18+Inputs!$B$19)+MAX(-AE332,0)*(O332+Inputs!$B$18+Inputs!$B$19)+IF(AND(K332=1,AB332&lt;&gt;0),(Inputs!$B$17+Inputs!$B$18+Inputs!$B$19)+(O332+Inputs!$B$18+Inputs!$B$19),0)+MAX(AG332,0)*(Inputs!$B$20+Inputs!$B$22+Inputs!$B$23)+MAX(-AG332,0)*(Inputs!$B$21+Inputs!$B$22+Inputs!$B$23)</f>
        <v>0</v>
      </c>
      <c r="AI332" s="30" t="n">
        <f aca="false">AB331*(M332-AD331*J332)+AB331*AD331*N332/Inputs!$B$16-AH332</f>
        <v>0</v>
      </c>
      <c r="AJ332" s="30" t="n">
        <f aca="false">MAX(AE332,0)*(Inputs!$B$17+Inputs!$B$24+Inputs!$B$25)+MAX(-AE332,0)*(O332+Inputs!$B$24+Inputs!$B$25)+IF(AND(K332=1,AB332&lt;&gt;0),(Inputs!$B$17+Inputs!$B$24+Inputs!$B$25)+(O332+Inputs!$B$24+Inputs!$B$25),0)+MAX(AG332,0)*(Inputs!$B$20+Inputs!$B$26+Inputs!$B$27)+MAX(-AG332,0)*(Inputs!$B$21+Inputs!$B$26+Inputs!$B$27)</f>
        <v>0</v>
      </c>
      <c r="AK332" s="30" t="n">
        <f aca="false">AB331*(M332-AD331*J332)+AB331*AD331*(N332+Inputs!$B$14)/Inputs!$B$16-AJ332</f>
        <v>0</v>
      </c>
      <c r="AL332" s="30" t="n">
        <f aca="false">IF(AP331&lt;&gt;0,AQ331+1,0)</f>
        <v>0</v>
      </c>
      <c r="AM332" s="30" t="n">
        <f aca="false">IF(W332="",0,IF(AND(AP331&lt;&gt;0,OR(ABS(W332)&gt;Inputs!$B$7,AL332&gt;=Inputs!$B$8,ABS(W332)&lt;Inputs!$B$6)),1,0))</f>
        <v>0</v>
      </c>
      <c r="AN332" s="30" t="n">
        <f aca="false">IF(AM332=1,0,AP331)</f>
        <v>0</v>
      </c>
      <c r="AO332" s="30" t="n">
        <f aca="false">IF(W332="",0,IF(AND(AN332=0,ABS(W332)&gt;Inputs!$B$5,ABS(W332)&lt;=Inputs!$B$7,W332&gt;0),1,0))</f>
        <v>0</v>
      </c>
      <c r="AP332" s="30" t="n">
        <f aca="false">IF(W332="",0,IF(AO332=1,-SIGN(W332),AN332))</f>
        <v>0</v>
      </c>
      <c r="AQ332" s="30" t="n">
        <f aca="false">IF(W332="",0,IF(AO332=1,0,IF(AM332=1,0,AL332)))</f>
        <v>0</v>
      </c>
      <c r="AR332" s="30" t="n">
        <f aca="false">IF(AP332=0,0,IF(AP331=AP332,AR331,T332))</f>
        <v>0</v>
      </c>
      <c r="AS332" s="30" t="n">
        <f aca="false">AP332-AP331</f>
        <v>0</v>
      </c>
      <c r="AT332" s="30" t="n">
        <f aca="false">-AR332*AP332</f>
        <v>-0</v>
      </c>
      <c r="AU332" s="30" t="n">
        <f aca="false">AT332-AT331</f>
        <v>0</v>
      </c>
      <c r="AV332" s="30" t="n">
        <f aca="false">MAX(AS332,0)*(Inputs!$B$17+Inputs!$B$18+Inputs!$B$19)+MAX(-AS332,0)*(O332+Inputs!$B$18+Inputs!$B$19)+IF(AND(K332=1,AP332&lt;&gt;0),(Inputs!$B$17+Inputs!$B$18+Inputs!$B$19)+(O332+Inputs!$B$18+Inputs!$B$19),0)+MAX(AU332,0)*(Inputs!$B$20+Inputs!$B$22+Inputs!$B$23)+MAX(-AU332,0)*(Inputs!$B$21+Inputs!$B$22+Inputs!$B$23)</f>
        <v>0</v>
      </c>
      <c r="AW332" s="30" t="n">
        <f aca="false">AP331*(M332-AR331*J332)+AP331*AR331*N332/Inputs!$B$16-AV332</f>
        <v>0</v>
      </c>
      <c r="AX332" s="30" t="n">
        <f aca="false">AW332-IF(AP331&lt;&gt;0,0.75*AR331*(Inputs!$B$13-N332)/Inputs!$B$16,0)</f>
        <v>0</v>
      </c>
      <c r="AY332" s="30" t="n">
        <f aca="false">MAX(AS332,0)*(Inputs!$B$17+Inputs!$B$18+Inputs!$B$19)+MAX(-AS332,0)*(O332+Inputs!$B$18+Inputs!$B$19)+IF(AND(K332=1,AP332&lt;&gt;0),(Inputs!$B$17+Inputs!$B$18+Inputs!$B$19)+(O332+Inputs!$B$18+Inputs!$B$19),0)</f>
        <v>0</v>
      </c>
      <c r="AZ332" s="30" t="n">
        <f aca="false">AP331*M332-AY332</f>
        <v>0</v>
      </c>
      <c r="BA332" s="32" t="n">
        <f aca="false">BA331+AI332</f>
        <v>0.00164515276832129</v>
      </c>
      <c r="BB332" s="30" t="n">
        <f aca="false">MAX(BB331,BA332)</f>
        <v>0.00284866043860449</v>
      </c>
      <c r="BC332" s="32" t="n">
        <f aca="false">BA332-BB332</f>
        <v>-0.0012035076702832</v>
      </c>
      <c r="BD332" s="30" t="n">
        <f aca="false">A333-A332</f>
        <v>1</v>
      </c>
    </row>
    <row r="333" customFormat="false" ht="15" hidden="false" customHeight="false" outlineLevel="0" collapsed="false">
      <c r="A333" s="28" t="n">
        <v>45531</v>
      </c>
      <c r="B333" s="0" t="n">
        <v>25005</v>
      </c>
      <c r="C333" s="0" t="n">
        <v>278.69</v>
      </c>
      <c r="D333" s="29" t="n">
        <f aca="false">LN(B333)</f>
        <v>10.126831083853</v>
      </c>
      <c r="E333" s="29" t="n">
        <f aca="false">LN(C333)</f>
        <v>5.63010005296868</v>
      </c>
      <c r="F333" s="0" t="n">
        <v>328</v>
      </c>
      <c r="G333" s="0" t="n">
        <v>2</v>
      </c>
      <c r="H333" s="29" t="n">
        <f aca="false">D333-E333</f>
        <v>4.49673103088433</v>
      </c>
      <c r="I333" s="29" t="n">
        <f aca="false">D333-D332</f>
        <v>-0.00159840193871297</v>
      </c>
      <c r="J333" s="29" t="n">
        <f aca="false">E333-E332</f>
        <v>-0.000322887333064514</v>
      </c>
      <c r="K333" s="0" t="n">
        <v>0</v>
      </c>
      <c r="L333" s="0" t="n">
        <v>0</v>
      </c>
      <c r="M333" s="29" t="n">
        <f aca="false">IF(L333=1,J333-Carry!$B$9/Inputs!$B$16,I333)</f>
        <v>-0.00159840193871297</v>
      </c>
      <c r="N333" s="0" t="n">
        <v>0.065</v>
      </c>
      <c r="O333" s="0" t="n">
        <v>0.000125</v>
      </c>
      <c r="P333" s="29" t="n">
        <f aca="false">D333-('2 Hedge ratio'!$B$6+'2 Hedge ratio'!$B$5*E333)</f>
        <v>0.00712568674383007</v>
      </c>
      <c r="Q333" s="29" t="n">
        <f aca="false">D333-('5 Re-specification'!$B$7+'5 Re-specification'!$B$5*E333+'5 Re-specification'!$B$6*F333)</f>
        <v>-0.00267115539799789</v>
      </c>
      <c r="R333" s="30" t="n">
        <f aca="false">MIN(F333,Inputs!$B$9)</f>
        <v>250</v>
      </c>
      <c r="S333" s="29" t="n">
        <f aca="true">IF(AND(F333&gt;=1,R333&gt;=Inputs!$B$10),INDEX(LINEST(OFFSET(D333,-R333,0,R333,1),OFFSET(E333,-R333,0,R333,2)),1,1),"")</f>
        <v>-7.49705667902637E-005</v>
      </c>
      <c r="T333" s="29" t="n">
        <f aca="true">IF(AND(F333&gt;=1,R333&gt;=Inputs!$B$10),INDEX(LINEST(OFFSET(D333,-R333,0,R333,1),OFFSET(E333,-R333,0,R333,2)),1,2),"")</f>
        <v>1.02590140906151</v>
      </c>
      <c r="U333" s="29" t="n">
        <f aca="true">IF(AND(F333&gt;=1,R333&gt;=Inputs!$B$10),INDEX(LINEST(OFFSET(D333,-R333,0,R333,1),OFFSET(E333,-R333,0,R333,2)),1,3),"")</f>
        <v>4.37845030317543</v>
      </c>
      <c r="V333" s="29" t="n">
        <f aca="true">IF(AND(F333&gt;=1,R333&gt;=Inputs!$B$10),SQRT(SUMPRODUCT((OFFSET(D333,-R333,0,R333,1)-U333-T333*OFFSET(E333,-R333,0,R333,1)-S333*OFFSET(F333,-R333,0,R333,1))^2)/(R333-3)),"")</f>
        <v>0.00362777301549842</v>
      </c>
      <c r="W333" s="31" t="n">
        <f aca="false">IF(AND(F333&gt;=1,R333&gt;=Inputs!$B$10),(D333-U333-T333*E333-S333*F333)/V333,"")</f>
        <v>-0.814949254108122</v>
      </c>
      <c r="X333" s="30" t="n">
        <f aca="false">IF(AB332&lt;&gt;0,AC332+1,0)</f>
        <v>0</v>
      </c>
      <c r="Y333" s="30" t="n">
        <f aca="false">IF(W333="",0,IF(AND(AB332&lt;&gt;0,OR(ABS(W333)&gt;Inputs!$B$7,X333&gt;=Inputs!$B$8,ABS(W333)&lt;Inputs!$B$6)),1,0))</f>
        <v>0</v>
      </c>
      <c r="Z333" s="30" t="n">
        <f aca="false">IF(Y333=1,0,AB332)</f>
        <v>0</v>
      </c>
      <c r="AA333" s="30" t="n">
        <f aca="false">IF(W333="",0,IF(AND(Z333=0,ABS(W333)&gt;Inputs!$B$5,ABS(W333)&lt;=Inputs!$B$7),1,0))</f>
        <v>0</v>
      </c>
      <c r="AB333" s="30" t="n">
        <f aca="false">IF(W333="",0,IF(AA333=1,-SIGN(W333),Z333))</f>
        <v>0</v>
      </c>
      <c r="AC333" s="30" t="n">
        <f aca="false">IF(W333="",0,IF(AA333=1,0,IF(Y333=1,0,X333)))</f>
        <v>0</v>
      </c>
      <c r="AD333" s="30" t="n">
        <f aca="false">IF(AB333=0,0,IF(AB332=AB333,AD332,T333))</f>
        <v>0</v>
      </c>
      <c r="AE333" s="30" t="n">
        <f aca="false">AB333-AB332</f>
        <v>0</v>
      </c>
      <c r="AF333" s="30" t="n">
        <f aca="false">-AD333*AB333</f>
        <v>-0</v>
      </c>
      <c r="AG333" s="30" t="n">
        <f aca="false">AF333-AF332</f>
        <v>0</v>
      </c>
      <c r="AH333" s="30" t="n">
        <f aca="false">MAX(AE333,0)*(Inputs!$B$17+Inputs!$B$18+Inputs!$B$19)+MAX(-AE333,0)*(O333+Inputs!$B$18+Inputs!$B$19)+IF(AND(K333=1,AB333&lt;&gt;0),(Inputs!$B$17+Inputs!$B$18+Inputs!$B$19)+(O333+Inputs!$B$18+Inputs!$B$19),0)+MAX(AG333,0)*(Inputs!$B$20+Inputs!$B$22+Inputs!$B$23)+MAX(-AG333,0)*(Inputs!$B$21+Inputs!$B$22+Inputs!$B$23)</f>
        <v>0</v>
      </c>
      <c r="AI333" s="30" t="n">
        <f aca="false">AB332*(M333-AD332*J333)+AB332*AD332*N333/Inputs!$B$16-AH333</f>
        <v>0</v>
      </c>
      <c r="AJ333" s="30" t="n">
        <f aca="false">MAX(AE333,0)*(Inputs!$B$17+Inputs!$B$24+Inputs!$B$25)+MAX(-AE333,0)*(O333+Inputs!$B$24+Inputs!$B$25)+IF(AND(K333=1,AB333&lt;&gt;0),(Inputs!$B$17+Inputs!$B$24+Inputs!$B$25)+(O333+Inputs!$B$24+Inputs!$B$25),0)+MAX(AG333,0)*(Inputs!$B$20+Inputs!$B$26+Inputs!$B$27)+MAX(-AG333,0)*(Inputs!$B$21+Inputs!$B$26+Inputs!$B$27)</f>
        <v>0</v>
      </c>
      <c r="AK333" s="30" t="n">
        <f aca="false">AB332*(M333-AD332*J333)+AB332*AD332*(N333+Inputs!$B$14)/Inputs!$B$16-AJ333</f>
        <v>0</v>
      </c>
      <c r="AL333" s="30" t="n">
        <f aca="false">IF(AP332&lt;&gt;0,AQ332+1,0)</f>
        <v>0</v>
      </c>
      <c r="AM333" s="30" t="n">
        <f aca="false">IF(W333="",0,IF(AND(AP332&lt;&gt;0,OR(ABS(W333)&gt;Inputs!$B$7,AL333&gt;=Inputs!$B$8,ABS(W333)&lt;Inputs!$B$6)),1,0))</f>
        <v>0</v>
      </c>
      <c r="AN333" s="30" t="n">
        <f aca="false">IF(AM333=1,0,AP332)</f>
        <v>0</v>
      </c>
      <c r="AO333" s="30" t="n">
        <f aca="false">IF(W333="",0,IF(AND(AN333=0,ABS(W333)&gt;Inputs!$B$5,ABS(W333)&lt;=Inputs!$B$7,W333&gt;0),1,0))</f>
        <v>0</v>
      </c>
      <c r="AP333" s="30" t="n">
        <f aca="false">IF(W333="",0,IF(AO333=1,-SIGN(W333),AN333))</f>
        <v>0</v>
      </c>
      <c r="AQ333" s="30" t="n">
        <f aca="false">IF(W333="",0,IF(AO333=1,0,IF(AM333=1,0,AL333)))</f>
        <v>0</v>
      </c>
      <c r="AR333" s="30" t="n">
        <f aca="false">IF(AP333=0,0,IF(AP332=AP333,AR332,T333))</f>
        <v>0</v>
      </c>
      <c r="AS333" s="30" t="n">
        <f aca="false">AP333-AP332</f>
        <v>0</v>
      </c>
      <c r="AT333" s="30" t="n">
        <f aca="false">-AR333*AP333</f>
        <v>-0</v>
      </c>
      <c r="AU333" s="30" t="n">
        <f aca="false">AT333-AT332</f>
        <v>0</v>
      </c>
      <c r="AV333" s="30" t="n">
        <f aca="false">MAX(AS333,0)*(Inputs!$B$17+Inputs!$B$18+Inputs!$B$19)+MAX(-AS333,0)*(O333+Inputs!$B$18+Inputs!$B$19)+IF(AND(K333=1,AP333&lt;&gt;0),(Inputs!$B$17+Inputs!$B$18+Inputs!$B$19)+(O333+Inputs!$B$18+Inputs!$B$19),0)+MAX(AU333,0)*(Inputs!$B$20+Inputs!$B$22+Inputs!$B$23)+MAX(-AU333,0)*(Inputs!$B$21+Inputs!$B$22+Inputs!$B$23)</f>
        <v>0</v>
      </c>
      <c r="AW333" s="30" t="n">
        <f aca="false">AP332*(M333-AR332*J333)+AP332*AR332*N333/Inputs!$B$16-AV333</f>
        <v>0</v>
      </c>
      <c r="AX333" s="30" t="n">
        <f aca="false">AW333-IF(AP332&lt;&gt;0,0.75*AR332*(Inputs!$B$13-N333)/Inputs!$B$16,0)</f>
        <v>0</v>
      </c>
      <c r="AY333" s="30" t="n">
        <f aca="false">MAX(AS333,0)*(Inputs!$B$17+Inputs!$B$18+Inputs!$B$19)+MAX(-AS333,0)*(O333+Inputs!$B$18+Inputs!$B$19)+IF(AND(K333=1,AP333&lt;&gt;0),(Inputs!$B$17+Inputs!$B$18+Inputs!$B$19)+(O333+Inputs!$B$18+Inputs!$B$19),0)</f>
        <v>0</v>
      </c>
      <c r="AZ333" s="30" t="n">
        <f aca="false">AP332*M333-AY333</f>
        <v>-0</v>
      </c>
      <c r="BA333" s="32" t="n">
        <f aca="false">BA332+AI333</f>
        <v>0.00164515276832129</v>
      </c>
      <c r="BB333" s="30" t="n">
        <f aca="false">MAX(BB332,BA333)</f>
        <v>0.00284866043860449</v>
      </c>
      <c r="BC333" s="32" t="n">
        <f aca="false">BA333-BB333</f>
        <v>-0.0012035076702832</v>
      </c>
      <c r="BD333" s="30" t="n">
        <f aca="false">A334-A333</f>
        <v>1</v>
      </c>
    </row>
    <row r="334" customFormat="false" ht="15" hidden="false" customHeight="false" outlineLevel="0" collapsed="false">
      <c r="A334" s="28" t="n">
        <v>45532</v>
      </c>
      <c r="B334" s="0" t="n">
        <v>25055</v>
      </c>
      <c r="C334" s="0" t="n">
        <v>278.83</v>
      </c>
      <c r="D334" s="29" t="n">
        <f aca="false">LN(B334)</f>
        <v>10.1288286873938</v>
      </c>
      <c r="E334" s="29" t="n">
        <f aca="false">LN(C334)</f>
        <v>5.63060227711469</v>
      </c>
      <c r="F334" s="0" t="n">
        <v>329</v>
      </c>
      <c r="G334" s="0" t="n">
        <v>1</v>
      </c>
      <c r="H334" s="29" t="n">
        <f aca="false">D334-E334</f>
        <v>4.49822641027914</v>
      </c>
      <c r="I334" s="29" t="n">
        <f aca="false">D334-D333</f>
        <v>0.00199760354082201</v>
      </c>
      <c r="J334" s="29" t="n">
        <f aca="false">E334-E333</f>
        <v>0.000502224146012864</v>
      </c>
      <c r="K334" s="0" t="n">
        <v>0</v>
      </c>
      <c r="L334" s="0" t="n">
        <v>0</v>
      </c>
      <c r="M334" s="29" t="n">
        <f aca="false">IF(L334=1,J334-Carry!$B$9/Inputs!$B$16,I334)</f>
        <v>0.00199760354082201</v>
      </c>
      <c r="N334" s="0" t="n">
        <v>0.065</v>
      </c>
      <c r="O334" s="0" t="n">
        <v>0.000125</v>
      </c>
      <c r="P334" s="29" t="n">
        <f aca="false">D334-('2 Hedge ratio'!$B$6+'2 Hedge ratio'!$B$5*E334)</f>
        <v>0.00866318930535037</v>
      </c>
      <c r="Q334" s="29" t="n">
        <f aca="false">D334-('5 Re-specification'!$B$7+'5 Re-specification'!$B$5*E334+'5 Re-specification'!$B$6*F334)</f>
        <v>-0.00112932469480675</v>
      </c>
      <c r="R334" s="30" t="n">
        <f aca="false">MIN(F334,Inputs!$B$9)</f>
        <v>250</v>
      </c>
      <c r="S334" s="29" t="n">
        <f aca="true">IF(AND(F334&gt;=1,R334&gt;=Inputs!$B$10),INDEX(LINEST(OFFSET(D334,-R334,0,R334,1),OFFSET(E334,-R334,0,R334,2)),1,1),"")</f>
        <v>-7.56466756808067E-005</v>
      </c>
      <c r="T334" s="29" t="n">
        <f aca="true">IF(AND(F334&gt;=1,R334&gt;=Inputs!$B$10),INDEX(LINEST(OFFSET(D334,-R334,0,R334,1),OFFSET(E334,-R334,0,R334,2)),1,2),"")</f>
        <v>1.02599616412389</v>
      </c>
      <c r="U334" s="29" t="n">
        <f aca="true">IF(AND(F334&gt;=1,R334&gt;=Inputs!$B$10),INDEX(LINEST(OFFSET(D334,-R334,0,R334,1),OFFSET(E334,-R334,0,R334,2)),1,3),"")</f>
        <v>4.37806831078849</v>
      </c>
      <c r="V334" s="29" t="n">
        <f aca="true">IF(AND(F334&gt;=1,R334&gt;=Inputs!$B$10),SQRT(SUMPRODUCT((OFFSET(D334,-R334,0,R334,1)-U334-T334*OFFSET(E334,-R334,0,R334,1)-S334*OFFSET(F334,-R334,0,R334,1))^2)/(R334-3)),"")</f>
        <v>0.00362731925894203</v>
      </c>
      <c r="W334" s="31" t="n">
        <f aca="false">IF(AND(F334&gt;=1,R334&gt;=Inputs!$B$10),(D334-U334-T334*E334-S334*F334)/V334,"")</f>
        <v>-0.366167141009435</v>
      </c>
      <c r="X334" s="30" t="n">
        <f aca="false">IF(AB333&lt;&gt;0,AC333+1,0)</f>
        <v>0</v>
      </c>
      <c r="Y334" s="30" t="n">
        <f aca="false">IF(W334="",0,IF(AND(AB333&lt;&gt;0,OR(ABS(W334)&gt;Inputs!$B$7,X334&gt;=Inputs!$B$8,ABS(W334)&lt;Inputs!$B$6)),1,0))</f>
        <v>0</v>
      </c>
      <c r="Z334" s="30" t="n">
        <f aca="false">IF(Y334=1,0,AB333)</f>
        <v>0</v>
      </c>
      <c r="AA334" s="30" t="n">
        <f aca="false">IF(W334="",0,IF(AND(Z334=0,ABS(W334)&gt;Inputs!$B$5,ABS(W334)&lt;=Inputs!$B$7),1,0))</f>
        <v>0</v>
      </c>
      <c r="AB334" s="30" t="n">
        <f aca="false">IF(W334="",0,IF(AA334=1,-SIGN(W334),Z334))</f>
        <v>0</v>
      </c>
      <c r="AC334" s="30" t="n">
        <f aca="false">IF(W334="",0,IF(AA334=1,0,IF(Y334=1,0,X334)))</f>
        <v>0</v>
      </c>
      <c r="AD334" s="30" t="n">
        <f aca="false">IF(AB334=0,0,IF(AB333=AB334,AD333,T334))</f>
        <v>0</v>
      </c>
      <c r="AE334" s="30" t="n">
        <f aca="false">AB334-AB333</f>
        <v>0</v>
      </c>
      <c r="AF334" s="30" t="n">
        <f aca="false">-AD334*AB334</f>
        <v>-0</v>
      </c>
      <c r="AG334" s="30" t="n">
        <f aca="false">AF334-AF333</f>
        <v>0</v>
      </c>
      <c r="AH334" s="30" t="n">
        <f aca="false">MAX(AE334,0)*(Inputs!$B$17+Inputs!$B$18+Inputs!$B$19)+MAX(-AE334,0)*(O334+Inputs!$B$18+Inputs!$B$19)+IF(AND(K334=1,AB334&lt;&gt;0),(Inputs!$B$17+Inputs!$B$18+Inputs!$B$19)+(O334+Inputs!$B$18+Inputs!$B$19),0)+MAX(AG334,0)*(Inputs!$B$20+Inputs!$B$22+Inputs!$B$23)+MAX(-AG334,0)*(Inputs!$B$21+Inputs!$B$22+Inputs!$B$23)</f>
        <v>0</v>
      </c>
      <c r="AI334" s="30" t="n">
        <f aca="false">AB333*(M334-AD333*J334)+AB333*AD333*N334/Inputs!$B$16-AH334</f>
        <v>0</v>
      </c>
      <c r="AJ334" s="30" t="n">
        <f aca="false">MAX(AE334,0)*(Inputs!$B$17+Inputs!$B$24+Inputs!$B$25)+MAX(-AE334,0)*(O334+Inputs!$B$24+Inputs!$B$25)+IF(AND(K334=1,AB334&lt;&gt;0),(Inputs!$B$17+Inputs!$B$24+Inputs!$B$25)+(O334+Inputs!$B$24+Inputs!$B$25),0)+MAX(AG334,0)*(Inputs!$B$20+Inputs!$B$26+Inputs!$B$27)+MAX(-AG334,0)*(Inputs!$B$21+Inputs!$B$26+Inputs!$B$27)</f>
        <v>0</v>
      </c>
      <c r="AK334" s="30" t="n">
        <f aca="false">AB333*(M334-AD333*J334)+AB333*AD333*(N334+Inputs!$B$14)/Inputs!$B$16-AJ334</f>
        <v>0</v>
      </c>
      <c r="AL334" s="30" t="n">
        <f aca="false">IF(AP333&lt;&gt;0,AQ333+1,0)</f>
        <v>0</v>
      </c>
      <c r="AM334" s="30" t="n">
        <f aca="false">IF(W334="",0,IF(AND(AP333&lt;&gt;0,OR(ABS(W334)&gt;Inputs!$B$7,AL334&gt;=Inputs!$B$8,ABS(W334)&lt;Inputs!$B$6)),1,0))</f>
        <v>0</v>
      </c>
      <c r="AN334" s="30" t="n">
        <f aca="false">IF(AM334=1,0,AP333)</f>
        <v>0</v>
      </c>
      <c r="AO334" s="30" t="n">
        <f aca="false">IF(W334="",0,IF(AND(AN334=0,ABS(W334)&gt;Inputs!$B$5,ABS(W334)&lt;=Inputs!$B$7,W334&gt;0),1,0))</f>
        <v>0</v>
      </c>
      <c r="AP334" s="30" t="n">
        <f aca="false">IF(W334="",0,IF(AO334=1,-SIGN(W334),AN334))</f>
        <v>0</v>
      </c>
      <c r="AQ334" s="30" t="n">
        <f aca="false">IF(W334="",0,IF(AO334=1,0,IF(AM334=1,0,AL334)))</f>
        <v>0</v>
      </c>
      <c r="AR334" s="30" t="n">
        <f aca="false">IF(AP334=0,0,IF(AP333=AP334,AR333,T334))</f>
        <v>0</v>
      </c>
      <c r="AS334" s="30" t="n">
        <f aca="false">AP334-AP333</f>
        <v>0</v>
      </c>
      <c r="AT334" s="30" t="n">
        <f aca="false">-AR334*AP334</f>
        <v>-0</v>
      </c>
      <c r="AU334" s="30" t="n">
        <f aca="false">AT334-AT333</f>
        <v>0</v>
      </c>
      <c r="AV334" s="30" t="n">
        <f aca="false">MAX(AS334,0)*(Inputs!$B$17+Inputs!$B$18+Inputs!$B$19)+MAX(-AS334,0)*(O334+Inputs!$B$18+Inputs!$B$19)+IF(AND(K334=1,AP334&lt;&gt;0),(Inputs!$B$17+Inputs!$B$18+Inputs!$B$19)+(O334+Inputs!$B$18+Inputs!$B$19),0)+MAX(AU334,0)*(Inputs!$B$20+Inputs!$B$22+Inputs!$B$23)+MAX(-AU334,0)*(Inputs!$B$21+Inputs!$B$22+Inputs!$B$23)</f>
        <v>0</v>
      </c>
      <c r="AW334" s="30" t="n">
        <f aca="false">AP333*(M334-AR333*J334)+AP333*AR333*N334/Inputs!$B$16-AV334</f>
        <v>0</v>
      </c>
      <c r="AX334" s="30" t="n">
        <f aca="false">AW334-IF(AP333&lt;&gt;0,0.75*AR333*(Inputs!$B$13-N334)/Inputs!$B$16,0)</f>
        <v>0</v>
      </c>
      <c r="AY334" s="30" t="n">
        <f aca="false">MAX(AS334,0)*(Inputs!$B$17+Inputs!$B$18+Inputs!$B$19)+MAX(-AS334,0)*(O334+Inputs!$B$18+Inputs!$B$19)+IF(AND(K334=1,AP334&lt;&gt;0),(Inputs!$B$17+Inputs!$B$18+Inputs!$B$19)+(O334+Inputs!$B$18+Inputs!$B$19),0)</f>
        <v>0</v>
      </c>
      <c r="AZ334" s="30" t="n">
        <f aca="false">AP333*M334-AY334</f>
        <v>0</v>
      </c>
      <c r="BA334" s="32" t="n">
        <f aca="false">BA333+AI334</f>
        <v>0.00164515276832129</v>
      </c>
      <c r="BB334" s="30" t="n">
        <f aca="false">MAX(BB333,BA334)</f>
        <v>0.00284866043860449</v>
      </c>
      <c r="BC334" s="32" t="n">
        <f aca="false">BA334-BB334</f>
        <v>-0.0012035076702832</v>
      </c>
      <c r="BD334" s="30" t="n">
        <f aca="false">A335-A334</f>
        <v>1</v>
      </c>
    </row>
    <row r="335" customFormat="false" ht="15" hidden="false" customHeight="false" outlineLevel="0" collapsed="false">
      <c r="A335" s="28" t="n">
        <v>45533</v>
      </c>
      <c r="B335" s="0" t="n">
        <v>25155.65</v>
      </c>
      <c r="C335" s="0" t="n">
        <v>280</v>
      </c>
      <c r="D335" s="29" t="n">
        <f aca="false">LN(B335)</f>
        <v>10.1328378023849</v>
      </c>
      <c r="E335" s="29" t="n">
        <f aca="false">LN(C335)</f>
        <v>5.63478960316925</v>
      </c>
      <c r="F335" s="0" t="n">
        <v>330</v>
      </c>
      <c r="G335" s="0" t="n">
        <v>0</v>
      </c>
      <c r="H335" s="29" t="n">
        <f aca="false">D335-E335</f>
        <v>4.49804819921561</v>
      </c>
      <c r="I335" s="29" t="n">
        <f aca="false">D335-D334</f>
        <v>0.00400911499103351</v>
      </c>
      <c r="J335" s="29" t="n">
        <f aca="false">E335-E334</f>
        <v>0.00418732605456107</v>
      </c>
      <c r="K335" s="0" t="n">
        <v>1</v>
      </c>
      <c r="L335" s="0" t="n">
        <v>0</v>
      </c>
      <c r="M335" s="29" t="n">
        <f aca="false">IF(L335=1,J335-Carry!$B$9/Inputs!$B$16,I335)</f>
        <v>0.00400911499103351</v>
      </c>
      <c r="N335" s="0" t="n">
        <v>0.065</v>
      </c>
      <c r="O335" s="0" t="n">
        <v>0.000125</v>
      </c>
      <c r="P335" s="29" t="n">
        <f aca="false">D335-('2 Hedge ratio'!$B$6+'2 Hedge ratio'!$B$5*E335)</f>
        <v>0.00883618284810872</v>
      </c>
      <c r="Q335" s="29" t="n">
        <f aca="false">D335-('5 Re-specification'!$B$7+'5 Re-specification'!$B$5*E335+'5 Re-specification'!$B$6*F335)</f>
        <v>-0.0012499167485398</v>
      </c>
      <c r="R335" s="30" t="n">
        <f aca="false">MIN(F335,Inputs!$B$9)</f>
        <v>250</v>
      </c>
      <c r="S335" s="29" t="n">
        <f aca="true">IF(AND(F335&gt;=1,R335&gt;=Inputs!$B$10),INDEX(LINEST(OFFSET(D335,-R335,0,R335,1),OFFSET(E335,-R335,0,R335,2)),1,1),"")</f>
        <v>-7.66936684305278E-005</v>
      </c>
      <c r="T335" s="29" t="n">
        <f aca="true">IF(AND(F335&gt;=1,R335&gt;=Inputs!$B$10),INDEX(LINEST(OFFSET(D335,-R335,0,R335,1),OFFSET(E335,-R335,0,R335,2)),1,2),"")</f>
        <v>1.02647874724447</v>
      </c>
      <c r="U335" s="29" t="n">
        <f aca="true">IF(AND(F335&gt;=1,R335&gt;=Inputs!$B$10),INDEX(LINEST(OFFSET(D335,-R335,0,R335,1),OFFSET(E335,-R335,0,R335,2)),1,3),"")</f>
        <v>4.37564560846964</v>
      </c>
      <c r="V335" s="29" t="n">
        <f aca="true">IF(AND(F335&gt;=1,R335&gt;=Inputs!$B$10),SQRT(SUMPRODUCT((OFFSET(D335,-R335,0,R335,1)-U335-T335*OFFSET(E335,-R335,0,R335,1)-S335*OFFSET(F335,-R335,0,R335,1))^2)/(R335-3)),"")</f>
        <v>0.00361854770928199</v>
      </c>
      <c r="W335" s="31" t="n">
        <f aca="false">IF(AND(F335&gt;=1,R335&gt;=Inputs!$B$10),(D335-U335-T335*E335-S335*F335)/V335,"")</f>
        <v>-0.411952106151902</v>
      </c>
      <c r="X335" s="30" t="n">
        <f aca="false">IF(AB334&lt;&gt;0,AC334+1,0)</f>
        <v>0</v>
      </c>
      <c r="Y335" s="30" t="n">
        <f aca="false">IF(W335="",0,IF(AND(AB334&lt;&gt;0,OR(ABS(W335)&gt;Inputs!$B$7,X335&gt;=Inputs!$B$8,ABS(W335)&lt;Inputs!$B$6)),1,0))</f>
        <v>0</v>
      </c>
      <c r="Z335" s="30" t="n">
        <f aca="false">IF(Y335=1,0,AB334)</f>
        <v>0</v>
      </c>
      <c r="AA335" s="30" t="n">
        <f aca="false">IF(W335="",0,IF(AND(Z335=0,ABS(W335)&gt;Inputs!$B$5,ABS(W335)&lt;=Inputs!$B$7),1,0))</f>
        <v>0</v>
      </c>
      <c r="AB335" s="30" t="n">
        <f aca="false">IF(W335="",0,IF(AA335=1,-SIGN(W335),Z335))</f>
        <v>0</v>
      </c>
      <c r="AC335" s="30" t="n">
        <f aca="false">IF(W335="",0,IF(AA335=1,0,IF(Y335=1,0,X335)))</f>
        <v>0</v>
      </c>
      <c r="AD335" s="30" t="n">
        <f aca="false">IF(AB335=0,0,IF(AB334=AB335,AD334,T335))</f>
        <v>0</v>
      </c>
      <c r="AE335" s="30" t="n">
        <f aca="false">AB335-AB334</f>
        <v>0</v>
      </c>
      <c r="AF335" s="30" t="n">
        <f aca="false">-AD335*AB335</f>
        <v>-0</v>
      </c>
      <c r="AG335" s="30" t="n">
        <f aca="false">AF335-AF334</f>
        <v>0</v>
      </c>
      <c r="AH335" s="30" t="n">
        <f aca="false">MAX(AE335,0)*(Inputs!$B$17+Inputs!$B$18+Inputs!$B$19)+MAX(-AE335,0)*(O335+Inputs!$B$18+Inputs!$B$19)+IF(AND(K335=1,AB335&lt;&gt;0),(Inputs!$B$17+Inputs!$B$18+Inputs!$B$19)+(O335+Inputs!$B$18+Inputs!$B$19),0)+MAX(AG335,0)*(Inputs!$B$20+Inputs!$B$22+Inputs!$B$23)+MAX(-AG335,0)*(Inputs!$B$21+Inputs!$B$22+Inputs!$B$23)</f>
        <v>0</v>
      </c>
      <c r="AI335" s="30" t="n">
        <f aca="false">AB334*(M335-AD334*J335)+AB334*AD334*N335/Inputs!$B$16-AH335</f>
        <v>0</v>
      </c>
      <c r="AJ335" s="30" t="n">
        <f aca="false">MAX(AE335,0)*(Inputs!$B$17+Inputs!$B$24+Inputs!$B$25)+MAX(-AE335,0)*(O335+Inputs!$B$24+Inputs!$B$25)+IF(AND(K335=1,AB335&lt;&gt;0),(Inputs!$B$17+Inputs!$B$24+Inputs!$B$25)+(O335+Inputs!$B$24+Inputs!$B$25),0)+MAX(AG335,0)*(Inputs!$B$20+Inputs!$B$26+Inputs!$B$27)+MAX(-AG335,0)*(Inputs!$B$21+Inputs!$B$26+Inputs!$B$27)</f>
        <v>0</v>
      </c>
      <c r="AK335" s="30" t="n">
        <f aca="false">AB334*(M335-AD334*J335)+AB334*AD334*(N335+Inputs!$B$14)/Inputs!$B$16-AJ335</f>
        <v>0</v>
      </c>
      <c r="AL335" s="30" t="n">
        <f aca="false">IF(AP334&lt;&gt;0,AQ334+1,0)</f>
        <v>0</v>
      </c>
      <c r="AM335" s="30" t="n">
        <f aca="false">IF(W335="",0,IF(AND(AP334&lt;&gt;0,OR(ABS(W335)&gt;Inputs!$B$7,AL335&gt;=Inputs!$B$8,ABS(W335)&lt;Inputs!$B$6)),1,0))</f>
        <v>0</v>
      </c>
      <c r="AN335" s="30" t="n">
        <f aca="false">IF(AM335=1,0,AP334)</f>
        <v>0</v>
      </c>
      <c r="AO335" s="30" t="n">
        <f aca="false">IF(W335="",0,IF(AND(AN335=0,ABS(W335)&gt;Inputs!$B$5,ABS(W335)&lt;=Inputs!$B$7,W335&gt;0),1,0))</f>
        <v>0</v>
      </c>
      <c r="AP335" s="30" t="n">
        <f aca="false">IF(W335="",0,IF(AO335=1,-SIGN(W335),AN335))</f>
        <v>0</v>
      </c>
      <c r="AQ335" s="30" t="n">
        <f aca="false">IF(W335="",0,IF(AO335=1,0,IF(AM335=1,0,AL335)))</f>
        <v>0</v>
      </c>
      <c r="AR335" s="30" t="n">
        <f aca="false">IF(AP335=0,0,IF(AP334=AP335,AR334,T335))</f>
        <v>0</v>
      </c>
      <c r="AS335" s="30" t="n">
        <f aca="false">AP335-AP334</f>
        <v>0</v>
      </c>
      <c r="AT335" s="30" t="n">
        <f aca="false">-AR335*AP335</f>
        <v>-0</v>
      </c>
      <c r="AU335" s="30" t="n">
        <f aca="false">AT335-AT334</f>
        <v>0</v>
      </c>
      <c r="AV335" s="30" t="n">
        <f aca="false">MAX(AS335,0)*(Inputs!$B$17+Inputs!$B$18+Inputs!$B$19)+MAX(-AS335,0)*(O335+Inputs!$B$18+Inputs!$B$19)+IF(AND(K335=1,AP335&lt;&gt;0),(Inputs!$B$17+Inputs!$B$18+Inputs!$B$19)+(O335+Inputs!$B$18+Inputs!$B$19),0)+MAX(AU335,0)*(Inputs!$B$20+Inputs!$B$22+Inputs!$B$23)+MAX(-AU335,0)*(Inputs!$B$21+Inputs!$B$22+Inputs!$B$23)</f>
        <v>0</v>
      </c>
      <c r="AW335" s="30" t="n">
        <f aca="false">AP334*(M335-AR334*J335)+AP334*AR334*N335/Inputs!$B$16-AV335</f>
        <v>0</v>
      </c>
      <c r="AX335" s="30" t="n">
        <f aca="false">AW335-IF(AP334&lt;&gt;0,0.75*AR334*(Inputs!$B$13-N335)/Inputs!$B$16,0)</f>
        <v>0</v>
      </c>
      <c r="AY335" s="30" t="n">
        <f aca="false">MAX(AS335,0)*(Inputs!$B$17+Inputs!$B$18+Inputs!$B$19)+MAX(-AS335,0)*(O335+Inputs!$B$18+Inputs!$B$19)+IF(AND(K335=1,AP335&lt;&gt;0),(Inputs!$B$17+Inputs!$B$18+Inputs!$B$19)+(O335+Inputs!$B$18+Inputs!$B$19),0)</f>
        <v>0</v>
      </c>
      <c r="AZ335" s="30" t="n">
        <f aca="false">AP334*M335-AY335</f>
        <v>0</v>
      </c>
      <c r="BA335" s="32" t="n">
        <f aca="false">BA334+AI335</f>
        <v>0.00164515276832129</v>
      </c>
      <c r="BB335" s="30" t="n">
        <f aca="false">MAX(BB334,BA335)</f>
        <v>0.00284866043860449</v>
      </c>
      <c r="BC335" s="32" t="n">
        <f aca="false">BA335-BB335</f>
        <v>-0.0012035076702832</v>
      </c>
      <c r="BD335" s="30" t="n">
        <f aca="false">A336-A335</f>
        <v>1</v>
      </c>
    </row>
    <row r="336" customFormat="false" ht="15" hidden="false" customHeight="false" outlineLevel="0" collapsed="false">
      <c r="A336" s="28" t="n">
        <v>45534</v>
      </c>
      <c r="B336" s="0" t="n">
        <v>25397</v>
      </c>
      <c r="C336" s="0" t="n">
        <v>281.28</v>
      </c>
      <c r="D336" s="29" t="n">
        <f aca="false">LN(B336)</f>
        <v>10.1423863357948</v>
      </c>
      <c r="E336" s="29" t="n">
        <f aca="false">LN(C336)</f>
        <v>5.63935061449681</v>
      </c>
      <c r="F336" s="0" t="n">
        <v>331</v>
      </c>
      <c r="G336" s="0" t="n">
        <v>27</v>
      </c>
      <c r="H336" s="29" t="n">
        <f aca="false">D336-E336</f>
        <v>4.50303572129803</v>
      </c>
      <c r="I336" s="29" t="n">
        <f aca="false">D336-D335</f>
        <v>0.00954853340998518</v>
      </c>
      <c r="J336" s="29" t="n">
        <f aca="false">E336-E335</f>
        <v>0.0045610113275627</v>
      </c>
      <c r="K336" s="0" t="n">
        <v>0</v>
      </c>
      <c r="L336" s="0" t="n">
        <v>1</v>
      </c>
      <c r="M336" s="29" t="n">
        <f aca="false">IF(L336=1,J336-Carry!$B$9/Inputs!$B$16,I336)</f>
        <v>0.00430155314584157</v>
      </c>
      <c r="N336" s="0" t="n">
        <v>0.065</v>
      </c>
      <c r="O336" s="0" t="n">
        <v>0.000125</v>
      </c>
      <c r="P336" s="29" t="n">
        <f aca="false">D336-('2 Hedge ratio'!$B$6+'2 Hedge ratio'!$B$5*E336)</f>
        <v>0.0142062517316877</v>
      </c>
      <c r="Q336" s="29" t="n">
        <f aca="false">D336-('5 Re-specification'!$B$7+'5 Re-specification'!$B$5*E336+'5 Re-specification'!$B$6*F336)</f>
        <v>0.00379635679690615</v>
      </c>
      <c r="R336" s="30" t="n">
        <f aca="false">MIN(F336,Inputs!$B$9)</f>
        <v>250</v>
      </c>
      <c r="S336" s="29" t="n">
        <f aca="true">IF(AND(F336&gt;=1,R336&gt;=Inputs!$B$10),INDEX(LINEST(OFFSET(D336,-R336,0,R336,1),OFFSET(E336,-R336,0,R336,2)),1,1),"")</f>
        <v>-7.73572303486223E-005</v>
      </c>
      <c r="T336" s="29" t="n">
        <f aca="true">IF(AND(F336&gt;=1,R336&gt;=Inputs!$B$10),INDEX(LINEST(OFFSET(D336,-R336,0,R336,1),OFFSET(E336,-R336,0,R336,2)),1,2),"")</f>
        <v>1.02667320861628</v>
      </c>
      <c r="U336" s="29" t="n">
        <f aca="true">IF(AND(F336&gt;=1,R336&gt;=Inputs!$B$10),INDEX(LINEST(OFFSET(D336,-R336,0,R336,1),OFFSET(E336,-R336,0,R336,2)),1,3),"")</f>
        <v>4.37472162953143</v>
      </c>
      <c r="V336" s="29" t="n">
        <f aca="true">IF(AND(F336&gt;=1,R336&gt;=Inputs!$B$10),SQRT(SUMPRODUCT((OFFSET(D336,-R336,0,R336,1)-U336-T336*OFFSET(E336,-R336,0,R336,1)-S336*OFFSET(F336,-R336,0,R336,1))^2)/(R336-3)),"")</f>
        <v>0.00361383415803368</v>
      </c>
      <c r="W336" s="31" t="n">
        <f aca="false">IF(AND(F336&gt;=1,R336&gt;=Inputs!$B$10),(D336-U336-T336*E336-S336*F336)/V336,"")</f>
        <v>0.968433928660274</v>
      </c>
      <c r="X336" s="30" t="n">
        <f aca="false">IF(AB335&lt;&gt;0,AC335+1,0)</f>
        <v>0</v>
      </c>
      <c r="Y336" s="30" t="n">
        <f aca="false">IF(W336="",0,IF(AND(AB335&lt;&gt;0,OR(ABS(W336)&gt;Inputs!$B$7,X336&gt;=Inputs!$B$8,ABS(W336)&lt;Inputs!$B$6)),1,0))</f>
        <v>0</v>
      </c>
      <c r="Z336" s="30" t="n">
        <f aca="false">IF(Y336=1,0,AB335)</f>
        <v>0</v>
      </c>
      <c r="AA336" s="30" t="n">
        <f aca="false">IF(W336="",0,IF(AND(Z336=0,ABS(W336)&gt;Inputs!$B$5,ABS(W336)&lt;=Inputs!$B$7),1,0))</f>
        <v>0</v>
      </c>
      <c r="AB336" s="30" t="n">
        <f aca="false">IF(W336="",0,IF(AA336=1,-SIGN(W336),Z336))</f>
        <v>0</v>
      </c>
      <c r="AC336" s="30" t="n">
        <f aca="false">IF(W336="",0,IF(AA336=1,0,IF(Y336=1,0,X336)))</f>
        <v>0</v>
      </c>
      <c r="AD336" s="30" t="n">
        <f aca="false">IF(AB336=0,0,IF(AB335=AB336,AD335,T336))</f>
        <v>0</v>
      </c>
      <c r="AE336" s="30" t="n">
        <f aca="false">AB336-AB335</f>
        <v>0</v>
      </c>
      <c r="AF336" s="30" t="n">
        <f aca="false">-AD336*AB336</f>
        <v>-0</v>
      </c>
      <c r="AG336" s="30" t="n">
        <f aca="false">AF336-AF335</f>
        <v>0</v>
      </c>
      <c r="AH336" s="30" t="n">
        <f aca="false">MAX(AE336,0)*(Inputs!$B$17+Inputs!$B$18+Inputs!$B$19)+MAX(-AE336,0)*(O336+Inputs!$B$18+Inputs!$B$19)+IF(AND(K336=1,AB336&lt;&gt;0),(Inputs!$B$17+Inputs!$B$18+Inputs!$B$19)+(O336+Inputs!$B$18+Inputs!$B$19),0)+MAX(AG336,0)*(Inputs!$B$20+Inputs!$B$22+Inputs!$B$23)+MAX(-AG336,0)*(Inputs!$B$21+Inputs!$B$22+Inputs!$B$23)</f>
        <v>0</v>
      </c>
      <c r="AI336" s="30" t="n">
        <f aca="false">AB335*(M336-AD335*J336)+AB335*AD335*N336/Inputs!$B$16-AH336</f>
        <v>0</v>
      </c>
      <c r="AJ336" s="30" t="n">
        <f aca="false">MAX(AE336,0)*(Inputs!$B$17+Inputs!$B$24+Inputs!$B$25)+MAX(-AE336,0)*(O336+Inputs!$B$24+Inputs!$B$25)+IF(AND(K336=1,AB336&lt;&gt;0),(Inputs!$B$17+Inputs!$B$24+Inputs!$B$25)+(O336+Inputs!$B$24+Inputs!$B$25),0)+MAX(AG336,0)*(Inputs!$B$20+Inputs!$B$26+Inputs!$B$27)+MAX(-AG336,0)*(Inputs!$B$21+Inputs!$B$26+Inputs!$B$27)</f>
        <v>0</v>
      </c>
      <c r="AK336" s="30" t="n">
        <f aca="false">AB335*(M336-AD335*J336)+AB335*AD335*(N336+Inputs!$B$14)/Inputs!$B$16-AJ336</f>
        <v>0</v>
      </c>
      <c r="AL336" s="30" t="n">
        <f aca="false">IF(AP335&lt;&gt;0,AQ335+1,0)</f>
        <v>0</v>
      </c>
      <c r="AM336" s="30" t="n">
        <f aca="false">IF(W336="",0,IF(AND(AP335&lt;&gt;0,OR(ABS(W336)&gt;Inputs!$B$7,AL336&gt;=Inputs!$B$8,ABS(W336)&lt;Inputs!$B$6)),1,0))</f>
        <v>0</v>
      </c>
      <c r="AN336" s="30" t="n">
        <f aca="false">IF(AM336=1,0,AP335)</f>
        <v>0</v>
      </c>
      <c r="AO336" s="30" t="n">
        <f aca="false">IF(W336="",0,IF(AND(AN336=0,ABS(W336)&gt;Inputs!$B$5,ABS(W336)&lt;=Inputs!$B$7,W336&gt;0),1,0))</f>
        <v>0</v>
      </c>
      <c r="AP336" s="30" t="n">
        <f aca="false">IF(W336="",0,IF(AO336=1,-SIGN(W336),AN336))</f>
        <v>0</v>
      </c>
      <c r="AQ336" s="30" t="n">
        <f aca="false">IF(W336="",0,IF(AO336=1,0,IF(AM336=1,0,AL336)))</f>
        <v>0</v>
      </c>
      <c r="AR336" s="30" t="n">
        <f aca="false">IF(AP336=0,0,IF(AP335=AP336,AR335,T336))</f>
        <v>0</v>
      </c>
      <c r="AS336" s="30" t="n">
        <f aca="false">AP336-AP335</f>
        <v>0</v>
      </c>
      <c r="AT336" s="30" t="n">
        <f aca="false">-AR336*AP336</f>
        <v>-0</v>
      </c>
      <c r="AU336" s="30" t="n">
        <f aca="false">AT336-AT335</f>
        <v>0</v>
      </c>
      <c r="AV336" s="30" t="n">
        <f aca="false">MAX(AS336,0)*(Inputs!$B$17+Inputs!$B$18+Inputs!$B$19)+MAX(-AS336,0)*(O336+Inputs!$B$18+Inputs!$B$19)+IF(AND(K336=1,AP336&lt;&gt;0),(Inputs!$B$17+Inputs!$B$18+Inputs!$B$19)+(O336+Inputs!$B$18+Inputs!$B$19),0)+MAX(AU336,0)*(Inputs!$B$20+Inputs!$B$22+Inputs!$B$23)+MAX(-AU336,0)*(Inputs!$B$21+Inputs!$B$22+Inputs!$B$23)</f>
        <v>0</v>
      </c>
      <c r="AW336" s="30" t="n">
        <f aca="false">AP335*(M336-AR335*J336)+AP335*AR335*N336/Inputs!$B$16-AV336</f>
        <v>0</v>
      </c>
      <c r="AX336" s="30" t="n">
        <f aca="false">AW336-IF(AP335&lt;&gt;0,0.75*AR335*(Inputs!$B$13-N336)/Inputs!$B$16,0)</f>
        <v>0</v>
      </c>
      <c r="AY336" s="30" t="n">
        <f aca="false">MAX(AS336,0)*(Inputs!$B$17+Inputs!$B$18+Inputs!$B$19)+MAX(-AS336,0)*(O336+Inputs!$B$18+Inputs!$B$19)+IF(AND(K336=1,AP336&lt;&gt;0),(Inputs!$B$17+Inputs!$B$18+Inputs!$B$19)+(O336+Inputs!$B$18+Inputs!$B$19),0)</f>
        <v>0</v>
      </c>
      <c r="AZ336" s="30" t="n">
        <f aca="false">AP335*M336-AY336</f>
        <v>0</v>
      </c>
      <c r="BA336" s="32" t="n">
        <f aca="false">BA335+AI336</f>
        <v>0.00164515276832129</v>
      </c>
      <c r="BB336" s="30" t="n">
        <f aca="false">MAX(BB335,BA336)</f>
        <v>0.00284866043860449</v>
      </c>
      <c r="BC336" s="32" t="n">
        <f aca="false">BA336-BB336</f>
        <v>-0.0012035076702832</v>
      </c>
      <c r="BD336" s="30" t="n">
        <f aca="false">A337-A336</f>
        <v>3</v>
      </c>
    </row>
    <row r="337" customFormat="false" ht="15" hidden="false" customHeight="false" outlineLevel="0" collapsed="false">
      <c r="A337" s="28" t="n">
        <v>45537</v>
      </c>
      <c r="B337" s="0" t="n">
        <v>25335.5</v>
      </c>
      <c r="C337" s="0" t="n">
        <v>281.42</v>
      </c>
      <c r="D337" s="29" t="n">
        <f aca="false">LN(B337)</f>
        <v>10.139961853259</v>
      </c>
      <c r="E337" s="29" t="n">
        <f aca="false">LN(C337)</f>
        <v>5.63984821536011</v>
      </c>
      <c r="F337" s="0" t="n">
        <v>332</v>
      </c>
      <c r="G337" s="0" t="n">
        <v>24</v>
      </c>
      <c r="H337" s="29" t="n">
        <f aca="false">D337-E337</f>
        <v>4.50011363789887</v>
      </c>
      <c r="I337" s="29" t="n">
        <f aca="false">D337-D336</f>
        <v>-0.00242448253586325</v>
      </c>
      <c r="J337" s="29" t="n">
        <f aca="false">E337-E336</f>
        <v>0.000497600863297976</v>
      </c>
      <c r="K337" s="0" t="n">
        <v>0</v>
      </c>
      <c r="L337" s="0" t="n">
        <v>0</v>
      </c>
      <c r="M337" s="29" t="n">
        <f aca="false">IF(L337=1,J337-Carry!$B$9/Inputs!$B$16,I337)</f>
        <v>-0.00242448253586325</v>
      </c>
      <c r="N337" s="0" t="n">
        <v>0.065</v>
      </c>
      <c r="O337" s="0" t="n">
        <v>0.000125</v>
      </c>
      <c r="P337" s="29" t="n">
        <f aca="false">D337-('2 Hedge ratio'!$B$6+'2 Hedge ratio'!$B$5*E337)</f>
        <v>0.0113259037295315</v>
      </c>
      <c r="Q337" s="29" t="n">
        <f aca="false">D337-('5 Re-specification'!$B$7+'5 Re-specification'!$B$5*E337+'5 Re-specification'!$B$6*F337)</f>
        <v>0.000920710695268667</v>
      </c>
      <c r="R337" s="30" t="n">
        <f aca="false">MIN(F337,Inputs!$B$9)</f>
        <v>250</v>
      </c>
      <c r="S337" s="29" t="n">
        <f aca="true">IF(AND(F337&gt;=1,R337&gt;=Inputs!$B$10),INDEX(LINEST(OFFSET(D337,-R337,0,R337,1),OFFSET(E337,-R337,0,R337,2)),1,1),"")</f>
        <v>-7.97619908066985E-005</v>
      </c>
      <c r="T337" s="29" t="n">
        <f aca="true">IF(AND(F337&gt;=1,R337&gt;=Inputs!$B$10),INDEX(LINEST(OFFSET(D337,-R337,0,R337,1),OFFSET(E337,-R337,0,R337,2)),1,2),"")</f>
        <v>1.02820050393666</v>
      </c>
      <c r="U337" s="29" t="n">
        <f aca="true">IF(AND(F337&gt;=1,R337&gt;=Inputs!$B$10),INDEX(LINEST(OFFSET(D337,-R337,0,R337,1),OFFSET(E337,-R337,0,R337,2)),1,3),"")</f>
        <v>4.36689317052427</v>
      </c>
      <c r="V337" s="29" t="n">
        <f aca="true">IF(AND(F337&gt;=1,R337&gt;=Inputs!$B$10),SQRT(SUMPRODUCT((OFFSET(D337,-R337,0,R337,1)-U337-T337*OFFSET(E337,-R337,0,R337,1)-S337*OFFSET(F337,-R337,0,R337,1))^2)/(R337-3)),"")</f>
        <v>0.00354873948970292</v>
      </c>
      <c r="W337" s="31" t="n">
        <f aca="false">IF(AND(F337&gt;=1,R337&gt;=Inputs!$B$10),(D337-U337-T337*E337-S337*F337)/V337,"")</f>
        <v>0.184540602352347</v>
      </c>
      <c r="X337" s="30" t="n">
        <f aca="false">IF(AB336&lt;&gt;0,AC336+1,0)</f>
        <v>0</v>
      </c>
      <c r="Y337" s="30" t="n">
        <f aca="false">IF(W337="",0,IF(AND(AB336&lt;&gt;0,OR(ABS(W337)&gt;Inputs!$B$7,X337&gt;=Inputs!$B$8,ABS(W337)&lt;Inputs!$B$6)),1,0))</f>
        <v>0</v>
      </c>
      <c r="Z337" s="30" t="n">
        <f aca="false">IF(Y337=1,0,AB336)</f>
        <v>0</v>
      </c>
      <c r="AA337" s="30" t="n">
        <f aca="false">IF(W337="",0,IF(AND(Z337=0,ABS(W337)&gt;Inputs!$B$5,ABS(W337)&lt;=Inputs!$B$7),1,0))</f>
        <v>0</v>
      </c>
      <c r="AB337" s="30" t="n">
        <f aca="false">IF(W337="",0,IF(AA337=1,-SIGN(W337),Z337))</f>
        <v>0</v>
      </c>
      <c r="AC337" s="30" t="n">
        <f aca="false">IF(W337="",0,IF(AA337=1,0,IF(Y337=1,0,X337)))</f>
        <v>0</v>
      </c>
      <c r="AD337" s="30" t="n">
        <f aca="false">IF(AB337=0,0,IF(AB336=AB337,AD336,T337))</f>
        <v>0</v>
      </c>
      <c r="AE337" s="30" t="n">
        <f aca="false">AB337-AB336</f>
        <v>0</v>
      </c>
      <c r="AF337" s="30" t="n">
        <f aca="false">-AD337*AB337</f>
        <v>-0</v>
      </c>
      <c r="AG337" s="30" t="n">
        <f aca="false">AF337-AF336</f>
        <v>0</v>
      </c>
      <c r="AH337" s="30" t="n">
        <f aca="false">MAX(AE337,0)*(Inputs!$B$17+Inputs!$B$18+Inputs!$B$19)+MAX(-AE337,0)*(O337+Inputs!$B$18+Inputs!$B$19)+IF(AND(K337=1,AB337&lt;&gt;0),(Inputs!$B$17+Inputs!$B$18+Inputs!$B$19)+(O337+Inputs!$B$18+Inputs!$B$19),0)+MAX(AG337,0)*(Inputs!$B$20+Inputs!$B$22+Inputs!$B$23)+MAX(-AG337,0)*(Inputs!$B$21+Inputs!$B$22+Inputs!$B$23)</f>
        <v>0</v>
      </c>
      <c r="AI337" s="30" t="n">
        <f aca="false">AB336*(M337-AD336*J337)+AB336*AD336*N337/Inputs!$B$16-AH337</f>
        <v>0</v>
      </c>
      <c r="AJ337" s="30" t="n">
        <f aca="false">MAX(AE337,0)*(Inputs!$B$17+Inputs!$B$24+Inputs!$B$25)+MAX(-AE337,0)*(O337+Inputs!$B$24+Inputs!$B$25)+IF(AND(K337=1,AB337&lt;&gt;0),(Inputs!$B$17+Inputs!$B$24+Inputs!$B$25)+(O337+Inputs!$B$24+Inputs!$B$25),0)+MAX(AG337,0)*(Inputs!$B$20+Inputs!$B$26+Inputs!$B$27)+MAX(-AG337,0)*(Inputs!$B$21+Inputs!$B$26+Inputs!$B$27)</f>
        <v>0</v>
      </c>
      <c r="AK337" s="30" t="n">
        <f aca="false">AB336*(M337-AD336*J337)+AB336*AD336*(N337+Inputs!$B$14)/Inputs!$B$16-AJ337</f>
        <v>0</v>
      </c>
      <c r="AL337" s="30" t="n">
        <f aca="false">IF(AP336&lt;&gt;0,AQ336+1,0)</f>
        <v>0</v>
      </c>
      <c r="AM337" s="30" t="n">
        <f aca="false">IF(W337="",0,IF(AND(AP336&lt;&gt;0,OR(ABS(W337)&gt;Inputs!$B$7,AL337&gt;=Inputs!$B$8,ABS(W337)&lt;Inputs!$B$6)),1,0))</f>
        <v>0</v>
      </c>
      <c r="AN337" s="30" t="n">
        <f aca="false">IF(AM337=1,0,AP336)</f>
        <v>0</v>
      </c>
      <c r="AO337" s="30" t="n">
        <f aca="false">IF(W337="",0,IF(AND(AN337=0,ABS(W337)&gt;Inputs!$B$5,ABS(W337)&lt;=Inputs!$B$7,W337&gt;0),1,0))</f>
        <v>0</v>
      </c>
      <c r="AP337" s="30" t="n">
        <f aca="false">IF(W337="",0,IF(AO337=1,-SIGN(W337),AN337))</f>
        <v>0</v>
      </c>
      <c r="AQ337" s="30" t="n">
        <f aca="false">IF(W337="",0,IF(AO337=1,0,IF(AM337=1,0,AL337)))</f>
        <v>0</v>
      </c>
      <c r="AR337" s="30" t="n">
        <f aca="false">IF(AP337=0,0,IF(AP336=AP337,AR336,T337))</f>
        <v>0</v>
      </c>
      <c r="AS337" s="30" t="n">
        <f aca="false">AP337-AP336</f>
        <v>0</v>
      </c>
      <c r="AT337" s="30" t="n">
        <f aca="false">-AR337*AP337</f>
        <v>-0</v>
      </c>
      <c r="AU337" s="30" t="n">
        <f aca="false">AT337-AT336</f>
        <v>0</v>
      </c>
      <c r="AV337" s="30" t="n">
        <f aca="false">MAX(AS337,0)*(Inputs!$B$17+Inputs!$B$18+Inputs!$B$19)+MAX(-AS337,0)*(O337+Inputs!$B$18+Inputs!$B$19)+IF(AND(K337=1,AP337&lt;&gt;0),(Inputs!$B$17+Inputs!$B$18+Inputs!$B$19)+(O337+Inputs!$B$18+Inputs!$B$19),0)+MAX(AU337,0)*(Inputs!$B$20+Inputs!$B$22+Inputs!$B$23)+MAX(-AU337,0)*(Inputs!$B$21+Inputs!$B$22+Inputs!$B$23)</f>
        <v>0</v>
      </c>
      <c r="AW337" s="30" t="n">
        <f aca="false">AP336*(M337-AR336*J337)+AP336*AR336*N337/Inputs!$B$16-AV337</f>
        <v>0</v>
      </c>
      <c r="AX337" s="30" t="n">
        <f aca="false">AW337-IF(AP336&lt;&gt;0,0.75*AR336*(Inputs!$B$13-N337)/Inputs!$B$16,0)</f>
        <v>0</v>
      </c>
      <c r="AY337" s="30" t="n">
        <f aca="false">MAX(AS337,0)*(Inputs!$B$17+Inputs!$B$18+Inputs!$B$19)+MAX(-AS337,0)*(O337+Inputs!$B$18+Inputs!$B$19)+IF(AND(K337=1,AP337&lt;&gt;0),(Inputs!$B$17+Inputs!$B$18+Inputs!$B$19)+(O337+Inputs!$B$18+Inputs!$B$19),0)</f>
        <v>0</v>
      </c>
      <c r="AZ337" s="30" t="n">
        <f aca="false">AP336*M337-AY337</f>
        <v>-0</v>
      </c>
      <c r="BA337" s="32" t="n">
        <f aca="false">BA336+AI337</f>
        <v>0.00164515276832129</v>
      </c>
      <c r="BB337" s="30" t="n">
        <f aca="false">MAX(BB336,BA337)</f>
        <v>0.00284866043860449</v>
      </c>
      <c r="BC337" s="32" t="n">
        <f aca="false">BA337-BB337</f>
        <v>-0.0012035076702832</v>
      </c>
      <c r="BD337" s="30" t="n">
        <f aca="false">A338-A337</f>
        <v>1</v>
      </c>
    </row>
    <row r="338" customFormat="false" ht="15" hidden="false" customHeight="false" outlineLevel="0" collapsed="false">
      <c r="A338" s="28" t="n">
        <v>45538</v>
      </c>
      <c r="B338" s="0" t="n">
        <v>25341</v>
      </c>
      <c r="C338" s="0" t="n">
        <v>281.65</v>
      </c>
      <c r="D338" s="29" t="n">
        <f aca="false">LN(B338)</f>
        <v>10.1401789163956</v>
      </c>
      <c r="E338" s="29" t="n">
        <f aca="false">LN(C338)</f>
        <v>5.64066516534072</v>
      </c>
      <c r="F338" s="0" t="n">
        <v>333</v>
      </c>
      <c r="G338" s="0" t="n">
        <v>23</v>
      </c>
      <c r="H338" s="29" t="n">
        <f aca="false">D338-E338</f>
        <v>4.49951375105488</v>
      </c>
      <c r="I338" s="29" t="n">
        <f aca="false">D338-D337</f>
        <v>0.000217063136625839</v>
      </c>
      <c r="J338" s="29" t="n">
        <f aca="false">E338-E337</f>
        <v>0.000816949980612769</v>
      </c>
      <c r="K338" s="0" t="n">
        <v>0</v>
      </c>
      <c r="L338" s="0" t="n">
        <v>0</v>
      </c>
      <c r="M338" s="29" t="n">
        <f aca="false">IF(L338=1,J338-Carry!$B$9/Inputs!$B$16,I338)</f>
        <v>0.000217063136625839</v>
      </c>
      <c r="N338" s="0" t="n">
        <v>0.065</v>
      </c>
      <c r="O338" s="0" t="n">
        <v>0.000125</v>
      </c>
      <c r="P338" s="29" t="n">
        <f aca="false">D338-('2 Hedge ratio'!$B$6+'2 Hedge ratio'!$B$5*E338)</f>
        <v>0.0107945371279516</v>
      </c>
      <c r="Q338" s="29" t="n">
        <f aca="false">D338-('5 Re-specification'!$B$7+'5 Re-specification'!$B$5*E338+'5 Re-specification'!$B$6*F338)</f>
        <v>0.00036822893631161</v>
      </c>
      <c r="R338" s="30" t="n">
        <f aca="false">MIN(F338,Inputs!$B$9)</f>
        <v>250</v>
      </c>
      <c r="S338" s="29" t="n">
        <f aca="true">IF(AND(F338&gt;=1,R338&gt;=Inputs!$B$10),INDEX(LINEST(OFFSET(D338,-R338,0,R338,1),OFFSET(E338,-R338,0,R338,2)),1,1),"")</f>
        <v>-8.02754777077253E-005</v>
      </c>
      <c r="T338" s="29" t="n">
        <f aca="true">IF(AND(F338&gt;=1,R338&gt;=Inputs!$B$10),INDEX(LINEST(OFFSET(D338,-R338,0,R338,1),OFFSET(E338,-R338,0,R338,2)),1,2),"")</f>
        <v>1.02845606031096</v>
      </c>
      <c r="U338" s="29" t="n">
        <f aca="true">IF(AND(F338&gt;=1,R338&gt;=Inputs!$B$10),INDEX(LINEST(OFFSET(D338,-R338,0,R338,1),OFFSET(E338,-R338,0,R338,2)),1,3),"")</f>
        <v>4.36561157880288</v>
      </c>
      <c r="V338" s="29" t="n">
        <f aca="true">IF(AND(F338&gt;=1,R338&gt;=Inputs!$B$10),SQRT(SUMPRODUCT((OFFSET(D338,-R338,0,R338,1)-U338-T338*OFFSET(E338,-R338,0,R338,1)-S338*OFFSET(F338,-R338,0,R338,1))^2)/(R338-3)),"")</f>
        <v>0.00354345179918937</v>
      </c>
      <c r="W338" s="31" t="n">
        <f aca="false">IF(AND(F338&gt;=1,R338&gt;=Inputs!$B$10),(D338-U338-T338*E338-S338*F338)/V338,"")</f>
        <v>0.0346549626635504</v>
      </c>
      <c r="X338" s="30" t="n">
        <f aca="false">IF(AB337&lt;&gt;0,AC337+1,0)</f>
        <v>0</v>
      </c>
      <c r="Y338" s="30" t="n">
        <f aca="false">IF(W338="",0,IF(AND(AB337&lt;&gt;0,OR(ABS(W338)&gt;Inputs!$B$7,X338&gt;=Inputs!$B$8,ABS(W338)&lt;Inputs!$B$6)),1,0))</f>
        <v>0</v>
      </c>
      <c r="Z338" s="30" t="n">
        <f aca="false">IF(Y338=1,0,AB337)</f>
        <v>0</v>
      </c>
      <c r="AA338" s="30" t="n">
        <f aca="false">IF(W338="",0,IF(AND(Z338=0,ABS(W338)&gt;Inputs!$B$5,ABS(W338)&lt;=Inputs!$B$7),1,0))</f>
        <v>0</v>
      </c>
      <c r="AB338" s="30" t="n">
        <f aca="false">IF(W338="",0,IF(AA338=1,-SIGN(W338),Z338))</f>
        <v>0</v>
      </c>
      <c r="AC338" s="30" t="n">
        <f aca="false">IF(W338="",0,IF(AA338=1,0,IF(Y338=1,0,X338)))</f>
        <v>0</v>
      </c>
      <c r="AD338" s="30" t="n">
        <f aca="false">IF(AB338=0,0,IF(AB337=AB338,AD337,T338))</f>
        <v>0</v>
      </c>
      <c r="AE338" s="30" t="n">
        <f aca="false">AB338-AB337</f>
        <v>0</v>
      </c>
      <c r="AF338" s="30" t="n">
        <f aca="false">-AD338*AB338</f>
        <v>-0</v>
      </c>
      <c r="AG338" s="30" t="n">
        <f aca="false">AF338-AF337</f>
        <v>0</v>
      </c>
      <c r="AH338" s="30" t="n">
        <f aca="false">MAX(AE338,0)*(Inputs!$B$17+Inputs!$B$18+Inputs!$B$19)+MAX(-AE338,0)*(O338+Inputs!$B$18+Inputs!$B$19)+IF(AND(K338=1,AB338&lt;&gt;0),(Inputs!$B$17+Inputs!$B$18+Inputs!$B$19)+(O338+Inputs!$B$18+Inputs!$B$19),0)+MAX(AG338,0)*(Inputs!$B$20+Inputs!$B$22+Inputs!$B$23)+MAX(-AG338,0)*(Inputs!$B$21+Inputs!$B$22+Inputs!$B$23)</f>
        <v>0</v>
      </c>
      <c r="AI338" s="30" t="n">
        <f aca="false">AB337*(M338-AD337*J338)+AB337*AD337*N338/Inputs!$B$16-AH338</f>
        <v>0</v>
      </c>
      <c r="AJ338" s="30" t="n">
        <f aca="false">MAX(AE338,0)*(Inputs!$B$17+Inputs!$B$24+Inputs!$B$25)+MAX(-AE338,0)*(O338+Inputs!$B$24+Inputs!$B$25)+IF(AND(K338=1,AB338&lt;&gt;0),(Inputs!$B$17+Inputs!$B$24+Inputs!$B$25)+(O338+Inputs!$B$24+Inputs!$B$25),0)+MAX(AG338,0)*(Inputs!$B$20+Inputs!$B$26+Inputs!$B$27)+MAX(-AG338,0)*(Inputs!$B$21+Inputs!$B$26+Inputs!$B$27)</f>
        <v>0</v>
      </c>
      <c r="AK338" s="30" t="n">
        <f aca="false">AB337*(M338-AD337*J338)+AB337*AD337*(N338+Inputs!$B$14)/Inputs!$B$16-AJ338</f>
        <v>0</v>
      </c>
      <c r="AL338" s="30" t="n">
        <f aca="false">IF(AP337&lt;&gt;0,AQ337+1,0)</f>
        <v>0</v>
      </c>
      <c r="AM338" s="30" t="n">
        <f aca="false">IF(W338="",0,IF(AND(AP337&lt;&gt;0,OR(ABS(W338)&gt;Inputs!$B$7,AL338&gt;=Inputs!$B$8,ABS(W338)&lt;Inputs!$B$6)),1,0))</f>
        <v>0</v>
      </c>
      <c r="AN338" s="30" t="n">
        <f aca="false">IF(AM338=1,0,AP337)</f>
        <v>0</v>
      </c>
      <c r="AO338" s="30" t="n">
        <f aca="false">IF(W338="",0,IF(AND(AN338=0,ABS(W338)&gt;Inputs!$B$5,ABS(W338)&lt;=Inputs!$B$7,W338&gt;0),1,0))</f>
        <v>0</v>
      </c>
      <c r="AP338" s="30" t="n">
        <f aca="false">IF(W338="",0,IF(AO338=1,-SIGN(W338),AN338))</f>
        <v>0</v>
      </c>
      <c r="AQ338" s="30" t="n">
        <f aca="false">IF(W338="",0,IF(AO338=1,0,IF(AM338=1,0,AL338)))</f>
        <v>0</v>
      </c>
      <c r="AR338" s="30" t="n">
        <f aca="false">IF(AP338=0,0,IF(AP337=AP338,AR337,T338))</f>
        <v>0</v>
      </c>
      <c r="AS338" s="30" t="n">
        <f aca="false">AP338-AP337</f>
        <v>0</v>
      </c>
      <c r="AT338" s="30" t="n">
        <f aca="false">-AR338*AP338</f>
        <v>-0</v>
      </c>
      <c r="AU338" s="30" t="n">
        <f aca="false">AT338-AT337</f>
        <v>0</v>
      </c>
      <c r="AV338" s="30" t="n">
        <f aca="false">MAX(AS338,0)*(Inputs!$B$17+Inputs!$B$18+Inputs!$B$19)+MAX(-AS338,0)*(O338+Inputs!$B$18+Inputs!$B$19)+IF(AND(K338=1,AP338&lt;&gt;0),(Inputs!$B$17+Inputs!$B$18+Inputs!$B$19)+(O338+Inputs!$B$18+Inputs!$B$19),0)+MAX(AU338,0)*(Inputs!$B$20+Inputs!$B$22+Inputs!$B$23)+MAX(-AU338,0)*(Inputs!$B$21+Inputs!$B$22+Inputs!$B$23)</f>
        <v>0</v>
      </c>
      <c r="AW338" s="30" t="n">
        <f aca="false">AP337*(M338-AR337*J338)+AP337*AR337*N338/Inputs!$B$16-AV338</f>
        <v>0</v>
      </c>
      <c r="AX338" s="30" t="n">
        <f aca="false">AW338-IF(AP337&lt;&gt;0,0.75*AR337*(Inputs!$B$13-N338)/Inputs!$B$16,0)</f>
        <v>0</v>
      </c>
      <c r="AY338" s="30" t="n">
        <f aca="false">MAX(AS338,0)*(Inputs!$B$17+Inputs!$B$18+Inputs!$B$19)+MAX(-AS338,0)*(O338+Inputs!$B$18+Inputs!$B$19)+IF(AND(K338=1,AP338&lt;&gt;0),(Inputs!$B$17+Inputs!$B$18+Inputs!$B$19)+(O338+Inputs!$B$18+Inputs!$B$19),0)</f>
        <v>0</v>
      </c>
      <c r="AZ338" s="30" t="n">
        <f aca="false">AP337*M338-AY338</f>
        <v>0</v>
      </c>
      <c r="BA338" s="32" t="n">
        <f aca="false">BA337+AI338</f>
        <v>0.00164515276832129</v>
      </c>
      <c r="BB338" s="30" t="n">
        <f aca="false">MAX(BB337,BA338)</f>
        <v>0.00284866043860449</v>
      </c>
      <c r="BC338" s="32" t="n">
        <f aca="false">BA338-BB338</f>
        <v>-0.0012035076702832</v>
      </c>
      <c r="BD338" s="30" t="n">
        <f aca="false">A339-A338</f>
        <v>1</v>
      </c>
    </row>
    <row r="339" customFormat="false" ht="15" hidden="false" customHeight="false" outlineLevel="0" collapsed="false">
      <c r="A339" s="28" t="n">
        <v>45539</v>
      </c>
      <c r="B339" s="0" t="n">
        <v>25250</v>
      </c>
      <c r="C339" s="0" t="n">
        <v>281.35</v>
      </c>
      <c r="D339" s="29" t="n">
        <f aca="false">LN(B339)</f>
        <v>10.1365814347035</v>
      </c>
      <c r="E339" s="29" t="n">
        <f aca="false">LN(C339)</f>
        <v>5.63959944587929</v>
      </c>
      <c r="F339" s="0" t="n">
        <v>334</v>
      </c>
      <c r="G339" s="0" t="n">
        <v>22</v>
      </c>
      <c r="H339" s="29" t="n">
        <f aca="false">D339-E339</f>
        <v>4.49698198882422</v>
      </c>
      <c r="I339" s="29" t="n">
        <f aca="false">D339-D338</f>
        <v>-0.0035974816921005</v>
      </c>
      <c r="J339" s="29" t="n">
        <f aca="false">E339-E338</f>
        <v>-0.00106571946143497</v>
      </c>
      <c r="K339" s="0" t="n">
        <v>0</v>
      </c>
      <c r="L339" s="0" t="n">
        <v>0</v>
      </c>
      <c r="M339" s="29" t="n">
        <f aca="false">IF(L339=1,J339-Carry!$B$9/Inputs!$B$16,I339)</f>
        <v>-0.0035974816921005</v>
      </c>
      <c r="N339" s="0" t="n">
        <v>0.065</v>
      </c>
      <c r="O339" s="0" t="n">
        <v>0.000125</v>
      </c>
      <c r="P339" s="29" t="n">
        <f aca="false">D339-('2 Hedge ratio'!$B$6+'2 Hedge ratio'!$B$5*E339)</f>
        <v>0.00817338955232216</v>
      </c>
      <c r="Q339" s="29" t="n">
        <f aca="false">D339-('5 Re-specification'!$B$7+'5 Re-specification'!$B$5*E339+'5 Re-specification'!$B$6*F339)</f>
        <v>-0.00212183363910867</v>
      </c>
      <c r="R339" s="30" t="n">
        <f aca="false">MIN(F339,Inputs!$B$9)</f>
        <v>250</v>
      </c>
      <c r="S339" s="29" t="n">
        <f aca="true">IF(AND(F339&gt;=1,R339&gt;=Inputs!$B$10),INDEX(LINEST(OFFSET(D339,-R339,0,R339,1),OFFSET(E339,-R339,0,R339,2)),1,1),"")</f>
        <v>-8.10424884701363E-005</v>
      </c>
      <c r="T339" s="29" t="n">
        <f aca="true">IF(AND(F339&gt;=1,R339&gt;=Inputs!$B$10),INDEX(LINEST(OFFSET(D339,-R339,0,R339,1),OFFSET(E339,-R339,0,R339,2)),1,2),"")</f>
        <v>1.02878916911759</v>
      </c>
      <c r="U339" s="29" t="n">
        <f aca="true">IF(AND(F339&gt;=1,R339&gt;=Inputs!$B$10),INDEX(LINEST(OFFSET(D339,-R339,0,R339,1),OFFSET(E339,-R339,0,R339,2)),1,3),"")</f>
        <v>4.36395994076015</v>
      </c>
      <c r="V339" s="29" t="n">
        <f aca="true">IF(AND(F339&gt;=1,R339&gt;=Inputs!$B$10),SQRT(SUMPRODUCT((OFFSET(D339,-R339,0,R339,1)-U339-T339*OFFSET(E339,-R339,0,R339,1)-S339*OFFSET(F339,-R339,0,R339,1))^2)/(R339-3)),"")</f>
        <v>0.00353265434291084</v>
      </c>
      <c r="W339" s="31" t="n">
        <f aca="false">IF(AND(F339&gt;=1,R339&gt;=Inputs!$B$10),(D339-U339-T339*E339-S339*F339)/V339,"")</f>
        <v>-0.642333715539223</v>
      </c>
      <c r="X339" s="30" t="n">
        <f aca="false">IF(AB338&lt;&gt;0,AC338+1,0)</f>
        <v>0</v>
      </c>
      <c r="Y339" s="30" t="n">
        <f aca="false">IF(W339="",0,IF(AND(AB338&lt;&gt;0,OR(ABS(W339)&gt;Inputs!$B$7,X339&gt;=Inputs!$B$8,ABS(W339)&lt;Inputs!$B$6)),1,0))</f>
        <v>0</v>
      </c>
      <c r="Z339" s="30" t="n">
        <f aca="false">IF(Y339=1,0,AB338)</f>
        <v>0</v>
      </c>
      <c r="AA339" s="30" t="n">
        <f aca="false">IF(W339="",0,IF(AND(Z339=0,ABS(W339)&gt;Inputs!$B$5,ABS(W339)&lt;=Inputs!$B$7),1,0))</f>
        <v>0</v>
      </c>
      <c r="AB339" s="30" t="n">
        <f aca="false">IF(W339="",0,IF(AA339=1,-SIGN(W339),Z339))</f>
        <v>0</v>
      </c>
      <c r="AC339" s="30" t="n">
        <f aca="false">IF(W339="",0,IF(AA339=1,0,IF(Y339=1,0,X339)))</f>
        <v>0</v>
      </c>
      <c r="AD339" s="30" t="n">
        <f aca="false">IF(AB339=0,0,IF(AB338=AB339,AD338,T339))</f>
        <v>0</v>
      </c>
      <c r="AE339" s="30" t="n">
        <f aca="false">AB339-AB338</f>
        <v>0</v>
      </c>
      <c r="AF339" s="30" t="n">
        <f aca="false">-AD339*AB339</f>
        <v>-0</v>
      </c>
      <c r="AG339" s="30" t="n">
        <f aca="false">AF339-AF338</f>
        <v>0</v>
      </c>
      <c r="AH339" s="30" t="n">
        <f aca="false">MAX(AE339,0)*(Inputs!$B$17+Inputs!$B$18+Inputs!$B$19)+MAX(-AE339,0)*(O339+Inputs!$B$18+Inputs!$B$19)+IF(AND(K339=1,AB339&lt;&gt;0),(Inputs!$B$17+Inputs!$B$18+Inputs!$B$19)+(O339+Inputs!$B$18+Inputs!$B$19),0)+MAX(AG339,0)*(Inputs!$B$20+Inputs!$B$22+Inputs!$B$23)+MAX(-AG339,0)*(Inputs!$B$21+Inputs!$B$22+Inputs!$B$23)</f>
        <v>0</v>
      </c>
      <c r="AI339" s="30" t="n">
        <f aca="false">AB338*(M339-AD338*J339)+AB338*AD338*N339/Inputs!$B$16-AH339</f>
        <v>0</v>
      </c>
      <c r="AJ339" s="30" t="n">
        <f aca="false">MAX(AE339,0)*(Inputs!$B$17+Inputs!$B$24+Inputs!$B$25)+MAX(-AE339,0)*(O339+Inputs!$B$24+Inputs!$B$25)+IF(AND(K339=1,AB339&lt;&gt;0),(Inputs!$B$17+Inputs!$B$24+Inputs!$B$25)+(O339+Inputs!$B$24+Inputs!$B$25),0)+MAX(AG339,0)*(Inputs!$B$20+Inputs!$B$26+Inputs!$B$27)+MAX(-AG339,0)*(Inputs!$B$21+Inputs!$B$26+Inputs!$B$27)</f>
        <v>0</v>
      </c>
      <c r="AK339" s="30" t="n">
        <f aca="false">AB338*(M339-AD338*J339)+AB338*AD338*(N339+Inputs!$B$14)/Inputs!$B$16-AJ339</f>
        <v>0</v>
      </c>
      <c r="AL339" s="30" t="n">
        <f aca="false">IF(AP338&lt;&gt;0,AQ338+1,0)</f>
        <v>0</v>
      </c>
      <c r="AM339" s="30" t="n">
        <f aca="false">IF(W339="",0,IF(AND(AP338&lt;&gt;0,OR(ABS(W339)&gt;Inputs!$B$7,AL339&gt;=Inputs!$B$8,ABS(W339)&lt;Inputs!$B$6)),1,0))</f>
        <v>0</v>
      </c>
      <c r="AN339" s="30" t="n">
        <f aca="false">IF(AM339=1,0,AP338)</f>
        <v>0</v>
      </c>
      <c r="AO339" s="30" t="n">
        <f aca="false">IF(W339="",0,IF(AND(AN339=0,ABS(W339)&gt;Inputs!$B$5,ABS(W339)&lt;=Inputs!$B$7,W339&gt;0),1,0))</f>
        <v>0</v>
      </c>
      <c r="AP339" s="30" t="n">
        <f aca="false">IF(W339="",0,IF(AO339=1,-SIGN(W339),AN339))</f>
        <v>0</v>
      </c>
      <c r="AQ339" s="30" t="n">
        <f aca="false">IF(W339="",0,IF(AO339=1,0,IF(AM339=1,0,AL339)))</f>
        <v>0</v>
      </c>
      <c r="AR339" s="30" t="n">
        <f aca="false">IF(AP339=0,0,IF(AP338=AP339,AR338,T339))</f>
        <v>0</v>
      </c>
      <c r="AS339" s="30" t="n">
        <f aca="false">AP339-AP338</f>
        <v>0</v>
      </c>
      <c r="AT339" s="30" t="n">
        <f aca="false">-AR339*AP339</f>
        <v>-0</v>
      </c>
      <c r="AU339" s="30" t="n">
        <f aca="false">AT339-AT338</f>
        <v>0</v>
      </c>
      <c r="AV339" s="30" t="n">
        <f aca="false">MAX(AS339,0)*(Inputs!$B$17+Inputs!$B$18+Inputs!$B$19)+MAX(-AS339,0)*(O339+Inputs!$B$18+Inputs!$B$19)+IF(AND(K339=1,AP339&lt;&gt;0),(Inputs!$B$17+Inputs!$B$18+Inputs!$B$19)+(O339+Inputs!$B$18+Inputs!$B$19),0)+MAX(AU339,0)*(Inputs!$B$20+Inputs!$B$22+Inputs!$B$23)+MAX(-AU339,0)*(Inputs!$B$21+Inputs!$B$22+Inputs!$B$23)</f>
        <v>0</v>
      </c>
      <c r="AW339" s="30" t="n">
        <f aca="false">AP338*(M339-AR338*J339)+AP338*AR338*N339/Inputs!$B$16-AV339</f>
        <v>0</v>
      </c>
      <c r="AX339" s="30" t="n">
        <f aca="false">AW339-IF(AP338&lt;&gt;0,0.75*AR338*(Inputs!$B$13-N339)/Inputs!$B$16,0)</f>
        <v>0</v>
      </c>
      <c r="AY339" s="30" t="n">
        <f aca="false">MAX(AS339,0)*(Inputs!$B$17+Inputs!$B$18+Inputs!$B$19)+MAX(-AS339,0)*(O339+Inputs!$B$18+Inputs!$B$19)+IF(AND(K339=1,AP339&lt;&gt;0),(Inputs!$B$17+Inputs!$B$18+Inputs!$B$19)+(O339+Inputs!$B$18+Inputs!$B$19),0)</f>
        <v>0</v>
      </c>
      <c r="AZ339" s="30" t="n">
        <f aca="false">AP338*M339-AY339</f>
        <v>-0</v>
      </c>
      <c r="BA339" s="32" t="n">
        <f aca="false">BA338+AI339</f>
        <v>0.00164515276832129</v>
      </c>
      <c r="BB339" s="30" t="n">
        <f aca="false">MAX(BB338,BA339)</f>
        <v>0.00284866043860449</v>
      </c>
      <c r="BC339" s="32" t="n">
        <f aca="false">BA339-BB339</f>
        <v>-0.0012035076702832</v>
      </c>
      <c r="BD339" s="30" t="n">
        <f aca="false">A340-A339</f>
        <v>1</v>
      </c>
    </row>
    <row r="340" customFormat="false" ht="15" hidden="false" customHeight="false" outlineLevel="0" collapsed="false">
      <c r="A340" s="28" t="n">
        <v>45540</v>
      </c>
      <c r="B340" s="0" t="n">
        <v>25234</v>
      </c>
      <c r="C340" s="0" t="n">
        <v>280.45</v>
      </c>
      <c r="D340" s="29" t="n">
        <f aca="false">LN(B340)</f>
        <v>10.1359475704877</v>
      </c>
      <c r="E340" s="29" t="n">
        <f aca="false">LN(C340)</f>
        <v>5.63639545595435</v>
      </c>
      <c r="F340" s="0" t="n">
        <v>335</v>
      </c>
      <c r="G340" s="0" t="n">
        <v>21</v>
      </c>
      <c r="H340" s="29" t="n">
        <f aca="false">D340-E340</f>
        <v>4.49955211453334</v>
      </c>
      <c r="I340" s="29" t="n">
        <f aca="false">D340-D339</f>
        <v>-0.000633864215819457</v>
      </c>
      <c r="J340" s="29" t="n">
        <f aca="false">E340-E339</f>
        <v>-0.00320398992494209</v>
      </c>
      <c r="K340" s="0" t="n">
        <v>0</v>
      </c>
      <c r="L340" s="0" t="n">
        <v>0</v>
      </c>
      <c r="M340" s="29" t="n">
        <f aca="false">IF(L340=1,J340-Carry!$B$9/Inputs!$B$16,I340)</f>
        <v>-0.000633864215819457</v>
      </c>
      <c r="N340" s="0" t="n">
        <v>0.065</v>
      </c>
      <c r="O340" s="0" t="n">
        <v>0.000125</v>
      </c>
      <c r="P340" s="29" t="n">
        <f aca="false">D340-('2 Hedge ratio'!$B$6+'2 Hedge ratio'!$B$5*E340)</f>
        <v>0.0104747862430994</v>
      </c>
      <c r="Q340" s="29" t="n">
        <f aca="false">D340-('5 Re-specification'!$B$7+'5 Re-specification'!$B$5*E340+'5 Re-specification'!$B$6*F340)</f>
        <v>0.000483511696574013</v>
      </c>
      <c r="R340" s="30" t="n">
        <f aca="false">MIN(F340,Inputs!$B$9)</f>
        <v>250</v>
      </c>
      <c r="S340" s="29" t="n">
        <f aca="true">IF(AND(F340&gt;=1,R340&gt;=Inputs!$B$10),INDEX(LINEST(OFFSET(D340,-R340,0,R340,1),OFFSET(E340,-R340,0,R340,2)),1,1),"")</f>
        <v>-8.22256312781254E-005</v>
      </c>
      <c r="T340" s="29" t="n">
        <f aca="true">IF(AND(F340&gt;=1,R340&gt;=Inputs!$B$10),INDEX(LINEST(OFFSET(D340,-R340,0,R340,1),OFFSET(E340,-R340,0,R340,2)),1,2),"")</f>
        <v>1.02910212756682</v>
      </c>
      <c r="U340" s="29" t="n">
        <f aca="true">IF(AND(F340&gt;=1,R340&gt;=Inputs!$B$10),INDEX(LINEST(OFFSET(D340,-R340,0,R340,1),OFFSET(E340,-R340,0,R340,2)),1,3),"")</f>
        <v>4.36250565971695</v>
      </c>
      <c r="V340" s="29" t="n">
        <f aca="true">IF(AND(F340&gt;=1,R340&gt;=Inputs!$B$10),SQRT(SUMPRODUCT((OFFSET(D340,-R340,0,R340,1)-U340-T340*OFFSET(E340,-R340,0,R340,1)-S340*OFFSET(F340,-R340,0,R340,1))^2)/(R340-3)),"")</f>
        <v>0.00351092355554742</v>
      </c>
      <c r="W340" s="31" t="n">
        <f aca="false">IF(AND(F340&gt;=1,R340&gt;=Inputs!$B$10),(D340-U340-T340*E340-S340*F340)/V340,"")</f>
        <v>0.159770416370885</v>
      </c>
      <c r="X340" s="30" t="n">
        <f aca="false">IF(AB339&lt;&gt;0,AC339+1,0)</f>
        <v>0</v>
      </c>
      <c r="Y340" s="30" t="n">
        <f aca="false">IF(W340="",0,IF(AND(AB339&lt;&gt;0,OR(ABS(W340)&gt;Inputs!$B$7,X340&gt;=Inputs!$B$8,ABS(W340)&lt;Inputs!$B$6)),1,0))</f>
        <v>0</v>
      </c>
      <c r="Z340" s="30" t="n">
        <f aca="false">IF(Y340=1,0,AB339)</f>
        <v>0</v>
      </c>
      <c r="AA340" s="30" t="n">
        <f aca="false">IF(W340="",0,IF(AND(Z340=0,ABS(W340)&gt;Inputs!$B$5,ABS(W340)&lt;=Inputs!$B$7),1,0))</f>
        <v>0</v>
      </c>
      <c r="AB340" s="30" t="n">
        <f aca="false">IF(W340="",0,IF(AA340=1,-SIGN(W340),Z340))</f>
        <v>0</v>
      </c>
      <c r="AC340" s="30" t="n">
        <f aca="false">IF(W340="",0,IF(AA340=1,0,IF(Y340=1,0,X340)))</f>
        <v>0</v>
      </c>
      <c r="AD340" s="30" t="n">
        <f aca="false">IF(AB340=0,0,IF(AB339=AB340,AD339,T340))</f>
        <v>0</v>
      </c>
      <c r="AE340" s="30" t="n">
        <f aca="false">AB340-AB339</f>
        <v>0</v>
      </c>
      <c r="AF340" s="30" t="n">
        <f aca="false">-AD340*AB340</f>
        <v>-0</v>
      </c>
      <c r="AG340" s="30" t="n">
        <f aca="false">AF340-AF339</f>
        <v>0</v>
      </c>
      <c r="AH340" s="30" t="n">
        <f aca="false">MAX(AE340,0)*(Inputs!$B$17+Inputs!$B$18+Inputs!$B$19)+MAX(-AE340,0)*(O340+Inputs!$B$18+Inputs!$B$19)+IF(AND(K340=1,AB340&lt;&gt;0),(Inputs!$B$17+Inputs!$B$18+Inputs!$B$19)+(O340+Inputs!$B$18+Inputs!$B$19),0)+MAX(AG340,0)*(Inputs!$B$20+Inputs!$B$22+Inputs!$B$23)+MAX(-AG340,0)*(Inputs!$B$21+Inputs!$B$22+Inputs!$B$23)</f>
        <v>0</v>
      </c>
      <c r="AI340" s="30" t="n">
        <f aca="false">AB339*(M340-AD339*J340)+AB339*AD339*N340/Inputs!$B$16-AH340</f>
        <v>0</v>
      </c>
      <c r="AJ340" s="30" t="n">
        <f aca="false">MAX(AE340,0)*(Inputs!$B$17+Inputs!$B$24+Inputs!$B$25)+MAX(-AE340,0)*(O340+Inputs!$B$24+Inputs!$B$25)+IF(AND(K340=1,AB340&lt;&gt;0),(Inputs!$B$17+Inputs!$B$24+Inputs!$B$25)+(O340+Inputs!$B$24+Inputs!$B$25),0)+MAX(AG340,0)*(Inputs!$B$20+Inputs!$B$26+Inputs!$B$27)+MAX(-AG340,0)*(Inputs!$B$21+Inputs!$B$26+Inputs!$B$27)</f>
        <v>0</v>
      </c>
      <c r="AK340" s="30" t="n">
        <f aca="false">AB339*(M340-AD339*J340)+AB339*AD339*(N340+Inputs!$B$14)/Inputs!$B$16-AJ340</f>
        <v>0</v>
      </c>
      <c r="AL340" s="30" t="n">
        <f aca="false">IF(AP339&lt;&gt;0,AQ339+1,0)</f>
        <v>0</v>
      </c>
      <c r="AM340" s="30" t="n">
        <f aca="false">IF(W340="",0,IF(AND(AP339&lt;&gt;0,OR(ABS(W340)&gt;Inputs!$B$7,AL340&gt;=Inputs!$B$8,ABS(W340)&lt;Inputs!$B$6)),1,0))</f>
        <v>0</v>
      </c>
      <c r="AN340" s="30" t="n">
        <f aca="false">IF(AM340=1,0,AP339)</f>
        <v>0</v>
      </c>
      <c r="AO340" s="30" t="n">
        <f aca="false">IF(W340="",0,IF(AND(AN340=0,ABS(W340)&gt;Inputs!$B$5,ABS(W340)&lt;=Inputs!$B$7,W340&gt;0),1,0))</f>
        <v>0</v>
      </c>
      <c r="AP340" s="30" t="n">
        <f aca="false">IF(W340="",0,IF(AO340=1,-SIGN(W340),AN340))</f>
        <v>0</v>
      </c>
      <c r="AQ340" s="30" t="n">
        <f aca="false">IF(W340="",0,IF(AO340=1,0,IF(AM340=1,0,AL340)))</f>
        <v>0</v>
      </c>
      <c r="AR340" s="30" t="n">
        <f aca="false">IF(AP340=0,0,IF(AP339=AP340,AR339,T340))</f>
        <v>0</v>
      </c>
      <c r="AS340" s="30" t="n">
        <f aca="false">AP340-AP339</f>
        <v>0</v>
      </c>
      <c r="AT340" s="30" t="n">
        <f aca="false">-AR340*AP340</f>
        <v>-0</v>
      </c>
      <c r="AU340" s="30" t="n">
        <f aca="false">AT340-AT339</f>
        <v>0</v>
      </c>
      <c r="AV340" s="30" t="n">
        <f aca="false">MAX(AS340,0)*(Inputs!$B$17+Inputs!$B$18+Inputs!$B$19)+MAX(-AS340,0)*(O340+Inputs!$B$18+Inputs!$B$19)+IF(AND(K340=1,AP340&lt;&gt;0),(Inputs!$B$17+Inputs!$B$18+Inputs!$B$19)+(O340+Inputs!$B$18+Inputs!$B$19),0)+MAX(AU340,0)*(Inputs!$B$20+Inputs!$B$22+Inputs!$B$23)+MAX(-AU340,0)*(Inputs!$B$21+Inputs!$B$22+Inputs!$B$23)</f>
        <v>0</v>
      </c>
      <c r="AW340" s="30" t="n">
        <f aca="false">AP339*(M340-AR339*J340)+AP339*AR339*N340/Inputs!$B$16-AV340</f>
        <v>0</v>
      </c>
      <c r="AX340" s="30" t="n">
        <f aca="false">AW340-IF(AP339&lt;&gt;0,0.75*AR339*(Inputs!$B$13-N340)/Inputs!$B$16,0)</f>
        <v>0</v>
      </c>
      <c r="AY340" s="30" t="n">
        <f aca="false">MAX(AS340,0)*(Inputs!$B$17+Inputs!$B$18+Inputs!$B$19)+MAX(-AS340,0)*(O340+Inputs!$B$18+Inputs!$B$19)+IF(AND(K340=1,AP340&lt;&gt;0),(Inputs!$B$17+Inputs!$B$18+Inputs!$B$19)+(O340+Inputs!$B$18+Inputs!$B$19),0)</f>
        <v>0</v>
      </c>
      <c r="AZ340" s="30" t="n">
        <f aca="false">AP339*M340-AY340</f>
        <v>-0</v>
      </c>
      <c r="BA340" s="32" t="n">
        <f aca="false">BA339+AI340</f>
        <v>0.00164515276832129</v>
      </c>
      <c r="BB340" s="30" t="n">
        <f aca="false">MAX(BB339,BA340)</f>
        <v>0.00284866043860449</v>
      </c>
      <c r="BC340" s="32" t="n">
        <f aca="false">BA340-BB340</f>
        <v>-0.0012035076702832</v>
      </c>
      <c r="BD340" s="30" t="n">
        <f aca="false">A341-A340</f>
        <v>1</v>
      </c>
    </row>
    <row r="341" customFormat="false" ht="15" hidden="false" customHeight="false" outlineLevel="0" collapsed="false">
      <c r="A341" s="28" t="n">
        <v>45541</v>
      </c>
      <c r="B341" s="0" t="n">
        <v>24902</v>
      </c>
      <c r="C341" s="0" t="n">
        <v>278.05</v>
      </c>
      <c r="D341" s="29" t="n">
        <f aca="false">LN(B341)</f>
        <v>10.1227034005124</v>
      </c>
      <c r="E341" s="29" t="n">
        <f aca="false">LN(C341)</f>
        <v>5.62780095363357</v>
      </c>
      <c r="F341" s="0" t="n">
        <v>336</v>
      </c>
      <c r="G341" s="0" t="n">
        <v>20</v>
      </c>
      <c r="H341" s="29" t="n">
        <f aca="false">D341-E341</f>
        <v>4.49490244687878</v>
      </c>
      <c r="I341" s="29" t="n">
        <f aca="false">D341-D340</f>
        <v>-0.0132441699753301</v>
      </c>
      <c r="J341" s="29" t="n">
        <f aca="false">E341-E340</f>
        <v>-0.00859450232077297</v>
      </c>
      <c r="K341" s="0" t="n">
        <v>0</v>
      </c>
      <c r="L341" s="0" t="n">
        <v>0</v>
      </c>
      <c r="M341" s="29" t="n">
        <f aca="false">IF(L341=1,J341-Carry!$B$9/Inputs!$B$16,I341)</f>
        <v>-0.0132441699753301</v>
      </c>
      <c r="N341" s="0" t="n">
        <v>0.065</v>
      </c>
      <c r="O341" s="0" t="n">
        <v>0.000125</v>
      </c>
      <c r="P341" s="29" t="n">
        <f aca="false">D341-('2 Hedge ratio'!$B$6+'2 Hedge ratio'!$B$5*E341)</f>
        <v>0.00510426982623713</v>
      </c>
      <c r="Q341" s="29" t="n">
        <f aca="false">D341-('5 Re-specification'!$B$7+'5 Re-specification'!$B$5*E341+'5 Re-specification'!$B$6*F341)</f>
        <v>-0.00414727227935074</v>
      </c>
      <c r="R341" s="30" t="n">
        <f aca="false">MIN(F341,Inputs!$B$9)</f>
        <v>250</v>
      </c>
      <c r="S341" s="29" t="n">
        <f aca="true">IF(AND(F341&gt;=1,R341&gt;=Inputs!$B$10),INDEX(LINEST(OFFSET(D341,-R341,0,R341,1),OFFSET(E341,-R341,0,R341,2)),1,1),"")</f>
        <v>-8.34739669998788E-005</v>
      </c>
      <c r="T341" s="29" t="n">
        <f aca="true">IF(AND(F341&gt;=1,R341&gt;=Inputs!$B$10),INDEX(LINEST(OFFSET(D341,-R341,0,R341,1),OFFSET(E341,-R341,0,R341,2)),1,2),"")</f>
        <v>1.0295589077454</v>
      </c>
      <c r="U341" s="29" t="n">
        <f aca="true">IF(AND(F341&gt;=1,R341&gt;=Inputs!$B$10),INDEX(LINEST(OFFSET(D341,-R341,0,R341,1),OFFSET(E341,-R341,0,R341,2)),1,3),"")</f>
        <v>4.36029453071788</v>
      </c>
      <c r="V341" s="29" t="n">
        <f aca="true">IF(AND(F341&gt;=1,R341&gt;=Inputs!$B$10),SQRT(SUMPRODUCT((OFFSET(D341,-R341,0,R341,1)-U341-T341*OFFSET(E341,-R341,0,R341,1)-S341*OFFSET(F341,-R341,0,R341,1))^2)/(R341-3)),"")</f>
        <v>0.00347029012624154</v>
      </c>
      <c r="W341" s="31" t="n">
        <f aca="false">IF(AND(F341&gt;=1,R341&gt;=Inputs!$B$10),(D341-U341-T341*E341-S341*F341)/V341,"")</f>
        <v>-1.06517898809553</v>
      </c>
      <c r="X341" s="30" t="n">
        <f aca="false">IF(AB340&lt;&gt;0,AC340+1,0)</f>
        <v>0</v>
      </c>
      <c r="Y341" s="30" t="n">
        <f aca="false">IF(W341="",0,IF(AND(AB340&lt;&gt;0,OR(ABS(W341)&gt;Inputs!$B$7,X341&gt;=Inputs!$B$8,ABS(W341)&lt;Inputs!$B$6)),1,0))</f>
        <v>0</v>
      </c>
      <c r="Z341" s="30" t="n">
        <f aca="false">IF(Y341=1,0,AB340)</f>
        <v>0</v>
      </c>
      <c r="AA341" s="30" t="n">
        <f aca="false">IF(W341="",0,IF(AND(Z341=0,ABS(W341)&gt;Inputs!$B$5,ABS(W341)&lt;=Inputs!$B$7),1,0))</f>
        <v>0</v>
      </c>
      <c r="AB341" s="30" t="n">
        <f aca="false">IF(W341="",0,IF(AA341=1,-SIGN(W341),Z341))</f>
        <v>0</v>
      </c>
      <c r="AC341" s="30" t="n">
        <f aca="false">IF(W341="",0,IF(AA341=1,0,IF(Y341=1,0,X341)))</f>
        <v>0</v>
      </c>
      <c r="AD341" s="30" t="n">
        <f aca="false">IF(AB341=0,0,IF(AB340=AB341,AD340,T341))</f>
        <v>0</v>
      </c>
      <c r="AE341" s="30" t="n">
        <f aca="false">AB341-AB340</f>
        <v>0</v>
      </c>
      <c r="AF341" s="30" t="n">
        <f aca="false">-AD341*AB341</f>
        <v>-0</v>
      </c>
      <c r="AG341" s="30" t="n">
        <f aca="false">AF341-AF340</f>
        <v>0</v>
      </c>
      <c r="AH341" s="30" t="n">
        <f aca="false">MAX(AE341,0)*(Inputs!$B$17+Inputs!$B$18+Inputs!$B$19)+MAX(-AE341,0)*(O341+Inputs!$B$18+Inputs!$B$19)+IF(AND(K341=1,AB341&lt;&gt;0),(Inputs!$B$17+Inputs!$B$18+Inputs!$B$19)+(O341+Inputs!$B$18+Inputs!$B$19),0)+MAX(AG341,0)*(Inputs!$B$20+Inputs!$B$22+Inputs!$B$23)+MAX(-AG341,0)*(Inputs!$B$21+Inputs!$B$22+Inputs!$B$23)</f>
        <v>0</v>
      </c>
      <c r="AI341" s="30" t="n">
        <f aca="false">AB340*(M341-AD340*J341)+AB340*AD340*N341/Inputs!$B$16-AH341</f>
        <v>0</v>
      </c>
      <c r="AJ341" s="30" t="n">
        <f aca="false">MAX(AE341,0)*(Inputs!$B$17+Inputs!$B$24+Inputs!$B$25)+MAX(-AE341,0)*(O341+Inputs!$B$24+Inputs!$B$25)+IF(AND(K341=1,AB341&lt;&gt;0),(Inputs!$B$17+Inputs!$B$24+Inputs!$B$25)+(O341+Inputs!$B$24+Inputs!$B$25),0)+MAX(AG341,0)*(Inputs!$B$20+Inputs!$B$26+Inputs!$B$27)+MAX(-AG341,0)*(Inputs!$B$21+Inputs!$B$26+Inputs!$B$27)</f>
        <v>0</v>
      </c>
      <c r="AK341" s="30" t="n">
        <f aca="false">AB340*(M341-AD340*J341)+AB340*AD340*(N341+Inputs!$B$14)/Inputs!$B$16-AJ341</f>
        <v>0</v>
      </c>
      <c r="AL341" s="30" t="n">
        <f aca="false">IF(AP340&lt;&gt;0,AQ340+1,0)</f>
        <v>0</v>
      </c>
      <c r="AM341" s="30" t="n">
        <f aca="false">IF(W341="",0,IF(AND(AP340&lt;&gt;0,OR(ABS(W341)&gt;Inputs!$B$7,AL341&gt;=Inputs!$B$8,ABS(W341)&lt;Inputs!$B$6)),1,0))</f>
        <v>0</v>
      </c>
      <c r="AN341" s="30" t="n">
        <f aca="false">IF(AM341=1,0,AP340)</f>
        <v>0</v>
      </c>
      <c r="AO341" s="30" t="n">
        <f aca="false">IF(W341="",0,IF(AND(AN341=0,ABS(W341)&gt;Inputs!$B$5,ABS(W341)&lt;=Inputs!$B$7,W341&gt;0),1,0))</f>
        <v>0</v>
      </c>
      <c r="AP341" s="30" t="n">
        <f aca="false">IF(W341="",0,IF(AO341=1,-SIGN(W341),AN341))</f>
        <v>0</v>
      </c>
      <c r="AQ341" s="30" t="n">
        <f aca="false">IF(W341="",0,IF(AO341=1,0,IF(AM341=1,0,AL341)))</f>
        <v>0</v>
      </c>
      <c r="AR341" s="30" t="n">
        <f aca="false">IF(AP341=0,0,IF(AP340=AP341,AR340,T341))</f>
        <v>0</v>
      </c>
      <c r="AS341" s="30" t="n">
        <f aca="false">AP341-AP340</f>
        <v>0</v>
      </c>
      <c r="AT341" s="30" t="n">
        <f aca="false">-AR341*AP341</f>
        <v>-0</v>
      </c>
      <c r="AU341" s="30" t="n">
        <f aca="false">AT341-AT340</f>
        <v>0</v>
      </c>
      <c r="AV341" s="30" t="n">
        <f aca="false">MAX(AS341,0)*(Inputs!$B$17+Inputs!$B$18+Inputs!$B$19)+MAX(-AS341,0)*(O341+Inputs!$B$18+Inputs!$B$19)+IF(AND(K341=1,AP341&lt;&gt;0),(Inputs!$B$17+Inputs!$B$18+Inputs!$B$19)+(O341+Inputs!$B$18+Inputs!$B$19),0)+MAX(AU341,0)*(Inputs!$B$20+Inputs!$B$22+Inputs!$B$23)+MAX(-AU341,0)*(Inputs!$B$21+Inputs!$B$22+Inputs!$B$23)</f>
        <v>0</v>
      </c>
      <c r="AW341" s="30" t="n">
        <f aca="false">AP340*(M341-AR340*J341)+AP340*AR340*N341/Inputs!$B$16-AV341</f>
        <v>0</v>
      </c>
      <c r="AX341" s="30" t="n">
        <f aca="false">AW341-IF(AP340&lt;&gt;0,0.75*AR340*(Inputs!$B$13-N341)/Inputs!$B$16,0)</f>
        <v>0</v>
      </c>
      <c r="AY341" s="30" t="n">
        <f aca="false">MAX(AS341,0)*(Inputs!$B$17+Inputs!$B$18+Inputs!$B$19)+MAX(-AS341,0)*(O341+Inputs!$B$18+Inputs!$B$19)+IF(AND(K341=1,AP341&lt;&gt;0),(Inputs!$B$17+Inputs!$B$18+Inputs!$B$19)+(O341+Inputs!$B$18+Inputs!$B$19),0)</f>
        <v>0</v>
      </c>
      <c r="AZ341" s="30" t="n">
        <f aca="false">AP340*M341-AY341</f>
        <v>-0</v>
      </c>
      <c r="BA341" s="32" t="n">
        <f aca="false">BA340+AI341</f>
        <v>0.00164515276832129</v>
      </c>
      <c r="BB341" s="30" t="n">
        <f aca="false">MAX(BB340,BA341)</f>
        <v>0.00284866043860449</v>
      </c>
      <c r="BC341" s="32" t="n">
        <f aca="false">BA341-BB341</f>
        <v>-0.0012035076702832</v>
      </c>
      <c r="BD341" s="30" t="n">
        <f aca="false">A342-A341</f>
        <v>3</v>
      </c>
    </row>
    <row r="342" customFormat="false" ht="15" hidden="false" customHeight="false" outlineLevel="0" collapsed="false">
      <c r="A342" s="28" t="n">
        <v>45544</v>
      </c>
      <c r="B342" s="0" t="n">
        <v>24993.3</v>
      </c>
      <c r="C342" s="0" t="n">
        <v>277.95</v>
      </c>
      <c r="D342" s="29" t="n">
        <f aca="false">LN(B342)</f>
        <v>10.1263630679319</v>
      </c>
      <c r="E342" s="29" t="n">
        <f aca="false">LN(C342)</f>
        <v>5.62744124139948</v>
      </c>
      <c r="F342" s="0" t="n">
        <v>337</v>
      </c>
      <c r="G342" s="0" t="n">
        <v>17</v>
      </c>
      <c r="H342" s="29" t="n">
        <f aca="false">D342-E342</f>
        <v>4.49892182653244</v>
      </c>
      <c r="I342" s="29" t="n">
        <f aca="false">D342-D341</f>
        <v>0.00365966741956392</v>
      </c>
      <c r="J342" s="29" t="n">
        <f aca="false">E342-E341</f>
        <v>-0.000359712234094367</v>
      </c>
      <c r="K342" s="0" t="n">
        <v>0</v>
      </c>
      <c r="L342" s="0" t="n">
        <v>0</v>
      </c>
      <c r="M342" s="29" t="n">
        <f aca="false">IF(L342=1,J342-Carry!$B$9/Inputs!$B$16,I342)</f>
        <v>0.00365966741956392</v>
      </c>
      <c r="N342" s="0" t="n">
        <v>0.065</v>
      </c>
      <c r="O342" s="0" t="n">
        <v>0.000125</v>
      </c>
      <c r="P342" s="29" t="n">
        <f aca="false">D342-('2 Hedge ratio'!$B$6+'2 Hedge ratio'!$B$5*E342)</f>
        <v>0.0090934792490831</v>
      </c>
      <c r="Q342" s="29" t="n">
        <f aca="false">D342-('5 Re-specification'!$B$7+'5 Re-specification'!$B$5*E342+'5 Re-specification'!$B$6*F342)</f>
        <v>-8.40534155273076E-005</v>
      </c>
      <c r="R342" s="30" t="n">
        <f aca="false">MIN(F342,Inputs!$B$9)</f>
        <v>250</v>
      </c>
      <c r="S342" s="29" t="n">
        <f aca="true">IF(AND(F342&gt;=1,R342&gt;=Inputs!$B$10),INDEX(LINEST(OFFSET(D342,-R342,0,R342,1),OFFSET(E342,-R342,0,R342,2)),1,1),"")</f>
        <v>-8.40296382442992E-005</v>
      </c>
      <c r="T342" s="29" t="n">
        <f aca="true">IF(AND(F342&gt;=1,R342&gt;=Inputs!$B$10),INDEX(LINEST(OFFSET(D342,-R342,0,R342,1),OFFSET(E342,-R342,0,R342,2)),1,2),"")</f>
        <v>1.02970611764853</v>
      </c>
      <c r="U342" s="29" t="n">
        <f aca="true">IF(AND(F342&gt;=1,R342&gt;=Inputs!$B$10),INDEX(LINEST(OFFSET(D342,-R342,0,R342,1),OFFSET(E342,-R342,0,R342,2)),1,3),"")</f>
        <v>4.35959008485818</v>
      </c>
      <c r="V342" s="29" t="n">
        <f aca="true">IF(AND(F342&gt;=1,R342&gt;=Inputs!$B$10),SQRT(SUMPRODUCT((OFFSET(D342,-R342,0,R342,1)-U342-T342*OFFSET(E342,-R342,0,R342,1)-S342*OFFSET(F342,-R342,0,R342,1))^2)/(R342-3)),"")</f>
        <v>0.00347800115977376</v>
      </c>
      <c r="W342" s="31" t="n">
        <f aca="false">IF(AND(F342&gt;=1,R342&gt;=Inputs!$B$10),(D342-U342-T342*E342-S342*F342)/V342,"")</f>
        <v>0.138096039459267</v>
      </c>
      <c r="X342" s="30" t="n">
        <f aca="false">IF(AB341&lt;&gt;0,AC341+1,0)</f>
        <v>0</v>
      </c>
      <c r="Y342" s="30" t="n">
        <f aca="false">IF(W342="",0,IF(AND(AB341&lt;&gt;0,OR(ABS(W342)&gt;Inputs!$B$7,X342&gt;=Inputs!$B$8,ABS(W342)&lt;Inputs!$B$6)),1,0))</f>
        <v>0</v>
      </c>
      <c r="Z342" s="30" t="n">
        <f aca="false">IF(Y342=1,0,AB341)</f>
        <v>0</v>
      </c>
      <c r="AA342" s="30" t="n">
        <f aca="false">IF(W342="",0,IF(AND(Z342=0,ABS(W342)&gt;Inputs!$B$5,ABS(W342)&lt;=Inputs!$B$7),1,0))</f>
        <v>0</v>
      </c>
      <c r="AB342" s="30" t="n">
        <f aca="false">IF(W342="",0,IF(AA342=1,-SIGN(W342),Z342))</f>
        <v>0</v>
      </c>
      <c r="AC342" s="30" t="n">
        <f aca="false">IF(W342="",0,IF(AA342=1,0,IF(Y342=1,0,X342)))</f>
        <v>0</v>
      </c>
      <c r="AD342" s="30" t="n">
        <f aca="false">IF(AB342=0,0,IF(AB341=AB342,AD341,T342))</f>
        <v>0</v>
      </c>
      <c r="AE342" s="30" t="n">
        <f aca="false">AB342-AB341</f>
        <v>0</v>
      </c>
      <c r="AF342" s="30" t="n">
        <f aca="false">-AD342*AB342</f>
        <v>-0</v>
      </c>
      <c r="AG342" s="30" t="n">
        <f aca="false">AF342-AF341</f>
        <v>0</v>
      </c>
      <c r="AH342" s="30" t="n">
        <f aca="false">MAX(AE342,0)*(Inputs!$B$17+Inputs!$B$18+Inputs!$B$19)+MAX(-AE342,0)*(O342+Inputs!$B$18+Inputs!$B$19)+IF(AND(K342=1,AB342&lt;&gt;0),(Inputs!$B$17+Inputs!$B$18+Inputs!$B$19)+(O342+Inputs!$B$18+Inputs!$B$19),0)+MAX(AG342,0)*(Inputs!$B$20+Inputs!$B$22+Inputs!$B$23)+MAX(-AG342,0)*(Inputs!$B$21+Inputs!$B$22+Inputs!$B$23)</f>
        <v>0</v>
      </c>
      <c r="AI342" s="30" t="n">
        <f aca="false">AB341*(M342-AD341*J342)+AB341*AD341*N342/Inputs!$B$16-AH342</f>
        <v>0</v>
      </c>
      <c r="AJ342" s="30" t="n">
        <f aca="false">MAX(AE342,0)*(Inputs!$B$17+Inputs!$B$24+Inputs!$B$25)+MAX(-AE342,0)*(O342+Inputs!$B$24+Inputs!$B$25)+IF(AND(K342=1,AB342&lt;&gt;0),(Inputs!$B$17+Inputs!$B$24+Inputs!$B$25)+(O342+Inputs!$B$24+Inputs!$B$25),0)+MAX(AG342,0)*(Inputs!$B$20+Inputs!$B$26+Inputs!$B$27)+MAX(-AG342,0)*(Inputs!$B$21+Inputs!$B$26+Inputs!$B$27)</f>
        <v>0</v>
      </c>
      <c r="AK342" s="30" t="n">
        <f aca="false">AB341*(M342-AD341*J342)+AB341*AD341*(N342+Inputs!$B$14)/Inputs!$B$16-AJ342</f>
        <v>0</v>
      </c>
      <c r="AL342" s="30" t="n">
        <f aca="false">IF(AP341&lt;&gt;0,AQ341+1,0)</f>
        <v>0</v>
      </c>
      <c r="AM342" s="30" t="n">
        <f aca="false">IF(W342="",0,IF(AND(AP341&lt;&gt;0,OR(ABS(W342)&gt;Inputs!$B$7,AL342&gt;=Inputs!$B$8,ABS(W342)&lt;Inputs!$B$6)),1,0))</f>
        <v>0</v>
      </c>
      <c r="AN342" s="30" t="n">
        <f aca="false">IF(AM342=1,0,AP341)</f>
        <v>0</v>
      </c>
      <c r="AO342" s="30" t="n">
        <f aca="false">IF(W342="",0,IF(AND(AN342=0,ABS(W342)&gt;Inputs!$B$5,ABS(W342)&lt;=Inputs!$B$7,W342&gt;0),1,0))</f>
        <v>0</v>
      </c>
      <c r="AP342" s="30" t="n">
        <f aca="false">IF(W342="",0,IF(AO342=1,-SIGN(W342),AN342))</f>
        <v>0</v>
      </c>
      <c r="AQ342" s="30" t="n">
        <f aca="false">IF(W342="",0,IF(AO342=1,0,IF(AM342=1,0,AL342)))</f>
        <v>0</v>
      </c>
      <c r="AR342" s="30" t="n">
        <f aca="false">IF(AP342=0,0,IF(AP341=AP342,AR341,T342))</f>
        <v>0</v>
      </c>
      <c r="AS342" s="30" t="n">
        <f aca="false">AP342-AP341</f>
        <v>0</v>
      </c>
      <c r="AT342" s="30" t="n">
        <f aca="false">-AR342*AP342</f>
        <v>-0</v>
      </c>
      <c r="AU342" s="30" t="n">
        <f aca="false">AT342-AT341</f>
        <v>0</v>
      </c>
      <c r="AV342" s="30" t="n">
        <f aca="false">MAX(AS342,0)*(Inputs!$B$17+Inputs!$B$18+Inputs!$B$19)+MAX(-AS342,0)*(O342+Inputs!$B$18+Inputs!$B$19)+IF(AND(K342=1,AP342&lt;&gt;0),(Inputs!$B$17+Inputs!$B$18+Inputs!$B$19)+(O342+Inputs!$B$18+Inputs!$B$19),0)+MAX(AU342,0)*(Inputs!$B$20+Inputs!$B$22+Inputs!$B$23)+MAX(-AU342,0)*(Inputs!$B$21+Inputs!$B$22+Inputs!$B$23)</f>
        <v>0</v>
      </c>
      <c r="AW342" s="30" t="n">
        <f aca="false">AP341*(M342-AR341*J342)+AP341*AR341*N342/Inputs!$B$16-AV342</f>
        <v>0</v>
      </c>
      <c r="AX342" s="30" t="n">
        <f aca="false">AW342-IF(AP341&lt;&gt;0,0.75*AR341*(Inputs!$B$13-N342)/Inputs!$B$16,0)</f>
        <v>0</v>
      </c>
      <c r="AY342" s="30" t="n">
        <f aca="false">MAX(AS342,0)*(Inputs!$B$17+Inputs!$B$18+Inputs!$B$19)+MAX(-AS342,0)*(O342+Inputs!$B$18+Inputs!$B$19)+IF(AND(K342=1,AP342&lt;&gt;0),(Inputs!$B$17+Inputs!$B$18+Inputs!$B$19)+(O342+Inputs!$B$18+Inputs!$B$19),0)</f>
        <v>0</v>
      </c>
      <c r="AZ342" s="30" t="n">
        <f aca="false">AP341*M342-AY342</f>
        <v>0</v>
      </c>
      <c r="BA342" s="32" t="n">
        <f aca="false">BA341+AI342</f>
        <v>0.00164515276832129</v>
      </c>
      <c r="BB342" s="30" t="n">
        <f aca="false">MAX(BB341,BA342)</f>
        <v>0.00284866043860449</v>
      </c>
      <c r="BC342" s="32" t="n">
        <f aca="false">BA342-BB342</f>
        <v>-0.0012035076702832</v>
      </c>
      <c r="BD342" s="30" t="n">
        <f aca="false">A343-A342</f>
        <v>1</v>
      </c>
    </row>
    <row r="343" customFormat="false" ht="15" hidden="false" customHeight="false" outlineLevel="0" collapsed="false">
      <c r="A343" s="28" t="n">
        <v>45545</v>
      </c>
      <c r="B343" s="0" t="n">
        <v>25097</v>
      </c>
      <c r="C343" s="0" t="n">
        <v>279.32</v>
      </c>
      <c r="D343" s="29" t="n">
        <f aca="false">LN(B343)</f>
        <v>10.1305035960642</v>
      </c>
      <c r="E343" s="29" t="n">
        <f aca="false">LN(C343)</f>
        <v>5.63235807797784</v>
      </c>
      <c r="F343" s="0" t="n">
        <v>338</v>
      </c>
      <c r="G343" s="0" t="n">
        <v>16</v>
      </c>
      <c r="H343" s="29" t="n">
        <f aca="false">D343-E343</f>
        <v>4.49814551808638</v>
      </c>
      <c r="I343" s="29" t="n">
        <f aca="false">D343-D342</f>
        <v>0.00414052813229127</v>
      </c>
      <c r="J343" s="29" t="n">
        <f aca="false">E343-E342</f>
        <v>0.00491683657835651</v>
      </c>
      <c r="K343" s="0" t="n">
        <v>0</v>
      </c>
      <c r="L343" s="0" t="n">
        <v>0</v>
      </c>
      <c r="M343" s="29" t="n">
        <f aca="false">IF(L343=1,J343-Carry!$B$9/Inputs!$B$16,I343)</f>
        <v>0.00414052813229127</v>
      </c>
      <c r="N343" s="0" t="n">
        <v>0.065</v>
      </c>
      <c r="O343" s="0" t="n">
        <v>0.000125</v>
      </c>
      <c r="P343" s="29" t="n">
        <f aca="false">D343-('2 Hedge ratio'!$B$6+'2 Hedge ratio'!$B$5*E343)</f>
        <v>0.00872956182109874</v>
      </c>
      <c r="Q343" s="29" t="n">
        <f aca="false">D343-('5 Re-specification'!$B$7+'5 Re-specification'!$B$5*E343+'5 Re-specification'!$B$6*F343)</f>
        <v>-0.000800532070142523</v>
      </c>
      <c r="R343" s="30" t="n">
        <f aca="false">MIN(F343,Inputs!$B$9)</f>
        <v>250</v>
      </c>
      <c r="S343" s="29" t="n">
        <f aca="true">IF(AND(F343&gt;=1,R343&gt;=Inputs!$B$10),INDEX(LINEST(OFFSET(D343,-R343,0,R343,1),OFFSET(E343,-R343,0,R343,2)),1,1),"")</f>
        <v>-8.44063771564053E-005</v>
      </c>
      <c r="T343" s="29" t="n">
        <f aca="true">IF(AND(F343&gt;=1,R343&gt;=Inputs!$B$10),INDEX(LINEST(OFFSET(D343,-R343,0,R343,1),OFFSET(E343,-R343,0,R343,2)),1,2),"")</f>
        <v>1.02993460578916</v>
      </c>
      <c r="U343" s="29" t="n">
        <f aca="true">IF(AND(F343&gt;=1,R343&gt;=Inputs!$B$10),INDEX(LINEST(OFFSET(D343,-R343,0,R343,1),OFFSET(E343,-R343,0,R343,2)),1,3),"")</f>
        <v>4.35842348540699</v>
      </c>
      <c r="V343" s="29" t="n">
        <f aca="true">IF(AND(F343&gt;=1,R343&gt;=Inputs!$B$10),SQRT(SUMPRODUCT((OFFSET(D343,-R343,0,R343,1)-U343-T343*OFFSET(E343,-R343,0,R343,1)-S343*OFFSET(F343,-R343,0,R343,1))^2)/(R343-3)),"")</f>
        <v>0.00347624530977303</v>
      </c>
      <c r="W343" s="31" t="n">
        <f aca="false">IF(AND(F343&gt;=1,R343&gt;=Inputs!$B$10),(D343-U343-T343*E343-S343*F343)/V343,"")</f>
        <v>-0.10097980381079</v>
      </c>
      <c r="X343" s="30" t="n">
        <f aca="false">IF(AB342&lt;&gt;0,AC342+1,0)</f>
        <v>0</v>
      </c>
      <c r="Y343" s="30" t="n">
        <f aca="false">IF(W343="",0,IF(AND(AB342&lt;&gt;0,OR(ABS(W343)&gt;Inputs!$B$7,X343&gt;=Inputs!$B$8,ABS(W343)&lt;Inputs!$B$6)),1,0))</f>
        <v>0</v>
      </c>
      <c r="Z343" s="30" t="n">
        <f aca="false">IF(Y343=1,0,AB342)</f>
        <v>0</v>
      </c>
      <c r="AA343" s="30" t="n">
        <f aca="false">IF(W343="",0,IF(AND(Z343=0,ABS(W343)&gt;Inputs!$B$5,ABS(W343)&lt;=Inputs!$B$7),1,0))</f>
        <v>0</v>
      </c>
      <c r="AB343" s="30" t="n">
        <f aca="false">IF(W343="",0,IF(AA343=1,-SIGN(W343),Z343))</f>
        <v>0</v>
      </c>
      <c r="AC343" s="30" t="n">
        <f aca="false">IF(W343="",0,IF(AA343=1,0,IF(Y343=1,0,X343)))</f>
        <v>0</v>
      </c>
      <c r="AD343" s="30" t="n">
        <f aca="false">IF(AB343=0,0,IF(AB342=AB343,AD342,T343))</f>
        <v>0</v>
      </c>
      <c r="AE343" s="30" t="n">
        <f aca="false">AB343-AB342</f>
        <v>0</v>
      </c>
      <c r="AF343" s="30" t="n">
        <f aca="false">-AD343*AB343</f>
        <v>-0</v>
      </c>
      <c r="AG343" s="30" t="n">
        <f aca="false">AF343-AF342</f>
        <v>0</v>
      </c>
      <c r="AH343" s="30" t="n">
        <f aca="false">MAX(AE343,0)*(Inputs!$B$17+Inputs!$B$18+Inputs!$B$19)+MAX(-AE343,0)*(O343+Inputs!$B$18+Inputs!$B$19)+IF(AND(K343=1,AB343&lt;&gt;0),(Inputs!$B$17+Inputs!$B$18+Inputs!$B$19)+(O343+Inputs!$B$18+Inputs!$B$19),0)+MAX(AG343,0)*(Inputs!$B$20+Inputs!$B$22+Inputs!$B$23)+MAX(-AG343,0)*(Inputs!$B$21+Inputs!$B$22+Inputs!$B$23)</f>
        <v>0</v>
      </c>
      <c r="AI343" s="30" t="n">
        <f aca="false">AB342*(M343-AD342*J343)+AB342*AD342*N343/Inputs!$B$16-AH343</f>
        <v>0</v>
      </c>
      <c r="AJ343" s="30" t="n">
        <f aca="false">MAX(AE343,0)*(Inputs!$B$17+Inputs!$B$24+Inputs!$B$25)+MAX(-AE343,0)*(O343+Inputs!$B$24+Inputs!$B$25)+IF(AND(K343=1,AB343&lt;&gt;0),(Inputs!$B$17+Inputs!$B$24+Inputs!$B$25)+(O343+Inputs!$B$24+Inputs!$B$25),0)+MAX(AG343,0)*(Inputs!$B$20+Inputs!$B$26+Inputs!$B$27)+MAX(-AG343,0)*(Inputs!$B$21+Inputs!$B$26+Inputs!$B$27)</f>
        <v>0</v>
      </c>
      <c r="AK343" s="30" t="n">
        <f aca="false">AB342*(M343-AD342*J343)+AB342*AD342*(N343+Inputs!$B$14)/Inputs!$B$16-AJ343</f>
        <v>0</v>
      </c>
      <c r="AL343" s="30" t="n">
        <f aca="false">IF(AP342&lt;&gt;0,AQ342+1,0)</f>
        <v>0</v>
      </c>
      <c r="AM343" s="30" t="n">
        <f aca="false">IF(W343="",0,IF(AND(AP342&lt;&gt;0,OR(ABS(W343)&gt;Inputs!$B$7,AL343&gt;=Inputs!$B$8,ABS(W343)&lt;Inputs!$B$6)),1,0))</f>
        <v>0</v>
      </c>
      <c r="AN343" s="30" t="n">
        <f aca="false">IF(AM343=1,0,AP342)</f>
        <v>0</v>
      </c>
      <c r="AO343" s="30" t="n">
        <f aca="false">IF(W343="",0,IF(AND(AN343=0,ABS(W343)&gt;Inputs!$B$5,ABS(W343)&lt;=Inputs!$B$7,W343&gt;0),1,0))</f>
        <v>0</v>
      </c>
      <c r="AP343" s="30" t="n">
        <f aca="false">IF(W343="",0,IF(AO343=1,-SIGN(W343),AN343))</f>
        <v>0</v>
      </c>
      <c r="AQ343" s="30" t="n">
        <f aca="false">IF(W343="",0,IF(AO343=1,0,IF(AM343=1,0,AL343)))</f>
        <v>0</v>
      </c>
      <c r="AR343" s="30" t="n">
        <f aca="false">IF(AP343=0,0,IF(AP342=AP343,AR342,T343))</f>
        <v>0</v>
      </c>
      <c r="AS343" s="30" t="n">
        <f aca="false">AP343-AP342</f>
        <v>0</v>
      </c>
      <c r="AT343" s="30" t="n">
        <f aca="false">-AR343*AP343</f>
        <v>-0</v>
      </c>
      <c r="AU343" s="30" t="n">
        <f aca="false">AT343-AT342</f>
        <v>0</v>
      </c>
      <c r="AV343" s="30" t="n">
        <f aca="false">MAX(AS343,0)*(Inputs!$B$17+Inputs!$B$18+Inputs!$B$19)+MAX(-AS343,0)*(O343+Inputs!$B$18+Inputs!$B$19)+IF(AND(K343=1,AP343&lt;&gt;0),(Inputs!$B$17+Inputs!$B$18+Inputs!$B$19)+(O343+Inputs!$B$18+Inputs!$B$19),0)+MAX(AU343,0)*(Inputs!$B$20+Inputs!$B$22+Inputs!$B$23)+MAX(-AU343,0)*(Inputs!$B$21+Inputs!$B$22+Inputs!$B$23)</f>
        <v>0</v>
      </c>
      <c r="AW343" s="30" t="n">
        <f aca="false">AP342*(M343-AR342*J343)+AP342*AR342*N343/Inputs!$B$16-AV343</f>
        <v>0</v>
      </c>
      <c r="AX343" s="30" t="n">
        <f aca="false">AW343-IF(AP342&lt;&gt;0,0.75*AR342*(Inputs!$B$13-N343)/Inputs!$B$16,0)</f>
        <v>0</v>
      </c>
      <c r="AY343" s="30" t="n">
        <f aca="false">MAX(AS343,0)*(Inputs!$B$17+Inputs!$B$18+Inputs!$B$19)+MAX(-AS343,0)*(O343+Inputs!$B$18+Inputs!$B$19)+IF(AND(K343=1,AP343&lt;&gt;0),(Inputs!$B$17+Inputs!$B$18+Inputs!$B$19)+(O343+Inputs!$B$18+Inputs!$B$19),0)</f>
        <v>0</v>
      </c>
      <c r="AZ343" s="30" t="n">
        <f aca="false">AP342*M343-AY343</f>
        <v>0</v>
      </c>
      <c r="BA343" s="32" t="n">
        <f aca="false">BA342+AI343</f>
        <v>0.00164515276832129</v>
      </c>
      <c r="BB343" s="30" t="n">
        <f aca="false">MAX(BB342,BA343)</f>
        <v>0.00284866043860449</v>
      </c>
      <c r="BC343" s="32" t="n">
        <f aca="false">BA343-BB343</f>
        <v>-0.0012035076702832</v>
      </c>
      <c r="BD343" s="30" t="n">
        <f aca="false">A344-A343</f>
        <v>1</v>
      </c>
    </row>
    <row r="344" customFormat="false" ht="15" hidden="false" customHeight="false" outlineLevel="0" collapsed="false">
      <c r="A344" s="28" t="n">
        <v>45546</v>
      </c>
      <c r="B344" s="0" t="n">
        <v>24945</v>
      </c>
      <c r="C344" s="0" t="n">
        <v>277.84</v>
      </c>
      <c r="D344" s="29" t="n">
        <f aca="false">LN(B344)</f>
        <v>10.1244286802951</v>
      </c>
      <c r="E344" s="29" t="n">
        <f aca="false">LN(C344)</f>
        <v>5.62704540843582</v>
      </c>
      <c r="F344" s="0" t="n">
        <v>339</v>
      </c>
      <c r="G344" s="0" t="n">
        <v>15</v>
      </c>
      <c r="H344" s="29" t="n">
        <f aca="false">D344-E344</f>
        <v>4.49738327185932</v>
      </c>
      <c r="I344" s="29" t="n">
        <f aca="false">D344-D343</f>
        <v>-0.00607491576907471</v>
      </c>
      <c r="J344" s="29" t="n">
        <f aca="false">E344-E343</f>
        <v>-0.00531266954201648</v>
      </c>
      <c r="K344" s="0" t="n">
        <v>0</v>
      </c>
      <c r="L344" s="0" t="n">
        <v>0</v>
      </c>
      <c r="M344" s="29" t="n">
        <f aca="false">IF(L344=1,J344-Carry!$B$9/Inputs!$B$16,I344)</f>
        <v>-0.00607491576907471</v>
      </c>
      <c r="N344" s="0" t="n">
        <v>0.065</v>
      </c>
      <c r="O344" s="0" t="n">
        <v>0.000125</v>
      </c>
      <c r="P344" s="29" t="n">
        <f aca="false">D344-('2 Hedge ratio'!$B$6+'2 Hedge ratio'!$B$5*E344)</f>
        <v>0.00752172478250124</v>
      </c>
      <c r="Q344" s="29" t="n">
        <f aca="false">D344-('5 Re-specification'!$B$7+'5 Re-specification'!$B$5*E344+'5 Re-specification'!$B$6*F344)</f>
        <v>-0.00153394902426207</v>
      </c>
      <c r="R344" s="30" t="n">
        <f aca="false">MIN(F344,Inputs!$B$9)</f>
        <v>250</v>
      </c>
      <c r="S344" s="29" t="n">
        <f aca="true">IF(AND(F344&gt;=1,R344&gt;=Inputs!$B$10),INDEX(LINEST(OFFSET(D344,-R344,0,R344,1),OFFSET(E344,-R344,0,R344,2)),1,1),"")</f>
        <v>-8.47831266368261E-005</v>
      </c>
      <c r="T344" s="29" t="n">
        <f aca="true">IF(AND(F344&gt;=1,R344&gt;=Inputs!$B$10),INDEX(LINEST(OFFSET(D344,-R344,0,R344,1),OFFSET(E344,-R344,0,R344,2)),1,2),"")</f>
        <v>1.03013036719513</v>
      </c>
      <c r="U344" s="29" t="n">
        <f aca="true">IF(AND(F344&gt;=1,R344&gt;=Inputs!$B$10),INDEX(LINEST(OFFSET(D344,-R344,0,R344,1),OFFSET(E344,-R344,0,R344,2)),1,3),"")</f>
        <v>4.35743177650361</v>
      </c>
      <c r="V344" s="29" t="n">
        <f aca="true">IF(AND(F344&gt;=1,R344&gt;=Inputs!$B$10),SQRT(SUMPRODUCT((OFFSET(D344,-R344,0,R344,1)-U344-T344*OFFSET(E344,-R344,0,R344,1)-S344*OFFSET(F344,-R344,0,R344,1))^2)/(R344-3)),"")</f>
        <v>0.00347525742777926</v>
      </c>
      <c r="W344" s="31" t="n">
        <f aca="false">IF(AND(F344&gt;=1,R344&gt;=Inputs!$B$10),(D344-U344-T344*E344-S344*F344)/V344,"")</f>
        <v>-0.245152801472069</v>
      </c>
      <c r="X344" s="30" t="n">
        <f aca="false">IF(AB343&lt;&gt;0,AC343+1,0)</f>
        <v>0</v>
      </c>
      <c r="Y344" s="30" t="n">
        <f aca="false">IF(W344="",0,IF(AND(AB343&lt;&gt;0,OR(ABS(W344)&gt;Inputs!$B$7,X344&gt;=Inputs!$B$8,ABS(W344)&lt;Inputs!$B$6)),1,0))</f>
        <v>0</v>
      </c>
      <c r="Z344" s="30" t="n">
        <f aca="false">IF(Y344=1,0,AB343)</f>
        <v>0</v>
      </c>
      <c r="AA344" s="30" t="n">
        <f aca="false">IF(W344="",0,IF(AND(Z344=0,ABS(W344)&gt;Inputs!$B$5,ABS(W344)&lt;=Inputs!$B$7),1,0))</f>
        <v>0</v>
      </c>
      <c r="AB344" s="30" t="n">
        <f aca="false">IF(W344="",0,IF(AA344=1,-SIGN(W344),Z344))</f>
        <v>0</v>
      </c>
      <c r="AC344" s="30" t="n">
        <f aca="false">IF(W344="",0,IF(AA344=1,0,IF(Y344=1,0,X344)))</f>
        <v>0</v>
      </c>
      <c r="AD344" s="30" t="n">
        <f aca="false">IF(AB344=0,0,IF(AB343=AB344,AD343,T344))</f>
        <v>0</v>
      </c>
      <c r="AE344" s="30" t="n">
        <f aca="false">AB344-AB343</f>
        <v>0</v>
      </c>
      <c r="AF344" s="30" t="n">
        <f aca="false">-AD344*AB344</f>
        <v>-0</v>
      </c>
      <c r="AG344" s="30" t="n">
        <f aca="false">AF344-AF343</f>
        <v>0</v>
      </c>
      <c r="AH344" s="30" t="n">
        <f aca="false">MAX(AE344,0)*(Inputs!$B$17+Inputs!$B$18+Inputs!$B$19)+MAX(-AE344,0)*(O344+Inputs!$B$18+Inputs!$B$19)+IF(AND(K344=1,AB344&lt;&gt;0),(Inputs!$B$17+Inputs!$B$18+Inputs!$B$19)+(O344+Inputs!$B$18+Inputs!$B$19),0)+MAX(AG344,0)*(Inputs!$B$20+Inputs!$B$22+Inputs!$B$23)+MAX(-AG344,0)*(Inputs!$B$21+Inputs!$B$22+Inputs!$B$23)</f>
        <v>0</v>
      </c>
      <c r="AI344" s="30" t="n">
        <f aca="false">AB343*(M344-AD343*J344)+AB343*AD343*N344/Inputs!$B$16-AH344</f>
        <v>0</v>
      </c>
      <c r="AJ344" s="30" t="n">
        <f aca="false">MAX(AE344,0)*(Inputs!$B$17+Inputs!$B$24+Inputs!$B$25)+MAX(-AE344,0)*(O344+Inputs!$B$24+Inputs!$B$25)+IF(AND(K344=1,AB344&lt;&gt;0),(Inputs!$B$17+Inputs!$B$24+Inputs!$B$25)+(O344+Inputs!$B$24+Inputs!$B$25),0)+MAX(AG344,0)*(Inputs!$B$20+Inputs!$B$26+Inputs!$B$27)+MAX(-AG344,0)*(Inputs!$B$21+Inputs!$B$26+Inputs!$B$27)</f>
        <v>0</v>
      </c>
      <c r="AK344" s="30" t="n">
        <f aca="false">AB343*(M344-AD343*J344)+AB343*AD343*(N344+Inputs!$B$14)/Inputs!$B$16-AJ344</f>
        <v>0</v>
      </c>
      <c r="AL344" s="30" t="n">
        <f aca="false">IF(AP343&lt;&gt;0,AQ343+1,0)</f>
        <v>0</v>
      </c>
      <c r="AM344" s="30" t="n">
        <f aca="false">IF(W344="",0,IF(AND(AP343&lt;&gt;0,OR(ABS(W344)&gt;Inputs!$B$7,AL344&gt;=Inputs!$B$8,ABS(W344)&lt;Inputs!$B$6)),1,0))</f>
        <v>0</v>
      </c>
      <c r="AN344" s="30" t="n">
        <f aca="false">IF(AM344=1,0,AP343)</f>
        <v>0</v>
      </c>
      <c r="AO344" s="30" t="n">
        <f aca="false">IF(W344="",0,IF(AND(AN344=0,ABS(W344)&gt;Inputs!$B$5,ABS(W344)&lt;=Inputs!$B$7,W344&gt;0),1,0))</f>
        <v>0</v>
      </c>
      <c r="AP344" s="30" t="n">
        <f aca="false">IF(W344="",0,IF(AO344=1,-SIGN(W344),AN344))</f>
        <v>0</v>
      </c>
      <c r="AQ344" s="30" t="n">
        <f aca="false">IF(W344="",0,IF(AO344=1,0,IF(AM344=1,0,AL344)))</f>
        <v>0</v>
      </c>
      <c r="AR344" s="30" t="n">
        <f aca="false">IF(AP344=0,0,IF(AP343=AP344,AR343,T344))</f>
        <v>0</v>
      </c>
      <c r="AS344" s="30" t="n">
        <f aca="false">AP344-AP343</f>
        <v>0</v>
      </c>
      <c r="AT344" s="30" t="n">
        <f aca="false">-AR344*AP344</f>
        <v>-0</v>
      </c>
      <c r="AU344" s="30" t="n">
        <f aca="false">AT344-AT343</f>
        <v>0</v>
      </c>
      <c r="AV344" s="30" t="n">
        <f aca="false">MAX(AS344,0)*(Inputs!$B$17+Inputs!$B$18+Inputs!$B$19)+MAX(-AS344,0)*(O344+Inputs!$B$18+Inputs!$B$19)+IF(AND(K344=1,AP344&lt;&gt;0),(Inputs!$B$17+Inputs!$B$18+Inputs!$B$19)+(O344+Inputs!$B$18+Inputs!$B$19),0)+MAX(AU344,0)*(Inputs!$B$20+Inputs!$B$22+Inputs!$B$23)+MAX(-AU344,0)*(Inputs!$B$21+Inputs!$B$22+Inputs!$B$23)</f>
        <v>0</v>
      </c>
      <c r="AW344" s="30" t="n">
        <f aca="false">AP343*(M344-AR343*J344)+AP343*AR343*N344/Inputs!$B$16-AV344</f>
        <v>0</v>
      </c>
      <c r="AX344" s="30" t="n">
        <f aca="false">AW344-IF(AP343&lt;&gt;0,0.75*AR343*(Inputs!$B$13-N344)/Inputs!$B$16,0)</f>
        <v>0</v>
      </c>
      <c r="AY344" s="30" t="n">
        <f aca="false">MAX(AS344,0)*(Inputs!$B$17+Inputs!$B$18+Inputs!$B$19)+MAX(-AS344,0)*(O344+Inputs!$B$18+Inputs!$B$19)+IF(AND(K344=1,AP344&lt;&gt;0),(Inputs!$B$17+Inputs!$B$18+Inputs!$B$19)+(O344+Inputs!$B$18+Inputs!$B$19),0)</f>
        <v>0</v>
      </c>
      <c r="AZ344" s="30" t="n">
        <f aca="false">AP343*M344-AY344</f>
        <v>-0</v>
      </c>
      <c r="BA344" s="32" t="n">
        <f aca="false">BA343+AI344</f>
        <v>0.00164515276832129</v>
      </c>
      <c r="BB344" s="30" t="n">
        <f aca="false">MAX(BB343,BA344)</f>
        <v>0.00284866043860449</v>
      </c>
      <c r="BC344" s="32" t="n">
        <f aca="false">BA344-BB344</f>
        <v>-0.0012035076702832</v>
      </c>
      <c r="BD344" s="30" t="n">
        <f aca="false">A345-A344</f>
        <v>1</v>
      </c>
    </row>
    <row r="345" customFormat="false" ht="15" hidden="false" customHeight="false" outlineLevel="0" collapsed="false">
      <c r="A345" s="28" t="n">
        <v>45547</v>
      </c>
      <c r="B345" s="0" t="n">
        <v>25334.9</v>
      </c>
      <c r="C345" s="0" t="n">
        <v>282.1</v>
      </c>
      <c r="D345" s="29" t="n">
        <f aca="false">LN(B345)</f>
        <v>10.1399381707935</v>
      </c>
      <c r="E345" s="29" t="n">
        <f aca="false">LN(C345)</f>
        <v>5.64226161800795</v>
      </c>
      <c r="F345" s="0" t="n">
        <v>340</v>
      </c>
      <c r="G345" s="0" t="n">
        <v>14</v>
      </c>
      <c r="H345" s="29" t="n">
        <f aca="false">D345-E345</f>
        <v>4.49767655278553</v>
      </c>
      <c r="I345" s="29" t="n">
        <f aca="false">D345-D344</f>
        <v>0.0155094904983404</v>
      </c>
      <c r="J345" s="29" t="n">
        <f aca="false">E345-E344</f>
        <v>0.0152162095721327</v>
      </c>
      <c r="K345" s="0" t="n">
        <v>0</v>
      </c>
      <c r="L345" s="0" t="n">
        <v>0</v>
      </c>
      <c r="M345" s="29" t="n">
        <f aca="false">IF(L345=1,J345-Carry!$B$9/Inputs!$B$16,I345)</f>
        <v>0.0155094904983404</v>
      </c>
      <c r="N345" s="0" t="n">
        <v>0.065</v>
      </c>
      <c r="O345" s="0" t="n">
        <v>0.000125</v>
      </c>
      <c r="P345" s="29" t="n">
        <f aca="false">D345-('2 Hedge ratio'!$B$6+'2 Hedge ratio'!$B$5*E345)</f>
        <v>0.00909123851750415</v>
      </c>
      <c r="Q345" s="29" t="n">
        <f aca="false">D345-('5 Re-specification'!$B$7+'5 Re-specification'!$B$5*E345+'5 Re-specification'!$B$6*F345)</f>
        <v>-0.00114962605652735</v>
      </c>
      <c r="R345" s="30" t="n">
        <f aca="false">MIN(F345,Inputs!$B$9)</f>
        <v>250</v>
      </c>
      <c r="S345" s="29" t="n">
        <f aca="true">IF(AND(F345&gt;=1,R345&gt;=Inputs!$B$10),INDEX(LINEST(OFFSET(D345,-R345,0,R345,1),OFFSET(E345,-R345,0,R345,2)),1,1),"")</f>
        <v>-8.54365719730507E-005</v>
      </c>
      <c r="T345" s="29" t="n">
        <f aca="true">IF(AND(F345&gt;=1,R345&gt;=Inputs!$B$10),INDEX(LINEST(OFFSET(D345,-R345,0,R345,1),OFFSET(E345,-R345,0,R345,2)),1,2),"")</f>
        <v>1.03047958373644</v>
      </c>
      <c r="U345" s="29" t="n">
        <f aca="true">IF(AND(F345&gt;=1,R345&gt;=Inputs!$B$10),INDEX(LINEST(OFFSET(D345,-R345,0,R345,1),OFFSET(E345,-R345,0,R345,2)),1,3),"")</f>
        <v>4.35565641891218</v>
      </c>
      <c r="V345" s="29" t="n">
        <f aca="true">IF(AND(F345&gt;=1,R345&gt;=Inputs!$B$10),SQRT(SUMPRODUCT((OFFSET(D345,-R345,0,R345,1)-U345-T345*OFFSET(E345,-R345,0,R345,1)-S345*OFFSET(F345,-R345,0,R345,1))^2)/(R345-3)),"")</f>
        <v>0.00347338129984171</v>
      </c>
      <c r="W345" s="31" t="n">
        <f aca="false">IF(AND(F345&gt;=1,R345&gt;=Inputs!$B$10),(D345-U345-T345*E345-S345*F345)/V345,"")</f>
        <v>-0.260615528969568</v>
      </c>
      <c r="X345" s="30" t="n">
        <f aca="false">IF(AB344&lt;&gt;0,AC344+1,0)</f>
        <v>0</v>
      </c>
      <c r="Y345" s="30" t="n">
        <f aca="false">IF(W345="",0,IF(AND(AB344&lt;&gt;0,OR(ABS(W345)&gt;Inputs!$B$7,X345&gt;=Inputs!$B$8,ABS(W345)&lt;Inputs!$B$6)),1,0))</f>
        <v>0</v>
      </c>
      <c r="Z345" s="30" t="n">
        <f aca="false">IF(Y345=1,0,AB344)</f>
        <v>0</v>
      </c>
      <c r="AA345" s="30" t="n">
        <f aca="false">IF(W345="",0,IF(AND(Z345=0,ABS(W345)&gt;Inputs!$B$5,ABS(W345)&lt;=Inputs!$B$7),1,0))</f>
        <v>0</v>
      </c>
      <c r="AB345" s="30" t="n">
        <f aca="false">IF(W345="",0,IF(AA345=1,-SIGN(W345),Z345))</f>
        <v>0</v>
      </c>
      <c r="AC345" s="30" t="n">
        <f aca="false">IF(W345="",0,IF(AA345=1,0,IF(Y345=1,0,X345)))</f>
        <v>0</v>
      </c>
      <c r="AD345" s="30" t="n">
        <f aca="false">IF(AB345=0,0,IF(AB344=AB345,AD344,T345))</f>
        <v>0</v>
      </c>
      <c r="AE345" s="30" t="n">
        <f aca="false">AB345-AB344</f>
        <v>0</v>
      </c>
      <c r="AF345" s="30" t="n">
        <f aca="false">-AD345*AB345</f>
        <v>-0</v>
      </c>
      <c r="AG345" s="30" t="n">
        <f aca="false">AF345-AF344</f>
        <v>0</v>
      </c>
      <c r="AH345" s="30" t="n">
        <f aca="false">MAX(AE345,0)*(Inputs!$B$17+Inputs!$B$18+Inputs!$B$19)+MAX(-AE345,0)*(O345+Inputs!$B$18+Inputs!$B$19)+IF(AND(K345=1,AB345&lt;&gt;0),(Inputs!$B$17+Inputs!$B$18+Inputs!$B$19)+(O345+Inputs!$B$18+Inputs!$B$19),0)+MAX(AG345,0)*(Inputs!$B$20+Inputs!$B$22+Inputs!$B$23)+MAX(-AG345,0)*(Inputs!$B$21+Inputs!$B$22+Inputs!$B$23)</f>
        <v>0</v>
      </c>
      <c r="AI345" s="30" t="n">
        <f aca="false">AB344*(M345-AD344*J345)+AB344*AD344*N345/Inputs!$B$16-AH345</f>
        <v>0</v>
      </c>
      <c r="AJ345" s="30" t="n">
        <f aca="false">MAX(AE345,0)*(Inputs!$B$17+Inputs!$B$24+Inputs!$B$25)+MAX(-AE345,0)*(O345+Inputs!$B$24+Inputs!$B$25)+IF(AND(K345=1,AB345&lt;&gt;0),(Inputs!$B$17+Inputs!$B$24+Inputs!$B$25)+(O345+Inputs!$B$24+Inputs!$B$25),0)+MAX(AG345,0)*(Inputs!$B$20+Inputs!$B$26+Inputs!$B$27)+MAX(-AG345,0)*(Inputs!$B$21+Inputs!$B$26+Inputs!$B$27)</f>
        <v>0</v>
      </c>
      <c r="AK345" s="30" t="n">
        <f aca="false">AB344*(M345-AD344*J345)+AB344*AD344*(N345+Inputs!$B$14)/Inputs!$B$16-AJ345</f>
        <v>0</v>
      </c>
      <c r="AL345" s="30" t="n">
        <f aca="false">IF(AP344&lt;&gt;0,AQ344+1,0)</f>
        <v>0</v>
      </c>
      <c r="AM345" s="30" t="n">
        <f aca="false">IF(W345="",0,IF(AND(AP344&lt;&gt;0,OR(ABS(W345)&gt;Inputs!$B$7,AL345&gt;=Inputs!$B$8,ABS(W345)&lt;Inputs!$B$6)),1,0))</f>
        <v>0</v>
      </c>
      <c r="AN345" s="30" t="n">
        <f aca="false">IF(AM345=1,0,AP344)</f>
        <v>0</v>
      </c>
      <c r="AO345" s="30" t="n">
        <f aca="false">IF(W345="",0,IF(AND(AN345=0,ABS(W345)&gt;Inputs!$B$5,ABS(W345)&lt;=Inputs!$B$7,W345&gt;0),1,0))</f>
        <v>0</v>
      </c>
      <c r="AP345" s="30" t="n">
        <f aca="false">IF(W345="",0,IF(AO345=1,-SIGN(W345),AN345))</f>
        <v>0</v>
      </c>
      <c r="AQ345" s="30" t="n">
        <f aca="false">IF(W345="",0,IF(AO345=1,0,IF(AM345=1,0,AL345)))</f>
        <v>0</v>
      </c>
      <c r="AR345" s="30" t="n">
        <f aca="false">IF(AP345=0,0,IF(AP344=AP345,AR344,T345))</f>
        <v>0</v>
      </c>
      <c r="AS345" s="30" t="n">
        <f aca="false">AP345-AP344</f>
        <v>0</v>
      </c>
      <c r="AT345" s="30" t="n">
        <f aca="false">-AR345*AP345</f>
        <v>-0</v>
      </c>
      <c r="AU345" s="30" t="n">
        <f aca="false">AT345-AT344</f>
        <v>0</v>
      </c>
      <c r="AV345" s="30" t="n">
        <f aca="false">MAX(AS345,0)*(Inputs!$B$17+Inputs!$B$18+Inputs!$B$19)+MAX(-AS345,0)*(O345+Inputs!$B$18+Inputs!$B$19)+IF(AND(K345=1,AP345&lt;&gt;0),(Inputs!$B$17+Inputs!$B$18+Inputs!$B$19)+(O345+Inputs!$B$18+Inputs!$B$19),0)+MAX(AU345,0)*(Inputs!$B$20+Inputs!$B$22+Inputs!$B$23)+MAX(-AU345,0)*(Inputs!$B$21+Inputs!$B$22+Inputs!$B$23)</f>
        <v>0</v>
      </c>
      <c r="AW345" s="30" t="n">
        <f aca="false">AP344*(M345-AR344*J345)+AP344*AR344*N345/Inputs!$B$16-AV345</f>
        <v>0</v>
      </c>
      <c r="AX345" s="30" t="n">
        <f aca="false">AW345-IF(AP344&lt;&gt;0,0.75*AR344*(Inputs!$B$13-N345)/Inputs!$B$16,0)</f>
        <v>0</v>
      </c>
      <c r="AY345" s="30" t="n">
        <f aca="false">MAX(AS345,0)*(Inputs!$B$17+Inputs!$B$18+Inputs!$B$19)+MAX(-AS345,0)*(O345+Inputs!$B$18+Inputs!$B$19)+IF(AND(K345=1,AP345&lt;&gt;0),(Inputs!$B$17+Inputs!$B$18+Inputs!$B$19)+(O345+Inputs!$B$18+Inputs!$B$19),0)</f>
        <v>0</v>
      </c>
      <c r="AZ345" s="30" t="n">
        <f aca="false">AP344*M345-AY345</f>
        <v>0</v>
      </c>
      <c r="BA345" s="32" t="n">
        <f aca="false">BA344+AI345</f>
        <v>0.00164515276832129</v>
      </c>
      <c r="BB345" s="30" t="n">
        <f aca="false">MAX(BB344,BA345)</f>
        <v>0.00284866043860449</v>
      </c>
      <c r="BC345" s="32" t="n">
        <f aca="false">BA345-BB345</f>
        <v>-0.0012035076702832</v>
      </c>
      <c r="BD345" s="30" t="n">
        <f aca="false">A346-A345</f>
        <v>1</v>
      </c>
    </row>
    <row r="346" customFormat="false" ht="15" hidden="false" customHeight="false" outlineLevel="0" collapsed="false">
      <c r="A346" s="28" t="n">
        <v>45548</v>
      </c>
      <c r="B346" s="0" t="n">
        <v>25363.5</v>
      </c>
      <c r="C346" s="0" t="n">
        <v>283.1</v>
      </c>
      <c r="D346" s="29" t="n">
        <f aca="false">LN(B346)</f>
        <v>10.1410664116466</v>
      </c>
      <c r="E346" s="29" t="n">
        <f aca="false">LN(C346)</f>
        <v>5.64580019211785</v>
      </c>
      <c r="F346" s="0" t="n">
        <v>341</v>
      </c>
      <c r="G346" s="0" t="n">
        <v>13</v>
      </c>
      <c r="H346" s="29" t="n">
        <f aca="false">D346-E346</f>
        <v>4.49526621952874</v>
      </c>
      <c r="I346" s="29" t="n">
        <f aca="false">D346-D345</f>
        <v>0.0011282408531148</v>
      </c>
      <c r="J346" s="29" t="n">
        <f aca="false">E346-E345</f>
        <v>0.00353857410990255</v>
      </c>
      <c r="K346" s="0" t="n">
        <v>0</v>
      </c>
      <c r="L346" s="0" t="n">
        <v>0</v>
      </c>
      <c r="M346" s="29" t="n">
        <f aca="false">IF(L346=1,J346-Carry!$B$9/Inputs!$B$16,I346)</f>
        <v>0.0011282408531148</v>
      </c>
      <c r="N346" s="0" t="n">
        <v>0.065</v>
      </c>
      <c r="O346" s="0" t="n">
        <v>0.000125</v>
      </c>
      <c r="P346" s="29" t="n">
        <f aca="false">D346-('2 Hedge ratio'!$B$6+'2 Hedge ratio'!$B$5*E346)</f>
        <v>0.006977696938959</v>
      </c>
      <c r="Q346" s="29" t="n">
        <f aca="false">D346-('5 Re-specification'!$B$7+'5 Re-specification'!$B$5*E346+'5 Re-specification'!$B$6*F346)</f>
        <v>-0.0035043063463025</v>
      </c>
      <c r="R346" s="30" t="n">
        <f aca="false">MIN(F346,Inputs!$B$9)</f>
        <v>250</v>
      </c>
      <c r="S346" s="29" t="n">
        <f aca="true">IF(AND(F346&gt;=1,R346&gt;=Inputs!$B$10),INDEX(LINEST(OFFSET(D346,-R346,0,R346,1),OFFSET(E346,-R346,0,R346,2)),1,1),"")</f>
        <v>-8.61262797173216E-005</v>
      </c>
      <c r="T346" s="29" t="n">
        <f aca="true">IF(AND(F346&gt;=1,R346&gt;=Inputs!$B$10),INDEX(LINEST(OFFSET(D346,-R346,0,R346,1),OFFSET(E346,-R346,0,R346,2)),1,2),"")</f>
        <v>1.03083881886012</v>
      </c>
      <c r="U346" s="29" t="n">
        <f aca="true">IF(AND(F346&gt;=1,R346&gt;=Inputs!$B$10),INDEX(LINEST(OFFSET(D346,-R346,0,R346,1),OFFSET(E346,-R346,0,R346,2)),1,3),"")</f>
        <v>4.35383465945918</v>
      </c>
      <c r="V346" s="29" t="n">
        <f aca="true">IF(AND(F346&gt;=1,R346&gt;=Inputs!$B$10),SQRT(SUMPRODUCT((OFFSET(D346,-R346,0,R346,1)-U346-T346*OFFSET(E346,-R346,0,R346,1)-S346*OFFSET(F346,-R346,0,R346,1))^2)/(R346-3)),"")</f>
        <v>0.00347106834020075</v>
      </c>
      <c r="W346" s="31" t="n">
        <f aca="false">IF(AND(F346&gt;=1,R346&gt;=Inputs!$B$10),(D346-U346-T346*E346-S346*F346)/V346,"")</f>
        <v>-0.953362961381165</v>
      </c>
      <c r="X346" s="30" t="n">
        <f aca="false">IF(AB345&lt;&gt;0,AC345+1,0)</f>
        <v>0</v>
      </c>
      <c r="Y346" s="30" t="n">
        <f aca="false">IF(W346="",0,IF(AND(AB345&lt;&gt;0,OR(ABS(W346)&gt;Inputs!$B$7,X346&gt;=Inputs!$B$8,ABS(W346)&lt;Inputs!$B$6)),1,0))</f>
        <v>0</v>
      </c>
      <c r="Z346" s="30" t="n">
        <f aca="false">IF(Y346=1,0,AB345)</f>
        <v>0</v>
      </c>
      <c r="AA346" s="30" t="n">
        <f aca="false">IF(W346="",0,IF(AND(Z346=0,ABS(W346)&gt;Inputs!$B$5,ABS(W346)&lt;=Inputs!$B$7),1,0))</f>
        <v>0</v>
      </c>
      <c r="AB346" s="30" t="n">
        <f aca="false">IF(W346="",0,IF(AA346=1,-SIGN(W346),Z346))</f>
        <v>0</v>
      </c>
      <c r="AC346" s="30" t="n">
        <f aca="false">IF(W346="",0,IF(AA346=1,0,IF(Y346=1,0,X346)))</f>
        <v>0</v>
      </c>
      <c r="AD346" s="30" t="n">
        <f aca="false">IF(AB346=0,0,IF(AB345=AB346,AD345,T346))</f>
        <v>0</v>
      </c>
      <c r="AE346" s="30" t="n">
        <f aca="false">AB346-AB345</f>
        <v>0</v>
      </c>
      <c r="AF346" s="30" t="n">
        <f aca="false">-AD346*AB346</f>
        <v>-0</v>
      </c>
      <c r="AG346" s="30" t="n">
        <f aca="false">AF346-AF345</f>
        <v>0</v>
      </c>
      <c r="AH346" s="30" t="n">
        <f aca="false">MAX(AE346,0)*(Inputs!$B$17+Inputs!$B$18+Inputs!$B$19)+MAX(-AE346,0)*(O346+Inputs!$B$18+Inputs!$B$19)+IF(AND(K346=1,AB346&lt;&gt;0),(Inputs!$B$17+Inputs!$B$18+Inputs!$B$19)+(O346+Inputs!$B$18+Inputs!$B$19),0)+MAX(AG346,0)*(Inputs!$B$20+Inputs!$B$22+Inputs!$B$23)+MAX(-AG346,0)*(Inputs!$B$21+Inputs!$B$22+Inputs!$B$23)</f>
        <v>0</v>
      </c>
      <c r="AI346" s="30" t="n">
        <f aca="false">AB345*(M346-AD345*J346)+AB345*AD345*N346/Inputs!$B$16-AH346</f>
        <v>0</v>
      </c>
      <c r="AJ346" s="30" t="n">
        <f aca="false">MAX(AE346,0)*(Inputs!$B$17+Inputs!$B$24+Inputs!$B$25)+MAX(-AE346,0)*(O346+Inputs!$B$24+Inputs!$B$25)+IF(AND(K346=1,AB346&lt;&gt;0),(Inputs!$B$17+Inputs!$B$24+Inputs!$B$25)+(O346+Inputs!$B$24+Inputs!$B$25),0)+MAX(AG346,0)*(Inputs!$B$20+Inputs!$B$26+Inputs!$B$27)+MAX(-AG346,0)*(Inputs!$B$21+Inputs!$B$26+Inputs!$B$27)</f>
        <v>0</v>
      </c>
      <c r="AK346" s="30" t="n">
        <f aca="false">AB345*(M346-AD345*J346)+AB345*AD345*(N346+Inputs!$B$14)/Inputs!$B$16-AJ346</f>
        <v>0</v>
      </c>
      <c r="AL346" s="30" t="n">
        <f aca="false">IF(AP345&lt;&gt;0,AQ345+1,0)</f>
        <v>0</v>
      </c>
      <c r="AM346" s="30" t="n">
        <f aca="false">IF(W346="",0,IF(AND(AP345&lt;&gt;0,OR(ABS(W346)&gt;Inputs!$B$7,AL346&gt;=Inputs!$B$8,ABS(W346)&lt;Inputs!$B$6)),1,0))</f>
        <v>0</v>
      </c>
      <c r="AN346" s="30" t="n">
        <f aca="false">IF(AM346=1,0,AP345)</f>
        <v>0</v>
      </c>
      <c r="AO346" s="30" t="n">
        <f aca="false">IF(W346="",0,IF(AND(AN346=0,ABS(W346)&gt;Inputs!$B$5,ABS(W346)&lt;=Inputs!$B$7,W346&gt;0),1,0))</f>
        <v>0</v>
      </c>
      <c r="AP346" s="30" t="n">
        <f aca="false">IF(W346="",0,IF(AO346=1,-SIGN(W346),AN346))</f>
        <v>0</v>
      </c>
      <c r="AQ346" s="30" t="n">
        <f aca="false">IF(W346="",0,IF(AO346=1,0,IF(AM346=1,0,AL346)))</f>
        <v>0</v>
      </c>
      <c r="AR346" s="30" t="n">
        <f aca="false">IF(AP346=0,0,IF(AP345=AP346,AR345,T346))</f>
        <v>0</v>
      </c>
      <c r="AS346" s="30" t="n">
        <f aca="false">AP346-AP345</f>
        <v>0</v>
      </c>
      <c r="AT346" s="30" t="n">
        <f aca="false">-AR346*AP346</f>
        <v>-0</v>
      </c>
      <c r="AU346" s="30" t="n">
        <f aca="false">AT346-AT345</f>
        <v>0</v>
      </c>
      <c r="AV346" s="30" t="n">
        <f aca="false">MAX(AS346,0)*(Inputs!$B$17+Inputs!$B$18+Inputs!$B$19)+MAX(-AS346,0)*(O346+Inputs!$B$18+Inputs!$B$19)+IF(AND(K346=1,AP346&lt;&gt;0),(Inputs!$B$17+Inputs!$B$18+Inputs!$B$19)+(O346+Inputs!$B$18+Inputs!$B$19),0)+MAX(AU346,0)*(Inputs!$B$20+Inputs!$B$22+Inputs!$B$23)+MAX(-AU346,0)*(Inputs!$B$21+Inputs!$B$22+Inputs!$B$23)</f>
        <v>0</v>
      </c>
      <c r="AW346" s="30" t="n">
        <f aca="false">AP345*(M346-AR345*J346)+AP345*AR345*N346/Inputs!$B$16-AV346</f>
        <v>0</v>
      </c>
      <c r="AX346" s="30" t="n">
        <f aca="false">AW346-IF(AP345&lt;&gt;0,0.75*AR345*(Inputs!$B$13-N346)/Inputs!$B$16,0)</f>
        <v>0</v>
      </c>
      <c r="AY346" s="30" t="n">
        <f aca="false">MAX(AS346,0)*(Inputs!$B$17+Inputs!$B$18+Inputs!$B$19)+MAX(-AS346,0)*(O346+Inputs!$B$18+Inputs!$B$19)+IF(AND(K346=1,AP346&lt;&gt;0),(Inputs!$B$17+Inputs!$B$18+Inputs!$B$19)+(O346+Inputs!$B$18+Inputs!$B$19),0)</f>
        <v>0</v>
      </c>
      <c r="AZ346" s="30" t="n">
        <f aca="false">AP345*M346-AY346</f>
        <v>0</v>
      </c>
      <c r="BA346" s="32" t="n">
        <f aca="false">BA345+AI346</f>
        <v>0.00164515276832129</v>
      </c>
      <c r="BB346" s="30" t="n">
        <f aca="false">MAX(BB345,BA346)</f>
        <v>0.00284866043860449</v>
      </c>
      <c r="BC346" s="32" t="n">
        <f aca="false">BA346-BB346</f>
        <v>-0.0012035076702832</v>
      </c>
      <c r="BD346" s="30" t="n">
        <f aca="false">A347-A346</f>
        <v>3</v>
      </c>
    </row>
    <row r="347" customFormat="false" ht="15" hidden="false" customHeight="false" outlineLevel="0" collapsed="false">
      <c r="A347" s="28" t="n">
        <v>45551</v>
      </c>
      <c r="B347" s="0" t="n">
        <v>25440</v>
      </c>
      <c r="C347" s="0" t="n">
        <v>283.4</v>
      </c>
      <c r="D347" s="29" t="n">
        <f aca="false">LN(B347)</f>
        <v>10.1440780174541</v>
      </c>
      <c r="E347" s="29" t="n">
        <f aca="false">LN(C347)</f>
        <v>5.64685932725658</v>
      </c>
      <c r="F347" s="0" t="n">
        <v>342</v>
      </c>
      <c r="G347" s="0" t="n">
        <v>10</v>
      </c>
      <c r="H347" s="29" t="n">
        <f aca="false">D347-E347</f>
        <v>4.49721869019748</v>
      </c>
      <c r="I347" s="29" t="n">
        <f aca="false">D347-D346</f>
        <v>0.0030116058074654</v>
      </c>
      <c r="J347" s="29" t="n">
        <f aca="false">E347-E346</f>
        <v>0.00105913513872657</v>
      </c>
      <c r="K347" s="0" t="n">
        <v>0</v>
      </c>
      <c r="L347" s="0" t="n">
        <v>0</v>
      </c>
      <c r="M347" s="29" t="n">
        <f aca="false">IF(L347=1,J347-Carry!$B$9/Inputs!$B$16,I347)</f>
        <v>0.0030116058074654</v>
      </c>
      <c r="N347" s="0" t="n">
        <v>0.065</v>
      </c>
      <c r="O347" s="0" t="n">
        <v>0.000125</v>
      </c>
      <c r="P347" s="29" t="n">
        <f aca="false">D347-('2 Hedge ratio'!$B$6+'2 Hedge ratio'!$B$5*E347)</f>
        <v>0.00901900070418016</v>
      </c>
      <c r="Q347" s="29" t="n">
        <f aca="false">D347-('5 Re-specification'!$B$7+'5 Re-specification'!$B$5*E347+'5 Re-specification'!$B$6*F347)</f>
        <v>-0.00150369665040806</v>
      </c>
      <c r="R347" s="30" t="n">
        <f aca="false">MIN(F347,Inputs!$B$9)</f>
        <v>250</v>
      </c>
      <c r="S347" s="29" t="n">
        <f aca="true">IF(AND(F347&gt;=1,R347&gt;=Inputs!$B$10),INDEX(LINEST(OFFSET(D347,-R347,0,R347,1),OFFSET(E347,-R347,0,R347,2)),1,1),"")</f>
        <v>-8.67354799947635E-005</v>
      </c>
      <c r="T347" s="29" t="n">
        <f aca="true">IF(AND(F347&gt;=1,R347&gt;=Inputs!$B$10),INDEX(LINEST(OFFSET(D347,-R347,0,R347,1),OFFSET(E347,-R347,0,R347,2)),1,2),"")</f>
        <v>1.03096061239534</v>
      </c>
      <c r="U347" s="29" t="n">
        <f aca="true">IF(AND(F347&gt;=1,R347&gt;=Inputs!$B$10),INDEX(LINEST(OFFSET(D347,-R347,0,R347,1),OFFSET(E347,-R347,0,R347,2)),1,3),"")</f>
        <v>4.353290030719</v>
      </c>
      <c r="V347" s="29" t="n">
        <f aca="true">IF(AND(F347&gt;=1,R347&gt;=Inputs!$B$10),SQRT(SUMPRODUCT((OFFSET(D347,-R347,0,R347,1)-U347-T347*OFFSET(E347,-R347,0,R347,1)-S347*OFFSET(F347,-R347,0,R347,1))^2)/(R347-3)),"")</f>
        <v>0.00347569808982076</v>
      </c>
      <c r="W347" s="31" t="n">
        <f aca="false">IF(AND(F347&gt;=1,R347&gt;=Inputs!$B$10),(D347-U347-T347*E347-S347*F347)/V347,"")</f>
        <v>-0.356195852900642</v>
      </c>
      <c r="X347" s="30" t="n">
        <f aca="false">IF(AB346&lt;&gt;0,AC346+1,0)</f>
        <v>0</v>
      </c>
      <c r="Y347" s="30" t="n">
        <f aca="false">IF(W347="",0,IF(AND(AB346&lt;&gt;0,OR(ABS(W347)&gt;Inputs!$B$7,X347&gt;=Inputs!$B$8,ABS(W347)&lt;Inputs!$B$6)),1,0))</f>
        <v>0</v>
      </c>
      <c r="Z347" s="30" t="n">
        <f aca="false">IF(Y347=1,0,AB346)</f>
        <v>0</v>
      </c>
      <c r="AA347" s="30" t="n">
        <f aca="false">IF(W347="",0,IF(AND(Z347=0,ABS(W347)&gt;Inputs!$B$5,ABS(W347)&lt;=Inputs!$B$7),1,0))</f>
        <v>0</v>
      </c>
      <c r="AB347" s="30" t="n">
        <f aca="false">IF(W347="",0,IF(AA347=1,-SIGN(W347),Z347))</f>
        <v>0</v>
      </c>
      <c r="AC347" s="30" t="n">
        <f aca="false">IF(W347="",0,IF(AA347=1,0,IF(Y347=1,0,X347)))</f>
        <v>0</v>
      </c>
      <c r="AD347" s="30" t="n">
        <f aca="false">IF(AB347=0,0,IF(AB346=AB347,AD346,T347))</f>
        <v>0</v>
      </c>
      <c r="AE347" s="30" t="n">
        <f aca="false">AB347-AB346</f>
        <v>0</v>
      </c>
      <c r="AF347" s="30" t="n">
        <f aca="false">-AD347*AB347</f>
        <v>-0</v>
      </c>
      <c r="AG347" s="30" t="n">
        <f aca="false">AF347-AF346</f>
        <v>0</v>
      </c>
      <c r="AH347" s="30" t="n">
        <f aca="false">MAX(AE347,0)*(Inputs!$B$17+Inputs!$B$18+Inputs!$B$19)+MAX(-AE347,0)*(O347+Inputs!$B$18+Inputs!$B$19)+IF(AND(K347=1,AB347&lt;&gt;0),(Inputs!$B$17+Inputs!$B$18+Inputs!$B$19)+(O347+Inputs!$B$18+Inputs!$B$19),0)+MAX(AG347,0)*(Inputs!$B$20+Inputs!$B$22+Inputs!$B$23)+MAX(-AG347,0)*(Inputs!$B$21+Inputs!$B$22+Inputs!$B$23)</f>
        <v>0</v>
      </c>
      <c r="AI347" s="30" t="n">
        <f aca="false">AB346*(M347-AD346*J347)+AB346*AD346*N347/Inputs!$B$16-AH347</f>
        <v>0</v>
      </c>
      <c r="AJ347" s="30" t="n">
        <f aca="false">MAX(AE347,0)*(Inputs!$B$17+Inputs!$B$24+Inputs!$B$25)+MAX(-AE347,0)*(O347+Inputs!$B$24+Inputs!$B$25)+IF(AND(K347=1,AB347&lt;&gt;0),(Inputs!$B$17+Inputs!$B$24+Inputs!$B$25)+(O347+Inputs!$B$24+Inputs!$B$25),0)+MAX(AG347,0)*(Inputs!$B$20+Inputs!$B$26+Inputs!$B$27)+MAX(-AG347,0)*(Inputs!$B$21+Inputs!$B$26+Inputs!$B$27)</f>
        <v>0</v>
      </c>
      <c r="AK347" s="30" t="n">
        <f aca="false">AB346*(M347-AD346*J347)+AB346*AD346*(N347+Inputs!$B$14)/Inputs!$B$16-AJ347</f>
        <v>0</v>
      </c>
      <c r="AL347" s="30" t="n">
        <f aca="false">IF(AP346&lt;&gt;0,AQ346+1,0)</f>
        <v>0</v>
      </c>
      <c r="AM347" s="30" t="n">
        <f aca="false">IF(W347="",0,IF(AND(AP346&lt;&gt;0,OR(ABS(W347)&gt;Inputs!$B$7,AL347&gt;=Inputs!$B$8,ABS(W347)&lt;Inputs!$B$6)),1,0))</f>
        <v>0</v>
      </c>
      <c r="AN347" s="30" t="n">
        <f aca="false">IF(AM347=1,0,AP346)</f>
        <v>0</v>
      </c>
      <c r="AO347" s="30" t="n">
        <f aca="false">IF(W347="",0,IF(AND(AN347=0,ABS(W347)&gt;Inputs!$B$5,ABS(W347)&lt;=Inputs!$B$7,W347&gt;0),1,0))</f>
        <v>0</v>
      </c>
      <c r="AP347" s="30" t="n">
        <f aca="false">IF(W347="",0,IF(AO347=1,-SIGN(W347),AN347))</f>
        <v>0</v>
      </c>
      <c r="AQ347" s="30" t="n">
        <f aca="false">IF(W347="",0,IF(AO347=1,0,IF(AM347=1,0,AL347)))</f>
        <v>0</v>
      </c>
      <c r="AR347" s="30" t="n">
        <f aca="false">IF(AP347=0,0,IF(AP346=AP347,AR346,T347))</f>
        <v>0</v>
      </c>
      <c r="AS347" s="30" t="n">
        <f aca="false">AP347-AP346</f>
        <v>0</v>
      </c>
      <c r="AT347" s="30" t="n">
        <f aca="false">-AR347*AP347</f>
        <v>-0</v>
      </c>
      <c r="AU347" s="30" t="n">
        <f aca="false">AT347-AT346</f>
        <v>0</v>
      </c>
      <c r="AV347" s="30" t="n">
        <f aca="false">MAX(AS347,0)*(Inputs!$B$17+Inputs!$B$18+Inputs!$B$19)+MAX(-AS347,0)*(O347+Inputs!$B$18+Inputs!$B$19)+IF(AND(K347=1,AP347&lt;&gt;0),(Inputs!$B$17+Inputs!$B$18+Inputs!$B$19)+(O347+Inputs!$B$18+Inputs!$B$19),0)+MAX(AU347,0)*(Inputs!$B$20+Inputs!$B$22+Inputs!$B$23)+MAX(-AU347,0)*(Inputs!$B$21+Inputs!$B$22+Inputs!$B$23)</f>
        <v>0</v>
      </c>
      <c r="AW347" s="30" t="n">
        <f aca="false">AP346*(M347-AR346*J347)+AP346*AR346*N347/Inputs!$B$16-AV347</f>
        <v>0</v>
      </c>
      <c r="AX347" s="30" t="n">
        <f aca="false">AW347-IF(AP346&lt;&gt;0,0.75*AR346*(Inputs!$B$13-N347)/Inputs!$B$16,0)</f>
        <v>0</v>
      </c>
      <c r="AY347" s="30" t="n">
        <f aca="false">MAX(AS347,0)*(Inputs!$B$17+Inputs!$B$18+Inputs!$B$19)+MAX(-AS347,0)*(O347+Inputs!$B$18+Inputs!$B$19)+IF(AND(K347=1,AP347&lt;&gt;0),(Inputs!$B$17+Inputs!$B$18+Inputs!$B$19)+(O347+Inputs!$B$18+Inputs!$B$19),0)</f>
        <v>0</v>
      </c>
      <c r="AZ347" s="30" t="n">
        <f aca="false">AP346*M347-AY347</f>
        <v>0</v>
      </c>
      <c r="BA347" s="32" t="n">
        <f aca="false">BA346+AI347</f>
        <v>0.00164515276832129</v>
      </c>
      <c r="BB347" s="30" t="n">
        <f aca="false">MAX(BB346,BA347)</f>
        <v>0.00284866043860449</v>
      </c>
      <c r="BC347" s="32" t="n">
        <f aca="false">BA347-BB347</f>
        <v>-0.0012035076702832</v>
      </c>
      <c r="BD347" s="30" t="n">
        <f aca="false">A348-A347</f>
        <v>1</v>
      </c>
    </row>
    <row r="348" customFormat="false" ht="15" hidden="false" customHeight="false" outlineLevel="0" collapsed="false">
      <c r="A348" s="28" t="n">
        <v>45552</v>
      </c>
      <c r="B348" s="0" t="n">
        <v>25446</v>
      </c>
      <c r="C348" s="0" t="n">
        <v>283.8</v>
      </c>
      <c r="D348" s="29" t="n">
        <f aca="false">LN(B348)</f>
        <v>10.1443138387026</v>
      </c>
      <c r="E348" s="29" t="n">
        <f aca="false">LN(C348)</f>
        <v>5.64826976472594</v>
      </c>
      <c r="F348" s="0" t="n">
        <v>343</v>
      </c>
      <c r="G348" s="0" t="n">
        <v>9</v>
      </c>
      <c r="H348" s="29" t="n">
        <f aca="false">D348-E348</f>
        <v>4.4960440739767</v>
      </c>
      <c r="I348" s="29" t="n">
        <f aca="false">D348-D347</f>
        <v>0.000235821248587342</v>
      </c>
      <c r="J348" s="29" t="n">
        <f aca="false">E348-E347</f>
        <v>0.00141043746936198</v>
      </c>
      <c r="K348" s="0" t="n">
        <v>0</v>
      </c>
      <c r="L348" s="0" t="n">
        <v>0</v>
      </c>
      <c r="M348" s="29" t="n">
        <f aca="false">IF(L348=1,J348-Carry!$B$9/Inputs!$B$16,I348)</f>
        <v>0.000235821248587342</v>
      </c>
      <c r="N348" s="0" t="n">
        <v>0.065</v>
      </c>
      <c r="O348" s="0" t="n">
        <v>0.000125</v>
      </c>
      <c r="P348" s="29" t="n">
        <f aca="false">D348-('2 Hedge ratio'!$B$6+'2 Hedge ratio'!$B$5*E348)</f>
        <v>0.00796268244483933</v>
      </c>
      <c r="Q348" s="29" t="n">
        <f aca="false">D348-('5 Re-specification'!$B$7+'5 Re-specification'!$B$5*E348+'5 Re-specification'!$B$6*F348)</f>
        <v>-0.00262910922230297</v>
      </c>
      <c r="R348" s="30" t="n">
        <f aca="false">MIN(F348,Inputs!$B$9)</f>
        <v>250</v>
      </c>
      <c r="S348" s="29" t="n">
        <f aca="true">IF(AND(F348&gt;=1,R348&gt;=Inputs!$B$10),INDEX(LINEST(OFFSET(D348,-R348,0,R348,1),OFFSET(E348,-R348,0,R348,2)),1,1),"")</f>
        <v>-8.75563989334134E-005</v>
      </c>
      <c r="T348" s="29" t="n">
        <f aca="true">IF(AND(F348&gt;=1,R348&gt;=Inputs!$B$10),INDEX(LINEST(OFFSET(D348,-R348,0,R348,1),OFFSET(E348,-R348,0,R348,2)),1,2),"")</f>
        <v>1.03143475762841</v>
      </c>
      <c r="U348" s="29" t="n">
        <f aca="true">IF(AND(F348&gt;=1,R348&gt;=Inputs!$B$10),INDEX(LINEST(OFFSET(D348,-R348,0,R348,1),OFFSET(E348,-R348,0,R348,2)),1,3),"")</f>
        <v>4.35086274619934</v>
      </c>
      <c r="V348" s="29" t="n">
        <f aca="true">IF(AND(F348&gt;=1,R348&gt;=Inputs!$B$10),SQRT(SUMPRODUCT((OFFSET(D348,-R348,0,R348,1)-U348-T348*OFFSET(E348,-R348,0,R348,1)-S348*OFFSET(F348,-R348,0,R348,1))^2)/(R348-3)),"")</f>
        <v>0.00347453468201753</v>
      </c>
      <c r="W348" s="31" t="n">
        <f aca="false">IF(AND(F348&gt;=1,R348&gt;=Inputs!$B$10),(D348-U348-T348*E348-S348*F348)/V348,"")</f>
        <v>-0.673131419463591</v>
      </c>
      <c r="X348" s="30" t="n">
        <f aca="false">IF(AB347&lt;&gt;0,AC347+1,0)</f>
        <v>0</v>
      </c>
      <c r="Y348" s="30" t="n">
        <f aca="false">IF(W348="",0,IF(AND(AB347&lt;&gt;0,OR(ABS(W348)&gt;Inputs!$B$7,X348&gt;=Inputs!$B$8,ABS(W348)&lt;Inputs!$B$6)),1,0))</f>
        <v>0</v>
      </c>
      <c r="Z348" s="30" t="n">
        <f aca="false">IF(Y348=1,0,AB347)</f>
        <v>0</v>
      </c>
      <c r="AA348" s="30" t="n">
        <f aca="false">IF(W348="",0,IF(AND(Z348=0,ABS(W348)&gt;Inputs!$B$5,ABS(W348)&lt;=Inputs!$B$7),1,0))</f>
        <v>0</v>
      </c>
      <c r="AB348" s="30" t="n">
        <f aca="false">IF(W348="",0,IF(AA348=1,-SIGN(W348),Z348))</f>
        <v>0</v>
      </c>
      <c r="AC348" s="30" t="n">
        <f aca="false">IF(W348="",0,IF(AA348=1,0,IF(Y348=1,0,X348)))</f>
        <v>0</v>
      </c>
      <c r="AD348" s="30" t="n">
        <f aca="false">IF(AB348=0,0,IF(AB347=AB348,AD347,T348))</f>
        <v>0</v>
      </c>
      <c r="AE348" s="30" t="n">
        <f aca="false">AB348-AB347</f>
        <v>0</v>
      </c>
      <c r="AF348" s="30" t="n">
        <f aca="false">-AD348*AB348</f>
        <v>-0</v>
      </c>
      <c r="AG348" s="30" t="n">
        <f aca="false">AF348-AF347</f>
        <v>0</v>
      </c>
      <c r="AH348" s="30" t="n">
        <f aca="false">MAX(AE348,0)*(Inputs!$B$17+Inputs!$B$18+Inputs!$B$19)+MAX(-AE348,0)*(O348+Inputs!$B$18+Inputs!$B$19)+IF(AND(K348=1,AB348&lt;&gt;0),(Inputs!$B$17+Inputs!$B$18+Inputs!$B$19)+(O348+Inputs!$B$18+Inputs!$B$19),0)+MAX(AG348,0)*(Inputs!$B$20+Inputs!$B$22+Inputs!$B$23)+MAX(-AG348,0)*(Inputs!$B$21+Inputs!$B$22+Inputs!$B$23)</f>
        <v>0</v>
      </c>
      <c r="AI348" s="30" t="n">
        <f aca="false">AB347*(M348-AD347*J348)+AB347*AD347*N348/Inputs!$B$16-AH348</f>
        <v>0</v>
      </c>
      <c r="AJ348" s="30" t="n">
        <f aca="false">MAX(AE348,0)*(Inputs!$B$17+Inputs!$B$24+Inputs!$B$25)+MAX(-AE348,0)*(O348+Inputs!$B$24+Inputs!$B$25)+IF(AND(K348=1,AB348&lt;&gt;0),(Inputs!$B$17+Inputs!$B$24+Inputs!$B$25)+(O348+Inputs!$B$24+Inputs!$B$25),0)+MAX(AG348,0)*(Inputs!$B$20+Inputs!$B$26+Inputs!$B$27)+MAX(-AG348,0)*(Inputs!$B$21+Inputs!$B$26+Inputs!$B$27)</f>
        <v>0</v>
      </c>
      <c r="AK348" s="30" t="n">
        <f aca="false">AB347*(M348-AD347*J348)+AB347*AD347*(N348+Inputs!$B$14)/Inputs!$B$16-AJ348</f>
        <v>0</v>
      </c>
      <c r="AL348" s="30" t="n">
        <f aca="false">IF(AP347&lt;&gt;0,AQ347+1,0)</f>
        <v>0</v>
      </c>
      <c r="AM348" s="30" t="n">
        <f aca="false">IF(W348="",0,IF(AND(AP347&lt;&gt;0,OR(ABS(W348)&gt;Inputs!$B$7,AL348&gt;=Inputs!$B$8,ABS(W348)&lt;Inputs!$B$6)),1,0))</f>
        <v>0</v>
      </c>
      <c r="AN348" s="30" t="n">
        <f aca="false">IF(AM348=1,0,AP347)</f>
        <v>0</v>
      </c>
      <c r="AO348" s="30" t="n">
        <f aca="false">IF(W348="",0,IF(AND(AN348=0,ABS(W348)&gt;Inputs!$B$5,ABS(W348)&lt;=Inputs!$B$7,W348&gt;0),1,0))</f>
        <v>0</v>
      </c>
      <c r="AP348" s="30" t="n">
        <f aca="false">IF(W348="",0,IF(AO348=1,-SIGN(W348),AN348))</f>
        <v>0</v>
      </c>
      <c r="AQ348" s="30" t="n">
        <f aca="false">IF(W348="",0,IF(AO348=1,0,IF(AM348=1,0,AL348)))</f>
        <v>0</v>
      </c>
      <c r="AR348" s="30" t="n">
        <f aca="false">IF(AP348=0,0,IF(AP347=AP348,AR347,T348))</f>
        <v>0</v>
      </c>
      <c r="AS348" s="30" t="n">
        <f aca="false">AP348-AP347</f>
        <v>0</v>
      </c>
      <c r="AT348" s="30" t="n">
        <f aca="false">-AR348*AP348</f>
        <v>-0</v>
      </c>
      <c r="AU348" s="30" t="n">
        <f aca="false">AT348-AT347</f>
        <v>0</v>
      </c>
      <c r="AV348" s="30" t="n">
        <f aca="false">MAX(AS348,0)*(Inputs!$B$17+Inputs!$B$18+Inputs!$B$19)+MAX(-AS348,0)*(O348+Inputs!$B$18+Inputs!$B$19)+IF(AND(K348=1,AP348&lt;&gt;0),(Inputs!$B$17+Inputs!$B$18+Inputs!$B$19)+(O348+Inputs!$B$18+Inputs!$B$19),0)+MAX(AU348,0)*(Inputs!$B$20+Inputs!$B$22+Inputs!$B$23)+MAX(-AU348,0)*(Inputs!$B$21+Inputs!$B$22+Inputs!$B$23)</f>
        <v>0</v>
      </c>
      <c r="AW348" s="30" t="n">
        <f aca="false">AP347*(M348-AR347*J348)+AP347*AR347*N348/Inputs!$B$16-AV348</f>
        <v>0</v>
      </c>
      <c r="AX348" s="30" t="n">
        <f aca="false">AW348-IF(AP347&lt;&gt;0,0.75*AR347*(Inputs!$B$13-N348)/Inputs!$B$16,0)</f>
        <v>0</v>
      </c>
      <c r="AY348" s="30" t="n">
        <f aca="false">MAX(AS348,0)*(Inputs!$B$17+Inputs!$B$18+Inputs!$B$19)+MAX(-AS348,0)*(O348+Inputs!$B$18+Inputs!$B$19)+IF(AND(K348=1,AP348&lt;&gt;0),(Inputs!$B$17+Inputs!$B$18+Inputs!$B$19)+(O348+Inputs!$B$18+Inputs!$B$19),0)</f>
        <v>0</v>
      </c>
      <c r="AZ348" s="30" t="n">
        <f aca="false">AP347*M348-AY348</f>
        <v>0</v>
      </c>
      <c r="BA348" s="32" t="n">
        <f aca="false">BA347+AI348</f>
        <v>0.00164515276832129</v>
      </c>
      <c r="BB348" s="30" t="n">
        <f aca="false">MAX(BB347,BA348)</f>
        <v>0.00284866043860449</v>
      </c>
      <c r="BC348" s="32" t="n">
        <f aca="false">BA348-BB348</f>
        <v>-0.0012035076702832</v>
      </c>
      <c r="BD348" s="30" t="n">
        <f aca="false">A349-A348</f>
        <v>1</v>
      </c>
    </row>
    <row r="349" customFormat="false" ht="15" hidden="false" customHeight="false" outlineLevel="0" collapsed="false">
      <c r="A349" s="28" t="n">
        <v>45553</v>
      </c>
      <c r="B349" s="0" t="n">
        <v>25371.45</v>
      </c>
      <c r="C349" s="0" t="n">
        <v>283</v>
      </c>
      <c r="D349" s="29" t="n">
        <f aca="false">LN(B349)</f>
        <v>10.1413798050791</v>
      </c>
      <c r="E349" s="29" t="n">
        <f aca="false">LN(C349)</f>
        <v>5.64544689764324</v>
      </c>
      <c r="F349" s="0" t="n">
        <v>344</v>
      </c>
      <c r="G349" s="0" t="n">
        <v>8</v>
      </c>
      <c r="H349" s="29" t="n">
        <f aca="false">D349-E349</f>
        <v>4.49593290743589</v>
      </c>
      <c r="I349" s="29" t="n">
        <f aca="false">D349-D348</f>
        <v>-0.00293403362351441</v>
      </c>
      <c r="J349" s="29" t="n">
        <f aca="false">E349-E348</f>
        <v>-0.00282286708270441</v>
      </c>
      <c r="K349" s="0" t="n">
        <v>0</v>
      </c>
      <c r="L349" s="0" t="n">
        <v>0</v>
      </c>
      <c r="M349" s="29" t="n">
        <f aca="false">IF(L349=1,J349-Carry!$B$9/Inputs!$B$16,I349)</f>
        <v>-0.00293403362351441</v>
      </c>
      <c r="N349" s="0" t="n">
        <v>0.065</v>
      </c>
      <c r="O349" s="0" t="n">
        <v>0.000125</v>
      </c>
      <c r="P349" s="29" t="n">
        <f aca="false">D349-('2 Hedge ratio'!$B$6+'2 Hedge ratio'!$B$5*E349)</f>
        <v>0.00761475289358771</v>
      </c>
      <c r="Q349" s="29" t="n">
        <f aca="false">D349-('5 Re-specification'!$B$7+'5 Re-specification'!$B$5*E349+'5 Re-specification'!$B$6*F349)</f>
        <v>-0.0027039011437715</v>
      </c>
      <c r="R349" s="30" t="n">
        <f aca="false">MIN(F349,Inputs!$B$9)</f>
        <v>250</v>
      </c>
      <c r="S349" s="29" t="n">
        <f aca="true">IF(AND(F349&gt;=1,R349&gt;=Inputs!$B$10),INDEX(LINEST(OFFSET(D349,-R349,0,R349,1),OFFSET(E349,-R349,0,R349,2)),1,1),"")</f>
        <v>-8.79144149371808E-005</v>
      </c>
      <c r="T349" s="29" t="n">
        <f aca="true">IF(AND(F349&gt;=1,R349&gt;=Inputs!$B$10),INDEX(LINEST(OFFSET(D349,-R349,0,R349,1),OFFSET(E349,-R349,0,R349,2)),1,2),"")</f>
        <v>1.03148816754405</v>
      </c>
      <c r="U349" s="29" t="n">
        <f aca="true">IF(AND(F349&gt;=1,R349&gt;=Inputs!$B$10),INDEX(LINEST(OFFSET(D349,-R349,0,R349,1),OFFSET(E349,-R349,0,R349,2)),1,3),"")</f>
        <v>4.35064087202235</v>
      </c>
      <c r="V349" s="29" t="n">
        <f aca="true">IF(AND(F349&gt;=1,R349&gt;=Inputs!$B$10),SQRT(SUMPRODUCT((OFFSET(D349,-R349,0,R349,1)-U349-T349*OFFSET(E349,-R349,0,R349,1)-S349*OFFSET(F349,-R349,0,R349,1))^2)/(R349-3)),"")</f>
        <v>0.0034772938782074</v>
      </c>
      <c r="W349" s="31" t="n">
        <f aca="false">IF(AND(F349&gt;=1,R349&gt;=Inputs!$B$10),(D349-U349-T349*E349-S349*F349)/V349,"")</f>
        <v>-0.641356094774725</v>
      </c>
      <c r="X349" s="30" t="n">
        <f aca="false">IF(AB348&lt;&gt;0,AC348+1,0)</f>
        <v>0</v>
      </c>
      <c r="Y349" s="30" t="n">
        <f aca="false">IF(W349="",0,IF(AND(AB348&lt;&gt;0,OR(ABS(W349)&gt;Inputs!$B$7,X349&gt;=Inputs!$B$8,ABS(W349)&lt;Inputs!$B$6)),1,0))</f>
        <v>0</v>
      </c>
      <c r="Z349" s="30" t="n">
        <f aca="false">IF(Y349=1,0,AB348)</f>
        <v>0</v>
      </c>
      <c r="AA349" s="30" t="n">
        <f aca="false">IF(W349="",0,IF(AND(Z349=0,ABS(W349)&gt;Inputs!$B$5,ABS(W349)&lt;=Inputs!$B$7),1,0))</f>
        <v>0</v>
      </c>
      <c r="AB349" s="30" t="n">
        <f aca="false">IF(W349="",0,IF(AA349=1,-SIGN(W349),Z349))</f>
        <v>0</v>
      </c>
      <c r="AC349" s="30" t="n">
        <f aca="false">IF(W349="",0,IF(AA349=1,0,IF(Y349=1,0,X349)))</f>
        <v>0</v>
      </c>
      <c r="AD349" s="30" t="n">
        <f aca="false">IF(AB349=0,0,IF(AB348=AB349,AD348,T349))</f>
        <v>0</v>
      </c>
      <c r="AE349" s="30" t="n">
        <f aca="false">AB349-AB348</f>
        <v>0</v>
      </c>
      <c r="AF349" s="30" t="n">
        <f aca="false">-AD349*AB349</f>
        <v>-0</v>
      </c>
      <c r="AG349" s="30" t="n">
        <f aca="false">AF349-AF348</f>
        <v>0</v>
      </c>
      <c r="AH349" s="30" t="n">
        <f aca="false">MAX(AE349,0)*(Inputs!$B$17+Inputs!$B$18+Inputs!$B$19)+MAX(-AE349,0)*(O349+Inputs!$B$18+Inputs!$B$19)+IF(AND(K349=1,AB349&lt;&gt;0),(Inputs!$B$17+Inputs!$B$18+Inputs!$B$19)+(O349+Inputs!$B$18+Inputs!$B$19),0)+MAX(AG349,0)*(Inputs!$B$20+Inputs!$B$22+Inputs!$B$23)+MAX(-AG349,0)*(Inputs!$B$21+Inputs!$B$22+Inputs!$B$23)</f>
        <v>0</v>
      </c>
      <c r="AI349" s="30" t="n">
        <f aca="false">AB348*(M349-AD348*J349)+AB348*AD348*N349/Inputs!$B$16-AH349</f>
        <v>0</v>
      </c>
      <c r="AJ349" s="30" t="n">
        <f aca="false">MAX(AE349,0)*(Inputs!$B$17+Inputs!$B$24+Inputs!$B$25)+MAX(-AE349,0)*(O349+Inputs!$B$24+Inputs!$B$25)+IF(AND(K349=1,AB349&lt;&gt;0),(Inputs!$B$17+Inputs!$B$24+Inputs!$B$25)+(O349+Inputs!$B$24+Inputs!$B$25),0)+MAX(AG349,0)*(Inputs!$B$20+Inputs!$B$26+Inputs!$B$27)+MAX(-AG349,0)*(Inputs!$B$21+Inputs!$B$26+Inputs!$B$27)</f>
        <v>0</v>
      </c>
      <c r="AK349" s="30" t="n">
        <f aca="false">AB348*(M349-AD348*J349)+AB348*AD348*(N349+Inputs!$B$14)/Inputs!$B$16-AJ349</f>
        <v>0</v>
      </c>
      <c r="AL349" s="30" t="n">
        <f aca="false">IF(AP348&lt;&gt;0,AQ348+1,0)</f>
        <v>0</v>
      </c>
      <c r="AM349" s="30" t="n">
        <f aca="false">IF(W349="",0,IF(AND(AP348&lt;&gt;0,OR(ABS(W349)&gt;Inputs!$B$7,AL349&gt;=Inputs!$B$8,ABS(W349)&lt;Inputs!$B$6)),1,0))</f>
        <v>0</v>
      </c>
      <c r="AN349" s="30" t="n">
        <f aca="false">IF(AM349=1,0,AP348)</f>
        <v>0</v>
      </c>
      <c r="AO349" s="30" t="n">
        <f aca="false">IF(W349="",0,IF(AND(AN349=0,ABS(W349)&gt;Inputs!$B$5,ABS(W349)&lt;=Inputs!$B$7,W349&gt;0),1,0))</f>
        <v>0</v>
      </c>
      <c r="AP349" s="30" t="n">
        <f aca="false">IF(W349="",0,IF(AO349=1,-SIGN(W349),AN349))</f>
        <v>0</v>
      </c>
      <c r="AQ349" s="30" t="n">
        <f aca="false">IF(W349="",0,IF(AO349=1,0,IF(AM349=1,0,AL349)))</f>
        <v>0</v>
      </c>
      <c r="AR349" s="30" t="n">
        <f aca="false">IF(AP349=0,0,IF(AP348=AP349,AR348,T349))</f>
        <v>0</v>
      </c>
      <c r="AS349" s="30" t="n">
        <f aca="false">AP349-AP348</f>
        <v>0</v>
      </c>
      <c r="AT349" s="30" t="n">
        <f aca="false">-AR349*AP349</f>
        <v>-0</v>
      </c>
      <c r="AU349" s="30" t="n">
        <f aca="false">AT349-AT348</f>
        <v>0</v>
      </c>
      <c r="AV349" s="30" t="n">
        <f aca="false">MAX(AS349,0)*(Inputs!$B$17+Inputs!$B$18+Inputs!$B$19)+MAX(-AS349,0)*(O349+Inputs!$B$18+Inputs!$B$19)+IF(AND(K349=1,AP349&lt;&gt;0),(Inputs!$B$17+Inputs!$B$18+Inputs!$B$19)+(O349+Inputs!$B$18+Inputs!$B$19),0)+MAX(AU349,0)*(Inputs!$B$20+Inputs!$B$22+Inputs!$B$23)+MAX(-AU349,0)*(Inputs!$B$21+Inputs!$B$22+Inputs!$B$23)</f>
        <v>0</v>
      </c>
      <c r="AW349" s="30" t="n">
        <f aca="false">AP348*(M349-AR348*J349)+AP348*AR348*N349/Inputs!$B$16-AV349</f>
        <v>0</v>
      </c>
      <c r="AX349" s="30" t="n">
        <f aca="false">AW349-IF(AP348&lt;&gt;0,0.75*AR348*(Inputs!$B$13-N349)/Inputs!$B$16,0)</f>
        <v>0</v>
      </c>
      <c r="AY349" s="30" t="n">
        <f aca="false">MAX(AS349,0)*(Inputs!$B$17+Inputs!$B$18+Inputs!$B$19)+MAX(-AS349,0)*(O349+Inputs!$B$18+Inputs!$B$19)+IF(AND(K349=1,AP349&lt;&gt;0),(Inputs!$B$17+Inputs!$B$18+Inputs!$B$19)+(O349+Inputs!$B$18+Inputs!$B$19),0)</f>
        <v>0</v>
      </c>
      <c r="AZ349" s="30" t="n">
        <f aca="false">AP348*M349-AY349</f>
        <v>-0</v>
      </c>
      <c r="BA349" s="32" t="n">
        <f aca="false">BA348+AI349</f>
        <v>0.00164515276832129</v>
      </c>
      <c r="BB349" s="30" t="n">
        <f aca="false">MAX(BB348,BA349)</f>
        <v>0.00284866043860449</v>
      </c>
      <c r="BC349" s="32" t="n">
        <f aca="false">BA349-BB349</f>
        <v>-0.0012035076702832</v>
      </c>
      <c r="BD349" s="30" t="n">
        <f aca="false">A350-A349</f>
        <v>1</v>
      </c>
    </row>
    <row r="350" customFormat="false" ht="15" hidden="false" customHeight="false" outlineLevel="0" collapsed="false">
      <c r="A350" s="28" t="n">
        <v>45554</v>
      </c>
      <c r="B350" s="0" t="n">
        <v>25509</v>
      </c>
      <c r="C350" s="0" t="n">
        <v>284.2</v>
      </c>
      <c r="D350" s="29" t="n">
        <f aca="false">LN(B350)</f>
        <v>10.1467866100539</v>
      </c>
      <c r="E350" s="29" t="n">
        <f aca="false">LN(C350)</f>
        <v>5.649678215663</v>
      </c>
      <c r="F350" s="0" t="n">
        <v>345</v>
      </c>
      <c r="G350" s="0" t="n">
        <v>7</v>
      </c>
      <c r="H350" s="29" t="n">
        <f aca="false">D350-E350</f>
        <v>4.4971083943909</v>
      </c>
      <c r="I350" s="29" t="n">
        <f aca="false">D350-D349</f>
        <v>0.00540680497477197</v>
      </c>
      <c r="J350" s="29" t="n">
        <f aca="false">E350-E349</f>
        <v>0.0042313180197624</v>
      </c>
      <c r="K350" s="0" t="n">
        <v>0</v>
      </c>
      <c r="L350" s="0" t="n">
        <v>0</v>
      </c>
      <c r="M350" s="29" t="n">
        <f aca="false">IF(L350=1,J350-Carry!$B$9/Inputs!$B$16,I350)</f>
        <v>0.00540680497477197</v>
      </c>
      <c r="N350" s="0" t="n">
        <v>0.065</v>
      </c>
      <c r="O350" s="0" t="n">
        <v>0.000125</v>
      </c>
      <c r="P350" s="29" t="n">
        <f aca="false">D350-('2 Hedge ratio'!$B$6+'2 Hedge ratio'!$B$5*E350)</f>
        <v>0.00914513420357288</v>
      </c>
      <c r="Q350" s="29" t="n">
        <f aca="false">D350-('5 Re-specification'!$B$7+'5 Re-specification'!$B$5*E350+'5 Re-specification'!$B$6*F350)</f>
        <v>-0.00147066186131717</v>
      </c>
      <c r="R350" s="30" t="n">
        <f aca="false">MIN(F350,Inputs!$B$9)</f>
        <v>250</v>
      </c>
      <c r="S350" s="29" t="n">
        <f aca="true">IF(AND(F350&gt;=1,R350&gt;=Inputs!$B$10),INDEX(LINEST(OFFSET(D350,-R350,0,R350,1),OFFSET(E350,-R350,0,R350,2)),1,1),"")</f>
        <v>-8.93997320062331E-005</v>
      </c>
      <c r="T350" s="29" t="n">
        <f aca="true">IF(AND(F350&gt;=1,R350&gt;=Inputs!$B$10),INDEX(LINEST(OFFSET(D350,-R350,0,R350,1),OFFSET(E350,-R350,0,R350,2)),1,2),"")</f>
        <v>1.0323878888926</v>
      </c>
      <c r="U350" s="29" t="n">
        <f aca="true">IF(AND(F350&gt;=1,R350&gt;=Inputs!$B$10),INDEX(LINEST(OFFSET(D350,-R350,0,R350,1),OFFSET(E350,-R350,0,R350,2)),1,3),"")</f>
        <v>4.34601801725764</v>
      </c>
      <c r="V350" s="29" t="n">
        <f aca="true">IF(AND(F350&gt;=1,R350&gt;=Inputs!$B$10),SQRT(SUMPRODUCT((OFFSET(D350,-R350,0,R350,1)-U350-T350*OFFSET(E350,-R350,0,R350,1)-S350*OFFSET(F350,-R350,0,R350,1))^2)/(R350-3)),"")</f>
        <v>0.00347543459952937</v>
      </c>
      <c r="W350" s="31" t="n">
        <f aca="false">IF(AND(F350&gt;=1,R350&gt;=Inputs!$B$10),(D350-U350-T350*E350-S350*F350)/V350,"")</f>
        <v>-0.301506364862828</v>
      </c>
      <c r="X350" s="30" t="n">
        <f aca="false">IF(AB349&lt;&gt;0,AC349+1,0)</f>
        <v>0</v>
      </c>
      <c r="Y350" s="30" t="n">
        <f aca="false">IF(W350="",0,IF(AND(AB349&lt;&gt;0,OR(ABS(W350)&gt;Inputs!$B$7,X350&gt;=Inputs!$B$8,ABS(W350)&lt;Inputs!$B$6)),1,0))</f>
        <v>0</v>
      </c>
      <c r="Z350" s="30" t="n">
        <f aca="false">IF(Y350=1,0,AB349)</f>
        <v>0</v>
      </c>
      <c r="AA350" s="30" t="n">
        <f aca="false">IF(W350="",0,IF(AND(Z350=0,ABS(W350)&gt;Inputs!$B$5,ABS(W350)&lt;=Inputs!$B$7),1,0))</f>
        <v>0</v>
      </c>
      <c r="AB350" s="30" t="n">
        <f aca="false">IF(W350="",0,IF(AA350=1,-SIGN(W350),Z350))</f>
        <v>0</v>
      </c>
      <c r="AC350" s="30" t="n">
        <f aca="false">IF(W350="",0,IF(AA350=1,0,IF(Y350=1,0,X350)))</f>
        <v>0</v>
      </c>
      <c r="AD350" s="30" t="n">
        <f aca="false">IF(AB350=0,0,IF(AB349=AB350,AD349,T350))</f>
        <v>0</v>
      </c>
      <c r="AE350" s="30" t="n">
        <f aca="false">AB350-AB349</f>
        <v>0</v>
      </c>
      <c r="AF350" s="30" t="n">
        <f aca="false">-AD350*AB350</f>
        <v>-0</v>
      </c>
      <c r="AG350" s="30" t="n">
        <f aca="false">AF350-AF349</f>
        <v>0</v>
      </c>
      <c r="AH350" s="30" t="n">
        <f aca="false">MAX(AE350,0)*(Inputs!$B$17+Inputs!$B$18+Inputs!$B$19)+MAX(-AE350,0)*(O350+Inputs!$B$18+Inputs!$B$19)+IF(AND(K350=1,AB350&lt;&gt;0),(Inputs!$B$17+Inputs!$B$18+Inputs!$B$19)+(O350+Inputs!$B$18+Inputs!$B$19),0)+MAX(AG350,0)*(Inputs!$B$20+Inputs!$B$22+Inputs!$B$23)+MAX(-AG350,0)*(Inputs!$B$21+Inputs!$B$22+Inputs!$B$23)</f>
        <v>0</v>
      </c>
      <c r="AI350" s="30" t="n">
        <f aca="false">AB349*(M350-AD349*J350)+AB349*AD349*N350/Inputs!$B$16-AH350</f>
        <v>0</v>
      </c>
      <c r="AJ350" s="30" t="n">
        <f aca="false">MAX(AE350,0)*(Inputs!$B$17+Inputs!$B$24+Inputs!$B$25)+MAX(-AE350,0)*(O350+Inputs!$B$24+Inputs!$B$25)+IF(AND(K350=1,AB350&lt;&gt;0),(Inputs!$B$17+Inputs!$B$24+Inputs!$B$25)+(O350+Inputs!$B$24+Inputs!$B$25),0)+MAX(AG350,0)*(Inputs!$B$20+Inputs!$B$26+Inputs!$B$27)+MAX(-AG350,0)*(Inputs!$B$21+Inputs!$B$26+Inputs!$B$27)</f>
        <v>0</v>
      </c>
      <c r="AK350" s="30" t="n">
        <f aca="false">AB349*(M350-AD349*J350)+AB349*AD349*(N350+Inputs!$B$14)/Inputs!$B$16-AJ350</f>
        <v>0</v>
      </c>
      <c r="AL350" s="30" t="n">
        <f aca="false">IF(AP349&lt;&gt;0,AQ349+1,0)</f>
        <v>0</v>
      </c>
      <c r="AM350" s="30" t="n">
        <f aca="false">IF(W350="",0,IF(AND(AP349&lt;&gt;0,OR(ABS(W350)&gt;Inputs!$B$7,AL350&gt;=Inputs!$B$8,ABS(W350)&lt;Inputs!$B$6)),1,0))</f>
        <v>0</v>
      </c>
      <c r="AN350" s="30" t="n">
        <f aca="false">IF(AM350=1,0,AP349)</f>
        <v>0</v>
      </c>
      <c r="AO350" s="30" t="n">
        <f aca="false">IF(W350="",0,IF(AND(AN350=0,ABS(W350)&gt;Inputs!$B$5,ABS(W350)&lt;=Inputs!$B$7,W350&gt;0),1,0))</f>
        <v>0</v>
      </c>
      <c r="AP350" s="30" t="n">
        <f aca="false">IF(W350="",0,IF(AO350=1,-SIGN(W350),AN350))</f>
        <v>0</v>
      </c>
      <c r="AQ350" s="30" t="n">
        <f aca="false">IF(W350="",0,IF(AO350=1,0,IF(AM350=1,0,AL350)))</f>
        <v>0</v>
      </c>
      <c r="AR350" s="30" t="n">
        <f aca="false">IF(AP350=0,0,IF(AP349=AP350,AR349,T350))</f>
        <v>0</v>
      </c>
      <c r="AS350" s="30" t="n">
        <f aca="false">AP350-AP349</f>
        <v>0</v>
      </c>
      <c r="AT350" s="30" t="n">
        <f aca="false">-AR350*AP350</f>
        <v>-0</v>
      </c>
      <c r="AU350" s="30" t="n">
        <f aca="false">AT350-AT349</f>
        <v>0</v>
      </c>
      <c r="AV350" s="30" t="n">
        <f aca="false">MAX(AS350,0)*(Inputs!$B$17+Inputs!$B$18+Inputs!$B$19)+MAX(-AS350,0)*(O350+Inputs!$B$18+Inputs!$B$19)+IF(AND(K350=1,AP350&lt;&gt;0),(Inputs!$B$17+Inputs!$B$18+Inputs!$B$19)+(O350+Inputs!$B$18+Inputs!$B$19),0)+MAX(AU350,0)*(Inputs!$B$20+Inputs!$B$22+Inputs!$B$23)+MAX(-AU350,0)*(Inputs!$B$21+Inputs!$B$22+Inputs!$B$23)</f>
        <v>0</v>
      </c>
      <c r="AW350" s="30" t="n">
        <f aca="false">AP349*(M350-AR349*J350)+AP349*AR349*N350/Inputs!$B$16-AV350</f>
        <v>0</v>
      </c>
      <c r="AX350" s="30" t="n">
        <f aca="false">AW350-IF(AP349&lt;&gt;0,0.75*AR349*(Inputs!$B$13-N350)/Inputs!$B$16,0)</f>
        <v>0</v>
      </c>
      <c r="AY350" s="30" t="n">
        <f aca="false">MAX(AS350,0)*(Inputs!$B$17+Inputs!$B$18+Inputs!$B$19)+MAX(-AS350,0)*(O350+Inputs!$B$18+Inputs!$B$19)+IF(AND(K350=1,AP350&lt;&gt;0),(Inputs!$B$17+Inputs!$B$18+Inputs!$B$19)+(O350+Inputs!$B$18+Inputs!$B$19),0)</f>
        <v>0</v>
      </c>
      <c r="AZ350" s="30" t="n">
        <f aca="false">AP349*M350-AY350</f>
        <v>0</v>
      </c>
      <c r="BA350" s="32" t="n">
        <f aca="false">BA349+AI350</f>
        <v>0.00164515276832129</v>
      </c>
      <c r="BB350" s="30" t="n">
        <f aca="false">MAX(BB349,BA350)</f>
        <v>0.00284866043860449</v>
      </c>
      <c r="BC350" s="32" t="n">
        <f aca="false">BA350-BB350</f>
        <v>-0.0012035076702832</v>
      </c>
      <c r="BD350" s="30" t="n">
        <f aca="false">A351-A350</f>
        <v>1</v>
      </c>
    </row>
    <row r="351" customFormat="false" ht="15" hidden="false" customHeight="false" outlineLevel="0" collapsed="false">
      <c r="A351" s="28" t="n">
        <v>45555</v>
      </c>
      <c r="B351" s="0" t="n">
        <v>25786.8</v>
      </c>
      <c r="C351" s="0" t="n">
        <v>287.2</v>
      </c>
      <c r="D351" s="29" t="n">
        <f aca="false">LN(B351)</f>
        <v>10.1576180120765</v>
      </c>
      <c r="E351" s="29" t="n">
        <f aca="false">LN(C351)</f>
        <v>5.66017883717407</v>
      </c>
      <c r="F351" s="0" t="n">
        <v>346</v>
      </c>
      <c r="G351" s="0" t="n">
        <v>6</v>
      </c>
      <c r="H351" s="29" t="n">
        <f aca="false">D351-E351</f>
        <v>4.49743917490245</v>
      </c>
      <c r="I351" s="29" t="n">
        <f aca="false">D351-D350</f>
        <v>0.0108314020226121</v>
      </c>
      <c r="J351" s="29" t="n">
        <f aca="false">E351-E350</f>
        <v>0.0105006215110688</v>
      </c>
      <c r="K351" s="0" t="n">
        <v>0</v>
      </c>
      <c r="L351" s="0" t="n">
        <v>0</v>
      </c>
      <c r="M351" s="29" t="n">
        <f aca="false">IF(L351=1,J351-Carry!$B$9/Inputs!$B$16,I351)</f>
        <v>0.0108314020226121</v>
      </c>
      <c r="N351" s="0" t="n">
        <v>0.065</v>
      </c>
      <c r="O351" s="0" t="n">
        <v>0.000125</v>
      </c>
      <c r="P351" s="29" t="n">
        <f aca="false">D351-('2 Hedge ratio'!$B$6+'2 Hedge ratio'!$B$5*E351)</f>
        <v>0.0103566358711724</v>
      </c>
      <c r="Q351" s="29" t="n">
        <f aca="false">D351-('5 Re-specification'!$B$7+'5 Re-specification'!$B$5*E351+'5 Re-specification'!$B$6*F351)</f>
        <v>-0.00106312989796642</v>
      </c>
      <c r="R351" s="30" t="n">
        <f aca="false">MIN(F351,Inputs!$B$9)</f>
        <v>250</v>
      </c>
      <c r="S351" s="29" t="n">
        <f aca="true">IF(AND(F351&gt;=1,R351&gt;=Inputs!$B$10),INDEX(LINEST(OFFSET(D351,-R351,0,R351,1),OFFSET(E351,-R351,0,R351,2)),1,1),"")</f>
        <v>-8.95373791758562E-005</v>
      </c>
      <c r="T351" s="29" t="n">
        <f aca="true">IF(AND(F351&gt;=1,R351&gt;=Inputs!$B$10),INDEX(LINEST(OFFSET(D351,-R351,0,R351,1),OFFSET(E351,-R351,0,R351,2)),1,2),"")</f>
        <v>1.03240228154322</v>
      </c>
      <c r="U351" s="29" t="n">
        <f aca="true">IF(AND(F351&gt;=1,R351&gt;=Inputs!$B$10),INDEX(LINEST(OFFSET(D351,-R351,0,R351,1),OFFSET(E351,-R351,0,R351,2)),1,3),"")</f>
        <v>4.34596584646951</v>
      </c>
      <c r="V351" s="29" t="n">
        <f aca="true">IF(AND(F351&gt;=1,R351&gt;=Inputs!$B$10),SQRT(SUMPRODUCT((OFFSET(D351,-R351,0,R351,1)-U351-T351*OFFSET(E351,-R351,0,R351,1)-S351*OFFSET(F351,-R351,0,R351,1))^2)/(R351-3)),"")</f>
        <v>0.00347603273141841</v>
      </c>
      <c r="W351" s="31" t="n">
        <f aca="false">IF(AND(F351&gt;=1,R351&gt;=Inputs!$B$10),(D351-U351-T351*E351-S351*F351)/V351,"")</f>
        <v>-0.273140880037844</v>
      </c>
      <c r="X351" s="30" t="n">
        <f aca="false">IF(AB350&lt;&gt;0,AC350+1,0)</f>
        <v>0</v>
      </c>
      <c r="Y351" s="30" t="n">
        <f aca="false">IF(W351="",0,IF(AND(AB350&lt;&gt;0,OR(ABS(W351)&gt;Inputs!$B$7,X351&gt;=Inputs!$B$8,ABS(W351)&lt;Inputs!$B$6)),1,0))</f>
        <v>0</v>
      </c>
      <c r="Z351" s="30" t="n">
        <f aca="false">IF(Y351=1,0,AB350)</f>
        <v>0</v>
      </c>
      <c r="AA351" s="30" t="n">
        <f aca="false">IF(W351="",0,IF(AND(Z351=0,ABS(W351)&gt;Inputs!$B$5,ABS(W351)&lt;=Inputs!$B$7),1,0))</f>
        <v>0</v>
      </c>
      <c r="AB351" s="30" t="n">
        <f aca="false">IF(W351="",0,IF(AA351=1,-SIGN(W351),Z351))</f>
        <v>0</v>
      </c>
      <c r="AC351" s="30" t="n">
        <f aca="false">IF(W351="",0,IF(AA351=1,0,IF(Y351=1,0,X351)))</f>
        <v>0</v>
      </c>
      <c r="AD351" s="30" t="n">
        <f aca="false">IF(AB351=0,0,IF(AB350=AB351,AD350,T351))</f>
        <v>0</v>
      </c>
      <c r="AE351" s="30" t="n">
        <f aca="false">AB351-AB350</f>
        <v>0</v>
      </c>
      <c r="AF351" s="30" t="n">
        <f aca="false">-AD351*AB351</f>
        <v>-0</v>
      </c>
      <c r="AG351" s="30" t="n">
        <f aca="false">AF351-AF350</f>
        <v>0</v>
      </c>
      <c r="AH351" s="30" t="n">
        <f aca="false">MAX(AE351,0)*(Inputs!$B$17+Inputs!$B$18+Inputs!$B$19)+MAX(-AE351,0)*(O351+Inputs!$B$18+Inputs!$B$19)+IF(AND(K351=1,AB351&lt;&gt;0),(Inputs!$B$17+Inputs!$B$18+Inputs!$B$19)+(O351+Inputs!$B$18+Inputs!$B$19),0)+MAX(AG351,0)*(Inputs!$B$20+Inputs!$B$22+Inputs!$B$23)+MAX(-AG351,0)*(Inputs!$B$21+Inputs!$B$22+Inputs!$B$23)</f>
        <v>0</v>
      </c>
      <c r="AI351" s="30" t="n">
        <f aca="false">AB350*(M351-AD350*J351)+AB350*AD350*N351/Inputs!$B$16-AH351</f>
        <v>0</v>
      </c>
      <c r="AJ351" s="30" t="n">
        <f aca="false">MAX(AE351,0)*(Inputs!$B$17+Inputs!$B$24+Inputs!$B$25)+MAX(-AE351,0)*(O351+Inputs!$B$24+Inputs!$B$25)+IF(AND(K351=1,AB351&lt;&gt;0),(Inputs!$B$17+Inputs!$B$24+Inputs!$B$25)+(O351+Inputs!$B$24+Inputs!$B$25),0)+MAX(AG351,0)*(Inputs!$B$20+Inputs!$B$26+Inputs!$B$27)+MAX(-AG351,0)*(Inputs!$B$21+Inputs!$B$26+Inputs!$B$27)</f>
        <v>0</v>
      </c>
      <c r="AK351" s="30" t="n">
        <f aca="false">AB350*(M351-AD350*J351)+AB350*AD350*(N351+Inputs!$B$14)/Inputs!$B$16-AJ351</f>
        <v>0</v>
      </c>
      <c r="AL351" s="30" t="n">
        <f aca="false">IF(AP350&lt;&gt;0,AQ350+1,0)</f>
        <v>0</v>
      </c>
      <c r="AM351" s="30" t="n">
        <f aca="false">IF(W351="",0,IF(AND(AP350&lt;&gt;0,OR(ABS(W351)&gt;Inputs!$B$7,AL351&gt;=Inputs!$B$8,ABS(W351)&lt;Inputs!$B$6)),1,0))</f>
        <v>0</v>
      </c>
      <c r="AN351" s="30" t="n">
        <f aca="false">IF(AM351=1,0,AP350)</f>
        <v>0</v>
      </c>
      <c r="AO351" s="30" t="n">
        <f aca="false">IF(W351="",0,IF(AND(AN351=0,ABS(W351)&gt;Inputs!$B$5,ABS(W351)&lt;=Inputs!$B$7,W351&gt;0),1,0))</f>
        <v>0</v>
      </c>
      <c r="AP351" s="30" t="n">
        <f aca="false">IF(W351="",0,IF(AO351=1,-SIGN(W351),AN351))</f>
        <v>0</v>
      </c>
      <c r="AQ351" s="30" t="n">
        <f aca="false">IF(W351="",0,IF(AO351=1,0,IF(AM351=1,0,AL351)))</f>
        <v>0</v>
      </c>
      <c r="AR351" s="30" t="n">
        <f aca="false">IF(AP351=0,0,IF(AP350=AP351,AR350,T351))</f>
        <v>0</v>
      </c>
      <c r="AS351" s="30" t="n">
        <f aca="false">AP351-AP350</f>
        <v>0</v>
      </c>
      <c r="AT351" s="30" t="n">
        <f aca="false">-AR351*AP351</f>
        <v>-0</v>
      </c>
      <c r="AU351" s="30" t="n">
        <f aca="false">AT351-AT350</f>
        <v>0</v>
      </c>
      <c r="AV351" s="30" t="n">
        <f aca="false">MAX(AS351,0)*(Inputs!$B$17+Inputs!$B$18+Inputs!$B$19)+MAX(-AS351,0)*(O351+Inputs!$B$18+Inputs!$B$19)+IF(AND(K351=1,AP351&lt;&gt;0),(Inputs!$B$17+Inputs!$B$18+Inputs!$B$19)+(O351+Inputs!$B$18+Inputs!$B$19),0)+MAX(AU351,0)*(Inputs!$B$20+Inputs!$B$22+Inputs!$B$23)+MAX(-AU351,0)*(Inputs!$B$21+Inputs!$B$22+Inputs!$B$23)</f>
        <v>0</v>
      </c>
      <c r="AW351" s="30" t="n">
        <f aca="false">AP350*(M351-AR350*J351)+AP350*AR350*N351/Inputs!$B$16-AV351</f>
        <v>0</v>
      </c>
      <c r="AX351" s="30" t="n">
        <f aca="false">AW351-IF(AP350&lt;&gt;0,0.75*AR350*(Inputs!$B$13-N351)/Inputs!$B$16,0)</f>
        <v>0</v>
      </c>
      <c r="AY351" s="30" t="n">
        <f aca="false">MAX(AS351,0)*(Inputs!$B$17+Inputs!$B$18+Inputs!$B$19)+MAX(-AS351,0)*(O351+Inputs!$B$18+Inputs!$B$19)+IF(AND(K351=1,AP351&lt;&gt;0),(Inputs!$B$17+Inputs!$B$18+Inputs!$B$19)+(O351+Inputs!$B$18+Inputs!$B$19),0)</f>
        <v>0</v>
      </c>
      <c r="AZ351" s="30" t="n">
        <f aca="false">AP350*M351-AY351</f>
        <v>0</v>
      </c>
      <c r="BA351" s="32" t="n">
        <f aca="false">BA350+AI351</f>
        <v>0.00164515276832129</v>
      </c>
      <c r="BB351" s="30" t="n">
        <f aca="false">MAX(BB350,BA351)</f>
        <v>0.00284866043860449</v>
      </c>
      <c r="BC351" s="32" t="n">
        <f aca="false">BA351-BB351</f>
        <v>-0.0012035076702832</v>
      </c>
      <c r="BD351" s="30" t="n">
        <f aca="false">A352-A351</f>
        <v>3</v>
      </c>
    </row>
    <row r="352" customFormat="false" ht="15" hidden="false" customHeight="false" outlineLevel="0" collapsed="false">
      <c r="A352" s="28" t="n">
        <v>45558</v>
      </c>
      <c r="B352" s="0" t="n">
        <v>25916.8</v>
      </c>
      <c r="C352" s="0" t="n">
        <v>289.17</v>
      </c>
      <c r="D352" s="29" t="n">
        <f aca="false">LN(B352)</f>
        <v>10.1626466860547</v>
      </c>
      <c r="E352" s="29" t="n">
        <f aca="false">LN(C352)</f>
        <v>5.66701475046399</v>
      </c>
      <c r="F352" s="0" t="n">
        <v>347</v>
      </c>
      <c r="G352" s="0" t="n">
        <v>3</v>
      </c>
      <c r="H352" s="29" t="n">
        <f aca="false">D352-E352</f>
        <v>4.49563193559068</v>
      </c>
      <c r="I352" s="29" t="n">
        <f aca="false">D352-D351</f>
        <v>0.00502867397815621</v>
      </c>
      <c r="J352" s="29" t="n">
        <f aca="false">E352-E351</f>
        <v>0.00683591328991806</v>
      </c>
      <c r="K352" s="0" t="n">
        <v>0</v>
      </c>
      <c r="L352" s="0" t="n">
        <v>0</v>
      </c>
      <c r="M352" s="29" t="n">
        <f aca="false">IF(L352=1,J352-Carry!$B$9/Inputs!$B$16,I352)</f>
        <v>0.00502867397815621</v>
      </c>
      <c r="N352" s="0" t="n">
        <v>0.065</v>
      </c>
      <c r="O352" s="0" t="n">
        <v>0.000125</v>
      </c>
      <c r="P352" s="29" t="n">
        <f aca="false">D352-('2 Hedge ratio'!$B$6+'2 Hedge ratio'!$B$5*E352)</f>
        <v>0.00912274676054459</v>
      </c>
      <c r="Q352" s="29" t="n">
        <f aca="false">D352-('5 Re-specification'!$B$7+'5 Re-specification'!$B$5*E352+'5 Re-specification'!$B$6*F352)</f>
        <v>-0.00280472365625961</v>
      </c>
      <c r="R352" s="30" t="n">
        <f aca="false">MIN(F352,Inputs!$B$9)</f>
        <v>250</v>
      </c>
      <c r="S352" s="29" t="n">
        <f aca="true">IF(AND(F352&gt;=1,R352&gt;=Inputs!$B$10),INDEX(LINEST(OFFSET(D352,-R352,0,R352,1),OFFSET(E352,-R352,0,R352,2)),1,1),"")</f>
        <v>-9.01514517894133E-005</v>
      </c>
      <c r="T352" s="29" t="n">
        <f aca="true">IF(AND(F352&gt;=1,R352&gt;=Inputs!$B$10),INDEX(LINEST(OFFSET(D352,-R352,0,R352,1),OFFSET(E352,-R352,0,R352,2)),1,2),"")</f>
        <v>1.03275861345922</v>
      </c>
      <c r="U352" s="29" t="n">
        <f aca="true">IF(AND(F352&gt;=1,R352&gt;=Inputs!$B$10),INDEX(LINEST(OFFSET(D352,-R352,0,R352,1),OFFSET(E352,-R352,0,R352,2)),1,3),"")</f>
        <v>4.34414155765683</v>
      </c>
      <c r="V352" s="29" t="n">
        <f aca="true">IF(AND(F352&gt;=1,R352&gt;=Inputs!$B$10),SQRT(SUMPRODUCT((OFFSET(D352,-R352,0,R352,1)-U352-T352*OFFSET(E352,-R352,0,R352,1)-S352*OFFSET(F352,-R352,0,R352,1))^2)/(R352-3)),"")</f>
        <v>0.00347557371735794</v>
      </c>
      <c r="W352" s="31" t="n">
        <f aca="false">IF(AND(F352&gt;=1,R352&gt;=Inputs!$B$10),(D352-U352-T352*E352-S352*F352)/V352,"")</f>
        <v>-0.825939602159735</v>
      </c>
      <c r="X352" s="30" t="n">
        <f aca="false">IF(AB351&lt;&gt;0,AC351+1,0)</f>
        <v>0</v>
      </c>
      <c r="Y352" s="30" t="n">
        <f aca="false">IF(W352="",0,IF(AND(AB351&lt;&gt;0,OR(ABS(W352)&gt;Inputs!$B$7,X352&gt;=Inputs!$B$8,ABS(W352)&lt;Inputs!$B$6)),1,0))</f>
        <v>0</v>
      </c>
      <c r="Z352" s="30" t="n">
        <f aca="false">IF(Y352=1,0,AB351)</f>
        <v>0</v>
      </c>
      <c r="AA352" s="30" t="n">
        <f aca="false">IF(W352="",0,IF(AND(Z352=0,ABS(W352)&gt;Inputs!$B$5,ABS(W352)&lt;=Inputs!$B$7),1,0))</f>
        <v>0</v>
      </c>
      <c r="AB352" s="30" t="n">
        <f aca="false">IF(W352="",0,IF(AA352=1,-SIGN(W352),Z352))</f>
        <v>0</v>
      </c>
      <c r="AC352" s="30" t="n">
        <f aca="false">IF(W352="",0,IF(AA352=1,0,IF(Y352=1,0,X352)))</f>
        <v>0</v>
      </c>
      <c r="AD352" s="30" t="n">
        <f aca="false">IF(AB352=0,0,IF(AB351=AB352,AD351,T352))</f>
        <v>0</v>
      </c>
      <c r="AE352" s="30" t="n">
        <f aca="false">AB352-AB351</f>
        <v>0</v>
      </c>
      <c r="AF352" s="30" t="n">
        <f aca="false">-AD352*AB352</f>
        <v>-0</v>
      </c>
      <c r="AG352" s="30" t="n">
        <f aca="false">AF352-AF351</f>
        <v>0</v>
      </c>
      <c r="AH352" s="30" t="n">
        <f aca="false">MAX(AE352,0)*(Inputs!$B$17+Inputs!$B$18+Inputs!$B$19)+MAX(-AE352,0)*(O352+Inputs!$B$18+Inputs!$B$19)+IF(AND(K352=1,AB352&lt;&gt;0),(Inputs!$B$17+Inputs!$B$18+Inputs!$B$19)+(O352+Inputs!$B$18+Inputs!$B$19),0)+MAX(AG352,0)*(Inputs!$B$20+Inputs!$B$22+Inputs!$B$23)+MAX(-AG352,0)*(Inputs!$B$21+Inputs!$B$22+Inputs!$B$23)</f>
        <v>0</v>
      </c>
      <c r="AI352" s="30" t="n">
        <f aca="false">AB351*(M352-AD351*J352)+AB351*AD351*N352/Inputs!$B$16-AH352</f>
        <v>0</v>
      </c>
      <c r="AJ352" s="30" t="n">
        <f aca="false">MAX(AE352,0)*(Inputs!$B$17+Inputs!$B$24+Inputs!$B$25)+MAX(-AE352,0)*(O352+Inputs!$B$24+Inputs!$B$25)+IF(AND(K352=1,AB352&lt;&gt;0),(Inputs!$B$17+Inputs!$B$24+Inputs!$B$25)+(O352+Inputs!$B$24+Inputs!$B$25),0)+MAX(AG352,0)*(Inputs!$B$20+Inputs!$B$26+Inputs!$B$27)+MAX(-AG352,0)*(Inputs!$B$21+Inputs!$B$26+Inputs!$B$27)</f>
        <v>0</v>
      </c>
      <c r="AK352" s="30" t="n">
        <f aca="false">AB351*(M352-AD351*J352)+AB351*AD351*(N352+Inputs!$B$14)/Inputs!$B$16-AJ352</f>
        <v>0</v>
      </c>
      <c r="AL352" s="30" t="n">
        <f aca="false">IF(AP351&lt;&gt;0,AQ351+1,0)</f>
        <v>0</v>
      </c>
      <c r="AM352" s="30" t="n">
        <f aca="false">IF(W352="",0,IF(AND(AP351&lt;&gt;0,OR(ABS(W352)&gt;Inputs!$B$7,AL352&gt;=Inputs!$B$8,ABS(W352)&lt;Inputs!$B$6)),1,0))</f>
        <v>0</v>
      </c>
      <c r="AN352" s="30" t="n">
        <f aca="false">IF(AM352=1,0,AP351)</f>
        <v>0</v>
      </c>
      <c r="AO352" s="30" t="n">
        <f aca="false">IF(W352="",0,IF(AND(AN352=0,ABS(W352)&gt;Inputs!$B$5,ABS(W352)&lt;=Inputs!$B$7,W352&gt;0),1,0))</f>
        <v>0</v>
      </c>
      <c r="AP352" s="30" t="n">
        <f aca="false">IF(W352="",0,IF(AO352=1,-SIGN(W352),AN352))</f>
        <v>0</v>
      </c>
      <c r="AQ352" s="30" t="n">
        <f aca="false">IF(W352="",0,IF(AO352=1,0,IF(AM352=1,0,AL352)))</f>
        <v>0</v>
      </c>
      <c r="AR352" s="30" t="n">
        <f aca="false">IF(AP352=0,0,IF(AP351=AP352,AR351,T352))</f>
        <v>0</v>
      </c>
      <c r="AS352" s="30" t="n">
        <f aca="false">AP352-AP351</f>
        <v>0</v>
      </c>
      <c r="AT352" s="30" t="n">
        <f aca="false">-AR352*AP352</f>
        <v>-0</v>
      </c>
      <c r="AU352" s="30" t="n">
        <f aca="false">AT352-AT351</f>
        <v>0</v>
      </c>
      <c r="AV352" s="30" t="n">
        <f aca="false">MAX(AS352,0)*(Inputs!$B$17+Inputs!$B$18+Inputs!$B$19)+MAX(-AS352,0)*(O352+Inputs!$B$18+Inputs!$B$19)+IF(AND(K352=1,AP352&lt;&gt;0),(Inputs!$B$17+Inputs!$B$18+Inputs!$B$19)+(O352+Inputs!$B$18+Inputs!$B$19),0)+MAX(AU352,0)*(Inputs!$B$20+Inputs!$B$22+Inputs!$B$23)+MAX(-AU352,0)*(Inputs!$B$21+Inputs!$B$22+Inputs!$B$23)</f>
        <v>0</v>
      </c>
      <c r="AW352" s="30" t="n">
        <f aca="false">AP351*(M352-AR351*J352)+AP351*AR351*N352/Inputs!$B$16-AV352</f>
        <v>0</v>
      </c>
      <c r="AX352" s="30" t="n">
        <f aca="false">AW352-IF(AP351&lt;&gt;0,0.75*AR351*(Inputs!$B$13-N352)/Inputs!$B$16,0)</f>
        <v>0</v>
      </c>
      <c r="AY352" s="30" t="n">
        <f aca="false">MAX(AS352,0)*(Inputs!$B$17+Inputs!$B$18+Inputs!$B$19)+MAX(-AS352,0)*(O352+Inputs!$B$18+Inputs!$B$19)+IF(AND(K352=1,AP352&lt;&gt;0),(Inputs!$B$17+Inputs!$B$18+Inputs!$B$19)+(O352+Inputs!$B$18+Inputs!$B$19),0)</f>
        <v>0</v>
      </c>
      <c r="AZ352" s="30" t="n">
        <f aca="false">AP351*M352-AY352</f>
        <v>0</v>
      </c>
      <c r="BA352" s="32" t="n">
        <f aca="false">BA351+AI352</f>
        <v>0.00164515276832129</v>
      </c>
      <c r="BB352" s="30" t="n">
        <f aca="false">MAX(BB351,BA352)</f>
        <v>0.00284866043860449</v>
      </c>
      <c r="BC352" s="32" t="n">
        <f aca="false">BA352-BB352</f>
        <v>-0.0012035076702832</v>
      </c>
      <c r="BD352" s="30" t="n">
        <f aca="false">A353-A352</f>
        <v>1</v>
      </c>
    </row>
    <row r="353" customFormat="false" ht="15" hidden="false" customHeight="false" outlineLevel="0" collapsed="false">
      <c r="A353" s="28" t="n">
        <v>45559</v>
      </c>
      <c r="B353" s="0" t="n">
        <v>25954.1</v>
      </c>
      <c r="C353" s="0" t="n">
        <v>289.74</v>
      </c>
      <c r="D353" s="29" t="n">
        <f aca="false">LN(B353)</f>
        <v>10.1640848722604</v>
      </c>
      <c r="E353" s="29" t="n">
        <f aca="false">LN(C353)</f>
        <v>5.66898396911351</v>
      </c>
      <c r="F353" s="0" t="n">
        <v>348</v>
      </c>
      <c r="G353" s="0" t="n">
        <v>2</v>
      </c>
      <c r="H353" s="29" t="n">
        <f aca="false">D353-E353</f>
        <v>4.49510090314689</v>
      </c>
      <c r="I353" s="29" t="n">
        <f aca="false">D353-D352</f>
        <v>0.00143818620572134</v>
      </c>
      <c r="J353" s="29" t="n">
        <f aca="false">E353-E352</f>
        <v>0.00196921864951882</v>
      </c>
      <c r="K353" s="0" t="n">
        <v>0</v>
      </c>
      <c r="L353" s="0" t="n">
        <v>0</v>
      </c>
      <c r="M353" s="29" t="n">
        <f aca="false">IF(L353=1,J353-Carry!$B$9/Inputs!$B$16,I353)</f>
        <v>0.00143818620572134</v>
      </c>
      <c r="N353" s="0" t="n">
        <v>0.065</v>
      </c>
      <c r="O353" s="0" t="n">
        <v>0.000125</v>
      </c>
      <c r="P353" s="29" t="n">
        <f aca="false">D353-('2 Hedge ratio'!$B$6+'2 Hedge ratio'!$B$5*E353)</f>
        <v>0.00875687906663458</v>
      </c>
      <c r="Q353" s="29" t="n">
        <f aca="false">D353-('5 Re-specification'!$B$7+'5 Re-specification'!$B$5*E353+'5 Re-specification'!$B$6*F353)</f>
        <v>-0.00328485906480047</v>
      </c>
      <c r="R353" s="30" t="n">
        <f aca="false">MIN(F353,Inputs!$B$9)</f>
        <v>250</v>
      </c>
      <c r="S353" s="29" t="n">
        <f aca="true">IF(AND(F353&gt;=1,R353&gt;=Inputs!$B$10),INDEX(LINEST(OFFSET(D353,-R353,0,R353,1),OFFSET(E353,-R353,0,R353,2)),1,1),"")</f>
        <v>-9.10936324547385E-005</v>
      </c>
      <c r="T353" s="29" t="n">
        <f aca="true">IF(AND(F353&gt;=1,R353&gt;=Inputs!$B$10),INDEX(LINEST(OFFSET(D353,-R353,0,R353,1),OFFSET(E353,-R353,0,R353,2)),1,2),"")</f>
        <v>1.03313205957339</v>
      </c>
      <c r="U353" s="29" t="n">
        <f aca="true">IF(AND(F353&gt;=1,R353&gt;=Inputs!$B$10),INDEX(LINEST(OFFSET(D353,-R353,0,R353,1),OFFSET(E353,-R353,0,R353,2)),1,3),"")</f>
        <v>4.34229370135012</v>
      </c>
      <c r="V353" s="29" t="n">
        <f aca="true">IF(AND(F353&gt;=1,R353&gt;=Inputs!$B$10),SQRT(SUMPRODUCT((OFFSET(D353,-R353,0,R353,1)-U353-T353*OFFSET(E353,-R353,0,R353,1)-S353*OFFSET(F353,-R353,0,R353,1))^2)/(R353-3)),"")</f>
        <v>0.00347637671909679</v>
      </c>
      <c r="W353" s="31" t="n">
        <f aca="false">IF(AND(F353&gt;=1,R353&gt;=Inputs!$B$10),(D353-U353-T353*E353-S353*F353)/V353,"")</f>
        <v>-0.954248909804173</v>
      </c>
      <c r="X353" s="30" t="n">
        <f aca="false">IF(AB352&lt;&gt;0,AC352+1,0)</f>
        <v>0</v>
      </c>
      <c r="Y353" s="30" t="n">
        <f aca="false">IF(W353="",0,IF(AND(AB352&lt;&gt;0,OR(ABS(W353)&gt;Inputs!$B$7,X353&gt;=Inputs!$B$8,ABS(W353)&lt;Inputs!$B$6)),1,0))</f>
        <v>0</v>
      </c>
      <c r="Z353" s="30" t="n">
        <f aca="false">IF(Y353=1,0,AB352)</f>
        <v>0</v>
      </c>
      <c r="AA353" s="30" t="n">
        <f aca="false">IF(W353="",0,IF(AND(Z353=0,ABS(W353)&gt;Inputs!$B$5,ABS(W353)&lt;=Inputs!$B$7),1,0))</f>
        <v>0</v>
      </c>
      <c r="AB353" s="30" t="n">
        <f aca="false">IF(W353="",0,IF(AA353=1,-SIGN(W353),Z353))</f>
        <v>0</v>
      </c>
      <c r="AC353" s="30" t="n">
        <f aca="false">IF(W353="",0,IF(AA353=1,0,IF(Y353=1,0,X353)))</f>
        <v>0</v>
      </c>
      <c r="AD353" s="30" t="n">
        <f aca="false">IF(AB353=0,0,IF(AB352=AB353,AD352,T353))</f>
        <v>0</v>
      </c>
      <c r="AE353" s="30" t="n">
        <f aca="false">AB353-AB352</f>
        <v>0</v>
      </c>
      <c r="AF353" s="30" t="n">
        <f aca="false">-AD353*AB353</f>
        <v>-0</v>
      </c>
      <c r="AG353" s="30" t="n">
        <f aca="false">AF353-AF352</f>
        <v>0</v>
      </c>
      <c r="AH353" s="30" t="n">
        <f aca="false">MAX(AE353,0)*(Inputs!$B$17+Inputs!$B$18+Inputs!$B$19)+MAX(-AE353,0)*(O353+Inputs!$B$18+Inputs!$B$19)+IF(AND(K353=1,AB353&lt;&gt;0),(Inputs!$B$17+Inputs!$B$18+Inputs!$B$19)+(O353+Inputs!$B$18+Inputs!$B$19),0)+MAX(AG353,0)*(Inputs!$B$20+Inputs!$B$22+Inputs!$B$23)+MAX(-AG353,0)*(Inputs!$B$21+Inputs!$B$22+Inputs!$B$23)</f>
        <v>0</v>
      </c>
      <c r="AI353" s="30" t="n">
        <f aca="false">AB352*(M353-AD352*J353)+AB352*AD352*N353/Inputs!$B$16-AH353</f>
        <v>0</v>
      </c>
      <c r="AJ353" s="30" t="n">
        <f aca="false">MAX(AE353,0)*(Inputs!$B$17+Inputs!$B$24+Inputs!$B$25)+MAX(-AE353,0)*(O353+Inputs!$B$24+Inputs!$B$25)+IF(AND(K353=1,AB353&lt;&gt;0),(Inputs!$B$17+Inputs!$B$24+Inputs!$B$25)+(O353+Inputs!$B$24+Inputs!$B$25),0)+MAX(AG353,0)*(Inputs!$B$20+Inputs!$B$26+Inputs!$B$27)+MAX(-AG353,0)*(Inputs!$B$21+Inputs!$B$26+Inputs!$B$27)</f>
        <v>0</v>
      </c>
      <c r="AK353" s="30" t="n">
        <f aca="false">AB352*(M353-AD352*J353)+AB352*AD352*(N353+Inputs!$B$14)/Inputs!$B$16-AJ353</f>
        <v>0</v>
      </c>
      <c r="AL353" s="30" t="n">
        <f aca="false">IF(AP352&lt;&gt;0,AQ352+1,0)</f>
        <v>0</v>
      </c>
      <c r="AM353" s="30" t="n">
        <f aca="false">IF(W353="",0,IF(AND(AP352&lt;&gt;0,OR(ABS(W353)&gt;Inputs!$B$7,AL353&gt;=Inputs!$B$8,ABS(W353)&lt;Inputs!$B$6)),1,0))</f>
        <v>0</v>
      </c>
      <c r="AN353" s="30" t="n">
        <f aca="false">IF(AM353=1,0,AP352)</f>
        <v>0</v>
      </c>
      <c r="AO353" s="30" t="n">
        <f aca="false">IF(W353="",0,IF(AND(AN353=0,ABS(W353)&gt;Inputs!$B$5,ABS(W353)&lt;=Inputs!$B$7,W353&gt;0),1,0))</f>
        <v>0</v>
      </c>
      <c r="AP353" s="30" t="n">
        <f aca="false">IF(W353="",0,IF(AO353=1,-SIGN(W353),AN353))</f>
        <v>0</v>
      </c>
      <c r="AQ353" s="30" t="n">
        <f aca="false">IF(W353="",0,IF(AO353=1,0,IF(AM353=1,0,AL353)))</f>
        <v>0</v>
      </c>
      <c r="AR353" s="30" t="n">
        <f aca="false">IF(AP353=0,0,IF(AP352=AP353,AR352,T353))</f>
        <v>0</v>
      </c>
      <c r="AS353" s="30" t="n">
        <f aca="false">AP353-AP352</f>
        <v>0</v>
      </c>
      <c r="AT353" s="30" t="n">
        <f aca="false">-AR353*AP353</f>
        <v>-0</v>
      </c>
      <c r="AU353" s="30" t="n">
        <f aca="false">AT353-AT352</f>
        <v>0</v>
      </c>
      <c r="AV353" s="30" t="n">
        <f aca="false">MAX(AS353,0)*(Inputs!$B$17+Inputs!$B$18+Inputs!$B$19)+MAX(-AS353,0)*(O353+Inputs!$B$18+Inputs!$B$19)+IF(AND(K353=1,AP353&lt;&gt;0),(Inputs!$B$17+Inputs!$B$18+Inputs!$B$19)+(O353+Inputs!$B$18+Inputs!$B$19),0)+MAX(AU353,0)*(Inputs!$B$20+Inputs!$B$22+Inputs!$B$23)+MAX(-AU353,0)*(Inputs!$B$21+Inputs!$B$22+Inputs!$B$23)</f>
        <v>0</v>
      </c>
      <c r="AW353" s="30" t="n">
        <f aca="false">AP352*(M353-AR352*J353)+AP352*AR352*N353/Inputs!$B$16-AV353</f>
        <v>0</v>
      </c>
      <c r="AX353" s="30" t="n">
        <f aca="false">AW353-IF(AP352&lt;&gt;0,0.75*AR352*(Inputs!$B$13-N353)/Inputs!$B$16,0)</f>
        <v>0</v>
      </c>
      <c r="AY353" s="30" t="n">
        <f aca="false">MAX(AS353,0)*(Inputs!$B$17+Inputs!$B$18+Inputs!$B$19)+MAX(-AS353,0)*(O353+Inputs!$B$18+Inputs!$B$19)+IF(AND(K353=1,AP353&lt;&gt;0),(Inputs!$B$17+Inputs!$B$18+Inputs!$B$19)+(O353+Inputs!$B$18+Inputs!$B$19),0)</f>
        <v>0</v>
      </c>
      <c r="AZ353" s="30" t="n">
        <f aca="false">AP352*M353-AY353</f>
        <v>0</v>
      </c>
      <c r="BA353" s="32" t="n">
        <f aca="false">BA352+AI353</f>
        <v>0.00164515276832129</v>
      </c>
      <c r="BB353" s="30" t="n">
        <f aca="false">MAX(BB352,BA353)</f>
        <v>0.00284866043860449</v>
      </c>
      <c r="BC353" s="32" t="n">
        <f aca="false">BA353-BB353</f>
        <v>-0.0012035076702832</v>
      </c>
      <c r="BD353" s="30" t="n">
        <f aca="false">A354-A353</f>
        <v>1</v>
      </c>
    </row>
    <row r="354" customFormat="false" ht="15" hidden="false" customHeight="false" outlineLevel="0" collapsed="false">
      <c r="A354" s="28" t="n">
        <v>45560</v>
      </c>
      <c r="B354" s="0" t="n">
        <v>26003</v>
      </c>
      <c r="C354" s="0" t="n">
        <v>290.43</v>
      </c>
      <c r="D354" s="29" t="n">
        <f aca="false">LN(B354)</f>
        <v>10.1659671949627</v>
      </c>
      <c r="E354" s="29" t="n">
        <f aca="false">LN(C354)</f>
        <v>5.67136258340009</v>
      </c>
      <c r="F354" s="0" t="n">
        <v>349</v>
      </c>
      <c r="G354" s="0" t="n">
        <v>1</v>
      </c>
      <c r="H354" s="29" t="n">
        <f aca="false">D354-E354</f>
        <v>4.49460461156262</v>
      </c>
      <c r="I354" s="29" t="n">
        <f aca="false">D354-D353</f>
        <v>0.00188232270231836</v>
      </c>
      <c r="J354" s="29" t="n">
        <f aca="false">E354-E353</f>
        <v>0.00237861428658448</v>
      </c>
      <c r="K354" s="0" t="n">
        <v>0</v>
      </c>
      <c r="L354" s="0" t="n">
        <v>0</v>
      </c>
      <c r="M354" s="29" t="n">
        <f aca="false">IF(L354=1,J354-Carry!$B$9/Inputs!$B$16,I354)</f>
        <v>0.00188232270231836</v>
      </c>
      <c r="N354" s="0" t="n">
        <v>0.065</v>
      </c>
      <c r="O354" s="0" t="n">
        <v>0.000125</v>
      </c>
      <c r="P354" s="29" t="n">
        <f aca="false">D354-('2 Hedge ratio'!$B$6+'2 Hedge ratio'!$B$5*E354)</f>
        <v>0.00846008957108602</v>
      </c>
      <c r="Q354" s="29" t="n">
        <f aca="false">D354-('5 Re-specification'!$B$7+'5 Re-specification'!$B$5*E354+'5 Re-specification'!$B$6*F354)</f>
        <v>-0.00372901294032424</v>
      </c>
      <c r="R354" s="30" t="n">
        <f aca="false">MIN(F354,Inputs!$B$9)</f>
        <v>250</v>
      </c>
      <c r="S354" s="29" t="n">
        <f aca="true">IF(AND(F354&gt;=1,R354&gt;=Inputs!$B$10),INDEX(LINEST(OFFSET(D354,-R354,0,R354,1),OFFSET(E354,-R354,0,R354,2)),1,1),"")</f>
        <v>-9.17139808639056E-005</v>
      </c>
      <c r="T354" s="29" t="n">
        <f aca="true">IF(AND(F354&gt;=1,R354&gt;=Inputs!$B$10),INDEX(LINEST(OFFSET(D354,-R354,0,R354,1),OFFSET(E354,-R354,0,R354,2)),1,2),"")</f>
        <v>1.03317718142248</v>
      </c>
      <c r="U354" s="29" t="n">
        <f aca="true">IF(AND(F354&gt;=1,R354&gt;=Inputs!$B$10),INDEX(LINEST(OFFSET(D354,-R354,0,R354,1),OFFSET(E354,-R354,0,R354,2)),1,3),"")</f>
        <v>4.34218104390746</v>
      </c>
      <c r="V354" s="29" t="n">
        <f aca="true">IF(AND(F354&gt;=1,R354&gt;=Inputs!$B$10),SQRT(SUMPRODUCT((OFFSET(D354,-R354,0,R354,1)-U354-T354*OFFSET(E354,-R354,0,R354,1)-S354*OFFSET(F354,-R354,0,R354,1))^2)/(R354-3)),"")</f>
        <v>0.0034785584662069</v>
      </c>
      <c r="W354" s="31" t="n">
        <f aca="false">IF(AND(F354&gt;=1,R354&gt;=Inputs!$B$10),(D354-U354-T354*E354-S354*F354)/V354,"")</f>
        <v>-1.07173083381982</v>
      </c>
      <c r="X354" s="30" t="n">
        <f aca="false">IF(AB353&lt;&gt;0,AC353+1,0)</f>
        <v>0</v>
      </c>
      <c r="Y354" s="30" t="n">
        <f aca="false">IF(W354="",0,IF(AND(AB353&lt;&gt;0,OR(ABS(W354)&gt;Inputs!$B$7,X354&gt;=Inputs!$B$8,ABS(W354)&lt;Inputs!$B$6)),1,0))</f>
        <v>0</v>
      </c>
      <c r="Z354" s="30" t="n">
        <f aca="false">IF(Y354=1,0,AB353)</f>
        <v>0</v>
      </c>
      <c r="AA354" s="30" t="n">
        <f aca="false">IF(W354="",0,IF(AND(Z354=0,ABS(W354)&gt;Inputs!$B$5,ABS(W354)&lt;=Inputs!$B$7),1,0))</f>
        <v>0</v>
      </c>
      <c r="AB354" s="30" t="n">
        <f aca="false">IF(W354="",0,IF(AA354=1,-SIGN(W354),Z354))</f>
        <v>0</v>
      </c>
      <c r="AC354" s="30" t="n">
        <f aca="false">IF(W354="",0,IF(AA354=1,0,IF(Y354=1,0,X354)))</f>
        <v>0</v>
      </c>
      <c r="AD354" s="30" t="n">
        <f aca="false">IF(AB354=0,0,IF(AB353=AB354,AD353,T354))</f>
        <v>0</v>
      </c>
      <c r="AE354" s="30" t="n">
        <f aca="false">AB354-AB353</f>
        <v>0</v>
      </c>
      <c r="AF354" s="30" t="n">
        <f aca="false">-AD354*AB354</f>
        <v>-0</v>
      </c>
      <c r="AG354" s="30" t="n">
        <f aca="false">AF354-AF353</f>
        <v>0</v>
      </c>
      <c r="AH354" s="30" t="n">
        <f aca="false">MAX(AE354,0)*(Inputs!$B$17+Inputs!$B$18+Inputs!$B$19)+MAX(-AE354,0)*(O354+Inputs!$B$18+Inputs!$B$19)+IF(AND(K354=1,AB354&lt;&gt;0),(Inputs!$B$17+Inputs!$B$18+Inputs!$B$19)+(O354+Inputs!$B$18+Inputs!$B$19),0)+MAX(AG354,0)*(Inputs!$B$20+Inputs!$B$22+Inputs!$B$23)+MAX(-AG354,0)*(Inputs!$B$21+Inputs!$B$22+Inputs!$B$23)</f>
        <v>0</v>
      </c>
      <c r="AI354" s="30" t="n">
        <f aca="false">AB353*(M354-AD353*J354)+AB353*AD353*N354/Inputs!$B$16-AH354</f>
        <v>0</v>
      </c>
      <c r="AJ354" s="30" t="n">
        <f aca="false">MAX(AE354,0)*(Inputs!$B$17+Inputs!$B$24+Inputs!$B$25)+MAX(-AE354,0)*(O354+Inputs!$B$24+Inputs!$B$25)+IF(AND(K354=1,AB354&lt;&gt;0),(Inputs!$B$17+Inputs!$B$24+Inputs!$B$25)+(O354+Inputs!$B$24+Inputs!$B$25),0)+MAX(AG354,0)*(Inputs!$B$20+Inputs!$B$26+Inputs!$B$27)+MAX(-AG354,0)*(Inputs!$B$21+Inputs!$B$26+Inputs!$B$27)</f>
        <v>0</v>
      </c>
      <c r="AK354" s="30" t="n">
        <f aca="false">AB353*(M354-AD353*J354)+AB353*AD353*(N354+Inputs!$B$14)/Inputs!$B$16-AJ354</f>
        <v>0</v>
      </c>
      <c r="AL354" s="30" t="n">
        <f aca="false">IF(AP353&lt;&gt;0,AQ353+1,0)</f>
        <v>0</v>
      </c>
      <c r="AM354" s="30" t="n">
        <f aca="false">IF(W354="",0,IF(AND(AP353&lt;&gt;0,OR(ABS(W354)&gt;Inputs!$B$7,AL354&gt;=Inputs!$B$8,ABS(W354)&lt;Inputs!$B$6)),1,0))</f>
        <v>0</v>
      </c>
      <c r="AN354" s="30" t="n">
        <f aca="false">IF(AM354=1,0,AP353)</f>
        <v>0</v>
      </c>
      <c r="AO354" s="30" t="n">
        <f aca="false">IF(W354="",0,IF(AND(AN354=0,ABS(W354)&gt;Inputs!$B$5,ABS(W354)&lt;=Inputs!$B$7,W354&gt;0),1,0))</f>
        <v>0</v>
      </c>
      <c r="AP354" s="30" t="n">
        <f aca="false">IF(W354="",0,IF(AO354=1,-SIGN(W354),AN354))</f>
        <v>0</v>
      </c>
      <c r="AQ354" s="30" t="n">
        <f aca="false">IF(W354="",0,IF(AO354=1,0,IF(AM354=1,0,AL354)))</f>
        <v>0</v>
      </c>
      <c r="AR354" s="30" t="n">
        <f aca="false">IF(AP354=0,0,IF(AP353=AP354,AR353,T354))</f>
        <v>0</v>
      </c>
      <c r="AS354" s="30" t="n">
        <f aca="false">AP354-AP353</f>
        <v>0</v>
      </c>
      <c r="AT354" s="30" t="n">
        <f aca="false">-AR354*AP354</f>
        <v>-0</v>
      </c>
      <c r="AU354" s="30" t="n">
        <f aca="false">AT354-AT353</f>
        <v>0</v>
      </c>
      <c r="AV354" s="30" t="n">
        <f aca="false">MAX(AS354,0)*(Inputs!$B$17+Inputs!$B$18+Inputs!$B$19)+MAX(-AS354,0)*(O354+Inputs!$B$18+Inputs!$B$19)+IF(AND(K354=1,AP354&lt;&gt;0),(Inputs!$B$17+Inputs!$B$18+Inputs!$B$19)+(O354+Inputs!$B$18+Inputs!$B$19),0)+MAX(AU354,0)*(Inputs!$B$20+Inputs!$B$22+Inputs!$B$23)+MAX(-AU354,0)*(Inputs!$B$21+Inputs!$B$22+Inputs!$B$23)</f>
        <v>0</v>
      </c>
      <c r="AW354" s="30" t="n">
        <f aca="false">AP353*(M354-AR353*J354)+AP353*AR353*N354/Inputs!$B$16-AV354</f>
        <v>0</v>
      </c>
      <c r="AX354" s="30" t="n">
        <f aca="false">AW354-IF(AP353&lt;&gt;0,0.75*AR353*(Inputs!$B$13-N354)/Inputs!$B$16,0)</f>
        <v>0</v>
      </c>
      <c r="AY354" s="30" t="n">
        <f aca="false">MAX(AS354,0)*(Inputs!$B$17+Inputs!$B$18+Inputs!$B$19)+MAX(-AS354,0)*(O354+Inputs!$B$18+Inputs!$B$19)+IF(AND(K354=1,AP354&lt;&gt;0),(Inputs!$B$17+Inputs!$B$18+Inputs!$B$19)+(O354+Inputs!$B$18+Inputs!$B$19),0)</f>
        <v>0</v>
      </c>
      <c r="AZ354" s="30" t="n">
        <f aca="false">AP353*M354-AY354</f>
        <v>0</v>
      </c>
      <c r="BA354" s="32" t="n">
        <f aca="false">BA353+AI354</f>
        <v>0.00164515276832129</v>
      </c>
      <c r="BB354" s="30" t="n">
        <f aca="false">MAX(BB353,BA354)</f>
        <v>0.00284866043860449</v>
      </c>
      <c r="BC354" s="32" t="n">
        <f aca="false">BA354-BB354</f>
        <v>-0.0012035076702832</v>
      </c>
      <c r="BD354" s="30" t="n">
        <f aca="false">A355-A354</f>
        <v>1</v>
      </c>
    </row>
    <row r="355" customFormat="false" ht="15" hidden="false" customHeight="false" outlineLevel="0" collapsed="false">
      <c r="A355" s="28" t="n">
        <v>45561</v>
      </c>
      <c r="B355" s="0" t="n">
        <v>26220.1</v>
      </c>
      <c r="C355" s="0" t="n">
        <v>291.3</v>
      </c>
      <c r="D355" s="29" t="n">
        <f aca="false">LN(B355)</f>
        <v>10.174281571193</v>
      </c>
      <c r="E355" s="29" t="n">
        <f aca="false">LN(C355)</f>
        <v>5.67435366396539</v>
      </c>
      <c r="F355" s="0" t="n">
        <v>350</v>
      </c>
      <c r="G355" s="0" t="n">
        <v>0</v>
      </c>
      <c r="H355" s="29" t="n">
        <f aca="false">D355-E355</f>
        <v>4.49992790722756</v>
      </c>
      <c r="I355" s="29" t="n">
        <f aca="false">D355-D354</f>
        <v>0.00831437623023845</v>
      </c>
      <c r="J355" s="29" t="n">
        <f aca="false">E355-E354</f>
        <v>0.00299108056529906</v>
      </c>
      <c r="K355" s="0" t="n">
        <v>1</v>
      </c>
      <c r="L355" s="0" t="n">
        <v>0</v>
      </c>
      <c r="M355" s="29" t="n">
        <f aca="false">IF(L355=1,J355-Carry!$B$9/Inputs!$B$16,I355)</f>
        <v>0.00831437623023845</v>
      </c>
      <c r="N355" s="0" t="n">
        <v>0.065</v>
      </c>
      <c r="O355" s="0" t="n">
        <v>0.000125</v>
      </c>
      <c r="P355" s="29" t="n">
        <f aca="false">D355-('2 Hedge ratio'!$B$6+'2 Hedge ratio'!$B$5*E355)</f>
        <v>0.0140342568563909</v>
      </c>
      <c r="Q355" s="29" t="n">
        <f aca="false">D355-('5 Re-specification'!$B$7+'5 Re-specification'!$B$5*E355+'5 Re-specification'!$B$6*F355)</f>
        <v>0.00164827651242838</v>
      </c>
      <c r="R355" s="30" t="n">
        <f aca="false">MIN(F355,Inputs!$B$9)</f>
        <v>250</v>
      </c>
      <c r="S355" s="29" t="n">
        <f aca="true">IF(AND(F355&gt;=1,R355&gt;=Inputs!$B$10),INDEX(LINEST(OFFSET(D355,-R355,0,R355,1),OFFSET(E355,-R355,0,R355,2)),1,1),"")</f>
        <v>-9.19437774167583E-005</v>
      </c>
      <c r="T355" s="29" t="n">
        <f aca="true">IF(AND(F355&gt;=1,R355&gt;=Inputs!$B$10),INDEX(LINEST(OFFSET(D355,-R355,0,R355,1),OFFSET(E355,-R355,0,R355,2)),1,2),"")</f>
        <v>1.03284410512629</v>
      </c>
      <c r="U355" s="29" t="n">
        <f aca="true">IF(AND(F355&gt;=1,R355&gt;=Inputs!$B$10),INDEX(LINEST(OFFSET(D355,-R355,0,R355,1),OFFSET(E355,-R355,0,R355,2)),1,3),"")</f>
        <v>4.34406288033968</v>
      </c>
      <c r="V355" s="29" t="n">
        <f aca="true">IF(AND(F355&gt;=1,R355&gt;=Inputs!$B$10),SQRT(SUMPRODUCT((OFFSET(D355,-R355,0,R355,1)-U355-T355*OFFSET(E355,-R355,0,R355,1)-S355*OFFSET(F355,-R355,0,R355,1))^2)/(R355-3)),"")</f>
        <v>0.00348235861527517</v>
      </c>
      <c r="W355" s="31" t="n">
        <f aca="false">IF(AND(F355&gt;=1,R355&gt;=Inputs!$B$10),(D355-U355-T355*E355-S355*F355)/V355,"")</f>
        <v>0.481363611817642</v>
      </c>
      <c r="X355" s="30" t="n">
        <f aca="false">IF(AB354&lt;&gt;0,AC354+1,0)</f>
        <v>0</v>
      </c>
      <c r="Y355" s="30" t="n">
        <f aca="false">IF(W355="",0,IF(AND(AB354&lt;&gt;0,OR(ABS(W355)&gt;Inputs!$B$7,X355&gt;=Inputs!$B$8,ABS(W355)&lt;Inputs!$B$6)),1,0))</f>
        <v>0</v>
      </c>
      <c r="Z355" s="30" t="n">
        <f aca="false">IF(Y355=1,0,AB354)</f>
        <v>0</v>
      </c>
      <c r="AA355" s="30" t="n">
        <f aca="false">IF(W355="",0,IF(AND(Z355=0,ABS(W355)&gt;Inputs!$B$5,ABS(W355)&lt;=Inputs!$B$7),1,0))</f>
        <v>0</v>
      </c>
      <c r="AB355" s="30" t="n">
        <f aca="false">IF(W355="",0,IF(AA355=1,-SIGN(W355),Z355))</f>
        <v>0</v>
      </c>
      <c r="AC355" s="30" t="n">
        <f aca="false">IF(W355="",0,IF(AA355=1,0,IF(Y355=1,0,X355)))</f>
        <v>0</v>
      </c>
      <c r="AD355" s="30" t="n">
        <f aca="false">IF(AB355=0,0,IF(AB354=AB355,AD354,T355))</f>
        <v>0</v>
      </c>
      <c r="AE355" s="30" t="n">
        <f aca="false">AB355-AB354</f>
        <v>0</v>
      </c>
      <c r="AF355" s="30" t="n">
        <f aca="false">-AD355*AB355</f>
        <v>-0</v>
      </c>
      <c r="AG355" s="30" t="n">
        <f aca="false">AF355-AF354</f>
        <v>0</v>
      </c>
      <c r="AH355" s="30" t="n">
        <f aca="false">MAX(AE355,0)*(Inputs!$B$17+Inputs!$B$18+Inputs!$B$19)+MAX(-AE355,0)*(O355+Inputs!$B$18+Inputs!$B$19)+IF(AND(K355=1,AB355&lt;&gt;0),(Inputs!$B$17+Inputs!$B$18+Inputs!$B$19)+(O355+Inputs!$B$18+Inputs!$B$19),0)+MAX(AG355,0)*(Inputs!$B$20+Inputs!$B$22+Inputs!$B$23)+MAX(-AG355,0)*(Inputs!$B$21+Inputs!$B$22+Inputs!$B$23)</f>
        <v>0</v>
      </c>
      <c r="AI355" s="30" t="n">
        <f aca="false">AB354*(M355-AD354*J355)+AB354*AD354*N355/Inputs!$B$16-AH355</f>
        <v>0</v>
      </c>
      <c r="AJ355" s="30" t="n">
        <f aca="false">MAX(AE355,0)*(Inputs!$B$17+Inputs!$B$24+Inputs!$B$25)+MAX(-AE355,0)*(O355+Inputs!$B$24+Inputs!$B$25)+IF(AND(K355=1,AB355&lt;&gt;0),(Inputs!$B$17+Inputs!$B$24+Inputs!$B$25)+(O355+Inputs!$B$24+Inputs!$B$25),0)+MAX(AG355,0)*(Inputs!$B$20+Inputs!$B$26+Inputs!$B$27)+MAX(-AG355,0)*(Inputs!$B$21+Inputs!$B$26+Inputs!$B$27)</f>
        <v>0</v>
      </c>
      <c r="AK355" s="30" t="n">
        <f aca="false">AB354*(M355-AD354*J355)+AB354*AD354*(N355+Inputs!$B$14)/Inputs!$B$16-AJ355</f>
        <v>0</v>
      </c>
      <c r="AL355" s="30" t="n">
        <f aca="false">IF(AP354&lt;&gt;0,AQ354+1,0)</f>
        <v>0</v>
      </c>
      <c r="AM355" s="30" t="n">
        <f aca="false">IF(W355="",0,IF(AND(AP354&lt;&gt;0,OR(ABS(W355)&gt;Inputs!$B$7,AL355&gt;=Inputs!$B$8,ABS(W355)&lt;Inputs!$B$6)),1,0))</f>
        <v>0</v>
      </c>
      <c r="AN355" s="30" t="n">
        <f aca="false">IF(AM355=1,0,AP354)</f>
        <v>0</v>
      </c>
      <c r="AO355" s="30" t="n">
        <f aca="false">IF(W355="",0,IF(AND(AN355=0,ABS(W355)&gt;Inputs!$B$5,ABS(W355)&lt;=Inputs!$B$7,W355&gt;0),1,0))</f>
        <v>0</v>
      </c>
      <c r="AP355" s="30" t="n">
        <f aca="false">IF(W355="",0,IF(AO355=1,-SIGN(W355),AN355))</f>
        <v>0</v>
      </c>
      <c r="AQ355" s="30" t="n">
        <f aca="false">IF(W355="",0,IF(AO355=1,0,IF(AM355=1,0,AL355)))</f>
        <v>0</v>
      </c>
      <c r="AR355" s="30" t="n">
        <f aca="false">IF(AP355=0,0,IF(AP354=AP355,AR354,T355))</f>
        <v>0</v>
      </c>
      <c r="AS355" s="30" t="n">
        <f aca="false">AP355-AP354</f>
        <v>0</v>
      </c>
      <c r="AT355" s="30" t="n">
        <f aca="false">-AR355*AP355</f>
        <v>-0</v>
      </c>
      <c r="AU355" s="30" t="n">
        <f aca="false">AT355-AT354</f>
        <v>0</v>
      </c>
      <c r="AV355" s="30" t="n">
        <f aca="false">MAX(AS355,0)*(Inputs!$B$17+Inputs!$B$18+Inputs!$B$19)+MAX(-AS355,0)*(O355+Inputs!$B$18+Inputs!$B$19)+IF(AND(K355=1,AP355&lt;&gt;0),(Inputs!$B$17+Inputs!$B$18+Inputs!$B$19)+(O355+Inputs!$B$18+Inputs!$B$19),0)+MAX(AU355,0)*(Inputs!$B$20+Inputs!$B$22+Inputs!$B$23)+MAX(-AU355,0)*(Inputs!$B$21+Inputs!$B$22+Inputs!$B$23)</f>
        <v>0</v>
      </c>
      <c r="AW355" s="30" t="n">
        <f aca="false">AP354*(M355-AR354*J355)+AP354*AR354*N355/Inputs!$B$16-AV355</f>
        <v>0</v>
      </c>
      <c r="AX355" s="30" t="n">
        <f aca="false">AW355-IF(AP354&lt;&gt;0,0.75*AR354*(Inputs!$B$13-N355)/Inputs!$B$16,0)</f>
        <v>0</v>
      </c>
      <c r="AY355" s="30" t="n">
        <f aca="false">MAX(AS355,0)*(Inputs!$B$17+Inputs!$B$18+Inputs!$B$19)+MAX(-AS355,0)*(O355+Inputs!$B$18+Inputs!$B$19)+IF(AND(K355=1,AP355&lt;&gt;0),(Inputs!$B$17+Inputs!$B$18+Inputs!$B$19)+(O355+Inputs!$B$18+Inputs!$B$19),0)</f>
        <v>0</v>
      </c>
      <c r="AZ355" s="30" t="n">
        <f aca="false">AP354*M355-AY355</f>
        <v>0</v>
      </c>
      <c r="BA355" s="32" t="n">
        <f aca="false">BA354+AI355</f>
        <v>0.00164515276832129</v>
      </c>
      <c r="BB355" s="30" t="n">
        <f aca="false">MAX(BB354,BA355)</f>
        <v>0.00284866043860449</v>
      </c>
      <c r="BC355" s="32" t="n">
        <f aca="false">BA355-BB355</f>
        <v>-0.0012035076702832</v>
      </c>
      <c r="BD355" s="30" t="n">
        <f aca="false">A356-A355</f>
        <v>1</v>
      </c>
    </row>
    <row r="356" customFormat="false" ht="15" hidden="false" customHeight="false" outlineLevel="0" collapsed="false">
      <c r="A356" s="28" t="n">
        <v>45562</v>
      </c>
      <c r="B356" s="0" t="n">
        <v>26347.6</v>
      </c>
      <c r="C356" s="0" t="n">
        <v>292.2</v>
      </c>
      <c r="D356" s="29" t="n">
        <f aca="false">LN(B356)</f>
        <v>10.1791324682274</v>
      </c>
      <c r="E356" s="29" t="n">
        <f aca="false">LN(C356)</f>
        <v>5.6774384993166</v>
      </c>
      <c r="F356" s="0" t="n">
        <v>351</v>
      </c>
      <c r="G356" s="0" t="n">
        <v>34</v>
      </c>
      <c r="H356" s="29" t="n">
        <f aca="false">D356-E356</f>
        <v>4.5016939689108</v>
      </c>
      <c r="I356" s="29" t="n">
        <f aca="false">D356-D355</f>
        <v>0.00485089703445141</v>
      </c>
      <c r="J356" s="29" t="n">
        <f aca="false">E356-E355</f>
        <v>0.00308483535120985</v>
      </c>
      <c r="K356" s="0" t="n">
        <v>0</v>
      </c>
      <c r="L356" s="0" t="n">
        <v>1</v>
      </c>
      <c r="M356" s="29" t="n">
        <f aca="false">IF(L356=1,J356-Carry!$B$9/Inputs!$B$16,I356)</f>
        <v>0.00282537716948872</v>
      </c>
      <c r="N356" s="0" t="n">
        <v>0.065</v>
      </c>
      <c r="O356" s="0" t="n">
        <v>0.000125</v>
      </c>
      <c r="P356" s="29" t="n">
        <f aca="false">D356-('2 Hedge ratio'!$B$6+'2 Hedge ratio'!$B$5*E356)</f>
        <v>0.0160590536777292</v>
      </c>
      <c r="Q356" s="29" t="n">
        <f aca="false">D356-('5 Re-specification'!$B$7+'5 Re-specification'!$B$5*E356+'5 Re-specification'!$B$6*F356)</f>
        <v>0.00346861610736227</v>
      </c>
      <c r="R356" s="30" t="n">
        <f aca="false">MIN(F356,Inputs!$B$9)</f>
        <v>250</v>
      </c>
      <c r="S356" s="29" t="n">
        <f aca="true">IF(AND(F356&gt;=1,R356&gt;=Inputs!$B$10),INDEX(LINEST(OFFSET(D356,-R356,0,R356,1),OFFSET(E356,-R356,0,R356,2)),1,1),"")</f>
        <v>-9.2837502800463E-005</v>
      </c>
      <c r="T356" s="29" t="n">
        <f aca="true">IF(AND(F356&gt;=1,R356&gt;=Inputs!$B$10),INDEX(LINEST(OFFSET(D356,-R356,0,R356,1),OFFSET(E356,-R356,0,R356,2)),1,2),"")</f>
        <v>1.03355206370321</v>
      </c>
      <c r="U356" s="29" t="n">
        <f aca="true">IF(AND(F356&gt;=1,R356&gt;=Inputs!$B$10),INDEX(LINEST(OFFSET(D356,-R356,0,R356,1),OFFSET(E356,-R356,0,R356,2)),1,3),"")</f>
        <v>4.34038083778258</v>
      </c>
      <c r="V356" s="29" t="n">
        <f aca="true">IF(AND(F356&gt;=1,R356&gt;=Inputs!$B$10),SQRT(SUMPRODUCT((OFFSET(D356,-R356,0,R356,1)-U356-T356*OFFSET(E356,-R356,0,R356,1)-S356*OFFSET(F356,-R356,0,R356,1))^2)/(R356-3)),"")</f>
        <v>0.00348014367701528</v>
      </c>
      <c r="W356" s="31" t="n">
        <f aca="false">IF(AND(F356&gt;=1,R356&gt;=Inputs!$B$10),(D356-U356-T356*E356-S356*F356)/V356,"")</f>
        <v>0.979648177625974</v>
      </c>
      <c r="X356" s="30" t="n">
        <f aca="false">IF(AB355&lt;&gt;0,AC355+1,0)</f>
        <v>0</v>
      </c>
      <c r="Y356" s="30" t="n">
        <f aca="false">IF(W356="",0,IF(AND(AB355&lt;&gt;0,OR(ABS(W356)&gt;Inputs!$B$7,X356&gt;=Inputs!$B$8,ABS(W356)&lt;Inputs!$B$6)),1,0))</f>
        <v>0</v>
      </c>
      <c r="Z356" s="30" t="n">
        <f aca="false">IF(Y356=1,0,AB355)</f>
        <v>0</v>
      </c>
      <c r="AA356" s="30" t="n">
        <f aca="false">IF(W356="",0,IF(AND(Z356=0,ABS(W356)&gt;Inputs!$B$5,ABS(W356)&lt;=Inputs!$B$7),1,0))</f>
        <v>0</v>
      </c>
      <c r="AB356" s="30" t="n">
        <f aca="false">IF(W356="",0,IF(AA356=1,-SIGN(W356),Z356))</f>
        <v>0</v>
      </c>
      <c r="AC356" s="30" t="n">
        <f aca="false">IF(W356="",0,IF(AA356=1,0,IF(Y356=1,0,X356)))</f>
        <v>0</v>
      </c>
      <c r="AD356" s="30" t="n">
        <f aca="false">IF(AB356=0,0,IF(AB355=AB356,AD355,T356))</f>
        <v>0</v>
      </c>
      <c r="AE356" s="30" t="n">
        <f aca="false">AB356-AB355</f>
        <v>0</v>
      </c>
      <c r="AF356" s="30" t="n">
        <f aca="false">-AD356*AB356</f>
        <v>-0</v>
      </c>
      <c r="AG356" s="30" t="n">
        <f aca="false">AF356-AF355</f>
        <v>0</v>
      </c>
      <c r="AH356" s="30" t="n">
        <f aca="false">MAX(AE356,0)*(Inputs!$B$17+Inputs!$B$18+Inputs!$B$19)+MAX(-AE356,0)*(O356+Inputs!$B$18+Inputs!$B$19)+IF(AND(K356=1,AB356&lt;&gt;0),(Inputs!$B$17+Inputs!$B$18+Inputs!$B$19)+(O356+Inputs!$B$18+Inputs!$B$19),0)+MAX(AG356,0)*(Inputs!$B$20+Inputs!$B$22+Inputs!$B$23)+MAX(-AG356,0)*(Inputs!$B$21+Inputs!$B$22+Inputs!$B$23)</f>
        <v>0</v>
      </c>
      <c r="AI356" s="30" t="n">
        <f aca="false">AB355*(M356-AD355*J356)+AB355*AD355*N356/Inputs!$B$16-AH356</f>
        <v>0</v>
      </c>
      <c r="AJ356" s="30" t="n">
        <f aca="false">MAX(AE356,0)*(Inputs!$B$17+Inputs!$B$24+Inputs!$B$25)+MAX(-AE356,0)*(O356+Inputs!$B$24+Inputs!$B$25)+IF(AND(K356=1,AB356&lt;&gt;0),(Inputs!$B$17+Inputs!$B$24+Inputs!$B$25)+(O356+Inputs!$B$24+Inputs!$B$25),0)+MAX(AG356,0)*(Inputs!$B$20+Inputs!$B$26+Inputs!$B$27)+MAX(-AG356,0)*(Inputs!$B$21+Inputs!$B$26+Inputs!$B$27)</f>
        <v>0</v>
      </c>
      <c r="AK356" s="30" t="n">
        <f aca="false">AB355*(M356-AD355*J356)+AB355*AD355*(N356+Inputs!$B$14)/Inputs!$B$16-AJ356</f>
        <v>0</v>
      </c>
      <c r="AL356" s="30" t="n">
        <f aca="false">IF(AP355&lt;&gt;0,AQ355+1,0)</f>
        <v>0</v>
      </c>
      <c r="AM356" s="30" t="n">
        <f aca="false">IF(W356="",0,IF(AND(AP355&lt;&gt;0,OR(ABS(W356)&gt;Inputs!$B$7,AL356&gt;=Inputs!$B$8,ABS(W356)&lt;Inputs!$B$6)),1,0))</f>
        <v>0</v>
      </c>
      <c r="AN356" s="30" t="n">
        <f aca="false">IF(AM356=1,0,AP355)</f>
        <v>0</v>
      </c>
      <c r="AO356" s="30" t="n">
        <f aca="false">IF(W356="",0,IF(AND(AN356=0,ABS(W356)&gt;Inputs!$B$5,ABS(W356)&lt;=Inputs!$B$7,W356&gt;0),1,0))</f>
        <v>0</v>
      </c>
      <c r="AP356" s="30" t="n">
        <f aca="false">IF(W356="",0,IF(AO356=1,-SIGN(W356),AN356))</f>
        <v>0</v>
      </c>
      <c r="AQ356" s="30" t="n">
        <f aca="false">IF(W356="",0,IF(AO356=1,0,IF(AM356=1,0,AL356)))</f>
        <v>0</v>
      </c>
      <c r="AR356" s="30" t="n">
        <f aca="false">IF(AP356=0,0,IF(AP355=AP356,AR355,T356))</f>
        <v>0</v>
      </c>
      <c r="AS356" s="30" t="n">
        <f aca="false">AP356-AP355</f>
        <v>0</v>
      </c>
      <c r="AT356" s="30" t="n">
        <f aca="false">-AR356*AP356</f>
        <v>-0</v>
      </c>
      <c r="AU356" s="30" t="n">
        <f aca="false">AT356-AT355</f>
        <v>0</v>
      </c>
      <c r="AV356" s="30" t="n">
        <f aca="false">MAX(AS356,0)*(Inputs!$B$17+Inputs!$B$18+Inputs!$B$19)+MAX(-AS356,0)*(O356+Inputs!$B$18+Inputs!$B$19)+IF(AND(K356=1,AP356&lt;&gt;0),(Inputs!$B$17+Inputs!$B$18+Inputs!$B$19)+(O356+Inputs!$B$18+Inputs!$B$19),0)+MAX(AU356,0)*(Inputs!$B$20+Inputs!$B$22+Inputs!$B$23)+MAX(-AU356,0)*(Inputs!$B$21+Inputs!$B$22+Inputs!$B$23)</f>
        <v>0</v>
      </c>
      <c r="AW356" s="30" t="n">
        <f aca="false">AP355*(M356-AR355*J356)+AP355*AR355*N356/Inputs!$B$16-AV356</f>
        <v>0</v>
      </c>
      <c r="AX356" s="30" t="n">
        <f aca="false">AW356-IF(AP355&lt;&gt;0,0.75*AR355*(Inputs!$B$13-N356)/Inputs!$B$16,0)</f>
        <v>0</v>
      </c>
      <c r="AY356" s="30" t="n">
        <f aca="false">MAX(AS356,0)*(Inputs!$B$17+Inputs!$B$18+Inputs!$B$19)+MAX(-AS356,0)*(O356+Inputs!$B$18+Inputs!$B$19)+IF(AND(K356=1,AP356&lt;&gt;0),(Inputs!$B$17+Inputs!$B$18+Inputs!$B$19)+(O356+Inputs!$B$18+Inputs!$B$19),0)</f>
        <v>0</v>
      </c>
      <c r="AZ356" s="30" t="n">
        <f aca="false">AP355*M356-AY356</f>
        <v>0</v>
      </c>
      <c r="BA356" s="32" t="n">
        <f aca="false">BA355+AI356</f>
        <v>0.00164515276832129</v>
      </c>
      <c r="BB356" s="30" t="n">
        <f aca="false">MAX(BB355,BA356)</f>
        <v>0.00284866043860449</v>
      </c>
      <c r="BC356" s="32" t="n">
        <f aca="false">BA356-BB356</f>
        <v>-0.0012035076702832</v>
      </c>
      <c r="BD356" s="30" t="n">
        <f aca="false">A357-A356</f>
        <v>3</v>
      </c>
    </row>
    <row r="357" customFormat="false" ht="15" hidden="false" customHeight="false" outlineLevel="0" collapsed="false">
      <c r="A357" s="28" t="n">
        <v>45565</v>
      </c>
      <c r="B357" s="0" t="n">
        <v>25989.85</v>
      </c>
      <c r="C357" s="0" t="n">
        <v>288.67</v>
      </c>
      <c r="D357" s="29" t="n">
        <f aca="false">LN(B357)</f>
        <v>10.1654613561683</v>
      </c>
      <c r="E357" s="29" t="n">
        <f aca="false">LN(C357)</f>
        <v>5.66528416717177</v>
      </c>
      <c r="F357" s="0" t="n">
        <v>352</v>
      </c>
      <c r="G357" s="0" t="n">
        <v>31</v>
      </c>
      <c r="H357" s="29" t="n">
        <f aca="false">D357-E357</f>
        <v>4.50017718899656</v>
      </c>
      <c r="I357" s="29" t="n">
        <f aca="false">D357-D356</f>
        <v>-0.0136711120590771</v>
      </c>
      <c r="J357" s="29" t="n">
        <f aca="false">E357-E356</f>
        <v>-0.0121543321448332</v>
      </c>
      <c r="K357" s="0" t="n">
        <v>0</v>
      </c>
      <c r="L357" s="0" t="n">
        <v>0</v>
      </c>
      <c r="M357" s="29" t="n">
        <f aca="false">IF(L357=1,J357-Carry!$B$9/Inputs!$B$16,I357)</f>
        <v>-0.0136711120590771</v>
      </c>
      <c r="N357" s="0" t="n">
        <v>0.065</v>
      </c>
      <c r="O357" s="0" t="n">
        <v>0.000125</v>
      </c>
      <c r="P357" s="29" t="n">
        <f aca="false">D357-('2 Hedge ratio'!$B$6+'2 Hedge ratio'!$B$5*E357)</f>
        <v>0.0135228505373064</v>
      </c>
      <c r="Q357" s="29" t="n">
        <f aca="false">D357-('5 Re-specification'!$B$7+'5 Re-specification'!$B$5*E357+'5 Re-specification'!$B$6*F357)</f>
        <v>0.00195993180739329</v>
      </c>
      <c r="R357" s="30" t="n">
        <f aca="false">MIN(F357,Inputs!$B$9)</f>
        <v>250</v>
      </c>
      <c r="S357" s="29" t="n">
        <f aca="true">IF(AND(F357&gt;=1,R357&gt;=Inputs!$B$10),INDEX(LINEST(OFFSET(D357,-R357,0,R357,1),OFFSET(E357,-R357,0,R357,2)),1,1),"")</f>
        <v>-9.39604487881772E-005</v>
      </c>
      <c r="T357" s="29" t="n">
        <f aca="true">IF(AND(F357&gt;=1,R357&gt;=Inputs!$B$10),INDEX(LINEST(OFFSET(D357,-R357,0,R357,1),OFFSET(E357,-R357,0,R357,2)),1,2),"")</f>
        <v>1.03462171796382</v>
      </c>
      <c r="U357" s="29" t="n">
        <f aca="true">IF(AND(F357&gt;=1,R357&gt;=Inputs!$B$10),INDEX(LINEST(OFFSET(D357,-R357,0,R357,1),OFFSET(E357,-R357,0,R357,2)),1,3),"")</f>
        <v>4.33476360650044</v>
      </c>
      <c r="V357" s="29" t="n">
        <f aca="true">IF(AND(F357&gt;=1,R357&gt;=Inputs!$B$10),SQRT(SUMPRODUCT((OFFSET(D357,-R357,0,R357,1)-U357-T357*OFFSET(E357,-R357,0,R357,1)-S357*OFFSET(F357,-R357,0,R357,1))^2)/(R357-3)),"")</f>
        <v>0.00348361972575555</v>
      </c>
      <c r="W357" s="31" t="n">
        <f aca="false">IF(AND(F357&gt;=1,R357&gt;=Inputs!$B$10),(D357-U357-T357*E357-S357*F357)/V357,"")</f>
        <v>0.673377128829149</v>
      </c>
      <c r="X357" s="30" t="n">
        <f aca="false">IF(AB356&lt;&gt;0,AC356+1,0)</f>
        <v>0</v>
      </c>
      <c r="Y357" s="30" t="n">
        <f aca="false">IF(W357="",0,IF(AND(AB356&lt;&gt;0,OR(ABS(W357)&gt;Inputs!$B$7,X357&gt;=Inputs!$B$8,ABS(W357)&lt;Inputs!$B$6)),1,0))</f>
        <v>0</v>
      </c>
      <c r="Z357" s="30" t="n">
        <f aca="false">IF(Y357=1,0,AB356)</f>
        <v>0</v>
      </c>
      <c r="AA357" s="30" t="n">
        <f aca="false">IF(W357="",0,IF(AND(Z357=0,ABS(W357)&gt;Inputs!$B$5,ABS(W357)&lt;=Inputs!$B$7),1,0))</f>
        <v>0</v>
      </c>
      <c r="AB357" s="30" t="n">
        <f aca="false">IF(W357="",0,IF(AA357=1,-SIGN(W357),Z357))</f>
        <v>0</v>
      </c>
      <c r="AC357" s="30" t="n">
        <f aca="false">IF(W357="",0,IF(AA357=1,0,IF(Y357=1,0,X357)))</f>
        <v>0</v>
      </c>
      <c r="AD357" s="30" t="n">
        <f aca="false">IF(AB357=0,0,IF(AB356=AB357,AD356,T357))</f>
        <v>0</v>
      </c>
      <c r="AE357" s="30" t="n">
        <f aca="false">AB357-AB356</f>
        <v>0</v>
      </c>
      <c r="AF357" s="30" t="n">
        <f aca="false">-AD357*AB357</f>
        <v>-0</v>
      </c>
      <c r="AG357" s="30" t="n">
        <f aca="false">AF357-AF356</f>
        <v>0</v>
      </c>
      <c r="AH357" s="30" t="n">
        <f aca="false">MAX(AE357,0)*(Inputs!$B$17+Inputs!$B$18+Inputs!$B$19)+MAX(-AE357,0)*(O357+Inputs!$B$18+Inputs!$B$19)+IF(AND(K357=1,AB357&lt;&gt;0),(Inputs!$B$17+Inputs!$B$18+Inputs!$B$19)+(O357+Inputs!$B$18+Inputs!$B$19),0)+MAX(AG357,0)*(Inputs!$B$20+Inputs!$B$22+Inputs!$B$23)+MAX(-AG357,0)*(Inputs!$B$21+Inputs!$B$22+Inputs!$B$23)</f>
        <v>0</v>
      </c>
      <c r="AI357" s="30" t="n">
        <f aca="false">AB356*(M357-AD356*J357)+AB356*AD356*N357/Inputs!$B$16-AH357</f>
        <v>0</v>
      </c>
      <c r="AJ357" s="30" t="n">
        <f aca="false">MAX(AE357,0)*(Inputs!$B$17+Inputs!$B$24+Inputs!$B$25)+MAX(-AE357,0)*(O357+Inputs!$B$24+Inputs!$B$25)+IF(AND(K357=1,AB357&lt;&gt;0),(Inputs!$B$17+Inputs!$B$24+Inputs!$B$25)+(O357+Inputs!$B$24+Inputs!$B$25),0)+MAX(AG357,0)*(Inputs!$B$20+Inputs!$B$26+Inputs!$B$27)+MAX(-AG357,0)*(Inputs!$B$21+Inputs!$B$26+Inputs!$B$27)</f>
        <v>0</v>
      </c>
      <c r="AK357" s="30" t="n">
        <f aca="false">AB356*(M357-AD356*J357)+AB356*AD356*(N357+Inputs!$B$14)/Inputs!$B$16-AJ357</f>
        <v>0</v>
      </c>
      <c r="AL357" s="30" t="n">
        <f aca="false">IF(AP356&lt;&gt;0,AQ356+1,0)</f>
        <v>0</v>
      </c>
      <c r="AM357" s="30" t="n">
        <f aca="false">IF(W357="",0,IF(AND(AP356&lt;&gt;0,OR(ABS(W357)&gt;Inputs!$B$7,AL357&gt;=Inputs!$B$8,ABS(W357)&lt;Inputs!$B$6)),1,0))</f>
        <v>0</v>
      </c>
      <c r="AN357" s="30" t="n">
        <f aca="false">IF(AM357=1,0,AP356)</f>
        <v>0</v>
      </c>
      <c r="AO357" s="30" t="n">
        <f aca="false">IF(W357="",0,IF(AND(AN357=0,ABS(W357)&gt;Inputs!$B$5,ABS(W357)&lt;=Inputs!$B$7,W357&gt;0),1,0))</f>
        <v>0</v>
      </c>
      <c r="AP357" s="30" t="n">
        <f aca="false">IF(W357="",0,IF(AO357=1,-SIGN(W357),AN357))</f>
        <v>0</v>
      </c>
      <c r="AQ357" s="30" t="n">
        <f aca="false">IF(W357="",0,IF(AO357=1,0,IF(AM357=1,0,AL357)))</f>
        <v>0</v>
      </c>
      <c r="AR357" s="30" t="n">
        <f aca="false">IF(AP357=0,0,IF(AP356=AP357,AR356,T357))</f>
        <v>0</v>
      </c>
      <c r="AS357" s="30" t="n">
        <f aca="false">AP357-AP356</f>
        <v>0</v>
      </c>
      <c r="AT357" s="30" t="n">
        <f aca="false">-AR357*AP357</f>
        <v>-0</v>
      </c>
      <c r="AU357" s="30" t="n">
        <f aca="false">AT357-AT356</f>
        <v>0</v>
      </c>
      <c r="AV357" s="30" t="n">
        <f aca="false">MAX(AS357,0)*(Inputs!$B$17+Inputs!$B$18+Inputs!$B$19)+MAX(-AS357,0)*(O357+Inputs!$B$18+Inputs!$B$19)+IF(AND(K357=1,AP357&lt;&gt;0),(Inputs!$B$17+Inputs!$B$18+Inputs!$B$19)+(O357+Inputs!$B$18+Inputs!$B$19),0)+MAX(AU357,0)*(Inputs!$B$20+Inputs!$B$22+Inputs!$B$23)+MAX(-AU357,0)*(Inputs!$B$21+Inputs!$B$22+Inputs!$B$23)</f>
        <v>0</v>
      </c>
      <c r="AW357" s="30" t="n">
        <f aca="false">AP356*(M357-AR356*J357)+AP356*AR356*N357/Inputs!$B$16-AV357</f>
        <v>0</v>
      </c>
      <c r="AX357" s="30" t="n">
        <f aca="false">AW357-IF(AP356&lt;&gt;0,0.75*AR356*(Inputs!$B$13-N357)/Inputs!$B$16,0)</f>
        <v>0</v>
      </c>
      <c r="AY357" s="30" t="n">
        <f aca="false">MAX(AS357,0)*(Inputs!$B$17+Inputs!$B$18+Inputs!$B$19)+MAX(-AS357,0)*(O357+Inputs!$B$18+Inputs!$B$19)+IF(AND(K357=1,AP357&lt;&gt;0),(Inputs!$B$17+Inputs!$B$18+Inputs!$B$19)+(O357+Inputs!$B$18+Inputs!$B$19),0)</f>
        <v>0</v>
      </c>
      <c r="AZ357" s="30" t="n">
        <f aca="false">AP356*M357-AY357</f>
        <v>-0</v>
      </c>
      <c r="BA357" s="32" t="n">
        <f aca="false">BA356+AI357</f>
        <v>0.00164515276832129</v>
      </c>
      <c r="BB357" s="30" t="n">
        <f aca="false">MAX(BB356,BA357)</f>
        <v>0.00284866043860449</v>
      </c>
      <c r="BC357" s="32" t="n">
        <f aca="false">BA357-BB357</f>
        <v>-0.0012035076702832</v>
      </c>
      <c r="BD357" s="30" t="n">
        <f aca="false">A358-A357</f>
        <v>1</v>
      </c>
    </row>
    <row r="358" customFormat="false" ht="15" hidden="false" customHeight="false" outlineLevel="0" collapsed="false">
      <c r="A358" s="28" t="n">
        <v>45566</v>
      </c>
      <c r="B358" s="0" t="n">
        <v>25977.7</v>
      </c>
      <c r="C358" s="0" t="n">
        <v>288.32</v>
      </c>
      <c r="D358" s="29" t="n">
        <f aca="false">LN(B358)</f>
        <v>10.1649937566674</v>
      </c>
      <c r="E358" s="29" t="n">
        <f aca="false">LN(C358)</f>
        <v>5.66407097441997</v>
      </c>
      <c r="F358" s="0" t="n">
        <v>353</v>
      </c>
      <c r="G358" s="0" t="n">
        <v>30</v>
      </c>
      <c r="H358" s="29" t="n">
        <f aca="false">D358-E358</f>
        <v>4.50092278224746</v>
      </c>
      <c r="I358" s="29" t="n">
        <f aca="false">D358-D357</f>
        <v>-0.000467599500895588</v>
      </c>
      <c r="J358" s="29" t="n">
        <f aca="false">E358-E357</f>
        <v>-0.0012131927517931</v>
      </c>
      <c r="K358" s="0" t="n">
        <v>0</v>
      </c>
      <c r="L358" s="0" t="n">
        <v>0</v>
      </c>
      <c r="M358" s="29" t="n">
        <f aca="false">IF(L358=1,J358-Carry!$B$9/Inputs!$B$16,I358)</f>
        <v>-0.000467599500895588</v>
      </c>
      <c r="N358" s="0" t="n">
        <v>0.065</v>
      </c>
      <c r="O358" s="0" t="n">
        <v>0.0002</v>
      </c>
      <c r="P358" s="29" t="n">
        <f aca="false">D358-('2 Hedge ratio'!$B$6+'2 Hedge ratio'!$B$5*E358)</f>
        <v>0.0141666893804526</v>
      </c>
      <c r="Q358" s="29" t="n">
        <f aca="false">D358-('5 Re-specification'!$B$7+'5 Re-specification'!$B$5*E358+'5 Re-specification'!$B$6*F358)</f>
        <v>0.00274677779572841</v>
      </c>
      <c r="R358" s="30" t="n">
        <f aca="false">MIN(F358,Inputs!$B$9)</f>
        <v>250</v>
      </c>
      <c r="S358" s="29" t="n">
        <f aca="true">IF(AND(F358&gt;=1,R358&gt;=Inputs!$B$10),INDEX(LINEST(OFFSET(D358,-R358,0,R358,1),OFFSET(E358,-R358,0,R358,2)),1,1),"")</f>
        <v>-9.47010297708493E-005</v>
      </c>
      <c r="T358" s="29" t="n">
        <f aca="true">IF(AND(F358&gt;=1,R358&gt;=Inputs!$B$10),INDEX(LINEST(OFFSET(D358,-R358,0,R358,1),OFFSET(E358,-R358,0,R358,2)),1,2),"")</f>
        <v>1.03519266811712</v>
      </c>
      <c r="U358" s="29" t="n">
        <f aca="true">IF(AND(F358&gt;=1,R358&gt;=Inputs!$B$10),INDEX(LINEST(OFFSET(D358,-R358,0,R358,1),OFFSET(E358,-R358,0,R358,2)),1,3),"")</f>
        <v>4.33180735872862</v>
      </c>
      <c r="V358" s="29" t="n">
        <f aca="true">IF(AND(F358&gt;=1,R358&gt;=Inputs!$B$10),SQRT(SUMPRODUCT((OFFSET(D358,-R358,0,R358,1)-U358-T358*OFFSET(E358,-R358,0,R358,1)-S358*OFFSET(F358,-R358,0,R358,1))^2)/(R358-3)),"")</f>
        <v>0.00348072159556909</v>
      </c>
      <c r="W358" s="31" t="n">
        <f aca="false">IF(AND(F358&gt;=1,R358&gt;=Inputs!$B$10),(D358-U358-T358*E358-S358*F358)/V358,"")</f>
        <v>0.922543485649011</v>
      </c>
      <c r="X358" s="30" t="n">
        <f aca="false">IF(AB357&lt;&gt;0,AC357+1,0)</f>
        <v>0</v>
      </c>
      <c r="Y358" s="30" t="n">
        <f aca="false">IF(W358="",0,IF(AND(AB357&lt;&gt;0,OR(ABS(W358)&gt;Inputs!$B$7,X358&gt;=Inputs!$B$8,ABS(W358)&lt;Inputs!$B$6)),1,0))</f>
        <v>0</v>
      </c>
      <c r="Z358" s="30" t="n">
        <f aca="false">IF(Y358=1,0,AB357)</f>
        <v>0</v>
      </c>
      <c r="AA358" s="30" t="n">
        <f aca="false">IF(W358="",0,IF(AND(Z358=0,ABS(W358)&gt;Inputs!$B$5,ABS(W358)&lt;=Inputs!$B$7),1,0))</f>
        <v>0</v>
      </c>
      <c r="AB358" s="30" t="n">
        <f aca="false">IF(W358="",0,IF(AA358=1,-SIGN(W358),Z358))</f>
        <v>0</v>
      </c>
      <c r="AC358" s="30" t="n">
        <f aca="false">IF(W358="",0,IF(AA358=1,0,IF(Y358=1,0,X358)))</f>
        <v>0</v>
      </c>
      <c r="AD358" s="30" t="n">
        <f aca="false">IF(AB358=0,0,IF(AB357=AB358,AD357,T358))</f>
        <v>0</v>
      </c>
      <c r="AE358" s="30" t="n">
        <f aca="false">AB358-AB357</f>
        <v>0</v>
      </c>
      <c r="AF358" s="30" t="n">
        <f aca="false">-AD358*AB358</f>
        <v>-0</v>
      </c>
      <c r="AG358" s="30" t="n">
        <f aca="false">AF358-AF357</f>
        <v>0</v>
      </c>
      <c r="AH358" s="30" t="n">
        <f aca="false">MAX(AE358,0)*(Inputs!$B$17+Inputs!$B$18+Inputs!$B$19)+MAX(-AE358,0)*(O358+Inputs!$B$18+Inputs!$B$19)+IF(AND(K358=1,AB358&lt;&gt;0),(Inputs!$B$17+Inputs!$B$18+Inputs!$B$19)+(O358+Inputs!$B$18+Inputs!$B$19),0)+MAX(AG358,0)*(Inputs!$B$20+Inputs!$B$22+Inputs!$B$23)+MAX(-AG358,0)*(Inputs!$B$21+Inputs!$B$22+Inputs!$B$23)</f>
        <v>0</v>
      </c>
      <c r="AI358" s="30" t="n">
        <f aca="false">AB357*(M358-AD357*J358)+AB357*AD357*N358/Inputs!$B$16-AH358</f>
        <v>0</v>
      </c>
      <c r="AJ358" s="30" t="n">
        <f aca="false">MAX(AE358,0)*(Inputs!$B$17+Inputs!$B$24+Inputs!$B$25)+MAX(-AE358,0)*(O358+Inputs!$B$24+Inputs!$B$25)+IF(AND(K358=1,AB358&lt;&gt;0),(Inputs!$B$17+Inputs!$B$24+Inputs!$B$25)+(O358+Inputs!$B$24+Inputs!$B$25),0)+MAX(AG358,0)*(Inputs!$B$20+Inputs!$B$26+Inputs!$B$27)+MAX(-AG358,0)*(Inputs!$B$21+Inputs!$B$26+Inputs!$B$27)</f>
        <v>0</v>
      </c>
      <c r="AK358" s="30" t="n">
        <f aca="false">AB357*(M358-AD357*J358)+AB357*AD357*(N358+Inputs!$B$14)/Inputs!$B$16-AJ358</f>
        <v>0</v>
      </c>
      <c r="AL358" s="30" t="n">
        <f aca="false">IF(AP357&lt;&gt;0,AQ357+1,0)</f>
        <v>0</v>
      </c>
      <c r="AM358" s="30" t="n">
        <f aca="false">IF(W358="",0,IF(AND(AP357&lt;&gt;0,OR(ABS(W358)&gt;Inputs!$B$7,AL358&gt;=Inputs!$B$8,ABS(W358)&lt;Inputs!$B$6)),1,0))</f>
        <v>0</v>
      </c>
      <c r="AN358" s="30" t="n">
        <f aca="false">IF(AM358=1,0,AP357)</f>
        <v>0</v>
      </c>
      <c r="AO358" s="30" t="n">
        <f aca="false">IF(W358="",0,IF(AND(AN358=0,ABS(W358)&gt;Inputs!$B$5,ABS(W358)&lt;=Inputs!$B$7,W358&gt;0),1,0))</f>
        <v>0</v>
      </c>
      <c r="AP358" s="30" t="n">
        <f aca="false">IF(W358="",0,IF(AO358=1,-SIGN(W358),AN358))</f>
        <v>0</v>
      </c>
      <c r="AQ358" s="30" t="n">
        <f aca="false">IF(W358="",0,IF(AO358=1,0,IF(AM358=1,0,AL358)))</f>
        <v>0</v>
      </c>
      <c r="AR358" s="30" t="n">
        <f aca="false">IF(AP358=0,0,IF(AP357=AP358,AR357,T358))</f>
        <v>0</v>
      </c>
      <c r="AS358" s="30" t="n">
        <f aca="false">AP358-AP357</f>
        <v>0</v>
      </c>
      <c r="AT358" s="30" t="n">
        <f aca="false">-AR358*AP358</f>
        <v>-0</v>
      </c>
      <c r="AU358" s="30" t="n">
        <f aca="false">AT358-AT357</f>
        <v>0</v>
      </c>
      <c r="AV358" s="30" t="n">
        <f aca="false">MAX(AS358,0)*(Inputs!$B$17+Inputs!$B$18+Inputs!$B$19)+MAX(-AS358,0)*(O358+Inputs!$B$18+Inputs!$B$19)+IF(AND(K358=1,AP358&lt;&gt;0),(Inputs!$B$17+Inputs!$B$18+Inputs!$B$19)+(O358+Inputs!$B$18+Inputs!$B$19),0)+MAX(AU358,0)*(Inputs!$B$20+Inputs!$B$22+Inputs!$B$23)+MAX(-AU358,0)*(Inputs!$B$21+Inputs!$B$22+Inputs!$B$23)</f>
        <v>0</v>
      </c>
      <c r="AW358" s="30" t="n">
        <f aca="false">AP357*(M358-AR357*J358)+AP357*AR357*N358/Inputs!$B$16-AV358</f>
        <v>0</v>
      </c>
      <c r="AX358" s="30" t="n">
        <f aca="false">AW358-IF(AP357&lt;&gt;0,0.75*AR357*(Inputs!$B$13-N358)/Inputs!$B$16,0)</f>
        <v>0</v>
      </c>
      <c r="AY358" s="30" t="n">
        <f aca="false">MAX(AS358,0)*(Inputs!$B$17+Inputs!$B$18+Inputs!$B$19)+MAX(-AS358,0)*(O358+Inputs!$B$18+Inputs!$B$19)+IF(AND(K358=1,AP358&lt;&gt;0),(Inputs!$B$17+Inputs!$B$18+Inputs!$B$19)+(O358+Inputs!$B$18+Inputs!$B$19),0)</f>
        <v>0</v>
      </c>
      <c r="AZ358" s="30" t="n">
        <f aca="false">AP357*M358-AY358</f>
        <v>-0</v>
      </c>
      <c r="BA358" s="32" t="n">
        <f aca="false">BA357+AI358</f>
        <v>0.00164515276832129</v>
      </c>
      <c r="BB358" s="30" t="n">
        <f aca="false">MAX(BB357,BA358)</f>
        <v>0.00284866043860449</v>
      </c>
      <c r="BC358" s="32" t="n">
        <f aca="false">BA358-BB358</f>
        <v>-0.0012035076702832</v>
      </c>
      <c r="BD358" s="30" t="n">
        <f aca="false">A359-A358</f>
        <v>2</v>
      </c>
    </row>
    <row r="359" customFormat="false" ht="15" hidden="false" customHeight="false" outlineLevel="0" collapsed="false">
      <c r="A359" s="28" t="n">
        <v>45568</v>
      </c>
      <c r="B359" s="0" t="n">
        <v>25478.15</v>
      </c>
      <c r="C359" s="0" t="n">
        <v>282.85</v>
      </c>
      <c r="D359" s="29" t="n">
        <f aca="false">LN(B359)</f>
        <v>10.1455765010847</v>
      </c>
      <c r="E359" s="29" t="n">
        <f aca="false">LN(C359)</f>
        <v>5.64491672178917</v>
      </c>
      <c r="F359" s="0" t="n">
        <v>354</v>
      </c>
      <c r="G359" s="0" t="n">
        <v>28</v>
      </c>
      <c r="H359" s="29" t="n">
        <f aca="false">D359-E359</f>
        <v>4.50065977929553</v>
      </c>
      <c r="I359" s="29" t="n">
        <f aca="false">D359-D358</f>
        <v>-0.0194172555827326</v>
      </c>
      <c r="J359" s="29" t="n">
        <f aca="false">E359-E358</f>
        <v>-0.0191542526308082</v>
      </c>
      <c r="K359" s="0" t="n">
        <v>0</v>
      </c>
      <c r="L359" s="0" t="n">
        <v>0</v>
      </c>
      <c r="M359" s="29" t="n">
        <f aca="false">IF(L359=1,J359-Carry!$B$9/Inputs!$B$16,I359)</f>
        <v>-0.0194172555827326</v>
      </c>
      <c r="N359" s="0" t="n">
        <v>0.065</v>
      </c>
      <c r="O359" s="0" t="n">
        <v>0.0002</v>
      </c>
      <c r="P359" s="29" t="n">
        <f aca="false">D359-('2 Hedge ratio'!$B$6+'2 Hedge ratio'!$B$5*E359)</f>
        <v>0.0122971571861754</v>
      </c>
      <c r="Q359" s="29" t="n">
        <f aca="false">D359-('5 Re-specification'!$B$7+'5 Re-specification'!$B$5*E359+'5 Re-specification'!$B$6*F359)</f>
        <v>0.00247065719889683</v>
      </c>
      <c r="R359" s="30" t="n">
        <f aca="false">MIN(F359,Inputs!$B$9)</f>
        <v>250</v>
      </c>
      <c r="S359" s="29" t="n">
        <f aca="true">IF(AND(F359&gt;=1,R359&gt;=Inputs!$B$10),INDEX(LINEST(OFFSET(D359,-R359,0,R359,1),OFFSET(E359,-R359,0,R359,2)),1,1),"")</f>
        <v>-9.58264396019138E-005</v>
      </c>
      <c r="T359" s="29" t="n">
        <f aca="true">IF(AND(F359&gt;=1,R359&gt;=Inputs!$B$10),INDEX(LINEST(OFFSET(D359,-R359,0,R359,1),OFFSET(E359,-R359,0,R359,2)),1,2),"")</f>
        <v>1.0360568958661</v>
      </c>
      <c r="U359" s="29" t="n">
        <f aca="true">IF(AND(F359&gt;=1,R359&gt;=Inputs!$B$10),INDEX(LINEST(OFFSET(D359,-R359,0,R359,1),OFFSET(E359,-R359,0,R359,2)),1,3),"")</f>
        <v>4.32733114645438</v>
      </c>
      <c r="V359" s="29" t="n">
        <f aca="true">IF(AND(F359&gt;=1,R359&gt;=Inputs!$B$10),SQRT(SUMPRODUCT((OFFSET(D359,-R359,0,R359,1)-U359-T359*OFFSET(E359,-R359,0,R359,1)-S359*OFFSET(F359,-R359,0,R359,1))^2)/(R359-3)),"")</f>
        <v>0.00347445913382392</v>
      </c>
      <c r="W359" s="31" t="n">
        <f aca="false">IF(AND(F359&gt;=1,R359&gt;=Inputs!$B$10),(D359-U359-T359*E359-S359*F359)/V359,"")</f>
        <v>1.06866073448146</v>
      </c>
      <c r="X359" s="30" t="n">
        <f aca="false">IF(AB358&lt;&gt;0,AC358+1,0)</f>
        <v>0</v>
      </c>
      <c r="Y359" s="30" t="n">
        <f aca="false">IF(W359="",0,IF(AND(AB358&lt;&gt;0,OR(ABS(W359)&gt;Inputs!$B$7,X359&gt;=Inputs!$B$8,ABS(W359)&lt;Inputs!$B$6)),1,0))</f>
        <v>0</v>
      </c>
      <c r="Z359" s="30" t="n">
        <f aca="false">IF(Y359=1,0,AB358)</f>
        <v>0</v>
      </c>
      <c r="AA359" s="30" t="n">
        <f aca="false">IF(W359="",0,IF(AND(Z359=0,ABS(W359)&gt;Inputs!$B$5,ABS(W359)&lt;=Inputs!$B$7),1,0))</f>
        <v>0</v>
      </c>
      <c r="AB359" s="30" t="n">
        <f aca="false">IF(W359="",0,IF(AA359=1,-SIGN(W359),Z359))</f>
        <v>0</v>
      </c>
      <c r="AC359" s="30" t="n">
        <f aca="false">IF(W359="",0,IF(AA359=1,0,IF(Y359=1,0,X359)))</f>
        <v>0</v>
      </c>
      <c r="AD359" s="30" t="n">
        <f aca="false">IF(AB359=0,0,IF(AB358=AB359,AD358,T359))</f>
        <v>0</v>
      </c>
      <c r="AE359" s="30" t="n">
        <f aca="false">AB359-AB358</f>
        <v>0</v>
      </c>
      <c r="AF359" s="30" t="n">
        <f aca="false">-AD359*AB359</f>
        <v>-0</v>
      </c>
      <c r="AG359" s="30" t="n">
        <f aca="false">AF359-AF358</f>
        <v>0</v>
      </c>
      <c r="AH359" s="30" t="n">
        <f aca="false">MAX(AE359,0)*(Inputs!$B$17+Inputs!$B$18+Inputs!$B$19)+MAX(-AE359,0)*(O359+Inputs!$B$18+Inputs!$B$19)+IF(AND(K359=1,AB359&lt;&gt;0),(Inputs!$B$17+Inputs!$B$18+Inputs!$B$19)+(O359+Inputs!$B$18+Inputs!$B$19),0)+MAX(AG359,0)*(Inputs!$B$20+Inputs!$B$22+Inputs!$B$23)+MAX(-AG359,0)*(Inputs!$B$21+Inputs!$B$22+Inputs!$B$23)</f>
        <v>0</v>
      </c>
      <c r="AI359" s="30" t="n">
        <f aca="false">AB358*(M359-AD358*J359)+AB358*AD358*N359/Inputs!$B$16-AH359</f>
        <v>0</v>
      </c>
      <c r="AJ359" s="30" t="n">
        <f aca="false">MAX(AE359,0)*(Inputs!$B$17+Inputs!$B$24+Inputs!$B$25)+MAX(-AE359,0)*(O359+Inputs!$B$24+Inputs!$B$25)+IF(AND(K359=1,AB359&lt;&gt;0),(Inputs!$B$17+Inputs!$B$24+Inputs!$B$25)+(O359+Inputs!$B$24+Inputs!$B$25),0)+MAX(AG359,0)*(Inputs!$B$20+Inputs!$B$26+Inputs!$B$27)+MAX(-AG359,0)*(Inputs!$B$21+Inputs!$B$26+Inputs!$B$27)</f>
        <v>0</v>
      </c>
      <c r="AK359" s="30" t="n">
        <f aca="false">AB358*(M359-AD358*J359)+AB358*AD358*(N359+Inputs!$B$14)/Inputs!$B$16-AJ359</f>
        <v>0</v>
      </c>
      <c r="AL359" s="30" t="n">
        <f aca="false">IF(AP358&lt;&gt;0,AQ358+1,0)</f>
        <v>0</v>
      </c>
      <c r="AM359" s="30" t="n">
        <f aca="false">IF(W359="",0,IF(AND(AP358&lt;&gt;0,OR(ABS(W359)&gt;Inputs!$B$7,AL359&gt;=Inputs!$B$8,ABS(W359)&lt;Inputs!$B$6)),1,0))</f>
        <v>0</v>
      </c>
      <c r="AN359" s="30" t="n">
        <f aca="false">IF(AM359=1,0,AP358)</f>
        <v>0</v>
      </c>
      <c r="AO359" s="30" t="n">
        <f aca="false">IF(W359="",0,IF(AND(AN359=0,ABS(W359)&gt;Inputs!$B$5,ABS(W359)&lt;=Inputs!$B$7,W359&gt;0),1,0))</f>
        <v>0</v>
      </c>
      <c r="AP359" s="30" t="n">
        <f aca="false">IF(W359="",0,IF(AO359=1,-SIGN(W359),AN359))</f>
        <v>0</v>
      </c>
      <c r="AQ359" s="30" t="n">
        <f aca="false">IF(W359="",0,IF(AO359=1,0,IF(AM359=1,0,AL359)))</f>
        <v>0</v>
      </c>
      <c r="AR359" s="30" t="n">
        <f aca="false">IF(AP359=0,0,IF(AP358=AP359,AR358,T359))</f>
        <v>0</v>
      </c>
      <c r="AS359" s="30" t="n">
        <f aca="false">AP359-AP358</f>
        <v>0</v>
      </c>
      <c r="AT359" s="30" t="n">
        <f aca="false">-AR359*AP359</f>
        <v>-0</v>
      </c>
      <c r="AU359" s="30" t="n">
        <f aca="false">AT359-AT358</f>
        <v>0</v>
      </c>
      <c r="AV359" s="30" t="n">
        <f aca="false">MAX(AS359,0)*(Inputs!$B$17+Inputs!$B$18+Inputs!$B$19)+MAX(-AS359,0)*(O359+Inputs!$B$18+Inputs!$B$19)+IF(AND(K359=1,AP359&lt;&gt;0),(Inputs!$B$17+Inputs!$B$18+Inputs!$B$19)+(O359+Inputs!$B$18+Inputs!$B$19),0)+MAX(AU359,0)*(Inputs!$B$20+Inputs!$B$22+Inputs!$B$23)+MAX(-AU359,0)*(Inputs!$B$21+Inputs!$B$22+Inputs!$B$23)</f>
        <v>0</v>
      </c>
      <c r="AW359" s="30" t="n">
        <f aca="false">AP358*(M359-AR358*J359)+AP358*AR358*N359/Inputs!$B$16-AV359</f>
        <v>0</v>
      </c>
      <c r="AX359" s="30" t="n">
        <f aca="false">AW359-IF(AP358&lt;&gt;0,0.75*AR358*(Inputs!$B$13-N359)/Inputs!$B$16,0)</f>
        <v>0</v>
      </c>
      <c r="AY359" s="30" t="n">
        <f aca="false">MAX(AS359,0)*(Inputs!$B$17+Inputs!$B$18+Inputs!$B$19)+MAX(-AS359,0)*(O359+Inputs!$B$18+Inputs!$B$19)+IF(AND(K359=1,AP359&lt;&gt;0),(Inputs!$B$17+Inputs!$B$18+Inputs!$B$19)+(O359+Inputs!$B$18+Inputs!$B$19),0)</f>
        <v>0</v>
      </c>
      <c r="AZ359" s="30" t="n">
        <f aca="false">AP358*M359-AY359</f>
        <v>-0</v>
      </c>
      <c r="BA359" s="32" t="n">
        <f aca="false">BA358+AI359</f>
        <v>0.00164515276832129</v>
      </c>
      <c r="BB359" s="30" t="n">
        <f aca="false">MAX(BB358,BA359)</f>
        <v>0.00284866043860449</v>
      </c>
      <c r="BC359" s="32" t="n">
        <f aca="false">BA359-BB359</f>
        <v>-0.0012035076702832</v>
      </c>
      <c r="BD359" s="30" t="n">
        <f aca="false">A360-A359</f>
        <v>1</v>
      </c>
    </row>
    <row r="360" customFormat="false" ht="15" hidden="false" customHeight="false" outlineLevel="0" collapsed="false">
      <c r="A360" s="28" t="n">
        <v>45569</v>
      </c>
      <c r="B360" s="0" t="n">
        <v>25194.95</v>
      </c>
      <c r="C360" s="0" t="n">
        <v>280.7</v>
      </c>
      <c r="D360" s="29" t="n">
        <f aca="false">LN(B360)</f>
        <v>10.134398856592</v>
      </c>
      <c r="E360" s="29" t="n">
        <f aca="false">LN(C360)</f>
        <v>5.63728648336784</v>
      </c>
      <c r="F360" s="0" t="n">
        <v>355</v>
      </c>
      <c r="G360" s="0" t="n">
        <v>27</v>
      </c>
      <c r="H360" s="29" t="n">
        <f aca="false">D360-E360</f>
        <v>4.49711237322415</v>
      </c>
      <c r="I360" s="29" t="n">
        <f aca="false">D360-D359</f>
        <v>-0.0111776444927045</v>
      </c>
      <c r="J360" s="29" t="n">
        <f aca="false">E360-E359</f>
        <v>-0.00763023842132782</v>
      </c>
      <c r="K360" s="0" t="n">
        <v>0</v>
      </c>
      <c r="L360" s="0" t="n">
        <v>0</v>
      </c>
      <c r="M360" s="29" t="n">
        <f aca="false">IF(L360=1,J360-Carry!$B$9/Inputs!$B$16,I360)</f>
        <v>-0.0111776444927045</v>
      </c>
      <c r="N360" s="0" t="n">
        <v>0.065</v>
      </c>
      <c r="O360" s="0" t="n">
        <v>0.0002</v>
      </c>
      <c r="P360" s="29" t="n">
        <f aca="false">D360-('2 Hedge ratio'!$B$6+'2 Hedge ratio'!$B$5*E360)</f>
        <v>0.00810977829068271</v>
      </c>
      <c r="Q360" s="29" t="n">
        <f aca="false">D360-('5 Re-specification'!$B$7+'5 Re-specification'!$B$5*E360+'5 Re-specification'!$B$6*F360)</f>
        <v>-0.00105494299208075</v>
      </c>
      <c r="R360" s="30" t="n">
        <f aca="false">MIN(F360,Inputs!$B$9)</f>
        <v>250</v>
      </c>
      <c r="S360" s="29" t="n">
        <f aca="true">IF(AND(F360&gt;=1,R360&gt;=Inputs!$B$10),INDEX(LINEST(OFFSET(D360,-R360,0,R360,1),OFFSET(E360,-R360,0,R360,2)),1,1),"")</f>
        <v>-9.62340890125294E-005</v>
      </c>
      <c r="T360" s="29" t="n">
        <f aca="true">IF(AND(F360&gt;=1,R360&gt;=Inputs!$B$10),INDEX(LINEST(OFFSET(D360,-R360,0,R360,1),OFFSET(E360,-R360,0,R360,2)),1,2),"")</f>
        <v>1.03607644002449</v>
      </c>
      <c r="U360" s="29" t="n">
        <f aca="true">IF(AND(F360&gt;=1,R360&gt;=Inputs!$B$10),INDEX(LINEST(OFFSET(D360,-R360,0,R360,1),OFFSET(E360,-R360,0,R360,2)),1,3),"")</f>
        <v>4.32736250665919</v>
      </c>
      <c r="V360" s="29" t="n">
        <f aca="true">IF(AND(F360&gt;=1,R360&gt;=Inputs!$B$10),SQRT(SUMPRODUCT((OFFSET(D360,-R360,0,R360,1)-U360-T360*OFFSET(E360,-R360,0,R360,1)-S360*OFFSET(F360,-R360,0,R360,1))^2)/(R360-3)),"")</f>
        <v>0.00344761019861019</v>
      </c>
      <c r="W360" s="31" t="n">
        <f aca="false">IF(AND(F360&gt;=1,R360&gt;=Inputs!$B$10),(D360-U360-T360*E360-S360*F360)/V360,"")</f>
        <v>0.15655495117463</v>
      </c>
      <c r="X360" s="30" t="n">
        <f aca="false">IF(AB359&lt;&gt;0,AC359+1,0)</f>
        <v>0</v>
      </c>
      <c r="Y360" s="30" t="n">
        <f aca="false">IF(W360="",0,IF(AND(AB359&lt;&gt;0,OR(ABS(W360)&gt;Inputs!$B$7,X360&gt;=Inputs!$B$8,ABS(W360)&lt;Inputs!$B$6)),1,0))</f>
        <v>0</v>
      </c>
      <c r="Z360" s="30" t="n">
        <f aca="false">IF(Y360=1,0,AB359)</f>
        <v>0</v>
      </c>
      <c r="AA360" s="30" t="n">
        <f aca="false">IF(W360="",0,IF(AND(Z360=0,ABS(W360)&gt;Inputs!$B$5,ABS(W360)&lt;=Inputs!$B$7),1,0))</f>
        <v>0</v>
      </c>
      <c r="AB360" s="30" t="n">
        <f aca="false">IF(W360="",0,IF(AA360=1,-SIGN(W360),Z360))</f>
        <v>0</v>
      </c>
      <c r="AC360" s="30" t="n">
        <f aca="false">IF(W360="",0,IF(AA360=1,0,IF(Y360=1,0,X360)))</f>
        <v>0</v>
      </c>
      <c r="AD360" s="30" t="n">
        <f aca="false">IF(AB360=0,0,IF(AB359=AB360,AD359,T360))</f>
        <v>0</v>
      </c>
      <c r="AE360" s="30" t="n">
        <f aca="false">AB360-AB359</f>
        <v>0</v>
      </c>
      <c r="AF360" s="30" t="n">
        <f aca="false">-AD360*AB360</f>
        <v>-0</v>
      </c>
      <c r="AG360" s="30" t="n">
        <f aca="false">AF360-AF359</f>
        <v>0</v>
      </c>
      <c r="AH360" s="30" t="n">
        <f aca="false">MAX(AE360,0)*(Inputs!$B$17+Inputs!$B$18+Inputs!$B$19)+MAX(-AE360,0)*(O360+Inputs!$B$18+Inputs!$B$19)+IF(AND(K360=1,AB360&lt;&gt;0),(Inputs!$B$17+Inputs!$B$18+Inputs!$B$19)+(O360+Inputs!$B$18+Inputs!$B$19),0)+MAX(AG360,0)*(Inputs!$B$20+Inputs!$B$22+Inputs!$B$23)+MAX(-AG360,0)*(Inputs!$B$21+Inputs!$B$22+Inputs!$B$23)</f>
        <v>0</v>
      </c>
      <c r="AI360" s="30" t="n">
        <f aca="false">AB359*(M360-AD359*J360)+AB359*AD359*N360/Inputs!$B$16-AH360</f>
        <v>0</v>
      </c>
      <c r="AJ360" s="30" t="n">
        <f aca="false">MAX(AE360,0)*(Inputs!$B$17+Inputs!$B$24+Inputs!$B$25)+MAX(-AE360,0)*(O360+Inputs!$B$24+Inputs!$B$25)+IF(AND(K360=1,AB360&lt;&gt;0),(Inputs!$B$17+Inputs!$B$24+Inputs!$B$25)+(O360+Inputs!$B$24+Inputs!$B$25),0)+MAX(AG360,0)*(Inputs!$B$20+Inputs!$B$26+Inputs!$B$27)+MAX(-AG360,0)*(Inputs!$B$21+Inputs!$B$26+Inputs!$B$27)</f>
        <v>0</v>
      </c>
      <c r="AK360" s="30" t="n">
        <f aca="false">AB359*(M360-AD359*J360)+AB359*AD359*(N360+Inputs!$B$14)/Inputs!$B$16-AJ360</f>
        <v>0</v>
      </c>
      <c r="AL360" s="30" t="n">
        <f aca="false">IF(AP359&lt;&gt;0,AQ359+1,0)</f>
        <v>0</v>
      </c>
      <c r="AM360" s="30" t="n">
        <f aca="false">IF(W360="",0,IF(AND(AP359&lt;&gt;0,OR(ABS(W360)&gt;Inputs!$B$7,AL360&gt;=Inputs!$B$8,ABS(W360)&lt;Inputs!$B$6)),1,0))</f>
        <v>0</v>
      </c>
      <c r="AN360" s="30" t="n">
        <f aca="false">IF(AM360=1,0,AP359)</f>
        <v>0</v>
      </c>
      <c r="AO360" s="30" t="n">
        <f aca="false">IF(W360="",0,IF(AND(AN360=0,ABS(W360)&gt;Inputs!$B$5,ABS(W360)&lt;=Inputs!$B$7,W360&gt;0),1,0))</f>
        <v>0</v>
      </c>
      <c r="AP360" s="30" t="n">
        <f aca="false">IF(W360="",0,IF(AO360=1,-SIGN(W360),AN360))</f>
        <v>0</v>
      </c>
      <c r="AQ360" s="30" t="n">
        <f aca="false">IF(W360="",0,IF(AO360=1,0,IF(AM360=1,0,AL360)))</f>
        <v>0</v>
      </c>
      <c r="AR360" s="30" t="n">
        <f aca="false">IF(AP360=0,0,IF(AP359=AP360,AR359,T360))</f>
        <v>0</v>
      </c>
      <c r="AS360" s="30" t="n">
        <f aca="false">AP360-AP359</f>
        <v>0</v>
      </c>
      <c r="AT360" s="30" t="n">
        <f aca="false">-AR360*AP360</f>
        <v>-0</v>
      </c>
      <c r="AU360" s="30" t="n">
        <f aca="false">AT360-AT359</f>
        <v>0</v>
      </c>
      <c r="AV360" s="30" t="n">
        <f aca="false">MAX(AS360,0)*(Inputs!$B$17+Inputs!$B$18+Inputs!$B$19)+MAX(-AS360,0)*(O360+Inputs!$B$18+Inputs!$B$19)+IF(AND(K360=1,AP360&lt;&gt;0),(Inputs!$B$17+Inputs!$B$18+Inputs!$B$19)+(O360+Inputs!$B$18+Inputs!$B$19),0)+MAX(AU360,0)*(Inputs!$B$20+Inputs!$B$22+Inputs!$B$23)+MAX(-AU360,0)*(Inputs!$B$21+Inputs!$B$22+Inputs!$B$23)</f>
        <v>0</v>
      </c>
      <c r="AW360" s="30" t="n">
        <f aca="false">AP359*(M360-AR359*J360)+AP359*AR359*N360/Inputs!$B$16-AV360</f>
        <v>0</v>
      </c>
      <c r="AX360" s="30" t="n">
        <f aca="false">AW360-IF(AP359&lt;&gt;0,0.75*AR359*(Inputs!$B$13-N360)/Inputs!$B$16,0)</f>
        <v>0</v>
      </c>
      <c r="AY360" s="30" t="n">
        <f aca="false">MAX(AS360,0)*(Inputs!$B$17+Inputs!$B$18+Inputs!$B$19)+MAX(-AS360,0)*(O360+Inputs!$B$18+Inputs!$B$19)+IF(AND(K360=1,AP360&lt;&gt;0),(Inputs!$B$17+Inputs!$B$18+Inputs!$B$19)+(O360+Inputs!$B$18+Inputs!$B$19),0)</f>
        <v>0</v>
      </c>
      <c r="AZ360" s="30" t="n">
        <f aca="false">AP359*M360-AY360</f>
        <v>-0</v>
      </c>
      <c r="BA360" s="32" t="n">
        <f aca="false">BA359+AI360</f>
        <v>0.00164515276832129</v>
      </c>
      <c r="BB360" s="30" t="n">
        <f aca="false">MAX(BB359,BA360)</f>
        <v>0.00284866043860449</v>
      </c>
      <c r="BC360" s="32" t="n">
        <f aca="false">BA360-BB360</f>
        <v>-0.0012035076702832</v>
      </c>
      <c r="BD360" s="30" t="n">
        <f aca="false">A361-A360</f>
        <v>3</v>
      </c>
    </row>
    <row r="361" customFormat="false" ht="15" hidden="false" customHeight="false" outlineLevel="0" collapsed="false">
      <c r="A361" s="28" t="n">
        <v>45572</v>
      </c>
      <c r="B361" s="0" t="n">
        <v>25001.85</v>
      </c>
      <c r="C361" s="0" t="n">
        <v>278.9</v>
      </c>
      <c r="D361" s="29" t="n">
        <f aca="false">LN(B361)</f>
        <v>10.1267051011125</v>
      </c>
      <c r="E361" s="29" t="n">
        <f aca="false">LN(C361)</f>
        <v>5.63085329463344</v>
      </c>
      <c r="F361" s="0" t="n">
        <v>356</v>
      </c>
      <c r="G361" s="0" t="n">
        <v>24</v>
      </c>
      <c r="H361" s="29" t="n">
        <f aca="false">D361-E361</f>
        <v>4.49585180647903</v>
      </c>
      <c r="I361" s="29" t="n">
        <f aca="false">D361-D360</f>
        <v>-0.00769375547951867</v>
      </c>
      <c r="J361" s="29" t="n">
        <f aca="false">E361-E360</f>
        <v>-0.0064331887343938</v>
      </c>
      <c r="K361" s="0" t="n">
        <v>0</v>
      </c>
      <c r="L361" s="0" t="n">
        <v>0</v>
      </c>
      <c r="M361" s="29" t="n">
        <f aca="false">IF(L361=1,J361-Carry!$B$9/Inputs!$B$16,I361)</f>
        <v>-0.00769375547951867</v>
      </c>
      <c r="N361" s="0" t="n">
        <v>0.065</v>
      </c>
      <c r="O361" s="0" t="n">
        <v>0.0002</v>
      </c>
      <c r="P361" s="29" t="n">
        <f aca="false">D361-('2 Hedge ratio'!$B$6+'2 Hedge ratio'!$B$5*E361)</f>
        <v>0.00630963915802418</v>
      </c>
      <c r="Q361" s="29" t="n">
        <f aca="false">D361-('5 Re-specification'!$B$7+'5 Re-specification'!$B$5*E361+'5 Re-specification'!$B$6*F361)</f>
        <v>-0.00229007619770627</v>
      </c>
      <c r="R361" s="30" t="n">
        <f aca="false">MIN(F361,Inputs!$B$9)</f>
        <v>250</v>
      </c>
      <c r="S361" s="29" t="n">
        <f aca="true">IF(AND(F361&gt;=1,R361&gt;=Inputs!$B$10),INDEX(LINEST(OFFSET(D361,-R361,0,R361,1),OFFSET(E361,-R361,0,R361,2)),1,1),"")</f>
        <v>-9.69363603382215E-005</v>
      </c>
      <c r="T361" s="29" t="n">
        <f aca="true">IF(AND(F361&gt;=1,R361&gt;=Inputs!$B$10),INDEX(LINEST(OFFSET(D361,-R361,0,R361,1),OFFSET(E361,-R361,0,R361,2)),1,2),"")</f>
        <v>1.03639165558359</v>
      </c>
      <c r="U361" s="29" t="n">
        <f aca="true">IF(AND(F361&gt;=1,R361&gt;=Inputs!$B$10),INDEX(LINEST(OFFSET(D361,-R361,0,R361,1),OFFSET(E361,-R361,0,R361,2)),1,3),"")</f>
        <v>4.32580438372222</v>
      </c>
      <c r="V361" s="29" t="n">
        <f aca="true">IF(AND(F361&gt;=1,R361&gt;=Inputs!$B$10),SQRT(SUMPRODUCT((OFFSET(D361,-R361,0,R361,1)-U361-T361*OFFSET(E361,-R361,0,R361,1)-S361*OFFSET(F361,-R361,0,R361,1))^2)/(R361-3)),"")</f>
        <v>0.00343791335793028</v>
      </c>
      <c r="W361" s="31" t="n">
        <f aca="false">IF(AND(F361&gt;=1,R361&gt;=Inputs!$B$10),(D361-U361-T361*E361-S361*F361)/V361,"")</f>
        <v>-0.104513018625226</v>
      </c>
      <c r="X361" s="30" t="n">
        <f aca="false">IF(AB360&lt;&gt;0,AC360+1,0)</f>
        <v>0</v>
      </c>
      <c r="Y361" s="30" t="n">
        <f aca="false">IF(W361="",0,IF(AND(AB360&lt;&gt;0,OR(ABS(W361)&gt;Inputs!$B$7,X361&gt;=Inputs!$B$8,ABS(W361)&lt;Inputs!$B$6)),1,0))</f>
        <v>0</v>
      </c>
      <c r="Z361" s="30" t="n">
        <f aca="false">IF(Y361=1,0,AB360)</f>
        <v>0</v>
      </c>
      <c r="AA361" s="30" t="n">
        <f aca="false">IF(W361="",0,IF(AND(Z361=0,ABS(W361)&gt;Inputs!$B$5,ABS(W361)&lt;=Inputs!$B$7),1,0))</f>
        <v>0</v>
      </c>
      <c r="AB361" s="30" t="n">
        <f aca="false">IF(W361="",0,IF(AA361=1,-SIGN(W361),Z361))</f>
        <v>0</v>
      </c>
      <c r="AC361" s="30" t="n">
        <f aca="false">IF(W361="",0,IF(AA361=1,0,IF(Y361=1,0,X361)))</f>
        <v>0</v>
      </c>
      <c r="AD361" s="30" t="n">
        <f aca="false">IF(AB361=0,0,IF(AB360=AB361,AD360,T361))</f>
        <v>0</v>
      </c>
      <c r="AE361" s="30" t="n">
        <f aca="false">AB361-AB360</f>
        <v>0</v>
      </c>
      <c r="AF361" s="30" t="n">
        <f aca="false">-AD361*AB361</f>
        <v>-0</v>
      </c>
      <c r="AG361" s="30" t="n">
        <f aca="false">AF361-AF360</f>
        <v>0</v>
      </c>
      <c r="AH361" s="30" t="n">
        <f aca="false">MAX(AE361,0)*(Inputs!$B$17+Inputs!$B$18+Inputs!$B$19)+MAX(-AE361,0)*(O361+Inputs!$B$18+Inputs!$B$19)+IF(AND(K361=1,AB361&lt;&gt;0),(Inputs!$B$17+Inputs!$B$18+Inputs!$B$19)+(O361+Inputs!$B$18+Inputs!$B$19),0)+MAX(AG361,0)*(Inputs!$B$20+Inputs!$B$22+Inputs!$B$23)+MAX(-AG361,0)*(Inputs!$B$21+Inputs!$B$22+Inputs!$B$23)</f>
        <v>0</v>
      </c>
      <c r="AI361" s="30" t="n">
        <f aca="false">AB360*(M361-AD360*J361)+AB360*AD360*N361/Inputs!$B$16-AH361</f>
        <v>0</v>
      </c>
      <c r="AJ361" s="30" t="n">
        <f aca="false">MAX(AE361,0)*(Inputs!$B$17+Inputs!$B$24+Inputs!$B$25)+MAX(-AE361,0)*(O361+Inputs!$B$24+Inputs!$B$25)+IF(AND(K361=1,AB361&lt;&gt;0),(Inputs!$B$17+Inputs!$B$24+Inputs!$B$25)+(O361+Inputs!$B$24+Inputs!$B$25),0)+MAX(AG361,0)*(Inputs!$B$20+Inputs!$B$26+Inputs!$B$27)+MAX(-AG361,0)*(Inputs!$B$21+Inputs!$B$26+Inputs!$B$27)</f>
        <v>0</v>
      </c>
      <c r="AK361" s="30" t="n">
        <f aca="false">AB360*(M361-AD360*J361)+AB360*AD360*(N361+Inputs!$B$14)/Inputs!$B$16-AJ361</f>
        <v>0</v>
      </c>
      <c r="AL361" s="30" t="n">
        <f aca="false">IF(AP360&lt;&gt;0,AQ360+1,0)</f>
        <v>0</v>
      </c>
      <c r="AM361" s="30" t="n">
        <f aca="false">IF(W361="",0,IF(AND(AP360&lt;&gt;0,OR(ABS(W361)&gt;Inputs!$B$7,AL361&gt;=Inputs!$B$8,ABS(W361)&lt;Inputs!$B$6)),1,0))</f>
        <v>0</v>
      </c>
      <c r="AN361" s="30" t="n">
        <f aca="false">IF(AM361=1,0,AP360)</f>
        <v>0</v>
      </c>
      <c r="AO361" s="30" t="n">
        <f aca="false">IF(W361="",0,IF(AND(AN361=0,ABS(W361)&gt;Inputs!$B$5,ABS(W361)&lt;=Inputs!$B$7,W361&gt;0),1,0))</f>
        <v>0</v>
      </c>
      <c r="AP361" s="30" t="n">
        <f aca="false">IF(W361="",0,IF(AO361=1,-SIGN(W361),AN361))</f>
        <v>0</v>
      </c>
      <c r="AQ361" s="30" t="n">
        <f aca="false">IF(W361="",0,IF(AO361=1,0,IF(AM361=1,0,AL361)))</f>
        <v>0</v>
      </c>
      <c r="AR361" s="30" t="n">
        <f aca="false">IF(AP361=0,0,IF(AP360=AP361,AR360,T361))</f>
        <v>0</v>
      </c>
      <c r="AS361" s="30" t="n">
        <f aca="false">AP361-AP360</f>
        <v>0</v>
      </c>
      <c r="AT361" s="30" t="n">
        <f aca="false">-AR361*AP361</f>
        <v>-0</v>
      </c>
      <c r="AU361" s="30" t="n">
        <f aca="false">AT361-AT360</f>
        <v>0</v>
      </c>
      <c r="AV361" s="30" t="n">
        <f aca="false">MAX(AS361,0)*(Inputs!$B$17+Inputs!$B$18+Inputs!$B$19)+MAX(-AS361,0)*(O361+Inputs!$B$18+Inputs!$B$19)+IF(AND(K361=1,AP361&lt;&gt;0),(Inputs!$B$17+Inputs!$B$18+Inputs!$B$19)+(O361+Inputs!$B$18+Inputs!$B$19),0)+MAX(AU361,0)*(Inputs!$B$20+Inputs!$B$22+Inputs!$B$23)+MAX(-AU361,0)*(Inputs!$B$21+Inputs!$B$22+Inputs!$B$23)</f>
        <v>0</v>
      </c>
      <c r="AW361" s="30" t="n">
        <f aca="false">AP360*(M361-AR360*J361)+AP360*AR360*N361/Inputs!$B$16-AV361</f>
        <v>0</v>
      </c>
      <c r="AX361" s="30" t="n">
        <f aca="false">AW361-IF(AP360&lt;&gt;0,0.75*AR360*(Inputs!$B$13-N361)/Inputs!$B$16,0)</f>
        <v>0</v>
      </c>
      <c r="AY361" s="30" t="n">
        <f aca="false">MAX(AS361,0)*(Inputs!$B$17+Inputs!$B$18+Inputs!$B$19)+MAX(-AS361,0)*(O361+Inputs!$B$18+Inputs!$B$19)+IF(AND(K361=1,AP361&lt;&gt;0),(Inputs!$B$17+Inputs!$B$18+Inputs!$B$19)+(O361+Inputs!$B$18+Inputs!$B$19),0)</f>
        <v>0</v>
      </c>
      <c r="AZ361" s="30" t="n">
        <f aca="false">AP360*M361-AY361</f>
        <v>-0</v>
      </c>
      <c r="BA361" s="32" t="n">
        <f aca="false">BA360+AI361</f>
        <v>0.00164515276832129</v>
      </c>
      <c r="BB361" s="30" t="n">
        <f aca="false">MAX(BB360,BA361)</f>
        <v>0.00284866043860449</v>
      </c>
      <c r="BC361" s="32" t="n">
        <f aca="false">BA361-BB361</f>
        <v>-0.0012035076702832</v>
      </c>
      <c r="BD361" s="30" t="n">
        <f aca="false">A362-A361</f>
        <v>1</v>
      </c>
    </row>
    <row r="362" customFormat="false" ht="15" hidden="false" customHeight="false" outlineLevel="0" collapsed="false">
      <c r="A362" s="28" t="n">
        <v>45573</v>
      </c>
      <c r="B362" s="0" t="n">
        <v>25147.1</v>
      </c>
      <c r="C362" s="0" t="n">
        <v>279.5</v>
      </c>
      <c r="D362" s="29" t="n">
        <f aca="false">LN(B362)</f>
        <v>10.1324978607283</v>
      </c>
      <c r="E362" s="29" t="n">
        <f aca="false">LN(C362)</f>
        <v>5.63300229259515</v>
      </c>
      <c r="F362" s="0" t="n">
        <v>357</v>
      </c>
      <c r="G362" s="0" t="n">
        <v>23</v>
      </c>
      <c r="H362" s="29" t="n">
        <f aca="false">D362-E362</f>
        <v>4.49949556813314</v>
      </c>
      <c r="I362" s="29" t="n">
        <f aca="false">D362-D361</f>
        <v>0.00579275961582404</v>
      </c>
      <c r="J362" s="29" t="n">
        <f aca="false">E362-E361</f>
        <v>0.00214899796171064</v>
      </c>
      <c r="K362" s="0" t="n">
        <v>0</v>
      </c>
      <c r="L362" s="0" t="n">
        <v>0</v>
      </c>
      <c r="M362" s="29" t="n">
        <f aca="false">IF(L362=1,J362-Carry!$B$9/Inputs!$B$16,I362)</f>
        <v>0.00579275961582404</v>
      </c>
      <c r="N362" s="0" t="n">
        <v>0.065</v>
      </c>
      <c r="O362" s="0" t="n">
        <v>0.0002</v>
      </c>
      <c r="P362" s="29" t="n">
        <f aca="false">D362-('2 Hedge ratio'!$B$6+'2 Hedge ratio'!$B$5*E362)</f>
        <v>0.0101336442355588</v>
      </c>
      <c r="Q362" s="29" t="n">
        <f aca="false">D362-('5 Re-specification'!$B$7+'5 Re-specification'!$B$5*E362+'5 Re-specification'!$B$6*F362)</f>
        <v>0.00140512731287323</v>
      </c>
      <c r="R362" s="30" t="n">
        <f aca="false">MIN(F362,Inputs!$B$9)</f>
        <v>250</v>
      </c>
      <c r="S362" s="29" t="n">
        <f aca="true">IF(AND(F362&gt;=1,R362&gt;=Inputs!$B$10),INDEX(LINEST(OFFSET(D362,-R362,0,R362,1),OFFSET(E362,-R362,0,R362,2)),1,1),"")</f>
        <v>-9.74587167198637E-005</v>
      </c>
      <c r="T362" s="29" t="n">
        <f aca="true">IF(AND(F362&gt;=1,R362&gt;=Inputs!$B$10),INDEX(LINEST(OFFSET(D362,-R362,0,R362,1),OFFSET(E362,-R362,0,R362,2)),1,2),"")</f>
        <v>1.03653174454815</v>
      </c>
      <c r="U362" s="29" t="n">
        <f aca="true">IF(AND(F362&gt;=1,R362&gt;=Inputs!$B$10),INDEX(LINEST(OFFSET(D362,-R362,0,R362,1),OFFSET(E362,-R362,0,R362,2)),1,3),"")</f>
        <v>4.3251647254509</v>
      </c>
      <c r="V362" s="29" t="n">
        <f aca="true">IF(AND(F362&gt;=1,R362&gt;=Inputs!$B$10),SQRT(SUMPRODUCT((OFFSET(D362,-R362,0,R362,1)-U362-T362*OFFSET(E362,-R362,0,R362,1)-S362*OFFSET(F362,-R362,0,R362,1))^2)/(R362-3)),"")</f>
        <v>0.00343106079115897</v>
      </c>
      <c r="W362" s="31" t="n">
        <f aca="false">IF(AND(F362&gt;=1,R362&gt;=Inputs!$B$10),(D362-U362-T362*E362-S362*F362)/V362,"")</f>
        <v>0.973519259005263</v>
      </c>
      <c r="X362" s="30" t="n">
        <f aca="false">IF(AB361&lt;&gt;0,AC361+1,0)</f>
        <v>0</v>
      </c>
      <c r="Y362" s="30" t="n">
        <f aca="false">IF(W362="",0,IF(AND(AB361&lt;&gt;0,OR(ABS(W362)&gt;Inputs!$B$7,X362&gt;=Inputs!$B$8,ABS(W362)&lt;Inputs!$B$6)),1,0))</f>
        <v>0</v>
      </c>
      <c r="Z362" s="30" t="n">
        <f aca="false">IF(Y362=1,0,AB361)</f>
        <v>0</v>
      </c>
      <c r="AA362" s="30" t="n">
        <f aca="false">IF(W362="",0,IF(AND(Z362=0,ABS(W362)&gt;Inputs!$B$5,ABS(W362)&lt;=Inputs!$B$7),1,0))</f>
        <v>0</v>
      </c>
      <c r="AB362" s="30" t="n">
        <f aca="false">IF(W362="",0,IF(AA362=1,-SIGN(W362),Z362))</f>
        <v>0</v>
      </c>
      <c r="AC362" s="30" t="n">
        <f aca="false">IF(W362="",0,IF(AA362=1,0,IF(Y362=1,0,X362)))</f>
        <v>0</v>
      </c>
      <c r="AD362" s="30" t="n">
        <f aca="false">IF(AB362=0,0,IF(AB361=AB362,AD361,T362))</f>
        <v>0</v>
      </c>
      <c r="AE362" s="30" t="n">
        <f aca="false">AB362-AB361</f>
        <v>0</v>
      </c>
      <c r="AF362" s="30" t="n">
        <f aca="false">-AD362*AB362</f>
        <v>-0</v>
      </c>
      <c r="AG362" s="30" t="n">
        <f aca="false">AF362-AF361</f>
        <v>0</v>
      </c>
      <c r="AH362" s="30" t="n">
        <f aca="false">MAX(AE362,0)*(Inputs!$B$17+Inputs!$B$18+Inputs!$B$19)+MAX(-AE362,0)*(O362+Inputs!$B$18+Inputs!$B$19)+IF(AND(K362=1,AB362&lt;&gt;0),(Inputs!$B$17+Inputs!$B$18+Inputs!$B$19)+(O362+Inputs!$B$18+Inputs!$B$19),0)+MAX(AG362,0)*(Inputs!$B$20+Inputs!$B$22+Inputs!$B$23)+MAX(-AG362,0)*(Inputs!$B$21+Inputs!$B$22+Inputs!$B$23)</f>
        <v>0</v>
      </c>
      <c r="AI362" s="30" t="n">
        <f aca="false">AB361*(M362-AD361*J362)+AB361*AD361*N362/Inputs!$B$16-AH362</f>
        <v>0</v>
      </c>
      <c r="AJ362" s="30" t="n">
        <f aca="false">MAX(AE362,0)*(Inputs!$B$17+Inputs!$B$24+Inputs!$B$25)+MAX(-AE362,0)*(O362+Inputs!$B$24+Inputs!$B$25)+IF(AND(K362=1,AB362&lt;&gt;0),(Inputs!$B$17+Inputs!$B$24+Inputs!$B$25)+(O362+Inputs!$B$24+Inputs!$B$25),0)+MAX(AG362,0)*(Inputs!$B$20+Inputs!$B$26+Inputs!$B$27)+MAX(-AG362,0)*(Inputs!$B$21+Inputs!$B$26+Inputs!$B$27)</f>
        <v>0</v>
      </c>
      <c r="AK362" s="30" t="n">
        <f aca="false">AB361*(M362-AD361*J362)+AB361*AD361*(N362+Inputs!$B$14)/Inputs!$B$16-AJ362</f>
        <v>0</v>
      </c>
      <c r="AL362" s="30" t="n">
        <f aca="false">IF(AP361&lt;&gt;0,AQ361+1,0)</f>
        <v>0</v>
      </c>
      <c r="AM362" s="30" t="n">
        <f aca="false">IF(W362="",0,IF(AND(AP361&lt;&gt;0,OR(ABS(W362)&gt;Inputs!$B$7,AL362&gt;=Inputs!$B$8,ABS(W362)&lt;Inputs!$B$6)),1,0))</f>
        <v>0</v>
      </c>
      <c r="AN362" s="30" t="n">
        <f aca="false">IF(AM362=1,0,AP361)</f>
        <v>0</v>
      </c>
      <c r="AO362" s="30" t="n">
        <f aca="false">IF(W362="",0,IF(AND(AN362=0,ABS(W362)&gt;Inputs!$B$5,ABS(W362)&lt;=Inputs!$B$7,W362&gt;0),1,0))</f>
        <v>0</v>
      </c>
      <c r="AP362" s="30" t="n">
        <f aca="false">IF(W362="",0,IF(AO362=1,-SIGN(W362),AN362))</f>
        <v>0</v>
      </c>
      <c r="AQ362" s="30" t="n">
        <f aca="false">IF(W362="",0,IF(AO362=1,0,IF(AM362=1,0,AL362)))</f>
        <v>0</v>
      </c>
      <c r="AR362" s="30" t="n">
        <f aca="false">IF(AP362=0,0,IF(AP361=AP362,AR361,T362))</f>
        <v>0</v>
      </c>
      <c r="AS362" s="30" t="n">
        <f aca="false">AP362-AP361</f>
        <v>0</v>
      </c>
      <c r="AT362" s="30" t="n">
        <f aca="false">-AR362*AP362</f>
        <v>-0</v>
      </c>
      <c r="AU362" s="30" t="n">
        <f aca="false">AT362-AT361</f>
        <v>0</v>
      </c>
      <c r="AV362" s="30" t="n">
        <f aca="false">MAX(AS362,0)*(Inputs!$B$17+Inputs!$B$18+Inputs!$B$19)+MAX(-AS362,0)*(O362+Inputs!$B$18+Inputs!$B$19)+IF(AND(K362=1,AP362&lt;&gt;0),(Inputs!$B$17+Inputs!$B$18+Inputs!$B$19)+(O362+Inputs!$B$18+Inputs!$B$19),0)+MAX(AU362,0)*(Inputs!$B$20+Inputs!$B$22+Inputs!$B$23)+MAX(-AU362,0)*(Inputs!$B$21+Inputs!$B$22+Inputs!$B$23)</f>
        <v>0</v>
      </c>
      <c r="AW362" s="30" t="n">
        <f aca="false">AP361*(M362-AR361*J362)+AP361*AR361*N362/Inputs!$B$16-AV362</f>
        <v>0</v>
      </c>
      <c r="AX362" s="30" t="n">
        <f aca="false">AW362-IF(AP361&lt;&gt;0,0.75*AR361*(Inputs!$B$13-N362)/Inputs!$B$16,0)</f>
        <v>0</v>
      </c>
      <c r="AY362" s="30" t="n">
        <f aca="false">MAX(AS362,0)*(Inputs!$B$17+Inputs!$B$18+Inputs!$B$19)+MAX(-AS362,0)*(O362+Inputs!$B$18+Inputs!$B$19)+IF(AND(K362=1,AP362&lt;&gt;0),(Inputs!$B$17+Inputs!$B$18+Inputs!$B$19)+(O362+Inputs!$B$18+Inputs!$B$19),0)</f>
        <v>0</v>
      </c>
      <c r="AZ362" s="30" t="n">
        <f aca="false">AP361*M362-AY362</f>
        <v>0</v>
      </c>
      <c r="BA362" s="32" t="n">
        <f aca="false">BA361+AI362</f>
        <v>0.00164515276832129</v>
      </c>
      <c r="BB362" s="30" t="n">
        <f aca="false">MAX(BB361,BA362)</f>
        <v>0.00284866043860449</v>
      </c>
      <c r="BC362" s="32" t="n">
        <f aca="false">BA362-BB362</f>
        <v>-0.0012035076702832</v>
      </c>
      <c r="BD362" s="30" t="n">
        <f aca="false">A363-A362</f>
        <v>1</v>
      </c>
    </row>
    <row r="363" customFormat="false" ht="15" hidden="false" customHeight="false" outlineLevel="0" collapsed="false">
      <c r="A363" s="28" t="n">
        <v>45574</v>
      </c>
      <c r="B363" s="0" t="n">
        <v>25119.75</v>
      </c>
      <c r="C363" s="0" t="n">
        <v>279.5</v>
      </c>
      <c r="D363" s="29" t="n">
        <f aca="false">LN(B363)</f>
        <v>10.1314096683033</v>
      </c>
      <c r="E363" s="29" t="n">
        <f aca="false">LN(C363)</f>
        <v>5.63300229259515</v>
      </c>
      <c r="F363" s="0" t="n">
        <v>358</v>
      </c>
      <c r="G363" s="0" t="n">
        <v>22</v>
      </c>
      <c r="H363" s="29" t="n">
        <f aca="false">D363-E363</f>
        <v>4.49840737570816</v>
      </c>
      <c r="I363" s="29" t="n">
        <f aca="false">D363-D362</f>
        <v>-0.00108819242498548</v>
      </c>
      <c r="J363" s="29" t="n">
        <f aca="false">E363-E362</f>
        <v>0</v>
      </c>
      <c r="K363" s="0" t="n">
        <v>0</v>
      </c>
      <c r="L363" s="0" t="n">
        <v>0</v>
      </c>
      <c r="M363" s="29" t="n">
        <f aca="false">IF(L363=1,J363-Carry!$B$9/Inputs!$B$16,I363)</f>
        <v>-0.00108819242498548</v>
      </c>
      <c r="N363" s="0" t="n">
        <v>0.065</v>
      </c>
      <c r="O363" s="0" t="n">
        <v>0.0002</v>
      </c>
      <c r="P363" s="29" t="n">
        <f aca="false">D363-('2 Hedge ratio'!$B$6+'2 Hedge ratio'!$B$5*E363)</f>
        <v>0.00904545181057337</v>
      </c>
      <c r="Q363" s="29" t="n">
        <f aca="false">D363-('5 Re-specification'!$B$7+'5 Re-specification'!$B$5*E363+'5 Re-specification'!$B$6*F363)</f>
        <v>0.00036186420598483</v>
      </c>
      <c r="R363" s="30" t="n">
        <f aca="false">MIN(F363,Inputs!$B$9)</f>
        <v>250</v>
      </c>
      <c r="S363" s="29" t="n">
        <f aca="true">IF(AND(F363&gt;=1,R363&gt;=Inputs!$B$10),INDEX(LINEST(OFFSET(D363,-R363,0,R363,1),OFFSET(E363,-R363,0,R363,2)),1,1),"")</f>
        <v>-9.62656561703151E-005</v>
      </c>
      <c r="T363" s="29" t="n">
        <f aca="true">IF(AND(F363&gt;=1,R363&gt;=Inputs!$B$10),INDEX(LINEST(OFFSET(D363,-R363,0,R363,1),OFFSET(E363,-R363,0,R363,2)),1,2),"")</f>
        <v>1.03558873982853</v>
      </c>
      <c r="U363" s="29" t="n">
        <f aca="true">IF(AND(F363&gt;=1,R363&gt;=Inputs!$B$10),INDEX(LINEST(OFFSET(D363,-R363,0,R363,1),OFFSET(E363,-R363,0,R363,2)),1,3),"")</f>
        <v>4.33011181913518</v>
      </c>
      <c r="V363" s="29" t="n">
        <f aca="true">IF(AND(F363&gt;=1,R363&gt;=Inputs!$B$10),SQRT(SUMPRODUCT((OFFSET(D363,-R363,0,R363,1)-U363-T363*OFFSET(E363,-R363,0,R363,1)-S363*OFFSET(F363,-R363,0,R363,1))^2)/(R363-3)),"")</f>
        <v>0.00343486852410046</v>
      </c>
      <c r="W363" s="31" t="n">
        <f aca="false">IF(AND(F363&gt;=1,R363&gt;=Inputs!$B$10),(D363-U363-T363*E363-S363*F363)/V363,"")</f>
        <v>0.665879471438235</v>
      </c>
      <c r="X363" s="30" t="n">
        <f aca="false">IF(AB362&lt;&gt;0,AC362+1,0)</f>
        <v>0</v>
      </c>
      <c r="Y363" s="30" t="n">
        <f aca="false">IF(W363="",0,IF(AND(AB362&lt;&gt;0,OR(ABS(W363)&gt;Inputs!$B$7,X363&gt;=Inputs!$B$8,ABS(W363)&lt;Inputs!$B$6)),1,0))</f>
        <v>0</v>
      </c>
      <c r="Z363" s="30" t="n">
        <f aca="false">IF(Y363=1,0,AB362)</f>
        <v>0</v>
      </c>
      <c r="AA363" s="30" t="n">
        <f aca="false">IF(W363="",0,IF(AND(Z363=0,ABS(W363)&gt;Inputs!$B$5,ABS(W363)&lt;=Inputs!$B$7),1,0))</f>
        <v>0</v>
      </c>
      <c r="AB363" s="30" t="n">
        <f aca="false">IF(W363="",0,IF(AA363=1,-SIGN(W363),Z363))</f>
        <v>0</v>
      </c>
      <c r="AC363" s="30" t="n">
        <f aca="false">IF(W363="",0,IF(AA363=1,0,IF(Y363=1,0,X363)))</f>
        <v>0</v>
      </c>
      <c r="AD363" s="30" t="n">
        <f aca="false">IF(AB363=0,0,IF(AB362=AB363,AD362,T363))</f>
        <v>0</v>
      </c>
      <c r="AE363" s="30" t="n">
        <f aca="false">AB363-AB362</f>
        <v>0</v>
      </c>
      <c r="AF363" s="30" t="n">
        <f aca="false">-AD363*AB363</f>
        <v>-0</v>
      </c>
      <c r="AG363" s="30" t="n">
        <f aca="false">AF363-AF362</f>
        <v>0</v>
      </c>
      <c r="AH363" s="30" t="n">
        <f aca="false">MAX(AE363,0)*(Inputs!$B$17+Inputs!$B$18+Inputs!$B$19)+MAX(-AE363,0)*(O363+Inputs!$B$18+Inputs!$B$19)+IF(AND(K363=1,AB363&lt;&gt;0),(Inputs!$B$17+Inputs!$B$18+Inputs!$B$19)+(O363+Inputs!$B$18+Inputs!$B$19),0)+MAX(AG363,0)*(Inputs!$B$20+Inputs!$B$22+Inputs!$B$23)+MAX(-AG363,0)*(Inputs!$B$21+Inputs!$B$22+Inputs!$B$23)</f>
        <v>0</v>
      </c>
      <c r="AI363" s="30" t="n">
        <f aca="false">AB362*(M363-AD362*J363)+AB362*AD362*N363/Inputs!$B$16-AH363</f>
        <v>0</v>
      </c>
      <c r="AJ363" s="30" t="n">
        <f aca="false">MAX(AE363,0)*(Inputs!$B$17+Inputs!$B$24+Inputs!$B$25)+MAX(-AE363,0)*(O363+Inputs!$B$24+Inputs!$B$25)+IF(AND(K363=1,AB363&lt;&gt;0),(Inputs!$B$17+Inputs!$B$24+Inputs!$B$25)+(O363+Inputs!$B$24+Inputs!$B$25),0)+MAX(AG363,0)*(Inputs!$B$20+Inputs!$B$26+Inputs!$B$27)+MAX(-AG363,0)*(Inputs!$B$21+Inputs!$B$26+Inputs!$B$27)</f>
        <v>0</v>
      </c>
      <c r="AK363" s="30" t="n">
        <f aca="false">AB362*(M363-AD362*J363)+AB362*AD362*(N363+Inputs!$B$14)/Inputs!$B$16-AJ363</f>
        <v>0</v>
      </c>
      <c r="AL363" s="30" t="n">
        <f aca="false">IF(AP362&lt;&gt;0,AQ362+1,0)</f>
        <v>0</v>
      </c>
      <c r="AM363" s="30" t="n">
        <f aca="false">IF(W363="",0,IF(AND(AP362&lt;&gt;0,OR(ABS(W363)&gt;Inputs!$B$7,AL363&gt;=Inputs!$B$8,ABS(W363)&lt;Inputs!$B$6)),1,0))</f>
        <v>0</v>
      </c>
      <c r="AN363" s="30" t="n">
        <f aca="false">IF(AM363=1,0,AP362)</f>
        <v>0</v>
      </c>
      <c r="AO363" s="30" t="n">
        <f aca="false">IF(W363="",0,IF(AND(AN363=0,ABS(W363)&gt;Inputs!$B$5,ABS(W363)&lt;=Inputs!$B$7,W363&gt;0),1,0))</f>
        <v>0</v>
      </c>
      <c r="AP363" s="30" t="n">
        <f aca="false">IF(W363="",0,IF(AO363=1,-SIGN(W363),AN363))</f>
        <v>0</v>
      </c>
      <c r="AQ363" s="30" t="n">
        <f aca="false">IF(W363="",0,IF(AO363=1,0,IF(AM363=1,0,AL363)))</f>
        <v>0</v>
      </c>
      <c r="AR363" s="30" t="n">
        <f aca="false">IF(AP363=0,0,IF(AP362=AP363,AR362,T363))</f>
        <v>0</v>
      </c>
      <c r="AS363" s="30" t="n">
        <f aca="false">AP363-AP362</f>
        <v>0</v>
      </c>
      <c r="AT363" s="30" t="n">
        <f aca="false">-AR363*AP363</f>
        <v>-0</v>
      </c>
      <c r="AU363" s="30" t="n">
        <f aca="false">AT363-AT362</f>
        <v>0</v>
      </c>
      <c r="AV363" s="30" t="n">
        <f aca="false">MAX(AS363,0)*(Inputs!$B$17+Inputs!$B$18+Inputs!$B$19)+MAX(-AS363,0)*(O363+Inputs!$B$18+Inputs!$B$19)+IF(AND(K363=1,AP363&lt;&gt;0),(Inputs!$B$17+Inputs!$B$18+Inputs!$B$19)+(O363+Inputs!$B$18+Inputs!$B$19),0)+MAX(AU363,0)*(Inputs!$B$20+Inputs!$B$22+Inputs!$B$23)+MAX(-AU363,0)*(Inputs!$B$21+Inputs!$B$22+Inputs!$B$23)</f>
        <v>0</v>
      </c>
      <c r="AW363" s="30" t="n">
        <f aca="false">AP362*(M363-AR362*J363)+AP362*AR362*N363/Inputs!$B$16-AV363</f>
        <v>0</v>
      </c>
      <c r="AX363" s="30" t="n">
        <f aca="false">AW363-IF(AP362&lt;&gt;0,0.75*AR362*(Inputs!$B$13-N363)/Inputs!$B$16,0)</f>
        <v>0</v>
      </c>
      <c r="AY363" s="30" t="n">
        <f aca="false">MAX(AS363,0)*(Inputs!$B$17+Inputs!$B$18+Inputs!$B$19)+MAX(-AS363,0)*(O363+Inputs!$B$18+Inputs!$B$19)+IF(AND(K363=1,AP363&lt;&gt;0),(Inputs!$B$17+Inputs!$B$18+Inputs!$B$19)+(O363+Inputs!$B$18+Inputs!$B$19),0)</f>
        <v>0</v>
      </c>
      <c r="AZ363" s="30" t="n">
        <f aca="false">AP362*M363-AY363</f>
        <v>-0</v>
      </c>
      <c r="BA363" s="32" t="n">
        <f aca="false">BA362+AI363</f>
        <v>0.00164515276832129</v>
      </c>
      <c r="BB363" s="30" t="n">
        <f aca="false">MAX(BB362,BA363)</f>
        <v>0.00284866043860449</v>
      </c>
      <c r="BC363" s="32" t="n">
        <f aca="false">BA363-BB363</f>
        <v>-0.0012035076702832</v>
      </c>
      <c r="BD363" s="30" t="n">
        <f aca="false">A364-A363</f>
        <v>1</v>
      </c>
    </row>
    <row r="364" customFormat="false" ht="15" hidden="false" customHeight="false" outlineLevel="0" collapsed="false">
      <c r="A364" s="28" t="n">
        <v>45575</v>
      </c>
      <c r="B364" s="0" t="n">
        <v>25127</v>
      </c>
      <c r="C364" s="0" t="n">
        <v>279.49</v>
      </c>
      <c r="D364" s="29" t="n">
        <f aca="false">LN(B364)</f>
        <v>10.1316982441834</v>
      </c>
      <c r="E364" s="29" t="n">
        <f aca="false">LN(C364)</f>
        <v>5.63296651377979</v>
      </c>
      <c r="F364" s="0" t="n">
        <v>359</v>
      </c>
      <c r="G364" s="0" t="n">
        <v>21</v>
      </c>
      <c r="H364" s="29" t="n">
        <f aca="false">D364-E364</f>
        <v>4.49873173040357</v>
      </c>
      <c r="I364" s="29" t="n">
        <f aca="false">D364-D363</f>
        <v>0.000288575880045272</v>
      </c>
      <c r="J364" s="29" t="n">
        <f aca="false">E364-E363</f>
        <v>-3.57788153673155E-005</v>
      </c>
      <c r="K364" s="0" t="n">
        <v>0</v>
      </c>
      <c r="L364" s="0" t="n">
        <v>0</v>
      </c>
      <c r="M364" s="29" t="n">
        <f aca="false">IF(L364=1,J364-Carry!$B$9/Inputs!$B$16,I364)</f>
        <v>0.000288575880045272</v>
      </c>
      <c r="N364" s="0" t="n">
        <v>0.065</v>
      </c>
      <c r="O364" s="0" t="n">
        <v>0.0002</v>
      </c>
      <c r="P364" s="29" t="n">
        <f aca="false">D364-('2 Hedge ratio'!$B$6+'2 Hedge ratio'!$B$5*E364)</f>
        <v>0.0093668056207914</v>
      </c>
      <c r="Q364" s="29" t="n">
        <f aca="false">D364-('5 Re-specification'!$B$7+'5 Re-specification'!$B$5*E364+'5 Re-specification'!$B$6*F364)</f>
        <v>0.000731039791793009</v>
      </c>
      <c r="R364" s="30" t="n">
        <f aca="false">MIN(F364,Inputs!$B$9)</f>
        <v>250</v>
      </c>
      <c r="S364" s="29" t="n">
        <f aca="true">IF(AND(F364&gt;=1,R364&gt;=Inputs!$B$10),INDEX(LINEST(OFFSET(D364,-R364,0,R364,1),OFFSET(E364,-R364,0,R364,2)),1,1),"")</f>
        <v>-9.55357678242657E-005</v>
      </c>
      <c r="T364" s="29" t="n">
        <f aca="true">IF(AND(F364&gt;=1,R364&gt;=Inputs!$B$10),INDEX(LINEST(OFFSET(D364,-R364,0,R364,1),OFFSET(E364,-R364,0,R364,2)),1,2),"")</f>
        <v>1.03495796512744</v>
      </c>
      <c r="U364" s="29" t="n">
        <f aca="true">IF(AND(F364&gt;=1,R364&gt;=Inputs!$B$10),INDEX(LINEST(OFFSET(D364,-R364,0,R364,1),OFFSET(E364,-R364,0,R364,2)),1,3),"")</f>
        <v>4.333439871195</v>
      </c>
      <c r="V364" s="29" t="n">
        <f aca="true">IF(AND(F364&gt;=1,R364&gt;=Inputs!$B$10),SQRT(SUMPRODUCT((OFFSET(D364,-R364,0,R364,1)-U364-T364*OFFSET(E364,-R364,0,R364,1)-S364*OFFSET(F364,-R364,0,R364,1))^2)/(R364-3)),"")</f>
        <v>0.00343514283235843</v>
      </c>
      <c r="W364" s="31" t="n">
        <f aca="false">IF(AND(F364&gt;=1,R364&gt;=Inputs!$B$10),(D364-U364-T364*E364-S364*F364)/V364,"")</f>
        <v>0.777886986115122</v>
      </c>
      <c r="X364" s="30" t="n">
        <f aca="false">IF(AB363&lt;&gt;0,AC363+1,0)</f>
        <v>0</v>
      </c>
      <c r="Y364" s="30" t="n">
        <f aca="false">IF(W364="",0,IF(AND(AB363&lt;&gt;0,OR(ABS(W364)&gt;Inputs!$B$7,X364&gt;=Inputs!$B$8,ABS(W364)&lt;Inputs!$B$6)),1,0))</f>
        <v>0</v>
      </c>
      <c r="Z364" s="30" t="n">
        <f aca="false">IF(Y364=1,0,AB363)</f>
        <v>0</v>
      </c>
      <c r="AA364" s="30" t="n">
        <f aca="false">IF(W364="",0,IF(AND(Z364=0,ABS(W364)&gt;Inputs!$B$5,ABS(W364)&lt;=Inputs!$B$7),1,0))</f>
        <v>0</v>
      </c>
      <c r="AB364" s="30" t="n">
        <f aca="false">IF(W364="",0,IF(AA364=1,-SIGN(W364),Z364))</f>
        <v>0</v>
      </c>
      <c r="AC364" s="30" t="n">
        <f aca="false">IF(W364="",0,IF(AA364=1,0,IF(Y364=1,0,X364)))</f>
        <v>0</v>
      </c>
      <c r="AD364" s="30" t="n">
        <f aca="false">IF(AB364=0,0,IF(AB363=AB364,AD363,T364))</f>
        <v>0</v>
      </c>
      <c r="AE364" s="30" t="n">
        <f aca="false">AB364-AB363</f>
        <v>0</v>
      </c>
      <c r="AF364" s="30" t="n">
        <f aca="false">-AD364*AB364</f>
        <v>-0</v>
      </c>
      <c r="AG364" s="30" t="n">
        <f aca="false">AF364-AF363</f>
        <v>0</v>
      </c>
      <c r="AH364" s="30" t="n">
        <f aca="false">MAX(AE364,0)*(Inputs!$B$17+Inputs!$B$18+Inputs!$B$19)+MAX(-AE364,0)*(O364+Inputs!$B$18+Inputs!$B$19)+IF(AND(K364=1,AB364&lt;&gt;0),(Inputs!$B$17+Inputs!$B$18+Inputs!$B$19)+(O364+Inputs!$B$18+Inputs!$B$19),0)+MAX(AG364,0)*(Inputs!$B$20+Inputs!$B$22+Inputs!$B$23)+MAX(-AG364,0)*(Inputs!$B$21+Inputs!$B$22+Inputs!$B$23)</f>
        <v>0</v>
      </c>
      <c r="AI364" s="30" t="n">
        <f aca="false">AB363*(M364-AD363*J364)+AB363*AD363*N364/Inputs!$B$16-AH364</f>
        <v>0</v>
      </c>
      <c r="AJ364" s="30" t="n">
        <f aca="false">MAX(AE364,0)*(Inputs!$B$17+Inputs!$B$24+Inputs!$B$25)+MAX(-AE364,0)*(O364+Inputs!$B$24+Inputs!$B$25)+IF(AND(K364=1,AB364&lt;&gt;0),(Inputs!$B$17+Inputs!$B$24+Inputs!$B$25)+(O364+Inputs!$B$24+Inputs!$B$25),0)+MAX(AG364,0)*(Inputs!$B$20+Inputs!$B$26+Inputs!$B$27)+MAX(-AG364,0)*(Inputs!$B$21+Inputs!$B$26+Inputs!$B$27)</f>
        <v>0</v>
      </c>
      <c r="AK364" s="30" t="n">
        <f aca="false">AB363*(M364-AD363*J364)+AB363*AD363*(N364+Inputs!$B$14)/Inputs!$B$16-AJ364</f>
        <v>0</v>
      </c>
      <c r="AL364" s="30" t="n">
        <f aca="false">IF(AP363&lt;&gt;0,AQ363+1,0)</f>
        <v>0</v>
      </c>
      <c r="AM364" s="30" t="n">
        <f aca="false">IF(W364="",0,IF(AND(AP363&lt;&gt;0,OR(ABS(W364)&gt;Inputs!$B$7,AL364&gt;=Inputs!$B$8,ABS(W364)&lt;Inputs!$B$6)),1,0))</f>
        <v>0</v>
      </c>
      <c r="AN364" s="30" t="n">
        <f aca="false">IF(AM364=1,0,AP363)</f>
        <v>0</v>
      </c>
      <c r="AO364" s="30" t="n">
        <f aca="false">IF(W364="",0,IF(AND(AN364=0,ABS(W364)&gt;Inputs!$B$5,ABS(W364)&lt;=Inputs!$B$7,W364&gt;0),1,0))</f>
        <v>0</v>
      </c>
      <c r="AP364" s="30" t="n">
        <f aca="false">IF(W364="",0,IF(AO364=1,-SIGN(W364),AN364))</f>
        <v>0</v>
      </c>
      <c r="AQ364" s="30" t="n">
        <f aca="false">IF(W364="",0,IF(AO364=1,0,IF(AM364=1,0,AL364)))</f>
        <v>0</v>
      </c>
      <c r="AR364" s="30" t="n">
        <f aca="false">IF(AP364=0,0,IF(AP363=AP364,AR363,T364))</f>
        <v>0</v>
      </c>
      <c r="AS364" s="30" t="n">
        <f aca="false">AP364-AP363</f>
        <v>0</v>
      </c>
      <c r="AT364" s="30" t="n">
        <f aca="false">-AR364*AP364</f>
        <v>-0</v>
      </c>
      <c r="AU364" s="30" t="n">
        <f aca="false">AT364-AT363</f>
        <v>0</v>
      </c>
      <c r="AV364" s="30" t="n">
        <f aca="false">MAX(AS364,0)*(Inputs!$B$17+Inputs!$B$18+Inputs!$B$19)+MAX(-AS364,0)*(O364+Inputs!$B$18+Inputs!$B$19)+IF(AND(K364=1,AP364&lt;&gt;0),(Inputs!$B$17+Inputs!$B$18+Inputs!$B$19)+(O364+Inputs!$B$18+Inputs!$B$19),0)+MAX(AU364,0)*(Inputs!$B$20+Inputs!$B$22+Inputs!$B$23)+MAX(-AU364,0)*(Inputs!$B$21+Inputs!$B$22+Inputs!$B$23)</f>
        <v>0</v>
      </c>
      <c r="AW364" s="30" t="n">
        <f aca="false">AP363*(M364-AR363*J364)+AP363*AR363*N364/Inputs!$B$16-AV364</f>
        <v>0</v>
      </c>
      <c r="AX364" s="30" t="n">
        <f aca="false">AW364-IF(AP363&lt;&gt;0,0.75*AR363*(Inputs!$B$13-N364)/Inputs!$B$16,0)</f>
        <v>0</v>
      </c>
      <c r="AY364" s="30" t="n">
        <f aca="false">MAX(AS364,0)*(Inputs!$B$17+Inputs!$B$18+Inputs!$B$19)+MAX(-AS364,0)*(O364+Inputs!$B$18+Inputs!$B$19)+IF(AND(K364=1,AP364&lt;&gt;0),(Inputs!$B$17+Inputs!$B$18+Inputs!$B$19)+(O364+Inputs!$B$18+Inputs!$B$19),0)</f>
        <v>0</v>
      </c>
      <c r="AZ364" s="30" t="n">
        <f aca="false">AP363*M364-AY364</f>
        <v>0</v>
      </c>
      <c r="BA364" s="32" t="n">
        <f aca="false">BA363+AI364</f>
        <v>0.00164515276832129</v>
      </c>
      <c r="BB364" s="30" t="n">
        <f aca="false">MAX(BB363,BA364)</f>
        <v>0.00284866043860449</v>
      </c>
      <c r="BC364" s="32" t="n">
        <f aca="false">BA364-BB364</f>
        <v>-0.0012035076702832</v>
      </c>
      <c r="BD364" s="30" t="n">
        <f aca="false">A365-A364</f>
        <v>1</v>
      </c>
    </row>
    <row r="365" customFormat="false" ht="15" hidden="false" customHeight="false" outlineLevel="0" collapsed="false">
      <c r="A365" s="28" t="n">
        <v>45576</v>
      </c>
      <c r="B365" s="0" t="n">
        <v>25048</v>
      </c>
      <c r="C365" s="0" t="n">
        <v>278.97</v>
      </c>
      <c r="D365" s="29" t="n">
        <f aca="false">LN(B365)</f>
        <v>10.1285492630062</v>
      </c>
      <c r="E365" s="29" t="n">
        <f aca="false">LN(C365)</f>
        <v>5.63110424915822</v>
      </c>
      <c r="F365" s="0" t="n">
        <v>360</v>
      </c>
      <c r="G365" s="0" t="n">
        <v>20</v>
      </c>
      <c r="H365" s="29" t="n">
        <f aca="false">D365-E365</f>
        <v>4.49744501384803</v>
      </c>
      <c r="I365" s="29" t="n">
        <f aca="false">D365-D364</f>
        <v>-0.00314898117711415</v>
      </c>
      <c r="J365" s="29" t="n">
        <f aca="false">E365-E364</f>
        <v>-0.00186226462157091</v>
      </c>
      <c r="K365" s="0" t="n">
        <v>0</v>
      </c>
      <c r="L365" s="0" t="n">
        <v>0</v>
      </c>
      <c r="M365" s="29" t="n">
        <f aca="false">IF(L365=1,J365-Carry!$B$9/Inputs!$B$16,I365)</f>
        <v>-0.00314898117711415</v>
      </c>
      <c r="N365" s="0" t="n">
        <v>0.065</v>
      </c>
      <c r="O365" s="0" t="n">
        <v>0.0002</v>
      </c>
      <c r="P365" s="29" t="n">
        <f aca="false">D365-('2 Hedge ratio'!$B$6+'2 Hedge ratio'!$B$5*E365)</f>
        <v>0.00792389489629741</v>
      </c>
      <c r="Q365" s="29" t="n">
        <f aca="false">D365-('5 Re-specification'!$B$7+'5 Re-specification'!$B$5*E365+'5 Re-specification'!$B$6*F365)</f>
        <v>-0.000516391038628328</v>
      </c>
      <c r="R365" s="30" t="n">
        <f aca="false">MIN(F365,Inputs!$B$9)</f>
        <v>250</v>
      </c>
      <c r="S365" s="29" t="n">
        <f aca="true">IF(AND(F365&gt;=1,R365&gt;=Inputs!$B$10),INDEX(LINEST(OFFSET(D365,-R365,0,R365,1),OFFSET(E365,-R365,0,R365,2)),1,1),"")</f>
        <v>-9.4929880223249E-005</v>
      </c>
      <c r="T365" s="29" t="n">
        <f aca="true">IF(AND(F365&gt;=1,R365&gt;=Inputs!$B$10),INDEX(LINEST(OFFSET(D365,-R365,0,R365,1),OFFSET(E365,-R365,0,R365,2)),1,2),"")</f>
        <v>1.03437062966422</v>
      </c>
      <c r="U365" s="29" t="n">
        <f aca="true">IF(AND(F365&gt;=1,R365&gt;=Inputs!$B$10),INDEX(LINEST(OFFSET(D365,-R365,0,R365,1),OFFSET(E365,-R365,0,R365,2)),1,3),"")</f>
        <v>4.33656326316717</v>
      </c>
      <c r="V365" s="29" t="n">
        <f aca="true">IF(AND(F365&gt;=1,R365&gt;=Inputs!$B$10),SQRT(SUMPRODUCT((OFFSET(D365,-R365,0,R365,1)-U365-T365*OFFSET(E365,-R365,0,R365,1)-S365*OFFSET(F365,-R365,0,R365,1))^2)/(R365-3)),"")</f>
        <v>0.00343284117502577</v>
      </c>
      <c r="W365" s="31" t="n">
        <f aca="false">IF(AND(F365&gt;=1,R365&gt;=Inputs!$B$10),(D365-U365-T365*E365-S365*F365)/V365,"")</f>
        <v>0.440424923756029</v>
      </c>
      <c r="X365" s="30" t="n">
        <f aca="false">IF(AB364&lt;&gt;0,AC364+1,0)</f>
        <v>0</v>
      </c>
      <c r="Y365" s="30" t="n">
        <f aca="false">IF(W365="",0,IF(AND(AB364&lt;&gt;0,OR(ABS(W365)&gt;Inputs!$B$7,X365&gt;=Inputs!$B$8,ABS(W365)&lt;Inputs!$B$6)),1,0))</f>
        <v>0</v>
      </c>
      <c r="Z365" s="30" t="n">
        <f aca="false">IF(Y365=1,0,AB364)</f>
        <v>0</v>
      </c>
      <c r="AA365" s="30" t="n">
        <f aca="false">IF(W365="",0,IF(AND(Z365=0,ABS(W365)&gt;Inputs!$B$5,ABS(W365)&lt;=Inputs!$B$7),1,0))</f>
        <v>0</v>
      </c>
      <c r="AB365" s="30" t="n">
        <f aca="false">IF(W365="",0,IF(AA365=1,-SIGN(W365),Z365))</f>
        <v>0</v>
      </c>
      <c r="AC365" s="30" t="n">
        <f aca="false">IF(W365="",0,IF(AA365=1,0,IF(Y365=1,0,X365)))</f>
        <v>0</v>
      </c>
      <c r="AD365" s="30" t="n">
        <f aca="false">IF(AB365=0,0,IF(AB364=AB365,AD364,T365))</f>
        <v>0</v>
      </c>
      <c r="AE365" s="30" t="n">
        <f aca="false">AB365-AB364</f>
        <v>0</v>
      </c>
      <c r="AF365" s="30" t="n">
        <f aca="false">-AD365*AB365</f>
        <v>-0</v>
      </c>
      <c r="AG365" s="30" t="n">
        <f aca="false">AF365-AF364</f>
        <v>0</v>
      </c>
      <c r="AH365" s="30" t="n">
        <f aca="false">MAX(AE365,0)*(Inputs!$B$17+Inputs!$B$18+Inputs!$B$19)+MAX(-AE365,0)*(O365+Inputs!$B$18+Inputs!$B$19)+IF(AND(K365=1,AB365&lt;&gt;0),(Inputs!$B$17+Inputs!$B$18+Inputs!$B$19)+(O365+Inputs!$B$18+Inputs!$B$19),0)+MAX(AG365,0)*(Inputs!$B$20+Inputs!$B$22+Inputs!$B$23)+MAX(-AG365,0)*(Inputs!$B$21+Inputs!$B$22+Inputs!$B$23)</f>
        <v>0</v>
      </c>
      <c r="AI365" s="30" t="n">
        <f aca="false">AB364*(M365-AD364*J365)+AB364*AD364*N365/Inputs!$B$16-AH365</f>
        <v>0</v>
      </c>
      <c r="AJ365" s="30" t="n">
        <f aca="false">MAX(AE365,0)*(Inputs!$B$17+Inputs!$B$24+Inputs!$B$25)+MAX(-AE365,0)*(O365+Inputs!$B$24+Inputs!$B$25)+IF(AND(K365=1,AB365&lt;&gt;0),(Inputs!$B$17+Inputs!$B$24+Inputs!$B$25)+(O365+Inputs!$B$24+Inputs!$B$25),0)+MAX(AG365,0)*(Inputs!$B$20+Inputs!$B$26+Inputs!$B$27)+MAX(-AG365,0)*(Inputs!$B$21+Inputs!$B$26+Inputs!$B$27)</f>
        <v>0</v>
      </c>
      <c r="AK365" s="30" t="n">
        <f aca="false">AB364*(M365-AD364*J365)+AB364*AD364*(N365+Inputs!$B$14)/Inputs!$B$16-AJ365</f>
        <v>0</v>
      </c>
      <c r="AL365" s="30" t="n">
        <f aca="false">IF(AP364&lt;&gt;0,AQ364+1,0)</f>
        <v>0</v>
      </c>
      <c r="AM365" s="30" t="n">
        <f aca="false">IF(W365="",0,IF(AND(AP364&lt;&gt;0,OR(ABS(W365)&gt;Inputs!$B$7,AL365&gt;=Inputs!$B$8,ABS(W365)&lt;Inputs!$B$6)),1,0))</f>
        <v>0</v>
      </c>
      <c r="AN365" s="30" t="n">
        <f aca="false">IF(AM365=1,0,AP364)</f>
        <v>0</v>
      </c>
      <c r="AO365" s="30" t="n">
        <f aca="false">IF(W365="",0,IF(AND(AN365=0,ABS(W365)&gt;Inputs!$B$5,ABS(W365)&lt;=Inputs!$B$7,W365&gt;0),1,0))</f>
        <v>0</v>
      </c>
      <c r="AP365" s="30" t="n">
        <f aca="false">IF(W365="",0,IF(AO365=1,-SIGN(W365),AN365))</f>
        <v>0</v>
      </c>
      <c r="AQ365" s="30" t="n">
        <f aca="false">IF(W365="",0,IF(AO365=1,0,IF(AM365=1,0,AL365)))</f>
        <v>0</v>
      </c>
      <c r="AR365" s="30" t="n">
        <f aca="false">IF(AP365=0,0,IF(AP364=AP365,AR364,T365))</f>
        <v>0</v>
      </c>
      <c r="AS365" s="30" t="n">
        <f aca="false">AP365-AP364</f>
        <v>0</v>
      </c>
      <c r="AT365" s="30" t="n">
        <f aca="false">-AR365*AP365</f>
        <v>-0</v>
      </c>
      <c r="AU365" s="30" t="n">
        <f aca="false">AT365-AT364</f>
        <v>0</v>
      </c>
      <c r="AV365" s="30" t="n">
        <f aca="false">MAX(AS365,0)*(Inputs!$B$17+Inputs!$B$18+Inputs!$B$19)+MAX(-AS365,0)*(O365+Inputs!$B$18+Inputs!$B$19)+IF(AND(K365=1,AP365&lt;&gt;0),(Inputs!$B$17+Inputs!$B$18+Inputs!$B$19)+(O365+Inputs!$B$18+Inputs!$B$19),0)+MAX(AU365,0)*(Inputs!$B$20+Inputs!$B$22+Inputs!$B$23)+MAX(-AU365,0)*(Inputs!$B$21+Inputs!$B$22+Inputs!$B$23)</f>
        <v>0</v>
      </c>
      <c r="AW365" s="30" t="n">
        <f aca="false">AP364*(M365-AR364*J365)+AP364*AR364*N365/Inputs!$B$16-AV365</f>
        <v>0</v>
      </c>
      <c r="AX365" s="30" t="n">
        <f aca="false">AW365-IF(AP364&lt;&gt;0,0.75*AR364*(Inputs!$B$13-N365)/Inputs!$B$16,0)</f>
        <v>0</v>
      </c>
      <c r="AY365" s="30" t="n">
        <f aca="false">MAX(AS365,0)*(Inputs!$B$17+Inputs!$B$18+Inputs!$B$19)+MAX(-AS365,0)*(O365+Inputs!$B$18+Inputs!$B$19)+IF(AND(K365=1,AP365&lt;&gt;0),(Inputs!$B$17+Inputs!$B$18+Inputs!$B$19)+(O365+Inputs!$B$18+Inputs!$B$19),0)</f>
        <v>0</v>
      </c>
      <c r="AZ365" s="30" t="n">
        <f aca="false">AP364*M365-AY365</f>
        <v>-0</v>
      </c>
      <c r="BA365" s="32" t="n">
        <f aca="false">BA364+AI365</f>
        <v>0.00164515276832129</v>
      </c>
      <c r="BB365" s="30" t="n">
        <f aca="false">MAX(BB364,BA365)</f>
        <v>0.00284866043860449</v>
      </c>
      <c r="BC365" s="32" t="n">
        <f aca="false">BA365-BB365</f>
        <v>-0.0012035076702832</v>
      </c>
      <c r="BD365" s="30" t="n">
        <f aca="false">A366-A365</f>
        <v>3</v>
      </c>
    </row>
    <row r="366" customFormat="false" ht="15" hidden="false" customHeight="false" outlineLevel="0" collapsed="false">
      <c r="A366" s="28" t="n">
        <v>45579</v>
      </c>
      <c r="B366" s="0" t="n">
        <v>25235</v>
      </c>
      <c r="C366" s="0" t="n">
        <v>280.95</v>
      </c>
      <c r="D366" s="29" t="n">
        <f aca="false">LN(B366)</f>
        <v>10.1359871987744</v>
      </c>
      <c r="E366" s="29" t="n">
        <f aca="false">LN(C366)</f>
        <v>5.63817671755821</v>
      </c>
      <c r="F366" s="0" t="n">
        <v>361</v>
      </c>
      <c r="G366" s="0" t="n">
        <v>17</v>
      </c>
      <c r="H366" s="29" t="n">
        <f aca="false">D366-E366</f>
        <v>4.49781048121616</v>
      </c>
      <c r="I366" s="29" t="n">
        <f aca="false">D366-D365</f>
        <v>0.00743793576812024</v>
      </c>
      <c r="J366" s="29" t="n">
        <f aca="false">E366-E365</f>
        <v>0.00707246839999165</v>
      </c>
      <c r="K366" s="0" t="n">
        <v>0</v>
      </c>
      <c r="L366" s="0" t="n">
        <v>0</v>
      </c>
      <c r="M366" s="29" t="n">
        <f aca="false">IF(L366=1,J366-Carry!$B$9/Inputs!$B$16,I366)</f>
        <v>0.00743793576812024</v>
      </c>
      <c r="N366" s="0" t="n">
        <v>0.065</v>
      </c>
      <c r="O366" s="0" t="n">
        <v>0.0002</v>
      </c>
      <c r="P366" s="29" t="n">
        <f aca="false">D366-('2 Hedge ratio'!$B$6+'2 Hedge ratio'!$B$5*E366)</f>
        <v>0.00888255310925779</v>
      </c>
      <c r="Q366" s="29" t="n">
        <f aca="false">D366-('5 Re-specification'!$B$7+'5 Re-specification'!$B$5*E366+'5 Re-specification'!$B$6*F366)</f>
        <v>-8.45612367665893E-005</v>
      </c>
      <c r="R366" s="30" t="n">
        <f aca="false">MIN(F366,Inputs!$B$9)</f>
        <v>250</v>
      </c>
      <c r="S366" s="29" t="n">
        <f aca="true">IF(AND(F366&gt;=1,R366&gt;=Inputs!$B$10),INDEX(LINEST(OFFSET(D366,-R366,0,R366,1),OFFSET(E366,-R366,0,R366,2)),1,1),"")</f>
        <v>-9.44756701572449E-005</v>
      </c>
      <c r="T366" s="29" t="n">
        <f aca="true">IF(AND(F366&gt;=1,R366&gt;=Inputs!$B$10),INDEX(LINEST(OFFSET(D366,-R366,0,R366,1),OFFSET(E366,-R366,0,R366,2)),1,2),"")</f>
        <v>1.03375244155478</v>
      </c>
      <c r="U366" s="29" t="n">
        <f aca="true">IF(AND(F366&gt;=1,R366&gt;=Inputs!$B$10),INDEX(LINEST(OFFSET(D366,-R366,0,R366,1),OFFSET(E366,-R366,0,R366,2)),1,3),"")</f>
        <v>4.33989110750198</v>
      </c>
      <c r="V366" s="29" t="n">
        <f aca="true">IF(AND(F366&gt;=1,R366&gt;=Inputs!$B$10),SQRT(SUMPRODUCT((OFFSET(D366,-R366,0,R366,1)-U366-T366*OFFSET(E366,-R366,0,R366,1)-S366*OFFSET(F366,-R366,0,R366,1))^2)/(R366-3)),"")</f>
        <v>0.00342431226527792</v>
      </c>
      <c r="W366" s="31" t="n">
        <f aca="false">IF(AND(F366&gt;=1,R366&gt;=Inputs!$B$10),(D366-U366-T366*E366-S366*F366)/V366,"")</f>
        <v>0.503125992193874</v>
      </c>
      <c r="X366" s="30" t="n">
        <f aca="false">IF(AB365&lt;&gt;0,AC365+1,0)</f>
        <v>0</v>
      </c>
      <c r="Y366" s="30" t="n">
        <f aca="false">IF(W366="",0,IF(AND(AB365&lt;&gt;0,OR(ABS(W366)&gt;Inputs!$B$7,X366&gt;=Inputs!$B$8,ABS(W366)&lt;Inputs!$B$6)),1,0))</f>
        <v>0</v>
      </c>
      <c r="Z366" s="30" t="n">
        <f aca="false">IF(Y366=1,0,AB365)</f>
        <v>0</v>
      </c>
      <c r="AA366" s="30" t="n">
        <f aca="false">IF(W366="",0,IF(AND(Z366=0,ABS(W366)&gt;Inputs!$B$5,ABS(W366)&lt;=Inputs!$B$7),1,0))</f>
        <v>0</v>
      </c>
      <c r="AB366" s="30" t="n">
        <f aca="false">IF(W366="",0,IF(AA366=1,-SIGN(W366),Z366))</f>
        <v>0</v>
      </c>
      <c r="AC366" s="30" t="n">
        <f aca="false">IF(W366="",0,IF(AA366=1,0,IF(Y366=1,0,X366)))</f>
        <v>0</v>
      </c>
      <c r="AD366" s="30" t="n">
        <f aca="false">IF(AB366=0,0,IF(AB365=AB366,AD365,T366))</f>
        <v>0</v>
      </c>
      <c r="AE366" s="30" t="n">
        <f aca="false">AB366-AB365</f>
        <v>0</v>
      </c>
      <c r="AF366" s="30" t="n">
        <f aca="false">-AD366*AB366</f>
        <v>-0</v>
      </c>
      <c r="AG366" s="30" t="n">
        <f aca="false">AF366-AF365</f>
        <v>0</v>
      </c>
      <c r="AH366" s="30" t="n">
        <f aca="false">MAX(AE366,0)*(Inputs!$B$17+Inputs!$B$18+Inputs!$B$19)+MAX(-AE366,0)*(O366+Inputs!$B$18+Inputs!$B$19)+IF(AND(K366=1,AB366&lt;&gt;0),(Inputs!$B$17+Inputs!$B$18+Inputs!$B$19)+(O366+Inputs!$B$18+Inputs!$B$19),0)+MAX(AG366,0)*(Inputs!$B$20+Inputs!$B$22+Inputs!$B$23)+MAX(-AG366,0)*(Inputs!$B$21+Inputs!$B$22+Inputs!$B$23)</f>
        <v>0</v>
      </c>
      <c r="AI366" s="30" t="n">
        <f aca="false">AB365*(M366-AD365*J366)+AB365*AD365*N366/Inputs!$B$16-AH366</f>
        <v>0</v>
      </c>
      <c r="AJ366" s="30" t="n">
        <f aca="false">MAX(AE366,0)*(Inputs!$B$17+Inputs!$B$24+Inputs!$B$25)+MAX(-AE366,0)*(O366+Inputs!$B$24+Inputs!$B$25)+IF(AND(K366=1,AB366&lt;&gt;0),(Inputs!$B$17+Inputs!$B$24+Inputs!$B$25)+(O366+Inputs!$B$24+Inputs!$B$25),0)+MAX(AG366,0)*(Inputs!$B$20+Inputs!$B$26+Inputs!$B$27)+MAX(-AG366,0)*(Inputs!$B$21+Inputs!$B$26+Inputs!$B$27)</f>
        <v>0</v>
      </c>
      <c r="AK366" s="30" t="n">
        <f aca="false">AB365*(M366-AD365*J366)+AB365*AD365*(N366+Inputs!$B$14)/Inputs!$B$16-AJ366</f>
        <v>0</v>
      </c>
      <c r="AL366" s="30" t="n">
        <f aca="false">IF(AP365&lt;&gt;0,AQ365+1,0)</f>
        <v>0</v>
      </c>
      <c r="AM366" s="30" t="n">
        <f aca="false">IF(W366="",0,IF(AND(AP365&lt;&gt;0,OR(ABS(W366)&gt;Inputs!$B$7,AL366&gt;=Inputs!$B$8,ABS(W366)&lt;Inputs!$B$6)),1,0))</f>
        <v>0</v>
      </c>
      <c r="AN366" s="30" t="n">
        <f aca="false">IF(AM366=1,0,AP365)</f>
        <v>0</v>
      </c>
      <c r="AO366" s="30" t="n">
        <f aca="false">IF(W366="",0,IF(AND(AN366=0,ABS(W366)&gt;Inputs!$B$5,ABS(W366)&lt;=Inputs!$B$7,W366&gt;0),1,0))</f>
        <v>0</v>
      </c>
      <c r="AP366" s="30" t="n">
        <f aca="false">IF(W366="",0,IF(AO366=1,-SIGN(W366),AN366))</f>
        <v>0</v>
      </c>
      <c r="AQ366" s="30" t="n">
        <f aca="false">IF(W366="",0,IF(AO366=1,0,IF(AM366=1,0,AL366)))</f>
        <v>0</v>
      </c>
      <c r="AR366" s="30" t="n">
        <f aca="false">IF(AP366=0,0,IF(AP365=AP366,AR365,T366))</f>
        <v>0</v>
      </c>
      <c r="AS366" s="30" t="n">
        <f aca="false">AP366-AP365</f>
        <v>0</v>
      </c>
      <c r="AT366" s="30" t="n">
        <f aca="false">-AR366*AP366</f>
        <v>-0</v>
      </c>
      <c r="AU366" s="30" t="n">
        <f aca="false">AT366-AT365</f>
        <v>0</v>
      </c>
      <c r="AV366" s="30" t="n">
        <f aca="false">MAX(AS366,0)*(Inputs!$B$17+Inputs!$B$18+Inputs!$B$19)+MAX(-AS366,0)*(O366+Inputs!$B$18+Inputs!$B$19)+IF(AND(K366=1,AP366&lt;&gt;0),(Inputs!$B$17+Inputs!$B$18+Inputs!$B$19)+(O366+Inputs!$B$18+Inputs!$B$19),0)+MAX(AU366,0)*(Inputs!$B$20+Inputs!$B$22+Inputs!$B$23)+MAX(-AU366,0)*(Inputs!$B$21+Inputs!$B$22+Inputs!$B$23)</f>
        <v>0</v>
      </c>
      <c r="AW366" s="30" t="n">
        <f aca="false">AP365*(M366-AR365*J366)+AP365*AR365*N366/Inputs!$B$16-AV366</f>
        <v>0</v>
      </c>
      <c r="AX366" s="30" t="n">
        <f aca="false">AW366-IF(AP365&lt;&gt;0,0.75*AR365*(Inputs!$B$13-N366)/Inputs!$B$16,0)</f>
        <v>0</v>
      </c>
      <c r="AY366" s="30" t="n">
        <f aca="false">MAX(AS366,0)*(Inputs!$B$17+Inputs!$B$18+Inputs!$B$19)+MAX(-AS366,0)*(O366+Inputs!$B$18+Inputs!$B$19)+IF(AND(K366=1,AP366&lt;&gt;0),(Inputs!$B$17+Inputs!$B$18+Inputs!$B$19)+(O366+Inputs!$B$18+Inputs!$B$19),0)</f>
        <v>0</v>
      </c>
      <c r="AZ366" s="30" t="n">
        <f aca="false">AP365*M366-AY366</f>
        <v>0</v>
      </c>
      <c r="BA366" s="32" t="n">
        <f aca="false">BA365+AI366</f>
        <v>0.00164515276832129</v>
      </c>
      <c r="BB366" s="30" t="n">
        <f aca="false">MAX(BB365,BA366)</f>
        <v>0.00284866043860449</v>
      </c>
      <c r="BC366" s="32" t="n">
        <f aca="false">BA366-BB366</f>
        <v>-0.0012035076702832</v>
      </c>
      <c r="BD366" s="30" t="n">
        <f aca="false">A367-A366</f>
        <v>1</v>
      </c>
    </row>
    <row r="367" customFormat="false" ht="15" hidden="false" customHeight="false" outlineLevel="0" collapsed="false">
      <c r="A367" s="28" t="n">
        <v>45580</v>
      </c>
      <c r="B367" s="0" t="n">
        <v>25131.25</v>
      </c>
      <c r="C367" s="0" t="n">
        <v>280</v>
      </c>
      <c r="D367" s="29" t="n">
        <f aca="false">LN(B367)</f>
        <v>10.1318673706456</v>
      </c>
      <c r="E367" s="29" t="n">
        <f aca="false">LN(C367)</f>
        <v>5.63478960316925</v>
      </c>
      <c r="F367" s="0" t="n">
        <v>362</v>
      </c>
      <c r="G367" s="0" t="n">
        <v>16</v>
      </c>
      <c r="H367" s="29" t="n">
        <f aca="false">D367-E367</f>
        <v>4.49707776747633</v>
      </c>
      <c r="I367" s="29" t="n">
        <f aca="false">D367-D366</f>
        <v>-0.00411982812877909</v>
      </c>
      <c r="J367" s="29" t="n">
        <f aca="false">E367-E366</f>
        <v>-0.00338711438895789</v>
      </c>
      <c r="K367" s="0" t="n">
        <v>0</v>
      </c>
      <c r="L367" s="0" t="n">
        <v>0</v>
      </c>
      <c r="M367" s="29" t="n">
        <f aca="false">IF(L367=1,J367-Carry!$B$9/Inputs!$B$16,I367)</f>
        <v>-0.00411982812877909</v>
      </c>
      <c r="N367" s="0" t="n">
        <v>0.065</v>
      </c>
      <c r="O367" s="0" t="n">
        <v>0.0002</v>
      </c>
      <c r="P367" s="29" t="n">
        <f aca="false">D367-('2 Hedge ratio'!$B$6+'2 Hedge ratio'!$B$5*E367)</f>
        <v>0.0078657511088327</v>
      </c>
      <c r="Q367" s="29" t="n">
        <f aca="false">D367-('5 Re-specification'!$B$7+'5 Re-specification'!$B$5*E367+'5 Re-specification'!$B$6*F367)</f>
        <v>-0.000782610308720066</v>
      </c>
      <c r="R367" s="30" t="n">
        <f aca="false">MIN(F367,Inputs!$B$9)</f>
        <v>250</v>
      </c>
      <c r="S367" s="29" t="n">
        <f aca="true">IF(AND(F367&gt;=1,R367&gt;=Inputs!$B$10),INDEX(LINEST(OFFSET(D367,-R367,0,R367,1),OFFSET(E367,-R367,0,R367,2)),1,1),"")</f>
        <v>-9.40746135321212E-005</v>
      </c>
      <c r="T367" s="29" t="n">
        <f aca="true">IF(AND(F367&gt;=1,R367&gt;=Inputs!$B$10),INDEX(LINEST(OFFSET(D367,-R367,0,R367,1),OFFSET(E367,-R367,0,R367,2)),1,2),"")</f>
        <v>1.03340367726889</v>
      </c>
      <c r="U367" s="29" t="n">
        <f aca="true">IF(AND(F367&gt;=1,R367&gt;=Inputs!$B$10),INDEX(LINEST(OFFSET(D367,-R367,0,R367,1),OFFSET(E367,-R367,0,R367,2)),1,3),"")</f>
        <v>4.34173533077095</v>
      </c>
      <c r="V367" s="29" t="n">
        <f aca="true">IF(AND(F367&gt;=1,R367&gt;=Inputs!$B$10),SQRT(SUMPRODUCT((OFFSET(D367,-R367,0,R367,1)-U367-T367*OFFSET(E367,-R367,0,R367,1)-S367*OFFSET(F367,-R367,0,R367,1))^2)/(R367-3)),"")</f>
        <v>0.00342443511539713</v>
      </c>
      <c r="W367" s="31" t="n">
        <f aca="false">IF(AND(F367&gt;=1,R367&gt;=Inputs!$B$10),(D367-U367-T367*E367-S367*F367)/V367,"")</f>
        <v>0.343050278962759</v>
      </c>
      <c r="X367" s="30" t="n">
        <f aca="false">IF(AB366&lt;&gt;0,AC366+1,0)</f>
        <v>0</v>
      </c>
      <c r="Y367" s="30" t="n">
        <f aca="false">IF(W367="",0,IF(AND(AB366&lt;&gt;0,OR(ABS(W367)&gt;Inputs!$B$7,X367&gt;=Inputs!$B$8,ABS(W367)&lt;Inputs!$B$6)),1,0))</f>
        <v>0</v>
      </c>
      <c r="Z367" s="30" t="n">
        <f aca="false">IF(Y367=1,0,AB366)</f>
        <v>0</v>
      </c>
      <c r="AA367" s="30" t="n">
        <f aca="false">IF(W367="",0,IF(AND(Z367=0,ABS(W367)&gt;Inputs!$B$5,ABS(W367)&lt;=Inputs!$B$7),1,0))</f>
        <v>0</v>
      </c>
      <c r="AB367" s="30" t="n">
        <f aca="false">IF(W367="",0,IF(AA367=1,-SIGN(W367),Z367))</f>
        <v>0</v>
      </c>
      <c r="AC367" s="30" t="n">
        <f aca="false">IF(W367="",0,IF(AA367=1,0,IF(Y367=1,0,X367)))</f>
        <v>0</v>
      </c>
      <c r="AD367" s="30" t="n">
        <f aca="false">IF(AB367=0,0,IF(AB366=AB367,AD366,T367))</f>
        <v>0</v>
      </c>
      <c r="AE367" s="30" t="n">
        <f aca="false">AB367-AB366</f>
        <v>0</v>
      </c>
      <c r="AF367" s="30" t="n">
        <f aca="false">-AD367*AB367</f>
        <v>-0</v>
      </c>
      <c r="AG367" s="30" t="n">
        <f aca="false">AF367-AF366</f>
        <v>0</v>
      </c>
      <c r="AH367" s="30" t="n">
        <f aca="false">MAX(AE367,0)*(Inputs!$B$17+Inputs!$B$18+Inputs!$B$19)+MAX(-AE367,0)*(O367+Inputs!$B$18+Inputs!$B$19)+IF(AND(K367=1,AB367&lt;&gt;0),(Inputs!$B$17+Inputs!$B$18+Inputs!$B$19)+(O367+Inputs!$B$18+Inputs!$B$19),0)+MAX(AG367,0)*(Inputs!$B$20+Inputs!$B$22+Inputs!$B$23)+MAX(-AG367,0)*(Inputs!$B$21+Inputs!$B$22+Inputs!$B$23)</f>
        <v>0</v>
      </c>
      <c r="AI367" s="30" t="n">
        <f aca="false">AB366*(M367-AD366*J367)+AB366*AD366*N367/Inputs!$B$16-AH367</f>
        <v>0</v>
      </c>
      <c r="AJ367" s="30" t="n">
        <f aca="false">MAX(AE367,0)*(Inputs!$B$17+Inputs!$B$24+Inputs!$B$25)+MAX(-AE367,0)*(O367+Inputs!$B$24+Inputs!$B$25)+IF(AND(K367=1,AB367&lt;&gt;0),(Inputs!$B$17+Inputs!$B$24+Inputs!$B$25)+(O367+Inputs!$B$24+Inputs!$B$25),0)+MAX(AG367,0)*(Inputs!$B$20+Inputs!$B$26+Inputs!$B$27)+MAX(-AG367,0)*(Inputs!$B$21+Inputs!$B$26+Inputs!$B$27)</f>
        <v>0</v>
      </c>
      <c r="AK367" s="30" t="n">
        <f aca="false">AB366*(M367-AD366*J367)+AB366*AD366*(N367+Inputs!$B$14)/Inputs!$B$16-AJ367</f>
        <v>0</v>
      </c>
      <c r="AL367" s="30" t="n">
        <f aca="false">IF(AP366&lt;&gt;0,AQ366+1,0)</f>
        <v>0</v>
      </c>
      <c r="AM367" s="30" t="n">
        <f aca="false">IF(W367="",0,IF(AND(AP366&lt;&gt;0,OR(ABS(W367)&gt;Inputs!$B$7,AL367&gt;=Inputs!$B$8,ABS(W367)&lt;Inputs!$B$6)),1,0))</f>
        <v>0</v>
      </c>
      <c r="AN367" s="30" t="n">
        <f aca="false">IF(AM367=1,0,AP366)</f>
        <v>0</v>
      </c>
      <c r="AO367" s="30" t="n">
        <f aca="false">IF(W367="",0,IF(AND(AN367=0,ABS(W367)&gt;Inputs!$B$5,ABS(W367)&lt;=Inputs!$B$7,W367&gt;0),1,0))</f>
        <v>0</v>
      </c>
      <c r="AP367" s="30" t="n">
        <f aca="false">IF(W367="",0,IF(AO367=1,-SIGN(W367),AN367))</f>
        <v>0</v>
      </c>
      <c r="AQ367" s="30" t="n">
        <f aca="false">IF(W367="",0,IF(AO367=1,0,IF(AM367=1,0,AL367)))</f>
        <v>0</v>
      </c>
      <c r="AR367" s="30" t="n">
        <f aca="false">IF(AP367=0,0,IF(AP366=AP367,AR366,T367))</f>
        <v>0</v>
      </c>
      <c r="AS367" s="30" t="n">
        <f aca="false">AP367-AP366</f>
        <v>0</v>
      </c>
      <c r="AT367" s="30" t="n">
        <f aca="false">-AR367*AP367</f>
        <v>-0</v>
      </c>
      <c r="AU367" s="30" t="n">
        <f aca="false">AT367-AT366</f>
        <v>0</v>
      </c>
      <c r="AV367" s="30" t="n">
        <f aca="false">MAX(AS367,0)*(Inputs!$B$17+Inputs!$B$18+Inputs!$B$19)+MAX(-AS367,0)*(O367+Inputs!$B$18+Inputs!$B$19)+IF(AND(K367=1,AP367&lt;&gt;0),(Inputs!$B$17+Inputs!$B$18+Inputs!$B$19)+(O367+Inputs!$B$18+Inputs!$B$19),0)+MAX(AU367,0)*(Inputs!$B$20+Inputs!$B$22+Inputs!$B$23)+MAX(-AU367,0)*(Inputs!$B$21+Inputs!$B$22+Inputs!$B$23)</f>
        <v>0</v>
      </c>
      <c r="AW367" s="30" t="n">
        <f aca="false">AP366*(M367-AR366*J367)+AP366*AR366*N367/Inputs!$B$16-AV367</f>
        <v>0</v>
      </c>
      <c r="AX367" s="30" t="n">
        <f aca="false">AW367-IF(AP366&lt;&gt;0,0.75*AR366*(Inputs!$B$13-N367)/Inputs!$B$16,0)</f>
        <v>0</v>
      </c>
      <c r="AY367" s="30" t="n">
        <f aca="false">MAX(AS367,0)*(Inputs!$B$17+Inputs!$B$18+Inputs!$B$19)+MAX(-AS367,0)*(O367+Inputs!$B$18+Inputs!$B$19)+IF(AND(K367=1,AP367&lt;&gt;0),(Inputs!$B$17+Inputs!$B$18+Inputs!$B$19)+(O367+Inputs!$B$18+Inputs!$B$19),0)</f>
        <v>0</v>
      </c>
      <c r="AZ367" s="30" t="n">
        <f aca="false">AP366*M367-AY367</f>
        <v>-0</v>
      </c>
      <c r="BA367" s="32" t="n">
        <f aca="false">BA366+AI367</f>
        <v>0.00164515276832129</v>
      </c>
      <c r="BB367" s="30" t="n">
        <f aca="false">MAX(BB366,BA367)</f>
        <v>0.00284866043860449</v>
      </c>
      <c r="BC367" s="32" t="n">
        <f aca="false">BA367-BB367</f>
        <v>-0.0012035076702832</v>
      </c>
      <c r="BD367" s="30" t="n">
        <f aca="false">A368-A367</f>
        <v>1</v>
      </c>
    </row>
    <row r="368" customFormat="false" ht="15" hidden="false" customHeight="false" outlineLevel="0" collapsed="false">
      <c r="A368" s="28" t="n">
        <v>45581</v>
      </c>
      <c r="B368" s="0" t="n">
        <v>25032.6</v>
      </c>
      <c r="C368" s="0" t="n">
        <v>278.66</v>
      </c>
      <c r="D368" s="29" t="n">
        <f aca="false">LN(B368)</f>
        <v>10.1279342543807</v>
      </c>
      <c r="E368" s="29" t="n">
        <f aca="false">LN(C368)</f>
        <v>5.62999240068545</v>
      </c>
      <c r="F368" s="0" t="n">
        <v>363</v>
      </c>
      <c r="G368" s="0" t="n">
        <v>15</v>
      </c>
      <c r="H368" s="29" t="n">
        <f aca="false">D368-E368</f>
        <v>4.49794185369528</v>
      </c>
      <c r="I368" s="29" t="n">
        <f aca="false">D368-D367</f>
        <v>-0.00393311626485371</v>
      </c>
      <c r="J368" s="29" t="n">
        <f aca="false">E368-E367</f>
        <v>-0.00479720248380389</v>
      </c>
      <c r="K368" s="0" t="n">
        <v>0</v>
      </c>
      <c r="L368" s="0" t="n">
        <v>0</v>
      </c>
      <c r="M368" s="29" t="n">
        <f aca="false">IF(L368=1,J368-Carry!$B$9/Inputs!$B$16,I368)</f>
        <v>-0.00393311626485371</v>
      </c>
      <c r="N368" s="0" t="n">
        <v>0.065</v>
      </c>
      <c r="O368" s="0" t="n">
        <v>0.0002</v>
      </c>
      <c r="P368" s="29" t="n">
        <f aca="false">D368-('2 Hedge ratio'!$B$6+'2 Hedge ratio'!$B$5*E368)</f>
        <v>0.00832748040891573</v>
      </c>
      <c r="Q368" s="29" t="n">
        <f aca="false">D368-('5 Re-specification'!$B$7+'5 Re-specification'!$B$5*E368+'5 Re-specification'!$B$6*F368)</f>
        <v>0.000111867306099356</v>
      </c>
      <c r="R368" s="30" t="n">
        <f aca="false">MIN(F368,Inputs!$B$9)</f>
        <v>250</v>
      </c>
      <c r="S368" s="29" t="n">
        <f aca="true">IF(AND(F368&gt;=1,R368&gt;=Inputs!$B$10),INDEX(LINEST(OFFSET(D368,-R368,0,R368,1),OFFSET(E368,-R368,0,R368,2)),1,1),"")</f>
        <v>-9.4079122538103E-005</v>
      </c>
      <c r="T368" s="29" t="n">
        <f aca="true">IF(AND(F368&gt;=1,R368&gt;=Inputs!$B$10),INDEX(LINEST(OFFSET(D368,-R368,0,R368,1),OFFSET(E368,-R368,0,R368,2)),1,2),"")</f>
        <v>1.03327623072111</v>
      </c>
      <c r="U368" s="29" t="n">
        <f aca="true">IF(AND(F368&gt;=1,R368&gt;=Inputs!$B$10),INDEX(LINEST(OFFSET(D368,-R368,0,R368,1),OFFSET(E368,-R368,0,R368,2)),1,3),"")</f>
        <v>4.34245571246571</v>
      </c>
      <c r="V368" s="29" t="n">
        <f aca="true">IF(AND(F368&gt;=1,R368&gt;=Inputs!$B$10),SQRT(SUMPRODUCT((OFFSET(D368,-R368,0,R368,1)-U368-T368*OFFSET(E368,-R368,0,R368,1)-S368*OFFSET(F368,-R368,0,R368,1))^2)/(R368-3)),"")</f>
        <v>0.00342086657607643</v>
      </c>
      <c r="W368" s="31" t="n">
        <f aca="false">IF(AND(F368&gt;=1,R368&gt;=Inputs!$B$10),(D368-U368-T368*E368-S368*F368)/V368,"")</f>
        <v>0.66998714409018</v>
      </c>
      <c r="X368" s="30" t="n">
        <f aca="false">IF(AB367&lt;&gt;0,AC367+1,0)</f>
        <v>0</v>
      </c>
      <c r="Y368" s="30" t="n">
        <f aca="false">IF(W368="",0,IF(AND(AB367&lt;&gt;0,OR(ABS(W368)&gt;Inputs!$B$7,X368&gt;=Inputs!$B$8,ABS(W368)&lt;Inputs!$B$6)),1,0))</f>
        <v>0</v>
      </c>
      <c r="Z368" s="30" t="n">
        <f aca="false">IF(Y368=1,0,AB367)</f>
        <v>0</v>
      </c>
      <c r="AA368" s="30" t="n">
        <f aca="false">IF(W368="",0,IF(AND(Z368=0,ABS(W368)&gt;Inputs!$B$5,ABS(W368)&lt;=Inputs!$B$7),1,0))</f>
        <v>0</v>
      </c>
      <c r="AB368" s="30" t="n">
        <f aca="false">IF(W368="",0,IF(AA368=1,-SIGN(W368),Z368))</f>
        <v>0</v>
      </c>
      <c r="AC368" s="30" t="n">
        <f aca="false">IF(W368="",0,IF(AA368=1,0,IF(Y368=1,0,X368)))</f>
        <v>0</v>
      </c>
      <c r="AD368" s="30" t="n">
        <f aca="false">IF(AB368=0,0,IF(AB367=AB368,AD367,T368))</f>
        <v>0</v>
      </c>
      <c r="AE368" s="30" t="n">
        <f aca="false">AB368-AB367</f>
        <v>0</v>
      </c>
      <c r="AF368" s="30" t="n">
        <f aca="false">-AD368*AB368</f>
        <v>-0</v>
      </c>
      <c r="AG368" s="30" t="n">
        <f aca="false">AF368-AF367</f>
        <v>0</v>
      </c>
      <c r="AH368" s="30" t="n">
        <f aca="false">MAX(AE368,0)*(Inputs!$B$17+Inputs!$B$18+Inputs!$B$19)+MAX(-AE368,0)*(O368+Inputs!$B$18+Inputs!$B$19)+IF(AND(K368=1,AB368&lt;&gt;0),(Inputs!$B$17+Inputs!$B$18+Inputs!$B$19)+(O368+Inputs!$B$18+Inputs!$B$19),0)+MAX(AG368,0)*(Inputs!$B$20+Inputs!$B$22+Inputs!$B$23)+MAX(-AG368,0)*(Inputs!$B$21+Inputs!$B$22+Inputs!$B$23)</f>
        <v>0</v>
      </c>
      <c r="AI368" s="30" t="n">
        <f aca="false">AB367*(M368-AD367*J368)+AB367*AD367*N368/Inputs!$B$16-AH368</f>
        <v>0</v>
      </c>
      <c r="AJ368" s="30" t="n">
        <f aca="false">MAX(AE368,0)*(Inputs!$B$17+Inputs!$B$24+Inputs!$B$25)+MAX(-AE368,0)*(O368+Inputs!$B$24+Inputs!$B$25)+IF(AND(K368=1,AB368&lt;&gt;0),(Inputs!$B$17+Inputs!$B$24+Inputs!$B$25)+(O368+Inputs!$B$24+Inputs!$B$25),0)+MAX(AG368,0)*(Inputs!$B$20+Inputs!$B$26+Inputs!$B$27)+MAX(-AG368,0)*(Inputs!$B$21+Inputs!$B$26+Inputs!$B$27)</f>
        <v>0</v>
      </c>
      <c r="AK368" s="30" t="n">
        <f aca="false">AB367*(M368-AD367*J368)+AB367*AD367*(N368+Inputs!$B$14)/Inputs!$B$16-AJ368</f>
        <v>0</v>
      </c>
      <c r="AL368" s="30" t="n">
        <f aca="false">IF(AP367&lt;&gt;0,AQ367+1,0)</f>
        <v>0</v>
      </c>
      <c r="AM368" s="30" t="n">
        <f aca="false">IF(W368="",0,IF(AND(AP367&lt;&gt;0,OR(ABS(W368)&gt;Inputs!$B$7,AL368&gt;=Inputs!$B$8,ABS(W368)&lt;Inputs!$B$6)),1,0))</f>
        <v>0</v>
      </c>
      <c r="AN368" s="30" t="n">
        <f aca="false">IF(AM368=1,0,AP367)</f>
        <v>0</v>
      </c>
      <c r="AO368" s="30" t="n">
        <f aca="false">IF(W368="",0,IF(AND(AN368=0,ABS(W368)&gt;Inputs!$B$5,ABS(W368)&lt;=Inputs!$B$7,W368&gt;0),1,0))</f>
        <v>0</v>
      </c>
      <c r="AP368" s="30" t="n">
        <f aca="false">IF(W368="",0,IF(AO368=1,-SIGN(W368),AN368))</f>
        <v>0</v>
      </c>
      <c r="AQ368" s="30" t="n">
        <f aca="false">IF(W368="",0,IF(AO368=1,0,IF(AM368=1,0,AL368)))</f>
        <v>0</v>
      </c>
      <c r="AR368" s="30" t="n">
        <f aca="false">IF(AP368=0,0,IF(AP367=AP368,AR367,T368))</f>
        <v>0</v>
      </c>
      <c r="AS368" s="30" t="n">
        <f aca="false">AP368-AP367</f>
        <v>0</v>
      </c>
      <c r="AT368" s="30" t="n">
        <f aca="false">-AR368*AP368</f>
        <v>-0</v>
      </c>
      <c r="AU368" s="30" t="n">
        <f aca="false">AT368-AT367</f>
        <v>0</v>
      </c>
      <c r="AV368" s="30" t="n">
        <f aca="false">MAX(AS368,0)*(Inputs!$B$17+Inputs!$B$18+Inputs!$B$19)+MAX(-AS368,0)*(O368+Inputs!$B$18+Inputs!$B$19)+IF(AND(K368=1,AP368&lt;&gt;0),(Inputs!$B$17+Inputs!$B$18+Inputs!$B$19)+(O368+Inputs!$B$18+Inputs!$B$19),0)+MAX(AU368,0)*(Inputs!$B$20+Inputs!$B$22+Inputs!$B$23)+MAX(-AU368,0)*(Inputs!$B$21+Inputs!$B$22+Inputs!$B$23)</f>
        <v>0</v>
      </c>
      <c r="AW368" s="30" t="n">
        <f aca="false">AP367*(M368-AR367*J368)+AP367*AR367*N368/Inputs!$B$16-AV368</f>
        <v>0</v>
      </c>
      <c r="AX368" s="30" t="n">
        <f aca="false">AW368-IF(AP367&lt;&gt;0,0.75*AR367*(Inputs!$B$13-N368)/Inputs!$B$16,0)</f>
        <v>0</v>
      </c>
      <c r="AY368" s="30" t="n">
        <f aca="false">MAX(AS368,0)*(Inputs!$B$17+Inputs!$B$18+Inputs!$B$19)+MAX(-AS368,0)*(O368+Inputs!$B$18+Inputs!$B$19)+IF(AND(K368=1,AP368&lt;&gt;0),(Inputs!$B$17+Inputs!$B$18+Inputs!$B$19)+(O368+Inputs!$B$18+Inputs!$B$19),0)</f>
        <v>0</v>
      </c>
      <c r="AZ368" s="30" t="n">
        <f aca="false">AP367*M368-AY368</f>
        <v>-0</v>
      </c>
      <c r="BA368" s="32" t="n">
        <f aca="false">BA367+AI368</f>
        <v>0.00164515276832129</v>
      </c>
      <c r="BB368" s="30" t="n">
        <f aca="false">MAX(BB367,BA368)</f>
        <v>0.00284866043860449</v>
      </c>
      <c r="BC368" s="32" t="n">
        <f aca="false">BA368-BB368</f>
        <v>-0.0012035076702832</v>
      </c>
      <c r="BD368" s="30" t="n">
        <f aca="false">A369-A368</f>
        <v>1</v>
      </c>
    </row>
    <row r="369" customFormat="false" ht="15" hidden="false" customHeight="false" outlineLevel="0" collapsed="false">
      <c r="A369" s="28" t="n">
        <v>45582</v>
      </c>
      <c r="B369" s="0" t="n">
        <v>24845.1</v>
      </c>
      <c r="C369" s="0" t="n">
        <v>276.89</v>
      </c>
      <c r="D369" s="29" t="n">
        <f aca="false">LN(B369)</f>
        <v>10.120415828983</v>
      </c>
      <c r="E369" s="29" t="n">
        <f aca="false">LN(C369)</f>
        <v>5.62362031540416</v>
      </c>
      <c r="F369" s="0" t="n">
        <v>364</v>
      </c>
      <c r="G369" s="0" t="n">
        <v>14</v>
      </c>
      <c r="H369" s="29" t="n">
        <f aca="false">D369-E369</f>
        <v>4.49679551357888</v>
      </c>
      <c r="I369" s="29" t="n">
        <f aca="false">D369-D368</f>
        <v>-0.00751842539768965</v>
      </c>
      <c r="J369" s="29" t="n">
        <f aca="false">E369-E368</f>
        <v>-0.00637208528128141</v>
      </c>
      <c r="K369" s="0" t="n">
        <v>0</v>
      </c>
      <c r="L369" s="0" t="n">
        <v>0</v>
      </c>
      <c r="M369" s="29" t="n">
        <f aca="false">IF(L369=1,J369-Carry!$B$9/Inputs!$B$16,I369)</f>
        <v>-0.00751842539768965</v>
      </c>
      <c r="N369" s="0" t="n">
        <v>0.065</v>
      </c>
      <c r="O369" s="0" t="n">
        <v>0.0002</v>
      </c>
      <c r="P369" s="29" t="n">
        <f aca="false">D369-('2 Hedge ratio'!$B$6+'2 Hedge ratio'!$B$5*E369)</f>
        <v>0.00664669284961228</v>
      </c>
      <c r="Q369" s="29" t="n">
        <f aca="false">D369-('5 Re-specification'!$B$7+'5 Re-specification'!$B$5*E369+'5 Re-specification'!$B$6*F369)</f>
        <v>-0.00100885409679385</v>
      </c>
      <c r="R369" s="30" t="n">
        <f aca="false">MIN(F369,Inputs!$B$9)</f>
        <v>250</v>
      </c>
      <c r="S369" s="29" t="n">
        <f aca="true">IF(AND(F369&gt;=1,R369&gt;=Inputs!$B$10),INDEX(LINEST(OFFSET(D369,-R369,0,R369,1),OFFSET(E369,-R369,0,R369,2)),1,1),"")</f>
        <v>-9.33942122727965E-005</v>
      </c>
      <c r="T369" s="29" t="n">
        <f aca="true">IF(AND(F369&gt;=1,R369&gt;=Inputs!$B$10),INDEX(LINEST(OFFSET(D369,-R369,0,R369,1),OFFSET(E369,-R369,0,R369,2)),1,2),"")</f>
        <v>1.03267866315991</v>
      </c>
      <c r="U369" s="29" t="n">
        <f aca="true">IF(AND(F369&gt;=1,R369&gt;=Inputs!$B$10),INDEX(LINEST(OFFSET(D369,-R369,0,R369,1),OFFSET(E369,-R369,0,R369,2)),1,3),"")</f>
        <v>4.34561062918964</v>
      </c>
      <c r="V369" s="29" t="n">
        <f aca="true">IF(AND(F369&gt;=1,R369&gt;=Inputs!$B$10),SQRT(SUMPRODUCT((OFFSET(D369,-R369,0,R369,1)-U369-T369*OFFSET(E369,-R369,0,R369,1)-S369*OFFSET(F369,-R369,0,R369,1))^2)/(R369-3)),"")</f>
        <v>0.0034211557670368</v>
      </c>
      <c r="W369" s="31" t="n">
        <f aca="false">IF(AND(F369&gt;=1,R369&gt;=Inputs!$B$10),(D369-U369-T369*E369-S369*F369)/V369,"")</f>
        <v>0.411552038570125</v>
      </c>
      <c r="X369" s="30" t="n">
        <f aca="false">IF(AB368&lt;&gt;0,AC368+1,0)</f>
        <v>0</v>
      </c>
      <c r="Y369" s="30" t="n">
        <f aca="false">IF(W369="",0,IF(AND(AB368&lt;&gt;0,OR(ABS(W369)&gt;Inputs!$B$7,X369&gt;=Inputs!$B$8,ABS(W369)&lt;Inputs!$B$6)),1,0))</f>
        <v>0</v>
      </c>
      <c r="Z369" s="30" t="n">
        <f aca="false">IF(Y369=1,0,AB368)</f>
        <v>0</v>
      </c>
      <c r="AA369" s="30" t="n">
        <f aca="false">IF(W369="",0,IF(AND(Z369=0,ABS(W369)&gt;Inputs!$B$5,ABS(W369)&lt;=Inputs!$B$7),1,0))</f>
        <v>0</v>
      </c>
      <c r="AB369" s="30" t="n">
        <f aca="false">IF(W369="",0,IF(AA369=1,-SIGN(W369),Z369))</f>
        <v>0</v>
      </c>
      <c r="AC369" s="30" t="n">
        <f aca="false">IF(W369="",0,IF(AA369=1,0,IF(Y369=1,0,X369)))</f>
        <v>0</v>
      </c>
      <c r="AD369" s="30" t="n">
        <f aca="false">IF(AB369=0,0,IF(AB368=AB369,AD368,T369))</f>
        <v>0</v>
      </c>
      <c r="AE369" s="30" t="n">
        <f aca="false">AB369-AB368</f>
        <v>0</v>
      </c>
      <c r="AF369" s="30" t="n">
        <f aca="false">-AD369*AB369</f>
        <v>-0</v>
      </c>
      <c r="AG369" s="30" t="n">
        <f aca="false">AF369-AF368</f>
        <v>0</v>
      </c>
      <c r="AH369" s="30" t="n">
        <f aca="false">MAX(AE369,0)*(Inputs!$B$17+Inputs!$B$18+Inputs!$B$19)+MAX(-AE369,0)*(O369+Inputs!$B$18+Inputs!$B$19)+IF(AND(K369=1,AB369&lt;&gt;0),(Inputs!$B$17+Inputs!$B$18+Inputs!$B$19)+(O369+Inputs!$B$18+Inputs!$B$19),0)+MAX(AG369,0)*(Inputs!$B$20+Inputs!$B$22+Inputs!$B$23)+MAX(-AG369,0)*(Inputs!$B$21+Inputs!$B$22+Inputs!$B$23)</f>
        <v>0</v>
      </c>
      <c r="AI369" s="30" t="n">
        <f aca="false">AB368*(M369-AD368*J369)+AB368*AD368*N369/Inputs!$B$16-AH369</f>
        <v>0</v>
      </c>
      <c r="AJ369" s="30" t="n">
        <f aca="false">MAX(AE369,0)*(Inputs!$B$17+Inputs!$B$24+Inputs!$B$25)+MAX(-AE369,0)*(O369+Inputs!$B$24+Inputs!$B$25)+IF(AND(K369=1,AB369&lt;&gt;0),(Inputs!$B$17+Inputs!$B$24+Inputs!$B$25)+(O369+Inputs!$B$24+Inputs!$B$25),0)+MAX(AG369,0)*(Inputs!$B$20+Inputs!$B$26+Inputs!$B$27)+MAX(-AG369,0)*(Inputs!$B$21+Inputs!$B$26+Inputs!$B$27)</f>
        <v>0</v>
      </c>
      <c r="AK369" s="30" t="n">
        <f aca="false">AB368*(M369-AD368*J369)+AB368*AD368*(N369+Inputs!$B$14)/Inputs!$B$16-AJ369</f>
        <v>0</v>
      </c>
      <c r="AL369" s="30" t="n">
        <f aca="false">IF(AP368&lt;&gt;0,AQ368+1,0)</f>
        <v>0</v>
      </c>
      <c r="AM369" s="30" t="n">
        <f aca="false">IF(W369="",0,IF(AND(AP368&lt;&gt;0,OR(ABS(W369)&gt;Inputs!$B$7,AL369&gt;=Inputs!$B$8,ABS(W369)&lt;Inputs!$B$6)),1,0))</f>
        <v>0</v>
      </c>
      <c r="AN369" s="30" t="n">
        <f aca="false">IF(AM369=1,0,AP368)</f>
        <v>0</v>
      </c>
      <c r="AO369" s="30" t="n">
        <f aca="false">IF(W369="",0,IF(AND(AN369=0,ABS(W369)&gt;Inputs!$B$5,ABS(W369)&lt;=Inputs!$B$7,W369&gt;0),1,0))</f>
        <v>0</v>
      </c>
      <c r="AP369" s="30" t="n">
        <f aca="false">IF(W369="",0,IF(AO369=1,-SIGN(W369),AN369))</f>
        <v>0</v>
      </c>
      <c r="AQ369" s="30" t="n">
        <f aca="false">IF(W369="",0,IF(AO369=1,0,IF(AM369=1,0,AL369)))</f>
        <v>0</v>
      </c>
      <c r="AR369" s="30" t="n">
        <f aca="false">IF(AP369=0,0,IF(AP368=AP369,AR368,T369))</f>
        <v>0</v>
      </c>
      <c r="AS369" s="30" t="n">
        <f aca="false">AP369-AP368</f>
        <v>0</v>
      </c>
      <c r="AT369" s="30" t="n">
        <f aca="false">-AR369*AP369</f>
        <v>-0</v>
      </c>
      <c r="AU369" s="30" t="n">
        <f aca="false">AT369-AT368</f>
        <v>0</v>
      </c>
      <c r="AV369" s="30" t="n">
        <f aca="false">MAX(AS369,0)*(Inputs!$B$17+Inputs!$B$18+Inputs!$B$19)+MAX(-AS369,0)*(O369+Inputs!$B$18+Inputs!$B$19)+IF(AND(K369=1,AP369&lt;&gt;0),(Inputs!$B$17+Inputs!$B$18+Inputs!$B$19)+(O369+Inputs!$B$18+Inputs!$B$19),0)+MAX(AU369,0)*(Inputs!$B$20+Inputs!$B$22+Inputs!$B$23)+MAX(-AU369,0)*(Inputs!$B$21+Inputs!$B$22+Inputs!$B$23)</f>
        <v>0</v>
      </c>
      <c r="AW369" s="30" t="n">
        <f aca="false">AP368*(M369-AR368*J369)+AP368*AR368*N369/Inputs!$B$16-AV369</f>
        <v>0</v>
      </c>
      <c r="AX369" s="30" t="n">
        <f aca="false">AW369-IF(AP368&lt;&gt;0,0.75*AR368*(Inputs!$B$13-N369)/Inputs!$B$16,0)</f>
        <v>0</v>
      </c>
      <c r="AY369" s="30" t="n">
        <f aca="false">MAX(AS369,0)*(Inputs!$B$17+Inputs!$B$18+Inputs!$B$19)+MAX(-AS369,0)*(O369+Inputs!$B$18+Inputs!$B$19)+IF(AND(K369=1,AP369&lt;&gt;0),(Inputs!$B$17+Inputs!$B$18+Inputs!$B$19)+(O369+Inputs!$B$18+Inputs!$B$19),0)</f>
        <v>0</v>
      </c>
      <c r="AZ369" s="30" t="n">
        <f aca="false">AP368*M369-AY369</f>
        <v>-0</v>
      </c>
      <c r="BA369" s="32" t="n">
        <f aca="false">BA368+AI369</f>
        <v>0.00164515276832129</v>
      </c>
      <c r="BB369" s="30" t="n">
        <f aca="false">MAX(BB368,BA369)</f>
        <v>0.00284866043860449</v>
      </c>
      <c r="BC369" s="32" t="n">
        <f aca="false">BA369-BB369</f>
        <v>-0.0012035076702832</v>
      </c>
      <c r="BD369" s="30" t="n">
        <f aca="false">A370-A369</f>
        <v>1</v>
      </c>
    </row>
    <row r="370" customFormat="false" ht="15" hidden="false" customHeight="false" outlineLevel="0" collapsed="false">
      <c r="A370" s="28" t="n">
        <v>45583</v>
      </c>
      <c r="B370" s="0" t="n">
        <v>24962</v>
      </c>
      <c r="C370" s="0" t="n">
        <v>277.5</v>
      </c>
      <c r="D370" s="29" t="n">
        <f aca="false">LN(B370)</f>
        <v>10.1251099474784</v>
      </c>
      <c r="E370" s="29" t="n">
        <f aca="false">LN(C370)</f>
        <v>5.62582093318649</v>
      </c>
      <c r="F370" s="0" t="n">
        <v>365</v>
      </c>
      <c r="G370" s="0" t="n">
        <v>13</v>
      </c>
      <c r="H370" s="29" t="n">
        <f aca="false">D370-E370</f>
        <v>4.49928901429191</v>
      </c>
      <c r="I370" s="29" t="n">
        <f aca="false">D370-D369</f>
        <v>0.00469411849535995</v>
      </c>
      <c r="J370" s="29" t="n">
        <f aca="false">E370-E369</f>
        <v>0.00220061778232505</v>
      </c>
      <c r="K370" s="0" t="n">
        <v>0</v>
      </c>
      <c r="L370" s="0" t="n">
        <v>0</v>
      </c>
      <c r="M370" s="29" t="n">
        <f aca="false">IF(L370=1,J370-Carry!$B$9/Inputs!$B$16,I370)</f>
        <v>0.00469411849535995</v>
      </c>
      <c r="N370" s="0" t="n">
        <v>0.065</v>
      </c>
      <c r="O370" s="0" t="n">
        <v>0.0002</v>
      </c>
      <c r="P370" s="29" t="n">
        <f aca="false">D370-('2 Hedge ratio'!$B$6+'2 Hedge ratio'!$B$5*E370)</f>
        <v>0.00932476650771008</v>
      </c>
      <c r="Q370" s="29" t="n">
        <f aca="false">D370-('5 Re-specification'!$B$7+'5 Re-specification'!$B$5*E370+'5 Re-specification'!$B$6*F370)</f>
        <v>0.00153624490657478</v>
      </c>
      <c r="R370" s="30" t="n">
        <f aca="false">MIN(F370,Inputs!$B$9)</f>
        <v>250</v>
      </c>
      <c r="S370" s="29" t="n">
        <f aca="true">IF(AND(F370&gt;=1,R370&gt;=Inputs!$B$10),INDEX(LINEST(OFFSET(D370,-R370,0,R370,1),OFFSET(E370,-R370,0,R370,2)),1,1),"")</f>
        <v>-9.3285557159802E-005</v>
      </c>
      <c r="T370" s="29" t="n">
        <f aca="true">IF(AND(F370&gt;=1,R370&gt;=Inputs!$B$10),INDEX(LINEST(OFFSET(D370,-R370,0,R370,1),OFFSET(E370,-R370,0,R370,2)),1,2),"")</f>
        <v>1.03223542861232</v>
      </c>
      <c r="U370" s="29" t="n">
        <f aca="true">IF(AND(F370&gt;=1,R370&gt;=Inputs!$B$10),INDEX(LINEST(OFFSET(D370,-R370,0,R370,1),OFFSET(E370,-R370,0,R370,2)),1,3),"")</f>
        <v>4.34806047078645</v>
      </c>
      <c r="V370" s="29" t="n">
        <f aca="true">IF(AND(F370&gt;=1,R370&gt;=Inputs!$B$10),SQRT(SUMPRODUCT((OFFSET(D370,-R370,0,R370,1)-U370-T370*OFFSET(E370,-R370,0,R370,1)-S370*OFFSET(F370,-R370,0,R370,1))^2)/(R370-3)),"")</f>
        <v>0.00340456906845336</v>
      </c>
      <c r="W370" s="31" t="n">
        <f aca="false">IF(AND(F370&gt;=1,R370&gt;=Inputs!$B$10),(D370-U370-T370*E370-S370*F370)/V370,"")</f>
        <v>1.15345663795058</v>
      </c>
      <c r="X370" s="30" t="n">
        <f aca="false">IF(AB369&lt;&gt;0,AC369+1,0)</f>
        <v>0</v>
      </c>
      <c r="Y370" s="30" t="n">
        <f aca="false">IF(W370="",0,IF(AND(AB369&lt;&gt;0,OR(ABS(W370)&gt;Inputs!$B$7,X370&gt;=Inputs!$B$8,ABS(W370)&lt;Inputs!$B$6)),1,0))</f>
        <v>0</v>
      </c>
      <c r="Z370" s="30" t="n">
        <f aca="false">IF(Y370=1,0,AB369)</f>
        <v>0</v>
      </c>
      <c r="AA370" s="30" t="n">
        <f aca="false">IF(W370="",0,IF(AND(Z370=0,ABS(W370)&gt;Inputs!$B$5,ABS(W370)&lt;=Inputs!$B$7),1,0))</f>
        <v>0</v>
      </c>
      <c r="AB370" s="30" t="n">
        <f aca="false">IF(W370="",0,IF(AA370=1,-SIGN(W370),Z370))</f>
        <v>0</v>
      </c>
      <c r="AC370" s="30" t="n">
        <f aca="false">IF(W370="",0,IF(AA370=1,0,IF(Y370=1,0,X370)))</f>
        <v>0</v>
      </c>
      <c r="AD370" s="30" t="n">
        <f aca="false">IF(AB370=0,0,IF(AB369=AB370,AD369,T370))</f>
        <v>0</v>
      </c>
      <c r="AE370" s="30" t="n">
        <f aca="false">AB370-AB369</f>
        <v>0</v>
      </c>
      <c r="AF370" s="30" t="n">
        <f aca="false">-AD370*AB370</f>
        <v>-0</v>
      </c>
      <c r="AG370" s="30" t="n">
        <f aca="false">AF370-AF369</f>
        <v>0</v>
      </c>
      <c r="AH370" s="30" t="n">
        <f aca="false">MAX(AE370,0)*(Inputs!$B$17+Inputs!$B$18+Inputs!$B$19)+MAX(-AE370,0)*(O370+Inputs!$B$18+Inputs!$B$19)+IF(AND(K370=1,AB370&lt;&gt;0),(Inputs!$B$17+Inputs!$B$18+Inputs!$B$19)+(O370+Inputs!$B$18+Inputs!$B$19),0)+MAX(AG370,0)*(Inputs!$B$20+Inputs!$B$22+Inputs!$B$23)+MAX(-AG370,0)*(Inputs!$B$21+Inputs!$B$22+Inputs!$B$23)</f>
        <v>0</v>
      </c>
      <c r="AI370" s="30" t="n">
        <f aca="false">AB369*(M370-AD369*J370)+AB369*AD369*N370/Inputs!$B$16-AH370</f>
        <v>0</v>
      </c>
      <c r="AJ370" s="30" t="n">
        <f aca="false">MAX(AE370,0)*(Inputs!$B$17+Inputs!$B$24+Inputs!$B$25)+MAX(-AE370,0)*(O370+Inputs!$B$24+Inputs!$B$25)+IF(AND(K370=1,AB370&lt;&gt;0),(Inputs!$B$17+Inputs!$B$24+Inputs!$B$25)+(O370+Inputs!$B$24+Inputs!$B$25),0)+MAX(AG370,0)*(Inputs!$B$20+Inputs!$B$26+Inputs!$B$27)+MAX(-AG370,0)*(Inputs!$B$21+Inputs!$B$26+Inputs!$B$27)</f>
        <v>0</v>
      </c>
      <c r="AK370" s="30" t="n">
        <f aca="false">AB369*(M370-AD369*J370)+AB369*AD369*(N370+Inputs!$B$14)/Inputs!$B$16-AJ370</f>
        <v>0</v>
      </c>
      <c r="AL370" s="30" t="n">
        <f aca="false">IF(AP369&lt;&gt;0,AQ369+1,0)</f>
        <v>0</v>
      </c>
      <c r="AM370" s="30" t="n">
        <f aca="false">IF(W370="",0,IF(AND(AP369&lt;&gt;0,OR(ABS(W370)&gt;Inputs!$B$7,AL370&gt;=Inputs!$B$8,ABS(W370)&lt;Inputs!$B$6)),1,0))</f>
        <v>0</v>
      </c>
      <c r="AN370" s="30" t="n">
        <f aca="false">IF(AM370=1,0,AP369)</f>
        <v>0</v>
      </c>
      <c r="AO370" s="30" t="n">
        <f aca="false">IF(W370="",0,IF(AND(AN370=0,ABS(W370)&gt;Inputs!$B$5,ABS(W370)&lt;=Inputs!$B$7,W370&gt;0),1,0))</f>
        <v>0</v>
      </c>
      <c r="AP370" s="30" t="n">
        <f aca="false">IF(W370="",0,IF(AO370=1,-SIGN(W370),AN370))</f>
        <v>0</v>
      </c>
      <c r="AQ370" s="30" t="n">
        <f aca="false">IF(W370="",0,IF(AO370=1,0,IF(AM370=1,0,AL370)))</f>
        <v>0</v>
      </c>
      <c r="AR370" s="30" t="n">
        <f aca="false">IF(AP370=0,0,IF(AP369=AP370,AR369,T370))</f>
        <v>0</v>
      </c>
      <c r="AS370" s="30" t="n">
        <f aca="false">AP370-AP369</f>
        <v>0</v>
      </c>
      <c r="AT370" s="30" t="n">
        <f aca="false">-AR370*AP370</f>
        <v>-0</v>
      </c>
      <c r="AU370" s="30" t="n">
        <f aca="false">AT370-AT369</f>
        <v>0</v>
      </c>
      <c r="AV370" s="30" t="n">
        <f aca="false">MAX(AS370,0)*(Inputs!$B$17+Inputs!$B$18+Inputs!$B$19)+MAX(-AS370,0)*(O370+Inputs!$B$18+Inputs!$B$19)+IF(AND(K370=1,AP370&lt;&gt;0),(Inputs!$B$17+Inputs!$B$18+Inputs!$B$19)+(O370+Inputs!$B$18+Inputs!$B$19),0)+MAX(AU370,0)*(Inputs!$B$20+Inputs!$B$22+Inputs!$B$23)+MAX(-AU370,0)*(Inputs!$B$21+Inputs!$B$22+Inputs!$B$23)</f>
        <v>0</v>
      </c>
      <c r="AW370" s="30" t="n">
        <f aca="false">AP369*(M370-AR369*J370)+AP369*AR369*N370/Inputs!$B$16-AV370</f>
        <v>0</v>
      </c>
      <c r="AX370" s="30" t="n">
        <f aca="false">AW370-IF(AP369&lt;&gt;0,0.75*AR369*(Inputs!$B$13-N370)/Inputs!$B$16,0)</f>
        <v>0</v>
      </c>
      <c r="AY370" s="30" t="n">
        <f aca="false">MAX(AS370,0)*(Inputs!$B$17+Inputs!$B$18+Inputs!$B$19)+MAX(-AS370,0)*(O370+Inputs!$B$18+Inputs!$B$19)+IF(AND(K370=1,AP370&lt;&gt;0),(Inputs!$B$17+Inputs!$B$18+Inputs!$B$19)+(O370+Inputs!$B$18+Inputs!$B$19),0)</f>
        <v>0</v>
      </c>
      <c r="AZ370" s="30" t="n">
        <f aca="false">AP369*M370-AY370</f>
        <v>0</v>
      </c>
      <c r="BA370" s="32" t="n">
        <f aca="false">BA369+AI370</f>
        <v>0.00164515276832129</v>
      </c>
      <c r="BB370" s="30" t="n">
        <f aca="false">MAX(BB369,BA370)</f>
        <v>0.00284866043860449</v>
      </c>
      <c r="BC370" s="32" t="n">
        <f aca="false">BA370-BB370</f>
        <v>-0.0012035076702832</v>
      </c>
      <c r="BD370" s="30" t="n">
        <f aca="false">A371-A370</f>
        <v>3</v>
      </c>
    </row>
    <row r="371" customFormat="false" ht="15" hidden="false" customHeight="false" outlineLevel="0" collapsed="false">
      <c r="A371" s="28" t="n">
        <v>45586</v>
      </c>
      <c r="B371" s="0" t="n">
        <v>24757</v>
      </c>
      <c r="C371" s="0" t="n">
        <v>276.37</v>
      </c>
      <c r="D371" s="29" t="n">
        <f aca="false">LN(B371)</f>
        <v>10.1168635562913</v>
      </c>
      <c r="E371" s="29" t="n">
        <f aca="false">LN(C371)</f>
        <v>5.62174054765259</v>
      </c>
      <c r="F371" s="0" t="n">
        <v>366</v>
      </c>
      <c r="G371" s="0" t="n">
        <v>10</v>
      </c>
      <c r="H371" s="29" t="n">
        <f aca="false">D371-E371</f>
        <v>4.4951230086387</v>
      </c>
      <c r="I371" s="29" t="n">
        <f aca="false">D371-D370</f>
        <v>-0.00824639118711446</v>
      </c>
      <c r="J371" s="29" t="n">
        <f aca="false">E371-E370</f>
        <v>-0.00408038553390444</v>
      </c>
      <c r="K371" s="0" t="n">
        <v>0</v>
      </c>
      <c r="L371" s="0" t="n">
        <v>0</v>
      </c>
      <c r="M371" s="29" t="n">
        <f aca="false">IF(L371=1,J371-Carry!$B$9/Inputs!$B$16,I371)</f>
        <v>-0.00824639118711446</v>
      </c>
      <c r="N371" s="0" t="n">
        <v>0.065</v>
      </c>
      <c r="O371" s="0" t="n">
        <v>0.0002</v>
      </c>
      <c r="P371" s="29" t="n">
        <f aca="false">D371-('2 Hedge ratio'!$B$6+'2 Hedge ratio'!$B$5*E371)</f>
        <v>0.00481652569624735</v>
      </c>
      <c r="Q371" s="29" t="n">
        <f aca="false">D371-('5 Re-specification'!$B$7+'5 Re-specification'!$B$5*E371+'5 Re-specification'!$B$6*F371)</f>
        <v>-0.0025971970369838</v>
      </c>
      <c r="R371" s="30" t="n">
        <f aca="false">MIN(F371,Inputs!$B$9)</f>
        <v>250</v>
      </c>
      <c r="S371" s="29" t="n">
        <f aca="true">IF(AND(F371&gt;=1,R371&gt;=Inputs!$B$10),INDEX(LINEST(OFFSET(D371,-R371,0,R371,1),OFFSET(E371,-R371,0,R371,2)),1,1),"")</f>
        <v>-9.19092320656111E-005</v>
      </c>
      <c r="T371" s="29" t="n">
        <f aca="true">IF(AND(F371&gt;=1,R371&gt;=Inputs!$B$10),INDEX(LINEST(OFFSET(D371,-R371,0,R371,1),OFFSET(E371,-R371,0,R371,2)),1,2),"")</f>
        <v>1.03088825558468</v>
      </c>
      <c r="U371" s="29" t="n">
        <f aca="true">IF(AND(F371&gt;=1,R371&gt;=Inputs!$B$10),INDEX(LINEST(OFFSET(D371,-R371,0,R371,1),OFFSET(E371,-R371,0,R371,2)),1,3),"")</f>
        <v>4.35520951143339</v>
      </c>
      <c r="V371" s="29" t="n">
        <f aca="true">IF(AND(F371&gt;=1,R371&gt;=Inputs!$B$10),SQRT(SUMPRODUCT((OFFSET(D371,-R371,0,R371,1)-U371-T371*OFFSET(E371,-R371,0,R371,1)-S371*OFFSET(F371,-R371,0,R371,1))^2)/(R371-3)),"")</f>
        <v>0.00339691436515576</v>
      </c>
      <c r="W371" s="31" t="n">
        <f aca="false">IF(AND(F371&gt;=1,R371&gt;=Inputs!$B$10),(D371-U371-T371*E371-S371*F371)/V371,"")</f>
        <v>-0.0275198946092403</v>
      </c>
      <c r="X371" s="30" t="n">
        <f aca="false">IF(AB370&lt;&gt;0,AC370+1,0)</f>
        <v>0</v>
      </c>
      <c r="Y371" s="30" t="n">
        <f aca="false">IF(W371="",0,IF(AND(AB370&lt;&gt;0,OR(ABS(W371)&gt;Inputs!$B$7,X371&gt;=Inputs!$B$8,ABS(W371)&lt;Inputs!$B$6)),1,0))</f>
        <v>0</v>
      </c>
      <c r="Z371" s="30" t="n">
        <f aca="false">IF(Y371=1,0,AB370)</f>
        <v>0</v>
      </c>
      <c r="AA371" s="30" t="n">
        <f aca="false">IF(W371="",0,IF(AND(Z371=0,ABS(W371)&gt;Inputs!$B$5,ABS(W371)&lt;=Inputs!$B$7),1,0))</f>
        <v>0</v>
      </c>
      <c r="AB371" s="30" t="n">
        <f aca="false">IF(W371="",0,IF(AA371=1,-SIGN(W371),Z371))</f>
        <v>0</v>
      </c>
      <c r="AC371" s="30" t="n">
        <f aca="false">IF(W371="",0,IF(AA371=1,0,IF(Y371=1,0,X371)))</f>
        <v>0</v>
      </c>
      <c r="AD371" s="30" t="n">
        <f aca="false">IF(AB371=0,0,IF(AB370=AB371,AD370,T371))</f>
        <v>0</v>
      </c>
      <c r="AE371" s="30" t="n">
        <f aca="false">AB371-AB370</f>
        <v>0</v>
      </c>
      <c r="AF371" s="30" t="n">
        <f aca="false">-AD371*AB371</f>
        <v>-0</v>
      </c>
      <c r="AG371" s="30" t="n">
        <f aca="false">AF371-AF370</f>
        <v>0</v>
      </c>
      <c r="AH371" s="30" t="n">
        <f aca="false">MAX(AE371,0)*(Inputs!$B$17+Inputs!$B$18+Inputs!$B$19)+MAX(-AE371,0)*(O371+Inputs!$B$18+Inputs!$B$19)+IF(AND(K371=1,AB371&lt;&gt;0),(Inputs!$B$17+Inputs!$B$18+Inputs!$B$19)+(O371+Inputs!$B$18+Inputs!$B$19),0)+MAX(AG371,0)*(Inputs!$B$20+Inputs!$B$22+Inputs!$B$23)+MAX(-AG371,0)*(Inputs!$B$21+Inputs!$B$22+Inputs!$B$23)</f>
        <v>0</v>
      </c>
      <c r="AI371" s="30" t="n">
        <f aca="false">AB370*(M371-AD370*J371)+AB370*AD370*N371/Inputs!$B$16-AH371</f>
        <v>0</v>
      </c>
      <c r="AJ371" s="30" t="n">
        <f aca="false">MAX(AE371,0)*(Inputs!$B$17+Inputs!$B$24+Inputs!$B$25)+MAX(-AE371,0)*(O371+Inputs!$B$24+Inputs!$B$25)+IF(AND(K371=1,AB371&lt;&gt;0),(Inputs!$B$17+Inputs!$B$24+Inputs!$B$25)+(O371+Inputs!$B$24+Inputs!$B$25),0)+MAX(AG371,0)*(Inputs!$B$20+Inputs!$B$26+Inputs!$B$27)+MAX(-AG371,0)*(Inputs!$B$21+Inputs!$B$26+Inputs!$B$27)</f>
        <v>0</v>
      </c>
      <c r="AK371" s="30" t="n">
        <f aca="false">AB370*(M371-AD370*J371)+AB370*AD370*(N371+Inputs!$B$14)/Inputs!$B$16-AJ371</f>
        <v>0</v>
      </c>
      <c r="AL371" s="30" t="n">
        <f aca="false">IF(AP370&lt;&gt;0,AQ370+1,0)</f>
        <v>0</v>
      </c>
      <c r="AM371" s="30" t="n">
        <f aca="false">IF(W371="",0,IF(AND(AP370&lt;&gt;0,OR(ABS(W371)&gt;Inputs!$B$7,AL371&gt;=Inputs!$B$8,ABS(W371)&lt;Inputs!$B$6)),1,0))</f>
        <v>0</v>
      </c>
      <c r="AN371" s="30" t="n">
        <f aca="false">IF(AM371=1,0,AP370)</f>
        <v>0</v>
      </c>
      <c r="AO371" s="30" t="n">
        <f aca="false">IF(W371="",0,IF(AND(AN371=0,ABS(W371)&gt;Inputs!$B$5,ABS(W371)&lt;=Inputs!$B$7,W371&gt;0),1,0))</f>
        <v>0</v>
      </c>
      <c r="AP371" s="30" t="n">
        <f aca="false">IF(W371="",0,IF(AO371=1,-SIGN(W371),AN371))</f>
        <v>0</v>
      </c>
      <c r="AQ371" s="30" t="n">
        <f aca="false">IF(W371="",0,IF(AO371=1,0,IF(AM371=1,0,AL371)))</f>
        <v>0</v>
      </c>
      <c r="AR371" s="30" t="n">
        <f aca="false">IF(AP371=0,0,IF(AP370=AP371,AR370,T371))</f>
        <v>0</v>
      </c>
      <c r="AS371" s="30" t="n">
        <f aca="false">AP371-AP370</f>
        <v>0</v>
      </c>
      <c r="AT371" s="30" t="n">
        <f aca="false">-AR371*AP371</f>
        <v>-0</v>
      </c>
      <c r="AU371" s="30" t="n">
        <f aca="false">AT371-AT370</f>
        <v>0</v>
      </c>
      <c r="AV371" s="30" t="n">
        <f aca="false">MAX(AS371,0)*(Inputs!$B$17+Inputs!$B$18+Inputs!$B$19)+MAX(-AS371,0)*(O371+Inputs!$B$18+Inputs!$B$19)+IF(AND(K371=1,AP371&lt;&gt;0),(Inputs!$B$17+Inputs!$B$18+Inputs!$B$19)+(O371+Inputs!$B$18+Inputs!$B$19),0)+MAX(AU371,0)*(Inputs!$B$20+Inputs!$B$22+Inputs!$B$23)+MAX(-AU371,0)*(Inputs!$B$21+Inputs!$B$22+Inputs!$B$23)</f>
        <v>0</v>
      </c>
      <c r="AW371" s="30" t="n">
        <f aca="false">AP370*(M371-AR370*J371)+AP370*AR370*N371/Inputs!$B$16-AV371</f>
        <v>0</v>
      </c>
      <c r="AX371" s="30" t="n">
        <f aca="false">AW371-IF(AP370&lt;&gt;0,0.75*AR370*(Inputs!$B$13-N371)/Inputs!$B$16,0)</f>
        <v>0</v>
      </c>
      <c r="AY371" s="30" t="n">
        <f aca="false">MAX(AS371,0)*(Inputs!$B$17+Inputs!$B$18+Inputs!$B$19)+MAX(-AS371,0)*(O371+Inputs!$B$18+Inputs!$B$19)+IF(AND(K371=1,AP371&lt;&gt;0),(Inputs!$B$17+Inputs!$B$18+Inputs!$B$19)+(O371+Inputs!$B$18+Inputs!$B$19),0)</f>
        <v>0</v>
      </c>
      <c r="AZ371" s="30" t="n">
        <f aca="false">AP370*M371-AY371</f>
        <v>-0</v>
      </c>
      <c r="BA371" s="32" t="n">
        <f aca="false">BA370+AI371</f>
        <v>0.00164515276832129</v>
      </c>
      <c r="BB371" s="30" t="n">
        <f aca="false">MAX(BB370,BA371)</f>
        <v>0.00284866043860449</v>
      </c>
      <c r="BC371" s="32" t="n">
        <f aca="false">BA371-BB371</f>
        <v>-0.0012035076702832</v>
      </c>
      <c r="BD371" s="30" t="n">
        <f aca="false">A372-A371</f>
        <v>1</v>
      </c>
    </row>
    <row r="372" customFormat="false" ht="15" hidden="false" customHeight="false" outlineLevel="0" collapsed="false">
      <c r="A372" s="28" t="n">
        <v>45587</v>
      </c>
      <c r="B372" s="0" t="n">
        <v>24527</v>
      </c>
      <c r="C372" s="0" t="n">
        <v>273.85</v>
      </c>
      <c r="D372" s="29" t="n">
        <f aca="false">LN(B372)</f>
        <v>10.1075298305479</v>
      </c>
      <c r="E372" s="29" t="n">
        <f aca="false">LN(C372)</f>
        <v>5.61258051122973</v>
      </c>
      <c r="F372" s="0" t="n">
        <v>367</v>
      </c>
      <c r="G372" s="0" t="n">
        <v>9</v>
      </c>
      <c r="H372" s="29" t="n">
        <f aca="false">D372-E372</f>
        <v>4.49494931931821</v>
      </c>
      <c r="I372" s="29" t="n">
        <f aca="false">D372-D371</f>
        <v>-0.0093337257433479</v>
      </c>
      <c r="J372" s="29" t="n">
        <f aca="false">E372-E371</f>
        <v>-0.00916003642285457</v>
      </c>
      <c r="K372" s="0" t="n">
        <v>0</v>
      </c>
      <c r="L372" s="0" t="n">
        <v>0</v>
      </c>
      <c r="M372" s="29" t="n">
        <f aca="false">IF(L372=1,J372-Carry!$B$9/Inputs!$B$16,I372)</f>
        <v>-0.0093337257433479</v>
      </c>
      <c r="N372" s="0" t="n">
        <v>0.065</v>
      </c>
      <c r="O372" s="0" t="n">
        <v>0.0002</v>
      </c>
      <c r="P372" s="29" t="n">
        <f aca="false">D372-('2 Hedge ratio'!$B$6+'2 Hedge ratio'!$B$5*E372)</f>
        <v>0.0038745544355514</v>
      </c>
      <c r="Q372" s="29" t="n">
        <f aca="false">D372-('5 Re-specification'!$B$7+'5 Re-specification'!$B$5*E372+'5 Re-specification'!$B$6*F372)</f>
        <v>-0.0027537165299556</v>
      </c>
      <c r="R372" s="30" t="n">
        <f aca="false">MIN(F372,Inputs!$B$9)</f>
        <v>250</v>
      </c>
      <c r="S372" s="29" t="n">
        <f aca="true">IF(AND(F372&gt;=1,R372&gt;=Inputs!$B$10),INDEX(LINEST(OFFSET(D372,-R372,0,R372,1),OFFSET(E372,-R372,0,R372,2)),1,1),"")</f>
        <v>-9.24718205108489E-005</v>
      </c>
      <c r="T372" s="29" t="n">
        <f aca="true">IF(AND(F372&gt;=1,R372&gt;=Inputs!$B$10),INDEX(LINEST(OFFSET(D372,-R372,0,R372,1),OFFSET(E372,-R372,0,R372,2)),1,2),"")</f>
        <v>1.03098088352583</v>
      </c>
      <c r="U372" s="29" t="n">
        <f aca="true">IF(AND(F372&gt;=1,R372&gt;=Inputs!$B$10),INDEX(LINEST(OFFSET(D372,-R372,0,R372,1),OFFSET(E372,-R372,0,R372,2)),1,3),"")</f>
        <v>4.35485182439579</v>
      </c>
      <c r="V372" s="29" t="n">
        <f aca="true">IF(AND(F372&gt;=1,R372&gt;=Inputs!$B$10),SQRT(SUMPRODUCT((OFFSET(D372,-R372,0,R372,1)-U372-T372*OFFSET(E372,-R372,0,R372,1)-S372*OFFSET(F372,-R372,0,R372,1))^2)/(R372-3)),"")</f>
        <v>0.00338367166267363</v>
      </c>
      <c r="W372" s="31" t="n">
        <f aca="false">IF(AND(F372&gt;=1,R372&gt;=Inputs!$B$10),(D372-U372-T372*E372-S372*F372)/V372,"")</f>
        <v>0.044906825283812</v>
      </c>
      <c r="X372" s="30" t="n">
        <f aca="false">IF(AB371&lt;&gt;0,AC371+1,0)</f>
        <v>0</v>
      </c>
      <c r="Y372" s="30" t="n">
        <f aca="false">IF(W372="",0,IF(AND(AB371&lt;&gt;0,OR(ABS(W372)&gt;Inputs!$B$7,X372&gt;=Inputs!$B$8,ABS(W372)&lt;Inputs!$B$6)),1,0))</f>
        <v>0</v>
      </c>
      <c r="Z372" s="30" t="n">
        <f aca="false">IF(Y372=1,0,AB371)</f>
        <v>0</v>
      </c>
      <c r="AA372" s="30" t="n">
        <f aca="false">IF(W372="",0,IF(AND(Z372=0,ABS(W372)&gt;Inputs!$B$5,ABS(W372)&lt;=Inputs!$B$7),1,0))</f>
        <v>0</v>
      </c>
      <c r="AB372" s="30" t="n">
        <f aca="false">IF(W372="",0,IF(AA372=1,-SIGN(W372),Z372))</f>
        <v>0</v>
      </c>
      <c r="AC372" s="30" t="n">
        <f aca="false">IF(W372="",0,IF(AA372=1,0,IF(Y372=1,0,X372)))</f>
        <v>0</v>
      </c>
      <c r="AD372" s="30" t="n">
        <f aca="false">IF(AB372=0,0,IF(AB371=AB372,AD371,T372))</f>
        <v>0</v>
      </c>
      <c r="AE372" s="30" t="n">
        <f aca="false">AB372-AB371</f>
        <v>0</v>
      </c>
      <c r="AF372" s="30" t="n">
        <f aca="false">-AD372*AB372</f>
        <v>-0</v>
      </c>
      <c r="AG372" s="30" t="n">
        <f aca="false">AF372-AF371</f>
        <v>0</v>
      </c>
      <c r="AH372" s="30" t="n">
        <f aca="false">MAX(AE372,0)*(Inputs!$B$17+Inputs!$B$18+Inputs!$B$19)+MAX(-AE372,0)*(O372+Inputs!$B$18+Inputs!$B$19)+IF(AND(K372=1,AB372&lt;&gt;0),(Inputs!$B$17+Inputs!$B$18+Inputs!$B$19)+(O372+Inputs!$B$18+Inputs!$B$19),0)+MAX(AG372,0)*(Inputs!$B$20+Inputs!$B$22+Inputs!$B$23)+MAX(-AG372,0)*(Inputs!$B$21+Inputs!$B$22+Inputs!$B$23)</f>
        <v>0</v>
      </c>
      <c r="AI372" s="30" t="n">
        <f aca="false">AB371*(M372-AD371*J372)+AB371*AD371*N372/Inputs!$B$16-AH372</f>
        <v>0</v>
      </c>
      <c r="AJ372" s="30" t="n">
        <f aca="false">MAX(AE372,0)*(Inputs!$B$17+Inputs!$B$24+Inputs!$B$25)+MAX(-AE372,0)*(O372+Inputs!$B$24+Inputs!$B$25)+IF(AND(K372=1,AB372&lt;&gt;0),(Inputs!$B$17+Inputs!$B$24+Inputs!$B$25)+(O372+Inputs!$B$24+Inputs!$B$25),0)+MAX(AG372,0)*(Inputs!$B$20+Inputs!$B$26+Inputs!$B$27)+MAX(-AG372,0)*(Inputs!$B$21+Inputs!$B$26+Inputs!$B$27)</f>
        <v>0</v>
      </c>
      <c r="AK372" s="30" t="n">
        <f aca="false">AB371*(M372-AD371*J372)+AB371*AD371*(N372+Inputs!$B$14)/Inputs!$B$16-AJ372</f>
        <v>0</v>
      </c>
      <c r="AL372" s="30" t="n">
        <f aca="false">IF(AP371&lt;&gt;0,AQ371+1,0)</f>
        <v>0</v>
      </c>
      <c r="AM372" s="30" t="n">
        <f aca="false">IF(W372="",0,IF(AND(AP371&lt;&gt;0,OR(ABS(W372)&gt;Inputs!$B$7,AL372&gt;=Inputs!$B$8,ABS(W372)&lt;Inputs!$B$6)),1,0))</f>
        <v>0</v>
      </c>
      <c r="AN372" s="30" t="n">
        <f aca="false">IF(AM372=1,0,AP371)</f>
        <v>0</v>
      </c>
      <c r="AO372" s="30" t="n">
        <f aca="false">IF(W372="",0,IF(AND(AN372=0,ABS(W372)&gt;Inputs!$B$5,ABS(W372)&lt;=Inputs!$B$7,W372&gt;0),1,0))</f>
        <v>0</v>
      </c>
      <c r="AP372" s="30" t="n">
        <f aca="false">IF(W372="",0,IF(AO372=1,-SIGN(W372),AN372))</f>
        <v>0</v>
      </c>
      <c r="AQ372" s="30" t="n">
        <f aca="false">IF(W372="",0,IF(AO372=1,0,IF(AM372=1,0,AL372)))</f>
        <v>0</v>
      </c>
      <c r="AR372" s="30" t="n">
        <f aca="false">IF(AP372=0,0,IF(AP371=AP372,AR371,T372))</f>
        <v>0</v>
      </c>
      <c r="AS372" s="30" t="n">
        <f aca="false">AP372-AP371</f>
        <v>0</v>
      </c>
      <c r="AT372" s="30" t="n">
        <f aca="false">-AR372*AP372</f>
        <v>-0</v>
      </c>
      <c r="AU372" s="30" t="n">
        <f aca="false">AT372-AT371</f>
        <v>0</v>
      </c>
      <c r="AV372" s="30" t="n">
        <f aca="false">MAX(AS372,0)*(Inputs!$B$17+Inputs!$B$18+Inputs!$B$19)+MAX(-AS372,0)*(O372+Inputs!$B$18+Inputs!$B$19)+IF(AND(K372=1,AP372&lt;&gt;0),(Inputs!$B$17+Inputs!$B$18+Inputs!$B$19)+(O372+Inputs!$B$18+Inputs!$B$19),0)+MAX(AU372,0)*(Inputs!$B$20+Inputs!$B$22+Inputs!$B$23)+MAX(-AU372,0)*(Inputs!$B$21+Inputs!$B$22+Inputs!$B$23)</f>
        <v>0</v>
      </c>
      <c r="AW372" s="30" t="n">
        <f aca="false">AP371*(M372-AR371*J372)+AP371*AR371*N372/Inputs!$B$16-AV372</f>
        <v>0</v>
      </c>
      <c r="AX372" s="30" t="n">
        <f aca="false">AW372-IF(AP371&lt;&gt;0,0.75*AR371*(Inputs!$B$13-N372)/Inputs!$B$16,0)</f>
        <v>0</v>
      </c>
      <c r="AY372" s="30" t="n">
        <f aca="false">MAX(AS372,0)*(Inputs!$B$17+Inputs!$B$18+Inputs!$B$19)+MAX(-AS372,0)*(O372+Inputs!$B$18+Inputs!$B$19)+IF(AND(K372=1,AP372&lt;&gt;0),(Inputs!$B$17+Inputs!$B$18+Inputs!$B$19)+(O372+Inputs!$B$18+Inputs!$B$19),0)</f>
        <v>0</v>
      </c>
      <c r="AZ372" s="30" t="n">
        <f aca="false">AP371*M372-AY372</f>
        <v>-0</v>
      </c>
      <c r="BA372" s="32" t="n">
        <f aca="false">BA371+AI372</f>
        <v>0.00164515276832129</v>
      </c>
      <c r="BB372" s="30" t="n">
        <f aca="false">MAX(BB371,BA372)</f>
        <v>0.00284866043860449</v>
      </c>
      <c r="BC372" s="32" t="n">
        <f aca="false">BA372-BB372</f>
        <v>-0.0012035076702832</v>
      </c>
      <c r="BD372" s="30" t="n">
        <f aca="false">A373-A372</f>
        <v>1</v>
      </c>
    </row>
    <row r="373" customFormat="false" ht="15" hidden="false" customHeight="false" outlineLevel="0" collapsed="false">
      <c r="A373" s="28" t="n">
        <v>45588</v>
      </c>
      <c r="B373" s="0" t="n">
        <v>24480</v>
      </c>
      <c r="C373" s="0" t="n">
        <v>273.22</v>
      </c>
      <c r="D373" s="29" t="n">
        <f aca="false">LN(B373)</f>
        <v>10.1056117366263</v>
      </c>
      <c r="E373" s="29" t="n">
        <f aca="false">LN(C373)</f>
        <v>5.61027733145934</v>
      </c>
      <c r="F373" s="0" t="n">
        <v>368</v>
      </c>
      <c r="G373" s="0" t="n">
        <v>8</v>
      </c>
      <c r="H373" s="29" t="n">
        <f aca="false">D373-E373</f>
        <v>4.49533440516692</v>
      </c>
      <c r="I373" s="29" t="n">
        <f aca="false">D373-D372</f>
        <v>-0.00191809392167563</v>
      </c>
      <c r="J373" s="29" t="n">
        <f aca="false">E373-E372</f>
        <v>-0.00230317977038919</v>
      </c>
      <c r="K373" s="0" t="n">
        <v>0</v>
      </c>
      <c r="L373" s="0" t="n">
        <v>0</v>
      </c>
      <c r="M373" s="29" t="n">
        <f aca="false">IF(L373=1,J373-Carry!$B$9/Inputs!$B$16,I373)</f>
        <v>-0.00191809392167563</v>
      </c>
      <c r="N373" s="0" t="n">
        <v>0.065</v>
      </c>
      <c r="O373" s="0" t="n">
        <v>0.0002</v>
      </c>
      <c r="P373" s="29" t="n">
        <f aca="false">D373-('2 Hedge ratio'!$B$6+'2 Hedge ratio'!$B$5*E373)</f>
        <v>0.004066465132885</v>
      </c>
      <c r="Q373" s="29" t="n">
        <f aca="false">D373-('5 Re-specification'!$B$7+'5 Re-specification'!$B$5*E373+'5 Re-specification'!$B$6*F373)</f>
        <v>-0.00233068114948942</v>
      </c>
      <c r="R373" s="30" t="n">
        <f aca="false">MIN(F373,Inputs!$B$9)</f>
        <v>250</v>
      </c>
      <c r="S373" s="29" t="n">
        <f aca="true">IF(AND(F373&gt;=1,R373&gt;=Inputs!$B$10),INDEX(LINEST(OFFSET(D373,-R373,0,R373,1),OFFSET(E373,-R373,0,R373,2)),1,1),"")</f>
        <v>-9.25038305658663E-005</v>
      </c>
      <c r="T373" s="29" t="n">
        <f aca="true">IF(AND(F373&gt;=1,R373&gt;=Inputs!$B$10),INDEX(LINEST(OFFSET(D373,-R373,0,R373,1),OFFSET(E373,-R373,0,R373,2)),1,2),"")</f>
        <v>1.03063807781133</v>
      </c>
      <c r="U373" s="29" t="n">
        <f aca="true">IF(AND(F373&gt;=1,R373&gt;=Inputs!$B$10),INDEX(LINEST(OFFSET(D373,-R373,0,R373,1),OFFSET(E373,-R373,0,R373,2)),1,3),"")</f>
        <v>4.35677259349157</v>
      </c>
      <c r="V373" s="29" t="n">
        <f aca="true">IF(AND(F373&gt;=1,R373&gt;=Inputs!$B$10),SQRT(SUMPRODUCT((OFFSET(D373,-R373,0,R373,1)-U373-T373*OFFSET(E373,-R373,0,R373,1)-S373*OFFSET(F373,-R373,0,R373,1))^2)/(R373-3)),"")</f>
        <v>0.00337173340793729</v>
      </c>
      <c r="W373" s="31" t="n">
        <f aca="false">IF(AND(F373&gt;=1,R373&gt;=Inputs!$B$10),(D373-U373-T373*E373-S373*F373)/V373,"")</f>
        <v>0.212089098598128</v>
      </c>
      <c r="X373" s="30" t="n">
        <f aca="false">IF(AB372&lt;&gt;0,AC372+1,0)</f>
        <v>0</v>
      </c>
      <c r="Y373" s="30" t="n">
        <f aca="false">IF(W373="",0,IF(AND(AB372&lt;&gt;0,OR(ABS(W373)&gt;Inputs!$B$7,X373&gt;=Inputs!$B$8,ABS(W373)&lt;Inputs!$B$6)),1,0))</f>
        <v>0</v>
      </c>
      <c r="Z373" s="30" t="n">
        <f aca="false">IF(Y373=1,0,AB372)</f>
        <v>0</v>
      </c>
      <c r="AA373" s="30" t="n">
        <f aca="false">IF(W373="",0,IF(AND(Z373=0,ABS(W373)&gt;Inputs!$B$5,ABS(W373)&lt;=Inputs!$B$7),1,0))</f>
        <v>0</v>
      </c>
      <c r="AB373" s="30" t="n">
        <f aca="false">IF(W373="",0,IF(AA373=1,-SIGN(W373),Z373))</f>
        <v>0</v>
      </c>
      <c r="AC373" s="30" t="n">
        <f aca="false">IF(W373="",0,IF(AA373=1,0,IF(Y373=1,0,X373)))</f>
        <v>0</v>
      </c>
      <c r="AD373" s="30" t="n">
        <f aca="false">IF(AB373=0,0,IF(AB372=AB373,AD372,T373))</f>
        <v>0</v>
      </c>
      <c r="AE373" s="30" t="n">
        <f aca="false">AB373-AB372</f>
        <v>0</v>
      </c>
      <c r="AF373" s="30" t="n">
        <f aca="false">-AD373*AB373</f>
        <v>-0</v>
      </c>
      <c r="AG373" s="30" t="n">
        <f aca="false">AF373-AF372</f>
        <v>0</v>
      </c>
      <c r="AH373" s="30" t="n">
        <f aca="false">MAX(AE373,0)*(Inputs!$B$17+Inputs!$B$18+Inputs!$B$19)+MAX(-AE373,0)*(O373+Inputs!$B$18+Inputs!$B$19)+IF(AND(K373=1,AB373&lt;&gt;0),(Inputs!$B$17+Inputs!$B$18+Inputs!$B$19)+(O373+Inputs!$B$18+Inputs!$B$19),0)+MAX(AG373,0)*(Inputs!$B$20+Inputs!$B$22+Inputs!$B$23)+MAX(-AG373,0)*(Inputs!$B$21+Inputs!$B$22+Inputs!$B$23)</f>
        <v>0</v>
      </c>
      <c r="AI373" s="30" t="n">
        <f aca="false">AB372*(M373-AD372*J373)+AB372*AD372*N373/Inputs!$B$16-AH373</f>
        <v>0</v>
      </c>
      <c r="AJ373" s="30" t="n">
        <f aca="false">MAX(AE373,0)*(Inputs!$B$17+Inputs!$B$24+Inputs!$B$25)+MAX(-AE373,0)*(O373+Inputs!$B$24+Inputs!$B$25)+IF(AND(K373=1,AB373&lt;&gt;0),(Inputs!$B$17+Inputs!$B$24+Inputs!$B$25)+(O373+Inputs!$B$24+Inputs!$B$25),0)+MAX(AG373,0)*(Inputs!$B$20+Inputs!$B$26+Inputs!$B$27)+MAX(-AG373,0)*(Inputs!$B$21+Inputs!$B$26+Inputs!$B$27)</f>
        <v>0</v>
      </c>
      <c r="AK373" s="30" t="n">
        <f aca="false">AB372*(M373-AD372*J373)+AB372*AD372*(N373+Inputs!$B$14)/Inputs!$B$16-AJ373</f>
        <v>0</v>
      </c>
      <c r="AL373" s="30" t="n">
        <f aca="false">IF(AP372&lt;&gt;0,AQ372+1,0)</f>
        <v>0</v>
      </c>
      <c r="AM373" s="30" t="n">
        <f aca="false">IF(W373="",0,IF(AND(AP372&lt;&gt;0,OR(ABS(W373)&gt;Inputs!$B$7,AL373&gt;=Inputs!$B$8,ABS(W373)&lt;Inputs!$B$6)),1,0))</f>
        <v>0</v>
      </c>
      <c r="AN373" s="30" t="n">
        <f aca="false">IF(AM373=1,0,AP372)</f>
        <v>0</v>
      </c>
      <c r="AO373" s="30" t="n">
        <f aca="false">IF(W373="",0,IF(AND(AN373=0,ABS(W373)&gt;Inputs!$B$5,ABS(W373)&lt;=Inputs!$B$7,W373&gt;0),1,0))</f>
        <v>0</v>
      </c>
      <c r="AP373" s="30" t="n">
        <f aca="false">IF(W373="",0,IF(AO373=1,-SIGN(W373),AN373))</f>
        <v>0</v>
      </c>
      <c r="AQ373" s="30" t="n">
        <f aca="false">IF(W373="",0,IF(AO373=1,0,IF(AM373=1,0,AL373)))</f>
        <v>0</v>
      </c>
      <c r="AR373" s="30" t="n">
        <f aca="false">IF(AP373=0,0,IF(AP372=AP373,AR372,T373))</f>
        <v>0</v>
      </c>
      <c r="AS373" s="30" t="n">
        <f aca="false">AP373-AP372</f>
        <v>0</v>
      </c>
      <c r="AT373" s="30" t="n">
        <f aca="false">-AR373*AP373</f>
        <v>-0</v>
      </c>
      <c r="AU373" s="30" t="n">
        <f aca="false">AT373-AT372</f>
        <v>0</v>
      </c>
      <c r="AV373" s="30" t="n">
        <f aca="false">MAX(AS373,0)*(Inputs!$B$17+Inputs!$B$18+Inputs!$B$19)+MAX(-AS373,0)*(O373+Inputs!$B$18+Inputs!$B$19)+IF(AND(K373=1,AP373&lt;&gt;0),(Inputs!$B$17+Inputs!$B$18+Inputs!$B$19)+(O373+Inputs!$B$18+Inputs!$B$19),0)+MAX(AU373,0)*(Inputs!$B$20+Inputs!$B$22+Inputs!$B$23)+MAX(-AU373,0)*(Inputs!$B$21+Inputs!$B$22+Inputs!$B$23)</f>
        <v>0</v>
      </c>
      <c r="AW373" s="30" t="n">
        <f aca="false">AP372*(M373-AR372*J373)+AP372*AR372*N373/Inputs!$B$16-AV373</f>
        <v>0</v>
      </c>
      <c r="AX373" s="30" t="n">
        <f aca="false">AW373-IF(AP372&lt;&gt;0,0.75*AR372*(Inputs!$B$13-N373)/Inputs!$B$16,0)</f>
        <v>0</v>
      </c>
      <c r="AY373" s="30" t="n">
        <f aca="false">MAX(AS373,0)*(Inputs!$B$17+Inputs!$B$18+Inputs!$B$19)+MAX(-AS373,0)*(O373+Inputs!$B$18+Inputs!$B$19)+IF(AND(K373=1,AP373&lt;&gt;0),(Inputs!$B$17+Inputs!$B$18+Inputs!$B$19)+(O373+Inputs!$B$18+Inputs!$B$19),0)</f>
        <v>0</v>
      </c>
      <c r="AZ373" s="30" t="n">
        <f aca="false">AP372*M373-AY373</f>
        <v>-0</v>
      </c>
      <c r="BA373" s="32" t="n">
        <f aca="false">BA372+AI373</f>
        <v>0.00164515276832129</v>
      </c>
      <c r="BB373" s="30" t="n">
        <f aca="false">MAX(BB372,BA373)</f>
        <v>0.00284866043860449</v>
      </c>
      <c r="BC373" s="32" t="n">
        <f aca="false">BA373-BB373</f>
        <v>-0.0012035076702832</v>
      </c>
      <c r="BD373" s="30" t="n">
        <f aca="false">A374-A373</f>
        <v>1</v>
      </c>
    </row>
    <row r="374" customFormat="false" ht="15" hidden="false" customHeight="false" outlineLevel="0" collapsed="false">
      <c r="A374" s="28" t="n">
        <v>45589</v>
      </c>
      <c r="B374" s="0" t="n">
        <v>24474</v>
      </c>
      <c r="C374" s="0" t="n">
        <v>272</v>
      </c>
      <c r="D374" s="29" t="n">
        <f aca="false">LN(B374)</f>
        <v>10.1053666085456</v>
      </c>
      <c r="E374" s="29" t="n">
        <f aca="false">LN(C374)</f>
        <v>5.605802066296</v>
      </c>
      <c r="F374" s="0" t="n">
        <v>369</v>
      </c>
      <c r="G374" s="0" t="n">
        <v>7</v>
      </c>
      <c r="H374" s="29" t="n">
        <f aca="false">D374-E374</f>
        <v>4.49956454224962</v>
      </c>
      <c r="I374" s="29" t="n">
        <f aca="false">D374-D373</f>
        <v>-0.000245128080647916</v>
      </c>
      <c r="J374" s="29" t="n">
        <f aca="false">E374-E373</f>
        <v>-0.00447526516334307</v>
      </c>
      <c r="K374" s="0" t="n">
        <v>0</v>
      </c>
      <c r="L374" s="0" t="n">
        <v>0</v>
      </c>
      <c r="M374" s="29" t="n">
        <f aca="false">IF(L374=1,J374-Carry!$B$9/Inputs!$B$16,I374)</f>
        <v>-0.000245128080647916</v>
      </c>
      <c r="N374" s="0" t="n">
        <v>0.065</v>
      </c>
      <c r="O374" s="0" t="n">
        <v>0.0002</v>
      </c>
      <c r="P374" s="29" t="n">
        <f aca="false">D374-('2 Hedge ratio'!$B$6+'2 Hedge ratio'!$B$5*E374)</f>
        <v>0.00792124722310028</v>
      </c>
      <c r="Q374" s="29" t="n">
        <f aca="false">D374-('5 Re-specification'!$B$7+'5 Re-specification'!$B$5*E374+'5 Re-specification'!$B$6*F374)</f>
        <v>0.00193082296013003</v>
      </c>
      <c r="R374" s="30" t="n">
        <f aca="false">MIN(F374,Inputs!$B$9)</f>
        <v>250</v>
      </c>
      <c r="S374" s="29" t="n">
        <f aca="true">IF(AND(F374&gt;=1,R374&gt;=Inputs!$B$10),INDEX(LINEST(OFFSET(D374,-R374,0,R374,1),OFFSET(E374,-R374,0,R374,2)),1,1),"")</f>
        <v>-9.20537902516808E-005</v>
      </c>
      <c r="T374" s="29" t="n">
        <f aca="true">IF(AND(F374&gt;=1,R374&gt;=Inputs!$B$10),INDEX(LINEST(OFFSET(D374,-R374,0,R374,1),OFFSET(E374,-R374,0,R374,2)),1,2),"")</f>
        <v>1.02989253874853</v>
      </c>
      <c r="U374" s="29" t="n">
        <f aca="true">IF(AND(F374&gt;=1,R374&gt;=Inputs!$B$10),INDEX(LINEST(OFFSET(D374,-R374,0,R374,1),OFFSET(E374,-R374,0,R374,2)),1,3),"")</f>
        <v>4.3608054385559</v>
      </c>
      <c r="V374" s="29" t="n">
        <f aca="true">IF(AND(F374&gt;=1,R374&gt;=Inputs!$B$10),SQRT(SUMPRODUCT((OFFSET(D374,-R374,0,R374,1)-U374-T374*OFFSET(E374,-R374,0,R374,1)-S374*OFFSET(F374,-R374,0,R374,1))^2)/(R374-3)),"")</f>
        <v>0.00335923473891362</v>
      </c>
      <c r="W374" s="31" t="n">
        <f aca="false">IF(AND(F374&gt;=1,R374&gt;=Inputs!$B$10),(D374-U374-T374*E374-S374*F374)/V374,"")</f>
        <v>1.53466405712432</v>
      </c>
      <c r="X374" s="30" t="n">
        <f aca="false">IF(AB373&lt;&gt;0,AC373+1,0)</f>
        <v>0</v>
      </c>
      <c r="Y374" s="30" t="n">
        <f aca="false">IF(W374="",0,IF(AND(AB373&lt;&gt;0,OR(ABS(W374)&gt;Inputs!$B$7,X374&gt;=Inputs!$B$8,ABS(W374)&lt;Inputs!$B$6)),1,0))</f>
        <v>0</v>
      </c>
      <c r="Z374" s="30" t="n">
        <f aca="false">IF(Y374=1,0,AB373)</f>
        <v>0</v>
      </c>
      <c r="AA374" s="30" t="n">
        <f aca="false">IF(W374="",0,IF(AND(Z374=0,ABS(W374)&gt;Inputs!$B$5,ABS(W374)&lt;=Inputs!$B$7),1,0))</f>
        <v>0</v>
      </c>
      <c r="AB374" s="30" t="n">
        <f aca="false">IF(W374="",0,IF(AA374=1,-SIGN(W374),Z374))</f>
        <v>0</v>
      </c>
      <c r="AC374" s="30" t="n">
        <f aca="false">IF(W374="",0,IF(AA374=1,0,IF(Y374=1,0,X374)))</f>
        <v>0</v>
      </c>
      <c r="AD374" s="30" t="n">
        <f aca="false">IF(AB374=0,0,IF(AB373=AB374,AD373,T374))</f>
        <v>0</v>
      </c>
      <c r="AE374" s="30" t="n">
        <f aca="false">AB374-AB373</f>
        <v>0</v>
      </c>
      <c r="AF374" s="30" t="n">
        <f aca="false">-AD374*AB374</f>
        <v>-0</v>
      </c>
      <c r="AG374" s="30" t="n">
        <f aca="false">AF374-AF373</f>
        <v>0</v>
      </c>
      <c r="AH374" s="30" t="n">
        <f aca="false">MAX(AE374,0)*(Inputs!$B$17+Inputs!$B$18+Inputs!$B$19)+MAX(-AE374,0)*(O374+Inputs!$B$18+Inputs!$B$19)+IF(AND(K374=1,AB374&lt;&gt;0),(Inputs!$B$17+Inputs!$B$18+Inputs!$B$19)+(O374+Inputs!$B$18+Inputs!$B$19),0)+MAX(AG374,0)*(Inputs!$B$20+Inputs!$B$22+Inputs!$B$23)+MAX(-AG374,0)*(Inputs!$B$21+Inputs!$B$22+Inputs!$B$23)</f>
        <v>0</v>
      </c>
      <c r="AI374" s="30" t="n">
        <f aca="false">AB373*(M374-AD373*J374)+AB373*AD373*N374/Inputs!$B$16-AH374</f>
        <v>0</v>
      </c>
      <c r="AJ374" s="30" t="n">
        <f aca="false">MAX(AE374,0)*(Inputs!$B$17+Inputs!$B$24+Inputs!$B$25)+MAX(-AE374,0)*(O374+Inputs!$B$24+Inputs!$B$25)+IF(AND(K374=1,AB374&lt;&gt;0),(Inputs!$B$17+Inputs!$B$24+Inputs!$B$25)+(O374+Inputs!$B$24+Inputs!$B$25),0)+MAX(AG374,0)*(Inputs!$B$20+Inputs!$B$26+Inputs!$B$27)+MAX(-AG374,0)*(Inputs!$B$21+Inputs!$B$26+Inputs!$B$27)</f>
        <v>0</v>
      </c>
      <c r="AK374" s="30" t="n">
        <f aca="false">AB373*(M374-AD373*J374)+AB373*AD373*(N374+Inputs!$B$14)/Inputs!$B$16-AJ374</f>
        <v>0</v>
      </c>
      <c r="AL374" s="30" t="n">
        <f aca="false">IF(AP373&lt;&gt;0,AQ373+1,0)</f>
        <v>0</v>
      </c>
      <c r="AM374" s="30" t="n">
        <f aca="false">IF(W374="",0,IF(AND(AP373&lt;&gt;0,OR(ABS(W374)&gt;Inputs!$B$7,AL374&gt;=Inputs!$B$8,ABS(W374)&lt;Inputs!$B$6)),1,0))</f>
        <v>0</v>
      </c>
      <c r="AN374" s="30" t="n">
        <f aca="false">IF(AM374=1,0,AP373)</f>
        <v>0</v>
      </c>
      <c r="AO374" s="30" t="n">
        <f aca="false">IF(W374="",0,IF(AND(AN374=0,ABS(W374)&gt;Inputs!$B$5,ABS(W374)&lt;=Inputs!$B$7,W374&gt;0),1,0))</f>
        <v>0</v>
      </c>
      <c r="AP374" s="30" t="n">
        <f aca="false">IF(W374="",0,IF(AO374=1,-SIGN(W374),AN374))</f>
        <v>0</v>
      </c>
      <c r="AQ374" s="30" t="n">
        <f aca="false">IF(W374="",0,IF(AO374=1,0,IF(AM374=1,0,AL374)))</f>
        <v>0</v>
      </c>
      <c r="AR374" s="30" t="n">
        <f aca="false">IF(AP374=0,0,IF(AP373=AP374,AR373,T374))</f>
        <v>0</v>
      </c>
      <c r="AS374" s="30" t="n">
        <f aca="false">AP374-AP373</f>
        <v>0</v>
      </c>
      <c r="AT374" s="30" t="n">
        <f aca="false">-AR374*AP374</f>
        <v>-0</v>
      </c>
      <c r="AU374" s="30" t="n">
        <f aca="false">AT374-AT373</f>
        <v>0</v>
      </c>
      <c r="AV374" s="30" t="n">
        <f aca="false">MAX(AS374,0)*(Inputs!$B$17+Inputs!$B$18+Inputs!$B$19)+MAX(-AS374,0)*(O374+Inputs!$B$18+Inputs!$B$19)+IF(AND(K374=1,AP374&lt;&gt;0),(Inputs!$B$17+Inputs!$B$18+Inputs!$B$19)+(O374+Inputs!$B$18+Inputs!$B$19),0)+MAX(AU374,0)*(Inputs!$B$20+Inputs!$B$22+Inputs!$B$23)+MAX(-AU374,0)*(Inputs!$B$21+Inputs!$B$22+Inputs!$B$23)</f>
        <v>0</v>
      </c>
      <c r="AW374" s="30" t="n">
        <f aca="false">AP373*(M374-AR373*J374)+AP373*AR373*N374/Inputs!$B$16-AV374</f>
        <v>0</v>
      </c>
      <c r="AX374" s="30" t="n">
        <f aca="false">AW374-IF(AP373&lt;&gt;0,0.75*AR373*(Inputs!$B$13-N374)/Inputs!$B$16,0)</f>
        <v>0</v>
      </c>
      <c r="AY374" s="30" t="n">
        <f aca="false">MAX(AS374,0)*(Inputs!$B$17+Inputs!$B$18+Inputs!$B$19)+MAX(-AS374,0)*(O374+Inputs!$B$18+Inputs!$B$19)+IF(AND(K374=1,AP374&lt;&gt;0),(Inputs!$B$17+Inputs!$B$18+Inputs!$B$19)+(O374+Inputs!$B$18+Inputs!$B$19),0)</f>
        <v>0</v>
      </c>
      <c r="AZ374" s="30" t="n">
        <f aca="false">AP373*M374-AY374</f>
        <v>-0</v>
      </c>
      <c r="BA374" s="32" t="n">
        <f aca="false">BA373+AI374</f>
        <v>0.00164515276832129</v>
      </c>
      <c r="BB374" s="30" t="n">
        <f aca="false">MAX(BB373,BA374)</f>
        <v>0.00284866043860449</v>
      </c>
      <c r="BC374" s="32" t="n">
        <f aca="false">BA374-BB374</f>
        <v>-0.0012035076702832</v>
      </c>
      <c r="BD374" s="30" t="n">
        <f aca="false">A375-A374</f>
        <v>1</v>
      </c>
    </row>
    <row r="375" customFormat="false" ht="15" hidden="false" customHeight="false" outlineLevel="0" collapsed="false">
      <c r="A375" s="28" t="n">
        <v>45590</v>
      </c>
      <c r="B375" s="0" t="n">
        <v>24213.1</v>
      </c>
      <c r="C375" s="0" t="n">
        <v>270.74</v>
      </c>
      <c r="D375" s="29" t="n">
        <f aca="false">LN(B375)</f>
        <v>10.0946490879968</v>
      </c>
      <c r="E375" s="29" t="n">
        <f aca="false">LN(C375)</f>
        <v>5.60115895075764</v>
      </c>
      <c r="F375" s="0" t="n">
        <v>370</v>
      </c>
      <c r="G375" s="0" t="n">
        <v>6</v>
      </c>
      <c r="H375" s="29" t="n">
        <f aca="false">D375-E375</f>
        <v>4.49349013723912</v>
      </c>
      <c r="I375" s="29" t="n">
        <f aca="false">D375-D374</f>
        <v>-0.010717520548857</v>
      </c>
      <c r="J375" s="29" t="n">
        <f aca="false">E375-E374</f>
        <v>-0.00464311553835728</v>
      </c>
      <c r="K375" s="0" t="n">
        <v>0</v>
      </c>
      <c r="L375" s="0" t="n">
        <v>0</v>
      </c>
      <c r="M375" s="29" t="n">
        <f aca="false">IF(L375=1,J375-Carry!$B$9/Inputs!$B$16,I375)</f>
        <v>-0.010717520548857</v>
      </c>
      <c r="N375" s="0" t="n">
        <v>0.065</v>
      </c>
      <c r="O375" s="0" t="n">
        <v>0.0002</v>
      </c>
      <c r="P375" s="29" t="n">
        <f aca="false">D375-('2 Hedge ratio'!$B$6+'2 Hedge ratio'!$B$5*E375)</f>
        <v>0.00145740906520686</v>
      </c>
      <c r="Q375" s="29" t="n">
        <f aca="false">D375-('5 Re-specification'!$B$7+'5 Re-specification'!$B$5*E375+'5 Re-specification'!$B$6*F375)</f>
        <v>-0.00411272369400884</v>
      </c>
      <c r="R375" s="30" t="n">
        <f aca="false">MIN(F375,Inputs!$B$9)</f>
        <v>250</v>
      </c>
      <c r="S375" s="29" t="n">
        <f aca="true">IF(AND(F375&gt;=1,R375&gt;=Inputs!$B$10),INDEX(LINEST(OFFSET(D375,-R375,0,R375,1),OFFSET(E375,-R375,0,R375,2)),1,1),"")</f>
        <v>-8.8575454228506E-005</v>
      </c>
      <c r="T375" s="29" t="n">
        <f aca="true">IF(AND(F375&gt;=1,R375&gt;=Inputs!$B$10),INDEX(LINEST(OFFSET(D375,-R375,0,R375,1),OFFSET(E375,-R375,0,R375,2)),1,2),"")</f>
        <v>1.02659797748604</v>
      </c>
      <c r="U375" s="29" t="n">
        <f aca="true">IF(AND(F375&gt;=1,R375&gt;=Inputs!$B$10),INDEX(LINEST(OFFSET(D375,-R375,0,R375,1),OFFSET(E375,-R375,0,R375,2)),1,3),"")</f>
        <v>4.37821664208036</v>
      </c>
      <c r="V375" s="29" t="n">
        <f aca="true">IF(AND(F375&gt;=1,R375&gt;=Inputs!$B$10),SQRT(SUMPRODUCT((OFFSET(D375,-R375,0,R375,1)-U375-T375*OFFSET(E375,-R375,0,R375,1)-S375*OFFSET(F375,-R375,0,R375,1))^2)/(R375-3)),"")</f>
        <v>0.00334866562541839</v>
      </c>
      <c r="W375" s="31" t="n">
        <f aca="false">IF(AND(F375&gt;=1,R375&gt;=Inputs!$B$10),(D375-U375-T375*E375-S375*F375)/V375,"")</f>
        <v>-0.278644256855565</v>
      </c>
      <c r="X375" s="30" t="n">
        <f aca="false">IF(AB374&lt;&gt;0,AC374+1,0)</f>
        <v>0</v>
      </c>
      <c r="Y375" s="30" t="n">
        <f aca="false">IF(W375="",0,IF(AND(AB374&lt;&gt;0,OR(ABS(W375)&gt;Inputs!$B$7,X375&gt;=Inputs!$B$8,ABS(W375)&lt;Inputs!$B$6)),1,0))</f>
        <v>0</v>
      </c>
      <c r="Z375" s="30" t="n">
        <f aca="false">IF(Y375=1,0,AB374)</f>
        <v>0</v>
      </c>
      <c r="AA375" s="30" t="n">
        <f aca="false">IF(W375="",0,IF(AND(Z375=0,ABS(W375)&gt;Inputs!$B$5,ABS(W375)&lt;=Inputs!$B$7),1,0))</f>
        <v>0</v>
      </c>
      <c r="AB375" s="30" t="n">
        <f aca="false">IF(W375="",0,IF(AA375=1,-SIGN(W375),Z375))</f>
        <v>0</v>
      </c>
      <c r="AC375" s="30" t="n">
        <f aca="false">IF(W375="",0,IF(AA375=1,0,IF(Y375=1,0,X375)))</f>
        <v>0</v>
      </c>
      <c r="AD375" s="30" t="n">
        <f aca="false">IF(AB375=0,0,IF(AB374=AB375,AD374,T375))</f>
        <v>0</v>
      </c>
      <c r="AE375" s="30" t="n">
        <f aca="false">AB375-AB374</f>
        <v>0</v>
      </c>
      <c r="AF375" s="30" t="n">
        <f aca="false">-AD375*AB375</f>
        <v>-0</v>
      </c>
      <c r="AG375" s="30" t="n">
        <f aca="false">AF375-AF374</f>
        <v>0</v>
      </c>
      <c r="AH375" s="30" t="n">
        <f aca="false">MAX(AE375,0)*(Inputs!$B$17+Inputs!$B$18+Inputs!$B$19)+MAX(-AE375,0)*(O375+Inputs!$B$18+Inputs!$B$19)+IF(AND(K375=1,AB375&lt;&gt;0),(Inputs!$B$17+Inputs!$B$18+Inputs!$B$19)+(O375+Inputs!$B$18+Inputs!$B$19),0)+MAX(AG375,0)*(Inputs!$B$20+Inputs!$B$22+Inputs!$B$23)+MAX(-AG375,0)*(Inputs!$B$21+Inputs!$B$22+Inputs!$B$23)</f>
        <v>0</v>
      </c>
      <c r="AI375" s="30" t="n">
        <f aca="false">AB374*(M375-AD374*J375)+AB374*AD374*N375/Inputs!$B$16-AH375</f>
        <v>0</v>
      </c>
      <c r="AJ375" s="30" t="n">
        <f aca="false">MAX(AE375,0)*(Inputs!$B$17+Inputs!$B$24+Inputs!$B$25)+MAX(-AE375,0)*(O375+Inputs!$B$24+Inputs!$B$25)+IF(AND(K375=1,AB375&lt;&gt;0),(Inputs!$B$17+Inputs!$B$24+Inputs!$B$25)+(O375+Inputs!$B$24+Inputs!$B$25),0)+MAX(AG375,0)*(Inputs!$B$20+Inputs!$B$26+Inputs!$B$27)+MAX(-AG375,0)*(Inputs!$B$21+Inputs!$B$26+Inputs!$B$27)</f>
        <v>0</v>
      </c>
      <c r="AK375" s="30" t="n">
        <f aca="false">AB374*(M375-AD374*J375)+AB374*AD374*(N375+Inputs!$B$14)/Inputs!$B$16-AJ375</f>
        <v>0</v>
      </c>
      <c r="AL375" s="30" t="n">
        <f aca="false">IF(AP374&lt;&gt;0,AQ374+1,0)</f>
        <v>0</v>
      </c>
      <c r="AM375" s="30" t="n">
        <f aca="false">IF(W375="",0,IF(AND(AP374&lt;&gt;0,OR(ABS(W375)&gt;Inputs!$B$7,AL375&gt;=Inputs!$B$8,ABS(W375)&lt;Inputs!$B$6)),1,0))</f>
        <v>0</v>
      </c>
      <c r="AN375" s="30" t="n">
        <f aca="false">IF(AM375=1,0,AP374)</f>
        <v>0</v>
      </c>
      <c r="AO375" s="30" t="n">
        <f aca="false">IF(W375="",0,IF(AND(AN375=0,ABS(W375)&gt;Inputs!$B$5,ABS(W375)&lt;=Inputs!$B$7,W375&gt;0),1,0))</f>
        <v>0</v>
      </c>
      <c r="AP375" s="30" t="n">
        <f aca="false">IF(W375="",0,IF(AO375=1,-SIGN(W375),AN375))</f>
        <v>0</v>
      </c>
      <c r="AQ375" s="30" t="n">
        <f aca="false">IF(W375="",0,IF(AO375=1,0,IF(AM375=1,0,AL375)))</f>
        <v>0</v>
      </c>
      <c r="AR375" s="30" t="n">
        <f aca="false">IF(AP375=0,0,IF(AP374=AP375,AR374,T375))</f>
        <v>0</v>
      </c>
      <c r="AS375" s="30" t="n">
        <f aca="false">AP375-AP374</f>
        <v>0</v>
      </c>
      <c r="AT375" s="30" t="n">
        <f aca="false">-AR375*AP375</f>
        <v>-0</v>
      </c>
      <c r="AU375" s="30" t="n">
        <f aca="false">AT375-AT374</f>
        <v>0</v>
      </c>
      <c r="AV375" s="30" t="n">
        <f aca="false">MAX(AS375,0)*(Inputs!$B$17+Inputs!$B$18+Inputs!$B$19)+MAX(-AS375,0)*(O375+Inputs!$B$18+Inputs!$B$19)+IF(AND(K375=1,AP375&lt;&gt;0),(Inputs!$B$17+Inputs!$B$18+Inputs!$B$19)+(O375+Inputs!$B$18+Inputs!$B$19),0)+MAX(AU375,0)*(Inputs!$B$20+Inputs!$B$22+Inputs!$B$23)+MAX(-AU375,0)*(Inputs!$B$21+Inputs!$B$22+Inputs!$B$23)</f>
        <v>0</v>
      </c>
      <c r="AW375" s="30" t="n">
        <f aca="false">AP374*(M375-AR374*J375)+AP374*AR374*N375/Inputs!$B$16-AV375</f>
        <v>0</v>
      </c>
      <c r="AX375" s="30" t="n">
        <f aca="false">AW375-IF(AP374&lt;&gt;0,0.75*AR374*(Inputs!$B$13-N375)/Inputs!$B$16,0)</f>
        <v>0</v>
      </c>
      <c r="AY375" s="30" t="n">
        <f aca="false">MAX(AS375,0)*(Inputs!$B$17+Inputs!$B$18+Inputs!$B$19)+MAX(-AS375,0)*(O375+Inputs!$B$18+Inputs!$B$19)+IF(AND(K375=1,AP375&lt;&gt;0),(Inputs!$B$17+Inputs!$B$18+Inputs!$B$19)+(O375+Inputs!$B$18+Inputs!$B$19),0)</f>
        <v>0</v>
      </c>
      <c r="AZ375" s="30" t="n">
        <f aca="false">AP374*M375-AY375</f>
        <v>-0</v>
      </c>
      <c r="BA375" s="32" t="n">
        <f aca="false">BA374+AI375</f>
        <v>0.00164515276832129</v>
      </c>
      <c r="BB375" s="30" t="n">
        <f aca="false">MAX(BB374,BA375)</f>
        <v>0.00284866043860449</v>
      </c>
      <c r="BC375" s="32" t="n">
        <f aca="false">BA375-BB375</f>
        <v>-0.0012035076702832</v>
      </c>
      <c r="BD375" s="30" t="n">
        <f aca="false">A376-A375</f>
        <v>3</v>
      </c>
    </row>
    <row r="376" customFormat="false" ht="15" hidden="false" customHeight="false" outlineLevel="0" collapsed="false">
      <c r="A376" s="28" t="n">
        <v>45593</v>
      </c>
      <c r="B376" s="0" t="n">
        <v>24362</v>
      </c>
      <c r="C376" s="0" t="n">
        <v>272.09</v>
      </c>
      <c r="D376" s="29" t="n">
        <f aca="false">LN(B376)</f>
        <v>10.1007798202599</v>
      </c>
      <c r="E376" s="29" t="n">
        <f aca="false">LN(C376)</f>
        <v>5.60613289391945</v>
      </c>
      <c r="F376" s="0" t="n">
        <v>371</v>
      </c>
      <c r="G376" s="0" t="n">
        <v>3</v>
      </c>
      <c r="H376" s="29" t="n">
        <f aca="false">D376-E376</f>
        <v>4.49464692634046</v>
      </c>
      <c r="I376" s="29" t="n">
        <f aca="false">D376-D375</f>
        <v>0.00613073226314675</v>
      </c>
      <c r="J376" s="29" t="n">
        <f aca="false">E376-E375</f>
        <v>0.00497394316180433</v>
      </c>
      <c r="K376" s="0" t="n">
        <v>0</v>
      </c>
      <c r="L376" s="0" t="n">
        <v>0</v>
      </c>
      <c r="M376" s="29" t="n">
        <f aca="false">IF(L376=1,J376-Carry!$B$9/Inputs!$B$16,I376)</f>
        <v>0.00613073226314675</v>
      </c>
      <c r="N376" s="0" t="n">
        <v>0.065</v>
      </c>
      <c r="O376" s="0" t="n">
        <v>0.0002</v>
      </c>
      <c r="P376" s="29" t="n">
        <f aca="false">D376-('2 Hedge ratio'!$B$6+'2 Hedge ratio'!$B$5*E376)</f>
        <v>0.00303137889885186</v>
      </c>
      <c r="Q376" s="29" t="n">
        <f aca="false">D376-('5 Re-specification'!$B$7+'5 Re-specification'!$B$5*E376+'5 Re-specification'!$B$6*F376)</f>
        <v>-0.0028959317397117</v>
      </c>
      <c r="R376" s="30" t="n">
        <f aca="false">MIN(F376,Inputs!$B$9)</f>
        <v>250</v>
      </c>
      <c r="S376" s="29" t="n">
        <f aca="true">IF(AND(F376&gt;=1,R376&gt;=Inputs!$B$10),INDEX(LINEST(OFFSET(D376,-R376,0,R376,1),OFFSET(E376,-R376,0,R376,2)),1,1),"")</f>
        <v>-8.77909882189881E-005</v>
      </c>
      <c r="T376" s="29" t="n">
        <f aca="true">IF(AND(F376&gt;=1,R376&gt;=Inputs!$B$10),INDEX(LINEST(OFFSET(D376,-R376,0,R376,1),OFFSET(E376,-R376,0,R376,2)),1,2),"")</f>
        <v>1.02491938533084</v>
      </c>
      <c r="U376" s="29" t="n">
        <f aca="true">IF(AND(F376&gt;=1,R376&gt;=Inputs!$B$10),INDEX(LINEST(OFFSET(D376,-R376,0,R376,1),OFFSET(E376,-R376,0,R376,2)),1,3),"")</f>
        <v>4.38734203798831</v>
      </c>
      <c r="V376" s="29" t="n">
        <f aca="true">IF(AND(F376&gt;=1,R376&gt;=Inputs!$B$10),SQRT(SUMPRODUCT((OFFSET(D376,-R376,0,R376,1)-U376-T376*OFFSET(E376,-R376,0,R376,1)-S376*OFFSET(F376,-R376,0,R376,1))^2)/(R376-3)),"")</f>
        <v>0.00328847875335649</v>
      </c>
      <c r="W376" s="31" t="n">
        <f aca="false">IF(AND(F376&gt;=1,R376&gt;=Inputs!$B$10),(D376-U376-T376*E376-S376*F376)/V376,"")</f>
        <v>0.0528995912617066</v>
      </c>
      <c r="X376" s="30" t="n">
        <f aca="false">IF(AB375&lt;&gt;0,AC375+1,0)</f>
        <v>0</v>
      </c>
      <c r="Y376" s="30" t="n">
        <f aca="false">IF(W376="",0,IF(AND(AB375&lt;&gt;0,OR(ABS(W376)&gt;Inputs!$B$7,X376&gt;=Inputs!$B$8,ABS(W376)&lt;Inputs!$B$6)),1,0))</f>
        <v>0</v>
      </c>
      <c r="Z376" s="30" t="n">
        <f aca="false">IF(Y376=1,0,AB375)</f>
        <v>0</v>
      </c>
      <c r="AA376" s="30" t="n">
        <f aca="false">IF(W376="",0,IF(AND(Z376=0,ABS(W376)&gt;Inputs!$B$5,ABS(W376)&lt;=Inputs!$B$7),1,0))</f>
        <v>0</v>
      </c>
      <c r="AB376" s="30" t="n">
        <f aca="false">IF(W376="",0,IF(AA376=1,-SIGN(W376),Z376))</f>
        <v>0</v>
      </c>
      <c r="AC376" s="30" t="n">
        <f aca="false">IF(W376="",0,IF(AA376=1,0,IF(Y376=1,0,X376)))</f>
        <v>0</v>
      </c>
      <c r="AD376" s="30" t="n">
        <f aca="false">IF(AB376=0,0,IF(AB375=AB376,AD375,T376))</f>
        <v>0</v>
      </c>
      <c r="AE376" s="30" t="n">
        <f aca="false">AB376-AB375</f>
        <v>0</v>
      </c>
      <c r="AF376" s="30" t="n">
        <f aca="false">-AD376*AB376</f>
        <v>-0</v>
      </c>
      <c r="AG376" s="30" t="n">
        <f aca="false">AF376-AF375</f>
        <v>0</v>
      </c>
      <c r="AH376" s="30" t="n">
        <f aca="false">MAX(AE376,0)*(Inputs!$B$17+Inputs!$B$18+Inputs!$B$19)+MAX(-AE376,0)*(O376+Inputs!$B$18+Inputs!$B$19)+IF(AND(K376=1,AB376&lt;&gt;0),(Inputs!$B$17+Inputs!$B$18+Inputs!$B$19)+(O376+Inputs!$B$18+Inputs!$B$19),0)+MAX(AG376,0)*(Inputs!$B$20+Inputs!$B$22+Inputs!$B$23)+MAX(-AG376,0)*(Inputs!$B$21+Inputs!$B$22+Inputs!$B$23)</f>
        <v>0</v>
      </c>
      <c r="AI376" s="30" t="n">
        <f aca="false">AB375*(M376-AD375*J376)+AB375*AD375*N376/Inputs!$B$16-AH376</f>
        <v>0</v>
      </c>
      <c r="AJ376" s="30" t="n">
        <f aca="false">MAX(AE376,0)*(Inputs!$B$17+Inputs!$B$24+Inputs!$B$25)+MAX(-AE376,0)*(O376+Inputs!$B$24+Inputs!$B$25)+IF(AND(K376=1,AB376&lt;&gt;0),(Inputs!$B$17+Inputs!$B$24+Inputs!$B$25)+(O376+Inputs!$B$24+Inputs!$B$25),0)+MAX(AG376,0)*(Inputs!$B$20+Inputs!$B$26+Inputs!$B$27)+MAX(-AG376,0)*(Inputs!$B$21+Inputs!$B$26+Inputs!$B$27)</f>
        <v>0</v>
      </c>
      <c r="AK376" s="30" t="n">
        <f aca="false">AB375*(M376-AD375*J376)+AB375*AD375*(N376+Inputs!$B$14)/Inputs!$B$16-AJ376</f>
        <v>0</v>
      </c>
      <c r="AL376" s="30" t="n">
        <f aca="false">IF(AP375&lt;&gt;0,AQ375+1,0)</f>
        <v>0</v>
      </c>
      <c r="AM376" s="30" t="n">
        <f aca="false">IF(W376="",0,IF(AND(AP375&lt;&gt;0,OR(ABS(W376)&gt;Inputs!$B$7,AL376&gt;=Inputs!$B$8,ABS(W376)&lt;Inputs!$B$6)),1,0))</f>
        <v>0</v>
      </c>
      <c r="AN376" s="30" t="n">
        <f aca="false">IF(AM376=1,0,AP375)</f>
        <v>0</v>
      </c>
      <c r="AO376" s="30" t="n">
        <f aca="false">IF(W376="",0,IF(AND(AN376=0,ABS(W376)&gt;Inputs!$B$5,ABS(W376)&lt;=Inputs!$B$7,W376&gt;0),1,0))</f>
        <v>0</v>
      </c>
      <c r="AP376" s="30" t="n">
        <f aca="false">IF(W376="",0,IF(AO376=1,-SIGN(W376),AN376))</f>
        <v>0</v>
      </c>
      <c r="AQ376" s="30" t="n">
        <f aca="false">IF(W376="",0,IF(AO376=1,0,IF(AM376=1,0,AL376)))</f>
        <v>0</v>
      </c>
      <c r="AR376" s="30" t="n">
        <f aca="false">IF(AP376=0,0,IF(AP375=AP376,AR375,T376))</f>
        <v>0</v>
      </c>
      <c r="AS376" s="30" t="n">
        <f aca="false">AP376-AP375</f>
        <v>0</v>
      </c>
      <c r="AT376" s="30" t="n">
        <f aca="false">-AR376*AP376</f>
        <v>-0</v>
      </c>
      <c r="AU376" s="30" t="n">
        <f aca="false">AT376-AT375</f>
        <v>0</v>
      </c>
      <c r="AV376" s="30" t="n">
        <f aca="false">MAX(AS376,0)*(Inputs!$B$17+Inputs!$B$18+Inputs!$B$19)+MAX(-AS376,0)*(O376+Inputs!$B$18+Inputs!$B$19)+IF(AND(K376=1,AP376&lt;&gt;0),(Inputs!$B$17+Inputs!$B$18+Inputs!$B$19)+(O376+Inputs!$B$18+Inputs!$B$19),0)+MAX(AU376,0)*(Inputs!$B$20+Inputs!$B$22+Inputs!$B$23)+MAX(-AU376,0)*(Inputs!$B$21+Inputs!$B$22+Inputs!$B$23)</f>
        <v>0</v>
      </c>
      <c r="AW376" s="30" t="n">
        <f aca="false">AP375*(M376-AR375*J376)+AP375*AR375*N376/Inputs!$B$16-AV376</f>
        <v>0</v>
      </c>
      <c r="AX376" s="30" t="n">
        <f aca="false">AW376-IF(AP375&lt;&gt;0,0.75*AR375*(Inputs!$B$13-N376)/Inputs!$B$16,0)</f>
        <v>0</v>
      </c>
      <c r="AY376" s="30" t="n">
        <f aca="false">MAX(AS376,0)*(Inputs!$B$17+Inputs!$B$18+Inputs!$B$19)+MAX(-AS376,0)*(O376+Inputs!$B$18+Inputs!$B$19)+IF(AND(K376=1,AP376&lt;&gt;0),(Inputs!$B$17+Inputs!$B$18+Inputs!$B$19)+(O376+Inputs!$B$18+Inputs!$B$19),0)</f>
        <v>0</v>
      </c>
      <c r="AZ376" s="30" t="n">
        <f aca="false">AP375*M376-AY376</f>
        <v>0</v>
      </c>
      <c r="BA376" s="32" t="n">
        <f aca="false">BA375+AI376</f>
        <v>0.00164515276832129</v>
      </c>
      <c r="BB376" s="30" t="n">
        <f aca="false">MAX(BB375,BA376)</f>
        <v>0.00284866043860449</v>
      </c>
      <c r="BC376" s="32" t="n">
        <f aca="false">BA376-BB376</f>
        <v>-0.0012035076702832</v>
      </c>
      <c r="BD376" s="30" t="n">
        <f aca="false">A377-A376</f>
        <v>1</v>
      </c>
    </row>
    <row r="377" customFormat="false" ht="15" hidden="false" customHeight="false" outlineLevel="0" collapsed="false">
      <c r="A377" s="28" t="n">
        <v>45594</v>
      </c>
      <c r="B377" s="0" t="n">
        <v>24473</v>
      </c>
      <c r="C377" s="0" t="n">
        <v>273.59</v>
      </c>
      <c r="D377" s="29" t="n">
        <f aca="false">LN(B377)</f>
        <v>10.105325748023</v>
      </c>
      <c r="E377" s="29" t="n">
        <f aca="false">LN(C377)</f>
        <v>5.61163063537284</v>
      </c>
      <c r="F377" s="0" t="n">
        <v>372</v>
      </c>
      <c r="G377" s="0" t="n">
        <v>2</v>
      </c>
      <c r="H377" s="29" t="n">
        <f aca="false">D377-E377</f>
        <v>4.49369511265017</v>
      </c>
      <c r="I377" s="29" t="n">
        <f aca="false">D377-D376</f>
        <v>0.00454592776309859</v>
      </c>
      <c r="J377" s="29" t="n">
        <f aca="false">E377-E376</f>
        <v>0.00549774145339121</v>
      </c>
      <c r="K377" s="0" t="n">
        <v>0</v>
      </c>
      <c r="L377" s="0" t="n">
        <v>0</v>
      </c>
      <c r="M377" s="29" t="n">
        <f aca="false">IF(L377=1,J377-Carry!$B$9/Inputs!$B$16,I377)</f>
        <v>0.00454592776309859</v>
      </c>
      <c r="N377" s="0" t="n">
        <v>0.065</v>
      </c>
      <c r="O377" s="0" t="n">
        <v>0.0002</v>
      </c>
      <c r="P377" s="29" t="n">
        <f aca="false">D377-('2 Hedge ratio'!$B$6+'2 Hedge ratio'!$B$5*E377)</f>
        <v>0.00254067860107909</v>
      </c>
      <c r="Q377" s="29" t="n">
        <f aca="false">D377-('5 Re-specification'!$B$7+'5 Re-specification'!$B$5*E377+'5 Re-specification'!$B$6*F377)</f>
        <v>-0.00378615520631698</v>
      </c>
      <c r="R377" s="30" t="n">
        <f aca="false">MIN(F377,Inputs!$B$9)</f>
        <v>250</v>
      </c>
      <c r="S377" s="29" t="n">
        <f aca="true">IF(AND(F377&gt;=1,R377&gt;=Inputs!$B$10),INDEX(LINEST(OFFSET(D377,-R377,0,R377,1),OFFSET(E377,-R377,0,R377,2)),1,1),"")</f>
        <v>-8.61529234092023E-005</v>
      </c>
      <c r="T377" s="29" t="n">
        <f aca="true">IF(AND(F377&gt;=1,R377&gt;=Inputs!$B$10),INDEX(LINEST(OFFSET(D377,-R377,0,R377,1),OFFSET(E377,-R377,0,R377,2)),1,2),"")</f>
        <v>1.02283554485656</v>
      </c>
      <c r="U377" s="29" t="n">
        <f aca="true">IF(AND(F377&gt;=1,R377&gt;=Inputs!$B$10),INDEX(LINEST(OFFSET(D377,-R377,0,R377,1),OFFSET(E377,-R377,0,R377,2)),1,3),"")</f>
        <v>4.3984901182599</v>
      </c>
      <c r="V377" s="29" t="n">
        <f aca="true">IF(AND(F377&gt;=1,R377&gt;=Inputs!$B$10),SQRT(SUMPRODUCT((OFFSET(D377,-R377,0,R377,1)-U377-T377*OFFSET(E377,-R377,0,R377,1)-S377*OFFSET(F377,-R377,0,R377,1))^2)/(R377-3)),"")</f>
        <v>0.0032617911405622</v>
      </c>
      <c r="W377" s="31" t="n">
        <f aca="false">IF(AND(F377&gt;=1,R377&gt;=Inputs!$B$10),(D377-U377-T377*E377-S377*F377)/V377,"")</f>
        <v>-0.273089586556791</v>
      </c>
      <c r="X377" s="30" t="n">
        <f aca="false">IF(AB376&lt;&gt;0,AC376+1,0)</f>
        <v>0</v>
      </c>
      <c r="Y377" s="30" t="n">
        <f aca="false">IF(W377="",0,IF(AND(AB376&lt;&gt;0,OR(ABS(W377)&gt;Inputs!$B$7,X377&gt;=Inputs!$B$8,ABS(W377)&lt;Inputs!$B$6)),1,0))</f>
        <v>0</v>
      </c>
      <c r="Z377" s="30" t="n">
        <f aca="false">IF(Y377=1,0,AB376)</f>
        <v>0</v>
      </c>
      <c r="AA377" s="30" t="n">
        <f aca="false">IF(W377="",0,IF(AND(Z377=0,ABS(W377)&gt;Inputs!$B$5,ABS(W377)&lt;=Inputs!$B$7),1,0))</f>
        <v>0</v>
      </c>
      <c r="AB377" s="30" t="n">
        <f aca="false">IF(W377="",0,IF(AA377=1,-SIGN(W377),Z377))</f>
        <v>0</v>
      </c>
      <c r="AC377" s="30" t="n">
        <f aca="false">IF(W377="",0,IF(AA377=1,0,IF(Y377=1,0,X377)))</f>
        <v>0</v>
      </c>
      <c r="AD377" s="30" t="n">
        <f aca="false">IF(AB377=0,0,IF(AB376=AB377,AD376,T377))</f>
        <v>0</v>
      </c>
      <c r="AE377" s="30" t="n">
        <f aca="false">AB377-AB376</f>
        <v>0</v>
      </c>
      <c r="AF377" s="30" t="n">
        <f aca="false">-AD377*AB377</f>
        <v>-0</v>
      </c>
      <c r="AG377" s="30" t="n">
        <f aca="false">AF377-AF376</f>
        <v>0</v>
      </c>
      <c r="AH377" s="30" t="n">
        <f aca="false">MAX(AE377,0)*(Inputs!$B$17+Inputs!$B$18+Inputs!$B$19)+MAX(-AE377,0)*(O377+Inputs!$B$18+Inputs!$B$19)+IF(AND(K377=1,AB377&lt;&gt;0),(Inputs!$B$17+Inputs!$B$18+Inputs!$B$19)+(O377+Inputs!$B$18+Inputs!$B$19),0)+MAX(AG377,0)*(Inputs!$B$20+Inputs!$B$22+Inputs!$B$23)+MAX(-AG377,0)*(Inputs!$B$21+Inputs!$B$22+Inputs!$B$23)</f>
        <v>0</v>
      </c>
      <c r="AI377" s="30" t="n">
        <f aca="false">AB376*(M377-AD376*J377)+AB376*AD376*N377/Inputs!$B$16-AH377</f>
        <v>0</v>
      </c>
      <c r="AJ377" s="30" t="n">
        <f aca="false">MAX(AE377,0)*(Inputs!$B$17+Inputs!$B$24+Inputs!$B$25)+MAX(-AE377,0)*(O377+Inputs!$B$24+Inputs!$B$25)+IF(AND(K377=1,AB377&lt;&gt;0),(Inputs!$B$17+Inputs!$B$24+Inputs!$B$25)+(O377+Inputs!$B$24+Inputs!$B$25),0)+MAX(AG377,0)*(Inputs!$B$20+Inputs!$B$26+Inputs!$B$27)+MAX(-AG377,0)*(Inputs!$B$21+Inputs!$B$26+Inputs!$B$27)</f>
        <v>0</v>
      </c>
      <c r="AK377" s="30" t="n">
        <f aca="false">AB376*(M377-AD376*J377)+AB376*AD376*(N377+Inputs!$B$14)/Inputs!$B$16-AJ377</f>
        <v>0</v>
      </c>
      <c r="AL377" s="30" t="n">
        <f aca="false">IF(AP376&lt;&gt;0,AQ376+1,0)</f>
        <v>0</v>
      </c>
      <c r="AM377" s="30" t="n">
        <f aca="false">IF(W377="",0,IF(AND(AP376&lt;&gt;0,OR(ABS(W377)&gt;Inputs!$B$7,AL377&gt;=Inputs!$B$8,ABS(W377)&lt;Inputs!$B$6)),1,0))</f>
        <v>0</v>
      </c>
      <c r="AN377" s="30" t="n">
        <f aca="false">IF(AM377=1,0,AP376)</f>
        <v>0</v>
      </c>
      <c r="AO377" s="30" t="n">
        <f aca="false">IF(W377="",0,IF(AND(AN377=0,ABS(W377)&gt;Inputs!$B$5,ABS(W377)&lt;=Inputs!$B$7,W377&gt;0),1,0))</f>
        <v>0</v>
      </c>
      <c r="AP377" s="30" t="n">
        <f aca="false">IF(W377="",0,IF(AO377=1,-SIGN(W377),AN377))</f>
        <v>0</v>
      </c>
      <c r="AQ377" s="30" t="n">
        <f aca="false">IF(W377="",0,IF(AO377=1,0,IF(AM377=1,0,AL377)))</f>
        <v>0</v>
      </c>
      <c r="AR377" s="30" t="n">
        <f aca="false">IF(AP377=0,0,IF(AP376=AP377,AR376,T377))</f>
        <v>0</v>
      </c>
      <c r="AS377" s="30" t="n">
        <f aca="false">AP377-AP376</f>
        <v>0</v>
      </c>
      <c r="AT377" s="30" t="n">
        <f aca="false">-AR377*AP377</f>
        <v>-0</v>
      </c>
      <c r="AU377" s="30" t="n">
        <f aca="false">AT377-AT376</f>
        <v>0</v>
      </c>
      <c r="AV377" s="30" t="n">
        <f aca="false">MAX(AS377,0)*(Inputs!$B$17+Inputs!$B$18+Inputs!$B$19)+MAX(-AS377,0)*(O377+Inputs!$B$18+Inputs!$B$19)+IF(AND(K377=1,AP377&lt;&gt;0),(Inputs!$B$17+Inputs!$B$18+Inputs!$B$19)+(O377+Inputs!$B$18+Inputs!$B$19),0)+MAX(AU377,0)*(Inputs!$B$20+Inputs!$B$22+Inputs!$B$23)+MAX(-AU377,0)*(Inputs!$B$21+Inputs!$B$22+Inputs!$B$23)</f>
        <v>0</v>
      </c>
      <c r="AW377" s="30" t="n">
        <f aca="false">AP376*(M377-AR376*J377)+AP376*AR376*N377/Inputs!$B$16-AV377</f>
        <v>0</v>
      </c>
      <c r="AX377" s="30" t="n">
        <f aca="false">AW377-IF(AP376&lt;&gt;0,0.75*AR376*(Inputs!$B$13-N377)/Inputs!$B$16,0)</f>
        <v>0</v>
      </c>
      <c r="AY377" s="30" t="n">
        <f aca="false">MAX(AS377,0)*(Inputs!$B$17+Inputs!$B$18+Inputs!$B$19)+MAX(-AS377,0)*(O377+Inputs!$B$18+Inputs!$B$19)+IF(AND(K377=1,AP377&lt;&gt;0),(Inputs!$B$17+Inputs!$B$18+Inputs!$B$19)+(O377+Inputs!$B$18+Inputs!$B$19),0)</f>
        <v>0</v>
      </c>
      <c r="AZ377" s="30" t="n">
        <f aca="false">AP376*M377-AY377</f>
        <v>0</v>
      </c>
      <c r="BA377" s="32" t="n">
        <f aca="false">BA376+AI377</f>
        <v>0.00164515276832129</v>
      </c>
      <c r="BB377" s="30" t="n">
        <f aca="false">MAX(BB376,BA377)</f>
        <v>0.00284866043860449</v>
      </c>
      <c r="BC377" s="32" t="n">
        <f aca="false">BA377-BB377</f>
        <v>-0.0012035076702832</v>
      </c>
      <c r="BD377" s="30" t="n">
        <f aca="false">A378-A377</f>
        <v>1</v>
      </c>
    </row>
    <row r="378" customFormat="false" ht="15" hidden="false" customHeight="false" outlineLevel="0" collapsed="false">
      <c r="A378" s="28" t="n">
        <v>45595</v>
      </c>
      <c r="B378" s="0" t="n">
        <v>24366.9</v>
      </c>
      <c r="C378" s="0" t="n">
        <v>272.45</v>
      </c>
      <c r="D378" s="29" t="n">
        <f aca="false">LN(B378)</f>
        <v>10.1009809329473</v>
      </c>
      <c r="E378" s="29" t="n">
        <f aca="false">LN(C378)</f>
        <v>5.60745511102911</v>
      </c>
      <c r="F378" s="0" t="n">
        <v>373</v>
      </c>
      <c r="G378" s="0" t="n">
        <v>1</v>
      </c>
      <c r="H378" s="29" t="n">
        <f aca="false">D378-E378</f>
        <v>4.4935258219182</v>
      </c>
      <c r="I378" s="29" t="n">
        <f aca="false">D378-D377</f>
        <v>-0.00434481507569906</v>
      </c>
      <c r="J378" s="29" t="n">
        <f aca="false">E378-E377</f>
        <v>-0.00417552434372848</v>
      </c>
      <c r="K378" s="0" t="n">
        <v>0</v>
      </c>
      <c r="L378" s="0" t="n">
        <v>0</v>
      </c>
      <c r="M378" s="29" t="n">
        <f aca="false">IF(L378=1,J378-Carry!$B$9/Inputs!$B$16,I378)</f>
        <v>-0.00434481507569906</v>
      </c>
      <c r="N378" s="0" t="n">
        <v>0.065</v>
      </c>
      <c r="O378" s="0" t="n">
        <v>0.0002</v>
      </c>
      <c r="P378" s="29" t="n">
        <f aca="false">D378-('2 Hedge ratio'!$B$6+'2 Hedge ratio'!$B$5*E378)</f>
        <v>0.00202117311055616</v>
      </c>
      <c r="Q378" s="29" t="n">
        <f aca="false">D378-('5 Re-specification'!$B$7+'5 Re-specification'!$B$5*E378+'5 Re-specification'!$B$6*F378)</f>
        <v>-0.00392317054680369</v>
      </c>
      <c r="R378" s="30" t="n">
        <f aca="false">MIN(F378,Inputs!$B$9)</f>
        <v>250</v>
      </c>
      <c r="S378" s="29" t="n">
        <f aca="true">IF(AND(F378&gt;=1,R378&gt;=Inputs!$B$10),INDEX(LINEST(OFFSET(D378,-R378,0,R378,1),OFFSET(E378,-R378,0,R378,2)),1,1),"")</f>
        <v>-8.41983673728272E-005</v>
      </c>
      <c r="T378" s="29" t="n">
        <f aca="true">IF(AND(F378&gt;=1,R378&gt;=Inputs!$B$10),INDEX(LINEST(OFFSET(D378,-R378,0,R378,1),OFFSET(E378,-R378,0,R378,2)),1,2),"")</f>
        <v>1.02032980603373</v>
      </c>
      <c r="U378" s="29" t="n">
        <f aca="true">IF(AND(F378&gt;=1,R378&gt;=Inputs!$B$10),INDEX(LINEST(OFFSET(D378,-R378,0,R378,1),OFFSET(E378,-R378,0,R378,2)),1,3),"")</f>
        <v>4.4118905201827</v>
      </c>
      <c r="V378" s="29" t="n">
        <f aca="true">IF(AND(F378&gt;=1,R378&gt;=Inputs!$B$10),SQRT(SUMPRODUCT((OFFSET(D378,-R378,0,R378,1)-U378-T378*OFFSET(E378,-R378,0,R378,1)-S378*OFFSET(F378,-R378,0,R378,1))^2)/(R378-3)),"")</f>
        <v>0.00323425996114143</v>
      </c>
      <c r="W378" s="31" t="n">
        <f aca="false">IF(AND(F378&gt;=1,R378&gt;=Inputs!$B$10),(D378-U378-T378*E378-S378*F378)/V378,"")</f>
        <v>-0.295950849964869</v>
      </c>
      <c r="X378" s="30" t="n">
        <f aca="false">IF(AB377&lt;&gt;0,AC377+1,0)</f>
        <v>0</v>
      </c>
      <c r="Y378" s="30" t="n">
        <f aca="false">IF(W378="",0,IF(AND(AB377&lt;&gt;0,OR(ABS(W378)&gt;Inputs!$B$7,X378&gt;=Inputs!$B$8,ABS(W378)&lt;Inputs!$B$6)),1,0))</f>
        <v>0</v>
      </c>
      <c r="Z378" s="30" t="n">
        <f aca="false">IF(Y378=1,0,AB377)</f>
        <v>0</v>
      </c>
      <c r="AA378" s="30" t="n">
        <f aca="false">IF(W378="",0,IF(AND(Z378=0,ABS(W378)&gt;Inputs!$B$5,ABS(W378)&lt;=Inputs!$B$7),1,0))</f>
        <v>0</v>
      </c>
      <c r="AB378" s="30" t="n">
        <f aca="false">IF(W378="",0,IF(AA378=1,-SIGN(W378),Z378))</f>
        <v>0</v>
      </c>
      <c r="AC378" s="30" t="n">
        <f aca="false">IF(W378="",0,IF(AA378=1,0,IF(Y378=1,0,X378)))</f>
        <v>0</v>
      </c>
      <c r="AD378" s="30" t="n">
        <f aca="false">IF(AB378=0,0,IF(AB377=AB378,AD377,T378))</f>
        <v>0</v>
      </c>
      <c r="AE378" s="30" t="n">
        <f aca="false">AB378-AB377</f>
        <v>0</v>
      </c>
      <c r="AF378" s="30" t="n">
        <f aca="false">-AD378*AB378</f>
        <v>-0</v>
      </c>
      <c r="AG378" s="30" t="n">
        <f aca="false">AF378-AF377</f>
        <v>0</v>
      </c>
      <c r="AH378" s="30" t="n">
        <f aca="false">MAX(AE378,0)*(Inputs!$B$17+Inputs!$B$18+Inputs!$B$19)+MAX(-AE378,0)*(O378+Inputs!$B$18+Inputs!$B$19)+IF(AND(K378=1,AB378&lt;&gt;0),(Inputs!$B$17+Inputs!$B$18+Inputs!$B$19)+(O378+Inputs!$B$18+Inputs!$B$19),0)+MAX(AG378,0)*(Inputs!$B$20+Inputs!$B$22+Inputs!$B$23)+MAX(-AG378,0)*(Inputs!$B$21+Inputs!$B$22+Inputs!$B$23)</f>
        <v>0</v>
      </c>
      <c r="AI378" s="30" t="n">
        <f aca="false">AB377*(M378-AD377*J378)+AB377*AD377*N378/Inputs!$B$16-AH378</f>
        <v>0</v>
      </c>
      <c r="AJ378" s="30" t="n">
        <f aca="false">MAX(AE378,0)*(Inputs!$B$17+Inputs!$B$24+Inputs!$B$25)+MAX(-AE378,0)*(O378+Inputs!$B$24+Inputs!$B$25)+IF(AND(K378=1,AB378&lt;&gt;0),(Inputs!$B$17+Inputs!$B$24+Inputs!$B$25)+(O378+Inputs!$B$24+Inputs!$B$25),0)+MAX(AG378,0)*(Inputs!$B$20+Inputs!$B$26+Inputs!$B$27)+MAX(-AG378,0)*(Inputs!$B$21+Inputs!$B$26+Inputs!$B$27)</f>
        <v>0</v>
      </c>
      <c r="AK378" s="30" t="n">
        <f aca="false">AB377*(M378-AD377*J378)+AB377*AD377*(N378+Inputs!$B$14)/Inputs!$B$16-AJ378</f>
        <v>0</v>
      </c>
      <c r="AL378" s="30" t="n">
        <f aca="false">IF(AP377&lt;&gt;0,AQ377+1,0)</f>
        <v>0</v>
      </c>
      <c r="AM378" s="30" t="n">
        <f aca="false">IF(W378="",0,IF(AND(AP377&lt;&gt;0,OR(ABS(W378)&gt;Inputs!$B$7,AL378&gt;=Inputs!$B$8,ABS(W378)&lt;Inputs!$B$6)),1,0))</f>
        <v>0</v>
      </c>
      <c r="AN378" s="30" t="n">
        <f aca="false">IF(AM378=1,0,AP377)</f>
        <v>0</v>
      </c>
      <c r="AO378" s="30" t="n">
        <f aca="false">IF(W378="",0,IF(AND(AN378=0,ABS(W378)&gt;Inputs!$B$5,ABS(W378)&lt;=Inputs!$B$7,W378&gt;0),1,0))</f>
        <v>0</v>
      </c>
      <c r="AP378" s="30" t="n">
        <f aca="false">IF(W378="",0,IF(AO378=1,-SIGN(W378),AN378))</f>
        <v>0</v>
      </c>
      <c r="AQ378" s="30" t="n">
        <f aca="false">IF(W378="",0,IF(AO378=1,0,IF(AM378=1,0,AL378)))</f>
        <v>0</v>
      </c>
      <c r="AR378" s="30" t="n">
        <f aca="false">IF(AP378=0,0,IF(AP377=AP378,AR377,T378))</f>
        <v>0</v>
      </c>
      <c r="AS378" s="30" t="n">
        <f aca="false">AP378-AP377</f>
        <v>0</v>
      </c>
      <c r="AT378" s="30" t="n">
        <f aca="false">-AR378*AP378</f>
        <v>-0</v>
      </c>
      <c r="AU378" s="30" t="n">
        <f aca="false">AT378-AT377</f>
        <v>0</v>
      </c>
      <c r="AV378" s="30" t="n">
        <f aca="false">MAX(AS378,0)*(Inputs!$B$17+Inputs!$B$18+Inputs!$B$19)+MAX(-AS378,0)*(O378+Inputs!$B$18+Inputs!$B$19)+IF(AND(K378=1,AP378&lt;&gt;0),(Inputs!$B$17+Inputs!$B$18+Inputs!$B$19)+(O378+Inputs!$B$18+Inputs!$B$19),0)+MAX(AU378,0)*(Inputs!$B$20+Inputs!$B$22+Inputs!$B$23)+MAX(-AU378,0)*(Inputs!$B$21+Inputs!$B$22+Inputs!$B$23)</f>
        <v>0</v>
      </c>
      <c r="AW378" s="30" t="n">
        <f aca="false">AP377*(M378-AR377*J378)+AP377*AR377*N378/Inputs!$B$16-AV378</f>
        <v>0</v>
      </c>
      <c r="AX378" s="30" t="n">
        <f aca="false">AW378-IF(AP377&lt;&gt;0,0.75*AR377*(Inputs!$B$13-N378)/Inputs!$B$16,0)</f>
        <v>0</v>
      </c>
      <c r="AY378" s="30" t="n">
        <f aca="false">MAX(AS378,0)*(Inputs!$B$17+Inputs!$B$18+Inputs!$B$19)+MAX(-AS378,0)*(O378+Inputs!$B$18+Inputs!$B$19)+IF(AND(K378=1,AP378&lt;&gt;0),(Inputs!$B$17+Inputs!$B$18+Inputs!$B$19)+(O378+Inputs!$B$18+Inputs!$B$19),0)</f>
        <v>0</v>
      </c>
      <c r="AZ378" s="30" t="n">
        <f aca="false">AP377*M378-AY378</f>
        <v>-0</v>
      </c>
      <c r="BA378" s="32" t="n">
        <f aca="false">BA377+AI378</f>
        <v>0.00164515276832129</v>
      </c>
      <c r="BB378" s="30" t="n">
        <f aca="false">MAX(BB377,BA378)</f>
        <v>0.00284866043860449</v>
      </c>
      <c r="BC378" s="32" t="n">
        <f aca="false">BA378-BB378</f>
        <v>-0.0012035076702832</v>
      </c>
      <c r="BD378" s="30" t="n">
        <f aca="false">A379-A378</f>
        <v>1</v>
      </c>
    </row>
    <row r="379" customFormat="false" ht="15" hidden="false" customHeight="false" outlineLevel="0" collapsed="false">
      <c r="A379" s="28" t="n">
        <v>45596</v>
      </c>
      <c r="B379" s="0" t="n">
        <v>24203.95</v>
      </c>
      <c r="C379" s="0" t="n">
        <v>270.9</v>
      </c>
      <c r="D379" s="29" t="n">
        <f aca="false">LN(B379)</f>
        <v>10.0942711219658</v>
      </c>
      <c r="E379" s="29" t="n">
        <f aca="false">LN(C379)</f>
        <v>5.60174974909105</v>
      </c>
      <c r="F379" s="0" t="n">
        <v>374</v>
      </c>
      <c r="G379" s="0" t="n">
        <v>0</v>
      </c>
      <c r="H379" s="29" t="n">
        <f aca="false">D379-E379</f>
        <v>4.49252137287478</v>
      </c>
      <c r="I379" s="29" t="n">
        <f aca="false">D379-D378</f>
        <v>-0.00670981098147649</v>
      </c>
      <c r="J379" s="29" t="n">
        <f aca="false">E379-E378</f>
        <v>-0.00570536193805804</v>
      </c>
      <c r="K379" s="0" t="n">
        <v>1</v>
      </c>
      <c r="L379" s="0" t="n">
        <v>0</v>
      </c>
      <c r="M379" s="29" t="n">
        <f aca="false">IF(L379=1,J379-Carry!$B$9/Inputs!$B$16,I379)</f>
        <v>-0.00670981098147649</v>
      </c>
      <c r="N379" s="0" t="n">
        <v>0.065</v>
      </c>
      <c r="O379" s="0" t="n">
        <v>0.0002</v>
      </c>
      <c r="P379" s="29" t="n">
        <f aca="false">D379-('2 Hedge ratio'!$B$6+'2 Hedge ratio'!$B$5*E379)</f>
        <v>0.000538196871721297</v>
      </c>
      <c r="Q379" s="29" t="n">
        <f aca="false">D379-('5 Re-specification'!$B$7+'5 Re-specification'!$B$5*E379+'5 Re-specification'!$B$6*F379)</f>
        <v>-0.004899980371599</v>
      </c>
      <c r="R379" s="30" t="n">
        <f aca="false">MIN(F379,Inputs!$B$9)</f>
        <v>250</v>
      </c>
      <c r="S379" s="29" t="n">
        <f aca="true">IF(AND(F379&gt;=1,R379&gt;=Inputs!$B$10),INDEX(LINEST(OFFSET(D379,-R379,0,R379,1),OFFSET(E379,-R379,0,R379,2)),1,1),"")</f>
        <v>-8.43288003126425E-005</v>
      </c>
      <c r="T379" s="29" t="n">
        <f aca="true">IF(AND(F379&gt;=1,R379&gt;=Inputs!$B$10),INDEX(LINEST(OFFSET(D379,-R379,0,R379,1),OFFSET(E379,-R379,0,R379,2)),1,2),"")</f>
        <v>1.02024539791529</v>
      </c>
      <c r="U379" s="29" t="n">
        <f aca="true">IF(AND(F379&gt;=1,R379&gt;=Inputs!$B$10),INDEX(LINEST(OFFSET(D379,-R379,0,R379,1),OFFSET(E379,-R379,0,R379,2)),1,3),"")</f>
        <v>4.41239144165355</v>
      </c>
      <c r="V379" s="29" t="n">
        <f aca="true">IF(AND(F379&gt;=1,R379&gt;=Inputs!$B$10),SQRT(SUMPRODUCT((OFFSET(D379,-R379,0,R379,1)-U379-T379*OFFSET(E379,-R379,0,R379,1)-S379*OFFSET(F379,-R379,0,R379,1))^2)/(R379-3)),"")</f>
        <v>0.00323368696567434</v>
      </c>
      <c r="W379" s="31" t="n">
        <f aca="false">IF(AND(F379&gt;=1,R379&gt;=Inputs!$B$10),(D379-U379-T379*E379-S379*F379)/V379,"")</f>
        <v>-0.538317460082953</v>
      </c>
      <c r="X379" s="30" t="n">
        <f aca="false">IF(AB378&lt;&gt;0,AC378+1,0)</f>
        <v>0</v>
      </c>
      <c r="Y379" s="30" t="n">
        <f aca="false">IF(W379="",0,IF(AND(AB378&lt;&gt;0,OR(ABS(W379)&gt;Inputs!$B$7,X379&gt;=Inputs!$B$8,ABS(W379)&lt;Inputs!$B$6)),1,0))</f>
        <v>0</v>
      </c>
      <c r="Z379" s="30" t="n">
        <f aca="false">IF(Y379=1,0,AB378)</f>
        <v>0</v>
      </c>
      <c r="AA379" s="30" t="n">
        <f aca="false">IF(W379="",0,IF(AND(Z379=0,ABS(W379)&gt;Inputs!$B$5,ABS(W379)&lt;=Inputs!$B$7),1,0))</f>
        <v>0</v>
      </c>
      <c r="AB379" s="30" t="n">
        <f aca="false">IF(W379="",0,IF(AA379=1,-SIGN(W379),Z379))</f>
        <v>0</v>
      </c>
      <c r="AC379" s="30" t="n">
        <f aca="false">IF(W379="",0,IF(AA379=1,0,IF(Y379=1,0,X379)))</f>
        <v>0</v>
      </c>
      <c r="AD379" s="30" t="n">
        <f aca="false">IF(AB379=0,0,IF(AB378=AB379,AD378,T379))</f>
        <v>0</v>
      </c>
      <c r="AE379" s="30" t="n">
        <f aca="false">AB379-AB378</f>
        <v>0</v>
      </c>
      <c r="AF379" s="30" t="n">
        <f aca="false">-AD379*AB379</f>
        <v>-0</v>
      </c>
      <c r="AG379" s="30" t="n">
        <f aca="false">AF379-AF378</f>
        <v>0</v>
      </c>
      <c r="AH379" s="30" t="n">
        <f aca="false">MAX(AE379,0)*(Inputs!$B$17+Inputs!$B$18+Inputs!$B$19)+MAX(-AE379,0)*(O379+Inputs!$B$18+Inputs!$B$19)+IF(AND(K379=1,AB379&lt;&gt;0),(Inputs!$B$17+Inputs!$B$18+Inputs!$B$19)+(O379+Inputs!$B$18+Inputs!$B$19),0)+MAX(AG379,0)*(Inputs!$B$20+Inputs!$B$22+Inputs!$B$23)+MAX(-AG379,0)*(Inputs!$B$21+Inputs!$B$22+Inputs!$B$23)</f>
        <v>0</v>
      </c>
      <c r="AI379" s="30" t="n">
        <f aca="false">AB378*(M379-AD378*J379)+AB378*AD378*N379/Inputs!$B$16-AH379</f>
        <v>0</v>
      </c>
      <c r="AJ379" s="30" t="n">
        <f aca="false">MAX(AE379,0)*(Inputs!$B$17+Inputs!$B$24+Inputs!$B$25)+MAX(-AE379,0)*(O379+Inputs!$B$24+Inputs!$B$25)+IF(AND(K379=1,AB379&lt;&gt;0),(Inputs!$B$17+Inputs!$B$24+Inputs!$B$25)+(O379+Inputs!$B$24+Inputs!$B$25),0)+MAX(AG379,0)*(Inputs!$B$20+Inputs!$B$26+Inputs!$B$27)+MAX(-AG379,0)*(Inputs!$B$21+Inputs!$B$26+Inputs!$B$27)</f>
        <v>0</v>
      </c>
      <c r="AK379" s="30" t="n">
        <f aca="false">AB378*(M379-AD378*J379)+AB378*AD378*(N379+Inputs!$B$14)/Inputs!$B$16-AJ379</f>
        <v>0</v>
      </c>
      <c r="AL379" s="30" t="n">
        <f aca="false">IF(AP378&lt;&gt;0,AQ378+1,0)</f>
        <v>0</v>
      </c>
      <c r="AM379" s="30" t="n">
        <f aca="false">IF(W379="",0,IF(AND(AP378&lt;&gt;0,OR(ABS(W379)&gt;Inputs!$B$7,AL379&gt;=Inputs!$B$8,ABS(W379)&lt;Inputs!$B$6)),1,0))</f>
        <v>0</v>
      </c>
      <c r="AN379" s="30" t="n">
        <f aca="false">IF(AM379=1,0,AP378)</f>
        <v>0</v>
      </c>
      <c r="AO379" s="30" t="n">
        <f aca="false">IF(W379="",0,IF(AND(AN379=0,ABS(W379)&gt;Inputs!$B$5,ABS(W379)&lt;=Inputs!$B$7,W379&gt;0),1,0))</f>
        <v>0</v>
      </c>
      <c r="AP379" s="30" t="n">
        <f aca="false">IF(W379="",0,IF(AO379=1,-SIGN(W379),AN379))</f>
        <v>0</v>
      </c>
      <c r="AQ379" s="30" t="n">
        <f aca="false">IF(W379="",0,IF(AO379=1,0,IF(AM379=1,0,AL379)))</f>
        <v>0</v>
      </c>
      <c r="AR379" s="30" t="n">
        <f aca="false">IF(AP379=0,0,IF(AP378=AP379,AR378,T379))</f>
        <v>0</v>
      </c>
      <c r="AS379" s="30" t="n">
        <f aca="false">AP379-AP378</f>
        <v>0</v>
      </c>
      <c r="AT379" s="30" t="n">
        <f aca="false">-AR379*AP379</f>
        <v>-0</v>
      </c>
      <c r="AU379" s="30" t="n">
        <f aca="false">AT379-AT378</f>
        <v>0</v>
      </c>
      <c r="AV379" s="30" t="n">
        <f aca="false">MAX(AS379,0)*(Inputs!$B$17+Inputs!$B$18+Inputs!$B$19)+MAX(-AS379,0)*(O379+Inputs!$B$18+Inputs!$B$19)+IF(AND(K379=1,AP379&lt;&gt;0),(Inputs!$B$17+Inputs!$B$18+Inputs!$B$19)+(O379+Inputs!$B$18+Inputs!$B$19),0)+MAX(AU379,0)*(Inputs!$B$20+Inputs!$B$22+Inputs!$B$23)+MAX(-AU379,0)*(Inputs!$B$21+Inputs!$B$22+Inputs!$B$23)</f>
        <v>0</v>
      </c>
      <c r="AW379" s="30" t="n">
        <f aca="false">AP378*(M379-AR378*J379)+AP378*AR378*N379/Inputs!$B$16-AV379</f>
        <v>0</v>
      </c>
      <c r="AX379" s="30" t="n">
        <f aca="false">AW379-IF(AP378&lt;&gt;0,0.75*AR378*(Inputs!$B$13-N379)/Inputs!$B$16,0)</f>
        <v>0</v>
      </c>
      <c r="AY379" s="30" t="n">
        <f aca="false">MAX(AS379,0)*(Inputs!$B$17+Inputs!$B$18+Inputs!$B$19)+MAX(-AS379,0)*(O379+Inputs!$B$18+Inputs!$B$19)+IF(AND(K379=1,AP379&lt;&gt;0),(Inputs!$B$17+Inputs!$B$18+Inputs!$B$19)+(O379+Inputs!$B$18+Inputs!$B$19),0)</f>
        <v>0</v>
      </c>
      <c r="AZ379" s="30" t="n">
        <f aca="false">AP378*M379-AY379</f>
        <v>-0</v>
      </c>
      <c r="BA379" s="32" t="n">
        <f aca="false">BA378+AI379</f>
        <v>0.00164515276832129</v>
      </c>
      <c r="BB379" s="30" t="n">
        <f aca="false">MAX(BB378,BA379)</f>
        <v>0.00284866043860449</v>
      </c>
      <c r="BC379" s="32" t="n">
        <f aca="false">BA379-BB379</f>
        <v>-0.0012035076702832</v>
      </c>
      <c r="BD379" s="30" t="n">
        <f aca="false">A380-A379</f>
        <v>4</v>
      </c>
    </row>
    <row r="380" customFormat="false" ht="15" hidden="false" customHeight="false" outlineLevel="0" collapsed="false">
      <c r="A380" s="28" t="n">
        <v>45600</v>
      </c>
      <c r="B380" s="0" t="n">
        <v>24100</v>
      </c>
      <c r="C380" s="0" t="n">
        <v>268.54</v>
      </c>
      <c r="D380" s="29" t="n">
        <f aca="false">LN(B380)</f>
        <v>10.0899671194787</v>
      </c>
      <c r="E380" s="29" t="n">
        <f aca="false">LN(C380)</f>
        <v>5.59299987864456</v>
      </c>
      <c r="F380" s="0" t="n">
        <v>375</v>
      </c>
      <c r="G380" s="0" t="n">
        <v>24</v>
      </c>
      <c r="H380" s="29" t="n">
        <f aca="false">D380-E380</f>
        <v>4.49696724083418</v>
      </c>
      <c r="I380" s="29" t="n">
        <f aca="false">D380-D379</f>
        <v>-0.00430400248708018</v>
      </c>
      <c r="J380" s="29" t="n">
        <f aca="false">E380-E379</f>
        <v>-0.00874987044648723</v>
      </c>
      <c r="K380" s="0" t="n">
        <v>0</v>
      </c>
      <c r="L380" s="0" t="n">
        <v>1</v>
      </c>
      <c r="M380" s="29" t="n">
        <f aca="false">IF(L380=1,J380-Carry!$B$9/Inputs!$B$16,I380)</f>
        <v>-0.00900932862820836</v>
      </c>
      <c r="N380" s="0" t="n">
        <v>0.065</v>
      </c>
      <c r="O380" s="0" t="n">
        <v>0.0002</v>
      </c>
      <c r="P380" s="29" t="n">
        <f aca="false">D380-('2 Hedge ratio'!$B$6+'2 Hedge ratio'!$B$5*E380)</f>
        <v>0.00425018484061113</v>
      </c>
      <c r="Q380" s="29" t="n">
        <f aca="false">D380-('5 Re-specification'!$B$7+'5 Re-specification'!$B$5*E380+'5 Re-specification'!$B$6*F380)</f>
        <v>-0.00043569957666989</v>
      </c>
      <c r="R380" s="30" t="n">
        <f aca="false">MIN(F380,Inputs!$B$9)</f>
        <v>250</v>
      </c>
      <c r="S380" s="29" t="n">
        <f aca="true">IF(AND(F380&gt;=1,R380&gt;=Inputs!$B$10),INDEX(LINEST(OFFSET(D380,-R380,0,R380,1),OFFSET(E380,-R380,0,R380,2)),1,1),"")</f>
        <v>-8.49236387930169E-005</v>
      </c>
      <c r="T380" s="29" t="n">
        <f aca="true">IF(AND(F380&gt;=1,R380&gt;=Inputs!$B$10),INDEX(LINEST(OFFSET(D380,-R380,0,R380,1),OFFSET(E380,-R380,0,R380,2)),1,2),"")</f>
        <v>1.02051019227976</v>
      </c>
      <c r="U380" s="29" t="n">
        <f aca="true">IF(AND(F380&gt;=1,R380&gt;=Inputs!$B$10),INDEX(LINEST(OFFSET(D380,-R380,0,R380,1),OFFSET(E380,-R380,0,R380,2)),1,3),"")</f>
        <v>4.41107383219086</v>
      </c>
      <c r="V380" s="29" t="n">
        <f aca="true">IF(AND(F380&gt;=1,R380&gt;=Inputs!$B$10),SQRT(SUMPRODUCT((OFFSET(D380,-R380,0,R380,1)-U380-T380*OFFSET(E380,-R380,0,R380,1)-S380*OFFSET(F380,-R380,0,R380,1))^2)/(R380-3)),"")</f>
        <v>0.00323395387360613</v>
      </c>
      <c r="W380" s="31" t="n">
        <f aca="false">IF(AND(F380&gt;=1,R380&gt;=Inputs!$B$10),(D380-U380-T380*E380-S380*F380)/V380,"")</f>
        <v>0.935780279283753</v>
      </c>
      <c r="X380" s="30" t="n">
        <f aca="false">IF(AB379&lt;&gt;0,AC379+1,0)</f>
        <v>0</v>
      </c>
      <c r="Y380" s="30" t="n">
        <f aca="false">IF(W380="",0,IF(AND(AB379&lt;&gt;0,OR(ABS(W380)&gt;Inputs!$B$7,X380&gt;=Inputs!$B$8,ABS(W380)&lt;Inputs!$B$6)),1,0))</f>
        <v>0</v>
      </c>
      <c r="Z380" s="30" t="n">
        <f aca="false">IF(Y380=1,0,AB379)</f>
        <v>0</v>
      </c>
      <c r="AA380" s="30" t="n">
        <f aca="false">IF(W380="",0,IF(AND(Z380=0,ABS(W380)&gt;Inputs!$B$5,ABS(W380)&lt;=Inputs!$B$7),1,0))</f>
        <v>0</v>
      </c>
      <c r="AB380" s="30" t="n">
        <f aca="false">IF(W380="",0,IF(AA380=1,-SIGN(W380),Z380))</f>
        <v>0</v>
      </c>
      <c r="AC380" s="30" t="n">
        <f aca="false">IF(W380="",0,IF(AA380=1,0,IF(Y380=1,0,X380)))</f>
        <v>0</v>
      </c>
      <c r="AD380" s="30" t="n">
        <f aca="false">IF(AB380=0,0,IF(AB379=AB380,AD379,T380))</f>
        <v>0</v>
      </c>
      <c r="AE380" s="30" t="n">
        <f aca="false">AB380-AB379</f>
        <v>0</v>
      </c>
      <c r="AF380" s="30" t="n">
        <f aca="false">-AD380*AB380</f>
        <v>-0</v>
      </c>
      <c r="AG380" s="30" t="n">
        <f aca="false">AF380-AF379</f>
        <v>0</v>
      </c>
      <c r="AH380" s="30" t="n">
        <f aca="false">MAX(AE380,0)*(Inputs!$B$17+Inputs!$B$18+Inputs!$B$19)+MAX(-AE380,0)*(O380+Inputs!$B$18+Inputs!$B$19)+IF(AND(K380=1,AB380&lt;&gt;0),(Inputs!$B$17+Inputs!$B$18+Inputs!$B$19)+(O380+Inputs!$B$18+Inputs!$B$19),0)+MAX(AG380,0)*(Inputs!$B$20+Inputs!$B$22+Inputs!$B$23)+MAX(-AG380,0)*(Inputs!$B$21+Inputs!$B$22+Inputs!$B$23)</f>
        <v>0</v>
      </c>
      <c r="AI380" s="30" t="n">
        <f aca="false">AB379*(M380-AD379*J380)+AB379*AD379*N380/Inputs!$B$16-AH380</f>
        <v>0</v>
      </c>
      <c r="AJ380" s="30" t="n">
        <f aca="false">MAX(AE380,0)*(Inputs!$B$17+Inputs!$B$24+Inputs!$B$25)+MAX(-AE380,0)*(O380+Inputs!$B$24+Inputs!$B$25)+IF(AND(K380=1,AB380&lt;&gt;0),(Inputs!$B$17+Inputs!$B$24+Inputs!$B$25)+(O380+Inputs!$B$24+Inputs!$B$25),0)+MAX(AG380,0)*(Inputs!$B$20+Inputs!$B$26+Inputs!$B$27)+MAX(-AG380,0)*(Inputs!$B$21+Inputs!$B$26+Inputs!$B$27)</f>
        <v>0</v>
      </c>
      <c r="AK380" s="30" t="n">
        <f aca="false">AB379*(M380-AD379*J380)+AB379*AD379*(N380+Inputs!$B$14)/Inputs!$B$16-AJ380</f>
        <v>0</v>
      </c>
      <c r="AL380" s="30" t="n">
        <f aca="false">IF(AP379&lt;&gt;0,AQ379+1,0)</f>
        <v>0</v>
      </c>
      <c r="AM380" s="30" t="n">
        <f aca="false">IF(W380="",0,IF(AND(AP379&lt;&gt;0,OR(ABS(W380)&gt;Inputs!$B$7,AL380&gt;=Inputs!$B$8,ABS(W380)&lt;Inputs!$B$6)),1,0))</f>
        <v>0</v>
      </c>
      <c r="AN380" s="30" t="n">
        <f aca="false">IF(AM380=1,0,AP379)</f>
        <v>0</v>
      </c>
      <c r="AO380" s="30" t="n">
        <f aca="false">IF(W380="",0,IF(AND(AN380=0,ABS(W380)&gt;Inputs!$B$5,ABS(W380)&lt;=Inputs!$B$7,W380&gt;0),1,0))</f>
        <v>0</v>
      </c>
      <c r="AP380" s="30" t="n">
        <f aca="false">IF(W380="",0,IF(AO380=1,-SIGN(W380),AN380))</f>
        <v>0</v>
      </c>
      <c r="AQ380" s="30" t="n">
        <f aca="false">IF(W380="",0,IF(AO380=1,0,IF(AM380=1,0,AL380)))</f>
        <v>0</v>
      </c>
      <c r="AR380" s="30" t="n">
        <f aca="false">IF(AP380=0,0,IF(AP379=AP380,AR379,T380))</f>
        <v>0</v>
      </c>
      <c r="AS380" s="30" t="n">
        <f aca="false">AP380-AP379</f>
        <v>0</v>
      </c>
      <c r="AT380" s="30" t="n">
        <f aca="false">-AR380*AP380</f>
        <v>-0</v>
      </c>
      <c r="AU380" s="30" t="n">
        <f aca="false">AT380-AT379</f>
        <v>0</v>
      </c>
      <c r="AV380" s="30" t="n">
        <f aca="false">MAX(AS380,0)*(Inputs!$B$17+Inputs!$B$18+Inputs!$B$19)+MAX(-AS380,0)*(O380+Inputs!$B$18+Inputs!$B$19)+IF(AND(K380=1,AP380&lt;&gt;0),(Inputs!$B$17+Inputs!$B$18+Inputs!$B$19)+(O380+Inputs!$B$18+Inputs!$B$19),0)+MAX(AU380,0)*(Inputs!$B$20+Inputs!$B$22+Inputs!$B$23)+MAX(-AU380,0)*(Inputs!$B$21+Inputs!$B$22+Inputs!$B$23)</f>
        <v>0</v>
      </c>
      <c r="AW380" s="30" t="n">
        <f aca="false">AP379*(M380-AR379*J380)+AP379*AR379*N380/Inputs!$B$16-AV380</f>
        <v>0</v>
      </c>
      <c r="AX380" s="30" t="n">
        <f aca="false">AW380-IF(AP379&lt;&gt;0,0.75*AR379*(Inputs!$B$13-N380)/Inputs!$B$16,0)</f>
        <v>0</v>
      </c>
      <c r="AY380" s="30" t="n">
        <f aca="false">MAX(AS380,0)*(Inputs!$B$17+Inputs!$B$18+Inputs!$B$19)+MAX(-AS380,0)*(O380+Inputs!$B$18+Inputs!$B$19)+IF(AND(K380=1,AP380&lt;&gt;0),(Inputs!$B$17+Inputs!$B$18+Inputs!$B$19)+(O380+Inputs!$B$18+Inputs!$B$19),0)</f>
        <v>0</v>
      </c>
      <c r="AZ380" s="30" t="n">
        <f aca="false">AP379*M380-AY380</f>
        <v>-0</v>
      </c>
      <c r="BA380" s="32" t="n">
        <f aca="false">BA379+AI380</f>
        <v>0.00164515276832129</v>
      </c>
      <c r="BB380" s="30" t="n">
        <f aca="false">MAX(BB379,BA380)</f>
        <v>0.00284866043860449</v>
      </c>
      <c r="BC380" s="32" t="n">
        <f aca="false">BA380-BB380</f>
        <v>-0.0012035076702832</v>
      </c>
      <c r="BD380" s="30" t="n">
        <f aca="false">A381-A380</f>
        <v>1</v>
      </c>
    </row>
    <row r="381" customFormat="false" ht="15" hidden="false" customHeight="false" outlineLevel="0" collapsed="false">
      <c r="A381" s="28" t="n">
        <v>45601</v>
      </c>
      <c r="B381" s="0" t="n">
        <v>24297</v>
      </c>
      <c r="C381" s="0" t="n">
        <v>270.88</v>
      </c>
      <c r="D381" s="29" t="n">
        <f aca="false">LN(B381)</f>
        <v>10.0981081649171</v>
      </c>
      <c r="E381" s="29" t="n">
        <f aca="false">LN(C381)</f>
        <v>5.60167591838483</v>
      </c>
      <c r="F381" s="0" t="n">
        <v>376</v>
      </c>
      <c r="G381" s="0" t="n">
        <v>23</v>
      </c>
      <c r="H381" s="29" t="n">
        <f aca="false">D381-E381</f>
        <v>4.49643224653228</v>
      </c>
      <c r="I381" s="29" t="n">
        <f aca="false">D381-D380</f>
        <v>0.0081410454383537</v>
      </c>
      <c r="J381" s="29" t="n">
        <f aca="false">E381-E380</f>
        <v>0.00867603974026299</v>
      </c>
      <c r="K381" s="0" t="n">
        <v>0</v>
      </c>
      <c r="L381" s="0" t="n">
        <v>0</v>
      </c>
      <c r="M381" s="29" t="n">
        <f aca="false">IF(L381=1,J381-Carry!$B$9/Inputs!$B$16,I381)</f>
        <v>0.0081410454383537</v>
      </c>
      <c r="N381" s="0" t="n">
        <v>0.065</v>
      </c>
      <c r="O381" s="0" t="n">
        <v>0.0002</v>
      </c>
      <c r="P381" s="29" t="n">
        <f aca="false">D381-('2 Hedge ratio'!$B$6+'2 Hedge ratio'!$B$5*E381)</f>
        <v>0.00444287810862321</v>
      </c>
      <c r="Q381" s="29" t="n">
        <f aca="false">D381-('5 Re-specification'!$B$7+'5 Re-specification'!$B$5*E381+'5 Re-specification'!$B$6*F381)</f>
        <v>-0.000899471821863784</v>
      </c>
      <c r="R381" s="30" t="n">
        <f aca="false">MIN(F381,Inputs!$B$9)</f>
        <v>250</v>
      </c>
      <c r="S381" s="29" t="n">
        <f aca="true">IF(AND(F381&gt;=1,R381&gt;=Inputs!$B$10),INDEX(LINEST(OFFSET(D381,-R381,0,R381,1),OFFSET(E381,-R381,0,R381,2)),1,1),"")</f>
        <v>-8.24630189255128E-005</v>
      </c>
      <c r="T381" s="29" t="n">
        <f aca="true">IF(AND(F381&gt;=1,R381&gt;=Inputs!$B$10),INDEX(LINEST(OFFSET(D381,-R381,0,R381,1),OFFSET(E381,-R381,0,R381,2)),1,2),"")</f>
        <v>1.01825096238505</v>
      </c>
      <c r="U381" s="29" t="n">
        <f aca="true">IF(AND(F381&gt;=1,R381&gt;=Inputs!$B$10),INDEX(LINEST(OFFSET(D381,-R381,0,R381,1),OFFSET(E381,-R381,0,R381,2)),1,3),"")</f>
        <v>4.42298090663118</v>
      </c>
      <c r="V381" s="29" t="n">
        <f aca="true">IF(AND(F381&gt;=1,R381&gt;=Inputs!$B$10),SQRT(SUMPRODUCT((OFFSET(D381,-R381,0,R381,1)-U381-T381*OFFSET(E381,-R381,0,R381,1)-S381*OFFSET(F381,-R381,0,R381,1))^2)/(R381-3)),"")</f>
        <v>0.00323731869899829</v>
      </c>
      <c r="W381" s="31" t="n">
        <f aca="false">IF(AND(F381&gt;=1,R381&gt;=Inputs!$B$10),(D381-U381-T381*E381-S381*F381)/V381,"")</f>
        <v>0.686203226784558</v>
      </c>
      <c r="X381" s="30" t="n">
        <f aca="false">IF(AB380&lt;&gt;0,AC380+1,0)</f>
        <v>0</v>
      </c>
      <c r="Y381" s="30" t="n">
        <f aca="false">IF(W381="",0,IF(AND(AB380&lt;&gt;0,OR(ABS(W381)&gt;Inputs!$B$7,X381&gt;=Inputs!$B$8,ABS(W381)&lt;Inputs!$B$6)),1,0))</f>
        <v>0</v>
      </c>
      <c r="Z381" s="30" t="n">
        <f aca="false">IF(Y381=1,0,AB380)</f>
        <v>0</v>
      </c>
      <c r="AA381" s="30" t="n">
        <f aca="false">IF(W381="",0,IF(AND(Z381=0,ABS(W381)&gt;Inputs!$B$5,ABS(W381)&lt;=Inputs!$B$7),1,0))</f>
        <v>0</v>
      </c>
      <c r="AB381" s="30" t="n">
        <f aca="false">IF(W381="",0,IF(AA381=1,-SIGN(W381),Z381))</f>
        <v>0</v>
      </c>
      <c r="AC381" s="30" t="n">
        <f aca="false">IF(W381="",0,IF(AA381=1,0,IF(Y381=1,0,X381)))</f>
        <v>0</v>
      </c>
      <c r="AD381" s="30" t="n">
        <f aca="false">IF(AB381=0,0,IF(AB380=AB381,AD380,T381))</f>
        <v>0</v>
      </c>
      <c r="AE381" s="30" t="n">
        <f aca="false">AB381-AB380</f>
        <v>0</v>
      </c>
      <c r="AF381" s="30" t="n">
        <f aca="false">-AD381*AB381</f>
        <v>-0</v>
      </c>
      <c r="AG381" s="30" t="n">
        <f aca="false">AF381-AF380</f>
        <v>0</v>
      </c>
      <c r="AH381" s="30" t="n">
        <f aca="false">MAX(AE381,0)*(Inputs!$B$17+Inputs!$B$18+Inputs!$B$19)+MAX(-AE381,0)*(O381+Inputs!$B$18+Inputs!$B$19)+IF(AND(K381=1,AB381&lt;&gt;0),(Inputs!$B$17+Inputs!$B$18+Inputs!$B$19)+(O381+Inputs!$B$18+Inputs!$B$19),0)+MAX(AG381,0)*(Inputs!$B$20+Inputs!$B$22+Inputs!$B$23)+MAX(-AG381,0)*(Inputs!$B$21+Inputs!$B$22+Inputs!$B$23)</f>
        <v>0</v>
      </c>
      <c r="AI381" s="30" t="n">
        <f aca="false">AB380*(M381-AD380*J381)+AB380*AD380*N381/Inputs!$B$16-AH381</f>
        <v>0</v>
      </c>
      <c r="AJ381" s="30" t="n">
        <f aca="false">MAX(AE381,0)*(Inputs!$B$17+Inputs!$B$24+Inputs!$B$25)+MAX(-AE381,0)*(O381+Inputs!$B$24+Inputs!$B$25)+IF(AND(K381=1,AB381&lt;&gt;0),(Inputs!$B$17+Inputs!$B$24+Inputs!$B$25)+(O381+Inputs!$B$24+Inputs!$B$25),0)+MAX(AG381,0)*(Inputs!$B$20+Inputs!$B$26+Inputs!$B$27)+MAX(-AG381,0)*(Inputs!$B$21+Inputs!$B$26+Inputs!$B$27)</f>
        <v>0</v>
      </c>
      <c r="AK381" s="30" t="n">
        <f aca="false">AB380*(M381-AD380*J381)+AB380*AD380*(N381+Inputs!$B$14)/Inputs!$B$16-AJ381</f>
        <v>0</v>
      </c>
      <c r="AL381" s="30" t="n">
        <f aca="false">IF(AP380&lt;&gt;0,AQ380+1,0)</f>
        <v>0</v>
      </c>
      <c r="AM381" s="30" t="n">
        <f aca="false">IF(W381="",0,IF(AND(AP380&lt;&gt;0,OR(ABS(W381)&gt;Inputs!$B$7,AL381&gt;=Inputs!$B$8,ABS(W381)&lt;Inputs!$B$6)),1,0))</f>
        <v>0</v>
      </c>
      <c r="AN381" s="30" t="n">
        <f aca="false">IF(AM381=1,0,AP380)</f>
        <v>0</v>
      </c>
      <c r="AO381" s="30" t="n">
        <f aca="false">IF(W381="",0,IF(AND(AN381=0,ABS(W381)&gt;Inputs!$B$5,ABS(W381)&lt;=Inputs!$B$7,W381&gt;0),1,0))</f>
        <v>0</v>
      </c>
      <c r="AP381" s="30" t="n">
        <f aca="false">IF(W381="",0,IF(AO381=1,-SIGN(W381),AN381))</f>
        <v>0</v>
      </c>
      <c r="AQ381" s="30" t="n">
        <f aca="false">IF(W381="",0,IF(AO381=1,0,IF(AM381=1,0,AL381)))</f>
        <v>0</v>
      </c>
      <c r="AR381" s="30" t="n">
        <f aca="false">IF(AP381=0,0,IF(AP380=AP381,AR380,T381))</f>
        <v>0</v>
      </c>
      <c r="AS381" s="30" t="n">
        <f aca="false">AP381-AP380</f>
        <v>0</v>
      </c>
      <c r="AT381" s="30" t="n">
        <f aca="false">-AR381*AP381</f>
        <v>-0</v>
      </c>
      <c r="AU381" s="30" t="n">
        <f aca="false">AT381-AT380</f>
        <v>0</v>
      </c>
      <c r="AV381" s="30" t="n">
        <f aca="false">MAX(AS381,0)*(Inputs!$B$17+Inputs!$B$18+Inputs!$B$19)+MAX(-AS381,0)*(O381+Inputs!$B$18+Inputs!$B$19)+IF(AND(K381=1,AP381&lt;&gt;0),(Inputs!$B$17+Inputs!$B$18+Inputs!$B$19)+(O381+Inputs!$B$18+Inputs!$B$19),0)+MAX(AU381,0)*(Inputs!$B$20+Inputs!$B$22+Inputs!$B$23)+MAX(-AU381,0)*(Inputs!$B$21+Inputs!$B$22+Inputs!$B$23)</f>
        <v>0</v>
      </c>
      <c r="AW381" s="30" t="n">
        <f aca="false">AP380*(M381-AR380*J381)+AP380*AR380*N381/Inputs!$B$16-AV381</f>
        <v>0</v>
      </c>
      <c r="AX381" s="30" t="n">
        <f aca="false">AW381-IF(AP380&lt;&gt;0,0.75*AR380*(Inputs!$B$13-N381)/Inputs!$B$16,0)</f>
        <v>0</v>
      </c>
      <c r="AY381" s="30" t="n">
        <f aca="false">MAX(AS381,0)*(Inputs!$B$17+Inputs!$B$18+Inputs!$B$19)+MAX(-AS381,0)*(O381+Inputs!$B$18+Inputs!$B$19)+IF(AND(K381=1,AP381&lt;&gt;0),(Inputs!$B$17+Inputs!$B$18+Inputs!$B$19)+(O381+Inputs!$B$18+Inputs!$B$19),0)</f>
        <v>0</v>
      </c>
      <c r="AZ381" s="30" t="n">
        <f aca="false">AP380*M381-AY381</f>
        <v>0</v>
      </c>
      <c r="BA381" s="32" t="n">
        <f aca="false">BA380+AI381</f>
        <v>0.00164515276832129</v>
      </c>
      <c r="BB381" s="30" t="n">
        <f aca="false">MAX(BB380,BA381)</f>
        <v>0.00284866043860449</v>
      </c>
      <c r="BC381" s="32" t="n">
        <f aca="false">BA381-BB381</f>
        <v>-0.0012035076702832</v>
      </c>
      <c r="BD381" s="30" t="n">
        <f aca="false">A382-A381</f>
        <v>1</v>
      </c>
    </row>
    <row r="382" customFormat="false" ht="15" hidden="false" customHeight="false" outlineLevel="0" collapsed="false">
      <c r="A382" s="28" t="n">
        <v>45602</v>
      </c>
      <c r="B382" s="0" t="n">
        <v>24590.75</v>
      </c>
      <c r="C382" s="0" t="n">
        <v>274.2</v>
      </c>
      <c r="D382" s="29" t="n">
        <f aca="false">LN(B382)</f>
        <v>10.1101256349485</v>
      </c>
      <c r="E382" s="29" t="n">
        <f aca="false">LN(C382)</f>
        <v>5.61385776712821</v>
      </c>
      <c r="F382" s="0" t="n">
        <v>377</v>
      </c>
      <c r="G382" s="0" t="n">
        <v>22</v>
      </c>
      <c r="H382" s="29" t="n">
        <f aca="false">D382-E382</f>
        <v>4.49626786782024</v>
      </c>
      <c r="I382" s="29" t="n">
        <f aca="false">D382-D381</f>
        <v>0.0120174700313509</v>
      </c>
      <c r="J382" s="29" t="n">
        <f aca="false">E382-E381</f>
        <v>0.0121818487433885</v>
      </c>
      <c r="K382" s="0" t="n">
        <v>0</v>
      </c>
      <c r="L382" s="0" t="n">
        <v>0</v>
      </c>
      <c r="M382" s="29" t="n">
        <f aca="false">IF(L382=1,J382-Carry!$B$9/Inputs!$B$16,I382)</f>
        <v>0.0120174700313509</v>
      </c>
      <c r="N382" s="0" t="n">
        <v>0.065</v>
      </c>
      <c r="O382" s="0" t="n">
        <v>0.0002</v>
      </c>
      <c r="P382" s="29" t="n">
        <f aca="false">D382-('2 Hedge ratio'!$B$6+'2 Hedge ratio'!$B$5*E382)</f>
        <v>0.00530023052905726</v>
      </c>
      <c r="Q382" s="29" t="n">
        <f aca="false">D382-('5 Re-specification'!$B$7+'5 Re-specification'!$B$5*E382+'5 Re-specification'!$B$6*F382)</f>
        <v>-0.000982004122930036</v>
      </c>
      <c r="R382" s="30" t="n">
        <f aca="false">MIN(F382,Inputs!$B$9)</f>
        <v>250</v>
      </c>
      <c r="S382" s="29" t="n">
        <f aca="true">IF(AND(F382&gt;=1,R382&gt;=Inputs!$B$10),INDEX(LINEST(OFFSET(D382,-R382,0,R382,1),OFFSET(E382,-R382,0,R382,2)),1,1),"")</f>
        <v>-8.03399158110257E-005</v>
      </c>
      <c r="T382" s="29" t="n">
        <f aca="true">IF(AND(F382&gt;=1,R382&gt;=Inputs!$B$10),INDEX(LINEST(OFFSET(D382,-R382,0,R382,1),OFFSET(E382,-R382,0,R382,2)),1,2),"")</f>
        <v>1.01615290955372</v>
      </c>
      <c r="U382" s="29" t="n">
        <f aca="true">IF(AND(F382&gt;=1,R382&gt;=Inputs!$B$10),INDEX(LINEST(OFFSET(D382,-R382,0,R382,1),OFFSET(E382,-R382,0,R382,2)),1,3),"")</f>
        <v>4.43408010918448</v>
      </c>
      <c r="V382" s="29" t="n">
        <f aca="true">IF(AND(F382&gt;=1,R382&gt;=Inputs!$B$10),SQRT(SUMPRODUCT((OFFSET(D382,-R382,0,R382,1)-U382-T382*OFFSET(E382,-R382,0,R382,1)-S382*OFFSET(F382,-R382,0,R382,1))^2)/(R382-3)),"")</f>
        <v>0.00323623743739644</v>
      </c>
      <c r="W382" s="31" t="n">
        <f aca="false">IF(AND(F382&gt;=1,R382&gt;=Inputs!$B$10),(D382-U382-T382*E382-S382*F382)/V382,"")</f>
        <v>0.554894432626077</v>
      </c>
      <c r="X382" s="30" t="n">
        <f aca="false">IF(AB381&lt;&gt;0,AC381+1,0)</f>
        <v>0</v>
      </c>
      <c r="Y382" s="30" t="n">
        <f aca="false">IF(W382="",0,IF(AND(AB381&lt;&gt;0,OR(ABS(W382)&gt;Inputs!$B$7,X382&gt;=Inputs!$B$8,ABS(W382)&lt;Inputs!$B$6)),1,0))</f>
        <v>0</v>
      </c>
      <c r="Z382" s="30" t="n">
        <f aca="false">IF(Y382=1,0,AB381)</f>
        <v>0</v>
      </c>
      <c r="AA382" s="30" t="n">
        <f aca="false">IF(W382="",0,IF(AND(Z382=0,ABS(W382)&gt;Inputs!$B$5,ABS(W382)&lt;=Inputs!$B$7),1,0))</f>
        <v>0</v>
      </c>
      <c r="AB382" s="30" t="n">
        <f aca="false">IF(W382="",0,IF(AA382=1,-SIGN(W382),Z382))</f>
        <v>0</v>
      </c>
      <c r="AC382" s="30" t="n">
        <f aca="false">IF(W382="",0,IF(AA382=1,0,IF(Y382=1,0,X382)))</f>
        <v>0</v>
      </c>
      <c r="AD382" s="30" t="n">
        <f aca="false">IF(AB382=0,0,IF(AB381=AB382,AD381,T382))</f>
        <v>0</v>
      </c>
      <c r="AE382" s="30" t="n">
        <f aca="false">AB382-AB381</f>
        <v>0</v>
      </c>
      <c r="AF382" s="30" t="n">
        <f aca="false">-AD382*AB382</f>
        <v>-0</v>
      </c>
      <c r="AG382" s="30" t="n">
        <f aca="false">AF382-AF381</f>
        <v>0</v>
      </c>
      <c r="AH382" s="30" t="n">
        <f aca="false">MAX(AE382,0)*(Inputs!$B$17+Inputs!$B$18+Inputs!$B$19)+MAX(-AE382,0)*(O382+Inputs!$B$18+Inputs!$B$19)+IF(AND(K382=1,AB382&lt;&gt;0),(Inputs!$B$17+Inputs!$B$18+Inputs!$B$19)+(O382+Inputs!$B$18+Inputs!$B$19),0)+MAX(AG382,0)*(Inputs!$B$20+Inputs!$B$22+Inputs!$B$23)+MAX(-AG382,0)*(Inputs!$B$21+Inputs!$B$22+Inputs!$B$23)</f>
        <v>0</v>
      </c>
      <c r="AI382" s="30" t="n">
        <f aca="false">AB381*(M382-AD381*J382)+AB381*AD381*N382/Inputs!$B$16-AH382</f>
        <v>0</v>
      </c>
      <c r="AJ382" s="30" t="n">
        <f aca="false">MAX(AE382,0)*(Inputs!$B$17+Inputs!$B$24+Inputs!$B$25)+MAX(-AE382,0)*(O382+Inputs!$B$24+Inputs!$B$25)+IF(AND(K382=1,AB382&lt;&gt;0),(Inputs!$B$17+Inputs!$B$24+Inputs!$B$25)+(O382+Inputs!$B$24+Inputs!$B$25),0)+MAX(AG382,0)*(Inputs!$B$20+Inputs!$B$26+Inputs!$B$27)+MAX(-AG382,0)*(Inputs!$B$21+Inputs!$B$26+Inputs!$B$27)</f>
        <v>0</v>
      </c>
      <c r="AK382" s="30" t="n">
        <f aca="false">AB381*(M382-AD381*J382)+AB381*AD381*(N382+Inputs!$B$14)/Inputs!$B$16-AJ382</f>
        <v>0</v>
      </c>
      <c r="AL382" s="30" t="n">
        <f aca="false">IF(AP381&lt;&gt;0,AQ381+1,0)</f>
        <v>0</v>
      </c>
      <c r="AM382" s="30" t="n">
        <f aca="false">IF(W382="",0,IF(AND(AP381&lt;&gt;0,OR(ABS(W382)&gt;Inputs!$B$7,AL382&gt;=Inputs!$B$8,ABS(W382)&lt;Inputs!$B$6)),1,0))</f>
        <v>0</v>
      </c>
      <c r="AN382" s="30" t="n">
        <f aca="false">IF(AM382=1,0,AP381)</f>
        <v>0</v>
      </c>
      <c r="AO382" s="30" t="n">
        <f aca="false">IF(W382="",0,IF(AND(AN382=0,ABS(W382)&gt;Inputs!$B$5,ABS(W382)&lt;=Inputs!$B$7,W382&gt;0),1,0))</f>
        <v>0</v>
      </c>
      <c r="AP382" s="30" t="n">
        <f aca="false">IF(W382="",0,IF(AO382=1,-SIGN(W382),AN382))</f>
        <v>0</v>
      </c>
      <c r="AQ382" s="30" t="n">
        <f aca="false">IF(W382="",0,IF(AO382=1,0,IF(AM382=1,0,AL382)))</f>
        <v>0</v>
      </c>
      <c r="AR382" s="30" t="n">
        <f aca="false">IF(AP382=0,0,IF(AP381=AP382,AR381,T382))</f>
        <v>0</v>
      </c>
      <c r="AS382" s="30" t="n">
        <f aca="false">AP382-AP381</f>
        <v>0</v>
      </c>
      <c r="AT382" s="30" t="n">
        <f aca="false">-AR382*AP382</f>
        <v>-0</v>
      </c>
      <c r="AU382" s="30" t="n">
        <f aca="false">AT382-AT381</f>
        <v>0</v>
      </c>
      <c r="AV382" s="30" t="n">
        <f aca="false">MAX(AS382,0)*(Inputs!$B$17+Inputs!$B$18+Inputs!$B$19)+MAX(-AS382,0)*(O382+Inputs!$B$18+Inputs!$B$19)+IF(AND(K382=1,AP382&lt;&gt;0),(Inputs!$B$17+Inputs!$B$18+Inputs!$B$19)+(O382+Inputs!$B$18+Inputs!$B$19),0)+MAX(AU382,0)*(Inputs!$B$20+Inputs!$B$22+Inputs!$B$23)+MAX(-AU382,0)*(Inputs!$B$21+Inputs!$B$22+Inputs!$B$23)</f>
        <v>0</v>
      </c>
      <c r="AW382" s="30" t="n">
        <f aca="false">AP381*(M382-AR381*J382)+AP381*AR381*N382/Inputs!$B$16-AV382</f>
        <v>0</v>
      </c>
      <c r="AX382" s="30" t="n">
        <f aca="false">AW382-IF(AP381&lt;&gt;0,0.75*AR381*(Inputs!$B$13-N382)/Inputs!$B$16,0)</f>
        <v>0</v>
      </c>
      <c r="AY382" s="30" t="n">
        <f aca="false">MAX(AS382,0)*(Inputs!$B$17+Inputs!$B$18+Inputs!$B$19)+MAX(-AS382,0)*(O382+Inputs!$B$18+Inputs!$B$19)+IF(AND(K382=1,AP382&lt;&gt;0),(Inputs!$B$17+Inputs!$B$18+Inputs!$B$19)+(O382+Inputs!$B$18+Inputs!$B$19),0)</f>
        <v>0</v>
      </c>
      <c r="AZ382" s="30" t="n">
        <f aca="false">AP381*M382-AY382</f>
        <v>0</v>
      </c>
      <c r="BA382" s="32" t="n">
        <f aca="false">BA381+AI382</f>
        <v>0.00164515276832129</v>
      </c>
      <c r="BB382" s="30" t="n">
        <f aca="false">MAX(BB381,BA382)</f>
        <v>0.00284866043860449</v>
      </c>
      <c r="BC382" s="32" t="n">
        <f aca="false">BA382-BB382</f>
        <v>-0.0012035076702832</v>
      </c>
      <c r="BD382" s="30" t="n">
        <f aca="false">A383-A382</f>
        <v>1</v>
      </c>
    </row>
    <row r="383" customFormat="false" ht="15" hidden="false" customHeight="false" outlineLevel="0" collapsed="false">
      <c r="A383" s="28" t="n">
        <v>45603</v>
      </c>
      <c r="B383" s="0" t="n">
        <v>24283.35</v>
      </c>
      <c r="C383" s="0" t="n">
        <v>270.75</v>
      </c>
      <c r="D383" s="29" t="n">
        <f aca="false">LN(B383)</f>
        <v>10.0975462092968</v>
      </c>
      <c r="E383" s="29" t="n">
        <f aca="false">LN(C383)</f>
        <v>5.6011958858811</v>
      </c>
      <c r="F383" s="0" t="n">
        <v>378</v>
      </c>
      <c r="G383" s="0" t="n">
        <v>21</v>
      </c>
      <c r="H383" s="29" t="n">
        <f aca="false">D383-E383</f>
        <v>4.4963503234157</v>
      </c>
      <c r="I383" s="29" t="n">
        <f aca="false">D383-D382</f>
        <v>-0.0125794256516478</v>
      </c>
      <c r="J383" s="29" t="n">
        <f aca="false">E383-E382</f>
        <v>-0.012661881247114</v>
      </c>
      <c r="K383" s="0" t="n">
        <v>0</v>
      </c>
      <c r="L383" s="0" t="n">
        <v>0</v>
      </c>
      <c r="M383" s="29" t="n">
        <f aca="false">IF(L383=1,J383-Carry!$B$9/Inputs!$B$16,I383)</f>
        <v>-0.0125794256516478</v>
      </c>
      <c r="N383" s="0" t="n">
        <v>0.065</v>
      </c>
      <c r="O383" s="0" t="n">
        <v>0.0002</v>
      </c>
      <c r="P383" s="29" t="n">
        <f aca="false">D383-('2 Hedge ratio'!$B$6+'2 Hedge ratio'!$B$5*E383)</f>
        <v>0.00432069311029615</v>
      </c>
      <c r="Q383" s="29" t="n">
        <f aca="false">D383-('5 Re-specification'!$B$7+'5 Re-specification'!$B$5*E383+'5 Re-specification'!$B$6*F383)</f>
        <v>-0.000892991040757352</v>
      </c>
      <c r="R383" s="30" t="n">
        <f aca="false">MIN(F383,Inputs!$B$9)</f>
        <v>250</v>
      </c>
      <c r="S383" s="29" t="n">
        <f aca="true">IF(AND(F383&gt;=1,R383&gt;=Inputs!$B$10),INDEX(LINEST(OFFSET(D383,-R383,0,R383,1),OFFSET(E383,-R383,0,R383,2)),1,1),"")</f>
        <v>-7.89700717867544E-005</v>
      </c>
      <c r="T383" s="29" t="n">
        <f aca="true">IF(AND(F383&gt;=1,R383&gt;=Inputs!$B$10),INDEX(LINEST(OFFSET(D383,-R383,0,R383,1),OFFSET(E383,-R383,0,R383,2)),1,2),"")</f>
        <v>1.01480232972864</v>
      </c>
      <c r="U383" s="29" t="n">
        <f aca="true">IF(AND(F383&gt;=1,R383&gt;=Inputs!$B$10),INDEX(LINEST(OFFSET(D383,-R383,0,R383,1),OFFSET(E383,-R383,0,R383,2)),1,3),"")</f>
        <v>4.44122646474553</v>
      </c>
      <c r="V383" s="29" t="n">
        <f aca="true">IF(AND(F383&gt;=1,R383&gt;=Inputs!$B$10),SQRT(SUMPRODUCT((OFFSET(D383,-R383,0,R383,1)-U383-T383*OFFSET(E383,-R383,0,R383,1)-S383*OFFSET(F383,-R383,0,R383,1))^2)/(R383-3)),"")</f>
        <v>0.00323611604151659</v>
      </c>
      <c r="W383" s="31" t="n">
        <f aca="false">IF(AND(F383&gt;=1,R383&gt;=Inputs!$B$10),(D383-U383-T383*E383-S383*F383)/V383,"")</f>
        <v>0.637739006129802</v>
      </c>
      <c r="X383" s="30" t="n">
        <f aca="false">IF(AB382&lt;&gt;0,AC382+1,0)</f>
        <v>0</v>
      </c>
      <c r="Y383" s="30" t="n">
        <f aca="false">IF(W383="",0,IF(AND(AB382&lt;&gt;0,OR(ABS(W383)&gt;Inputs!$B$7,X383&gt;=Inputs!$B$8,ABS(W383)&lt;Inputs!$B$6)),1,0))</f>
        <v>0</v>
      </c>
      <c r="Z383" s="30" t="n">
        <f aca="false">IF(Y383=1,0,AB382)</f>
        <v>0</v>
      </c>
      <c r="AA383" s="30" t="n">
        <f aca="false">IF(W383="",0,IF(AND(Z383=0,ABS(W383)&gt;Inputs!$B$5,ABS(W383)&lt;=Inputs!$B$7),1,0))</f>
        <v>0</v>
      </c>
      <c r="AB383" s="30" t="n">
        <f aca="false">IF(W383="",0,IF(AA383=1,-SIGN(W383),Z383))</f>
        <v>0</v>
      </c>
      <c r="AC383" s="30" t="n">
        <f aca="false">IF(W383="",0,IF(AA383=1,0,IF(Y383=1,0,X383)))</f>
        <v>0</v>
      </c>
      <c r="AD383" s="30" t="n">
        <f aca="false">IF(AB383=0,0,IF(AB382=AB383,AD382,T383))</f>
        <v>0</v>
      </c>
      <c r="AE383" s="30" t="n">
        <f aca="false">AB383-AB382</f>
        <v>0</v>
      </c>
      <c r="AF383" s="30" t="n">
        <f aca="false">-AD383*AB383</f>
        <v>-0</v>
      </c>
      <c r="AG383" s="30" t="n">
        <f aca="false">AF383-AF382</f>
        <v>0</v>
      </c>
      <c r="AH383" s="30" t="n">
        <f aca="false">MAX(AE383,0)*(Inputs!$B$17+Inputs!$B$18+Inputs!$B$19)+MAX(-AE383,0)*(O383+Inputs!$B$18+Inputs!$B$19)+IF(AND(K383=1,AB383&lt;&gt;0),(Inputs!$B$17+Inputs!$B$18+Inputs!$B$19)+(O383+Inputs!$B$18+Inputs!$B$19),0)+MAX(AG383,0)*(Inputs!$B$20+Inputs!$B$22+Inputs!$B$23)+MAX(-AG383,0)*(Inputs!$B$21+Inputs!$B$22+Inputs!$B$23)</f>
        <v>0</v>
      </c>
      <c r="AI383" s="30" t="n">
        <f aca="false">AB382*(M383-AD382*J383)+AB382*AD382*N383/Inputs!$B$16-AH383</f>
        <v>0</v>
      </c>
      <c r="AJ383" s="30" t="n">
        <f aca="false">MAX(AE383,0)*(Inputs!$B$17+Inputs!$B$24+Inputs!$B$25)+MAX(-AE383,0)*(O383+Inputs!$B$24+Inputs!$B$25)+IF(AND(K383=1,AB383&lt;&gt;0),(Inputs!$B$17+Inputs!$B$24+Inputs!$B$25)+(O383+Inputs!$B$24+Inputs!$B$25),0)+MAX(AG383,0)*(Inputs!$B$20+Inputs!$B$26+Inputs!$B$27)+MAX(-AG383,0)*(Inputs!$B$21+Inputs!$B$26+Inputs!$B$27)</f>
        <v>0</v>
      </c>
      <c r="AK383" s="30" t="n">
        <f aca="false">AB382*(M383-AD382*J383)+AB382*AD382*(N383+Inputs!$B$14)/Inputs!$B$16-AJ383</f>
        <v>0</v>
      </c>
      <c r="AL383" s="30" t="n">
        <f aca="false">IF(AP382&lt;&gt;0,AQ382+1,0)</f>
        <v>0</v>
      </c>
      <c r="AM383" s="30" t="n">
        <f aca="false">IF(W383="",0,IF(AND(AP382&lt;&gt;0,OR(ABS(W383)&gt;Inputs!$B$7,AL383&gt;=Inputs!$B$8,ABS(W383)&lt;Inputs!$B$6)),1,0))</f>
        <v>0</v>
      </c>
      <c r="AN383" s="30" t="n">
        <f aca="false">IF(AM383=1,0,AP382)</f>
        <v>0</v>
      </c>
      <c r="AO383" s="30" t="n">
        <f aca="false">IF(W383="",0,IF(AND(AN383=0,ABS(W383)&gt;Inputs!$B$5,ABS(W383)&lt;=Inputs!$B$7,W383&gt;0),1,0))</f>
        <v>0</v>
      </c>
      <c r="AP383" s="30" t="n">
        <f aca="false">IF(W383="",0,IF(AO383=1,-SIGN(W383),AN383))</f>
        <v>0</v>
      </c>
      <c r="AQ383" s="30" t="n">
        <f aca="false">IF(W383="",0,IF(AO383=1,0,IF(AM383=1,0,AL383)))</f>
        <v>0</v>
      </c>
      <c r="AR383" s="30" t="n">
        <f aca="false">IF(AP383=0,0,IF(AP382=AP383,AR382,T383))</f>
        <v>0</v>
      </c>
      <c r="AS383" s="30" t="n">
        <f aca="false">AP383-AP382</f>
        <v>0</v>
      </c>
      <c r="AT383" s="30" t="n">
        <f aca="false">-AR383*AP383</f>
        <v>-0</v>
      </c>
      <c r="AU383" s="30" t="n">
        <f aca="false">AT383-AT382</f>
        <v>0</v>
      </c>
      <c r="AV383" s="30" t="n">
        <f aca="false">MAX(AS383,0)*(Inputs!$B$17+Inputs!$B$18+Inputs!$B$19)+MAX(-AS383,0)*(O383+Inputs!$B$18+Inputs!$B$19)+IF(AND(K383=1,AP383&lt;&gt;0),(Inputs!$B$17+Inputs!$B$18+Inputs!$B$19)+(O383+Inputs!$B$18+Inputs!$B$19),0)+MAX(AU383,0)*(Inputs!$B$20+Inputs!$B$22+Inputs!$B$23)+MAX(-AU383,0)*(Inputs!$B$21+Inputs!$B$22+Inputs!$B$23)</f>
        <v>0</v>
      </c>
      <c r="AW383" s="30" t="n">
        <f aca="false">AP382*(M383-AR382*J383)+AP382*AR382*N383/Inputs!$B$16-AV383</f>
        <v>0</v>
      </c>
      <c r="AX383" s="30" t="n">
        <f aca="false">AW383-IF(AP382&lt;&gt;0,0.75*AR382*(Inputs!$B$13-N383)/Inputs!$B$16,0)</f>
        <v>0</v>
      </c>
      <c r="AY383" s="30" t="n">
        <f aca="false">MAX(AS383,0)*(Inputs!$B$17+Inputs!$B$18+Inputs!$B$19)+MAX(-AS383,0)*(O383+Inputs!$B$18+Inputs!$B$19)+IF(AND(K383=1,AP383&lt;&gt;0),(Inputs!$B$17+Inputs!$B$18+Inputs!$B$19)+(O383+Inputs!$B$18+Inputs!$B$19),0)</f>
        <v>0</v>
      </c>
      <c r="AZ383" s="30" t="n">
        <f aca="false">AP382*M383-AY383</f>
        <v>-0</v>
      </c>
      <c r="BA383" s="32" t="n">
        <f aca="false">BA382+AI383</f>
        <v>0.00164515276832129</v>
      </c>
      <c r="BB383" s="30" t="n">
        <f aca="false">MAX(BB382,BA383)</f>
        <v>0.00284866043860449</v>
      </c>
      <c r="BC383" s="32" t="n">
        <f aca="false">BA383-BB383</f>
        <v>-0.0012035076702832</v>
      </c>
      <c r="BD383" s="30" t="n">
        <f aca="false">A384-A383</f>
        <v>1</v>
      </c>
    </row>
    <row r="384" customFormat="false" ht="15" hidden="false" customHeight="false" outlineLevel="0" collapsed="false">
      <c r="A384" s="28" t="n">
        <v>45604</v>
      </c>
      <c r="B384" s="0" t="n">
        <v>24203.95</v>
      </c>
      <c r="C384" s="0" t="n">
        <v>269.7</v>
      </c>
      <c r="D384" s="29" t="n">
        <f aca="false">LN(B384)</f>
        <v>10.0942711219658</v>
      </c>
      <c r="E384" s="29" t="n">
        <f aca="false">LN(C384)</f>
        <v>5.59731023014568</v>
      </c>
      <c r="F384" s="0" t="n">
        <v>379</v>
      </c>
      <c r="G384" s="0" t="n">
        <v>20</v>
      </c>
      <c r="H384" s="29" t="n">
        <f aca="false">D384-E384</f>
        <v>4.49696089182014</v>
      </c>
      <c r="I384" s="29" t="n">
        <f aca="false">D384-D383</f>
        <v>-0.00327508733097659</v>
      </c>
      <c r="J384" s="29" t="n">
        <f aca="false">E384-E383</f>
        <v>-0.00388565573541566</v>
      </c>
      <c r="K384" s="0" t="n">
        <v>0</v>
      </c>
      <c r="L384" s="0" t="n">
        <v>0</v>
      </c>
      <c r="M384" s="29" t="n">
        <f aca="false">IF(L384=1,J384-Carry!$B$9/Inputs!$B$16,I384)</f>
        <v>-0.00327508733097659</v>
      </c>
      <c r="N384" s="0" t="n">
        <v>0.065</v>
      </c>
      <c r="O384" s="0" t="n">
        <v>0.0002</v>
      </c>
      <c r="P384" s="29" t="n">
        <f aca="false">D384-('2 Hedge ratio'!$B$6+'2 Hedge ratio'!$B$5*E384)</f>
        <v>0.00460535897575376</v>
      </c>
      <c r="Q384" s="29" t="n">
        <f aca="false">D384-('5 Re-specification'!$B$7+'5 Re-specification'!$B$5*E384+'5 Re-specification'!$B$6*F384)</f>
        <v>-0.000249268798008018</v>
      </c>
      <c r="R384" s="30" t="n">
        <f aca="false">MIN(F384,Inputs!$B$9)</f>
        <v>250</v>
      </c>
      <c r="S384" s="29" t="n">
        <f aca="true">IF(AND(F384&gt;=1,R384&gt;=Inputs!$B$10),INDEX(LINEST(OFFSET(D384,-R384,0,R384,1),OFFSET(E384,-R384,0,R384,2)),1,1),"")</f>
        <v>-7.71905183891327E-005</v>
      </c>
      <c r="T384" s="29" t="n">
        <f aca="true">IF(AND(F384&gt;=1,R384&gt;=Inputs!$B$10),INDEX(LINEST(OFFSET(D384,-R384,0,R384,1),OFFSET(E384,-R384,0,R384,2)),1,2),"")</f>
        <v>1.01300824361297</v>
      </c>
      <c r="U384" s="29" t="n">
        <f aca="true">IF(AND(F384&gt;=1,R384&gt;=Inputs!$B$10),INDEX(LINEST(OFFSET(D384,-R384,0,R384,1),OFFSET(E384,-R384,0,R384,2)),1,3),"")</f>
        <v>4.45072792880748</v>
      </c>
      <c r="V384" s="29" t="n">
        <f aca="true">IF(AND(F384&gt;=1,R384&gt;=Inputs!$B$10),SQRT(SUMPRODUCT((OFFSET(D384,-R384,0,R384,1)-U384-T384*OFFSET(E384,-R384,0,R384,1)-S384*OFFSET(F384,-R384,0,R384,1))^2)/(R384-3)),"")</f>
        <v>0.00323531858572843</v>
      </c>
      <c r="W384" s="31" t="n">
        <f aca="false">IF(AND(F384&gt;=1,R384&gt;=Inputs!$B$10),(D384-U384-T384*E384-S384*F384)/V384,"")</f>
        <v>0.827428384598071</v>
      </c>
      <c r="X384" s="30" t="n">
        <f aca="false">IF(AB383&lt;&gt;0,AC383+1,0)</f>
        <v>0</v>
      </c>
      <c r="Y384" s="30" t="n">
        <f aca="false">IF(W384="",0,IF(AND(AB383&lt;&gt;0,OR(ABS(W384)&gt;Inputs!$B$7,X384&gt;=Inputs!$B$8,ABS(W384)&lt;Inputs!$B$6)),1,0))</f>
        <v>0</v>
      </c>
      <c r="Z384" s="30" t="n">
        <f aca="false">IF(Y384=1,0,AB383)</f>
        <v>0</v>
      </c>
      <c r="AA384" s="30" t="n">
        <f aca="false">IF(W384="",0,IF(AND(Z384=0,ABS(W384)&gt;Inputs!$B$5,ABS(W384)&lt;=Inputs!$B$7),1,0))</f>
        <v>0</v>
      </c>
      <c r="AB384" s="30" t="n">
        <f aca="false">IF(W384="",0,IF(AA384=1,-SIGN(W384),Z384))</f>
        <v>0</v>
      </c>
      <c r="AC384" s="30" t="n">
        <f aca="false">IF(W384="",0,IF(AA384=1,0,IF(Y384=1,0,X384)))</f>
        <v>0</v>
      </c>
      <c r="AD384" s="30" t="n">
        <f aca="false">IF(AB384=0,0,IF(AB383=AB384,AD383,T384))</f>
        <v>0</v>
      </c>
      <c r="AE384" s="30" t="n">
        <f aca="false">AB384-AB383</f>
        <v>0</v>
      </c>
      <c r="AF384" s="30" t="n">
        <f aca="false">-AD384*AB384</f>
        <v>-0</v>
      </c>
      <c r="AG384" s="30" t="n">
        <f aca="false">AF384-AF383</f>
        <v>0</v>
      </c>
      <c r="AH384" s="30" t="n">
        <f aca="false">MAX(AE384,0)*(Inputs!$B$17+Inputs!$B$18+Inputs!$B$19)+MAX(-AE384,0)*(O384+Inputs!$B$18+Inputs!$B$19)+IF(AND(K384=1,AB384&lt;&gt;0),(Inputs!$B$17+Inputs!$B$18+Inputs!$B$19)+(O384+Inputs!$B$18+Inputs!$B$19),0)+MAX(AG384,0)*(Inputs!$B$20+Inputs!$B$22+Inputs!$B$23)+MAX(-AG384,0)*(Inputs!$B$21+Inputs!$B$22+Inputs!$B$23)</f>
        <v>0</v>
      </c>
      <c r="AI384" s="30" t="n">
        <f aca="false">AB383*(M384-AD383*J384)+AB383*AD383*N384/Inputs!$B$16-AH384</f>
        <v>0</v>
      </c>
      <c r="AJ384" s="30" t="n">
        <f aca="false">MAX(AE384,0)*(Inputs!$B$17+Inputs!$B$24+Inputs!$B$25)+MAX(-AE384,0)*(O384+Inputs!$B$24+Inputs!$B$25)+IF(AND(K384=1,AB384&lt;&gt;0),(Inputs!$B$17+Inputs!$B$24+Inputs!$B$25)+(O384+Inputs!$B$24+Inputs!$B$25),0)+MAX(AG384,0)*(Inputs!$B$20+Inputs!$B$26+Inputs!$B$27)+MAX(-AG384,0)*(Inputs!$B$21+Inputs!$B$26+Inputs!$B$27)</f>
        <v>0</v>
      </c>
      <c r="AK384" s="30" t="n">
        <f aca="false">AB383*(M384-AD383*J384)+AB383*AD383*(N384+Inputs!$B$14)/Inputs!$B$16-AJ384</f>
        <v>0</v>
      </c>
      <c r="AL384" s="30" t="n">
        <f aca="false">IF(AP383&lt;&gt;0,AQ383+1,0)</f>
        <v>0</v>
      </c>
      <c r="AM384" s="30" t="n">
        <f aca="false">IF(W384="",0,IF(AND(AP383&lt;&gt;0,OR(ABS(W384)&gt;Inputs!$B$7,AL384&gt;=Inputs!$B$8,ABS(W384)&lt;Inputs!$B$6)),1,0))</f>
        <v>0</v>
      </c>
      <c r="AN384" s="30" t="n">
        <f aca="false">IF(AM384=1,0,AP383)</f>
        <v>0</v>
      </c>
      <c r="AO384" s="30" t="n">
        <f aca="false">IF(W384="",0,IF(AND(AN384=0,ABS(W384)&gt;Inputs!$B$5,ABS(W384)&lt;=Inputs!$B$7,W384&gt;0),1,0))</f>
        <v>0</v>
      </c>
      <c r="AP384" s="30" t="n">
        <f aca="false">IF(W384="",0,IF(AO384=1,-SIGN(W384),AN384))</f>
        <v>0</v>
      </c>
      <c r="AQ384" s="30" t="n">
        <f aca="false">IF(W384="",0,IF(AO384=1,0,IF(AM384=1,0,AL384)))</f>
        <v>0</v>
      </c>
      <c r="AR384" s="30" t="n">
        <f aca="false">IF(AP384=0,0,IF(AP383=AP384,AR383,T384))</f>
        <v>0</v>
      </c>
      <c r="AS384" s="30" t="n">
        <f aca="false">AP384-AP383</f>
        <v>0</v>
      </c>
      <c r="AT384" s="30" t="n">
        <f aca="false">-AR384*AP384</f>
        <v>-0</v>
      </c>
      <c r="AU384" s="30" t="n">
        <f aca="false">AT384-AT383</f>
        <v>0</v>
      </c>
      <c r="AV384" s="30" t="n">
        <f aca="false">MAX(AS384,0)*(Inputs!$B$17+Inputs!$B$18+Inputs!$B$19)+MAX(-AS384,0)*(O384+Inputs!$B$18+Inputs!$B$19)+IF(AND(K384=1,AP384&lt;&gt;0),(Inputs!$B$17+Inputs!$B$18+Inputs!$B$19)+(O384+Inputs!$B$18+Inputs!$B$19),0)+MAX(AU384,0)*(Inputs!$B$20+Inputs!$B$22+Inputs!$B$23)+MAX(-AU384,0)*(Inputs!$B$21+Inputs!$B$22+Inputs!$B$23)</f>
        <v>0</v>
      </c>
      <c r="AW384" s="30" t="n">
        <f aca="false">AP383*(M384-AR383*J384)+AP383*AR383*N384/Inputs!$B$16-AV384</f>
        <v>0</v>
      </c>
      <c r="AX384" s="30" t="n">
        <f aca="false">AW384-IF(AP383&lt;&gt;0,0.75*AR383*(Inputs!$B$13-N384)/Inputs!$B$16,0)</f>
        <v>0</v>
      </c>
      <c r="AY384" s="30" t="n">
        <f aca="false">MAX(AS384,0)*(Inputs!$B$17+Inputs!$B$18+Inputs!$B$19)+MAX(-AS384,0)*(O384+Inputs!$B$18+Inputs!$B$19)+IF(AND(K384=1,AP384&lt;&gt;0),(Inputs!$B$17+Inputs!$B$18+Inputs!$B$19)+(O384+Inputs!$B$18+Inputs!$B$19),0)</f>
        <v>0</v>
      </c>
      <c r="AZ384" s="30" t="n">
        <f aca="false">AP383*M384-AY384</f>
        <v>-0</v>
      </c>
      <c r="BA384" s="32" t="n">
        <f aca="false">BA383+AI384</f>
        <v>0.00164515276832129</v>
      </c>
      <c r="BB384" s="30" t="n">
        <f aca="false">MAX(BB383,BA384)</f>
        <v>0.00284866043860449</v>
      </c>
      <c r="BC384" s="32" t="n">
        <f aca="false">BA384-BB384</f>
        <v>-0.0012035076702832</v>
      </c>
      <c r="BD384" s="30" t="n">
        <f aca="false">A385-A384</f>
        <v>3</v>
      </c>
    </row>
    <row r="385" customFormat="false" ht="15" hidden="false" customHeight="false" outlineLevel="0" collapsed="false">
      <c r="A385" s="28" t="n">
        <v>45607</v>
      </c>
      <c r="B385" s="0" t="n">
        <v>24223</v>
      </c>
      <c r="C385" s="0" t="n">
        <v>269.98</v>
      </c>
      <c r="D385" s="29" t="n">
        <f aca="false">LN(B385)</f>
        <v>10.0950578740112</v>
      </c>
      <c r="E385" s="29" t="n">
        <f aca="false">LN(C385)</f>
        <v>5.59834788218068</v>
      </c>
      <c r="F385" s="0" t="n">
        <v>380</v>
      </c>
      <c r="G385" s="0" t="n">
        <v>17</v>
      </c>
      <c r="H385" s="29" t="n">
        <f aca="false">D385-E385</f>
        <v>4.49670999183055</v>
      </c>
      <c r="I385" s="29" t="n">
        <f aca="false">D385-D384</f>
        <v>0.000786752045405237</v>
      </c>
      <c r="J385" s="29" t="n">
        <f aca="false">E385-E384</f>
        <v>0.00103765203499684</v>
      </c>
      <c r="K385" s="0" t="n">
        <v>0</v>
      </c>
      <c r="L385" s="0" t="n">
        <v>0</v>
      </c>
      <c r="M385" s="29" t="n">
        <f aca="false">IF(L385=1,J385-Carry!$B$9/Inputs!$B$16,I385)</f>
        <v>0.000786752045405237</v>
      </c>
      <c r="N385" s="0" t="n">
        <v>0.065</v>
      </c>
      <c r="O385" s="0" t="n">
        <v>0.0002</v>
      </c>
      <c r="P385" s="29" t="n">
        <f aca="false">D385-('2 Hedge ratio'!$B$6+'2 Hedge ratio'!$B$5*E385)</f>
        <v>0.00444149022511198</v>
      </c>
      <c r="Q385" s="29" t="n">
        <f aca="false">D385-('5 Re-specification'!$B$7+'5 Re-specification'!$B$5*E385+'5 Re-specification'!$B$6*F385)</f>
        <v>-0.000452094864989761</v>
      </c>
      <c r="R385" s="30" t="n">
        <f aca="false">MIN(F385,Inputs!$B$9)</f>
        <v>250</v>
      </c>
      <c r="S385" s="29" t="n">
        <f aca="true">IF(AND(F385&gt;=1,R385&gt;=Inputs!$B$10),INDEX(LINEST(OFFSET(D385,-R385,0,R385,1),OFFSET(E385,-R385,0,R385,2)),1,1),"")</f>
        <v>-7.52218164092506E-005</v>
      </c>
      <c r="T385" s="29" t="n">
        <f aca="true">IF(AND(F385&gt;=1,R385&gt;=Inputs!$B$10),INDEX(LINEST(OFFSET(D385,-R385,0,R385,1),OFFSET(E385,-R385,0,R385,2)),1,2),"")</f>
        <v>1.01108329624268</v>
      </c>
      <c r="U385" s="29" t="n">
        <f aca="true">IF(AND(F385&gt;=1,R385&gt;=Inputs!$B$10),INDEX(LINEST(OFFSET(D385,-R385,0,R385,1),OFFSET(E385,-R385,0,R385,2)),1,3),"")</f>
        <v>4.46090755545658</v>
      </c>
      <c r="V385" s="29" t="n">
        <f aca="true">IF(AND(F385&gt;=1,R385&gt;=Inputs!$B$10),SQRT(SUMPRODUCT((OFFSET(D385,-R385,0,R385,1)-U385-T385*OFFSET(E385,-R385,0,R385,1)-S385*OFFSET(F385,-R385,0,R385,1))^2)/(R385-3)),"")</f>
        <v>0.0032368299893056</v>
      </c>
      <c r="W385" s="31" t="n">
        <f aca="false">IF(AND(F385&gt;=1,R385&gt;=Inputs!$B$10),(D385-U385-T385*E385-S385*F385)/V385,"")</f>
        <v>0.722490390106063</v>
      </c>
      <c r="X385" s="30" t="n">
        <f aca="false">IF(AB384&lt;&gt;0,AC384+1,0)</f>
        <v>0</v>
      </c>
      <c r="Y385" s="30" t="n">
        <f aca="false">IF(W385="",0,IF(AND(AB384&lt;&gt;0,OR(ABS(W385)&gt;Inputs!$B$7,X385&gt;=Inputs!$B$8,ABS(W385)&lt;Inputs!$B$6)),1,0))</f>
        <v>0</v>
      </c>
      <c r="Z385" s="30" t="n">
        <f aca="false">IF(Y385=1,0,AB384)</f>
        <v>0</v>
      </c>
      <c r="AA385" s="30" t="n">
        <f aca="false">IF(W385="",0,IF(AND(Z385=0,ABS(W385)&gt;Inputs!$B$5,ABS(W385)&lt;=Inputs!$B$7),1,0))</f>
        <v>0</v>
      </c>
      <c r="AB385" s="30" t="n">
        <f aca="false">IF(W385="",0,IF(AA385=1,-SIGN(W385),Z385))</f>
        <v>0</v>
      </c>
      <c r="AC385" s="30" t="n">
        <f aca="false">IF(W385="",0,IF(AA385=1,0,IF(Y385=1,0,X385)))</f>
        <v>0</v>
      </c>
      <c r="AD385" s="30" t="n">
        <f aca="false">IF(AB385=0,0,IF(AB384=AB385,AD384,T385))</f>
        <v>0</v>
      </c>
      <c r="AE385" s="30" t="n">
        <f aca="false">AB385-AB384</f>
        <v>0</v>
      </c>
      <c r="AF385" s="30" t="n">
        <f aca="false">-AD385*AB385</f>
        <v>-0</v>
      </c>
      <c r="AG385" s="30" t="n">
        <f aca="false">AF385-AF384</f>
        <v>0</v>
      </c>
      <c r="AH385" s="30" t="n">
        <f aca="false">MAX(AE385,0)*(Inputs!$B$17+Inputs!$B$18+Inputs!$B$19)+MAX(-AE385,0)*(O385+Inputs!$B$18+Inputs!$B$19)+IF(AND(K385=1,AB385&lt;&gt;0),(Inputs!$B$17+Inputs!$B$18+Inputs!$B$19)+(O385+Inputs!$B$18+Inputs!$B$19),0)+MAX(AG385,0)*(Inputs!$B$20+Inputs!$B$22+Inputs!$B$23)+MAX(-AG385,0)*(Inputs!$B$21+Inputs!$B$22+Inputs!$B$23)</f>
        <v>0</v>
      </c>
      <c r="AI385" s="30" t="n">
        <f aca="false">AB384*(M385-AD384*J385)+AB384*AD384*N385/Inputs!$B$16-AH385</f>
        <v>0</v>
      </c>
      <c r="AJ385" s="30" t="n">
        <f aca="false">MAX(AE385,0)*(Inputs!$B$17+Inputs!$B$24+Inputs!$B$25)+MAX(-AE385,0)*(O385+Inputs!$B$24+Inputs!$B$25)+IF(AND(K385=1,AB385&lt;&gt;0),(Inputs!$B$17+Inputs!$B$24+Inputs!$B$25)+(O385+Inputs!$B$24+Inputs!$B$25),0)+MAX(AG385,0)*(Inputs!$B$20+Inputs!$B$26+Inputs!$B$27)+MAX(-AG385,0)*(Inputs!$B$21+Inputs!$B$26+Inputs!$B$27)</f>
        <v>0</v>
      </c>
      <c r="AK385" s="30" t="n">
        <f aca="false">AB384*(M385-AD384*J385)+AB384*AD384*(N385+Inputs!$B$14)/Inputs!$B$16-AJ385</f>
        <v>0</v>
      </c>
      <c r="AL385" s="30" t="n">
        <f aca="false">IF(AP384&lt;&gt;0,AQ384+1,0)</f>
        <v>0</v>
      </c>
      <c r="AM385" s="30" t="n">
        <f aca="false">IF(W385="",0,IF(AND(AP384&lt;&gt;0,OR(ABS(W385)&gt;Inputs!$B$7,AL385&gt;=Inputs!$B$8,ABS(W385)&lt;Inputs!$B$6)),1,0))</f>
        <v>0</v>
      </c>
      <c r="AN385" s="30" t="n">
        <f aca="false">IF(AM385=1,0,AP384)</f>
        <v>0</v>
      </c>
      <c r="AO385" s="30" t="n">
        <f aca="false">IF(W385="",0,IF(AND(AN385=0,ABS(W385)&gt;Inputs!$B$5,ABS(W385)&lt;=Inputs!$B$7,W385&gt;0),1,0))</f>
        <v>0</v>
      </c>
      <c r="AP385" s="30" t="n">
        <f aca="false">IF(W385="",0,IF(AO385=1,-SIGN(W385),AN385))</f>
        <v>0</v>
      </c>
      <c r="AQ385" s="30" t="n">
        <f aca="false">IF(W385="",0,IF(AO385=1,0,IF(AM385=1,0,AL385)))</f>
        <v>0</v>
      </c>
      <c r="AR385" s="30" t="n">
        <f aca="false">IF(AP385=0,0,IF(AP384=AP385,AR384,T385))</f>
        <v>0</v>
      </c>
      <c r="AS385" s="30" t="n">
        <f aca="false">AP385-AP384</f>
        <v>0</v>
      </c>
      <c r="AT385" s="30" t="n">
        <f aca="false">-AR385*AP385</f>
        <v>-0</v>
      </c>
      <c r="AU385" s="30" t="n">
        <f aca="false">AT385-AT384</f>
        <v>0</v>
      </c>
      <c r="AV385" s="30" t="n">
        <f aca="false">MAX(AS385,0)*(Inputs!$B$17+Inputs!$B$18+Inputs!$B$19)+MAX(-AS385,0)*(O385+Inputs!$B$18+Inputs!$B$19)+IF(AND(K385=1,AP385&lt;&gt;0),(Inputs!$B$17+Inputs!$B$18+Inputs!$B$19)+(O385+Inputs!$B$18+Inputs!$B$19),0)+MAX(AU385,0)*(Inputs!$B$20+Inputs!$B$22+Inputs!$B$23)+MAX(-AU385,0)*(Inputs!$B$21+Inputs!$B$22+Inputs!$B$23)</f>
        <v>0</v>
      </c>
      <c r="AW385" s="30" t="n">
        <f aca="false">AP384*(M385-AR384*J385)+AP384*AR384*N385/Inputs!$B$16-AV385</f>
        <v>0</v>
      </c>
      <c r="AX385" s="30" t="n">
        <f aca="false">AW385-IF(AP384&lt;&gt;0,0.75*AR384*(Inputs!$B$13-N385)/Inputs!$B$16,0)</f>
        <v>0</v>
      </c>
      <c r="AY385" s="30" t="n">
        <f aca="false">MAX(AS385,0)*(Inputs!$B$17+Inputs!$B$18+Inputs!$B$19)+MAX(-AS385,0)*(O385+Inputs!$B$18+Inputs!$B$19)+IF(AND(K385=1,AP385&lt;&gt;0),(Inputs!$B$17+Inputs!$B$18+Inputs!$B$19)+(O385+Inputs!$B$18+Inputs!$B$19),0)</f>
        <v>0</v>
      </c>
      <c r="AZ385" s="30" t="n">
        <f aca="false">AP384*M385-AY385</f>
        <v>0</v>
      </c>
      <c r="BA385" s="32" t="n">
        <f aca="false">BA384+AI385</f>
        <v>0.00164515276832129</v>
      </c>
      <c r="BB385" s="30" t="n">
        <f aca="false">MAX(BB384,BA385)</f>
        <v>0.00284866043860449</v>
      </c>
      <c r="BC385" s="32" t="n">
        <f aca="false">BA385-BB385</f>
        <v>-0.0012035076702832</v>
      </c>
      <c r="BD385" s="30" t="n">
        <f aca="false">A386-A385</f>
        <v>1</v>
      </c>
    </row>
    <row r="386" customFormat="false" ht="15" hidden="false" customHeight="false" outlineLevel="0" collapsed="false">
      <c r="A386" s="28" t="n">
        <v>45608</v>
      </c>
      <c r="B386" s="0" t="n">
        <v>23933.9</v>
      </c>
      <c r="C386" s="0" t="n">
        <v>267.18</v>
      </c>
      <c r="D386" s="29" t="n">
        <f aca="false">LN(B386)</f>
        <v>10.0830511429681</v>
      </c>
      <c r="E386" s="29" t="n">
        <f aca="false">LN(C386)</f>
        <v>5.58792258856167</v>
      </c>
      <c r="F386" s="0" t="n">
        <v>381</v>
      </c>
      <c r="G386" s="0" t="n">
        <v>16</v>
      </c>
      <c r="H386" s="29" t="n">
        <f aca="false">D386-E386</f>
        <v>4.49512855440647</v>
      </c>
      <c r="I386" s="29" t="n">
        <f aca="false">D386-D385</f>
        <v>-0.0120067310430958</v>
      </c>
      <c r="J386" s="29" t="n">
        <f aca="false">E386-E385</f>
        <v>-0.010425293619015</v>
      </c>
      <c r="K386" s="0" t="n">
        <v>0</v>
      </c>
      <c r="L386" s="0" t="n">
        <v>0</v>
      </c>
      <c r="M386" s="29" t="n">
        <f aca="false">IF(L386=1,J386-Carry!$B$9/Inputs!$B$16,I386)</f>
        <v>-0.0120067310430958</v>
      </c>
      <c r="N386" s="0" t="n">
        <v>0.065</v>
      </c>
      <c r="O386" s="0" t="n">
        <v>0.0002</v>
      </c>
      <c r="P386" s="29" t="n">
        <f aca="false">D386-('2 Hedge ratio'!$B$6+'2 Hedge ratio'!$B$5*E386)</f>
        <v>0.00198564963939951</v>
      </c>
      <c r="Q386" s="29" t="n">
        <f aca="false">D386-('5 Re-specification'!$B$7+'5 Re-specification'!$B$5*E386+'5 Re-specification'!$B$6*F386)</f>
        <v>-0.00202019682350674</v>
      </c>
      <c r="R386" s="30" t="n">
        <f aca="false">MIN(F386,Inputs!$B$9)</f>
        <v>250</v>
      </c>
      <c r="S386" s="29" t="n">
        <f aca="true">IF(AND(F386&gt;=1,R386&gt;=Inputs!$B$10),INDEX(LINEST(OFFSET(D386,-R386,0,R386,1),OFFSET(E386,-R386,0,R386,2)),1,1),"")</f>
        <v>-7.34466172716023E-005</v>
      </c>
      <c r="T386" s="29" t="n">
        <f aca="true">IF(AND(F386&gt;=1,R386&gt;=Inputs!$B$10),INDEX(LINEST(OFFSET(D386,-R386,0,R386,1),OFFSET(E386,-R386,0,R386,2)),1,2),"")</f>
        <v>1.00928922731719</v>
      </c>
      <c r="U386" s="29" t="n">
        <f aca="true">IF(AND(F386&gt;=1,R386&gt;=Inputs!$B$10),INDEX(LINEST(OFFSET(D386,-R386,0,R386,1),OFFSET(E386,-R386,0,R386,2)),1,3),"")</f>
        <v>4.47041054926137</v>
      </c>
      <c r="V386" s="29" t="n">
        <f aca="true">IF(AND(F386&gt;=1,R386&gt;=Inputs!$B$10),SQRT(SUMPRODUCT((OFFSET(D386,-R386,0,R386,1)-U386-T386*OFFSET(E386,-R386,0,R386,1)-S386*OFFSET(F386,-R386,0,R386,1))^2)/(R386-3)),"")</f>
        <v>0.00323699359967993</v>
      </c>
      <c r="W386" s="31" t="n">
        <f aca="false">IF(AND(F386&gt;=1,R386&gt;=Inputs!$B$10),(D386-U386-T386*E386-S386*F386)/V386,"")</f>
        <v>0.245191454706807</v>
      </c>
      <c r="X386" s="30" t="n">
        <f aca="false">IF(AB385&lt;&gt;0,AC385+1,0)</f>
        <v>0</v>
      </c>
      <c r="Y386" s="30" t="n">
        <f aca="false">IF(W386="",0,IF(AND(AB385&lt;&gt;0,OR(ABS(W386)&gt;Inputs!$B$7,X386&gt;=Inputs!$B$8,ABS(W386)&lt;Inputs!$B$6)),1,0))</f>
        <v>0</v>
      </c>
      <c r="Z386" s="30" t="n">
        <f aca="false">IF(Y386=1,0,AB385)</f>
        <v>0</v>
      </c>
      <c r="AA386" s="30" t="n">
        <f aca="false">IF(W386="",0,IF(AND(Z386=0,ABS(W386)&gt;Inputs!$B$5,ABS(W386)&lt;=Inputs!$B$7),1,0))</f>
        <v>0</v>
      </c>
      <c r="AB386" s="30" t="n">
        <f aca="false">IF(W386="",0,IF(AA386=1,-SIGN(W386),Z386))</f>
        <v>0</v>
      </c>
      <c r="AC386" s="30" t="n">
        <f aca="false">IF(W386="",0,IF(AA386=1,0,IF(Y386=1,0,X386)))</f>
        <v>0</v>
      </c>
      <c r="AD386" s="30" t="n">
        <f aca="false">IF(AB386=0,0,IF(AB385=AB386,AD385,T386))</f>
        <v>0</v>
      </c>
      <c r="AE386" s="30" t="n">
        <f aca="false">AB386-AB385</f>
        <v>0</v>
      </c>
      <c r="AF386" s="30" t="n">
        <f aca="false">-AD386*AB386</f>
        <v>-0</v>
      </c>
      <c r="AG386" s="30" t="n">
        <f aca="false">AF386-AF385</f>
        <v>0</v>
      </c>
      <c r="AH386" s="30" t="n">
        <f aca="false">MAX(AE386,0)*(Inputs!$B$17+Inputs!$B$18+Inputs!$B$19)+MAX(-AE386,0)*(O386+Inputs!$B$18+Inputs!$B$19)+IF(AND(K386=1,AB386&lt;&gt;0),(Inputs!$B$17+Inputs!$B$18+Inputs!$B$19)+(O386+Inputs!$B$18+Inputs!$B$19),0)+MAX(AG386,0)*(Inputs!$B$20+Inputs!$B$22+Inputs!$B$23)+MAX(-AG386,0)*(Inputs!$B$21+Inputs!$B$22+Inputs!$B$23)</f>
        <v>0</v>
      </c>
      <c r="AI386" s="30" t="n">
        <f aca="false">AB385*(M386-AD385*J386)+AB385*AD385*N386/Inputs!$B$16-AH386</f>
        <v>0</v>
      </c>
      <c r="AJ386" s="30" t="n">
        <f aca="false">MAX(AE386,0)*(Inputs!$B$17+Inputs!$B$24+Inputs!$B$25)+MAX(-AE386,0)*(O386+Inputs!$B$24+Inputs!$B$25)+IF(AND(K386=1,AB386&lt;&gt;0),(Inputs!$B$17+Inputs!$B$24+Inputs!$B$25)+(O386+Inputs!$B$24+Inputs!$B$25),0)+MAX(AG386,0)*(Inputs!$B$20+Inputs!$B$26+Inputs!$B$27)+MAX(-AG386,0)*(Inputs!$B$21+Inputs!$B$26+Inputs!$B$27)</f>
        <v>0</v>
      </c>
      <c r="AK386" s="30" t="n">
        <f aca="false">AB385*(M386-AD385*J386)+AB385*AD385*(N386+Inputs!$B$14)/Inputs!$B$16-AJ386</f>
        <v>0</v>
      </c>
      <c r="AL386" s="30" t="n">
        <f aca="false">IF(AP385&lt;&gt;0,AQ385+1,0)</f>
        <v>0</v>
      </c>
      <c r="AM386" s="30" t="n">
        <f aca="false">IF(W386="",0,IF(AND(AP385&lt;&gt;0,OR(ABS(W386)&gt;Inputs!$B$7,AL386&gt;=Inputs!$B$8,ABS(W386)&lt;Inputs!$B$6)),1,0))</f>
        <v>0</v>
      </c>
      <c r="AN386" s="30" t="n">
        <f aca="false">IF(AM386=1,0,AP385)</f>
        <v>0</v>
      </c>
      <c r="AO386" s="30" t="n">
        <f aca="false">IF(W386="",0,IF(AND(AN386=0,ABS(W386)&gt;Inputs!$B$5,ABS(W386)&lt;=Inputs!$B$7,W386&gt;0),1,0))</f>
        <v>0</v>
      </c>
      <c r="AP386" s="30" t="n">
        <f aca="false">IF(W386="",0,IF(AO386=1,-SIGN(W386),AN386))</f>
        <v>0</v>
      </c>
      <c r="AQ386" s="30" t="n">
        <f aca="false">IF(W386="",0,IF(AO386=1,0,IF(AM386=1,0,AL386)))</f>
        <v>0</v>
      </c>
      <c r="AR386" s="30" t="n">
        <f aca="false">IF(AP386=0,0,IF(AP385=AP386,AR385,T386))</f>
        <v>0</v>
      </c>
      <c r="AS386" s="30" t="n">
        <f aca="false">AP386-AP385</f>
        <v>0</v>
      </c>
      <c r="AT386" s="30" t="n">
        <f aca="false">-AR386*AP386</f>
        <v>-0</v>
      </c>
      <c r="AU386" s="30" t="n">
        <f aca="false">AT386-AT385</f>
        <v>0</v>
      </c>
      <c r="AV386" s="30" t="n">
        <f aca="false">MAX(AS386,0)*(Inputs!$B$17+Inputs!$B$18+Inputs!$B$19)+MAX(-AS386,0)*(O386+Inputs!$B$18+Inputs!$B$19)+IF(AND(K386=1,AP386&lt;&gt;0),(Inputs!$B$17+Inputs!$B$18+Inputs!$B$19)+(O386+Inputs!$B$18+Inputs!$B$19),0)+MAX(AU386,0)*(Inputs!$B$20+Inputs!$B$22+Inputs!$B$23)+MAX(-AU386,0)*(Inputs!$B$21+Inputs!$B$22+Inputs!$B$23)</f>
        <v>0</v>
      </c>
      <c r="AW386" s="30" t="n">
        <f aca="false">AP385*(M386-AR385*J386)+AP385*AR385*N386/Inputs!$B$16-AV386</f>
        <v>0</v>
      </c>
      <c r="AX386" s="30" t="n">
        <f aca="false">AW386-IF(AP385&lt;&gt;0,0.75*AR385*(Inputs!$B$13-N386)/Inputs!$B$16,0)</f>
        <v>0</v>
      </c>
      <c r="AY386" s="30" t="n">
        <f aca="false">MAX(AS386,0)*(Inputs!$B$17+Inputs!$B$18+Inputs!$B$19)+MAX(-AS386,0)*(O386+Inputs!$B$18+Inputs!$B$19)+IF(AND(K386=1,AP386&lt;&gt;0),(Inputs!$B$17+Inputs!$B$18+Inputs!$B$19)+(O386+Inputs!$B$18+Inputs!$B$19),0)</f>
        <v>0</v>
      </c>
      <c r="AZ386" s="30" t="n">
        <f aca="false">AP385*M386-AY386</f>
        <v>-0</v>
      </c>
      <c r="BA386" s="32" t="n">
        <f aca="false">BA385+AI386</f>
        <v>0.00164515276832129</v>
      </c>
      <c r="BB386" s="30" t="n">
        <f aca="false">MAX(BB385,BA386)</f>
        <v>0.00284866043860449</v>
      </c>
      <c r="BC386" s="32" t="n">
        <f aca="false">BA386-BB386</f>
        <v>-0.0012035076702832</v>
      </c>
      <c r="BD386" s="30" t="n">
        <f aca="false">A387-A386</f>
        <v>1</v>
      </c>
    </row>
    <row r="387" customFormat="false" ht="15" hidden="false" customHeight="false" outlineLevel="0" collapsed="false">
      <c r="A387" s="28" t="n">
        <v>45609</v>
      </c>
      <c r="B387" s="0" t="n">
        <v>23690.1</v>
      </c>
      <c r="C387" s="0" t="n">
        <v>264.37</v>
      </c>
      <c r="D387" s="29" t="n">
        <f aca="false">LN(B387)</f>
        <v>10.0728125183343</v>
      </c>
      <c r="E387" s="29" t="n">
        <f aca="false">LN(C387)</f>
        <v>5.57734963709215</v>
      </c>
      <c r="F387" s="0" t="n">
        <v>382</v>
      </c>
      <c r="G387" s="0" t="n">
        <v>15</v>
      </c>
      <c r="H387" s="29" t="n">
        <f aca="false">D387-E387</f>
        <v>4.49546288124215</v>
      </c>
      <c r="I387" s="29" t="n">
        <f aca="false">D387-D386</f>
        <v>-0.0102386246338391</v>
      </c>
      <c r="J387" s="29" t="n">
        <f aca="false">E387-E386</f>
        <v>-0.0105729514695181</v>
      </c>
      <c r="K387" s="0" t="n">
        <v>0</v>
      </c>
      <c r="L387" s="0" t="n">
        <v>0</v>
      </c>
      <c r="M387" s="29" t="n">
        <f aca="false">IF(L387=1,J387-Carry!$B$9/Inputs!$B$16,I387)</f>
        <v>-0.0102386246338391</v>
      </c>
      <c r="N387" s="0" t="n">
        <v>0.065</v>
      </c>
      <c r="O387" s="0" t="n">
        <v>0.0002</v>
      </c>
      <c r="P387" s="29" t="n">
        <f aca="false">D387-('2 Hedge ratio'!$B$6+'2 Hedge ratio'!$B$5*E387)</f>
        <v>0.00143318877100462</v>
      </c>
      <c r="Q387" s="29" t="n">
        <f aca="false">D387-('5 Re-specification'!$B$7+'5 Re-specification'!$B$5*E387+'5 Re-specification'!$B$6*F387)</f>
        <v>-0.00167298199938415</v>
      </c>
      <c r="R387" s="30" t="n">
        <f aca="false">MIN(F387,Inputs!$B$9)</f>
        <v>250</v>
      </c>
      <c r="S387" s="29" t="n">
        <f aca="true">IF(AND(F387&gt;=1,R387&gt;=Inputs!$B$10),INDEX(LINEST(OFFSET(D387,-R387,0,R387,1),OFFSET(E387,-R387,0,R387,2)),1,1),"")</f>
        <v>-7.21993590576181E-005</v>
      </c>
      <c r="T387" s="29" t="n">
        <f aca="true">IF(AND(F387&gt;=1,R387&gt;=Inputs!$B$10),INDEX(LINEST(OFFSET(D387,-R387,0,R387,1),OFFSET(E387,-R387,0,R387,2)),1,2),"")</f>
        <v>1.00774822301442</v>
      </c>
      <c r="U387" s="29" t="n">
        <f aca="true">IF(AND(F387&gt;=1,R387&gt;=Inputs!$B$10),INDEX(LINEST(OFFSET(D387,-R387,0,R387,1),OFFSET(E387,-R387,0,R387,2)),1,3),"")</f>
        <v>4.47864517897674</v>
      </c>
      <c r="V387" s="29" t="n">
        <f aca="true">IF(AND(F387&gt;=1,R387&gt;=Inputs!$B$10),SQRT(SUMPRODUCT((OFFSET(D387,-R387,0,R387,1)-U387-T387*OFFSET(E387,-R387,0,R387,1)-S387*OFFSET(F387,-R387,0,R387,1))^2)/(R387-3)),"")</f>
        <v>0.00323008288486581</v>
      </c>
      <c r="W387" s="31" t="n">
        <f aca="false">IF(AND(F387&gt;=1,R387&gt;=Inputs!$B$10),(D387-U387-T387*E387-S387*F387)/V387,"")</f>
        <v>0.366340013555738</v>
      </c>
      <c r="X387" s="30" t="n">
        <f aca="false">IF(AB386&lt;&gt;0,AC386+1,0)</f>
        <v>0</v>
      </c>
      <c r="Y387" s="30" t="n">
        <f aca="false">IF(W387="",0,IF(AND(AB386&lt;&gt;0,OR(ABS(W387)&gt;Inputs!$B$7,X387&gt;=Inputs!$B$8,ABS(W387)&lt;Inputs!$B$6)),1,0))</f>
        <v>0</v>
      </c>
      <c r="Z387" s="30" t="n">
        <f aca="false">IF(Y387=1,0,AB386)</f>
        <v>0</v>
      </c>
      <c r="AA387" s="30" t="n">
        <f aca="false">IF(W387="",0,IF(AND(Z387=0,ABS(W387)&gt;Inputs!$B$5,ABS(W387)&lt;=Inputs!$B$7),1,0))</f>
        <v>0</v>
      </c>
      <c r="AB387" s="30" t="n">
        <f aca="false">IF(W387="",0,IF(AA387=1,-SIGN(W387),Z387))</f>
        <v>0</v>
      </c>
      <c r="AC387" s="30" t="n">
        <f aca="false">IF(W387="",0,IF(AA387=1,0,IF(Y387=1,0,X387)))</f>
        <v>0</v>
      </c>
      <c r="AD387" s="30" t="n">
        <f aca="false">IF(AB387=0,0,IF(AB386=AB387,AD386,T387))</f>
        <v>0</v>
      </c>
      <c r="AE387" s="30" t="n">
        <f aca="false">AB387-AB386</f>
        <v>0</v>
      </c>
      <c r="AF387" s="30" t="n">
        <f aca="false">-AD387*AB387</f>
        <v>-0</v>
      </c>
      <c r="AG387" s="30" t="n">
        <f aca="false">AF387-AF386</f>
        <v>0</v>
      </c>
      <c r="AH387" s="30" t="n">
        <f aca="false">MAX(AE387,0)*(Inputs!$B$17+Inputs!$B$18+Inputs!$B$19)+MAX(-AE387,0)*(O387+Inputs!$B$18+Inputs!$B$19)+IF(AND(K387=1,AB387&lt;&gt;0),(Inputs!$B$17+Inputs!$B$18+Inputs!$B$19)+(O387+Inputs!$B$18+Inputs!$B$19),0)+MAX(AG387,0)*(Inputs!$B$20+Inputs!$B$22+Inputs!$B$23)+MAX(-AG387,0)*(Inputs!$B$21+Inputs!$B$22+Inputs!$B$23)</f>
        <v>0</v>
      </c>
      <c r="AI387" s="30" t="n">
        <f aca="false">AB386*(M387-AD386*J387)+AB386*AD386*N387/Inputs!$B$16-AH387</f>
        <v>0</v>
      </c>
      <c r="AJ387" s="30" t="n">
        <f aca="false">MAX(AE387,0)*(Inputs!$B$17+Inputs!$B$24+Inputs!$B$25)+MAX(-AE387,0)*(O387+Inputs!$B$24+Inputs!$B$25)+IF(AND(K387=1,AB387&lt;&gt;0),(Inputs!$B$17+Inputs!$B$24+Inputs!$B$25)+(O387+Inputs!$B$24+Inputs!$B$25),0)+MAX(AG387,0)*(Inputs!$B$20+Inputs!$B$26+Inputs!$B$27)+MAX(-AG387,0)*(Inputs!$B$21+Inputs!$B$26+Inputs!$B$27)</f>
        <v>0</v>
      </c>
      <c r="AK387" s="30" t="n">
        <f aca="false">AB386*(M387-AD386*J387)+AB386*AD386*(N387+Inputs!$B$14)/Inputs!$B$16-AJ387</f>
        <v>0</v>
      </c>
      <c r="AL387" s="30" t="n">
        <f aca="false">IF(AP386&lt;&gt;0,AQ386+1,0)</f>
        <v>0</v>
      </c>
      <c r="AM387" s="30" t="n">
        <f aca="false">IF(W387="",0,IF(AND(AP386&lt;&gt;0,OR(ABS(W387)&gt;Inputs!$B$7,AL387&gt;=Inputs!$B$8,ABS(W387)&lt;Inputs!$B$6)),1,0))</f>
        <v>0</v>
      </c>
      <c r="AN387" s="30" t="n">
        <f aca="false">IF(AM387=1,0,AP386)</f>
        <v>0</v>
      </c>
      <c r="AO387" s="30" t="n">
        <f aca="false">IF(W387="",0,IF(AND(AN387=0,ABS(W387)&gt;Inputs!$B$5,ABS(W387)&lt;=Inputs!$B$7,W387&gt;0),1,0))</f>
        <v>0</v>
      </c>
      <c r="AP387" s="30" t="n">
        <f aca="false">IF(W387="",0,IF(AO387=1,-SIGN(W387),AN387))</f>
        <v>0</v>
      </c>
      <c r="AQ387" s="30" t="n">
        <f aca="false">IF(W387="",0,IF(AO387=1,0,IF(AM387=1,0,AL387)))</f>
        <v>0</v>
      </c>
      <c r="AR387" s="30" t="n">
        <f aca="false">IF(AP387=0,0,IF(AP386=AP387,AR386,T387))</f>
        <v>0</v>
      </c>
      <c r="AS387" s="30" t="n">
        <f aca="false">AP387-AP386</f>
        <v>0</v>
      </c>
      <c r="AT387" s="30" t="n">
        <f aca="false">-AR387*AP387</f>
        <v>-0</v>
      </c>
      <c r="AU387" s="30" t="n">
        <f aca="false">AT387-AT386</f>
        <v>0</v>
      </c>
      <c r="AV387" s="30" t="n">
        <f aca="false">MAX(AS387,0)*(Inputs!$B$17+Inputs!$B$18+Inputs!$B$19)+MAX(-AS387,0)*(O387+Inputs!$B$18+Inputs!$B$19)+IF(AND(K387=1,AP387&lt;&gt;0),(Inputs!$B$17+Inputs!$B$18+Inputs!$B$19)+(O387+Inputs!$B$18+Inputs!$B$19),0)+MAX(AU387,0)*(Inputs!$B$20+Inputs!$B$22+Inputs!$B$23)+MAX(-AU387,0)*(Inputs!$B$21+Inputs!$B$22+Inputs!$B$23)</f>
        <v>0</v>
      </c>
      <c r="AW387" s="30" t="n">
        <f aca="false">AP386*(M387-AR386*J387)+AP386*AR386*N387/Inputs!$B$16-AV387</f>
        <v>0</v>
      </c>
      <c r="AX387" s="30" t="n">
        <f aca="false">AW387-IF(AP386&lt;&gt;0,0.75*AR386*(Inputs!$B$13-N387)/Inputs!$B$16,0)</f>
        <v>0</v>
      </c>
      <c r="AY387" s="30" t="n">
        <f aca="false">MAX(AS387,0)*(Inputs!$B$17+Inputs!$B$18+Inputs!$B$19)+MAX(-AS387,0)*(O387+Inputs!$B$18+Inputs!$B$19)+IF(AND(K387=1,AP387&lt;&gt;0),(Inputs!$B$17+Inputs!$B$18+Inputs!$B$19)+(O387+Inputs!$B$18+Inputs!$B$19),0)</f>
        <v>0</v>
      </c>
      <c r="AZ387" s="30" t="n">
        <f aca="false">AP386*M387-AY387</f>
        <v>-0</v>
      </c>
      <c r="BA387" s="32" t="n">
        <f aca="false">BA386+AI387</f>
        <v>0.00164515276832129</v>
      </c>
      <c r="BB387" s="30" t="n">
        <f aca="false">MAX(BB386,BA387)</f>
        <v>0.00284866043860449</v>
      </c>
      <c r="BC387" s="32" t="n">
        <f aca="false">BA387-BB387</f>
        <v>-0.0012035076702832</v>
      </c>
      <c r="BD387" s="30" t="n">
        <f aca="false">A388-A387</f>
        <v>1</v>
      </c>
    </row>
    <row r="388" customFormat="false" ht="15" hidden="false" customHeight="false" outlineLevel="0" collapsed="false">
      <c r="A388" s="28" t="n">
        <v>45610</v>
      </c>
      <c r="B388" s="0" t="n">
        <v>23632.35</v>
      </c>
      <c r="C388" s="0" t="n">
        <v>264.12</v>
      </c>
      <c r="D388" s="29" t="n">
        <f aca="false">LN(B388)</f>
        <v>10.070371815088</v>
      </c>
      <c r="E388" s="29" t="n">
        <f aca="false">LN(C388)</f>
        <v>5.57640354532637</v>
      </c>
      <c r="F388" s="0" t="n">
        <v>383</v>
      </c>
      <c r="G388" s="0" t="n">
        <v>14</v>
      </c>
      <c r="H388" s="29" t="n">
        <f aca="false">D388-E388</f>
        <v>4.49396826976166</v>
      </c>
      <c r="I388" s="29" t="n">
        <f aca="false">D388-D387</f>
        <v>-0.00244070324626833</v>
      </c>
      <c r="J388" s="29" t="n">
        <f aca="false">E388-E387</f>
        <v>-0.000946091765777091</v>
      </c>
      <c r="K388" s="0" t="n">
        <v>0</v>
      </c>
      <c r="L388" s="0" t="n">
        <v>0</v>
      </c>
      <c r="M388" s="29" t="n">
        <f aca="false">IF(L388=1,J388-Carry!$B$9/Inputs!$B$16,I388)</f>
        <v>-0.00244070324626833</v>
      </c>
      <c r="N388" s="0" t="n">
        <v>0.065</v>
      </c>
      <c r="O388" s="0" t="n">
        <v>0.0002</v>
      </c>
      <c r="P388" s="29" t="n">
        <f aca="false">D388-('2 Hedge ratio'!$B$6+'2 Hedge ratio'!$B$5*E388)</f>
        <v>-0.000140774491933726</v>
      </c>
      <c r="Q388" s="29" t="n">
        <f aca="false">D388-('5 Re-specification'!$B$7+'5 Re-specification'!$B$5*E388+'5 Re-specification'!$B$6*F388)</f>
        <v>-0.00312553129289483</v>
      </c>
      <c r="R388" s="30" t="n">
        <f aca="false">MIN(F388,Inputs!$B$9)</f>
        <v>250</v>
      </c>
      <c r="S388" s="29" t="n">
        <f aca="true">IF(AND(F388&gt;=1,R388&gt;=Inputs!$B$10),INDEX(LINEST(OFFSET(D388,-R388,0,R388,1),OFFSET(E388,-R388,0,R388,2)),1,1),"")</f>
        <v>-7.11660507371646E-005</v>
      </c>
      <c r="T388" s="29" t="n">
        <f aca="true">IF(AND(F388&gt;=1,R388&gt;=Inputs!$B$10),INDEX(LINEST(OFFSET(D388,-R388,0,R388,1),OFFSET(E388,-R388,0,R388,2)),1,2),"")</f>
        <v>1.00667227311903</v>
      </c>
      <c r="U388" s="29" t="n">
        <f aca="true">IF(AND(F388&gt;=1,R388&gt;=Inputs!$B$10),INDEX(LINEST(OFFSET(D388,-R388,0,R388,1),OFFSET(E388,-R388,0,R388,2)),1,3),"")</f>
        <v>4.48435059153068</v>
      </c>
      <c r="V388" s="29" t="n">
        <f aca="true">IF(AND(F388&gt;=1,R388&gt;=Inputs!$B$10),SQRT(SUMPRODUCT((OFFSET(D388,-R388,0,R388,1)-U388-T388*OFFSET(E388,-R388,0,R388,1)-S388*OFFSET(F388,-R388,0,R388,1))^2)/(R388-3)),"")</f>
        <v>0.00323004460009431</v>
      </c>
      <c r="W388" s="31" t="n">
        <f aca="false">IF(AND(F388&gt;=1,R388&gt;=Inputs!$B$10),(D388-U388-T388*E388-S388*F388)/V388,"")</f>
        <v>-0.103098208933581</v>
      </c>
      <c r="X388" s="30" t="n">
        <f aca="false">IF(AB387&lt;&gt;0,AC387+1,0)</f>
        <v>0</v>
      </c>
      <c r="Y388" s="30" t="n">
        <f aca="false">IF(W388="",0,IF(AND(AB387&lt;&gt;0,OR(ABS(W388)&gt;Inputs!$B$7,X388&gt;=Inputs!$B$8,ABS(W388)&lt;Inputs!$B$6)),1,0))</f>
        <v>0</v>
      </c>
      <c r="Z388" s="30" t="n">
        <f aca="false">IF(Y388=1,0,AB387)</f>
        <v>0</v>
      </c>
      <c r="AA388" s="30" t="n">
        <f aca="false">IF(W388="",0,IF(AND(Z388=0,ABS(W388)&gt;Inputs!$B$5,ABS(W388)&lt;=Inputs!$B$7),1,0))</f>
        <v>0</v>
      </c>
      <c r="AB388" s="30" t="n">
        <f aca="false">IF(W388="",0,IF(AA388=1,-SIGN(W388),Z388))</f>
        <v>0</v>
      </c>
      <c r="AC388" s="30" t="n">
        <f aca="false">IF(W388="",0,IF(AA388=1,0,IF(Y388=1,0,X388)))</f>
        <v>0</v>
      </c>
      <c r="AD388" s="30" t="n">
        <f aca="false">IF(AB388=0,0,IF(AB387=AB388,AD387,T388))</f>
        <v>0</v>
      </c>
      <c r="AE388" s="30" t="n">
        <f aca="false">AB388-AB387</f>
        <v>0</v>
      </c>
      <c r="AF388" s="30" t="n">
        <f aca="false">-AD388*AB388</f>
        <v>-0</v>
      </c>
      <c r="AG388" s="30" t="n">
        <f aca="false">AF388-AF387</f>
        <v>0</v>
      </c>
      <c r="AH388" s="30" t="n">
        <f aca="false">MAX(AE388,0)*(Inputs!$B$17+Inputs!$B$18+Inputs!$B$19)+MAX(-AE388,0)*(O388+Inputs!$B$18+Inputs!$B$19)+IF(AND(K388=1,AB388&lt;&gt;0),(Inputs!$B$17+Inputs!$B$18+Inputs!$B$19)+(O388+Inputs!$B$18+Inputs!$B$19),0)+MAX(AG388,0)*(Inputs!$B$20+Inputs!$B$22+Inputs!$B$23)+MAX(-AG388,0)*(Inputs!$B$21+Inputs!$B$22+Inputs!$B$23)</f>
        <v>0</v>
      </c>
      <c r="AI388" s="30" t="n">
        <f aca="false">AB387*(M388-AD387*J388)+AB387*AD387*N388/Inputs!$B$16-AH388</f>
        <v>0</v>
      </c>
      <c r="AJ388" s="30" t="n">
        <f aca="false">MAX(AE388,0)*(Inputs!$B$17+Inputs!$B$24+Inputs!$B$25)+MAX(-AE388,0)*(O388+Inputs!$B$24+Inputs!$B$25)+IF(AND(K388=1,AB388&lt;&gt;0),(Inputs!$B$17+Inputs!$B$24+Inputs!$B$25)+(O388+Inputs!$B$24+Inputs!$B$25),0)+MAX(AG388,0)*(Inputs!$B$20+Inputs!$B$26+Inputs!$B$27)+MAX(-AG388,0)*(Inputs!$B$21+Inputs!$B$26+Inputs!$B$27)</f>
        <v>0</v>
      </c>
      <c r="AK388" s="30" t="n">
        <f aca="false">AB387*(M388-AD387*J388)+AB387*AD387*(N388+Inputs!$B$14)/Inputs!$B$16-AJ388</f>
        <v>0</v>
      </c>
      <c r="AL388" s="30" t="n">
        <f aca="false">IF(AP387&lt;&gt;0,AQ387+1,0)</f>
        <v>0</v>
      </c>
      <c r="AM388" s="30" t="n">
        <f aca="false">IF(W388="",0,IF(AND(AP387&lt;&gt;0,OR(ABS(W388)&gt;Inputs!$B$7,AL388&gt;=Inputs!$B$8,ABS(W388)&lt;Inputs!$B$6)),1,0))</f>
        <v>0</v>
      </c>
      <c r="AN388" s="30" t="n">
        <f aca="false">IF(AM388=1,0,AP387)</f>
        <v>0</v>
      </c>
      <c r="AO388" s="30" t="n">
        <f aca="false">IF(W388="",0,IF(AND(AN388=0,ABS(W388)&gt;Inputs!$B$5,ABS(W388)&lt;=Inputs!$B$7,W388&gt;0),1,0))</f>
        <v>0</v>
      </c>
      <c r="AP388" s="30" t="n">
        <f aca="false">IF(W388="",0,IF(AO388=1,-SIGN(W388),AN388))</f>
        <v>0</v>
      </c>
      <c r="AQ388" s="30" t="n">
        <f aca="false">IF(W388="",0,IF(AO388=1,0,IF(AM388=1,0,AL388)))</f>
        <v>0</v>
      </c>
      <c r="AR388" s="30" t="n">
        <f aca="false">IF(AP388=0,0,IF(AP387=AP388,AR387,T388))</f>
        <v>0</v>
      </c>
      <c r="AS388" s="30" t="n">
        <f aca="false">AP388-AP387</f>
        <v>0</v>
      </c>
      <c r="AT388" s="30" t="n">
        <f aca="false">-AR388*AP388</f>
        <v>-0</v>
      </c>
      <c r="AU388" s="30" t="n">
        <f aca="false">AT388-AT387</f>
        <v>0</v>
      </c>
      <c r="AV388" s="30" t="n">
        <f aca="false">MAX(AS388,0)*(Inputs!$B$17+Inputs!$B$18+Inputs!$B$19)+MAX(-AS388,0)*(O388+Inputs!$B$18+Inputs!$B$19)+IF(AND(K388=1,AP388&lt;&gt;0),(Inputs!$B$17+Inputs!$B$18+Inputs!$B$19)+(O388+Inputs!$B$18+Inputs!$B$19),0)+MAX(AU388,0)*(Inputs!$B$20+Inputs!$B$22+Inputs!$B$23)+MAX(-AU388,0)*(Inputs!$B$21+Inputs!$B$22+Inputs!$B$23)</f>
        <v>0</v>
      </c>
      <c r="AW388" s="30" t="n">
        <f aca="false">AP387*(M388-AR387*J388)+AP387*AR387*N388/Inputs!$B$16-AV388</f>
        <v>0</v>
      </c>
      <c r="AX388" s="30" t="n">
        <f aca="false">AW388-IF(AP387&lt;&gt;0,0.75*AR387*(Inputs!$B$13-N388)/Inputs!$B$16,0)</f>
        <v>0</v>
      </c>
      <c r="AY388" s="30" t="n">
        <f aca="false">MAX(AS388,0)*(Inputs!$B$17+Inputs!$B$18+Inputs!$B$19)+MAX(-AS388,0)*(O388+Inputs!$B$18+Inputs!$B$19)+IF(AND(K388=1,AP388&lt;&gt;0),(Inputs!$B$17+Inputs!$B$18+Inputs!$B$19)+(O388+Inputs!$B$18+Inputs!$B$19),0)</f>
        <v>0</v>
      </c>
      <c r="AZ388" s="30" t="n">
        <f aca="false">AP387*M388-AY388</f>
        <v>-0</v>
      </c>
      <c r="BA388" s="32" t="n">
        <f aca="false">BA387+AI388</f>
        <v>0.00164515276832129</v>
      </c>
      <c r="BB388" s="30" t="n">
        <f aca="false">MAX(BB387,BA388)</f>
        <v>0.00284866043860449</v>
      </c>
      <c r="BC388" s="32" t="n">
        <f aca="false">BA388-BB388</f>
        <v>-0.0012035076702832</v>
      </c>
      <c r="BD388" s="30" t="n">
        <f aca="false">A389-A388</f>
        <v>4</v>
      </c>
    </row>
    <row r="389" customFormat="false" ht="15" hidden="false" customHeight="false" outlineLevel="0" collapsed="false">
      <c r="A389" s="28" t="n">
        <v>45614</v>
      </c>
      <c r="B389" s="0" t="n">
        <v>23517.9</v>
      </c>
      <c r="C389" s="0" t="n">
        <v>262.85</v>
      </c>
      <c r="D389" s="29" t="n">
        <f aca="false">LN(B389)</f>
        <v>10.0655171123121</v>
      </c>
      <c r="E389" s="29" t="n">
        <f aca="false">LN(C389)</f>
        <v>5.57158352726546</v>
      </c>
      <c r="F389" s="0" t="n">
        <v>384</v>
      </c>
      <c r="G389" s="0" t="n">
        <v>10</v>
      </c>
      <c r="H389" s="29" t="n">
        <f aca="false">D389-E389</f>
        <v>4.49393358504661</v>
      </c>
      <c r="I389" s="29" t="n">
        <f aca="false">D389-D388</f>
        <v>-0.00485470277595823</v>
      </c>
      <c r="J389" s="29" t="n">
        <f aca="false">E389-E388</f>
        <v>-0.00482001806091326</v>
      </c>
      <c r="K389" s="0" t="n">
        <v>0</v>
      </c>
      <c r="L389" s="0" t="n">
        <v>0</v>
      </c>
      <c r="M389" s="29" t="n">
        <f aca="false">IF(L389=1,J389-Carry!$B$9/Inputs!$B$16,I389)</f>
        <v>-0.00485470277595823</v>
      </c>
      <c r="N389" s="0" t="n">
        <v>0.065</v>
      </c>
      <c r="O389" s="0" t="n">
        <v>0.0002</v>
      </c>
      <c r="P389" s="29" t="n">
        <f aca="false">D389-('2 Hedge ratio'!$B$6+'2 Hedge ratio'!$B$5*E389)</f>
        <v>-0.000579729742236523</v>
      </c>
      <c r="Q389" s="29" t="n">
        <f aca="false">D389-('5 Re-specification'!$B$7+'5 Re-specification'!$B$5*E389+'5 Re-specification'!$B$6*F389)</f>
        <v>-0.00312989375468042</v>
      </c>
      <c r="R389" s="30" t="n">
        <f aca="false">MIN(F389,Inputs!$B$9)</f>
        <v>250</v>
      </c>
      <c r="S389" s="29" t="n">
        <f aca="true">IF(AND(F389&gt;=1,R389&gt;=Inputs!$B$10),INDEX(LINEST(OFFSET(D389,-R389,0,R389,1),OFFSET(E389,-R389,0,R389,2)),1,1),"")</f>
        <v>-7.10507808753192E-005</v>
      </c>
      <c r="T389" s="29" t="n">
        <f aca="true">IF(AND(F389&gt;=1,R389&gt;=Inputs!$B$10),INDEX(LINEST(OFFSET(D389,-R389,0,R389,1),OFFSET(E389,-R389,0,R389,2)),1,2),"")</f>
        <v>1.0063835325846</v>
      </c>
      <c r="U389" s="29" t="n">
        <f aca="true">IF(AND(F389&gt;=1,R389&gt;=Inputs!$B$10),INDEX(LINEST(OFFSET(D389,-R389,0,R389,1),OFFSET(E389,-R389,0,R389,2)),1,3),"")</f>
        <v>4.48592491646552</v>
      </c>
      <c r="V389" s="29" t="n">
        <f aca="true">IF(AND(F389&gt;=1,R389&gt;=Inputs!$B$10),SQRT(SUMPRODUCT((OFFSET(D389,-R389,0,R389,1)-U389-T389*OFFSET(E389,-R389,0,R389,1)-S389*OFFSET(F389,-R389,0,R389,1))^2)/(R389-3)),"")</f>
        <v>0.00322902745008128</v>
      </c>
      <c r="W389" s="31" t="n">
        <f aca="false">IF(AND(F389&gt;=1,R389&gt;=Inputs!$B$10),(D389-U389-T389*E389-S389*F389)/V389,"")</f>
        <v>-0.0849223368842733</v>
      </c>
      <c r="X389" s="30" t="n">
        <f aca="false">IF(AB388&lt;&gt;0,AC388+1,0)</f>
        <v>0</v>
      </c>
      <c r="Y389" s="30" t="n">
        <f aca="false">IF(W389="",0,IF(AND(AB388&lt;&gt;0,OR(ABS(W389)&gt;Inputs!$B$7,X389&gt;=Inputs!$B$8,ABS(W389)&lt;Inputs!$B$6)),1,0))</f>
        <v>0</v>
      </c>
      <c r="Z389" s="30" t="n">
        <f aca="false">IF(Y389=1,0,AB388)</f>
        <v>0</v>
      </c>
      <c r="AA389" s="30" t="n">
        <f aca="false">IF(W389="",0,IF(AND(Z389=0,ABS(W389)&gt;Inputs!$B$5,ABS(W389)&lt;=Inputs!$B$7),1,0))</f>
        <v>0</v>
      </c>
      <c r="AB389" s="30" t="n">
        <f aca="false">IF(W389="",0,IF(AA389=1,-SIGN(W389),Z389))</f>
        <v>0</v>
      </c>
      <c r="AC389" s="30" t="n">
        <f aca="false">IF(W389="",0,IF(AA389=1,0,IF(Y389=1,0,X389)))</f>
        <v>0</v>
      </c>
      <c r="AD389" s="30" t="n">
        <f aca="false">IF(AB389=0,0,IF(AB388=AB389,AD388,T389))</f>
        <v>0</v>
      </c>
      <c r="AE389" s="30" t="n">
        <f aca="false">AB389-AB388</f>
        <v>0</v>
      </c>
      <c r="AF389" s="30" t="n">
        <f aca="false">-AD389*AB389</f>
        <v>-0</v>
      </c>
      <c r="AG389" s="30" t="n">
        <f aca="false">AF389-AF388</f>
        <v>0</v>
      </c>
      <c r="AH389" s="30" t="n">
        <f aca="false">MAX(AE389,0)*(Inputs!$B$17+Inputs!$B$18+Inputs!$B$19)+MAX(-AE389,0)*(O389+Inputs!$B$18+Inputs!$B$19)+IF(AND(K389=1,AB389&lt;&gt;0),(Inputs!$B$17+Inputs!$B$18+Inputs!$B$19)+(O389+Inputs!$B$18+Inputs!$B$19),0)+MAX(AG389,0)*(Inputs!$B$20+Inputs!$B$22+Inputs!$B$23)+MAX(-AG389,0)*(Inputs!$B$21+Inputs!$B$22+Inputs!$B$23)</f>
        <v>0</v>
      </c>
      <c r="AI389" s="30" t="n">
        <f aca="false">AB388*(M389-AD388*J389)+AB388*AD388*N389/Inputs!$B$16-AH389</f>
        <v>0</v>
      </c>
      <c r="AJ389" s="30" t="n">
        <f aca="false">MAX(AE389,0)*(Inputs!$B$17+Inputs!$B$24+Inputs!$B$25)+MAX(-AE389,0)*(O389+Inputs!$B$24+Inputs!$B$25)+IF(AND(K389=1,AB389&lt;&gt;0),(Inputs!$B$17+Inputs!$B$24+Inputs!$B$25)+(O389+Inputs!$B$24+Inputs!$B$25),0)+MAX(AG389,0)*(Inputs!$B$20+Inputs!$B$26+Inputs!$B$27)+MAX(-AG389,0)*(Inputs!$B$21+Inputs!$B$26+Inputs!$B$27)</f>
        <v>0</v>
      </c>
      <c r="AK389" s="30" t="n">
        <f aca="false">AB388*(M389-AD388*J389)+AB388*AD388*(N389+Inputs!$B$14)/Inputs!$B$16-AJ389</f>
        <v>0</v>
      </c>
      <c r="AL389" s="30" t="n">
        <f aca="false">IF(AP388&lt;&gt;0,AQ388+1,0)</f>
        <v>0</v>
      </c>
      <c r="AM389" s="30" t="n">
        <f aca="false">IF(W389="",0,IF(AND(AP388&lt;&gt;0,OR(ABS(W389)&gt;Inputs!$B$7,AL389&gt;=Inputs!$B$8,ABS(W389)&lt;Inputs!$B$6)),1,0))</f>
        <v>0</v>
      </c>
      <c r="AN389" s="30" t="n">
        <f aca="false">IF(AM389=1,0,AP388)</f>
        <v>0</v>
      </c>
      <c r="AO389" s="30" t="n">
        <f aca="false">IF(W389="",0,IF(AND(AN389=0,ABS(W389)&gt;Inputs!$B$5,ABS(W389)&lt;=Inputs!$B$7,W389&gt;0),1,0))</f>
        <v>0</v>
      </c>
      <c r="AP389" s="30" t="n">
        <f aca="false">IF(W389="",0,IF(AO389=1,-SIGN(W389),AN389))</f>
        <v>0</v>
      </c>
      <c r="AQ389" s="30" t="n">
        <f aca="false">IF(W389="",0,IF(AO389=1,0,IF(AM389=1,0,AL389)))</f>
        <v>0</v>
      </c>
      <c r="AR389" s="30" t="n">
        <f aca="false">IF(AP389=0,0,IF(AP388=AP389,AR388,T389))</f>
        <v>0</v>
      </c>
      <c r="AS389" s="30" t="n">
        <f aca="false">AP389-AP388</f>
        <v>0</v>
      </c>
      <c r="AT389" s="30" t="n">
        <f aca="false">-AR389*AP389</f>
        <v>-0</v>
      </c>
      <c r="AU389" s="30" t="n">
        <f aca="false">AT389-AT388</f>
        <v>0</v>
      </c>
      <c r="AV389" s="30" t="n">
        <f aca="false">MAX(AS389,0)*(Inputs!$B$17+Inputs!$B$18+Inputs!$B$19)+MAX(-AS389,0)*(O389+Inputs!$B$18+Inputs!$B$19)+IF(AND(K389=1,AP389&lt;&gt;0),(Inputs!$B$17+Inputs!$B$18+Inputs!$B$19)+(O389+Inputs!$B$18+Inputs!$B$19),0)+MAX(AU389,0)*(Inputs!$B$20+Inputs!$B$22+Inputs!$B$23)+MAX(-AU389,0)*(Inputs!$B$21+Inputs!$B$22+Inputs!$B$23)</f>
        <v>0</v>
      </c>
      <c r="AW389" s="30" t="n">
        <f aca="false">AP388*(M389-AR388*J389)+AP388*AR388*N389/Inputs!$B$16-AV389</f>
        <v>0</v>
      </c>
      <c r="AX389" s="30" t="n">
        <f aca="false">AW389-IF(AP388&lt;&gt;0,0.75*AR388*(Inputs!$B$13-N389)/Inputs!$B$16,0)</f>
        <v>0</v>
      </c>
      <c r="AY389" s="30" t="n">
        <f aca="false">MAX(AS389,0)*(Inputs!$B$17+Inputs!$B$18+Inputs!$B$19)+MAX(-AS389,0)*(O389+Inputs!$B$18+Inputs!$B$19)+IF(AND(K389=1,AP389&lt;&gt;0),(Inputs!$B$17+Inputs!$B$18+Inputs!$B$19)+(O389+Inputs!$B$18+Inputs!$B$19),0)</f>
        <v>0</v>
      </c>
      <c r="AZ389" s="30" t="n">
        <f aca="false">AP388*M389-AY389</f>
        <v>-0</v>
      </c>
      <c r="BA389" s="32" t="n">
        <f aca="false">BA388+AI389</f>
        <v>0.00164515276832129</v>
      </c>
      <c r="BB389" s="30" t="n">
        <f aca="false">MAX(BB388,BA389)</f>
        <v>0.00284866043860449</v>
      </c>
      <c r="BC389" s="32" t="n">
        <f aca="false">BA389-BB389</f>
        <v>-0.0012035076702832</v>
      </c>
      <c r="BD389" s="30" t="n">
        <f aca="false">A390-A389</f>
        <v>1</v>
      </c>
    </row>
    <row r="390" customFormat="false" ht="15" hidden="false" customHeight="false" outlineLevel="0" collapsed="false">
      <c r="A390" s="28" t="n">
        <v>45615</v>
      </c>
      <c r="B390" s="0" t="n">
        <v>23491</v>
      </c>
      <c r="C390" s="0" t="n">
        <v>262.85</v>
      </c>
      <c r="D390" s="29" t="n">
        <f aca="false">LN(B390)</f>
        <v>10.0643726480538</v>
      </c>
      <c r="E390" s="29" t="n">
        <f aca="false">LN(C390)</f>
        <v>5.57158352726546</v>
      </c>
      <c r="F390" s="0" t="n">
        <v>385</v>
      </c>
      <c r="G390" s="0" t="n">
        <v>9</v>
      </c>
      <c r="H390" s="29" t="n">
        <f aca="false">D390-E390</f>
        <v>4.49278912078831</v>
      </c>
      <c r="I390" s="29" t="n">
        <f aca="false">D390-D389</f>
        <v>-0.00114446425830472</v>
      </c>
      <c r="J390" s="29" t="n">
        <f aca="false">E390-E389</f>
        <v>0</v>
      </c>
      <c r="K390" s="0" t="n">
        <v>0</v>
      </c>
      <c r="L390" s="0" t="n">
        <v>0</v>
      </c>
      <c r="M390" s="29" t="n">
        <f aca="false">IF(L390=1,J390-Carry!$B$9/Inputs!$B$16,I390)</f>
        <v>-0.00114446425830472</v>
      </c>
      <c r="N390" s="0" t="n">
        <v>0.065</v>
      </c>
      <c r="O390" s="0" t="n">
        <v>0.0002</v>
      </c>
      <c r="P390" s="29" t="n">
        <f aca="false">D390-('2 Hedge ratio'!$B$6+'2 Hedge ratio'!$B$5*E390)</f>
        <v>-0.00172419400054125</v>
      </c>
      <c r="Q390" s="29" t="n">
        <f aca="false">D390-('5 Re-specification'!$B$7+'5 Re-specification'!$B$5*E390+'5 Re-specification'!$B$6*F390)</f>
        <v>-0.00422942869488807</v>
      </c>
      <c r="R390" s="30" t="n">
        <f aca="false">MIN(F390,Inputs!$B$9)</f>
        <v>250</v>
      </c>
      <c r="S390" s="29" t="n">
        <f aca="true">IF(AND(F390&gt;=1,R390&gt;=Inputs!$B$10),INDEX(LINEST(OFFSET(D390,-R390,0,R390,1),OFFSET(E390,-R390,0,R390,2)),1,1),"")</f>
        <v>-7.08742925779697E-005</v>
      </c>
      <c r="T390" s="29" t="n">
        <f aca="true">IF(AND(F390&gt;=1,R390&gt;=Inputs!$B$10),INDEX(LINEST(OFFSET(D390,-R390,0,R390,1),OFFSET(E390,-R390,0,R390,2)),1,2),"")</f>
        <v>1.00602194606166</v>
      </c>
      <c r="U390" s="29" t="n">
        <f aca="true">IF(AND(F390&gt;=1,R390&gt;=Inputs!$B$10),INDEX(LINEST(OFFSET(D390,-R390,0,R390,1),OFFSET(E390,-R390,0,R390,2)),1,3),"")</f>
        <v>4.48788783078985</v>
      </c>
      <c r="V390" s="29" t="n">
        <f aca="true">IF(AND(F390&gt;=1,R390&gt;=Inputs!$B$10),SQRT(SUMPRODUCT((OFFSET(D390,-R390,0,R390,1)-U390-T390*OFFSET(E390,-R390,0,R390,1)-S390*OFFSET(F390,-R390,0,R390,1))^2)/(R390-3)),"")</f>
        <v>0.00322784120786488</v>
      </c>
      <c r="W390" s="31" t="n">
        <f aca="false">IF(AND(F390&gt;=1,R390&gt;=Inputs!$B$10),(D390-U390-T390*E390-S390*F390)/V390,"")</f>
        <v>-0.422537154227509</v>
      </c>
      <c r="X390" s="30" t="n">
        <f aca="false">IF(AB389&lt;&gt;0,AC389+1,0)</f>
        <v>0</v>
      </c>
      <c r="Y390" s="30" t="n">
        <f aca="false">IF(W390="",0,IF(AND(AB389&lt;&gt;0,OR(ABS(W390)&gt;Inputs!$B$7,X390&gt;=Inputs!$B$8,ABS(W390)&lt;Inputs!$B$6)),1,0))</f>
        <v>0</v>
      </c>
      <c r="Z390" s="30" t="n">
        <f aca="false">IF(Y390=1,0,AB389)</f>
        <v>0</v>
      </c>
      <c r="AA390" s="30" t="n">
        <f aca="false">IF(W390="",0,IF(AND(Z390=0,ABS(W390)&gt;Inputs!$B$5,ABS(W390)&lt;=Inputs!$B$7),1,0))</f>
        <v>0</v>
      </c>
      <c r="AB390" s="30" t="n">
        <f aca="false">IF(W390="",0,IF(AA390=1,-SIGN(W390),Z390))</f>
        <v>0</v>
      </c>
      <c r="AC390" s="30" t="n">
        <f aca="false">IF(W390="",0,IF(AA390=1,0,IF(Y390=1,0,X390)))</f>
        <v>0</v>
      </c>
      <c r="AD390" s="30" t="n">
        <f aca="false">IF(AB390=0,0,IF(AB389=AB390,AD389,T390))</f>
        <v>0</v>
      </c>
      <c r="AE390" s="30" t="n">
        <f aca="false">AB390-AB389</f>
        <v>0</v>
      </c>
      <c r="AF390" s="30" t="n">
        <f aca="false">-AD390*AB390</f>
        <v>-0</v>
      </c>
      <c r="AG390" s="30" t="n">
        <f aca="false">AF390-AF389</f>
        <v>0</v>
      </c>
      <c r="AH390" s="30" t="n">
        <f aca="false">MAX(AE390,0)*(Inputs!$B$17+Inputs!$B$18+Inputs!$B$19)+MAX(-AE390,0)*(O390+Inputs!$B$18+Inputs!$B$19)+IF(AND(K390=1,AB390&lt;&gt;0),(Inputs!$B$17+Inputs!$B$18+Inputs!$B$19)+(O390+Inputs!$B$18+Inputs!$B$19),0)+MAX(AG390,0)*(Inputs!$B$20+Inputs!$B$22+Inputs!$B$23)+MAX(-AG390,0)*(Inputs!$B$21+Inputs!$B$22+Inputs!$B$23)</f>
        <v>0</v>
      </c>
      <c r="AI390" s="30" t="n">
        <f aca="false">AB389*(M390-AD389*J390)+AB389*AD389*N390/Inputs!$B$16-AH390</f>
        <v>0</v>
      </c>
      <c r="AJ390" s="30" t="n">
        <f aca="false">MAX(AE390,0)*(Inputs!$B$17+Inputs!$B$24+Inputs!$B$25)+MAX(-AE390,0)*(O390+Inputs!$B$24+Inputs!$B$25)+IF(AND(K390=1,AB390&lt;&gt;0),(Inputs!$B$17+Inputs!$B$24+Inputs!$B$25)+(O390+Inputs!$B$24+Inputs!$B$25),0)+MAX(AG390,0)*(Inputs!$B$20+Inputs!$B$26+Inputs!$B$27)+MAX(-AG390,0)*(Inputs!$B$21+Inputs!$B$26+Inputs!$B$27)</f>
        <v>0</v>
      </c>
      <c r="AK390" s="30" t="n">
        <f aca="false">AB389*(M390-AD389*J390)+AB389*AD389*(N390+Inputs!$B$14)/Inputs!$B$16-AJ390</f>
        <v>0</v>
      </c>
      <c r="AL390" s="30" t="n">
        <f aca="false">IF(AP389&lt;&gt;0,AQ389+1,0)</f>
        <v>0</v>
      </c>
      <c r="AM390" s="30" t="n">
        <f aca="false">IF(W390="",0,IF(AND(AP389&lt;&gt;0,OR(ABS(W390)&gt;Inputs!$B$7,AL390&gt;=Inputs!$B$8,ABS(W390)&lt;Inputs!$B$6)),1,0))</f>
        <v>0</v>
      </c>
      <c r="AN390" s="30" t="n">
        <f aca="false">IF(AM390=1,0,AP389)</f>
        <v>0</v>
      </c>
      <c r="AO390" s="30" t="n">
        <f aca="false">IF(W390="",0,IF(AND(AN390=0,ABS(W390)&gt;Inputs!$B$5,ABS(W390)&lt;=Inputs!$B$7,W390&gt;0),1,0))</f>
        <v>0</v>
      </c>
      <c r="AP390" s="30" t="n">
        <f aca="false">IF(W390="",0,IF(AO390=1,-SIGN(W390),AN390))</f>
        <v>0</v>
      </c>
      <c r="AQ390" s="30" t="n">
        <f aca="false">IF(W390="",0,IF(AO390=1,0,IF(AM390=1,0,AL390)))</f>
        <v>0</v>
      </c>
      <c r="AR390" s="30" t="n">
        <f aca="false">IF(AP390=0,0,IF(AP389=AP390,AR389,T390))</f>
        <v>0</v>
      </c>
      <c r="AS390" s="30" t="n">
        <f aca="false">AP390-AP389</f>
        <v>0</v>
      </c>
      <c r="AT390" s="30" t="n">
        <f aca="false">-AR390*AP390</f>
        <v>-0</v>
      </c>
      <c r="AU390" s="30" t="n">
        <f aca="false">AT390-AT389</f>
        <v>0</v>
      </c>
      <c r="AV390" s="30" t="n">
        <f aca="false">MAX(AS390,0)*(Inputs!$B$17+Inputs!$B$18+Inputs!$B$19)+MAX(-AS390,0)*(O390+Inputs!$B$18+Inputs!$B$19)+IF(AND(K390=1,AP390&lt;&gt;0),(Inputs!$B$17+Inputs!$B$18+Inputs!$B$19)+(O390+Inputs!$B$18+Inputs!$B$19),0)+MAX(AU390,0)*(Inputs!$B$20+Inputs!$B$22+Inputs!$B$23)+MAX(-AU390,0)*(Inputs!$B$21+Inputs!$B$22+Inputs!$B$23)</f>
        <v>0</v>
      </c>
      <c r="AW390" s="30" t="n">
        <f aca="false">AP389*(M390-AR389*J390)+AP389*AR389*N390/Inputs!$B$16-AV390</f>
        <v>0</v>
      </c>
      <c r="AX390" s="30" t="n">
        <f aca="false">AW390-IF(AP389&lt;&gt;0,0.75*AR389*(Inputs!$B$13-N390)/Inputs!$B$16,0)</f>
        <v>0</v>
      </c>
      <c r="AY390" s="30" t="n">
        <f aca="false">MAX(AS390,0)*(Inputs!$B$17+Inputs!$B$18+Inputs!$B$19)+MAX(-AS390,0)*(O390+Inputs!$B$18+Inputs!$B$19)+IF(AND(K390=1,AP390&lt;&gt;0),(Inputs!$B$17+Inputs!$B$18+Inputs!$B$19)+(O390+Inputs!$B$18+Inputs!$B$19),0)</f>
        <v>0</v>
      </c>
      <c r="AZ390" s="30" t="n">
        <f aca="false">AP389*M390-AY390</f>
        <v>-0</v>
      </c>
      <c r="BA390" s="32" t="n">
        <f aca="false">BA389+AI390</f>
        <v>0.00164515276832129</v>
      </c>
      <c r="BB390" s="30" t="n">
        <f aca="false">MAX(BB389,BA390)</f>
        <v>0.00284866043860449</v>
      </c>
      <c r="BC390" s="32" t="n">
        <f aca="false">BA390-BB390</f>
        <v>-0.0012035076702832</v>
      </c>
      <c r="BD390" s="30" t="n">
        <f aca="false">A391-A390</f>
        <v>2</v>
      </c>
    </row>
    <row r="391" customFormat="false" ht="15" hidden="false" customHeight="false" outlineLevel="0" collapsed="false">
      <c r="A391" s="28" t="n">
        <v>45617</v>
      </c>
      <c r="B391" s="0" t="n">
        <v>23349</v>
      </c>
      <c r="C391" s="0" t="n">
        <v>261.52</v>
      </c>
      <c r="D391" s="29" t="n">
        <f aca="false">LN(B391)</f>
        <v>10.0583094356275</v>
      </c>
      <c r="E391" s="29" t="n">
        <f aca="false">LN(C391)</f>
        <v>5.56651076241596</v>
      </c>
      <c r="F391" s="0" t="n">
        <v>386</v>
      </c>
      <c r="G391" s="0" t="n">
        <v>7</v>
      </c>
      <c r="H391" s="29" t="n">
        <f aca="false">D391-E391</f>
        <v>4.49179867321154</v>
      </c>
      <c r="I391" s="29" t="n">
        <f aca="false">D391-D390</f>
        <v>-0.00606321242626784</v>
      </c>
      <c r="J391" s="29" t="n">
        <f aca="false">E391-E390</f>
        <v>-0.00507276484950214</v>
      </c>
      <c r="K391" s="0" t="n">
        <v>0</v>
      </c>
      <c r="L391" s="0" t="n">
        <v>0</v>
      </c>
      <c r="M391" s="29" t="n">
        <f aca="false">IF(L391=1,J391-Carry!$B$9/Inputs!$B$16,I391)</f>
        <v>-0.00606321242626784</v>
      </c>
      <c r="N391" s="0" t="n">
        <v>0.065</v>
      </c>
      <c r="O391" s="0" t="n">
        <v>0.0002</v>
      </c>
      <c r="P391" s="29" t="n">
        <f aca="false">D391-('2 Hedge ratio'!$B$6+'2 Hedge ratio'!$B$5*E391)</f>
        <v>-0.00314011080481258</v>
      </c>
      <c r="Q391" s="29" t="n">
        <f aca="false">D391-('5 Re-specification'!$B$7+'5 Re-specification'!$B$5*E391+'5 Re-specification'!$B$6*F391)</f>
        <v>-0.00519031996753938</v>
      </c>
      <c r="R391" s="30" t="n">
        <f aca="false">MIN(F391,Inputs!$B$9)</f>
        <v>250</v>
      </c>
      <c r="S391" s="29" t="n">
        <f aca="true">IF(AND(F391&gt;=1,R391&gt;=Inputs!$B$10),INDEX(LINEST(OFFSET(D391,-R391,0,R391,1),OFFSET(E391,-R391,0,R391,2)),1,1),"")</f>
        <v>-7.14376311138418E-005</v>
      </c>
      <c r="T391" s="29" t="n">
        <f aca="true">IF(AND(F391&gt;=1,R391&gt;=Inputs!$B$10),INDEX(LINEST(OFFSET(D391,-R391,0,R391,1),OFFSET(E391,-R391,0,R391,2)),1,2),"")</f>
        <v>1.00635775796738</v>
      </c>
      <c r="U391" s="29" t="n">
        <f aca="true">IF(AND(F391&gt;=1,R391&gt;=Inputs!$B$10),INDEX(LINEST(OFFSET(D391,-R391,0,R391,1),OFFSET(E391,-R391,0,R391,2)),1,3),"")</f>
        <v>4.48617265568779</v>
      </c>
      <c r="V391" s="29" t="n">
        <f aca="true">IF(AND(F391&gt;=1,R391&gt;=Inputs!$B$10),SQRT(SUMPRODUCT((OFFSET(D391,-R391,0,R391,1)-U391-T391*OFFSET(E391,-R391,0,R391,1)-S391*OFFSET(F391,-R391,0,R391,1))^2)/(R391-3)),"")</f>
        <v>0.0032278821548913</v>
      </c>
      <c r="W391" s="31" t="n">
        <f aca="false">IF(AND(F391&gt;=1,R391&gt;=Inputs!$B$10),(D391-U391-T391*E391-S391*F391)/V391,"")</f>
        <v>-0.678334868334341</v>
      </c>
      <c r="X391" s="30" t="n">
        <f aca="false">IF(AB390&lt;&gt;0,AC390+1,0)</f>
        <v>0</v>
      </c>
      <c r="Y391" s="30" t="n">
        <f aca="false">IF(W391="",0,IF(AND(AB390&lt;&gt;0,OR(ABS(W391)&gt;Inputs!$B$7,X391&gt;=Inputs!$B$8,ABS(W391)&lt;Inputs!$B$6)),1,0))</f>
        <v>0</v>
      </c>
      <c r="Z391" s="30" t="n">
        <f aca="false">IF(Y391=1,0,AB390)</f>
        <v>0</v>
      </c>
      <c r="AA391" s="30" t="n">
        <f aca="false">IF(W391="",0,IF(AND(Z391=0,ABS(W391)&gt;Inputs!$B$5,ABS(W391)&lt;=Inputs!$B$7),1,0))</f>
        <v>0</v>
      </c>
      <c r="AB391" s="30" t="n">
        <f aca="false">IF(W391="",0,IF(AA391=1,-SIGN(W391),Z391))</f>
        <v>0</v>
      </c>
      <c r="AC391" s="30" t="n">
        <f aca="false">IF(W391="",0,IF(AA391=1,0,IF(Y391=1,0,X391)))</f>
        <v>0</v>
      </c>
      <c r="AD391" s="30" t="n">
        <f aca="false">IF(AB391=0,0,IF(AB390=AB391,AD390,T391))</f>
        <v>0</v>
      </c>
      <c r="AE391" s="30" t="n">
        <f aca="false">AB391-AB390</f>
        <v>0</v>
      </c>
      <c r="AF391" s="30" t="n">
        <f aca="false">-AD391*AB391</f>
        <v>-0</v>
      </c>
      <c r="AG391" s="30" t="n">
        <f aca="false">AF391-AF390</f>
        <v>0</v>
      </c>
      <c r="AH391" s="30" t="n">
        <f aca="false">MAX(AE391,0)*(Inputs!$B$17+Inputs!$B$18+Inputs!$B$19)+MAX(-AE391,0)*(O391+Inputs!$B$18+Inputs!$B$19)+IF(AND(K391=1,AB391&lt;&gt;0),(Inputs!$B$17+Inputs!$B$18+Inputs!$B$19)+(O391+Inputs!$B$18+Inputs!$B$19),0)+MAX(AG391,0)*(Inputs!$B$20+Inputs!$B$22+Inputs!$B$23)+MAX(-AG391,0)*(Inputs!$B$21+Inputs!$B$22+Inputs!$B$23)</f>
        <v>0</v>
      </c>
      <c r="AI391" s="30" t="n">
        <f aca="false">AB390*(M391-AD390*J391)+AB390*AD390*N391/Inputs!$B$16-AH391</f>
        <v>0</v>
      </c>
      <c r="AJ391" s="30" t="n">
        <f aca="false">MAX(AE391,0)*(Inputs!$B$17+Inputs!$B$24+Inputs!$B$25)+MAX(-AE391,0)*(O391+Inputs!$B$24+Inputs!$B$25)+IF(AND(K391=1,AB391&lt;&gt;0),(Inputs!$B$17+Inputs!$B$24+Inputs!$B$25)+(O391+Inputs!$B$24+Inputs!$B$25),0)+MAX(AG391,0)*(Inputs!$B$20+Inputs!$B$26+Inputs!$B$27)+MAX(-AG391,0)*(Inputs!$B$21+Inputs!$B$26+Inputs!$B$27)</f>
        <v>0</v>
      </c>
      <c r="AK391" s="30" t="n">
        <f aca="false">AB390*(M391-AD390*J391)+AB390*AD390*(N391+Inputs!$B$14)/Inputs!$B$16-AJ391</f>
        <v>0</v>
      </c>
      <c r="AL391" s="30" t="n">
        <f aca="false">IF(AP390&lt;&gt;0,AQ390+1,0)</f>
        <v>0</v>
      </c>
      <c r="AM391" s="30" t="n">
        <f aca="false">IF(W391="",0,IF(AND(AP390&lt;&gt;0,OR(ABS(W391)&gt;Inputs!$B$7,AL391&gt;=Inputs!$B$8,ABS(W391)&lt;Inputs!$B$6)),1,0))</f>
        <v>0</v>
      </c>
      <c r="AN391" s="30" t="n">
        <f aca="false">IF(AM391=1,0,AP390)</f>
        <v>0</v>
      </c>
      <c r="AO391" s="30" t="n">
        <f aca="false">IF(W391="",0,IF(AND(AN391=0,ABS(W391)&gt;Inputs!$B$5,ABS(W391)&lt;=Inputs!$B$7,W391&gt;0),1,0))</f>
        <v>0</v>
      </c>
      <c r="AP391" s="30" t="n">
        <f aca="false">IF(W391="",0,IF(AO391=1,-SIGN(W391),AN391))</f>
        <v>0</v>
      </c>
      <c r="AQ391" s="30" t="n">
        <f aca="false">IF(W391="",0,IF(AO391=1,0,IF(AM391=1,0,AL391)))</f>
        <v>0</v>
      </c>
      <c r="AR391" s="30" t="n">
        <f aca="false">IF(AP391=0,0,IF(AP390=AP391,AR390,T391))</f>
        <v>0</v>
      </c>
      <c r="AS391" s="30" t="n">
        <f aca="false">AP391-AP390</f>
        <v>0</v>
      </c>
      <c r="AT391" s="30" t="n">
        <f aca="false">-AR391*AP391</f>
        <v>-0</v>
      </c>
      <c r="AU391" s="30" t="n">
        <f aca="false">AT391-AT390</f>
        <v>0</v>
      </c>
      <c r="AV391" s="30" t="n">
        <f aca="false">MAX(AS391,0)*(Inputs!$B$17+Inputs!$B$18+Inputs!$B$19)+MAX(-AS391,0)*(O391+Inputs!$B$18+Inputs!$B$19)+IF(AND(K391=1,AP391&lt;&gt;0),(Inputs!$B$17+Inputs!$B$18+Inputs!$B$19)+(O391+Inputs!$B$18+Inputs!$B$19),0)+MAX(AU391,0)*(Inputs!$B$20+Inputs!$B$22+Inputs!$B$23)+MAX(-AU391,0)*(Inputs!$B$21+Inputs!$B$22+Inputs!$B$23)</f>
        <v>0</v>
      </c>
      <c r="AW391" s="30" t="n">
        <f aca="false">AP390*(M391-AR390*J391)+AP390*AR390*N391/Inputs!$B$16-AV391</f>
        <v>0</v>
      </c>
      <c r="AX391" s="30" t="n">
        <f aca="false">AW391-IF(AP390&lt;&gt;0,0.75*AR390*(Inputs!$B$13-N391)/Inputs!$B$16,0)</f>
        <v>0</v>
      </c>
      <c r="AY391" s="30" t="n">
        <f aca="false">MAX(AS391,0)*(Inputs!$B$17+Inputs!$B$18+Inputs!$B$19)+MAX(-AS391,0)*(O391+Inputs!$B$18+Inputs!$B$19)+IF(AND(K391=1,AP391&lt;&gt;0),(Inputs!$B$17+Inputs!$B$18+Inputs!$B$19)+(O391+Inputs!$B$18+Inputs!$B$19),0)</f>
        <v>0</v>
      </c>
      <c r="AZ391" s="30" t="n">
        <f aca="false">AP390*M391-AY391</f>
        <v>-0</v>
      </c>
      <c r="BA391" s="32" t="n">
        <f aca="false">BA390+AI391</f>
        <v>0.00164515276832129</v>
      </c>
      <c r="BB391" s="30" t="n">
        <f aca="false">MAX(BB390,BA391)</f>
        <v>0.00284866043860449</v>
      </c>
      <c r="BC391" s="32" t="n">
        <f aca="false">BA391-BB391</f>
        <v>-0.0012035076702832</v>
      </c>
      <c r="BD391" s="30" t="n">
        <f aca="false">A392-A391</f>
        <v>1</v>
      </c>
    </row>
    <row r="392" customFormat="false" ht="15" hidden="false" customHeight="false" outlineLevel="0" collapsed="false">
      <c r="A392" s="28" t="n">
        <v>45618</v>
      </c>
      <c r="B392" s="0" t="n">
        <v>23910</v>
      </c>
      <c r="C392" s="0" t="n">
        <v>266.75</v>
      </c>
      <c r="D392" s="29" t="n">
        <f aca="false">LN(B392)</f>
        <v>10.0820520604524</v>
      </c>
      <c r="E392" s="29" t="n">
        <f aca="false">LN(C392)</f>
        <v>5.58631189018186</v>
      </c>
      <c r="F392" s="0" t="n">
        <v>387</v>
      </c>
      <c r="G392" s="0" t="n">
        <v>6</v>
      </c>
      <c r="H392" s="29" t="n">
        <f aca="false">D392-E392</f>
        <v>4.49574017027051</v>
      </c>
      <c r="I392" s="29" t="n">
        <f aca="false">D392-D391</f>
        <v>0.0237426248248731</v>
      </c>
      <c r="J392" s="29" t="n">
        <f aca="false">E392-E391</f>
        <v>0.0198011277659074</v>
      </c>
      <c r="K392" s="0" t="n">
        <v>0</v>
      </c>
      <c r="L392" s="0" t="n">
        <v>0</v>
      </c>
      <c r="M392" s="29" t="n">
        <f aca="false">IF(L392=1,J392-Carry!$B$9/Inputs!$B$16,I392)</f>
        <v>0.0237426248248731</v>
      </c>
      <c r="N392" s="0" t="n">
        <v>0.065</v>
      </c>
      <c r="O392" s="0" t="n">
        <v>0.0002</v>
      </c>
      <c r="P392" s="29" t="n">
        <f aca="false">D392-('2 Hedge ratio'!$B$6+'2 Hedge ratio'!$B$5*E392)</f>
        <v>0.00246217101044799</v>
      </c>
      <c r="Q392" s="29" t="n">
        <f aca="false">D392-('5 Re-specification'!$B$7+'5 Re-specification'!$B$5*E392+'5 Re-specification'!$B$6*F392)</f>
        <v>-0.00114388627236117</v>
      </c>
      <c r="R392" s="30" t="n">
        <f aca="false">MIN(F392,Inputs!$B$9)</f>
        <v>250</v>
      </c>
      <c r="S392" s="29" t="n">
        <f aca="true">IF(AND(F392&gt;=1,R392&gt;=Inputs!$B$10),INDEX(LINEST(OFFSET(D392,-R392,0,R392,1),OFFSET(E392,-R392,0,R392,2)),1,1),"")</f>
        <v>-7.24235708794888E-005</v>
      </c>
      <c r="T392" s="29" t="n">
        <f aca="true">IF(AND(F392&gt;=1,R392&gt;=Inputs!$B$10),INDEX(LINEST(OFFSET(D392,-R392,0,R392,1),OFFSET(E392,-R392,0,R392,2)),1,2),"")</f>
        <v>1.00700620603232</v>
      </c>
      <c r="U392" s="29" t="n">
        <f aca="true">IF(AND(F392&gt;=1,R392&gt;=Inputs!$B$10),INDEX(LINEST(OFFSET(D392,-R392,0,R392,1),OFFSET(E392,-R392,0,R392,2)),1,3),"")</f>
        <v>4.48283432210618</v>
      </c>
      <c r="V392" s="29" t="n">
        <f aca="true">IF(AND(F392&gt;=1,R392&gt;=Inputs!$B$10),SQRT(SUMPRODUCT((OFFSET(D392,-R392,0,R392,1)-U392-T392*OFFSET(E392,-R392,0,R392,1)-S392*OFFSET(F392,-R392,0,R392,1))^2)/(R392-3)),"")</f>
        <v>0.00322824830031733</v>
      </c>
      <c r="W392" s="31" t="n">
        <f aca="false">IF(AND(F392&gt;=1,R392&gt;=Inputs!$B$10),(D392-U392-T392*E392-S392*F392)/V392,"")</f>
        <v>0.556003709837271</v>
      </c>
      <c r="X392" s="30" t="n">
        <f aca="false">IF(AB391&lt;&gt;0,AC391+1,0)</f>
        <v>0</v>
      </c>
      <c r="Y392" s="30" t="n">
        <f aca="false">IF(W392="",0,IF(AND(AB391&lt;&gt;0,OR(ABS(W392)&gt;Inputs!$B$7,X392&gt;=Inputs!$B$8,ABS(W392)&lt;Inputs!$B$6)),1,0))</f>
        <v>0</v>
      </c>
      <c r="Z392" s="30" t="n">
        <f aca="false">IF(Y392=1,0,AB391)</f>
        <v>0</v>
      </c>
      <c r="AA392" s="30" t="n">
        <f aca="false">IF(W392="",0,IF(AND(Z392=0,ABS(W392)&gt;Inputs!$B$5,ABS(W392)&lt;=Inputs!$B$7),1,0))</f>
        <v>0</v>
      </c>
      <c r="AB392" s="30" t="n">
        <f aca="false">IF(W392="",0,IF(AA392=1,-SIGN(W392),Z392))</f>
        <v>0</v>
      </c>
      <c r="AC392" s="30" t="n">
        <f aca="false">IF(W392="",0,IF(AA392=1,0,IF(Y392=1,0,X392)))</f>
        <v>0</v>
      </c>
      <c r="AD392" s="30" t="n">
        <f aca="false">IF(AB392=0,0,IF(AB391=AB392,AD391,T392))</f>
        <v>0</v>
      </c>
      <c r="AE392" s="30" t="n">
        <f aca="false">AB392-AB391</f>
        <v>0</v>
      </c>
      <c r="AF392" s="30" t="n">
        <f aca="false">-AD392*AB392</f>
        <v>-0</v>
      </c>
      <c r="AG392" s="30" t="n">
        <f aca="false">AF392-AF391</f>
        <v>0</v>
      </c>
      <c r="AH392" s="30" t="n">
        <f aca="false">MAX(AE392,0)*(Inputs!$B$17+Inputs!$B$18+Inputs!$B$19)+MAX(-AE392,0)*(O392+Inputs!$B$18+Inputs!$B$19)+IF(AND(K392=1,AB392&lt;&gt;0),(Inputs!$B$17+Inputs!$B$18+Inputs!$B$19)+(O392+Inputs!$B$18+Inputs!$B$19),0)+MAX(AG392,0)*(Inputs!$B$20+Inputs!$B$22+Inputs!$B$23)+MAX(-AG392,0)*(Inputs!$B$21+Inputs!$B$22+Inputs!$B$23)</f>
        <v>0</v>
      </c>
      <c r="AI392" s="30" t="n">
        <f aca="false">AB391*(M392-AD391*J392)+AB391*AD391*N392/Inputs!$B$16-AH392</f>
        <v>0</v>
      </c>
      <c r="AJ392" s="30" t="n">
        <f aca="false">MAX(AE392,0)*(Inputs!$B$17+Inputs!$B$24+Inputs!$B$25)+MAX(-AE392,0)*(O392+Inputs!$B$24+Inputs!$B$25)+IF(AND(K392=1,AB392&lt;&gt;0),(Inputs!$B$17+Inputs!$B$24+Inputs!$B$25)+(O392+Inputs!$B$24+Inputs!$B$25),0)+MAX(AG392,0)*(Inputs!$B$20+Inputs!$B$26+Inputs!$B$27)+MAX(-AG392,0)*(Inputs!$B$21+Inputs!$B$26+Inputs!$B$27)</f>
        <v>0</v>
      </c>
      <c r="AK392" s="30" t="n">
        <f aca="false">AB391*(M392-AD391*J392)+AB391*AD391*(N392+Inputs!$B$14)/Inputs!$B$16-AJ392</f>
        <v>0</v>
      </c>
      <c r="AL392" s="30" t="n">
        <f aca="false">IF(AP391&lt;&gt;0,AQ391+1,0)</f>
        <v>0</v>
      </c>
      <c r="AM392" s="30" t="n">
        <f aca="false">IF(W392="",0,IF(AND(AP391&lt;&gt;0,OR(ABS(W392)&gt;Inputs!$B$7,AL392&gt;=Inputs!$B$8,ABS(W392)&lt;Inputs!$B$6)),1,0))</f>
        <v>0</v>
      </c>
      <c r="AN392" s="30" t="n">
        <f aca="false">IF(AM392=1,0,AP391)</f>
        <v>0</v>
      </c>
      <c r="AO392" s="30" t="n">
        <f aca="false">IF(W392="",0,IF(AND(AN392=0,ABS(W392)&gt;Inputs!$B$5,ABS(W392)&lt;=Inputs!$B$7,W392&gt;0),1,0))</f>
        <v>0</v>
      </c>
      <c r="AP392" s="30" t="n">
        <f aca="false">IF(W392="",0,IF(AO392=1,-SIGN(W392),AN392))</f>
        <v>0</v>
      </c>
      <c r="AQ392" s="30" t="n">
        <f aca="false">IF(W392="",0,IF(AO392=1,0,IF(AM392=1,0,AL392)))</f>
        <v>0</v>
      </c>
      <c r="AR392" s="30" t="n">
        <f aca="false">IF(AP392=0,0,IF(AP391=AP392,AR391,T392))</f>
        <v>0</v>
      </c>
      <c r="AS392" s="30" t="n">
        <f aca="false">AP392-AP391</f>
        <v>0</v>
      </c>
      <c r="AT392" s="30" t="n">
        <f aca="false">-AR392*AP392</f>
        <v>-0</v>
      </c>
      <c r="AU392" s="30" t="n">
        <f aca="false">AT392-AT391</f>
        <v>0</v>
      </c>
      <c r="AV392" s="30" t="n">
        <f aca="false">MAX(AS392,0)*(Inputs!$B$17+Inputs!$B$18+Inputs!$B$19)+MAX(-AS392,0)*(O392+Inputs!$B$18+Inputs!$B$19)+IF(AND(K392=1,AP392&lt;&gt;0),(Inputs!$B$17+Inputs!$B$18+Inputs!$B$19)+(O392+Inputs!$B$18+Inputs!$B$19),0)+MAX(AU392,0)*(Inputs!$B$20+Inputs!$B$22+Inputs!$B$23)+MAX(-AU392,0)*(Inputs!$B$21+Inputs!$B$22+Inputs!$B$23)</f>
        <v>0</v>
      </c>
      <c r="AW392" s="30" t="n">
        <f aca="false">AP391*(M392-AR391*J392)+AP391*AR391*N392/Inputs!$B$16-AV392</f>
        <v>0</v>
      </c>
      <c r="AX392" s="30" t="n">
        <f aca="false">AW392-IF(AP391&lt;&gt;0,0.75*AR391*(Inputs!$B$13-N392)/Inputs!$B$16,0)</f>
        <v>0</v>
      </c>
      <c r="AY392" s="30" t="n">
        <f aca="false">MAX(AS392,0)*(Inputs!$B$17+Inputs!$B$18+Inputs!$B$19)+MAX(-AS392,0)*(O392+Inputs!$B$18+Inputs!$B$19)+IF(AND(K392=1,AP392&lt;&gt;0),(Inputs!$B$17+Inputs!$B$18+Inputs!$B$19)+(O392+Inputs!$B$18+Inputs!$B$19),0)</f>
        <v>0</v>
      </c>
      <c r="AZ392" s="30" t="n">
        <f aca="false">AP391*M392-AY392</f>
        <v>0</v>
      </c>
      <c r="BA392" s="32" t="n">
        <f aca="false">BA391+AI392</f>
        <v>0.00164515276832129</v>
      </c>
      <c r="BB392" s="30" t="n">
        <f aca="false">MAX(BB391,BA392)</f>
        <v>0.00284866043860449</v>
      </c>
      <c r="BC392" s="32" t="n">
        <f aca="false">BA392-BB392</f>
        <v>-0.0012035076702832</v>
      </c>
      <c r="BD392" s="30" t="n">
        <f aca="false">A393-A392</f>
        <v>3</v>
      </c>
    </row>
    <row r="393" customFormat="false" ht="15" hidden="false" customHeight="false" outlineLevel="0" collapsed="false">
      <c r="A393" s="28" t="n">
        <v>45621</v>
      </c>
      <c r="B393" s="0" t="n">
        <v>24300.6</v>
      </c>
      <c r="C393" s="0" t="n">
        <v>271.34</v>
      </c>
      <c r="D393" s="29" t="n">
        <f aca="false">LN(B393)</f>
        <v>10.0982563203818</v>
      </c>
      <c r="E393" s="29" t="n">
        <f aca="false">LN(C393)</f>
        <v>5.60337264705716</v>
      </c>
      <c r="F393" s="0" t="n">
        <v>388</v>
      </c>
      <c r="G393" s="0" t="n">
        <v>3</v>
      </c>
      <c r="H393" s="29" t="n">
        <f aca="false">D393-E393</f>
        <v>4.49488367332468</v>
      </c>
      <c r="I393" s="29" t="n">
        <f aca="false">D393-D392</f>
        <v>0.0162042599294665</v>
      </c>
      <c r="J393" s="29" t="n">
        <f aca="false">E393-E392</f>
        <v>0.0170607568753001</v>
      </c>
      <c r="K393" s="0" t="n">
        <v>0</v>
      </c>
      <c r="L393" s="0" t="n">
        <v>0</v>
      </c>
      <c r="M393" s="29" t="n">
        <f aca="false">IF(L393=1,J393-Carry!$B$9/Inputs!$B$16,I393)</f>
        <v>0.0162042599294665</v>
      </c>
      <c r="N393" s="0" t="n">
        <v>0.065</v>
      </c>
      <c r="O393" s="0" t="n">
        <v>0.0002</v>
      </c>
      <c r="P393" s="29" t="n">
        <f aca="false">D393-('2 Hedge ratio'!$B$6+'2 Hedge ratio'!$B$5*E393)</f>
        <v>0.00303661503344976</v>
      </c>
      <c r="Q393" s="29" t="n">
        <f aca="false">D393-('5 Re-specification'!$B$7+'5 Re-specification'!$B$5*E393+'5 Re-specification'!$B$6*F393)</f>
        <v>-0.00190375127602671</v>
      </c>
      <c r="R393" s="30" t="n">
        <f aca="false">MIN(F393,Inputs!$B$9)</f>
        <v>250</v>
      </c>
      <c r="S393" s="29" t="n">
        <f aca="true">IF(AND(F393&gt;=1,R393&gt;=Inputs!$B$10),INDEX(LINEST(OFFSET(D393,-R393,0,R393,1),OFFSET(E393,-R393,0,R393,2)),1,1),"")</f>
        <v>-7.1309390844781E-005</v>
      </c>
      <c r="T393" s="29" t="n">
        <f aca="true">IF(AND(F393&gt;=1,R393&gt;=Inputs!$B$10),INDEX(LINEST(OFFSET(D393,-R393,0,R393,1),OFFSET(E393,-R393,0,R393,2)),1,2),"")</f>
        <v>1.00575471339132</v>
      </c>
      <c r="U393" s="29" t="n">
        <f aca="true">IF(AND(F393&gt;=1,R393&gt;=Inputs!$B$10),INDEX(LINEST(OFFSET(D393,-R393,0,R393,1),OFFSET(E393,-R393,0,R393,2)),1,3),"")</f>
        <v>4.48949614167556</v>
      </c>
      <c r="V393" s="29" t="n">
        <f aca="true">IF(AND(F393&gt;=1,R393&gt;=Inputs!$B$10),SQRT(SUMPRODUCT((OFFSET(D393,-R393,0,R393,1)-U393-T393*OFFSET(E393,-R393,0,R393,1)-S393*OFFSET(F393,-R393,0,R393,1))^2)/(R393-3)),"")</f>
        <v>0.00322804584879881</v>
      </c>
      <c r="W393" s="31" t="n">
        <f aca="false">IF(AND(F393&gt;=1,R393&gt;=Inputs!$B$10),(D393-U393-T393*E393-S393*F393)/V393,"")</f>
        <v>0.250855076489563</v>
      </c>
      <c r="X393" s="30" t="n">
        <f aca="false">IF(AB392&lt;&gt;0,AC392+1,0)</f>
        <v>0</v>
      </c>
      <c r="Y393" s="30" t="n">
        <f aca="false">IF(W393="",0,IF(AND(AB392&lt;&gt;0,OR(ABS(W393)&gt;Inputs!$B$7,X393&gt;=Inputs!$B$8,ABS(W393)&lt;Inputs!$B$6)),1,0))</f>
        <v>0</v>
      </c>
      <c r="Z393" s="30" t="n">
        <f aca="false">IF(Y393=1,0,AB392)</f>
        <v>0</v>
      </c>
      <c r="AA393" s="30" t="n">
        <f aca="false">IF(W393="",0,IF(AND(Z393=0,ABS(W393)&gt;Inputs!$B$5,ABS(W393)&lt;=Inputs!$B$7),1,0))</f>
        <v>0</v>
      </c>
      <c r="AB393" s="30" t="n">
        <f aca="false">IF(W393="",0,IF(AA393=1,-SIGN(W393),Z393))</f>
        <v>0</v>
      </c>
      <c r="AC393" s="30" t="n">
        <f aca="false">IF(W393="",0,IF(AA393=1,0,IF(Y393=1,0,X393)))</f>
        <v>0</v>
      </c>
      <c r="AD393" s="30" t="n">
        <f aca="false">IF(AB393=0,0,IF(AB392=AB393,AD392,T393))</f>
        <v>0</v>
      </c>
      <c r="AE393" s="30" t="n">
        <f aca="false">AB393-AB392</f>
        <v>0</v>
      </c>
      <c r="AF393" s="30" t="n">
        <f aca="false">-AD393*AB393</f>
        <v>-0</v>
      </c>
      <c r="AG393" s="30" t="n">
        <f aca="false">AF393-AF392</f>
        <v>0</v>
      </c>
      <c r="AH393" s="30" t="n">
        <f aca="false">MAX(AE393,0)*(Inputs!$B$17+Inputs!$B$18+Inputs!$B$19)+MAX(-AE393,0)*(O393+Inputs!$B$18+Inputs!$B$19)+IF(AND(K393=1,AB393&lt;&gt;0),(Inputs!$B$17+Inputs!$B$18+Inputs!$B$19)+(O393+Inputs!$B$18+Inputs!$B$19),0)+MAX(AG393,0)*(Inputs!$B$20+Inputs!$B$22+Inputs!$B$23)+MAX(-AG393,0)*(Inputs!$B$21+Inputs!$B$22+Inputs!$B$23)</f>
        <v>0</v>
      </c>
      <c r="AI393" s="30" t="n">
        <f aca="false">AB392*(M393-AD392*J393)+AB392*AD392*N393/Inputs!$B$16-AH393</f>
        <v>0</v>
      </c>
      <c r="AJ393" s="30" t="n">
        <f aca="false">MAX(AE393,0)*(Inputs!$B$17+Inputs!$B$24+Inputs!$B$25)+MAX(-AE393,0)*(O393+Inputs!$B$24+Inputs!$B$25)+IF(AND(K393=1,AB393&lt;&gt;0),(Inputs!$B$17+Inputs!$B$24+Inputs!$B$25)+(O393+Inputs!$B$24+Inputs!$B$25),0)+MAX(AG393,0)*(Inputs!$B$20+Inputs!$B$26+Inputs!$B$27)+MAX(-AG393,0)*(Inputs!$B$21+Inputs!$B$26+Inputs!$B$27)</f>
        <v>0</v>
      </c>
      <c r="AK393" s="30" t="n">
        <f aca="false">AB392*(M393-AD392*J393)+AB392*AD392*(N393+Inputs!$B$14)/Inputs!$B$16-AJ393</f>
        <v>0</v>
      </c>
      <c r="AL393" s="30" t="n">
        <f aca="false">IF(AP392&lt;&gt;0,AQ392+1,0)</f>
        <v>0</v>
      </c>
      <c r="AM393" s="30" t="n">
        <f aca="false">IF(W393="",0,IF(AND(AP392&lt;&gt;0,OR(ABS(W393)&gt;Inputs!$B$7,AL393&gt;=Inputs!$B$8,ABS(W393)&lt;Inputs!$B$6)),1,0))</f>
        <v>0</v>
      </c>
      <c r="AN393" s="30" t="n">
        <f aca="false">IF(AM393=1,0,AP392)</f>
        <v>0</v>
      </c>
      <c r="AO393" s="30" t="n">
        <f aca="false">IF(W393="",0,IF(AND(AN393=0,ABS(W393)&gt;Inputs!$B$5,ABS(W393)&lt;=Inputs!$B$7,W393&gt;0),1,0))</f>
        <v>0</v>
      </c>
      <c r="AP393" s="30" t="n">
        <f aca="false">IF(W393="",0,IF(AO393=1,-SIGN(W393),AN393))</f>
        <v>0</v>
      </c>
      <c r="AQ393" s="30" t="n">
        <f aca="false">IF(W393="",0,IF(AO393=1,0,IF(AM393=1,0,AL393)))</f>
        <v>0</v>
      </c>
      <c r="AR393" s="30" t="n">
        <f aca="false">IF(AP393=0,0,IF(AP392=AP393,AR392,T393))</f>
        <v>0</v>
      </c>
      <c r="AS393" s="30" t="n">
        <f aca="false">AP393-AP392</f>
        <v>0</v>
      </c>
      <c r="AT393" s="30" t="n">
        <f aca="false">-AR393*AP393</f>
        <v>-0</v>
      </c>
      <c r="AU393" s="30" t="n">
        <f aca="false">AT393-AT392</f>
        <v>0</v>
      </c>
      <c r="AV393" s="30" t="n">
        <f aca="false">MAX(AS393,0)*(Inputs!$B$17+Inputs!$B$18+Inputs!$B$19)+MAX(-AS393,0)*(O393+Inputs!$B$18+Inputs!$B$19)+IF(AND(K393=1,AP393&lt;&gt;0),(Inputs!$B$17+Inputs!$B$18+Inputs!$B$19)+(O393+Inputs!$B$18+Inputs!$B$19),0)+MAX(AU393,0)*(Inputs!$B$20+Inputs!$B$22+Inputs!$B$23)+MAX(-AU393,0)*(Inputs!$B$21+Inputs!$B$22+Inputs!$B$23)</f>
        <v>0</v>
      </c>
      <c r="AW393" s="30" t="n">
        <f aca="false">AP392*(M393-AR392*J393)+AP392*AR392*N393/Inputs!$B$16-AV393</f>
        <v>0</v>
      </c>
      <c r="AX393" s="30" t="n">
        <f aca="false">AW393-IF(AP392&lt;&gt;0,0.75*AR392*(Inputs!$B$13-N393)/Inputs!$B$16,0)</f>
        <v>0</v>
      </c>
      <c r="AY393" s="30" t="n">
        <f aca="false">MAX(AS393,0)*(Inputs!$B$17+Inputs!$B$18+Inputs!$B$19)+MAX(-AS393,0)*(O393+Inputs!$B$18+Inputs!$B$19)+IF(AND(K393=1,AP393&lt;&gt;0),(Inputs!$B$17+Inputs!$B$18+Inputs!$B$19)+(O393+Inputs!$B$18+Inputs!$B$19),0)</f>
        <v>0</v>
      </c>
      <c r="AZ393" s="30" t="n">
        <f aca="false">AP392*M393-AY393</f>
        <v>0</v>
      </c>
      <c r="BA393" s="32" t="n">
        <f aca="false">BA392+AI393</f>
        <v>0.00164515276832129</v>
      </c>
      <c r="BB393" s="30" t="n">
        <f aca="false">MAX(BB392,BA393)</f>
        <v>0.00284866043860449</v>
      </c>
      <c r="BC393" s="32" t="n">
        <f aca="false">BA393-BB393</f>
        <v>-0.0012035076702832</v>
      </c>
      <c r="BD393" s="30" t="n">
        <f aca="false">A394-A393</f>
        <v>1</v>
      </c>
    </row>
    <row r="394" customFormat="false" ht="15" hidden="false" customHeight="false" outlineLevel="0" collapsed="false">
      <c r="A394" s="28" t="n">
        <v>45622</v>
      </c>
      <c r="B394" s="0" t="n">
        <v>24207</v>
      </c>
      <c r="C394" s="0" t="n">
        <v>270.62</v>
      </c>
      <c r="D394" s="29" t="n">
        <f aca="false">LN(B394)</f>
        <v>10.0943971265166</v>
      </c>
      <c r="E394" s="29" t="n">
        <f aca="false">LN(C394)</f>
        <v>5.6007156228355</v>
      </c>
      <c r="F394" s="0" t="n">
        <v>389</v>
      </c>
      <c r="G394" s="0" t="n">
        <v>2</v>
      </c>
      <c r="H394" s="29" t="n">
        <f aca="false">D394-E394</f>
        <v>4.49368150368112</v>
      </c>
      <c r="I394" s="29" t="n">
        <f aca="false">D394-D393</f>
        <v>-0.00385919386522104</v>
      </c>
      <c r="J394" s="29" t="n">
        <f aca="false">E394-E393</f>
        <v>-0.00265702422166481</v>
      </c>
      <c r="K394" s="0" t="n">
        <v>0</v>
      </c>
      <c r="L394" s="0" t="n">
        <v>0</v>
      </c>
      <c r="M394" s="29" t="n">
        <f aca="false">IF(L394=1,J394-Carry!$B$9/Inputs!$B$16,I394)</f>
        <v>-0.00385919386522104</v>
      </c>
      <c r="N394" s="0" t="n">
        <v>0.065</v>
      </c>
      <c r="O394" s="0" t="n">
        <v>0.0002</v>
      </c>
      <c r="P394" s="29" t="n">
        <f aca="false">D394-('2 Hedge ratio'!$B$6+'2 Hedge ratio'!$B$5*E394)</f>
        <v>0.00161159215766382</v>
      </c>
      <c r="Q394" s="29" t="n">
        <f aca="false">D394-('5 Re-specification'!$B$7+'5 Re-specification'!$B$5*E394+'5 Re-specification'!$B$6*F394)</f>
        <v>-0.00306904371344707</v>
      </c>
      <c r="R394" s="30" t="n">
        <f aca="false">MIN(F394,Inputs!$B$9)</f>
        <v>250</v>
      </c>
      <c r="S394" s="29" t="n">
        <f aca="true">IF(AND(F394&gt;=1,R394&gt;=Inputs!$B$10),INDEX(LINEST(OFFSET(D394,-R394,0,R394,1),OFFSET(E394,-R394,0,R394,2)),1,1),"")</f>
        <v>-7.08018520133372E-005</v>
      </c>
      <c r="T394" s="29" t="n">
        <f aca="true">IF(AND(F394&gt;=1,R394&gt;=Inputs!$B$10),INDEX(LINEST(OFFSET(D394,-R394,0,R394,1),OFFSET(E394,-R394,0,R394,2)),1,2),"")</f>
        <v>1.00514099042511</v>
      </c>
      <c r="U394" s="29" t="n">
        <f aca="true">IF(AND(F394&gt;=1,R394&gt;=Inputs!$B$10),INDEX(LINEST(OFFSET(D394,-R394,0,R394,1),OFFSET(E394,-R394,0,R394,2)),1,3),"")</f>
        <v>4.49277407449477</v>
      </c>
      <c r="V394" s="29" t="n">
        <f aca="true">IF(AND(F394&gt;=1,R394&gt;=Inputs!$B$10),SQRT(SUMPRODUCT((OFFSET(D394,-R394,0,R394,1)-U394-T394*OFFSET(E394,-R394,0,R394,1)-S394*OFFSET(F394,-R394,0,R394,1))^2)/(R394-3)),"")</f>
        <v>0.00322757869739723</v>
      </c>
      <c r="W394" s="31" t="n">
        <f aca="false">IF(AND(F394&gt;=1,R394&gt;=Inputs!$B$10),(D394-U394-T394*E394-S394*F394)/V394,"")</f>
        <v>-0.106542954793364</v>
      </c>
      <c r="X394" s="30" t="n">
        <f aca="false">IF(AB393&lt;&gt;0,AC393+1,0)</f>
        <v>0</v>
      </c>
      <c r="Y394" s="30" t="n">
        <f aca="false">IF(W394="",0,IF(AND(AB393&lt;&gt;0,OR(ABS(W394)&gt;Inputs!$B$7,X394&gt;=Inputs!$B$8,ABS(W394)&lt;Inputs!$B$6)),1,0))</f>
        <v>0</v>
      </c>
      <c r="Z394" s="30" t="n">
        <f aca="false">IF(Y394=1,0,AB393)</f>
        <v>0</v>
      </c>
      <c r="AA394" s="30" t="n">
        <f aca="false">IF(W394="",0,IF(AND(Z394=0,ABS(W394)&gt;Inputs!$B$5,ABS(W394)&lt;=Inputs!$B$7),1,0))</f>
        <v>0</v>
      </c>
      <c r="AB394" s="30" t="n">
        <f aca="false">IF(W394="",0,IF(AA394=1,-SIGN(W394),Z394))</f>
        <v>0</v>
      </c>
      <c r="AC394" s="30" t="n">
        <f aca="false">IF(W394="",0,IF(AA394=1,0,IF(Y394=1,0,X394)))</f>
        <v>0</v>
      </c>
      <c r="AD394" s="30" t="n">
        <f aca="false">IF(AB394=0,0,IF(AB393=AB394,AD393,T394))</f>
        <v>0</v>
      </c>
      <c r="AE394" s="30" t="n">
        <f aca="false">AB394-AB393</f>
        <v>0</v>
      </c>
      <c r="AF394" s="30" t="n">
        <f aca="false">-AD394*AB394</f>
        <v>-0</v>
      </c>
      <c r="AG394" s="30" t="n">
        <f aca="false">AF394-AF393</f>
        <v>0</v>
      </c>
      <c r="AH394" s="30" t="n">
        <f aca="false">MAX(AE394,0)*(Inputs!$B$17+Inputs!$B$18+Inputs!$B$19)+MAX(-AE394,0)*(O394+Inputs!$B$18+Inputs!$B$19)+IF(AND(K394=1,AB394&lt;&gt;0),(Inputs!$B$17+Inputs!$B$18+Inputs!$B$19)+(O394+Inputs!$B$18+Inputs!$B$19),0)+MAX(AG394,0)*(Inputs!$B$20+Inputs!$B$22+Inputs!$B$23)+MAX(-AG394,0)*(Inputs!$B$21+Inputs!$B$22+Inputs!$B$23)</f>
        <v>0</v>
      </c>
      <c r="AI394" s="30" t="n">
        <f aca="false">AB393*(M394-AD393*J394)+AB393*AD393*N394/Inputs!$B$16-AH394</f>
        <v>0</v>
      </c>
      <c r="AJ394" s="30" t="n">
        <f aca="false">MAX(AE394,0)*(Inputs!$B$17+Inputs!$B$24+Inputs!$B$25)+MAX(-AE394,0)*(O394+Inputs!$B$24+Inputs!$B$25)+IF(AND(K394=1,AB394&lt;&gt;0),(Inputs!$B$17+Inputs!$B$24+Inputs!$B$25)+(O394+Inputs!$B$24+Inputs!$B$25),0)+MAX(AG394,0)*(Inputs!$B$20+Inputs!$B$26+Inputs!$B$27)+MAX(-AG394,0)*(Inputs!$B$21+Inputs!$B$26+Inputs!$B$27)</f>
        <v>0</v>
      </c>
      <c r="AK394" s="30" t="n">
        <f aca="false">AB393*(M394-AD393*J394)+AB393*AD393*(N394+Inputs!$B$14)/Inputs!$B$16-AJ394</f>
        <v>0</v>
      </c>
      <c r="AL394" s="30" t="n">
        <f aca="false">IF(AP393&lt;&gt;0,AQ393+1,0)</f>
        <v>0</v>
      </c>
      <c r="AM394" s="30" t="n">
        <f aca="false">IF(W394="",0,IF(AND(AP393&lt;&gt;0,OR(ABS(W394)&gt;Inputs!$B$7,AL394&gt;=Inputs!$B$8,ABS(W394)&lt;Inputs!$B$6)),1,0))</f>
        <v>0</v>
      </c>
      <c r="AN394" s="30" t="n">
        <f aca="false">IF(AM394=1,0,AP393)</f>
        <v>0</v>
      </c>
      <c r="AO394" s="30" t="n">
        <f aca="false">IF(W394="",0,IF(AND(AN394=0,ABS(W394)&gt;Inputs!$B$5,ABS(W394)&lt;=Inputs!$B$7,W394&gt;0),1,0))</f>
        <v>0</v>
      </c>
      <c r="AP394" s="30" t="n">
        <f aca="false">IF(W394="",0,IF(AO394=1,-SIGN(W394),AN394))</f>
        <v>0</v>
      </c>
      <c r="AQ394" s="30" t="n">
        <f aca="false">IF(W394="",0,IF(AO394=1,0,IF(AM394=1,0,AL394)))</f>
        <v>0</v>
      </c>
      <c r="AR394" s="30" t="n">
        <f aca="false">IF(AP394=0,0,IF(AP393=AP394,AR393,T394))</f>
        <v>0</v>
      </c>
      <c r="AS394" s="30" t="n">
        <f aca="false">AP394-AP393</f>
        <v>0</v>
      </c>
      <c r="AT394" s="30" t="n">
        <f aca="false">-AR394*AP394</f>
        <v>-0</v>
      </c>
      <c r="AU394" s="30" t="n">
        <f aca="false">AT394-AT393</f>
        <v>0</v>
      </c>
      <c r="AV394" s="30" t="n">
        <f aca="false">MAX(AS394,0)*(Inputs!$B$17+Inputs!$B$18+Inputs!$B$19)+MAX(-AS394,0)*(O394+Inputs!$B$18+Inputs!$B$19)+IF(AND(K394=1,AP394&lt;&gt;0),(Inputs!$B$17+Inputs!$B$18+Inputs!$B$19)+(O394+Inputs!$B$18+Inputs!$B$19),0)+MAX(AU394,0)*(Inputs!$B$20+Inputs!$B$22+Inputs!$B$23)+MAX(-AU394,0)*(Inputs!$B$21+Inputs!$B$22+Inputs!$B$23)</f>
        <v>0</v>
      </c>
      <c r="AW394" s="30" t="n">
        <f aca="false">AP393*(M394-AR393*J394)+AP393*AR393*N394/Inputs!$B$16-AV394</f>
        <v>0</v>
      </c>
      <c r="AX394" s="30" t="n">
        <f aca="false">AW394-IF(AP393&lt;&gt;0,0.75*AR393*(Inputs!$B$13-N394)/Inputs!$B$16,0)</f>
        <v>0</v>
      </c>
      <c r="AY394" s="30" t="n">
        <f aca="false">MAX(AS394,0)*(Inputs!$B$17+Inputs!$B$18+Inputs!$B$19)+MAX(-AS394,0)*(O394+Inputs!$B$18+Inputs!$B$19)+IF(AND(K394=1,AP394&lt;&gt;0),(Inputs!$B$17+Inputs!$B$18+Inputs!$B$19)+(O394+Inputs!$B$18+Inputs!$B$19),0)</f>
        <v>0</v>
      </c>
      <c r="AZ394" s="30" t="n">
        <f aca="false">AP393*M394-AY394</f>
        <v>-0</v>
      </c>
      <c r="BA394" s="32" t="n">
        <f aca="false">BA393+AI394</f>
        <v>0.00164515276832129</v>
      </c>
      <c r="BB394" s="30" t="n">
        <f aca="false">MAX(BB393,BA394)</f>
        <v>0.00284866043860449</v>
      </c>
      <c r="BC394" s="32" t="n">
        <f aca="false">BA394-BB394</f>
        <v>-0.0012035076702832</v>
      </c>
      <c r="BD394" s="30" t="n">
        <f aca="false">A395-A394</f>
        <v>1</v>
      </c>
    </row>
    <row r="395" customFormat="false" ht="15" hidden="false" customHeight="false" outlineLevel="0" collapsed="false">
      <c r="A395" s="28" t="n">
        <v>45623</v>
      </c>
      <c r="B395" s="0" t="n">
        <v>24310</v>
      </c>
      <c r="C395" s="0" t="n">
        <v>272</v>
      </c>
      <c r="D395" s="29" t="n">
        <f aca="false">LN(B395)</f>
        <v>10.0986430673102</v>
      </c>
      <c r="E395" s="29" t="n">
        <f aca="false">LN(C395)</f>
        <v>5.605802066296</v>
      </c>
      <c r="F395" s="0" t="n">
        <v>390</v>
      </c>
      <c r="G395" s="0" t="n">
        <v>1</v>
      </c>
      <c r="H395" s="29" t="n">
        <f aca="false">D395-E395</f>
        <v>4.49284100101417</v>
      </c>
      <c r="I395" s="29" t="n">
        <f aca="false">D395-D394</f>
        <v>0.00424594079355245</v>
      </c>
      <c r="J395" s="29" t="n">
        <f aca="false">E395-E394</f>
        <v>0.0050864434604998</v>
      </c>
      <c r="K395" s="0" t="n">
        <v>0</v>
      </c>
      <c r="L395" s="0" t="n">
        <v>0</v>
      </c>
      <c r="M395" s="29" t="n">
        <f aca="false">IF(L395=1,J395-Carry!$B$9/Inputs!$B$16,I395)</f>
        <v>0.00424594079355245</v>
      </c>
      <c r="N395" s="0" t="n">
        <v>0.065</v>
      </c>
      <c r="O395" s="0" t="n">
        <v>0.0002</v>
      </c>
      <c r="P395" s="29" t="n">
        <f aca="false">D395-('2 Hedge ratio'!$B$6+'2 Hedge ratio'!$B$5*E395)</f>
        <v>0.00119770598765534</v>
      </c>
      <c r="Q395" s="29" t="n">
        <f aca="false">D395-('5 Re-specification'!$B$7+'5 Re-specification'!$B$5*E395+'5 Re-specification'!$B$6*F395)</f>
        <v>-0.00384920259528343</v>
      </c>
      <c r="R395" s="30" t="n">
        <f aca="false">MIN(F395,Inputs!$B$9)</f>
        <v>250</v>
      </c>
      <c r="S395" s="29" t="n">
        <f aca="true">IF(AND(F395&gt;=1,R395&gt;=Inputs!$B$10),INDEX(LINEST(OFFSET(D395,-R395,0,R395,1),OFFSET(E395,-R395,0,R395,2)),1,1),"")</f>
        <v>-7.07736823848388E-005</v>
      </c>
      <c r="T395" s="29" t="n">
        <f aca="true">IF(AND(F395&gt;=1,R395&gt;=Inputs!$B$10),INDEX(LINEST(OFFSET(D395,-R395,0,R395,1),OFFSET(E395,-R395,0,R395,2)),1,2),"")</f>
        <v>1.00496738320395</v>
      </c>
      <c r="U395" s="29" t="n">
        <f aca="true">IF(AND(F395&gt;=1,R395&gt;=Inputs!$B$10),INDEX(LINEST(OFFSET(D395,-R395,0,R395,1),OFFSET(E395,-R395,0,R395,2)),1,3),"")</f>
        <v>4.49373200072403</v>
      </c>
      <c r="V395" s="29" t="n">
        <f aca="true">IF(AND(F395&gt;=1,R395&gt;=Inputs!$B$10),SQRT(SUMPRODUCT((OFFSET(D395,-R395,0,R395,1)-U395-T395*OFFSET(E395,-R395,0,R395,1)-S395*OFFSET(F395,-R395,0,R395,1))^2)/(R395-3)),"")</f>
        <v>0.00322708757332335</v>
      </c>
      <c r="W395" s="31" t="n">
        <f aca="false">IF(AND(F395&gt;=1,R395&gt;=Inputs!$B$10),(D395-U395-T395*E395-S395*F395)/V395,"")</f>
        <v>-0.35184375470564</v>
      </c>
      <c r="X395" s="30" t="n">
        <f aca="false">IF(AB394&lt;&gt;0,AC394+1,0)</f>
        <v>0</v>
      </c>
      <c r="Y395" s="30" t="n">
        <f aca="false">IF(W395="",0,IF(AND(AB394&lt;&gt;0,OR(ABS(W395)&gt;Inputs!$B$7,X395&gt;=Inputs!$B$8,ABS(W395)&lt;Inputs!$B$6)),1,0))</f>
        <v>0</v>
      </c>
      <c r="Z395" s="30" t="n">
        <f aca="false">IF(Y395=1,0,AB394)</f>
        <v>0</v>
      </c>
      <c r="AA395" s="30" t="n">
        <f aca="false">IF(W395="",0,IF(AND(Z395=0,ABS(W395)&gt;Inputs!$B$5,ABS(W395)&lt;=Inputs!$B$7),1,0))</f>
        <v>0</v>
      </c>
      <c r="AB395" s="30" t="n">
        <f aca="false">IF(W395="",0,IF(AA395=1,-SIGN(W395),Z395))</f>
        <v>0</v>
      </c>
      <c r="AC395" s="30" t="n">
        <f aca="false">IF(W395="",0,IF(AA395=1,0,IF(Y395=1,0,X395)))</f>
        <v>0</v>
      </c>
      <c r="AD395" s="30" t="n">
        <f aca="false">IF(AB395=0,0,IF(AB394=AB395,AD394,T395))</f>
        <v>0</v>
      </c>
      <c r="AE395" s="30" t="n">
        <f aca="false">AB395-AB394</f>
        <v>0</v>
      </c>
      <c r="AF395" s="30" t="n">
        <f aca="false">-AD395*AB395</f>
        <v>-0</v>
      </c>
      <c r="AG395" s="30" t="n">
        <f aca="false">AF395-AF394</f>
        <v>0</v>
      </c>
      <c r="AH395" s="30" t="n">
        <f aca="false">MAX(AE395,0)*(Inputs!$B$17+Inputs!$B$18+Inputs!$B$19)+MAX(-AE395,0)*(O395+Inputs!$B$18+Inputs!$B$19)+IF(AND(K395=1,AB395&lt;&gt;0),(Inputs!$B$17+Inputs!$B$18+Inputs!$B$19)+(O395+Inputs!$B$18+Inputs!$B$19),0)+MAX(AG395,0)*(Inputs!$B$20+Inputs!$B$22+Inputs!$B$23)+MAX(-AG395,0)*(Inputs!$B$21+Inputs!$B$22+Inputs!$B$23)</f>
        <v>0</v>
      </c>
      <c r="AI395" s="30" t="n">
        <f aca="false">AB394*(M395-AD394*J395)+AB394*AD394*N395/Inputs!$B$16-AH395</f>
        <v>0</v>
      </c>
      <c r="AJ395" s="30" t="n">
        <f aca="false">MAX(AE395,0)*(Inputs!$B$17+Inputs!$B$24+Inputs!$B$25)+MAX(-AE395,0)*(O395+Inputs!$B$24+Inputs!$B$25)+IF(AND(K395=1,AB395&lt;&gt;0),(Inputs!$B$17+Inputs!$B$24+Inputs!$B$25)+(O395+Inputs!$B$24+Inputs!$B$25),0)+MAX(AG395,0)*(Inputs!$B$20+Inputs!$B$26+Inputs!$B$27)+MAX(-AG395,0)*(Inputs!$B$21+Inputs!$B$26+Inputs!$B$27)</f>
        <v>0</v>
      </c>
      <c r="AK395" s="30" t="n">
        <f aca="false">AB394*(M395-AD394*J395)+AB394*AD394*(N395+Inputs!$B$14)/Inputs!$B$16-AJ395</f>
        <v>0</v>
      </c>
      <c r="AL395" s="30" t="n">
        <f aca="false">IF(AP394&lt;&gt;0,AQ394+1,0)</f>
        <v>0</v>
      </c>
      <c r="AM395" s="30" t="n">
        <f aca="false">IF(W395="",0,IF(AND(AP394&lt;&gt;0,OR(ABS(W395)&gt;Inputs!$B$7,AL395&gt;=Inputs!$B$8,ABS(W395)&lt;Inputs!$B$6)),1,0))</f>
        <v>0</v>
      </c>
      <c r="AN395" s="30" t="n">
        <f aca="false">IF(AM395=1,0,AP394)</f>
        <v>0</v>
      </c>
      <c r="AO395" s="30" t="n">
        <f aca="false">IF(W395="",0,IF(AND(AN395=0,ABS(W395)&gt;Inputs!$B$5,ABS(W395)&lt;=Inputs!$B$7,W395&gt;0),1,0))</f>
        <v>0</v>
      </c>
      <c r="AP395" s="30" t="n">
        <f aca="false">IF(W395="",0,IF(AO395=1,-SIGN(W395),AN395))</f>
        <v>0</v>
      </c>
      <c r="AQ395" s="30" t="n">
        <f aca="false">IF(W395="",0,IF(AO395=1,0,IF(AM395=1,0,AL395)))</f>
        <v>0</v>
      </c>
      <c r="AR395" s="30" t="n">
        <f aca="false">IF(AP395=0,0,IF(AP394=AP395,AR394,T395))</f>
        <v>0</v>
      </c>
      <c r="AS395" s="30" t="n">
        <f aca="false">AP395-AP394</f>
        <v>0</v>
      </c>
      <c r="AT395" s="30" t="n">
        <f aca="false">-AR395*AP395</f>
        <v>-0</v>
      </c>
      <c r="AU395" s="30" t="n">
        <f aca="false">AT395-AT394</f>
        <v>0</v>
      </c>
      <c r="AV395" s="30" t="n">
        <f aca="false">MAX(AS395,0)*(Inputs!$B$17+Inputs!$B$18+Inputs!$B$19)+MAX(-AS395,0)*(O395+Inputs!$B$18+Inputs!$B$19)+IF(AND(K395=1,AP395&lt;&gt;0),(Inputs!$B$17+Inputs!$B$18+Inputs!$B$19)+(O395+Inputs!$B$18+Inputs!$B$19),0)+MAX(AU395,0)*(Inputs!$B$20+Inputs!$B$22+Inputs!$B$23)+MAX(-AU395,0)*(Inputs!$B$21+Inputs!$B$22+Inputs!$B$23)</f>
        <v>0</v>
      </c>
      <c r="AW395" s="30" t="n">
        <f aca="false">AP394*(M395-AR394*J395)+AP394*AR394*N395/Inputs!$B$16-AV395</f>
        <v>0</v>
      </c>
      <c r="AX395" s="30" t="n">
        <f aca="false">AW395-IF(AP394&lt;&gt;0,0.75*AR394*(Inputs!$B$13-N395)/Inputs!$B$16,0)</f>
        <v>0</v>
      </c>
      <c r="AY395" s="30" t="n">
        <f aca="false">MAX(AS395,0)*(Inputs!$B$17+Inputs!$B$18+Inputs!$B$19)+MAX(-AS395,0)*(O395+Inputs!$B$18+Inputs!$B$19)+IF(AND(K395=1,AP395&lt;&gt;0),(Inputs!$B$17+Inputs!$B$18+Inputs!$B$19)+(O395+Inputs!$B$18+Inputs!$B$19),0)</f>
        <v>0</v>
      </c>
      <c r="AZ395" s="30" t="n">
        <f aca="false">AP394*M395-AY395</f>
        <v>0</v>
      </c>
      <c r="BA395" s="32" t="n">
        <f aca="false">BA394+AI395</f>
        <v>0.00164515276832129</v>
      </c>
      <c r="BB395" s="30" t="n">
        <f aca="false">MAX(BB394,BA395)</f>
        <v>0.00284866043860449</v>
      </c>
      <c r="BC395" s="32" t="n">
        <f aca="false">BA395-BB395</f>
        <v>-0.0012035076702832</v>
      </c>
      <c r="BD395" s="30" t="n">
        <f aca="false">A396-A395</f>
        <v>1</v>
      </c>
    </row>
    <row r="396" customFormat="false" ht="15" hidden="false" customHeight="false" outlineLevel="0" collapsed="false">
      <c r="A396" s="28" t="n">
        <v>45624</v>
      </c>
      <c r="B396" s="0" t="n">
        <v>23912.55</v>
      </c>
      <c r="C396" s="0" t="n">
        <v>268.4</v>
      </c>
      <c r="D396" s="29" t="n">
        <f aca="false">LN(B396)</f>
        <v>10.0821587047029</v>
      </c>
      <c r="E396" s="29" t="n">
        <f aca="false">LN(C396)</f>
        <v>5.59247840509753</v>
      </c>
      <c r="F396" s="0" t="n">
        <v>391</v>
      </c>
      <c r="G396" s="0" t="n">
        <v>0</v>
      </c>
      <c r="H396" s="29" t="n">
        <f aca="false">D396-E396</f>
        <v>4.48968029960541</v>
      </c>
      <c r="I396" s="29" t="n">
        <f aca="false">D396-D395</f>
        <v>-0.0164843626072333</v>
      </c>
      <c r="J396" s="29" t="n">
        <f aca="false">E396-E395</f>
        <v>-0.0133236611984708</v>
      </c>
      <c r="K396" s="0" t="n">
        <v>1</v>
      </c>
      <c r="L396" s="0" t="n">
        <v>0</v>
      </c>
      <c r="M396" s="29" t="n">
        <f aca="false">IF(L396=1,J396-Carry!$B$9/Inputs!$B$16,I396)</f>
        <v>-0.0164843626072333</v>
      </c>
      <c r="N396" s="0" t="n">
        <v>0.065</v>
      </c>
      <c r="O396" s="0" t="n">
        <v>0.0002</v>
      </c>
      <c r="P396" s="29" t="n">
        <f aca="false">D396-('2 Hedge ratio'!$B$6+'2 Hedge ratio'!$B$5*E396)</f>
        <v>-0.00308049406452149</v>
      </c>
      <c r="Q396" s="29" t="n">
        <f aca="false">D396-('5 Re-specification'!$B$7+'5 Re-specification'!$B$5*E396+'5 Re-specification'!$B$6*F396)</f>
        <v>-0.00700535204149233</v>
      </c>
      <c r="R396" s="30" t="n">
        <f aca="false">MIN(F396,Inputs!$B$9)</f>
        <v>250</v>
      </c>
      <c r="S396" s="29" t="n">
        <f aca="true">IF(AND(F396&gt;=1,R396&gt;=Inputs!$B$10),INDEX(LINEST(OFFSET(D396,-R396,0,R396,1),OFFSET(E396,-R396,0,R396,2)),1,1),"")</f>
        <v>-7.11891757494258E-005</v>
      </c>
      <c r="T396" s="29" t="n">
        <f aca="true">IF(AND(F396&gt;=1,R396&gt;=Inputs!$B$10),INDEX(LINEST(OFFSET(D396,-R396,0,R396,1),OFFSET(E396,-R396,0,R396,2)),1,2),"")</f>
        <v>1.0053399617939</v>
      </c>
      <c r="U396" s="29" t="n">
        <f aca="true">IF(AND(F396&gt;=1,R396&gt;=Inputs!$B$10),INDEX(LINEST(OFFSET(D396,-R396,0,R396,1),OFFSET(E396,-R396,0,R396,2)),1,3),"")</f>
        <v>4.49177014974802</v>
      </c>
      <c r="V396" s="29" t="n">
        <f aca="true">IF(AND(F396&gt;=1,R396&gt;=Inputs!$B$10),SQRT(SUMPRODUCT((OFFSET(D396,-R396,0,R396,1)-U396-T396*OFFSET(E396,-R396,0,R396,1)-S396*OFFSET(F396,-R396,0,R396,1))^2)/(R396-3)),"")</f>
        <v>0.0032278567556539</v>
      </c>
      <c r="W396" s="31" t="n">
        <f aca="false">IF(AND(F396&gt;=1,R396&gt;=Inputs!$B$10),(D396-U396-T396*E396-S396*F396)/V396,"")</f>
        <v>-1.27592509605722</v>
      </c>
      <c r="X396" s="30" t="n">
        <f aca="false">IF(AB395&lt;&gt;0,AC395+1,0)</f>
        <v>0</v>
      </c>
      <c r="Y396" s="30" t="n">
        <f aca="false">IF(W396="",0,IF(AND(AB395&lt;&gt;0,OR(ABS(W396)&gt;Inputs!$B$7,X396&gt;=Inputs!$B$8,ABS(W396)&lt;Inputs!$B$6)),1,0))</f>
        <v>0</v>
      </c>
      <c r="Z396" s="30" t="n">
        <f aca="false">IF(Y396=1,0,AB395)</f>
        <v>0</v>
      </c>
      <c r="AA396" s="30" t="n">
        <f aca="false">IF(W396="",0,IF(AND(Z396=0,ABS(W396)&gt;Inputs!$B$5,ABS(W396)&lt;=Inputs!$B$7),1,0))</f>
        <v>0</v>
      </c>
      <c r="AB396" s="30" t="n">
        <f aca="false">IF(W396="",0,IF(AA396=1,-SIGN(W396),Z396))</f>
        <v>0</v>
      </c>
      <c r="AC396" s="30" t="n">
        <f aca="false">IF(W396="",0,IF(AA396=1,0,IF(Y396=1,0,X396)))</f>
        <v>0</v>
      </c>
      <c r="AD396" s="30" t="n">
        <f aca="false">IF(AB396=0,0,IF(AB395=AB396,AD395,T396))</f>
        <v>0</v>
      </c>
      <c r="AE396" s="30" t="n">
        <f aca="false">AB396-AB395</f>
        <v>0</v>
      </c>
      <c r="AF396" s="30" t="n">
        <f aca="false">-AD396*AB396</f>
        <v>-0</v>
      </c>
      <c r="AG396" s="30" t="n">
        <f aca="false">AF396-AF395</f>
        <v>0</v>
      </c>
      <c r="AH396" s="30" t="n">
        <f aca="false">MAX(AE396,0)*(Inputs!$B$17+Inputs!$B$18+Inputs!$B$19)+MAX(-AE396,0)*(O396+Inputs!$B$18+Inputs!$B$19)+IF(AND(K396=1,AB396&lt;&gt;0),(Inputs!$B$17+Inputs!$B$18+Inputs!$B$19)+(O396+Inputs!$B$18+Inputs!$B$19),0)+MAX(AG396,0)*(Inputs!$B$20+Inputs!$B$22+Inputs!$B$23)+MAX(-AG396,0)*(Inputs!$B$21+Inputs!$B$22+Inputs!$B$23)</f>
        <v>0</v>
      </c>
      <c r="AI396" s="30" t="n">
        <f aca="false">AB395*(M396-AD395*J396)+AB395*AD395*N396/Inputs!$B$16-AH396</f>
        <v>0</v>
      </c>
      <c r="AJ396" s="30" t="n">
        <f aca="false">MAX(AE396,0)*(Inputs!$B$17+Inputs!$B$24+Inputs!$B$25)+MAX(-AE396,0)*(O396+Inputs!$B$24+Inputs!$B$25)+IF(AND(K396=1,AB396&lt;&gt;0),(Inputs!$B$17+Inputs!$B$24+Inputs!$B$25)+(O396+Inputs!$B$24+Inputs!$B$25),0)+MAX(AG396,0)*(Inputs!$B$20+Inputs!$B$26+Inputs!$B$27)+MAX(-AG396,0)*(Inputs!$B$21+Inputs!$B$26+Inputs!$B$27)</f>
        <v>0</v>
      </c>
      <c r="AK396" s="30" t="n">
        <f aca="false">AB395*(M396-AD395*J396)+AB395*AD395*(N396+Inputs!$B$14)/Inputs!$B$16-AJ396</f>
        <v>0</v>
      </c>
      <c r="AL396" s="30" t="n">
        <f aca="false">IF(AP395&lt;&gt;0,AQ395+1,0)</f>
        <v>0</v>
      </c>
      <c r="AM396" s="30" t="n">
        <f aca="false">IF(W396="",0,IF(AND(AP395&lt;&gt;0,OR(ABS(W396)&gt;Inputs!$B$7,AL396&gt;=Inputs!$B$8,ABS(W396)&lt;Inputs!$B$6)),1,0))</f>
        <v>0</v>
      </c>
      <c r="AN396" s="30" t="n">
        <f aca="false">IF(AM396=1,0,AP395)</f>
        <v>0</v>
      </c>
      <c r="AO396" s="30" t="n">
        <f aca="false">IF(W396="",0,IF(AND(AN396=0,ABS(W396)&gt;Inputs!$B$5,ABS(W396)&lt;=Inputs!$B$7,W396&gt;0),1,0))</f>
        <v>0</v>
      </c>
      <c r="AP396" s="30" t="n">
        <f aca="false">IF(W396="",0,IF(AO396=1,-SIGN(W396),AN396))</f>
        <v>0</v>
      </c>
      <c r="AQ396" s="30" t="n">
        <f aca="false">IF(W396="",0,IF(AO396=1,0,IF(AM396=1,0,AL396)))</f>
        <v>0</v>
      </c>
      <c r="AR396" s="30" t="n">
        <f aca="false">IF(AP396=0,0,IF(AP395=AP396,AR395,T396))</f>
        <v>0</v>
      </c>
      <c r="AS396" s="30" t="n">
        <f aca="false">AP396-AP395</f>
        <v>0</v>
      </c>
      <c r="AT396" s="30" t="n">
        <f aca="false">-AR396*AP396</f>
        <v>-0</v>
      </c>
      <c r="AU396" s="30" t="n">
        <f aca="false">AT396-AT395</f>
        <v>0</v>
      </c>
      <c r="AV396" s="30" t="n">
        <f aca="false">MAX(AS396,0)*(Inputs!$B$17+Inputs!$B$18+Inputs!$B$19)+MAX(-AS396,0)*(O396+Inputs!$B$18+Inputs!$B$19)+IF(AND(K396=1,AP396&lt;&gt;0),(Inputs!$B$17+Inputs!$B$18+Inputs!$B$19)+(O396+Inputs!$B$18+Inputs!$B$19),0)+MAX(AU396,0)*(Inputs!$B$20+Inputs!$B$22+Inputs!$B$23)+MAX(-AU396,0)*(Inputs!$B$21+Inputs!$B$22+Inputs!$B$23)</f>
        <v>0</v>
      </c>
      <c r="AW396" s="30" t="n">
        <f aca="false">AP395*(M396-AR395*J396)+AP395*AR395*N396/Inputs!$B$16-AV396</f>
        <v>0</v>
      </c>
      <c r="AX396" s="30" t="n">
        <f aca="false">AW396-IF(AP395&lt;&gt;0,0.75*AR395*(Inputs!$B$13-N396)/Inputs!$B$16,0)</f>
        <v>0</v>
      </c>
      <c r="AY396" s="30" t="n">
        <f aca="false">MAX(AS396,0)*(Inputs!$B$17+Inputs!$B$18+Inputs!$B$19)+MAX(-AS396,0)*(O396+Inputs!$B$18+Inputs!$B$19)+IF(AND(K396=1,AP396&lt;&gt;0),(Inputs!$B$17+Inputs!$B$18+Inputs!$B$19)+(O396+Inputs!$B$18+Inputs!$B$19),0)</f>
        <v>0</v>
      </c>
      <c r="AZ396" s="30" t="n">
        <f aca="false">AP395*M396-AY396</f>
        <v>-0</v>
      </c>
      <c r="BA396" s="32" t="n">
        <f aca="false">BA395+AI396</f>
        <v>0.00164515276832129</v>
      </c>
      <c r="BB396" s="30" t="n">
        <f aca="false">MAX(BB395,BA396)</f>
        <v>0.00284866043860449</v>
      </c>
      <c r="BC396" s="32" t="n">
        <f aca="false">BA396-BB396</f>
        <v>-0.0012035076702832</v>
      </c>
      <c r="BD396" s="30" t="n">
        <f aca="false">A397-A396</f>
        <v>1</v>
      </c>
    </row>
    <row r="397" customFormat="false" ht="15" hidden="false" customHeight="false" outlineLevel="0" collapsed="false">
      <c r="A397" s="28" t="n">
        <v>45625</v>
      </c>
      <c r="B397" s="0" t="n">
        <v>24312.95</v>
      </c>
      <c r="C397" s="0" t="n">
        <v>269.84</v>
      </c>
      <c r="D397" s="29" t="n">
        <f aca="false">LN(B397)</f>
        <v>10.0987644091869</v>
      </c>
      <c r="E397" s="29" t="n">
        <f aca="false">LN(C397)</f>
        <v>5.59782919075339</v>
      </c>
      <c r="F397" s="0" t="n">
        <v>392</v>
      </c>
      <c r="G397" s="0" t="n">
        <v>27</v>
      </c>
      <c r="H397" s="29" t="n">
        <f aca="false">D397-E397</f>
        <v>4.50093521843355</v>
      </c>
      <c r="I397" s="29" t="n">
        <f aca="false">D397-D396</f>
        <v>0.0166057044840056</v>
      </c>
      <c r="J397" s="29" t="n">
        <f aca="false">E397-E396</f>
        <v>0.00535078565586744</v>
      </c>
      <c r="K397" s="0" t="n">
        <v>0</v>
      </c>
      <c r="L397" s="0" t="n">
        <v>1</v>
      </c>
      <c r="M397" s="29" t="n">
        <f aca="false">IF(L397=1,J397-Carry!$B$9/Inputs!$B$16,I397)</f>
        <v>0.00509132747414631</v>
      </c>
      <c r="N397" s="0" t="n">
        <v>0.065</v>
      </c>
      <c r="O397" s="0" t="n">
        <v>0.0002</v>
      </c>
      <c r="P397" s="29" t="n">
        <f aca="false">D397-('2 Hedge ratio'!$B$6+'2 Hedge ratio'!$B$5*E397)</f>
        <v>0.00862321249715059</v>
      </c>
      <c r="Q397" s="29" t="n">
        <f aca="false">D397-('5 Re-specification'!$B$7+'5 Re-specification'!$B$5*E397+'5 Re-specification'!$B$6*F397)</f>
        <v>0.00431071166078745</v>
      </c>
      <c r="R397" s="30" t="n">
        <f aca="false">MIN(F397,Inputs!$B$9)</f>
        <v>250</v>
      </c>
      <c r="S397" s="29" t="n">
        <f aca="true">IF(AND(F397&gt;=1,R397&gt;=Inputs!$B$10),INDEX(LINEST(OFFSET(D397,-R397,0,R397,1),OFFSET(E397,-R397,0,R397,2)),1,1),"")</f>
        <v>-7.27604686284141E-005</v>
      </c>
      <c r="T397" s="29" t="n">
        <f aca="true">IF(AND(F397&gt;=1,R397&gt;=Inputs!$B$10),INDEX(LINEST(OFFSET(D397,-R397,0,R397,1),OFFSET(E397,-R397,0,R397,2)),1,2),"")</f>
        <v>1.00666852629566</v>
      </c>
      <c r="U397" s="29" t="n">
        <f aca="true">IF(AND(F397&gt;=1,R397&gt;=Inputs!$B$10),INDEX(LINEST(OFFSET(D397,-R397,0,R397,1),OFFSET(E397,-R397,0,R397,2)),1,3),"")</f>
        <v>4.48480253868044</v>
      </c>
      <c r="V397" s="29" t="n">
        <f aca="true">IF(AND(F397&gt;=1,R397&gt;=Inputs!$B$10),SQRT(SUMPRODUCT((OFFSET(D397,-R397,0,R397,1)-U397-T397*OFFSET(E397,-R397,0,R397,1)-S397*OFFSET(F397,-R397,0,R397,1))^2)/(R397-3)),"")</f>
        <v>0.0032379386496934</v>
      </c>
      <c r="W397" s="31" t="n">
        <f aca="false">IF(AND(F397&gt;=1,R397&gt;=Inputs!$B$10),(D397-U397-T397*E397-S397*F397)/V397,"")</f>
        <v>2.26239996826149</v>
      </c>
      <c r="X397" s="30" t="n">
        <f aca="false">IF(AB396&lt;&gt;0,AC396+1,0)</f>
        <v>0</v>
      </c>
      <c r="Y397" s="30" t="n">
        <f aca="false">IF(W397="",0,IF(AND(AB396&lt;&gt;0,OR(ABS(W397)&gt;Inputs!$B$7,X397&gt;=Inputs!$B$8,ABS(W397)&lt;Inputs!$B$6)),1,0))</f>
        <v>0</v>
      </c>
      <c r="Z397" s="30" t="n">
        <f aca="false">IF(Y397=1,0,AB396)</f>
        <v>0</v>
      </c>
      <c r="AA397" s="30" t="n">
        <f aca="false">IF(W397="",0,IF(AND(Z397=0,ABS(W397)&gt;Inputs!$B$5,ABS(W397)&lt;=Inputs!$B$7),1,0))</f>
        <v>1</v>
      </c>
      <c r="AB397" s="30" t="n">
        <f aca="false">IF(W397="",0,IF(AA397=1,-SIGN(W397),Z397))</f>
        <v>-1</v>
      </c>
      <c r="AC397" s="30" t="n">
        <f aca="false">IF(W397="",0,IF(AA397=1,0,IF(Y397=1,0,X397)))</f>
        <v>0</v>
      </c>
      <c r="AD397" s="29" t="n">
        <f aca="false">IF(AB397=0,0,IF(AB396=AB397,AD396,T397))</f>
        <v>1.00666852629566</v>
      </c>
      <c r="AE397" s="30" t="n">
        <f aca="false">AB397-AB396</f>
        <v>-1</v>
      </c>
      <c r="AF397" s="30" t="n">
        <f aca="false">-AD397*AB397</f>
        <v>1.00666852629566</v>
      </c>
      <c r="AG397" s="30" t="n">
        <f aca="false">AF397-AF396</f>
        <v>1.00666852629566</v>
      </c>
      <c r="AH397" s="30" t="n">
        <f aca="false">MAX(AE397,0)*(Inputs!$B$17+Inputs!$B$18+Inputs!$B$19)+MAX(-AE397,0)*(O397+Inputs!$B$18+Inputs!$B$19)+IF(AND(K397=1,AB397&lt;&gt;0),(Inputs!$B$17+Inputs!$B$18+Inputs!$B$19)+(O397+Inputs!$B$18+Inputs!$B$19),0)+MAX(AG397,0)*(Inputs!$B$20+Inputs!$B$22+Inputs!$B$23)+MAX(-AG397,0)*(Inputs!$B$21+Inputs!$B$22+Inputs!$B$23)</f>
        <v>0.000687333984203481</v>
      </c>
      <c r="AI397" s="30" t="n">
        <f aca="false">AB396*(M397-AD396*J397)+AB396*AD396*N397/Inputs!$B$16-AH397</f>
        <v>-0.000687333984203481</v>
      </c>
      <c r="AJ397" s="30" t="n">
        <f aca="false">MAX(AE397,0)*(Inputs!$B$17+Inputs!$B$24+Inputs!$B$25)+MAX(-AE397,0)*(O397+Inputs!$B$24+Inputs!$B$25)+IF(AND(K397=1,AB397&lt;&gt;0),(Inputs!$B$17+Inputs!$B$24+Inputs!$B$25)+(O397+Inputs!$B$24+Inputs!$B$25),0)+MAX(AG397,0)*(Inputs!$B$20+Inputs!$B$26+Inputs!$B$27)+MAX(-AG397,0)*(Inputs!$B$21+Inputs!$B$26+Inputs!$B$27)</f>
        <v>0.000526700474205393</v>
      </c>
      <c r="AK397" s="30" t="n">
        <f aca="false">AB396*(M397-AD396*J397)+AB396*AD396*(N397+Inputs!$B$14)/Inputs!$B$16-AJ397</f>
        <v>-0.000526700474205393</v>
      </c>
      <c r="AL397" s="30" t="n">
        <f aca="false">IF(AP396&lt;&gt;0,AQ396+1,0)</f>
        <v>0</v>
      </c>
      <c r="AM397" s="30" t="n">
        <f aca="false">IF(W397="",0,IF(AND(AP396&lt;&gt;0,OR(ABS(W397)&gt;Inputs!$B$7,AL397&gt;=Inputs!$B$8,ABS(W397)&lt;Inputs!$B$6)),1,0))</f>
        <v>0</v>
      </c>
      <c r="AN397" s="30" t="n">
        <f aca="false">IF(AM397=1,0,AP396)</f>
        <v>0</v>
      </c>
      <c r="AO397" s="30" t="n">
        <f aca="false">IF(W397="",0,IF(AND(AN397=0,ABS(W397)&gt;Inputs!$B$5,ABS(W397)&lt;=Inputs!$B$7,W397&gt;0),1,0))</f>
        <v>1</v>
      </c>
      <c r="AP397" s="30" t="n">
        <f aca="false">IF(W397="",0,IF(AO397=1,-SIGN(W397),AN397))</f>
        <v>-1</v>
      </c>
      <c r="AQ397" s="30" t="n">
        <f aca="false">IF(W397="",0,IF(AO397=1,0,IF(AM397=1,0,AL397)))</f>
        <v>0</v>
      </c>
      <c r="AR397" s="29" t="n">
        <f aca="false">IF(AP397=0,0,IF(AP396=AP397,AR396,T397))</f>
        <v>1.00666852629566</v>
      </c>
      <c r="AS397" s="30" t="n">
        <f aca="false">AP397-AP396</f>
        <v>-1</v>
      </c>
      <c r="AT397" s="30" t="n">
        <f aca="false">-AR397*AP397</f>
        <v>1.00666852629566</v>
      </c>
      <c r="AU397" s="30" t="n">
        <f aca="false">AT397-AT396</f>
        <v>1.00666852629566</v>
      </c>
      <c r="AV397" s="30" t="n">
        <f aca="false">MAX(AS397,0)*(Inputs!$B$17+Inputs!$B$18+Inputs!$B$19)+MAX(-AS397,0)*(O397+Inputs!$B$18+Inputs!$B$19)+IF(AND(K397=1,AP397&lt;&gt;0),(Inputs!$B$17+Inputs!$B$18+Inputs!$B$19)+(O397+Inputs!$B$18+Inputs!$B$19),0)+MAX(AU397,0)*(Inputs!$B$20+Inputs!$B$22+Inputs!$B$23)+MAX(-AU397,0)*(Inputs!$B$21+Inputs!$B$22+Inputs!$B$23)</f>
        <v>0.000687333984203481</v>
      </c>
      <c r="AW397" s="30" t="n">
        <f aca="false">AP396*(M397-AR396*J397)+AP396*AR396*N397/Inputs!$B$16-AV397</f>
        <v>-0.000687333984203481</v>
      </c>
      <c r="AX397" s="30" t="n">
        <f aca="false">AW397-IF(AP396&lt;&gt;0,0.75*AR396*(Inputs!$B$13-N397)/Inputs!$B$16,0)</f>
        <v>-0.000687333984203481</v>
      </c>
      <c r="AY397" s="30" t="n">
        <f aca="false">MAX(AS397,0)*(Inputs!$B$17+Inputs!$B$18+Inputs!$B$19)+MAX(-AS397,0)*(O397+Inputs!$B$18+Inputs!$B$19)+IF(AND(K397=1,AP397&lt;&gt;0),(Inputs!$B$17+Inputs!$B$18+Inputs!$B$19)+(O397+Inputs!$B$18+Inputs!$B$19),0)</f>
        <v>0.000335</v>
      </c>
      <c r="AZ397" s="30" t="n">
        <f aca="false">AP396*M397-AY397</f>
        <v>-0.000335</v>
      </c>
      <c r="BA397" s="32" t="n">
        <f aca="false">BA396+AI397</f>
        <v>0.000957818784117809</v>
      </c>
      <c r="BB397" s="30" t="n">
        <f aca="false">MAX(BB396,BA397)</f>
        <v>0.00284866043860449</v>
      </c>
      <c r="BC397" s="32" t="n">
        <f aca="false">BA397-BB397</f>
        <v>-0.00189084165448668</v>
      </c>
      <c r="BD397" s="30" t="n">
        <f aca="false">A398-A397</f>
        <v>3</v>
      </c>
    </row>
    <row r="398" customFormat="false" ht="15" hidden="false" customHeight="false" outlineLevel="0" collapsed="false">
      <c r="A398" s="28" t="n">
        <v>45628</v>
      </c>
      <c r="B398" s="0" t="n">
        <v>24425</v>
      </c>
      <c r="C398" s="0" t="n">
        <v>271.39</v>
      </c>
      <c r="D398" s="29" t="n">
        <f aca="false">LN(B398)</f>
        <v>10.103362476911</v>
      </c>
      <c r="E398" s="29" t="n">
        <f aca="false">LN(C398)</f>
        <v>5.60355690073815</v>
      </c>
      <c r="F398" s="0" t="n">
        <v>393</v>
      </c>
      <c r="G398" s="0" t="n">
        <v>24</v>
      </c>
      <c r="H398" s="29" t="n">
        <f aca="false">D398-E398</f>
        <v>4.49980557617283</v>
      </c>
      <c r="I398" s="29" t="n">
        <f aca="false">D398-D397</f>
        <v>0.00459806772404292</v>
      </c>
      <c r="J398" s="29" t="n">
        <f aca="false">E398-E397</f>
        <v>0.00572770998475658</v>
      </c>
      <c r="K398" s="0" t="n">
        <v>0</v>
      </c>
      <c r="L398" s="0" t="n">
        <v>0</v>
      </c>
      <c r="M398" s="29" t="n">
        <f aca="false">IF(L398=1,J398-Carry!$B$9/Inputs!$B$16,I398)</f>
        <v>0.00459806772404292</v>
      </c>
      <c r="N398" s="0" t="n">
        <v>0.065</v>
      </c>
      <c r="O398" s="0" t="n">
        <v>0.0002</v>
      </c>
      <c r="P398" s="29" t="n">
        <f aca="false">D398-('2 Hedge ratio'!$B$6+'2 Hedge ratio'!$B$5*E398)</f>
        <v>0.00797397183495363</v>
      </c>
      <c r="Q398" s="29" t="n">
        <f aca="false">D398-('5 Re-specification'!$B$7+'5 Re-specification'!$B$5*E398+'5 Re-specification'!$B$6*F398)</f>
        <v>0.00324335654339869</v>
      </c>
      <c r="R398" s="30" t="n">
        <f aca="false">MIN(F398,Inputs!$B$9)</f>
        <v>250</v>
      </c>
      <c r="S398" s="29" t="n">
        <f aca="true">IF(AND(F398&gt;=1,R398&gt;=Inputs!$B$10),INDEX(LINEST(OFFSET(D398,-R398,0,R398,1),OFFSET(E398,-R398,0,R398,2)),1,1),"")</f>
        <v>-6.95003756978241E-005</v>
      </c>
      <c r="T398" s="29" t="n">
        <f aca="true">IF(AND(F398&gt;=1,R398&gt;=Inputs!$B$10),INDEX(LINEST(OFFSET(D398,-R398,0,R398,1),OFFSET(E398,-R398,0,R398,2)),1,2),"")</f>
        <v>1.00326959814743</v>
      </c>
      <c r="U398" s="29" t="n">
        <f aca="true">IF(AND(F398&gt;=1,R398&gt;=Inputs!$B$10),INDEX(LINEST(OFFSET(D398,-R398,0,R398,1),OFFSET(E398,-R398,0,R398,2)),1,3),"")</f>
        <v>4.50283460789357</v>
      </c>
      <c r="V398" s="29" t="n">
        <f aca="true">IF(AND(F398&gt;=1,R398&gt;=Inputs!$B$10),SQRT(SUMPRODUCT((OFFSET(D398,-R398,0,R398,1)-U398-T398*OFFSET(E398,-R398,0,R398,1)-S398*OFFSET(F398,-R398,0,R398,1))^2)/(R398-3)),"")</f>
        <v>0.00326398196246355</v>
      </c>
      <c r="W398" s="31" t="n">
        <f aca="false">IF(AND(F398&gt;=1,R398&gt;=Inputs!$B$10),(D398-U398-T398*E398-S398*F398)/V398,"")</f>
        <v>1.82698211429927</v>
      </c>
      <c r="X398" s="30" t="n">
        <f aca="false">IF(AB397&lt;&gt;0,AC397+1,0)</f>
        <v>1</v>
      </c>
      <c r="Y398" s="30" t="n">
        <f aca="false">IF(W398="",0,IF(AND(AB397&lt;&gt;0,OR(ABS(W398)&gt;Inputs!$B$7,X398&gt;=Inputs!$B$8,ABS(W398)&lt;Inputs!$B$6)),1,0))</f>
        <v>0</v>
      </c>
      <c r="Z398" s="30" t="n">
        <f aca="false">IF(Y398=1,0,AB397)</f>
        <v>-1</v>
      </c>
      <c r="AA398" s="30" t="n">
        <f aca="false">IF(W398="",0,IF(AND(Z398=0,ABS(W398)&gt;Inputs!$B$5,ABS(W398)&lt;=Inputs!$B$7),1,0))</f>
        <v>0</v>
      </c>
      <c r="AB398" s="30" t="n">
        <f aca="false">IF(W398="",0,IF(AA398=1,-SIGN(W398),Z398))</f>
        <v>-1</v>
      </c>
      <c r="AC398" s="30" t="n">
        <f aca="false">IF(W398="",0,IF(AA398=1,0,IF(Y398=1,0,X398)))</f>
        <v>1</v>
      </c>
      <c r="AD398" s="29" t="n">
        <f aca="false">IF(AB398=0,0,IF(AB397=AB398,AD397,T398))</f>
        <v>1.00666852629566</v>
      </c>
      <c r="AE398" s="30" t="n">
        <f aca="false">AB398-AB397</f>
        <v>0</v>
      </c>
      <c r="AF398" s="30" t="n">
        <f aca="false">-AD398*AB398</f>
        <v>1.00666852629566</v>
      </c>
      <c r="AG398" s="30" t="n">
        <f aca="false">AF398-AF397</f>
        <v>0</v>
      </c>
      <c r="AH398" s="30" t="n">
        <f aca="false">MAX(AE398,0)*(Inputs!$B$17+Inputs!$B$18+Inputs!$B$19)+MAX(-AE398,0)*(O398+Inputs!$B$18+Inputs!$B$19)+IF(AND(K398=1,AB398&lt;&gt;0),(Inputs!$B$17+Inputs!$B$18+Inputs!$B$19)+(O398+Inputs!$B$18+Inputs!$B$19),0)+MAX(AG398,0)*(Inputs!$B$20+Inputs!$B$22+Inputs!$B$23)+MAX(-AG398,0)*(Inputs!$B$21+Inputs!$B$22+Inputs!$B$23)</f>
        <v>0</v>
      </c>
      <c r="AI398" s="30" t="n">
        <f aca="false">AB397*(M398-AD397*J398)+AB397*AD397*N398/Inputs!$B$16-AH398</f>
        <v>0.000908181081038623</v>
      </c>
      <c r="AJ398" s="30" t="n">
        <f aca="false">MAX(AE398,0)*(Inputs!$B$17+Inputs!$B$24+Inputs!$B$25)+MAX(-AE398,0)*(O398+Inputs!$B$24+Inputs!$B$25)+IF(AND(K398=1,AB398&lt;&gt;0),(Inputs!$B$17+Inputs!$B$24+Inputs!$B$25)+(O398+Inputs!$B$24+Inputs!$B$25),0)+MAX(AG398,0)*(Inputs!$B$20+Inputs!$B$26+Inputs!$B$27)+MAX(-AG398,0)*(Inputs!$B$21+Inputs!$B$26+Inputs!$B$27)</f>
        <v>0</v>
      </c>
      <c r="AK398" s="30" t="n">
        <f aca="false">AB397*(M398-AD397*J398)+AB397*AD397*(N398+Inputs!$B$14)/Inputs!$B$16-AJ398</f>
        <v>0.000878220708232204</v>
      </c>
      <c r="AL398" s="30" t="n">
        <f aca="false">IF(AP397&lt;&gt;0,AQ397+1,0)</f>
        <v>1</v>
      </c>
      <c r="AM398" s="30" t="n">
        <f aca="false">IF(W398="",0,IF(AND(AP397&lt;&gt;0,OR(ABS(W398)&gt;Inputs!$B$7,AL398&gt;=Inputs!$B$8,ABS(W398)&lt;Inputs!$B$6)),1,0))</f>
        <v>0</v>
      </c>
      <c r="AN398" s="30" t="n">
        <f aca="false">IF(AM398=1,0,AP397)</f>
        <v>-1</v>
      </c>
      <c r="AO398" s="30" t="n">
        <f aca="false">IF(W398="",0,IF(AND(AN398=0,ABS(W398)&gt;Inputs!$B$5,ABS(W398)&lt;=Inputs!$B$7,W398&gt;0),1,0))</f>
        <v>0</v>
      </c>
      <c r="AP398" s="30" t="n">
        <f aca="false">IF(W398="",0,IF(AO398=1,-SIGN(W398),AN398))</f>
        <v>-1</v>
      </c>
      <c r="AQ398" s="30" t="n">
        <f aca="false">IF(W398="",0,IF(AO398=1,0,IF(AM398=1,0,AL398)))</f>
        <v>1</v>
      </c>
      <c r="AR398" s="29" t="n">
        <f aca="false">IF(AP398=0,0,IF(AP397=AP398,AR397,T398))</f>
        <v>1.00666852629566</v>
      </c>
      <c r="AS398" s="30" t="n">
        <f aca="false">AP398-AP397</f>
        <v>0</v>
      </c>
      <c r="AT398" s="30" t="n">
        <f aca="false">-AR398*AP398</f>
        <v>1.00666852629566</v>
      </c>
      <c r="AU398" s="30" t="n">
        <f aca="false">AT398-AT397</f>
        <v>0</v>
      </c>
      <c r="AV398" s="30" t="n">
        <f aca="false">MAX(AS398,0)*(Inputs!$B$17+Inputs!$B$18+Inputs!$B$19)+MAX(-AS398,0)*(O398+Inputs!$B$18+Inputs!$B$19)+IF(AND(K398=1,AP398&lt;&gt;0),(Inputs!$B$17+Inputs!$B$18+Inputs!$B$19)+(O398+Inputs!$B$18+Inputs!$B$19),0)+MAX(AU398,0)*(Inputs!$B$20+Inputs!$B$22+Inputs!$B$23)+MAX(-AU398,0)*(Inputs!$B$21+Inputs!$B$22+Inputs!$B$23)</f>
        <v>0</v>
      </c>
      <c r="AW398" s="30" t="n">
        <f aca="false">AP397*(M398-AR397*J398)+AP397*AR397*N398/Inputs!$B$16-AV398</f>
        <v>0.000908181081038623</v>
      </c>
      <c r="AX398" s="30" t="n">
        <f aca="false">AW398-IF(AP397&lt;&gt;0,0.75*AR397*(Inputs!$B$13-N398)/Inputs!$B$16,0)</f>
        <v>0.000683478284990484</v>
      </c>
      <c r="AY398" s="30" t="n">
        <f aca="false">MAX(AS398,0)*(Inputs!$B$17+Inputs!$B$18+Inputs!$B$19)+MAX(-AS398,0)*(O398+Inputs!$B$18+Inputs!$B$19)+IF(AND(K398=1,AP398&lt;&gt;0),(Inputs!$B$17+Inputs!$B$18+Inputs!$B$19)+(O398+Inputs!$B$18+Inputs!$B$19),0)</f>
        <v>0</v>
      </c>
      <c r="AZ398" s="30" t="n">
        <f aca="false">AP397*M398-AY398</f>
        <v>-0.00459806772404292</v>
      </c>
      <c r="BA398" s="32" t="n">
        <f aca="false">BA397+AI398</f>
        <v>0.00186599986515643</v>
      </c>
      <c r="BB398" s="30" t="n">
        <f aca="false">MAX(BB397,BA398)</f>
        <v>0.00284866043860449</v>
      </c>
      <c r="BC398" s="32" t="n">
        <f aca="false">BA398-BB398</f>
        <v>-0.000982660573448062</v>
      </c>
      <c r="BD398" s="30" t="n">
        <f aca="false">A399-A398</f>
        <v>1</v>
      </c>
    </row>
    <row r="399" customFormat="false" ht="15" hidden="false" customHeight="false" outlineLevel="0" collapsed="false">
      <c r="A399" s="28" t="n">
        <v>45629</v>
      </c>
      <c r="B399" s="0" t="n">
        <v>24534</v>
      </c>
      <c r="C399" s="0" t="n">
        <v>272.95</v>
      </c>
      <c r="D399" s="29" t="n">
        <f aca="false">LN(B399)</f>
        <v>10.1078151895927</v>
      </c>
      <c r="E399" s="29" t="n">
        <f aca="false">LN(C399)</f>
        <v>5.60928862822777</v>
      </c>
      <c r="F399" s="0" t="n">
        <v>394</v>
      </c>
      <c r="G399" s="0" t="n">
        <v>23</v>
      </c>
      <c r="H399" s="29" t="n">
        <f aca="false">D399-E399</f>
        <v>4.49852656136493</v>
      </c>
      <c r="I399" s="29" t="n">
        <f aca="false">D399-D398</f>
        <v>0.00445271268171332</v>
      </c>
      <c r="J399" s="29" t="n">
        <f aca="false">E399-E398</f>
        <v>0.00573172748961603</v>
      </c>
      <c r="K399" s="0" t="n">
        <v>0</v>
      </c>
      <c r="L399" s="0" t="n">
        <v>0</v>
      </c>
      <c r="M399" s="29" t="n">
        <f aca="false">IF(L399=1,J399-Carry!$B$9/Inputs!$B$16,I399)</f>
        <v>0.00445271268171332</v>
      </c>
      <c r="N399" s="0" t="n">
        <v>0.065</v>
      </c>
      <c r="O399" s="0" t="n">
        <v>0.0002</v>
      </c>
      <c r="P399" s="29" t="n">
        <f aca="false">D399-('2 Hedge ratio'!$B$6+'2 Hedge ratio'!$B$5*E399)</f>
        <v>0.00717569558671904</v>
      </c>
      <c r="Q399" s="29" t="n">
        <f aca="false">D399-('5 Re-specification'!$B$7+'5 Re-specification'!$B$5*E399+'5 Re-specification'!$B$6*F399)</f>
        <v>0.00202664105387385</v>
      </c>
      <c r="R399" s="30" t="n">
        <f aca="false">MIN(F399,Inputs!$B$9)</f>
        <v>250</v>
      </c>
      <c r="S399" s="29" t="n">
        <f aca="true">IF(AND(F399&gt;=1,R399&gt;=Inputs!$B$10),INDEX(LINEST(OFFSET(D399,-R399,0,R399,1),OFFSET(E399,-R399,0,R399,2)),1,1),"")</f>
        <v>-6.71501697435756E-005</v>
      </c>
      <c r="T399" s="29" t="n">
        <f aca="true">IF(AND(F399&gt;=1,R399&gt;=Inputs!$B$10),INDEX(LINEST(OFFSET(D399,-R399,0,R399,1),OFFSET(E399,-R399,0,R399,2)),1,2),"")</f>
        <v>1.00088266587687</v>
      </c>
      <c r="U399" s="29" t="n">
        <f aca="true">IF(AND(F399&gt;=1,R399&gt;=Inputs!$B$10),INDEX(LINEST(OFFSET(D399,-R399,0,R399,1),OFFSET(E399,-R399,0,R399,2)),1,3),"")</f>
        <v>4.5154842358816</v>
      </c>
      <c r="V399" s="29" t="n">
        <f aca="true">IF(AND(F399&gt;=1,R399&gt;=Inputs!$B$10),SQRT(SUMPRODUCT((OFFSET(D399,-R399,0,R399,1)-U399-T399*OFFSET(E399,-R399,0,R399,1)-S399*OFFSET(F399,-R399,0,R399,1))^2)/(R399-3)),"")</f>
        <v>0.00328245955284634</v>
      </c>
      <c r="W399" s="31" t="n">
        <f aca="false">IF(AND(F399&gt;=1,R399&gt;=Inputs!$B$10),(D399-U399-T399*E399-S399*F399)/V399,"")</f>
        <v>1.38565749964071</v>
      </c>
      <c r="X399" s="30" t="n">
        <f aca="false">IF(AB398&lt;&gt;0,AC398+1,0)</f>
        <v>2</v>
      </c>
      <c r="Y399" s="30" t="n">
        <f aca="false">IF(W399="",0,IF(AND(AB398&lt;&gt;0,OR(ABS(W399)&gt;Inputs!$B$7,X399&gt;=Inputs!$B$8,ABS(W399)&lt;Inputs!$B$6)),1,0))</f>
        <v>0</v>
      </c>
      <c r="Z399" s="30" t="n">
        <f aca="false">IF(Y399=1,0,AB398)</f>
        <v>-1</v>
      </c>
      <c r="AA399" s="30" t="n">
        <f aca="false">IF(W399="",0,IF(AND(Z399=0,ABS(W399)&gt;Inputs!$B$5,ABS(W399)&lt;=Inputs!$B$7),1,0))</f>
        <v>0</v>
      </c>
      <c r="AB399" s="30" t="n">
        <f aca="false">IF(W399="",0,IF(AA399=1,-SIGN(W399),Z399))</f>
        <v>-1</v>
      </c>
      <c r="AC399" s="30" t="n">
        <f aca="false">IF(W399="",0,IF(AA399=1,0,IF(Y399=1,0,X399)))</f>
        <v>2</v>
      </c>
      <c r="AD399" s="29" t="n">
        <f aca="false">IF(AB399=0,0,IF(AB398=AB399,AD398,T399))</f>
        <v>1.00666852629566</v>
      </c>
      <c r="AE399" s="30" t="n">
        <f aca="false">AB399-AB398</f>
        <v>0</v>
      </c>
      <c r="AF399" s="30" t="n">
        <f aca="false">-AD399*AB399</f>
        <v>1.00666852629566</v>
      </c>
      <c r="AG399" s="30" t="n">
        <f aca="false">AF399-AF398</f>
        <v>0</v>
      </c>
      <c r="AH399" s="30" t="n">
        <f aca="false">MAX(AE399,0)*(Inputs!$B$17+Inputs!$B$18+Inputs!$B$19)+MAX(-AE399,0)*(O399+Inputs!$B$18+Inputs!$B$19)+IF(AND(K399=1,AB399&lt;&gt;0),(Inputs!$B$17+Inputs!$B$18+Inputs!$B$19)+(O399+Inputs!$B$18+Inputs!$B$19),0)+MAX(AG399,0)*(Inputs!$B$20+Inputs!$B$22+Inputs!$B$23)+MAX(-AG399,0)*(Inputs!$B$21+Inputs!$B$22+Inputs!$B$23)</f>
        <v>0</v>
      </c>
      <c r="AI399" s="30" t="n">
        <f aca="false">AB398*(M399-AD398*J399)+AB398*AD398*N399/Inputs!$B$16-AH399</f>
        <v>0.00105758041906447</v>
      </c>
      <c r="AJ399" s="30" t="n">
        <f aca="false">MAX(AE399,0)*(Inputs!$B$17+Inputs!$B$24+Inputs!$B$25)+MAX(-AE399,0)*(O399+Inputs!$B$24+Inputs!$B$25)+IF(AND(K399=1,AB399&lt;&gt;0),(Inputs!$B$17+Inputs!$B$24+Inputs!$B$25)+(O399+Inputs!$B$24+Inputs!$B$25),0)+MAX(AG399,0)*(Inputs!$B$20+Inputs!$B$26+Inputs!$B$27)+MAX(-AG399,0)*(Inputs!$B$21+Inputs!$B$26+Inputs!$B$27)</f>
        <v>0</v>
      </c>
      <c r="AK399" s="30" t="n">
        <f aca="false">AB398*(M399-AD398*J399)+AB398*AD398*(N399+Inputs!$B$14)/Inputs!$B$16-AJ399</f>
        <v>0.00102762004625806</v>
      </c>
      <c r="AL399" s="30" t="n">
        <f aca="false">IF(AP398&lt;&gt;0,AQ398+1,0)</f>
        <v>2</v>
      </c>
      <c r="AM399" s="30" t="n">
        <f aca="false">IF(W399="",0,IF(AND(AP398&lt;&gt;0,OR(ABS(W399)&gt;Inputs!$B$7,AL399&gt;=Inputs!$B$8,ABS(W399)&lt;Inputs!$B$6)),1,0))</f>
        <v>0</v>
      </c>
      <c r="AN399" s="30" t="n">
        <f aca="false">IF(AM399=1,0,AP398)</f>
        <v>-1</v>
      </c>
      <c r="AO399" s="30" t="n">
        <f aca="false">IF(W399="",0,IF(AND(AN399=0,ABS(W399)&gt;Inputs!$B$5,ABS(W399)&lt;=Inputs!$B$7,W399&gt;0),1,0))</f>
        <v>0</v>
      </c>
      <c r="AP399" s="30" t="n">
        <f aca="false">IF(W399="",0,IF(AO399=1,-SIGN(W399),AN399))</f>
        <v>-1</v>
      </c>
      <c r="AQ399" s="30" t="n">
        <f aca="false">IF(W399="",0,IF(AO399=1,0,IF(AM399=1,0,AL399)))</f>
        <v>2</v>
      </c>
      <c r="AR399" s="29" t="n">
        <f aca="false">IF(AP399=0,0,IF(AP398=AP399,AR398,T399))</f>
        <v>1.00666852629566</v>
      </c>
      <c r="AS399" s="30" t="n">
        <f aca="false">AP399-AP398</f>
        <v>0</v>
      </c>
      <c r="AT399" s="30" t="n">
        <f aca="false">-AR399*AP399</f>
        <v>1.00666852629566</v>
      </c>
      <c r="AU399" s="30" t="n">
        <f aca="false">AT399-AT398</f>
        <v>0</v>
      </c>
      <c r="AV399" s="30" t="n">
        <f aca="false">MAX(AS399,0)*(Inputs!$B$17+Inputs!$B$18+Inputs!$B$19)+MAX(-AS399,0)*(O399+Inputs!$B$18+Inputs!$B$19)+IF(AND(K399=1,AP399&lt;&gt;0),(Inputs!$B$17+Inputs!$B$18+Inputs!$B$19)+(O399+Inputs!$B$18+Inputs!$B$19),0)+MAX(AU399,0)*(Inputs!$B$20+Inputs!$B$22+Inputs!$B$23)+MAX(-AU399,0)*(Inputs!$B$21+Inputs!$B$22+Inputs!$B$23)</f>
        <v>0</v>
      </c>
      <c r="AW399" s="30" t="n">
        <f aca="false">AP398*(M399-AR398*J399)+AP398*AR398*N399/Inputs!$B$16-AV399</f>
        <v>0.00105758041906447</v>
      </c>
      <c r="AX399" s="30" t="n">
        <f aca="false">AW399-IF(AP398&lt;&gt;0,0.75*AR398*(Inputs!$B$13-N399)/Inputs!$B$16,0)</f>
        <v>0.000832877623016335</v>
      </c>
      <c r="AY399" s="30" t="n">
        <f aca="false">MAX(AS399,0)*(Inputs!$B$17+Inputs!$B$18+Inputs!$B$19)+MAX(-AS399,0)*(O399+Inputs!$B$18+Inputs!$B$19)+IF(AND(K399=1,AP399&lt;&gt;0),(Inputs!$B$17+Inputs!$B$18+Inputs!$B$19)+(O399+Inputs!$B$18+Inputs!$B$19),0)</f>
        <v>0</v>
      </c>
      <c r="AZ399" s="30" t="n">
        <f aca="false">AP398*M399-AY399</f>
        <v>-0.00445271268171332</v>
      </c>
      <c r="BA399" s="32" t="n">
        <f aca="false">BA398+AI399</f>
        <v>0.00292358028422091</v>
      </c>
      <c r="BB399" s="30" t="n">
        <f aca="false">MAX(BB398,BA399)</f>
        <v>0.00292358028422091</v>
      </c>
      <c r="BC399" s="32" t="n">
        <f aca="false">BA399-BB399</f>
        <v>0</v>
      </c>
      <c r="BD399" s="30" t="n">
        <f aca="false">A400-A399</f>
        <v>1</v>
      </c>
    </row>
    <row r="400" customFormat="false" ht="15" hidden="false" customHeight="false" outlineLevel="0" collapsed="false">
      <c r="A400" s="28" t="n">
        <v>45630</v>
      </c>
      <c r="B400" s="0" t="n">
        <v>24559</v>
      </c>
      <c r="C400" s="0" t="n">
        <v>273.2</v>
      </c>
      <c r="D400" s="29" t="n">
        <f aca="false">LN(B400)</f>
        <v>10.1088336648198</v>
      </c>
      <c r="E400" s="29" t="n">
        <f aca="false">LN(C400)</f>
        <v>5.61020412769664</v>
      </c>
      <c r="F400" s="0" t="n">
        <v>395</v>
      </c>
      <c r="G400" s="0" t="n">
        <v>22</v>
      </c>
      <c r="H400" s="29" t="n">
        <f aca="false">D400-E400</f>
        <v>4.49862953712312</v>
      </c>
      <c r="I400" s="29" t="n">
        <f aca="false">D400-D399</f>
        <v>0.00101847522705967</v>
      </c>
      <c r="J400" s="29" t="n">
        <f aca="false">E400-E399</f>
        <v>0.000915499468868042</v>
      </c>
      <c r="K400" s="0" t="n">
        <v>0</v>
      </c>
      <c r="L400" s="0" t="n">
        <v>0</v>
      </c>
      <c r="M400" s="29" t="n">
        <f aca="false">IF(L400=1,J400-Carry!$B$9/Inputs!$B$16,I400)</f>
        <v>0.00101847522705967</v>
      </c>
      <c r="N400" s="0" t="n">
        <v>0.065</v>
      </c>
      <c r="O400" s="0" t="n">
        <v>0.0002</v>
      </c>
      <c r="P400" s="29" t="n">
        <f aca="false">D400-('2 Hedge ratio'!$B$6+'2 Hedge ratio'!$B$5*E400)</f>
        <v>0.00735545725227205</v>
      </c>
      <c r="Q400" s="29" t="n">
        <f aca="false">D400-('5 Re-specification'!$B$7+'5 Re-specification'!$B$5*E400+'5 Re-specification'!$B$6*F400)</f>
        <v>0.00217732055132025</v>
      </c>
      <c r="R400" s="30" t="n">
        <f aca="false">MIN(F400,Inputs!$B$9)</f>
        <v>250</v>
      </c>
      <c r="S400" s="29" t="n">
        <f aca="true">IF(AND(F400&gt;=1,R400&gt;=Inputs!$B$10),INDEX(LINEST(OFFSET(D400,-R400,0,R400,1),OFFSET(E400,-R400,0,R400,2)),1,1),"")</f>
        <v>-6.55025042329966E-005</v>
      </c>
      <c r="T400" s="29" t="n">
        <f aca="true">IF(AND(F400&gt;=1,R400&gt;=Inputs!$B$10),INDEX(LINEST(OFFSET(D400,-R400,0,R400,1),OFFSET(E400,-R400,0,R400,2)),1,2),"")</f>
        <v>0.999167680607214</v>
      </c>
      <c r="U400" s="29" t="n">
        <f aca="true">IF(AND(F400&gt;=1,R400&gt;=Inputs!$B$10),INDEX(LINEST(OFFSET(D400,-R400,0,R400,1),OFFSET(E400,-R400,0,R400,2)),1,3),"")</f>
        <v>4.52458680585473</v>
      </c>
      <c r="V400" s="29" t="n">
        <f aca="true">IF(AND(F400&gt;=1,R400&gt;=Inputs!$B$10),SQRT(SUMPRODUCT((OFFSET(D400,-R400,0,R400,1)-U400-T400*OFFSET(E400,-R400,0,R400,1)-S400*OFFSET(F400,-R400,0,R400,1))^2)/(R400-3)),"")</f>
        <v>0.00329223272105489</v>
      </c>
      <c r="W400" s="31" t="n">
        <f aca="false">IF(AND(F400&gt;=1,R400&gt;=Inputs!$B$10),(D400-U400-T400*E400-S400*F400)/V400,"")</f>
        <v>1.39288517001562</v>
      </c>
      <c r="X400" s="30" t="n">
        <f aca="false">IF(AB399&lt;&gt;0,AC399+1,0)</f>
        <v>3</v>
      </c>
      <c r="Y400" s="30" t="n">
        <f aca="false">IF(W400="",0,IF(AND(AB399&lt;&gt;0,OR(ABS(W400)&gt;Inputs!$B$7,X400&gt;=Inputs!$B$8,ABS(W400)&lt;Inputs!$B$6)),1,0))</f>
        <v>0</v>
      </c>
      <c r="Z400" s="30" t="n">
        <f aca="false">IF(Y400=1,0,AB399)</f>
        <v>-1</v>
      </c>
      <c r="AA400" s="30" t="n">
        <f aca="false">IF(W400="",0,IF(AND(Z400=0,ABS(W400)&gt;Inputs!$B$5,ABS(W400)&lt;=Inputs!$B$7),1,0))</f>
        <v>0</v>
      </c>
      <c r="AB400" s="30" t="n">
        <f aca="false">IF(W400="",0,IF(AA400=1,-SIGN(W400),Z400))</f>
        <v>-1</v>
      </c>
      <c r="AC400" s="30" t="n">
        <f aca="false">IF(W400="",0,IF(AA400=1,0,IF(Y400=1,0,X400)))</f>
        <v>3</v>
      </c>
      <c r="AD400" s="29" t="n">
        <f aca="false">IF(AB400=0,0,IF(AB399=AB400,AD399,T400))</f>
        <v>1.00666852629566</v>
      </c>
      <c r="AE400" s="30" t="n">
        <f aca="false">AB400-AB399</f>
        <v>0</v>
      </c>
      <c r="AF400" s="30" t="n">
        <f aca="false">-AD400*AB400</f>
        <v>1.00666852629566</v>
      </c>
      <c r="AG400" s="30" t="n">
        <f aca="false">AF400-AF399</f>
        <v>0</v>
      </c>
      <c r="AH400" s="30" t="n">
        <f aca="false">MAX(AE400,0)*(Inputs!$B$17+Inputs!$B$18+Inputs!$B$19)+MAX(-AE400,0)*(O400+Inputs!$B$18+Inputs!$B$19)+IF(AND(K400=1,AB400&lt;&gt;0),(Inputs!$B$17+Inputs!$B$18+Inputs!$B$19)+(O400+Inputs!$B$18+Inputs!$B$19),0)+MAX(AG400,0)*(Inputs!$B$20+Inputs!$B$22+Inputs!$B$23)+MAX(-AG400,0)*(Inputs!$B$21+Inputs!$B$22+Inputs!$B$23)</f>
        <v>0</v>
      </c>
      <c r="AI400" s="30" t="n">
        <f aca="false">AB399*(M400-AD399*J400)+AB399*AD399*N400/Inputs!$B$16-AH400</f>
        <v>-0.000356527290232111</v>
      </c>
      <c r="AJ400" s="30" t="n">
        <f aca="false">MAX(AE400,0)*(Inputs!$B$17+Inputs!$B$24+Inputs!$B$25)+MAX(-AE400,0)*(O400+Inputs!$B$24+Inputs!$B$25)+IF(AND(K400=1,AB400&lt;&gt;0),(Inputs!$B$17+Inputs!$B$24+Inputs!$B$25)+(O400+Inputs!$B$24+Inputs!$B$25),0)+MAX(AG400,0)*(Inputs!$B$20+Inputs!$B$26+Inputs!$B$27)+MAX(-AG400,0)*(Inputs!$B$21+Inputs!$B$26+Inputs!$B$27)</f>
        <v>0</v>
      </c>
      <c r="AK400" s="30" t="n">
        <f aca="false">AB399*(M400-AD399*J400)+AB399*AD399*(N400+Inputs!$B$14)/Inputs!$B$16-AJ400</f>
        <v>-0.000386487663038529</v>
      </c>
      <c r="AL400" s="30" t="n">
        <f aca="false">IF(AP399&lt;&gt;0,AQ399+1,0)</f>
        <v>3</v>
      </c>
      <c r="AM400" s="30" t="n">
        <f aca="false">IF(W400="",0,IF(AND(AP399&lt;&gt;0,OR(ABS(W400)&gt;Inputs!$B$7,AL400&gt;=Inputs!$B$8,ABS(W400)&lt;Inputs!$B$6)),1,0))</f>
        <v>0</v>
      </c>
      <c r="AN400" s="30" t="n">
        <f aca="false">IF(AM400=1,0,AP399)</f>
        <v>-1</v>
      </c>
      <c r="AO400" s="30" t="n">
        <f aca="false">IF(W400="",0,IF(AND(AN400=0,ABS(W400)&gt;Inputs!$B$5,ABS(W400)&lt;=Inputs!$B$7,W400&gt;0),1,0))</f>
        <v>0</v>
      </c>
      <c r="AP400" s="30" t="n">
        <f aca="false">IF(W400="",0,IF(AO400=1,-SIGN(W400),AN400))</f>
        <v>-1</v>
      </c>
      <c r="AQ400" s="30" t="n">
        <f aca="false">IF(W400="",0,IF(AO400=1,0,IF(AM400=1,0,AL400)))</f>
        <v>3</v>
      </c>
      <c r="AR400" s="29" t="n">
        <f aca="false">IF(AP400=0,0,IF(AP399=AP400,AR399,T400))</f>
        <v>1.00666852629566</v>
      </c>
      <c r="AS400" s="30" t="n">
        <f aca="false">AP400-AP399</f>
        <v>0</v>
      </c>
      <c r="AT400" s="30" t="n">
        <f aca="false">-AR400*AP400</f>
        <v>1.00666852629566</v>
      </c>
      <c r="AU400" s="30" t="n">
        <f aca="false">AT400-AT399</f>
        <v>0</v>
      </c>
      <c r="AV400" s="30" t="n">
        <f aca="false">MAX(AS400,0)*(Inputs!$B$17+Inputs!$B$18+Inputs!$B$19)+MAX(-AS400,0)*(O400+Inputs!$B$18+Inputs!$B$19)+IF(AND(K400=1,AP400&lt;&gt;0),(Inputs!$B$17+Inputs!$B$18+Inputs!$B$19)+(O400+Inputs!$B$18+Inputs!$B$19),0)+MAX(AU400,0)*(Inputs!$B$20+Inputs!$B$22+Inputs!$B$23)+MAX(-AU400,0)*(Inputs!$B$21+Inputs!$B$22+Inputs!$B$23)</f>
        <v>0</v>
      </c>
      <c r="AW400" s="30" t="n">
        <f aca="false">AP399*(M400-AR399*J400)+AP399*AR399*N400/Inputs!$B$16-AV400</f>
        <v>-0.000356527290232111</v>
      </c>
      <c r="AX400" s="30" t="n">
        <f aca="false">AW400-IF(AP399&lt;&gt;0,0.75*AR399*(Inputs!$B$13-N400)/Inputs!$B$16,0)</f>
        <v>-0.000581230086280249</v>
      </c>
      <c r="AY400" s="30" t="n">
        <f aca="false">MAX(AS400,0)*(Inputs!$B$17+Inputs!$B$18+Inputs!$B$19)+MAX(-AS400,0)*(O400+Inputs!$B$18+Inputs!$B$19)+IF(AND(K400=1,AP400&lt;&gt;0),(Inputs!$B$17+Inputs!$B$18+Inputs!$B$19)+(O400+Inputs!$B$18+Inputs!$B$19),0)</f>
        <v>0</v>
      </c>
      <c r="AZ400" s="30" t="n">
        <f aca="false">AP399*M400-AY400</f>
        <v>-0.00101847522705967</v>
      </c>
      <c r="BA400" s="32" t="n">
        <f aca="false">BA399+AI400</f>
        <v>0.00256705299398879</v>
      </c>
      <c r="BB400" s="30" t="n">
        <f aca="false">MAX(BB399,BA400)</f>
        <v>0.00292358028422091</v>
      </c>
      <c r="BC400" s="32" t="n">
        <f aca="false">BA400-BB400</f>
        <v>-0.000356527290232111</v>
      </c>
      <c r="BD400" s="30" t="n">
        <f aca="false">A401-A400</f>
        <v>1</v>
      </c>
    </row>
    <row r="401" customFormat="false" ht="15" hidden="false" customHeight="false" outlineLevel="0" collapsed="false">
      <c r="A401" s="28" t="n">
        <v>45631</v>
      </c>
      <c r="B401" s="0" t="n">
        <v>24779.35</v>
      </c>
      <c r="C401" s="0" t="n">
        <v>275.9</v>
      </c>
      <c r="D401" s="29" t="n">
        <f aca="false">LN(B401)</f>
        <v>10.1177659240078</v>
      </c>
      <c r="E401" s="29" t="n">
        <f aca="false">LN(C401)</f>
        <v>5.62003848122324</v>
      </c>
      <c r="F401" s="0" t="n">
        <v>396</v>
      </c>
      <c r="G401" s="0" t="n">
        <v>21</v>
      </c>
      <c r="H401" s="29" t="n">
        <f aca="false">D401-E401</f>
        <v>4.49772744278454</v>
      </c>
      <c r="I401" s="29" t="n">
        <f aca="false">D401-D400</f>
        <v>0.0089322591880272</v>
      </c>
      <c r="J401" s="29" t="n">
        <f aca="false">E401-E400</f>
        <v>0.009834353526605</v>
      </c>
      <c r="K401" s="0" t="n">
        <v>0</v>
      </c>
      <c r="L401" s="0" t="n">
        <v>0</v>
      </c>
      <c r="M401" s="29" t="n">
        <f aca="false">IF(L401=1,J401-Carry!$B$9/Inputs!$B$16,I401)</f>
        <v>0.0089322591880272</v>
      </c>
      <c r="N401" s="0" t="n">
        <v>0.065</v>
      </c>
      <c r="O401" s="0" t="n">
        <v>0.0002</v>
      </c>
      <c r="P401" s="29" t="n">
        <f aca="false">D401-('2 Hedge ratio'!$B$6+'2 Hedge ratio'!$B$5*E401)</f>
        <v>0.00727820201468532</v>
      </c>
      <c r="Q401" s="29" t="n">
        <f aca="false">D401-('5 Re-specification'!$B$7+'5 Re-specification'!$B$5*E401+'5 Re-specification'!$B$6*F401)</f>
        <v>0.00134995853941078</v>
      </c>
      <c r="R401" s="30" t="n">
        <f aca="false">MIN(F401,Inputs!$B$9)</f>
        <v>250</v>
      </c>
      <c r="S401" s="29" t="n">
        <f aca="true">IF(AND(F401&gt;=1,R401&gt;=Inputs!$B$10),INDEX(LINEST(OFFSET(D401,-R401,0,R401,1),OFFSET(E401,-R401,0,R401,2)),1,1),"")</f>
        <v>-6.36175479440623E-005</v>
      </c>
      <c r="T401" s="29" t="n">
        <f aca="true">IF(AND(F401&gt;=1,R401&gt;=Inputs!$B$10),INDEX(LINEST(OFFSET(D401,-R401,0,R401,1),OFFSET(E401,-R401,0,R401,2)),1,2),"")</f>
        <v>0.996894623061167</v>
      </c>
      <c r="U401" s="29" t="n">
        <f aca="true">IF(AND(F401&gt;=1,R401&gt;=Inputs!$B$10),INDEX(LINEST(OFFSET(D401,-R401,0,R401,1),OFFSET(E401,-R401,0,R401,2)),1,3),"")</f>
        <v>4.53673207388911</v>
      </c>
      <c r="V401" s="29" t="n">
        <f aca="true">IF(AND(F401&gt;=1,R401&gt;=Inputs!$B$10),SQRT(SUMPRODUCT((OFFSET(D401,-R401,0,R401,1)-U401-T401*OFFSET(E401,-R401,0,R401,1)-S401*OFFSET(F401,-R401,0,R401,1))^2)/(R401-3)),"")</f>
        <v>0.00329389573791615</v>
      </c>
      <c r="W401" s="31" t="n">
        <f aca="false">IF(AND(F401&gt;=1,R401&gt;=Inputs!$B$10),(D401-U401-T401*E401-S401*F401)/V401,"")</f>
        <v>1.10515209522966</v>
      </c>
      <c r="X401" s="30" t="n">
        <f aca="false">IF(AB400&lt;&gt;0,AC400+1,0)</f>
        <v>4</v>
      </c>
      <c r="Y401" s="30" t="n">
        <f aca="false">IF(W401="",0,IF(AND(AB400&lt;&gt;0,OR(ABS(W401)&gt;Inputs!$B$7,X401&gt;=Inputs!$B$8,ABS(W401)&lt;Inputs!$B$6)),1,0))</f>
        <v>0</v>
      </c>
      <c r="Z401" s="30" t="n">
        <f aca="false">IF(Y401=1,0,AB400)</f>
        <v>-1</v>
      </c>
      <c r="AA401" s="30" t="n">
        <f aca="false">IF(W401="",0,IF(AND(Z401=0,ABS(W401)&gt;Inputs!$B$5,ABS(W401)&lt;=Inputs!$B$7),1,0))</f>
        <v>0</v>
      </c>
      <c r="AB401" s="30" t="n">
        <f aca="false">IF(W401="",0,IF(AA401=1,-SIGN(W401),Z401))</f>
        <v>-1</v>
      </c>
      <c r="AC401" s="30" t="n">
        <f aca="false">IF(W401="",0,IF(AA401=1,0,IF(Y401=1,0,X401)))</f>
        <v>4</v>
      </c>
      <c r="AD401" s="29" t="n">
        <f aca="false">IF(AB401=0,0,IF(AB400=AB401,AD400,T401))</f>
        <v>1.00666852629566</v>
      </c>
      <c r="AE401" s="30" t="n">
        <f aca="false">AB401-AB400</f>
        <v>0</v>
      </c>
      <c r="AF401" s="30" t="n">
        <f aca="false">-AD401*AB401</f>
        <v>1.00666852629566</v>
      </c>
      <c r="AG401" s="30" t="n">
        <f aca="false">AF401-AF400</f>
        <v>0</v>
      </c>
      <c r="AH401" s="30" t="n">
        <f aca="false">MAX(AE401,0)*(Inputs!$B$17+Inputs!$B$18+Inputs!$B$19)+MAX(-AE401,0)*(O401+Inputs!$B$18+Inputs!$B$19)+IF(AND(K401=1,AB401&lt;&gt;0),(Inputs!$B$17+Inputs!$B$18+Inputs!$B$19)+(O401+Inputs!$B$18+Inputs!$B$19),0)+MAX(AG401,0)*(Inputs!$B$20+Inputs!$B$22+Inputs!$B$23)+MAX(-AG401,0)*(Inputs!$B$21+Inputs!$B$22+Inputs!$B$23)</f>
        <v>0</v>
      </c>
      <c r="AI401" s="30" t="n">
        <f aca="false">AB400*(M401-AD400*J401)+AB400*AD400*N401/Inputs!$B$16-AH401</f>
        <v>0.000708018419348473</v>
      </c>
      <c r="AJ401" s="30" t="n">
        <f aca="false">MAX(AE401,0)*(Inputs!$B$17+Inputs!$B$24+Inputs!$B$25)+MAX(-AE401,0)*(O401+Inputs!$B$24+Inputs!$B$25)+IF(AND(K401=1,AB401&lt;&gt;0),(Inputs!$B$17+Inputs!$B$24+Inputs!$B$25)+(O401+Inputs!$B$24+Inputs!$B$25),0)+MAX(AG401,0)*(Inputs!$B$20+Inputs!$B$26+Inputs!$B$27)+MAX(-AG401,0)*(Inputs!$B$21+Inputs!$B$26+Inputs!$B$27)</f>
        <v>0</v>
      </c>
      <c r="AK401" s="30" t="n">
        <f aca="false">AB400*(M401-AD400*J401)+AB400*AD400*(N401+Inputs!$B$14)/Inputs!$B$16-AJ401</f>
        <v>0.000678058046542055</v>
      </c>
      <c r="AL401" s="30" t="n">
        <f aca="false">IF(AP400&lt;&gt;0,AQ400+1,0)</f>
        <v>4</v>
      </c>
      <c r="AM401" s="30" t="n">
        <f aca="false">IF(W401="",0,IF(AND(AP400&lt;&gt;0,OR(ABS(W401)&gt;Inputs!$B$7,AL401&gt;=Inputs!$B$8,ABS(W401)&lt;Inputs!$B$6)),1,0))</f>
        <v>0</v>
      </c>
      <c r="AN401" s="30" t="n">
        <f aca="false">IF(AM401=1,0,AP400)</f>
        <v>-1</v>
      </c>
      <c r="AO401" s="30" t="n">
        <f aca="false">IF(W401="",0,IF(AND(AN401=0,ABS(W401)&gt;Inputs!$B$5,ABS(W401)&lt;=Inputs!$B$7,W401&gt;0),1,0))</f>
        <v>0</v>
      </c>
      <c r="AP401" s="30" t="n">
        <f aca="false">IF(W401="",0,IF(AO401=1,-SIGN(W401),AN401))</f>
        <v>-1</v>
      </c>
      <c r="AQ401" s="30" t="n">
        <f aca="false">IF(W401="",0,IF(AO401=1,0,IF(AM401=1,0,AL401)))</f>
        <v>4</v>
      </c>
      <c r="AR401" s="29" t="n">
        <f aca="false">IF(AP401=0,0,IF(AP400=AP401,AR400,T401))</f>
        <v>1.00666852629566</v>
      </c>
      <c r="AS401" s="30" t="n">
        <f aca="false">AP401-AP400</f>
        <v>0</v>
      </c>
      <c r="AT401" s="30" t="n">
        <f aca="false">-AR401*AP401</f>
        <v>1.00666852629566</v>
      </c>
      <c r="AU401" s="30" t="n">
        <f aca="false">AT401-AT400</f>
        <v>0</v>
      </c>
      <c r="AV401" s="30" t="n">
        <f aca="false">MAX(AS401,0)*(Inputs!$B$17+Inputs!$B$18+Inputs!$B$19)+MAX(-AS401,0)*(O401+Inputs!$B$18+Inputs!$B$19)+IF(AND(K401=1,AP401&lt;&gt;0),(Inputs!$B$17+Inputs!$B$18+Inputs!$B$19)+(O401+Inputs!$B$18+Inputs!$B$19),0)+MAX(AU401,0)*(Inputs!$B$20+Inputs!$B$22+Inputs!$B$23)+MAX(-AU401,0)*(Inputs!$B$21+Inputs!$B$22+Inputs!$B$23)</f>
        <v>0</v>
      </c>
      <c r="AW401" s="30" t="n">
        <f aca="false">AP400*(M401-AR400*J401)+AP400*AR400*N401/Inputs!$B$16-AV401</f>
        <v>0.000708018419348473</v>
      </c>
      <c r="AX401" s="30" t="n">
        <f aca="false">AW401-IF(AP400&lt;&gt;0,0.75*AR400*(Inputs!$B$13-N401)/Inputs!$B$16,0)</f>
        <v>0.000483315623300335</v>
      </c>
      <c r="AY401" s="30" t="n">
        <f aca="false">MAX(AS401,0)*(Inputs!$B$17+Inputs!$B$18+Inputs!$B$19)+MAX(-AS401,0)*(O401+Inputs!$B$18+Inputs!$B$19)+IF(AND(K401=1,AP401&lt;&gt;0),(Inputs!$B$17+Inputs!$B$18+Inputs!$B$19)+(O401+Inputs!$B$18+Inputs!$B$19),0)</f>
        <v>0</v>
      </c>
      <c r="AZ401" s="30" t="n">
        <f aca="false">AP400*M401-AY401</f>
        <v>-0.0089322591880272</v>
      </c>
      <c r="BA401" s="32" t="n">
        <f aca="false">BA400+AI401</f>
        <v>0.00327507141333727</v>
      </c>
      <c r="BB401" s="30" t="n">
        <f aca="false">MAX(BB400,BA401)</f>
        <v>0.00327507141333727</v>
      </c>
      <c r="BC401" s="32" t="n">
        <f aca="false">BA401-BB401</f>
        <v>0</v>
      </c>
      <c r="BD401" s="30" t="n">
        <f aca="false">A402-A401</f>
        <v>1</v>
      </c>
    </row>
    <row r="402" customFormat="false" ht="15" hidden="false" customHeight="false" outlineLevel="0" collapsed="false">
      <c r="A402" s="28" t="n">
        <v>45632</v>
      </c>
      <c r="B402" s="0" t="n">
        <v>24781.55</v>
      </c>
      <c r="C402" s="0" t="n">
        <v>275.94</v>
      </c>
      <c r="D402" s="29" t="n">
        <f aca="false">LN(B402)</f>
        <v>10.1178547036708</v>
      </c>
      <c r="E402" s="29" t="n">
        <f aca="false">LN(C402)</f>
        <v>5.62018345077989</v>
      </c>
      <c r="F402" s="0" t="n">
        <v>397</v>
      </c>
      <c r="G402" s="0" t="n">
        <v>20</v>
      </c>
      <c r="H402" s="29" t="n">
        <f aca="false">D402-E402</f>
        <v>4.49767125289096</v>
      </c>
      <c r="I402" s="29" t="n">
        <f aca="false">D402-D401</f>
        <v>8.87796630575366E-005</v>
      </c>
      <c r="J402" s="29" t="n">
        <f aca="false">E402-E401</f>
        <v>0.000144969556647112</v>
      </c>
      <c r="K402" s="0" t="n">
        <v>0</v>
      </c>
      <c r="L402" s="0" t="n">
        <v>0</v>
      </c>
      <c r="M402" s="29" t="n">
        <f aca="false">IF(L402=1,J402-Carry!$B$9/Inputs!$B$16,I402)</f>
        <v>8.87796630575366E-005</v>
      </c>
      <c r="N402" s="0" t="n">
        <v>0.065</v>
      </c>
      <c r="O402" s="0" t="n">
        <v>0.0002</v>
      </c>
      <c r="P402" s="29" t="n">
        <f aca="false">D402-('2 Hedge ratio'!$B$6+'2 Hedge ratio'!$B$5*E402)</f>
        <v>0.00723417118762093</v>
      </c>
      <c r="Q402" s="29" t="n">
        <f aca="false">D402-('5 Re-specification'!$B$7+'5 Re-specification'!$B$5*E402+'5 Re-specification'!$B$6*F402)</f>
        <v>0.00133913729416157</v>
      </c>
      <c r="R402" s="30" t="n">
        <f aca="false">MIN(F402,Inputs!$B$9)</f>
        <v>250</v>
      </c>
      <c r="S402" s="29" t="n">
        <f aca="true">IF(AND(F402&gt;=1,R402&gt;=Inputs!$B$10),INDEX(LINEST(OFFSET(D402,-R402,0,R402,1),OFFSET(E402,-R402,0,R402,2)),1,1),"")</f>
        <v>-6.28293683520391E-005</v>
      </c>
      <c r="T402" s="29" t="n">
        <f aca="true">IF(AND(F402&gt;=1,R402&gt;=Inputs!$B$10),INDEX(LINEST(OFFSET(D402,-R402,0,R402,1),OFFSET(E402,-R402,0,R402,2)),1,2),"")</f>
        <v>0.996494484223164</v>
      </c>
      <c r="U402" s="29" t="n">
        <f aca="true">IF(AND(F402&gt;=1,R402&gt;=Inputs!$B$10),INDEX(LINEST(OFFSET(D402,-R402,0,R402,1),OFFSET(E402,-R402,0,R402,2)),1,3),"")</f>
        <v>4.5387496900791</v>
      </c>
      <c r="V402" s="29" t="n">
        <f aca="true">IF(AND(F402&gt;=1,R402&gt;=Inputs!$B$10),SQRT(SUMPRODUCT((OFFSET(D402,-R402,0,R402,1)-U402-T402*OFFSET(E402,-R402,0,R402,1)-S402*OFFSET(F402,-R402,0,R402,1))^2)/(R402-3)),"")</f>
        <v>0.00330090358716746</v>
      </c>
      <c r="W402" s="31" t="n">
        <f aca="false">IF(AND(F402&gt;=1,R402&gt;=Inputs!$B$10),(D402-U402-T402*E402-S402*F402)/V402,"")</f>
        <v>1.08045076411893</v>
      </c>
      <c r="X402" s="30" t="n">
        <f aca="false">IF(AB401&lt;&gt;0,AC401+1,0)</f>
        <v>5</v>
      </c>
      <c r="Y402" s="30" t="n">
        <f aca="false">IF(W402="",0,IF(AND(AB401&lt;&gt;0,OR(ABS(W402)&gt;Inputs!$B$7,X402&gt;=Inputs!$B$8,ABS(W402)&lt;Inputs!$B$6)),1,0))</f>
        <v>0</v>
      </c>
      <c r="Z402" s="30" t="n">
        <f aca="false">IF(Y402=1,0,AB401)</f>
        <v>-1</v>
      </c>
      <c r="AA402" s="30" t="n">
        <f aca="false">IF(W402="",0,IF(AND(Z402=0,ABS(W402)&gt;Inputs!$B$5,ABS(W402)&lt;=Inputs!$B$7),1,0))</f>
        <v>0</v>
      </c>
      <c r="AB402" s="30" t="n">
        <f aca="false">IF(W402="",0,IF(AA402=1,-SIGN(W402),Z402))</f>
        <v>-1</v>
      </c>
      <c r="AC402" s="30" t="n">
        <f aca="false">IF(W402="",0,IF(AA402=1,0,IF(Y402=1,0,X402)))</f>
        <v>5</v>
      </c>
      <c r="AD402" s="29" t="n">
        <f aca="false">IF(AB402=0,0,IF(AB401=AB402,AD401,T402))</f>
        <v>1.00666852629566</v>
      </c>
      <c r="AE402" s="30" t="n">
        <f aca="false">AB402-AB401</f>
        <v>0</v>
      </c>
      <c r="AF402" s="30" t="n">
        <f aca="false">-AD402*AB402</f>
        <v>1.00666852629566</v>
      </c>
      <c r="AG402" s="30" t="n">
        <f aca="false">AF402-AF401</f>
        <v>0</v>
      </c>
      <c r="AH402" s="30" t="n">
        <f aca="false">MAX(AE402,0)*(Inputs!$B$17+Inputs!$B$18+Inputs!$B$19)+MAX(-AE402,0)*(O402+Inputs!$B$18+Inputs!$B$19)+IF(AND(K402=1,AB402&lt;&gt;0),(Inputs!$B$17+Inputs!$B$18+Inputs!$B$19)+(O402+Inputs!$B$18+Inputs!$B$19),0)+MAX(AG402,0)*(Inputs!$B$20+Inputs!$B$22+Inputs!$B$23)+MAX(-AG402,0)*(Inputs!$B$21+Inputs!$B$22+Inputs!$B$23)</f>
        <v>0</v>
      </c>
      <c r="AI402" s="30" t="n">
        <f aca="false">AB401*(M402-AD401*J402)+AB401*AD401*N402/Inputs!$B$16-AH402</f>
        <v>-0.000202499937432146</v>
      </c>
      <c r="AJ402" s="30" t="n">
        <f aca="false">MAX(AE402,0)*(Inputs!$B$17+Inputs!$B$24+Inputs!$B$25)+MAX(-AE402,0)*(O402+Inputs!$B$24+Inputs!$B$25)+IF(AND(K402=1,AB402&lt;&gt;0),(Inputs!$B$17+Inputs!$B$24+Inputs!$B$25)+(O402+Inputs!$B$24+Inputs!$B$25),0)+MAX(AG402,0)*(Inputs!$B$20+Inputs!$B$26+Inputs!$B$27)+MAX(-AG402,0)*(Inputs!$B$21+Inputs!$B$26+Inputs!$B$27)</f>
        <v>0</v>
      </c>
      <c r="AK402" s="30" t="n">
        <f aca="false">AB401*(M402-AD401*J402)+AB401*AD401*(N402+Inputs!$B$14)/Inputs!$B$16-AJ402</f>
        <v>-0.000232460310238565</v>
      </c>
      <c r="AL402" s="30" t="n">
        <f aca="false">IF(AP401&lt;&gt;0,AQ401+1,0)</f>
        <v>5</v>
      </c>
      <c r="AM402" s="30" t="n">
        <f aca="false">IF(W402="",0,IF(AND(AP401&lt;&gt;0,OR(ABS(W402)&gt;Inputs!$B$7,AL402&gt;=Inputs!$B$8,ABS(W402)&lt;Inputs!$B$6)),1,0))</f>
        <v>0</v>
      </c>
      <c r="AN402" s="30" t="n">
        <f aca="false">IF(AM402=1,0,AP401)</f>
        <v>-1</v>
      </c>
      <c r="AO402" s="30" t="n">
        <f aca="false">IF(W402="",0,IF(AND(AN402=0,ABS(W402)&gt;Inputs!$B$5,ABS(W402)&lt;=Inputs!$B$7,W402&gt;0),1,0))</f>
        <v>0</v>
      </c>
      <c r="AP402" s="30" t="n">
        <f aca="false">IF(W402="",0,IF(AO402=1,-SIGN(W402),AN402))</f>
        <v>-1</v>
      </c>
      <c r="AQ402" s="30" t="n">
        <f aca="false">IF(W402="",0,IF(AO402=1,0,IF(AM402=1,0,AL402)))</f>
        <v>5</v>
      </c>
      <c r="AR402" s="29" t="n">
        <f aca="false">IF(AP402=0,0,IF(AP401=AP402,AR401,T402))</f>
        <v>1.00666852629566</v>
      </c>
      <c r="AS402" s="30" t="n">
        <f aca="false">AP402-AP401</f>
        <v>0</v>
      </c>
      <c r="AT402" s="30" t="n">
        <f aca="false">-AR402*AP402</f>
        <v>1.00666852629566</v>
      </c>
      <c r="AU402" s="30" t="n">
        <f aca="false">AT402-AT401</f>
        <v>0</v>
      </c>
      <c r="AV402" s="30" t="n">
        <f aca="false">MAX(AS402,0)*(Inputs!$B$17+Inputs!$B$18+Inputs!$B$19)+MAX(-AS402,0)*(O402+Inputs!$B$18+Inputs!$B$19)+IF(AND(K402=1,AP402&lt;&gt;0),(Inputs!$B$17+Inputs!$B$18+Inputs!$B$19)+(O402+Inputs!$B$18+Inputs!$B$19),0)+MAX(AU402,0)*(Inputs!$B$20+Inputs!$B$22+Inputs!$B$23)+MAX(-AU402,0)*(Inputs!$B$21+Inputs!$B$22+Inputs!$B$23)</f>
        <v>0</v>
      </c>
      <c r="AW402" s="30" t="n">
        <f aca="false">AP401*(M402-AR401*J402)+AP401*AR401*N402/Inputs!$B$16-AV402</f>
        <v>-0.000202499937432146</v>
      </c>
      <c r="AX402" s="30" t="n">
        <f aca="false">AW402-IF(AP401&lt;&gt;0,0.75*AR401*(Inputs!$B$13-N402)/Inputs!$B$16,0)</f>
        <v>-0.000427202733480284</v>
      </c>
      <c r="AY402" s="30" t="n">
        <f aca="false">MAX(AS402,0)*(Inputs!$B$17+Inputs!$B$18+Inputs!$B$19)+MAX(-AS402,0)*(O402+Inputs!$B$18+Inputs!$B$19)+IF(AND(K402=1,AP402&lt;&gt;0),(Inputs!$B$17+Inputs!$B$18+Inputs!$B$19)+(O402+Inputs!$B$18+Inputs!$B$19),0)</f>
        <v>0</v>
      </c>
      <c r="AZ402" s="30" t="n">
        <f aca="false">AP401*M402-AY402</f>
        <v>-8.87796630575366E-005</v>
      </c>
      <c r="BA402" s="32" t="n">
        <f aca="false">BA401+AI402</f>
        <v>0.00307257147590512</v>
      </c>
      <c r="BB402" s="30" t="n">
        <f aca="false">MAX(BB401,BA402)</f>
        <v>0.00327507141333727</v>
      </c>
      <c r="BC402" s="32" t="n">
        <f aca="false">BA402-BB402</f>
        <v>-0.000202499937432146</v>
      </c>
      <c r="BD402" s="30" t="n">
        <f aca="false">A403-A402</f>
        <v>3</v>
      </c>
    </row>
    <row r="403" customFormat="false" ht="15" hidden="false" customHeight="false" outlineLevel="0" collapsed="false">
      <c r="A403" s="28" t="n">
        <v>45635</v>
      </c>
      <c r="B403" s="0" t="n">
        <v>24698.6</v>
      </c>
      <c r="C403" s="0" t="n">
        <v>275.19</v>
      </c>
      <c r="D403" s="29" t="n">
        <f aca="false">LN(B403)</f>
        <v>10.1145018408477</v>
      </c>
      <c r="E403" s="29" t="n">
        <f aca="false">LN(C403)</f>
        <v>5.61746176818967</v>
      </c>
      <c r="F403" s="0" t="n">
        <v>398</v>
      </c>
      <c r="G403" s="0" t="n">
        <v>17</v>
      </c>
      <c r="H403" s="29" t="n">
        <f aca="false">D403-E403</f>
        <v>4.49704007265807</v>
      </c>
      <c r="I403" s="29" t="n">
        <f aca="false">D403-D402</f>
        <v>-0.00335286282309788</v>
      </c>
      <c r="J403" s="29" t="n">
        <f aca="false">E403-E402</f>
        <v>-0.00272168259021299</v>
      </c>
      <c r="K403" s="0" t="n">
        <v>0</v>
      </c>
      <c r="L403" s="0" t="n">
        <v>0</v>
      </c>
      <c r="M403" s="29" t="n">
        <f aca="false">IF(L403=1,J403-Carry!$B$9/Inputs!$B$16,I403)</f>
        <v>-0.00335286282309788</v>
      </c>
      <c r="N403" s="0" t="n">
        <v>0.065</v>
      </c>
      <c r="O403" s="0" t="n">
        <v>0.0002</v>
      </c>
      <c r="P403" s="29" t="n">
        <f aca="false">D403-('2 Hedge ratio'!$B$6+'2 Hedge ratio'!$B$5*E403)</f>
        <v>0.00637471461559436</v>
      </c>
      <c r="Q403" s="29" t="n">
        <f aca="false">D403-('5 Re-specification'!$B$7+'5 Re-specification'!$B$5*E403+'5 Re-specification'!$B$6*F403)</f>
        <v>0.000744638320227864</v>
      </c>
      <c r="R403" s="30" t="n">
        <f aca="false">MIN(F403,Inputs!$B$9)</f>
        <v>250</v>
      </c>
      <c r="S403" s="29" t="n">
        <f aca="true">IF(AND(F403&gt;=1,R403&gt;=Inputs!$B$10),INDEX(LINEST(OFFSET(D403,-R403,0,R403,1),OFFSET(E403,-R403,0,R403,2)),1,1),"")</f>
        <v>-6.19879104864603E-005</v>
      </c>
      <c r="T403" s="29" t="n">
        <f aca="true">IF(AND(F403&gt;=1,R403&gt;=Inputs!$B$10),INDEX(LINEST(OFFSET(D403,-R403,0,R403,1),OFFSET(E403,-R403,0,R403,2)),1,2),"")</f>
        <v>0.996238993344227</v>
      </c>
      <c r="U403" s="29" t="n">
        <f aca="true">IF(AND(F403&gt;=1,R403&gt;=Inputs!$B$10),INDEX(LINEST(OFFSET(D403,-R403,0,R403,1),OFFSET(E403,-R403,0,R403,2)),1,3),"")</f>
        <v>4.53994128536976</v>
      </c>
      <c r="V403" s="29" t="n">
        <f aca="true">IF(AND(F403&gt;=1,R403&gt;=Inputs!$B$10),SQRT(SUMPRODUCT((OFFSET(D403,-R403,0,R403,1)-U403-T403*OFFSET(E403,-R403,0,R403,1)-S403*OFFSET(F403,-R403,0,R403,1))^2)/(R403-3)),"")</f>
        <v>0.00330257758644978</v>
      </c>
      <c r="W403" s="31" t="n">
        <f aca="false">IF(AND(F403&gt;=1,R403&gt;=Inputs!$B$10),(D403-U403-T403*E403-S403*F403)/V403,"")</f>
        <v>0.877280452856511</v>
      </c>
      <c r="X403" s="30" t="n">
        <f aca="false">IF(AB402&lt;&gt;0,AC402+1,0)</f>
        <v>6</v>
      </c>
      <c r="Y403" s="30" t="n">
        <f aca="false">IF(W403="",0,IF(AND(AB402&lt;&gt;0,OR(ABS(W403)&gt;Inputs!$B$7,X403&gt;=Inputs!$B$8,ABS(W403)&lt;Inputs!$B$6)),1,0))</f>
        <v>0</v>
      </c>
      <c r="Z403" s="30" t="n">
        <f aca="false">IF(Y403=1,0,AB402)</f>
        <v>-1</v>
      </c>
      <c r="AA403" s="30" t="n">
        <f aca="false">IF(W403="",0,IF(AND(Z403=0,ABS(W403)&gt;Inputs!$B$5,ABS(W403)&lt;=Inputs!$B$7),1,0))</f>
        <v>0</v>
      </c>
      <c r="AB403" s="30" t="n">
        <f aca="false">IF(W403="",0,IF(AA403=1,-SIGN(W403),Z403))</f>
        <v>-1</v>
      </c>
      <c r="AC403" s="30" t="n">
        <f aca="false">IF(W403="",0,IF(AA403=1,0,IF(Y403=1,0,X403)))</f>
        <v>6</v>
      </c>
      <c r="AD403" s="29" t="n">
        <f aca="false">IF(AB403=0,0,IF(AB402=AB403,AD402,T403))</f>
        <v>1.00666852629566</v>
      </c>
      <c r="AE403" s="30" t="n">
        <f aca="false">AB403-AB402</f>
        <v>0</v>
      </c>
      <c r="AF403" s="30" t="n">
        <f aca="false">-AD403*AB403</f>
        <v>1.00666852629566</v>
      </c>
      <c r="AG403" s="30" t="n">
        <f aca="false">AF403-AF402</f>
        <v>0</v>
      </c>
      <c r="AH403" s="30" t="n">
        <f aca="false">MAX(AE403,0)*(Inputs!$B$17+Inputs!$B$18+Inputs!$B$19)+MAX(-AE403,0)*(O403+Inputs!$B$18+Inputs!$B$19)+IF(AND(K403=1,AB403&lt;&gt;0),(Inputs!$B$17+Inputs!$B$18+Inputs!$B$19)+(O403+Inputs!$B$18+Inputs!$B$19),0)+MAX(AG403,0)*(Inputs!$B$20+Inputs!$B$22+Inputs!$B$23)+MAX(-AG403,0)*(Inputs!$B$21+Inputs!$B$22+Inputs!$B$23)</f>
        <v>0</v>
      </c>
      <c r="AI403" s="30" t="n">
        <f aca="false">AB402*(M403-AD402*J403)+AB402*AD402*N403/Inputs!$B$16-AH403</f>
        <v>0.000353374056641322</v>
      </c>
      <c r="AJ403" s="30" t="n">
        <f aca="false">MAX(AE403,0)*(Inputs!$B$17+Inputs!$B$24+Inputs!$B$25)+MAX(-AE403,0)*(O403+Inputs!$B$24+Inputs!$B$25)+IF(AND(K403=1,AB403&lt;&gt;0),(Inputs!$B$17+Inputs!$B$24+Inputs!$B$25)+(O403+Inputs!$B$24+Inputs!$B$25),0)+MAX(AG403,0)*(Inputs!$B$20+Inputs!$B$26+Inputs!$B$27)+MAX(-AG403,0)*(Inputs!$B$21+Inputs!$B$26+Inputs!$B$27)</f>
        <v>0</v>
      </c>
      <c r="AK403" s="30" t="n">
        <f aca="false">AB402*(M403-AD402*J403)+AB402*AD402*(N403+Inputs!$B$14)/Inputs!$B$16-AJ403</f>
        <v>0.000323413683834904</v>
      </c>
      <c r="AL403" s="30" t="n">
        <f aca="false">IF(AP402&lt;&gt;0,AQ402+1,0)</f>
        <v>6</v>
      </c>
      <c r="AM403" s="30" t="n">
        <f aca="false">IF(W403="",0,IF(AND(AP402&lt;&gt;0,OR(ABS(W403)&gt;Inputs!$B$7,AL403&gt;=Inputs!$B$8,ABS(W403)&lt;Inputs!$B$6)),1,0))</f>
        <v>0</v>
      </c>
      <c r="AN403" s="30" t="n">
        <f aca="false">IF(AM403=1,0,AP402)</f>
        <v>-1</v>
      </c>
      <c r="AO403" s="30" t="n">
        <f aca="false">IF(W403="",0,IF(AND(AN403=0,ABS(W403)&gt;Inputs!$B$5,ABS(W403)&lt;=Inputs!$B$7,W403&gt;0),1,0))</f>
        <v>0</v>
      </c>
      <c r="AP403" s="30" t="n">
        <f aca="false">IF(W403="",0,IF(AO403=1,-SIGN(W403),AN403))</f>
        <v>-1</v>
      </c>
      <c r="AQ403" s="30" t="n">
        <f aca="false">IF(W403="",0,IF(AO403=1,0,IF(AM403=1,0,AL403)))</f>
        <v>6</v>
      </c>
      <c r="AR403" s="29" t="n">
        <f aca="false">IF(AP403=0,0,IF(AP402=AP403,AR402,T403))</f>
        <v>1.00666852629566</v>
      </c>
      <c r="AS403" s="30" t="n">
        <f aca="false">AP403-AP402</f>
        <v>0</v>
      </c>
      <c r="AT403" s="30" t="n">
        <f aca="false">-AR403*AP403</f>
        <v>1.00666852629566</v>
      </c>
      <c r="AU403" s="30" t="n">
        <f aca="false">AT403-AT402</f>
        <v>0</v>
      </c>
      <c r="AV403" s="30" t="n">
        <f aca="false">MAX(AS403,0)*(Inputs!$B$17+Inputs!$B$18+Inputs!$B$19)+MAX(-AS403,0)*(O403+Inputs!$B$18+Inputs!$B$19)+IF(AND(K403=1,AP403&lt;&gt;0),(Inputs!$B$17+Inputs!$B$18+Inputs!$B$19)+(O403+Inputs!$B$18+Inputs!$B$19),0)+MAX(AU403,0)*(Inputs!$B$20+Inputs!$B$22+Inputs!$B$23)+MAX(-AU403,0)*(Inputs!$B$21+Inputs!$B$22+Inputs!$B$23)</f>
        <v>0</v>
      </c>
      <c r="AW403" s="30" t="n">
        <f aca="false">AP402*(M403-AR402*J403)+AP402*AR402*N403/Inputs!$B$16-AV403</f>
        <v>0.000353374056641322</v>
      </c>
      <c r="AX403" s="30" t="n">
        <f aca="false">AW403-IF(AP402&lt;&gt;0,0.75*AR402*(Inputs!$B$13-N403)/Inputs!$B$16,0)</f>
        <v>0.000128671260593184</v>
      </c>
      <c r="AY403" s="30" t="n">
        <f aca="false">MAX(AS403,0)*(Inputs!$B$17+Inputs!$B$18+Inputs!$B$19)+MAX(-AS403,0)*(O403+Inputs!$B$18+Inputs!$B$19)+IF(AND(K403=1,AP403&lt;&gt;0),(Inputs!$B$17+Inputs!$B$18+Inputs!$B$19)+(O403+Inputs!$B$18+Inputs!$B$19),0)</f>
        <v>0</v>
      </c>
      <c r="AZ403" s="30" t="n">
        <f aca="false">AP402*M403-AY403</f>
        <v>0.00335286282309788</v>
      </c>
      <c r="BA403" s="32" t="n">
        <f aca="false">BA402+AI403</f>
        <v>0.00342594553254644</v>
      </c>
      <c r="BB403" s="30" t="n">
        <f aca="false">MAX(BB402,BA403)</f>
        <v>0.00342594553254644</v>
      </c>
      <c r="BC403" s="32" t="n">
        <f aca="false">BA403-BB403</f>
        <v>0</v>
      </c>
      <c r="BD403" s="30" t="n">
        <f aca="false">A404-A403</f>
        <v>1</v>
      </c>
    </row>
    <row r="404" customFormat="false" ht="15" hidden="false" customHeight="false" outlineLevel="0" collapsed="false">
      <c r="A404" s="28" t="n">
        <v>45636</v>
      </c>
      <c r="B404" s="0" t="n">
        <v>24690.85</v>
      </c>
      <c r="C404" s="0" t="n">
        <v>274.9</v>
      </c>
      <c r="D404" s="29" t="n">
        <f aca="false">LN(B404)</f>
        <v>10.1141880086401</v>
      </c>
      <c r="E404" s="29" t="n">
        <f aca="false">LN(C404)</f>
        <v>5.6164073951712</v>
      </c>
      <c r="F404" s="0" t="n">
        <v>399</v>
      </c>
      <c r="G404" s="0" t="n">
        <v>16</v>
      </c>
      <c r="H404" s="29" t="n">
        <f aca="false">D404-E404</f>
        <v>4.49778061346891</v>
      </c>
      <c r="I404" s="29" t="n">
        <f aca="false">D404-D403</f>
        <v>-0.000313832207631037</v>
      </c>
      <c r="J404" s="29" t="n">
        <f aca="false">E404-E403</f>
        <v>-0.00105437301847378</v>
      </c>
      <c r="K404" s="0" t="n">
        <v>0</v>
      </c>
      <c r="L404" s="0" t="n">
        <v>0</v>
      </c>
      <c r="M404" s="29" t="n">
        <f aca="false">IF(L404=1,J404-Carry!$B$9/Inputs!$B$16,I404)</f>
        <v>-0.000313832207631037</v>
      </c>
      <c r="N404" s="0" t="n">
        <v>0.065</v>
      </c>
      <c r="O404" s="0" t="n">
        <v>0.0002</v>
      </c>
      <c r="P404" s="29" t="n">
        <f aca="false">D404-('2 Hedge ratio'!$B$6+'2 Hedge ratio'!$B$5*E404)</f>
        <v>0.00702682174441449</v>
      </c>
      <c r="Q404" s="29" t="n">
        <f aca="false">D404-('5 Re-specification'!$B$7+'5 Re-specification'!$B$5*E404+'5 Re-specification'!$B$6*F404)</f>
        <v>0.00152691317171261</v>
      </c>
      <c r="R404" s="30" t="n">
        <f aca="false">MIN(F404,Inputs!$B$9)</f>
        <v>250</v>
      </c>
      <c r="S404" s="29" t="n">
        <f aca="true">IF(AND(F404&gt;=1,R404&gt;=Inputs!$B$10),INDEX(LINEST(OFFSET(D404,-R404,0,R404,1),OFFSET(E404,-R404,0,R404,2)),1,1),"")</f>
        <v>-6.12108734549895E-005</v>
      </c>
      <c r="T404" s="29" t="n">
        <f aca="true">IF(AND(F404&gt;=1,R404&gt;=Inputs!$B$10),INDEX(LINEST(OFFSET(D404,-R404,0,R404,1),OFFSET(E404,-R404,0,R404,2)),1,2),"")</f>
        <v>0.995724753576873</v>
      </c>
      <c r="U404" s="29" t="n">
        <f aca="true">IF(AND(F404&gt;=1,R404&gt;=Inputs!$B$10),INDEX(LINEST(OFFSET(D404,-R404,0,R404,1),OFFSET(E404,-R404,0,R404,2)),1,3),"")</f>
        <v>4.54259285801335</v>
      </c>
      <c r="V404" s="29" t="n">
        <f aca="true">IF(AND(F404&gt;=1,R404&gt;=Inputs!$B$10),SQRT(SUMPRODUCT((OFFSET(D404,-R404,0,R404,1)-U404-T404*OFFSET(E404,-R404,0,R404,1)-S404*OFFSET(F404,-R404,0,R404,1))^2)/(R404-3)),"")</f>
        <v>0.00330702025043268</v>
      </c>
      <c r="W404" s="31" t="n">
        <f aca="false">IF(AND(F404&gt;=1,R404&gt;=Inputs!$B$10),(D404-U404-T404*E404-S404*F404)/V404,"")</f>
        <v>1.09537266687631</v>
      </c>
      <c r="X404" s="30" t="n">
        <f aca="false">IF(AB403&lt;&gt;0,AC403+1,0)</f>
        <v>7</v>
      </c>
      <c r="Y404" s="30" t="n">
        <f aca="false">IF(W404="",0,IF(AND(AB403&lt;&gt;0,OR(ABS(W404)&gt;Inputs!$B$7,X404&gt;=Inputs!$B$8,ABS(W404)&lt;Inputs!$B$6)),1,0))</f>
        <v>0</v>
      </c>
      <c r="Z404" s="30" t="n">
        <f aca="false">IF(Y404=1,0,AB403)</f>
        <v>-1</v>
      </c>
      <c r="AA404" s="30" t="n">
        <f aca="false">IF(W404="",0,IF(AND(Z404=0,ABS(W404)&gt;Inputs!$B$5,ABS(W404)&lt;=Inputs!$B$7),1,0))</f>
        <v>0</v>
      </c>
      <c r="AB404" s="30" t="n">
        <f aca="false">IF(W404="",0,IF(AA404=1,-SIGN(W404),Z404))</f>
        <v>-1</v>
      </c>
      <c r="AC404" s="30" t="n">
        <f aca="false">IF(W404="",0,IF(AA404=1,0,IF(Y404=1,0,X404)))</f>
        <v>7</v>
      </c>
      <c r="AD404" s="29" t="n">
        <f aca="false">IF(AB404=0,0,IF(AB403=AB404,AD403,T404))</f>
        <v>1.00666852629566</v>
      </c>
      <c r="AE404" s="30" t="n">
        <f aca="false">AB404-AB403</f>
        <v>0</v>
      </c>
      <c r="AF404" s="30" t="n">
        <f aca="false">-AD404*AB404</f>
        <v>1.00666852629566</v>
      </c>
      <c r="AG404" s="30" t="n">
        <f aca="false">AF404-AF403</f>
        <v>0</v>
      </c>
      <c r="AH404" s="30" t="n">
        <f aca="false">MAX(AE404,0)*(Inputs!$B$17+Inputs!$B$18+Inputs!$B$19)+MAX(-AE404,0)*(O404+Inputs!$B$18+Inputs!$B$19)+IF(AND(K404=1,AB404&lt;&gt;0),(Inputs!$B$17+Inputs!$B$18+Inputs!$B$19)+(O404+Inputs!$B$18+Inputs!$B$19),0)+MAX(AG404,0)*(Inputs!$B$20+Inputs!$B$22+Inputs!$B$23)+MAX(-AG404,0)*(Inputs!$B$21+Inputs!$B$22+Inputs!$B$23)</f>
        <v>0</v>
      </c>
      <c r="AI404" s="30" t="n">
        <f aca="false">AB403*(M404-AD403*J404)+AB403*AD403*N404/Inputs!$B$16-AH404</f>
        <v>-0.00100722848936416</v>
      </c>
      <c r="AJ404" s="30" t="n">
        <f aca="false">MAX(AE404,0)*(Inputs!$B$17+Inputs!$B$24+Inputs!$B$25)+MAX(-AE404,0)*(O404+Inputs!$B$24+Inputs!$B$25)+IF(AND(K404=1,AB404&lt;&gt;0),(Inputs!$B$17+Inputs!$B$24+Inputs!$B$25)+(O404+Inputs!$B$24+Inputs!$B$25),0)+MAX(AG404,0)*(Inputs!$B$20+Inputs!$B$26+Inputs!$B$27)+MAX(-AG404,0)*(Inputs!$B$21+Inputs!$B$26+Inputs!$B$27)</f>
        <v>0</v>
      </c>
      <c r="AK404" s="30" t="n">
        <f aca="false">AB403*(M404-AD403*J404)+AB403*AD403*(N404+Inputs!$B$14)/Inputs!$B$16-AJ404</f>
        <v>-0.00103718886217057</v>
      </c>
      <c r="AL404" s="30" t="n">
        <f aca="false">IF(AP403&lt;&gt;0,AQ403+1,0)</f>
        <v>7</v>
      </c>
      <c r="AM404" s="30" t="n">
        <f aca="false">IF(W404="",0,IF(AND(AP403&lt;&gt;0,OR(ABS(W404)&gt;Inputs!$B$7,AL404&gt;=Inputs!$B$8,ABS(W404)&lt;Inputs!$B$6)),1,0))</f>
        <v>0</v>
      </c>
      <c r="AN404" s="30" t="n">
        <f aca="false">IF(AM404=1,0,AP403)</f>
        <v>-1</v>
      </c>
      <c r="AO404" s="30" t="n">
        <f aca="false">IF(W404="",0,IF(AND(AN404=0,ABS(W404)&gt;Inputs!$B$5,ABS(W404)&lt;=Inputs!$B$7,W404&gt;0),1,0))</f>
        <v>0</v>
      </c>
      <c r="AP404" s="30" t="n">
        <f aca="false">IF(W404="",0,IF(AO404=1,-SIGN(W404),AN404))</f>
        <v>-1</v>
      </c>
      <c r="AQ404" s="30" t="n">
        <f aca="false">IF(W404="",0,IF(AO404=1,0,IF(AM404=1,0,AL404)))</f>
        <v>7</v>
      </c>
      <c r="AR404" s="29" t="n">
        <f aca="false">IF(AP404=0,0,IF(AP403=AP404,AR403,T404))</f>
        <v>1.00666852629566</v>
      </c>
      <c r="AS404" s="30" t="n">
        <f aca="false">AP404-AP403</f>
        <v>0</v>
      </c>
      <c r="AT404" s="30" t="n">
        <f aca="false">-AR404*AP404</f>
        <v>1.00666852629566</v>
      </c>
      <c r="AU404" s="30" t="n">
        <f aca="false">AT404-AT403</f>
        <v>0</v>
      </c>
      <c r="AV404" s="30" t="n">
        <f aca="false">MAX(AS404,0)*(Inputs!$B$17+Inputs!$B$18+Inputs!$B$19)+MAX(-AS404,0)*(O404+Inputs!$B$18+Inputs!$B$19)+IF(AND(K404=1,AP404&lt;&gt;0),(Inputs!$B$17+Inputs!$B$18+Inputs!$B$19)+(O404+Inputs!$B$18+Inputs!$B$19),0)+MAX(AU404,0)*(Inputs!$B$20+Inputs!$B$22+Inputs!$B$23)+MAX(-AU404,0)*(Inputs!$B$21+Inputs!$B$22+Inputs!$B$23)</f>
        <v>0</v>
      </c>
      <c r="AW404" s="30" t="n">
        <f aca="false">AP403*(M404-AR403*J404)+AP403*AR403*N404/Inputs!$B$16-AV404</f>
        <v>-0.00100722848936416</v>
      </c>
      <c r="AX404" s="30" t="n">
        <f aca="false">AW404-IF(AP403&lt;&gt;0,0.75*AR403*(Inputs!$B$13-N404)/Inputs!$B$16,0)</f>
        <v>-0.00123193128541229</v>
      </c>
      <c r="AY404" s="30" t="n">
        <f aca="false">MAX(AS404,0)*(Inputs!$B$17+Inputs!$B$18+Inputs!$B$19)+MAX(-AS404,0)*(O404+Inputs!$B$18+Inputs!$B$19)+IF(AND(K404=1,AP404&lt;&gt;0),(Inputs!$B$17+Inputs!$B$18+Inputs!$B$19)+(O404+Inputs!$B$18+Inputs!$B$19),0)</f>
        <v>0</v>
      </c>
      <c r="AZ404" s="30" t="n">
        <f aca="false">AP403*M404-AY404</f>
        <v>0.000313832207631037</v>
      </c>
      <c r="BA404" s="32" t="n">
        <f aca="false">BA403+AI404</f>
        <v>0.00241871704318229</v>
      </c>
      <c r="BB404" s="30" t="n">
        <f aca="false">MAX(BB403,BA404)</f>
        <v>0.00342594553254644</v>
      </c>
      <c r="BC404" s="32" t="n">
        <f aca="false">BA404-BB404</f>
        <v>-0.00100722848936416</v>
      </c>
      <c r="BD404" s="30" t="n">
        <f aca="false">A405-A404</f>
        <v>1</v>
      </c>
    </row>
    <row r="405" customFormat="false" ht="15" hidden="false" customHeight="false" outlineLevel="0" collapsed="false">
      <c r="A405" s="28" t="n">
        <v>45637</v>
      </c>
      <c r="B405" s="0" t="n">
        <v>24738</v>
      </c>
      <c r="C405" s="0" t="n">
        <v>274.99</v>
      </c>
      <c r="D405" s="29" t="n">
        <f aca="false">LN(B405)</f>
        <v>10.116095801935</v>
      </c>
      <c r="E405" s="29" t="n">
        <f aca="false">LN(C405)</f>
        <v>5.61673473336904</v>
      </c>
      <c r="F405" s="0" t="n">
        <v>400</v>
      </c>
      <c r="G405" s="0" t="n">
        <v>15</v>
      </c>
      <c r="H405" s="29" t="n">
        <f aca="false">D405-E405</f>
        <v>4.49936106856592</v>
      </c>
      <c r="I405" s="29" t="n">
        <f aca="false">D405-D404</f>
        <v>0.00190779329484236</v>
      </c>
      <c r="J405" s="29" t="n">
        <f aca="false">E405-E404</f>
        <v>0.000327338197834592</v>
      </c>
      <c r="K405" s="0" t="n">
        <v>0</v>
      </c>
      <c r="L405" s="0" t="n">
        <v>0</v>
      </c>
      <c r="M405" s="29" t="n">
        <f aca="false">IF(L405=1,J405-Carry!$B$9/Inputs!$B$16,I405)</f>
        <v>0.00190779329484236</v>
      </c>
      <c r="N405" s="0" t="n">
        <v>0.065</v>
      </c>
      <c r="O405" s="0" t="n">
        <v>0.0002</v>
      </c>
      <c r="P405" s="29" t="n">
        <f aca="false">D405-('2 Hedge ratio'!$B$6+'2 Hedge ratio'!$B$5*E405)</f>
        <v>0.00863473175689755</v>
      </c>
      <c r="Q405" s="29" t="n">
        <f aca="false">D405-('5 Re-specification'!$B$7+'5 Re-specification'!$B$5*E405+'5 Re-specification'!$B$6*F405)</f>
        <v>0.00315328958523153</v>
      </c>
      <c r="R405" s="30" t="n">
        <f aca="false">MIN(F405,Inputs!$B$9)</f>
        <v>250</v>
      </c>
      <c r="S405" s="29" t="n">
        <f aca="true">IF(AND(F405&gt;=1,R405&gt;=Inputs!$B$10),INDEX(LINEST(OFFSET(D405,-R405,0,R405,1),OFFSET(E405,-R405,0,R405,2)),1,1),"")</f>
        <v>-6.01986149871291E-005</v>
      </c>
      <c r="T405" s="29" t="n">
        <f aca="true">IF(AND(F405&gt;=1,R405&gt;=Inputs!$B$10),INDEX(LINEST(OFFSET(D405,-R405,0,R405,1),OFFSET(E405,-R405,0,R405,2)),1,2),"")</f>
        <v>0.995082975296015</v>
      </c>
      <c r="U405" s="29" t="n">
        <f aca="true">IF(AND(F405&gt;=1,R405&gt;=Inputs!$B$10),INDEX(LINEST(OFFSET(D405,-R405,0,R405,1),OFFSET(E405,-R405,0,R405,2)),1,3),"")</f>
        <v>4.54588802479864</v>
      </c>
      <c r="V405" s="29" t="n">
        <f aca="true">IF(AND(F405&gt;=1,R405&gt;=Inputs!$B$10),SQRT(SUMPRODUCT((OFFSET(D405,-R405,0,R405,1)-U405-T405*OFFSET(E405,-R405,0,R405,1)-S405*OFFSET(F405,-R405,0,R405,1))^2)/(R405-3)),"")</f>
        <v>0.00331311666606033</v>
      </c>
      <c r="W405" s="31" t="n">
        <f aca="false">IF(AND(F405&gt;=1,R405&gt;=Inputs!$B$10),(D405-U405-T405*E405-S405*F405)/V405,"")</f>
        <v>1.5604983835317</v>
      </c>
      <c r="X405" s="30" t="n">
        <f aca="false">IF(AB404&lt;&gt;0,AC404+1,0)</f>
        <v>8</v>
      </c>
      <c r="Y405" s="30" t="n">
        <f aca="false">IF(W405="",0,IF(AND(AB404&lt;&gt;0,OR(ABS(W405)&gt;Inputs!$B$7,X405&gt;=Inputs!$B$8,ABS(W405)&lt;Inputs!$B$6)),1,0))</f>
        <v>0</v>
      </c>
      <c r="Z405" s="30" t="n">
        <f aca="false">IF(Y405=1,0,AB404)</f>
        <v>-1</v>
      </c>
      <c r="AA405" s="30" t="n">
        <f aca="false">IF(W405="",0,IF(AND(Z405=0,ABS(W405)&gt;Inputs!$B$5,ABS(W405)&lt;=Inputs!$B$7),1,0))</f>
        <v>0</v>
      </c>
      <c r="AB405" s="30" t="n">
        <f aca="false">IF(W405="",0,IF(AA405=1,-SIGN(W405),Z405))</f>
        <v>-1</v>
      </c>
      <c r="AC405" s="30" t="n">
        <f aca="false">IF(W405="",0,IF(AA405=1,0,IF(Y405=1,0,X405)))</f>
        <v>8</v>
      </c>
      <c r="AD405" s="29" t="n">
        <f aca="false">IF(AB405=0,0,IF(AB404=AB405,AD404,T405))</f>
        <v>1.00666852629566</v>
      </c>
      <c r="AE405" s="30" t="n">
        <f aca="false">AB405-AB404</f>
        <v>0</v>
      </c>
      <c r="AF405" s="30" t="n">
        <f aca="false">-AD405*AB405</f>
        <v>1.00666852629566</v>
      </c>
      <c r="AG405" s="30" t="n">
        <f aca="false">AF405-AF404</f>
        <v>0</v>
      </c>
      <c r="AH405" s="30" t="n">
        <f aca="false">MAX(AE405,0)*(Inputs!$B$17+Inputs!$B$18+Inputs!$B$19)+MAX(-AE405,0)*(O405+Inputs!$B$18+Inputs!$B$19)+IF(AND(K405=1,AB405&lt;&gt;0),(Inputs!$B$17+Inputs!$B$18+Inputs!$B$19)+(O405+Inputs!$B$18+Inputs!$B$19),0)+MAX(AG405,0)*(Inputs!$B$20+Inputs!$B$22+Inputs!$B$23)+MAX(-AG405,0)*(Inputs!$B$21+Inputs!$B$22+Inputs!$B$23)</f>
        <v>0</v>
      </c>
      <c r="AI405" s="30" t="n">
        <f aca="false">AB404*(M405-AD404*J405)+AB404*AD404*N405/Inputs!$B$16-AH405</f>
        <v>-0.00183792879795023</v>
      </c>
      <c r="AJ405" s="30" t="n">
        <f aca="false">MAX(AE405,0)*(Inputs!$B$17+Inputs!$B$24+Inputs!$B$25)+MAX(-AE405,0)*(O405+Inputs!$B$24+Inputs!$B$25)+IF(AND(K405=1,AB405&lt;&gt;0),(Inputs!$B$17+Inputs!$B$24+Inputs!$B$25)+(O405+Inputs!$B$24+Inputs!$B$25),0)+MAX(AG405,0)*(Inputs!$B$20+Inputs!$B$26+Inputs!$B$27)+MAX(-AG405,0)*(Inputs!$B$21+Inputs!$B$26+Inputs!$B$27)</f>
        <v>0</v>
      </c>
      <c r="AK405" s="30" t="n">
        <f aca="false">AB404*(M405-AD404*J405)+AB404*AD404*(N405+Inputs!$B$14)/Inputs!$B$16-AJ405</f>
        <v>-0.00186788917075665</v>
      </c>
      <c r="AL405" s="30" t="n">
        <f aca="false">IF(AP404&lt;&gt;0,AQ404+1,0)</f>
        <v>8</v>
      </c>
      <c r="AM405" s="30" t="n">
        <f aca="false">IF(W405="",0,IF(AND(AP404&lt;&gt;0,OR(ABS(W405)&gt;Inputs!$B$7,AL405&gt;=Inputs!$B$8,ABS(W405)&lt;Inputs!$B$6)),1,0))</f>
        <v>0</v>
      </c>
      <c r="AN405" s="30" t="n">
        <f aca="false">IF(AM405=1,0,AP404)</f>
        <v>-1</v>
      </c>
      <c r="AO405" s="30" t="n">
        <f aca="false">IF(W405="",0,IF(AND(AN405=0,ABS(W405)&gt;Inputs!$B$5,ABS(W405)&lt;=Inputs!$B$7,W405&gt;0),1,0))</f>
        <v>0</v>
      </c>
      <c r="AP405" s="30" t="n">
        <f aca="false">IF(W405="",0,IF(AO405=1,-SIGN(W405),AN405))</f>
        <v>-1</v>
      </c>
      <c r="AQ405" s="30" t="n">
        <f aca="false">IF(W405="",0,IF(AO405=1,0,IF(AM405=1,0,AL405)))</f>
        <v>8</v>
      </c>
      <c r="AR405" s="29" t="n">
        <f aca="false">IF(AP405=0,0,IF(AP404=AP405,AR404,T405))</f>
        <v>1.00666852629566</v>
      </c>
      <c r="AS405" s="30" t="n">
        <f aca="false">AP405-AP404</f>
        <v>0</v>
      </c>
      <c r="AT405" s="30" t="n">
        <f aca="false">-AR405*AP405</f>
        <v>1.00666852629566</v>
      </c>
      <c r="AU405" s="30" t="n">
        <f aca="false">AT405-AT404</f>
        <v>0</v>
      </c>
      <c r="AV405" s="30" t="n">
        <f aca="false">MAX(AS405,0)*(Inputs!$B$17+Inputs!$B$18+Inputs!$B$19)+MAX(-AS405,0)*(O405+Inputs!$B$18+Inputs!$B$19)+IF(AND(K405=1,AP405&lt;&gt;0),(Inputs!$B$17+Inputs!$B$18+Inputs!$B$19)+(O405+Inputs!$B$18+Inputs!$B$19),0)+MAX(AU405,0)*(Inputs!$B$20+Inputs!$B$22+Inputs!$B$23)+MAX(-AU405,0)*(Inputs!$B$21+Inputs!$B$22+Inputs!$B$23)</f>
        <v>0</v>
      </c>
      <c r="AW405" s="30" t="n">
        <f aca="false">AP404*(M405-AR404*J405)+AP404*AR404*N405/Inputs!$B$16-AV405</f>
        <v>-0.00183792879795023</v>
      </c>
      <c r="AX405" s="30" t="n">
        <f aca="false">AW405-IF(AP404&lt;&gt;0,0.75*AR404*(Inputs!$B$13-N405)/Inputs!$B$16,0)</f>
        <v>-0.00206263159399837</v>
      </c>
      <c r="AY405" s="30" t="n">
        <f aca="false">MAX(AS405,0)*(Inputs!$B$17+Inputs!$B$18+Inputs!$B$19)+MAX(-AS405,0)*(O405+Inputs!$B$18+Inputs!$B$19)+IF(AND(K405=1,AP405&lt;&gt;0),(Inputs!$B$17+Inputs!$B$18+Inputs!$B$19)+(O405+Inputs!$B$18+Inputs!$B$19),0)</f>
        <v>0</v>
      </c>
      <c r="AZ405" s="30" t="n">
        <f aca="false">AP404*M405-AY405</f>
        <v>-0.00190779329484236</v>
      </c>
      <c r="BA405" s="32" t="n">
        <f aca="false">BA404+AI405</f>
        <v>0.000580788245232057</v>
      </c>
      <c r="BB405" s="30" t="n">
        <f aca="false">MAX(BB404,BA405)</f>
        <v>0.00342594553254644</v>
      </c>
      <c r="BC405" s="32" t="n">
        <f aca="false">BA405-BB405</f>
        <v>-0.00284515728731439</v>
      </c>
      <c r="BD405" s="30" t="n">
        <f aca="false">A406-A405</f>
        <v>1</v>
      </c>
    </row>
    <row r="406" customFormat="false" ht="15" hidden="false" customHeight="false" outlineLevel="0" collapsed="false">
      <c r="A406" s="28" t="n">
        <v>45638</v>
      </c>
      <c r="B406" s="0" t="n">
        <v>24647</v>
      </c>
      <c r="C406" s="0" t="n">
        <v>274.24</v>
      </c>
      <c r="D406" s="29" t="n">
        <f aca="false">LN(B406)</f>
        <v>10.1124104682104</v>
      </c>
      <c r="E406" s="29" t="n">
        <f aca="false">LN(C406)</f>
        <v>5.61400363540942</v>
      </c>
      <c r="F406" s="0" t="n">
        <v>401</v>
      </c>
      <c r="G406" s="0" t="n">
        <v>14</v>
      </c>
      <c r="H406" s="29" t="n">
        <f aca="false">D406-E406</f>
        <v>4.49840683280095</v>
      </c>
      <c r="I406" s="29" t="n">
        <f aca="false">D406-D405</f>
        <v>-0.00368533372459012</v>
      </c>
      <c r="J406" s="29" t="n">
        <f aca="false">E406-E405</f>
        <v>-0.00273109795961979</v>
      </c>
      <c r="K406" s="0" t="n">
        <v>0</v>
      </c>
      <c r="L406" s="0" t="n">
        <v>0</v>
      </c>
      <c r="M406" s="29" t="n">
        <f aca="false">IF(L406=1,J406-Carry!$B$9/Inputs!$B$16,I406)</f>
        <v>-0.00368533372459012</v>
      </c>
      <c r="N406" s="0" t="n">
        <v>0.065</v>
      </c>
      <c r="O406" s="0" t="n">
        <v>0.0002</v>
      </c>
      <c r="P406" s="29" t="n">
        <f aca="false">D406-('2 Hedge ratio'!$B$6+'2 Hedge ratio'!$B$5*E406)</f>
        <v>0.00745142995523906</v>
      </c>
      <c r="Q406" s="29" t="n">
        <f aca="false">D406-('5 Re-specification'!$B$7+'5 Re-specification'!$B$5*E406+'5 Re-specification'!$B$6*F406)</f>
        <v>0.00223570654593175</v>
      </c>
      <c r="R406" s="30" t="n">
        <f aca="false">MIN(F406,Inputs!$B$9)</f>
        <v>250</v>
      </c>
      <c r="S406" s="29" t="n">
        <f aca="true">IF(AND(F406&gt;=1,R406&gt;=Inputs!$B$10),INDEX(LINEST(OFFSET(D406,-R406,0,R406,1),OFFSET(E406,-R406,0,R406,2)),1,1),"")</f>
        <v>-5.88020091315808E-005</v>
      </c>
      <c r="T406" s="29" t="n">
        <f aca="true">IF(AND(F406&gt;=1,R406&gt;=Inputs!$B$10),INDEX(LINEST(OFFSET(D406,-R406,0,R406,1),OFFSET(E406,-R406,0,R406,2)),1,2),"")</f>
        <v>0.994159504598987</v>
      </c>
      <c r="U406" s="29" t="n">
        <f aca="true">IF(AND(F406&gt;=1,R406&gt;=Inputs!$B$10),INDEX(LINEST(OFFSET(D406,-R406,0,R406,1),OFFSET(E406,-R406,0,R406,2)),1,3),"")</f>
        <v>4.55064718870864</v>
      </c>
      <c r="V406" s="29" t="n">
        <f aca="true">IF(AND(F406&gt;=1,R406&gt;=Inputs!$B$10),SQRT(SUMPRODUCT((OFFSET(D406,-R406,0,R406,1)-U406-T406*OFFSET(E406,-R406,0,R406,1)-S406*OFFSET(F406,-R406,0,R406,1))^2)/(R406-3)),"")</f>
        <v>0.00332685839313423</v>
      </c>
      <c r="W406" s="31" t="n">
        <f aca="false">IF(AND(F406&gt;=1,R406&gt;=Inputs!$B$10),(D406-U406-T406*E406-S406*F406)/V406,"")</f>
        <v>1.24075379236776</v>
      </c>
      <c r="X406" s="30" t="n">
        <f aca="false">IF(AB405&lt;&gt;0,AC405+1,0)</f>
        <v>9</v>
      </c>
      <c r="Y406" s="30" t="n">
        <f aca="false">IF(W406="",0,IF(AND(AB405&lt;&gt;0,OR(ABS(W406)&gt;Inputs!$B$7,X406&gt;=Inputs!$B$8,ABS(W406)&lt;Inputs!$B$6)),1,0))</f>
        <v>0</v>
      </c>
      <c r="Z406" s="30" t="n">
        <f aca="false">IF(Y406=1,0,AB405)</f>
        <v>-1</v>
      </c>
      <c r="AA406" s="30" t="n">
        <f aca="false">IF(W406="",0,IF(AND(Z406=0,ABS(W406)&gt;Inputs!$B$5,ABS(W406)&lt;=Inputs!$B$7),1,0))</f>
        <v>0</v>
      </c>
      <c r="AB406" s="30" t="n">
        <f aca="false">IF(W406="",0,IF(AA406=1,-SIGN(W406),Z406))</f>
        <v>-1</v>
      </c>
      <c r="AC406" s="30" t="n">
        <f aca="false">IF(W406="",0,IF(AA406=1,0,IF(Y406=1,0,X406)))</f>
        <v>9</v>
      </c>
      <c r="AD406" s="29" t="n">
        <f aca="false">IF(AB406=0,0,IF(AB405=AB406,AD405,T406))</f>
        <v>1.00666852629566</v>
      </c>
      <c r="AE406" s="30" t="n">
        <f aca="false">AB406-AB405</f>
        <v>0</v>
      </c>
      <c r="AF406" s="30" t="n">
        <f aca="false">-AD406*AB406</f>
        <v>1.00666852629566</v>
      </c>
      <c r="AG406" s="30" t="n">
        <f aca="false">AF406-AF405</f>
        <v>0</v>
      </c>
      <c r="AH406" s="30" t="n">
        <f aca="false">MAX(AE406,0)*(Inputs!$B$17+Inputs!$B$18+Inputs!$B$19)+MAX(-AE406,0)*(O406+Inputs!$B$18+Inputs!$B$19)+IF(AND(K406=1,AB406&lt;&gt;0),(Inputs!$B$17+Inputs!$B$18+Inputs!$B$19)+(O406+Inputs!$B$18+Inputs!$B$19),0)+MAX(AG406,0)*(Inputs!$B$20+Inputs!$B$22+Inputs!$B$23)+MAX(-AG406,0)*(Inputs!$B$21+Inputs!$B$22+Inputs!$B$23)</f>
        <v>0</v>
      </c>
      <c r="AI406" s="30" t="n">
        <f aca="false">AB405*(M406-AD405*J406)+AB405*AD405*N406/Inputs!$B$16-AH406</f>
        <v>0.000676366802088298</v>
      </c>
      <c r="AJ406" s="30" t="n">
        <f aca="false">MAX(AE406,0)*(Inputs!$B$17+Inputs!$B$24+Inputs!$B$25)+MAX(-AE406,0)*(O406+Inputs!$B$24+Inputs!$B$25)+IF(AND(K406=1,AB406&lt;&gt;0),(Inputs!$B$17+Inputs!$B$24+Inputs!$B$25)+(O406+Inputs!$B$24+Inputs!$B$25),0)+MAX(AG406,0)*(Inputs!$B$20+Inputs!$B$26+Inputs!$B$27)+MAX(-AG406,0)*(Inputs!$B$21+Inputs!$B$26+Inputs!$B$27)</f>
        <v>0</v>
      </c>
      <c r="AK406" s="30" t="n">
        <f aca="false">AB405*(M406-AD405*J406)+AB405*AD405*(N406+Inputs!$B$14)/Inputs!$B$16-AJ406</f>
        <v>0.000646406429281879</v>
      </c>
      <c r="AL406" s="30" t="n">
        <f aca="false">IF(AP405&lt;&gt;0,AQ405+1,0)</f>
        <v>9</v>
      </c>
      <c r="AM406" s="30" t="n">
        <f aca="false">IF(W406="",0,IF(AND(AP405&lt;&gt;0,OR(ABS(W406)&gt;Inputs!$B$7,AL406&gt;=Inputs!$B$8,ABS(W406)&lt;Inputs!$B$6)),1,0))</f>
        <v>0</v>
      </c>
      <c r="AN406" s="30" t="n">
        <f aca="false">IF(AM406=1,0,AP405)</f>
        <v>-1</v>
      </c>
      <c r="AO406" s="30" t="n">
        <f aca="false">IF(W406="",0,IF(AND(AN406=0,ABS(W406)&gt;Inputs!$B$5,ABS(W406)&lt;=Inputs!$B$7,W406&gt;0),1,0))</f>
        <v>0</v>
      </c>
      <c r="AP406" s="30" t="n">
        <f aca="false">IF(W406="",0,IF(AO406=1,-SIGN(W406),AN406))</f>
        <v>-1</v>
      </c>
      <c r="AQ406" s="30" t="n">
        <f aca="false">IF(W406="",0,IF(AO406=1,0,IF(AM406=1,0,AL406)))</f>
        <v>9</v>
      </c>
      <c r="AR406" s="29" t="n">
        <f aca="false">IF(AP406=0,0,IF(AP405=AP406,AR405,T406))</f>
        <v>1.00666852629566</v>
      </c>
      <c r="AS406" s="30" t="n">
        <f aca="false">AP406-AP405</f>
        <v>0</v>
      </c>
      <c r="AT406" s="30" t="n">
        <f aca="false">-AR406*AP406</f>
        <v>1.00666852629566</v>
      </c>
      <c r="AU406" s="30" t="n">
        <f aca="false">AT406-AT405</f>
        <v>0</v>
      </c>
      <c r="AV406" s="30" t="n">
        <f aca="false">MAX(AS406,0)*(Inputs!$B$17+Inputs!$B$18+Inputs!$B$19)+MAX(-AS406,0)*(O406+Inputs!$B$18+Inputs!$B$19)+IF(AND(K406=1,AP406&lt;&gt;0),(Inputs!$B$17+Inputs!$B$18+Inputs!$B$19)+(O406+Inputs!$B$18+Inputs!$B$19),0)+MAX(AU406,0)*(Inputs!$B$20+Inputs!$B$22+Inputs!$B$23)+MAX(-AU406,0)*(Inputs!$B$21+Inputs!$B$22+Inputs!$B$23)</f>
        <v>0</v>
      </c>
      <c r="AW406" s="30" t="n">
        <f aca="false">AP405*(M406-AR405*J406)+AP405*AR405*N406/Inputs!$B$16-AV406</f>
        <v>0.000676366802088298</v>
      </c>
      <c r="AX406" s="30" t="n">
        <f aca="false">AW406-IF(AP405&lt;&gt;0,0.75*AR405*(Inputs!$B$13-N406)/Inputs!$B$16,0)</f>
        <v>0.000451664006040159</v>
      </c>
      <c r="AY406" s="30" t="n">
        <f aca="false">MAX(AS406,0)*(Inputs!$B$17+Inputs!$B$18+Inputs!$B$19)+MAX(-AS406,0)*(O406+Inputs!$B$18+Inputs!$B$19)+IF(AND(K406=1,AP406&lt;&gt;0),(Inputs!$B$17+Inputs!$B$18+Inputs!$B$19)+(O406+Inputs!$B$18+Inputs!$B$19),0)</f>
        <v>0</v>
      </c>
      <c r="AZ406" s="30" t="n">
        <f aca="false">AP405*M406-AY406</f>
        <v>0.00368533372459012</v>
      </c>
      <c r="BA406" s="32" t="n">
        <f aca="false">BA405+AI406</f>
        <v>0.00125715504732035</v>
      </c>
      <c r="BB406" s="30" t="n">
        <f aca="false">MAX(BB405,BA406)</f>
        <v>0.00342594553254644</v>
      </c>
      <c r="BC406" s="32" t="n">
        <f aca="false">BA406-BB406</f>
        <v>-0.00216879048522609</v>
      </c>
      <c r="BD406" s="30" t="n">
        <f aca="false">A407-A406</f>
        <v>1</v>
      </c>
    </row>
    <row r="407" customFormat="false" ht="15" hidden="false" customHeight="false" outlineLevel="0" collapsed="false">
      <c r="A407" s="28" t="n">
        <v>45639</v>
      </c>
      <c r="B407" s="0" t="n">
        <v>24860</v>
      </c>
      <c r="C407" s="0" t="n">
        <v>276.36</v>
      </c>
      <c r="D407" s="29" t="n">
        <f aca="false">LN(B407)</f>
        <v>10.1210153650647</v>
      </c>
      <c r="E407" s="29" t="n">
        <f aca="false">LN(C407)</f>
        <v>5.62170436362059</v>
      </c>
      <c r="F407" s="0" t="n">
        <v>402</v>
      </c>
      <c r="G407" s="0" t="n">
        <v>13</v>
      </c>
      <c r="H407" s="29" t="n">
        <f aca="false">D407-E407</f>
        <v>4.49931100144411</v>
      </c>
      <c r="I407" s="29" t="n">
        <f aca="false">D407-D406</f>
        <v>0.00860489685433663</v>
      </c>
      <c r="J407" s="29" t="n">
        <f aca="false">E407-E406</f>
        <v>0.00770072821117918</v>
      </c>
      <c r="K407" s="0" t="n">
        <v>0</v>
      </c>
      <c r="L407" s="0" t="n">
        <v>0</v>
      </c>
      <c r="M407" s="29" t="n">
        <f aca="false">IF(L407=1,J407-Carry!$B$9/Inputs!$B$16,I407)</f>
        <v>0.00860489685433663</v>
      </c>
      <c r="N407" s="0" t="n">
        <v>0.065</v>
      </c>
      <c r="O407" s="0" t="n">
        <v>0.0002</v>
      </c>
      <c r="P407" s="29" t="n">
        <f aca="false">D407-('2 Hedge ratio'!$B$6+'2 Hedge ratio'!$B$5*E407)</f>
        <v>0.00900148362962661</v>
      </c>
      <c r="Q407" s="29" t="n">
        <f aca="false">D407-('5 Re-specification'!$B$7+'5 Re-specification'!$B$5*E407+'5 Re-specification'!$B$6*F407)</f>
        <v>0.00320814156419402</v>
      </c>
      <c r="R407" s="30" t="n">
        <f aca="false">MIN(F407,Inputs!$B$9)</f>
        <v>250</v>
      </c>
      <c r="S407" s="29" t="n">
        <f aca="true">IF(AND(F407&gt;=1,R407&gt;=Inputs!$B$10),INDEX(LINEST(OFFSET(D407,-R407,0,R407,1),OFFSET(E407,-R407,0,R407,2)),1,1),"")</f>
        <v>-5.76071881284313E-005</v>
      </c>
      <c r="T407" s="29" t="n">
        <f aca="true">IF(AND(F407&gt;=1,R407&gt;=Inputs!$B$10),INDEX(LINEST(OFFSET(D407,-R407,0,R407,1),OFFSET(E407,-R407,0,R407,2)),1,2),"")</f>
        <v>0.993429736147705</v>
      </c>
      <c r="U407" s="29" t="n">
        <f aca="true">IF(AND(F407&gt;=1,R407&gt;=Inputs!$B$10),INDEX(LINEST(OFFSET(D407,-R407,0,R407,1),OFFSET(E407,-R407,0,R407,2)),1,3),"")</f>
        <v>4.55437867778701</v>
      </c>
      <c r="V407" s="29" t="n">
        <f aca="true">IF(AND(F407&gt;=1,R407&gt;=Inputs!$B$10),SQRT(SUMPRODUCT((OFFSET(D407,-R407,0,R407,1)-U407-T407*OFFSET(E407,-R407,0,R407,1)-S407*OFFSET(F407,-R407,0,R407,1))^2)/(R407-3)),"")</f>
        <v>0.00333333216844839</v>
      </c>
      <c r="W407" s="31" t="n">
        <f aca="false">IF(AND(F407&gt;=1,R407&gt;=Inputs!$B$10),(D407-U407-T407*E407-S407*F407)/V407,"")</f>
        <v>1.50794880296835</v>
      </c>
      <c r="X407" s="30" t="n">
        <f aca="false">IF(AB406&lt;&gt;0,AC406+1,0)</f>
        <v>10</v>
      </c>
      <c r="Y407" s="30" t="n">
        <f aca="false">IF(W407="",0,IF(AND(AB406&lt;&gt;0,OR(ABS(W407)&gt;Inputs!$B$7,X407&gt;=Inputs!$B$8,ABS(W407)&lt;Inputs!$B$6)),1,0))</f>
        <v>1</v>
      </c>
      <c r="Z407" s="30" t="n">
        <f aca="false">IF(Y407=1,0,AB406)</f>
        <v>0</v>
      </c>
      <c r="AA407" s="30" t="n">
        <f aca="false">IF(W407="",0,IF(AND(Z407=0,ABS(W407)&gt;Inputs!$B$5,ABS(W407)&lt;=Inputs!$B$7),1,0))</f>
        <v>0</v>
      </c>
      <c r="AB407" s="30" t="n">
        <f aca="false">IF(W407="",0,IF(AA407=1,-SIGN(W407),Z407))</f>
        <v>0</v>
      </c>
      <c r="AC407" s="30" t="n">
        <f aca="false">IF(W407="",0,IF(AA407=1,0,IF(Y407=1,0,X407)))</f>
        <v>0</v>
      </c>
      <c r="AD407" s="30" t="n">
        <f aca="false">IF(AB407=0,0,IF(AB406=AB407,AD406,T407))</f>
        <v>0</v>
      </c>
      <c r="AE407" s="30" t="n">
        <f aca="false">AB407-AB406</f>
        <v>1</v>
      </c>
      <c r="AF407" s="30" t="n">
        <f aca="false">-AD407*AB407</f>
        <v>-0</v>
      </c>
      <c r="AG407" s="30" t="n">
        <f aca="false">AF407-AF406</f>
        <v>-1.00666852629566</v>
      </c>
      <c r="AH407" s="30" t="n">
        <f aca="false">MAX(AE407,0)*(Inputs!$B$17+Inputs!$B$18+Inputs!$B$19)+MAX(-AE407,0)*(O407+Inputs!$B$18+Inputs!$B$19)+IF(AND(K407=1,AB407&lt;&gt;0),(Inputs!$B$17+Inputs!$B$18+Inputs!$B$19)+(O407+Inputs!$B$18+Inputs!$B$19),0)+MAX(AG407,0)*(Inputs!$B$20+Inputs!$B$22+Inputs!$B$23)+MAX(-AG407,0)*(Inputs!$B$21+Inputs!$B$22+Inputs!$B$23)</f>
        <v>0.000366400390522088</v>
      </c>
      <c r="AI407" s="30" t="n">
        <f aca="false">AB406*(M407-AD406*J407)+AB406*AD406*N407/Inputs!$B$16-AH407</f>
        <v>-0.00147887308942987</v>
      </c>
      <c r="AJ407" s="30" t="n">
        <f aca="false">MAX(AE407,0)*(Inputs!$B$17+Inputs!$B$24+Inputs!$B$25)+MAX(-AE407,0)*(O407+Inputs!$B$24+Inputs!$B$25)+IF(AND(K407=1,AB407&lt;&gt;0),(Inputs!$B$17+Inputs!$B$24+Inputs!$B$25)+(O407+Inputs!$B$24+Inputs!$B$25),0)+MAX(AG407,0)*(Inputs!$B$20+Inputs!$B$26+Inputs!$B$27)+MAX(-AG407,0)*(Inputs!$B$21+Inputs!$B$26+Inputs!$B$27)</f>
        <v>0.000205766880524001</v>
      </c>
      <c r="AK407" s="30" t="n">
        <f aca="false">AB406*(M407-AD406*J407)+AB406*AD406*(N407+Inputs!$B$14)/Inputs!$B$16-AJ407</f>
        <v>-0.0013481999522382</v>
      </c>
      <c r="AL407" s="30" t="n">
        <f aca="false">IF(AP406&lt;&gt;0,AQ406+1,0)</f>
        <v>10</v>
      </c>
      <c r="AM407" s="30" t="n">
        <f aca="false">IF(W407="",0,IF(AND(AP406&lt;&gt;0,OR(ABS(W407)&gt;Inputs!$B$7,AL407&gt;=Inputs!$B$8,ABS(W407)&lt;Inputs!$B$6)),1,0))</f>
        <v>1</v>
      </c>
      <c r="AN407" s="30" t="n">
        <f aca="false">IF(AM407=1,0,AP406)</f>
        <v>0</v>
      </c>
      <c r="AO407" s="30" t="n">
        <f aca="false">IF(W407="",0,IF(AND(AN407=0,ABS(W407)&gt;Inputs!$B$5,ABS(W407)&lt;=Inputs!$B$7,W407&gt;0),1,0))</f>
        <v>0</v>
      </c>
      <c r="AP407" s="30" t="n">
        <f aca="false">IF(W407="",0,IF(AO407=1,-SIGN(W407),AN407))</f>
        <v>0</v>
      </c>
      <c r="AQ407" s="30" t="n">
        <f aca="false">IF(W407="",0,IF(AO407=1,0,IF(AM407=1,0,AL407)))</f>
        <v>0</v>
      </c>
      <c r="AR407" s="30" t="n">
        <f aca="false">IF(AP407=0,0,IF(AP406=AP407,AR406,T407))</f>
        <v>0</v>
      </c>
      <c r="AS407" s="30" t="n">
        <f aca="false">AP407-AP406</f>
        <v>1</v>
      </c>
      <c r="AT407" s="30" t="n">
        <f aca="false">-AR407*AP407</f>
        <v>-0</v>
      </c>
      <c r="AU407" s="30" t="n">
        <f aca="false">AT407-AT406</f>
        <v>-1.00666852629566</v>
      </c>
      <c r="AV407" s="30" t="n">
        <f aca="false">MAX(AS407,0)*(Inputs!$B$17+Inputs!$B$18+Inputs!$B$19)+MAX(-AS407,0)*(O407+Inputs!$B$18+Inputs!$B$19)+IF(AND(K407=1,AP407&lt;&gt;0),(Inputs!$B$17+Inputs!$B$18+Inputs!$B$19)+(O407+Inputs!$B$18+Inputs!$B$19),0)+MAX(AU407,0)*(Inputs!$B$20+Inputs!$B$22+Inputs!$B$23)+MAX(-AU407,0)*(Inputs!$B$21+Inputs!$B$22+Inputs!$B$23)</f>
        <v>0.000366400390522088</v>
      </c>
      <c r="AW407" s="30" t="n">
        <f aca="false">AP406*(M407-AR406*J407)+AP406*AR406*N407/Inputs!$B$16-AV407</f>
        <v>-0.00147887308942987</v>
      </c>
      <c r="AX407" s="30" t="n">
        <f aca="false">AW407-IF(AP406&lt;&gt;0,0.75*AR406*(Inputs!$B$13-N407)/Inputs!$B$16,0)</f>
        <v>-0.001703575885478</v>
      </c>
      <c r="AY407" s="30" t="n">
        <f aca="false">MAX(AS407,0)*(Inputs!$B$17+Inputs!$B$18+Inputs!$B$19)+MAX(-AS407,0)*(O407+Inputs!$B$18+Inputs!$B$19)+IF(AND(K407=1,AP407&lt;&gt;0),(Inputs!$B$17+Inputs!$B$18+Inputs!$B$19)+(O407+Inputs!$B$18+Inputs!$B$19),0)</f>
        <v>0.000155</v>
      </c>
      <c r="AZ407" s="30" t="n">
        <f aca="false">AP406*M407-AY407</f>
        <v>-0.00875989685433663</v>
      </c>
      <c r="BA407" s="32" t="n">
        <f aca="false">BA406+AI407</f>
        <v>-0.000221718042109512</v>
      </c>
      <c r="BB407" s="30" t="n">
        <f aca="false">MAX(BB406,BA407)</f>
        <v>0.00342594553254644</v>
      </c>
      <c r="BC407" s="32" t="n">
        <f aca="false">BA407-BB407</f>
        <v>-0.00364766357465596</v>
      </c>
      <c r="BD407" s="30" t="n">
        <f aca="false">A408-A407</f>
        <v>3</v>
      </c>
    </row>
    <row r="408" customFormat="false" ht="15" hidden="false" customHeight="false" outlineLevel="0" collapsed="false">
      <c r="A408" s="28" t="n">
        <v>45642</v>
      </c>
      <c r="B408" s="0" t="n">
        <v>24720.2</v>
      </c>
      <c r="C408" s="0" t="n">
        <v>275.48</v>
      </c>
      <c r="D408" s="29" t="n">
        <f aca="false">LN(B408)</f>
        <v>10.1153760021538</v>
      </c>
      <c r="E408" s="29" t="n">
        <f aca="false">LN(C408)</f>
        <v>5.6185150306765</v>
      </c>
      <c r="F408" s="0" t="n">
        <v>403</v>
      </c>
      <c r="G408" s="0" t="n">
        <v>10</v>
      </c>
      <c r="H408" s="29" t="n">
        <f aca="false">D408-E408</f>
        <v>4.49686097147729</v>
      </c>
      <c r="I408" s="29" t="n">
        <f aca="false">D408-D407</f>
        <v>-0.00563936291091771</v>
      </c>
      <c r="J408" s="29" t="n">
        <f aca="false">E408-E407</f>
        <v>-0.00318933294409707</v>
      </c>
      <c r="K408" s="0" t="n">
        <v>0</v>
      </c>
      <c r="L408" s="0" t="n">
        <v>0</v>
      </c>
      <c r="M408" s="29" t="n">
        <f aca="false">IF(L408=1,J408-Carry!$B$9/Inputs!$B$16,I408)</f>
        <v>-0.00563936291091771</v>
      </c>
      <c r="N408" s="0" t="n">
        <v>0.065</v>
      </c>
      <c r="O408" s="0" t="n">
        <v>0.0002</v>
      </c>
      <c r="P408" s="29" t="n">
        <f aca="false">D408-('2 Hedge ratio'!$B$6+'2 Hedge ratio'!$B$5*E408)</f>
        <v>0.0062839539729449</v>
      </c>
      <c r="Q408" s="29" t="n">
        <f aca="false">D408-('5 Re-specification'!$B$7+'5 Re-specification'!$B$5*E408+'5 Re-specification'!$B$6*F408)</f>
        <v>0.000793375641917393</v>
      </c>
      <c r="R408" s="30" t="n">
        <f aca="false">MIN(F408,Inputs!$B$9)</f>
        <v>250</v>
      </c>
      <c r="S408" s="29" t="n">
        <f aca="true">IF(AND(F408&gt;=1,R408&gt;=Inputs!$B$10),INDEX(LINEST(OFFSET(D408,-R408,0,R408,1),OFFSET(E408,-R408,0,R408,2)),1,1),"")</f>
        <v>-5.63958769932769E-005</v>
      </c>
      <c r="T408" s="29" t="n">
        <f aca="true">IF(AND(F408&gt;=1,R408&gt;=Inputs!$B$10),INDEX(LINEST(OFFSET(D408,-R408,0,R408,1),OFFSET(E408,-R408,0,R408,2)),1,2),"")</f>
        <v>0.992595729675625</v>
      </c>
      <c r="U408" s="29" t="n">
        <f aca="true">IF(AND(F408&gt;=1,R408&gt;=Inputs!$B$10),INDEX(LINEST(OFFSET(D408,-R408,0,R408,1),OFFSET(E408,-R408,0,R408,2)),1,3),"")</f>
        <v>4.55869387433121</v>
      </c>
      <c r="V408" s="29" t="n">
        <f aca="true">IF(AND(F408&gt;=1,R408&gt;=Inputs!$B$10),SQRT(SUMPRODUCT((OFFSET(D408,-R408,0,R408,1)-U408-T408*OFFSET(E408,-R408,0,R408,1)-S408*OFFSET(F408,-R408,0,R408,1))^2)/(R408-3)),"")</f>
        <v>0.00334780636695576</v>
      </c>
      <c r="W408" s="31" t="n">
        <f aca="false">IF(AND(F408&gt;=1,R408&gt;=Inputs!$B$10),(D408-U408-T408*E408-S408*F408)/V408,"")</f>
        <v>0.745455205441628</v>
      </c>
      <c r="X408" s="30" t="n">
        <f aca="false">IF(AB407&lt;&gt;0,AC407+1,0)</f>
        <v>0</v>
      </c>
      <c r="Y408" s="30" t="n">
        <f aca="false">IF(W408="",0,IF(AND(AB407&lt;&gt;0,OR(ABS(W408)&gt;Inputs!$B$7,X408&gt;=Inputs!$B$8,ABS(W408)&lt;Inputs!$B$6)),1,0))</f>
        <v>0</v>
      </c>
      <c r="Z408" s="30" t="n">
        <f aca="false">IF(Y408=1,0,AB407)</f>
        <v>0</v>
      </c>
      <c r="AA408" s="30" t="n">
        <f aca="false">IF(W408="",0,IF(AND(Z408=0,ABS(W408)&gt;Inputs!$B$5,ABS(W408)&lt;=Inputs!$B$7),1,0))</f>
        <v>0</v>
      </c>
      <c r="AB408" s="30" t="n">
        <f aca="false">IF(W408="",0,IF(AA408=1,-SIGN(W408),Z408))</f>
        <v>0</v>
      </c>
      <c r="AC408" s="30" t="n">
        <f aca="false">IF(W408="",0,IF(AA408=1,0,IF(Y408=1,0,X408)))</f>
        <v>0</v>
      </c>
      <c r="AD408" s="30" t="n">
        <f aca="false">IF(AB408=0,0,IF(AB407=AB408,AD407,T408))</f>
        <v>0</v>
      </c>
      <c r="AE408" s="30" t="n">
        <f aca="false">AB408-AB407</f>
        <v>0</v>
      </c>
      <c r="AF408" s="30" t="n">
        <f aca="false">-AD408*AB408</f>
        <v>-0</v>
      </c>
      <c r="AG408" s="30" t="n">
        <f aca="false">AF408-AF407</f>
        <v>0</v>
      </c>
      <c r="AH408" s="30" t="n">
        <f aca="false">MAX(AE408,0)*(Inputs!$B$17+Inputs!$B$18+Inputs!$B$19)+MAX(-AE408,0)*(O408+Inputs!$B$18+Inputs!$B$19)+IF(AND(K408=1,AB408&lt;&gt;0),(Inputs!$B$17+Inputs!$B$18+Inputs!$B$19)+(O408+Inputs!$B$18+Inputs!$B$19),0)+MAX(AG408,0)*(Inputs!$B$20+Inputs!$B$22+Inputs!$B$23)+MAX(-AG408,0)*(Inputs!$B$21+Inputs!$B$22+Inputs!$B$23)</f>
        <v>0</v>
      </c>
      <c r="AI408" s="30" t="n">
        <f aca="false">AB407*(M408-AD407*J408)+AB407*AD407*N408/Inputs!$B$16-AH408</f>
        <v>0</v>
      </c>
      <c r="AJ408" s="30" t="n">
        <f aca="false">MAX(AE408,0)*(Inputs!$B$17+Inputs!$B$24+Inputs!$B$25)+MAX(-AE408,0)*(O408+Inputs!$B$24+Inputs!$B$25)+IF(AND(K408=1,AB408&lt;&gt;0),(Inputs!$B$17+Inputs!$B$24+Inputs!$B$25)+(O408+Inputs!$B$24+Inputs!$B$25),0)+MAX(AG408,0)*(Inputs!$B$20+Inputs!$B$26+Inputs!$B$27)+MAX(-AG408,0)*(Inputs!$B$21+Inputs!$B$26+Inputs!$B$27)</f>
        <v>0</v>
      </c>
      <c r="AK408" s="30" t="n">
        <f aca="false">AB407*(M408-AD407*J408)+AB407*AD407*(N408+Inputs!$B$14)/Inputs!$B$16-AJ408</f>
        <v>0</v>
      </c>
      <c r="AL408" s="30" t="n">
        <f aca="false">IF(AP407&lt;&gt;0,AQ407+1,0)</f>
        <v>0</v>
      </c>
      <c r="AM408" s="30" t="n">
        <f aca="false">IF(W408="",0,IF(AND(AP407&lt;&gt;0,OR(ABS(W408)&gt;Inputs!$B$7,AL408&gt;=Inputs!$B$8,ABS(W408)&lt;Inputs!$B$6)),1,0))</f>
        <v>0</v>
      </c>
      <c r="AN408" s="30" t="n">
        <f aca="false">IF(AM408=1,0,AP407)</f>
        <v>0</v>
      </c>
      <c r="AO408" s="30" t="n">
        <f aca="false">IF(W408="",0,IF(AND(AN408=0,ABS(W408)&gt;Inputs!$B$5,ABS(W408)&lt;=Inputs!$B$7,W408&gt;0),1,0))</f>
        <v>0</v>
      </c>
      <c r="AP408" s="30" t="n">
        <f aca="false">IF(W408="",0,IF(AO408=1,-SIGN(W408),AN408))</f>
        <v>0</v>
      </c>
      <c r="AQ408" s="30" t="n">
        <f aca="false">IF(W408="",0,IF(AO408=1,0,IF(AM408=1,0,AL408)))</f>
        <v>0</v>
      </c>
      <c r="AR408" s="30" t="n">
        <f aca="false">IF(AP408=0,0,IF(AP407=AP408,AR407,T408))</f>
        <v>0</v>
      </c>
      <c r="AS408" s="30" t="n">
        <f aca="false">AP408-AP407</f>
        <v>0</v>
      </c>
      <c r="AT408" s="30" t="n">
        <f aca="false">-AR408*AP408</f>
        <v>-0</v>
      </c>
      <c r="AU408" s="30" t="n">
        <f aca="false">AT408-AT407</f>
        <v>0</v>
      </c>
      <c r="AV408" s="30" t="n">
        <f aca="false">MAX(AS408,0)*(Inputs!$B$17+Inputs!$B$18+Inputs!$B$19)+MAX(-AS408,0)*(O408+Inputs!$B$18+Inputs!$B$19)+IF(AND(K408=1,AP408&lt;&gt;0),(Inputs!$B$17+Inputs!$B$18+Inputs!$B$19)+(O408+Inputs!$B$18+Inputs!$B$19),0)+MAX(AU408,0)*(Inputs!$B$20+Inputs!$B$22+Inputs!$B$23)+MAX(-AU408,0)*(Inputs!$B$21+Inputs!$B$22+Inputs!$B$23)</f>
        <v>0</v>
      </c>
      <c r="AW408" s="30" t="n">
        <f aca="false">AP407*(M408-AR407*J408)+AP407*AR407*N408/Inputs!$B$16-AV408</f>
        <v>0</v>
      </c>
      <c r="AX408" s="30" t="n">
        <f aca="false">AW408-IF(AP407&lt;&gt;0,0.75*AR407*(Inputs!$B$13-N408)/Inputs!$B$16,0)</f>
        <v>0</v>
      </c>
      <c r="AY408" s="30" t="n">
        <f aca="false">MAX(AS408,0)*(Inputs!$B$17+Inputs!$B$18+Inputs!$B$19)+MAX(-AS408,0)*(O408+Inputs!$B$18+Inputs!$B$19)+IF(AND(K408=1,AP408&lt;&gt;0),(Inputs!$B$17+Inputs!$B$18+Inputs!$B$19)+(O408+Inputs!$B$18+Inputs!$B$19),0)</f>
        <v>0</v>
      </c>
      <c r="AZ408" s="30" t="n">
        <f aca="false">AP407*M408-AY408</f>
        <v>-0</v>
      </c>
      <c r="BA408" s="32" t="n">
        <f aca="false">BA407+AI408</f>
        <v>-0.000221718042109512</v>
      </c>
      <c r="BB408" s="30" t="n">
        <f aca="false">MAX(BB407,BA408)</f>
        <v>0.00342594553254644</v>
      </c>
      <c r="BC408" s="32" t="n">
        <f aca="false">BA408-BB408</f>
        <v>-0.00364766357465596</v>
      </c>
      <c r="BD408" s="30" t="n">
        <f aca="false">A409-A408</f>
        <v>1</v>
      </c>
    </row>
    <row r="409" customFormat="false" ht="15" hidden="false" customHeight="false" outlineLevel="0" collapsed="false">
      <c r="A409" s="28" t="n">
        <v>45643</v>
      </c>
      <c r="B409" s="0" t="n">
        <v>24401.95</v>
      </c>
      <c r="C409" s="0" t="n">
        <v>272.15</v>
      </c>
      <c r="D409" s="29" t="n">
        <f aca="false">LN(B409)</f>
        <v>10.1024183261208</v>
      </c>
      <c r="E409" s="29" t="n">
        <f aca="false">LN(C409)</f>
        <v>5.60635338488021</v>
      </c>
      <c r="F409" s="0" t="n">
        <v>404</v>
      </c>
      <c r="G409" s="0" t="n">
        <v>9</v>
      </c>
      <c r="H409" s="29" t="n">
        <f aca="false">D409-E409</f>
        <v>4.4960649412406</v>
      </c>
      <c r="I409" s="29" t="n">
        <f aca="false">D409-D408</f>
        <v>-0.012957676032979</v>
      </c>
      <c r="J409" s="29" t="n">
        <f aca="false">E409-E408</f>
        <v>-0.0121616457962883</v>
      </c>
      <c r="K409" s="0" t="n">
        <v>0</v>
      </c>
      <c r="L409" s="0" t="n">
        <v>0</v>
      </c>
      <c r="M409" s="29" t="n">
        <f aca="false">IF(L409=1,J409-Carry!$B$9/Inputs!$B$16,I409)</f>
        <v>-0.012957676032979</v>
      </c>
      <c r="N409" s="0" t="n">
        <v>0.065</v>
      </c>
      <c r="O409" s="0" t="n">
        <v>0.0002</v>
      </c>
      <c r="P409" s="29" t="n">
        <f aca="false">D409-('2 Hedge ratio'!$B$6+'2 Hedge ratio'!$B$5*E409)</f>
        <v>0.004467887090426</v>
      </c>
      <c r="Q409" s="29" t="n">
        <f aca="false">D409-('5 Re-specification'!$B$7+'5 Re-specification'!$B$5*E409+'5 Re-specification'!$B$6*F409)</f>
        <v>5.41885547811205E-006</v>
      </c>
      <c r="R409" s="30" t="n">
        <f aca="false">MIN(F409,Inputs!$B$9)</f>
        <v>250</v>
      </c>
      <c r="S409" s="29" t="n">
        <f aca="true">IF(AND(F409&gt;=1,R409&gt;=Inputs!$B$10),INDEX(LINEST(OFFSET(D409,-R409,0,R409,1),OFFSET(E409,-R409,0,R409,2)),1,1),"")</f>
        <v>-5.57739428674915E-005</v>
      </c>
      <c r="T409" s="29" t="n">
        <f aca="true">IF(AND(F409&gt;=1,R409&gt;=Inputs!$B$10),INDEX(LINEST(OFFSET(D409,-R409,0,R409,1),OFFSET(E409,-R409,0,R409,2)),1,2),"")</f>
        <v>0.992125071686567</v>
      </c>
      <c r="U409" s="29" t="n">
        <f aca="true">IF(AND(F409&gt;=1,R409&gt;=Inputs!$B$10),INDEX(LINEST(OFFSET(D409,-R409,0,R409,1),OFFSET(E409,-R409,0,R409,2)),1,3),"")</f>
        <v>4.56114564257426</v>
      </c>
      <c r="V409" s="29" t="n">
        <f aca="true">IF(AND(F409&gt;=1,R409&gt;=Inputs!$B$10),SQRT(SUMPRODUCT((OFFSET(D409,-R409,0,R409,1)-U409-T409*OFFSET(E409,-R409,0,R409,1)-S409*OFFSET(F409,-R409,0,R409,1))^2)/(R409-3)),"")</f>
        <v>0.00335145167508748</v>
      </c>
      <c r="W409" s="31" t="n">
        <f aca="false">IF(AND(F409&gt;=1,R409&gt;=Inputs!$B$10),(D409-U409-T409*E409-S409*F409)/V409,"")</f>
        <v>0.477883241587355</v>
      </c>
      <c r="X409" s="30" t="n">
        <f aca="false">IF(AB408&lt;&gt;0,AC408+1,0)</f>
        <v>0</v>
      </c>
      <c r="Y409" s="30" t="n">
        <f aca="false">IF(W409="",0,IF(AND(AB408&lt;&gt;0,OR(ABS(W409)&gt;Inputs!$B$7,X409&gt;=Inputs!$B$8,ABS(W409)&lt;Inputs!$B$6)),1,0))</f>
        <v>0</v>
      </c>
      <c r="Z409" s="30" t="n">
        <f aca="false">IF(Y409=1,0,AB408)</f>
        <v>0</v>
      </c>
      <c r="AA409" s="30" t="n">
        <f aca="false">IF(W409="",0,IF(AND(Z409=0,ABS(W409)&gt;Inputs!$B$5,ABS(W409)&lt;=Inputs!$B$7),1,0))</f>
        <v>0</v>
      </c>
      <c r="AB409" s="30" t="n">
        <f aca="false">IF(W409="",0,IF(AA409=1,-SIGN(W409),Z409))</f>
        <v>0</v>
      </c>
      <c r="AC409" s="30" t="n">
        <f aca="false">IF(W409="",0,IF(AA409=1,0,IF(Y409=1,0,X409)))</f>
        <v>0</v>
      </c>
      <c r="AD409" s="30" t="n">
        <f aca="false">IF(AB409=0,0,IF(AB408=AB409,AD408,T409))</f>
        <v>0</v>
      </c>
      <c r="AE409" s="30" t="n">
        <f aca="false">AB409-AB408</f>
        <v>0</v>
      </c>
      <c r="AF409" s="30" t="n">
        <f aca="false">-AD409*AB409</f>
        <v>-0</v>
      </c>
      <c r="AG409" s="30" t="n">
        <f aca="false">AF409-AF408</f>
        <v>0</v>
      </c>
      <c r="AH409" s="30" t="n">
        <f aca="false">MAX(AE409,0)*(Inputs!$B$17+Inputs!$B$18+Inputs!$B$19)+MAX(-AE409,0)*(O409+Inputs!$B$18+Inputs!$B$19)+IF(AND(K409=1,AB409&lt;&gt;0),(Inputs!$B$17+Inputs!$B$18+Inputs!$B$19)+(O409+Inputs!$B$18+Inputs!$B$19),0)+MAX(AG409,0)*(Inputs!$B$20+Inputs!$B$22+Inputs!$B$23)+MAX(-AG409,0)*(Inputs!$B$21+Inputs!$B$22+Inputs!$B$23)</f>
        <v>0</v>
      </c>
      <c r="AI409" s="30" t="n">
        <f aca="false">AB408*(M409-AD408*J409)+AB408*AD408*N409/Inputs!$B$16-AH409</f>
        <v>0</v>
      </c>
      <c r="AJ409" s="30" t="n">
        <f aca="false">MAX(AE409,0)*(Inputs!$B$17+Inputs!$B$24+Inputs!$B$25)+MAX(-AE409,0)*(O409+Inputs!$B$24+Inputs!$B$25)+IF(AND(K409=1,AB409&lt;&gt;0),(Inputs!$B$17+Inputs!$B$24+Inputs!$B$25)+(O409+Inputs!$B$24+Inputs!$B$25),0)+MAX(AG409,0)*(Inputs!$B$20+Inputs!$B$26+Inputs!$B$27)+MAX(-AG409,0)*(Inputs!$B$21+Inputs!$B$26+Inputs!$B$27)</f>
        <v>0</v>
      </c>
      <c r="AK409" s="30" t="n">
        <f aca="false">AB408*(M409-AD408*J409)+AB408*AD408*(N409+Inputs!$B$14)/Inputs!$B$16-AJ409</f>
        <v>0</v>
      </c>
      <c r="AL409" s="30" t="n">
        <f aca="false">IF(AP408&lt;&gt;0,AQ408+1,0)</f>
        <v>0</v>
      </c>
      <c r="AM409" s="30" t="n">
        <f aca="false">IF(W409="",0,IF(AND(AP408&lt;&gt;0,OR(ABS(W409)&gt;Inputs!$B$7,AL409&gt;=Inputs!$B$8,ABS(W409)&lt;Inputs!$B$6)),1,0))</f>
        <v>0</v>
      </c>
      <c r="AN409" s="30" t="n">
        <f aca="false">IF(AM409=1,0,AP408)</f>
        <v>0</v>
      </c>
      <c r="AO409" s="30" t="n">
        <f aca="false">IF(W409="",0,IF(AND(AN409=0,ABS(W409)&gt;Inputs!$B$5,ABS(W409)&lt;=Inputs!$B$7,W409&gt;0),1,0))</f>
        <v>0</v>
      </c>
      <c r="AP409" s="30" t="n">
        <f aca="false">IF(W409="",0,IF(AO409=1,-SIGN(W409),AN409))</f>
        <v>0</v>
      </c>
      <c r="AQ409" s="30" t="n">
        <f aca="false">IF(W409="",0,IF(AO409=1,0,IF(AM409=1,0,AL409)))</f>
        <v>0</v>
      </c>
      <c r="AR409" s="30" t="n">
        <f aca="false">IF(AP409=0,0,IF(AP408=AP409,AR408,T409))</f>
        <v>0</v>
      </c>
      <c r="AS409" s="30" t="n">
        <f aca="false">AP409-AP408</f>
        <v>0</v>
      </c>
      <c r="AT409" s="30" t="n">
        <f aca="false">-AR409*AP409</f>
        <v>-0</v>
      </c>
      <c r="AU409" s="30" t="n">
        <f aca="false">AT409-AT408</f>
        <v>0</v>
      </c>
      <c r="AV409" s="30" t="n">
        <f aca="false">MAX(AS409,0)*(Inputs!$B$17+Inputs!$B$18+Inputs!$B$19)+MAX(-AS409,0)*(O409+Inputs!$B$18+Inputs!$B$19)+IF(AND(K409=1,AP409&lt;&gt;0),(Inputs!$B$17+Inputs!$B$18+Inputs!$B$19)+(O409+Inputs!$B$18+Inputs!$B$19),0)+MAX(AU409,0)*(Inputs!$B$20+Inputs!$B$22+Inputs!$B$23)+MAX(-AU409,0)*(Inputs!$B$21+Inputs!$B$22+Inputs!$B$23)</f>
        <v>0</v>
      </c>
      <c r="AW409" s="30" t="n">
        <f aca="false">AP408*(M409-AR408*J409)+AP408*AR408*N409/Inputs!$B$16-AV409</f>
        <v>0</v>
      </c>
      <c r="AX409" s="30" t="n">
        <f aca="false">AW409-IF(AP408&lt;&gt;0,0.75*AR408*(Inputs!$B$13-N409)/Inputs!$B$16,0)</f>
        <v>0</v>
      </c>
      <c r="AY409" s="30" t="n">
        <f aca="false">MAX(AS409,0)*(Inputs!$B$17+Inputs!$B$18+Inputs!$B$19)+MAX(-AS409,0)*(O409+Inputs!$B$18+Inputs!$B$19)+IF(AND(K409=1,AP409&lt;&gt;0),(Inputs!$B$17+Inputs!$B$18+Inputs!$B$19)+(O409+Inputs!$B$18+Inputs!$B$19),0)</f>
        <v>0</v>
      </c>
      <c r="AZ409" s="30" t="n">
        <f aca="false">AP408*M409-AY409</f>
        <v>-0</v>
      </c>
      <c r="BA409" s="32" t="n">
        <f aca="false">BA408+AI409</f>
        <v>-0.000221718042109512</v>
      </c>
      <c r="BB409" s="30" t="n">
        <f aca="false">MAX(BB408,BA409)</f>
        <v>0.00342594553254644</v>
      </c>
      <c r="BC409" s="32" t="n">
        <f aca="false">BA409-BB409</f>
        <v>-0.00364766357465596</v>
      </c>
      <c r="BD409" s="30" t="n">
        <f aca="false">A410-A409</f>
        <v>1</v>
      </c>
    </row>
    <row r="410" customFormat="false" ht="15" hidden="false" customHeight="false" outlineLevel="0" collapsed="false">
      <c r="A410" s="28" t="n">
        <v>45644</v>
      </c>
      <c r="B410" s="0" t="n">
        <v>24269.9</v>
      </c>
      <c r="C410" s="0" t="n">
        <v>270.83</v>
      </c>
      <c r="D410" s="29" t="n">
        <f aca="false">LN(B410)</f>
        <v>10.096992178399</v>
      </c>
      <c r="E410" s="29" t="n">
        <f aca="false">LN(C410)</f>
        <v>5.60149131776774</v>
      </c>
      <c r="F410" s="0" t="n">
        <v>405</v>
      </c>
      <c r="G410" s="0" t="n">
        <v>8</v>
      </c>
      <c r="H410" s="29" t="n">
        <f aca="false">D410-E410</f>
        <v>4.49550086063128</v>
      </c>
      <c r="I410" s="29" t="n">
        <f aca="false">D410-D409</f>
        <v>-0.00542614772179029</v>
      </c>
      <c r="J410" s="29" t="n">
        <f aca="false">E410-E409</f>
        <v>-0.00486206711247394</v>
      </c>
      <c r="K410" s="0" t="n">
        <v>0</v>
      </c>
      <c r="L410" s="0" t="n">
        <v>0</v>
      </c>
      <c r="M410" s="29" t="n">
        <f aca="false">IF(L410=1,J410-Carry!$B$9/Inputs!$B$16,I410)</f>
        <v>-0.00542614772179029</v>
      </c>
      <c r="N410" s="0" t="n">
        <v>0.065</v>
      </c>
      <c r="O410" s="0" t="n">
        <v>0.0002</v>
      </c>
      <c r="P410" s="29" t="n">
        <f aca="false">D410-('2 Hedge ratio'!$B$6+'2 Hedge ratio'!$B$5*E410)</f>
        <v>0.00349600915562753</v>
      </c>
      <c r="Q410" s="29" t="n">
        <f aca="false">D410-('5 Re-specification'!$B$7+'5 Re-specification'!$B$5*E410+'5 Re-specification'!$B$6*F410)</f>
        <v>-0.000528466930227012</v>
      </c>
      <c r="R410" s="30" t="n">
        <f aca="false">MIN(F410,Inputs!$B$9)</f>
        <v>250</v>
      </c>
      <c r="S410" s="29" t="n">
        <f aca="true">IF(AND(F410&gt;=1,R410&gt;=Inputs!$B$10),INDEX(LINEST(OFFSET(D410,-R410,0,R410,1),OFFSET(E410,-R410,0,R410,2)),1,1),"")</f>
        <v>-5.528507139554E-005</v>
      </c>
      <c r="T410" s="29" t="n">
        <f aca="true">IF(AND(F410&gt;=1,R410&gt;=Inputs!$B$10),INDEX(LINEST(OFFSET(D410,-R410,0,R410,1),OFFSET(E410,-R410,0,R410,2)),1,2),"")</f>
        <v>0.991831831881621</v>
      </c>
      <c r="U410" s="29" t="n">
        <f aca="true">IF(AND(F410&gt;=1,R410&gt;=Inputs!$B$10),INDEX(LINEST(OFFSET(D410,-R410,0,R410,1),OFFSET(E410,-R410,0,R410,2)),1,3),"")</f>
        <v>4.5626407526079</v>
      </c>
      <c r="V410" s="29" t="n">
        <f aca="true">IF(AND(F410&gt;=1,R410&gt;=Inputs!$B$10),SQRT(SUMPRODUCT((OFFSET(D410,-R410,0,R410,1)-U410-T410*OFFSET(E410,-R410,0,R410,1)-S410*OFFSET(F410,-R410,0,R410,1))^2)/(R410-3)),"")</f>
        <v>0.00335212042525922</v>
      </c>
      <c r="W410" s="31" t="n">
        <f aca="false">IF(AND(F410&gt;=1,R410&gt;=Inputs!$B$10),(D410-U410-T410*E410-S410*F410)/V410,"")</f>
        <v>0.299656518356406</v>
      </c>
      <c r="X410" s="30" t="n">
        <f aca="false">IF(AB409&lt;&gt;0,AC409+1,0)</f>
        <v>0</v>
      </c>
      <c r="Y410" s="30" t="n">
        <f aca="false">IF(W410="",0,IF(AND(AB409&lt;&gt;0,OR(ABS(W410)&gt;Inputs!$B$7,X410&gt;=Inputs!$B$8,ABS(W410)&lt;Inputs!$B$6)),1,0))</f>
        <v>0</v>
      </c>
      <c r="Z410" s="30" t="n">
        <f aca="false">IF(Y410=1,0,AB409)</f>
        <v>0</v>
      </c>
      <c r="AA410" s="30" t="n">
        <f aca="false">IF(W410="",0,IF(AND(Z410=0,ABS(W410)&gt;Inputs!$B$5,ABS(W410)&lt;=Inputs!$B$7),1,0))</f>
        <v>0</v>
      </c>
      <c r="AB410" s="30" t="n">
        <f aca="false">IF(W410="",0,IF(AA410=1,-SIGN(W410),Z410))</f>
        <v>0</v>
      </c>
      <c r="AC410" s="30" t="n">
        <f aca="false">IF(W410="",0,IF(AA410=1,0,IF(Y410=1,0,X410)))</f>
        <v>0</v>
      </c>
      <c r="AD410" s="30" t="n">
        <f aca="false">IF(AB410=0,0,IF(AB409=AB410,AD409,T410))</f>
        <v>0</v>
      </c>
      <c r="AE410" s="30" t="n">
        <f aca="false">AB410-AB409</f>
        <v>0</v>
      </c>
      <c r="AF410" s="30" t="n">
        <f aca="false">-AD410*AB410</f>
        <v>-0</v>
      </c>
      <c r="AG410" s="30" t="n">
        <f aca="false">AF410-AF409</f>
        <v>0</v>
      </c>
      <c r="AH410" s="30" t="n">
        <f aca="false">MAX(AE410,0)*(Inputs!$B$17+Inputs!$B$18+Inputs!$B$19)+MAX(-AE410,0)*(O410+Inputs!$B$18+Inputs!$B$19)+IF(AND(K410=1,AB410&lt;&gt;0),(Inputs!$B$17+Inputs!$B$18+Inputs!$B$19)+(O410+Inputs!$B$18+Inputs!$B$19),0)+MAX(AG410,0)*(Inputs!$B$20+Inputs!$B$22+Inputs!$B$23)+MAX(-AG410,0)*(Inputs!$B$21+Inputs!$B$22+Inputs!$B$23)</f>
        <v>0</v>
      </c>
      <c r="AI410" s="30" t="n">
        <f aca="false">AB409*(M410-AD409*J410)+AB409*AD409*N410/Inputs!$B$16-AH410</f>
        <v>0</v>
      </c>
      <c r="AJ410" s="30" t="n">
        <f aca="false">MAX(AE410,0)*(Inputs!$B$17+Inputs!$B$24+Inputs!$B$25)+MAX(-AE410,0)*(O410+Inputs!$B$24+Inputs!$B$25)+IF(AND(K410=1,AB410&lt;&gt;0),(Inputs!$B$17+Inputs!$B$24+Inputs!$B$25)+(O410+Inputs!$B$24+Inputs!$B$25),0)+MAX(AG410,0)*(Inputs!$B$20+Inputs!$B$26+Inputs!$B$27)+MAX(-AG410,0)*(Inputs!$B$21+Inputs!$B$26+Inputs!$B$27)</f>
        <v>0</v>
      </c>
      <c r="AK410" s="30" t="n">
        <f aca="false">AB409*(M410-AD409*J410)+AB409*AD409*(N410+Inputs!$B$14)/Inputs!$B$16-AJ410</f>
        <v>0</v>
      </c>
      <c r="AL410" s="30" t="n">
        <f aca="false">IF(AP409&lt;&gt;0,AQ409+1,0)</f>
        <v>0</v>
      </c>
      <c r="AM410" s="30" t="n">
        <f aca="false">IF(W410="",0,IF(AND(AP409&lt;&gt;0,OR(ABS(W410)&gt;Inputs!$B$7,AL410&gt;=Inputs!$B$8,ABS(W410)&lt;Inputs!$B$6)),1,0))</f>
        <v>0</v>
      </c>
      <c r="AN410" s="30" t="n">
        <f aca="false">IF(AM410=1,0,AP409)</f>
        <v>0</v>
      </c>
      <c r="AO410" s="30" t="n">
        <f aca="false">IF(W410="",0,IF(AND(AN410=0,ABS(W410)&gt;Inputs!$B$5,ABS(W410)&lt;=Inputs!$B$7,W410&gt;0),1,0))</f>
        <v>0</v>
      </c>
      <c r="AP410" s="30" t="n">
        <f aca="false">IF(W410="",0,IF(AO410=1,-SIGN(W410),AN410))</f>
        <v>0</v>
      </c>
      <c r="AQ410" s="30" t="n">
        <f aca="false">IF(W410="",0,IF(AO410=1,0,IF(AM410=1,0,AL410)))</f>
        <v>0</v>
      </c>
      <c r="AR410" s="30" t="n">
        <f aca="false">IF(AP410=0,0,IF(AP409=AP410,AR409,T410))</f>
        <v>0</v>
      </c>
      <c r="AS410" s="30" t="n">
        <f aca="false">AP410-AP409</f>
        <v>0</v>
      </c>
      <c r="AT410" s="30" t="n">
        <f aca="false">-AR410*AP410</f>
        <v>-0</v>
      </c>
      <c r="AU410" s="30" t="n">
        <f aca="false">AT410-AT409</f>
        <v>0</v>
      </c>
      <c r="AV410" s="30" t="n">
        <f aca="false">MAX(AS410,0)*(Inputs!$B$17+Inputs!$B$18+Inputs!$B$19)+MAX(-AS410,0)*(O410+Inputs!$B$18+Inputs!$B$19)+IF(AND(K410=1,AP410&lt;&gt;0),(Inputs!$B$17+Inputs!$B$18+Inputs!$B$19)+(O410+Inputs!$B$18+Inputs!$B$19),0)+MAX(AU410,0)*(Inputs!$B$20+Inputs!$B$22+Inputs!$B$23)+MAX(-AU410,0)*(Inputs!$B$21+Inputs!$B$22+Inputs!$B$23)</f>
        <v>0</v>
      </c>
      <c r="AW410" s="30" t="n">
        <f aca="false">AP409*(M410-AR409*J410)+AP409*AR409*N410/Inputs!$B$16-AV410</f>
        <v>0</v>
      </c>
      <c r="AX410" s="30" t="n">
        <f aca="false">AW410-IF(AP409&lt;&gt;0,0.75*AR409*(Inputs!$B$13-N410)/Inputs!$B$16,0)</f>
        <v>0</v>
      </c>
      <c r="AY410" s="30" t="n">
        <f aca="false">MAX(AS410,0)*(Inputs!$B$17+Inputs!$B$18+Inputs!$B$19)+MAX(-AS410,0)*(O410+Inputs!$B$18+Inputs!$B$19)+IF(AND(K410=1,AP410&lt;&gt;0),(Inputs!$B$17+Inputs!$B$18+Inputs!$B$19)+(O410+Inputs!$B$18+Inputs!$B$19),0)</f>
        <v>0</v>
      </c>
      <c r="AZ410" s="30" t="n">
        <f aca="false">AP409*M410-AY410</f>
        <v>-0</v>
      </c>
      <c r="BA410" s="32" t="n">
        <f aca="false">BA409+AI410</f>
        <v>-0.000221718042109512</v>
      </c>
      <c r="BB410" s="30" t="n">
        <f aca="false">MAX(BB409,BA410)</f>
        <v>0.00342594553254644</v>
      </c>
      <c r="BC410" s="32" t="n">
        <f aca="false">BA410-BB410</f>
        <v>-0.00364766357465596</v>
      </c>
      <c r="BD410" s="30" t="n">
        <f aca="false">A411-A410</f>
        <v>1</v>
      </c>
    </row>
    <row r="411" customFormat="false" ht="15" hidden="false" customHeight="false" outlineLevel="0" collapsed="false">
      <c r="A411" s="28" t="n">
        <v>45645</v>
      </c>
      <c r="B411" s="0" t="n">
        <v>24021.5</v>
      </c>
      <c r="C411" s="0" t="n">
        <v>268.5</v>
      </c>
      <c r="D411" s="29" t="n">
        <f aca="false">LN(B411)</f>
        <v>10.0867045416442</v>
      </c>
      <c r="E411" s="29" t="n">
        <f aca="false">LN(C411)</f>
        <v>5.59285091394892</v>
      </c>
      <c r="F411" s="0" t="n">
        <v>406</v>
      </c>
      <c r="G411" s="0" t="n">
        <v>7</v>
      </c>
      <c r="H411" s="29" t="n">
        <f aca="false">D411-E411</f>
        <v>4.4938536276953</v>
      </c>
      <c r="I411" s="29" t="n">
        <f aca="false">D411-D410</f>
        <v>-0.0102876367547999</v>
      </c>
      <c r="J411" s="29" t="n">
        <f aca="false">E411-E410</f>
        <v>-0.00864040381881548</v>
      </c>
      <c r="K411" s="0" t="n">
        <v>0</v>
      </c>
      <c r="L411" s="0" t="n">
        <v>0</v>
      </c>
      <c r="M411" s="29" t="n">
        <f aca="false">IF(L411=1,J411-Carry!$B$9/Inputs!$B$16,I411)</f>
        <v>-0.0102876367547999</v>
      </c>
      <c r="N411" s="0" t="n">
        <v>0.065</v>
      </c>
      <c r="O411" s="0" t="n">
        <v>0.0002</v>
      </c>
      <c r="P411" s="29" t="n">
        <f aca="false">D411-('2 Hedge ratio'!$B$6+'2 Hedge ratio'!$B$5*E411)</f>
        <v>0.00112407754994059</v>
      </c>
      <c r="Q411" s="29" t="n">
        <f aca="false">D411-('5 Re-specification'!$B$7+'5 Re-specification'!$B$5*E411+'5 Re-specification'!$B$6*F411)</f>
        <v>-0.00215695529207416</v>
      </c>
      <c r="R411" s="30" t="n">
        <f aca="false">MIN(F411,Inputs!$B$9)</f>
        <v>250</v>
      </c>
      <c r="S411" s="29" t="n">
        <f aca="true">IF(AND(F411&gt;=1,R411&gt;=Inputs!$B$10),INDEX(LINEST(OFFSET(D411,-R411,0,R411,1),OFFSET(E411,-R411,0,R411,2)),1,1),"")</f>
        <v>-5.47335896106451E-005</v>
      </c>
      <c r="T411" s="29" t="n">
        <f aca="true">IF(AND(F411&gt;=1,R411&gt;=Inputs!$B$10),INDEX(LINEST(OFFSET(D411,-R411,0,R411,1),OFFSET(E411,-R411,0,R411,2)),1,2),"")</f>
        <v>0.991732557372143</v>
      </c>
      <c r="U411" s="29" t="n">
        <f aca="true">IF(AND(F411&gt;=1,R411&gt;=Inputs!$B$10),INDEX(LINEST(OFFSET(D411,-R411,0,R411,1),OFFSET(E411,-R411,0,R411,2)),1,3),"")</f>
        <v>4.56302617997624</v>
      </c>
      <c r="V411" s="29" t="n">
        <f aca="true">IF(AND(F411&gt;=1,R411&gt;=Inputs!$B$10),SQRT(SUMPRODUCT((OFFSET(D411,-R411,0,R411,1)-U411-T411*OFFSET(E411,-R411,0,R411,1)-S411*OFFSET(F411,-R411,0,R411,1))^2)/(R411-3)),"")</f>
        <v>0.00334311762593078</v>
      </c>
      <c r="W411" s="31" t="n">
        <f aca="false">IF(AND(F411&gt;=1,R411&gt;=Inputs!$B$10),(D411-U411-T411*E411-S411*F411)/V411,"")</f>
        <v>-0.213016986380907</v>
      </c>
      <c r="X411" s="30" t="n">
        <f aca="false">IF(AB410&lt;&gt;0,AC410+1,0)</f>
        <v>0</v>
      </c>
      <c r="Y411" s="30" t="n">
        <f aca="false">IF(W411="",0,IF(AND(AB410&lt;&gt;0,OR(ABS(W411)&gt;Inputs!$B$7,X411&gt;=Inputs!$B$8,ABS(W411)&lt;Inputs!$B$6)),1,0))</f>
        <v>0</v>
      </c>
      <c r="Z411" s="30" t="n">
        <f aca="false">IF(Y411=1,0,AB410)</f>
        <v>0</v>
      </c>
      <c r="AA411" s="30" t="n">
        <f aca="false">IF(W411="",0,IF(AND(Z411=0,ABS(W411)&gt;Inputs!$B$5,ABS(W411)&lt;=Inputs!$B$7),1,0))</f>
        <v>0</v>
      </c>
      <c r="AB411" s="30" t="n">
        <f aca="false">IF(W411="",0,IF(AA411=1,-SIGN(W411),Z411))</f>
        <v>0</v>
      </c>
      <c r="AC411" s="30" t="n">
        <f aca="false">IF(W411="",0,IF(AA411=1,0,IF(Y411=1,0,X411)))</f>
        <v>0</v>
      </c>
      <c r="AD411" s="30" t="n">
        <f aca="false">IF(AB411=0,0,IF(AB410=AB411,AD410,T411))</f>
        <v>0</v>
      </c>
      <c r="AE411" s="30" t="n">
        <f aca="false">AB411-AB410</f>
        <v>0</v>
      </c>
      <c r="AF411" s="30" t="n">
        <f aca="false">-AD411*AB411</f>
        <v>-0</v>
      </c>
      <c r="AG411" s="30" t="n">
        <f aca="false">AF411-AF410</f>
        <v>0</v>
      </c>
      <c r="AH411" s="30" t="n">
        <f aca="false">MAX(AE411,0)*(Inputs!$B$17+Inputs!$B$18+Inputs!$B$19)+MAX(-AE411,0)*(O411+Inputs!$B$18+Inputs!$B$19)+IF(AND(K411=1,AB411&lt;&gt;0),(Inputs!$B$17+Inputs!$B$18+Inputs!$B$19)+(O411+Inputs!$B$18+Inputs!$B$19),0)+MAX(AG411,0)*(Inputs!$B$20+Inputs!$B$22+Inputs!$B$23)+MAX(-AG411,0)*(Inputs!$B$21+Inputs!$B$22+Inputs!$B$23)</f>
        <v>0</v>
      </c>
      <c r="AI411" s="30" t="n">
        <f aca="false">AB410*(M411-AD410*J411)+AB410*AD410*N411/Inputs!$B$16-AH411</f>
        <v>0</v>
      </c>
      <c r="AJ411" s="30" t="n">
        <f aca="false">MAX(AE411,0)*(Inputs!$B$17+Inputs!$B$24+Inputs!$B$25)+MAX(-AE411,0)*(O411+Inputs!$B$24+Inputs!$B$25)+IF(AND(K411=1,AB411&lt;&gt;0),(Inputs!$B$17+Inputs!$B$24+Inputs!$B$25)+(O411+Inputs!$B$24+Inputs!$B$25),0)+MAX(AG411,0)*(Inputs!$B$20+Inputs!$B$26+Inputs!$B$27)+MAX(-AG411,0)*(Inputs!$B$21+Inputs!$B$26+Inputs!$B$27)</f>
        <v>0</v>
      </c>
      <c r="AK411" s="30" t="n">
        <f aca="false">AB410*(M411-AD410*J411)+AB410*AD410*(N411+Inputs!$B$14)/Inputs!$B$16-AJ411</f>
        <v>0</v>
      </c>
      <c r="AL411" s="30" t="n">
        <f aca="false">IF(AP410&lt;&gt;0,AQ410+1,0)</f>
        <v>0</v>
      </c>
      <c r="AM411" s="30" t="n">
        <f aca="false">IF(W411="",0,IF(AND(AP410&lt;&gt;0,OR(ABS(W411)&gt;Inputs!$B$7,AL411&gt;=Inputs!$B$8,ABS(W411)&lt;Inputs!$B$6)),1,0))</f>
        <v>0</v>
      </c>
      <c r="AN411" s="30" t="n">
        <f aca="false">IF(AM411=1,0,AP410)</f>
        <v>0</v>
      </c>
      <c r="AO411" s="30" t="n">
        <f aca="false">IF(W411="",0,IF(AND(AN411=0,ABS(W411)&gt;Inputs!$B$5,ABS(W411)&lt;=Inputs!$B$7,W411&gt;0),1,0))</f>
        <v>0</v>
      </c>
      <c r="AP411" s="30" t="n">
        <f aca="false">IF(W411="",0,IF(AO411=1,-SIGN(W411),AN411))</f>
        <v>0</v>
      </c>
      <c r="AQ411" s="30" t="n">
        <f aca="false">IF(W411="",0,IF(AO411=1,0,IF(AM411=1,0,AL411)))</f>
        <v>0</v>
      </c>
      <c r="AR411" s="30" t="n">
        <f aca="false">IF(AP411=0,0,IF(AP410=AP411,AR410,T411))</f>
        <v>0</v>
      </c>
      <c r="AS411" s="30" t="n">
        <f aca="false">AP411-AP410</f>
        <v>0</v>
      </c>
      <c r="AT411" s="30" t="n">
        <f aca="false">-AR411*AP411</f>
        <v>-0</v>
      </c>
      <c r="AU411" s="30" t="n">
        <f aca="false">AT411-AT410</f>
        <v>0</v>
      </c>
      <c r="AV411" s="30" t="n">
        <f aca="false">MAX(AS411,0)*(Inputs!$B$17+Inputs!$B$18+Inputs!$B$19)+MAX(-AS411,0)*(O411+Inputs!$B$18+Inputs!$B$19)+IF(AND(K411=1,AP411&lt;&gt;0),(Inputs!$B$17+Inputs!$B$18+Inputs!$B$19)+(O411+Inputs!$B$18+Inputs!$B$19),0)+MAX(AU411,0)*(Inputs!$B$20+Inputs!$B$22+Inputs!$B$23)+MAX(-AU411,0)*(Inputs!$B$21+Inputs!$B$22+Inputs!$B$23)</f>
        <v>0</v>
      </c>
      <c r="AW411" s="30" t="n">
        <f aca="false">AP410*(M411-AR410*J411)+AP410*AR410*N411/Inputs!$B$16-AV411</f>
        <v>0</v>
      </c>
      <c r="AX411" s="30" t="n">
        <f aca="false">AW411-IF(AP410&lt;&gt;0,0.75*AR410*(Inputs!$B$13-N411)/Inputs!$B$16,0)</f>
        <v>0</v>
      </c>
      <c r="AY411" s="30" t="n">
        <f aca="false">MAX(AS411,0)*(Inputs!$B$17+Inputs!$B$18+Inputs!$B$19)+MAX(-AS411,0)*(O411+Inputs!$B$18+Inputs!$B$19)+IF(AND(K411=1,AP411&lt;&gt;0),(Inputs!$B$17+Inputs!$B$18+Inputs!$B$19)+(O411+Inputs!$B$18+Inputs!$B$19),0)</f>
        <v>0</v>
      </c>
      <c r="AZ411" s="30" t="n">
        <f aca="false">AP410*M411-AY411</f>
        <v>-0</v>
      </c>
      <c r="BA411" s="32" t="n">
        <f aca="false">BA410+AI411</f>
        <v>-0.000221718042109512</v>
      </c>
      <c r="BB411" s="30" t="n">
        <f aca="false">MAX(BB410,BA411)</f>
        <v>0.00342594553254644</v>
      </c>
      <c r="BC411" s="32" t="n">
        <f aca="false">BA411-BB411</f>
        <v>-0.00364766357465596</v>
      </c>
      <c r="BD411" s="30" t="n">
        <f aca="false">A412-A411</f>
        <v>1</v>
      </c>
    </row>
    <row r="412" customFormat="false" ht="15" hidden="false" customHeight="false" outlineLevel="0" collapsed="false">
      <c r="A412" s="28" t="n">
        <v>45646</v>
      </c>
      <c r="B412" s="0" t="n">
        <v>23642.3</v>
      </c>
      <c r="C412" s="0" t="n">
        <v>265.95</v>
      </c>
      <c r="D412" s="29" t="n">
        <f aca="false">LN(B412)</f>
        <v>10.0707927595116</v>
      </c>
      <c r="E412" s="29" t="n">
        <f aca="false">LN(C412)</f>
        <v>5.58330832118833</v>
      </c>
      <c r="F412" s="0" t="n">
        <v>407</v>
      </c>
      <c r="G412" s="0" t="n">
        <v>6</v>
      </c>
      <c r="H412" s="29" t="n">
        <f aca="false">D412-E412</f>
        <v>4.48748443832328</v>
      </c>
      <c r="I412" s="29" t="n">
        <f aca="false">D412-D411</f>
        <v>-0.0159117821326138</v>
      </c>
      <c r="J412" s="29" t="n">
        <f aca="false">E412-E411</f>
        <v>-0.00954259276059322</v>
      </c>
      <c r="K412" s="0" t="n">
        <v>0</v>
      </c>
      <c r="L412" s="0" t="n">
        <v>0</v>
      </c>
      <c r="M412" s="29" t="n">
        <f aca="false">IF(L412=1,J412-Carry!$B$9/Inputs!$B$16,I412)</f>
        <v>-0.0159117821326138</v>
      </c>
      <c r="N412" s="0" t="n">
        <v>0.065</v>
      </c>
      <c r="O412" s="0" t="n">
        <v>0.0002</v>
      </c>
      <c r="P412" s="29" t="n">
        <f aca="false">D412-('2 Hedge ratio'!$B$6+'2 Hedge ratio'!$B$5*E412)</f>
        <v>-0.00604548000210059</v>
      </c>
      <c r="Q412" s="29" t="n">
        <f aca="false">D412-('5 Re-specification'!$B$7+'5 Re-specification'!$B$5*E412+'5 Re-specification'!$B$6*F412)</f>
        <v>-0.0085101341735605</v>
      </c>
      <c r="R412" s="30" t="n">
        <f aca="false">MIN(F412,Inputs!$B$9)</f>
        <v>250</v>
      </c>
      <c r="S412" s="29" t="n">
        <f aca="true">IF(AND(F412&gt;=1,R412&gt;=Inputs!$B$10),INDEX(LINEST(OFFSET(D412,-R412,0,R412,1),OFFSET(E412,-R412,0,R412,2)),1,1),"")</f>
        <v>-5.45938647676406E-005</v>
      </c>
      <c r="T412" s="29" t="n">
        <f aca="true">IF(AND(F412&gt;=1,R412&gt;=Inputs!$B$10),INDEX(LINEST(OFFSET(D412,-R412,0,R412,1),OFFSET(E412,-R412,0,R412,2)),1,2),"")</f>
        <v>0.991966298668678</v>
      </c>
      <c r="U412" s="29" t="n">
        <f aca="true">IF(AND(F412&gt;=1,R412&gt;=Inputs!$B$10),INDEX(LINEST(OFFSET(D412,-R412,0,R412,1),OFFSET(E412,-R412,0,R412,2)),1,3),"")</f>
        <v>4.56166856563179</v>
      </c>
      <c r="V412" s="29" t="n">
        <f aca="true">IF(AND(F412&gt;=1,R412&gt;=Inputs!$B$10),SQRT(SUMPRODUCT((OFFSET(D412,-R412,0,R412,1)-U412-T412*OFFSET(E412,-R412,0,R412,1)-S412*OFFSET(F412,-R412,0,R412,1))^2)/(R412-3)),"")</f>
        <v>0.00333369107475892</v>
      </c>
      <c r="W412" s="31" t="n">
        <f aca="false">IF(AND(F412&gt;=1,R412&gt;=Inputs!$B$10),(D412-U412-T412*E412-S412*F412)/V412,"")</f>
        <v>-2.13270896898755</v>
      </c>
      <c r="X412" s="30" t="n">
        <f aca="false">IF(AB411&lt;&gt;0,AC411+1,0)</f>
        <v>0</v>
      </c>
      <c r="Y412" s="30" t="n">
        <f aca="false">IF(W412="",0,IF(AND(AB411&lt;&gt;0,OR(ABS(W412)&gt;Inputs!$B$7,X412&gt;=Inputs!$B$8,ABS(W412)&lt;Inputs!$B$6)),1,0))</f>
        <v>0</v>
      </c>
      <c r="Z412" s="30" t="n">
        <f aca="false">IF(Y412=1,0,AB411)</f>
        <v>0</v>
      </c>
      <c r="AA412" s="30" t="n">
        <f aca="false">IF(W412="",0,IF(AND(Z412=0,ABS(W412)&gt;Inputs!$B$5,ABS(W412)&lt;=Inputs!$B$7),1,0))</f>
        <v>1</v>
      </c>
      <c r="AB412" s="30" t="n">
        <f aca="false">IF(W412="",0,IF(AA412=1,-SIGN(W412),Z412))</f>
        <v>1</v>
      </c>
      <c r="AC412" s="30" t="n">
        <f aca="false">IF(W412="",0,IF(AA412=1,0,IF(Y412=1,0,X412)))</f>
        <v>0</v>
      </c>
      <c r="AD412" s="29" t="n">
        <f aca="false">IF(AB412=0,0,IF(AB411=AB412,AD411,T412))</f>
        <v>0.991966298668678</v>
      </c>
      <c r="AE412" s="30" t="n">
        <f aca="false">AB412-AB411</f>
        <v>1</v>
      </c>
      <c r="AF412" s="30" t="n">
        <f aca="false">-AD412*AB412</f>
        <v>-0.991966298668678</v>
      </c>
      <c r="AG412" s="30" t="n">
        <f aca="false">AF412-AF411</f>
        <v>-0.991966298668678</v>
      </c>
      <c r="AH412" s="30" t="n">
        <f aca="false">MAX(AE412,0)*(Inputs!$B$17+Inputs!$B$18+Inputs!$B$19)+MAX(-AE412,0)*(O412+Inputs!$B$18+Inputs!$B$19)+IF(AND(K412=1,AB412&lt;&gt;0),(Inputs!$B$17+Inputs!$B$18+Inputs!$B$19)+(O412+Inputs!$B$18+Inputs!$B$19),0)+MAX(AG412,0)*(Inputs!$B$20+Inputs!$B$22+Inputs!$B$23)+MAX(-AG412,0)*(Inputs!$B$21+Inputs!$B$22+Inputs!$B$23)</f>
        <v>0.000363312922720422</v>
      </c>
      <c r="AI412" s="30" t="n">
        <f aca="false">AB411*(M412-AD411*J412)+AB411*AD411*N412/Inputs!$B$16-AH412</f>
        <v>-0.000363312922720422</v>
      </c>
      <c r="AJ412" s="30" t="n">
        <f aca="false">MAX(AE412,0)*(Inputs!$B$17+Inputs!$B$24+Inputs!$B$25)+MAX(-AE412,0)*(O412+Inputs!$B$24+Inputs!$B$25)+IF(AND(K412=1,AB412&lt;&gt;0),(Inputs!$B$17+Inputs!$B$24+Inputs!$B$25)+(O412+Inputs!$B$24+Inputs!$B$25),0)+MAX(AG412,0)*(Inputs!$B$20+Inputs!$B$26+Inputs!$B$27)+MAX(-AG412,0)*(Inputs!$B$21+Inputs!$B$26+Inputs!$B$27)</f>
        <v>0.000204076124346898</v>
      </c>
      <c r="AK412" s="30" t="n">
        <f aca="false">AB411*(M412-AD411*J412)+AB411*AD411*(N412+Inputs!$B$14)/Inputs!$B$16-AJ412</f>
        <v>-0.000204076124346898</v>
      </c>
      <c r="AL412" s="30" t="n">
        <f aca="false">IF(AP411&lt;&gt;0,AQ411+1,0)</f>
        <v>0</v>
      </c>
      <c r="AM412" s="30" t="n">
        <f aca="false">IF(W412="",0,IF(AND(AP411&lt;&gt;0,OR(ABS(W412)&gt;Inputs!$B$7,AL412&gt;=Inputs!$B$8,ABS(W412)&lt;Inputs!$B$6)),1,0))</f>
        <v>0</v>
      </c>
      <c r="AN412" s="30" t="n">
        <f aca="false">IF(AM412=1,0,AP411)</f>
        <v>0</v>
      </c>
      <c r="AO412" s="30" t="n">
        <f aca="false">IF(W412="",0,IF(AND(AN412=0,ABS(W412)&gt;Inputs!$B$5,ABS(W412)&lt;=Inputs!$B$7,W412&gt;0),1,0))</f>
        <v>0</v>
      </c>
      <c r="AP412" s="30" t="n">
        <f aca="false">IF(W412="",0,IF(AO412=1,-SIGN(W412),AN412))</f>
        <v>0</v>
      </c>
      <c r="AQ412" s="30" t="n">
        <f aca="false">IF(W412="",0,IF(AO412=1,0,IF(AM412=1,0,AL412)))</f>
        <v>0</v>
      </c>
      <c r="AR412" s="30" t="n">
        <f aca="false">IF(AP412=0,0,IF(AP411=AP412,AR411,T412))</f>
        <v>0</v>
      </c>
      <c r="AS412" s="30" t="n">
        <f aca="false">AP412-AP411</f>
        <v>0</v>
      </c>
      <c r="AT412" s="30" t="n">
        <f aca="false">-AR412*AP412</f>
        <v>-0</v>
      </c>
      <c r="AU412" s="30" t="n">
        <f aca="false">AT412-AT411</f>
        <v>0</v>
      </c>
      <c r="AV412" s="30" t="n">
        <f aca="false">MAX(AS412,0)*(Inputs!$B$17+Inputs!$B$18+Inputs!$B$19)+MAX(-AS412,0)*(O412+Inputs!$B$18+Inputs!$B$19)+IF(AND(K412=1,AP412&lt;&gt;0),(Inputs!$B$17+Inputs!$B$18+Inputs!$B$19)+(O412+Inputs!$B$18+Inputs!$B$19),0)+MAX(AU412,0)*(Inputs!$B$20+Inputs!$B$22+Inputs!$B$23)+MAX(-AU412,0)*(Inputs!$B$21+Inputs!$B$22+Inputs!$B$23)</f>
        <v>0</v>
      </c>
      <c r="AW412" s="30" t="n">
        <f aca="false">AP411*(M412-AR411*J412)+AP411*AR411*N412/Inputs!$B$16-AV412</f>
        <v>0</v>
      </c>
      <c r="AX412" s="30" t="n">
        <f aca="false">AW412-IF(AP411&lt;&gt;0,0.75*AR411*(Inputs!$B$13-N412)/Inputs!$B$16,0)</f>
        <v>0</v>
      </c>
      <c r="AY412" s="30" t="n">
        <f aca="false">MAX(AS412,0)*(Inputs!$B$17+Inputs!$B$18+Inputs!$B$19)+MAX(-AS412,0)*(O412+Inputs!$B$18+Inputs!$B$19)+IF(AND(K412=1,AP412&lt;&gt;0),(Inputs!$B$17+Inputs!$B$18+Inputs!$B$19)+(O412+Inputs!$B$18+Inputs!$B$19),0)</f>
        <v>0</v>
      </c>
      <c r="AZ412" s="30" t="n">
        <f aca="false">AP411*M412-AY412</f>
        <v>-0</v>
      </c>
      <c r="BA412" s="32" t="n">
        <f aca="false">BA411+AI412</f>
        <v>-0.000585030964829935</v>
      </c>
      <c r="BB412" s="30" t="n">
        <f aca="false">MAX(BB411,BA412)</f>
        <v>0.00342594553254644</v>
      </c>
      <c r="BC412" s="32" t="n">
        <f aca="false">BA412-BB412</f>
        <v>-0.00401097649737638</v>
      </c>
      <c r="BD412" s="30" t="n">
        <f aca="false">A413-A412</f>
        <v>3</v>
      </c>
    </row>
    <row r="413" customFormat="false" ht="15" hidden="false" customHeight="false" outlineLevel="0" collapsed="false">
      <c r="A413" s="28" t="n">
        <v>45649</v>
      </c>
      <c r="B413" s="0" t="n">
        <v>23768</v>
      </c>
      <c r="C413" s="0" t="n">
        <v>265.95</v>
      </c>
      <c r="D413" s="29" t="n">
        <f aca="false">LN(B413)</f>
        <v>10.0760954171424</v>
      </c>
      <c r="E413" s="29" t="n">
        <f aca="false">LN(C413)</f>
        <v>5.58330832118833</v>
      </c>
      <c r="F413" s="0" t="n">
        <v>408</v>
      </c>
      <c r="G413" s="0" t="n">
        <v>3</v>
      </c>
      <c r="H413" s="29" t="n">
        <f aca="false">D413-E413</f>
        <v>4.49278709595412</v>
      </c>
      <c r="I413" s="29" t="n">
        <f aca="false">D413-D412</f>
        <v>0.00530265763084259</v>
      </c>
      <c r="J413" s="29" t="n">
        <f aca="false">E413-E412</f>
        <v>0</v>
      </c>
      <c r="K413" s="0" t="n">
        <v>0</v>
      </c>
      <c r="L413" s="0" t="n">
        <v>0</v>
      </c>
      <c r="M413" s="29" t="n">
        <f aca="false">IF(L413=1,J413-Carry!$B$9/Inputs!$B$16,I413)</f>
        <v>0.00530265763084259</v>
      </c>
      <c r="N413" s="0" t="n">
        <v>0.065</v>
      </c>
      <c r="O413" s="0" t="n">
        <v>0.0002</v>
      </c>
      <c r="P413" s="29" t="n">
        <f aca="false">D413-('2 Hedge ratio'!$B$6+'2 Hedge ratio'!$B$5*E413)</f>
        <v>-0.000742822371258001</v>
      </c>
      <c r="Q413" s="29" t="n">
        <f aca="false">D413-('5 Re-specification'!$B$7+'5 Re-specification'!$B$5*E413+'5 Re-specification'!$B$6*F413)</f>
        <v>-0.00316254722462084</v>
      </c>
      <c r="R413" s="30" t="n">
        <f aca="false">MIN(F413,Inputs!$B$9)</f>
        <v>250</v>
      </c>
      <c r="S413" s="29" t="n">
        <f aca="true">IF(AND(F413&gt;=1,R413&gt;=Inputs!$B$10),INDEX(LINEST(OFFSET(D413,-R413,0,R413,1),OFFSET(E413,-R413,0,R413,2)),1,1),"")</f>
        <v>-5.7327128439606E-005</v>
      </c>
      <c r="T413" s="29" t="n">
        <f aca="true">IF(AND(F413&gt;=1,R413&gt;=Inputs!$B$10),INDEX(LINEST(OFFSET(D413,-R413,0,R413,1),OFFSET(E413,-R413,0,R413,2)),1,2),"")</f>
        <v>0.99455019028276</v>
      </c>
      <c r="U413" s="29" t="n">
        <f aca="true">IF(AND(F413&gt;=1,R413&gt;=Inputs!$B$10),INDEX(LINEST(OFFSET(D413,-R413,0,R413,1),OFFSET(E413,-R413,0,R413,2)),1,3),"")</f>
        <v>4.54805089518663</v>
      </c>
      <c r="V413" s="29" t="n">
        <f aca="true">IF(AND(F413&gt;=1,R413&gt;=Inputs!$B$10),SQRT(SUMPRODUCT((OFFSET(D413,-R413,0,R413,1)-U413-T413*OFFSET(E413,-R413,0,R413,1)-S413*OFFSET(F413,-R413,0,R413,1))^2)/(R413-3)),"")</f>
        <v>0.00336179748765114</v>
      </c>
      <c r="W413" s="31" t="n">
        <f aca="false">IF(AND(F413&gt;=1,R413&gt;=Inputs!$B$10),(D413-U413-T413*E413-S413*F413)/V413,"")</f>
        <v>-0.430234983312696</v>
      </c>
      <c r="X413" s="30" t="n">
        <f aca="false">IF(AB412&lt;&gt;0,AC412+1,0)</f>
        <v>1</v>
      </c>
      <c r="Y413" s="30" t="n">
        <f aca="false">IF(W413="",0,IF(AND(AB412&lt;&gt;0,OR(ABS(W413)&gt;Inputs!$B$7,X413&gt;=Inputs!$B$8,ABS(W413)&lt;Inputs!$B$6)),1,0))</f>
        <v>1</v>
      </c>
      <c r="Z413" s="30" t="n">
        <f aca="false">IF(Y413=1,0,AB412)</f>
        <v>0</v>
      </c>
      <c r="AA413" s="30" t="n">
        <f aca="false">IF(W413="",0,IF(AND(Z413=0,ABS(W413)&gt;Inputs!$B$5,ABS(W413)&lt;=Inputs!$B$7),1,0))</f>
        <v>0</v>
      </c>
      <c r="AB413" s="30" t="n">
        <f aca="false">IF(W413="",0,IF(AA413=1,-SIGN(W413),Z413))</f>
        <v>0</v>
      </c>
      <c r="AC413" s="30" t="n">
        <f aca="false">IF(W413="",0,IF(AA413=1,0,IF(Y413=1,0,X413)))</f>
        <v>0</v>
      </c>
      <c r="AD413" s="30" t="n">
        <f aca="false">IF(AB413=0,0,IF(AB412=AB413,AD412,T413))</f>
        <v>0</v>
      </c>
      <c r="AE413" s="30" t="n">
        <f aca="false">AB413-AB412</f>
        <v>-1</v>
      </c>
      <c r="AF413" s="30" t="n">
        <f aca="false">-AD413*AB413</f>
        <v>-0</v>
      </c>
      <c r="AG413" s="30" t="n">
        <f aca="false">AF413-AF412</f>
        <v>0.991966298668678</v>
      </c>
      <c r="AH413" s="30" t="n">
        <f aca="false">MAX(AE413,0)*(Inputs!$B$17+Inputs!$B$18+Inputs!$B$19)+MAX(-AE413,0)*(O413+Inputs!$B$18+Inputs!$B$19)+IF(AND(K413=1,AB413&lt;&gt;0),(Inputs!$B$17+Inputs!$B$18+Inputs!$B$19)+(O413+Inputs!$B$18+Inputs!$B$19),0)+MAX(AG413,0)*(Inputs!$B$20+Inputs!$B$22+Inputs!$B$23)+MAX(-AG413,0)*(Inputs!$B$21+Inputs!$B$22+Inputs!$B$23)</f>
        <v>0.000682188204534037</v>
      </c>
      <c r="AI413" s="30" t="n">
        <f aca="false">AB412*(M413-AD412*J413)+AB412*AD412*N413/Inputs!$B$16-AH413</f>
        <v>0.00487633374937785</v>
      </c>
      <c r="AJ413" s="30" t="n">
        <f aca="false">MAX(AE413,0)*(Inputs!$B$17+Inputs!$B$24+Inputs!$B$25)+MAX(-AE413,0)*(O413+Inputs!$B$24+Inputs!$B$25)+IF(AND(K413=1,AB413&lt;&gt;0),(Inputs!$B$17+Inputs!$B$24+Inputs!$B$25)+(O413+Inputs!$B$24+Inputs!$B$25),0)+MAX(AG413,0)*(Inputs!$B$20+Inputs!$B$26+Inputs!$B$27)+MAX(-AG413,0)*(Inputs!$B$21+Inputs!$B$26+Inputs!$B$27)</f>
        <v>0.000522951406160513</v>
      </c>
      <c r="AK413" s="30" t="n">
        <f aca="false">AB412*(M413-AD412*J413)+AB412*AD412*(N413+Inputs!$B$14)/Inputs!$B$16-AJ413</f>
        <v>0.00506509335425937</v>
      </c>
      <c r="AL413" s="30" t="n">
        <f aca="false">IF(AP412&lt;&gt;0,AQ412+1,0)</f>
        <v>0</v>
      </c>
      <c r="AM413" s="30" t="n">
        <f aca="false">IF(W413="",0,IF(AND(AP412&lt;&gt;0,OR(ABS(W413)&gt;Inputs!$B$7,AL413&gt;=Inputs!$B$8,ABS(W413)&lt;Inputs!$B$6)),1,0))</f>
        <v>0</v>
      </c>
      <c r="AN413" s="30" t="n">
        <f aca="false">IF(AM413=1,0,AP412)</f>
        <v>0</v>
      </c>
      <c r="AO413" s="30" t="n">
        <f aca="false">IF(W413="",0,IF(AND(AN413=0,ABS(W413)&gt;Inputs!$B$5,ABS(W413)&lt;=Inputs!$B$7,W413&gt;0),1,0))</f>
        <v>0</v>
      </c>
      <c r="AP413" s="30" t="n">
        <f aca="false">IF(W413="",0,IF(AO413=1,-SIGN(W413),AN413))</f>
        <v>0</v>
      </c>
      <c r="AQ413" s="30" t="n">
        <f aca="false">IF(W413="",0,IF(AO413=1,0,IF(AM413=1,0,AL413)))</f>
        <v>0</v>
      </c>
      <c r="AR413" s="30" t="n">
        <f aca="false">IF(AP413=0,0,IF(AP412=AP413,AR412,T413))</f>
        <v>0</v>
      </c>
      <c r="AS413" s="30" t="n">
        <f aca="false">AP413-AP412</f>
        <v>0</v>
      </c>
      <c r="AT413" s="30" t="n">
        <f aca="false">-AR413*AP413</f>
        <v>-0</v>
      </c>
      <c r="AU413" s="30" t="n">
        <f aca="false">AT413-AT412</f>
        <v>0</v>
      </c>
      <c r="AV413" s="30" t="n">
        <f aca="false">MAX(AS413,0)*(Inputs!$B$17+Inputs!$B$18+Inputs!$B$19)+MAX(-AS413,0)*(O413+Inputs!$B$18+Inputs!$B$19)+IF(AND(K413=1,AP413&lt;&gt;0),(Inputs!$B$17+Inputs!$B$18+Inputs!$B$19)+(O413+Inputs!$B$18+Inputs!$B$19),0)+MAX(AU413,0)*(Inputs!$B$20+Inputs!$B$22+Inputs!$B$23)+MAX(-AU413,0)*(Inputs!$B$21+Inputs!$B$22+Inputs!$B$23)</f>
        <v>0</v>
      </c>
      <c r="AW413" s="30" t="n">
        <f aca="false">AP412*(M413-AR412*J413)+AP412*AR412*N413/Inputs!$B$16-AV413</f>
        <v>0</v>
      </c>
      <c r="AX413" s="30" t="n">
        <f aca="false">AW413-IF(AP412&lt;&gt;0,0.75*AR412*(Inputs!$B$13-N413)/Inputs!$B$16,0)</f>
        <v>0</v>
      </c>
      <c r="AY413" s="30" t="n">
        <f aca="false">MAX(AS413,0)*(Inputs!$B$17+Inputs!$B$18+Inputs!$B$19)+MAX(-AS413,0)*(O413+Inputs!$B$18+Inputs!$B$19)+IF(AND(K413=1,AP413&lt;&gt;0),(Inputs!$B$17+Inputs!$B$18+Inputs!$B$19)+(O413+Inputs!$B$18+Inputs!$B$19),0)</f>
        <v>0</v>
      </c>
      <c r="AZ413" s="30" t="n">
        <f aca="false">AP412*M413-AY413</f>
        <v>0</v>
      </c>
      <c r="BA413" s="32" t="n">
        <f aca="false">BA412+AI413</f>
        <v>0.00429130278454792</v>
      </c>
      <c r="BB413" s="30" t="n">
        <f aca="false">MAX(BB412,BA413)</f>
        <v>0.00429130278454792</v>
      </c>
      <c r="BC413" s="32" t="n">
        <f aca="false">BA413-BB413</f>
        <v>0</v>
      </c>
      <c r="BD413" s="30" t="n">
        <f aca="false">A414-A413</f>
        <v>1</v>
      </c>
    </row>
    <row r="414" customFormat="false" ht="15" hidden="false" customHeight="false" outlineLevel="0" collapsed="false">
      <c r="A414" s="28" t="n">
        <v>45650</v>
      </c>
      <c r="B414" s="0" t="n">
        <v>23772.1</v>
      </c>
      <c r="C414" s="0" t="n">
        <v>265.69</v>
      </c>
      <c r="D414" s="29" t="n">
        <f aca="false">LN(B414)</f>
        <v>10.0762679031074</v>
      </c>
      <c r="E414" s="29" t="n">
        <f aca="false">LN(C414)</f>
        <v>5.58233021562543</v>
      </c>
      <c r="F414" s="0" t="n">
        <v>409</v>
      </c>
      <c r="G414" s="0" t="n">
        <v>2</v>
      </c>
      <c r="H414" s="29" t="n">
        <f aca="false">D414-E414</f>
        <v>4.49393768748192</v>
      </c>
      <c r="I414" s="29" t="n">
        <f aca="false">D414-D413</f>
        <v>0.000172485964908375</v>
      </c>
      <c r="J414" s="29" t="n">
        <f aca="false">E414-E413</f>
        <v>-0.000978105562893461</v>
      </c>
      <c r="K414" s="0" t="n">
        <v>0</v>
      </c>
      <c r="L414" s="0" t="n">
        <v>0</v>
      </c>
      <c r="M414" s="29" t="n">
        <f aca="false">IF(L414=1,J414-Carry!$B$9/Inputs!$B$16,I414)</f>
        <v>0.000172485964908375</v>
      </c>
      <c r="N414" s="0" t="n">
        <v>0.065</v>
      </c>
      <c r="O414" s="0" t="n">
        <v>0.0002</v>
      </c>
      <c r="P414" s="29" t="n">
        <f aca="false">D414-('2 Hedge ratio'!$B$6+'2 Hedge ratio'!$B$5*E414)</f>
        <v>0.000325732273186219</v>
      </c>
      <c r="Q414" s="29" t="n">
        <f aca="false">D414-('5 Re-specification'!$B$7+'5 Re-specification'!$B$5*E414+'5 Re-specification'!$B$6*F414)</f>
        <v>-0.00196999052765001</v>
      </c>
      <c r="R414" s="30" t="n">
        <f aca="false">MIN(F414,Inputs!$B$9)</f>
        <v>250</v>
      </c>
      <c r="S414" s="29" t="n">
        <f aca="true">IF(AND(F414&gt;=1,R414&gt;=Inputs!$B$10),INDEX(LINEST(OFFSET(D414,-R414,0,R414,1),OFFSET(E414,-R414,0,R414,2)),1,1),"")</f>
        <v>-5.77680417650593E-005</v>
      </c>
      <c r="T414" s="29" t="n">
        <f aca="true">IF(AND(F414&gt;=1,R414&gt;=Inputs!$B$10),INDEX(LINEST(OFFSET(D414,-R414,0,R414,1),OFFSET(E414,-R414,0,R414,2)),1,2),"")</f>
        <v>0.995063998664374</v>
      </c>
      <c r="U414" s="29" t="n">
        <f aca="true">IF(AND(F414&gt;=1,R414&gt;=Inputs!$B$10),INDEX(LINEST(OFFSET(D414,-R414,0,R414,1),OFFSET(E414,-R414,0,R414,2)),1,3),"")</f>
        <v>4.54530985806847</v>
      </c>
      <c r="V414" s="29" t="n">
        <f aca="true">IF(AND(F414&gt;=1,R414&gt;=Inputs!$B$10),SQRT(SUMPRODUCT((OFFSET(D414,-R414,0,R414,1)-U414-T414*OFFSET(E414,-R414,0,R414,1)-S414*OFFSET(F414,-R414,0,R414,1))^2)/(R414-3)),"")</f>
        <v>0.00336263159442635</v>
      </c>
      <c r="W414" s="31" t="n">
        <f aca="false">IF(AND(F414&gt;=1,R414&gt;=Inputs!$B$10),(D414-U414-T414*E414-S414*F414)/V414,"")</f>
        <v>-0.056697291706074</v>
      </c>
      <c r="X414" s="30" t="n">
        <f aca="false">IF(AB413&lt;&gt;0,AC413+1,0)</f>
        <v>0</v>
      </c>
      <c r="Y414" s="30" t="n">
        <f aca="false">IF(W414="",0,IF(AND(AB413&lt;&gt;0,OR(ABS(W414)&gt;Inputs!$B$7,X414&gt;=Inputs!$B$8,ABS(W414)&lt;Inputs!$B$6)),1,0))</f>
        <v>0</v>
      </c>
      <c r="Z414" s="30" t="n">
        <f aca="false">IF(Y414=1,0,AB413)</f>
        <v>0</v>
      </c>
      <c r="AA414" s="30" t="n">
        <f aca="false">IF(W414="",0,IF(AND(Z414=0,ABS(W414)&gt;Inputs!$B$5,ABS(W414)&lt;=Inputs!$B$7),1,0))</f>
        <v>0</v>
      </c>
      <c r="AB414" s="30" t="n">
        <f aca="false">IF(W414="",0,IF(AA414=1,-SIGN(W414),Z414))</f>
        <v>0</v>
      </c>
      <c r="AC414" s="30" t="n">
        <f aca="false">IF(W414="",0,IF(AA414=1,0,IF(Y414=1,0,X414)))</f>
        <v>0</v>
      </c>
      <c r="AD414" s="30" t="n">
        <f aca="false">IF(AB414=0,0,IF(AB413=AB414,AD413,T414))</f>
        <v>0</v>
      </c>
      <c r="AE414" s="30" t="n">
        <f aca="false">AB414-AB413</f>
        <v>0</v>
      </c>
      <c r="AF414" s="30" t="n">
        <f aca="false">-AD414*AB414</f>
        <v>-0</v>
      </c>
      <c r="AG414" s="30" t="n">
        <f aca="false">AF414-AF413</f>
        <v>0</v>
      </c>
      <c r="AH414" s="30" t="n">
        <f aca="false">MAX(AE414,0)*(Inputs!$B$17+Inputs!$B$18+Inputs!$B$19)+MAX(-AE414,0)*(O414+Inputs!$B$18+Inputs!$B$19)+IF(AND(K414=1,AB414&lt;&gt;0),(Inputs!$B$17+Inputs!$B$18+Inputs!$B$19)+(O414+Inputs!$B$18+Inputs!$B$19),0)+MAX(AG414,0)*(Inputs!$B$20+Inputs!$B$22+Inputs!$B$23)+MAX(-AG414,0)*(Inputs!$B$21+Inputs!$B$22+Inputs!$B$23)</f>
        <v>0</v>
      </c>
      <c r="AI414" s="30" t="n">
        <f aca="false">AB413*(M414-AD413*J414)+AB413*AD413*N414/Inputs!$B$16-AH414</f>
        <v>0</v>
      </c>
      <c r="AJ414" s="30" t="n">
        <f aca="false">MAX(AE414,0)*(Inputs!$B$17+Inputs!$B$24+Inputs!$B$25)+MAX(-AE414,0)*(O414+Inputs!$B$24+Inputs!$B$25)+IF(AND(K414=1,AB414&lt;&gt;0),(Inputs!$B$17+Inputs!$B$24+Inputs!$B$25)+(O414+Inputs!$B$24+Inputs!$B$25),0)+MAX(AG414,0)*(Inputs!$B$20+Inputs!$B$26+Inputs!$B$27)+MAX(-AG414,0)*(Inputs!$B$21+Inputs!$B$26+Inputs!$B$27)</f>
        <v>0</v>
      </c>
      <c r="AK414" s="30" t="n">
        <f aca="false">AB413*(M414-AD413*J414)+AB413*AD413*(N414+Inputs!$B$14)/Inputs!$B$16-AJ414</f>
        <v>0</v>
      </c>
      <c r="AL414" s="30" t="n">
        <f aca="false">IF(AP413&lt;&gt;0,AQ413+1,0)</f>
        <v>0</v>
      </c>
      <c r="AM414" s="30" t="n">
        <f aca="false">IF(W414="",0,IF(AND(AP413&lt;&gt;0,OR(ABS(W414)&gt;Inputs!$B$7,AL414&gt;=Inputs!$B$8,ABS(W414)&lt;Inputs!$B$6)),1,0))</f>
        <v>0</v>
      </c>
      <c r="AN414" s="30" t="n">
        <f aca="false">IF(AM414=1,0,AP413)</f>
        <v>0</v>
      </c>
      <c r="AO414" s="30" t="n">
        <f aca="false">IF(W414="",0,IF(AND(AN414=0,ABS(W414)&gt;Inputs!$B$5,ABS(W414)&lt;=Inputs!$B$7,W414&gt;0),1,0))</f>
        <v>0</v>
      </c>
      <c r="AP414" s="30" t="n">
        <f aca="false">IF(W414="",0,IF(AO414=1,-SIGN(W414),AN414))</f>
        <v>0</v>
      </c>
      <c r="AQ414" s="30" t="n">
        <f aca="false">IF(W414="",0,IF(AO414=1,0,IF(AM414=1,0,AL414)))</f>
        <v>0</v>
      </c>
      <c r="AR414" s="30" t="n">
        <f aca="false">IF(AP414=0,0,IF(AP413=AP414,AR413,T414))</f>
        <v>0</v>
      </c>
      <c r="AS414" s="30" t="n">
        <f aca="false">AP414-AP413</f>
        <v>0</v>
      </c>
      <c r="AT414" s="30" t="n">
        <f aca="false">-AR414*AP414</f>
        <v>-0</v>
      </c>
      <c r="AU414" s="30" t="n">
        <f aca="false">AT414-AT413</f>
        <v>0</v>
      </c>
      <c r="AV414" s="30" t="n">
        <f aca="false">MAX(AS414,0)*(Inputs!$B$17+Inputs!$B$18+Inputs!$B$19)+MAX(-AS414,0)*(O414+Inputs!$B$18+Inputs!$B$19)+IF(AND(K414=1,AP414&lt;&gt;0),(Inputs!$B$17+Inputs!$B$18+Inputs!$B$19)+(O414+Inputs!$B$18+Inputs!$B$19),0)+MAX(AU414,0)*(Inputs!$B$20+Inputs!$B$22+Inputs!$B$23)+MAX(-AU414,0)*(Inputs!$B$21+Inputs!$B$22+Inputs!$B$23)</f>
        <v>0</v>
      </c>
      <c r="AW414" s="30" t="n">
        <f aca="false">AP413*(M414-AR413*J414)+AP413*AR413*N414/Inputs!$B$16-AV414</f>
        <v>0</v>
      </c>
      <c r="AX414" s="30" t="n">
        <f aca="false">AW414-IF(AP413&lt;&gt;0,0.75*AR413*(Inputs!$B$13-N414)/Inputs!$B$16,0)</f>
        <v>0</v>
      </c>
      <c r="AY414" s="30" t="n">
        <f aca="false">MAX(AS414,0)*(Inputs!$B$17+Inputs!$B$18+Inputs!$B$19)+MAX(-AS414,0)*(O414+Inputs!$B$18+Inputs!$B$19)+IF(AND(K414=1,AP414&lt;&gt;0),(Inputs!$B$17+Inputs!$B$18+Inputs!$B$19)+(O414+Inputs!$B$18+Inputs!$B$19),0)</f>
        <v>0</v>
      </c>
      <c r="AZ414" s="30" t="n">
        <f aca="false">AP413*M414-AY414</f>
        <v>0</v>
      </c>
      <c r="BA414" s="32" t="n">
        <f aca="false">BA413+AI414</f>
        <v>0.00429130278454792</v>
      </c>
      <c r="BB414" s="30" t="n">
        <f aca="false">MAX(BB413,BA414)</f>
        <v>0.00429130278454792</v>
      </c>
      <c r="BC414" s="32" t="n">
        <f aca="false">BA414-BB414</f>
        <v>0</v>
      </c>
      <c r="BD414" s="30" t="n">
        <f aca="false">A415-A414</f>
        <v>2</v>
      </c>
    </row>
    <row r="415" customFormat="false" ht="15" hidden="false" customHeight="false" outlineLevel="0" collapsed="false">
      <c r="A415" s="28" t="n">
        <v>45652</v>
      </c>
      <c r="B415" s="0" t="n">
        <v>23748.75</v>
      </c>
      <c r="C415" s="0" t="n">
        <v>265.82</v>
      </c>
      <c r="D415" s="29" t="n">
        <f aca="false">LN(B415)</f>
        <v>10.0752851764987</v>
      </c>
      <c r="E415" s="29" t="n">
        <f aca="false">LN(C415)</f>
        <v>5.58281938799319</v>
      </c>
      <c r="F415" s="0" t="n">
        <v>410</v>
      </c>
      <c r="G415" s="0" t="n">
        <v>0</v>
      </c>
      <c r="H415" s="29" t="n">
        <f aca="false">D415-E415</f>
        <v>4.49246578850556</v>
      </c>
      <c r="I415" s="29" t="n">
        <f aca="false">D415-D414</f>
        <v>-0.000982726608603102</v>
      </c>
      <c r="J415" s="29" t="n">
        <f aca="false">E415-E414</f>
        <v>0.00048917236775381</v>
      </c>
      <c r="K415" s="0" t="n">
        <v>1</v>
      </c>
      <c r="L415" s="0" t="n">
        <v>0</v>
      </c>
      <c r="M415" s="29" t="n">
        <f aca="false">IF(L415=1,J415-Carry!$B$9/Inputs!$B$16,I415)</f>
        <v>-0.000982726608603102</v>
      </c>
      <c r="N415" s="0" t="n">
        <v>0.065</v>
      </c>
      <c r="O415" s="0" t="n">
        <v>0.0002</v>
      </c>
      <c r="P415" s="29" t="n">
        <f aca="false">D415-('2 Hedge ratio'!$B$6+'2 Hedge ratio'!$B$5*E415)</f>
        <v>-0.00110513823140046</v>
      </c>
      <c r="Q415" s="29" t="n">
        <f aca="false">D415-('5 Re-specification'!$B$7+'5 Re-specification'!$B$5*E415+'5 Re-specification'!$B$6*F415)</f>
        <v>-0.0033954777490397</v>
      </c>
      <c r="R415" s="30" t="n">
        <f aca="false">MIN(F415,Inputs!$B$9)</f>
        <v>250</v>
      </c>
      <c r="S415" s="29" t="n">
        <f aca="true">IF(AND(F415&gt;=1,R415&gt;=Inputs!$B$10),INDEX(LINEST(OFFSET(D415,-R415,0,R415,1),OFFSET(E415,-R415,0,R415,2)),1,1),"")</f>
        <v>-5.78823046544478E-005</v>
      </c>
      <c r="T415" s="29" t="n">
        <f aca="true">IF(AND(F415&gt;=1,R415&gt;=Inputs!$B$10),INDEX(LINEST(OFFSET(D415,-R415,0,R415,1),OFFSET(E415,-R415,0,R415,2)),1,2),"")</f>
        <v>0.995011843939996</v>
      </c>
      <c r="U415" s="29" t="n">
        <f aca="true">IF(AND(F415&gt;=1,R415&gt;=Inputs!$B$10),INDEX(LINEST(OFFSET(D415,-R415,0,R415,1),OFFSET(E415,-R415,0,R415,2)),1,3),"")</f>
        <v>4.54563720553884</v>
      </c>
      <c r="V415" s="29" t="n">
        <f aca="true">IF(AND(F415&gt;=1,R415&gt;=Inputs!$B$10),SQRT(SUMPRODUCT((OFFSET(D415,-R415,0,R415,1)-U415-T415*OFFSET(E415,-R415,0,R415,1)-S415*OFFSET(F415,-R415,0,R415,1))^2)/(R415-3)),"")</f>
        <v>0.00336146636580021</v>
      </c>
      <c r="W415" s="31" t="n">
        <f aca="false">IF(AND(F415&gt;=1,R415&gt;=Inputs!$B$10),(D415-U415-T415*E415-S415*F415)/V415,"")</f>
        <v>-0.473512922522851</v>
      </c>
      <c r="X415" s="30" t="n">
        <f aca="false">IF(AB414&lt;&gt;0,AC414+1,0)</f>
        <v>0</v>
      </c>
      <c r="Y415" s="30" t="n">
        <f aca="false">IF(W415="",0,IF(AND(AB414&lt;&gt;0,OR(ABS(W415)&gt;Inputs!$B$7,X415&gt;=Inputs!$B$8,ABS(W415)&lt;Inputs!$B$6)),1,0))</f>
        <v>0</v>
      </c>
      <c r="Z415" s="30" t="n">
        <f aca="false">IF(Y415=1,0,AB414)</f>
        <v>0</v>
      </c>
      <c r="AA415" s="30" t="n">
        <f aca="false">IF(W415="",0,IF(AND(Z415=0,ABS(W415)&gt;Inputs!$B$5,ABS(W415)&lt;=Inputs!$B$7),1,0))</f>
        <v>0</v>
      </c>
      <c r="AB415" s="30" t="n">
        <f aca="false">IF(W415="",0,IF(AA415=1,-SIGN(W415),Z415))</f>
        <v>0</v>
      </c>
      <c r="AC415" s="30" t="n">
        <f aca="false">IF(W415="",0,IF(AA415=1,0,IF(Y415=1,0,X415)))</f>
        <v>0</v>
      </c>
      <c r="AD415" s="30" t="n">
        <f aca="false">IF(AB415=0,0,IF(AB414=AB415,AD414,T415))</f>
        <v>0</v>
      </c>
      <c r="AE415" s="30" t="n">
        <f aca="false">AB415-AB414</f>
        <v>0</v>
      </c>
      <c r="AF415" s="30" t="n">
        <f aca="false">-AD415*AB415</f>
        <v>-0</v>
      </c>
      <c r="AG415" s="30" t="n">
        <f aca="false">AF415-AF414</f>
        <v>0</v>
      </c>
      <c r="AH415" s="30" t="n">
        <f aca="false">MAX(AE415,0)*(Inputs!$B$17+Inputs!$B$18+Inputs!$B$19)+MAX(-AE415,0)*(O415+Inputs!$B$18+Inputs!$B$19)+IF(AND(K415=1,AB415&lt;&gt;0),(Inputs!$B$17+Inputs!$B$18+Inputs!$B$19)+(O415+Inputs!$B$18+Inputs!$B$19),0)+MAX(AG415,0)*(Inputs!$B$20+Inputs!$B$22+Inputs!$B$23)+MAX(-AG415,0)*(Inputs!$B$21+Inputs!$B$22+Inputs!$B$23)</f>
        <v>0</v>
      </c>
      <c r="AI415" s="30" t="n">
        <f aca="false">AB414*(M415-AD414*J415)+AB414*AD414*N415/Inputs!$B$16-AH415</f>
        <v>0</v>
      </c>
      <c r="AJ415" s="30" t="n">
        <f aca="false">MAX(AE415,0)*(Inputs!$B$17+Inputs!$B$24+Inputs!$B$25)+MAX(-AE415,0)*(O415+Inputs!$B$24+Inputs!$B$25)+IF(AND(K415=1,AB415&lt;&gt;0),(Inputs!$B$17+Inputs!$B$24+Inputs!$B$25)+(O415+Inputs!$B$24+Inputs!$B$25),0)+MAX(AG415,0)*(Inputs!$B$20+Inputs!$B$26+Inputs!$B$27)+MAX(-AG415,0)*(Inputs!$B$21+Inputs!$B$26+Inputs!$B$27)</f>
        <v>0</v>
      </c>
      <c r="AK415" s="30" t="n">
        <f aca="false">AB414*(M415-AD414*J415)+AB414*AD414*(N415+Inputs!$B$14)/Inputs!$B$16-AJ415</f>
        <v>0</v>
      </c>
      <c r="AL415" s="30" t="n">
        <f aca="false">IF(AP414&lt;&gt;0,AQ414+1,0)</f>
        <v>0</v>
      </c>
      <c r="AM415" s="30" t="n">
        <f aca="false">IF(W415="",0,IF(AND(AP414&lt;&gt;0,OR(ABS(W415)&gt;Inputs!$B$7,AL415&gt;=Inputs!$B$8,ABS(W415)&lt;Inputs!$B$6)),1,0))</f>
        <v>0</v>
      </c>
      <c r="AN415" s="30" t="n">
        <f aca="false">IF(AM415=1,0,AP414)</f>
        <v>0</v>
      </c>
      <c r="AO415" s="30" t="n">
        <f aca="false">IF(W415="",0,IF(AND(AN415=0,ABS(W415)&gt;Inputs!$B$5,ABS(W415)&lt;=Inputs!$B$7,W415&gt;0),1,0))</f>
        <v>0</v>
      </c>
      <c r="AP415" s="30" t="n">
        <f aca="false">IF(W415="",0,IF(AO415=1,-SIGN(W415),AN415))</f>
        <v>0</v>
      </c>
      <c r="AQ415" s="30" t="n">
        <f aca="false">IF(W415="",0,IF(AO415=1,0,IF(AM415=1,0,AL415)))</f>
        <v>0</v>
      </c>
      <c r="AR415" s="30" t="n">
        <f aca="false">IF(AP415=0,0,IF(AP414=AP415,AR414,T415))</f>
        <v>0</v>
      </c>
      <c r="AS415" s="30" t="n">
        <f aca="false">AP415-AP414</f>
        <v>0</v>
      </c>
      <c r="AT415" s="30" t="n">
        <f aca="false">-AR415*AP415</f>
        <v>-0</v>
      </c>
      <c r="AU415" s="30" t="n">
        <f aca="false">AT415-AT414</f>
        <v>0</v>
      </c>
      <c r="AV415" s="30" t="n">
        <f aca="false">MAX(AS415,0)*(Inputs!$B$17+Inputs!$B$18+Inputs!$B$19)+MAX(-AS415,0)*(O415+Inputs!$B$18+Inputs!$B$19)+IF(AND(K415=1,AP415&lt;&gt;0),(Inputs!$B$17+Inputs!$B$18+Inputs!$B$19)+(O415+Inputs!$B$18+Inputs!$B$19),0)+MAX(AU415,0)*(Inputs!$B$20+Inputs!$B$22+Inputs!$B$23)+MAX(-AU415,0)*(Inputs!$B$21+Inputs!$B$22+Inputs!$B$23)</f>
        <v>0</v>
      </c>
      <c r="AW415" s="30" t="n">
        <f aca="false">AP414*(M415-AR414*J415)+AP414*AR414*N415/Inputs!$B$16-AV415</f>
        <v>0</v>
      </c>
      <c r="AX415" s="30" t="n">
        <f aca="false">AW415-IF(AP414&lt;&gt;0,0.75*AR414*(Inputs!$B$13-N415)/Inputs!$B$16,0)</f>
        <v>0</v>
      </c>
      <c r="AY415" s="30" t="n">
        <f aca="false">MAX(AS415,0)*(Inputs!$B$17+Inputs!$B$18+Inputs!$B$19)+MAX(-AS415,0)*(O415+Inputs!$B$18+Inputs!$B$19)+IF(AND(K415=1,AP415&lt;&gt;0),(Inputs!$B$17+Inputs!$B$18+Inputs!$B$19)+(O415+Inputs!$B$18+Inputs!$B$19),0)</f>
        <v>0</v>
      </c>
      <c r="AZ415" s="30" t="n">
        <f aca="false">AP414*M415-AY415</f>
        <v>-0</v>
      </c>
      <c r="BA415" s="32" t="n">
        <f aca="false">BA414+AI415</f>
        <v>0.00429130278454792</v>
      </c>
      <c r="BB415" s="30" t="n">
        <f aca="false">MAX(BB414,BA415)</f>
        <v>0.00429130278454792</v>
      </c>
      <c r="BC415" s="32" t="n">
        <f aca="false">BA415-BB415</f>
        <v>0</v>
      </c>
      <c r="BD415" s="30" t="n">
        <f aca="false">A416-A415</f>
        <v>1</v>
      </c>
    </row>
    <row r="416" customFormat="false" ht="15" hidden="false" customHeight="false" outlineLevel="0" collapsed="false">
      <c r="A416" s="28" t="n">
        <v>45653</v>
      </c>
      <c r="B416" s="0" t="n">
        <v>24007.95</v>
      </c>
      <c r="C416" s="0" t="n">
        <v>266.69</v>
      </c>
      <c r="D416" s="29" t="n">
        <f aca="false">LN(B416)</f>
        <v>10.0861403044789</v>
      </c>
      <c r="E416" s="29" t="n">
        <f aca="false">LN(C416)</f>
        <v>5.58608693517192</v>
      </c>
      <c r="F416" s="0" t="n">
        <v>411</v>
      </c>
      <c r="G416" s="0" t="n">
        <v>34</v>
      </c>
      <c r="H416" s="29" t="n">
        <f aca="false">D416-E416</f>
        <v>4.500053369307</v>
      </c>
      <c r="I416" s="29" t="n">
        <f aca="false">D416-D415</f>
        <v>0.0108551279801645</v>
      </c>
      <c r="J416" s="29" t="n">
        <f aca="false">E416-E415</f>
        <v>0.00326754717872912</v>
      </c>
      <c r="K416" s="0" t="n">
        <v>0</v>
      </c>
      <c r="L416" s="0" t="n">
        <v>1</v>
      </c>
      <c r="M416" s="29" t="n">
        <f aca="false">IF(L416=1,J416-Carry!$B$9/Inputs!$B$16,I416)</f>
        <v>0.00300808899700799</v>
      </c>
      <c r="N416" s="0" t="n">
        <v>0.065</v>
      </c>
      <c r="O416" s="0" t="n">
        <v>0.0002</v>
      </c>
      <c r="P416" s="29" t="n">
        <f aca="false">D416-('2 Hedge ratio'!$B$6+'2 Hedge ratio'!$B$5*E416)</f>
        <v>0.00675650234122927</v>
      </c>
      <c r="Q416" s="29" t="n">
        <f aca="false">D416-('5 Re-specification'!$B$7+'5 Re-specification'!$B$5*E416+'5 Re-specification'!$B$6*F416)</f>
        <v>0.00424693467228643</v>
      </c>
      <c r="R416" s="30" t="n">
        <f aca="false">MIN(F416,Inputs!$B$9)</f>
        <v>250</v>
      </c>
      <c r="S416" s="29" t="n">
        <f aca="true">IF(AND(F416&gt;=1,R416&gt;=Inputs!$B$10),INDEX(LINEST(OFFSET(D416,-R416,0,R416,1),OFFSET(E416,-R416,0,R416,2)),1,1),"")</f>
        <v>-5.83377248405004E-005</v>
      </c>
      <c r="T416" s="29" t="n">
        <f aca="true">IF(AND(F416&gt;=1,R416&gt;=Inputs!$B$10),INDEX(LINEST(OFFSET(D416,-R416,0,R416,1),OFFSET(E416,-R416,0,R416,2)),1,2),"")</f>
        <v>0.995625667491999</v>
      </c>
      <c r="U416" s="29" t="n">
        <f aca="true">IF(AND(F416&gt;=1,R416&gt;=Inputs!$B$10),INDEX(LINEST(OFFSET(D416,-R416,0,R416,1),OFFSET(E416,-R416,0,R416,2)),1,3),"")</f>
        <v>4.54234121785232</v>
      </c>
      <c r="V416" s="29" t="n">
        <f aca="true">IF(AND(F416&gt;=1,R416&gt;=Inputs!$B$10),SQRT(SUMPRODUCT((OFFSET(D416,-R416,0,R416,1)-U416-T416*OFFSET(E416,-R416,0,R416,1)-S416*OFFSET(F416,-R416,0,R416,1))^2)/(R416-3)),"")</f>
        <v>0.00336165580761289</v>
      </c>
      <c r="W416" s="31" t="n">
        <f aca="false">IF(AND(F416&gt;=1,R416&gt;=Inputs!$B$10),(D416-U416-T416*E416-S416*F416)/V416,"")</f>
        <v>1.82182780976533</v>
      </c>
      <c r="X416" s="30" t="n">
        <f aca="false">IF(AB415&lt;&gt;0,AC415+1,0)</f>
        <v>0</v>
      </c>
      <c r="Y416" s="30" t="n">
        <f aca="false">IF(W416="",0,IF(AND(AB415&lt;&gt;0,OR(ABS(W416)&gt;Inputs!$B$7,X416&gt;=Inputs!$B$8,ABS(W416)&lt;Inputs!$B$6)),1,0))</f>
        <v>0</v>
      </c>
      <c r="Z416" s="30" t="n">
        <f aca="false">IF(Y416=1,0,AB415)</f>
        <v>0</v>
      </c>
      <c r="AA416" s="30" t="n">
        <f aca="false">IF(W416="",0,IF(AND(Z416=0,ABS(W416)&gt;Inputs!$B$5,ABS(W416)&lt;=Inputs!$B$7),1,0))</f>
        <v>0</v>
      </c>
      <c r="AB416" s="30" t="n">
        <f aca="false">IF(W416="",0,IF(AA416=1,-SIGN(W416),Z416))</f>
        <v>0</v>
      </c>
      <c r="AC416" s="30" t="n">
        <f aca="false">IF(W416="",0,IF(AA416=1,0,IF(Y416=1,0,X416)))</f>
        <v>0</v>
      </c>
      <c r="AD416" s="30" t="n">
        <f aca="false">IF(AB416=0,0,IF(AB415=AB416,AD415,T416))</f>
        <v>0</v>
      </c>
      <c r="AE416" s="30" t="n">
        <f aca="false">AB416-AB415</f>
        <v>0</v>
      </c>
      <c r="AF416" s="30" t="n">
        <f aca="false">-AD416*AB416</f>
        <v>-0</v>
      </c>
      <c r="AG416" s="30" t="n">
        <f aca="false">AF416-AF415</f>
        <v>0</v>
      </c>
      <c r="AH416" s="30" t="n">
        <f aca="false">MAX(AE416,0)*(Inputs!$B$17+Inputs!$B$18+Inputs!$B$19)+MAX(-AE416,0)*(O416+Inputs!$B$18+Inputs!$B$19)+IF(AND(K416=1,AB416&lt;&gt;0),(Inputs!$B$17+Inputs!$B$18+Inputs!$B$19)+(O416+Inputs!$B$18+Inputs!$B$19),0)+MAX(AG416,0)*(Inputs!$B$20+Inputs!$B$22+Inputs!$B$23)+MAX(-AG416,0)*(Inputs!$B$21+Inputs!$B$22+Inputs!$B$23)</f>
        <v>0</v>
      </c>
      <c r="AI416" s="30" t="n">
        <f aca="false">AB415*(M416-AD415*J416)+AB415*AD415*N416/Inputs!$B$16-AH416</f>
        <v>0</v>
      </c>
      <c r="AJ416" s="30" t="n">
        <f aca="false">MAX(AE416,0)*(Inputs!$B$17+Inputs!$B$24+Inputs!$B$25)+MAX(-AE416,0)*(O416+Inputs!$B$24+Inputs!$B$25)+IF(AND(K416=1,AB416&lt;&gt;0),(Inputs!$B$17+Inputs!$B$24+Inputs!$B$25)+(O416+Inputs!$B$24+Inputs!$B$25),0)+MAX(AG416,0)*(Inputs!$B$20+Inputs!$B$26+Inputs!$B$27)+MAX(-AG416,0)*(Inputs!$B$21+Inputs!$B$26+Inputs!$B$27)</f>
        <v>0</v>
      </c>
      <c r="AK416" s="30" t="n">
        <f aca="false">AB415*(M416-AD415*J416)+AB415*AD415*(N416+Inputs!$B$14)/Inputs!$B$16-AJ416</f>
        <v>0</v>
      </c>
      <c r="AL416" s="30" t="n">
        <f aca="false">IF(AP415&lt;&gt;0,AQ415+1,0)</f>
        <v>0</v>
      </c>
      <c r="AM416" s="30" t="n">
        <f aca="false">IF(W416="",0,IF(AND(AP415&lt;&gt;0,OR(ABS(W416)&gt;Inputs!$B$7,AL416&gt;=Inputs!$B$8,ABS(W416)&lt;Inputs!$B$6)),1,0))</f>
        <v>0</v>
      </c>
      <c r="AN416" s="30" t="n">
        <f aca="false">IF(AM416=1,0,AP415)</f>
        <v>0</v>
      </c>
      <c r="AO416" s="30" t="n">
        <f aca="false">IF(W416="",0,IF(AND(AN416=0,ABS(W416)&gt;Inputs!$B$5,ABS(W416)&lt;=Inputs!$B$7,W416&gt;0),1,0))</f>
        <v>0</v>
      </c>
      <c r="AP416" s="30" t="n">
        <f aca="false">IF(W416="",0,IF(AO416=1,-SIGN(W416),AN416))</f>
        <v>0</v>
      </c>
      <c r="AQ416" s="30" t="n">
        <f aca="false">IF(W416="",0,IF(AO416=1,0,IF(AM416=1,0,AL416)))</f>
        <v>0</v>
      </c>
      <c r="AR416" s="30" t="n">
        <f aca="false">IF(AP416=0,0,IF(AP415=AP416,AR415,T416))</f>
        <v>0</v>
      </c>
      <c r="AS416" s="30" t="n">
        <f aca="false">AP416-AP415</f>
        <v>0</v>
      </c>
      <c r="AT416" s="30" t="n">
        <f aca="false">-AR416*AP416</f>
        <v>-0</v>
      </c>
      <c r="AU416" s="30" t="n">
        <f aca="false">AT416-AT415</f>
        <v>0</v>
      </c>
      <c r="AV416" s="30" t="n">
        <f aca="false">MAX(AS416,0)*(Inputs!$B$17+Inputs!$B$18+Inputs!$B$19)+MAX(-AS416,0)*(O416+Inputs!$B$18+Inputs!$B$19)+IF(AND(K416=1,AP416&lt;&gt;0),(Inputs!$B$17+Inputs!$B$18+Inputs!$B$19)+(O416+Inputs!$B$18+Inputs!$B$19),0)+MAX(AU416,0)*(Inputs!$B$20+Inputs!$B$22+Inputs!$B$23)+MAX(-AU416,0)*(Inputs!$B$21+Inputs!$B$22+Inputs!$B$23)</f>
        <v>0</v>
      </c>
      <c r="AW416" s="30" t="n">
        <f aca="false">AP415*(M416-AR415*J416)+AP415*AR415*N416/Inputs!$B$16-AV416</f>
        <v>0</v>
      </c>
      <c r="AX416" s="30" t="n">
        <f aca="false">AW416-IF(AP415&lt;&gt;0,0.75*AR415*(Inputs!$B$13-N416)/Inputs!$B$16,0)</f>
        <v>0</v>
      </c>
      <c r="AY416" s="30" t="n">
        <f aca="false">MAX(AS416,0)*(Inputs!$B$17+Inputs!$B$18+Inputs!$B$19)+MAX(-AS416,0)*(O416+Inputs!$B$18+Inputs!$B$19)+IF(AND(K416=1,AP416&lt;&gt;0),(Inputs!$B$17+Inputs!$B$18+Inputs!$B$19)+(O416+Inputs!$B$18+Inputs!$B$19),0)</f>
        <v>0</v>
      </c>
      <c r="AZ416" s="30" t="n">
        <f aca="false">AP415*M416-AY416</f>
        <v>0</v>
      </c>
      <c r="BA416" s="32" t="n">
        <f aca="false">BA415+AI416</f>
        <v>0.00429130278454792</v>
      </c>
      <c r="BB416" s="30" t="n">
        <f aca="false">MAX(BB415,BA416)</f>
        <v>0.00429130278454792</v>
      </c>
      <c r="BC416" s="32" t="n">
        <f aca="false">BA416-BB416</f>
        <v>0</v>
      </c>
      <c r="BD416" s="30" t="n">
        <f aca="false">A417-A416</f>
        <v>3</v>
      </c>
    </row>
    <row r="417" customFormat="false" ht="15" hidden="false" customHeight="false" outlineLevel="0" collapsed="false">
      <c r="A417" s="28" t="n">
        <v>45656</v>
      </c>
      <c r="B417" s="0" t="n">
        <v>23828</v>
      </c>
      <c r="C417" s="0" t="n">
        <v>264.88</v>
      </c>
      <c r="D417" s="29" t="n">
        <f aca="false">LN(B417)</f>
        <v>10.0786166387486</v>
      </c>
      <c r="E417" s="29" t="n">
        <f aca="false">LN(C417)</f>
        <v>5.57927689323899</v>
      </c>
      <c r="F417" s="0" t="n">
        <v>412</v>
      </c>
      <c r="G417" s="0" t="n">
        <v>31</v>
      </c>
      <c r="H417" s="29" t="n">
        <f aca="false">D417-E417</f>
        <v>4.49933974550959</v>
      </c>
      <c r="I417" s="29" t="n">
        <f aca="false">D417-D416</f>
        <v>-0.00752366573033569</v>
      </c>
      <c r="J417" s="29" t="n">
        <f aca="false">E417-E416</f>
        <v>-0.00681004193292534</v>
      </c>
      <c r="K417" s="0" t="n">
        <v>0</v>
      </c>
      <c r="L417" s="0" t="n">
        <v>0</v>
      </c>
      <c r="M417" s="29" t="n">
        <f aca="false">IF(L417=1,J417-Carry!$B$9/Inputs!$B$16,I417)</f>
        <v>-0.00752366573033569</v>
      </c>
      <c r="N417" s="0" t="n">
        <v>0.065</v>
      </c>
      <c r="O417" s="0" t="n">
        <v>0.0002</v>
      </c>
      <c r="P417" s="29" t="n">
        <f aca="false">D417-('2 Hedge ratio'!$B$6+'2 Hedge ratio'!$B$5*E417)</f>
        <v>0.0054716982572387</v>
      </c>
      <c r="Q417" s="29" t="n">
        <f aca="false">D417-('5 Re-specification'!$B$7+'5 Re-specification'!$B$5*E417+'5 Re-specification'!$B$6*F417)</f>
        <v>0.00355760236075042</v>
      </c>
      <c r="R417" s="30" t="n">
        <f aca="false">MIN(F417,Inputs!$B$9)</f>
        <v>250</v>
      </c>
      <c r="S417" s="29" t="n">
        <f aca="true">IF(AND(F417&gt;=1,R417&gt;=Inputs!$B$10),INDEX(LINEST(OFFSET(D417,-R417,0,R417,1),OFFSET(E417,-R417,0,R417,2)),1,1),"")</f>
        <v>-5.64312979239558E-005</v>
      </c>
      <c r="T417" s="29" t="n">
        <f aca="true">IF(AND(F417&gt;=1,R417&gt;=Inputs!$B$10),INDEX(LINEST(OFFSET(D417,-R417,0,R417,1),OFFSET(E417,-R417,0,R417,2)),1,2),"")</f>
        <v>0.993696947384825</v>
      </c>
      <c r="U417" s="29" t="n">
        <f aca="true">IF(AND(F417&gt;=1,R417&gt;=Inputs!$B$10),INDEX(LINEST(OFFSET(D417,-R417,0,R417,1),OFFSET(E417,-R417,0,R417,2)),1,3),"")</f>
        <v>4.55254962750372</v>
      </c>
      <c r="V417" s="29" t="n">
        <f aca="true">IF(AND(F417&gt;=1,R417&gt;=Inputs!$B$10),SQRT(SUMPRODUCT((OFFSET(D417,-R417,0,R417,1)-U417-T417*OFFSET(E417,-R417,0,R417,1)-S417*OFFSET(F417,-R417,0,R417,1))^2)/(R417-3)),"")</f>
        <v>0.00338316327096707</v>
      </c>
      <c r="W417" s="31" t="n">
        <f aca="false">IF(AND(F417&gt;=1,R417&gt;=Inputs!$B$10),(D417-U417-T417*E417-S417*F417)/V417,"")</f>
        <v>1.53888185294841</v>
      </c>
      <c r="X417" s="30" t="n">
        <f aca="false">IF(AB416&lt;&gt;0,AC416+1,0)</f>
        <v>0</v>
      </c>
      <c r="Y417" s="30" t="n">
        <f aca="false">IF(W417="",0,IF(AND(AB416&lt;&gt;0,OR(ABS(W417)&gt;Inputs!$B$7,X417&gt;=Inputs!$B$8,ABS(W417)&lt;Inputs!$B$6)),1,0))</f>
        <v>0</v>
      </c>
      <c r="Z417" s="30" t="n">
        <f aca="false">IF(Y417=1,0,AB416)</f>
        <v>0</v>
      </c>
      <c r="AA417" s="30" t="n">
        <f aca="false">IF(W417="",0,IF(AND(Z417=0,ABS(W417)&gt;Inputs!$B$5,ABS(W417)&lt;=Inputs!$B$7),1,0))</f>
        <v>0</v>
      </c>
      <c r="AB417" s="30" t="n">
        <f aca="false">IF(W417="",0,IF(AA417=1,-SIGN(W417),Z417))</f>
        <v>0</v>
      </c>
      <c r="AC417" s="30" t="n">
        <f aca="false">IF(W417="",0,IF(AA417=1,0,IF(Y417=1,0,X417)))</f>
        <v>0</v>
      </c>
      <c r="AD417" s="30" t="n">
        <f aca="false">IF(AB417=0,0,IF(AB416=AB417,AD416,T417))</f>
        <v>0</v>
      </c>
      <c r="AE417" s="30" t="n">
        <f aca="false">AB417-AB416</f>
        <v>0</v>
      </c>
      <c r="AF417" s="30" t="n">
        <f aca="false">-AD417*AB417</f>
        <v>-0</v>
      </c>
      <c r="AG417" s="30" t="n">
        <f aca="false">AF417-AF416</f>
        <v>0</v>
      </c>
      <c r="AH417" s="30" t="n">
        <f aca="false">MAX(AE417,0)*(Inputs!$B$17+Inputs!$B$18+Inputs!$B$19)+MAX(-AE417,0)*(O417+Inputs!$B$18+Inputs!$B$19)+IF(AND(K417=1,AB417&lt;&gt;0),(Inputs!$B$17+Inputs!$B$18+Inputs!$B$19)+(O417+Inputs!$B$18+Inputs!$B$19),0)+MAX(AG417,0)*(Inputs!$B$20+Inputs!$B$22+Inputs!$B$23)+MAX(-AG417,0)*(Inputs!$B$21+Inputs!$B$22+Inputs!$B$23)</f>
        <v>0</v>
      </c>
      <c r="AI417" s="30" t="n">
        <f aca="false">AB416*(M417-AD416*J417)+AB416*AD416*N417/Inputs!$B$16-AH417</f>
        <v>0</v>
      </c>
      <c r="AJ417" s="30" t="n">
        <f aca="false">MAX(AE417,0)*(Inputs!$B$17+Inputs!$B$24+Inputs!$B$25)+MAX(-AE417,0)*(O417+Inputs!$B$24+Inputs!$B$25)+IF(AND(K417=1,AB417&lt;&gt;0),(Inputs!$B$17+Inputs!$B$24+Inputs!$B$25)+(O417+Inputs!$B$24+Inputs!$B$25),0)+MAX(AG417,0)*(Inputs!$B$20+Inputs!$B$26+Inputs!$B$27)+MAX(-AG417,0)*(Inputs!$B$21+Inputs!$B$26+Inputs!$B$27)</f>
        <v>0</v>
      </c>
      <c r="AK417" s="30" t="n">
        <f aca="false">AB416*(M417-AD416*J417)+AB416*AD416*(N417+Inputs!$B$14)/Inputs!$B$16-AJ417</f>
        <v>0</v>
      </c>
      <c r="AL417" s="30" t="n">
        <f aca="false">IF(AP416&lt;&gt;0,AQ416+1,0)</f>
        <v>0</v>
      </c>
      <c r="AM417" s="30" t="n">
        <f aca="false">IF(W417="",0,IF(AND(AP416&lt;&gt;0,OR(ABS(W417)&gt;Inputs!$B$7,AL417&gt;=Inputs!$B$8,ABS(W417)&lt;Inputs!$B$6)),1,0))</f>
        <v>0</v>
      </c>
      <c r="AN417" s="30" t="n">
        <f aca="false">IF(AM417=1,0,AP416)</f>
        <v>0</v>
      </c>
      <c r="AO417" s="30" t="n">
        <f aca="false">IF(W417="",0,IF(AND(AN417=0,ABS(W417)&gt;Inputs!$B$5,ABS(W417)&lt;=Inputs!$B$7,W417&gt;0),1,0))</f>
        <v>0</v>
      </c>
      <c r="AP417" s="30" t="n">
        <f aca="false">IF(W417="",0,IF(AO417=1,-SIGN(W417),AN417))</f>
        <v>0</v>
      </c>
      <c r="AQ417" s="30" t="n">
        <f aca="false">IF(W417="",0,IF(AO417=1,0,IF(AM417=1,0,AL417)))</f>
        <v>0</v>
      </c>
      <c r="AR417" s="30" t="n">
        <f aca="false">IF(AP417=0,0,IF(AP416=AP417,AR416,T417))</f>
        <v>0</v>
      </c>
      <c r="AS417" s="30" t="n">
        <f aca="false">AP417-AP416</f>
        <v>0</v>
      </c>
      <c r="AT417" s="30" t="n">
        <f aca="false">-AR417*AP417</f>
        <v>-0</v>
      </c>
      <c r="AU417" s="30" t="n">
        <f aca="false">AT417-AT416</f>
        <v>0</v>
      </c>
      <c r="AV417" s="30" t="n">
        <f aca="false">MAX(AS417,0)*(Inputs!$B$17+Inputs!$B$18+Inputs!$B$19)+MAX(-AS417,0)*(O417+Inputs!$B$18+Inputs!$B$19)+IF(AND(K417=1,AP417&lt;&gt;0),(Inputs!$B$17+Inputs!$B$18+Inputs!$B$19)+(O417+Inputs!$B$18+Inputs!$B$19),0)+MAX(AU417,0)*(Inputs!$B$20+Inputs!$B$22+Inputs!$B$23)+MAX(-AU417,0)*(Inputs!$B$21+Inputs!$B$22+Inputs!$B$23)</f>
        <v>0</v>
      </c>
      <c r="AW417" s="30" t="n">
        <f aca="false">AP416*(M417-AR416*J417)+AP416*AR416*N417/Inputs!$B$16-AV417</f>
        <v>0</v>
      </c>
      <c r="AX417" s="30" t="n">
        <f aca="false">AW417-IF(AP416&lt;&gt;0,0.75*AR416*(Inputs!$B$13-N417)/Inputs!$B$16,0)</f>
        <v>0</v>
      </c>
      <c r="AY417" s="30" t="n">
        <f aca="false">MAX(AS417,0)*(Inputs!$B$17+Inputs!$B$18+Inputs!$B$19)+MAX(-AS417,0)*(O417+Inputs!$B$18+Inputs!$B$19)+IF(AND(K417=1,AP417&lt;&gt;0),(Inputs!$B$17+Inputs!$B$18+Inputs!$B$19)+(O417+Inputs!$B$18+Inputs!$B$19),0)</f>
        <v>0</v>
      </c>
      <c r="AZ417" s="30" t="n">
        <f aca="false">AP416*M417-AY417</f>
        <v>-0</v>
      </c>
      <c r="BA417" s="32" t="n">
        <f aca="false">BA416+AI417</f>
        <v>0.00429130278454792</v>
      </c>
      <c r="BB417" s="30" t="n">
        <f aca="false">MAX(BB416,BA417)</f>
        <v>0.00429130278454792</v>
      </c>
      <c r="BC417" s="32" t="n">
        <f aca="false">BA417-BB417</f>
        <v>0</v>
      </c>
      <c r="BD417" s="30" t="n">
        <f aca="false">A418-A417</f>
        <v>1</v>
      </c>
    </row>
    <row r="418" customFormat="false" ht="15" hidden="false" customHeight="false" outlineLevel="0" collapsed="false">
      <c r="A418" s="28" t="n">
        <v>45657</v>
      </c>
      <c r="B418" s="0" t="n">
        <v>23819.25</v>
      </c>
      <c r="C418" s="0" t="n">
        <v>264.78</v>
      </c>
      <c r="D418" s="29" t="n">
        <f aca="false">LN(B418)</f>
        <v>10.0782493562675</v>
      </c>
      <c r="E418" s="29" t="n">
        <f aca="false">LN(C418)</f>
        <v>5.57889929250951</v>
      </c>
      <c r="F418" s="0" t="n">
        <v>413</v>
      </c>
      <c r="G418" s="0" t="n">
        <v>30</v>
      </c>
      <c r="H418" s="29" t="n">
        <f aca="false">D418-E418</f>
        <v>4.49935006375799</v>
      </c>
      <c r="I418" s="29" t="n">
        <f aca="false">D418-D417</f>
        <v>-0.000367282481080977</v>
      </c>
      <c r="J418" s="29" t="n">
        <f aca="false">E418-E417</f>
        <v>-0.000377600729479788</v>
      </c>
      <c r="K418" s="0" t="n">
        <v>0</v>
      </c>
      <c r="L418" s="0" t="n">
        <v>0</v>
      </c>
      <c r="M418" s="29" t="n">
        <f aca="false">IF(L418=1,J418-Carry!$B$9/Inputs!$B$16,I418)</f>
        <v>-0.000367282481080977</v>
      </c>
      <c r="N418" s="0" t="n">
        <v>0.065</v>
      </c>
      <c r="O418" s="0" t="n">
        <v>0.0002</v>
      </c>
      <c r="P418" s="29" t="n">
        <f aca="false">D418-('2 Hedge ratio'!$B$6+'2 Hedge ratio'!$B$5*E418)</f>
        <v>0.00545034590874671</v>
      </c>
      <c r="Q418" s="29" t="n">
        <f aca="false">D418-('5 Re-specification'!$B$7+'5 Re-specification'!$B$5*E418+'5 Re-specification'!$B$6*F418)</f>
        <v>0.00361170560822721</v>
      </c>
      <c r="R418" s="30" t="n">
        <f aca="false">MIN(F418,Inputs!$B$9)</f>
        <v>250</v>
      </c>
      <c r="S418" s="29" t="n">
        <f aca="true">IF(AND(F418&gt;=1,R418&gt;=Inputs!$B$10),INDEX(LINEST(OFFSET(D418,-R418,0,R418,1),OFFSET(E418,-R418,0,R418,2)),1,1),"")</f>
        <v>-5.48403082939082E-005</v>
      </c>
      <c r="T418" s="29" t="n">
        <f aca="true">IF(AND(F418&gt;=1,R418&gt;=Inputs!$B$10),INDEX(LINEST(OFFSET(D418,-R418,0,R418,1),OFFSET(E418,-R418,0,R418,2)),1,2),"")</f>
        <v>0.991925826874554</v>
      </c>
      <c r="U418" s="29" t="n">
        <f aca="true">IF(AND(F418&gt;=1,R418&gt;=Inputs!$B$10),INDEX(LINEST(OFFSET(D418,-R418,0,R418,1),OFFSET(E418,-R418,0,R418,2)),1,3),"")</f>
        <v>4.56197157945794</v>
      </c>
      <c r="V418" s="29" t="n">
        <f aca="true">IF(AND(F418&gt;=1,R418&gt;=Inputs!$B$10),SQRT(SUMPRODUCT((OFFSET(D418,-R418,0,R418,1)-U418-T418*OFFSET(E418,-R418,0,R418,1)-S418*OFFSET(F418,-R418,0,R418,1))^2)/(R418-3)),"")</f>
        <v>0.00339711348214351</v>
      </c>
      <c r="W418" s="31" t="n">
        <f aca="false">IF(AND(F418&gt;=1,R418&gt;=Inputs!$B$10),(D418-U418-T418*E418-S418*F418)/V418,"")</f>
        <v>1.49318837573302</v>
      </c>
      <c r="X418" s="30" t="n">
        <f aca="false">IF(AB417&lt;&gt;0,AC417+1,0)</f>
        <v>0</v>
      </c>
      <c r="Y418" s="30" t="n">
        <f aca="false">IF(W418="",0,IF(AND(AB417&lt;&gt;0,OR(ABS(W418)&gt;Inputs!$B$7,X418&gt;=Inputs!$B$8,ABS(W418)&lt;Inputs!$B$6)),1,0))</f>
        <v>0</v>
      </c>
      <c r="Z418" s="30" t="n">
        <f aca="false">IF(Y418=1,0,AB417)</f>
        <v>0</v>
      </c>
      <c r="AA418" s="30" t="n">
        <f aca="false">IF(W418="",0,IF(AND(Z418=0,ABS(W418)&gt;Inputs!$B$5,ABS(W418)&lt;=Inputs!$B$7),1,0))</f>
        <v>0</v>
      </c>
      <c r="AB418" s="30" t="n">
        <f aca="false">IF(W418="",0,IF(AA418=1,-SIGN(W418),Z418))</f>
        <v>0</v>
      </c>
      <c r="AC418" s="30" t="n">
        <f aca="false">IF(W418="",0,IF(AA418=1,0,IF(Y418=1,0,X418)))</f>
        <v>0</v>
      </c>
      <c r="AD418" s="30" t="n">
        <f aca="false">IF(AB418=0,0,IF(AB417=AB418,AD417,T418))</f>
        <v>0</v>
      </c>
      <c r="AE418" s="30" t="n">
        <f aca="false">AB418-AB417</f>
        <v>0</v>
      </c>
      <c r="AF418" s="30" t="n">
        <f aca="false">-AD418*AB418</f>
        <v>-0</v>
      </c>
      <c r="AG418" s="30" t="n">
        <f aca="false">AF418-AF417</f>
        <v>0</v>
      </c>
      <c r="AH418" s="30" t="n">
        <f aca="false">MAX(AE418,0)*(Inputs!$B$17+Inputs!$B$18+Inputs!$B$19)+MAX(-AE418,0)*(O418+Inputs!$B$18+Inputs!$B$19)+IF(AND(K418=1,AB418&lt;&gt;0),(Inputs!$B$17+Inputs!$B$18+Inputs!$B$19)+(O418+Inputs!$B$18+Inputs!$B$19),0)+MAX(AG418,0)*(Inputs!$B$20+Inputs!$B$22+Inputs!$B$23)+MAX(-AG418,0)*(Inputs!$B$21+Inputs!$B$22+Inputs!$B$23)</f>
        <v>0</v>
      </c>
      <c r="AI418" s="30" t="n">
        <f aca="false">AB417*(M418-AD417*J418)+AB417*AD417*N418/Inputs!$B$16-AH418</f>
        <v>0</v>
      </c>
      <c r="AJ418" s="30" t="n">
        <f aca="false">MAX(AE418,0)*(Inputs!$B$17+Inputs!$B$24+Inputs!$B$25)+MAX(-AE418,0)*(O418+Inputs!$B$24+Inputs!$B$25)+IF(AND(K418=1,AB418&lt;&gt;0),(Inputs!$B$17+Inputs!$B$24+Inputs!$B$25)+(O418+Inputs!$B$24+Inputs!$B$25),0)+MAX(AG418,0)*(Inputs!$B$20+Inputs!$B$26+Inputs!$B$27)+MAX(-AG418,0)*(Inputs!$B$21+Inputs!$B$26+Inputs!$B$27)</f>
        <v>0</v>
      </c>
      <c r="AK418" s="30" t="n">
        <f aca="false">AB417*(M418-AD417*J418)+AB417*AD417*(N418+Inputs!$B$14)/Inputs!$B$16-AJ418</f>
        <v>0</v>
      </c>
      <c r="AL418" s="30" t="n">
        <f aca="false">IF(AP417&lt;&gt;0,AQ417+1,0)</f>
        <v>0</v>
      </c>
      <c r="AM418" s="30" t="n">
        <f aca="false">IF(W418="",0,IF(AND(AP417&lt;&gt;0,OR(ABS(W418)&gt;Inputs!$B$7,AL418&gt;=Inputs!$B$8,ABS(W418)&lt;Inputs!$B$6)),1,0))</f>
        <v>0</v>
      </c>
      <c r="AN418" s="30" t="n">
        <f aca="false">IF(AM418=1,0,AP417)</f>
        <v>0</v>
      </c>
      <c r="AO418" s="30" t="n">
        <f aca="false">IF(W418="",0,IF(AND(AN418=0,ABS(W418)&gt;Inputs!$B$5,ABS(W418)&lt;=Inputs!$B$7,W418&gt;0),1,0))</f>
        <v>0</v>
      </c>
      <c r="AP418" s="30" t="n">
        <f aca="false">IF(W418="",0,IF(AO418=1,-SIGN(W418),AN418))</f>
        <v>0</v>
      </c>
      <c r="AQ418" s="30" t="n">
        <f aca="false">IF(W418="",0,IF(AO418=1,0,IF(AM418=1,0,AL418)))</f>
        <v>0</v>
      </c>
      <c r="AR418" s="30" t="n">
        <f aca="false">IF(AP418=0,0,IF(AP417=AP418,AR417,T418))</f>
        <v>0</v>
      </c>
      <c r="AS418" s="30" t="n">
        <f aca="false">AP418-AP417</f>
        <v>0</v>
      </c>
      <c r="AT418" s="30" t="n">
        <f aca="false">-AR418*AP418</f>
        <v>-0</v>
      </c>
      <c r="AU418" s="30" t="n">
        <f aca="false">AT418-AT417</f>
        <v>0</v>
      </c>
      <c r="AV418" s="30" t="n">
        <f aca="false">MAX(AS418,0)*(Inputs!$B$17+Inputs!$B$18+Inputs!$B$19)+MAX(-AS418,0)*(O418+Inputs!$B$18+Inputs!$B$19)+IF(AND(K418=1,AP418&lt;&gt;0),(Inputs!$B$17+Inputs!$B$18+Inputs!$B$19)+(O418+Inputs!$B$18+Inputs!$B$19),0)+MAX(AU418,0)*(Inputs!$B$20+Inputs!$B$22+Inputs!$B$23)+MAX(-AU418,0)*(Inputs!$B$21+Inputs!$B$22+Inputs!$B$23)</f>
        <v>0</v>
      </c>
      <c r="AW418" s="30" t="n">
        <f aca="false">AP417*(M418-AR417*J418)+AP417*AR417*N418/Inputs!$B$16-AV418</f>
        <v>0</v>
      </c>
      <c r="AX418" s="30" t="n">
        <f aca="false">AW418-IF(AP417&lt;&gt;0,0.75*AR417*(Inputs!$B$13-N418)/Inputs!$B$16,0)</f>
        <v>0</v>
      </c>
      <c r="AY418" s="30" t="n">
        <f aca="false">MAX(AS418,0)*(Inputs!$B$17+Inputs!$B$18+Inputs!$B$19)+MAX(-AS418,0)*(O418+Inputs!$B$18+Inputs!$B$19)+IF(AND(K418=1,AP418&lt;&gt;0),(Inputs!$B$17+Inputs!$B$18+Inputs!$B$19)+(O418+Inputs!$B$18+Inputs!$B$19),0)</f>
        <v>0</v>
      </c>
      <c r="AZ418" s="30" t="n">
        <f aca="false">AP417*M418-AY418</f>
        <v>-0</v>
      </c>
      <c r="BA418" s="32" t="n">
        <f aca="false">BA417+AI418</f>
        <v>0.00429130278454792</v>
      </c>
      <c r="BB418" s="30" t="n">
        <f aca="false">MAX(BB417,BA418)</f>
        <v>0.00429130278454792</v>
      </c>
      <c r="BC418" s="32" t="n">
        <f aca="false">BA418-BB418</f>
        <v>0</v>
      </c>
      <c r="BD418" s="30" t="n">
        <f aca="false">A419-A418</f>
        <v>1</v>
      </c>
    </row>
    <row r="419" customFormat="false" ht="15" hidden="false" customHeight="false" outlineLevel="0" collapsed="false">
      <c r="A419" s="28" t="n">
        <v>45658</v>
      </c>
      <c r="B419" s="0" t="n">
        <v>23914</v>
      </c>
      <c r="C419" s="0" t="n">
        <v>266.1</v>
      </c>
      <c r="D419" s="29" t="n">
        <f aca="false">LN(B419)</f>
        <v>10.0822193404795</v>
      </c>
      <c r="E419" s="29" t="n">
        <f aca="false">LN(C419)</f>
        <v>5.58387217798364</v>
      </c>
      <c r="F419" s="0" t="n">
        <v>414</v>
      </c>
      <c r="G419" s="0" t="n">
        <v>29</v>
      </c>
      <c r="H419" s="29" t="n">
        <f aca="false">D419-E419</f>
        <v>4.49834716249588</v>
      </c>
      <c r="I419" s="29" t="n">
        <f aca="false">D419-D418</f>
        <v>0.00396998421202888</v>
      </c>
      <c r="J419" s="29" t="n">
        <f aca="false">E419-E418</f>
        <v>0.00497288547413266</v>
      </c>
      <c r="K419" s="0" t="n">
        <v>0</v>
      </c>
      <c r="L419" s="0" t="n">
        <v>0</v>
      </c>
      <c r="M419" s="29" t="n">
        <f aca="false">IF(L419=1,J419-Carry!$B$9/Inputs!$B$16,I419)</f>
        <v>0.00396998421202888</v>
      </c>
      <c r="N419" s="0" t="n">
        <v>0.065</v>
      </c>
      <c r="O419" s="0" t="n">
        <v>0.0002</v>
      </c>
      <c r="P419" s="29" t="n">
        <f aca="false">D419-('2 Hedge ratio'!$B$6+'2 Hedge ratio'!$B$5*E419)</f>
        <v>0.0048645366672524</v>
      </c>
      <c r="Q419" s="29" t="n">
        <f aca="false">D419-('5 Re-specification'!$B$7+'5 Re-specification'!$B$5*E419+'5 Re-specification'!$B$6*F419)</f>
        <v>0.00266880399375502</v>
      </c>
      <c r="R419" s="30" t="n">
        <f aca="false">MIN(F419,Inputs!$B$9)</f>
        <v>250</v>
      </c>
      <c r="S419" s="29" t="n">
        <f aca="true">IF(AND(F419&gt;=1,R419&gt;=Inputs!$B$10),INDEX(LINEST(OFFSET(D419,-R419,0,R419,1),OFFSET(E419,-R419,0,R419,2)),1,1),"")</f>
        <v>-5.34635294086422E-005</v>
      </c>
      <c r="T419" s="29" t="n">
        <f aca="true">IF(AND(F419&gt;=1,R419&gt;=Inputs!$B$10),INDEX(LINEST(OFFSET(D419,-R419,0,R419,1),OFFSET(E419,-R419,0,R419,2)),1,2),"")</f>
        <v>0.990315266207501</v>
      </c>
      <c r="U419" s="29" t="n">
        <f aca="true">IF(AND(F419&gt;=1,R419&gt;=Inputs!$B$10),INDEX(LINEST(OFFSET(D419,-R419,0,R419,1),OFFSET(E419,-R419,0,R419,2)),1,3),"")</f>
        <v>4.57056394187152</v>
      </c>
      <c r="V419" s="29" t="n">
        <f aca="true">IF(AND(F419&gt;=1,R419&gt;=Inputs!$B$10),SQRT(SUMPRODUCT((OFFSET(D419,-R419,0,R419,1)-U419-T419*OFFSET(E419,-R419,0,R419,1)-S419*OFFSET(F419,-R419,0,R419,1))^2)/(R419-3)),"")</f>
        <v>0.00340831393566253</v>
      </c>
      <c r="W419" s="31" t="n">
        <f aca="false">IF(AND(F419&gt;=1,R419&gt;=Inputs!$B$10),(D419-U419-T419*E419-S419*F419)/V419,"")</f>
        <v>1.17226213608196</v>
      </c>
      <c r="X419" s="30" t="n">
        <f aca="false">IF(AB418&lt;&gt;0,AC418+1,0)</f>
        <v>0</v>
      </c>
      <c r="Y419" s="30" t="n">
        <f aca="false">IF(W419="",0,IF(AND(AB418&lt;&gt;0,OR(ABS(W419)&gt;Inputs!$B$7,X419&gt;=Inputs!$B$8,ABS(W419)&lt;Inputs!$B$6)),1,0))</f>
        <v>0</v>
      </c>
      <c r="Z419" s="30" t="n">
        <f aca="false">IF(Y419=1,0,AB418)</f>
        <v>0</v>
      </c>
      <c r="AA419" s="30" t="n">
        <f aca="false">IF(W419="",0,IF(AND(Z419=0,ABS(W419)&gt;Inputs!$B$5,ABS(W419)&lt;=Inputs!$B$7),1,0))</f>
        <v>0</v>
      </c>
      <c r="AB419" s="30" t="n">
        <f aca="false">IF(W419="",0,IF(AA419=1,-SIGN(W419),Z419))</f>
        <v>0</v>
      </c>
      <c r="AC419" s="30" t="n">
        <f aca="false">IF(W419="",0,IF(AA419=1,0,IF(Y419=1,0,X419)))</f>
        <v>0</v>
      </c>
      <c r="AD419" s="30" t="n">
        <f aca="false">IF(AB419=0,0,IF(AB418=AB419,AD418,T419))</f>
        <v>0</v>
      </c>
      <c r="AE419" s="30" t="n">
        <f aca="false">AB419-AB418</f>
        <v>0</v>
      </c>
      <c r="AF419" s="30" t="n">
        <f aca="false">-AD419*AB419</f>
        <v>-0</v>
      </c>
      <c r="AG419" s="30" t="n">
        <f aca="false">AF419-AF418</f>
        <v>0</v>
      </c>
      <c r="AH419" s="30" t="n">
        <f aca="false">MAX(AE419,0)*(Inputs!$B$17+Inputs!$B$18+Inputs!$B$19)+MAX(-AE419,0)*(O419+Inputs!$B$18+Inputs!$B$19)+IF(AND(K419=1,AB419&lt;&gt;0),(Inputs!$B$17+Inputs!$B$18+Inputs!$B$19)+(O419+Inputs!$B$18+Inputs!$B$19),0)+MAX(AG419,0)*(Inputs!$B$20+Inputs!$B$22+Inputs!$B$23)+MAX(-AG419,0)*(Inputs!$B$21+Inputs!$B$22+Inputs!$B$23)</f>
        <v>0</v>
      </c>
      <c r="AI419" s="30" t="n">
        <f aca="false">AB418*(M419-AD418*J419)+AB418*AD418*N419/Inputs!$B$16-AH419</f>
        <v>0</v>
      </c>
      <c r="AJ419" s="30" t="n">
        <f aca="false">MAX(AE419,0)*(Inputs!$B$17+Inputs!$B$24+Inputs!$B$25)+MAX(-AE419,0)*(O419+Inputs!$B$24+Inputs!$B$25)+IF(AND(K419=1,AB419&lt;&gt;0),(Inputs!$B$17+Inputs!$B$24+Inputs!$B$25)+(O419+Inputs!$B$24+Inputs!$B$25),0)+MAX(AG419,0)*(Inputs!$B$20+Inputs!$B$26+Inputs!$B$27)+MAX(-AG419,0)*(Inputs!$B$21+Inputs!$B$26+Inputs!$B$27)</f>
        <v>0</v>
      </c>
      <c r="AK419" s="30" t="n">
        <f aca="false">AB418*(M419-AD418*J419)+AB418*AD418*(N419+Inputs!$B$14)/Inputs!$B$16-AJ419</f>
        <v>0</v>
      </c>
      <c r="AL419" s="30" t="n">
        <f aca="false">IF(AP418&lt;&gt;0,AQ418+1,0)</f>
        <v>0</v>
      </c>
      <c r="AM419" s="30" t="n">
        <f aca="false">IF(W419="",0,IF(AND(AP418&lt;&gt;0,OR(ABS(W419)&gt;Inputs!$B$7,AL419&gt;=Inputs!$B$8,ABS(W419)&lt;Inputs!$B$6)),1,0))</f>
        <v>0</v>
      </c>
      <c r="AN419" s="30" t="n">
        <f aca="false">IF(AM419=1,0,AP418)</f>
        <v>0</v>
      </c>
      <c r="AO419" s="30" t="n">
        <f aca="false">IF(W419="",0,IF(AND(AN419=0,ABS(W419)&gt;Inputs!$B$5,ABS(W419)&lt;=Inputs!$B$7,W419&gt;0),1,0))</f>
        <v>0</v>
      </c>
      <c r="AP419" s="30" t="n">
        <f aca="false">IF(W419="",0,IF(AO419=1,-SIGN(W419),AN419))</f>
        <v>0</v>
      </c>
      <c r="AQ419" s="30" t="n">
        <f aca="false">IF(W419="",0,IF(AO419=1,0,IF(AM419=1,0,AL419)))</f>
        <v>0</v>
      </c>
      <c r="AR419" s="30" t="n">
        <f aca="false">IF(AP419=0,0,IF(AP418=AP419,AR418,T419))</f>
        <v>0</v>
      </c>
      <c r="AS419" s="30" t="n">
        <f aca="false">AP419-AP418</f>
        <v>0</v>
      </c>
      <c r="AT419" s="30" t="n">
        <f aca="false">-AR419*AP419</f>
        <v>-0</v>
      </c>
      <c r="AU419" s="30" t="n">
        <f aca="false">AT419-AT418</f>
        <v>0</v>
      </c>
      <c r="AV419" s="30" t="n">
        <f aca="false">MAX(AS419,0)*(Inputs!$B$17+Inputs!$B$18+Inputs!$B$19)+MAX(-AS419,0)*(O419+Inputs!$B$18+Inputs!$B$19)+IF(AND(K419=1,AP419&lt;&gt;0),(Inputs!$B$17+Inputs!$B$18+Inputs!$B$19)+(O419+Inputs!$B$18+Inputs!$B$19),0)+MAX(AU419,0)*(Inputs!$B$20+Inputs!$B$22+Inputs!$B$23)+MAX(-AU419,0)*(Inputs!$B$21+Inputs!$B$22+Inputs!$B$23)</f>
        <v>0</v>
      </c>
      <c r="AW419" s="30" t="n">
        <f aca="false">AP418*(M419-AR418*J419)+AP418*AR418*N419/Inputs!$B$16-AV419</f>
        <v>0</v>
      </c>
      <c r="AX419" s="30" t="n">
        <f aca="false">AW419-IF(AP418&lt;&gt;0,0.75*AR418*(Inputs!$B$13-N419)/Inputs!$B$16,0)</f>
        <v>0</v>
      </c>
      <c r="AY419" s="30" t="n">
        <f aca="false">MAX(AS419,0)*(Inputs!$B$17+Inputs!$B$18+Inputs!$B$19)+MAX(-AS419,0)*(O419+Inputs!$B$18+Inputs!$B$19)+IF(AND(K419=1,AP419&lt;&gt;0),(Inputs!$B$17+Inputs!$B$18+Inputs!$B$19)+(O419+Inputs!$B$18+Inputs!$B$19),0)</f>
        <v>0</v>
      </c>
      <c r="AZ419" s="30" t="n">
        <f aca="false">AP418*M419-AY419</f>
        <v>0</v>
      </c>
      <c r="BA419" s="32" t="n">
        <f aca="false">BA418+AI419</f>
        <v>0.00429130278454792</v>
      </c>
      <c r="BB419" s="30" t="n">
        <f aca="false">MAX(BB418,BA419)</f>
        <v>0.00429130278454792</v>
      </c>
      <c r="BC419" s="32" t="n">
        <f aca="false">BA419-BB419</f>
        <v>0</v>
      </c>
      <c r="BD419" s="30" t="n">
        <f aca="false">A420-A419</f>
        <v>1</v>
      </c>
    </row>
    <row r="420" customFormat="false" ht="15" hidden="false" customHeight="false" outlineLevel="0" collapsed="false">
      <c r="A420" s="28" t="n">
        <v>45659</v>
      </c>
      <c r="B420" s="0" t="n">
        <v>24269.8</v>
      </c>
      <c r="C420" s="0" t="n">
        <v>269.9</v>
      </c>
      <c r="D420" s="29" t="n">
        <f aca="false">LN(B420)</f>
        <v>10.0969880580604</v>
      </c>
      <c r="E420" s="29" t="n">
        <f aca="false">LN(C420)</f>
        <v>5.59805152002396</v>
      </c>
      <c r="F420" s="0" t="n">
        <v>415</v>
      </c>
      <c r="G420" s="0" t="n">
        <v>28</v>
      </c>
      <c r="H420" s="29" t="n">
        <f aca="false">D420-E420</f>
        <v>4.49893653803645</v>
      </c>
      <c r="I420" s="29" t="n">
        <f aca="false">D420-D419</f>
        <v>0.0147687175808802</v>
      </c>
      <c r="J420" s="29" t="n">
        <f aca="false">E420-E419</f>
        <v>0.0141793420403156</v>
      </c>
      <c r="K420" s="0" t="n">
        <v>0</v>
      </c>
      <c r="L420" s="0" t="n">
        <v>0</v>
      </c>
      <c r="M420" s="29" t="n">
        <f aca="false">IF(L420=1,J420-Carry!$B$9/Inputs!$B$16,I420)</f>
        <v>0.0147687175808802</v>
      </c>
      <c r="N420" s="0" t="n">
        <v>0.065</v>
      </c>
      <c r="O420" s="0" t="n">
        <v>0.0002</v>
      </c>
      <c r="P420" s="29" t="n">
        <f aca="false">D420-('2 Hedge ratio'!$B$6+'2 Hedge ratio'!$B$5*E420)</f>
        <v>0.00664317957648741</v>
      </c>
      <c r="Q420" s="29" t="n">
        <f aca="false">D420-('5 Re-specification'!$B$7+'5 Re-specification'!$B$5*E420+'5 Re-specification'!$B$6*F420)</f>
        <v>0.00334607934876985</v>
      </c>
      <c r="R420" s="30" t="n">
        <f aca="false">MIN(F420,Inputs!$B$9)</f>
        <v>250</v>
      </c>
      <c r="S420" s="29" t="n">
        <f aca="true">IF(AND(F420&gt;=1,R420&gt;=Inputs!$B$10),INDEX(LINEST(OFFSET(D420,-R420,0,R420,1),OFFSET(E420,-R420,0,R420,2)),1,1),"")</f>
        <v>-5.24415719002354E-005</v>
      </c>
      <c r="T420" s="29" t="n">
        <f aca="true">IF(AND(F420&gt;=1,R420&gt;=Inputs!$B$10),INDEX(LINEST(OFFSET(D420,-R420,0,R420,1),OFFSET(E420,-R420,0,R420,2)),1,2),"")</f>
        <v>0.989177194835217</v>
      </c>
      <c r="U420" s="29" t="n">
        <f aca="true">IF(AND(F420&gt;=1,R420&gt;=Inputs!$B$10),INDEX(LINEST(OFFSET(D420,-R420,0,R420,1),OFFSET(E420,-R420,0,R420,2)),1,3),"")</f>
        <v>4.57662181312589</v>
      </c>
      <c r="V420" s="29" t="n">
        <f aca="true">IF(AND(F420&gt;=1,R420&gt;=Inputs!$B$10),SQRT(SUMPRODUCT((OFFSET(D420,-R420,0,R420,1)-U420-T420*OFFSET(E420,-R420,0,R420,1)-S420*OFFSET(F420,-R420,0,R420,1))^2)/(R420-3)),"")</f>
        <v>0.00341604579130628</v>
      </c>
      <c r="W420" s="31" t="n">
        <f aca="false">IF(AND(F420&gt;=1,R420&gt;=Inputs!$B$10),(D420-U420-T420*E420-S420*F420)/V420,"")</f>
        <v>1.36549637732167</v>
      </c>
      <c r="X420" s="30" t="n">
        <f aca="false">IF(AB419&lt;&gt;0,AC419+1,0)</f>
        <v>0</v>
      </c>
      <c r="Y420" s="30" t="n">
        <f aca="false">IF(W420="",0,IF(AND(AB419&lt;&gt;0,OR(ABS(W420)&gt;Inputs!$B$7,X420&gt;=Inputs!$B$8,ABS(W420)&lt;Inputs!$B$6)),1,0))</f>
        <v>0</v>
      </c>
      <c r="Z420" s="30" t="n">
        <f aca="false">IF(Y420=1,0,AB419)</f>
        <v>0</v>
      </c>
      <c r="AA420" s="30" t="n">
        <f aca="false">IF(W420="",0,IF(AND(Z420=0,ABS(W420)&gt;Inputs!$B$5,ABS(W420)&lt;=Inputs!$B$7),1,0))</f>
        <v>0</v>
      </c>
      <c r="AB420" s="30" t="n">
        <f aca="false">IF(W420="",0,IF(AA420=1,-SIGN(W420),Z420))</f>
        <v>0</v>
      </c>
      <c r="AC420" s="30" t="n">
        <f aca="false">IF(W420="",0,IF(AA420=1,0,IF(Y420=1,0,X420)))</f>
        <v>0</v>
      </c>
      <c r="AD420" s="30" t="n">
        <f aca="false">IF(AB420=0,0,IF(AB419=AB420,AD419,T420))</f>
        <v>0</v>
      </c>
      <c r="AE420" s="30" t="n">
        <f aca="false">AB420-AB419</f>
        <v>0</v>
      </c>
      <c r="AF420" s="30" t="n">
        <f aca="false">-AD420*AB420</f>
        <v>-0</v>
      </c>
      <c r="AG420" s="30" t="n">
        <f aca="false">AF420-AF419</f>
        <v>0</v>
      </c>
      <c r="AH420" s="30" t="n">
        <f aca="false">MAX(AE420,0)*(Inputs!$B$17+Inputs!$B$18+Inputs!$B$19)+MAX(-AE420,0)*(O420+Inputs!$B$18+Inputs!$B$19)+IF(AND(K420=1,AB420&lt;&gt;0),(Inputs!$B$17+Inputs!$B$18+Inputs!$B$19)+(O420+Inputs!$B$18+Inputs!$B$19),0)+MAX(AG420,0)*(Inputs!$B$20+Inputs!$B$22+Inputs!$B$23)+MAX(-AG420,0)*(Inputs!$B$21+Inputs!$B$22+Inputs!$B$23)</f>
        <v>0</v>
      </c>
      <c r="AI420" s="30" t="n">
        <f aca="false">AB419*(M420-AD419*J420)+AB419*AD419*N420/Inputs!$B$16-AH420</f>
        <v>0</v>
      </c>
      <c r="AJ420" s="30" t="n">
        <f aca="false">MAX(AE420,0)*(Inputs!$B$17+Inputs!$B$24+Inputs!$B$25)+MAX(-AE420,0)*(O420+Inputs!$B$24+Inputs!$B$25)+IF(AND(K420=1,AB420&lt;&gt;0),(Inputs!$B$17+Inputs!$B$24+Inputs!$B$25)+(O420+Inputs!$B$24+Inputs!$B$25),0)+MAX(AG420,0)*(Inputs!$B$20+Inputs!$B$26+Inputs!$B$27)+MAX(-AG420,0)*(Inputs!$B$21+Inputs!$B$26+Inputs!$B$27)</f>
        <v>0</v>
      </c>
      <c r="AK420" s="30" t="n">
        <f aca="false">AB419*(M420-AD419*J420)+AB419*AD419*(N420+Inputs!$B$14)/Inputs!$B$16-AJ420</f>
        <v>0</v>
      </c>
      <c r="AL420" s="30" t="n">
        <f aca="false">IF(AP419&lt;&gt;0,AQ419+1,0)</f>
        <v>0</v>
      </c>
      <c r="AM420" s="30" t="n">
        <f aca="false">IF(W420="",0,IF(AND(AP419&lt;&gt;0,OR(ABS(W420)&gt;Inputs!$B$7,AL420&gt;=Inputs!$B$8,ABS(W420)&lt;Inputs!$B$6)),1,0))</f>
        <v>0</v>
      </c>
      <c r="AN420" s="30" t="n">
        <f aca="false">IF(AM420=1,0,AP419)</f>
        <v>0</v>
      </c>
      <c r="AO420" s="30" t="n">
        <f aca="false">IF(W420="",0,IF(AND(AN420=0,ABS(W420)&gt;Inputs!$B$5,ABS(W420)&lt;=Inputs!$B$7,W420&gt;0),1,0))</f>
        <v>0</v>
      </c>
      <c r="AP420" s="30" t="n">
        <f aca="false">IF(W420="",0,IF(AO420=1,-SIGN(W420),AN420))</f>
        <v>0</v>
      </c>
      <c r="AQ420" s="30" t="n">
        <f aca="false">IF(W420="",0,IF(AO420=1,0,IF(AM420=1,0,AL420)))</f>
        <v>0</v>
      </c>
      <c r="AR420" s="30" t="n">
        <f aca="false">IF(AP420=0,0,IF(AP419=AP420,AR419,T420))</f>
        <v>0</v>
      </c>
      <c r="AS420" s="30" t="n">
        <f aca="false">AP420-AP419</f>
        <v>0</v>
      </c>
      <c r="AT420" s="30" t="n">
        <f aca="false">-AR420*AP420</f>
        <v>-0</v>
      </c>
      <c r="AU420" s="30" t="n">
        <f aca="false">AT420-AT419</f>
        <v>0</v>
      </c>
      <c r="AV420" s="30" t="n">
        <f aca="false">MAX(AS420,0)*(Inputs!$B$17+Inputs!$B$18+Inputs!$B$19)+MAX(-AS420,0)*(O420+Inputs!$B$18+Inputs!$B$19)+IF(AND(K420=1,AP420&lt;&gt;0),(Inputs!$B$17+Inputs!$B$18+Inputs!$B$19)+(O420+Inputs!$B$18+Inputs!$B$19),0)+MAX(AU420,0)*(Inputs!$B$20+Inputs!$B$22+Inputs!$B$23)+MAX(-AU420,0)*(Inputs!$B$21+Inputs!$B$22+Inputs!$B$23)</f>
        <v>0</v>
      </c>
      <c r="AW420" s="30" t="n">
        <f aca="false">AP419*(M420-AR419*J420)+AP419*AR419*N420/Inputs!$B$16-AV420</f>
        <v>0</v>
      </c>
      <c r="AX420" s="30" t="n">
        <f aca="false">AW420-IF(AP419&lt;&gt;0,0.75*AR419*(Inputs!$B$13-N420)/Inputs!$B$16,0)</f>
        <v>0</v>
      </c>
      <c r="AY420" s="30" t="n">
        <f aca="false">MAX(AS420,0)*(Inputs!$B$17+Inputs!$B$18+Inputs!$B$19)+MAX(-AS420,0)*(O420+Inputs!$B$18+Inputs!$B$19)+IF(AND(K420=1,AP420&lt;&gt;0),(Inputs!$B$17+Inputs!$B$18+Inputs!$B$19)+(O420+Inputs!$B$18+Inputs!$B$19),0)</f>
        <v>0</v>
      </c>
      <c r="AZ420" s="30" t="n">
        <f aca="false">AP419*M420-AY420</f>
        <v>0</v>
      </c>
      <c r="BA420" s="32" t="n">
        <f aca="false">BA419+AI420</f>
        <v>0.00429130278454792</v>
      </c>
      <c r="BB420" s="30" t="n">
        <f aca="false">MAX(BB419,BA420)</f>
        <v>0.00429130278454792</v>
      </c>
      <c r="BC420" s="32" t="n">
        <f aca="false">BA420-BB420</f>
        <v>0</v>
      </c>
      <c r="BD420" s="30" t="n">
        <f aca="false">A421-A420</f>
        <v>1</v>
      </c>
    </row>
    <row r="421" customFormat="false" ht="15" hidden="false" customHeight="false" outlineLevel="0" collapsed="false">
      <c r="A421" s="28" t="n">
        <v>45660</v>
      </c>
      <c r="B421" s="0" t="n">
        <v>24083.75</v>
      </c>
      <c r="C421" s="0" t="n">
        <v>268.85</v>
      </c>
      <c r="D421" s="29" t="n">
        <f aca="false">LN(B421)</f>
        <v>10.089292618195</v>
      </c>
      <c r="E421" s="29" t="n">
        <f aca="false">LN(C421)</f>
        <v>5.59415360325569</v>
      </c>
      <c r="F421" s="0" t="n">
        <v>416</v>
      </c>
      <c r="G421" s="0" t="n">
        <v>27</v>
      </c>
      <c r="H421" s="29" t="n">
        <f aca="false">D421-E421</f>
        <v>4.49513901493928</v>
      </c>
      <c r="I421" s="29" t="n">
        <f aca="false">D421-D420</f>
        <v>-0.00769543986543653</v>
      </c>
      <c r="J421" s="29" t="n">
        <f aca="false">E421-E420</f>
        <v>-0.00389791676827134</v>
      </c>
      <c r="K421" s="0" t="n">
        <v>0</v>
      </c>
      <c r="L421" s="0" t="n">
        <v>0</v>
      </c>
      <c r="M421" s="29" t="n">
        <f aca="false">IF(L421=1,J421-Carry!$B$9/Inputs!$B$16,I421)</f>
        <v>-0.00769543986543653</v>
      </c>
      <c r="N421" s="0" t="n">
        <v>0.065</v>
      </c>
      <c r="O421" s="0" t="n">
        <v>0.0002</v>
      </c>
      <c r="P421" s="29" t="n">
        <f aca="false">D421-('2 Hedge ratio'!$B$6+'2 Hedge ratio'!$B$5*E421)</f>
        <v>0.00251872556778032</v>
      </c>
      <c r="Q421" s="29" t="n">
        <f aca="false">D421-('5 Re-specification'!$B$7+'5 Re-specification'!$B$5*E421+'5 Re-specification'!$B$6*F421)</f>
        <v>-0.00041832706714473</v>
      </c>
      <c r="R421" s="30" t="n">
        <f aca="false">MIN(F421,Inputs!$B$9)</f>
        <v>250</v>
      </c>
      <c r="S421" s="29" t="n">
        <f aca="true">IF(AND(F421&gt;=1,R421&gt;=Inputs!$B$10),INDEX(LINEST(OFFSET(D421,-R421,0,R421,1),OFFSET(E421,-R421,0,R421,2)),1,1),"")</f>
        <v>-5.10462346127014E-005</v>
      </c>
      <c r="T421" s="29" t="n">
        <f aca="true">IF(AND(F421&gt;=1,R421&gt;=Inputs!$B$10),INDEX(LINEST(OFFSET(D421,-R421,0,R421,1),OFFSET(E421,-R421,0,R421,2)),1,2),"")</f>
        <v>0.988073521200629</v>
      </c>
      <c r="U421" s="29" t="n">
        <f aca="true">IF(AND(F421&gt;=1,R421&gt;=Inputs!$B$10),INDEX(LINEST(OFFSET(D421,-R421,0,R421,1),OFFSET(E421,-R421,0,R421,2)),1,3),"")</f>
        <v>4.5823679790365</v>
      </c>
      <c r="V421" s="29" t="n">
        <f aca="true">IF(AND(F421&gt;=1,R421&gt;=Inputs!$B$10),SQRT(SUMPRODUCT((OFFSET(D421,-R421,0,R421,1)-U421-T421*OFFSET(E421,-R421,0,R421,1)-S421*OFFSET(F421,-R421,0,R421,1))^2)/(R421-3)),"")</f>
        <v>0.0034261905242148</v>
      </c>
      <c r="W421" s="31" t="n">
        <f aca="false">IF(AND(F421&gt;=1,R421&gt;=Inputs!$B$10),(D421-U421-T421*E421-S421*F421)/V421,"")</f>
        <v>0.211553866079293</v>
      </c>
      <c r="X421" s="30" t="n">
        <f aca="false">IF(AB420&lt;&gt;0,AC420+1,0)</f>
        <v>0</v>
      </c>
      <c r="Y421" s="30" t="n">
        <f aca="false">IF(W421="",0,IF(AND(AB420&lt;&gt;0,OR(ABS(W421)&gt;Inputs!$B$7,X421&gt;=Inputs!$B$8,ABS(W421)&lt;Inputs!$B$6)),1,0))</f>
        <v>0</v>
      </c>
      <c r="Z421" s="30" t="n">
        <f aca="false">IF(Y421=1,0,AB420)</f>
        <v>0</v>
      </c>
      <c r="AA421" s="30" t="n">
        <f aca="false">IF(W421="",0,IF(AND(Z421=0,ABS(W421)&gt;Inputs!$B$5,ABS(W421)&lt;=Inputs!$B$7),1,0))</f>
        <v>0</v>
      </c>
      <c r="AB421" s="30" t="n">
        <f aca="false">IF(W421="",0,IF(AA421=1,-SIGN(W421),Z421))</f>
        <v>0</v>
      </c>
      <c r="AC421" s="30" t="n">
        <f aca="false">IF(W421="",0,IF(AA421=1,0,IF(Y421=1,0,X421)))</f>
        <v>0</v>
      </c>
      <c r="AD421" s="30" t="n">
        <f aca="false">IF(AB421=0,0,IF(AB420=AB421,AD420,T421))</f>
        <v>0</v>
      </c>
      <c r="AE421" s="30" t="n">
        <f aca="false">AB421-AB420</f>
        <v>0</v>
      </c>
      <c r="AF421" s="30" t="n">
        <f aca="false">-AD421*AB421</f>
        <v>-0</v>
      </c>
      <c r="AG421" s="30" t="n">
        <f aca="false">AF421-AF420</f>
        <v>0</v>
      </c>
      <c r="AH421" s="30" t="n">
        <f aca="false">MAX(AE421,0)*(Inputs!$B$17+Inputs!$B$18+Inputs!$B$19)+MAX(-AE421,0)*(O421+Inputs!$B$18+Inputs!$B$19)+IF(AND(K421=1,AB421&lt;&gt;0),(Inputs!$B$17+Inputs!$B$18+Inputs!$B$19)+(O421+Inputs!$B$18+Inputs!$B$19),0)+MAX(AG421,0)*(Inputs!$B$20+Inputs!$B$22+Inputs!$B$23)+MAX(-AG421,0)*(Inputs!$B$21+Inputs!$B$22+Inputs!$B$23)</f>
        <v>0</v>
      </c>
      <c r="AI421" s="30" t="n">
        <f aca="false">AB420*(M421-AD420*J421)+AB420*AD420*N421/Inputs!$B$16-AH421</f>
        <v>0</v>
      </c>
      <c r="AJ421" s="30" t="n">
        <f aca="false">MAX(AE421,0)*(Inputs!$B$17+Inputs!$B$24+Inputs!$B$25)+MAX(-AE421,0)*(O421+Inputs!$B$24+Inputs!$B$25)+IF(AND(K421=1,AB421&lt;&gt;0),(Inputs!$B$17+Inputs!$B$24+Inputs!$B$25)+(O421+Inputs!$B$24+Inputs!$B$25),0)+MAX(AG421,0)*(Inputs!$B$20+Inputs!$B$26+Inputs!$B$27)+MAX(-AG421,0)*(Inputs!$B$21+Inputs!$B$26+Inputs!$B$27)</f>
        <v>0</v>
      </c>
      <c r="AK421" s="30" t="n">
        <f aca="false">AB420*(M421-AD420*J421)+AB420*AD420*(N421+Inputs!$B$14)/Inputs!$B$16-AJ421</f>
        <v>0</v>
      </c>
      <c r="AL421" s="30" t="n">
        <f aca="false">IF(AP420&lt;&gt;0,AQ420+1,0)</f>
        <v>0</v>
      </c>
      <c r="AM421" s="30" t="n">
        <f aca="false">IF(W421="",0,IF(AND(AP420&lt;&gt;0,OR(ABS(W421)&gt;Inputs!$B$7,AL421&gt;=Inputs!$B$8,ABS(W421)&lt;Inputs!$B$6)),1,0))</f>
        <v>0</v>
      </c>
      <c r="AN421" s="30" t="n">
        <f aca="false">IF(AM421=1,0,AP420)</f>
        <v>0</v>
      </c>
      <c r="AO421" s="30" t="n">
        <f aca="false">IF(W421="",0,IF(AND(AN421=0,ABS(W421)&gt;Inputs!$B$5,ABS(W421)&lt;=Inputs!$B$7,W421&gt;0),1,0))</f>
        <v>0</v>
      </c>
      <c r="AP421" s="30" t="n">
        <f aca="false">IF(W421="",0,IF(AO421=1,-SIGN(W421),AN421))</f>
        <v>0</v>
      </c>
      <c r="AQ421" s="30" t="n">
        <f aca="false">IF(W421="",0,IF(AO421=1,0,IF(AM421=1,0,AL421)))</f>
        <v>0</v>
      </c>
      <c r="AR421" s="30" t="n">
        <f aca="false">IF(AP421=0,0,IF(AP420=AP421,AR420,T421))</f>
        <v>0</v>
      </c>
      <c r="AS421" s="30" t="n">
        <f aca="false">AP421-AP420</f>
        <v>0</v>
      </c>
      <c r="AT421" s="30" t="n">
        <f aca="false">-AR421*AP421</f>
        <v>-0</v>
      </c>
      <c r="AU421" s="30" t="n">
        <f aca="false">AT421-AT420</f>
        <v>0</v>
      </c>
      <c r="AV421" s="30" t="n">
        <f aca="false">MAX(AS421,0)*(Inputs!$B$17+Inputs!$B$18+Inputs!$B$19)+MAX(-AS421,0)*(O421+Inputs!$B$18+Inputs!$B$19)+IF(AND(K421=1,AP421&lt;&gt;0),(Inputs!$B$17+Inputs!$B$18+Inputs!$B$19)+(O421+Inputs!$B$18+Inputs!$B$19),0)+MAX(AU421,0)*(Inputs!$B$20+Inputs!$B$22+Inputs!$B$23)+MAX(-AU421,0)*(Inputs!$B$21+Inputs!$B$22+Inputs!$B$23)</f>
        <v>0</v>
      </c>
      <c r="AW421" s="30" t="n">
        <f aca="false">AP420*(M421-AR420*J421)+AP420*AR420*N421/Inputs!$B$16-AV421</f>
        <v>0</v>
      </c>
      <c r="AX421" s="30" t="n">
        <f aca="false">AW421-IF(AP420&lt;&gt;0,0.75*AR420*(Inputs!$B$13-N421)/Inputs!$B$16,0)</f>
        <v>0</v>
      </c>
      <c r="AY421" s="30" t="n">
        <f aca="false">MAX(AS421,0)*(Inputs!$B$17+Inputs!$B$18+Inputs!$B$19)+MAX(-AS421,0)*(O421+Inputs!$B$18+Inputs!$B$19)+IF(AND(K421=1,AP421&lt;&gt;0),(Inputs!$B$17+Inputs!$B$18+Inputs!$B$19)+(O421+Inputs!$B$18+Inputs!$B$19),0)</f>
        <v>0</v>
      </c>
      <c r="AZ421" s="30" t="n">
        <f aca="false">AP420*M421-AY421</f>
        <v>-0</v>
      </c>
      <c r="BA421" s="32" t="n">
        <f aca="false">BA420+AI421</f>
        <v>0.00429130278454792</v>
      </c>
      <c r="BB421" s="30" t="n">
        <f aca="false">MAX(BB420,BA421)</f>
        <v>0.00429130278454792</v>
      </c>
      <c r="BC421" s="32" t="n">
        <f aca="false">BA421-BB421</f>
        <v>0</v>
      </c>
      <c r="BD421" s="30" t="n">
        <f aca="false">A422-A421</f>
        <v>3</v>
      </c>
    </row>
    <row r="422" customFormat="false" ht="15" hidden="false" customHeight="false" outlineLevel="0" collapsed="false">
      <c r="A422" s="28" t="n">
        <v>45663</v>
      </c>
      <c r="B422" s="0" t="n">
        <v>23729.2</v>
      </c>
      <c r="C422" s="0" t="n">
        <v>264.5</v>
      </c>
      <c r="D422" s="29" t="n">
        <f aca="false">LN(B422)</f>
        <v>10.0744616362614</v>
      </c>
      <c r="E422" s="29" t="n">
        <f aca="false">LN(C422)</f>
        <v>5.57784125129835</v>
      </c>
      <c r="F422" s="0" t="n">
        <v>417</v>
      </c>
      <c r="G422" s="0" t="n">
        <v>24</v>
      </c>
      <c r="H422" s="29" t="n">
        <f aca="false">D422-E422</f>
        <v>4.49662038496309</v>
      </c>
      <c r="I422" s="29" t="n">
        <f aca="false">D422-D421</f>
        <v>-0.0148309819335264</v>
      </c>
      <c r="J422" s="29" t="n">
        <f aca="false">E422-E421</f>
        <v>-0.0163123519573336</v>
      </c>
      <c r="K422" s="0" t="n">
        <v>0</v>
      </c>
      <c r="L422" s="0" t="n">
        <v>0</v>
      </c>
      <c r="M422" s="29" t="n">
        <f aca="false">IF(L422=1,J422-Carry!$B$9/Inputs!$B$16,I422)</f>
        <v>-0.0148309819335264</v>
      </c>
      <c r="N422" s="0" t="n">
        <v>0.065</v>
      </c>
      <c r="O422" s="0" t="n">
        <v>0.0002</v>
      </c>
      <c r="P422" s="29" t="n">
        <f aca="false">D422-('2 Hedge ratio'!$B$6+'2 Hedge ratio'!$B$5*E422)</f>
        <v>0.00263192576861826</v>
      </c>
      <c r="Q422" s="29" t="n">
        <f aca="false">D422-('5 Re-specification'!$B$7+'5 Re-specification'!$B$5*E422+'5 Re-specification'!$B$6*F422)</f>
        <v>0.00105853769180442</v>
      </c>
      <c r="R422" s="30" t="n">
        <f aca="false">MIN(F422,Inputs!$B$9)</f>
        <v>250</v>
      </c>
      <c r="S422" s="29" t="n">
        <f aca="true">IF(AND(F422&gt;=1,R422&gt;=Inputs!$B$10),INDEX(LINEST(OFFSET(D422,-R422,0,R422,1),OFFSET(E422,-R422,0,R422,2)),1,1),"")</f>
        <v>-5.0671731689258E-005</v>
      </c>
      <c r="T422" s="29" t="n">
        <f aca="true">IF(AND(F422&gt;=1,R422&gt;=Inputs!$B$10),INDEX(LINEST(OFFSET(D422,-R422,0,R422,1),OFFSET(E422,-R422,0,R422,2)),1,2),"")</f>
        <v>0.98787982888289</v>
      </c>
      <c r="U422" s="29" t="n">
        <f aca="true">IF(AND(F422&gt;=1,R422&gt;=Inputs!$B$10),INDEX(LINEST(OFFSET(D422,-R422,0,R422,1),OFFSET(E422,-R422,0,R422,2)),1,3),"")</f>
        <v>4.58333230826177</v>
      </c>
      <c r="V422" s="29" t="n">
        <f aca="true">IF(AND(F422&gt;=1,R422&gt;=Inputs!$B$10),SQRT(SUMPRODUCT((OFFSET(D422,-R422,0,R422,1)-U422-T422*OFFSET(E422,-R422,0,R422,1)-S422*OFFSET(F422,-R422,0,R422,1))^2)/(R422-3)),"")</f>
        <v>0.00342455553506814</v>
      </c>
      <c r="W422" s="31" t="n">
        <f aca="false">IF(AND(F422&gt;=1,R422&gt;=Inputs!$B$10),(D422-U422-T422*E422-S422*F422)/V422,"")</f>
        <v>0.590610730308583</v>
      </c>
      <c r="X422" s="30" t="n">
        <f aca="false">IF(AB421&lt;&gt;0,AC421+1,0)</f>
        <v>0</v>
      </c>
      <c r="Y422" s="30" t="n">
        <f aca="false">IF(W422="",0,IF(AND(AB421&lt;&gt;0,OR(ABS(W422)&gt;Inputs!$B$7,X422&gt;=Inputs!$B$8,ABS(W422)&lt;Inputs!$B$6)),1,0))</f>
        <v>0</v>
      </c>
      <c r="Z422" s="30" t="n">
        <f aca="false">IF(Y422=1,0,AB421)</f>
        <v>0</v>
      </c>
      <c r="AA422" s="30" t="n">
        <f aca="false">IF(W422="",0,IF(AND(Z422=0,ABS(W422)&gt;Inputs!$B$5,ABS(W422)&lt;=Inputs!$B$7),1,0))</f>
        <v>0</v>
      </c>
      <c r="AB422" s="30" t="n">
        <f aca="false">IF(W422="",0,IF(AA422=1,-SIGN(W422),Z422))</f>
        <v>0</v>
      </c>
      <c r="AC422" s="30" t="n">
        <f aca="false">IF(W422="",0,IF(AA422=1,0,IF(Y422=1,0,X422)))</f>
        <v>0</v>
      </c>
      <c r="AD422" s="30" t="n">
        <f aca="false">IF(AB422=0,0,IF(AB421=AB422,AD421,T422))</f>
        <v>0</v>
      </c>
      <c r="AE422" s="30" t="n">
        <f aca="false">AB422-AB421</f>
        <v>0</v>
      </c>
      <c r="AF422" s="30" t="n">
        <f aca="false">-AD422*AB422</f>
        <v>-0</v>
      </c>
      <c r="AG422" s="30" t="n">
        <f aca="false">AF422-AF421</f>
        <v>0</v>
      </c>
      <c r="AH422" s="30" t="n">
        <f aca="false">MAX(AE422,0)*(Inputs!$B$17+Inputs!$B$18+Inputs!$B$19)+MAX(-AE422,0)*(O422+Inputs!$B$18+Inputs!$B$19)+IF(AND(K422=1,AB422&lt;&gt;0),(Inputs!$B$17+Inputs!$B$18+Inputs!$B$19)+(O422+Inputs!$B$18+Inputs!$B$19),0)+MAX(AG422,0)*(Inputs!$B$20+Inputs!$B$22+Inputs!$B$23)+MAX(-AG422,0)*(Inputs!$B$21+Inputs!$B$22+Inputs!$B$23)</f>
        <v>0</v>
      </c>
      <c r="AI422" s="30" t="n">
        <f aca="false">AB421*(M422-AD421*J422)+AB421*AD421*N422/Inputs!$B$16-AH422</f>
        <v>0</v>
      </c>
      <c r="AJ422" s="30" t="n">
        <f aca="false">MAX(AE422,0)*(Inputs!$B$17+Inputs!$B$24+Inputs!$B$25)+MAX(-AE422,0)*(O422+Inputs!$B$24+Inputs!$B$25)+IF(AND(K422=1,AB422&lt;&gt;0),(Inputs!$B$17+Inputs!$B$24+Inputs!$B$25)+(O422+Inputs!$B$24+Inputs!$B$25),0)+MAX(AG422,0)*(Inputs!$B$20+Inputs!$B$26+Inputs!$B$27)+MAX(-AG422,0)*(Inputs!$B$21+Inputs!$B$26+Inputs!$B$27)</f>
        <v>0</v>
      </c>
      <c r="AK422" s="30" t="n">
        <f aca="false">AB421*(M422-AD421*J422)+AB421*AD421*(N422+Inputs!$B$14)/Inputs!$B$16-AJ422</f>
        <v>0</v>
      </c>
      <c r="AL422" s="30" t="n">
        <f aca="false">IF(AP421&lt;&gt;0,AQ421+1,0)</f>
        <v>0</v>
      </c>
      <c r="AM422" s="30" t="n">
        <f aca="false">IF(W422="",0,IF(AND(AP421&lt;&gt;0,OR(ABS(W422)&gt;Inputs!$B$7,AL422&gt;=Inputs!$B$8,ABS(W422)&lt;Inputs!$B$6)),1,0))</f>
        <v>0</v>
      </c>
      <c r="AN422" s="30" t="n">
        <f aca="false">IF(AM422=1,0,AP421)</f>
        <v>0</v>
      </c>
      <c r="AO422" s="30" t="n">
        <f aca="false">IF(W422="",0,IF(AND(AN422=0,ABS(W422)&gt;Inputs!$B$5,ABS(W422)&lt;=Inputs!$B$7,W422&gt;0),1,0))</f>
        <v>0</v>
      </c>
      <c r="AP422" s="30" t="n">
        <f aca="false">IF(W422="",0,IF(AO422=1,-SIGN(W422),AN422))</f>
        <v>0</v>
      </c>
      <c r="AQ422" s="30" t="n">
        <f aca="false">IF(W422="",0,IF(AO422=1,0,IF(AM422=1,0,AL422)))</f>
        <v>0</v>
      </c>
      <c r="AR422" s="30" t="n">
        <f aca="false">IF(AP422=0,0,IF(AP421=AP422,AR421,T422))</f>
        <v>0</v>
      </c>
      <c r="AS422" s="30" t="n">
        <f aca="false">AP422-AP421</f>
        <v>0</v>
      </c>
      <c r="AT422" s="30" t="n">
        <f aca="false">-AR422*AP422</f>
        <v>-0</v>
      </c>
      <c r="AU422" s="30" t="n">
        <f aca="false">AT422-AT421</f>
        <v>0</v>
      </c>
      <c r="AV422" s="30" t="n">
        <f aca="false">MAX(AS422,0)*(Inputs!$B$17+Inputs!$B$18+Inputs!$B$19)+MAX(-AS422,0)*(O422+Inputs!$B$18+Inputs!$B$19)+IF(AND(K422=1,AP422&lt;&gt;0),(Inputs!$B$17+Inputs!$B$18+Inputs!$B$19)+(O422+Inputs!$B$18+Inputs!$B$19),0)+MAX(AU422,0)*(Inputs!$B$20+Inputs!$B$22+Inputs!$B$23)+MAX(-AU422,0)*(Inputs!$B$21+Inputs!$B$22+Inputs!$B$23)</f>
        <v>0</v>
      </c>
      <c r="AW422" s="30" t="n">
        <f aca="false">AP421*(M422-AR421*J422)+AP421*AR421*N422/Inputs!$B$16-AV422</f>
        <v>0</v>
      </c>
      <c r="AX422" s="30" t="n">
        <f aca="false">AW422-IF(AP421&lt;&gt;0,0.75*AR421*(Inputs!$B$13-N422)/Inputs!$B$16,0)</f>
        <v>0</v>
      </c>
      <c r="AY422" s="30" t="n">
        <f aca="false">MAX(AS422,0)*(Inputs!$B$17+Inputs!$B$18+Inputs!$B$19)+MAX(-AS422,0)*(O422+Inputs!$B$18+Inputs!$B$19)+IF(AND(K422=1,AP422&lt;&gt;0),(Inputs!$B$17+Inputs!$B$18+Inputs!$B$19)+(O422+Inputs!$B$18+Inputs!$B$19),0)</f>
        <v>0</v>
      </c>
      <c r="AZ422" s="30" t="n">
        <f aca="false">AP421*M422-AY422</f>
        <v>-0</v>
      </c>
      <c r="BA422" s="32" t="n">
        <f aca="false">BA421+AI422</f>
        <v>0.00429130278454792</v>
      </c>
      <c r="BB422" s="30" t="n">
        <f aca="false">MAX(BB421,BA422)</f>
        <v>0.00429130278454792</v>
      </c>
      <c r="BC422" s="32" t="n">
        <f aca="false">BA422-BB422</f>
        <v>0</v>
      </c>
      <c r="BD422" s="30" t="n">
        <f aca="false">A423-A422</f>
        <v>1</v>
      </c>
    </row>
    <row r="423" customFormat="false" ht="15" hidden="false" customHeight="false" outlineLevel="0" collapsed="false">
      <c r="A423" s="28" t="n">
        <v>45664</v>
      </c>
      <c r="B423" s="0" t="n">
        <v>23785.45</v>
      </c>
      <c r="C423" s="0" t="n">
        <v>265.6</v>
      </c>
      <c r="D423" s="29" t="n">
        <f aca="false">LN(B423)</f>
        <v>10.0768293281745</v>
      </c>
      <c r="E423" s="29" t="n">
        <f aca="false">LN(C423)</f>
        <v>5.58199141760228</v>
      </c>
      <c r="F423" s="0" t="n">
        <v>418</v>
      </c>
      <c r="G423" s="0" t="n">
        <v>23</v>
      </c>
      <c r="H423" s="29" t="n">
        <f aca="false">D423-E423</f>
        <v>4.49483791057221</v>
      </c>
      <c r="I423" s="29" t="n">
        <f aca="false">D423-D422</f>
        <v>0.0023676919130402</v>
      </c>
      <c r="J423" s="29" t="n">
        <f aca="false">E423-E422</f>
        <v>0.00415016630392451</v>
      </c>
      <c r="K423" s="0" t="n">
        <v>0</v>
      </c>
      <c r="L423" s="0" t="n">
        <v>0</v>
      </c>
      <c r="M423" s="29" t="n">
        <f aca="false">IF(L423=1,J423-Carry!$B$9/Inputs!$B$16,I423)</f>
        <v>0.0023676919130402</v>
      </c>
      <c r="N423" s="0" t="n">
        <v>0.065</v>
      </c>
      <c r="O423" s="0" t="n">
        <v>0.0002</v>
      </c>
      <c r="P423" s="29" t="n">
        <f aca="false">D423-('2 Hedge ratio'!$B$6+'2 Hedge ratio'!$B$5*E423)</f>
        <v>0.00119753927531008</v>
      </c>
      <c r="Q423" s="29" t="n">
        <f aca="false">D423-('5 Re-specification'!$B$7+'5 Re-specification'!$B$5*E423+'5 Re-specification'!$B$6*F423)</f>
        <v>-0.000666430301912158</v>
      </c>
      <c r="R423" s="30" t="n">
        <f aca="false">MIN(F423,Inputs!$B$9)</f>
        <v>250</v>
      </c>
      <c r="S423" s="29" t="n">
        <f aca="true">IF(AND(F423&gt;=1,R423&gt;=Inputs!$B$10),INDEX(LINEST(OFFSET(D423,-R423,0,R423,1),OFFSET(E423,-R423,0,R423,2)),1,1),"")</f>
        <v>-4.991430042373E-005</v>
      </c>
      <c r="T423" s="29" t="n">
        <f aca="true">IF(AND(F423&gt;=1,R423&gt;=Inputs!$B$10),INDEX(LINEST(OFFSET(D423,-R423,0,R423,1),OFFSET(E423,-R423,0,R423,2)),1,2),"")</f>
        <v>0.987281779847456</v>
      </c>
      <c r="U423" s="29" t="n">
        <f aca="true">IF(AND(F423&gt;=1,R423&gt;=Inputs!$B$10),INDEX(LINEST(OFFSET(D423,-R423,0,R423,1),OFFSET(E423,-R423,0,R423,2)),1,3),"")</f>
        <v>4.5864402164794</v>
      </c>
      <c r="V423" s="29" t="n">
        <f aca="true">IF(AND(F423&gt;=1,R423&gt;=Inputs!$B$10),SQRT(SUMPRODUCT((OFFSET(D423,-R423,0,R423,1)-U423-T423*OFFSET(E423,-R423,0,R423,1)-S423*OFFSET(F423,-R423,0,R423,1))^2)/(R423-3)),"")</f>
        <v>0.00342522927235374</v>
      </c>
      <c r="W423" s="31" t="n">
        <f aca="false">IF(AND(F423&gt;=1,R423&gt;=Inputs!$B$10),(D423-U423-T423*E423-S423*F423)/V423,"")</f>
        <v>0.0744088609351957</v>
      </c>
      <c r="X423" s="30" t="n">
        <f aca="false">IF(AB422&lt;&gt;0,AC422+1,0)</f>
        <v>0</v>
      </c>
      <c r="Y423" s="30" t="n">
        <f aca="false">IF(W423="",0,IF(AND(AB422&lt;&gt;0,OR(ABS(W423)&gt;Inputs!$B$7,X423&gt;=Inputs!$B$8,ABS(W423)&lt;Inputs!$B$6)),1,0))</f>
        <v>0</v>
      </c>
      <c r="Z423" s="30" t="n">
        <f aca="false">IF(Y423=1,0,AB422)</f>
        <v>0</v>
      </c>
      <c r="AA423" s="30" t="n">
        <f aca="false">IF(W423="",0,IF(AND(Z423=0,ABS(W423)&gt;Inputs!$B$5,ABS(W423)&lt;=Inputs!$B$7),1,0))</f>
        <v>0</v>
      </c>
      <c r="AB423" s="30" t="n">
        <f aca="false">IF(W423="",0,IF(AA423=1,-SIGN(W423),Z423))</f>
        <v>0</v>
      </c>
      <c r="AC423" s="30" t="n">
        <f aca="false">IF(W423="",0,IF(AA423=1,0,IF(Y423=1,0,X423)))</f>
        <v>0</v>
      </c>
      <c r="AD423" s="30" t="n">
        <f aca="false">IF(AB423=0,0,IF(AB422=AB423,AD422,T423))</f>
        <v>0</v>
      </c>
      <c r="AE423" s="30" t="n">
        <f aca="false">AB423-AB422</f>
        <v>0</v>
      </c>
      <c r="AF423" s="30" t="n">
        <f aca="false">-AD423*AB423</f>
        <v>-0</v>
      </c>
      <c r="AG423" s="30" t="n">
        <f aca="false">AF423-AF422</f>
        <v>0</v>
      </c>
      <c r="AH423" s="30" t="n">
        <f aca="false">MAX(AE423,0)*(Inputs!$B$17+Inputs!$B$18+Inputs!$B$19)+MAX(-AE423,0)*(O423+Inputs!$B$18+Inputs!$B$19)+IF(AND(K423=1,AB423&lt;&gt;0),(Inputs!$B$17+Inputs!$B$18+Inputs!$B$19)+(O423+Inputs!$B$18+Inputs!$B$19),0)+MAX(AG423,0)*(Inputs!$B$20+Inputs!$B$22+Inputs!$B$23)+MAX(-AG423,0)*(Inputs!$B$21+Inputs!$B$22+Inputs!$B$23)</f>
        <v>0</v>
      </c>
      <c r="AI423" s="30" t="n">
        <f aca="false">AB422*(M423-AD422*J423)+AB422*AD422*N423/Inputs!$B$16-AH423</f>
        <v>0</v>
      </c>
      <c r="AJ423" s="30" t="n">
        <f aca="false">MAX(AE423,0)*(Inputs!$B$17+Inputs!$B$24+Inputs!$B$25)+MAX(-AE423,0)*(O423+Inputs!$B$24+Inputs!$B$25)+IF(AND(K423=1,AB423&lt;&gt;0),(Inputs!$B$17+Inputs!$B$24+Inputs!$B$25)+(O423+Inputs!$B$24+Inputs!$B$25),0)+MAX(AG423,0)*(Inputs!$B$20+Inputs!$B$26+Inputs!$B$27)+MAX(-AG423,0)*(Inputs!$B$21+Inputs!$B$26+Inputs!$B$27)</f>
        <v>0</v>
      </c>
      <c r="AK423" s="30" t="n">
        <f aca="false">AB422*(M423-AD422*J423)+AB422*AD422*(N423+Inputs!$B$14)/Inputs!$B$16-AJ423</f>
        <v>0</v>
      </c>
      <c r="AL423" s="30" t="n">
        <f aca="false">IF(AP422&lt;&gt;0,AQ422+1,0)</f>
        <v>0</v>
      </c>
      <c r="AM423" s="30" t="n">
        <f aca="false">IF(W423="",0,IF(AND(AP422&lt;&gt;0,OR(ABS(W423)&gt;Inputs!$B$7,AL423&gt;=Inputs!$B$8,ABS(W423)&lt;Inputs!$B$6)),1,0))</f>
        <v>0</v>
      </c>
      <c r="AN423" s="30" t="n">
        <f aca="false">IF(AM423=1,0,AP422)</f>
        <v>0</v>
      </c>
      <c r="AO423" s="30" t="n">
        <f aca="false">IF(W423="",0,IF(AND(AN423=0,ABS(W423)&gt;Inputs!$B$5,ABS(W423)&lt;=Inputs!$B$7,W423&gt;0),1,0))</f>
        <v>0</v>
      </c>
      <c r="AP423" s="30" t="n">
        <f aca="false">IF(W423="",0,IF(AO423=1,-SIGN(W423),AN423))</f>
        <v>0</v>
      </c>
      <c r="AQ423" s="30" t="n">
        <f aca="false">IF(W423="",0,IF(AO423=1,0,IF(AM423=1,0,AL423)))</f>
        <v>0</v>
      </c>
      <c r="AR423" s="30" t="n">
        <f aca="false">IF(AP423=0,0,IF(AP422=AP423,AR422,T423))</f>
        <v>0</v>
      </c>
      <c r="AS423" s="30" t="n">
        <f aca="false">AP423-AP422</f>
        <v>0</v>
      </c>
      <c r="AT423" s="30" t="n">
        <f aca="false">-AR423*AP423</f>
        <v>-0</v>
      </c>
      <c r="AU423" s="30" t="n">
        <f aca="false">AT423-AT422</f>
        <v>0</v>
      </c>
      <c r="AV423" s="30" t="n">
        <f aca="false">MAX(AS423,0)*(Inputs!$B$17+Inputs!$B$18+Inputs!$B$19)+MAX(-AS423,0)*(O423+Inputs!$B$18+Inputs!$B$19)+IF(AND(K423=1,AP423&lt;&gt;0),(Inputs!$B$17+Inputs!$B$18+Inputs!$B$19)+(O423+Inputs!$B$18+Inputs!$B$19),0)+MAX(AU423,0)*(Inputs!$B$20+Inputs!$B$22+Inputs!$B$23)+MAX(-AU423,0)*(Inputs!$B$21+Inputs!$B$22+Inputs!$B$23)</f>
        <v>0</v>
      </c>
      <c r="AW423" s="30" t="n">
        <f aca="false">AP422*(M423-AR422*J423)+AP422*AR422*N423/Inputs!$B$16-AV423</f>
        <v>0</v>
      </c>
      <c r="AX423" s="30" t="n">
        <f aca="false">AW423-IF(AP422&lt;&gt;0,0.75*AR422*(Inputs!$B$13-N423)/Inputs!$B$16,0)</f>
        <v>0</v>
      </c>
      <c r="AY423" s="30" t="n">
        <f aca="false">MAX(AS423,0)*(Inputs!$B$17+Inputs!$B$18+Inputs!$B$19)+MAX(-AS423,0)*(O423+Inputs!$B$18+Inputs!$B$19)+IF(AND(K423=1,AP423&lt;&gt;0),(Inputs!$B$17+Inputs!$B$18+Inputs!$B$19)+(O423+Inputs!$B$18+Inputs!$B$19),0)</f>
        <v>0</v>
      </c>
      <c r="AZ423" s="30" t="n">
        <f aca="false">AP422*M423-AY423</f>
        <v>0</v>
      </c>
      <c r="BA423" s="32" t="n">
        <f aca="false">BA422+AI423</f>
        <v>0.00429130278454792</v>
      </c>
      <c r="BB423" s="30" t="n">
        <f aca="false">MAX(BB422,BA423)</f>
        <v>0.00429130278454792</v>
      </c>
      <c r="BC423" s="32" t="n">
        <f aca="false">BA423-BB423</f>
        <v>0</v>
      </c>
      <c r="BD423" s="30" t="n">
        <f aca="false">A424-A423</f>
        <v>1</v>
      </c>
    </row>
    <row r="424" customFormat="false" ht="15" hidden="false" customHeight="false" outlineLevel="0" collapsed="false">
      <c r="A424" s="28" t="n">
        <v>45665</v>
      </c>
      <c r="B424" s="0" t="n">
        <v>23779.9</v>
      </c>
      <c r="C424" s="0" t="n">
        <v>265</v>
      </c>
      <c r="D424" s="29" t="n">
        <f aca="false">LN(B424)</f>
        <v>10.0765959650215</v>
      </c>
      <c r="E424" s="29" t="n">
        <f aca="false">LN(C424)</f>
        <v>5.57972982598622</v>
      </c>
      <c r="F424" s="0" t="n">
        <v>419</v>
      </c>
      <c r="G424" s="0" t="n">
        <v>22</v>
      </c>
      <c r="H424" s="29" t="n">
        <f aca="false">D424-E424</f>
        <v>4.49686613903524</v>
      </c>
      <c r="I424" s="29" t="n">
        <f aca="false">D424-D423</f>
        <v>-0.000233363153018473</v>
      </c>
      <c r="J424" s="29" t="n">
        <f aca="false">E424-E423</f>
        <v>-0.00226159161605644</v>
      </c>
      <c r="K424" s="0" t="n">
        <v>0</v>
      </c>
      <c r="L424" s="0" t="n">
        <v>0</v>
      </c>
      <c r="M424" s="29" t="n">
        <f aca="false">IF(L424=1,J424-Carry!$B$9/Inputs!$B$16,I424)</f>
        <v>-0.000233363153018473</v>
      </c>
      <c r="N424" s="0" t="n">
        <v>0.065</v>
      </c>
      <c r="O424" s="0" t="n">
        <v>0.0002</v>
      </c>
      <c r="P424" s="29" t="n">
        <f aca="false">D424-('2 Hedge ratio'!$B$6+'2 Hedge ratio'!$B$5*E424)</f>
        <v>0.00303608072024808</v>
      </c>
      <c r="Q424" s="29" t="n">
        <f aca="false">D424-('5 Re-specification'!$B$7+'5 Re-specification'!$B$5*E424+'5 Re-specification'!$B$6*F424)</f>
        <v>0.00139987372578432</v>
      </c>
      <c r="R424" s="30" t="n">
        <f aca="false">MIN(F424,Inputs!$B$9)</f>
        <v>250</v>
      </c>
      <c r="S424" s="29" t="n">
        <f aca="true">IF(AND(F424&gt;=1,R424&gt;=Inputs!$B$10),INDEX(LINEST(OFFSET(D424,-R424,0,R424,1),OFFSET(E424,-R424,0,R424,2)),1,1),"")</f>
        <v>-4.98113715011612E-005</v>
      </c>
      <c r="T424" s="29" t="n">
        <f aca="true">IF(AND(F424&gt;=1,R424&gt;=Inputs!$B$10),INDEX(LINEST(OFFSET(D424,-R424,0,R424,1),OFFSET(E424,-R424,0,R424,2)),1,2),"")</f>
        <v>0.987228510340364</v>
      </c>
      <c r="U424" s="29" t="n">
        <f aca="true">IF(AND(F424&gt;=1,R424&gt;=Inputs!$B$10),INDEX(LINEST(OFFSET(D424,-R424,0,R424,1),OFFSET(E424,-R424,0,R424,2)),1,3),"")</f>
        <v>4.58670569964301</v>
      </c>
      <c r="V424" s="29" t="n">
        <f aca="true">IF(AND(F424&gt;=1,R424&gt;=Inputs!$B$10),SQRT(SUMPRODUCT((OFFSET(D424,-R424,0,R424,1)-U424-T424*OFFSET(E424,-R424,0,R424,1)-S424*OFFSET(F424,-R424,0,R424,1))^2)/(R424-3)),"")</f>
        <v>0.00342514700443526</v>
      </c>
      <c r="W424" s="31" t="n">
        <f aca="false">IF(AND(F424&gt;=1,R424&gt;=Inputs!$B$10),(D424-U424-T424*E424-S424*F424)/V424,"")</f>
        <v>0.669421144374872</v>
      </c>
      <c r="X424" s="30" t="n">
        <f aca="false">IF(AB423&lt;&gt;0,AC423+1,0)</f>
        <v>0</v>
      </c>
      <c r="Y424" s="30" t="n">
        <f aca="false">IF(W424="",0,IF(AND(AB423&lt;&gt;0,OR(ABS(W424)&gt;Inputs!$B$7,X424&gt;=Inputs!$B$8,ABS(W424)&lt;Inputs!$B$6)),1,0))</f>
        <v>0</v>
      </c>
      <c r="Z424" s="30" t="n">
        <f aca="false">IF(Y424=1,0,AB423)</f>
        <v>0</v>
      </c>
      <c r="AA424" s="30" t="n">
        <f aca="false">IF(W424="",0,IF(AND(Z424=0,ABS(W424)&gt;Inputs!$B$5,ABS(W424)&lt;=Inputs!$B$7),1,0))</f>
        <v>0</v>
      </c>
      <c r="AB424" s="30" t="n">
        <f aca="false">IF(W424="",0,IF(AA424=1,-SIGN(W424),Z424))</f>
        <v>0</v>
      </c>
      <c r="AC424" s="30" t="n">
        <f aca="false">IF(W424="",0,IF(AA424=1,0,IF(Y424=1,0,X424)))</f>
        <v>0</v>
      </c>
      <c r="AD424" s="30" t="n">
        <f aca="false">IF(AB424=0,0,IF(AB423=AB424,AD423,T424))</f>
        <v>0</v>
      </c>
      <c r="AE424" s="30" t="n">
        <f aca="false">AB424-AB423</f>
        <v>0</v>
      </c>
      <c r="AF424" s="30" t="n">
        <f aca="false">-AD424*AB424</f>
        <v>-0</v>
      </c>
      <c r="AG424" s="30" t="n">
        <f aca="false">AF424-AF423</f>
        <v>0</v>
      </c>
      <c r="AH424" s="30" t="n">
        <f aca="false">MAX(AE424,0)*(Inputs!$B$17+Inputs!$B$18+Inputs!$B$19)+MAX(-AE424,0)*(O424+Inputs!$B$18+Inputs!$B$19)+IF(AND(K424=1,AB424&lt;&gt;0),(Inputs!$B$17+Inputs!$B$18+Inputs!$B$19)+(O424+Inputs!$B$18+Inputs!$B$19),0)+MAX(AG424,0)*(Inputs!$B$20+Inputs!$B$22+Inputs!$B$23)+MAX(-AG424,0)*(Inputs!$B$21+Inputs!$B$22+Inputs!$B$23)</f>
        <v>0</v>
      </c>
      <c r="AI424" s="30" t="n">
        <f aca="false">AB423*(M424-AD423*J424)+AB423*AD423*N424/Inputs!$B$16-AH424</f>
        <v>0</v>
      </c>
      <c r="AJ424" s="30" t="n">
        <f aca="false">MAX(AE424,0)*(Inputs!$B$17+Inputs!$B$24+Inputs!$B$25)+MAX(-AE424,0)*(O424+Inputs!$B$24+Inputs!$B$25)+IF(AND(K424=1,AB424&lt;&gt;0),(Inputs!$B$17+Inputs!$B$24+Inputs!$B$25)+(O424+Inputs!$B$24+Inputs!$B$25),0)+MAX(AG424,0)*(Inputs!$B$20+Inputs!$B$26+Inputs!$B$27)+MAX(-AG424,0)*(Inputs!$B$21+Inputs!$B$26+Inputs!$B$27)</f>
        <v>0</v>
      </c>
      <c r="AK424" s="30" t="n">
        <f aca="false">AB423*(M424-AD423*J424)+AB423*AD423*(N424+Inputs!$B$14)/Inputs!$B$16-AJ424</f>
        <v>0</v>
      </c>
      <c r="AL424" s="30" t="n">
        <f aca="false">IF(AP423&lt;&gt;0,AQ423+1,0)</f>
        <v>0</v>
      </c>
      <c r="AM424" s="30" t="n">
        <f aca="false">IF(W424="",0,IF(AND(AP423&lt;&gt;0,OR(ABS(W424)&gt;Inputs!$B$7,AL424&gt;=Inputs!$B$8,ABS(W424)&lt;Inputs!$B$6)),1,0))</f>
        <v>0</v>
      </c>
      <c r="AN424" s="30" t="n">
        <f aca="false">IF(AM424=1,0,AP423)</f>
        <v>0</v>
      </c>
      <c r="AO424" s="30" t="n">
        <f aca="false">IF(W424="",0,IF(AND(AN424=0,ABS(W424)&gt;Inputs!$B$5,ABS(W424)&lt;=Inputs!$B$7,W424&gt;0),1,0))</f>
        <v>0</v>
      </c>
      <c r="AP424" s="30" t="n">
        <f aca="false">IF(W424="",0,IF(AO424=1,-SIGN(W424),AN424))</f>
        <v>0</v>
      </c>
      <c r="AQ424" s="30" t="n">
        <f aca="false">IF(W424="",0,IF(AO424=1,0,IF(AM424=1,0,AL424)))</f>
        <v>0</v>
      </c>
      <c r="AR424" s="30" t="n">
        <f aca="false">IF(AP424=0,0,IF(AP423=AP424,AR423,T424))</f>
        <v>0</v>
      </c>
      <c r="AS424" s="30" t="n">
        <f aca="false">AP424-AP423</f>
        <v>0</v>
      </c>
      <c r="AT424" s="30" t="n">
        <f aca="false">-AR424*AP424</f>
        <v>-0</v>
      </c>
      <c r="AU424" s="30" t="n">
        <f aca="false">AT424-AT423</f>
        <v>0</v>
      </c>
      <c r="AV424" s="30" t="n">
        <f aca="false">MAX(AS424,0)*(Inputs!$B$17+Inputs!$B$18+Inputs!$B$19)+MAX(-AS424,0)*(O424+Inputs!$B$18+Inputs!$B$19)+IF(AND(K424=1,AP424&lt;&gt;0),(Inputs!$B$17+Inputs!$B$18+Inputs!$B$19)+(O424+Inputs!$B$18+Inputs!$B$19),0)+MAX(AU424,0)*(Inputs!$B$20+Inputs!$B$22+Inputs!$B$23)+MAX(-AU424,0)*(Inputs!$B$21+Inputs!$B$22+Inputs!$B$23)</f>
        <v>0</v>
      </c>
      <c r="AW424" s="30" t="n">
        <f aca="false">AP423*(M424-AR423*J424)+AP423*AR423*N424/Inputs!$B$16-AV424</f>
        <v>0</v>
      </c>
      <c r="AX424" s="30" t="n">
        <f aca="false">AW424-IF(AP423&lt;&gt;0,0.75*AR423*(Inputs!$B$13-N424)/Inputs!$B$16,0)</f>
        <v>0</v>
      </c>
      <c r="AY424" s="30" t="n">
        <f aca="false">MAX(AS424,0)*(Inputs!$B$17+Inputs!$B$18+Inputs!$B$19)+MAX(-AS424,0)*(O424+Inputs!$B$18+Inputs!$B$19)+IF(AND(K424=1,AP424&lt;&gt;0),(Inputs!$B$17+Inputs!$B$18+Inputs!$B$19)+(O424+Inputs!$B$18+Inputs!$B$19),0)</f>
        <v>0</v>
      </c>
      <c r="AZ424" s="30" t="n">
        <f aca="false">AP423*M424-AY424</f>
        <v>-0</v>
      </c>
      <c r="BA424" s="32" t="n">
        <f aca="false">BA423+AI424</f>
        <v>0.00429130278454792</v>
      </c>
      <c r="BB424" s="30" t="n">
        <f aca="false">MAX(BB423,BA424)</f>
        <v>0.00429130278454792</v>
      </c>
      <c r="BC424" s="32" t="n">
        <f aca="false">BA424-BB424</f>
        <v>0</v>
      </c>
      <c r="BD424" s="30" t="n">
        <f aca="false">A425-A424</f>
        <v>1</v>
      </c>
    </row>
    <row r="425" customFormat="false" ht="15" hidden="false" customHeight="false" outlineLevel="0" collapsed="false">
      <c r="A425" s="28" t="n">
        <v>45666</v>
      </c>
      <c r="B425" s="0" t="n">
        <v>23666.05</v>
      </c>
      <c r="C425" s="0" t="n">
        <v>263.5</v>
      </c>
      <c r="D425" s="29" t="n">
        <f aca="false">LN(B425)</f>
        <v>10.0717968106778</v>
      </c>
      <c r="E425" s="29" t="n">
        <f aca="false">LN(C425)</f>
        <v>5.57405336798142</v>
      </c>
      <c r="F425" s="0" t="n">
        <v>420</v>
      </c>
      <c r="G425" s="0" t="n">
        <v>21</v>
      </c>
      <c r="H425" s="29" t="n">
        <f aca="false">D425-E425</f>
        <v>4.49774344269643</v>
      </c>
      <c r="I425" s="29" t="n">
        <f aca="false">D425-D424</f>
        <v>-0.00479915434362255</v>
      </c>
      <c r="J425" s="29" t="n">
        <f aca="false">E425-E424</f>
        <v>-0.00567645800480499</v>
      </c>
      <c r="K425" s="0" t="n">
        <v>0</v>
      </c>
      <c r="L425" s="0" t="n">
        <v>0</v>
      </c>
      <c r="M425" s="29" t="n">
        <f aca="false">IF(L425=1,J425-Carry!$B$9/Inputs!$B$16,I425)</f>
        <v>-0.00479915434362255</v>
      </c>
      <c r="N425" s="0" t="n">
        <v>0.065</v>
      </c>
      <c r="O425" s="0" t="n">
        <v>0.0002</v>
      </c>
      <c r="P425" s="29" t="n">
        <f aca="false">D425-('2 Hedge ratio'!$B$6+'2 Hedge ratio'!$B$5*E425)</f>
        <v>0.00343728145256783</v>
      </c>
      <c r="Q425" s="29" t="n">
        <f aca="false">D425-('5 Re-specification'!$B$7+'5 Re-specification'!$B$5*E425+'5 Re-specification'!$B$6*F425)</f>
        <v>0.00230490419895801</v>
      </c>
      <c r="R425" s="30" t="n">
        <f aca="false">MIN(F425,Inputs!$B$9)</f>
        <v>250</v>
      </c>
      <c r="S425" s="29" t="n">
        <f aca="true">IF(AND(F425&gt;=1,R425&gt;=Inputs!$B$10),INDEX(LINEST(OFFSET(D425,-R425,0,R425,1),OFFSET(E425,-R425,0,R425,2)),1,1),"")</f>
        <v>-4.88898976838141E-005</v>
      </c>
      <c r="T425" s="29" t="n">
        <f aca="true">IF(AND(F425&gt;=1,R425&gt;=Inputs!$B$10),INDEX(LINEST(OFFSET(D425,-R425,0,R425,1),OFFSET(E425,-R425,0,R425,2)),1,2),"")</f>
        <v>0.986635135789796</v>
      </c>
      <c r="U425" s="29" t="n">
        <f aca="true">IF(AND(F425&gt;=1,R425&gt;=Inputs!$B$10),INDEX(LINEST(OFFSET(D425,-R425,0,R425,1),OFFSET(E425,-R425,0,R425,2)),1,3),"")</f>
        <v>4.58973313589025</v>
      </c>
      <c r="V425" s="29" t="n">
        <f aca="true">IF(AND(F425&gt;=1,R425&gt;=Inputs!$B$10),SQRT(SUMPRODUCT((OFFSET(D425,-R425,0,R425,1)-U425-T425*OFFSET(E425,-R425,0,R425,1)-S425*OFFSET(F425,-R425,0,R425,1))^2)/(R425-3)),"")</f>
        <v>0.00342193620278614</v>
      </c>
      <c r="W425" s="31" t="n">
        <f aca="false">IF(AND(F425&gt;=1,R425&gt;=Inputs!$B$10),(D425-U425-T425*E425-S425*F425)/V425,"")</f>
        <v>0.888540877648105</v>
      </c>
      <c r="X425" s="30" t="n">
        <f aca="false">IF(AB424&lt;&gt;0,AC424+1,0)</f>
        <v>0</v>
      </c>
      <c r="Y425" s="30" t="n">
        <f aca="false">IF(W425="",0,IF(AND(AB424&lt;&gt;0,OR(ABS(W425)&gt;Inputs!$B$7,X425&gt;=Inputs!$B$8,ABS(W425)&lt;Inputs!$B$6)),1,0))</f>
        <v>0</v>
      </c>
      <c r="Z425" s="30" t="n">
        <f aca="false">IF(Y425=1,0,AB424)</f>
        <v>0</v>
      </c>
      <c r="AA425" s="30" t="n">
        <f aca="false">IF(W425="",0,IF(AND(Z425=0,ABS(W425)&gt;Inputs!$B$5,ABS(W425)&lt;=Inputs!$B$7),1,0))</f>
        <v>0</v>
      </c>
      <c r="AB425" s="30" t="n">
        <f aca="false">IF(W425="",0,IF(AA425=1,-SIGN(W425),Z425))</f>
        <v>0</v>
      </c>
      <c r="AC425" s="30" t="n">
        <f aca="false">IF(W425="",0,IF(AA425=1,0,IF(Y425=1,0,X425)))</f>
        <v>0</v>
      </c>
      <c r="AD425" s="30" t="n">
        <f aca="false">IF(AB425=0,0,IF(AB424=AB425,AD424,T425))</f>
        <v>0</v>
      </c>
      <c r="AE425" s="30" t="n">
        <f aca="false">AB425-AB424</f>
        <v>0</v>
      </c>
      <c r="AF425" s="30" t="n">
        <f aca="false">-AD425*AB425</f>
        <v>-0</v>
      </c>
      <c r="AG425" s="30" t="n">
        <f aca="false">AF425-AF424</f>
        <v>0</v>
      </c>
      <c r="AH425" s="30" t="n">
        <f aca="false">MAX(AE425,0)*(Inputs!$B$17+Inputs!$B$18+Inputs!$B$19)+MAX(-AE425,0)*(O425+Inputs!$B$18+Inputs!$B$19)+IF(AND(K425=1,AB425&lt;&gt;0),(Inputs!$B$17+Inputs!$B$18+Inputs!$B$19)+(O425+Inputs!$B$18+Inputs!$B$19),0)+MAX(AG425,0)*(Inputs!$B$20+Inputs!$B$22+Inputs!$B$23)+MAX(-AG425,0)*(Inputs!$B$21+Inputs!$B$22+Inputs!$B$23)</f>
        <v>0</v>
      </c>
      <c r="AI425" s="30" t="n">
        <f aca="false">AB424*(M425-AD424*J425)+AB424*AD424*N425/Inputs!$B$16-AH425</f>
        <v>0</v>
      </c>
      <c r="AJ425" s="30" t="n">
        <f aca="false">MAX(AE425,0)*(Inputs!$B$17+Inputs!$B$24+Inputs!$B$25)+MAX(-AE425,0)*(O425+Inputs!$B$24+Inputs!$B$25)+IF(AND(K425=1,AB425&lt;&gt;0),(Inputs!$B$17+Inputs!$B$24+Inputs!$B$25)+(O425+Inputs!$B$24+Inputs!$B$25),0)+MAX(AG425,0)*(Inputs!$B$20+Inputs!$B$26+Inputs!$B$27)+MAX(-AG425,0)*(Inputs!$B$21+Inputs!$B$26+Inputs!$B$27)</f>
        <v>0</v>
      </c>
      <c r="AK425" s="30" t="n">
        <f aca="false">AB424*(M425-AD424*J425)+AB424*AD424*(N425+Inputs!$B$14)/Inputs!$B$16-AJ425</f>
        <v>0</v>
      </c>
      <c r="AL425" s="30" t="n">
        <f aca="false">IF(AP424&lt;&gt;0,AQ424+1,0)</f>
        <v>0</v>
      </c>
      <c r="AM425" s="30" t="n">
        <f aca="false">IF(W425="",0,IF(AND(AP424&lt;&gt;0,OR(ABS(W425)&gt;Inputs!$B$7,AL425&gt;=Inputs!$B$8,ABS(W425)&lt;Inputs!$B$6)),1,0))</f>
        <v>0</v>
      </c>
      <c r="AN425" s="30" t="n">
        <f aca="false">IF(AM425=1,0,AP424)</f>
        <v>0</v>
      </c>
      <c r="AO425" s="30" t="n">
        <f aca="false">IF(W425="",0,IF(AND(AN425=0,ABS(W425)&gt;Inputs!$B$5,ABS(W425)&lt;=Inputs!$B$7,W425&gt;0),1,0))</f>
        <v>0</v>
      </c>
      <c r="AP425" s="30" t="n">
        <f aca="false">IF(W425="",0,IF(AO425=1,-SIGN(W425),AN425))</f>
        <v>0</v>
      </c>
      <c r="AQ425" s="30" t="n">
        <f aca="false">IF(W425="",0,IF(AO425=1,0,IF(AM425=1,0,AL425)))</f>
        <v>0</v>
      </c>
      <c r="AR425" s="30" t="n">
        <f aca="false">IF(AP425=0,0,IF(AP424=AP425,AR424,T425))</f>
        <v>0</v>
      </c>
      <c r="AS425" s="30" t="n">
        <f aca="false">AP425-AP424</f>
        <v>0</v>
      </c>
      <c r="AT425" s="30" t="n">
        <f aca="false">-AR425*AP425</f>
        <v>-0</v>
      </c>
      <c r="AU425" s="30" t="n">
        <f aca="false">AT425-AT424</f>
        <v>0</v>
      </c>
      <c r="AV425" s="30" t="n">
        <f aca="false">MAX(AS425,0)*(Inputs!$B$17+Inputs!$B$18+Inputs!$B$19)+MAX(-AS425,0)*(O425+Inputs!$B$18+Inputs!$B$19)+IF(AND(K425=1,AP425&lt;&gt;0),(Inputs!$B$17+Inputs!$B$18+Inputs!$B$19)+(O425+Inputs!$B$18+Inputs!$B$19),0)+MAX(AU425,0)*(Inputs!$B$20+Inputs!$B$22+Inputs!$B$23)+MAX(-AU425,0)*(Inputs!$B$21+Inputs!$B$22+Inputs!$B$23)</f>
        <v>0</v>
      </c>
      <c r="AW425" s="30" t="n">
        <f aca="false">AP424*(M425-AR424*J425)+AP424*AR424*N425/Inputs!$B$16-AV425</f>
        <v>0</v>
      </c>
      <c r="AX425" s="30" t="n">
        <f aca="false">AW425-IF(AP424&lt;&gt;0,0.75*AR424*(Inputs!$B$13-N425)/Inputs!$B$16,0)</f>
        <v>0</v>
      </c>
      <c r="AY425" s="30" t="n">
        <f aca="false">MAX(AS425,0)*(Inputs!$B$17+Inputs!$B$18+Inputs!$B$19)+MAX(-AS425,0)*(O425+Inputs!$B$18+Inputs!$B$19)+IF(AND(K425=1,AP425&lt;&gt;0),(Inputs!$B$17+Inputs!$B$18+Inputs!$B$19)+(O425+Inputs!$B$18+Inputs!$B$19),0)</f>
        <v>0</v>
      </c>
      <c r="AZ425" s="30" t="n">
        <f aca="false">AP424*M425-AY425</f>
        <v>-0</v>
      </c>
      <c r="BA425" s="32" t="n">
        <f aca="false">BA424+AI425</f>
        <v>0.00429130278454792</v>
      </c>
      <c r="BB425" s="30" t="n">
        <f aca="false">MAX(BB424,BA425)</f>
        <v>0.00429130278454792</v>
      </c>
      <c r="BC425" s="32" t="n">
        <f aca="false">BA425-BB425</f>
        <v>0</v>
      </c>
      <c r="BD425" s="30" t="n">
        <f aca="false">A426-A425</f>
        <v>1</v>
      </c>
    </row>
    <row r="426" customFormat="false" ht="15" hidden="false" customHeight="false" outlineLevel="0" collapsed="false">
      <c r="A426" s="28" t="n">
        <v>45667</v>
      </c>
      <c r="B426" s="0" t="n">
        <v>23518.95</v>
      </c>
      <c r="C426" s="0" t="n">
        <v>263.28</v>
      </c>
      <c r="D426" s="29" t="n">
        <f aca="false">LN(B426)</f>
        <v>10.0655617581589</v>
      </c>
      <c r="E426" s="29" t="n">
        <f aca="false">LN(C426)</f>
        <v>5.57321810463508</v>
      </c>
      <c r="F426" s="0" t="n">
        <v>421</v>
      </c>
      <c r="G426" s="0" t="n">
        <v>20</v>
      </c>
      <c r="H426" s="29" t="n">
        <f aca="false">D426-E426</f>
        <v>4.49234365352381</v>
      </c>
      <c r="I426" s="29" t="n">
        <f aca="false">D426-D425</f>
        <v>-0.00623505251894407</v>
      </c>
      <c r="J426" s="29" t="n">
        <f aca="false">E426-E425</f>
        <v>-0.00083526334633266</v>
      </c>
      <c r="K426" s="0" t="n">
        <v>0</v>
      </c>
      <c r="L426" s="0" t="n">
        <v>0</v>
      </c>
      <c r="M426" s="29" t="n">
        <f aca="false">IF(L426=1,J426-Carry!$B$9/Inputs!$B$16,I426)</f>
        <v>-0.00623505251894407</v>
      </c>
      <c r="N426" s="0" t="n">
        <v>0.065</v>
      </c>
      <c r="O426" s="0" t="n">
        <v>0.0002</v>
      </c>
      <c r="P426" s="29" t="n">
        <f aca="false">D426-('2 Hedge ratio'!$B$6+'2 Hedge ratio'!$B$5*E426)</f>
        <v>-0.00203256396378215</v>
      </c>
      <c r="Q426" s="29" t="n">
        <f aca="false">D426-('5 Re-specification'!$B$7+'5 Re-specification'!$B$5*E426+'5 Re-specification'!$B$6*F426)</f>
        <v>-0.00305248692114368</v>
      </c>
      <c r="R426" s="30" t="n">
        <f aca="false">MIN(F426,Inputs!$B$9)</f>
        <v>250</v>
      </c>
      <c r="S426" s="29" t="n">
        <f aca="true">IF(AND(F426&gt;=1,R426&gt;=Inputs!$B$10),INDEX(LINEST(OFFSET(D426,-R426,0,R426,1),OFFSET(E426,-R426,0,R426,2)),1,1),"")</f>
        <v>-4.79417337588169E-005</v>
      </c>
      <c r="T426" s="29" t="n">
        <f aca="true">IF(AND(F426&gt;=1,R426&gt;=Inputs!$B$10),INDEX(LINEST(OFFSET(D426,-R426,0,R426,1),OFFSET(E426,-R426,0,R426,2)),1,2),"")</f>
        <v>0.985750286277066</v>
      </c>
      <c r="U426" s="29" t="n">
        <f aca="true">IF(AND(F426&gt;=1,R426&gt;=Inputs!$B$10),INDEX(LINEST(OFFSET(D426,-R426,0,R426,1),OFFSET(E426,-R426,0,R426,2)),1,3),"")</f>
        <v>4.59438691177148</v>
      </c>
      <c r="V426" s="29" t="n">
        <f aca="true">IF(AND(F426&gt;=1,R426&gt;=Inputs!$B$10),SQRT(SUMPRODUCT((OFFSET(D426,-R426,0,R426,1)-U426-T426*OFFSET(E426,-R426,0,R426,1)-S426*OFFSET(F426,-R426,0,R426,1))^2)/(R426-3)),"")</f>
        <v>0.00342679593587346</v>
      </c>
      <c r="W426" s="31" t="n">
        <f aca="false">IF(AND(F426&gt;=1,R426&gt;=Inputs!$B$10),(D426-U426-T426*E426-S426*F426)/V426,"")</f>
        <v>-0.71291838627177</v>
      </c>
      <c r="X426" s="30" t="n">
        <f aca="false">IF(AB425&lt;&gt;0,AC425+1,0)</f>
        <v>0</v>
      </c>
      <c r="Y426" s="30" t="n">
        <f aca="false">IF(W426="",0,IF(AND(AB425&lt;&gt;0,OR(ABS(W426)&gt;Inputs!$B$7,X426&gt;=Inputs!$B$8,ABS(W426)&lt;Inputs!$B$6)),1,0))</f>
        <v>0</v>
      </c>
      <c r="Z426" s="30" t="n">
        <f aca="false">IF(Y426=1,0,AB425)</f>
        <v>0</v>
      </c>
      <c r="AA426" s="30" t="n">
        <f aca="false">IF(W426="",0,IF(AND(Z426=0,ABS(W426)&gt;Inputs!$B$5,ABS(W426)&lt;=Inputs!$B$7),1,0))</f>
        <v>0</v>
      </c>
      <c r="AB426" s="30" t="n">
        <f aca="false">IF(W426="",0,IF(AA426=1,-SIGN(W426),Z426))</f>
        <v>0</v>
      </c>
      <c r="AC426" s="30" t="n">
        <f aca="false">IF(W426="",0,IF(AA426=1,0,IF(Y426=1,0,X426)))</f>
        <v>0</v>
      </c>
      <c r="AD426" s="30" t="n">
        <f aca="false">IF(AB426=0,0,IF(AB425=AB426,AD425,T426))</f>
        <v>0</v>
      </c>
      <c r="AE426" s="30" t="n">
        <f aca="false">AB426-AB425</f>
        <v>0</v>
      </c>
      <c r="AF426" s="30" t="n">
        <f aca="false">-AD426*AB426</f>
        <v>-0</v>
      </c>
      <c r="AG426" s="30" t="n">
        <f aca="false">AF426-AF425</f>
        <v>0</v>
      </c>
      <c r="AH426" s="30" t="n">
        <f aca="false">MAX(AE426,0)*(Inputs!$B$17+Inputs!$B$18+Inputs!$B$19)+MAX(-AE426,0)*(O426+Inputs!$B$18+Inputs!$B$19)+IF(AND(K426=1,AB426&lt;&gt;0),(Inputs!$B$17+Inputs!$B$18+Inputs!$B$19)+(O426+Inputs!$B$18+Inputs!$B$19),0)+MAX(AG426,0)*(Inputs!$B$20+Inputs!$B$22+Inputs!$B$23)+MAX(-AG426,0)*(Inputs!$B$21+Inputs!$B$22+Inputs!$B$23)</f>
        <v>0</v>
      </c>
      <c r="AI426" s="30" t="n">
        <f aca="false">AB425*(M426-AD425*J426)+AB425*AD425*N426/Inputs!$B$16-AH426</f>
        <v>0</v>
      </c>
      <c r="AJ426" s="30" t="n">
        <f aca="false">MAX(AE426,0)*(Inputs!$B$17+Inputs!$B$24+Inputs!$B$25)+MAX(-AE426,0)*(O426+Inputs!$B$24+Inputs!$B$25)+IF(AND(K426=1,AB426&lt;&gt;0),(Inputs!$B$17+Inputs!$B$24+Inputs!$B$25)+(O426+Inputs!$B$24+Inputs!$B$25),0)+MAX(AG426,0)*(Inputs!$B$20+Inputs!$B$26+Inputs!$B$27)+MAX(-AG426,0)*(Inputs!$B$21+Inputs!$B$26+Inputs!$B$27)</f>
        <v>0</v>
      </c>
      <c r="AK426" s="30" t="n">
        <f aca="false">AB425*(M426-AD425*J426)+AB425*AD425*(N426+Inputs!$B$14)/Inputs!$B$16-AJ426</f>
        <v>0</v>
      </c>
      <c r="AL426" s="30" t="n">
        <f aca="false">IF(AP425&lt;&gt;0,AQ425+1,0)</f>
        <v>0</v>
      </c>
      <c r="AM426" s="30" t="n">
        <f aca="false">IF(W426="",0,IF(AND(AP425&lt;&gt;0,OR(ABS(W426)&gt;Inputs!$B$7,AL426&gt;=Inputs!$B$8,ABS(W426)&lt;Inputs!$B$6)),1,0))</f>
        <v>0</v>
      </c>
      <c r="AN426" s="30" t="n">
        <f aca="false">IF(AM426=1,0,AP425)</f>
        <v>0</v>
      </c>
      <c r="AO426" s="30" t="n">
        <f aca="false">IF(W426="",0,IF(AND(AN426=0,ABS(W426)&gt;Inputs!$B$5,ABS(W426)&lt;=Inputs!$B$7,W426&gt;0),1,0))</f>
        <v>0</v>
      </c>
      <c r="AP426" s="30" t="n">
        <f aca="false">IF(W426="",0,IF(AO426=1,-SIGN(W426),AN426))</f>
        <v>0</v>
      </c>
      <c r="AQ426" s="30" t="n">
        <f aca="false">IF(W426="",0,IF(AO426=1,0,IF(AM426=1,0,AL426)))</f>
        <v>0</v>
      </c>
      <c r="AR426" s="30" t="n">
        <f aca="false">IF(AP426=0,0,IF(AP425=AP426,AR425,T426))</f>
        <v>0</v>
      </c>
      <c r="AS426" s="30" t="n">
        <f aca="false">AP426-AP425</f>
        <v>0</v>
      </c>
      <c r="AT426" s="30" t="n">
        <f aca="false">-AR426*AP426</f>
        <v>-0</v>
      </c>
      <c r="AU426" s="30" t="n">
        <f aca="false">AT426-AT425</f>
        <v>0</v>
      </c>
      <c r="AV426" s="30" t="n">
        <f aca="false">MAX(AS426,0)*(Inputs!$B$17+Inputs!$B$18+Inputs!$B$19)+MAX(-AS426,0)*(O426+Inputs!$B$18+Inputs!$B$19)+IF(AND(K426=1,AP426&lt;&gt;0),(Inputs!$B$17+Inputs!$B$18+Inputs!$B$19)+(O426+Inputs!$B$18+Inputs!$B$19),0)+MAX(AU426,0)*(Inputs!$B$20+Inputs!$B$22+Inputs!$B$23)+MAX(-AU426,0)*(Inputs!$B$21+Inputs!$B$22+Inputs!$B$23)</f>
        <v>0</v>
      </c>
      <c r="AW426" s="30" t="n">
        <f aca="false">AP425*(M426-AR425*J426)+AP425*AR425*N426/Inputs!$B$16-AV426</f>
        <v>0</v>
      </c>
      <c r="AX426" s="30" t="n">
        <f aca="false">AW426-IF(AP425&lt;&gt;0,0.75*AR425*(Inputs!$B$13-N426)/Inputs!$B$16,0)</f>
        <v>0</v>
      </c>
      <c r="AY426" s="30" t="n">
        <f aca="false">MAX(AS426,0)*(Inputs!$B$17+Inputs!$B$18+Inputs!$B$19)+MAX(-AS426,0)*(O426+Inputs!$B$18+Inputs!$B$19)+IF(AND(K426=1,AP426&lt;&gt;0),(Inputs!$B$17+Inputs!$B$18+Inputs!$B$19)+(O426+Inputs!$B$18+Inputs!$B$19),0)</f>
        <v>0</v>
      </c>
      <c r="AZ426" s="30" t="n">
        <f aca="false">AP425*M426-AY426</f>
        <v>-0</v>
      </c>
      <c r="BA426" s="32" t="n">
        <f aca="false">BA425+AI426</f>
        <v>0.00429130278454792</v>
      </c>
      <c r="BB426" s="30" t="n">
        <f aca="false">MAX(BB425,BA426)</f>
        <v>0.00429130278454792</v>
      </c>
      <c r="BC426" s="32" t="n">
        <f aca="false">BA426-BB426</f>
        <v>0</v>
      </c>
      <c r="BD426" s="30" t="n">
        <f aca="false">A427-A426</f>
        <v>3</v>
      </c>
    </row>
    <row r="427" customFormat="false" ht="15" hidden="false" customHeight="false" outlineLevel="0" collapsed="false">
      <c r="A427" s="28" t="n">
        <v>45670</v>
      </c>
      <c r="B427" s="0" t="n">
        <v>23169.9</v>
      </c>
      <c r="C427" s="0" t="n">
        <v>258.74</v>
      </c>
      <c r="D427" s="29" t="n">
        <f aca="false">LN(B427)</f>
        <v>10.0506093014913</v>
      </c>
      <c r="E427" s="29" t="n">
        <f aca="false">LN(C427)</f>
        <v>5.55582369648976</v>
      </c>
      <c r="F427" s="0" t="n">
        <v>422</v>
      </c>
      <c r="G427" s="0" t="n">
        <v>17</v>
      </c>
      <c r="H427" s="29" t="n">
        <f aca="false">D427-E427</f>
        <v>4.49478560500159</v>
      </c>
      <c r="I427" s="29" t="n">
        <f aca="false">D427-D426</f>
        <v>-0.0149524566675563</v>
      </c>
      <c r="J427" s="29" t="n">
        <f aca="false">E427-E426</f>
        <v>-0.0173944081453286</v>
      </c>
      <c r="K427" s="0" t="n">
        <v>0</v>
      </c>
      <c r="L427" s="0" t="n">
        <v>0</v>
      </c>
      <c r="M427" s="29" t="n">
        <f aca="false">IF(L427=1,J427-Carry!$B$9/Inputs!$B$16,I427)</f>
        <v>-0.0149524566675563</v>
      </c>
      <c r="N427" s="0" t="n">
        <v>0.065</v>
      </c>
      <c r="O427" s="0" t="n">
        <v>0.0002</v>
      </c>
      <c r="P427" s="29" t="n">
        <f aca="false">D427-('2 Hedge ratio'!$B$6+'2 Hedge ratio'!$B$5*E427)</f>
        <v>-0.00104953786814477</v>
      </c>
      <c r="Q427" s="29" t="n">
        <f aca="false">D427-('5 Re-specification'!$B$7+'5 Re-specification'!$B$5*E427+'5 Re-specification'!$B$6*F427)</f>
        <v>-0.000618319879530205</v>
      </c>
      <c r="R427" s="30" t="n">
        <f aca="false">MIN(F427,Inputs!$B$9)</f>
        <v>250</v>
      </c>
      <c r="S427" s="29" t="n">
        <f aca="true">IF(AND(F427&gt;=1,R427&gt;=Inputs!$B$10),INDEX(LINEST(OFFSET(D427,-R427,0,R427,1),OFFSET(E427,-R427,0,R427,2)),1,1),"")</f>
        <v>-4.87190348728906E-005</v>
      </c>
      <c r="T427" s="29" t="n">
        <f aca="true">IF(AND(F427&gt;=1,R427&gt;=Inputs!$B$10),INDEX(LINEST(OFFSET(D427,-R427,0,R427,1),OFFSET(E427,-R427,0,R427,2)),1,2),"")</f>
        <v>0.986388578553969</v>
      </c>
      <c r="U427" s="29" t="n">
        <f aca="true">IF(AND(F427&gt;=1,R427&gt;=Inputs!$B$10),INDEX(LINEST(OFFSET(D427,-R427,0,R427,1),OFFSET(E427,-R427,0,R427,2)),1,3),"")</f>
        <v>4.59106008323051</v>
      </c>
      <c r="V427" s="29" t="n">
        <f aca="true">IF(AND(F427&gt;=1,R427&gt;=Inputs!$B$10),SQRT(SUMPRODUCT((OFFSET(D427,-R427,0,R427,1)-U427-T427*OFFSET(E427,-R427,0,R427,1)-S427*OFFSET(F427,-R427,0,R427,1))^2)/(R427-3)),"")</f>
        <v>0.0034290790007263</v>
      </c>
      <c r="W427" s="31" t="n">
        <f aca="false">IF(AND(F427&gt;=1,R427&gt;=Inputs!$B$10),(D427-U427-T427*E427-S427*F427)/V427,"")</f>
        <v>-0.0269424238341214</v>
      </c>
      <c r="X427" s="30" t="n">
        <f aca="false">IF(AB426&lt;&gt;0,AC426+1,0)</f>
        <v>0</v>
      </c>
      <c r="Y427" s="30" t="n">
        <f aca="false">IF(W427="",0,IF(AND(AB426&lt;&gt;0,OR(ABS(W427)&gt;Inputs!$B$7,X427&gt;=Inputs!$B$8,ABS(W427)&lt;Inputs!$B$6)),1,0))</f>
        <v>0</v>
      </c>
      <c r="Z427" s="30" t="n">
        <f aca="false">IF(Y427=1,0,AB426)</f>
        <v>0</v>
      </c>
      <c r="AA427" s="30" t="n">
        <f aca="false">IF(W427="",0,IF(AND(Z427=0,ABS(W427)&gt;Inputs!$B$5,ABS(W427)&lt;=Inputs!$B$7),1,0))</f>
        <v>0</v>
      </c>
      <c r="AB427" s="30" t="n">
        <f aca="false">IF(W427="",0,IF(AA427=1,-SIGN(W427),Z427))</f>
        <v>0</v>
      </c>
      <c r="AC427" s="30" t="n">
        <f aca="false">IF(W427="",0,IF(AA427=1,0,IF(Y427=1,0,X427)))</f>
        <v>0</v>
      </c>
      <c r="AD427" s="30" t="n">
        <f aca="false">IF(AB427=0,0,IF(AB426=AB427,AD426,T427))</f>
        <v>0</v>
      </c>
      <c r="AE427" s="30" t="n">
        <f aca="false">AB427-AB426</f>
        <v>0</v>
      </c>
      <c r="AF427" s="30" t="n">
        <f aca="false">-AD427*AB427</f>
        <v>-0</v>
      </c>
      <c r="AG427" s="30" t="n">
        <f aca="false">AF427-AF426</f>
        <v>0</v>
      </c>
      <c r="AH427" s="30" t="n">
        <f aca="false">MAX(AE427,0)*(Inputs!$B$17+Inputs!$B$18+Inputs!$B$19)+MAX(-AE427,0)*(O427+Inputs!$B$18+Inputs!$B$19)+IF(AND(K427=1,AB427&lt;&gt;0),(Inputs!$B$17+Inputs!$B$18+Inputs!$B$19)+(O427+Inputs!$B$18+Inputs!$B$19),0)+MAX(AG427,0)*(Inputs!$B$20+Inputs!$B$22+Inputs!$B$23)+MAX(-AG427,0)*(Inputs!$B$21+Inputs!$B$22+Inputs!$B$23)</f>
        <v>0</v>
      </c>
      <c r="AI427" s="30" t="n">
        <f aca="false">AB426*(M427-AD426*J427)+AB426*AD426*N427/Inputs!$B$16-AH427</f>
        <v>0</v>
      </c>
      <c r="AJ427" s="30" t="n">
        <f aca="false">MAX(AE427,0)*(Inputs!$B$17+Inputs!$B$24+Inputs!$B$25)+MAX(-AE427,0)*(O427+Inputs!$B$24+Inputs!$B$25)+IF(AND(K427=1,AB427&lt;&gt;0),(Inputs!$B$17+Inputs!$B$24+Inputs!$B$25)+(O427+Inputs!$B$24+Inputs!$B$25),0)+MAX(AG427,0)*(Inputs!$B$20+Inputs!$B$26+Inputs!$B$27)+MAX(-AG427,0)*(Inputs!$B$21+Inputs!$B$26+Inputs!$B$27)</f>
        <v>0</v>
      </c>
      <c r="AK427" s="30" t="n">
        <f aca="false">AB426*(M427-AD426*J427)+AB426*AD426*(N427+Inputs!$B$14)/Inputs!$B$16-AJ427</f>
        <v>0</v>
      </c>
      <c r="AL427" s="30" t="n">
        <f aca="false">IF(AP426&lt;&gt;0,AQ426+1,0)</f>
        <v>0</v>
      </c>
      <c r="AM427" s="30" t="n">
        <f aca="false">IF(W427="",0,IF(AND(AP426&lt;&gt;0,OR(ABS(W427)&gt;Inputs!$B$7,AL427&gt;=Inputs!$B$8,ABS(W427)&lt;Inputs!$B$6)),1,0))</f>
        <v>0</v>
      </c>
      <c r="AN427" s="30" t="n">
        <f aca="false">IF(AM427=1,0,AP426)</f>
        <v>0</v>
      </c>
      <c r="AO427" s="30" t="n">
        <f aca="false">IF(W427="",0,IF(AND(AN427=0,ABS(W427)&gt;Inputs!$B$5,ABS(W427)&lt;=Inputs!$B$7,W427&gt;0),1,0))</f>
        <v>0</v>
      </c>
      <c r="AP427" s="30" t="n">
        <f aca="false">IF(W427="",0,IF(AO427=1,-SIGN(W427),AN427))</f>
        <v>0</v>
      </c>
      <c r="AQ427" s="30" t="n">
        <f aca="false">IF(W427="",0,IF(AO427=1,0,IF(AM427=1,0,AL427)))</f>
        <v>0</v>
      </c>
      <c r="AR427" s="30" t="n">
        <f aca="false">IF(AP427=0,0,IF(AP426=AP427,AR426,T427))</f>
        <v>0</v>
      </c>
      <c r="AS427" s="30" t="n">
        <f aca="false">AP427-AP426</f>
        <v>0</v>
      </c>
      <c r="AT427" s="30" t="n">
        <f aca="false">-AR427*AP427</f>
        <v>-0</v>
      </c>
      <c r="AU427" s="30" t="n">
        <f aca="false">AT427-AT426</f>
        <v>0</v>
      </c>
      <c r="AV427" s="30" t="n">
        <f aca="false">MAX(AS427,0)*(Inputs!$B$17+Inputs!$B$18+Inputs!$B$19)+MAX(-AS427,0)*(O427+Inputs!$B$18+Inputs!$B$19)+IF(AND(K427=1,AP427&lt;&gt;0),(Inputs!$B$17+Inputs!$B$18+Inputs!$B$19)+(O427+Inputs!$B$18+Inputs!$B$19),0)+MAX(AU427,0)*(Inputs!$B$20+Inputs!$B$22+Inputs!$B$23)+MAX(-AU427,0)*(Inputs!$B$21+Inputs!$B$22+Inputs!$B$23)</f>
        <v>0</v>
      </c>
      <c r="AW427" s="30" t="n">
        <f aca="false">AP426*(M427-AR426*J427)+AP426*AR426*N427/Inputs!$B$16-AV427</f>
        <v>0</v>
      </c>
      <c r="AX427" s="30" t="n">
        <f aca="false">AW427-IF(AP426&lt;&gt;0,0.75*AR426*(Inputs!$B$13-N427)/Inputs!$B$16,0)</f>
        <v>0</v>
      </c>
      <c r="AY427" s="30" t="n">
        <f aca="false">MAX(AS427,0)*(Inputs!$B$17+Inputs!$B$18+Inputs!$B$19)+MAX(-AS427,0)*(O427+Inputs!$B$18+Inputs!$B$19)+IF(AND(K427=1,AP427&lt;&gt;0),(Inputs!$B$17+Inputs!$B$18+Inputs!$B$19)+(O427+Inputs!$B$18+Inputs!$B$19),0)</f>
        <v>0</v>
      </c>
      <c r="AZ427" s="30" t="n">
        <f aca="false">AP426*M427-AY427</f>
        <v>-0</v>
      </c>
      <c r="BA427" s="32" t="n">
        <f aca="false">BA426+AI427</f>
        <v>0.00429130278454792</v>
      </c>
      <c r="BB427" s="30" t="n">
        <f aca="false">MAX(BB426,BA427)</f>
        <v>0.00429130278454792</v>
      </c>
      <c r="BC427" s="32" t="n">
        <f aca="false">BA427-BB427</f>
        <v>0</v>
      </c>
      <c r="BD427" s="30" t="n">
        <f aca="false">A428-A427</f>
        <v>1</v>
      </c>
    </row>
    <row r="428" customFormat="false" ht="15" hidden="false" customHeight="false" outlineLevel="0" collapsed="false">
      <c r="A428" s="28" t="n">
        <v>45671</v>
      </c>
      <c r="B428" s="0" t="n">
        <v>23279.9</v>
      </c>
      <c r="C428" s="0" t="n">
        <v>259.68</v>
      </c>
      <c r="D428" s="29" t="n">
        <f aca="false">LN(B428)</f>
        <v>10.0553456063035</v>
      </c>
      <c r="E428" s="29" t="n">
        <f aca="false">LN(C428)</f>
        <v>5.55945010376628</v>
      </c>
      <c r="F428" s="0" t="n">
        <v>423</v>
      </c>
      <c r="G428" s="0" t="n">
        <v>16</v>
      </c>
      <c r="H428" s="29" t="n">
        <f aca="false">D428-E428</f>
        <v>4.49589550253722</v>
      </c>
      <c r="I428" s="29" t="n">
        <f aca="false">D428-D427</f>
        <v>0.0047363048121607</v>
      </c>
      <c r="J428" s="29" t="n">
        <f aca="false">E428-E427</f>
        <v>0.00362640727652508</v>
      </c>
      <c r="K428" s="0" t="n">
        <v>0</v>
      </c>
      <c r="L428" s="0" t="n">
        <v>0</v>
      </c>
      <c r="M428" s="29" t="n">
        <f aca="false">IF(L428=1,J428-Carry!$B$9/Inputs!$B$16,I428)</f>
        <v>0.0047363048121607</v>
      </c>
      <c r="N428" s="0" t="n">
        <v>0.065</v>
      </c>
      <c r="O428" s="0" t="n">
        <v>0.0002</v>
      </c>
      <c r="P428" s="29" t="n">
        <f aca="false">D428-('2 Hedge ratio'!$B$6+'2 Hedge ratio'!$B$5*E428)</f>
        <v>0.000364518198063379</v>
      </c>
      <c r="Q428" s="29" t="n">
        <f aca="false">D428-('5 Re-specification'!$B$7+'5 Re-specification'!$B$5*E428+'5 Re-specification'!$B$6*F428)</f>
        <v>0.000547496801530656</v>
      </c>
      <c r="R428" s="30" t="n">
        <f aca="false">MIN(F428,Inputs!$B$9)</f>
        <v>250</v>
      </c>
      <c r="S428" s="29" t="n">
        <f aca="true">IF(AND(F428&gt;=1,R428&gt;=Inputs!$B$10),INDEX(LINEST(OFFSET(D428,-R428,0,R428,1),OFFSET(E428,-R428,0,R428,2)),1,1),"")</f>
        <v>-4.86178772806323E-005</v>
      </c>
      <c r="T428" s="29" t="n">
        <f aca="true">IF(AND(F428&gt;=1,R428&gt;=Inputs!$B$10),INDEX(LINEST(OFFSET(D428,-R428,0,R428,1),OFFSET(E428,-R428,0,R428,2)),1,2),"")</f>
        <v>0.986546468549597</v>
      </c>
      <c r="U428" s="29" t="n">
        <f aca="true">IF(AND(F428&gt;=1,R428&gt;=Inputs!$B$10),INDEX(LINEST(OFFSET(D428,-R428,0,R428,1),OFFSET(E428,-R428,0,R428,2)),1,3),"")</f>
        <v>4.59014195908257</v>
      </c>
      <c r="V428" s="29" t="n">
        <f aca="true">IF(AND(F428&gt;=1,R428&gt;=Inputs!$B$10),SQRT(SUMPRODUCT((OFFSET(D428,-R428,0,R428,1)-U428-T428*OFFSET(E428,-R428,0,R428,1)-S428*OFFSET(F428,-R428,0,R428,1))^2)/(R428-3)),"")</f>
        <v>0.00342621426548554</v>
      </c>
      <c r="W428" s="31" t="n">
        <f aca="false">IF(AND(F428&gt;=1,R428&gt;=Inputs!$B$10),(D428-U428-T428*E428-S428*F428)/V428,"")</f>
        <v>0.324889886058882</v>
      </c>
      <c r="X428" s="30" t="n">
        <f aca="false">IF(AB427&lt;&gt;0,AC427+1,0)</f>
        <v>0</v>
      </c>
      <c r="Y428" s="30" t="n">
        <f aca="false">IF(W428="",0,IF(AND(AB427&lt;&gt;0,OR(ABS(W428)&gt;Inputs!$B$7,X428&gt;=Inputs!$B$8,ABS(W428)&lt;Inputs!$B$6)),1,0))</f>
        <v>0</v>
      </c>
      <c r="Z428" s="30" t="n">
        <f aca="false">IF(Y428=1,0,AB427)</f>
        <v>0</v>
      </c>
      <c r="AA428" s="30" t="n">
        <f aca="false">IF(W428="",0,IF(AND(Z428=0,ABS(W428)&gt;Inputs!$B$5,ABS(W428)&lt;=Inputs!$B$7),1,0))</f>
        <v>0</v>
      </c>
      <c r="AB428" s="30" t="n">
        <f aca="false">IF(W428="",0,IF(AA428=1,-SIGN(W428),Z428))</f>
        <v>0</v>
      </c>
      <c r="AC428" s="30" t="n">
        <f aca="false">IF(W428="",0,IF(AA428=1,0,IF(Y428=1,0,X428)))</f>
        <v>0</v>
      </c>
      <c r="AD428" s="30" t="n">
        <f aca="false">IF(AB428=0,0,IF(AB427=AB428,AD427,T428))</f>
        <v>0</v>
      </c>
      <c r="AE428" s="30" t="n">
        <f aca="false">AB428-AB427</f>
        <v>0</v>
      </c>
      <c r="AF428" s="30" t="n">
        <f aca="false">-AD428*AB428</f>
        <v>-0</v>
      </c>
      <c r="AG428" s="30" t="n">
        <f aca="false">AF428-AF427</f>
        <v>0</v>
      </c>
      <c r="AH428" s="30" t="n">
        <f aca="false">MAX(AE428,0)*(Inputs!$B$17+Inputs!$B$18+Inputs!$B$19)+MAX(-AE428,0)*(O428+Inputs!$B$18+Inputs!$B$19)+IF(AND(K428=1,AB428&lt;&gt;0),(Inputs!$B$17+Inputs!$B$18+Inputs!$B$19)+(O428+Inputs!$B$18+Inputs!$B$19),0)+MAX(AG428,0)*(Inputs!$B$20+Inputs!$B$22+Inputs!$B$23)+MAX(-AG428,0)*(Inputs!$B$21+Inputs!$B$22+Inputs!$B$23)</f>
        <v>0</v>
      </c>
      <c r="AI428" s="30" t="n">
        <f aca="false">AB427*(M428-AD427*J428)+AB427*AD427*N428/Inputs!$B$16-AH428</f>
        <v>0</v>
      </c>
      <c r="AJ428" s="30" t="n">
        <f aca="false">MAX(AE428,0)*(Inputs!$B$17+Inputs!$B$24+Inputs!$B$25)+MAX(-AE428,0)*(O428+Inputs!$B$24+Inputs!$B$25)+IF(AND(K428=1,AB428&lt;&gt;0),(Inputs!$B$17+Inputs!$B$24+Inputs!$B$25)+(O428+Inputs!$B$24+Inputs!$B$25),0)+MAX(AG428,0)*(Inputs!$B$20+Inputs!$B$26+Inputs!$B$27)+MAX(-AG428,0)*(Inputs!$B$21+Inputs!$B$26+Inputs!$B$27)</f>
        <v>0</v>
      </c>
      <c r="AK428" s="30" t="n">
        <f aca="false">AB427*(M428-AD427*J428)+AB427*AD427*(N428+Inputs!$B$14)/Inputs!$B$16-AJ428</f>
        <v>0</v>
      </c>
      <c r="AL428" s="30" t="n">
        <f aca="false">IF(AP427&lt;&gt;0,AQ427+1,0)</f>
        <v>0</v>
      </c>
      <c r="AM428" s="30" t="n">
        <f aca="false">IF(W428="",0,IF(AND(AP427&lt;&gt;0,OR(ABS(W428)&gt;Inputs!$B$7,AL428&gt;=Inputs!$B$8,ABS(W428)&lt;Inputs!$B$6)),1,0))</f>
        <v>0</v>
      </c>
      <c r="AN428" s="30" t="n">
        <f aca="false">IF(AM428=1,0,AP427)</f>
        <v>0</v>
      </c>
      <c r="AO428" s="30" t="n">
        <f aca="false">IF(W428="",0,IF(AND(AN428=0,ABS(W428)&gt;Inputs!$B$5,ABS(W428)&lt;=Inputs!$B$7,W428&gt;0),1,0))</f>
        <v>0</v>
      </c>
      <c r="AP428" s="30" t="n">
        <f aca="false">IF(W428="",0,IF(AO428=1,-SIGN(W428),AN428))</f>
        <v>0</v>
      </c>
      <c r="AQ428" s="30" t="n">
        <f aca="false">IF(W428="",0,IF(AO428=1,0,IF(AM428=1,0,AL428)))</f>
        <v>0</v>
      </c>
      <c r="AR428" s="30" t="n">
        <f aca="false">IF(AP428=0,0,IF(AP427=AP428,AR427,T428))</f>
        <v>0</v>
      </c>
      <c r="AS428" s="30" t="n">
        <f aca="false">AP428-AP427</f>
        <v>0</v>
      </c>
      <c r="AT428" s="30" t="n">
        <f aca="false">-AR428*AP428</f>
        <v>-0</v>
      </c>
      <c r="AU428" s="30" t="n">
        <f aca="false">AT428-AT427</f>
        <v>0</v>
      </c>
      <c r="AV428" s="30" t="n">
        <f aca="false">MAX(AS428,0)*(Inputs!$B$17+Inputs!$B$18+Inputs!$B$19)+MAX(-AS428,0)*(O428+Inputs!$B$18+Inputs!$B$19)+IF(AND(K428=1,AP428&lt;&gt;0),(Inputs!$B$17+Inputs!$B$18+Inputs!$B$19)+(O428+Inputs!$B$18+Inputs!$B$19),0)+MAX(AU428,0)*(Inputs!$B$20+Inputs!$B$22+Inputs!$B$23)+MAX(-AU428,0)*(Inputs!$B$21+Inputs!$B$22+Inputs!$B$23)</f>
        <v>0</v>
      </c>
      <c r="AW428" s="30" t="n">
        <f aca="false">AP427*(M428-AR427*J428)+AP427*AR427*N428/Inputs!$B$16-AV428</f>
        <v>0</v>
      </c>
      <c r="AX428" s="30" t="n">
        <f aca="false">AW428-IF(AP427&lt;&gt;0,0.75*AR427*(Inputs!$B$13-N428)/Inputs!$B$16,0)</f>
        <v>0</v>
      </c>
      <c r="AY428" s="30" t="n">
        <f aca="false">MAX(AS428,0)*(Inputs!$B$17+Inputs!$B$18+Inputs!$B$19)+MAX(-AS428,0)*(O428+Inputs!$B$18+Inputs!$B$19)+IF(AND(K428=1,AP428&lt;&gt;0),(Inputs!$B$17+Inputs!$B$18+Inputs!$B$19)+(O428+Inputs!$B$18+Inputs!$B$19),0)</f>
        <v>0</v>
      </c>
      <c r="AZ428" s="30" t="n">
        <f aca="false">AP427*M428-AY428</f>
        <v>0</v>
      </c>
      <c r="BA428" s="32" t="n">
        <f aca="false">BA427+AI428</f>
        <v>0.00429130278454792</v>
      </c>
      <c r="BB428" s="30" t="n">
        <f aca="false">MAX(BB427,BA428)</f>
        <v>0.00429130278454792</v>
      </c>
      <c r="BC428" s="32" t="n">
        <f aca="false">BA428-BB428</f>
        <v>0</v>
      </c>
      <c r="BD428" s="30" t="n">
        <f aca="false">A429-A428</f>
        <v>1</v>
      </c>
    </row>
    <row r="429" customFormat="false" ht="15" hidden="false" customHeight="false" outlineLevel="0" collapsed="false">
      <c r="A429" s="28" t="n">
        <v>45672</v>
      </c>
      <c r="B429" s="0" t="n">
        <v>23275.5</v>
      </c>
      <c r="C429" s="0" t="n">
        <v>259.71</v>
      </c>
      <c r="D429" s="29" t="n">
        <f aca="false">LN(B429)</f>
        <v>10.0551565841916</v>
      </c>
      <c r="E429" s="29" t="n">
        <f aca="false">LN(C429)</f>
        <v>5.55956562389579</v>
      </c>
      <c r="F429" s="0" t="n">
        <v>424</v>
      </c>
      <c r="G429" s="0" t="n">
        <v>15</v>
      </c>
      <c r="H429" s="29" t="n">
        <f aca="false">D429-E429</f>
        <v>4.49559096029586</v>
      </c>
      <c r="I429" s="29" t="n">
        <f aca="false">D429-D428</f>
        <v>-0.000189022111854342</v>
      </c>
      <c r="J429" s="29" t="n">
        <f aca="false">E429-E428</f>
        <v>0.000115520129511104</v>
      </c>
      <c r="K429" s="0" t="n">
        <v>0</v>
      </c>
      <c r="L429" s="0" t="n">
        <v>0</v>
      </c>
      <c r="M429" s="29" t="n">
        <f aca="false">IF(L429=1,J429-Carry!$B$9/Inputs!$B$16,I429)</f>
        <v>-0.000189022111854342</v>
      </c>
      <c r="N429" s="0" t="n">
        <v>0.065</v>
      </c>
      <c r="O429" s="0" t="n">
        <v>0.0002</v>
      </c>
      <c r="P429" s="29" t="n">
        <f aca="false">D429-('2 Hedge ratio'!$B$6+'2 Hedge ratio'!$B$5*E429)</f>
        <v>6.96650043341407E-005</v>
      </c>
      <c r="Q429" s="29" t="n">
        <f aca="false">D429-('5 Re-specification'!$B$7+'5 Re-specification'!$B$5*E429+'5 Re-specification'!$B$6*F429)</f>
        <v>0.000288233962017159</v>
      </c>
      <c r="R429" s="30" t="n">
        <f aca="false">MIN(F429,Inputs!$B$9)</f>
        <v>250</v>
      </c>
      <c r="S429" s="29" t="n">
        <f aca="true">IF(AND(F429&gt;=1,R429&gt;=Inputs!$B$10),INDEX(LINEST(OFFSET(D429,-R429,0,R429,1),OFFSET(E429,-R429,0,R429,2)),1,1),"")</f>
        <v>-4.8146248309401E-005</v>
      </c>
      <c r="T429" s="29" t="n">
        <f aca="true">IF(AND(F429&gt;=1,R429&gt;=Inputs!$B$10),INDEX(LINEST(OFFSET(D429,-R429,0,R429,1),OFFSET(E429,-R429,0,R429,2)),1,2),"")</f>
        <v>0.986287934202697</v>
      </c>
      <c r="U429" s="29" t="n">
        <f aca="true">IF(AND(F429&gt;=1,R429&gt;=Inputs!$B$10),INDEX(LINEST(OFFSET(D429,-R429,0,R429,1),OFFSET(E429,-R429,0,R429,2)),1,3),"")</f>
        <v>4.59143647023833</v>
      </c>
      <c r="V429" s="29" t="n">
        <f aca="true">IF(AND(F429&gt;=1,R429&gt;=Inputs!$B$10),SQRT(SUMPRODUCT((OFFSET(D429,-R429,0,R429,1)-U429-T429*OFFSET(E429,-R429,0,R429,1)-S429*OFFSET(F429,-R429,0,R429,1))^2)/(R429-3)),"")</f>
        <v>0.00342424576869092</v>
      </c>
      <c r="W429" s="31" t="n">
        <f aca="false">IF(AND(F429&gt;=1,R429&gt;=Inputs!$B$10),(D429-U429-T429*E429-S429*F429)/V429,"")</f>
        <v>0.23410380975676</v>
      </c>
      <c r="X429" s="30" t="n">
        <f aca="false">IF(AB428&lt;&gt;0,AC428+1,0)</f>
        <v>0</v>
      </c>
      <c r="Y429" s="30" t="n">
        <f aca="false">IF(W429="",0,IF(AND(AB428&lt;&gt;0,OR(ABS(W429)&gt;Inputs!$B$7,X429&gt;=Inputs!$B$8,ABS(W429)&lt;Inputs!$B$6)),1,0))</f>
        <v>0</v>
      </c>
      <c r="Z429" s="30" t="n">
        <f aca="false">IF(Y429=1,0,AB428)</f>
        <v>0</v>
      </c>
      <c r="AA429" s="30" t="n">
        <f aca="false">IF(W429="",0,IF(AND(Z429=0,ABS(W429)&gt;Inputs!$B$5,ABS(W429)&lt;=Inputs!$B$7),1,0))</f>
        <v>0</v>
      </c>
      <c r="AB429" s="30" t="n">
        <f aca="false">IF(W429="",0,IF(AA429=1,-SIGN(W429),Z429))</f>
        <v>0</v>
      </c>
      <c r="AC429" s="30" t="n">
        <f aca="false">IF(W429="",0,IF(AA429=1,0,IF(Y429=1,0,X429)))</f>
        <v>0</v>
      </c>
      <c r="AD429" s="30" t="n">
        <f aca="false">IF(AB429=0,0,IF(AB428=AB429,AD428,T429))</f>
        <v>0</v>
      </c>
      <c r="AE429" s="30" t="n">
        <f aca="false">AB429-AB428</f>
        <v>0</v>
      </c>
      <c r="AF429" s="30" t="n">
        <f aca="false">-AD429*AB429</f>
        <v>-0</v>
      </c>
      <c r="AG429" s="30" t="n">
        <f aca="false">AF429-AF428</f>
        <v>0</v>
      </c>
      <c r="AH429" s="30" t="n">
        <f aca="false">MAX(AE429,0)*(Inputs!$B$17+Inputs!$B$18+Inputs!$B$19)+MAX(-AE429,0)*(O429+Inputs!$B$18+Inputs!$B$19)+IF(AND(K429=1,AB429&lt;&gt;0),(Inputs!$B$17+Inputs!$B$18+Inputs!$B$19)+(O429+Inputs!$B$18+Inputs!$B$19),0)+MAX(AG429,0)*(Inputs!$B$20+Inputs!$B$22+Inputs!$B$23)+MAX(-AG429,0)*(Inputs!$B$21+Inputs!$B$22+Inputs!$B$23)</f>
        <v>0</v>
      </c>
      <c r="AI429" s="30" t="n">
        <f aca="false">AB428*(M429-AD428*J429)+AB428*AD428*N429/Inputs!$B$16-AH429</f>
        <v>0</v>
      </c>
      <c r="AJ429" s="30" t="n">
        <f aca="false">MAX(AE429,0)*(Inputs!$B$17+Inputs!$B$24+Inputs!$B$25)+MAX(-AE429,0)*(O429+Inputs!$B$24+Inputs!$B$25)+IF(AND(K429=1,AB429&lt;&gt;0),(Inputs!$B$17+Inputs!$B$24+Inputs!$B$25)+(O429+Inputs!$B$24+Inputs!$B$25),0)+MAX(AG429,0)*(Inputs!$B$20+Inputs!$B$26+Inputs!$B$27)+MAX(-AG429,0)*(Inputs!$B$21+Inputs!$B$26+Inputs!$B$27)</f>
        <v>0</v>
      </c>
      <c r="AK429" s="30" t="n">
        <f aca="false">AB428*(M429-AD428*J429)+AB428*AD428*(N429+Inputs!$B$14)/Inputs!$B$16-AJ429</f>
        <v>0</v>
      </c>
      <c r="AL429" s="30" t="n">
        <f aca="false">IF(AP428&lt;&gt;0,AQ428+1,0)</f>
        <v>0</v>
      </c>
      <c r="AM429" s="30" t="n">
        <f aca="false">IF(W429="",0,IF(AND(AP428&lt;&gt;0,OR(ABS(W429)&gt;Inputs!$B$7,AL429&gt;=Inputs!$B$8,ABS(W429)&lt;Inputs!$B$6)),1,0))</f>
        <v>0</v>
      </c>
      <c r="AN429" s="30" t="n">
        <f aca="false">IF(AM429=1,0,AP428)</f>
        <v>0</v>
      </c>
      <c r="AO429" s="30" t="n">
        <f aca="false">IF(W429="",0,IF(AND(AN429=0,ABS(W429)&gt;Inputs!$B$5,ABS(W429)&lt;=Inputs!$B$7,W429&gt;0),1,0))</f>
        <v>0</v>
      </c>
      <c r="AP429" s="30" t="n">
        <f aca="false">IF(W429="",0,IF(AO429=1,-SIGN(W429),AN429))</f>
        <v>0</v>
      </c>
      <c r="AQ429" s="30" t="n">
        <f aca="false">IF(W429="",0,IF(AO429=1,0,IF(AM429=1,0,AL429)))</f>
        <v>0</v>
      </c>
      <c r="AR429" s="30" t="n">
        <f aca="false">IF(AP429=0,0,IF(AP428=AP429,AR428,T429))</f>
        <v>0</v>
      </c>
      <c r="AS429" s="30" t="n">
        <f aca="false">AP429-AP428</f>
        <v>0</v>
      </c>
      <c r="AT429" s="30" t="n">
        <f aca="false">-AR429*AP429</f>
        <v>-0</v>
      </c>
      <c r="AU429" s="30" t="n">
        <f aca="false">AT429-AT428</f>
        <v>0</v>
      </c>
      <c r="AV429" s="30" t="n">
        <f aca="false">MAX(AS429,0)*(Inputs!$B$17+Inputs!$B$18+Inputs!$B$19)+MAX(-AS429,0)*(O429+Inputs!$B$18+Inputs!$B$19)+IF(AND(K429=1,AP429&lt;&gt;0),(Inputs!$B$17+Inputs!$B$18+Inputs!$B$19)+(O429+Inputs!$B$18+Inputs!$B$19),0)+MAX(AU429,0)*(Inputs!$B$20+Inputs!$B$22+Inputs!$B$23)+MAX(-AU429,0)*(Inputs!$B$21+Inputs!$B$22+Inputs!$B$23)</f>
        <v>0</v>
      </c>
      <c r="AW429" s="30" t="n">
        <f aca="false">AP428*(M429-AR428*J429)+AP428*AR428*N429/Inputs!$B$16-AV429</f>
        <v>0</v>
      </c>
      <c r="AX429" s="30" t="n">
        <f aca="false">AW429-IF(AP428&lt;&gt;0,0.75*AR428*(Inputs!$B$13-N429)/Inputs!$B$16,0)</f>
        <v>0</v>
      </c>
      <c r="AY429" s="30" t="n">
        <f aca="false">MAX(AS429,0)*(Inputs!$B$17+Inputs!$B$18+Inputs!$B$19)+MAX(-AS429,0)*(O429+Inputs!$B$18+Inputs!$B$19)+IF(AND(K429=1,AP429&lt;&gt;0),(Inputs!$B$17+Inputs!$B$18+Inputs!$B$19)+(O429+Inputs!$B$18+Inputs!$B$19),0)</f>
        <v>0</v>
      </c>
      <c r="AZ429" s="30" t="n">
        <f aca="false">AP428*M429-AY429</f>
        <v>-0</v>
      </c>
      <c r="BA429" s="32" t="n">
        <f aca="false">BA428+AI429</f>
        <v>0.00429130278454792</v>
      </c>
      <c r="BB429" s="30" t="n">
        <f aca="false">MAX(BB428,BA429)</f>
        <v>0.00429130278454792</v>
      </c>
      <c r="BC429" s="32" t="n">
        <f aca="false">BA429-BB429</f>
        <v>0</v>
      </c>
      <c r="BD429" s="30" t="n">
        <f aca="false">A430-A429</f>
        <v>1</v>
      </c>
    </row>
    <row r="430" customFormat="false" ht="15" hidden="false" customHeight="false" outlineLevel="0" collapsed="false">
      <c r="A430" s="28" t="n">
        <v>45673</v>
      </c>
      <c r="B430" s="0" t="n">
        <v>23410.25</v>
      </c>
      <c r="C430" s="0" t="n">
        <v>260.95</v>
      </c>
      <c r="D430" s="29" t="n">
        <f aca="false">LN(B430)</f>
        <v>10.0609292396249</v>
      </c>
      <c r="E430" s="29" t="n">
        <f aca="false">LN(C430)</f>
        <v>5.56432881808942</v>
      </c>
      <c r="F430" s="0" t="n">
        <v>425</v>
      </c>
      <c r="G430" s="0" t="n">
        <v>14</v>
      </c>
      <c r="H430" s="29" t="n">
        <f aca="false">D430-E430</f>
        <v>4.49660042153544</v>
      </c>
      <c r="I430" s="29" t="n">
        <f aca="false">D430-D429</f>
        <v>0.00577265543321026</v>
      </c>
      <c r="J430" s="29" t="n">
        <f aca="false">E430-E429</f>
        <v>0.00476319419363058</v>
      </c>
      <c r="K430" s="0" t="n">
        <v>0</v>
      </c>
      <c r="L430" s="0" t="n">
        <v>0</v>
      </c>
      <c r="M430" s="29" t="n">
        <f aca="false">IF(L430=1,J430-Carry!$B$9/Inputs!$B$16,I430)</f>
        <v>0.00577265543321026</v>
      </c>
      <c r="N430" s="0" t="n">
        <v>0.065</v>
      </c>
      <c r="O430" s="0" t="n">
        <v>0.0002</v>
      </c>
      <c r="P430" s="29" t="n">
        <f aca="false">D430-('2 Hedge ratio'!$B$6+'2 Hedge ratio'!$B$5*E430)</f>
        <v>0.00147863077727095</v>
      </c>
      <c r="Q430" s="29" t="n">
        <f aca="false">D430-('5 Re-specification'!$B$7+'5 Re-specification'!$B$5*E430+'5 Re-specification'!$B$6*F430)</f>
        <v>0.00135705937979935</v>
      </c>
      <c r="R430" s="30" t="n">
        <f aca="false">MIN(F430,Inputs!$B$9)</f>
        <v>250</v>
      </c>
      <c r="S430" s="29" t="n">
        <f aca="true">IF(AND(F430&gt;=1,R430&gt;=Inputs!$B$10),INDEX(LINEST(OFFSET(D430,-R430,0,R430,1),OFFSET(E430,-R430,0,R430,2)),1,1),"")</f>
        <v>-4.79340129483842E-005</v>
      </c>
      <c r="T430" s="29" t="n">
        <f aca="true">IF(AND(F430&gt;=1,R430&gt;=Inputs!$B$10),INDEX(LINEST(OFFSET(D430,-R430,0,R430,1),OFFSET(E430,-R430,0,R430,2)),1,2),"")</f>
        <v>0.98603233583609</v>
      </c>
      <c r="U430" s="29" t="n">
        <f aca="true">IF(AND(F430&gt;=1,R430&gt;=Inputs!$B$10),INDEX(LINEST(OFFSET(D430,-R430,0,R430,1),OFFSET(E430,-R430,0,R430,2)),1,3),"")</f>
        <v>4.59280004464775</v>
      </c>
      <c r="V430" s="29" t="n">
        <f aca="true">IF(AND(F430&gt;=1,R430&gt;=Inputs!$B$10),SQRT(SUMPRODUCT((OFFSET(D430,-R430,0,R430,1)-U430-T430*OFFSET(E430,-R430,0,R430,1)-S430*OFFSET(F430,-R430,0,R430,1))^2)/(R430-3)),"")</f>
        <v>0.00342457750293585</v>
      </c>
      <c r="W430" s="31" t="n">
        <f aca="false">IF(AND(F430&gt;=1,R430&gt;=Inputs!$B$10),(D430-U430-T430*E430-S430*F430)/V430,"")</f>
        <v>0.552771434655016</v>
      </c>
      <c r="X430" s="30" t="n">
        <f aca="false">IF(AB429&lt;&gt;0,AC429+1,0)</f>
        <v>0</v>
      </c>
      <c r="Y430" s="30" t="n">
        <f aca="false">IF(W430="",0,IF(AND(AB429&lt;&gt;0,OR(ABS(W430)&gt;Inputs!$B$7,X430&gt;=Inputs!$B$8,ABS(W430)&lt;Inputs!$B$6)),1,0))</f>
        <v>0</v>
      </c>
      <c r="Z430" s="30" t="n">
        <f aca="false">IF(Y430=1,0,AB429)</f>
        <v>0</v>
      </c>
      <c r="AA430" s="30" t="n">
        <f aca="false">IF(W430="",0,IF(AND(Z430=0,ABS(W430)&gt;Inputs!$B$5,ABS(W430)&lt;=Inputs!$B$7),1,0))</f>
        <v>0</v>
      </c>
      <c r="AB430" s="30" t="n">
        <f aca="false">IF(W430="",0,IF(AA430=1,-SIGN(W430),Z430))</f>
        <v>0</v>
      </c>
      <c r="AC430" s="30" t="n">
        <f aca="false">IF(W430="",0,IF(AA430=1,0,IF(Y430=1,0,X430)))</f>
        <v>0</v>
      </c>
      <c r="AD430" s="30" t="n">
        <f aca="false">IF(AB430=0,0,IF(AB429=AB430,AD429,T430))</f>
        <v>0</v>
      </c>
      <c r="AE430" s="30" t="n">
        <f aca="false">AB430-AB429</f>
        <v>0</v>
      </c>
      <c r="AF430" s="30" t="n">
        <f aca="false">-AD430*AB430</f>
        <v>-0</v>
      </c>
      <c r="AG430" s="30" t="n">
        <f aca="false">AF430-AF429</f>
        <v>0</v>
      </c>
      <c r="AH430" s="30" t="n">
        <f aca="false">MAX(AE430,0)*(Inputs!$B$17+Inputs!$B$18+Inputs!$B$19)+MAX(-AE430,0)*(O430+Inputs!$B$18+Inputs!$B$19)+IF(AND(K430=1,AB430&lt;&gt;0),(Inputs!$B$17+Inputs!$B$18+Inputs!$B$19)+(O430+Inputs!$B$18+Inputs!$B$19),0)+MAX(AG430,0)*(Inputs!$B$20+Inputs!$B$22+Inputs!$B$23)+MAX(-AG430,0)*(Inputs!$B$21+Inputs!$B$22+Inputs!$B$23)</f>
        <v>0</v>
      </c>
      <c r="AI430" s="30" t="n">
        <f aca="false">AB429*(M430-AD429*J430)+AB429*AD429*N430/Inputs!$B$16-AH430</f>
        <v>0</v>
      </c>
      <c r="AJ430" s="30" t="n">
        <f aca="false">MAX(AE430,0)*(Inputs!$B$17+Inputs!$B$24+Inputs!$B$25)+MAX(-AE430,0)*(O430+Inputs!$B$24+Inputs!$B$25)+IF(AND(K430=1,AB430&lt;&gt;0),(Inputs!$B$17+Inputs!$B$24+Inputs!$B$25)+(O430+Inputs!$B$24+Inputs!$B$25),0)+MAX(AG430,0)*(Inputs!$B$20+Inputs!$B$26+Inputs!$B$27)+MAX(-AG430,0)*(Inputs!$B$21+Inputs!$B$26+Inputs!$B$27)</f>
        <v>0</v>
      </c>
      <c r="AK430" s="30" t="n">
        <f aca="false">AB429*(M430-AD429*J430)+AB429*AD429*(N430+Inputs!$B$14)/Inputs!$B$16-AJ430</f>
        <v>0</v>
      </c>
      <c r="AL430" s="30" t="n">
        <f aca="false">IF(AP429&lt;&gt;0,AQ429+1,0)</f>
        <v>0</v>
      </c>
      <c r="AM430" s="30" t="n">
        <f aca="false">IF(W430="",0,IF(AND(AP429&lt;&gt;0,OR(ABS(W430)&gt;Inputs!$B$7,AL430&gt;=Inputs!$B$8,ABS(W430)&lt;Inputs!$B$6)),1,0))</f>
        <v>0</v>
      </c>
      <c r="AN430" s="30" t="n">
        <f aca="false">IF(AM430=1,0,AP429)</f>
        <v>0</v>
      </c>
      <c r="AO430" s="30" t="n">
        <f aca="false">IF(W430="",0,IF(AND(AN430=0,ABS(W430)&gt;Inputs!$B$5,ABS(W430)&lt;=Inputs!$B$7,W430&gt;0),1,0))</f>
        <v>0</v>
      </c>
      <c r="AP430" s="30" t="n">
        <f aca="false">IF(W430="",0,IF(AO430=1,-SIGN(W430),AN430))</f>
        <v>0</v>
      </c>
      <c r="AQ430" s="30" t="n">
        <f aca="false">IF(W430="",0,IF(AO430=1,0,IF(AM430=1,0,AL430)))</f>
        <v>0</v>
      </c>
      <c r="AR430" s="30" t="n">
        <f aca="false">IF(AP430=0,0,IF(AP429=AP430,AR429,T430))</f>
        <v>0</v>
      </c>
      <c r="AS430" s="30" t="n">
        <f aca="false">AP430-AP429</f>
        <v>0</v>
      </c>
      <c r="AT430" s="30" t="n">
        <f aca="false">-AR430*AP430</f>
        <v>-0</v>
      </c>
      <c r="AU430" s="30" t="n">
        <f aca="false">AT430-AT429</f>
        <v>0</v>
      </c>
      <c r="AV430" s="30" t="n">
        <f aca="false">MAX(AS430,0)*(Inputs!$B$17+Inputs!$B$18+Inputs!$B$19)+MAX(-AS430,0)*(O430+Inputs!$B$18+Inputs!$B$19)+IF(AND(K430=1,AP430&lt;&gt;0),(Inputs!$B$17+Inputs!$B$18+Inputs!$B$19)+(O430+Inputs!$B$18+Inputs!$B$19),0)+MAX(AU430,0)*(Inputs!$B$20+Inputs!$B$22+Inputs!$B$23)+MAX(-AU430,0)*(Inputs!$B$21+Inputs!$B$22+Inputs!$B$23)</f>
        <v>0</v>
      </c>
      <c r="AW430" s="30" t="n">
        <f aca="false">AP429*(M430-AR429*J430)+AP429*AR429*N430/Inputs!$B$16-AV430</f>
        <v>0</v>
      </c>
      <c r="AX430" s="30" t="n">
        <f aca="false">AW430-IF(AP429&lt;&gt;0,0.75*AR429*(Inputs!$B$13-N430)/Inputs!$B$16,0)</f>
        <v>0</v>
      </c>
      <c r="AY430" s="30" t="n">
        <f aca="false">MAX(AS430,0)*(Inputs!$B$17+Inputs!$B$18+Inputs!$B$19)+MAX(-AS430,0)*(O430+Inputs!$B$18+Inputs!$B$19)+IF(AND(K430=1,AP430&lt;&gt;0),(Inputs!$B$17+Inputs!$B$18+Inputs!$B$19)+(O430+Inputs!$B$18+Inputs!$B$19),0)</f>
        <v>0</v>
      </c>
      <c r="AZ430" s="30" t="n">
        <f aca="false">AP429*M430-AY430</f>
        <v>0</v>
      </c>
      <c r="BA430" s="32" t="n">
        <f aca="false">BA429+AI430</f>
        <v>0.00429130278454792</v>
      </c>
      <c r="BB430" s="30" t="n">
        <f aca="false">MAX(BB429,BA430)</f>
        <v>0.00429130278454792</v>
      </c>
      <c r="BC430" s="32" t="n">
        <f aca="false">BA430-BB430</f>
        <v>0</v>
      </c>
      <c r="BD430" s="30" t="n">
        <f aca="false">A431-A430</f>
        <v>1</v>
      </c>
    </row>
    <row r="431" customFormat="false" ht="15" hidden="false" customHeight="false" outlineLevel="0" collapsed="false">
      <c r="A431" s="28" t="n">
        <v>45674</v>
      </c>
      <c r="B431" s="0" t="n">
        <v>23265.6</v>
      </c>
      <c r="C431" s="0" t="n">
        <v>259.93</v>
      </c>
      <c r="D431" s="29" t="n">
        <f aca="false">LN(B431)</f>
        <v>10.0547311537592</v>
      </c>
      <c r="E431" s="29" t="n">
        <f aca="false">LN(C431)</f>
        <v>5.56041236399719</v>
      </c>
      <c r="F431" s="0" t="n">
        <v>426</v>
      </c>
      <c r="G431" s="0" t="n">
        <v>13</v>
      </c>
      <c r="H431" s="29" t="n">
        <f aca="false">D431-E431</f>
        <v>4.49431878976203</v>
      </c>
      <c r="I431" s="29" t="n">
        <f aca="false">D431-D430</f>
        <v>-0.00619808586563764</v>
      </c>
      <c r="J431" s="29" t="n">
        <f aca="false">E431-E430</f>
        <v>-0.00391645409223518</v>
      </c>
      <c r="K431" s="0" t="n">
        <v>0</v>
      </c>
      <c r="L431" s="0" t="n">
        <v>0</v>
      </c>
      <c r="M431" s="29" t="n">
        <f aca="false">IF(L431=1,J431-Carry!$B$9/Inputs!$B$16,I431)</f>
        <v>-0.00619808586563764</v>
      </c>
      <c r="N431" s="0" t="n">
        <v>0.065</v>
      </c>
      <c r="O431" s="0" t="n">
        <v>0.0002</v>
      </c>
      <c r="P431" s="29" t="n">
        <f aca="false">D431-('2 Hedge ratio'!$B$6+'2 Hedge ratio'!$B$5*E431)</f>
        <v>-0.00113148669310981</v>
      </c>
      <c r="Q431" s="29" t="n">
        <f aca="false">D431-('5 Re-specification'!$B$7+'5 Re-specification'!$B$5*E431+'5 Re-specification'!$B$6*F431)</f>
        <v>-0.000891511889715702</v>
      </c>
      <c r="R431" s="30" t="n">
        <f aca="false">MIN(F431,Inputs!$B$9)</f>
        <v>250</v>
      </c>
      <c r="S431" s="29" t="n">
        <f aca="true">IF(AND(F431&gt;=1,R431&gt;=Inputs!$B$10),INDEX(LINEST(OFFSET(D431,-R431,0,R431,1),OFFSET(E431,-R431,0,R431,2)),1,1),"")</f>
        <v>-4.74595599168146E-005</v>
      </c>
      <c r="T431" s="29" t="n">
        <f aca="true">IF(AND(F431&gt;=1,R431&gt;=Inputs!$B$10),INDEX(LINEST(OFFSET(D431,-R431,0,R431,1),OFFSET(E431,-R431,0,R431,2)),1,2),"")</f>
        <v>0.985502603399518</v>
      </c>
      <c r="U431" s="29" t="n">
        <f aca="true">IF(AND(F431&gt;=1,R431&gt;=Inputs!$B$10),INDEX(LINEST(OFFSET(D431,-R431,0,R431,1),OFFSET(E431,-R431,0,R431,2)),1,3),"")</f>
        <v>4.595615641286</v>
      </c>
      <c r="V431" s="29" t="n">
        <f aca="true">IF(AND(F431&gt;=1,R431&gt;=Inputs!$B$10),SQRT(SUMPRODUCT((OFFSET(D431,-R431,0,R431,1)-U431-T431*OFFSET(E431,-R431,0,R431,1)-S431*OFFSET(F431,-R431,0,R431,1))^2)/(R431-3)),"")</f>
        <v>0.00342656025038036</v>
      </c>
      <c r="W431" s="31" t="n">
        <f aca="false">IF(AND(F431&gt;=1,R431&gt;=Inputs!$B$10),(D431-U431-T431*E431-S431*F431)/V431,"")</f>
        <v>-0.136456289148778</v>
      </c>
      <c r="X431" s="30" t="n">
        <f aca="false">IF(AB430&lt;&gt;0,AC430+1,0)</f>
        <v>0</v>
      </c>
      <c r="Y431" s="30" t="n">
        <f aca="false">IF(W431="",0,IF(AND(AB430&lt;&gt;0,OR(ABS(W431)&gt;Inputs!$B$7,X431&gt;=Inputs!$B$8,ABS(W431)&lt;Inputs!$B$6)),1,0))</f>
        <v>0</v>
      </c>
      <c r="Z431" s="30" t="n">
        <f aca="false">IF(Y431=1,0,AB430)</f>
        <v>0</v>
      </c>
      <c r="AA431" s="30" t="n">
        <f aca="false">IF(W431="",0,IF(AND(Z431=0,ABS(W431)&gt;Inputs!$B$5,ABS(W431)&lt;=Inputs!$B$7),1,0))</f>
        <v>0</v>
      </c>
      <c r="AB431" s="30" t="n">
        <f aca="false">IF(W431="",0,IF(AA431=1,-SIGN(W431),Z431))</f>
        <v>0</v>
      </c>
      <c r="AC431" s="30" t="n">
        <f aca="false">IF(W431="",0,IF(AA431=1,0,IF(Y431=1,0,X431)))</f>
        <v>0</v>
      </c>
      <c r="AD431" s="30" t="n">
        <f aca="false">IF(AB431=0,0,IF(AB430=AB431,AD430,T431))</f>
        <v>0</v>
      </c>
      <c r="AE431" s="30" t="n">
        <f aca="false">AB431-AB430</f>
        <v>0</v>
      </c>
      <c r="AF431" s="30" t="n">
        <f aca="false">-AD431*AB431</f>
        <v>-0</v>
      </c>
      <c r="AG431" s="30" t="n">
        <f aca="false">AF431-AF430</f>
        <v>0</v>
      </c>
      <c r="AH431" s="30" t="n">
        <f aca="false">MAX(AE431,0)*(Inputs!$B$17+Inputs!$B$18+Inputs!$B$19)+MAX(-AE431,0)*(O431+Inputs!$B$18+Inputs!$B$19)+IF(AND(K431=1,AB431&lt;&gt;0),(Inputs!$B$17+Inputs!$B$18+Inputs!$B$19)+(O431+Inputs!$B$18+Inputs!$B$19),0)+MAX(AG431,0)*(Inputs!$B$20+Inputs!$B$22+Inputs!$B$23)+MAX(-AG431,0)*(Inputs!$B$21+Inputs!$B$22+Inputs!$B$23)</f>
        <v>0</v>
      </c>
      <c r="AI431" s="30" t="n">
        <f aca="false">AB430*(M431-AD430*J431)+AB430*AD430*N431/Inputs!$B$16-AH431</f>
        <v>0</v>
      </c>
      <c r="AJ431" s="30" t="n">
        <f aca="false">MAX(AE431,0)*(Inputs!$B$17+Inputs!$B$24+Inputs!$B$25)+MAX(-AE431,0)*(O431+Inputs!$B$24+Inputs!$B$25)+IF(AND(K431=1,AB431&lt;&gt;0),(Inputs!$B$17+Inputs!$B$24+Inputs!$B$25)+(O431+Inputs!$B$24+Inputs!$B$25),0)+MAX(AG431,0)*(Inputs!$B$20+Inputs!$B$26+Inputs!$B$27)+MAX(-AG431,0)*(Inputs!$B$21+Inputs!$B$26+Inputs!$B$27)</f>
        <v>0</v>
      </c>
      <c r="AK431" s="30" t="n">
        <f aca="false">AB430*(M431-AD430*J431)+AB430*AD430*(N431+Inputs!$B$14)/Inputs!$B$16-AJ431</f>
        <v>0</v>
      </c>
      <c r="AL431" s="30" t="n">
        <f aca="false">IF(AP430&lt;&gt;0,AQ430+1,0)</f>
        <v>0</v>
      </c>
      <c r="AM431" s="30" t="n">
        <f aca="false">IF(W431="",0,IF(AND(AP430&lt;&gt;0,OR(ABS(W431)&gt;Inputs!$B$7,AL431&gt;=Inputs!$B$8,ABS(W431)&lt;Inputs!$B$6)),1,0))</f>
        <v>0</v>
      </c>
      <c r="AN431" s="30" t="n">
        <f aca="false">IF(AM431=1,0,AP430)</f>
        <v>0</v>
      </c>
      <c r="AO431" s="30" t="n">
        <f aca="false">IF(W431="",0,IF(AND(AN431=0,ABS(W431)&gt;Inputs!$B$5,ABS(W431)&lt;=Inputs!$B$7,W431&gt;0),1,0))</f>
        <v>0</v>
      </c>
      <c r="AP431" s="30" t="n">
        <f aca="false">IF(W431="",0,IF(AO431=1,-SIGN(W431),AN431))</f>
        <v>0</v>
      </c>
      <c r="AQ431" s="30" t="n">
        <f aca="false">IF(W431="",0,IF(AO431=1,0,IF(AM431=1,0,AL431)))</f>
        <v>0</v>
      </c>
      <c r="AR431" s="30" t="n">
        <f aca="false">IF(AP431=0,0,IF(AP430=AP431,AR430,T431))</f>
        <v>0</v>
      </c>
      <c r="AS431" s="30" t="n">
        <f aca="false">AP431-AP430</f>
        <v>0</v>
      </c>
      <c r="AT431" s="30" t="n">
        <f aca="false">-AR431*AP431</f>
        <v>-0</v>
      </c>
      <c r="AU431" s="30" t="n">
        <f aca="false">AT431-AT430</f>
        <v>0</v>
      </c>
      <c r="AV431" s="30" t="n">
        <f aca="false">MAX(AS431,0)*(Inputs!$B$17+Inputs!$B$18+Inputs!$B$19)+MAX(-AS431,0)*(O431+Inputs!$B$18+Inputs!$B$19)+IF(AND(K431=1,AP431&lt;&gt;0),(Inputs!$B$17+Inputs!$B$18+Inputs!$B$19)+(O431+Inputs!$B$18+Inputs!$B$19),0)+MAX(AU431,0)*(Inputs!$B$20+Inputs!$B$22+Inputs!$B$23)+MAX(-AU431,0)*(Inputs!$B$21+Inputs!$B$22+Inputs!$B$23)</f>
        <v>0</v>
      </c>
      <c r="AW431" s="30" t="n">
        <f aca="false">AP430*(M431-AR430*J431)+AP430*AR430*N431/Inputs!$B$16-AV431</f>
        <v>0</v>
      </c>
      <c r="AX431" s="30" t="n">
        <f aca="false">AW431-IF(AP430&lt;&gt;0,0.75*AR430*(Inputs!$B$13-N431)/Inputs!$B$16,0)</f>
        <v>0</v>
      </c>
      <c r="AY431" s="30" t="n">
        <f aca="false">MAX(AS431,0)*(Inputs!$B$17+Inputs!$B$18+Inputs!$B$19)+MAX(-AS431,0)*(O431+Inputs!$B$18+Inputs!$B$19)+IF(AND(K431=1,AP431&lt;&gt;0),(Inputs!$B$17+Inputs!$B$18+Inputs!$B$19)+(O431+Inputs!$B$18+Inputs!$B$19),0)</f>
        <v>0</v>
      </c>
      <c r="AZ431" s="30" t="n">
        <f aca="false">AP430*M431-AY431</f>
        <v>-0</v>
      </c>
      <c r="BA431" s="32" t="n">
        <f aca="false">BA430+AI431</f>
        <v>0.00429130278454792</v>
      </c>
      <c r="BB431" s="30" t="n">
        <f aca="false">MAX(BB430,BA431)</f>
        <v>0.00429130278454792</v>
      </c>
      <c r="BC431" s="32" t="n">
        <f aca="false">BA431-BB431</f>
        <v>0</v>
      </c>
      <c r="BD431" s="30" t="n">
        <f aca="false">A432-A431</f>
        <v>3</v>
      </c>
    </row>
    <row r="432" customFormat="false" ht="15" hidden="false" customHeight="false" outlineLevel="0" collapsed="false">
      <c r="A432" s="28" t="n">
        <v>45677</v>
      </c>
      <c r="B432" s="0" t="n">
        <v>23387.4</v>
      </c>
      <c r="C432" s="0" t="n">
        <v>261.28</v>
      </c>
      <c r="D432" s="29" t="n">
        <f aca="false">LN(B432)</f>
        <v>10.0599526947849</v>
      </c>
      <c r="E432" s="29" t="n">
        <f aca="false">LN(C432)</f>
        <v>5.56559262922216</v>
      </c>
      <c r="F432" s="0" t="n">
        <v>427</v>
      </c>
      <c r="G432" s="0" t="n">
        <v>10</v>
      </c>
      <c r="H432" s="29" t="n">
        <f aca="false">D432-E432</f>
        <v>4.4943600655627</v>
      </c>
      <c r="I432" s="29" t="n">
        <f aca="false">D432-D431</f>
        <v>0.00522154102563555</v>
      </c>
      <c r="J432" s="29" t="n">
        <f aca="false">E432-E431</f>
        <v>0.00518026522496751</v>
      </c>
      <c r="K432" s="0" t="n">
        <v>0</v>
      </c>
      <c r="L432" s="0" t="n">
        <v>0</v>
      </c>
      <c r="M432" s="29" t="n">
        <f aca="false">IF(L432=1,J432-Carry!$B$9/Inputs!$B$16,I432)</f>
        <v>0.00522154102563555</v>
      </c>
      <c r="N432" s="0" t="n">
        <v>0.065</v>
      </c>
      <c r="O432" s="0" t="n">
        <v>0.0002</v>
      </c>
      <c r="P432" s="29" t="n">
        <f aca="false">D432-('2 Hedge ratio'!$B$6+'2 Hedge ratio'!$B$5*E432)</f>
        <v>-0.000655725260061857</v>
      </c>
      <c r="Q432" s="29" t="n">
        <f aca="false">D432-('5 Re-specification'!$B$7+'5 Re-specification'!$B$5*E432+'5 Re-specification'!$B$6*F432)</f>
        <v>-0.000789607977075946</v>
      </c>
      <c r="R432" s="30" t="n">
        <f aca="false">MIN(F432,Inputs!$B$9)</f>
        <v>250</v>
      </c>
      <c r="S432" s="29" t="n">
        <f aca="true">IF(AND(F432&gt;=1,R432&gt;=Inputs!$B$10),INDEX(LINEST(OFFSET(D432,-R432,0,R432,1),OFFSET(E432,-R432,0,R432,2)),1,1),"")</f>
        <v>-4.76678407065679E-005</v>
      </c>
      <c r="T432" s="29" t="n">
        <f aca="true">IF(AND(F432&gt;=1,R432&gt;=Inputs!$B$10),INDEX(LINEST(OFFSET(D432,-R432,0,R432,1),OFFSET(E432,-R432,0,R432,2)),1,2),"")</f>
        <v>0.985651996320366</v>
      </c>
      <c r="U432" s="29" t="n">
        <f aca="true">IF(AND(F432&gt;=1,R432&gt;=Inputs!$B$10),INDEX(LINEST(OFFSET(D432,-R432,0,R432,1),OFFSET(E432,-R432,0,R432,2)),1,3),"")</f>
        <v>4.59484781482438</v>
      </c>
      <c r="V432" s="29" t="n">
        <f aca="true">IF(AND(F432&gt;=1,R432&gt;=Inputs!$B$10),SQRT(SUMPRODUCT((OFFSET(D432,-R432,0,R432,1)-U432-T432*OFFSET(E432,-R432,0,R432,1)-S432*OFFSET(F432,-R432,0,R432,1))^2)/(R432-3)),"")</f>
        <v>0.00342633258553279</v>
      </c>
      <c r="W432" s="31" t="n">
        <f aca="false">IF(AND(F432&gt;=1,R432&gt;=Inputs!$B$10),(D432-U432-T432*E432-S432*F432)/V432,"")</f>
        <v>-0.0812640774357792</v>
      </c>
      <c r="X432" s="30" t="n">
        <f aca="false">IF(AB431&lt;&gt;0,AC431+1,0)</f>
        <v>0</v>
      </c>
      <c r="Y432" s="30" t="n">
        <f aca="false">IF(W432="",0,IF(AND(AB431&lt;&gt;0,OR(ABS(W432)&gt;Inputs!$B$7,X432&gt;=Inputs!$B$8,ABS(W432)&lt;Inputs!$B$6)),1,0))</f>
        <v>0</v>
      </c>
      <c r="Z432" s="30" t="n">
        <f aca="false">IF(Y432=1,0,AB431)</f>
        <v>0</v>
      </c>
      <c r="AA432" s="30" t="n">
        <f aca="false">IF(W432="",0,IF(AND(Z432=0,ABS(W432)&gt;Inputs!$B$5,ABS(W432)&lt;=Inputs!$B$7),1,0))</f>
        <v>0</v>
      </c>
      <c r="AB432" s="30" t="n">
        <f aca="false">IF(W432="",0,IF(AA432=1,-SIGN(W432),Z432))</f>
        <v>0</v>
      </c>
      <c r="AC432" s="30" t="n">
        <f aca="false">IF(W432="",0,IF(AA432=1,0,IF(Y432=1,0,X432)))</f>
        <v>0</v>
      </c>
      <c r="AD432" s="30" t="n">
        <f aca="false">IF(AB432=0,0,IF(AB431=AB432,AD431,T432))</f>
        <v>0</v>
      </c>
      <c r="AE432" s="30" t="n">
        <f aca="false">AB432-AB431</f>
        <v>0</v>
      </c>
      <c r="AF432" s="30" t="n">
        <f aca="false">-AD432*AB432</f>
        <v>-0</v>
      </c>
      <c r="AG432" s="30" t="n">
        <f aca="false">AF432-AF431</f>
        <v>0</v>
      </c>
      <c r="AH432" s="30" t="n">
        <f aca="false">MAX(AE432,0)*(Inputs!$B$17+Inputs!$B$18+Inputs!$B$19)+MAX(-AE432,0)*(O432+Inputs!$B$18+Inputs!$B$19)+IF(AND(K432=1,AB432&lt;&gt;0),(Inputs!$B$17+Inputs!$B$18+Inputs!$B$19)+(O432+Inputs!$B$18+Inputs!$B$19),0)+MAX(AG432,0)*(Inputs!$B$20+Inputs!$B$22+Inputs!$B$23)+MAX(-AG432,0)*(Inputs!$B$21+Inputs!$B$22+Inputs!$B$23)</f>
        <v>0</v>
      </c>
      <c r="AI432" s="30" t="n">
        <f aca="false">AB431*(M432-AD431*J432)+AB431*AD431*N432/Inputs!$B$16-AH432</f>
        <v>0</v>
      </c>
      <c r="AJ432" s="30" t="n">
        <f aca="false">MAX(AE432,0)*(Inputs!$B$17+Inputs!$B$24+Inputs!$B$25)+MAX(-AE432,0)*(O432+Inputs!$B$24+Inputs!$B$25)+IF(AND(K432=1,AB432&lt;&gt;0),(Inputs!$B$17+Inputs!$B$24+Inputs!$B$25)+(O432+Inputs!$B$24+Inputs!$B$25),0)+MAX(AG432,0)*(Inputs!$B$20+Inputs!$B$26+Inputs!$B$27)+MAX(-AG432,0)*(Inputs!$B$21+Inputs!$B$26+Inputs!$B$27)</f>
        <v>0</v>
      </c>
      <c r="AK432" s="30" t="n">
        <f aca="false">AB431*(M432-AD431*J432)+AB431*AD431*(N432+Inputs!$B$14)/Inputs!$B$16-AJ432</f>
        <v>0</v>
      </c>
      <c r="AL432" s="30" t="n">
        <f aca="false">IF(AP431&lt;&gt;0,AQ431+1,0)</f>
        <v>0</v>
      </c>
      <c r="AM432" s="30" t="n">
        <f aca="false">IF(W432="",0,IF(AND(AP431&lt;&gt;0,OR(ABS(W432)&gt;Inputs!$B$7,AL432&gt;=Inputs!$B$8,ABS(W432)&lt;Inputs!$B$6)),1,0))</f>
        <v>0</v>
      </c>
      <c r="AN432" s="30" t="n">
        <f aca="false">IF(AM432=1,0,AP431)</f>
        <v>0</v>
      </c>
      <c r="AO432" s="30" t="n">
        <f aca="false">IF(W432="",0,IF(AND(AN432=0,ABS(W432)&gt;Inputs!$B$5,ABS(W432)&lt;=Inputs!$B$7,W432&gt;0),1,0))</f>
        <v>0</v>
      </c>
      <c r="AP432" s="30" t="n">
        <f aca="false">IF(W432="",0,IF(AO432=1,-SIGN(W432),AN432))</f>
        <v>0</v>
      </c>
      <c r="AQ432" s="30" t="n">
        <f aca="false">IF(W432="",0,IF(AO432=1,0,IF(AM432=1,0,AL432)))</f>
        <v>0</v>
      </c>
      <c r="AR432" s="30" t="n">
        <f aca="false">IF(AP432=0,0,IF(AP431=AP432,AR431,T432))</f>
        <v>0</v>
      </c>
      <c r="AS432" s="30" t="n">
        <f aca="false">AP432-AP431</f>
        <v>0</v>
      </c>
      <c r="AT432" s="30" t="n">
        <f aca="false">-AR432*AP432</f>
        <v>-0</v>
      </c>
      <c r="AU432" s="30" t="n">
        <f aca="false">AT432-AT431</f>
        <v>0</v>
      </c>
      <c r="AV432" s="30" t="n">
        <f aca="false">MAX(AS432,0)*(Inputs!$B$17+Inputs!$B$18+Inputs!$B$19)+MAX(-AS432,0)*(O432+Inputs!$B$18+Inputs!$B$19)+IF(AND(K432=1,AP432&lt;&gt;0),(Inputs!$B$17+Inputs!$B$18+Inputs!$B$19)+(O432+Inputs!$B$18+Inputs!$B$19),0)+MAX(AU432,0)*(Inputs!$B$20+Inputs!$B$22+Inputs!$B$23)+MAX(-AU432,0)*(Inputs!$B$21+Inputs!$B$22+Inputs!$B$23)</f>
        <v>0</v>
      </c>
      <c r="AW432" s="30" t="n">
        <f aca="false">AP431*(M432-AR431*J432)+AP431*AR431*N432/Inputs!$B$16-AV432</f>
        <v>0</v>
      </c>
      <c r="AX432" s="30" t="n">
        <f aca="false">AW432-IF(AP431&lt;&gt;0,0.75*AR431*(Inputs!$B$13-N432)/Inputs!$B$16,0)</f>
        <v>0</v>
      </c>
      <c r="AY432" s="30" t="n">
        <f aca="false">MAX(AS432,0)*(Inputs!$B$17+Inputs!$B$18+Inputs!$B$19)+MAX(-AS432,0)*(O432+Inputs!$B$18+Inputs!$B$19)+IF(AND(K432=1,AP432&lt;&gt;0),(Inputs!$B$17+Inputs!$B$18+Inputs!$B$19)+(O432+Inputs!$B$18+Inputs!$B$19),0)</f>
        <v>0</v>
      </c>
      <c r="AZ432" s="30" t="n">
        <f aca="false">AP431*M432-AY432</f>
        <v>0</v>
      </c>
      <c r="BA432" s="32" t="n">
        <f aca="false">BA431+AI432</f>
        <v>0.00429130278454792</v>
      </c>
      <c r="BB432" s="30" t="n">
        <f aca="false">MAX(BB431,BA432)</f>
        <v>0.00429130278454792</v>
      </c>
      <c r="BC432" s="32" t="n">
        <f aca="false">BA432-BB432</f>
        <v>0</v>
      </c>
      <c r="BD432" s="30" t="n">
        <f aca="false">A433-A432</f>
        <v>1</v>
      </c>
    </row>
    <row r="433" customFormat="false" ht="15" hidden="false" customHeight="false" outlineLevel="0" collapsed="false">
      <c r="A433" s="28" t="n">
        <v>45678</v>
      </c>
      <c r="B433" s="0" t="n">
        <v>23109.45</v>
      </c>
      <c r="C433" s="0" t="n">
        <v>258.34</v>
      </c>
      <c r="D433" s="29" t="n">
        <f aca="false">LN(B433)</f>
        <v>10.0479969037641</v>
      </c>
      <c r="E433" s="29" t="n">
        <f aca="false">LN(C433)</f>
        <v>5.55427654680387</v>
      </c>
      <c r="F433" s="0" t="n">
        <v>428</v>
      </c>
      <c r="G433" s="0" t="n">
        <v>9</v>
      </c>
      <c r="H433" s="29" t="n">
        <f aca="false">D433-E433</f>
        <v>4.49372035696024</v>
      </c>
      <c r="I433" s="29" t="n">
        <f aca="false">D433-D432</f>
        <v>-0.0119557910207515</v>
      </c>
      <c r="J433" s="29" t="n">
        <f aca="false">E433-E432</f>
        <v>-0.0113160824182854</v>
      </c>
      <c r="K433" s="0" t="n">
        <v>0</v>
      </c>
      <c r="L433" s="0" t="n">
        <v>0</v>
      </c>
      <c r="M433" s="29" t="n">
        <f aca="false">IF(L433=1,J433-Carry!$B$9/Inputs!$B$16,I433)</f>
        <v>-0.0119557910207515</v>
      </c>
      <c r="N433" s="0" t="n">
        <v>0.065</v>
      </c>
      <c r="O433" s="0" t="n">
        <v>0.0002</v>
      </c>
      <c r="P433" s="29" t="n">
        <f aca="false">D433-('2 Hedge ratio'!$B$6+'2 Hedge ratio'!$B$5*E433)</f>
        <v>-0.00224455036758187</v>
      </c>
      <c r="Q433" s="29" t="n">
        <f aca="false">D433-('5 Re-specification'!$B$7+'5 Re-specification'!$B$5*E433+'5 Re-specification'!$B$6*F433)</f>
        <v>-0.00141868064945605</v>
      </c>
      <c r="R433" s="30" t="n">
        <f aca="false">MIN(F433,Inputs!$B$9)</f>
        <v>250</v>
      </c>
      <c r="S433" s="29" t="n">
        <f aca="true">IF(AND(F433&gt;=1,R433&gt;=Inputs!$B$10),INDEX(LINEST(OFFSET(D433,-R433,0,R433,1),OFFSET(E433,-R433,0,R433,2)),1,1),"")</f>
        <v>-4.78914520422696E-005</v>
      </c>
      <c r="T433" s="29" t="n">
        <f aca="true">IF(AND(F433&gt;=1,R433&gt;=Inputs!$B$10),INDEX(LINEST(OFFSET(D433,-R433,0,R433,1),OFFSET(E433,-R433,0,R433,2)),1,2),"")</f>
        <v>0.985727155915873</v>
      </c>
      <c r="U433" s="29" t="n">
        <f aca="true">IF(AND(F433&gt;=1,R433&gt;=Inputs!$B$10),INDEX(LINEST(OFFSET(D433,-R433,0,R433,1),OFFSET(E433,-R433,0,R433,2)),1,3),"")</f>
        <v>4.59450215903732</v>
      </c>
      <c r="V433" s="29" t="n">
        <f aca="true">IF(AND(F433&gt;=1,R433&gt;=Inputs!$B$10),SQRT(SUMPRODUCT((OFFSET(D433,-R433,0,R433,1)-U433-T433*OFFSET(E433,-R433,0,R433,1)-S433*OFFSET(F433,-R433,0,R433,1))^2)/(R433-3)),"")</f>
        <v>0.00342487641446275</v>
      </c>
      <c r="W433" s="31" t="n">
        <f aca="false">IF(AND(F433&gt;=1,R433&gt;=Inputs!$B$10),(D433-U433-T433*E433-S433*F433)/V433,"")</f>
        <v>-0.294590907302733</v>
      </c>
      <c r="X433" s="30" t="n">
        <f aca="false">IF(AB432&lt;&gt;0,AC432+1,0)</f>
        <v>0</v>
      </c>
      <c r="Y433" s="30" t="n">
        <f aca="false">IF(W433="",0,IF(AND(AB432&lt;&gt;0,OR(ABS(W433)&gt;Inputs!$B$7,X433&gt;=Inputs!$B$8,ABS(W433)&lt;Inputs!$B$6)),1,0))</f>
        <v>0</v>
      </c>
      <c r="Z433" s="30" t="n">
        <f aca="false">IF(Y433=1,0,AB432)</f>
        <v>0</v>
      </c>
      <c r="AA433" s="30" t="n">
        <f aca="false">IF(W433="",0,IF(AND(Z433=0,ABS(W433)&gt;Inputs!$B$5,ABS(W433)&lt;=Inputs!$B$7),1,0))</f>
        <v>0</v>
      </c>
      <c r="AB433" s="30" t="n">
        <f aca="false">IF(W433="",0,IF(AA433=1,-SIGN(W433),Z433))</f>
        <v>0</v>
      </c>
      <c r="AC433" s="30" t="n">
        <f aca="false">IF(W433="",0,IF(AA433=1,0,IF(Y433=1,0,X433)))</f>
        <v>0</v>
      </c>
      <c r="AD433" s="30" t="n">
        <f aca="false">IF(AB433=0,0,IF(AB432=AB433,AD432,T433))</f>
        <v>0</v>
      </c>
      <c r="AE433" s="30" t="n">
        <f aca="false">AB433-AB432</f>
        <v>0</v>
      </c>
      <c r="AF433" s="30" t="n">
        <f aca="false">-AD433*AB433</f>
        <v>-0</v>
      </c>
      <c r="AG433" s="30" t="n">
        <f aca="false">AF433-AF432</f>
        <v>0</v>
      </c>
      <c r="AH433" s="30" t="n">
        <f aca="false">MAX(AE433,0)*(Inputs!$B$17+Inputs!$B$18+Inputs!$B$19)+MAX(-AE433,0)*(O433+Inputs!$B$18+Inputs!$B$19)+IF(AND(K433=1,AB433&lt;&gt;0),(Inputs!$B$17+Inputs!$B$18+Inputs!$B$19)+(O433+Inputs!$B$18+Inputs!$B$19),0)+MAX(AG433,0)*(Inputs!$B$20+Inputs!$B$22+Inputs!$B$23)+MAX(-AG433,0)*(Inputs!$B$21+Inputs!$B$22+Inputs!$B$23)</f>
        <v>0</v>
      </c>
      <c r="AI433" s="30" t="n">
        <f aca="false">AB432*(M433-AD432*J433)+AB432*AD432*N433/Inputs!$B$16-AH433</f>
        <v>0</v>
      </c>
      <c r="AJ433" s="30" t="n">
        <f aca="false">MAX(AE433,0)*(Inputs!$B$17+Inputs!$B$24+Inputs!$B$25)+MAX(-AE433,0)*(O433+Inputs!$B$24+Inputs!$B$25)+IF(AND(K433=1,AB433&lt;&gt;0),(Inputs!$B$17+Inputs!$B$24+Inputs!$B$25)+(O433+Inputs!$B$24+Inputs!$B$25),0)+MAX(AG433,0)*(Inputs!$B$20+Inputs!$B$26+Inputs!$B$27)+MAX(-AG433,0)*(Inputs!$B$21+Inputs!$B$26+Inputs!$B$27)</f>
        <v>0</v>
      </c>
      <c r="AK433" s="30" t="n">
        <f aca="false">AB432*(M433-AD432*J433)+AB432*AD432*(N433+Inputs!$B$14)/Inputs!$B$16-AJ433</f>
        <v>0</v>
      </c>
      <c r="AL433" s="30" t="n">
        <f aca="false">IF(AP432&lt;&gt;0,AQ432+1,0)</f>
        <v>0</v>
      </c>
      <c r="AM433" s="30" t="n">
        <f aca="false">IF(W433="",0,IF(AND(AP432&lt;&gt;0,OR(ABS(W433)&gt;Inputs!$B$7,AL433&gt;=Inputs!$B$8,ABS(W433)&lt;Inputs!$B$6)),1,0))</f>
        <v>0</v>
      </c>
      <c r="AN433" s="30" t="n">
        <f aca="false">IF(AM433=1,0,AP432)</f>
        <v>0</v>
      </c>
      <c r="AO433" s="30" t="n">
        <f aca="false">IF(W433="",0,IF(AND(AN433=0,ABS(W433)&gt;Inputs!$B$5,ABS(W433)&lt;=Inputs!$B$7,W433&gt;0),1,0))</f>
        <v>0</v>
      </c>
      <c r="AP433" s="30" t="n">
        <f aca="false">IF(W433="",0,IF(AO433=1,-SIGN(W433),AN433))</f>
        <v>0</v>
      </c>
      <c r="AQ433" s="30" t="n">
        <f aca="false">IF(W433="",0,IF(AO433=1,0,IF(AM433=1,0,AL433)))</f>
        <v>0</v>
      </c>
      <c r="AR433" s="30" t="n">
        <f aca="false">IF(AP433=0,0,IF(AP432=AP433,AR432,T433))</f>
        <v>0</v>
      </c>
      <c r="AS433" s="30" t="n">
        <f aca="false">AP433-AP432</f>
        <v>0</v>
      </c>
      <c r="AT433" s="30" t="n">
        <f aca="false">-AR433*AP433</f>
        <v>-0</v>
      </c>
      <c r="AU433" s="30" t="n">
        <f aca="false">AT433-AT432</f>
        <v>0</v>
      </c>
      <c r="AV433" s="30" t="n">
        <f aca="false">MAX(AS433,0)*(Inputs!$B$17+Inputs!$B$18+Inputs!$B$19)+MAX(-AS433,0)*(O433+Inputs!$B$18+Inputs!$B$19)+IF(AND(K433=1,AP433&lt;&gt;0),(Inputs!$B$17+Inputs!$B$18+Inputs!$B$19)+(O433+Inputs!$B$18+Inputs!$B$19),0)+MAX(AU433,0)*(Inputs!$B$20+Inputs!$B$22+Inputs!$B$23)+MAX(-AU433,0)*(Inputs!$B$21+Inputs!$B$22+Inputs!$B$23)</f>
        <v>0</v>
      </c>
      <c r="AW433" s="30" t="n">
        <f aca="false">AP432*(M433-AR432*J433)+AP432*AR432*N433/Inputs!$B$16-AV433</f>
        <v>0</v>
      </c>
      <c r="AX433" s="30" t="n">
        <f aca="false">AW433-IF(AP432&lt;&gt;0,0.75*AR432*(Inputs!$B$13-N433)/Inputs!$B$16,0)</f>
        <v>0</v>
      </c>
      <c r="AY433" s="30" t="n">
        <f aca="false">MAX(AS433,0)*(Inputs!$B$17+Inputs!$B$18+Inputs!$B$19)+MAX(-AS433,0)*(O433+Inputs!$B$18+Inputs!$B$19)+IF(AND(K433=1,AP433&lt;&gt;0),(Inputs!$B$17+Inputs!$B$18+Inputs!$B$19)+(O433+Inputs!$B$18+Inputs!$B$19),0)</f>
        <v>0</v>
      </c>
      <c r="AZ433" s="30" t="n">
        <f aca="false">AP432*M433-AY433</f>
        <v>-0</v>
      </c>
      <c r="BA433" s="32" t="n">
        <f aca="false">BA432+AI433</f>
        <v>0.00429130278454792</v>
      </c>
      <c r="BB433" s="30" t="n">
        <f aca="false">MAX(BB432,BA433)</f>
        <v>0.00429130278454792</v>
      </c>
      <c r="BC433" s="32" t="n">
        <f aca="false">BA433-BB433</f>
        <v>0</v>
      </c>
      <c r="BD433" s="30" t="n">
        <f aca="false">A434-A433</f>
        <v>1</v>
      </c>
    </row>
    <row r="434" customFormat="false" ht="15" hidden="false" customHeight="false" outlineLevel="0" collapsed="false">
      <c r="A434" s="28" t="n">
        <v>45679</v>
      </c>
      <c r="B434" s="0" t="n">
        <v>23198</v>
      </c>
      <c r="C434" s="0" t="n">
        <v>259</v>
      </c>
      <c r="D434" s="29" t="n">
        <f aca="false">LN(B434)</f>
        <v>10.0518213470418</v>
      </c>
      <c r="E434" s="29" t="n">
        <f aca="false">LN(C434)</f>
        <v>5.55682806169954</v>
      </c>
      <c r="F434" s="0" t="n">
        <v>429</v>
      </c>
      <c r="G434" s="0" t="n">
        <v>8</v>
      </c>
      <c r="H434" s="29" t="n">
        <f aca="false">D434-E434</f>
        <v>4.49499328534228</v>
      </c>
      <c r="I434" s="29" t="n">
        <f aca="false">D434-D433</f>
        <v>0.00382444327771658</v>
      </c>
      <c r="J434" s="29" t="n">
        <f aca="false">E434-E433</f>
        <v>0.00255151489566785</v>
      </c>
      <c r="K434" s="0" t="n">
        <v>0</v>
      </c>
      <c r="L434" s="0" t="n">
        <v>0</v>
      </c>
      <c r="M434" s="29" t="n">
        <f aca="false">IF(L434=1,J434-Carry!$B$9/Inputs!$B$16,I434)</f>
        <v>0.00382444327771658</v>
      </c>
      <c r="N434" s="0" t="n">
        <v>0.065</v>
      </c>
      <c r="O434" s="0" t="n">
        <v>0.0002</v>
      </c>
      <c r="P434" s="29" t="n">
        <f aca="false">D434-('2 Hedge ratio'!$B$6+'2 Hedge ratio'!$B$5*E434)</f>
        <v>-0.000757618162401386</v>
      </c>
      <c r="Q434" s="29" t="n">
        <f aca="false">D434-('5 Re-specification'!$B$7+'5 Re-specification'!$B$5*E434+'5 Re-specification'!$B$6*F434)</f>
        <v>-9.30905833644857E-005</v>
      </c>
      <c r="R434" s="30" t="n">
        <f aca="false">MIN(F434,Inputs!$B$9)</f>
        <v>250</v>
      </c>
      <c r="S434" s="29" t="n">
        <f aca="true">IF(AND(F434&gt;=1,R434&gt;=Inputs!$B$10),INDEX(LINEST(OFFSET(D434,-R434,0,R434,1),OFFSET(E434,-R434,0,R434,2)),1,1),"")</f>
        <v>-4.82919067715243E-005</v>
      </c>
      <c r="T434" s="29" t="n">
        <f aca="true">IF(AND(F434&gt;=1,R434&gt;=Inputs!$B$10),INDEX(LINEST(OFFSET(D434,-R434,0,R434,1),OFFSET(E434,-R434,0,R434,2)),1,2),"")</f>
        <v>0.985856773995911</v>
      </c>
      <c r="U434" s="29" t="n">
        <f aca="true">IF(AND(F434&gt;=1,R434&gt;=Inputs!$B$10),INDEX(LINEST(OFFSET(D434,-R434,0,R434,1),OFFSET(E434,-R434,0,R434,2)),1,3),"")</f>
        <v>4.59390735103451</v>
      </c>
      <c r="V434" s="29" t="n">
        <f aca="true">IF(AND(F434&gt;=1,R434&gt;=Inputs!$B$10),SQRT(SUMPRODUCT((OFFSET(D434,-R434,0,R434,1)-U434-T434*OFFSET(E434,-R434,0,R434,1)-S434*OFFSET(F434,-R434,0,R434,1))^2)/(R434-3)),"")</f>
        <v>0.00342208149618771</v>
      </c>
      <c r="W434" s="31" t="n">
        <f aca="false">IF(AND(F434&gt;=1,R434&gt;=Inputs!$B$10),(D434-U434-T434*E434-S434*F434)/V434,"")</f>
        <v>0.115320881655105</v>
      </c>
      <c r="X434" s="30" t="n">
        <f aca="false">IF(AB433&lt;&gt;0,AC433+1,0)</f>
        <v>0</v>
      </c>
      <c r="Y434" s="30" t="n">
        <f aca="false">IF(W434="",0,IF(AND(AB433&lt;&gt;0,OR(ABS(W434)&gt;Inputs!$B$7,X434&gt;=Inputs!$B$8,ABS(W434)&lt;Inputs!$B$6)),1,0))</f>
        <v>0</v>
      </c>
      <c r="Z434" s="30" t="n">
        <f aca="false">IF(Y434=1,0,AB433)</f>
        <v>0</v>
      </c>
      <c r="AA434" s="30" t="n">
        <f aca="false">IF(W434="",0,IF(AND(Z434=0,ABS(W434)&gt;Inputs!$B$5,ABS(W434)&lt;=Inputs!$B$7),1,0))</f>
        <v>0</v>
      </c>
      <c r="AB434" s="30" t="n">
        <f aca="false">IF(W434="",0,IF(AA434=1,-SIGN(W434),Z434))</f>
        <v>0</v>
      </c>
      <c r="AC434" s="30" t="n">
        <f aca="false">IF(W434="",0,IF(AA434=1,0,IF(Y434=1,0,X434)))</f>
        <v>0</v>
      </c>
      <c r="AD434" s="30" t="n">
        <f aca="false">IF(AB434=0,0,IF(AB433=AB434,AD433,T434))</f>
        <v>0</v>
      </c>
      <c r="AE434" s="30" t="n">
        <f aca="false">AB434-AB433</f>
        <v>0</v>
      </c>
      <c r="AF434" s="30" t="n">
        <f aca="false">-AD434*AB434</f>
        <v>-0</v>
      </c>
      <c r="AG434" s="30" t="n">
        <f aca="false">AF434-AF433</f>
        <v>0</v>
      </c>
      <c r="AH434" s="30" t="n">
        <f aca="false">MAX(AE434,0)*(Inputs!$B$17+Inputs!$B$18+Inputs!$B$19)+MAX(-AE434,0)*(O434+Inputs!$B$18+Inputs!$B$19)+IF(AND(K434=1,AB434&lt;&gt;0),(Inputs!$B$17+Inputs!$B$18+Inputs!$B$19)+(O434+Inputs!$B$18+Inputs!$B$19),0)+MAX(AG434,0)*(Inputs!$B$20+Inputs!$B$22+Inputs!$B$23)+MAX(-AG434,0)*(Inputs!$B$21+Inputs!$B$22+Inputs!$B$23)</f>
        <v>0</v>
      </c>
      <c r="AI434" s="30" t="n">
        <f aca="false">AB433*(M434-AD433*J434)+AB433*AD433*N434/Inputs!$B$16-AH434</f>
        <v>0</v>
      </c>
      <c r="AJ434" s="30" t="n">
        <f aca="false">MAX(AE434,0)*(Inputs!$B$17+Inputs!$B$24+Inputs!$B$25)+MAX(-AE434,0)*(O434+Inputs!$B$24+Inputs!$B$25)+IF(AND(K434=1,AB434&lt;&gt;0),(Inputs!$B$17+Inputs!$B$24+Inputs!$B$25)+(O434+Inputs!$B$24+Inputs!$B$25),0)+MAX(AG434,0)*(Inputs!$B$20+Inputs!$B$26+Inputs!$B$27)+MAX(-AG434,0)*(Inputs!$B$21+Inputs!$B$26+Inputs!$B$27)</f>
        <v>0</v>
      </c>
      <c r="AK434" s="30" t="n">
        <f aca="false">AB433*(M434-AD433*J434)+AB433*AD433*(N434+Inputs!$B$14)/Inputs!$B$16-AJ434</f>
        <v>0</v>
      </c>
      <c r="AL434" s="30" t="n">
        <f aca="false">IF(AP433&lt;&gt;0,AQ433+1,0)</f>
        <v>0</v>
      </c>
      <c r="AM434" s="30" t="n">
        <f aca="false">IF(W434="",0,IF(AND(AP433&lt;&gt;0,OR(ABS(W434)&gt;Inputs!$B$7,AL434&gt;=Inputs!$B$8,ABS(W434)&lt;Inputs!$B$6)),1,0))</f>
        <v>0</v>
      </c>
      <c r="AN434" s="30" t="n">
        <f aca="false">IF(AM434=1,0,AP433)</f>
        <v>0</v>
      </c>
      <c r="AO434" s="30" t="n">
        <f aca="false">IF(W434="",0,IF(AND(AN434=0,ABS(W434)&gt;Inputs!$B$5,ABS(W434)&lt;=Inputs!$B$7,W434&gt;0),1,0))</f>
        <v>0</v>
      </c>
      <c r="AP434" s="30" t="n">
        <f aca="false">IF(W434="",0,IF(AO434=1,-SIGN(W434),AN434))</f>
        <v>0</v>
      </c>
      <c r="AQ434" s="30" t="n">
        <f aca="false">IF(W434="",0,IF(AO434=1,0,IF(AM434=1,0,AL434)))</f>
        <v>0</v>
      </c>
      <c r="AR434" s="30" t="n">
        <f aca="false">IF(AP434=0,0,IF(AP433=AP434,AR433,T434))</f>
        <v>0</v>
      </c>
      <c r="AS434" s="30" t="n">
        <f aca="false">AP434-AP433</f>
        <v>0</v>
      </c>
      <c r="AT434" s="30" t="n">
        <f aca="false">-AR434*AP434</f>
        <v>-0</v>
      </c>
      <c r="AU434" s="30" t="n">
        <f aca="false">AT434-AT433</f>
        <v>0</v>
      </c>
      <c r="AV434" s="30" t="n">
        <f aca="false">MAX(AS434,0)*(Inputs!$B$17+Inputs!$B$18+Inputs!$B$19)+MAX(-AS434,0)*(O434+Inputs!$B$18+Inputs!$B$19)+IF(AND(K434=1,AP434&lt;&gt;0),(Inputs!$B$17+Inputs!$B$18+Inputs!$B$19)+(O434+Inputs!$B$18+Inputs!$B$19),0)+MAX(AU434,0)*(Inputs!$B$20+Inputs!$B$22+Inputs!$B$23)+MAX(-AU434,0)*(Inputs!$B$21+Inputs!$B$22+Inputs!$B$23)</f>
        <v>0</v>
      </c>
      <c r="AW434" s="30" t="n">
        <f aca="false">AP433*(M434-AR433*J434)+AP433*AR433*N434/Inputs!$B$16-AV434</f>
        <v>0</v>
      </c>
      <c r="AX434" s="30" t="n">
        <f aca="false">AW434-IF(AP433&lt;&gt;0,0.75*AR433*(Inputs!$B$13-N434)/Inputs!$B$16,0)</f>
        <v>0</v>
      </c>
      <c r="AY434" s="30" t="n">
        <f aca="false">MAX(AS434,0)*(Inputs!$B$17+Inputs!$B$18+Inputs!$B$19)+MAX(-AS434,0)*(O434+Inputs!$B$18+Inputs!$B$19)+IF(AND(K434=1,AP434&lt;&gt;0),(Inputs!$B$17+Inputs!$B$18+Inputs!$B$19)+(O434+Inputs!$B$18+Inputs!$B$19),0)</f>
        <v>0</v>
      </c>
      <c r="AZ434" s="30" t="n">
        <f aca="false">AP433*M434-AY434</f>
        <v>0</v>
      </c>
      <c r="BA434" s="32" t="n">
        <f aca="false">BA433+AI434</f>
        <v>0.00429130278454792</v>
      </c>
      <c r="BB434" s="30" t="n">
        <f aca="false">MAX(BB433,BA434)</f>
        <v>0.00429130278454792</v>
      </c>
      <c r="BC434" s="32" t="n">
        <f aca="false">BA434-BB434</f>
        <v>0</v>
      </c>
      <c r="BD434" s="30" t="n">
        <f aca="false">A435-A434</f>
        <v>1</v>
      </c>
    </row>
    <row r="435" customFormat="false" ht="15" hidden="false" customHeight="false" outlineLevel="0" collapsed="false">
      <c r="A435" s="28" t="n">
        <v>45680</v>
      </c>
      <c r="B435" s="0" t="n">
        <v>23267</v>
      </c>
      <c r="C435" s="0" t="n">
        <v>259.59</v>
      </c>
      <c r="D435" s="29" t="n">
        <f aca="false">LN(B435)</f>
        <v>10.0547913266273</v>
      </c>
      <c r="E435" s="29" t="n">
        <f aca="false">LN(C435)</f>
        <v>5.55910346328676</v>
      </c>
      <c r="F435" s="0" t="n">
        <v>430</v>
      </c>
      <c r="G435" s="0" t="n">
        <v>7</v>
      </c>
      <c r="H435" s="29" t="n">
        <f aca="false">D435-E435</f>
        <v>4.49568786334054</v>
      </c>
      <c r="I435" s="29" t="n">
        <f aca="false">D435-D434</f>
        <v>0.00296997958547252</v>
      </c>
      <c r="J435" s="29" t="n">
        <f aca="false">E435-E434</f>
        <v>0.00227540158721951</v>
      </c>
      <c r="K435" s="0" t="n">
        <v>0</v>
      </c>
      <c r="L435" s="0" t="n">
        <v>0</v>
      </c>
      <c r="M435" s="29" t="n">
        <f aca="false">IF(L435=1,J435-Carry!$B$9/Inputs!$B$16,I435)</f>
        <v>0.00296997958547252</v>
      </c>
      <c r="N435" s="0" t="n">
        <v>0.065</v>
      </c>
      <c r="O435" s="0" t="n">
        <v>0.0002</v>
      </c>
      <c r="P435" s="29" t="n">
        <f aca="false">D435-('2 Hedge ratio'!$B$6+'2 Hedge ratio'!$B$5*E435)</f>
        <v>0.00012780514098587</v>
      </c>
      <c r="Q435" s="29" t="n">
        <f aca="false">D435-('5 Re-specification'!$B$7+'5 Re-specification'!$B$5*E435+'5 Re-specification'!$B$6*F435)</f>
        <v>0.000653312337542289</v>
      </c>
      <c r="R435" s="30" t="n">
        <f aca="false">MIN(F435,Inputs!$B$9)</f>
        <v>250</v>
      </c>
      <c r="S435" s="29" t="n">
        <f aca="true">IF(AND(F435&gt;=1,R435&gt;=Inputs!$B$10),INDEX(LINEST(OFFSET(D435,-R435,0,R435,1),OFFSET(E435,-R435,0,R435,2)),1,1),"")</f>
        <v>-4.8226558796544E-005</v>
      </c>
      <c r="T435" s="29" t="n">
        <f aca="true">IF(AND(F435&gt;=1,R435&gt;=Inputs!$B$10),INDEX(LINEST(OFFSET(D435,-R435,0,R435,1),OFFSET(E435,-R435,0,R435,2)),1,2),"")</f>
        <v>0.985694082741863</v>
      </c>
      <c r="U435" s="29" t="n">
        <f aca="true">IF(AND(F435&gt;=1,R435&gt;=Inputs!$B$10),INDEX(LINEST(OFFSET(D435,-R435,0,R435,1),OFFSET(E435,-R435,0,R435,2)),1,3),"")</f>
        <v>4.59479776665274</v>
      </c>
      <c r="V435" s="29" t="n">
        <f aca="true">IF(AND(F435&gt;=1,R435&gt;=Inputs!$B$10),SQRT(SUMPRODUCT((OFFSET(D435,-R435,0,R435,1)-U435-T435*OFFSET(E435,-R435,0,R435,1)-S435*OFFSET(F435,-R435,0,R435,1))^2)/(R435-3)),"")</f>
        <v>0.0034218875292142</v>
      </c>
      <c r="W435" s="31" t="n">
        <f aca="false">IF(AND(F435&gt;=1,R435&gt;=Inputs!$B$10),(D435-U435-T435*E435-S435*F435)/V435,"")</f>
        <v>0.337705764917841</v>
      </c>
      <c r="X435" s="30" t="n">
        <f aca="false">IF(AB434&lt;&gt;0,AC434+1,0)</f>
        <v>0</v>
      </c>
      <c r="Y435" s="30" t="n">
        <f aca="false">IF(W435="",0,IF(AND(AB434&lt;&gt;0,OR(ABS(W435)&gt;Inputs!$B$7,X435&gt;=Inputs!$B$8,ABS(W435)&lt;Inputs!$B$6)),1,0))</f>
        <v>0</v>
      </c>
      <c r="Z435" s="30" t="n">
        <f aca="false">IF(Y435=1,0,AB434)</f>
        <v>0</v>
      </c>
      <c r="AA435" s="30" t="n">
        <f aca="false">IF(W435="",0,IF(AND(Z435=0,ABS(W435)&gt;Inputs!$B$5,ABS(W435)&lt;=Inputs!$B$7),1,0))</f>
        <v>0</v>
      </c>
      <c r="AB435" s="30" t="n">
        <f aca="false">IF(W435="",0,IF(AA435=1,-SIGN(W435),Z435))</f>
        <v>0</v>
      </c>
      <c r="AC435" s="30" t="n">
        <f aca="false">IF(W435="",0,IF(AA435=1,0,IF(Y435=1,0,X435)))</f>
        <v>0</v>
      </c>
      <c r="AD435" s="30" t="n">
        <f aca="false">IF(AB435=0,0,IF(AB434=AB435,AD434,T435))</f>
        <v>0</v>
      </c>
      <c r="AE435" s="30" t="n">
        <f aca="false">AB435-AB434</f>
        <v>0</v>
      </c>
      <c r="AF435" s="30" t="n">
        <f aca="false">-AD435*AB435</f>
        <v>-0</v>
      </c>
      <c r="AG435" s="30" t="n">
        <f aca="false">AF435-AF434</f>
        <v>0</v>
      </c>
      <c r="AH435" s="30" t="n">
        <f aca="false">MAX(AE435,0)*(Inputs!$B$17+Inputs!$B$18+Inputs!$B$19)+MAX(-AE435,0)*(O435+Inputs!$B$18+Inputs!$B$19)+IF(AND(K435=1,AB435&lt;&gt;0),(Inputs!$B$17+Inputs!$B$18+Inputs!$B$19)+(O435+Inputs!$B$18+Inputs!$B$19),0)+MAX(AG435,0)*(Inputs!$B$20+Inputs!$B$22+Inputs!$B$23)+MAX(-AG435,0)*(Inputs!$B$21+Inputs!$B$22+Inputs!$B$23)</f>
        <v>0</v>
      </c>
      <c r="AI435" s="30" t="n">
        <f aca="false">AB434*(M435-AD434*J435)+AB434*AD434*N435/Inputs!$B$16-AH435</f>
        <v>0</v>
      </c>
      <c r="AJ435" s="30" t="n">
        <f aca="false">MAX(AE435,0)*(Inputs!$B$17+Inputs!$B$24+Inputs!$B$25)+MAX(-AE435,0)*(O435+Inputs!$B$24+Inputs!$B$25)+IF(AND(K435=1,AB435&lt;&gt;0),(Inputs!$B$17+Inputs!$B$24+Inputs!$B$25)+(O435+Inputs!$B$24+Inputs!$B$25),0)+MAX(AG435,0)*(Inputs!$B$20+Inputs!$B$26+Inputs!$B$27)+MAX(-AG435,0)*(Inputs!$B$21+Inputs!$B$26+Inputs!$B$27)</f>
        <v>0</v>
      </c>
      <c r="AK435" s="30" t="n">
        <f aca="false">AB434*(M435-AD434*J435)+AB434*AD434*(N435+Inputs!$B$14)/Inputs!$B$16-AJ435</f>
        <v>0</v>
      </c>
      <c r="AL435" s="30" t="n">
        <f aca="false">IF(AP434&lt;&gt;0,AQ434+1,0)</f>
        <v>0</v>
      </c>
      <c r="AM435" s="30" t="n">
        <f aca="false">IF(W435="",0,IF(AND(AP434&lt;&gt;0,OR(ABS(W435)&gt;Inputs!$B$7,AL435&gt;=Inputs!$B$8,ABS(W435)&lt;Inputs!$B$6)),1,0))</f>
        <v>0</v>
      </c>
      <c r="AN435" s="30" t="n">
        <f aca="false">IF(AM435=1,0,AP434)</f>
        <v>0</v>
      </c>
      <c r="AO435" s="30" t="n">
        <f aca="false">IF(W435="",0,IF(AND(AN435=0,ABS(W435)&gt;Inputs!$B$5,ABS(W435)&lt;=Inputs!$B$7,W435&gt;0),1,0))</f>
        <v>0</v>
      </c>
      <c r="AP435" s="30" t="n">
        <f aca="false">IF(W435="",0,IF(AO435=1,-SIGN(W435),AN435))</f>
        <v>0</v>
      </c>
      <c r="AQ435" s="30" t="n">
        <f aca="false">IF(W435="",0,IF(AO435=1,0,IF(AM435=1,0,AL435)))</f>
        <v>0</v>
      </c>
      <c r="AR435" s="30" t="n">
        <f aca="false">IF(AP435=0,0,IF(AP434=AP435,AR434,T435))</f>
        <v>0</v>
      </c>
      <c r="AS435" s="30" t="n">
        <f aca="false">AP435-AP434</f>
        <v>0</v>
      </c>
      <c r="AT435" s="30" t="n">
        <f aca="false">-AR435*AP435</f>
        <v>-0</v>
      </c>
      <c r="AU435" s="30" t="n">
        <f aca="false">AT435-AT434</f>
        <v>0</v>
      </c>
      <c r="AV435" s="30" t="n">
        <f aca="false">MAX(AS435,0)*(Inputs!$B$17+Inputs!$B$18+Inputs!$B$19)+MAX(-AS435,0)*(O435+Inputs!$B$18+Inputs!$B$19)+IF(AND(K435=1,AP435&lt;&gt;0),(Inputs!$B$17+Inputs!$B$18+Inputs!$B$19)+(O435+Inputs!$B$18+Inputs!$B$19),0)+MAX(AU435,0)*(Inputs!$B$20+Inputs!$B$22+Inputs!$B$23)+MAX(-AU435,0)*(Inputs!$B$21+Inputs!$B$22+Inputs!$B$23)</f>
        <v>0</v>
      </c>
      <c r="AW435" s="30" t="n">
        <f aca="false">AP434*(M435-AR434*J435)+AP434*AR434*N435/Inputs!$B$16-AV435</f>
        <v>0</v>
      </c>
      <c r="AX435" s="30" t="n">
        <f aca="false">AW435-IF(AP434&lt;&gt;0,0.75*AR434*(Inputs!$B$13-N435)/Inputs!$B$16,0)</f>
        <v>0</v>
      </c>
      <c r="AY435" s="30" t="n">
        <f aca="false">MAX(AS435,0)*(Inputs!$B$17+Inputs!$B$18+Inputs!$B$19)+MAX(-AS435,0)*(O435+Inputs!$B$18+Inputs!$B$19)+IF(AND(K435=1,AP435&lt;&gt;0),(Inputs!$B$17+Inputs!$B$18+Inputs!$B$19)+(O435+Inputs!$B$18+Inputs!$B$19),0)</f>
        <v>0</v>
      </c>
      <c r="AZ435" s="30" t="n">
        <f aca="false">AP434*M435-AY435</f>
        <v>0</v>
      </c>
      <c r="BA435" s="32" t="n">
        <f aca="false">BA434+AI435</f>
        <v>0.00429130278454792</v>
      </c>
      <c r="BB435" s="30" t="n">
        <f aca="false">MAX(BB434,BA435)</f>
        <v>0.00429130278454792</v>
      </c>
      <c r="BC435" s="32" t="n">
        <f aca="false">BA435-BB435</f>
        <v>0</v>
      </c>
      <c r="BD435" s="30" t="n">
        <f aca="false">A436-A435</f>
        <v>1</v>
      </c>
    </row>
    <row r="436" customFormat="false" ht="15" hidden="false" customHeight="false" outlineLevel="0" collapsed="false">
      <c r="A436" s="28" t="n">
        <v>45681</v>
      </c>
      <c r="B436" s="0" t="n">
        <v>23114</v>
      </c>
      <c r="C436" s="0" t="n">
        <v>258.33</v>
      </c>
      <c r="D436" s="29" t="n">
        <f aca="false">LN(B436)</f>
        <v>10.0481937735354</v>
      </c>
      <c r="E436" s="29" t="n">
        <f aca="false">LN(C436)</f>
        <v>5.55423783737618</v>
      </c>
      <c r="F436" s="0" t="n">
        <v>431</v>
      </c>
      <c r="G436" s="0" t="n">
        <v>6</v>
      </c>
      <c r="H436" s="29" t="n">
        <f aca="false">D436-E436</f>
        <v>4.4939559361592</v>
      </c>
      <c r="I436" s="29" t="n">
        <f aca="false">D436-D435</f>
        <v>-0.00659755309190757</v>
      </c>
      <c r="J436" s="29" t="n">
        <f aca="false">E436-E435</f>
        <v>-0.00486562591057371</v>
      </c>
      <c r="K436" s="0" t="n">
        <v>0</v>
      </c>
      <c r="L436" s="0" t="n">
        <v>0</v>
      </c>
      <c r="M436" s="29" t="n">
        <f aca="false">IF(L436=1,J436-Carry!$B$9/Inputs!$B$16,I436)</f>
        <v>-0.00659755309190757</v>
      </c>
      <c r="N436" s="0" t="n">
        <v>0.065</v>
      </c>
      <c r="O436" s="0" t="n">
        <v>0.0002</v>
      </c>
      <c r="P436" s="29" t="n">
        <f aca="false">D436-('2 Hedge ratio'!$B$6+'2 Hedge ratio'!$B$5*E436)</f>
        <v>-0.00201221785376227</v>
      </c>
      <c r="Q436" s="29" t="n">
        <f aca="false">D436-('5 Re-specification'!$B$7+'5 Re-specification'!$B$5*E436+'5 Re-specification'!$B$6*F436)</f>
        <v>-0.00104843080511863</v>
      </c>
      <c r="R436" s="30" t="n">
        <f aca="false">MIN(F436,Inputs!$B$9)</f>
        <v>250</v>
      </c>
      <c r="S436" s="29" t="n">
        <f aca="true">IF(AND(F436&gt;=1,R436&gt;=Inputs!$B$10),INDEX(LINEST(OFFSET(D436,-R436,0,R436,1),OFFSET(E436,-R436,0,R436,2)),1,1),"")</f>
        <v>-4.80511890822427E-005</v>
      </c>
      <c r="T436" s="29" t="n">
        <f aca="true">IF(AND(F436&gt;=1,R436&gt;=Inputs!$B$10),INDEX(LINEST(OFFSET(D436,-R436,0,R436,1),OFFSET(E436,-R436,0,R436,2)),1,2),"")</f>
        <v>0.985293424252615</v>
      </c>
      <c r="U436" s="29" t="n">
        <f aca="true">IF(AND(F436&gt;=1,R436&gt;=Inputs!$B$10),INDEX(LINEST(OFFSET(D436,-R436,0,R436,1),OFFSET(E436,-R436,0,R436,2)),1,3),"")</f>
        <v>4.59698684842273</v>
      </c>
      <c r="V436" s="29" t="n">
        <f aca="true">IF(AND(F436&gt;=1,R436&gt;=Inputs!$B$10),SQRT(SUMPRODUCT((OFFSET(D436,-R436,0,R436,1)-U436-T436*OFFSET(E436,-R436,0,R436,1)-S436*OFFSET(F436,-R436,0,R436,1))^2)/(R436-3)),"")</f>
        <v>0.00342095663649827</v>
      </c>
      <c r="W436" s="31" t="n">
        <f aca="false">IF(AND(F436&gt;=1,R436&gt;=Inputs!$B$10),(D436-U436-T436*E436-S436*F436)/V436,"")</f>
        <v>-0.186214080564595</v>
      </c>
      <c r="X436" s="30" t="n">
        <f aca="false">IF(AB435&lt;&gt;0,AC435+1,0)</f>
        <v>0</v>
      </c>
      <c r="Y436" s="30" t="n">
        <f aca="false">IF(W436="",0,IF(AND(AB435&lt;&gt;0,OR(ABS(W436)&gt;Inputs!$B$7,X436&gt;=Inputs!$B$8,ABS(W436)&lt;Inputs!$B$6)),1,0))</f>
        <v>0</v>
      </c>
      <c r="Z436" s="30" t="n">
        <f aca="false">IF(Y436=1,0,AB435)</f>
        <v>0</v>
      </c>
      <c r="AA436" s="30" t="n">
        <f aca="false">IF(W436="",0,IF(AND(Z436=0,ABS(W436)&gt;Inputs!$B$5,ABS(W436)&lt;=Inputs!$B$7),1,0))</f>
        <v>0</v>
      </c>
      <c r="AB436" s="30" t="n">
        <f aca="false">IF(W436="",0,IF(AA436=1,-SIGN(W436),Z436))</f>
        <v>0</v>
      </c>
      <c r="AC436" s="30" t="n">
        <f aca="false">IF(W436="",0,IF(AA436=1,0,IF(Y436=1,0,X436)))</f>
        <v>0</v>
      </c>
      <c r="AD436" s="30" t="n">
        <f aca="false">IF(AB436=0,0,IF(AB435=AB436,AD435,T436))</f>
        <v>0</v>
      </c>
      <c r="AE436" s="30" t="n">
        <f aca="false">AB436-AB435</f>
        <v>0</v>
      </c>
      <c r="AF436" s="30" t="n">
        <f aca="false">-AD436*AB436</f>
        <v>-0</v>
      </c>
      <c r="AG436" s="30" t="n">
        <f aca="false">AF436-AF435</f>
        <v>0</v>
      </c>
      <c r="AH436" s="30" t="n">
        <f aca="false">MAX(AE436,0)*(Inputs!$B$17+Inputs!$B$18+Inputs!$B$19)+MAX(-AE436,0)*(O436+Inputs!$B$18+Inputs!$B$19)+IF(AND(K436=1,AB436&lt;&gt;0),(Inputs!$B$17+Inputs!$B$18+Inputs!$B$19)+(O436+Inputs!$B$18+Inputs!$B$19),0)+MAX(AG436,0)*(Inputs!$B$20+Inputs!$B$22+Inputs!$B$23)+MAX(-AG436,0)*(Inputs!$B$21+Inputs!$B$22+Inputs!$B$23)</f>
        <v>0</v>
      </c>
      <c r="AI436" s="30" t="n">
        <f aca="false">AB435*(M436-AD435*J436)+AB435*AD435*N436/Inputs!$B$16-AH436</f>
        <v>0</v>
      </c>
      <c r="AJ436" s="30" t="n">
        <f aca="false">MAX(AE436,0)*(Inputs!$B$17+Inputs!$B$24+Inputs!$B$25)+MAX(-AE436,0)*(O436+Inputs!$B$24+Inputs!$B$25)+IF(AND(K436=1,AB436&lt;&gt;0),(Inputs!$B$17+Inputs!$B$24+Inputs!$B$25)+(O436+Inputs!$B$24+Inputs!$B$25),0)+MAX(AG436,0)*(Inputs!$B$20+Inputs!$B$26+Inputs!$B$27)+MAX(-AG436,0)*(Inputs!$B$21+Inputs!$B$26+Inputs!$B$27)</f>
        <v>0</v>
      </c>
      <c r="AK436" s="30" t="n">
        <f aca="false">AB435*(M436-AD435*J436)+AB435*AD435*(N436+Inputs!$B$14)/Inputs!$B$16-AJ436</f>
        <v>0</v>
      </c>
      <c r="AL436" s="30" t="n">
        <f aca="false">IF(AP435&lt;&gt;0,AQ435+1,0)</f>
        <v>0</v>
      </c>
      <c r="AM436" s="30" t="n">
        <f aca="false">IF(W436="",0,IF(AND(AP435&lt;&gt;0,OR(ABS(W436)&gt;Inputs!$B$7,AL436&gt;=Inputs!$B$8,ABS(W436)&lt;Inputs!$B$6)),1,0))</f>
        <v>0</v>
      </c>
      <c r="AN436" s="30" t="n">
        <f aca="false">IF(AM436=1,0,AP435)</f>
        <v>0</v>
      </c>
      <c r="AO436" s="30" t="n">
        <f aca="false">IF(W436="",0,IF(AND(AN436=0,ABS(W436)&gt;Inputs!$B$5,ABS(W436)&lt;=Inputs!$B$7,W436&gt;0),1,0))</f>
        <v>0</v>
      </c>
      <c r="AP436" s="30" t="n">
        <f aca="false">IF(W436="",0,IF(AO436=1,-SIGN(W436),AN436))</f>
        <v>0</v>
      </c>
      <c r="AQ436" s="30" t="n">
        <f aca="false">IF(W436="",0,IF(AO436=1,0,IF(AM436=1,0,AL436)))</f>
        <v>0</v>
      </c>
      <c r="AR436" s="30" t="n">
        <f aca="false">IF(AP436=0,0,IF(AP435=AP436,AR435,T436))</f>
        <v>0</v>
      </c>
      <c r="AS436" s="30" t="n">
        <f aca="false">AP436-AP435</f>
        <v>0</v>
      </c>
      <c r="AT436" s="30" t="n">
        <f aca="false">-AR436*AP436</f>
        <v>-0</v>
      </c>
      <c r="AU436" s="30" t="n">
        <f aca="false">AT436-AT435</f>
        <v>0</v>
      </c>
      <c r="AV436" s="30" t="n">
        <f aca="false">MAX(AS436,0)*(Inputs!$B$17+Inputs!$B$18+Inputs!$B$19)+MAX(-AS436,0)*(O436+Inputs!$B$18+Inputs!$B$19)+IF(AND(K436=1,AP436&lt;&gt;0),(Inputs!$B$17+Inputs!$B$18+Inputs!$B$19)+(O436+Inputs!$B$18+Inputs!$B$19),0)+MAX(AU436,0)*(Inputs!$B$20+Inputs!$B$22+Inputs!$B$23)+MAX(-AU436,0)*(Inputs!$B$21+Inputs!$B$22+Inputs!$B$23)</f>
        <v>0</v>
      </c>
      <c r="AW436" s="30" t="n">
        <f aca="false">AP435*(M436-AR435*J436)+AP435*AR435*N436/Inputs!$B$16-AV436</f>
        <v>0</v>
      </c>
      <c r="AX436" s="30" t="n">
        <f aca="false">AW436-IF(AP435&lt;&gt;0,0.75*AR435*(Inputs!$B$13-N436)/Inputs!$B$16,0)</f>
        <v>0</v>
      </c>
      <c r="AY436" s="30" t="n">
        <f aca="false">MAX(AS436,0)*(Inputs!$B$17+Inputs!$B$18+Inputs!$B$19)+MAX(-AS436,0)*(O436+Inputs!$B$18+Inputs!$B$19)+IF(AND(K436=1,AP436&lt;&gt;0),(Inputs!$B$17+Inputs!$B$18+Inputs!$B$19)+(O436+Inputs!$B$18+Inputs!$B$19),0)</f>
        <v>0</v>
      </c>
      <c r="AZ436" s="30" t="n">
        <f aca="false">AP435*M436-AY436</f>
        <v>-0</v>
      </c>
      <c r="BA436" s="32" t="n">
        <f aca="false">BA435+AI436</f>
        <v>0.00429130278454792</v>
      </c>
      <c r="BB436" s="30" t="n">
        <f aca="false">MAX(BB435,BA436)</f>
        <v>0.00429130278454792</v>
      </c>
      <c r="BC436" s="32" t="n">
        <f aca="false">BA436-BB436</f>
        <v>0</v>
      </c>
      <c r="BD436" s="30" t="n">
        <f aca="false">A437-A436</f>
        <v>3</v>
      </c>
    </row>
    <row r="437" customFormat="false" ht="15" hidden="false" customHeight="false" outlineLevel="0" collapsed="false">
      <c r="A437" s="28" t="n">
        <v>45684</v>
      </c>
      <c r="B437" s="0" t="n">
        <v>22831.9</v>
      </c>
      <c r="C437" s="0" t="n">
        <v>256.25</v>
      </c>
      <c r="D437" s="29" t="n">
        <f aca="false">LN(B437)</f>
        <v>10.0359139598892</v>
      </c>
      <c r="E437" s="29" t="n">
        <f aca="false">LN(C437)</f>
        <v>5.54615353045262</v>
      </c>
      <c r="F437" s="0" t="n">
        <v>432</v>
      </c>
      <c r="G437" s="0" t="n">
        <v>3</v>
      </c>
      <c r="H437" s="29" t="n">
        <f aca="false">D437-E437</f>
        <v>4.48976042943661</v>
      </c>
      <c r="I437" s="29" t="n">
        <f aca="false">D437-D436</f>
        <v>-0.0122798136461597</v>
      </c>
      <c r="J437" s="29" t="n">
        <f aca="false">E437-E436</f>
        <v>-0.00808430692356499</v>
      </c>
      <c r="K437" s="0" t="n">
        <v>0</v>
      </c>
      <c r="L437" s="0" t="n">
        <v>0</v>
      </c>
      <c r="M437" s="29" t="n">
        <f aca="false">IF(L437=1,J437-Carry!$B$9/Inputs!$B$16,I437)</f>
        <v>-0.0122798136461597</v>
      </c>
      <c r="N437" s="0" t="n">
        <v>0.065</v>
      </c>
      <c r="O437" s="0" t="n">
        <v>0.0002</v>
      </c>
      <c r="P437" s="29" t="n">
        <f aca="false">D437-('2 Hedge ratio'!$B$6+'2 Hedge ratio'!$B$5*E437)</f>
        <v>-0.00688578159727804</v>
      </c>
      <c r="Q437" s="29" t="n">
        <f aca="false">D437-('5 Re-specification'!$B$7+'5 Re-specification'!$B$5*E437+'5 Re-specification'!$B$6*F437)</f>
        <v>-0.00522350770191871</v>
      </c>
      <c r="R437" s="30" t="n">
        <f aca="false">MIN(F437,Inputs!$B$9)</f>
        <v>250</v>
      </c>
      <c r="S437" s="29" t="n">
        <f aca="true">IF(AND(F437&gt;=1,R437&gt;=Inputs!$B$10),INDEX(LINEST(OFFSET(D437,-R437,0,R437,1),OFFSET(E437,-R437,0,R437,2)),1,1),"")</f>
        <v>-4.83564576888763E-005</v>
      </c>
      <c r="T437" s="29" t="n">
        <f aca="true">IF(AND(F437&gt;=1,R437&gt;=Inputs!$B$10),INDEX(LINEST(OFFSET(D437,-R437,0,R437,1),OFFSET(E437,-R437,0,R437,2)),1,2),"")</f>
        <v>0.98526458843209</v>
      </c>
      <c r="U437" s="29" t="n">
        <f aca="true">IF(AND(F437&gt;=1,R437&gt;=Inputs!$B$10),INDEX(LINEST(OFFSET(D437,-R437,0,R437,1),OFFSET(E437,-R437,0,R437,2)),1,3),"")</f>
        <v>4.59724927007339</v>
      </c>
      <c r="V437" s="29" t="n">
        <f aca="true">IF(AND(F437&gt;=1,R437&gt;=Inputs!$B$10),SQRT(SUMPRODUCT((OFFSET(D437,-R437,0,R437,1)-U437-T437*OFFSET(E437,-R437,0,R437,1)-S437*OFFSET(F437,-R437,0,R437,1))^2)/(R437-3)),"")</f>
        <v>0.00341678605394123</v>
      </c>
      <c r="W437" s="31" t="n">
        <f aca="false">IF(AND(F437&gt;=1,R437&gt;=Inputs!$B$10),(D437-U437-T437*E437-S437*F437)/V437,"")</f>
        <v>-1.42648557685593</v>
      </c>
      <c r="X437" s="30" t="n">
        <f aca="false">IF(AB436&lt;&gt;0,AC436+1,0)</f>
        <v>0</v>
      </c>
      <c r="Y437" s="30" t="n">
        <f aca="false">IF(W437="",0,IF(AND(AB436&lt;&gt;0,OR(ABS(W437)&gt;Inputs!$B$7,X437&gt;=Inputs!$B$8,ABS(W437)&lt;Inputs!$B$6)),1,0))</f>
        <v>0</v>
      </c>
      <c r="Z437" s="30" t="n">
        <f aca="false">IF(Y437=1,0,AB436)</f>
        <v>0</v>
      </c>
      <c r="AA437" s="30" t="n">
        <f aca="false">IF(W437="",0,IF(AND(Z437=0,ABS(W437)&gt;Inputs!$B$5,ABS(W437)&lt;=Inputs!$B$7),1,0))</f>
        <v>0</v>
      </c>
      <c r="AB437" s="30" t="n">
        <f aca="false">IF(W437="",0,IF(AA437=1,-SIGN(W437),Z437))</f>
        <v>0</v>
      </c>
      <c r="AC437" s="30" t="n">
        <f aca="false">IF(W437="",0,IF(AA437=1,0,IF(Y437=1,0,X437)))</f>
        <v>0</v>
      </c>
      <c r="AD437" s="30" t="n">
        <f aca="false">IF(AB437=0,0,IF(AB436=AB437,AD436,T437))</f>
        <v>0</v>
      </c>
      <c r="AE437" s="30" t="n">
        <f aca="false">AB437-AB436</f>
        <v>0</v>
      </c>
      <c r="AF437" s="30" t="n">
        <f aca="false">-AD437*AB437</f>
        <v>-0</v>
      </c>
      <c r="AG437" s="30" t="n">
        <f aca="false">AF437-AF436</f>
        <v>0</v>
      </c>
      <c r="AH437" s="30" t="n">
        <f aca="false">MAX(AE437,0)*(Inputs!$B$17+Inputs!$B$18+Inputs!$B$19)+MAX(-AE437,0)*(O437+Inputs!$B$18+Inputs!$B$19)+IF(AND(K437=1,AB437&lt;&gt;0),(Inputs!$B$17+Inputs!$B$18+Inputs!$B$19)+(O437+Inputs!$B$18+Inputs!$B$19),0)+MAX(AG437,0)*(Inputs!$B$20+Inputs!$B$22+Inputs!$B$23)+MAX(-AG437,0)*(Inputs!$B$21+Inputs!$B$22+Inputs!$B$23)</f>
        <v>0</v>
      </c>
      <c r="AI437" s="30" t="n">
        <f aca="false">AB436*(M437-AD436*J437)+AB436*AD436*N437/Inputs!$B$16-AH437</f>
        <v>0</v>
      </c>
      <c r="AJ437" s="30" t="n">
        <f aca="false">MAX(AE437,0)*(Inputs!$B$17+Inputs!$B$24+Inputs!$B$25)+MAX(-AE437,0)*(O437+Inputs!$B$24+Inputs!$B$25)+IF(AND(K437=1,AB437&lt;&gt;0),(Inputs!$B$17+Inputs!$B$24+Inputs!$B$25)+(O437+Inputs!$B$24+Inputs!$B$25),0)+MAX(AG437,0)*(Inputs!$B$20+Inputs!$B$26+Inputs!$B$27)+MAX(-AG437,0)*(Inputs!$B$21+Inputs!$B$26+Inputs!$B$27)</f>
        <v>0</v>
      </c>
      <c r="AK437" s="30" t="n">
        <f aca="false">AB436*(M437-AD436*J437)+AB436*AD436*(N437+Inputs!$B$14)/Inputs!$B$16-AJ437</f>
        <v>0</v>
      </c>
      <c r="AL437" s="30" t="n">
        <f aca="false">IF(AP436&lt;&gt;0,AQ436+1,0)</f>
        <v>0</v>
      </c>
      <c r="AM437" s="30" t="n">
        <f aca="false">IF(W437="",0,IF(AND(AP436&lt;&gt;0,OR(ABS(W437)&gt;Inputs!$B$7,AL437&gt;=Inputs!$B$8,ABS(W437)&lt;Inputs!$B$6)),1,0))</f>
        <v>0</v>
      </c>
      <c r="AN437" s="30" t="n">
        <f aca="false">IF(AM437=1,0,AP436)</f>
        <v>0</v>
      </c>
      <c r="AO437" s="30" t="n">
        <f aca="false">IF(W437="",0,IF(AND(AN437=0,ABS(W437)&gt;Inputs!$B$5,ABS(W437)&lt;=Inputs!$B$7,W437&gt;0),1,0))</f>
        <v>0</v>
      </c>
      <c r="AP437" s="30" t="n">
        <f aca="false">IF(W437="",0,IF(AO437=1,-SIGN(W437),AN437))</f>
        <v>0</v>
      </c>
      <c r="AQ437" s="30" t="n">
        <f aca="false">IF(W437="",0,IF(AO437=1,0,IF(AM437=1,0,AL437)))</f>
        <v>0</v>
      </c>
      <c r="AR437" s="30" t="n">
        <f aca="false">IF(AP437=0,0,IF(AP436=AP437,AR436,T437))</f>
        <v>0</v>
      </c>
      <c r="AS437" s="30" t="n">
        <f aca="false">AP437-AP436</f>
        <v>0</v>
      </c>
      <c r="AT437" s="30" t="n">
        <f aca="false">-AR437*AP437</f>
        <v>-0</v>
      </c>
      <c r="AU437" s="30" t="n">
        <f aca="false">AT437-AT436</f>
        <v>0</v>
      </c>
      <c r="AV437" s="30" t="n">
        <f aca="false">MAX(AS437,0)*(Inputs!$B$17+Inputs!$B$18+Inputs!$B$19)+MAX(-AS437,0)*(O437+Inputs!$B$18+Inputs!$B$19)+IF(AND(K437=1,AP437&lt;&gt;0),(Inputs!$B$17+Inputs!$B$18+Inputs!$B$19)+(O437+Inputs!$B$18+Inputs!$B$19),0)+MAX(AU437,0)*(Inputs!$B$20+Inputs!$B$22+Inputs!$B$23)+MAX(-AU437,0)*(Inputs!$B$21+Inputs!$B$22+Inputs!$B$23)</f>
        <v>0</v>
      </c>
      <c r="AW437" s="30" t="n">
        <f aca="false">AP436*(M437-AR436*J437)+AP436*AR436*N437/Inputs!$B$16-AV437</f>
        <v>0</v>
      </c>
      <c r="AX437" s="30" t="n">
        <f aca="false">AW437-IF(AP436&lt;&gt;0,0.75*AR436*(Inputs!$B$13-N437)/Inputs!$B$16,0)</f>
        <v>0</v>
      </c>
      <c r="AY437" s="30" t="n">
        <f aca="false">MAX(AS437,0)*(Inputs!$B$17+Inputs!$B$18+Inputs!$B$19)+MAX(-AS437,0)*(O437+Inputs!$B$18+Inputs!$B$19)+IF(AND(K437=1,AP437&lt;&gt;0),(Inputs!$B$17+Inputs!$B$18+Inputs!$B$19)+(O437+Inputs!$B$18+Inputs!$B$19),0)</f>
        <v>0</v>
      </c>
      <c r="AZ437" s="30" t="n">
        <f aca="false">AP436*M437-AY437</f>
        <v>-0</v>
      </c>
      <c r="BA437" s="32" t="n">
        <f aca="false">BA436+AI437</f>
        <v>0.00429130278454792</v>
      </c>
      <c r="BB437" s="30" t="n">
        <f aca="false">MAX(BB436,BA437)</f>
        <v>0.00429130278454792</v>
      </c>
      <c r="BC437" s="32" t="n">
        <f aca="false">BA437-BB437</f>
        <v>0</v>
      </c>
      <c r="BD437" s="30" t="n">
        <f aca="false">A438-A437</f>
        <v>1</v>
      </c>
    </row>
    <row r="438" customFormat="false" ht="15" hidden="false" customHeight="false" outlineLevel="0" collapsed="false">
      <c r="A438" s="28" t="n">
        <v>45685</v>
      </c>
      <c r="B438" s="0" t="n">
        <v>22982.85</v>
      </c>
      <c r="C438" s="0" t="n">
        <v>257</v>
      </c>
      <c r="D438" s="29" t="n">
        <f aca="false">LN(B438)</f>
        <v>10.0425035646005</v>
      </c>
      <c r="E438" s="29" t="n">
        <f aca="false">LN(C438)</f>
        <v>5.54907608489522</v>
      </c>
      <c r="F438" s="0" t="n">
        <v>433</v>
      </c>
      <c r="G438" s="0" t="n">
        <v>2</v>
      </c>
      <c r="H438" s="29" t="n">
        <f aca="false">D438-E438</f>
        <v>4.4934274797053</v>
      </c>
      <c r="I438" s="29" t="n">
        <f aca="false">D438-D437</f>
        <v>0.00658960471129433</v>
      </c>
      <c r="J438" s="29" t="n">
        <f aca="false">E438-E437</f>
        <v>0.00292255444260192</v>
      </c>
      <c r="K438" s="0" t="n">
        <v>0</v>
      </c>
      <c r="L438" s="0" t="n">
        <v>0</v>
      </c>
      <c r="M438" s="29" t="n">
        <f aca="false">IF(L438=1,J438-Carry!$B$9/Inputs!$B$16,I438)</f>
        <v>0.00658960471129433</v>
      </c>
      <c r="N438" s="0" t="n">
        <v>0.065</v>
      </c>
      <c r="O438" s="0" t="n">
        <v>0.0002</v>
      </c>
      <c r="P438" s="29" t="n">
        <f aca="false">D438-('2 Hedge ratio'!$B$6+'2 Hedge ratio'!$B$5*E438)</f>
        <v>-0.00297360721620699</v>
      </c>
      <c r="Q438" s="29" t="n">
        <f aca="false">D438-('5 Re-specification'!$B$7+'5 Re-specification'!$B$5*E438+'5 Re-specification'!$B$6*F438)</f>
        <v>-0.00150267131383153</v>
      </c>
      <c r="R438" s="30" t="n">
        <f aca="false">MIN(F438,Inputs!$B$9)</f>
        <v>250</v>
      </c>
      <c r="S438" s="29" t="n">
        <f aca="true">IF(AND(F438&gt;=1,R438&gt;=Inputs!$B$10),INDEX(LINEST(OFFSET(D438,-R438,0,R438,1),OFFSET(E438,-R438,0,R438,2)),1,1),"")</f>
        <v>-4.97764891580055E-005</v>
      </c>
      <c r="T438" s="29" t="n">
        <f aca="true">IF(AND(F438&gt;=1,R438&gt;=Inputs!$B$10),INDEX(LINEST(OFFSET(D438,-R438,0,R438,1),OFFSET(E438,-R438,0,R438,2)),1,2),"")</f>
        <v>0.98570411889108</v>
      </c>
      <c r="U438" s="29" t="n">
        <f aca="true">IF(AND(F438&gt;=1,R438&gt;=Inputs!$B$10),INDEX(LINEST(OFFSET(D438,-R438,0,R438,1),OFFSET(E438,-R438,0,R438,2)),1,3),"")</f>
        <v>4.5952480350994</v>
      </c>
      <c r="V438" s="29" t="n">
        <f aca="true">IF(AND(F438&gt;=1,R438&gt;=Inputs!$B$10),SQRT(SUMPRODUCT((OFFSET(D438,-R438,0,R438,1)-U438-T438*OFFSET(E438,-R438,0,R438,1)-S438*OFFSET(F438,-R438,0,R438,1))^2)/(R438-3)),"")</f>
        <v>0.00339704376054203</v>
      </c>
      <c r="W438" s="31" t="n">
        <f aca="false">IF(AND(F438&gt;=1,R438&gt;=Inputs!$B$10),(D438-U438-T438*E438-S438*F438)/V438,"")</f>
        <v>-0.276241249984746</v>
      </c>
      <c r="X438" s="30" t="n">
        <f aca="false">IF(AB437&lt;&gt;0,AC437+1,0)</f>
        <v>0</v>
      </c>
      <c r="Y438" s="30" t="n">
        <f aca="false">IF(W438="",0,IF(AND(AB437&lt;&gt;0,OR(ABS(W438)&gt;Inputs!$B$7,X438&gt;=Inputs!$B$8,ABS(W438)&lt;Inputs!$B$6)),1,0))</f>
        <v>0</v>
      </c>
      <c r="Z438" s="30" t="n">
        <f aca="false">IF(Y438=1,0,AB437)</f>
        <v>0</v>
      </c>
      <c r="AA438" s="30" t="n">
        <f aca="false">IF(W438="",0,IF(AND(Z438=0,ABS(W438)&gt;Inputs!$B$5,ABS(W438)&lt;=Inputs!$B$7),1,0))</f>
        <v>0</v>
      </c>
      <c r="AB438" s="30" t="n">
        <f aca="false">IF(W438="",0,IF(AA438=1,-SIGN(W438),Z438))</f>
        <v>0</v>
      </c>
      <c r="AC438" s="30" t="n">
        <f aca="false">IF(W438="",0,IF(AA438=1,0,IF(Y438=1,0,X438)))</f>
        <v>0</v>
      </c>
      <c r="AD438" s="30" t="n">
        <f aca="false">IF(AB438=0,0,IF(AB437=AB438,AD437,T438))</f>
        <v>0</v>
      </c>
      <c r="AE438" s="30" t="n">
        <f aca="false">AB438-AB437</f>
        <v>0</v>
      </c>
      <c r="AF438" s="30" t="n">
        <f aca="false">-AD438*AB438</f>
        <v>-0</v>
      </c>
      <c r="AG438" s="30" t="n">
        <f aca="false">AF438-AF437</f>
        <v>0</v>
      </c>
      <c r="AH438" s="30" t="n">
        <f aca="false">MAX(AE438,0)*(Inputs!$B$17+Inputs!$B$18+Inputs!$B$19)+MAX(-AE438,0)*(O438+Inputs!$B$18+Inputs!$B$19)+IF(AND(K438=1,AB438&lt;&gt;0),(Inputs!$B$17+Inputs!$B$18+Inputs!$B$19)+(O438+Inputs!$B$18+Inputs!$B$19),0)+MAX(AG438,0)*(Inputs!$B$20+Inputs!$B$22+Inputs!$B$23)+MAX(-AG438,0)*(Inputs!$B$21+Inputs!$B$22+Inputs!$B$23)</f>
        <v>0</v>
      </c>
      <c r="AI438" s="30" t="n">
        <f aca="false">AB437*(M438-AD437*J438)+AB437*AD437*N438/Inputs!$B$16-AH438</f>
        <v>0</v>
      </c>
      <c r="AJ438" s="30" t="n">
        <f aca="false">MAX(AE438,0)*(Inputs!$B$17+Inputs!$B$24+Inputs!$B$25)+MAX(-AE438,0)*(O438+Inputs!$B$24+Inputs!$B$25)+IF(AND(K438=1,AB438&lt;&gt;0),(Inputs!$B$17+Inputs!$B$24+Inputs!$B$25)+(O438+Inputs!$B$24+Inputs!$B$25),0)+MAX(AG438,0)*(Inputs!$B$20+Inputs!$B$26+Inputs!$B$27)+MAX(-AG438,0)*(Inputs!$B$21+Inputs!$B$26+Inputs!$B$27)</f>
        <v>0</v>
      </c>
      <c r="AK438" s="30" t="n">
        <f aca="false">AB437*(M438-AD437*J438)+AB437*AD437*(N438+Inputs!$B$14)/Inputs!$B$16-AJ438</f>
        <v>0</v>
      </c>
      <c r="AL438" s="30" t="n">
        <f aca="false">IF(AP437&lt;&gt;0,AQ437+1,0)</f>
        <v>0</v>
      </c>
      <c r="AM438" s="30" t="n">
        <f aca="false">IF(W438="",0,IF(AND(AP437&lt;&gt;0,OR(ABS(W438)&gt;Inputs!$B$7,AL438&gt;=Inputs!$B$8,ABS(W438)&lt;Inputs!$B$6)),1,0))</f>
        <v>0</v>
      </c>
      <c r="AN438" s="30" t="n">
        <f aca="false">IF(AM438=1,0,AP437)</f>
        <v>0</v>
      </c>
      <c r="AO438" s="30" t="n">
        <f aca="false">IF(W438="",0,IF(AND(AN438=0,ABS(W438)&gt;Inputs!$B$5,ABS(W438)&lt;=Inputs!$B$7,W438&gt;0),1,0))</f>
        <v>0</v>
      </c>
      <c r="AP438" s="30" t="n">
        <f aca="false">IF(W438="",0,IF(AO438=1,-SIGN(W438),AN438))</f>
        <v>0</v>
      </c>
      <c r="AQ438" s="30" t="n">
        <f aca="false">IF(W438="",0,IF(AO438=1,0,IF(AM438=1,0,AL438)))</f>
        <v>0</v>
      </c>
      <c r="AR438" s="30" t="n">
        <f aca="false">IF(AP438=0,0,IF(AP437=AP438,AR437,T438))</f>
        <v>0</v>
      </c>
      <c r="AS438" s="30" t="n">
        <f aca="false">AP438-AP437</f>
        <v>0</v>
      </c>
      <c r="AT438" s="30" t="n">
        <f aca="false">-AR438*AP438</f>
        <v>-0</v>
      </c>
      <c r="AU438" s="30" t="n">
        <f aca="false">AT438-AT437</f>
        <v>0</v>
      </c>
      <c r="AV438" s="30" t="n">
        <f aca="false">MAX(AS438,0)*(Inputs!$B$17+Inputs!$B$18+Inputs!$B$19)+MAX(-AS438,0)*(O438+Inputs!$B$18+Inputs!$B$19)+IF(AND(K438=1,AP438&lt;&gt;0),(Inputs!$B$17+Inputs!$B$18+Inputs!$B$19)+(O438+Inputs!$B$18+Inputs!$B$19),0)+MAX(AU438,0)*(Inputs!$B$20+Inputs!$B$22+Inputs!$B$23)+MAX(-AU438,0)*(Inputs!$B$21+Inputs!$B$22+Inputs!$B$23)</f>
        <v>0</v>
      </c>
      <c r="AW438" s="30" t="n">
        <f aca="false">AP437*(M438-AR437*J438)+AP437*AR437*N438/Inputs!$B$16-AV438</f>
        <v>0</v>
      </c>
      <c r="AX438" s="30" t="n">
        <f aca="false">AW438-IF(AP437&lt;&gt;0,0.75*AR437*(Inputs!$B$13-N438)/Inputs!$B$16,0)</f>
        <v>0</v>
      </c>
      <c r="AY438" s="30" t="n">
        <f aca="false">MAX(AS438,0)*(Inputs!$B$17+Inputs!$B$18+Inputs!$B$19)+MAX(-AS438,0)*(O438+Inputs!$B$18+Inputs!$B$19)+IF(AND(K438=1,AP438&lt;&gt;0),(Inputs!$B$17+Inputs!$B$18+Inputs!$B$19)+(O438+Inputs!$B$18+Inputs!$B$19),0)</f>
        <v>0</v>
      </c>
      <c r="AZ438" s="30" t="n">
        <f aca="false">AP437*M438-AY438</f>
        <v>0</v>
      </c>
      <c r="BA438" s="32" t="n">
        <f aca="false">BA437+AI438</f>
        <v>0.00429130278454792</v>
      </c>
      <c r="BB438" s="30" t="n">
        <f aca="false">MAX(BB437,BA438)</f>
        <v>0.00429130278454792</v>
      </c>
      <c r="BC438" s="32" t="n">
        <f aca="false">BA438-BB438</f>
        <v>0</v>
      </c>
      <c r="BD438" s="30" t="n">
        <f aca="false">A439-A438</f>
        <v>1</v>
      </c>
    </row>
    <row r="439" customFormat="false" ht="15" hidden="false" customHeight="false" outlineLevel="0" collapsed="false">
      <c r="A439" s="28" t="n">
        <v>45686</v>
      </c>
      <c r="B439" s="0" t="n">
        <v>23177</v>
      </c>
      <c r="C439" s="0" t="n">
        <v>259.5</v>
      </c>
      <c r="D439" s="29" t="n">
        <f aca="false">LN(B439)</f>
        <v>10.0509156866026</v>
      </c>
      <c r="E439" s="29" t="n">
        <f aca="false">LN(C439)</f>
        <v>5.55875670260594</v>
      </c>
      <c r="F439" s="0" t="n">
        <v>434</v>
      </c>
      <c r="G439" s="0" t="n">
        <v>1</v>
      </c>
      <c r="H439" s="29" t="n">
        <f aca="false">D439-E439</f>
        <v>4.49215898399662</v>
      </c>
      <c r="I439" s="29" t="n">
        <f aca="false">D439-D438</f>
        <v>0.00841212200203856</v>
      </c>
      <c r="J439" s="29" t="n">
        <f aca="false">E439-E438</f>
        <v>0.00968061771072293</v>
      </c>
      <c r="K439" s="0" t="n">
        <v>0</v>
      </c>
      <c r="L439" s="0" t="n">
        <v>0</v>
      </c>
      <c r="M439" s="29" t="n">
        <f aca="false">IF(L439=1,J439-Carry!$B$9/Inputs!$B$16,I439)</f>
        <v>0.00841212200203856</v>
      </c>
      <c r="N439" s="0" t="n">
        <v>0.065</v>
      </c>
      <c r="O439" s="0" t="n">
        <v>0.0002</v>
      </c>
      <c r="P439" s="29" t="n">
        <f aca="false">D439-('2 Hedge ratio'!$B$6+'2 Hedge ratio'!$B$5*E439)</f>
        <v>-0.00343015814500092</v>
      </c>
      <c r="Q439" s="29" t="n">
        <f aca="false">D439-('5 Re-specification'!$B$7+'5 Re-specification'!$B$5*E439+'5 Re-specification'!$B$6*F439)</f>
        <v>-0.00269690059224104</v>
      </c>
      <c r="R439" s="30" t="n">
        <f aca="false">MIN(F439,Inputs!$B$9)</f>
        <v>250</v>
      </c>
      <c r="S439" s="29" t="n">
        <f aca="true">IF(AND(F439&gt;=1,R439&gt;=Inputs!$B$10),INDEX(LINEST(OFFSET(D439,-R439,0,R439,1),OFFSET(E439,-R439,0,R439,2)),1,1),"")</f>
        <v>-5.01205793534139E-005</v>
      </c>
      <c r="T439" s="29" t="n">
        <f aca="true">IF(AND(F439&gt;=1,R439&gt;=Inputs!$B$10),INDEX(LINEST(OFFSET(D439,-R439,0,R439,1),OFFSET(E439,-R439,0,R439,2)),1,2),"")</f>
        <v>0.985671619649562</v>
      </c>
      <c r="U439" s="29" t="n">
        <f aca="true">IF(AND(F439&gt;=1,R439&gt;=Inputs!$B$10),INDEX(LINEST(OFFSET(D439,-R439,0,R439,1),OFFSET(E439,-R439,0,R439,2)),1,3),"")</f>
        <v>4.59554272973035</v>
      </c>
      <c r="V439" s="29" t="n">
        <f aca="true">IF(AND(F439&gt;=1,R439&gt;=Inputs!$B$10),SQRT(SUMPRODUCT((OFFSET(D439,-R439,0,R439,1)-U439-T439*OFFSET(E439,-R439,0,R439,1)-S439*OFFSET(F439,-R439,0,R439,1))^2)/(R439-3)),"")</f>
        <v>0.00339272296623667</v>
      </c>
      <c r="W439" s="31" t="n">
        <f aca="false">IF(AND(F439&gt;=1,R439&gt;=Inputs!$B$10),(D439-U439-T439*E439-S439*F439)/V439,"")</f>
        <v>-0.584614188544448</v>
      </c>
      <c r="X439" s="30" t="n">
        <f aca="false">IF(AB438&lt;&gt;0,AC438+1,0)</f>
        <v>0</v>
      </c>
      <c r="Y439" s="30" t="n">
        <f aca="false">IF(W439="",0,IF(AND(AB438&lt;&gt;0,OR(ABS(W439)&gt;Inputs!$B$7,X439&gt;=Inputs!$B$8,ABS(W439)&lt;Inputs!$B$6)),1,0))</f>
        <v>0</v>
      </c>
      <c r="Z439" s="30" t="n">
        <f aca="false">IF(Y439=1,0,AB438)</f>
        <v>0</v>
      </c>
      <c r="AA439" s="30" t="n">
        <f aca="false">IF(W439="",0,IF(AND(Z439=0,ABS(W439)&gt;Inputs!$B$5,ABS(W439)&lt;=Inputs!$B$7),1,0))</f>
        <v>0</v>
      </c>
      <c r="AB439" s="30" t="n">
        <f aca="false">IF(W439="",0,IF(AA439=1,-SIGN(W439),Z439))</f>
        <v>0</v>
      </c>
      <c r="AC439" s="30" t="n">
        <f aca="false">IF(W439="",0,IF(AA439=1,0,IF(Y439=1,0,X439)))</f>
        <v>0</v>
      </c>
      <c r="AD439" s="30" t="n">
        <f aca="false">IF(AB439=0,0,IF(AB438=AB439,AD438,T439))</f>
        <v>0</v>
      </c>
      <c r="AE439" s="30" t="n">
        <f aca="false">AB439-AB438</f>
        <v>0</v>
      </c>
      <c r="AF439" s="30" t="n">
        <f aca="false">-AD439*AB439</f>
        <v>-0</v>
      </c>
      <c r="AG439" s="30" t="n">
        <f aca="false">AF439-AF438</f>
        <v>0</v>
      </c>
      <c r="AH439" s="30" t="n">
        <f aca="false">MAX(AE439,0)*(Inputs!$B$17+Inputs!$B$18+Inputs!$B$19)+MAX(-AE439,0)*(O439+Inputs!$B$18+Inputs!$B$19)+IF(AND(K439=1,AB439&lt;&gt;0),(Inputs!$B$17+Inputs!$B$18+Inputs!$B$19)+(O439+Inputs!$B$18+Inputs!$B$19),0)+MAX(AG439,0)*(Inputs!$B$20+Inputs!$B$22+Inputs!$B$23)+MAX(-AG439,0)*(Inputs!$B$21+Inputs!$B$22+Inputs!$B$23)</f>
        <v>0</v>
      </c>
      <c r="AI439" s="30" t="n">
        <f aca="false">AB438*(M439-AD438*J439)+AB438*AD438*N439/Inputs!$B$16-AH439</f>
        <v>0</v>
      </c>
      <c r="AJ439" s="30" t="n">
        <f aca="false">MAX(AE439,0)*(Inputs!$B$17+Inputs!$B$24+Inputs!$B$25)+MAX(-AE439,0)*(O439+Inputs!$B$24+Inputs!$B$25)+IF(AND(K439=1,AB439&lt;&gt;0),(Inputs!$B$17+Inputs!$B$24+Inputs!$B$25)+(O439+Inputs!$B$24+Inputs!$B$25),0)+MAX(AG439,0)*(Inputs!$B$20+Inputs!$B$26+Inputs!$B$27)+MAX(-AG439,0)*(Inputs!$B$21+Inputs!$B$26+Inputs!$B$27)</f>
        <v>0</v>
      </c>
      <c r="AK439" s="30" t="n">
        <f aca="false">AB438*(M439-AD438*J439)+AB438*AD438*(N439+Inputs!$B$14)/Inputs!$B$16-AJ439</f>
        <v>0</v>
      </c>
      <c r="AL439" s="30" t="n">
        <f aca="false">IF(AP438&lt;&gt;0,AQ438+1,0)</f>
        <v>0</v>
      </c>
      <c r="AM439" s="30" t="n">
        <f aca="false">IF(W439="",0,IF(AND(AP438&lt;&gt;0,OR(ABS(W439)&gt;Inputs!$B$7,AL439&gt;=Inputs!$B$8,ABS(W439)&lt;Inputs!$B$6)),1,0))</f>
        <v>0</v>
      </c>
      <c r="AN439" s="30" t="n">
        <f aca="false">IF(AM439=1,0,AP438)</f>
        <v>0</v>
      </c>
      <c r="AO439" s="30" t="n">
        <f aca="false">IF(W439="",0,IF(AND(AN439=0,ABS(W439)&gt;Inputs!$B$5,ABS(W439)&lt;=Inputs!$B$7,W439&gt;0),1,0))</f>
        <v>0</v>
      </c>
      <c r="AP439" s="30" t="n">
        <f aca="false">IF(W439="",0,IF(AO439=1,-SIGN(W439),AN439))</f>
        <v>0</v>
      </c>
      <c r="AQ439" s="30" t="n">
        <f aca="false">IF(W439="",0,IF(AO439=1,0,IF(AM439=1,0,AL439)))</f>
        <v>0</v>
      </c>
      <c r="AR439" s="30" t="n">
        <f aca="false">IF(AP439=0,0,IF(AP438=AP439,AR438,T439))</f>
        <v>0</v>
      </c>
      <c r="AS439" s="30" t="n">
        <f aca="false">AP439-AP438</f>
        <v>0</v>
      </c>
      <c r="AT439" s="30" t="n">
        <f aca="false">-AR439*AP439</f>
        <v>-0</v>
      </c>
      <c r="AU439" s="30" t="n">
        <f aca="false">AT439-AT438</f>
        <v>0</v>
      </c>
      <c r="AV439" s="30" t="n">
        <f aca="false">MAX(AS439,0)*(Inputs!$B$17+Inputs!$B$18+Inputs!$B$19)+MAX(-AS439,0)*(O439+Inputs!$B$18+Inputs!$B$19)+IF(AND(K439=1,AP439&lt;&gt;0),(Inputs!$B$17+Inputs!$B$18+Inputs!$B$19)+(O439+Inputs!$B$18+Inputs!$B$19),0)+MAX(AU439,0)*(Inputs!$B$20+Inputs!$B$22+Inputs!$B$23)+MAX(-AU439,0)*(Inputs!$B$21+Inputs!$B$22+Inputs!$B$23)</f>
        <v>0</v>
      </c>
      <c r="AW439" s="30" t="n">
        <f aca="false">AP438*(M439-AR438*J439)+AP438*AR438*N439/Inputs!$B$16-AV439</f>
        <v>0</v>
      </c>
      <c r="AX439" s="30" t="n">
        <f aca="false">AW439-IF(AP438&lt;&gt;0,0.75*AR438*(Inputs!$B$13-N439)/Inputs!$B$16,0)</f>
        <v>0</v>
      </c>
      <c r="AY439" s="30" t="n">
        <f aca="false">MAX(AS439,0)*(Inputs!$B$17+Inputs!$B$18+Inputs!$B$19)+MAX(-AS439,0)*(O439+Inputs!$B$18+Inputs!$B$19)+IF(AND(K439=1,AP439&lt;&gt;0),(Inputs!$B$17+Inputs!$B$18+Inputs!$B$19)+(O439+Inputs!$B$18+Inputs!$B$19),0)</f>
        <v>0</v>
      </c>
      <c r="AZ439" s="30" t="n">
        <f aca="false">AP438*M439-AY439</f>
        <v>0</v>
      </c>
      <c r="BA439" s="32" t="n">
        <f aca="false">BA438+AI439</f>
        <v>0.00429130278454792</v>
      </c>
      <c r="BB439" s="30" t="n">
        <f aca="false">MAX(BB438,BA439)</f>
        <v>0.00429130278454792</v>
      </c>
      <c r="BC439" s="32" t="n">
        <f aca="false">BA439-BB439</f>
        <v>0</v>
      </c>
      <c r="BD439" s="30" t="n">
        <f aca="false">A440-A439</f>
        <v>1</v>
      </c>
    </row>
    <row r="440" customFormat="false" ht="15" hidden="false" customHeight="false" outlineLevel="0" collapsed="false">
      <c r="A440" s="28" t="n">
        <v>45687</v>
      </c>
      <c r="B440" s="0" t="n">
        <v>23249</v>
      </c>
      <c r="C440" s="0" t="n">
        <v>260.7</v>
      </c>
      <c r="D440" s="29" t="n">
        <f aca="false">LN(B440)</f>
        <v>10.0540173993378</v>
      </c>
      <c r="E440" s="29" t="n">
        <f aca="false">LN(C440)</f>
        <v>5.56337032093946</v>
      </c>
      <c r="F440" s="0" t="n">
        <v>435</v>
      </c>
      <c r="G440" s="0" t="n">
        <v>0</v>
      </c>
      <c r="H440" s="29" t="n">
        <f aca="false">D440-E440</f>
        <v>4.49064707839837</v>
      </c>
      <c r="I440" s="29" t="n">
        <f aca="false">D440-D439</f>
        <v>0.00310171273526549</v>
      </c>
      <c r="J440" s="29" t="n">
        <f aca="false">E440-E439</f>
        <v>0.00461361833351326</v>
      </c>
      <c r="K440" s="0" t="n">
        <v>1</v>
      </c>
      <c r="L440" s="0" t="n">
        <v>0</v>
      </c>
      <c r="M440" s="29" t="n">
        <f aca="false">IF(L440=1,J440-Carry!$B$9/Inputs!$B$16,I440)</f>
        <v>0.00310171273526549</v>
      </c>
      <c r="N440" s="0" t="n">
        <v>0.065</v>
      </c>
      <c r="O440" s="0" t="n">
        <v>0.0002</v>
      </c>
      <c r="P440" s="29" t="n">
        <f aca="false">D440-('2 Hedge ratio'!$B$6+'2 Hedge ratio'!$B$5*E440)</f>
        <v>-0.00455510462201758</v>
      </c>
      <c r="Q440" s="29" t="n">
        <f aca="false">D440-('5 Re-specification'!$B$7+'5 Re-specification'!$B$5*E440+'5 Re-specification'!$B$6*F440)</f>
        <v>-0.00414989530193388</v>
      </c>
      <c r="R440" s="30" t="n">
        <f aca="false">MIN(F440,Inputs!$B$9)</f>
        <v>250</v>
      </c>
      <c r="S440" s="29" t="n">
        <f aca="true">IF(AND(F440&gt;=1,R440&gt;=Inputs!$B$10),INDEX(LINEST(OFFSET(D440,-R440,0,R440,1),OFFSET(E440,-R440,0,R440,2)),1,1),"")</f>
        <v>-5.0766638976665E-005</v>
      </c>
      <c r="T440" s="29" t="n">
        <f aca="true">IF(AND(F440&gt;=1,R440&gt;=Inputs!$B$10),INDEX(LINEST(OFFSET(D440,-R440,0,R440,1),OFFSET(E440,-R440,0,R440,2)),1,2),"")</f>
        <v>0.98545037603353</v>
      </c>
      <c r="U440" s="29" t="n">
        <f aca="true">IF(AND(F440&gt;=1,R440&gt;=Inputs!$B$10),INDEX(LINEST(OFFSET(D440,-R440,0,R440,1),OFFSET(E440,-R440,0,R440,2)),1,3),"")</f>
        <v>4.59699089820951</v>
      </c>
      <c r="V440" s="29" t="n">
        <f aca="true">IF(AND(F440&gt;=1,R440&gt;=Inputs!$B$10),SQRT(SUMPRODUCT((OFFSET(D440,-R440,0,R440,1)-U440-T440*OFFSET(E440,-R440,0,R440,1)-S440*OFFSET(F440,-R440,0,R440,1))^2)/(R440-3)),"")</f>
        <v>0.00337353794414038</v>
      </c>
      <c r="W440" s="31" t="n">
        <f aca="false">IF(AND(F440&gt;=1,R440&gt;=Inputs!$B$10),(D440-U440-T440*E440-S440*F440)/V440,"")</f>
        <v>-0.982762238132217</v>
      </c>
      <c r="X440" s="30" t="n">
        <f aca="false">IF(AB439&lt;&gt;0,AC439+1,0)</f>
        <v>0</v>
      </c>
      <c r="Y440" s="30" t="n">
        <f aca="false">IF(W440="",0,IF(AND(AB439&lt;&gt;0,OR(ABS(W440)&gt;Inputs!$B$7,X440&gt;=Inputs!$B$8,ABS(W440)&lt;Inputs!$B$6)),1,0))</f>
        <v>0</v>
      </c>
      <c r="Z440" s="30" t="n">
        <f aca="false">IF(Y440=1,0,AB439)</f>
        <v>0</v>
      </c>
      <c r="AA440" s="30" t="n">
        <f aca="false">IF(W440="",0,IF(AND(Z440=0,ABS(W440)&gt;Inputs!$B$5,ABS(W440)&lt;=Inputs!$B$7),1,0))</f>
        <v>0</v>
      </c>
      <c r="AB440" s="30" t="n">
        <f aca="false">IF(W440="",0,IF(AA440=1,-SIGN(W440),Z440))</f>
        <v>0</v>
      </c>
      <c r="AC440" s="30" t="n">
        <f aca="false">IF(W440="",0,IF(AA440=1,0,IF(Y440=1,0,X440)))</f>
        <v>0</v>
      </c>
      <c r="AD440" s="30" t="n">
        <f aca="false">IF(AB440=0,0,IF(AB439=AB440,AD439,T440))</f>
        <v>0</v>
      </c>
      <c r="AE440" s="30" t="n">
        <f aca="false">AB440-AB439</f>
        <v>0</v>
      </c>
      <c r="AF440" s="30" t="n">
        <f aca="false">-AD440*AB440</f>
        <v>-0</v>
      </c>
      <c r="AG440" s="30" t="n">
        <f aca="false">AF440-AF439</f>
        <v>0</v>
      </c>
      <c r="AH440" s="30" t="n">
        <f aca="false">MAX(AE440,0)*(Inputs!$B$17+Inputs!$B$18+Inputs!$B$19)+MAX(-AE440,0)*(O440+Inputs!$B$18+Inputs!$B$19)+IF(AND(K440=1,AB440&lt;&gt;0),(Inputs!$B$17+Inputs!$B$18+Inputs!$B$19)+(O440+Inputs!$B$18+Inputs!$B$19),0)+MAX(AG440,0)*(Inputs!$B$20+Inputs!$B$22+Inputs!$B$23)+MAX(-AG440,0)*(Inputs!$B$21+Inputs!$B$22+Inputs!$B$23)</f>
        <v>0</v>
      </c>
      <c r="AI440" s="30" t="n">
        <f aca="false">AB439*(M440-AD439*J440)+AB439*AD439*N440/Inputs!$B$16-AH440</f>
        <v>0</v>
      </c>
      <c r="AJ440" s="30" t="n">
        <f aca="false">MAX(AE440,0)*(Inputs!$B$17+Inputs!$B$24+Inputs!$B$25)+MAX(-AE440,0)*(O440+Inputs!$B$24+Inputs!$B$25)+IF(AND(K440=1,AB440&lt;&gt;0),(Inputs!$B$17+Inputs!$B$24+Inputs!$B$25)+(O440+Inputs!$B$24+Inputs!$B$25),0)+MAX(AG440,0)*(Inputs!$B$20+Inputs!$B$26+Inputs!$B$27)+MAX(-AG440,0)*(Inputs!$B$21+Inputs!$B$26+Inputs!$B$27)</f>
        <v>0</v>
      </c>
      <c r="AK440" s="30" t="n">
        <f aca="false">AB439*(M440-AD439*J440)+AB439*AD439*(N440+Inputs!$B$14)/Inputs!$B$16-AJ440</f>
        <v>0</v>
      </c>
      <c r="AL440" s="30" t="n">
        <f aca="false">IF(AP439&lt;&gt;0,AQ439+1,0)</f>
        <v>0</v>
      </c>
      <c r="AM440" s="30" t="n">
        <f aca="false">IF(W440="",0,IF(AND(AP439&lt;&gt;0,OR(ABS(W440)&gt;Inputs!$B$7,AL440&gt;=Inputs!$B$8,ABS(W440)&lt;Inputs!$B$6)),1,0))</f>
        <v>0</v>
      </c>
      <c r="AN440" s="30" t="n">
        <f aca="false">IF(AM440=1,0,AP439)</f>
        <v>0</v>
      </c>
      <c r="AO440" s="30" t="n">
        <f aca="false">IF(W440="",0,IF(AND(AN440=0,ABS(W440)&gt;Inputs!$B$5,ABS(W440)&lt;=Inputs!$B$7,W440&gt;0),1,0))</f>
        <v>0</v>
      </c>
      <c r="AP440" s="30" t="n">
        <f aca="false">IF(W440="",0,IF(AO440=1,-SIGN(W440),AN440))</f>
        <v>0</v>
      </c>
      <c r="AQ440" s="30" t="n">
        <f aca="false">IF(W440="",0,IF(AO440=1,0,IF(AM440=1,0,AL440)))</f>
        <v>0</v>
      </c>
      <c r="AR440" s="30" t="n">
        <f aca="false">IF(AP440=0,0,IF(AP439=AP440,AR439,T440))</f>
        <v>0</v>
      </c>
      <c r="AS440" s="30" t="n">
        <f aca="false">AP440-AP439</f>
        <v>0</v>
      </c>
      <c r="AT440" s="30" t="n">
        <f aca="false">-AR440*AP440</f>
        <v>-0</v>
      </c>
      <c r="AU440" s="30" t="n">
        <f aca="false">AT440-AT439</f>
        <v>0</v>
      </c>
      <c r="AV440" s="30" t="n">
        <f aca="false">MAX(AS440,0)*(Inputs!$B$17+Inputs!$B$18+Inputs!$B$19)+MAX(-AS440,0)*(O440+Inputs!$B$18+Inputs!$B$19)+IF(AND(K440=1,AP440&lt;&gt;0),(Inputs!$B$17+Inputs!$B$18+Inputs!$B$19)+(O440+Inputs!$B$18+Inputs!$B$19),0)+MAX(AU440,0)*(Inputs!$B$20+Inputs!$B$22+Inputs!$B$23)+MAX(-AU440,0)*(Inputs!$B$21+Inputs!$B$22+Inputs!$B$23)</f>
        <v>0</v>
      </c>
      <c r="AW440" s="30" t="n">
        <f aca="false">AP439*(M440-AR439*J440)+AP439*AR439*N440/Inputs!$B$16-AV440</f>
        <v>0</v>
      </c>
      <c r="AX440" s="30" t="n">
        <f aca="false">AW440-IF(AP439&lt;&gt;0,0.75*AR439*(Inputs!$B$13-N440)/Inputs!$B$16,0)</f>
        <v>0</v>
      </c>
      <c r="AY440" s="30" t="n">
        <f aca="false">MAX(AS440,0)*(Inputs!$B$17+Inputs!$B$18+Inputs!$B$19)+MAX(-AS440,0)*(O440+Inputs!$B$18+Inputs!$B$19)+IF(AND(K440=1,AP440&lt;&gt;0),(Inputs!$B$17+Inputs!$B$18+Inputs!$B$19)+(O440+Inputs!$B$18+Inputs!$B$19),0)</f>
        <v>0</v>
      </c>
      <c r="AZ440" s="30" t="n">
        <f aca="false">AP439*M440-AY440</f>
        <v>0</v>
      </c>
      <c r="BA440" s="32" t="n">
        <f aca="false">BA439+AI440</f>
        <v>0.00429130278454792</v>
      </c>
      <c r="BB440" s="30" t="n">
        <f aca="false">MAX(BB439,BA440)</f>
        <v>0.00429130278454792</v>
      </c>
      <c r="BC440" s="32" t="n">
        <f aca="false">BA440-BB440</f>
        <v>0</v>
      </c>
      <c r="BD440" s="30" t="n">
        <f aca="false">A441-A440</f>
        <v>1</v>
      </c>
    </row>
    <row r="441" customFormat="false" ht="15" hidden="false" customHeight="false" outlineLevel="0" collapsed="false">
      <c r="A441" s="28" t="n">
        <v>45688</v>
      </c>
      <c r="B441" s="0" t="n">
        <v>23642</v>
      </c>
      <c r="C441" s="0" t="n">
        <v>262.95</v>
      </c>
      <c r="D441" s="29" t="n">
        <f aca="false">LN(B441)</f>
        <v>10.0707800703103</v>
      </c>
      <c r="E441" s="29" t="n">
        <f aca="false">LN(C441)</f>
        <v>5.57196390003535</v>
      </c>
      <c r="F441" s="0" t="n">
        <v>436</v>
      </c>
      <c r="G441" s="0" t="n">
        <v>27</v>
      </c>
      <c r="H441" s="29" t="n">
        <f aca="false">D441-E441</f>
        <v>4.49881617027497</v>
      </c>
      <c r="I441" s="29" t="n">
        <f aca="false">D441-D440</f>
        <v>0.0167626709724971</v>
      </c>
      <c r="J441" s="29" t="n">
        <f aca="false">E441-E440</f>
        <v>0.00859357909589686</v>
      </c>
      <c r="K441" s="0" t="n">
        <v>0</v>
      </c>
      <c r="L441" s="0" t="n">
        <v>1</v>
      </c>
      <c r="M441" s="29" t="n">
        <f aca="false">IF(L441=1,J441-Carry!$B$9/Inputs!$B$16,I441)</f>
        <v>0.00833412091417573</v>
      </c>
      <c r="N441" s="0" t="n">
        <v>0.065</v>
      </c>
      <c r="O441" s="0" t="n">
        <v>0.0002</v>
      </c>
      <c r="P441" s="29" t="n">
        <f aca="false">D441-('2 Hedge ratio'!$B$6+'2 Hedge ratio'!$B$5*E441)</f>
        <v>0.00433475858302579</v>
      </c>
      <c r="Q441" s="29" t="n">
        <f aca="false">D441-('5 Re-specification'!$B$7+'5 Re-specification'!$B$5*E441+'5 Re-specification'!$B$6*F441)</f>
        <v>0.00409016873439683</v>
      </c>
      <c r="R441" s="30" t="n">
        <f aca="false">MIN(F441,Inputs!$B$9)</f>
        <v>250</v>
      </c>
      <c r="S441" s="29" t="n">
        <f aca="true">IF(AND(F441&gt;=1,R441&gt;=Inputs!$B$10),INDEX(LINEST(OFFSET(D441,-R441,0,R441,1),OFFSET(E441,-R441,0,R441,2)),1,1),"")</f>
        <v>-5.12090425187862E-005</v>
      </c>
      <c r="T441" s="29" t="n">
        <f aca="true">IF(AND(F441&gt;=1,R441&gt;=Inputs!$B$10),INDEX(LINEST(OFFSET(D441,-R441,0,R441,1),OFFSET(E441,-R441,0,R441,2)),1,2),"")</f>
        <v>0.986398922287039</v>
      </c>
      <c r="U441" s="29" t="n">
        <f aca="true">IF(AND(F441&gt;=1,R441&gt;=Inputs!$B$10),INDEX(LINEST(OFFSET(D441,-R441,0,R441,1),OFFSET(E441,-R441,0,R441,2)),1,3),"")</f>
        <v>4.59181594039402</v>
      </c>
      <c r="V441" s="29" t="n">
        <f aca="true">IF(AND(F441&gt;=1,R441&gt;=Inputs!$B$10),SQRT(SUMPRODUCT((OFFSET(D441,-R441,0,R441,1)-U441-T441*OFFSET(E441,-R441,0,R441,1)-S441*OFFSET(F441,-R441,0,R441,1))^2)/(R441-3)),"")</f>
        <v>0.00337147642035042</v>
      </c>
      <c r="W441" s="31" t="n">
        <f aca="false">IF(AND(F441&gt;=1,R441&gt;=Inputs!$B$10),(D441-U441-T441*E441-S441*F441)/V441,"")</f>
        <v>1.51627530493089</v>
      </c>
      <c r="X441" s="30" t="n">
        <f aca="false">IF(AB440&lt;&gt;0,AC440+1,0)</f>
        <v>0</v>
      </c>
      <c r="Y441" s="30" t="n">
        <f aca="false">IF(W441="",0,IF(AND(AB440&lt;&gt;0,OR(ABS(W441)&gt;Inputs!$B$7,X441&gt;=Inputs!$B$8,ABS(W441)&lt;Inputs!$B$6)),1,0))</f>
        <v>0</v>
      </c>
      <c r="Z441" s="30" t="n">
        <f aca="false">IF(Y441=1,0,AB440)</f>
        <v>0</v>
      </c>
      <c r="AA441" s="30" t="n">
        <f aca="false">IF(W441="",0,IF(AND(Z441=0,ABS(W441)&gt;Inputs!$B$5,ABS(W441)&lt;=Inputs!$B$7),1,0))</f>
        <v>0</v>
      </c>
      <c r="AB441" s="30" t="n">
        <f aca="false">IF(W441="",0,IF(AA441=1,-SIGN(W441),Z441))</f>
        <v>0</v>
      </c>
      <c r="AC441" s="30" t="n">
        <f aca="false">IF(W441="",0,IF(AA441=1,0,IF(Y441=1,0,X441)))</f>
        <v>0</v>
      </c>
      <c r="AD441" s="30" t="n">
        <f aca="false">IF(AB441=0,0,IF(AB440=AB441,AD440,T441))</f>
        <v>0</v>
      </c>
      <c r="AE441" s="30" t="n">
        <f aca="false">AB441-AB440</f>
        <v>0</v>
      </c>
      <c r="AF441" s="30" t="n">
        <f aca="false">-AD441*AB441</f>
        <v>-0</v>
      </c>
      <c r="AG441" s="30" t="n">
        <f aca="false">AF441-AF440</f>
        <v>0</v>
      </c>
      <c r="AH441" s="30" t="n">
        <f aca="false">MAX(AE441,0)*(Inputs!$B$17+Inputs!$B$18+Inputs!$B$19)+MAX(-AE441,0)*(O441+Inputs!$B$18+Inputs!$B$19)+IF(AND(K441=1,AB441&lt;&gt;0),(Inputs!$B$17+Inputs!$B$18+Inputs!$B$19)+(O441+Inputs!$B$18+Inputs!$B$19),0)+MAX(AG441,0)*(Inputs!$B$20+Inputs!$B$22+Inputs!$B$23)+MAX(-AG441,0)*(Inputs!$B$21+Inputs!$B$22+Inputs!$B$23)</f>
        <v>0</v>
      </c>
      <c r="AI441" s="30" t="n">
        <f aca="false">AB440*(M441-AD440*J441)+AB440*AD440*N441/Inputs!$B$16-AH441</f>
        <v>0</v>
      </c>
      <c r="AJ441" s="30" t="n">
        <f aca="false">MAX(AE441,0)*(Inputs!$B$17+Inputs!$B$24+Inputs!$B$25)+MAX(-AE441,0)*(O441+Inputs!$B$24+Inputs!$B$25)+IF(AND(K441=1,AB441&lt;&gt;0),(Inputs!$B$17+Inputs!$B$24+Inputs!$B$25)+(O441+Inputs!$B$24+Inputs!$B$25),0)+MAX(AG441,0)*(Inputs!$B$20+Inputs!$B$26+Inputs!$B$27)+MAX(-AG441,0)*(Inputs!$B$21+Inputs!$B$26+Inputs!$B$27)</f>
        <v>0</v>
      </c>
      <c r="AK441" s="30" t="n">
        <f aca="false">AB440*(M441-AD440*J441)+AB440*AD440*(N441+Inputs!$B$14)/Inputs!$B$16-AJ441</f>
        <v>0</v>
      </c>
      <c r="AL441" s="30" t="n">
        <f aca="false">IF(AP440&lt;&gt;0,AQ440+1,0)</f>
        <v>0</v>
      </c>
      <c r="AM441" s="30" t="n">
        <f aca="false">IF(W441="",0,IF(AND(AP440&lt;&gt;0,OR(ABS(W441)&gt;Inputs!$B$7,AL441&gt;=Inputs!$B$8,ABS(W441)&lt;Inputs!$B$6)),1,0))</f>
        <v>0</v>
      </c>
      <c r="AN441" s="30" t="n">
        <f aca="false">IF(AM441=1,0,AP440)</f>
        <v>0</v>
      </c>
      <c r="AO441" s="30" t="n">
        <f aca="false">IF(W441="",0,IF(AND(AN441=0,ABS(W441)&gt;Inputs!$B$5,ABS(W441)&lt;=Inputs!$B$7,W441&gt;0),1,0))</f>
        <v>0</v>
      </c>
      <c r="AP441" s="30" t="n">
        <f aca="false">IF(W441="",0,IF(AO441=1,-SIGN(W441),AN441))</f>
        <v>0</v>
      </c>
      <c r="AQ441" s="30" t="n">
        <f aca="false">IF(W441="",0,IF(AO441=1,0,IF(AM441=1,0,AL441)))</f>
        <v>0</v>
      </c>
      <c r="AR441" s="30" t="n">
        <f aca="false">IF(AP441=0,0,IF(AP440=AP441,AR440,T441))</f>
        <v>0</v>
      </c>
      <c r="AS441" s="30" t="n">
        <f aca="false">AP441-AP440</f>
        <v>0</v>
      </c>
      <c r="AT441" s="30" t="n">
        <f aca="false">-AR441*AP441</f>
        <v>-0</v>
      </c>
      <c r="AU441" s="30" t="n">
        <f aca="false">AT441-AT440</f>
        <v>0</v>
      </c>
      <c r="AV441" s="30" t="n">
        <f aca="false">MAX(AS441,0)*(Inputs!$B$17+Inputs!$B$18+Inputs!$B$19)+MAX(-AS441,0)*(O441+Inputs!$B$18+Inputs!$B$19)+IF(AND(K441=1,AP441&lt;&gt;0),(Inputs!$B$17+Inputs!$B$18+Inputs!$B$19)+(O441+Inputs!$B$18+Inputs!$B$19),0)+MAX(AU441,0)*(Inputs!$B$20+Inputs!$B$22+Inputs!$B$23)+MAX(-AU441,0)*(Inputs!$B$21+Inputs!$B$22+Inputs!$B$23)</f>
        <v>0</v>
      </c>
      <c r="AW441" s="30" t="n">
        <f aca="false">AP440*(M441-AR440*J441)+AP440*AR440*N441/Inputs!$B$16-AV441</f>
        <v>0</v>
      </c>
      <c r="AX441" s="30" t="n">
        <f aca="false">AW441-IF(AP440&lt;&gt;0,0.75*AR440*(Inputs!$B$13-N441)/Inputs!$B$16,0)</f>
        <v>0</v>
      </c>
      <c r="AY441" s="30" t="n">
        <f aca="false">MAX(AS441,0)*(Inputs!$B$17+Inputs!$B$18+Inputs!$B$19)+MAX(-AS441,0)*(O441+Inputs!$B$18+Inputs!$B$19)+IF(AND(K441=1,AP441&lt;&gt;0),(Inputs!$B$17+Inputs!$B$18+Inputs!$B$19)+(O441+Inputs!$B$18+Inputs!$B$19),0)</f>
        <v>0</v>
      </c>
      <c r="AZ441" s="30" t="n">
        <f aca="false">AP440*M441-AY441</f>
        <v>0</v>
      </c>
      <c r="BA441" s="32" t="n">
        <f aca="false">BA440+AI441</f>
        <v>0.00429130278454792</v>
      </c>
      <c r="BB441" s="30" t="n">
        <f aca="false">MAX(BB440,BA441)</f>
        <v>0.00429130278454792</v>
      </c>
      <c r="BC441" s="32" t="n">
        <f aca="false">BA441-BB441</f>
        <v>0</v>
      </c>
      <c r="BD441" s="30" t="n">
        <f aca="false">A442-A441</f>
        <v>1</v>
      </c>
    </row>
    <row r="442" customFormat="false" ht="15" hidden="false" customHeight="false" outlineLevel="0" collapsed="false">
      <c r="A442" s="28" t="n">
        <v>45689</v>
      </c>
      <c r="B442" s="0" t="n">
        <v>23560</v>
      </c>
      <c r="C442" s="0" t="n">
        <v>262.4</v>
      </c>
      <c r="D442" s="29" t="n">
        <f aca="false">LN(B442)</f>
        <v>10.0673056377655</v>
      </c>
      <c r="E442" s="29" t="n">
        <f aca="false">LN(C442)</f>
        <v>5.56987005706993</v>
      </c>
      <c r="F442" s="0" t="n">
        <v>437</v>
      </c>
      <c r="G442" s="0" t="n">
        <v>26</v>
      </c>
      <c r="H442" s="29" t="n">
        <f aca="false">D442-E442</f>
        <v>4.49743558069559</v>
      </c>
      <c r="I442" s="29" t="n">
        <f aca="false">D442-D441</f>
        <v>-0.00347443254479884</v>
      </c>
      <c r="J442" s="29" t="n">
        <f aca="false">E442-E441</f>
        <v>-0.00209384296541959</v>
      </c>
      <c r="K442" s="0" t="n">
        <v>0</v>
      </c>
      <c r="L442" s="0" t="n">
        <v>0</v>
      </c>
      <c r="M442" s="29" t="n">
        <f aca="false">IF(L442=1,J442-Carry!$B$9/Inputs!$B$16,I442)</f>
        <v>-0.00347443254479884</v>
      </c>
      <c r="N442" s="0" t="n">
        <v>0.065</v>
      </c>
      <c r="O442" s="0" t="n">
        <v>0.0002</v>
      </c>
      <c r="P442" s="29" t="n">
        <f aca="false">D442-('2 Hedge ratio'!$B$6+'2 Hedge ratio'!$B$5*E442)</f>
        <v>0.00277855160850748</v>
      </c>
      <c r="Q442" s="29" t="n">
        <f aca="false">D442-('5 Re-specification'!$B$7+'5 Re-specification'!$B$5*E442+'5 Re-specification'!$B$6*F442)</f>
        <v>0.00274816308196257</v>
      </c>
      <c r="R442" s="30" t="n">
        <f aca="false">MIN(F442,Inputs!$B$9)</f>
        <v>250</v>
      </c>
      <c r="S442" s="29" t="n">
        <f aca="true">IF(AND(F442&gt;=1,R442&gt;=Inputs!$B$10),INDEX(LINEST(OFFSET(D442,-R442,0,R442,1),OFFSET(E442,-R442,0,R442,2)),1,1),"")</f>
        <v>-5.02393061715352E-005</v>
      </c>
      <c r="T442" s="29" t="n">
        <f aca="true">IF(AND(F442&gt;=1,R442&gt;=Inputs!$B$10),INDEX(LINEST(OFFSET(D442,-R442,0,R442,1),OFFSET(E442,-R442,0,R442,2)),1,2),"")</f>
        <v>0.985555505568762</v>
      </c>
      <c r="U442" s="29" t="n">
        <f aca="true">IF(AND(F442&gt;=1,R442&gt;=Inputs!$B$10),INDEX(LINEST(OFFSET(D442,-R442,0,R442,1),OFFSET(E442,-R442,0,R442,2)),1,3),"")</f>
        <v>4.59623074773</v>
      </c>
      <c r="V442" s="29" t="n">
        <f aca="true">IF(AND(F442&gt;=1,R442&gt;=Inputs!$B$10),SQRT(SUMPRODUCT((OFFSET(D442,-R442,0,R442,1)-U442-T442*OFFSET(E442,-R442,0,R442,1)-S442*OFFSET(F442,-R442,0,R442,1))^2)/(R442-3)),"")</f>
        <v>0.00338648807605122</v>
      </c>
      <c r="W442" s="31" t="n">
        <f aca="false">IF(AND(F442&gt;=1,R442&gt;=Inputs!$B$10),(D442-U442-T442*E442-S442*F442)/V442,"")</f>
        <v>1.06699527754575</v>
      </c>
      <c r="X442" s="30" t="n">
        <f aca="false">IF(AB441&lt;&gt;0,AC441+1,0)</f>
        <v>0</v>
      </c>
      <c r="Y442" s="30" t="n">
        <f aca="false">IF(W442="",0,IF(AND(AB441&lt;&gt;0,OR(ABS(W442)&gt;Inputs!$B$7,X442&gt;=Inputs!$B$8,ABS(W442)&lt;Inputs!$B$6)),1,0))</f>
        <v>0</v>
      </c>
      <c r="Z442" s="30" t="n">
        <f aca="false">IF(Y442=1,0,AB441)</f>
        <v>0</v>
      </c>
      <c r="AA442" s="30" t="n">
        <f aca="false">IF(W442="",0,IF(AND(Z442=0,ABS(W442)&gt;Inputs!$B$5,ABS(W442)&lt;=Inputs!$B$7),1,0))</f>
        <v>0</v>
      </c>
      <c r="AB442" s="30" t="n">
        <f aca="false">IF(W442="",0,IF(AA442=1,-SIGN(W442),Z442))</f>
        <v>0</v>
      </c>
      <c r="AC442" s="30" t="n">
        <f aca="false">IF(W442="",0,IF(AA442=1,0,IF(Y442=1,0,X442)))</f>
        <v>0</v>
      </c>
      <c r="AD442" s="30" t="n">
        <f aca="false">IF(AB442=0,0,IF(AB441=AB442,AD441,T442))</f>
        <v>0</v>
      </c>
      <c r="AE442" s="30" t="n">
        <f aca="false">AB442-AB441</f>
        <v>0</v>
      </c>
      <c r="AF442" s="30" t="n">
        <f aca="false">-AD442*AB442</f>
        <v>-0</v>
      </c>
      <c r="AG442" s="30" t="n">
        <f aca="false">AF442-AF441</f>
        <v>0</v>
      </c>
      <c r="AH442" s="30" t="n">
        <f aca="false">MAX(AE442,0)*(Inputs!$B$17+Inputs!$B$18+Inputs!$B$19)+MAX(-AE442,0)*(O442+Inputs!$B$18+Inputs!$B$19)+IF(AND(K442=1,AB442&lt;&gt;0),(Inputs!$B$17+Inputs!$B$18+Inputs!$B$19)+(O442+Inputs!$B$18+Inputs!$B$19),0)+MAX(AG442,0)*(Inputs!$B$20+Inputs!$B$22+Inputs!$B$23)+MAX(-AG442,0)*(Inputs!$B$21+Inputs!$B$22+Inputs!$B$23)</f>
        <v>0</v>
      </c>
      <c r="AI442" s="30" t="n">
        <f aca="false">AB441*(M442-AD441*J442)+AB441*AD441*N442/Inputs!$B$16-AH442</f>
        <v>0</v>
      </c>
      <c r="AJ442" s="30" t="n">
        <f aca="false">MAX(AE442,0)*(Inputs!$B$17+Inputs!$B$24+Inputs!$B$25)+MAX(-AE442,0)*(O442+Inputs!$B$24+Inputs!$B$25)+IF(AND(K442=1,AB442&lt;&gt;0),(Inputs!$B$17+Inputs!$B$24+Inputs!$B$25)+(O442+Inputs!$B$24+Inputs!$B$25),0)+MAX(AG442,0)*(Inputs!$B$20+Inputs!$B$26+Inputs!$B$27)+MAX(-AG442,0)*(Inputs!$B$21+Inputs!$B$26+Inputs!$B$27)</f>
        <v>0</v>
      </c>
      <c r="AK442" s="30" t="n">
        <f aca="false">AB441*(M442-AD441*J442)+AB441*AD441*(N442+Inputs!$B$14)/Inputs!$B$16-AJ442</f>
        <v>0</v>
      </c>
      <c r="AL442" s="30" t="n">
        <f aca="false">IF(AP441&lt;&gt;0,AQ441+1,0)</f>
        <v>0</v>
      </c>
      <c r="AM442" s="30" t="n">
        <f aca="false">IF(W442="",0,IF(AND(AP441&lt;&gt;0,OR(ABS(W442)&gt;Inputs!$B$7,AL442&gt;=Inputs!$B$8,ABS(W442)&lt;Inputs!$B$6)),1,0))</f>
        <v>0</v>
      </c>
      <c r="AN442" s="30" t="n">
        <f aca="false">IF(AM442=1,0,AP441)</f>
        <v>0</v>
      </c>
      <c r="AO442" s="30" t="n">
        <f aca="false">IF(W442="",0,IF(AND(AN442=0,ABS(W442)&gt;Inputs!$B$5,ABS(W442)&lt;=Inputs!$B$7,W442&gt;0),1,0))</f>
        <v>0</v>
      </c>
      <c r="AP442" s="30" t="n">
        <f aca="false">IF(W442="",0,IF(AO442=1,-SIGN(W442),AN442))</f>
        <v>0</v>
      </c>
      <c r="AQ442" s="30" t="n">
        <f aca="false">IF(W442="",0,IF(AO442=1,0,IF(AM442=1,0,AL442)))</f>
        <v>0</v>
      </c>
      <c r="AR442" s="30" t="n">
        <f aca="false">IF(AP442=0,0,IF(AP441=AP442,AR441,T442))</f>
        <v>0</v>
      </c>
      <c r="AS442" s="30" t="n">
        <f aca="false">AP442-AP441</f>
        <v>0</v>
      </c>
      <c r="AT442" s="30" t="n">
        <f aca="false">-AR442*AP442</f>
        <v>-0</v>
      </c>
      <c r="AU442" s="30" t="n">
        <f aca="false">AT442-AT441</f>
        <v>0</v>
      </c>
      <c r="AV442" s="30" t="n">
        <f aca="false">MAX(AS442,0)*(Inputs!$B$17+Inputs!$B$18+Inputs!$B$19)+MAX(-AS442,0)*(O442+Inputs!$B$18+Inputs!$B$19)+IF(AND(K442=1,AP442&lt;&gt;0),(Inputs!$B$17+Inputs!$B$18+Inputs!$B$19)+(O442+Inputs!$B$18+Inputs!$B$19),0)+MAX(AU442,0)*(Inputs!$B$20+Inputs!$B$22+Inputs!$B$23)+MAX(-AU442,0)*(Inputs!$B$21+Inputs!$B$22+Inputs!$B$23)</f>
        <v>0</v>
      </c>
      <c r="AW442" s="30" t="n">
        <f aca="false">AP441*(M442-AR441*J442)+AP441*AR441*N442/Inputs!$B$16-AV442</f>
        <v>0</v>
      </c>
      <c r="AX442" s="30" t="n">
        <f aca="false">AW442-IF(AP441&lt;&gt;0,0.75*AR441*(Inputs!$B$13-N442)/Inputs!$B$16,0)</f>
        <v>0</v>
      </c>
      <c r="AY442" s="30" t="n">
        <f aca="false">MAX(AS442,0)*(Inputs!$B$17+Inputs!$B$18+Inputs!$B$19)+MAX(-AS442,0)*(O442+Inputs!$B$18+Inputs!$B$19)+IF(AND(K442=1,AP442&lt;&gt;0),(Inputs!$B$17+Inputs!$B$18+Inputs!$B$19)+(O442+Inputs!$B$18+Inputs!$B$19),0)</f>
        <v>0</v>
      </c>
      <c r="AZ442" s="30" t="n">
        <f aca="false">AP441*M442-AY442</f>
        <v>-0</v>
      </c>
      <c r="BA442" s="32" t="n">
        <f aca="false">BA441+AI442</f>
        <v>0.00429130278454792</v>
      </c>
      <c r="BB442" s="30" t="n">
        <f aca="false">MAX(BB441,BA442)</f>
        <v>0.00429130278454792</v>
      </c>
      <c r="BC442" s="32" t="n">
        <f aca="false">BA442-BB442</f>
        <v>0</v>
      </c>
      <c r="BD442" s="30" t="n">
        <f aca="false">A443-A442</f>
        <v>2</v>
      </c>
    </row>
    <row r="443" customFormat="false" ht="15" hidden="false" customHeight="false" outlineLevel="0" collapsed="false">
      <c r="A443" s="28" t="n">
        <v>45691</v>
      </c>
      <c r="B443" s="0" t="n">
        <v>23440</v>
      </c>
      <c r="C443" s="0" t="n">
        <v>261.5</v>
      </c>
      <c r="D443" s="29" t="n">
        <f aca="false">LN(B443)</f>
        <v>10.062199243691</v>
      </c>
      <c r="E443" s="29" t="n">
        <f aca="false">LN(C443)</f>
        <v>5.56643428350498</v>
      </c>
      <c r="F443" s="0" t="n">
        <v>438</v>
      </c>
      <c r="G443" s="0" t="n">
        <v>24</v>
      </c>
      <c r="H443" s="29" t="n">
        <f aca="false">D443-E443</f>
        <v>4.49576496018597</v>
      </c>
      <c r="I443" s="29" t="n">
        <f aca="false">D443-D442</f>
        <v>-0.00510639407457347</v>
      </c>
      <c r="J443" s="29" t="n">
        <f aca="false">E443-E442</f>
        <v>-0.00343577356495572</v>
      </c>
      <c r="K443" s="0" t="n">
        <v>0</v>
      </c>
      <c r="L443" s="0" t="n">
        <v>0</v>
      </c>
      <c r="M443" s="29" t="n">
        <f aca="false">IF(L443=1,J443-Carry!$B$9/Inputs!$B$16,I443)</f>
        <v>-0.00510639407457347</v>
      </c>
      <c r="N443" s="0" t="n">
        <v>0.065</v>
      </c>
      <c r="O443" s="0" t="n">
        <v>0.0002</v>
      </c>
      <c r="P443" s="29" t="n">
        <f aca="false">D443-('2 Hedge ratio'!$B$6+'2 Hedge ratio'!$B$5*E443)</f>
        <v>0.000819761635503014</v>
      </c>
      <c r="Q443" s="29" t="n">
        <f aca="false">D443-('5 Re-specification'!$B$7+'5 Re-specification'!$B$5*E443+'5 Re-specification'!$B$6*F443)</f>
        <v>0.0011120597785812</v>
      </c>
      <c r="R443" s="30" t="n">
        <f aca="false">MIN(F443,Inputs!$B$9)</f>
        <v>250</v>
      </c>
      <c r="S443" s="29" t="n">
        <f aca="true">IF(AND(F443&gt;=1,R443&gt;=Inputs!$B$10),INDEX(LINEST(OFFSET(D443,-R443,0,R443,1),OFFSET(E443,-R443,0,R443,2)),1,1),"")</f>
        <v>-4.95902602120279E-005</v>
      </c>
      <c r="T443" s="29" t="n">
        <f aca="true">IF(AND(F443&gt;=1,R443&gt;=Inputs!$B$10),INDEX(LINEST(OFFSET(D443,-R443,0,R443,1),OFFSET(E443,-R443,0,R443,2)),1,2),"")</f>
        <v>0.984887793406644</v>
      </c>
      <c r="U443" s="29" t="n">
        <f aca="true">IF(AND(F443&gt;=1,R443&gt;=Inputs!$B$10),INDEX(LINEST(OFFSET(D443,-R443,0,R443,1),OFFSET(E443,-R443,0,R443,2)),1,3),"")</f>
        <v>4.59976362003713</v>
      </c>
      <c r="V443" s="29" t="n">
        <f aca="true">IF(AND(F443&gt;=1,R443&gt;=Inputs!$B$10),SQRT(SUMPRODUCT((OFFSET(D443,-R443,0,R443,1)-U443-T443*OFFSET(E443,-R443,0,R443,1)-S443*OFFSET(F443,-R443,0,R443,1))^2)/(R443-3)),"")</f>
        <v>0.00339403203592539</v>
      </c>
      <c r="W443" s="31" t="n">
        <f aca="false">IF(AND(F443&gt;=1,R443&gt;=Inputs!$B$10),(D443-U443-T443*E443-S443*F443)/V443,"")</f>
        <v>0.543005776868513</v>
      </c>
      <c r="X443" s="30" t="n">
        <f aca="false">IF(AB442&lt;&gt;0,AC442+1,0)</f>
        <v>0</v>
      </c>
      <c r="Y443" s="30" t="n">
        <f aca="false">IF(W443="",0,IF(AND(AB442&lt;&gt;0,OR(ABS(W443)&gt;Inputs!$B$7,X443&gt;=Inputs!$B$8,ABS(W443)&lt;Inputs!$B$6)),1,0))</f>
        <v>0</v>
      </c>
      <c r="Z443" s="30" t="n">
        <f aca="false">IF(Y443=1,0,AB442)</f>
        <v>0</v>
      </c>
      <c r="AA443" s="30" t="n">
        <f aca="false">IF(W443="",0,IF(AND(Z443=0,ABS(W443)&gt;Inputs!$B$5,ABS(W443)&lt;=Inputs!$B$7),1,0))</f>
        <v>0</v>
      </c>
      <c r="AB443" s="30" t="n">
        <f aca="false">IF(W443="",0,IF(AA443=1,-SIGN(W443),Z443))</f>
        <v>0</v>
      </c>
      <c r="AC443" s="30" t="n">
        <f aca="false">IF(W443="",0,IF(AA443=1,0,IF(Y443=1,0,X443)))</f>
        <v>0</v>
      </c>
      <c r="AD443" s="30" t="n">
        <f aca="false">IF(AB443=0,0,IF(AB442=AB443,AD442,T443))</f>
        <v>0</v>
      </c>
      <c r="AE443" s="30" t="n">
        <f aca="false">AB443-AB442</f>
        <v>0</v>
      </c>
      <c r="AF443" s="30" t="n">
        <f aca="false">-AD443*AB443</f>
        <v>-0</v>
      </c>
      <c r="AG443" s="30" t="n">
        <f aca="false">AF443-AF442</f>
        <v>0</v>
      </c>
      <c r="AH443" s="30" t="n">
        <f aca="false">MAX(AE443,0)*(Inputs!$B$17+Inputs!$B$18+Inputs!$B$19)+MAX(-AE443,0)*(O443+Inputs!$B$18+Inputs!$B$19)+IF(AND(K443=1,AB443&lt;&gt;0),(Inputs!$B$17+Inputs!$B$18+Inputs!$B$19)+(O443+Inputs!$B$18+Inputs!$B$19),0)+MAX(AG443,0)*(Inputs!$B$20+Inputs!$B$22+Inputs!$B$23)+MAX(-AG443,0)*(Inputs!$B$21+Inputs!$B$22+Inputs!$B$23)</f>
        <v>0</v>
      </c>
      <c r="AI443" s="30" t="n">
        <f aca="false">AB442*(M443-AD442*J443)+AB442*AD442*N443/Inputs!$B$16-AH443</f>
        <v>0</v>
      </c>
      <c r="AJ443" s="30" t="n">
        <f aca="false">MAX(AE443,0)*(Inputs!$B$17+Inputs!$B$24+Inputs!$B$25)+MAX(-AE443,0)*(O443+Inputs!$B$24+Inputs!$B$25)+IF(AND(K443=1,AB443&lt;&gt;0),(Inputs!$B$17+Inputs!$B$24+Inputs!$B$25)+(O443+Inputs!$B$24+Inputs!$B$25),0)+MAX(AG443,0)*(Inputs!$B$20+Inputs!$B$26+Inputs!$B$27)+MAX(-AG443,0)*(Inputs!$B$21+Inputs!$B$26+Inputs!$B$27)</f>
        <v>0</v>
      </c>
      <c r="AK443" s="30" t="n">
        <f aca="false">AB442*(M443-AD442*J443)+AB442*AD442*(N443+Inputs!$B$14)/Inputs!$B$16-AJ443</f>
        <v>0</v>
      </c>
      <c r="AL443" s="30" t="n">
        <f aca="false">IF(AP442&lt;&gt;0,AQ442+1,0)</f>
        <v>0</v>
      </c>
      <c r="AM443" s="30" t="n">
        <f aca="false">IF(W443="",0,IF(AND(AP442&lt;&gt;0,OR(ABS(W443)&gt;Inputs!$B$7,AL443&gt;=Inputs!$B$8,ABS(W443)&lt;Inputs!$B$6)),1,0))</f>
        <v>0</v>
      </c>
      <c r="AN443" s="30" t="n">
        <f aca="false">IF(AM443=1,0,AP442)</f>
        <v>0</v>
      </c>
      <c r="AO443" s="30" t="n">
        <f aca="false">IF(W443="",0,IF(AND(AN443=0,ABS(W443)&gt;Inputs!$B$5,ABS(W443)&lt;=Inputs!$B$7,W443&gt;0),1,0))</f>
        <v>0</v>
      </c>
      <c r="AP443" s="30" t="n">
        <f aca="false">IF(W443="",0,IF(AO443=1,-SIGN(W443),AN443))</f>
        <v>0</v>
      </c>
      <c r="AQ443" s="30" t="n">
        <f aca="false">IF(W443="",0,IF(AO443=1,0,IF(AM443=1,0,AL443)))</f>
        <v>0</v>
      </c>
      <c r="AR443" s="30" t="n">
        <f aca="false">IF(AP443=0,0,IF(AP442=AP443,AR442,T443))</f>
        <v>0</v>
      </c>
      <c r="AS443" s="30" t="n">
        <f aca="false">AP443-AP442</f>
        <v>0</v>
      </c>
      <c r="AT443" s="30" t="n">
        <f aca="false">-AR443*AP443</f>
        <v>-0</v>
      </c>
      <c r="AU443" s="30" t="n">
        <f aca="false">AT443-AT442</f>
        <v>0</v>
      </c>
      <c r="AV443" s="30" t="n">
        <f aca="false">MAX(AS443,0)*(Inputs!$B$17+Inputs!$B$18+Inputs!$B$19)+MAX(-AS443,0)*(O443+Inputs!$B$18+Inputs!$B$19)+IF(AND(K443=1,AP443&lt;&gt;0),(Inputs!$B$17+Inputs!$B$18+Inputs!$B$19)+(O443+Inputs!$B$18+Inputs!$B$19),0)+MAX(AU443,0)*(Inputs!$B$20+Inputs!$B$22+Inputs!$B$23)+MAX(-AU443,0)*(Inputs!$B$21+Inputs!$B$22+Inputs!$B$23)</f>
        <v>0</v>
      </c>
      <c r="AW443" s="30" t="n">
        <f aca="false">AP442*(M443-AR442*J443)+AP442*AR442*N443/Inputs!$B$16-AV443</f>
        <v>0</v>
      </c>
      <c r="AX443" s="30" t="n">
        <f aca="false">AW443-IF(AP442&lt;&gt;0,0.75*AR442*(Inputs!$B$13-N443)/Inputs!$B$16,0)</f>
        <v>0</v>
      </c>
      <c r="AY443" s="30" t="n">
        <f aca="false">MAX(AS443,0)*(Inputs!$B$17+Inputs!$B$18+Inputs!$B$19)+MAX(-AS443,0)*(O443+Inputs!$B$18+Inputs!$B$19)+IF(AND(K443=1,AP443&lt;&gt;0),(Inputs!$B$17+Inputs!$B$18+Inputs!$B$19)+(O443+Inputs!$B$18+Inputs!$B$19),0)</f>
        <v>0</v>
      </c>
      <c r="AZ443" s="30" t="n">
        <f aca="false">AP442*M443-AY443</f>
        <v>-0</v>
      </c>
      <c r="BA443" s="32" t="n">
        <f aca="false">BA442+AI443</f>
        <v>0.00429130278454792</v>
      </c>
      <c r="BB443" s="30" t="n">
        <f aca="false">MAX(BB442,BA443)</f>
        <v>0.00429130278454792</v>
      </c>
      <c r="BC443" s="32" t="n">
        <f aca="false">BA443-BB443</f>
        <v>0</v>
      </c>
      <c r="BD443" s="30" t="n">
        <f aca="false">A444-A443</f>
        <v>1</v>
      </c>
    </row>
    <row r="444" customFormat="false" ht="15" hidden="false" customHeight="false" outlineLevel="0" collapsed="false">
      <c r="A444" s="28" t="n">
        <v>45692</v>
      </c>
      <c r="B444" s="0" t="n">
        <v>23791.7</v>
      </c>
      <c r="C444" s="0" t="n">
        <v>265.15</v>
      </c>
      <c r="D444" s="29" t="n">
        <f aca="false">LN(B444)</f>
        <v>10.07709205934</v>
      </c>
      <c r="E444" s="29" t="n">
        <f aca="false">LN(C444)</f>
        <v>5.58029570358314</v>
      </c>
      <c r="F444" s="0" t="n">
        <v>439</v>
      </c>
      <c r="G444" s="0" t="n">
        <v>23</v>
      </c>
      <c r="H444" s="29" t="n">
        <f aca="false">D444-E444</f>
        <v>4.49679635575687</v>
      </c>
      <c r="I444" s="29" t="n">
        <f aca="false">D444-D443</f>
        <v>0.0148928156490591</v>
      </c>
      <c r="J444" s="29" t="n">
        <f aca="false">E444-E443</f>
        <v>0.013861420078161</v>
      </c>
      <c r="K444" s="0" t="n">
        <v>0</v>
      </c>
      <c r="L444" s="0" t="n">
        <v>0</v>
      </c>
      <c r="M444" s="29" t="n">
        <f aca="false">IF(L444=1,J444-Carry!$B$9/Inputs!$B$16,I444)</f>
        <v>0.0148928156490591</v>
      </c>
      <c r="N444" s="0" t="n">
        <v>0.065</v>
      </c>
      <c r="O444" s="0" t="n">
        <v>0.0002</v>
      </c>
      <c r="P444" s="29" t="n">
        <f aca="false">D444-('2 Hedge ratio'!$B$6+'2 Hedge ratio'!$B$5*E444)</f>
        <v>0.00301375942979831</v>
      </c>
      <c r="Q444" s="29" t="n">
        <f aca="false">D444-('5 Re-specification'!$B$7+'5 Re-specification'!$B$5*E444+'5 Re-specification'!$B$6*F444)</f>
        <v>0.00223039170141526</v>
      </c>
      <c r="R444" s="30" t="n">
        <f aca="false">MIN(F444,Inputs!$B$9)</f>
        <v>250</v>
      </c>
      <c r="S444" s="29" t="n">
        <f aca="true">IF(AND(F444&gt;=1,R444&gt;=Inputs!$B$10),INDEX(LINEST(OFFSET(D444,-R444,0,R444,1),OFFSET(E444,-R444,0,R444,2)),1,1),"")</f>
        <v>-4.93111031669611E-005</v>
      </c>
      <c r="T444" s="29" t="n">
        <f aca="true">IF(AND(F444&gt;=1,R444&gt;=Inputs!$B$10),INDEX(LINEST(OFFSET(D444,-R444,0,R444,1),OFFSET(E444,-R444,0,R444,2)),1,2),"")</f>
        <v>0.984450773779503</v>
      </c>
      <c r="U444" s="29" t="n">
        <f aca="true">IF(AND(F444&gt;=1,R444&gt;=Inputs!$B$10),INDEX(LINEST(OFFSET(D444,-R444,0,R444,1),OFFSET(E444,-R444,0,R444,2)),1,3),"")</f>
        <v>4.60212299803912</v>
      </c>
      <c r="V444" s="29" t="n">
        <f aca="true">IF(AND(F444&gt;=1,R444&gt;=Inputs!$B$10),SQRT(SUMPRODUCT((OFFSET(D444,-R444,0,R444,1)-U444-T444*OFFSET(E444,-R444,0,R444,1)-S444*OFFSET(F444,-R444,0,R444,1))^2)/(R444-3)),"")</f>
        <v>0.00339523609228986</v>
      </c>
      <c r="W444" s="31" t="n">
        <f aca="false">IF(AND(F444&gt;=1,R444&gt;=Inputs!$B$10),(D444-U444-T444*E444-S444*F444)/V444,"")</f>
        <v>0.91016123660597</v>
      </c>
      <c r="X444" s="30" t="n">
        <f aca="false">IF(AB443&lt;&gt;0,AC443+1,0)</f>
        <v>0</v>
      </c>
      <c r="Y444" s="30" t="n">
        <f aca="false">IF(W444="",0,IF(AND(AB443&lt;&gt;0,OR(ABS(W444)&gt;Inputs!$B$7,X444&gt;=Inputs!$B$8,ABS(W444)&lt;Inputs!$B$6)),1,0))</f>
        <v>0</v>
      </c>
      <c r="Z444" s="30" t="n">
        <f aca="false">IF(Y444=1,0,AB443)</f>
        <v>0</v>
      </c>
      <c r="AA444" s="30" t="n">
        <f aca="false">IF(W444="",0,IF(AND(Z444=0,ABS(W444)&gt;Inputs!$B$5,ABS(W444)&lt;=Inputs!$B$7),1,0))</f>
        <v>0</v>
      </c>
      <c r="AB444" s="30" t="n">
        <f aca="false">IF(W444="",0,IF(AA444=1,-SIGN(W444),Z444))</f>
        <v>0</v>
      </c>
      <c r="AC444" s="30" t="n">
        <f aca="false">IF(W444="",0,IF(AA444=1,0,IF(Y444=1,0,X444)))</f>
        <v>0</v>
      </c>
      <c r="AD444" s="30" t="n">
        <f aca="false">IF(AB444=0,0,IF(AB443=AB444,AD443,T444))</f>
        <v>0</v>
      </c>
      <c r="AE444" s="30" t="n">
        <f aca="false">AB444-AB443</f>
        <v>0</v>
      </c>
      <c r="AF444" s="30" t="n">
        <f aca="false">-AD444*AB444</f>
        <v>-0</v>
      </c>
      <c r="AG444" s="30" t="n">
        <f aca="false">AF444-AF443</f>
        <v>0</v>
      </c>
      <c r="AH444" s="30" t="n">
        <f aca="false">MAX(AE444,0)*(Inputs!$B$17+Inputs!$B$18+Inputs!$B$19)+MAX(-AE444,0)*(O444+Inputs!$B$18+Inputs!$B$19)+IF(AND(K444=1,AB444&lt;&gt;0),(Inputs!$B$17+Inputs!$B$18+Inputs!$B$19)+(O444+Inputs!$B$18+Inputs!$B$19),0)+MAX(AG444,0)*(Inputs!$B$20+Inputs!$B$22+Inputs!$B$23)+MAX(-AG444,0)*(Inputs!$B$21+Inputs!$B$22+Inputs!$B$23)</f>
        <v>0</v>
      </c>
      <c r="AI444" s="30" t="n">
        <f aca="false">AB443*(M444-AD443*J444)+AB443*AD443*N444/Inputs!$B$16-AH444</f>
        <v>0</v>
      </c>
      <c r="AJ444" s="30" t="n">
        <f aca="false">MAX(AE444,0)*(Inputs!$B$17+Inputs!$B$24+Inputs!$B$25)+MAX(-AE444,0)*(O444+Inputs!$B$24+Inputs!$B$25)+IF(AND(K444=1,AB444&lt;&gt;0),(Inputs!$B$17+Inputs!$B$24+Inputs!$B$25)+(O444+Inputs!$B$24+Inputs!$B$25),0)+MAX(AG444,0)*(Inputs!$B$20+Inputs!$B$26+Inputs!$B$27)+MAX(-AG444,0)*(Inputs!$B$21+Inputs!$B$26+Inputs!$B$27)</f>
        <v>0</v>
      </c>
      <c r="AK444" s="30" t="n">
        <f aca="false">AB443*(M444-AD443*J444)+AB443*AD443*(N444+Inputs!$B$14)/Inputs!$B$16-AJ444</f>
        <v>0</v>
      </c>
      <c r="AL444" s="30" t="n">
        <f aca="false">IF(AP443&lt;&gt;0,AQ443+1,0)</f>
        <v>0</v>
      </c>
      <c r="AM444" s="30" t="n">
        <f aca="false">IF(W444="",0,IF(AND(AP443&lt;&gt;0,OR(ABS(W444)&gt;Inputs!$B$7,AL444&gt;=Inputs!$B$8,ABS(W444)&lt;Inputs!$B$6)),1,0))</f>
        <v>0</v>
      </c>
      <c r="AN444" s="30" t="n">
        <f aca="false">IF(AM444=1,0,AP443)</f>
        <v>0</v>
      </c>
      <c r="AO444" s="30" t="n">
        <f aca="false">IF(W444="",0,IF(AND(AN444=0,ABS(W444)&gt;Inputs!$B$5,ABS(W444)&lt;=Inputs!$B$7,W444&gt;0),1,0))</f>
        <v>0</v>
      </c>
      <c r="AP444" s="30" t="n">
        <f aca="false">IF(W444="",0,IF(AO444=1,-SIGN(W444),AN444))</f>
        <v>0</v>
      </c>
      <c r="AQ444" s="30" t="n">
        <f aca="false">IF(W444="",0,IF(AO444=1,0,IF(AM444=1,0,AL444)))</f>
        <v>0</v>
      </c>
      <c r="AR444" s="30" t="n">
        <f aca="false">IF(AP444=0,0,IF(AP443=AP444,AR443,T444))</f>
        <v>0</v>
      </c>
      <c r="AS444" s="30" t="n">
        <f aca="false">AP444-AP443</f>
        <v>0</v>
      </c>
      <c r="AT444" s="30" t="n">
        <f aca="false">-AR444*AP444</f>
        <v>-0</v>
      </c>
      <c r="AU444" s="30" t="n">
        <f aca="false">AT444-AT443</f>
        <v>0</v>
      </c>
      <c r="AV444" s="30" t="n">
        <f aca="false">MAX(AS444,0)*(Inputs!$B$17+Inputs!$B$18+Inputs!$B$19)+MAX(-AS444,0)*(O444+Inputs!$B$18+Inputs!$B$19)+IF(AND(K444=1,AP444&lt;&gt;0),(Inputs!$B$17+Inputs!$B$18+Inputs!$B$19)+(O444+Inputs!$B$18+Inputs!$B$19),0)+MAX(AU444,0)*(Inputs!$B$20+Inputs!$B$22+Inputs!$B$23)+MAX(-AU444,0)*(Inputs!$B$21+Inputs!$B$22+Inputs!$B$23)</f>
        <v>0</v>
      </c>
      <c r="AW444" s="30" t="n">
        <f aca="false">AP443*(M444-AR443*J444)+AP443*AR443*N444/Inputs!$B$16-AV444</f>
        <v>0</v>
      </c>
      <c r="AX444" s="30" t="n">
        <f aca="false">AW444-IF(AP443&lt;&gt;0,0.75*AR443*(Inputs!$B$13-N444)/Inputs!$B$16,0)</f>
        <v>0</v>
      </c>
      <c r="AY444" s="30" t="n">
        <f aca="false">MAX(AS444,0)*(Inputs!$B$17+Inputs!$B$18+Inputs!$B$19)+MAX(-AS444,0)*(O444+Inputs!$B$18+Inputs!$B$19)+IF(AND(K444=1,AP444&lt;&gt;0),(Inputs!$B$17+Inputs!$B$18+Inputs!$B$19)+(O444+Inputs!$B$18+Inputs!$B$19),0)</f>
        <v>0</v>
      </c>
      <c r="AZ444" s="30" t="n">
        <f aca="false">AP443*M444-AY444</f>
        <v>0</v>
      </c>
      <c r="BA444" s="32" t="n">
        <f aca="false">BA443+AI444</f>
        <v>0.00429130278454792</v>
      </c>
      <c r="BB444" s="30" t="n">
        <f aca="false">MAX(BB443,BA444)</f>
        <v>0.00429130278454792</v>
      </c>
      <c r="BC444" s="32" t="n">
        <f aca="false">BA444-BB444</f>
        <v>0</v>
      </c>
      <c r="BD444" s="30" t="n">
        <f aca="false">A445-A444</f>
        <v>1</v>
      </c>
    </row>
    <row r="445" customFormat="false" ht="15" hidden="false" customHeight="false" outlineLevel="0" collapsed="false">
      <c r="A445" s="28" t="n">
        <v>45693</v>
      </c>
      <c r="B445" s="0" t="n">
        <v>23757</v>
      </c>
      <c r="C445" s="0" t="n">
        <v>265.25</v>
      </c>
      <c r="D445" s="29" t="n">
        <f aca="false">LN(B445)</f>
        <v>10.0756325028785</v>
      </c>
      <c r="E445" s="29" t="n">
        <f aca="false">LN(C445)</f>
        <v>5.58067277749409</v>
      </c>
      <c r="F445" s="0" t="n">
        <v>440</v>
      </c>
      <c r="G445" s="0" t="n">
        <v>22</v>
      </c>
      <c r="H445" s="29" t="n">
        <f aca="false">D445-E445</f>
        <v>4.49495972538443</v>
      </c>
      <c r="I445" s="29" t="n">
        <f aca="false">D445-D444</f>
        <v>-0.00145955646148721</v>
      </c>
      <c r="J445" s="29" t="n">
        <f aca="false">E445-E444</f>
        <v>0.000377073910953207</v>
      </c>
      <c r="K445" s="0" t="n">
        <v>0</v>
      </c>
      <c r="L445" s="0" t="n">
        <v>0</v>
      </c>
      <c r="M445" s="29" t="n">
        <f aca="false">IF(L445=1,J445-Carry!$B$9/Inputs!$B$16,I445)</f>
        <v>-0.00145955646148721</v>
      </c>
      <c r="N445" s="0" t="n">
        <v>0.065</v>
      </c>
      <c r="O445" s="0" t="n">
        <v>0.0002</v>
      </c>
      <c r="P445" s="29" t="n">
        <f aca="false">D445-('2 Hedge ratio'!$B$6+'2 Hedge ratio'!$B$5*E445)</f>
        <v>0.00120875546827293</v>
      </c>
      <c r="Q445" s="29" t="n">
        <f aca="false">D445-('5 Re-specification'!$B$7+'5 Re-specification'!$B$5*E445+'5 Re-specification'!$B$6*F445)</f>
        <v>0.000439833369567211</v>
      </c>
      <c r="R445" s="30" t="n">
        <f aca="false">MIN(F445,Inputs!$B$9)</f>
        <v>250</v>
      </c>
      <c r="S445" s="29" t="n">
        <f aca="true">IF(AND(F445&gt;=1,R445&gt;=Inputs!$B$10),INDEX(LINEST(OFFSET(D445,-R445,0,R445,1),OFFSET(E445,-R445,0,R445,2)),1,1),"")</f>
        <v>-4.86682470687212E-005</v>
      </c>
      <c r="T445" s="29" t="n">
        <f aca="true">IF(AND(F445&gt;=1,R445&gt;=Inputs!$B$10),INDEX(LINEST(OFFSET(D445,-R445,0,R445,1),OFFSET(E445,-R445,0,R445,2)),1,2),"")</f>
        <v>0.98416047810778</v>
      </c>
      <c r="U445" s="29" t="n">
        <f aca="true">IF(AND(F445&gt;=1,R445&gt;=Inputs!$B$10),INDEX(LINEST(OFFSET(D445,-R445,0,R445,1),OFFSET(E445,-R445,0,R445,2)),1,3),"")</f>
        <v>4.60354210400859</v>
      </c>
      <c r="V445" s="29" t="n">
        <f aca="true">IF(AND(F445&gt;=1,R445&gt;=Inputs!$B$10),SQRT(SUMPRODUCT((OFFSET(D445,-R445,0,R445,1)-U445-T445*OFFSET(E445,-R445,0,R445,1)-S445*OFFSET(F445,-R445,0,R445,1))^2)/(R445-3)),"")</f>
        <v>0.00339790677581812</v>
      </c>
      <c r="W445" s="31" t="n">
        <f aca="false">IF(AND(F445&gt;=1,R445&gt;=Inputs!$B$10),(D445-U445-T445*E445-S445*F445)/V445,"")</f>
        <v>0.361057203583314</v>
      </c>
      <c r="X445" s="30" t="n">
        <f aca="false">IF(AB444&lt;&gt;0,AC444+1,0)</f>
        <v>0</v>
      </c>
      <c r="Y445" s="30" t="n">
        <f aca="false">IF(W445="",0,IF(AND(AB444&lt;&gt;0,OR(ABS(W445)&gt;Inputs!$B$7,X445&gt;=Inputs!$B$8,ABS(W445)&lt;Inputs!$B$6)),1,0))</f>
        <v>0</v>
      </c>
      <c r="Z445" s="30" t="n">
        <f aca="false">IF(Y445=1,0,AB444)</f>
        <v>0</v>
      </c>
      <c r="AA445" s="30" t="n">
        <f aca="false">IF(W445="",0,IF(AND(Z445=0,ABS(W445)&gt;Inputs!$B$5,ABS(W445)&lt;=Inputs!$B$7),1,0))</f>
        <v>0</v>
      </c>
      <c r="AB445" s="30" t="n">
        <f aca="false">IF(W445="",0,IF(AA445=1,-SIGN(W445),Z445))</f>
        <v>0</v>
      </c>
      <c r="AC445" s="30" t="n">
        <f aca="false">IF(W445="",0,IF(AA445=1,0,IF(Y445=1,0,X445)))</f>
        <v>0</v>
      </c>
      <c r="AD445" s="30" t="n">
        <f aca="false">IF(AB445=0,0,IF(AB444=AB445,AD444,T445))</f>
        <v>0</v>
      </c>
      <c r="AE445" s="30" t="n">
        <f aca="false">AB445-AB444</f>
        <v>0</v>
      </c>
      <c r="AF445" s="30" t="n">
        <f aca="false">-AD445*AB445</f>
        <v>-0</v>
      </c>
      <c r="AG445" s="30" t="n">
        <f aca="false">AF445-AF444</f>
        <v>0</v>
      </c>
      <c r="AH445" s="30" t="n">
        <f aca="false">MAX(AE445,0)*(Inputs!$B$17+Inputs!$B$18+Inputs!$B$19)+MAX(-AE445,0)*(O445+Inputs!$B$18+Inputs!$B$19)+IF(AND(K445=1,AB445&lt;&gt;0),(Inputs!$B$17+Inputs!$B$18+Inputs!$B$19)+(O445+Inputs!$B$18+Inputs!$B$19),0)+MAX(AG445,0)*(Inputs!$B$20+Inputs!$B$22+Inputs!$B$23)+MAX(-AG445,0)*(Inputs!$B$21+Inputs!$B$22+Inputs!$B$23)</f>
        <v>0</v>
      </c>
      <c r="AI445" s="30" t="n">
        <f aca="false">AB444*(M445-AD444*J445)+AB444*AD444*N445/Inputs!$B$16-AH445</f>
        <v>0</v>
      </c>
      <c r="AJ445" s="30" t="n">
        <f aca="false">MAX(AE445,0)*(Inputs!$B$17+Inputs!$B$24+Inputs!$B$25)+MAX(-AE445,0)*(O445+Inputs!$B$24+Inputs!$B$25)+IF(AND(K445=1,AB445&lt;&gt;0),(Inputs!$B$17+Inputs!$B$24+Inputs!$B$25)+(O445+Inputs!$B$24+Inputs!$B$25),0)+MAX(AG445,0)*(Inputs!$B$20+Inputs!$B$26+Inputs!$B$27)+MAX(-AG445,0)*(Inputs!$B$21+Inputs!$B$26+Inputs!$B$27)</f>
        <v>0</v>
      </c>
      <c r="AK445" s="30" t="n">
        <f aca="false">AB444*(M445-AD444*J445)+AB444*AD444*(N445+Inputs!$B$14)/Inputs!$B$16-AJ445</f>
        <v>0</v>
      </c>
      <c r="AL445" s="30" t="n">
        <f aca="false">IF(AP444&lt;&gt;0,AQ444+1,0)</f>
        <v>0</v>
      </c>
      <c r="AM445" s="30" t="n">
        <f aca="false">IF(W445="",0,IF(AND(AP444&lt;&gt;0,OR(ABS(W445)&gt;Inputs!$B$7,AL445&gt;=Inputs!$B$8,ABS(W445)&lt;Inputs!$B$6)),1,0))</f>
        <v>0</v>
      </c>
      <c r="AN445" s="30" t="n">
        <f aca="false">IF(AM445=1,0,AP444)</f>
        <v>0</v>
      </c>
      <c r="AO445" s="30" t="n">
        <f aca="false">IF(W445="",0,IF(AND(AN445=0,ABS(W445)&gt;Inputs!$B$5,ABS(W445)&lt;=Inputs!$B$7,W445&gt;0),1,0))</f>
        <v>0</v>
      </c>
      <c r="AP445" s="30" t="n">
        <f aca="false">IF(W445="",0,IF(AO445=1,-SIGN(W445),AN445))</f>
        <v>0</v>
      </c>
      <c r="AQ445" s="30" t="n">
        <f aca="false">IF(W445="",0,IF(AO445=1,0,IF(AM445=1,0,AL445)))</f>
        <v>0</v>
      </c>
      <c r="AR445" s="30" t="n">
        <f aca="false">IF(AP445=0,0,IF(AP444=AP445,AR444,T445))</f>
        <v>0</v>
      </c>
      <c r="AS445" s="30" t="n">
        <f aca="false">AP445-AP444</f>
        <v>0</v>
      </c>
      <c r="AT445" s="30" t="n">
        <f aca="false">-AR445*AP445</f>
        <v>-0</v>
      </c>
      <c r="AU445" s="30" t="n">
        <f aca="false">AT445-AT444</f>
        <v>0</v>
      </c>
      <c r="AV445" s="30" t="n">
        <f aca="false">MAX(AS445,0)*(Inputs!$B$17+Inputs!$B$18+Inputs!$B$19)+MAX(-AS445,0)*(O445+Inputs!$B$18+Inputs!$B$19)+IF(AND(K445=1,AP445&lt;&gt;0),(Inputs!$B$17+Inputs!$B$18+Inputs!$B$19)+(O445+Inputs!$B$18+Inputs!$B$19),0)+MAX(AU445,0)*(Inputs!$B$20+Inputs!$B$22+Inputs!$B$23)+MAX(-AU445,0)*(Inputs!$B$21+Inputs!$B$22+Inputs!$B$23)</f>
        <v>0</v>
      </c>
      <c r="AW445" s="30" t="n">
        <f aca="false">AP444*(M445-AR444*J445)+AP444*AR444*N445/Inputs!$B$16-AV445</f>
        <v>0</v>
      </c>
      <c r="AX445" s="30" t="n">
        <f aca="false">AW445-IF(AP444&lt;&gt;0,0.75*AR444*(Inputs!$B$13-N445)/Inputs!$B$16,0)</f>
        <v>0</v>
      </c>
      <c r="AY445" s="30" t="n">
        <f aca="false">MAX(AS445,0)*(Inputs!$B$17+Inputs!$B$18+Inputs!$B$19)+MAX(-AS445,0)*(O445+Inputs!$B$18+Inputs!$B$19)+IF(AND(K445=1,AP445&lt;&gt;0),(Inputs!$B$17+Inputs!$B$18+Inputs!$B$19)+(O445+Inputs!$B$18+Inputs!$B$19),0)</f>
        <v>0</v>
      </c>
      <c r="AZ445" s="30" t="n">
        <f aca="false">AP444*M445-AY445</f>
        <v>-0</v>
      </c>
      <c r="BA445" s="32" t="n">
        <f aca="false">BA444+AI445</f>
        <v>0.00429130278454792</v>
      </c>
      <c r="BB445" s="30" t="n">
        <f aca="false">MAX(BB444,BA445)</f>
        <v>0.00429130278454792</v>
      </c>
      <c r="BC445" s="32" t="n">
        <f aca="false">BA445-BB445</f>
        <v>0</v>
      </c>
      <c r="BD445" s="30" t="n">
        <f aca="false">A446-A445</f>
        <v>1</v>
      </c>
    </row>
    <row r="446" customFormat="false" ht="15" hidden="false" customHeight="false" outlineLevel="0" collapsed="false">
      <c r="A446" s="28" t="n">
        <v>45694</v>
      </c>
      <c r="B446" s="0" t="n">
        <v>23702.5</v>
      </c>
      <c r="C446" s="0" t="n">
        <v>264.58</v>
      </c>
      <c r="D446" s="29" t="n">
        <f aca="false">LN(B446)</f>
        <v>10.0733358067921</v>
      </c>
      <c r="E446" s="29" t="n">
        <f aca="false">LN(C446)</f>
        <v>5.57814366303423</v>
      </c>
      <c r="F446" s="0" t="n">
        <v>441</v>
      </c>
      <c r="G446" s="0" t="n">
        <v>21</v>
      </c>
      <c r="H446" s="29" t="n">
        <f aca="false">D446-E446</f>
        <v>4.49519214375788</v>
      </c>
      <c r="I446" s="29" t="n">
        <f aca="false">D446-D445</f>
        <v>-0.00229669608640748</v>
      </c>
      <c r="J446" s="29" t="n">
        <f aca="false">E446-E445</f>
        <v>-0.00252911445985848</v>
      </c>
      <c r="K446" s="0" t="n">
        <v>0</v>
      </c>
      <c r="L446" s="0" t="n">
        <v>0</v>
      </c>
      <c r="M446" s="29" t="n">
        <f aca="false">IF(L446=1,J446-Carry!$B$9/Inputs!$B$16,I446)</f>
        <v>-0.00229669608640748</v>
      </c>
      <c r="N446" s="0" t="n">
        <v>0.065</v>
      </c>
      <c r="O446" s="0" t="n">
        <v>0.0002</v>
      </c>
      <c r="P446" s="29" t="n">
        <f aca="false">D446-('2 Hedge ratio'!$B$6+'2 Hedge ratio'!$B$5*E446)</f>
        <v>0.00122904881573938</v>
      </c>
      <c r="Q446" s="29" t="n">
        <f aca="false">D446-('5 Re-specification'!$B$7+'5 Re-specification'!$B$5*E446+'5 Re-specification'!$B$6*F446)</f>
        <v>0.000709516579689762</v>
      </c>
      <c r="R446" s="30" t="n">
        <f aca="false">MIN(F446,Inputs!$B$9)</f>
        <v>250</v>
      </c>
      <c r="S446" s="29" t="n">
        <f aca="true">IF(AND(F446&gt;=1,R446&gt;=Inputs!$B$10),INDEX(LINEST(OFFSET(D446,-R446,0,R446,1),OFFSET(E446,-R446,0,R446,2)),1,1),"")</f>
        <v>-4.84477192027084E-005</v>
      </c>
      <c r="T446" s="29" t="n">
        <f aca="true">IF(AND(F446&gt;=1,R446&gt;=Inputs!$B$10),INDEX(LINEST(OFFSET(D446,-R446,0,R446,1),OFFSET(E446,-R446,0,R446,2)),1,2),"")</f>
        <v>0.984027060589959</v>
      </c>
      <c r="U446" s="29" t="n">
        <f aca="true">IF(AND(F446&gt;=1,R446&gt;=Inputs!$B$10),INDEX(LINEST(OFFSET(D446,-R446,0,R446,1),OFFSET(E446,-R446,0,R446,2)),1,3),"")</f>
        <v>4.60421923370975</v>
      </c>
      <c r="V446" s="29" t="n">
        <f aca="true">IF(AND(F446&gt;=1,R446&gt;=Inputs!$B$10),SQRT(SUMPRODUCT((OFFSET(D446,-R446,0,R446,1)-U446-T446*OFFSET(E446,-R446,0,R446,1)-S446*OFFSET(F446,-R446,0,R446,1))^2)/(R446-3)),"")</f>
        <v>0.00339867241909903</v>
      </c>
      <c r="W446" s="31" t="n">
        <f aca="false">IF(AND(F446&gt;=1,R446&gt;=Inputs!$B$10),(D446-U446-T446*E446-S446*F446)/V446,"")</f>
        <v>0.423019576291076</v>
      </c>
      <c r="X446" s="30" t="n">
        <f aca="false">IF(AB445&lt;&gt;0,AC445+1,0)</f>
        <v>0</v>
      </c>
      <c r="Y446" s="30" t="n">
        <f aca="false">IF(W446="",0,IF(AND(AB445&lt;&gt;0,OR(ABS(W446)&gt;Inputs!$B$7,X446&gt;=Inputs!$B$8,ABS(W446)&lt;Inputs!$B$6)),1,0))</f>
        <v>0</v>
      </c>
      <c r="Z446" s="30" t="n">
        <f aca="false">IF(Y446=1,0,AB445)</f>
        <v>0</v>
      </c>
      <c r="AA446" s="30" t="n">
        <f aca="false">IF(W446="",0,IF(AND(Z446=0,ABS(W446)&gt;Inputs!$B$5,ABS(W446)&lt;=Inputs!$B$7),1,0))</f>
        <v>0</v>
      </c>
      <c r="AB446" s="30" t="n">
        <f aca="false">IF(W446="",0,IF(AA446=1,-SIGN(W446),Z446))</f>
        <v>0</v>
      </c>
      <c r="AC446" s="30" t="n">
        <f aca="false">IF(W446="",0,IF(AA446=1,0,IF(Y446=1,0,X446)))</f>
        <v>0</v>
      </c>
      <c r="AD446" s="30" t="n">
        <f aca="false">IF(AB446=0,0,IF(AB445=AB446,AD445,T446))</f>
        <v>0</v>
      </c>
      <c r="AE446" s="30" t="n">
        <f aca="false">AB446-AB445</f>
        <v>0</v>
      </c>
      <c r="AF446" s="30" t="n">
        <f aca="false">-AD446*AB446</f>
        <v>-0</v>
      </c>
      <c r="AG446" s="30" t="n">
        <f aca="false">AF446-AF445</f>
        <v>0</v>
      </c>
      <c r="AH446" s="30" t="n">
        <f aca="false">MAX(AE446,0)*(Inputs!$B$17+Inputs!$B$18+Inputs!$B$19)+MAX(-AE446,0)*(O446+Inputs!$B$18+Inputs!$B$19)+IF(AND(K446=1,AB446&lt;&gt;0),(Inputs!$B$17+Inputs!$B$18+Inputs!$B$19)+(O446+Inputs!$B$18+Inputs!$B$19),0)+MAX(AG446,0)*(Inputs!$B$20+Inputs!$B$22+Inputs!$B$23)+MAX(-AG446,0)*(Inputs!$B$21+Inputs!$B$22+Inputs!$B$23)</f>
        <v>0</v>
      </c>
      <c r="AI446" s="30" t="n">
        <f aca="false">AB445*(M446-AD445*J446)+AB445*AD445*N446/Inputs!$B$16-AH446</f>
        <v>0</v>
      </c>
      <c r="AJ446" s="30" t="n">
        <f aca="false">MAX(AE446,0)*(Inputs!$B$17+Inputs!$B$24+Inputs!$B$25)+MAX(-AE446,0)*(O446+Inputs!$B$24+Inputs!$B$25)+IF(AND(K446=1,AB446&lt;&gt;0),(Inputs!$B$17+Inputs!$B$24+Inputs!$B$25)+(O446+Inputs!$B$24+Inputs!$B$25),0)+MAX(AG446,0)*(Inputs!$B$20+Inputs!$B$26+Inputs!$B$27)+MAX(-AG446,0)*(Inputs!$B$21+Inputs!$B$26+Inputs!$B$27)</f>
        <v>0</v>
      </c>
      <c r="AK446" s="30" t="n">
        <f aca="false">AB445*(M446-AD445*J446)+AB445*AD445*(N446+Inputs!$B$14)/Inputs!$B$16-AJ446</f>
        <v>0</v>
      </c>
      <c r="AL446" s="30" t="n">
        <f aca="false">IF(AP445&lt;&gt;0,AQ445+1,0)</f>
        <v>0</v>
      </c>
      <c r="AM446" s="30" t="n">
        <f aca="false">IF(W446="",0,IF(AND(AP445&lt;&gt;0,OR(ABS(W446)&gt;Inputs!$B$7,AL446&gt;=Inputs!$B$8,ABS(W446)&lt;Inputs!$B$6)),1,0))</f>
        <v>0</v>
      </c>
      <c r="AN446" s="30" t="n">
        <f aca="false">IF(AM446=1,0,AP445)</f>
        <v>0</v>
      </c>
      <c r="AO446" s="30" t="n">
        <f aca="false">IF(W446="",0,IF(AND(AN446=0,ABS(W446)&gt;Inputs!$B$5,ABS(W446)&lt;=Inputs!$B$7,W446&gt;0),1,0))</f>
        <v>0</v>
      </c>
      <c r="AP446" s="30" t="n">
        <f aca="false">IF(W446="",0,IF(AO446=1,-SIGN(W446),AN446))</f>
        <v>0</v>
      </c>
      <c r="AQ446" s="30" t="n">
        <f aca="false">IF(W446="",0,IF(AO446=1,0,IF(AM446=1,0,AL446)))</f>
        <v>0</v>
      </c>
      <c r="AR446" s="30" t="n">
        <f aca="false">IF(AP446=0,0,IF(AP445=AP446,AR445,T446))</f>
        <v>0</v>
      </c>
      <c r="AS446" s="30" t="n">
        <f aca="false">AP446-AP445</f>
        <v>0</v>
      </c>
      <c r="AT446" s="30" t="n">
        <f aca="false">-AR446*AP446</f>
        <v>-0</v>
      </c>
      <c r="AU446" s="30" t="n">
        <f aca="false">AT446-AT445</f>
        <v>0</v>
      </c>
      <c r="AV446" s="30" t="n">
        <f aca="false">MAX(AS446,0)*(Inputs!$B$17+Inputs!$B$18+Inputs!$B$19)+MAX(-AS446,0)*(O446+Inputs!$B$18+Inputs!$B$19)+IF(AND(K446=1,AP446&lt;&gt;0),(Inputs!$B$17+Inputs!$B$18+Inputs!$B$19)+(O446+Inputs!$B$18+Inputs!$B$19),0)+MAX(AU446,0)*(Inputs!$B$20+Inputs!$B$22+Inputs!$B$23)+MAX(-AU446,0)*(Inputs!$B$21+Inputs!$B$22+Inputs!$B$23)</f>
        <v>0</v>
      </c>
      <c r="AW446" s="30" t="n">
        <f aca="false">AP445*(M446-AR445*J446)+AP445*AR445*N446/Inputs!$B$16-AV446</f>
        <v>0</v>
      </c>
      <c r="AX446" s="30" t="n">
        <f aca="false">AW446-IF(AP445&lt;&gt;0,0.75*AR445*(Inputs!$B$13-N446)/Inputs!$B$16,0)</f>
        <v>0</v>
      </c>
      <c r="AY446" s="30" t="n">
        <f aca="false">MAX(AS446,0)*(Inputs!$B$17+Inputs!$B$18+Inputs!$B$19)+MAX(-AS446,0)*(O446+Inputs!$B$18+Inputs!$B$19)+IF(AND(K446=1,AP446&lt;&gt;0),(Inputs!$B$17+Inputs!$B$18+Inputs!$B$19)+(O446+Inputs!$B$18+Inputs!$B$19),0)</f>
        <v>0</v>
      </c>
      <c r="AZ446" s="30" t="n">
        <f aca="false">AP445*M446-AY446</f>
        <v>-0</v>
      </c>
      <c r="BA446" s="32" t="n">
        <f aca="false">BA445+AI446</f>
        <v>0.00429130278454792</v>
      </c>
      <c r="BB446" s="30" t="n">
        <f aca="false">MAX(BB445,BA446)</f>
        <v>0.00429130278454792</v>
      </c>
      <c r="BC446" s="32" t="n">
        <f aca="false">BA446-BB446</f>
        <v>0</v>
      </c>
      <c r="BD446" s="30" t="n">
        <f aca="false">A447-A446</f>
        <v>1</v>
      </c>
    </row>
    <row r="447" customFormat="false" ht="15" hidden="false" customHeight="false" outlineLevel="0" collapsed="false">
      <c r="A447" s="28" t="n">
        <v>45695</v>
      </c>
      <c r="B447" s="0" t="n">
        <v>23614</v>
      </c>
      <c r="C447" s="0" t="n">
        <v>263.85</v>
      </c>
      <c r="D447" s="29" t="n">
        <f aca="false">LN(B447)</f>
        <v>10.0695950354671</v>
      </c>
      <c r="E447" s="29" t="n">
        <f aca="false">LN(C447)</f>
        <v>5.57538075985168</v>
      </c>
      <c r="F447" s="0" t="n">
        <v>442</v>
      </c>
      <c r="G447" s="0" t="n">
        <v>20</v>
      </c>
      <c r="H447" s="29" t="n">
        <f aca="false">D447-E447</f>
        <v>4.49421427561538</v>
      </c>
      <c r="I447" s="29" t="n">
        <f aca="false">D447-D446</f>
        <v>-0.00374077132505946</v>
      </c>
      <c r="J447" s="29" t="n">
        <f aca="false">E447-E446</f>
        <v>-0.0027629031825569</v>
      </c>
      <c r="K447" s="0" t="n">
        <v>0</v>
      </c>
      <c r="L447" s="0" t="n">
        <v>0</v>
      </c>
      <c r="M447" s="29" t="n">
        <f aca="false">IF(L447=1,J447-Carry!$B$9/Inputs!$B$16,I447)</f>
        <v>-0.00374077132505946</v>
      </c>
      <c r="N447" s="0" t="n">
        <v>0.0625</v>
      </c>
      <c r="O447" s="0" t="n">
        <v>0.0002</v>
      </c>
      <c r="P447" s="29" t="n">
        <f aca="false">D447-('2 Hedge ratio'!$B$6+'2 Hedge ratio'!$B$5*E447)</f>
        <v>1.94470294285765E-005</v>
      </c>
      <c r="Q447" s="29" t="n">
        <f aca="false">D447-('5 Re-specification'!$B$7+'5 Re-specification'!$B$5*E447+'5 Re-specification'!$B$6*F447)</f>
        <v>-0.000231795222868314</v>
      </c>
      <c r="R447" s="30" t="n">
        <f aca="false">MIN(F447,Inputs!$B$9)</f>
        <v>250</v>
      </c>
      <c r="S447" s="29" t="n">
        <f aca="true">IF(AND(F447&gt;=1,R447&gt;=Inputs!$B$10),INDEX(LINEST(OFFSET(D447,-R447,0,R447,1),OFFSET(E447,-R447,0,R447,2)),1,1),"")</f>
        <v>-4.80784231568302E-005</v>
      </c>
      <c r="T447" s="29" t="n">
        <f aca="true">IF(AND(F447&gt;=1,R447&gt;=Inputs!$B$10),INDEX(LINEST(OFFSET(D447,-R447,0,R447,1),OFFSET(E447,-R447,0,R447,2)),1,2),"")</f>
        <v>0.983971575079554</v>
      </c>
      <c r="U447" s="29" t="n">
        <f aca="true">IF(AND(F447&gt;=1,R447&gt;=Inputs!$B$10),INDEX(LINEST(OFFSET(D447,-R447,0,R447,1),OFFSET(E447,-R447,0,R447,2)),1,3),"")</f>
        <v>4.60440876384875</v>
      </c>
      <c r="V447" s="29" t="n">
        <f aca="true">IF(AND(F447&gt;=1,R447&gt;=Inputs!$B$10),SQRT(SUMPRODUCT((OFFSET(D447,-R447,0,R447,1)-U447-T447*OFFSET(E447,-R447,0,R447,1)-S447*OFFSET(F447,-R447,0,R447,1))^2)/(R447-3)),"")</f>
        <v>0.00339708267794551</v>
      </c>
      <c r="W447" s="31" t="n">
        <f aca="false">IF(AND(F447&gt;=1,R447&gt;=Inputs!$B$10),(D447-U447-T447*E447-S447*F447)/V447,"")</f>
        <v>0.123855305867923</v>
      </c>
      <c r="X447" s="30" t="n">
        <f aca="false">IF(AB446&lt;&gt;0,AC446+1,0)</f>
        <v>0</v>
      </c>
      <c r="Y447" s="30" t="n">
        <f aca="false">IF(W447="",0,IF(AND(AB446&lt;&gt;0,OR(ABS(W447)&gt;Inputs!$B$7,X447&gt;=Inputs!$B$8,ABS(W447)&lt;Inputs!$B$6)),1,0))</f>
        <v>0</v>
      </c>
      <c r="Z447" s="30" t="n">
        <f aca="false">IF(Y447=1,0,AB446)</f>
        <v>0</v>
      </c>
      <c r="AA447" s="30" t="n">
        <f aca="false">IF(W447="",0,IF(AND(Z447=0,ABS(W447)&gt;Inputs!$B$5,ABS(W447)&lt;=Inputs!$B$7),1,0))</f>
        <v>0</v>
      </c>
      <c r="AB447" s="30" t="n">
        <f aca="false">IF(W447="",0,IF(AA447=1,-SIGN(W447),Z447))</f>
        <v>0</v>
      </c>
      <c r="AC447" s="30" t="n">
        <f aca="false">IF(W447="",0,IF(AA447=1,0,IF(Y447=1,0,X447)))</f>
        <v>0</v>
      </c>
      <c r="AD447" s="30" t="n">
        <f aca="false">IF(AB447=0,0,IF(AB446=AB447,AD446,T447))</f>
        <v>0</v>
      </c>
      <c r="AE447" s="30" t="n">
        <f aca="false">AB447-AB446</f>
        <v>0</v>
      </c>
      <c r="AF447" s="30" t="n">
        <f aca="false">-AD447*AB447</f>
        <v>-0</v>
      </c>
      <c r="AG447" s="30" t="n">
        <f aca="false">AF447-AF446</f>
        <v>0</v>
      </c>
      <c r="AH447" s="30" t="n">
        <f aca="false">MAX(AE447,0)*(Inputs!$B$17+Inputs!$B$18+Inputs!$B$19)+MAX(-AE447,0)*(O447+Inputs!$B$18+Inputs!$B$19)+IF(AND(K447=1,AB447&lt;&gt;0),(Inputs!$B$17+Inputs!$B$18+Inputs!$B$19)+(O447+Inputs!$B$18+Inputs!$B$19),0)+MAX(AG447,0)*(Inputs!$B$20+Inputs!$B$22+Inputs!$B$23)+MAX(-AG447,0)*(Inputs!$B$21+Inputs!$B$22+Inputs!$B$23)</f>
        <v>0</v>
      </c>
      <c r="AI447" s="30" t="n">
        <f aca="false">AB446*(M447-AD446*J447)+AB446*AD446*N447/Inputs!$B$16-AH447</f>
        <v>0</v>
      </c>
      <c r="AJ447" s="30" t="n">
        <f aca="false">MAX(AE447,0)*(Inputs!$B$17+Inputs!$B$24+Inputs!$B$25)+MAX(-AE447,0)*(O447+Inputs!$B$24+Inputs!$B$25)+IF(AND(K447=1,AB447&lt;&gt;0),(Inputs!$B$17+Inputs!$B$24+Inputs!$B$25)+(O447+Inputs!$B$24+Inputs!$B$25),0)+MAX(AG447,0)*(Inputs!$B$20+Inputs!$B$26+Inputs!$B$27)+MAX(-AG447,0)*(Inputs!$B$21+Inputs!$B$26+Inputs!$B$27)</f>
        <v>0</v>
      </c>
      <c r="AK447" s="30" t="n">
        <f aca="false">AB446*(M447-AD446*J447)+AB446*AD446*(N447+Inputs!$B$14)/Inputs!$B$16-AJ447</f>
        <v>0</v>
      </c>
      <c r="AL447" s="30" t="n">
        <f aca="false">IF(AP446&lt;&gt;0,AQ446+1,0)</f>
        <v>0</v>
      </c>
      <c r="AM447" s="30" t="n">
        <f aca="false">IF(W447="",0,IF(AND(AP446&lt;&gt;0,OR(ABS(W447)&gt;Inputs!$B$7,AL447&gt;=Inputs!$B$8,ABS(W447)&lt;Inputs!$B$6)),1,0))</f>
        <v>0</v>
      </c>
      <c r="AN447" s="30" t="n">
        <f aca="false">IF(AM447=1,0,AP446)</f>
        <v>0</v>
      </c>
      <c r="AO447" s="30" t="n">
        <f aca="false">IF(W447="",0,IF(AND(AN447=0,ABS(W447)&gt;Inputs!$B$5,ABS(W447)&lt;=Inputs!$B$7,W447&gt;0),1,0))</f>
        <v>0</v>
      </c>
      <c r="AP447" s="30" t="n">
        <f aca="false">IF(W447="",0,IF(AO447=1,-SIGN(W447),AN447))</f>
        <v>0</v>
      </c>
      <c r="AQ447" s="30" t="n">
        <f aca="false">IF(W447="",0,IF(AO447=1,0,IF(AM447=1,0,AL447)))</f>
        <v>0</v>
      </c>
      <c r="AR447" s="30" t="n">
        <f aca="false">IF(AP447=0,0,IF(AP446=AP447,AR446,T447))</f>
        <v>0</v>
      </c>
      <c r="AS447" s="30" t="n">
        <f aca="false">AP447-AP446</f>
        <v>0</v>
      </c>
      <c r="AT447" s="30" t="n">
        <f aca="false">-AR447*AP447</f>
        <v>-0</v>
      </c>
      <c r="AU447" s="30" t="n">
        <f aca="false">AT447-AT446</f>
        <v>0</v>
      </c>
      <c r="AV447" s="30" t="n">
        <f aca="false">MAX(AS447,0)*(Inputs!$B$17+Inputs!$B$18+Inputs!$B$19)+MAX(-AS447,0)*(O447+Inputs!$B$18+Inputs!$B$19)+IF(AND(K447=1,AP447&lt;&gt;0),(Inputs!$B$17+Inputs!$B$18+Inputs!$B$19)+(O447+Inputs!$B$18+Inputs!$B$19),0)+MAX(AU447,0)*(Inputs!$B$20+Inputs!$B$22+Inputs!$B$23)+MAX(-AU447,0)*(Inputs!$B$21+Inputs!$B$22+Inputs!$B$23)</f>
        <v>0</v>
      </c>
      <c r="AW447" s="30" t="n">
        <f aca="false">AP446*(M447-AR446*J447)+AP446*AR446*N447/Inputs!$B$16-AV447</f>
        <v>0</v>
      </c>
      <c r="AX447" s="30" t="n">
        <f aca="false">AW447-IF(AP446&lt;&gt;0,0.75*AR446*(Inputs!$B$13-N447)/Inputs!$B$16,0)</f>
        <v>0</v>
      </c>
      <c r="AY447" s="30" t="n">
        <f aca="false">MAX(AS447,0)*(Inputs!$B$17+Inputs!$B$18+Inputs!$B$19)+MAX(-AS447,0)*(O447+Inputs!$B$18+Inputs!$B$19)+IF(AND(K447=1,AP447&lt;&gt;0),(Inputs!$B$17+Inputs!$B$18+Inputs!$B$19)+(O447+Inputs!$B$18+Inputs!$B$19),0)</f>
        <v>0</v>
      </c>
      <c r="AZ447" s="30" t="n">
        <f aca="false">AP446*M447-AY447</f>
        <v>-0</v>
      </c>
      <c r="BA447" s="32" t="n">
        <f aca="false">BA446+AI447</f>
        <v>0.00429130278454792</v>
      </c>
      <c r="BB447" s="30" t="n">
        <f aca="false">MAX(BB446,BA447)</f>
        <v>0.00429130278454792</v>
      </c>
      <c r="BC447" s="32" t="n">
        <f aca="false">BA447-BB447</f>
        <v>0</v>
      </c>
      <c r="BD447" s="30" t="n">
        <f aca="false">A448-A447</f>
        <v>3</v>
      </c>
    </row>
    <row r="448" customFormat="false" ht="15" hidden="false" customHeight="false" outlineLevel="0" collapsed="false">
      <c r="A448" s="28" t="n">
        <v>45698</v>
      </c>
      <c r="B448" s="0" t="n">
        <v>23454.95</v>
      </c>
      <c r="C448" s="0" t="n">
        <v>262.1</v>
      </c>
      <c r="D448" s="29" t="n">
        <f aca="false">LN(B448)</f>
        <v>10.0628368390187</v>
      </c>
      <c r="E448" s="29" t="n">
        <f aca="false">LN(C448)</f>
        <v>5.56872611032936</v>
      </c>
      <c r="F448" s="0" t="n">
        <v>443</v>
      </c>
      <c r="G448" s="0" t="n">
        <v>17</v>
      </c>
      <c r="H448" s="29" t="n">
        <f aca="false">D448-E448</f>
        <v>4.49411072868929</v>
      </c>
      <c r="I448" s="29" t="n">
        <f aca="false">D448-D447</f>
        <v>-0.00675819644840203</v>
      </c>
      <c r="J448" s="29" t="n">
        <f aca="false">E448-E447</f>
        <v>-0.00665464952231609</v>
      </c>
      <c r="K448" s="0" t="n">
        <v>0</v>
      </c>
      <c r="L448" s="0" t="n">
        <v>0</v>
      </c>
      <c r="M448" s="29" t="n">
        <f aca="false">IF(L448=1,J448-Carry!$B$9/Inputs!$B$16,I448)</f>
        <v>-0.00675819644840203</v>
      </c>
      <c r="N448" s="0" t="n">
        <v>0.0625</v>
      </c>
      <c r="O448" s="0" t="n">
        <v>0.0002</v>
      </c>
      <c r="P448" s="29" t="n">
        <f aca="false">D448-('2 Hedge ratio'!$B$6+'2 Hedge ratio'!$B$5*E448)</f>
        <v>-0.000642246918170386</v>
      </c>
      <c r="Q448" s="29" t="n">
        <f aca="false">D448-('5 Re-specification'!$B$7+'5 Re-specification'!$B$5*E448+'5 Re-specification'!$B$6*F448)</f>
        <v>-0.00031057974637605</v>
      </c>
      <c r="R448" s="30" t="n">
        <f aca="false">MIN(F448,Inputs!$B$9)</f>
        <v>250</v>
      </c>
      <c r="S448" s="29" t="n">
        <f aca="true">IF(AND(F448&gt;=1,R448&gt;=Inputs!$B$10),INDEX(LINEST(OFFSET(D448,-R448,0,R448,1),OFFSET(E448,-R448,0,R448,2)),1,1),"")</f>
        <v>-4.79639009621305E-005</v>
      </c>
      <c r="T448" s="29" t="n">
        <f aca="true">IF(AND(F448&gt;=1,R448&gt;=Inputs!$B$10),INDEX(LINEST(OFFSET(D448,-R448,0,R448,1),OFFSET(E448,-R448,0,R448,2)),1,2),"")</f>
        <v>0.983955709640898</v>
      </c>
      <c r="U448" s="29" t="n">
        <f aca="true">IF(AND(F448&gt;=1,R448&gt;=Inputs!$B$10),INDEX(LINEST(OFFSET(D448,-R448,0,R448,1),OFFSET(E448,-R448,0,R448,2)),1,3),"")</f>
        <v>4.60445972487545</v>
      </c>
      <c r="V448" s="29" t="n">
        <f aca="true">IF(AND(F448&gt;=1,R448&gt;=Inputs!$B$10),SQRT(SUMPRODUCT((OFFSET(D448,-R448,0,R448,1)-U448-T448*OFFSET(E448,-R448,0,R448,1)-S448*OFFSET(F448,-R448,0,R448,1))^2)/(R448-3)),"")</f>
        <v>0.00339689022710211</v>
      </c>
      <c r="W448" s="31" t="n">
        <f aca="false">IF(AND(F448&gt;=1,R448&gt;=Inputs!$B$10),(D448-U448-T448*E448-S448*F448)/V448,"")</f>
        <v>0.0722044482188534</v>
      </c>
      <c r="X448" s="30" t="n">
        <f aca="false">IF(AB447&lt;&gt;0,AC447+1,0)</f>
        <v>0</v>
      </c>
      <c r="Y448" s="30" t="n">
        <f aca="false">IF(W448="",0,IF(AND(AB447&lt;&gt;0,OR(ABS(W448)&gt;Inputs!$B$7,X448&gt;=Inputs!$B$8,ABS(W448)&lt;Inputs!$B$6)),1,0))</f>
        <v>0</v>
      </c>
      <c r="Z448" s="30" t="n">
        <f aca="false">IF(Y448=1,0,AB447)</f>
        <v>0</v>
      </c>
      <c r="AA448" s="30" t="n">
        <f aca="false">IF(W448="",0,IF(AND(Z448=0,ABS(W448)&gt;Inputs!$B$5,ABS(W448)&lt;=Inputs!$B$7),1,0))</f>
        <v>0</v>
      </c>
      <c r="AB448" s="30" t="n">
        <f aca="false">IF(W448="",0,IF(AA448=1,-SIGN(W448),Z448))</f>
        <v>0</v>
      </c>
      <c r="AC448" s="30" t="n">
        <f aca="false">IF(W448="",0,IF(AA448=1,0,IF(Y448=1,0,X448)))</f>
        <v>0</v>
      </c>
      <c r="AD448" s="30" t="n">
        <f aca="false">IF(AB448=0,0,IF(AB447=AB448,AD447,T448))</f>
        <v>0</v>
      </c>
      <c r="AE448" s="30" t="n">
        <f aca="false">AB448-AB447</f>
        <v>0</v>
      </c>
      <c r="AF448" s="30" t="n">
        <f aca="false">-AD448*AB448</f>
        <v>-0</v>
      </c>
      <c r="AG448" s="30" t="n">
        <f aca="false">AF448-AF447</f>
        <v>0</v>
      </c>
      <c r="AH448" s="30" t="n">
        <f aca="false">MAX(AE448,0)*(Inputs!$B$17+Inputs!$B$18+Inputs!$B$19)+MAX(-AE448,0)*(O448+Inputs!$B$18+Inputs!$B$19)+IF(AND(K448=1,AB448&lt;&gt;0),(Inputs!$B$17+Inputs!$B$18+Inputs!$B$19)+(O448+Inputs!$B$18+Inputs!$B$19),0)+MAX(AG448,0)*(Inputs!$B$20+Inputs!$B$22+Inputs!$B$23)+MAX(-AG448,0)*(Inputs!$B$21+Inputs!$B$22+Inputs!$B$23)</f>
        <v>0</v>
      </c>
      <c r="AI448" s="30" t="n">
        <f aca="false">AB447*(M448-AD447*J448)+AB447*AD447*N448/Inputs!$B$16-AH448</f>
        <v>0</v>
      </c>
      <c r="AJ448" s="30" t="n">
        <f aca="false">MAX(AE448,0)*(Inputs!$B$17+Inputs!$B$24+Inputs!$B$25)+MAX(-AE448,0)*(O448+Inputs!$B$24+Inputs!$B$25)+IF(AND(K448=1,AB448&lt;&gt;0),(Inputs!$B$17+Inputs!$B$24+Inputs!$B$25)+(O448+Inputs!$B$24+Inputs!$B$25),0)+MAX(AG448,0)*(Inputs!$B$20+Inputs!$B$26+Inputs!$B$27)+MAX(-AG448,0)*(Inputs!$B$21+Inputs!$B$26+Inputs!$B$27)</f>
        <v>0</v>
      </c>
      <c r="AK448" s="30" t="n">
        <f aca="false">AB447*(M448-AD447*J448)+AB447*AD447*(N448+Inputs!$B$14)/Inputs!$B$16-AJ448</f>
        <v>0</v>
      </c>
      <c r="AL448" s="30" t="n">
        <f aca="false">IF(AP447&lt;&gt;0,AQ447+1,0)</f>
        <v>0</v>
      </c>
      <c r="AM448" s="30" t="n">
        <f aca="false">IF(W448="",0,IF(AND(AP447&lt;&gt;0,OR(ABS(W448)&gt;Inputs!$B$7,AL448&gt;=Inputs!$B$8,ABS(W448)&lt;Inputs!$B$6)),1,0))</f>
        <v>0</v>
      </c>
      <c r="AN448" s="30" t="n">
        <f aca="false">IF(AM448=1,0,AP447)</f>
        <v>0</v>
      </c>
      <c r="AO448" s="30" t="n">
        <f aca="false">IF(W448="",0,IF(AND(AN448=0,ABS(W448)&gt;Inputs!$B$5,ABS(W448)&lt;=Inputs!$B$7,W448&gt;0),1,0))</f>
        <v>0</v>
      </c>
      <c r="AP448" s="30" t="n">
        <f aca="false">IF(W448="",0,IF(AO448=1,-SIGN(W448),AN448))</f>
        <v>0</v>
      </c>
      <c r="AQ448" s="30" t="n">
        <f aca="false">IF(W448="",0,IF(AO448=1,0,IF(AM448=1,0,AL448)))</f>
        <v>0</v>
      </c>
      <c r="AR448" s="30" t="n">
        <f aca="false">IF(AP448=0,0,IF(AP447=AP448,AR447,T448))</f>
        <v>0</v>
      </c>
      <c r="AS448" s="30" t="n">
        <f aca="false">AP448-AP447</f>
        <v>0</v>
      </c>
      <c r="AT448" s="30" t="n">
        <f aca="false">-AR448*AP448</f>
        <v>-0</v>
      </c>
      <c r="AU448" s="30" t="n">
        <f aca="false">AT448-AT447</f>
        <v>0</v>
      </c>
      <c r="AV448" s="30" t="n">
        <f aca="false">MAX(AS448,0)*(Inputs!$B$17+Inputs!$B$18+Inputs!$B$19)+MAX(-AS448,0)*(O448+Inputs!$B$18+Inputs!$B$19)+IF(AND(K448=1,AP448&lt;&gt;0),(Inputs!$B$17+Inputs!$B$18+Inputs!$B$19)+(O448+Inputs!$B$18+Inputs!$B$19),0)+MAX(AU448,0)*(Inputs!$B$20+Inputs!$B$22+Inputs!$B$23)+MAX(-AU448,0)*(Inputs!$B$21+Inputs!$B$22+Inputs!$B$23)</f>
        <v>0</v>
      </c>
      <c r="AW448" s="30" t="n">
        <f aca="false">AP447*(M448-AR447*J448)+AP447*AR447*N448/Inputs!$B$16-AV448</f>
        <v>0</v>
      </c>
      <c r="AX448" s="30" t="n">
        <f aca="false">AW448-IF(AP447&lt;&gt;0,0.75*AR447*(Inputs!$B$13-N448)/Inputs!$B$16,0)</f>
        <v>0</v>
      </c>
      <c r="AY448" s="30" t="n">
        <f aca="false">MAX(AS448,0)*(Inputs!$B$17+Inputs!$B$18+Inputs!$B$19)+MAX(-AS448,0)*(O448+Inputs!$B$18+Inputs!$B$19)+IF(AND(K448=1,AP448&lt;&gt;0),(Inputs!$B$17+Inputs!$B$18+Inputs!$B$19)+(O448+Inputs!$B$18+Inputs!$B$19),0)</f>
        <v>0</v>
      </c>
      <c r="AZ448" s="30" t="n">
        <f aca="false">AP447*M448-AY448</f>
        <v>-0</v>
      </c>
      <c r="BA448" s="32" t="n">
        <f aca="false">BA447+AI448</f>
        <v>0.00429130278454792</v>
      </c>
      <c r="BB448" s="30" t="n">
        <f aca="false">MAX(BB447,BA448)</f>
        <v>0.00429130278454792</v>
      </c>
      <c r="BC448" s="32" t="n">
        <f aca="false">BA448-BB448</f>
        <v>0</v>
      </c>
      <c r="BD448" s="30" t="n">
        <f aca="false">A449-A448</f>
        <v>1</v>
      </c>
    </row>
    <row r="449" customFormat="false" ht="15" hidden="false" customHeight="false" outlineLevel="0" collapsed="false">
      <c r="A449" s="28" t="n">
        <v>45699</v>
      </c>
      <c r="B449" s="0" t="n">
        <v>23140.05</v>
      </c>
      <c r="C449" s="0" t="n">
        <v>258.8</v>
      </c>
      <c r="D449" s="29" t="n">
        <f aca="false">LN(B449)</f>
        <v>10.0493201615059</v>
      </c>
      <c r="E449" s="29" t="n">
        <f aca="false">LN(C449)</f>
        <v>5.55605556262675</v>
      </c>
      <c r="F449" s="0" t="n">
        <v>444</v>
      </c>
      <c r="G449" s="0" t="n">
        <v>16</v>
      </c>
      <c r="H449" s="29" t="n">
        <f aca="false">D449-E449</f>
        <v>4.49326459887918</v>
      </c>
      <c r="I449" s="29" t="n">
        <f aca="false">D449-D448</f>
        <v>-0.0135166775127313</v>
      </c>
      <c r="J449" s="29" t="n">
        <f aca="false">E449-E448</f>
        <v>-0.0126705477026148</v>
      </c>
      <c r="K449" s="0" t="n">
        <v>0</v>
      </c>
      <c r="L449" s="0" t="n">
        <v>0</v>
      </c>
      <c r="M449" s="29" t="n">
        <f aca="false">IF(L449=1,J449-Carry!$B$9/Inputs!$B$16,I449)</f>
        <v>-0.0135166775127313</v>
      </c>
      <c r="N449" s="0" t="n">
        <v>0.0625</v>
      </c>
      <c r="O449" s="0" t="n">
        <v>0.0002</v>
      </c>
      <c r="P449" s="29" t="n">
        <f aca="false">D449-('2 Hedge ratio'!$B$6+'2 Hedge ratio'!$B$5*E449)</f>
        <v>-0.00255109662622388</v>
      </c>
      <c r="Q449" s="29" t="n">
        <f aca="false">D449-('5 Re-specification'!$B$7+'5 Re-specification'!$B$5*E449+'5 Re-specification'!$B$6*F449)</f>
        <v>-0.00115017833347864</v>
      </c>
      <c r="R449" s="30" t="n">
        <f aca="false">MIN(F449,Inputs!$B$9)</f>
        <v>250</v>
      </c>
      <c r="S449" s="29" t="n">
        <f aca="true">IF(AND(F449&gt;=1,R449&gt;=Inputs!$B$10),INDEX(LINEST(OFFSET(D449,-R449,0,R449,1),OFFSET(E449,-R449,0,R449,2)),1,1),"")</f>
        <v>-4.78824678514404E-005</v>
      </c>
      <c r="T449" s="29" t="n">
        <f aca="true">IF(AND(F449&gt;=1,R449&gt;=Inputs!$B$10),INDEX(LINEST(OFFSET(D449,-R449,0,R449,1),OFFSET(E449,-R449,0,R449,2)),1,2),"")</f>
        <v>0.983986183324042</v>
      </c>
      <c r="U449" s="29" t="n">
        <f aca="true">IF(AND(F449&gt;=1,R449&gt;=Inputs!$B$10),INDEX(LINEST(OFFSET(D449,-R449,0,R449,1),OFFSET(E449,-R449,0,R449,2)),1,3),"")</f>
        <v>4.60426195097843</v>
      </c>
      <c r="V449" s="29" t="n">
        <f aca="true">IF(AND(F449&gt;=1,R449&gt;=Inputs!$B$10),SQRT(SUMPRODUCT((OFFSET(D449,-R449,0,R449,1)-U449-T449*OFFSET(E449,-R449,0,R449,1)-S449*OFFSET(F449,-R449,0,R449,1))^2)/(R449-3)),"")</f>
        <v>0.00339659014053114</v>
      </c>
      <c r="W449" s="31" t="n">
        <f aca="false">IF(AND(F449&gt;=1,R449&gt;=Inputs!$B$10),(D449-U449-T449*E449-S449*F449)/V449,"")</f>
        <v>-0.224896475661021</v>
      </c>
      <c r="X449" s="30" t="n">
        <f aca="false">IF(AB448&lt;&gt;0,AC448+1,0)</f>
        <v>0</v>
      </c>
      <c r="Y449" s="30" t="n">
        <f aca="false">IF(W449="",0,IF(AND(AB448&lt;&gt;0,OR(ABS(W449)&gt;Inputs!$B$7,X449&gt;=Inputs!$B$8,ABS(W449)&lt;Inputs!$B$6)),1,0))</f>
        <v>0</v>
      </c>
      <c r="Z449" s="30" t="n">
        <f aca="false">IF(Y449=1,0,AB448)</f>
        <v>0</v>
      </c>
      <c r="AA449" s="30" t="n">
        <f aca="false">IF(W449="",0,IF(AND(Z449=0,ABS(W449)&gt;Inputs!$B$5,ABS(W449)&lt;=Inputs!$B$7),1,0))</f>
        <v>0</v>
      </c>
      <c r="AB449" s="30" t="n">
        <f aca="false">IF(W449="",0,IF(AA449=1,-SIGN(W449),Z449))</f>
        <v>0</v>
      </c>
      <c r="AC449" s="30" t="n">
        <f aca="false">IF(W449="",0,IF(AA449=1,0,IF(Y449=1,0,X449)))</f>
        <v>0</v>
      </c>
      <c r="AD449" s="30" t="n">
        <f aca="false">IF(AB449=0,0,IF(AB448=AB449,AD448,T449))</f>
        <v>0</v>
      </c>
      <c r="AE449" s="30" t="n">
        <f aca="false">AB449-AB448</f>
        <v>0</v>
      </c>
      <c r="AF449" s="30" t="n">
        <f aca="false">-AD449*AB449</f>
        <v>-0</v>
      </c>
      <c r="AG449" s="30" t="n">
        <f aca="false">AF449-AF448</f>
        <v>0</v>
      </c>
      <c r="AH449" s="30" t="n">
        <f aca="false">MAX(AE449,0)*(Inputs!$B$17+Inputs!$B$18+Inputs!$B$19)+MAX(-AE449,0)*(O449+Inputs!$B$18+Inputs!$B$19)+IF(AND(K449=1,AB449&lt;&gt;0),(Inputs!$B$17+Inputs!$B$18+Inputs!$B$19)+(O449+Inputs!$B$18+Inputs!$B$19),0)+MAX(AG449,0)*(Inputs!$B$20+Inputs!$B$22+Inputs!$B$23)+MAX(-AG449,0)*(Inputs!$B$21+Inputs!$B$22+Inputs!$B$23)</f>
        <v>0</v>
      </c>
      <c r="AI449" s="30" t="n">
        <f aca="false">AB448*(M449-AD448*J449)+AB448*AD448*N449/Inputs!$B$16-AH449</f>
        <v>0</v>
      </c>
      <c r="AJ449" s="30" t="n">
        <f aca="false">MAX(AE449,0)*(Inputs!$B$17+Inputs!$B$24+Inputs!$B$25)+MAX(-AE449,0)*(O449+Inputs!$B$24+Inputs!$B$25)+IF(AND(K449=1,AB449&lt;&gt;0),(Inputs!$B$17+Inputs!$B$24+Inputs!$B$25)+(O449+Inputs!$B$24+Inputs!$B$25),0)+MAX(AG449,0)*(Inputs!$B$20+Inputs!$B$26+Inputs!$B$27)+MAX(-AG449,0)*(Inputs!$B$21+Inputs!$B$26+Inputs!$B$27)</f>
        <v>0</v>
      </c>
      <c r="AK449" s="30" t="n">
        <f aca="false">AB448*(M449-AD448*J449)+AB448*AD448*(N449+Inputs!$B$14)/Inputs!$B$16-AJ449</f>
        <v>0</v>
      </c>
      <c r="AL449" s="30" t="n">
        <f aca="false">IF(AP448&lt;&gt;0,AQ448+1,0)</f>
        <v>0</v>
      </c>
      <c r="AM449" s="30" t="n">
        <f aca="false">IF(W449="",0,IF(AND(AP448&lt;&gt;0,OR(ABS(W449)&gt;Inputs!$B$7,AL449&gt;=Inputs!$B$8,ABS(W449)&lt;Inputs!$B$6)),1,0))</f>
        <v>0</v>
      </c>
      <c r="AN449" s="30" t="n">
        <f aca="false">IF(AM449=1,0,AP448)</f>
        <v>0</v>
      </c>
      <c r="AO449" s="30" t="n">
        <f aca="false">IF(W449="",0,IF(AND(AN449=0,ABS(W449)&gt;Inputs!$B$5,ABS(W449)&lt;=Inputs!$B$7,W449&gt;0),1,0))</f>
        <v>0</v>
      </c>
      <c r="AP449" s="30" t="n">
        <f aca="false">IF(W449="",0,IF(AO449=1,-SIGN(W449),AN449))</f>
        <v>0</v>
      </c>
      <c r="AQ449" s="30" t="n">
        <f aca="false">IF(W449="",0,IF(AO449=1,0,IF(AM449=1,0,AL449)))</f>
        <v>0</v>
      </c>
      <c r="AR449" s="30" t="n">
        <f aca="false">IF(AP449=0,0,IF(AP448=AP449,AR448,T449))</f>
        <v>0</v>
      </c>
      <c r="AS449" s="30" t="n">
        <f aca="false">AP449-AP448</f>
        <v>0</v>
      </c>
      <c r="AT449" s="30" t="n">
        <f aca="false">-AR449*AP449</f>
        <v>-0</v>
      </c>
      <c r="AU449" s="30" t="n">
        <f aca="false">AT449-AT448</f>
        <v>0</v>
      </c>
      <c r="AV449" s="30" t="n">
        <f aca="false">MAX(AS449,0)*(Inputs!$B$17+Inputs!$B$18+Inputs!$B$19)+MAX(-AS449,0)*(O449+Inputs!$B$18+Inputs!$B$19)+IF(AND(K449=1,AP449&lt;&gt;0),(Inputs!$B$17+Inputs!$B$18+Inputs!$B$19)+(O449+Inputs!$B$18+Inputs!$B$19),0)+MAX(AU449,0)*(Inputs!$B$20+Inputs!$B$22+Inputs!$B$23)+MAX(-AU449,0)*(Inputs!$B$21+Inputs!$B$22+Inputs!$B$23)</f>
        <v>0</v>
      </c>
      <c r="AW449" s="30" t="n">
        <f aca="false">AP448*(M449-AR448*J449)+AP448*AR448*N449/Inputs!$B$16-AV449</f>
        <v>0</v>
      </c>
      <c r="AX449" s="30" t="n">
        <f aca="false">AW449-IF(AP448&lt;&gt;0,0.75*AR448*(Inputs!$B$13-N449)/Inputs!$B$16,0)</f>
        <v>0</v>
      </c>
      <c r="AY449" s="30" t="n">
        <f aca="false">MAX(AS449,0)*(Inputs!$B$17+Inputs!$B$18+Inputs!$B$19)+MAX(-AS449,0)*(O449+Inputs!$B$18+Inputs!$B$19)+IF(AND(K449=1,AP449&lt;&gt;0),(Inputs!$B$17+Inputs!$B$18+Inputs!$B$19)+(O449+Inputs!$B$18+Inputs!$B$19),0)</f>
        <v>0</v>
      </c>
      <c r="AZ449" s="30" t="n">
        <f aca="false">AP448*M449-AY449</f>
        <v>-0</v>
      </c>
      <c r="BA449" s="32" t="n">
        <f aca="false">BA448+AI449</f>
        <v>0.00429130278454792</v>
      </c>
      <c r="BB449" s="30" t="n">
        <f aca="false">MAX(BB448,BA449)</f>
        <v>0.00429130278454792</v>
      </c>
      <c r="BC449" s="32" t="n">
        <f aca="false">BA449-BB449</f>
        <v>0</v>
      </c>
      <c r="BD449" s="30" t="n">
        <f aca="false">A450-A449</f>
        <v>1</v>
      </c>
    </row>
    <row r="450" customFormat="false" ht="15" hidden="false" customHeight="false" outlineLevel="0" collapsed="false">
      <c r="A450" s="28" t="n">
        <v>45700</v>
      </c>
      <c r="B450" s="0" t="n">
        <v>23132</v>
      </c>
      <c r="C450" s="0" t="n">
        <v>258.55</v>
      </c>
      <c r="D450" s="29" t="n">
        <f aca="false">LN(B450)</f>
        <v>10.0489722192781</v>
      </c>
      <c r="E450" s="29" t="n">
        <f aca="false">LN(C450)</f>
        <v>5.55508909884223</v>
      </c>
      <c r="F450" s="0" t="n">
        <v>445</v>
      </c>
      <c r="G450" s="0" t="n">
        <v>15</v>
      </c>
      <c r="H450" s="29" t="n">
        <f aca="false">D450-E450</f>
        <v>4.49388312043588</v>
      </c>
      <c r="I450" s="29" t="n">
        <f aca="false">D450-D449</f>
        <v>-0.00034794222781187</v>
      </c>
      <c r="J450" s="29" t="n">
        <f aca="false">E450-E449</f>
        <v>-0.000966463784515703</v>
      </c>
      <c r="K450" s="0" t="n">
        <v>0</v>
      </c>
      <c r="L450" s="0" t="n">
        <v>0</v>
      </c>
      <c r="M450" s="29" t="n">
        <f aca="false">IF(L450=1,J450-Carry!$B$9/Inputs!$B$16,I450)</f>
        <v>-0.00034794222781187</v>
      </c>
      <c r="N450" s="0" t="n">
        <v>0.0625</v>
      </c>
      <c r="O450" s="0" t="n">
        <v>0.0002</v>
      </c>
      <c r="P450" s="29" t="n">
        <f aca="false">D450-('2 Hedge ratio'!$B$6+'2 Hedge ratio'!$B$5*E450)</f>
        <v>-0.00201363551919798</v>
      </c>
      <c r="Q450" s="29" t="n">
        <f aca="false">D450-('5 Re-specification'!$B$7+'5 Re-specification'!$B$5*E450+'5 Re-specification'!$B$6*F450)</f>
        <v>-0.000489656327198773</v>
      </c>
      <c r="R450" s="30" t="n">
        <f aca="false">MIN(F450,Inputs!$B$9)</f>
        <v>250</v>
      </c>
      <c r="S450" s="29" t="n">
        <f aca="true">IF(AND(F450&gt;=1,R450&gt;=Inputs!$B$10),INDEX(LINEST(OFFSET(D450,-R450,0,R450,1),OFFSET(E450,-R450,0,R450,2)),1,1),"")</f>
        <v>-4.79549957264208E-005</v>
      </c>
      <c r="T450" s="29" t="n">
        <f aca="true">IF(AND(F450&gt;=1,R450&gt;=Inputs!$B$10),INDEX(LINEST(OFFSET(D450,-R450,0,R450,1),OFFSET(E450,-R450,0,R450,2)),1,2),"")</f>
        <v>0.984250257697824</v>
      </c>
      <c r="U450" s="29" t="n">
        <f aca="true">IF(AND(F450&gt;=1,R450&gt;=Inputs!$B$10),INDEX(LINEST(OFFSET(D450,-R450,0,R450,1),OFFSET(E450,-R450,0,R450,2)),1,3),"")</f>
        <v>4.60280534978362</v>
      </c>
      <c r="V450" s="29" t="n">
        <f aca="true">IF(AND(F450&gt;=1,R450&gt;=Inputs!$B$10),SQRT(SUMPRODUCT((OFFSET(D450,-R450,0,R450,1)-U450-T450*OFFSET(E450,-R450,0,R450,1)-S450*OFFSET(F450,-R450,0,R450,1))^2)/(R450-3)),"")</f>
        <v>0.00339606180193234</v>
      </c>
      <c r="W450" s="31" t="n">
        <f aca="false">IF(AND(F450&gt;=1,R450&gt;=Inputs!$B$10),(D450-U450-T450*E450-S450*F450)/V450,"")</f>
        <v>-0.0268058952998484</v>
      </c>
      <c r="X450" s="30" t="n">
        <f aca="false">IF(AB449&lt;&gt;0,AC449+1,0)</f>
        <v>0</v>
      </c>
      <c r="Y450" s="30" t="n">
        <f aca="false">IF(W450="",0,IF(AND(AB449&lt;&gt;0,OR(ABS(W450)&gt;Inputs!$B$7,X450&gt;=Inputs!$B$8,ABS(W450)&lt;Inputs!$B$6)),1,0))</f>
        <v>0</v>
      </c>
      <c r="Z450" s="30" t="n">
        <f aca="false">IF(Y450=1,0,AB449)</f>
        <v>0</v>
      </c>
      <c r="AA450" s="30" t="n">
        <f aca="false">IF(W450="",0,IF(AND(Z450=0,ABS(W450)&gt;Inputs!$B$5,ABS(W450)&lt;=Inputs!$B$7),1,0))</f>
        <v>0</v>
      </c>
      <c r="AB450" s="30" t="n">
        <f aca="false">IF(W450="",0,IF(AA450=1,-SIGN(W450),Z450))</f>
        <v>0</v>
      </c>
      <c r="AC450" s="30" t="n">
        <f aca="false">IF(W450="",0,IF(AA450=1,0,IF(Y450=1,0,X450)))</f>
        <v>0</v>
      </c>
      <c r="AD450" s="30" t="n">
        <f aca="false">IF(AB450=0,0,IF(AB449=AB450,AD449,T450))</f>
        <v>0</v>
      </c>
      <c r="AE450" s="30" t="n">
        <f aca="false">AB450-AB449</f>
        <v>0</v>
      </c>
      <c r="AF450" s="30" t="n">
        <f aca="false">-AD450*AB450</f>
        <v>-0</v>
      </c>
      <c r="AG450" s="30" t="n">
        <f aca="false">AF450-AF449</f>
        <v>0</v>
      </c>
      <c r="AH450" s="30" t="n">
        <f aca="false">MAX(AE450,0)*(Inputs!$B$17+Inputs!$B$18+Inputs!$B$19)+MAX(-AE450,0)*(O450+Inputs!$B$18+Inputs!$B$19)+IF(AND(K450=1,AB450&lt;&gt;0),(Inputs!$B$17+Inputs!$B$18+Inputs!$B$19)+(O450+Inputs!$B$18+Inputs!$B$19),0)+MAX(AG450,0)*(Inputs!$B$20+Inputs!$B$22+Inputs!$B$23)+MAX(-AG450,0)*(Inputs!$B$21+Inputs!$B$22+Inputs!$B$23)</f>
        <v>0</v>
      </c>
      <c r="AI450" s="30" t="n">
        <f aca="false">AB449*(M450-AD449*J450)+AB449*AD449*N450/Inputs!$B$16-AH450</f>
        <v>0</v>
      </c>
      <c r="AJ450" s="30" t="n">
        <f aca="false">MAX(AE450,0)*(Inputs!$B$17+Inputs!$B$24+Inputs!$B$25)+MAX(-AE450,0)*(O450+Inputs!$B$24+Inputs!$B$25)+IF(AND(K450=1,AB450&lt;&gt;0),(Inputs!$B$17+Inputs!$B$24+Inputs!$B$25)+(O450+Inputs!$B$24+Inputs!$B$25),0)+MAX(AG450,0)*(Inputs!$B$20+Inputs!$B$26+Inputs!$B$27)+MAX(-AG450,0)*(Inputs!$B$21+Inputs!$B$26+Inputs!$B$27)</f>
        <v>0</v>
      </c>
      <c r="AK450" s="30" t="n">
        <f aca="false">AB449*(M450-AD449*J450)+AB449*AD449*(N450+Inputs!$B$14)/Inputs!$B$16-AJ450</f>
        <v>0</v>
      </c>
      <c r="AL450" s="30" t="n">
        <f aca="false">IF(AP449&lt;&gt;0,AQ449+1,0)</f>
        <v>0</v>
      </c>
      <c r="AM450" s="30" t="n">
        <f aca="false">IF(W450="",0,IF(AND(AP449&lt;&gt;0,OR(ABS(W450)&gt;Inputs!$B$7,AL450&gt;=Inputs!$B$8,ABS(W450)&lt;Inputs!$B$6)),1,0))</f>
        <v>0</v>
      </c>
      <c r="AN450" s="30" t="n">
        <f aca="false">IF(AM450=1,0,AP449)</f>
        <v>0</v>
      </c>
      <c r="AO450" s="30" t="n">
        <f aca="false">IF(W450="",0,IF(AND(AN450=0,ABS(W450)&gt;Inputs!$B$5,ABS(W450)&lt;=Inputs!$B$7,W450&gt;0),1,0))</f>
        <v>0</v>
      </c>
      <c r="AP450" s="30" t="n">
        <f aca="false">IF(W450="",0,IF(AO450=1,-SIGN(W450),AN450))</f>
        <v>0</v>
      </c>
      <c r="AQ450" s="30" t="n">
        <f aca="false">IF(W450="",0,IF(AO450=1,0,IF(AM450=1,0,AL450)))</f>
        <v>0</v>
      </c>
      <c r="AR450" s="30" t="n">
        <f aca="false">IF(AP450=0,0,IF(AP449=AP450,AR449,T450))</f>
        <v>0</v>
      </c>
      <c r="AS450" s="30" t="n">
        <f aca="false">AP450-AP449</f>
        <v>0</v>
      </c>
      <c r="AT450" s="30" t="n">
        <f aca="false">-AR450*AP450</f>
        <v>-0</v>
      </c>
      <c r="AU450" s="30" t="n">
        <f aca="false">AT450-AT449</f>
        <v>0</v>
      </c>
      <c r="AV450" s="30" t="n">
        <f aca="false">MAX(AS450,0)*(Inputs!$B$17+Inputs!$B$18+Inputs!$B$19)+MAX(-AS450,0)*(O450+Inputs!$B$18+Inputs!$B$19)+IF(AND(K450=1,AP450&lt;&gt;0),(Inputs!$B$17+Inputs!$B$18+Inputs!$B$19)+(O450+Inputs!$B$18+Inputs!$B$19),0)+MAX(AU450,0)*(Inputs!$B$20+Inputs!$B$22+Inputs!$B$23)+MAX(-AU450,0)*(Inputs!$B$21+Inputs!$B$22+Inputs!$B$23)</f>
        <v>0</v>
      </c>
      <c r="AW450" s="30" t="n">
        <f aca="false">AP449*(M450-AR449*J450)+AP449*AR449*N450/Inputs!$B$16-AV450</f>
        <v>0</v>
      </c>
      <c r="AX450" s="30" t="n">
        <f aca="false">AW450-IF(AP449&lt;&gt;0,0.75*AR449*(Inputs!$B$13-N450)/Inputs!$B$16,0)</f>
        <v>0</v>
      </c>
      <c r="AY450" s="30" t="n">
        <f aca="false">MAX(AS450,0)*(Inputs!$B$17+Inputs!$B$18+Inputs!$B$19)+MAX(-AS450,0)*(O450+Inputs!$B$18+Inputs!$B$19)+IF(AND(K450=1,AP450&lt;&gt;0),(Inputs!$B$17+Inputs!$B$18+Inputs!$B$19)+(O450+Inputs!$B$18+Inputs!$B$19),0)</f>
        <v>0</v>
      </c>
      <c r="AZ450" s="30" t="n">
        <f aca="false">AP449*M450-AY450</f>
        <v>-0</v>
      </c>
      <c r="BA450" s="32" t="n">
        <f aca="false">BA449+AI450</f>
        <v>0.00429130278454792</v>
      </c>
      <c r="BB450" s="30" t="n">
        <f aca="false">MAX(BB449,BA450)</f>
        <v>0.00429130278454792</v>
      </c>
      <c r="BC450" s="32" t="n">
        <f aca="false">BA450-BB450</f>
        <v>0</v>
      </c>
      <c r="BD450" s="30" t="n">
        <f aca="false">A451-A450</f>
        <v>1</v>
      </c>
    </row>
    <row r="451" customFormat="false" ht="15" hidden="false" customHeight="false" outlineLevel="0" collapsed="false">
      <c r="A451" s="28" t="n">
        <v>45701</v>
      </c>
      <c r="B451" s="0" t="n">
        <v>23091.2</v>
      </c>
      <c r="C451" s="0" t="n">
        <v>258.14</v>
      </c>
      <c r="D451" s="29" t="n">
        <f aca="false">LN(B451)</f>
        <v>10.0472068715481</v>
      </c>
      <c r="E451" s="29" t="n">
        <f aca="false">LN(C451)</f>
        <v>5.55350207340704</v>
      </c>
      <c r="F451" s="0" t="n">
        <v>446</v>
      </c>
      <c r="G451" s="0" t="n">
        <v>14</v>
      </c>
      <c r="H451" s="29" t="n">
        <f aca="false">D451-E451</f>
        <v>4.4937047981411</v>
      </c>
      <c r="I451" s="29" t="n">
        <f aca="false">D451-D450</f>
        <v>-0.00176534772996817</v>
      </c>
      <c r="J451" s="29" t="n">
        <f aca="false">E451-E450</f>
        <v>-0.00158702543518885</v>
      </c>
      <c r="K451" s="0" t="n">
        <v>0</v>
      </c>
      <c r="L451" s="0" t="n">
        <v>0</v>
      </c>
      <c r="M451" s="29" t="n">
        <f aca="false">IF(L451=1,J451-Carry!$B$9/Inputs!$B$16,I451)</f>
        <v>-0.00176534772996817</v>
      </c>
      <c r="N451" s="0" t="n">
        <v>0.0625</v>
      </c>
      <c r="O451" s="0" t="n">
        <v>0.0002</v>
      </c>
      <c r="P451" s="29" t="n">
        <f aca="false">D451-('2 Hedge ratio'!$B$6+'2 Hedge ratio'!$B$5*E451)</f>
        <v>-0.00232506678038646</v>
      </c>
      <c r="Q451" s="29" t="n">
        <f aca="false">D451-('5 Re-specification'!$B$7+'5 Re-specification'!$B$5*E451+'5 Re-specification'!$B$6*F451)</f>
        <v>-0.000627858784495672</v>
      </c>
      <c r="R451" s="30" t="n">
        <f aca="false">MIN(F451,Inputs!$B$9)</f>
        <v>250</v>
      </c>
      <c r="S451" s="29" t="n">
        <f aca="true">IF(AND(F451&gt;=1,R451&gt;=Inputs!$B$10),INDEX(LINEST(OFFSET(D451,-R451,0,R451,1),OFFSET(E451,-R451,0,R451,2)),1,1),"")</f>
        <v>-4.79796250712084E-005</v>
      </c>
      <c r="T451" s="29" t="n">
        <f aca="true">IF(AND(F451&gt;=1,R451&gt;=Inputs!$B$10),INDEX(LINEST(OFFSET(D451,-R451,0,R451,1),OFFSET(E451,-R451,0,R451,2)),1,2),"")</f>
        <v>0.984247118122626</v>
      </c>
      <c r="U451" s="29" t="n">
        <f aca="true">IF(AND(F451&gt;=1,R451&gt;=Inputs!$B$10),INDEX(LINEST(OFFSET(D451,-R451,0,R451,1),OFFSET(E451,-R451,0,R451,2)),1,3),"")</f>
        <v>4.60283109618309</v>
      </c>
      <c r="V451" s="29" t="n">
        <f aca="true">IF(AND(F451&gt;=1,R451&gt;=Inputs!$B$10),SQRT(SUMPRODUCT((OFFSET(D451,-R451,0,R451,1)-U451-T451*OFFSET(E451,-R451,0,R451,1)-S451*OFFSET(F451,-R451,0,R451,1))^2)/(R451-3)),"")</f>
        <v>0.00339604710009583</v>
      </c>
      <c r="W451" s="31" t="n">
        <f aca="false">IF(AND(F451&gt;=1,R451&gt;=Inputs!$B$10),(D451-U451-T451*E451-S451*F451)/V451,"")</f>
        <v>-0.0717666996129189</v>
      </c>
      <c r="X451" s="30" t="n">
        <f aca="false">IF(AB450&lt;&gt;0,AC450+1,0)</f>
        <v>0</v>
      </c>
      <c r="Y451" s="30" t="n">
        <f aca="false">IF(W451="",0,IF(AND(AB450&lt;&gt;0,OR(ABS(W451)&gt;Inputs!$B$7,X451&gt;=Inputs!$B$8,ABS(W451)&lt;Inputs!$B$6)),1,0))</f>
        <v>0</v>
      </c>
      <c r="Z451" s="30" t="n">
        <f aca="false">IF(Y451=1,0,AB450)</f>
        <v>0</v>
      </c>
      <c r="AA451" s="30" t="n">
        <f aca="false">IF(W451="",0,IF(AND(Z451=0,ABS(W451)&gt;Inputs!$B$5,ABS(W451)&lt;=Inputs!$B$7),1,0))</f>
        <v>0</v>
      </c>
      <c r="AB451" s="30" t="n">
        <f aca="false">IF(W451="",0,IF(AA451=1,-SIGN(W451),Z451))</f>
        <v>0</v>
      </c>
      <c r="AC451" s="30" t="n">
        <f aca="false">IF(W451="",0,IF(AA451=1,0,IF(Y451=1,0,X451)))</f>
        <v>0</v>
      </c>
      <c r="AD451" s="30" t="n">
        <f aca="false">IF(AB451=0,0,IF(AB450=AB451,AD450,T451))</f>
        <v>0</v>
      </c>
      <c r="AE451" s="30" t="n">
        <f aca="false">AB451-AB450</f>
        <v>0</v>
      </c>
      <c r="AF451" s="30" t="n">
        <f aca="false">-AD451*AB451</f>
        <v>-0</v>
      </c>
      <c r="AG451" s="30" t="n">
        <f aca="false">AF451-AF450</f>
        <v>0</v>
      </c>
      <c r="AH451" s="30" t="n">
        <f aca="false">MAX(AE451,0)*(Inputs!$B$17+Inputs!$B$18+Inputs!$B$19)+MAX(-AE451,0)*(O451+Inputs!$B$18+Inputs!$B$19)+IF(AND(K451=1,AB451&lt;&gt;0),(Inputs!$B$17+Inputs!$B$18+Inputs!$B$19)+(O451+Inputs!$B$18+Inputs!$B$19),0)+MAX(AG451,0)*(Inputs!$B$20+Inputs!$B$22+Inputs!$B$23)+MAX(-AG451,0)*(Inputs!$B$21+Inputs!$B$22+Inputs!$B$23)</f>
        <v>0</v>
      </c>
      <c r="AI451" s="30" t="n">
        <f aca="false">AB450*(M451-AD450*J451)+AB450*AD450*N451/Inputs!$B$16-AH451</f>
        <v>0</v>
      </c>
      <c r="AJ451" s="30" t="n">
        <f aca="false">MAX(AE451,0)*(Inputs!$B$17+Inputs!$B$24+Inputs!$B$25)+MAX(-AE451,0)*(O451+Inputs!$B$24+Inputs!$B$25)+IF(AND(K451=1,AB451&lt;&gt;0),(Inputs!$B$17+Inputs!$B$24+Inputs!$B$25)+(O451+Inputs!$B$24+Inputs!$B$25),0)+MAX(AG451,0)*(Inputs!$B$20+Inputs!$B$26+Inputs!$B$27)+MAX(-AG451,0)*(Inputs!$B$21+Inputs!$B$26+Inputs!$B$27)</f>
        <v>0</v>
      </c>
      <c r="AK451" s="30" t="n">
        <f aca="false">AB450*(M451-AD450*J451)+AB450*AD450*(N451+Inputs!$B$14)/Inputs!$B$16-AJ451</f>
        <v>0</v>
      </c>
      <c r="AL451" s="30" t="n">
        <f aca="false">IF(AP450&lt;&gt;0,AQ450+1,0)</f>
        <v>0</v>
      </c>
      <c r="AM451" s="30" t="n">
        <f aca="false">IF(W451="",0,IF(AND(AP450&lt;&gt;0,OR(ABS(W451)&gt;Inputs!$B$7,AL451&gt;=Inputs!$B$8,ABS(W451)&lt;Inputs!$B$6)),1,0))</f>
        <v>0</v>
      </c>
      <c r="AN451" s="30" t="n">
        <f aca="false">IF(AM451=1,0,AP450)</f>
        <v>0</v>
      </c>
      <c r="AO451" s="30" t="n">
        <f aca="false">IF(W451="",0,IF(AND(AN451=0,ABS(W451)&gt;Inputs!$B$5,ABS(W451)&lt;=Inputs!$B$7,W451&gt;0),1,0))</f>
        <v>0</v>
      </c>
      <c r="AP451" s="30" t="n">
        <f aca="false">IF(W451="",0,IF(AO451=1,-SIGN(W451),AN451))</f>
        <v>0</v>
      </c>
      <c r="AQ451" s="30" t="n">
        <f aca="false">IF(W451="",0,IF(AO451=1,0,IF(AM451=1,0,AL451)))</f>
        <v>0</v>
      </c>
      <c r="AR451" s="30" t="n">
        <f aca="false">IF(AP451=0,0,IF(AP450=AP451,AR450,T451))</f>
        <v>0</v>
      </c>
      <c r="AS451" s="30" t="n">
        <f aca="false">AP451-AP450</f>
        <v>0</v>
      </c>
      <c r="AT451" s="30" t="n">
        <f aca="false">-AR451*AP451</f>
        <v>-0</v>
      </c>
      <c r="AU451" s="30" t="n">
        <f aca="false">AT451-AT450</f>
        <v>0</v>
      </c>
      <c r="AV451" s="30" t="n">
        <f aca="false">MAX(AS451,0)*(Inputs!$B$17+Inputs!$B$18+Inputs!$B$19)+MAX(-AS451,0)*(O451+Inputs!$B$18+Inputs!$B$19)+IF(AND(K451=1,AP451&lt;&gt;0),(Inputs!$B$17+Inputs!$B$18+Inputs!$B$19)+(O451+Inputs!$B$18+Inputs!$B$19),0)+MAX(AU451,0)*(Inputs!$B$20+Inputs!$B$22+Inputs!$B$23)+MAX(-AU451,0)*(Inputs!$B$21+Inputs!$B$22+Inputs!$B$23)</f>
        <v>0</v>
      </c>
      <c r="AW451" s="30" t="n">
        <f aca="false">AP450*(M451-AR450*J451)+AP450*AR450*N451/Inputs!$B$16-AV451</f>
        <v>0</v>
      </c>
      <c r="AX451" s="30" t="n">
        <f aca="false">AW451-IF(AP450&lt;&gt;0,0.75*AR450*(Inputs!$B$13-N451)/Inputs!$B$16,0)</f>
        <v>0</v>
      </c>
      <c r="AY451" s="30" t="n">
        <f aca="false">MAX(AS451,0)*(Inputs!$B$17+Inputs!$B$18+Inputs!$B$19)+MAX(-AS451,0)*(O451+Inputs!$B$18+Inputs!$B$19)+IF(AND(K451=1,AP451&lt;&gt;0),(Inputs!$B$17+Inputs!$B$18+Inputs!$B$19)+(O451+Inputs!$B$18+Inputs!$B$19),0)</f>
        <v>0</v>
      </c>
      <c r="AZ451" s="30" t="n">
        <f aca="false">AP450*M451-AY451</f>
        <v>-0</v>
      </c>
      <c r="BA451" s="32" t="n">
        <f aca="false">BA450+AI451</f>
        <v>0.00429130278454792</v>
      </c>
      <c r="BB451" s="30" t="n">
        <f aca="false">MAX(BB450,BA451)</f>
        <v>0.00429130278454792</v>
      </c>
      <c r="BC451" s="32" t="n">
        <f aca="false">BA451-BB451</f>
        <v>0</v>
      </c>
      <c r="BD451" s="30" t="n">
        <f aca="false">A452-A451</f>
        <v>1</v>
      </c>
    </row>
    <row r="452" customFormat="false" ht="15" hidden="false" customHeight="false" outlineLevel="0" collapsed="false">
      <c r="A452" s="28" t="n">
        <v>45702</v>
      </c>
      <c r="B452" s="0" t="n">
        <v>22976.95</v>
      </c>
      <c r="C452" s="0" t="n">
        <v>256.91</v>
      </c>
      <c r="D452" s="29" t="n">
        <f aca="false">LN(B452)</f>
        <v>10.0422468184862</v>
      </c>
      <c r="E452" s="29" t="n">
        <f aca="false">LN(C452)</f>
        <v>5.54872582901026</v>
      </c>
      <c r="F452" s="0" t="n">
        <v>447</v>
      </c>
      <c r="G452" s="0" t="n">
        <v>13</v>
      </c>
      <c r="H452" s="29" t="n">
        <f aca="false">D452-E452</f>
        <v>4.49352098947595</v>
      </c>
      <c r="I452" s="29" t="n">
        <f aca="false">D452-D451</f>
        <v>-0.00496005306193759</v>
      </c>
      <c r="J452" s="29" t="n">
        <f aca="false">E452-E451</f>
        <v>-0.00477624439678248</v>
      </c>
      <c r="K452" s="0" t="n">
        <v>0</v>
      </c>
      <c r="L452" s="0" t="n">
        <v>0</v>
      </c>
      <c r="M452" s="29" t="n">
        <f aca="false">IF(L452=1,J452-Carry!$B$9/Inputs!$B$16,I452)</f>
        <v>-0.00496005306193759</v>
      </c>
      <c r="N452" s="0" t="n">
        <v>0.0625</v>
      </c>
      <c r="O452" s="0" t="n">
        <v>0.0002</v>
      </c>
      <c r="P452" s="29" t="n">
        <f aca="false">D452-('2 Hedge ratio'!$B$6+'2 Hedge ratio'!$B$5*E452)</f>
        <v>-0.0029094745417293</v>
      </c>
      <c r="Q452" s="29" t="n">
        <f aca="false">D452-('5 Re-specification'!$B$7+'5 Re-specification'!$B$5*E452+'5 Re-specification'!$B$6*F452)</f>
        <v>-0.000781212540299947</v>
      </c>
      <c r="R452" s="30" t="n">
        <f aca="false">MIN(F452,Inputs!$B$9)</f>
        <v>250</v>
      </c>
      <c r="S452" s="29" t="n">
        <f aca="true">IF(AND(F452&gt;=1,R452&gt;=Inputs!$B$10),INDEX(LINEST(OFFSET(D452,-R452,0,R452,1),OFFSET(E452,-R452,0,R452,2)),1,1),"")</f>
        <v>-4.79666337160339E-005</v>
      </c>
      <c r="T452" s="29" t="n">
        <f aca="true">IF(AND(F452&gt;=1,R452&gt;=Inputs!$B$10),INDEX(LINEST(OFFSET(D452,-R452,0,R452,1),OFFSET(E452,-R452,0,R452,2)),1,2),"")</f>
        <v>0.984407927622589</v>
      </c>
      <c r="U452" s="29" t="n">
        <f aca="true">IF(AND(F452&gt;=1,R452&gt;=Inputs!$B$10),INDEX(LINEST(OFFSET(D452,-R452,0,R452,1),OFFSET(E452,-R452,0,R452,2)),1,3),"")</f>
        <v>4.6019252465456</v>
      </c>
      <c r="V452" s="29" t="n">
        <f aca="true">IF(AND(F452&gt;=1,R452&gt;=Inputs!$B$10),SQRT(SUMPRODUCT((OFFSET(D452,-R452,0,R452,1)-U452-T452*OFFSET(E452,-R452,0,R452,1)-S452*OFFSET(F452,-R452,0,R452,1))^2)/(R452-3)),"")</f>
        <v>0.00339539272636588</v>
      </c>
      <c r="W452" s="31" t="n">
        <f aca="false">IF(AND(F452&gt;=1,R452&gt;=Inputs!$B$10),(D452-U452-T452*E452-S452*F452)/V452,"")</f>
        <v>-0.131659901013004</v>
      </c>
      <c r="X452" s="30" t="n">
        <f aca="false">IF(AB451&lt;&gt;0,AC451+1,0)</f>
        <v>0</v>
      </c>
      <c r="Y452" s="30" t="n">
        <f aca="false">IF(W452="",0,IF(AND(AB451&lt;&gt;0,OR(ABS(W452)&gt;Inputs!$B$7,X452&gt;=Inputs!$B$8,ABS(W452)&lt;Inputs!$B$6)),1,0))</f>
        <v>0</v>
      </c>
      <c r="Z452" s="30" t="n">
        <f aca="false">IF(Y452=1,0,AB451)</f>
        <v>0</v>
      </c>
      <c r="AA452" s="30" t="n">
        <f aca="false">IF(W452="",0,IF(AND(Z452=0,ABS(W452)&gt;Inputs!$B$5,ABS(W452)&lt;=Inputs!$B$7),1,0))</f>
        <v>0</v>
      </c>
      <c r="AB452" s="30" t="n">
        <f aca="false">IF(W452="",0,IF(AA452=1,-SIGN(W452),Z452))</f>
        <v>0</v>
      </c>
      <c r="AC452" s="30" t="n">
        <f aca="false">IF(W452="",0,IF(AA452=1,0,IF(Y452=1,0,X452)))</f>
        <v>0</v>
      </c>
      <c r="AD452" s="30" t="n">
        <f aca="false">IF(AB452=0,0,IF(AB451=AB452,AD451,T452))</f>
        <v>0</v>
      </c>
      <c r="AE452" s="30" t="n">
        <f aca="false">AB452-AB451</f>
        <v>0</v>
      </c>
      <c r="AF452" s="30" t="n">
        <f aca="false">-AD452*AB452</f>
        <v>-0</v>
      </c>
      <c r="AG452" s="30" t="n">
        <f aca="false">AF452-AF451</f>
        <v>0</v>
      </c>
      <c r="AH452" s="30" t="n">
        <f aca="false">MAX(AE452,0)*(Inputs!$B$17+Inputs!$B$18+Inputs!$B$19)+MAX(-AE452,0)*(O452+Inputs!$B$18+Inputs!$B$19)+IF(AND(K452=1,AB452&lt;&gt;0),(Inputs!$B$17+Inputs!$B$18+Inputs!$B$19)+(O452+Inputs!$B$18+Inputs!$B$19),0)+MAX(AG452,0)*(Inputs!$B$20+Inputs!$B$22+Inputs!$B$23)+MAX(-AG452,0)*(Inputs!$B$21+Inputs!$B$22+Inputs!$B$23)</f>
        <v>0</v>
      </c>
      <c r="AI452" s="30" t="n">
        <f aca="false">AB451*(M452-AD451*J452)+AB451*AD451*N452/Inputs!$B$16-AH452</f>
        <v>0</v>
      </c>
      <c r="AJ452" s="30" t="n">
        <f aca="false">MAX(AE452,0)*(Inputs!$B$17+Inputs!$B$24+Inputs!$B$25)+MAX(-AE452,0)*(O452+Inputs!$B$24+Inputs!$B$25)+IF(AND(K452=1,AB452&lt;&gt;0),(Inputs!$B$17+Inputs!$B$24+Inputs!$B$25)+(O452+Inputs!$B$24+Inputs!$B$25),0)+MAX(AG452,0)*(Inputs!$B$20+Inputs!$B$26+Inputs!$B$27)+MAX(-AG452,0)*(Inputs!$B$21+Inputs!$B$26+Inputs!$B$27)</f>
        <v>0</v>
      </c>
      <c r="AK452" s="30" t="n">
        <f aca="false">AB451*(M452-AD451*J452)+AB451*AD451*(N452+Inputs!$B$14)/Inputs!$B$16-AJ452</f>
        <v>0</v>
      </c>
      <c r="AL452" s="30" t="n">
        <f aca="false">IF(AP451&lt;&gt;0,AQ451+1,0)</f>
        <v>0</v>
      </c>
      <c r="AM452" s="30" t="n">
        <f aca="false">IF(W452="",0,IF(AND(AP451&lt;&gt;0,OR(ABS(W452)&gt;Inputs!$B$7,AL452&gt;=Inputs!$B$8,ABS(W452)&lt;Inputs!$B$6)),1,0))</f>
        <v>0</v>
      </c>
      <c r="AN452" s="30" t="n">
        <f aca="false">IF(AM452=1,0,AP451)</f>
        <v>0</v>
      </c>
      <c r="AO452" s="30" t="n">
        <f aca="false">IF(W452="",0,IF(AND(AN452=0,ABS(W452)&gt;Inputs!$B$5,ABS(W452)&lt;=Inputs!$B$7,W452&gt;0),1,0))</f>
        <v>0</v>
      </c>
      <c r="AP452" s="30" t="n">
        <f aca="false">IF(W452="",0,IF(AO452=1,-SIGN(W452),AN452))</f>
        <v>0</v>
      </c>
      <c r="AQ452" s="30" t="n">
        <f aca="false">IF(W452="",0,IF(AO452=1,0,IF(AM452=1,0,AL452)))</f>
        <v>0</v>
      </c>
      <c r="AR452" s="30" t="n">
        <f aca="false">IF(AP452=0,0,IF(AP451=AP452,AR451,T452))</f>
        <v>0</v>
      </c>
      <c r="AS452" s="30" t="n">
        <f aca="false">AP452-AP451</f>
        <v>0</v>
      </c>
      <c r="AT452" s="30" t="n">
        <f aca="false">-AR452*AP452</f>
        <v>-0</v>
      </c>
      <c r="AU452" s="30" t="n">
        <f aca="false">AT452-AT451</f>
        <v>0</v>
      </c>
      <c r="AV452" s="30" t="n">
        <f aca="false">MAX(AS452,0)*(Inputs!$B$17+Inputs!$B$18+Inputs!$B$19)+MAX(-AS452,0)*(O452+Inputs!$B$18+Inputs!$B$19)+IF(AND(K452=1,AP452&lt;&gt;0),(Inputs!$B$17+Inputs!$B$18+Inputs!$B$19)+(O452+Inputs!$B$18+Inputs!$B$19),0)+MAX(AU452,0)*(Inputs!$B$20+Inputs!$B$22+Inputs!$B$23)+MAX(-AU452,0)*(Inputs!$B$21+Inputs!$B$22+Inputs!$B$23)</f>
        <v>0</v>
      </c>
      <c r="AW452" s="30" t="n">
        <f aca="false">AP451*(M452-AR451*J452)+AP451*AR451*N452/Inputs!$B$16-AV452</f>
        <v>0</v>
      </c>
      <c r="AX452" s="30" t="n">
        <f aca="false">AW452-IF(AP451&lt;&gt;0,0.75*AR451*(Inputs!$B$13-N452)/Inputs!$B$16,0)</f>
        <v>0</v>
      </c>
      <c r="AY452" s="30" t="n">
        <f aca="false">MAX(AS452,0)*(Inputs!$B$17+Inputs!$B$18+Inputs!$B$19)+MAX(-AS452,0)*(O452+Inputs!$B$18+Inputs!$B$19)+IF(AND(K452=1,AP452&lt;&gt;0),(Inputs!$B$17+Inputs!$B$18+Inputs!$B$19)+(O452+Inputs!$B$18+Inputs!$B$19),0)</f>
        <v>0</v>
      </c>
      <c r="AZ452" s="30" t="n">
        <f aca="false">AP451*M452-AY452</f>
        <v>-0</v>
      </c>
      <c r="BA452" s="32" t="n">
        <f aca="false">BA451+AI452</f>
        <v>0.00429130278454792</v>
      </c>
      <c r="BB452" s="30" t="n">
        <f aca="false">MAX(BB451,BA452)</f>
        <v>0.00429130278454792</v>
      </c>
      <c r="BC452" s="32" t="n">
        <f aca="false">BA452-BB452</f>
        <v>0</v>
      </c>
      <c r="BD452" s="30" t="n">
        <f aca="false">A453-A452</f>
        <v>3</v>
      </c>
    </row>
    <row r="453" customFormat="false" ht="15" hidden="false" customHeight="false" outlineLevel="0" collapsed="false">
      <c r="A453" s="28" t="n">
        <v>45705</v>
      </c>
      <c r="B453" s="0" t="n">
        <v>23043.5</v>
      </c>
      <c r="C453" s="0" t="n">
        <v>257.3</v>
      </c>
      <c r="D453" s="29" t="n">
        <f aca="false">LN(B453)</f>
        <v>10.0451390129949</v>
      </c>
      <c r="E453" s="29" t="n">
        <f aca="false">LN(C453)</f>
        <v>5.5502427192877</v>
      </c>
      <c r="F453" s="0" t="n">
        <v>448</v>
      </c>
      <c r="G453" s="0" t="n">
        <v>10</v>
      </c>
      <c r="H453" s="29" t="n">
        <f aca="false">D453-E453</f>
        <v>4.49489629370724</v>
      </c>
      <c r="I453" s="29" t="n">
        <f aca="false">D453-D452</f>
        <v>0.0028921945087319</v>
      </c>
      <c r="J453" s="29" t="n">
        <f aca="false">E453-E452</f>
        <v>0.00151689027743984</v>
      </c>
      <c r="K453" s="0" t="n">
        <v>0</v>
      </c>
      <c r="L453" s="0" t="n">
        <v>0</v>
      </c>
      <c r="M453" s="29" t="n">
        <f aca="false">IF(L453=1,J453-Carry!$B$9/Inputs!$B$16,I453)</f>
        <v>0.0028921945087319</v>
      </c>
      <c r="N453" s="0" t="n">
        <v>0.0625</v>
      </c>
      <c r="O453" s="0" t="n">
        <v>0.0002</v>
      </c>
      <c r="P453" s="29" t="n">
        <f aca="false">D453-('2 Hedge ratio'!$B$6+'2 Hedge ratio'!$B$5*E453)</f>
        <v>-0.00140694380699991</v>
      </c>
      <c r="Q453" s="29" t="n">
        <f aca="false">D453-('5 Re-specification'!$B$7+'5 Re-specification'!$B$5*E453+'5 Re-specification'!$B$6*F453)</f>
        <v>0.000643617945108588</v>
      </c>
      <c r="R453" s="30" t="n">
        <f aca="false">MIN(F453,Inputs!$B$9)</f>
        <v>250</v>
      </c>
      <c r="S453" s="29" t="n">
        <f aca="true">IF(AND(F453&gt;=1,R453&gt;=Inputs!$B$10),INDEX(LINEST(OFFSET(D453,-R453,0,R453,1),OFFSET(E453,-R453,0,R453,2)),1,1),"")</f>
        <v>-4.80002530266426E-005</v>
      </c>
      <c r="T453" s="29" t="n">
        <f aca="true">IF(AND(F453&gt;=1,R453&gt;=Inputs!$B$10),INDEX(LINEST(OFFSET(D453,-R453,0,R453,1),OFFSET(E453,-R453,0,R453,2)),1,2),"")</f>
        <v>0.984571178342618</v>
      </c>
      <c r="U453" s="29" t="n">
        <f aca="true">IF(AND(F453&gt;=1,R453&gt;=Inputs!$B$10),INDEX(LINEST(OFFSET(D453,-R453,0,R453,1),OFFSET(E453,-R453,0,R453,2)),1,3),"")</f>
        <v>4.60102111329964</v>
      </c>
      <c r="V453" s="29" t="n">
        <f aca="true">IF(AND(F453&gt;=1,R453&gt;=Inputs!$B$10),SQRT(SUMPRODUCT((OFFSET(D453,-R453,0,R453,1)-U453-T453*OFFSET(E453,-R453,0,R453,1)-S453*OFFSET(F453,-R453,0,R453,1))^2)/(R453-3)),"")</f>
        <v>0.00339514401402681</v>
      </c>
      <c r="W453" s="31" t="n">
        <f aca="false">IF(AND(F453&gt;=1,R453&gt;=Inputs!$B$10),(D453-U453-T453*E453-S453*F453)/V453,"")</f>
        <v>0.298366970714863</v>
      </c>
      <c r="X453" s="30" t="n">
        <f aca="false">IF(AB452&lt;&gt;0,AC452+1,0)</f>
        <v>0</v>
      </c>
      <c r="Y453" s="30" t="n">
        <f aca="false">IF(W453="",0,IF(AND(AB452&lt;&gt;0,OR(ABS(W453)&gt;Inputs!$B$7,X453&gt;=Inputs!$B$8,ABS(W453)&lt;Inputs!$B$6)),1,0))</f>
        <v>0</v>
      </c>
      <c r="Z453" s="30" t="n">
        <f aca="false">IF(Y453=1,0,AB452)</f>
        <v>0</v>
      </c>
      <c r="AA453" s="30" t="n">
        <f aca="false">IF(W453="",0,IF(AND(Z453=0,ABS(W453)&gt;Inputs!$B$5,ABS(W453)&lt;=Inputs!$B$7),1,0))</f>
        <v>0</v>
      </c>
      <c r="AB453" s="30" t="n">
        <f aca="false">IF(W453="",0,IF(AA453=1,-SIGN(W453),Z453))</f>
        <v>0</v>
      </c>
      <c r="AC453" s="30" t="n">
        <f aca="false">IF(W453="",0,IF(AA453=1,0,IF(Y453=1,0,X453)))</f>
        <v>0</v>
      </c>
      <c r="AD453" s="30" t="n">
        <f aca="false">IF(AB453=0,0,IF(AB452=AB453,AD452,T453))</f>
        <v>0</v>
      </c>
      <c r="AE453" s="30" t="n">
        <f aca="false">AB453-AB452</f>
        <v>0</v>
      </c>
      <c r="AF453" s="30" t="n">
        <f aca="false">-AD453*AB453</f>
        <v>-0</v>
      </c>
      <c r="AG453" s="30" t="n">
        <f aca="false">AF453-AF452</f>
        <v>0</v>
      </c>
      <c r="AH453" s="30" t="n">
        <f aca="false">MAX(AE453,0)*(Inputs!$B$17+Inputs!$B$18+Inputs!$B$19)+MAX(-AE453,0)*(O453+Inputs!$B$18+Inputs!$B$19)+IF(AND(K453=1,AB453&lt;&gt;0),(Inputs!$B$17+Inputs!$B$18+Inputs!$B$19)+(O453+Inputs!$B$18+Inputs!$B$19),0)+MAX(AG453,0)*(Inputs!$B$20+Inputs!$B$22+Inputs!$B$23)+MAX(-AG453,0)*(Inputs!$B$21+Inputs!$B$22+Inputs!$B$23)</f>
        <v>0</v>
      </c>
      <c r="AI453" s="30" t="n">
        <f aca="false">AB452*(M453-AD452*J453)+AB452*AD452*N453/Inputs!$B$16-AH453</f>
        <v>0</v>
      </c>
      <c r="AJ453" s="30" t="n">
        <f aca="false">MAX(AE453,0)*(Inputs!$B$17+Inputs!$B$24+Inputs!$B$25)+MAX(-AE453,0)*(O453+Inputs!$B$24+Inputs!$B$25)+IF(AND(K453=1,AB453&lt;&gt;0),(Inputs!$B$17+Inputs!$B$24+Inputs!$B$25)+(O453+Inputs!$B$24+Inputs!$B$25),0)+MAX(AG453,0)*(Inputs!$B$20+Inputs!$B$26+Inputs!$B$27)+MAX(-AG453,0)*(Inputs!$B$21+Inputs!$B$26+Inputs!$B$27)</f>
        <v>0</v>
      </c>
      <c r="AK453" s="30" t="n">
        <f aca="false">AB452*(M453-AD452*J453)+AB452*AD452*(N453+Inputs!$B$14)/Inputs!$B$16-AJ453</f>
        <v>0</v>
      </c>
      <c r="AL453" s="30" t="n">
        <f aca="false">IF(AP452&lt;&gt;0,AQ452+1,0)</f>
        <v>0</v>
      </c>
      <c r="AM453" s="30" t="n">
        <f aca="false">IF(W453="",0,IF(AND(AP452&lt;&gt;0,OR(ABS(W453)&gt;Inputs!$B$7,AL453&gt;=Inputs!$B$8,ABS(W453)&lt;Inputs!$B$6)),1,0))</f>
        <v>0</v>
      </c>
      <c r="AN453" s="30" t="n">
        <f aca="false">IF(AM453=1,0,AP452)</f>
        <v>0</v>
      </c>
      <c r="AO453" s="30" t="n">
        <f aca="false">IF(W453="",0,IF(AND(AN453=0,ABS(W453)&gt;Inputs!$B$5,ABS(W453)&lt;=Inputs!$B$7,W453&gt;0),1,0))</f>
        <v>0</v>
      </c>
      <c r="AP453" s="30" t="n">
        <f aca="false">IF(W453="",0,IF(AO453=1,-SIGN(W453),AN453))</f>
        <v>0</v>
      </c>
      <c r="AQ453" s="30" t="n">
        <f aca="false">IF(W453="",0,IF(AO453=1,0,IF(AM453=1,0,AL453)))</f>
        <v>0</v>
      </c>
      <c r="AR453" s="30" t="n">
        <f aca="false">IF(AP453=0,0,IF(AP452=AP453,AR452,T453))</f>
        <v>0</v>
      </c>
      <c r="AS453" s="30" t="n">
        <f aca="false">AP453-AP452</f>
        <v>0</v>
      </c>
      <c r="AT453" s="30" t="n">
        <f aca="false">-AR453*AP453</f>
        <v>-0</v>
      </c>
      <c r="AU453" s="30" t="n">
        <f aca="false">AT453-AT452</f>
        <v>0</v>
      </c>
      <c r="AV453" s="30" t="n">
        <f aca="false">MAX(AS453,0)*(Inputs!$B$17+Inputs!$B$18+Inputs!$B$19)+MAX(-AS453,0)*(O453+Inputs!$B$18+Inputs!$B$19)+IF(AND(K453=1,AP453&lt;&gt;0),(Inputs!$B$17+Inputs!$B$18+Inputs!$B$19)+(O453+Inputs!$B$18+Inputs!$B$19),0)+MAX(AU453,0)*(Inputs!$B$20+Inputs!$B$22+Inputs!$B$23)+MAX(-AU453,0)*(Inputs!$B$21+Inputs!$B$22+Inputs!$B$23)</f>
        <v>0</v>
      </c>
      <c r="AW453" s="30" t="n">
        <f aca="false">AP452*(M453-AR452*J453)+AP452*AR452*N453/Inputs!$B$16-AV453</f>
        <v>0</v>
      </c>
      <c r="AX453" s="30" t="n">
        <f aca="false">AW453-IF(AP452&lt;&gt;0,0.75*AR452*(Inputs!$B$13-N453)/Inputs!$B$16,0)</f>
        <v>0</v>
      </c>
      <c r="AY453" s="30" t="n">
        <f aca="false">MAX(AS453,0)*(Inputs!$B$17+Inputs!$B$18+Inputs!$B$19)+MAX(-AS453,0)*(O453+Inputs!$B$18+Inputs!$B$19)+IF(AND(K453=1,AP453&lt;&gt;0),(Inputs!$B$17+Inputs!$B$18+Inputs!$B$19)+(O453+Inputs!$B$18+Inputs!$B$19),0)</f>
        <v>0</v>
      </c>
      <c r="AZ453" s="30" t="n">
        <f aca="false">AP452*M453-AY453</f>
        <v>0</v>
      </c>
      <c r="BA453" s="32" t="n">
        <f aca="false">BA452+AI453</f>
        <v>0.00429130278454792</v>
      </c>
      <c r="BB453" s="30" t="n">
        <f aca="false">MAX(BB452,BA453)</f>
        <v>0.00429130278454792</v>
      </c>
      <c r="BC453" s="32" t="n">
        <f aca="false">BA453-BB453</f>
        <v>0</v>
      </c>
      <c r="BD453" s="30" t="n">
        <f aca="false">A454-A453</f>
        <v>1</v>
      </c>
    </row>
    <row r="454" customFormat="false" ht="15" hidden="false" customHeight="false" outlineLevel="0" collapsed="false">
      <c r="A454" s="28" t="n">
        <v>45706</v>
      </c>
      <c r="B454" s="0" t="n">
        <v>22950</v>
      </c>
      <c r="C454" s="0" t="n">
        <v>256.73</v>
      </c>
      <c r="D454" s="29" t="n">
        <f aca="false">LN(B454)</f>
        <v>10.0410732154887</v>
      </c>
      <c r="E454" s="29" t="n">
        <f aca="false">LN(C454)</f>
        <v>5.5480249489878</v>
      </c>
      <c r="F454" s="0" t="n">
        <v>449</v>
      </c>
      <c r="G454" s="0" t="n">
        <v>9</v>
      </c>
      <c r="H454" s="29" t="n">
        <f aca="false">D454-E454</f>
        <v>4.49304826650089</v>
      </c>
      <c r="I454" s="29" t="n">
        <f aca="false">D454-D453</f>
        <v>-0.00406579750624481</v>
      </c>
      <c r="J454" s="29" t="n">
        <f aca="false">E454-E453</f>
        <v>-0.00221777029990111</v>
      </c>
      <c r="K454" s="0" t="n">
        <v>0</v>
      </c>
      <c r="L454" s="0" t="n">
        <v>0</v>
      </c>
      <c r="M454" s="29" t="n">
        <f aca="false">IF(L454=1,J454-Carry!$B$9/Inputs!$B$16,I454)</f>
        <v>-0.00406579750624481</v>
      </c>
      <c r="N454" s="0" t="n">
        <v>0.0625</v>
      </c>
      <c r="O454" s="0" t="n">
        <v>0.0002</v>
      </c>
      <c r="P454" s="29" t="n">
        <f aca="false">D454-('2 Hedge ratio'!$B$6+'2 Hedge ratio'!$B$5*E454)</f>
        <v>-0.00344098259564341</v>
      </c>
      <c r="Q454" s="29" t="n">
        <f aca="false">D454-('5 Re-specification'!$B$7+'5 Re-specification'!$B$5*E454+'5 Re-specification'!$B$6*F454)</f>
        <v>-0.001166200896078</v>
      </c>
      <c r="R454" s="30" t="n">
        <f aca="false">MIN(F454,Inputs!$B$9)</f>
        <v>250</v>
      </c>
      <c r="S454" s="29" t="n">
        <f aca="true">IF(AND(F454&gt;=1,R454&gt;=Inputs!$B$10),INDEX(LINEST(OFFSET(D454,-R454,0,R454,1),OFFSET(E454,-R454,0,R454,2)),1,1),"")</f>
        <v>-4.78185973789501E-005</v>
      </c>
      <c r="T454" s="29" t="n">
        <f aca="true">IF(AND(F454&gt;=1,R454&gt;=Inputs!$B$10),INDEX(LINEST(OFFSET(D454,-R454,0,R454,1),OFFSET(E454,-R454,0,R454,2)),1,2),"")</f>
        <v>0.984391999610125</v>
      </c>
      <c r="U454" s="29" t="n">
        <f aca="true">IF(AND(F454&gt;=1,R454&gt;=Inputs!$B$10),INDEX(LINEST(OFFSET(D454,-R454,0,R454,1),OFFSET(E454,-R454,0,R454,2)),1,3),"")</f>
        <v>4.60196471498033</v>
      </c>
      <c r="V454" s="29" t="n">
        <f aca="true">IF(AND(F454&gt;=1,R454&gt;=Inputs!$B$10),SQRT(SUMPRODUCT((OFFSET(D454,-R454,0,R454,1)-U454-T454*OFFSET(E454,-R454,0,R454,1)-S454*OFFSET(F454,-R454,0,R454,1))^2)/(R454-3)),"")</f>
        <v>0.00339572301579054</v>
      </c>
      <c r="W454" s="31" t="n">
        <f aca="false">IF(AND(F454&gt;=1,R454&gt;=Inputs!$B$10),(D454-U454-T454*E454-S454*F454)/V454,"")</f>
        <v>-0.250998884622258</v>
      </c>
      <c r="X454" s="30" t="n">
        <f aca="false">IF(AB453&lt;&gt;0,AC453+1,0)</f>
        <v>0</v>
      </c>
      <c r="Y454" s="30" t="n">
        <f aca="false">IF(W454="",0,IF(AND(AB453&lt;&gt;0,OR(ABS(W454)&gt;Inputs!$B$7,X454&gt;=Inputs!$B$8,ABS(W454)&lt;Inputs!$B$6)),1,0))</f>
        <v>0</v>
      </c>
      <c r="Z454" s="30" t="n">
        <f aca="false">IF(Y454=1,0,AB453)</f>
        <v>0</v>
      </c>
      <c r="AA454" s="30" t="n">
        <f aca="false">IF(W454="",0,IF(AND(Z454=0,ABS(W454)&gt;Inputs!$B$5,ABS(W454)&lt;=Inputs!$B$7),1,0))</f>
        <v>0</v>
      </c>
      <c r="AB454" s="30" t="n">
        <f aca="false">IF(W454="",0,IF(AA454=1,-SIGN(W454),Z454))</f>
        <v>0</v>
      </c>
      <c r="AC454" s="30" t="n">
        <f aca="false">IF(W454="",0,IF(AA454=1,0,IF(Y454=1,0,X454)))</f>
        <v>0</v>
      </c>
      <c r="AD454" s="30" t="n">
        <f aca="false">IF(AB454=0,0,IF(AB453=AB454,AD453,T454))</f>
        <v>0</v>
      </c>
      <c r="AE454" s="30" t="n">
        <f aca="false">AB454-AB453</f>
        <v>0</v>
      </c>
      <c r="AF454" s="30" t="n">
        <f aca="false">-AD454*AB454</f>
        <v>-0</v>
      </c>
      <c r="AG454" s="30" t="n">
        <f aca="false">AF454-AF453</f>
        <v>0</v>
      </c>
      <c r="AH454" s="30" t="n">
        <f aca="false">MAX(AE454,0)*(Inputs!$B$17+Inputs!$B$18+Inputs!$B$19)+MAX(-AE454,0)*(O454+Inputs!$B$18+Inputs!$B$19)+IF(AND(K454=1,AB454&lt;&gt;0),(Inputs!$B$17+Inputs!$B$18+Inputs!$B$19)+(O454+Inputs!$B$18+Inputs!$B$19),0)+MAX(AG454,0)*(Inputs!$B$20+Inputs!$B$22+Inputs!$B$23)+MAX(-AG454,0)*(Inputs!$B$21+Inputs!$B$22+Inputs!$B$23)</f>
        <v>0</v>
      </c>
      <c r="AI454" s="30" t="n">
        <f aca="false">AB453*(M454-AD453*J454)+AB453*AD453*N454/Inputs!$B$16-AH454</f>
        <v>0</v>
      </c>
      <c r="AJ454" s="30" t="n">
        <f aca="false">MAX(AE454,0)*(Inputs!$B$17+Inputs!$B$24+Inputs!$B$25)+MAX(-AE454,0)*(O454+Inputs!$B$24+Inputs!$B$25)+IF(AND(K454=1,AB454&lt;&gt;0),(Inputs!$B$17+Inputs!$B$24+Inputs!$B$25)+(O454+Inputs!$B$24+Inputs!$B$25),0)+MAX(AG454,0)*(Inputs!$B$20+Inputs!$B$26+Inputs!$B$27)+MAX(-AG454,0)*(Inputs!$B$21+Inputs!$B$26+Inputs!$B$27)</f>
        <v>0</v>
      </c>
      <c r="AK454" s="30" t="n">
        <f aca="false">AB453*(M454-AD453*J454)+AB453*AD453*(N454+Inputs!$B$14)/Inputs!$B$16-AJ454</f>
        <v>0</v>
      </c>
      <c r="AL454" s="30" t="n">
        <f aca="false">IF(AP453&lt;&gt;0,AQ453+1,0)</f>
        <v>0</v>
      </c>
      <c r="AM454" s="30" t="n">
        <f aca="false">IF(W454="",0,IF(AND(AP453&lt;&gt;0,OR(ABS(W454)&gt;Inputs!$B$7,AL454&gt;=Inputs!$B$8,ABS(W454)&lt;Inputs!$B$6)),1,0))</f>
        <v>0</v>
      </c>
      <c r="AN454" s="30" t="n">
        <f aca="false">IF(AM454=1,0,AP453)</f>
        <v>0</v>
      </c>
      <c r="AO454" s="30" t="n">
        <f aca="false">IF(W454="",0,IF(AND(AN454=0,ABS(W454)&gt;Inputs!$B$5,ABS(W454)&lt;=Inputs!$B$7,W454&gt;0),1,0))</f>
        <v>0</v>
      </c>
      <c r="AP454" s="30" t="n">
        <f aca="false">IF(W454="",0,IF(AO454=1,-SIGN(W454),AN454))</f>
        <v>0</v>
      </c>
      <c r="AQ454" s="30" t="n">
        <f aca="false">IF(W454="",0,IF(AO454=1,0,IF(AM454=1,0,AL454)))</f>
        <v>0</v>
      </c>
      <c r="AR454" s="30" t="n">
        <f aca="false">IF(AP454=0,0,IF(AP453=AP454,AR453,T454))</f>
        <v>0</v>
      </c>
      <c r="AS454" s="30" t="n">
        <f aca="false">AP454-AP453</f>
        <v>0</v>
      </c>
      <c r="AT454" s="30" t="n">
        <f aca="false">-AR454*AP454</f>
        <v>-0</v>
      </c>
      <c r="AU454" s="30" t="n">
        <f aca="false">AT454-AT453</f>
        <v>0</v>
      </c>
      <c r="AV454" s="30" t="n">
        <f aca="false">MAX(AS454,0)*(Inputs!$B$17+Inputs!$B$18+Inputs!$B$19)+MAX(-AS454,0)*(O454+Inputs!$B$18+Inputs!$B$19)+IF(AND(K454=1,AP454&lt;&gt;0),(Inputs!$B$17+Inputs!$B$18+Inputs!$B$19)+(O454+Inputs!$B$18+Inputs!$B$19),0)+MAX(AU454,0)*(Inputs!$B$20+Inputs!$B$22+Inputs!$B$23)+MAX(-AU454,0)*(Inputs!$B$21+Inputs!$B$22+Inputs!$B$23)</f>
        <v>0</v>
      </c>
      <c r="AW454" s="30" t="n">
        <f aca="false">AP453*(M454-AR453*J454)+AP453*AR453*N454/Inputs!$B$16-AV454</f>
        <v>0</v>
      </c>
      <c r="AX454" s="30" t="n">
        <f aca="false">AW454-IF(AP453&lt;&gt;0,0.75*AR453*(Inputs!$B$13-N454)/Inputs!$B$16,0)</f>
        <v>0</v>
      </c>
      <c r="AY454" s="30" t="n">
        <f aca="false">MAX(AS454,0)*(Inputs!$B$17+Inputs!$B$18+Inputs!$B$19)+MAX(-AS454,0)*(O454+Inputs!$B$18+Inputs!$B$19)+IF(AND(K454=1,AP454&lt;&gt;0),(Inputs!$B$17+Inputs!$B$18+Inputs!$B$19)+(O454+Inputs!$B$18+Inputs!$B$19),0)</f>
        <v>0</v>
      </c>
      <c r="AZ454" s="30" t="n">
        <f aca="false">AP453*M454-AY454</f>
        <v>-0</v>
      </c>
      <c r="BA454" s="32" t="n">
        <f aca="false">BA453+AI454</f>
        <v>0.00429130278454792</v>
      </c>
      <c r="BB454" s="30" t="n">
        <f aca="false">MAX(BB453,BA454)</f>
        <v>0.00429130278454792</v>
      </c>
      <c r="BC454" s="32" t="n">
        <f aca="false">BA454-BB454</f>
        <v>0</v>
      </c>
      <c r="BD454" s="30" t="n">
        <f aca="false">A455-A454</f>
        <v>1</v>
      </c>
    </row>
    <row r="455" customFormat="false" ht="15" hidden="false" customHeight="false" outlineLevel="0" collapsed="false">
      <c r="A455" s="28" t="n">
        <v>45707</v>
      </c>
      <c r="B455" s="0" t="n">
        <v>22957</v>
      </c>
      <c r="C455" s="0" t="n">
        <v>257</v>
      </c>
      <c r="D455" s="29" t="n">
        <f aca="false">LN(B455)</f>
        <v>10.0413781798756</v>
      </c>
      <c r="E455" s="29" t="n">
        <f aca="false">LN(C455)</f>
        <v>5.54907608489522</v>
      </c>
      <c r="F455" s="0" t="n">
        <v>450</v>
      </c>
      <c r="G455" s="0" t="n">
        <v>8</v>
      </c>
      <c r="H455" s="29" t="n">
        <f aca="false">D455-E455</f>
        <v>4.49230209498035</v>
      </c>
      <c r="I455" s="29" t="n">
        <f aca="false">D455-D454</f>
        <v>0.000304964386881323</v>
      </c>
      <c r="J455" s="29" t="n">
        <f aca="false">E455-E454</f>
        <v>0.00105113590742256</v>
      </c>
      <c r="K455" s="0" t="n">
        <v>0</v>
      </c>
      <c r="L455" s="0" t="n">
        <v>0</v>
      </c>
      <c r="M455" s="29" t="n">
        <f aca="false">IF(L455=1,J455-Carry!$B$9/Inputs!$B$16,I455)</f>
        <v>0.000304964386881323</v>
      </c>
      <c r="N455" s="0" t="n">
        <v>0.0625</v>
      </c>
      <c r="O455" s="0" t="n">
        <v>0.0002</v>
      </c>
      <c r="P455" s="29" t="n">
        <f aca="false">D455-('2 Hedge ratio'!$B$6+'2 Hedge ratio'!$B$5*E455)</f>
        <v>-0.00409899194115582</v>
      </c>
      <c r="Q455" s="29" t="n">
        <f aca="false">D455-('5 Re-specification'!$B$7+'5 Re-specification'!$B$5*E455+'5 Re-specification'!$B$6*F455)</f>
        <v>-0.0018642576311354</v>
      </c>
      <c r="R455" s="30" t="n">
        <f aca="false">MIN(F455,Inputs!$B$9)</f>
        <v>250</v>
      </c>
      <c r="S455" s="29" t="n">
        <f aca="true">IF(AND(F455&gt;=1,R455&gt;=Inputs!$B$10),INDEX(LINEST(OFFSET(D455,-R455,0,R455,1),OFFSET(E455,-R455,0,R455,2)),1,1),"")</f>
        <v>-4.80848163785392E-005</v>
      </c>
      <c r="T455" s="29" t="n">
        <f aca="true">IF(AND(F455&gt;=1,R455&gt;=Inputs!$B$10),INDEX(LINEST(OFFSET(D455,-R455,0,R455,1),OFFSET(E455,-R455,0,R455,2)),1,2),"")</f>
        <v>0.984417906482949</v>
      </c>
      <c r="U455" s="29" t="n">
        <f aca="true">IF(AND(F455&gt;=1,R455&gt;=Inputs!$B$10),INDEX(LINEST(OFFSET(D455,-R455,0,R455,1),OFFSET(E455,-R455,0,R455,2)),1,3),"")</f>
        <v>4.60191051331693</v>
      </c>
      <c r="V455" s="29" t="n">
        <f aca="true">IF(AND(F455&gt;=1,R455&gt;=Inputs!$B$10),SQRT(SUMPRODUCT((OFFSET(D455,-R455,0,R455,1)-U455-T455*OFFSET(E455,-R455,0,R455,1)-S455*OFFSET(F455,-R455,0,R455,1))^2)/(R455-3)),"")</f>
        <v>0.00339414051715042</v>
      </c>
      <c r="W455" s="31" t="n">
        <f aca="false">IF(AND(F455&gt;=1,R455&gt;=Inputs!$B$10),(D455-U455-T455*E455-S455*F455)/V455,"")</f>
        <v>-0.443124988657594</v>
      </c>
      <c r="X455" s="30" t="n">
        <f aca="false">IF(AB454&lt;&gt;0,AC454+1,0)</f>
        <v>0</v>
      </c>
      <c r="Y455" s="30" t="n">
        <f aca="false">IF(W455="",0,IF(AND(AB454&lt;&gt;0,OR(ABS(W455)&gt;Inputs!$B$7,X455&gt;=Inputs!$B$8,ABS(W455)&lt;Inputs!$B$6)),1,0))</f>
        <v>0</v>
      </c>
      <c r="Z455" s="30" t="n">
        <f aca="false">IF(Y455=1,0,AB454)</f>
        <v>0</v>
      </c>
      <c r="AA455" s="30" t="n">
        <f aca="false">IF(W455="",0,IF(AND(Z455=0,ABS(W455)&gt;Inputs!$B$5,ABS(W455)&lt;=Inputs!$B$7),1,0))</f>
        <v>0</v>
      </c>
      <c r="AB455" s="30" t="n">
        <f aca="false">IF(W455="",0,IF(AA455=1,-SIGN(W455),Z455))</f>
        <v>0</v>
      </c>
      <c r="AC455" s="30" t="n">
        <f aca="false">IF(W455="",0,IF(AA455=1,0,IF(Y455=1,0,X455)))</f>
        <v>0</v>
      </c>
      <c r="AD455" s="30" t="n">
        <f aca="false">IF(AB455=0,0,IF(AB454=AB455,AD454,T455))</f>
        <v>0</v>
      </c>
      <c r="AE455" s="30" t="n">
        <f aca="false">AB455-AB454</f>
        <v>0</v>
      </c>
      <c r="AF455" s="30" t="n">
        <f aca="false">-AD455*AB455</f>
        <v>-0</v>
      </c>
      <c r="AG455" s="30" t="n">
        <f aca="false">AF455-AF454</f>
        <v>0</v>
      </c>
      <c r="AH455" s="30" t="n">
        <f aca="false">MAX(AE455,0)*(Inputs!$B$17+Inputs!$B$18+Inputs!$B$19)+MAX(-AE455,0)*(O455+Inputs!$B$18+Inputs!$B$19)+IF(AND(K455=1,AB455&lt;&gt;0),(Inputs!$B$17+Inputs!$B$18+Inputs!$B$19)+(O455+Inputs!$B$18+Inputs!$B$19),0)+MAX(AG455,0)*(Inputs!$B$20+Inputs!$B$22+Inputs!$B$23)+MAX(-AG455,0)*(Inputs!$B$21+Inputs!$B$22+Inputs!$B$23)</f>
        <v>0</v>
      </c>
      <c r="AI455" s="30" t="n">
        <f aca="false">AB454*(M455-AD454*J455)+AB454*AD454*N455/Inputs!$B$16-AH455</f>
        <v>0</v>
      </c>
      <c r="AJ455" s="30" t="n">
        <f aca="false">MAX(AE455,0)*(Inputs!$B$17+Inputs!$B$24+Inputs!$B$25)+MAX(-AE455,0)*(O455+Inputs!$B$24+Inputs!$B$25)+IF(AND(K455=1,AB455&lt;&gt;0),(Inputs!$B$17+Inputs!$B$24+Inputs!$B$25)+(O455+Inputs!$B$24+Inputs!$B$25),0)+MAX(AG455,0)*(Inputs!$B$20+Inputs!$B$26+Inputs!$B$27)+MAX(-AG455,0)*(Inputs!$B$21+Inputs!$B$26+Inputs!$B$27)</f>
        <v>0</v>
      </c>
      <c r="AK455" s="30" t="n">
        <f aca="false">AB454*(M455-AD454*J455)+AB454*AD454*(N455+Inputs!$B$14)/Inputs!$B$16-AJ455</f>
        <v>0</v>
      </c>
      <c r="AL455" s="30" t="n">
        <f aca="false">IF(AP454&lt;&gt;0,AQ454+1,0)</f>
        <v>0</v>
      </c>
      <c r="AM455" s="30" t="n">
        <f aca="false">IF(W455="",0,IF(AND(AP454&lt;&gt;0,OR(ABS(W455)&gt;Inputs!$B$7,AL455&gt;=Inputs!$B$8,ABS(W455)&lt;Inputs!$B$6)),1,0))</f>
        <v>0</v>
      </c>
      <c r="AN455" s="30" t="n">
        <f aca="false">IF(AM455=1,0,AP454)</f>
        <v>0</v>
      </c>
      <c r="AO455" s="30" t="n">
        <f aca="false">IF(W455="",0,IF(AND(AN455=0,ABS(W455)&gt;Inputs!$B$5,ABS(W455)&lt;=Inputs!$B$7,W455&gt;0),1,0))</f>
        <v>0</v>
      </c>
      <c r="AP455" s="30" t="n">
        <f aca="false">IF(W455="",0,IF(AO455=1,-SIGN(W455),AN455))</f>
        <v>0</v>
      </c>
      <c r="AQ455" s="30" t="n">
        <f aca="false">IF(W455="",0,IF(AO455=1,0,IF(AM455=1,0,AL455)))</f>
        <v>0</v>
      </c>
      <c r="AR455" s="30" t="n">
        <f aca="false">IF(AP455=0,0,IF(AP454=AP455,AR454,T455))</f>
        <v>0</v>
      </c>
      <c r="AS455" s="30" t="n">
        <f aca="false">AP455-AP454</f>
        <v>0</v>
      </c>
      <c r="AT455" s="30" t="n">
        <f aca="false">-AR455*AP455</f>
        <v>-0</v>
      </c>
      <c r="AU455" s="30" t="n">
        <f aca="false">AT455-AT454</f>
        <v>0</v>
      </c>
      <c r="AV455" s="30" t="n">
        <f aca="false">MAX(AS455,0)*(Inputs!$B$17+Inputs!$B$18+Inputs!$B$19)+MAX(-AS455,0)*(O455+Inputs!$B$18+Inputs!$B$19)+IF(AND(K455=1,AP455&lt;&gt;0),(Inputs!$B$17+Inputs!$B$18+Inputs!$B$19)+(O455+Inputs!$B$18+Inputs!$B$19),0)+MAX(AU455,0)*(Inputs!$B$20+Inputs!$B$22+Inputs!$B$23)+MAX(-AU455,0)*(Inputs!$B$21+Inputs!$B$22+Inputs!$B$23)</f>
        <v>0</v>
      </c>
      <c r="AW455" s="30" t="n">
        <f aca="false">AP454*(M455-AR454*J455)+AP454*AR454*N455/Inputs!$B$16-AV455</f>
        <v>0</v>
      </c>
      <c r="AX455" s="30" t="n">
        <f aca="false">AW455-IF(AP454&lt;&gt;0,0.75*AR454*(Inputs!$B$13-N455)/Inputs!$B$16,0)</f>
        <v>0</v>
      </c>
      <c r="AY455" s="30" t="n">
        <f aca="false">MAX(AS455,0)*(Inputs!$B$17+Inputs!$B$18+Inputs!$B$19)+MAX(-AS455,0)*(O455+Inputs!$B$18+Inputs!$B$19)+IF(AND(K455=1,AP455&lt;&gt;0),(Inputs!$B$17+Inputs!$B$18+Inputs!$B$19)+(O455+Inputs!$B$18+Inputs!$B$19),0)</f>
        <v>0</v>
      </c>
      <c r="AZ455" s="30" t="n">
        <f aca="false">AP454*M455-AY455</f>
        <v>0</v>
      </c>
      <c r="BA455" s="32" t="n">
        <f aca="false">BA454+AI455</f>
        <v>0.00429130278454792</v>
      </c>
      <c r="BB455" s="30" t="n">
        <f aca="false">MAX(BB454,BA455)</f>
        <v>0.00429130278454792</v>
      </c>
      <c r="BC455" s="32" t="n">
        <f aca="false">BA455-BB455</f>
        <v>0</v>
      </c>
      <c r="BD455" s="30" t="n">
        <f aca="false">A456-A455</f>
        <v>1</v>
      </c>
    </row>
    <row r="456" customFormat="false" ht="15" hidden="false" customHeight="false" outlineLevel="0" collapsed="false">
      <c r="A456" s="28" t="n">
        <v>45708</v>
      </c>
      <c r="B456" s="0" t="n">
        <v>22934.9</v>
      </c>
      <c r="C456" s="0" t="n">
        <v>256.9</v>
      </c>
      <c r="D456" s="29" t="n">
        <f aca="false">LN(B456)</f>
        <v>10.0404150468735</v>
      </c>
      <c r="E456" s="29" t="n">
        <f aca="false">LN(C456)</f>
        <v>5.54868690411584</v>
      </c>
      <c r="F456" s="0" t="n">
        <v>451</v>
      </c>
      <c r="G456" s="0" t="n">
        <v>7</v>
      </c>
      <c r="H456" s="29" t="n">
        <f aca="false">D456-E456</f>
        <v>4.49172814275768</v>
      </c>
      <c r="I456" s="29" t="n">
        <f aca="false">D456-D455</f>
        <v>-0.000963133002050753</v>
      </c>
      <c r="J456" s="29" t="n">
        <f aca="false">E456-E455</f>
        <v>-0.000389180779381881</v>
      </c>
      <c r="K456" s="0" t="n">
        <v>0</v>
      </c>
      <c r="L456" s="0" t="n">
        <v>0</v>
      </c>
      <c r="M456" s="29" t="n">
        <f aca="false">IF(L456=1,J456-Carry!$B$9/Inputs!$B$16,I456)</f>
        <v>-0.000963133002050753</v>
      </c>
      <c r="N456" s="0" t="n">
        <v>0.0625</v>
      </c>
      <c r="O456" s="0" t="n">
        <v>0.0002</v>
      </c>
      <c r="P456" s="29" t="n">
        <f aca="false">D456-('2 Hedge ratio'!$B$6+'2 Hedge ratio'!$B$5*E456)</f>
        <v>-0.00470558601703175</v>
      </c>
      <c r="Q456" s="29" t="n">
        <f aca="false">D456-('5 Re-specification'!$B$7+'5 Re-specification'!$B$5*E456+'5 Re-specification'!$B$6*F456)</f>
        <v>-0.00239445994806609</v>
      </c>
      <c r="R456" s="30" t="n">
        <f aca="false">MIN(F456,Inputs!$B$9)</f>
        <v>250</v>
      </c>
      <c r="S456" s="29" t="n">
        <f aca="true">IF(AND(F456&gt;=1,R456&gt;=Inputs!$B$10),INDEX(LINEST(OFFSET(D456,-R456,0,R456,1),OFFSET(E456,-R456,0,R456,2)),1,1),"")</f>
        <v>-4.8481074502656E-005</v>
      </c>
      <c r="T456" s="29" t="n">
        <f aca="true">IF(AND(F456&gt;=1,R456&gt;=Inputs!$B$10),INDEX(LINEST(OFFSET(D456,-R456,0,R456,1),OFFSET(E456,-R456,0,R456,2)),1,2),"")</f>
        <v>0.984550453427619</v>
      </c>
      <c r="U456" s="29" t="n">
        <f aca="true">IF(AND(F456&gt;=1,R456&gt;=Inputs!$B$10),INDEX(LINEST(OFFSET(D456,-R456,0,R456,1),OFFSET(E456,-R456,0,R456,2)),1,3),"")</f>
        <v>4.60130290791163</v>
      </c>
      <c r="V456" s="29" t="n">
        <f aca="true">IF(AND(F456&gt;=1,R456&gt;=Inputs!$B$10),SQRT(SUMPRODUCT((OFFSET(D456,-R456,0,R456,1)-U456-T456*OFFSET(E456,-R456,0,R456,1)-S456*OFFSET(F456,-R456,0,R456,1))^2)/(R456-3)),"")</f>
        <v>0.00339273961931991</v>
      </c>
      <c r="W456" s="31" t="n">
        <f aca="false">IF(AND(F456&gt;=1,R456&gt;=Inputs!$B$10),(D456-U456-T456*E456-S456*F456)/V456,"")</f>
        <v>-0.585103496078536</v>
      </c>
      <c r="X456" s="30" t="n">
        <f aca="false">IF(AB455&lt;&gt;0,AC455+1,0)</f>
        <v>0</v>
      </c>
      <c r="Y456" s="30" t="n">
        <f aca="false">IF(W456="",0,IF(AND(AB455&lt;&gt;0,OR(ABS(W456)&gt;Inputs!$B$7,X456&gt;=Inputs!$B$8,ABS(W456)&lt;Inputs!$B$6)),1,0))</f>
        <v>0</v>
      </c>
      <c r="Z456" s="30" t="n">
        <f aca="false">IF(Y456=1,0,AB455)</f>
        <v>0</v>
      </c>
      <c r="AA456" s="30" t="n">
        <f aca="false">IF(W456="",0,IF(AND(Z456=0,ABS(W456)&gt;Inputs!$B$5,ABS(W456)&lt;=Inputs!$B$7),1,0))</f>
        <v>0</v>
      </c>
      <c r="AB456" s="30" t="n">
        <f aca="false">IF(W456="",0,IF(AA456=1,-SIGN(W456),Z456))</f>
        <v>0</v>
      </c>
      <c r="AC456" s="30" t="n">
        <f aca="false">IF(W456="",0,IF(AA456=1,0,IF(Y456=1,0,X456)))</f>
        <v>0</v>
      </c>
      <c r="AD456" s="30" t="n">
        <f aca="false">IF(AB456=0,0,IF(AB455=AB456,AD455,T456))</f>
        <v>0</v>
      </c>
      <c r="AE456" s="30" t="n">
        <f aca="false">AB456-AB455</f>
        <v>0</v>
      </c>
      <c r="AF456" s="30" t="n">
        <f aca="false">-AD456*AB456</f>
        <v>-0</v>
      </c>
      <c r="AG456" s="30" t="n">
        <f aca="false">AF456-AF455</f>
        <v>0</v>
      </c>
      <c r="AH456" s="30" t="n">
        <f aca="false">MAX(AE456,0)*(Inputs!$B$17+Inputs!$B$18+Inputs!$B$19)+MAX(-AE456,0)*(O456+Inputs!$B$18+Inputs!$B$19)+IF(AND(K456=1,AB456&lt;&gt;0),(Inputs!$B$17+Inputs!$B$18+Inputs!$B$19)+(O456+Inputs!$B$18+Inputs!$B$19),0)+MAX(AG456,0)*(Inputs!$B$20+Inputs!$B$22+Inputs!$B$23)+MAX(-AG456,0)*(Inputs!$B$21+Inputs!$B$22+Inputs!$B$23)</f>
        <v>0</v>
      </c>
      <c r="AI456" s="30" t="n">
        <f aca="false">AB455*(M456-AD455*J456)+AB455*AD455*N456/Inputs!$B$16-AH456</f>
        <v>0</v>
      </c>
      <c r="AJ456" s="30" t="n">
        <f aca="false">MAX(AE456,0)*(Inputs!$B$17+Inputs!$B$24+Inputs!$B$25)+MAX(-AE456,0)*(O456+Inputs!$B$24+Inputs!$B$25)+IF(AND(K456=1,AB456&lt;&gt;0),(Inputs!$B$17+Inputs!$B$24+Inputs!$B$25)+(O456+Inputs!$B$24+Inputs!$B$25),0)+MAX(AG456,0)*(Inputs!$B$20+Inputs!$B$26+Inputs!$B$27)+MAX(-AG456,0)*(Inputs!$B$21+Inputs!$B$26+Inputs!$B$27)</f>
        <v>0</v>
      </c>
      <c r="AK456" s="30" t="n">
        <f aca="false">AB455*(M456-AD455*J456)+AB455*AD455*(N456+Inputs!$B$14)/Inputs!$B$16-AJ456</f>
        <v>0</v>
      </c>
      <c r="AL456" s="30" t="n">
        <f aca="false">IF(AP455&lt;&gt;0,AQ455+1,0)</f>
        <v>0</v>
      </c>
      <c r="AM456" s="30" t="n">
        <f aca="false">IF(W456="",0,IF(AND(AP455&lt;&gt;0,OR(ABS(W456)&gt;Inputs!$B$7,AL456&gt;=Inputs!$B$8,ABS(W456)&lt;Inputs!$B$6)),1,0))</f>
        <v>0</v>
      </c>
      <c r="AN456" s="30" t="n">
        <f aca="false">IF(AM456=1,0,AP455)</f>
        <v>0</v>
      </c>
      <c r="AO456" s="30" t="n">
        <f aca="false">IF(W456="",0,IF(AND(AN456=0,ABS(W456)&gt;Inputs!$B$5,ABS(W456)&lt;=Inputs!$B$7,W456&gt;0),1,0))</f>
        <v>0</v>
      </c>
      <c r="AP456" s="30" t="n">
        <f aca="false">IF(W456="",0,IF(AO456=1,-SIGN(W456),AN456))</f>
        <v>0</v>
      </c>
      <c r="AQ456" s="30" t="n">
        <f aca="false">IF(W456="",0,IF(AO456=1,0,IF(AM456=1,0,AL456)))</f>
        <v>0</v>
      </c>
      <c r="AR456" s="30" t="n">
        <f aca="false">IF(AP456=0,0,IF(AP455=AP456,AR455,T456))</f>
        <v>0</v>
      </c>
      <c r="AS456" s="30" t="n">
        <f aca="false">AP456-AP455</f>
        <v>0</v>
      </c>
      <c r="AT456" s="30" t="n">
        <f aca="false">-AR456*AP456</f>
        <v>-0</v>
      </c>
      <c r="AU456" s="30" t="n">
        <f aca="false">AT456-AT455</f>
        <v>0</v>
      </c>
      <c r="AV456" s="30" t="n">
        <f aca="false">MAX(AS456,0)*(Inputs!$B$17+Inputs!$B$18+Inputs!$B$19)+MAX(-AS456,0)*(O456+Inputs!$B$18+Inputs!$B$19)+IF(AND(K456=1,AP456&lt;&gt;0),(Inputs!$B$17+Inputs!$B$18+Inputs!$B$19)+(O456+Inputs!$B$18+Inputs!$B$19),0)+MAX(AU456,0)*(Inputs!$B$20+Inputs!$B$22+Inputs!$B$23)+MAX(-AU456,0)*(Inputs!$B$21+Inputs!$B$22+Inputs!$B$23)</f>
        <v>0</v>
      </c>
      <c r="AW456" s="30" t="n">
        <f aca="false">AP455*(M456-AR455*J456)+AP455*AR455*N456/Inputs!$B$16-AV456</f>
        <v>0</v>
      </c>
      <c r="AX456" s="30" t="n">
        <f aca="false">AW456-IF(AP455&lt;&gt;0,0.75*AR455*(Inputs!$B$13-N456)/Inputs!$B$16,0)</f>
        <v>0</v>
      </c>
      <c r="AY456" s="30" t="n">
        <f aca="false">MAX(AS456,0)*(Inputs!$B$17+Inputs!$B$18+Inputs!$B$19)+MAX(-AS456,0)*(O456+Inputs!$B$18+Inputs!$B$19)+IF(AND(K456=1,AP456&lt;&gt;0),(Inputs!$B$17+Inputs!$B$18+Inputs!$B$19)+(O456+Inputs!$B$18+Inputs!$B$19),0)</f>
        <v>0</v>
      </c>
      <c r="AZ456" s="30" t="n">
        <f aca="false">AP455*M456-AY456</f>
        <v>-0</v>
      </c>
      <c r="BA456" s="32" t="n">
        <f aca="false">BA455+AI456</f>
        <v>0.00429130278454792</v>
      </c>
      <c r="BB456" s="30" t="n">
        <f aca="false">MAX(BB455,BA456)</f>
        <v>0.00429130278454792</v>
      </c>
      <c r="BC456" s="32" t="n">
        <f aca="false">BA456-BB456</f>
        <v>0</v>
      </c>
      <c r="BD456" s="30" t="n">
        <f aca="false">A457-A456</f>
        <v>1</v>
      </c>
    </row>
    <row r="457" customFormat="false" ht="15" hidden="false" customHeight="false" outlineLevel="0" collapsed="false">
      <c r="A457" s="28" t="n">
        <v>45709</v>
      </c>
      <c r="B457" s="0" t="n">
        <v>22799</v>
      </c>
      <c r="C457" s="0" t="n">
        <v>255.41</v>
      </c>
      <c r="D457" s="29" t="n">
        <f aca="false">LN(B457)</f>
        <v>10.0344719543315</v>
      </c>
      <c r="E457" s="29" t="n">
        <f aca="false">LN(C457)</f>
        <v>5.54287009709975</v>
      </c>
      <c r="F457" s="0" t="n">
        <v>452</v>
      </c>
      <c r="G457" s="0" t="n">
        <v>6</v>
      </c>
      <c r="H457" s="29" t="n">
        <f aca="false">D457-E457</f>
        <v>4.4916018572318</v>
      </c>
      <c r="I457" s="29" t="n">
        <f aca="false">D457-D456</f>
        <v>-0.00594309254197434</v>
      </c>
      <c r="J457" s="29" t="n">
        <f aca="false">E457-E456</f>
        <v>-0.00581680701609244</v>
      </c>
      <c r="K457" s="0" t="n">
        <v>0</v>
      </c>
      <c r="L457" s="0" t="n">
        <v>0</v>
      </c>
      <c r="M457" s="29" t="n">
        <f aca="false">IF(L457=1,J457-Carry!$B$9/Inputs!$B$16,I457)</f>
        <v>-0.00594309254197434</v>
      </c>
      <c r="N457" s="0" t="n">
        <v>0.0625</v>
      </c>
      <c r="O457" s="0" t="n">
        <v>0.0002</v>
      </c>
      <c r="P457" s="29" t="n">
        <f aca="false">D457-('2 Hedge ratio'!$B$6+'2 Hedge ratio'!$B$5*E457)</f>
        <v>-0.00531974599818952</v>
      </c>
      <c r="Q457" s="29" t="n">
        <f aca="false">D457-('5 Re-specification'!$B$7+'5 Re-specification'!$B$5*E457+'5 Re-specification'!$B$6*F457)</f>
        <v>-0.00249344398963736</v>
      </c>
      <c r="R457" s="30" t="n">
        <f aca="false">MIN(F457,Inputs!$B$9)</f>
        <v>250</v>
      </c>
      <c r="S457" s="29" t="n">
        <f aca="true">IF(AND(F457&gt;=1,R457&gt;=Inputs!$B$10),INDEX(LINEST(OFFSET(D457,-R457,0,R457,1),OFFSET(E457,-R457,0,R457,2)),1,1),"")</f>
        <v>-4.88159791585132E-005</v>
      </c>
      <c r="T457" s="29" t="n">
        <f aca="true">IF(AND(F457&gt;=1,R457&gt;=Inputs!$B$10),INDEX(LINEST(OFFSET(D457,-R457,0,R457,1),OFFSET(E457,-R457,0,R457,2)),1,2),"")</f>
        <v>0.984891451066917</v>
      </c>
      <c r="U457" s="29" t="n">
        <f aca="true">IF(AND(F457&gt;=1,R457&gt;=Inputs!$B$10),INDEX(LINEST(OFFSET(D457,-R457,0,R457,1),OFFSET(E457,-R457,0,R457,2)),1,3),"")</f>
        <v>4.59950394701023</v>
      </c>
      <c r="V457" s="29" t="n">
        <f aca="true">IF(AND(F457&gt;=1,R457&gt;=Inputs!$B$10),SQRT(SUMPRODUCT((OFFSET(D457,-R457,0,R457,1)-U457-T457*OFFSET(E457,-R457,0,R457,1)-S457*OFFSET(F457,-R457,0,R457,1))^2)/(R457-3)),"")</f>
        <v>0.00339498986705239</v>
      </c>
      <c r="W457" s="31" t="n">
        <f aca="false">IF(AND(F457&gt;=1,R457&gt;=Inputs!$B$10),(D457-U457-T457*E457-S457*F457)/V457,"")</f>
        <v>-0.616362106801609</v>
      </c>
      <c r="X457" s="30" t="n">
        <f aca="false">IF(AB456&lt;&gt;0,AC456+1,0)</f>
        <v>0</v>
      </c>
      <c r="Y457" s="30" t="n">
        <f aca="false">IF(W457="",0,IF(AND(AB456&lt;&gt;0,OR(ABS(W457)&gt;Inputs!$B$7,X457&gt;=Inputs!$B$8,ABS(W457)&lt;Inputs!$B$6)),1,0))</f>
        <v>0</v>
      </c>
      <c r="Z457" s="30" t="n">
        <f aca="false">IF(Y457=1,0,AB456)</f>
        <v>0</v>
      </c>
      <c r="AA457" s="30" t="n">
        <f aca="false">IF(W457="",0,IF(AND(Z457=0,ABS(W457)&gt;Inputs!$B$5,ABS(W457)&lt;=Inputs!$B$7),1,0))</f>
        <v>0</v>
      </c>
      <c r="AB457" s="30" t="n">
        <f aca="false">IF(W457="",0,IF(AA457=1,-SIGN(W457),Z457))</f>
        <v>0</v>
      </c>
      <c r="AC457" s="30" t="n">
        <f aca="false">IF(W457="",0,IF(AA457=1,0,IF(Y457=1,0,X457)))</f>
        <v>0</v>
      </c>
      <c r="AD457" s="30" t="n">
        <f aca="false">IF(AB457=0,0,IF(AB456=AB457,AD456,T457))</f>
        <v>0</v>
      </c>
      <c r="AE457" s="30" t="n">
        <f aca="false">AB457-AB456</f>
        <v>0</v>
      </c>
      <c r="AF457" s="30" t="n">
        <f aca="false">-AD457*AB457</f>
        <v>-0</v>
      </c>
      <c r="AG457" s="30" t="n">
        <f aca="false">AF457-AF456</f>
        <v>0</v>
      </c>
      <c r="AH457" s="30" t="n">
        <f aca="false">MAX(AE457,0)*(Inputs!$B$17+Inputs!$B$18+Inputs!$B$19)+MAX(-AE457,0)*(O457+Inputs!$B$18+Inputs!$B$19)+IF(AND(K457=1,AB457&lt;&gt;0),(Inputs!$B$17+Inputs!$B$18+Inputs!$B$19)+(O457+Inputs!$B$18+Inputs!$B$19),0)+MAX(AG457,0)*(Inputs!$B$20+Inputs!$B$22+Inputs!$B$23)+MAX(-AG457,0)*(Inputs!$B$21+Inputs!$B$22+Inputs!$B$23)</f>
        <v>0</v>
      </c>
      <c r="AI457" s="30" t="n">
        <f aca="false">AB456*(M457-AD456*J457)+AB456*AD456*N457/Inputs!$B$16-AH457</f>
        <v>0</v>
      </c>
      <c r="AJ457" s="30" t="n">
        <f aca="false">MAX(AE457,0)*(Inputs!$B$17+Inputs!$B$24+Inputs!$B$25)+MAX(-AE457,0)*(O457+Inputs!$B$24+Inputs!$B$25)+IF(AND(K457=1,AB457&lt;&gt;0),(Inputs!$B$17+Inputs!$B$24+Inputs!$B$25)+(O457+Inputs!$B$24+Inputs!$B$25),0)+MAX(AG457,0)*(Inputs!$B$20+Inputs!$B$26+Inputs!$B$27)+MAX(-AG457,0)*(Inputs!$B$21+Inputs!$B$26+Inputs!$B$27)</f>
        <v>0</v>
      </c>
      <c r="AK457" s="30" t="n">
        <f aca="false">AB456*(M457-AD456*J457)+AB456*AD456*(N457+Inputs!$B$14)/Inputs!$B$16-AJ457</f>
        <v>0</v>
      </c>
      <c r="AL457" s="30" t="n">
        <f aca="false">IF(AP456&lt;&gt;0,AQ456+1,0)</f>
        <v>0</v>
      </c>
      <c r="AM457" s="30" t="n">
        <f aca="false">IF(W457="",0,IF(AND(AP456&lt;&gt;0,OR(ABS(W457)&gt;Inputs!$B$7,AL457&gt;=Inputs!$B$8,ABS(W457)&lt;Inputs!$B$6)),1,0))</f>
        <v>0</v>
      </c>
      <c r="AN457" s="30" t="n">
        <f aca="false">IF(AM457=1,0,AP456)</f>
        <v>0</v>
      </c>
      <c r="AO457" s="30" t="n">
        <f aca="false">IF(W457="",0,IF(AND(AN457=0,ABS(W457)&gt;Inputs!$B$5,ABS(W457)&lt;=Inputs!$B$7,W457&gt;0),1,0))</f>
        <v>0</v>
      </c>
      <c r="AP457" s="30" t="n">
        <f aca="false">IF(W457="",0,IF(AO457=1,-SIGN(W457),AN457))</f>
        <v>0</v>
      </c>
      <c r="AQ457" s="30" t="n">
        <f aca="false">IF(W457="",0,IF(AO457=1,0,IF(AM457=1,0,AL457)))</f>
        <v>0</v>
      </c>
      <c r="AR457" s="30" t="n">
        <f aca="false">IF(AP457=0,0,IF(AP456=AP457,AR456,T457))</f>
        <v>0</v>
      </c>
      <c r="AS457" s="30" t="n">
        <f aca="false">AP457-AP456</f>
        <v>0</v>
      </c>
      <c r="AT457" s="30" t="n">
        <f aca="false">-AR457*AP457</f>
        <v>-0</v>
      </c>
      <c r="AU457" s="30" t="n">
        <f aca="false">AT457-AT456</f>
        <v>0</v>
      </c>
      <c r="AV457" s="30" t="n">
        <f aca="false">MAX(AS457,0)*(Inputs!$B$17+Inputs!$B$18+Inputs!$B$19)+MAX(-AS457,0)*(O457+Inputs!$B$18+Inputs!$B$19)+IF(AND(K457=1,AP457&lt;&gt;0),(Inputs!$B$17+Inputs!$B$18+Inputs!$B$19)+(O457+Inputs!$B$18+Inputs!$B$19),0)+MAX(AU457,0)*(Inputs!$B$20+Inputs!$B$22+Inputs!$B$23)+MAX(-AU457,0)*(Inputs!$B$21+Inputs!$B$22+Inputs!$B$23)</f>
        <v>0</v>
      </c>
      <c r="AW457" s="30" t="n">
        <f aca="false">AP456*(M457-AR456*J457)+AP456*AR456*N457/Inputs!$B$16-AV457</f>
        <v>0</v>
      </c>
      <c r="AX457" s="30" t="n">
        <f aca="false">AW457-IF(AP456&lt;&gt;0,0.75*AR456*(Inputs!$B$13-N457)/Inputs!$B$16,0)</f>
        <v>0</v>
      </c>
      <c r="AY457" s="30" t="n">
        <f aca="false">MAX(AS457,0)*(Inputs!$B$17+Inputs!$B$18+Inputs!$B$19)+MAX(-AS457,0)*(O457+Inputs!$B$18+Inputs!$B$19)+IF(AND(K457=1,AP457&lt;&gt;0),(Inputs!$B$17+Inputs!$B$18+Inputs!$B$19)+(O457+Inputs!$B$18+Inputs!$B$19),0)</f>
        <v>0</v>
      </c>
      <c r="AZ457" s="30" t="n">
        <f aca="false">AP456*M457-AY457</f>
        <v>-0</v>
      </c>
      <c r="BA457" s="32" t="n">
        <f aca="false">BA456+AI457</f>
        <v>0.00429130278454792</v>
      </c>
      <c r="BB457" s="30" t="n">
        <f aca="false">MAX(BB456,BA457)</f>
        <v>0.00429130278454792</v>
      </c>
      <c r="BC457" s="32" t="n">
        <f aca="false">BA457-BB457</f>
        <v>0</v>
      </c>
      <c r="BD457" s="30" t="n">
        <f aca="false">A458-A457</f>
        <v>3</v>
      </c>
    </row>
    <row r="458" customFormat="false" ht="15" hidden="false" customHeight="false" outlineLevel="0" collapsed="false">
      <c r="A458" s="28" t="n">
        <v>45712</v>
      </c>
      <c r="B458" s="0" t="n">
        <v>22604.25</v>
      </c>
      <c r="C458" s="0" t="n">
        <v>252.89</v>
      </c>
      <c r="D458" s="29" t="n">
        <f aca="false">LN(B458)</f>
        <v>10.025893220678</v>
      </c>
      <c r="E458" s="29" t="n">
        <f aca="false">LN(C458)</f>
        <v>5.53295461157346</v>
      </c>
      <c r="F458" s="0" t="n">
        <v>453</v>
      </c>
      <c r="G458" s="0" t="n">
        <v>3</v>
      </c>
      <c r="H458" s="29" t="n">
        <f aca="false">D458-E458</f>
        <v>4.4929386091045</v>
      </c>
      <c r="I458" s="29" t="n">
        <f aca="false">D458-D457</f>
        <v>-0.00857873365359119</v>
      </c>
      <c r="J458" s="29" t="n">
        <f aca="false">E458-E457</f>
        <v>-0.0099154855262853</v>
      </c>
      <c r="K458" s="0" t="n">
        <v>0</v>
      </c>
      <c r="L458" s="0" t="n">
        <v>0</v>
      </c>
      <c r="M458" s="29" t="n">
        <f aca="false">IF(L458=1,J458-Carry!$B$9/Inputs!$B$16,I458)</f>
        <v>-0.00857873365359119</v>
      </c>
      <c r="N458" s="0" t="n">
        <v>0.0625</v>
      </c>
      <c r="O458" s="0" t="n">
        <v>0.0002</v>
      </c>
      <c r="P458" s="29" t="n">
        <f aca="false">D458-('2 Hedge ratio'!$B$6+'2 Hedge ratio'!$B$5*E458)</f>
        <v>-0.00481463803022741</v>
      </c>
      <c r="Q458" s="29" t="n">
        <f aca="false">D458-('5 Re-specification'!$B$7+'5 Re-specification'!$B$5*E458+'5 Re-specification'!$B$6*F458)</f>
        <v>-0.00114181167794492</v>
      </c>
      <c r="R458" s="30" t="n">
        <f aca="false">MIN(F458,Inputs!$B$9)</f>
        <v>250</v>
      </c>
      <c r="S458" s="29" t="n">
        <f aca="true">IF(AND(F458&gt;=1,R458&gt;=Inputs!$B$10),INDEX(LINEST(OFFSET(D458,-R458,0,R458,1),OFFSET(E458,-R458,0,R458,2)),1,1),"")</f>
        <v>-4.92922554688595E-005</v>
      </c>
      <c r="T458" s="29" t="n">
        <f aca="true">IF(AND(F458&gt;=1,R458&gt;=Inputs!$B$10),INDEX(LINEST(OFFSET(D458,-R458,0,R458,1),OFFSET(E458,-R458,0,R458,2)),1,2),"")</f>
        <v>0.985102225535339</v>
      </c>
      <c r="U458" s="29" t="n">
        <f aca="true">IF(AND(F458&gt;=1,R458&gt;=Inputs!$B$10),INDEX(LINEST(OFFSET(D458,-R458,0,R458,1),OFFSET(E458,-R458,0,R458,2)),1,3),"")</f>
        <v>4.59848471431328</v>
      </c>
      <c r="V458" s="29" t="n">
        <f aca="true">IF(AND(F458&gt;=1,R458&gt;=Inputs!$B$10),SQRT(SUMPRODUCT((OFFSET(D458,-R458,0,R458,1)-U458-T458*OFFSET(E458,-R458,0,R458,1)-S458*OFFSET(F458,-R458,0,R458,1))^2)/(R458-3)),"")</f>
        <v>0.00339484040085929</v>
      </c>
      <c r="W458" s="31" t="n">
        <f aca="false">IF(AND(F458&gt;=1,R458&gt;=Inputs!$B$10),(D458-U458-T458*E458-S458*F458)/V458,"")</f>
        <v>-0.232117997290205</v>
      </c>
      <c r="X458" s="30" t="n">
        <f aca="false">IF(AB457&lt;&gt;0,AC457+1,0)</f>
        <v>0</v>
      </c>
      <c r="Y458" s="30" t="n">
        <f aca="false">IF(W458="",0,IF(AND(AB457&lt;&gt;0,OR(ABS(W458)&gt;Inputs!$B$7,X458&gt;=Inputs!$B$8,ABS(W458)&lt;Inputs!$B$6)),1,0))</f>
        <v>0</v>
      </c>
      <c r="Z458" s="30" t="n">
        <f aca="false">IF(Y458=1,0,AB457)</f>
        <v>0</v>
      </c>
      <c r="AA458" s="30" t="n">
        <f aca="false">IF(W458="",0,IF(AND(Z458=0,ABS(W458)&gt;Inputs!$B$5,ABS(W458)&lt;=Inputs!$B$7),1,0))</f>
        <v>0</v>
      </c>
      <c r="AB458" s="30" t="n">
        <f aca="false">IF(W458="",0,IF(AA458=1,-SIGN(W458),Z458))</f>
        <v>0</v>
      </c>
      <c r="AC458" s="30" t="n">
        <f aca="false">IF(W458="",0,IF(AA458=1,0,IF(Y458=1,0,X458)))</f>
        <v>0</v>
      </c>
      <c r="AD458" s="30" t="n">
        <f aca="false">IF(AB458=0,0,IF(AB457=AB458,AD457,T458))</f>
        <v>0</v>
      </c>
      <c r="AE458" s="30" t="n">
        <f aca="false">AB458-AB457</f>
        <v>0</v>
      </c>
      <c r="AF458" s="30" t="n">
        <f aca="false">-AD458*AB458</f>
        <v>-0</v>
      </c>
      <c r="AG458" s="30" t="n">
        <f aca="false">AF458-AF457</f>
        <v>0</v>
      </c>
      <c r="AH458" s="30" t="n">
        <f aca="false">MAX(AE458,0)*(Inputs!$B$17+Inputs!$B$18+Inputs!$B$19)+MAX(-AE458,0)*(O458+Inputs!$B$18+Inputs!$B$19)+IF(AND(K458=1,AB458&lt;&gt;0),(Inputs!$B$17+Inputs!$B$18+Inputs!$B$19)+(O458+Inputs!$B$18+Inputs!$B$19),0)+MAX(AG458,0)*(Inputs!$B$20+Inputs!$B$22+Inputs!$B$23)+MAX(-AG458,0)*(Inputs!$B$21+Inputs!$B$22+Inputs!$B$23)</f>
        <v>0</v>
      </c>
      <c r="AI458" s="30" t="n">
        <f aca="false">AB457*(M458-AD457*J458)+AB457*AD457*N458/Inputs!$B$16-AH458</f>
        <v>0</v>
      </c>
      <c r="AJ458" s="30" t="n">
        <f aca="false">MAX(AE458,0)*(Inputs!$B$17+Inputs!$B$24+Inputs!$B$25)+MAX(-AE458,0)*(O458+Inputs!$B$24+Inputs!$B$25)+IF(AND(K458=1,AB458&lt;&gt;0),(Inputs!$B$17+Inputs!$B$24+Inputs!$B$25)+(O458+Inputs!$B$24+Inputs!$B$25),0)+MAX(AG458,0)*(Inputs!$B$20+Inputs!$B$26+Inputs!$B$27)+MAX(-AG458,0)*(Inputs!$B$21+Inputs!$B$26+Inputs!$B$27)</f>
        <v>0</v>
      </c>
      <c r="AK458" s="30" t="n">
        <f aca="false">AB457*(M458-AD457*J458)+AB457*AD457*(N458+Inputs!$B$14)/Inputs!$B$16-AJ458</f>
        <v>0</v>
      </c>
      <c r="AL458" s="30" t="n">
        <f aca="false">IF(AP457&lt;&gt;0,AQ457+1,0)</f>
        <v>0</v>
      </c>
      <c r="AM458" s="30" t="n">
        <f aca="false">IF(W458="",0,IF(AND(AP457&lt;&gt;0,OR(ABS(W458)&gt;Inputs!$B$7,AL458&gt;=Inputs!$B$8,ABS(W458)&lt;Inputs!$B$6)),1,0))</f>
        <v>0</v>
      </c>
      <c r="AN458" s="30" t="n">
        <f aca="false">IF(AM458=1,0,AP457)</f>
        <v>0</v>
      </c>
      <c r="AO458" s="30" t="n">
        <f aca="false">IF(W458="",0,IF(AND(AN458=0,ABS(W458)&gt;Inputs!$B$5,ABS(W458)&lt;=Inputs!$B$7,W458&gt;0),1,0))</f>
        <v>0</v>
      </c>
      <c r="AP458" s="30" t="n">
        <f aca="false">IF(W458="",0,IF(AO458=1,-SIGN(W458),AN458))</f>
        <v>0</v>
      </c>
      <c r="AQ458" s="30" t="n">
        <f aca="false">IF(W458="",0,IF(AO458=1,0,IF(AM458=1,0,AL458)))</f>
        <v>0</v>
      </c>
      <c r="AR458" s="30" t="n">
        <f aca="false">IF(AP458=0,0,IF(AP457=AP458,AR457,T458))</f>
        <v>0</v>
      </c>
      <c r="AS458" s="30" t="n">
        <f aca="false">AP458-AP457</f>
        <v>0</v>
      </c>
      <c r="AT458" s="30" t="n">
        <f aca="false">-AR458*AP458</f>
        <v>-0</v>
      </c>
      <c r="AU458" s="30" t="n">
        <f aca="false">AT458-AT457</f>
        <v>0</v>
      </c>
      <c r="AV458" s="30" t="n">
        <f aca="false">MAX(AS458,0)*(Inputs!$B$17+Inputs!$B$18+Inputs!$B$19)+MAX(-AS458,0)*(O458+Inputs!$B$18+Inputs!$B$19)+IF(AND(K458=1,AP458&lt;&gt;0),(Inputs!$B$17+Inputs!$B$18+Inputs!$B$19)+(O458+Inputs!$B$18+Inputs!$B$19),0)+MAX(AU458,0)*(Inputs!$B$20+Inputs!$B$22+Inputs!$B$23)+MAX(-AU458,0)*(Inputs!$B$21+Inputs!$B$22+Inputs!$B$23)</f>
        <v>0</v>
      </c>
      <c r="AW458" s="30" t="n">
        <f aca="false">AP457*(M458-AR457*J458)+AP457*AR457*N458/Inputs!$B$16-AV458</f>
        <v>0</v>
      </c>
      <c r="AX458" s="30" t="n">
        <f aca="false">AW458-IF(AP457&lt;&gt;0,0.75*AR457*(Inputs!$B$13-N458)/Inputs!$B$16,0)</f>
        <v>0</v>
      </c>
      <c r="AY458" s="30" t="n">
        <f aca="false">MAX(AS458,0)*(Inputs!$B$17+Inputs!$B$18+Inputs!$B$19)+MAX(-AS458,0)*(O458+Inputs!$B$18+Inputs!$B$19)+IF(AND(K458=1,AP458&lt;&gt;0),(Inputs!$B$17+Inputs!$B$18+Inputs!$B$19)+(O458+Inputs!$B$18+Inputs!$B$19),0)</f>
        <v>0</v>
      </c>
      <c r="AZ458" s="30" t="n">
        <f aca="false">AP457*M458-AY458</f>
        <v>-0</v>
      </c>
      <c r="BA458" s="32" t="n">
        <f aca="false">BA457+AI458</f>
        <v>0.00429130278454792</v>
      </c>
      <c r="BB458" s="30" t="n">
        <f aca="false">MAX(BB457,BA458)</f>
        <v>0.00429130278454792</v>
      </c>
      <c r="BC458" s="32" t="n">
        <f aca="false">BA458-BB458</f>
        <v>0</v>
      </c>
      <c r="BD458" s="30" t="n">
        <f aca="false">A459-A458</f>
        <v>1</v>
      </c>
    </row>
    <row r="459" customFormat="false" ht="15" hidden="false" customHeight="false" outlineLevel="0" collapsed="false">
      <c r="A459" s="28" t="n">
        <v>45713</v>
      </c>
      <c r="B459" s="0" t="n">
        <v>22567</v>
      </c>
      <c r="C459" s="0" t="n">
        <v>252.65</v>
      </c>
      <c r="D459" s="29" t="n">
        <f aca="false">LN(B459)</f>
        <v>10.0242439411719</v>
      </c>
      <c r="E459" s="29" t="n">
        <f aca="false">LN(C459)</f>
        <v>5.53200513173792</v>
      </c>
      <c r="F459" s="0" t="n">
        <v>454</v>
      </c>
      <c r="G459" s="0" t="n">
        <v>2</v>
      </c>
      <c r="H459" s="29" t="n">
        <f aca="false">D459-E459</f>
        <v>4.49223880943399</v>
      </c>
      <c r="I459" s="29" t="n">
        <f aca="false">D459-D458</f>
        <v>-0.00164927950604543</v>
      </c>
      <c r="J459" s="29" t="n">
        <f aca="false">E459-E458</f>
        <v>-0.000949479835543166</v>
      </c>
      <c r="K459" s="0" t="n">
        <v>0</v>
      </c>
      <c r="L459" s="0" t="n">
        <v>0</v>
      </c>
      <c r="M459" s="29" t="n">
        <f aca="false">IF(L459=1,J459-Carry!$B$9/Inputs!$B$16,I459)</f>
        <v>-0.00164927950604543</v>
      </c>
      <c r="N459" s="0" t="n">
        <v>0.0625</v>
      </c>
      <c r="O459" s="0" t="n">
        <v>0.0002</v>
      </c>
      <c r="P459" s="29" t="n">
        <f aca="false">D459-('2 Hedge ratio'!$B$6+'2 Hedge ratio'!$B$5*E459)</f>
        <v>-0.00559407365156517</v>
      </c>
      <c r="Q459" s="29" t="n">
        <f aca="false">D459-('5 Re-specification'!$B$7+'5 Re-specification'!$B$5*E459+'5 Re-specification'!$B$6*F459)</f>
        <v>-0.00179955942901167</v>
      </c>
      <c r="R459" s="30" t="n">
        <f aca="false">MIN(F459,Inputs!$B$9)</f>
        <v>250</v>
      </c>
      <c r="S459" s="29" t="n">
        <f aca="true">IF(AND(F459&gt;=1,R459&gt;=Inputs!$B$10),INDEX(LINEST(OFFSET(D459,-R459,0,R459,1),OFFSET(E459,-R459,0,R459,2)),1,1),"")</f>
        <v>-4.94526579027409E-005</v>
      </c>
      <c r="T459" s="29" t="n">
        <f aca="true">IF(AND(F459&gt;=1,R459&gt;=Inputs!$B$10),INDEX(LINEST(OFFSET(D459,-R459,0,R459,1),OFFSET(E459,-R459,0,R459,2)),1,2),"")</f>
        <v>0.985237397569672</v>
      </c>
      <c r="U459" s="29" t="n">
        <f aca="true">IF(AND(F459&gt;=1,R459&gt;=Inputs!$B$10),INDEX(LINEST(OFFSET(D459,-R459,0,R459,1),OFFSET(E459,-R459,0,R459,2)),1,3),"")</f>
        <v>4.59778217020108</v>
      </c>
      <c r="V459" s="29" t="n">
        <f aca="true">IF(AND(F459&gt;=1,R459&gt;=Inputs!$B$10),SQRT(SUMPRODUCT((OFFSET(D459,-R459,0,R459,1)-U459-T459*OFFSET(E459,-R459,0,R459,1)-S459*OFFSET(F459,-R459,0,R459,1))^2)/(R459-3)),"")</f>
        <v>0.0033950976350425</v>
      </c>
      <c r="W459" s="31" t="n">
        <f aca="false">IF(AND(F459&gt;=1,R459&gt;=Inputs!$B$10),(D459-U459-T459*E459-S459*F459)/V459,"")</f>
        <v>-0.419741000126493</v>
      </c>
      <c r="X459" s="30" t="n">
        <f aca="false">IF(AB458&lt;&gt;0,AC458+1,0)</f>
        <v>0</v>
      </c>
      <c r="Y459" s="30" t="n">
        <f aca="false">IF(W459="",0,IF(AND(AB458&lt;&gt;0,OR(ABS(W459)&gt;Inputs!$B$7,X459&gt;=Inputs!$B$8,ABS(W459)&lt;Inputs!$B$6)),1,0))</f>
        <v>0</v>
      </c>
      <c r="Z459" s="30" t="n">
        <f aca="false">IF(Y459=1,0,AB458)</f>
        <v>0</v>
      </c>
      <c r="AA459" s="30" t="n">
        <f aca="false">IF(W459="",0,IF(AND(Z459=0,ABS(W459)&gt;Inputs!$B$5,ABS(W459)&lt;=Inputs!$B$7),1,0))</f>
        <v>0</v>
      </c>
      <c r="AB459" s="30" t="n">
        <f aca="false">IF(W459="",0,IF(AA459=1,-SIGN(W459),Z459))</f>
        <v>0</v>
      </c>
      <c r="AC459" s="30" t="n">
        <f aca="false">IF(W459="",0,IF(AA459=1,0,IF(Y459=1,0,X459)))</f>
        <v>0</v>
      </c>
      <c r="AD459" s="30" t="n">
        <f aca="false">IF(AB459=0,0,IF(AB458=AB459,AD458,T459))</f>
        <v>0</v>
      </c>
      <c r="AE459" s="30" t="n">
        <f aca="false">AB459-AB458</f>
        <v>0</v>
      </c>
      <c r="AF459" s="30" t="n">
        <f aca="false">-AD459*AB459</f>
        <v>-0</v>
      </c>
      <c r="AG459" s="30" t="n">
        <f aca="false">AF459-AF458</f>
        <v>0</v>
      </c>
      <c r="AH459" s="30" t="n">
        <f aca="false">MAX(AE459,0)*(Inputs!$B$17+Inputs!$B$18+Inputs!$B$19)+MAX(-AE459,0)*(O459+Inputs!$B$18+Inputs!$B$19)+IF(AND(K459=1,AB459&lt;&gt;0),(Inputs!$B$17+Inputs!$B$18+Inputs!$B$19)+(O459+Inputs!$B$18+Inputs!$B$19),0)+MAX(AG459,0)*(Inputs!$B$20+Inputs!$B$22+Inputs!$B$23)+MAX(-AG459,0)*(Inputs!$B$21+Inputs!$B$22+Inputs!$B$23)</f>
        <v>0</v>
      </c>
      <c r="AI459" s="30" t="n">
        <f aca="false">AB458*(M459-AD458*J459)+AB458*AD458*N459/Inputs!$B$16-AH459</f>
        <v>0</v>
      </c>
      <c r="AJ459" s="30" t="n">
        <f aca="false">MAX(AE459,0)*(Inputs!$B$17+Inputs!$B$24+Inputs!$B$25)+MAX(-AE459,0)*(O459+Inputs!$B$24+Inputs!$B$25)+IF(AND(K459=1,AB459&lt;&gt;0),(Inputs!$B$17+Inputs!$B$24+Inputs!$B$25)+(O459+Inputs!$B$24+Inputs!$B$25),0)+MAX(AG459,0)*(Inputs!$B$20+Inputs!$B$26+Inputs!$B$27)+MAX(-AG459,0)*(Inputs!$B$21+Inputs!$B$26+Inputs!$B$27)</f>
        <v>0</v>
      </c>
      <c r="AK459" s="30" t="n">
        <f aca="false">AB458*(M459-AD458*J459)+AB458*AD458*(N459+Inputs!$B$14)/Inputs!$B$16-AJ459</f>
        <v>0</v>
      </c>
      <c r="AL459" s="30" t="n">
        <f aca="false">IF(AP458&lt;&gt;0,AQ458+1,0)</f>
        <v>0</v>
      </c>
      <c r="AM459" s="30" t="n">
        <f aca="false">IF(W459="",0,IF(AND(AP458&lt;&gt;0,OR(ABS(W459)&gt;Inputs!$B$7,AL459&gt;=Inputs!$B$8,ABS(W459)&lt;Inputs!$B$6)),1,0))</f>
        <v>0</v>
      </c>
      <c r="AN459" s="30" t="n">
        <f aca="false">IF(AM459=1,0,AP458)</f>
        <v>0</v>
      </c>
      <c r="AO459" s="30" t="n">
        <f aca="false">IF(W459="",0,IF(AND(AN459=0,ABS(W459)&gt;Inputs!$B$5,ABS(W459)&lt;=Inputs!$B$7,W459&gt;0),1,0))</f>
        <v>0</v>
      </c>
      <c r="AP459" s="30" t="n">
        <f aca="false">IF(W459="",0,IF(AO459=1,-SIGN(W459),AN459))</f>
        <v>0</v>
      </c>
      <c r="AQ459" s="30" t="n">
        <f aca="false">IF(W459="",0,IF(AO459=1,0,IF(AM459=1,0,AL459)))</f>
        <v>0</v>
      </c>
      <c r="AR459" s="30" t="n">
        <f aca="false">IF(AP459=0,0,IF(AP458=AP459,AR458,T459))</f>
        <v>0</v>
      </c>
      <c r="AS459" s="30" t="n">
        <f aca="false">AP459-AP458</f>
        <v>0</v>
      </c>
      <c r="AT459" s="30" t="n">
        <f aca="false">-AR459*AP459</f>
        <v>-0</v>
      </c>
      <c r="AU459" s="30" t="n">
        <f aca="false">AT459-AT458</f>
        <v>0</v>
      </c>
      <c r="AV459" s="30" t="n">
        <f aca="false">MAX(AS459,0)*(Inputs!$B$17+Inputs!$B$18+Inputs!$B$19)+MAX(-AS459,0)*(O459+Inputs!$B$18+Inputs!$B$19)+IF(AND(K459=1,AP459&lt;&gt;0),(Inputs!$B$17+Inputs!$B$18+Inputs!$B$19)+(O459+Inputs!$B$18+Inputs!$B$19),0)+MAX(AU459,0)*(Inputs!$B$20+Inputs!$B$22+Inputs!$B$23)+MAX(-AU459,0)*(Inputs!$B$21+Inputs!$B$22+Inputs!$B$23)</f>
        <v>0</v>
      </c>
      <c r="AW459" s="30" t="n">
        <f aca="false">AP458*(M459-AR458*J459)+AP458*AR458*N459/Inputs!$B$16-AV459</f>
        <v>0</v>
      </c>
      <c r="AX459" s="30" t="n">
        <f aca="false">AW459-IF(AP458&lt;&gt;0,0.75*AR458*(Inputs!$B$13-N459)/Inputs!$B$16,0)</f>
        <v>0</v>
      </c>
      <c r="AY459" s="30" t="n">
        <f aca="false">MAX(AS459,0)*(Inputs!$B$17+Inputs!$B$18+Inputs!$B$19)+MAX(-AS459,0)*(O459+Inputs!$B$18+Inputs!$B$19)+IF(AND(K459=1,AP459&lt;&gt;0),(Inputs!$B$17+Inputs!$B$18+Inputs!$B$19)+(O459+Inputs!$B$18+Inputs!$B$19),0)</f>
        <v>0</v>
      </c>
      <c r="AZ459" s="30" t="n">
        <f aca="false">AP458*M459-AY459</f>
        <v>-0</v>
      </c>
      <c r="BA459" s="32" t="n">
        <f aca="false">BA458+AI459</f>
        <v>0.00429130278454792</v>
      </c>
      <c r="BB459" s="30" t="n">
        <f aca="false">MAX(BB458,BA459)</f>
        <v>0.00429130278454792</v>
      </c>
      <c r="BC459" s="32" t="n">
        <f aca="false">BA459-BB459</f>
        <v>0</v>
      </c>
      <c r="BD459" s="30" t="n">
        <f aca="false">A460-A459</f>
        <v>2</v>
      </c>
    </row>
    <row r="460" customFormat="false" ht="15" hidden="false" customHeight="false" outlineLevel="0" collapsed="false">
      <c r="A460" s="28" t="n">
        <v>45715</v>
      </c>
      <c r="B460" s="0" t="n">
        <v>22543.45</v>
      </c>
      <c r="C460" s="0" t="n">
        <v>252.58</v>
      </c>
      <c r="D460" s="29" t="n">
        <f aca="false">LN(B460)</f>
        <v>10.0231998371056</v>
      </c>
      <c r="E460" s="29" t="n">
        <f aca="false">LN(C460)</f>
        <v>5.53172803021802</v>
      </c>
      <c r="F460" s="0" t="n">
        <v>455</v>
      </c>
      <c r="G460" s="0" t="n">
        <v>0</v>
      </c>
      <c r="H460" s="29" t="n">
        <f aca="false">D460-E460</f>
        <v>4.49147180688756</v>
      </c>
      <c r="I460" s="29" t="n">
        <f aca="false">D460-D459</f>
        <v>-0.00104410406632738</v>
      </c>
      <c r="J460" s="29" t="n">
        <f aca="false">E460-E459</f>
        <v>-0.000277101519893463</v>
      </c>
      <c r="K460" s="0" t="n">
        <v>1</v>
      </c>
      <c r="L460" s="0" t="n">
        <v>0</v>
      </c>
      <c r="M460" s="29" t="n">
        <f aca="false">IF(L460=1,J460-Carry!$B$9/Inputs!$B$16,I460)</f>
        <v>-0.00104410406632738</v>
      </c>
      <c r="N460" s="0" t="n">
        <v>0.0625</v>
      </c>
      <c r="O460" s="0" t="n">
        <v>0.0002</v>
      </c>
      <c r="P460" s="29" t="n">
        <f aca="false">D460-('2 Hedge ratio'!$B$6+'2 Hedge ratio'!$B$5*E460)</f>
        <v>-0.0063843176004923</v>
      </c>
      <c r="Q460" s="29" t="n">
        <f aca="false">D460-('5 Re-specification'!$B$7+'5 Re-specification'!$B$5*E460+'5 Re-specification'!$B$6*F460)</f>
        <v>-0.00252247241351178</v>
      </c>
      <c r="R460" s="30" t="n">
        <f aca="false">MIN(F460,Inputs!$B$9)</f>
        <v>250</v>
      </c>
      <c r="S460" s="29" t="n">
        <f aca="true">IF(AND(F460&gt;=1,R460&gt;=Inputs!$B$10),INDEX(LINEST(OFFSET(D460,-R460,0,R460,1),OFFSET(E460,-R460,0,R460,2)),1,1),"")</f>
        <v>-4.97177416892087E-005</v>
      </c>
      <c r="T460" s="29" t="n">
        <f aca="true">IF(AND(F460&gt;=1,R460&gt;=Inputs!$B$10),INDEX(LINEST(OFFSET(D460,-R460,0,R460,1),OFFSET(E460,-R460,0,R460,2)),1,2),"")</f>
        <v>0.985490450994777</v>
      </c>
      <c r="U460" s="29" t="n">
        <f aca="true">IF(AND(F460&gt;=1,R460&gt;=Inputs!$B$10),INDEX(LINEST(OFFSET(D460,-R460,0,R460,1),OFFSET(E460,-R460,0,R460,2)),1,3),"")</f>
        <v>4.59645467653266</v>
      </c>
      <c r="V460" s="29" t="n">
        <f aca="true">IF(AND(F460&gt;=1,R460&gt;=Inputs!$B$10),SQRT(SUMPRODUCT((OFFSET(D460,-R460,0,R460,1)-U460-T460*OFFSET(E460,-R460,0,R460,1)-S460*OFFSET(F460,-R460,0,R460,1))^2)/(R460-3)),"")</f>
        <v>0.00339613108740387</v>
      </c>
      <c r="W460" s="31" t="n">
        <f aca="false">IF(AND(F460&gt;=1,R460&gt;=Inputs!$B$10),(D460-U460-T460*E460-S460*F460)/V460,"")</f>
        <v>-0.617884935678518</v>
      </c>
      <c r="X460" s="30" t="n">
        <f aca="false">IF(AB459&lt;&gt;0,AC459+1,0)</f>
        <v>0</v>
      </c>
      <c r="Y460" s="30" t="n">
        <f aca="false">IF(W460="",0,IF(AND(AB459&lt;&gt;0,OR(ABS(W460)&gt;Inputs!$B$7,X460&gt;=Inputs!$B$8,ABS(W460)&lt;Inputs!$B$6)),1,0))</f>
        <v>0</v>
      </c>
      <c r="Z460" s="30" t="n">
        <f aca="false">IF(Y460=1,0,AB459)</f>
        <v>0</v>
      </c>
      <c r="AA460" s="30" t="n">
        <f aca="false">IF(W460="",0,IF(AND(Z460=0,ABS(W460)&gt;Inputs!$B$5,ABS(W460)&lt;=Inputs!$B$7),1,0))</f>
        <v>0</v>
      </c>
      <c r="AB460" s="30" t="n">
        <f aca="false">IF(W460="",0,IF(AA460=1,-SIGN(W460),Z460))</f>
        <v>0</v>
      </c>
      <c r="AC460" s="30" t="n">
        <f aca="false">IF(W460="",0,IF(AA460=1,0,IF(Y460=1,0,X460)))</f>
        <v>0</v>
      </c>
      <c r="AD460" s="30" t="n">
        <f aca="false">IF(AB460=0,0,IF(AB459=AB460,AD459,T460))</f>
        <v>0</v>
      </c>
      <c r="AE460" s="30" t="n">
        <f aca="false">AB460-AB459</f>
        <v>0</v>
      </c>
      <c r="AF460" s="30" t="n">
        <f aca="false">-AD460*AB460</f>
        <v>-0</v>
      </c>
      <c r="AG460" s="30" t="n">
        <f aca="false">AF460-AF459</f>
        <v>0</v>
      </c>
      <c r="AH460" s="30" t="n">
        <f aca="false">MAX(AE460,0)*(Inputs!$B$17+Inputs!$B$18+Inputs!$B$19)+MAX(-AE460,0)*(O460+Inputs!$B$18+Inputs!$B$19)+IF(AND(K460=1,AB460&lt;&gt;0),(Inputs!$B$17+Inputs!$B$18+Inputs!$B$19)+(O460+Inputs!$B$18+Inputs!$B$19),0)+MAX(AG460,0)*(Inputs!$B$20+Inputs!$B$22+Inputs!$B$23)+MAX(-AG460,0)*(Inputs!$B$21+Inputs!$B$22+Inputs!$B$23)</f>
        <v>0</v>
      </c>
      <c r="AI460" s="30" t="n">
        <f aca="false">AB459*(M460-AD459*J460)+AB459*AD459*N460/Inputs!$B$16-AH460</f>
        <v>0</v>
      </c>
      <c r="AJ460" s="30" t="n">
        <f aca="false">MAX(AE460,0)*(Inputs!$B$17+Inputs!$B$24+Inputs!$B$25)+MAX(-AE460,0)*(O460+Inputs!$B$24+Inputs!$B$25)+IF(AND(K460=1,AB460&lt;&gt;0),(Inputs!$B$17+Inputs!$B$24+Inputs!$B$25)+(O460+Inputs!$B$24+Inputs!$B$25),0)+MAX(AG460,0)*(Inputs!$B$20+Inputs!$B$26+Inputs!$B$27)+MAX(-AG460,0)*(Inputs!$B$21+Inputs!$B$26+Inputs!$B$27)</f>
        <v>0</v>
      </c>
      <c r="AK460" s="30" t="n">
        <f aca="false">AB459*(M460-AD459*J460)+AB459*AD459*(N460+Inputs!$B$14)/Inputs!$B$16-AJ460</f>
        <v>0</v>
      </c>
      <c r="AL460" s="30" t="n">
        <f aca="false">IF(AP459&lt;&gt;0,AQ459+1,0)</f>
        <v>0</v>
      </c>
      <c r="AM460" s="30" t="n">
        <f aca="false">IF(W460="",0,IF(AND(AP459&lt;&gt;0,OR(ABS(W460)&gt;Inputs!$B$7,AL460&gt;=Inputs!$B$8,ABS(W460)&lt;Inputs!$B$6)),1,0))</f>
        <v>0</v>
      </c>
      <c r="AN460" s="30" t="n">
        <f aca="false">IF(AM460=1,0,AP459)</f>
        <v>0</v>
      </c>
      <c r="AO460" s="30" t="n">
        <f aca="false">IF(W460="",0,IF(AND(AN460=0,ABS(W460)&gt;Inputs!$B$5,ABS(W460)&lt;=Inputs!$B$7,W460&gt;0),1,0))</f>
        <v>0</v>
      </c>
      <c r="AP460" s="30" t="n">
        <f aca="false">IF(W460="",0,IF(AO460=1,-SIGN(W460),AN460))</f>
        <v>0</v>
      </c>
      <c r="AQ460" s="30" t="n">
        <f aca="false">IF(W460="",0,IF(AO460=1,0,IF(AM460=1,0,AL460)))</f>
        <v>0</v>
      </c>
      <c r="AR460" s="30" t="n">
        <f aca="false">IF(AP460=0,0,IF(AP459=AP460,AR459,T460))</f>
        <v>0</v>
      </c>
      <c r="AS460" s="30" t="n">
        <f aca="false">AP460-AP459</f>
        <v>0</v>
      </c>
      <c r="AT460" s="30" t="n">
        <f aca="false">-AR460*AP460</f>
        <v>-0</v>
      </c>
      <c r="AU460" s="30" t="n">
        <f aca="false">AT460-AT459</f>
        <v>0</v>
      </c>
      <c r="AV460" s="30" t="n">
        <f aca="false">MAX(AS460,0)*(Inputs!$B$17+Inputs!$B$18+Inputs!$B$19)+MAX(-AS460,0)*(O460+Inputs!$B$18+Inputs!$B$19)+IF(AND(K460=1,AP460&lt;&gt;0),(Inputs!$B$17+Inputs!$B$18+Inputs!$B$19)+(O460+Inputs!$B$18+Inputs!$B$19),0)+MAX(AU460,0)*(Inputs!$B$20+Inputs!$B$22+Inputs!$B$23)+MAX(-AU460,0)*(Inputs!$B$21+Inputs!$B$22+Inputs!$B$23)</f>
        <v>0</v>
      </c>
      <c r="AW460" s="30" t="n">
        <f aca="false">AP459*(M460-AR459*J460)+AP459*AR459*N460/Inputs!$B$16-AV460</f>
        <v>0</v>
      </c>
      <c r="AX460" s="30" t="n">
        <f aca="false">AW460-IF(AP459&lt;&gt;0,0.75*AR459*(Inputs!$B$13-N460)/Inputs!$B$16,0)</f>
        <v>0</v>
      </c>
      <c r="AY460" s="30" t="n">
        <f aca="false">MAX(AS460,0)*(Inputs!$B$17+Inputs!$B$18+Inputs!$B$19)+MAX(-AS460,0)*(O460+Inputs!$B$18+Inputs!$B$19)+IF(AND(K460=1,AP460&lt;&gt;0),(Inputs!$B$17+Inputs!$B$18+Inputs!$B$19)+(O460+Inputs!$B$18+Inputs!$B$19),0)</f>
        <v>0</v>
      </c>
      <c r="AZ460" s="30" t="n">
        <f aca="false">AP459*M460-AY460</f>
        <v>-0</v>
      </c>
      <c r="BA460" s="32" t="n">
        <f aca="false">BA459+AI460</f>
        <v>0.00429130278454792</v>
      </c>
      <c r="BB460" s="30" t="n">
        <f aca="false">MAX(BB459,BA460)</f>
        <v>0.00429130278454792</v>
      </c>
      <c r="BC460" s="32" t="n">
        <f aca="false">BA460-BB460</f>
        <v>0</v>
      </c>
      <c r="BD460" s="30" t="n">
        <f aca="false">A461-A460</f>
        <v>1</v>
      </c>
    </row>
    <row r="461" customFormat="false" ht="15" hidden="false" customHeight="false" outlineLevel="0" collapsed="false">
      <c r="A461" s="28" t="n">
        <v>45716</v>
      </c>
      <c r="B461" s="0" t="n">
        <v>22273</v>
      </c>
      <c r="C461" s="0" t="n">
        <v>249.13</v>
      </c>
      <c r="D461" s="29" t="n">
        <f aca="false">LN(B461)</f>
        <v>10.0111304615515</v>
      </c>
      <c r="E461" s="29" t="n">
        <f aca="false">LN(C461)</f>
        <v>5.51797484857741</v>
      </c>
      <c r="F461" s="0" t="n">
        <v>456</v>
      </c>
      <c r="G461" s="0" t="n">
        <v>27</v>
      </c>
      <c r="H461" s="29" t="n">
        <f aca="false">D461-E461</f>
        <v>4.49315561297407</v>
      </c>
      <c r="I461" s="29" t="n">
        <f aca="false">D461-D460</f>
        <v>-0.0120693755540984</v>
      </c>
      <c r="J461" s="29" t="n">
        <f aca="false">E461-E460</f>
        <v>-0.0137531816406096</v>
      </c>
      <c r="K461" s="0" t="n">
        <v>0</v>
      </c>
      <c r="L461" s="0" t="n">
        <v>1</v>
      </c>
      <c r="M461" s="29" t="n">
        <f aca="false">IF(L461=1,J461-Carry!$B$9/Inputs!$B$16,I461)</f>
        <v>-0.0140126398223307</v>
      </c>
      <c r="N461" s="0" t="n">
        <v>0.0625</v>
      </c>
      <c r="O461" s="0" t="n">
        <v>0.0002</v>
      </c>
      <c r="P461" s="29" t="n">
        <f aca="false">D461-('2 Hedge ratio'!$B$6+'2 Hedge ratio'!$B$5*E461)</f>
        <v>-0.00585403542884677</v>
      </c>
      <c r="Q461" s="29" t="n">
        <f aca="false">D461-('5 Re-specification'!$B$7+'5 Re-specification'!$B$5*E461+'5 Re-specification'!$B$6*F461)</f>
        <v>-0.000835416026157887</v>
      </c>
      <c r="R461" s="30" t="n">
        <f aca="false">MIN(F461,Inputs!$B$9)</f>
        <v>250</v>
      </c>
      <c r="S461" s="29" t="n">
        <f aca="true">IF(AND(F461&gt;=1,R461&gt;=Inputs!$B$10),INDEX(LINEST(OFFSET(D461,-R461,0,R461,1),OFFSET(E461,-R461,0,R461,2)),1,1),"")</f>
        <v>-5.03032194947346E-005</v>
      </c>
      <c r="T461" s="29" t="n">
        <f aca="true">IF(AND(F461&gt;=1,R461&gt;=Inputs!$B$10),INDEX(LINEST(OFFSET(D461,-R461,0,R461,1),OFFSET(E461,-R461,0,R461,2)),1,2),"")</f>
        <v>0.98561908104574</v>
      </c>
      <c r="U461" s="29" t="n">
        <f aca="true">IF(AND(F461&gt;=1,R461&gt;=Inputs!$B$10),INDEX(LINEST(OFFSET(D461,-R461,0,R461,1),OFFSET(E461,-R461,0,R461,2)),1,3),"")</f>
        <v>4.59593679990371</v>
      </c>
      <c r="V461" s="29" t="n">
        <f aca="true">IF(AND(F461&gt;=1,R461&gt;=Inputs!$B$10),SQRT(SUMPRODUCT((OFFSET(D461,-R461,0,R461,1)-U461-T461*OFFSET(E461,-R461,0,R461,1)-S461*OFFSET(F461,-R461,0,R461,1))^2)/(R461-3)),"")</f>
        <v>0.00339092041877578</v>
      </c>
      <c r="W461" s="31" t="n">
        <f aca="false">IF(AND(F461&gt;=1,R461&gt;=Inputs!$B$10),(D461-U461-T461*E461-S461*F461)/V461,"")</f>
        <v>-0.144317675014848</v>
      </c>
      <c r="X461" s="30" t="n">
        <f aca="false">IF(AB460&lt;&gt;0,AC460+1,0)</f>
        <v>0</v>
      </c>
      <c r="Y461" s="30" t="n">
        <f aca="false">IF(W461="",0,IF(AND(AB460&lt;&gt;0,OR(ABS(W461)&gt;Inputs!$B$7,X461&gt;=Inputs!$B$8,ABS(W461)&lt;Inputs!$B$6)),1,0))</f>
        <v>0</v>
      </c>
      <c r="Z461" s="30" t="n">
        <f aca="false">IF(Y461=1,0,AB460)</f>
        <v>0</v>
      </c>
      <c r="AA461" s="30" t="n">
        <f aca="false">IF(W461="",0,IF(AND(Z461=0,ABS(W461)&gt;Inputs!$B$5,ABS(W461)&lt;=Inputs!$B$7),1,0))</f>
        <v>0</v>
      </c>
      <c r="AB461" s="30" t="n">
        <f aca="false">IF(W461="",0,IF(AA461=1,-SIGN(W461),Z461))</f>
        <v>0</v>
      </c>
      <c r="AC461" s="30" t="n">
        <f aca="false">IF(W461="",0,IF(AA461=1,0,IF(Y461=1,0,X461)))</f>
        <v>0</v>
      </c>
      <c r="AD461" s="30" t="n">
        <f aca="false">IF(AB461=0,0,IF(AB460=AB461,AD460,T461))</f>
        <v>0</v>
      </c>
      <c r="AE461" s="30" t="n">
        <f aca="false">AB461-AB460</f>
        <v>0</v>
      </c>
      <c r="AF461" s="30" t="n">
        <f aca="false">-AD461*AB461</f>
        <v>-0</v>
      </c>
      <c r="AG461" s="30" t="n">
        <f aca="false">AF461-AF460</f>
        <v>0</v>
      </c>
      <c r="AH461" s="30" t="n">
        <f aca="false">MAX(AE461,0)*(Inputs!$B$17+Inputs!$B$18+Inputs!$B$19)+MAX(-AE461,0)*(O461+Inputs!$B$18+Inputs!$B$19)+IF(AND(K461=1,AB461&lt;&gt;0),(Inputs!$B$17+Inputs!$B$18+Inputs!$B$19)+(O461+Inputs!$B$18+Inputs!$B$19),0)+MAX(AG461,0)*(Inputs!$B$20+Inputs!$B$22+Inputs!$B$23)+MAX(-AG461,0)*(Inputs!$B$21+Inputs!$B$22+Inputs!$B$23)</f>
        <v>0</v>
      </c>
      <c r="AI461" s="30" t="n">
        <f aca="false">AB460*(M461-AD460*J461)+AB460*AD460*N461/Inputs!$B$16-AH461</f>
        <v>0</v>
      </c>
      <c r="AJ461" s="30" t="n">
        <f aca="false">MAX(AE461,0)*(Inputs!$B$17+Inputs!$B$24+Inputs!$B$25)+MAX(-AE461,0)*(O461+Inputs!$B$24+Inputs!$B$25)+IF(AND(K461=1,AB461&lt;&gt;0),(Inputs!$B$17+Inputs!$B$24+Inputs!$B$25)+(O461+Inputs!$B$24+Inputs!$B$25),0)+MAX(AG461,0)*(Inputs!$B$20+Inputs!$B$26+Inputs!$B$27)+MAX(-AG461,0)*(Inputs!$B$21+Inputs!$B$26+Inputs!$B$27)</f>
        <v>0</v>
      </c>
      <c r="AK461" s="30" t="n">
        <f aca="false">AB460*(M461-AD460*J461)+AB460*AD460*(N461+Inputs!$B$14)/Inputs!$B$16-AJ461</f>
        <v>0</v>
      </c>
      <c r="AL461" s="30" t="n">
        <f aca="false">IF(AP460&lt;&gt;0,AQ460+1,0)</f>
        <v>0</v>
      </c>
      <c r="AM461" s="30" t="n">
        <f aca="false">IF(W461="",0,IF(AND(AP460&lt;&gt;0,OR(ABS(W461)&gt;Inputs!$B$7,AL461&gt;=Inputs!$B$8,ABS(W461)&lt;Inputs!$B$6)),1,0))</f>
        <v>0</v>
      </c>
      <c r="AN461" s="30" t="n">
        <f aca="false">IF(AM461=1,0,AP460)</f>
        <v>0</v>
      </c>
      <c r="AO461" s="30" t="n">
        <f aca="false">IF(W461="",0,IF(AND(AN461=0,ABS(W461)&gt;Inputs!$B$5,ABS(W461)&lt;=Inputs!$B$7,W461&gt;0),1,0))</f>
        <v>0</v>
      </c>
      <c r="AP461" s="30" t="n">
        <f aca="false">IF(W461="",0,IF(AO461=1,-SIGN(W461),AN461))</f>
        <v>0</v>
      </c>
      <c r="AQ461" s="30" t="n">
        <f aca="false">IF(W461="",0,IF(AO461=1,0,IF(AM461=1,0,AL461)))</f>
        <v>0</v>
      </c>
      <c r="AR461" s="30" t="n">
        <f aca="false">IF(AP461=0,0,IF(AP460=AP461,AR460,T461))</f>
        <v>0</v>
      </c>
      <c r="AS461" s="30" t="n">
        <f aca="false">AP461-AP460</f>
        <v>0</v>
      </c>
      <c r="AT461" s="30" t="n">
        <f aca="false">-AR461*AP461</f>
        <v>-0</v>
      </c>
      <c r="AU461" s="30" t="n">
        <f aca="false">AT461-AT460</f>
        <v>0</v>
      </c>
      <c r="AV461" s="30" t="n">
        <f aca="false">MAX(AS461,0)*(Inputs!$B$17+Inputs!$B$18+Inputs!$B$19)+MAX(-AS461,0)*(O461+Inputs!$B$18+Inputs!$B$19)+IF(AND(K461=1,AP461&lt;&gt;0),(Inputs!$B$17+Inputs!$B$18+Inputs!$B$19)+(O461+Inputs!$B$18+Inputs!$B$19),0)+MAX(AU461,0)*(Inputs!$B$20+Inputs!$B$22+Inputs!$B$23)+MAX(-AU461,0)*(Inputs!$B$21+Inputs!$B$22+Inputs!$B$23)</f>
        <v>0</v>
      </c>
      <c r="AW461" s="30" t="n">
        <f aca="false">AP460*(M461-AR460*J461)+AP460*AR460*N461/Inputs!$B$16-AV461</f>
        <v>0</v>
      </c>
      <c r="AX461" s="30" t="n">
        <f aca="false">AW461-IF(AP460&lt;&gt;0,0.75*AR460*(Inputs!$B$13-N461)/Inputs!$B$16,0)</f>
        <v>0</v>
      </c>
      <c r="AY461" s="30" t="n">
        <f aca="false">MAX(AS461,0)*(Inputs!$B$17+Inputs!$B$18+Inputs!$B$19)+MAX(-AS461,0)*(O461+Inputs!$B$18+Inputs!$B$19)+IF(AND(K461=1,AP461&lt;&gt;0),(Inputs!$B$17+Inputs!$B$18+Inputs!$B$19)+(O461+Inputs!$B$18+Inputs!$B$19),0)</f>
        <v>0</v>
      </c>
      <c r="AZ461" s="30" t="n">
        <f aca="false">AP460*M461-AY461</f>
        <v>-0</v>
      </c>
      <c r="BA461" s="32" t="n">
        <f aca="false">BA460+AI461</f>
        <v>0.00429130278454792</v>
      </c>
      <c r="BB461" s="30" t="n">
        <f aca="false">MAX(BB460,BA461)</f>
        <v>0.00429130278454792</v>
      </c>
      <c r="BC461" s="32" t="n">
        <f aca="false">BA461-BB461</f>
        <v>0</v>
      </c>
      <c r="BD461" s="30" t="n">
        <f aca="false">A462-A461</f>
        <v>3</v>
      </c>
    </row>
    <row r="462" customFormat="false" ht="15" hidden="false" customHeight="false" outlineLevel="0" collapsed="false">
      <c r="A462" s="28" t="n">
        <v>45719</v>
      </c>
      <c r="B462" s="0" t="n">
        <v>22267</v>
      </c>
      <c r="C462" s="0" t="n">
        <v>248.33</v>
      </c>
      <c r="D462" s="29" t="n">
        <f aca="false">LN(B462)</f>
        <v>10.0108610408045</v>
      </c>
      <c r="E462" s="29" t="n">
        <f aca="false">LN(C462)</f>
        <v>5.51475850680257</v>
      </c>
      <c r="F462" s="0" t="n">
        <v>457</v>
      </c>
      <c r="G462" s="0" t="n">
        <v>24</v>
      </c>
      <c r="H462" s="29" t="n">
        <f aca="false">D462-E462</f>
        <v>4.49610253400189</v>
      </c>
      <c r="I462" s="29" t="n">
        <f aca="false">D462-D461</f>
        <v>-0.000269420747027738</v>
      </c>
      <c r="J462" s="29" t="n">
        <f aca="false">E462-E461</f>
        <v>-0.0032163417748432</v>
      </c>
      <c r="K462" s="0" t="n">
        <v>0</v>
      </c>
      <c r="L462" s="0" t="n">
        <v>0</v>
      </c>
      <c r="M462" s="29" t="n">
        <f aca="false">IF(L462=1,J462-Carry!$B$9/Inputs!$B$16,I462)</f>
        <v>-0.000269420747027738</v>
      </c>
      <c r="N462" s="0" t="n">
        <v>0.0625</v>
      </c>
      <c r="O462" s="0" t="n">
        <v>0.0002</v>
      </c>
      <c r="P462" s="29" t="n">
        <f aca="false">D462-('2 Hedge ratio'!$B$6+'2 Hedge ratio'!$B$5*E462)</f>
        <v>-0.00317687940905742</v>
      </c>
      <c r="Q462" s="29" t="n">
        <f aca="false">D462-('5 Re-specification'!$B$7+'5 Re-specification'!$B$5*E462+'5 Re-specification'!$B$6*F462)</f>
        <v>0.00214668719593725</v>
      </c>
      <c r="R462" s="30" t="n">
        <f aca="false">MIN(F462,Inputs!$B$9)</f>
        <v>250</v>
      </c>
      <c r="S462" s="29" t="n">
        <f aca="true">IF(AND(F462&gt;=1,R462&gt;=Inputs!$B$10),INDEX(LINEST(OFFSET(D462,-R462,0,R462,1),OFFSET(E462,-R462,0,R462,2)),1,1),"")</f>
        <v>-5.04992462355978E-005</v>
      </c>
      <c r="T462" s="29" t="n">
        <f aca="true">IF(AND(F462&gt;=1,R462&gt;=Inputs!$B$10),INDEX(LINEST(OFFSET(D462,-R462,0,R462,1),OFFSET(E462,-R462,0,R462,2)),1,2),"")</f>
        <v>0.98559638563934</v>
      </c>
      <c r="U462" s="29" t="n">
        <f aca="true">IF(AND(F462&gt;=1,R462&gt;=Inputs!$B$10),INDEX(LINEST(OFFSET(D462,-R462,0,R462,1),OFFSET(E462,-R462,0,R462,2)),1,3),"")</f>
        <v>4.59613285978115</v>
      </c>
      <c r="V462" s="29" t="n">
        <f aca="true">IF(AND(F462&gt;=1,R462&gt;=Inputs!$B$10),SQRT(SUMPRODUCT((OFFSET(D462,-R462,0,R462,1)-U462-T462*OFFSET(E462,-R462,0,R462,1)-S462*OFFSET(F462,-R462,0,R462,1))^2)/(R462-3)),"")</f>
        <v>0.00338946096280931</v>
      </c>
      <c r="W462" s="31" t="n">
        <f aca="false">IF(AND(F462&gt;=1,R462&gt;=Inputs!$B$10),(D462-U462-T462*E462-S462*F462)/V462,"")</f>
        <v>0.731763723426842</v>
      </c>
      <c r="X462" s="30" t="n">
        <f aca="false">IF(AB461&lt;&gt;0,AC461+1,0)</f>
        <v>0</v>
      </c>
      <c r="Y462" s="30" t="n">
        <f aca="false">IF(W462="",0,IF(AND(AB461&lt;&gt;0,OR(ABS(W462)&gt;Inputs!$B$7,X462&gt;=Inputs!$B$8,ABS(W462)&lt;Inputs!$B$6)),1,0))</f>
        <v>0</v>
      </c>
      <c r="Z462" s="30" t="n">
        <f aca="false">IF(Y462=1,0,AB461)</f>
        <v>0</v>
      </c>
      <c r="AA462" s="30" t="n">
        <f aca="false">IF(W462="",0,IF(AND(Z462=0,ABS(W462)&gt;Inputs!$B$5,ABS(W462)&lt;=Inputs!$B$7),1,0))</f>
        <v>0</v>
      </c>
      <c r="AB462" s="30" t="n">
        <f aca="false">IF(W462="",0,IF(AA462=1,-SIGN(W462),Z462))</f>
        <v>0</v>
      </c>
      <c r="AC462" s="30" t="n">
        <f aca="false">IF(W462="",0,IF(AA462=1,0,IF(Y462=1,0,X462)))</f>
        <v>0</v>
      </c>
      <c r="AD462" s="30" t="n">
        <f aca="false">IF(AB462=0,0,IF(AB461=AB462,AD461,T462))</f>
        <v>0</v>
      </c>
      <c r="AE462" s="30" t="n">
        <f aca="false">AB462-AB461</f>
        <v>0</v>
      </c>
      <c r="AF462" s="30" t="n">
        <f aca="false">-AD462*AB462</f>
        <v>-0</v>
      </c>
      <c r="AG462" s="30" t="n">
        <f aca="false">AF462-AF461</f>
        <v>0</v>
      </c>
      <c r="AH462" s="30" t="n">
        <f aca="false">MAX(AE462,0)*(Inputs!$B$17+Inputs!$B$18+Inputs!$B$19)+MAX(-AE462,0)*(O462+Inputs!$B$18+Inputs!$B$19)+IF(AND(K462=1,AB462&lt;&gt;0),(Inputs!$B$17+Inputs!$B$18+Inputs!$B$19)+(O462+Inputs!$B$18+Inputs!$B$19),0)+MAX(AG462,0)*(Inputs!$B$20+Inputs!$B$22+Inputs!$B$23)+MAX(-AG462,0)*(Inputs!$B$21+Inputs!$B$22+Inputs!$B$23)</f>
        <v>0</v>
      </c>
      <c r="AI462" s="30" t="n">
        <f aca="false">AB461*(M462-AD461*J462)+AB461*AD461*N462/Inputs!$B$16-AH462</f>
        <v>0</v>
      </c>
      <c r="AJ462" s="30" t="n">
        <f aca="false">MAX(AE462,0)*(Inputs!$B$17+Inputs!$B$24+Inputs!$B$25)+MAX(-AE462,0)*(O462+Inputs!$B$24+Inputs!$B$25)+IF(AND(K462=1,AB462&lt;&gt;0),(Inputs!$B$17+Inputs!$B$24+Inputs!$B$25)+(O462+Inputs!$B$24+Inputs!$B$25),0)+MAX(AG462,0)*(Inputs!$B$20+Inputs!$B$26+Inputs!$B$27)+MAX(-AG462,0)*(Inputs!$B$21+Inputs!$B$26+Inputs!$B$27)</f>
        <v>0</v>
      </c>
      <c r="AK462" s="30" t="n">
        <f aca="false">AB461*(M462-AD461*J462)+AB461*AD461*(N462+Inputs!$B$14)/Inputs!$B$16-AJ462</f>
        <v>0</v>
      </c>
      <c r="AL462" s="30" t="n">
        <f aca="false">IF(AP461&lt;&gt;0,AQ461+1,0)</f>
        <v>0</v>
      </c>
      <c r="AM462" s="30" t="n">
        <f aca="false">IF(W462="",0,IF(AND(AP461&lt;&gt;0,OR(ABS(W462)&gt;Inputs!$B$7,AL462&gt;=Inputs!$B$8,ABS(W462)&lt;Inputs!$B$6)),1,0))</f>
        <v>0</v>
      </c>
      <c r="AN462" s="30" t="n">
        <f aca="false">IF(AM462=1,0,AP461)</f>
        <v>0</v>
      </c>
      <c r="AO462" s="30" t="n">
        <f aca="false">IF(W462="",0,IF(AND(AN462=0,ABS(W462)&gt;Inputs!$B$5,ABS(W462)&lt;=Inputs!$B$7,W462&gt;0),1,0))</f>
        <v>0</v>
      </c>
      <c r="AP462" s="30" t="n">
        <f aca="false">IF(W462="",0,IF(AO462=1,-SIGN(W462),AN462))</f>
        <v>0</v>
      </c>
      <c r="AQ462" s="30" t="n">
        <f aca="false">IF(W462="",0,IF(AO462=1,0,IF(AM462=1,0,AL462)))</f>
        <v>0</v>
      </c>
      <c r="AR462" s="30" t="n">
        <f aca="false">IF(AP462=0,0,IF(AP461=AP462,AR461,T462))</f>
        <v>0</v>
      </c>
      <c r="AS462" s="30" t="n">
        <f aca="false">AP462-AP461</f>
        <v>0</v>
      </c>
      <c r="AT462" s="30" t="n">
        <f aca="false">-AR462*AP462</f>
        <v>-0</v>
      </c>
      <c r="AU462" s="30" t="n">
        <f aca="false">AT462-AT461</f>
        <v>0</v>
      </c>
      <c r="AV462" s="30" t="n">
        <f aca="false">MAX(AS462,0)*(Inputs!$B$17+Inputs!$B$18+Inputs!$B$19)+MAX(-AS462,0)*(O462+Inputs!$B$18+Inputs!$B$19)+IF(AND(K462=1,AP462&lt;&gt;0),(Inputs!$B$17+Inputs!$B$18+Inputs!$B$19)+(O462+Inputs!$B$18+Inputs!$B$19),0)+MAX(AU462,0)*(Inputs!$B$20+Inputs!$B$22+Inputs!$B$23)+MAX(-AU462,0)*(Inputs!$B$21+Inputs!$B$22+Inputs!$B$23)</f>
        <v>0</v>
      </c>
      <c r="AW462" s="30" t="n">
        <f aca="false">AP461*(M462-AR461*J462)+AP461*AR461*N462/Inputs!$B$16-AV462</f>
        <v>0</v>
      </c>
      <c r="AX462" s="30" t="n">
        <f aca="false">AW462-IF(AP461&lt;&gt;0,0.75*AR461*(Inputs!$B$13-N462)/Inputs!$B$16,0)</f>
        <v>0</v>
      </c>
      <c r="AY462" s="30" t="n">
        <f aca="false">MAX(AS462,0)*(Inputs!$B$17+Inputs!$B$18+Inputs!$B$19)+MAX(-AS462,0)*(O462+Inputs!$B$18+Inputs!$B$19)+IF(AND(K462=1,AP462&lt;&gt;0),(Inputs!$B$17+Inputs!$B$18+Inputs!$B$19)+(O462+Inputs!$B$18+Inputs!$B$19),0)</f>
        <v>0</v>
      </c>
      <c r="AZ462" s="30" t="n">
        <f aca="false">AP461*M462-AY462</f>
        <v>-0</v>
      </c>
      <c r="BA462" s="32" t="n">
        <f aca="false">BA461+AI462</f>
        <v>0.00429130278454792</v>
      </c>
      <c r="BB462" s="30" t="n">
        <f aca="false">MAX(BB461,BA462)</f>
        <v>0.00429130278454792</v>
      </c>
      <c r="BC462" s="32" t="n">
        <f aca="false">BA462-BB462</f>
        <v>0</v>
      </c>
      <c r="BD462" s="30" t="n">
        <f aca="false">A463-A462</f>
        <v>1</v>
      </c>
    </row>
    <row r="463" customFormat="false" ht="15" hidden="false" customHeight="false" outlineLevel="0" collapsed="false">
      <c r="A463" s="28" t="n">
        <v>45720</v>
      </c>
      <c r="B463" s="0" t="n">
        <v>22184.8</v>
      </c>
      <c r="C463" s="0" t="n">
        <v>247.45</v>
      </c>
      <c r="D463" s="29" t="n">
        <f aca="false">LN(B463)</f>
        <v>10.0071626486721</v>
      </c>
      <c r="E463" s="29" t="n">
        <f aca="false">LN(C463)</f>
        <v>5.5112085413979</v>
      </c>
      <c r="F463" s="0" t="n">
        <v>458</v>
      </c>
      <c r="G463" s="0" t="n">
        <v>23</v>
      </c>
      <c r="H463" s="29" t="n">
        <f aca="false">D463-E463</f>
        <v>4.49595410727419</v>
      </c>
      <c r="I463" s="29" t="n">
        <f aca="false">D463-D462</f>
        <v>-0.00369839213237633</v>
      </c>
      <c r="J463" s="29" t="n">
        <f aca="false">E463-E462</f>
        <v>-0.00354996540467578</v>
      </c>
      <c r="K463" s="0" t="n">
        <v>0</v>
      </c>
      <c r="L463" s="0" t="n">
        <v>0</v>
      </c>
      <c r="M463" s="29" t="n">
        <f aca="false">IF(L463=1,J463-Carry!$B$9/Inputs!$B$16,I463)</f>
        <v>-0.00369839213237633</v>
      </c>
      <c r="N463" s="0" t="n">
        <v>0.0625</v>
      </c>
      <c r="O463" s="0" t="n">
        <v>0.0002</v>
      </c>
      <c r="P463" s="29" t="n">
        <f aca="false">D463-('2 Hedge ratio'!$B$6+'2 Hedge ratio'!$B$5*E463)</f>
        <v>-0.00362305323981005</v>
      </c>
      <c r="Q463" s="29" t="n">
        <f aca="false">D463-('5 Re-specification'!$B$7+'5 Re-specification'!$B$5*E463+'5 Re-specification'!$B$6*F463)</f>
        <v>0.00203243161610089</v>
      </c>
      <c r="R463" s="30" t="n">
        <f aca="false">MIN(F463,Inputs!$B$9)</f>
        <v>250</v>
      </c>
      <c r="S463" s="29" t="n">
        <f aca="true">IF(AND(F463&gt;=1,R463&gt;=Inputs!$B$10),INDEX(LINEST(OFFSET(D463,-R463,0,R463,1),OFFSET(E463,-R463,0,R463,2)),1,1),"")</f>
        <v>-5.05341035443303E-005</v>
      </c>
      <c r="T463" s="29" t="n">
        <f aca="true">IF(AND(F463&gt;=1,R463&gt;=Inputs!$B$10),INDEX(LINEST(OFFSET(D463,-R463,0,R463,1),OFFSET(E463,-R463,0,R463,2)),1,2),"")</f>
        <v>0.984370515410678</v>
      </c>
      <c r="U463" s="29" t="n">
        <f aca="true">IF(AND(F463&gt;=1,R463&gt;=Inputs!$B$10),INDEX(LINEST(OFFSET(D463,-R463,0,R463,1),OFFSET(E463,-R463,0,R463,2)),1,3),"")</f>
        <v>4.60301626658614</v>
      </c>
      <c r="V463" s="29" t="n">
        <f aca="true">IF(AND(F463&gt;=1,R463&gt;=Inputs!$B$10),SQRT(SUMPRODUCT((OFFSET(D463,-R463,0,R463,1)-U463-T463*OFFSET(E463,-R463,0,R463,1)-S463*OFFSET(F463,-R463,0,R463,1))^2)/(R463-3)),"")</f>
        <v>0.0033669239008201</v>
      </c>
      <c r="W463" s="31" t="n">
        <f aca="false">IF(AND(F463&gt;=1,R463&gt;=Inputs!$B$10),(D463-U463-T463*E463-S463*F463)/V463,"")</f>
        <v>0.659298856480451</v>
      </c>
      <c r="X463" s="30" t="n">
        <f aca="false">IF(AB462&lt;&gt;0,AC462+1,0)</f>
        <v>0</v>
      </c>
      <c r="Y463" s="30" t="n">
        <f aca="false">IF(W463="",0,IF(AND(AB462&lt;&gt;0,OR(ABS(W463)&gt;Inputs!$B$7,X463&gt;=Inputs!$B$8,ABS(W463)&lt;Inputs!$B$6)),1,0))</f>
        <v>0</v>
      </c>
      <c r="Z463" s="30" t="n">
        <f aca="false">IF(Y463=1,0,AB462)</f>
        <v>0</v>
      </c>
      <c r="AA463" s="30" t="n">
        <f aca="false">IF(W463="",0,IF(AND(Z463=0,ABS(W463)&gt;Inputs!$B$5,ABS(W463)&lt;=Inputs!$B$7),1,0))</f>
        <v>0</v>
      </c>
      <c r="AB463" s="30" t="n">
        <f aca="false">IF(W463="",0,IF(AA463=1,-SIGN(W463),Z463))</f>
        <v>0</v>
      </c>
      <c r="AC463" s="30" t="n">
        <f aca="false">IF(W463="",0,IF(AA463=1,0,IF(Y463=1,0,X463)))</f>
        <v>0</v>
      </c>
      <c r="AD463" s="30" t="n">
        <f aca="false">IF(AB463=0,0,IF(AB462=AB463,AD462,T463))</f>
        <v>0</v>
      </c>
      <c r="AE463" s="30" t="n">
        <f aca="false">AB463-AB462</f>
        <v>0</v>
      </c>
      <c r="AF463" s="30" t="n">
        <f aca="false">-AD463*AB463</f>
        <v>-0</v>
      </c>
      <c r="AG463" s="30" t="n">
        <f aca="false">AF463-AF462</f>
        <v>0</v>
      </c>
      <c r="AH463" s="30" t="n">
        <f aca="false">MAX(AE463,0)*(Inputs!$B$17+Inputs!$B$18+Inputs!$B$19)+MAX(-AE463,0)*(O463+Inputs!$B$18+Inputs!$B$19)+IF(AND(K463=1,AB463&lt;&gt;0),(Inputs!$B$17+Inputs!$B$18+Inputs!$B$19)+(O463+Inputs!$B$18+Inputs!$B$19),0)+MAX(AG463,0)*(Inputs!$B$20+Inputs!$B$22+Inputs!$B$23)+MAX(-AG463,0)*(Inputs!$B$21+Inputs!$B$22+Inputs!$B$23)</f>
        <v>0</v>
      </c>
      <c r="AI463" s="30" t="n">
        <f aca="false">AB462*(M463-AD462*J463)+AB462*AD462*N463/Inputs!$B$16-AH463</f>
        <v>0</v>
      </c>
      <c r="AJ463" s="30" t="n">
        <f aca="false">MAX(AE463,0)*(Inputs!$B$17+Inputs!$B$24+Inputs!$B$25)+MAX(-AE463,0)*(O463+Inputs!$B$24+Inputs!$B$25)+IF(AND(K463=1,AB463&lt;&gt;0),(Inputs!$B$17+Inputs!$B$24+Inputs!$B$25)+(O463+Inputs!$B$24+Inputs!$B$25),0)+MAX(AG463,0)*(Inputs!$B$20+Inputs!$B$26+Inputs!$B$27)+MAX(-AG463,0)*(Inputs!$B$21+Inputs!$B$26+Inputs!$B$27)</f>
        <v>0</v>
      </c>
      <c r="AK463" s="30" t="n">
        <f aca="false">AB462*(M463-AD462*J463)+AB462*AD462*(N463+Inputs!$B$14)/Inputs!$B$16-AJ463</f>
        <v>0</v>
      </c>
      <c r="AL463" s="30" t="n">
        <f aca="false">IF(AP462&lt;&gt;0,AQ462+1,0)</f>
        <v>0</v>
      </c>
      <c r="AM463" s="30" t="n">
        <f aca="false">IF(W463="",0,IF(AND(AP462&lt;&gt;0,OR(ABS(W463)&gt;Inputs!$B$7,AL463&gt;=Inputs!$B$8,ABS(W463)&lt;Inputs!$B$6)),1,0))</f>
        <v>0</v>
      </c>
      <c r="AN463" s="30" t="n">
        <f aca="false">IF(AM463=1,0,AP462)</f>
        <v>0</v>
      </c>
      <c r="AO463" s="30" t="n">
        <f aca="false">IF(W463="",0,IF(AND(AN463=0,ABS(W463)&gt;Inputs!$B$5,ABS(W463)&lt;=Inputs!$B$7,W463&gt;0),1,0))</f>
        <v>0</v>
      </c>
      <c r="AP463" s="30" t="n">
        <f aca="false">IF(W463="",0,IF(AO463=1,-SIGN(W463),AN463))</f>
        <v>0</v>
      </c>
      <c r="AQ463" s="30" t="n">
        <f aca="false">IF(W463="",0,IF(AO463=1,0,IF(AM463=1,0,AL463)))</f>
        <v>0</v>
      </c>
      <c r="AR463" s="30" t="n">
        <f aca="false">IF(AP463=0,0,IF(AP462=AP463,AR462,T463))</f>
        <v>0</v>
      </c>
      <c r="AS463" s="30" t="n">
        <f aca="false">AP463-AP462</f>
        <v>0</v>
      </c>
      <c r="AT463" s="30" t="n">
        <f aca="false">-AR463*AP463</f>
        <v>-0</v>
      </c>
      <c r="AU463" s="30" t="n">
        <f aca="false">AT463-AT462</f>
        <v>0</v>
      </c>
      <c r="AV463" s="30" t="n">
        <f aca="false">MAX(AS463,0)*(Inputs!$B$17+Inputs!$B$18+Inputs!$B$19)+MAX(-AS463,0)*(O463+Inputs!$B$18+Inputs!$B$19)+IF(AND(K463=1,AP463&lt;&gt;0),(Inputs!$B$17+Inputs!$B$18+Inputs!$B$19)+(O463+Inputs!$B$18+Inputs!$B$19),0)+MAX(AU463,0)*(Inputs!$B$20+Inputs!$B$22+Inputs!$B$23)+MAX(-AU463,0)*(Inputs!$B$21+Inputs!$B$22+Inputs!$B$23)</f>
        <v>0</v>
      </c>
      <c r="AW463" s="30" t="n">
        <f aca="false">AP462*(M463-AR462*J463)+AP462*AR462*N463/Inputs!$B$16-AV463</f>
        <v>0</v>
      </c>
      <c r="AX463" s="30" t="n">
        <f aca="false">AW463-IF(AP462&lt;&gt;0,0.75*AR462*(Inputs!$B$13-N463)/Inputs!$B$16,0)</f>
        <v>0</v>
      </c>
      <c r="AY463" s="30" t="n">
        <f aca="false">MAX(AS463,0)*(Inputs!$B$17+Inputs!$B$18+Inputs!$B$19)+MAX(-AS463,0)*(O463+Inputs!$B$18+Inputs!$B$19)+IF(AND(K463=1,AP463&lt;&gt;0),(Inputs!$B$17+Inputs!$B$18+Inputs!$B$19)+(O463+Inputs!$B$18+Inputs!$B$19),0)</f>
        <v>0</v>
      </c>
      <c r="AZ463" s="30" t="n">
        <f aca="false">AP462*M463-AY463</f>
        <v>-0</v>
      </c>
      <c r="BA463" s="32" t="n">
        <f aca="false">BA462+AI463</f>
        <v>0.00429130278454792</v>
      </c>
      <c r="BB463" s="30" t="n">
        <f aca="false">MAX(BB462,BA463)</f>
        <v>0.00429130278454792</v>
      </c>
      <c r="BC463" s="32" t="n">
        <f aca="false">BA463-BB463</f>
        <v>0</v>
      </c>
      <c r="BD463" s="30" t="n">
        <f aca="false">A464-A463</f>
        <v>1</v>
      </c>
    </row>
    <row r="464" customFormat="false" ht="15" hidden="false" customHeight="false" outlineLevel="0" collapsed="false">
      <c r="A464" s="28" t="n">
        <v>45721</v>
      </c>
      <c r="B464" s="0" t="n">
        <v>22446</v>
      </c>
      <c r="C464" s="0" t="n">
        <v>251</v>
      </c>
      <c r="D464" s="29" t="n">
        <f aca="false">LN(B464)</f>
        <v>10.0188677035762</v>
      </c>
      <c r="E464" s="29" t="n">
        <f aca="false">LN(C464)</f>
        <v>5.52545293913178</v>
      </c>
      <c r="F464" s="0" t="n">
        <v>459</v>
      </c>
      <c r="G464" s="0" t="n">
        <v>22</v>
      </c>
      <c r="H464" s="29" t="n">
        <f aca="false">D464-E464</f>
        <v>4.49341476444442</v>
      </c>
      <c r="I464" s="29" t="n">
        <f aca="false">D464-D463</f>
        <v>0.0117050549041213</v>
      </c>
      <c r="J464" s="29" t="n">
        <f aca="false">E464-E463</f>
        <v>0.0142443977338882</v>
      </c>
      <c r="K464" s="0" t="n">
        <v>0</v>
      </c>
      <c r="L464" s="0" t="n">
        <v>0</v>
      </c>
      <c r="M464" s="29" t="n">
        <f aca="false">IF(L464=1,J464-Carry!$B$9/Inputs!$B$16,I464)</f>
        <v>0.0117050549041213</v>
      </c>
      <c r="N464" s="0" t="n">
        <v>0.0625</v>
      </c>
      <c r="O464" s="0" t="n">
        <v>0.0002</v>
      </c>
      <c r="P464" s="29" t="n">
        <f aca="false">D464-('2 Hedge ratio'!$B$6+'2 Hedge ratio'!$B$5*E464)</f>
        <v>-0.00496767226905703</v>
      </c>
      <c r="Q464" s="29" t="n">
        <f aca="false">D464-('5 Re-specification'!$B$7+'5 Re-specification'!$B$5*E464+'5 Re-specification'!$B$6*F464)</f>
        <v>-0.000418814247934662</v>
      </c>
      <c r="R464" s="30" t="n">
        <f aca="false">MIN(F464,Inputs!$B$9)</f>
        <v>250</v>
      </c>
      <c r="S464" s="29" t="n">
        <f aca="true">IF(AND(F464&gt;=1,R464&gt;=Inputs!$B$10),INDEX(LINEST(OFFSET(D464,-R464,0,R464,1),OFFSET(E464,-R464,0,R464,2)),1,1),"")</f>
        <v>-5.05429719936759E-005</v>
      </c>
      <c r="T464" s="29" t="n">
        <f aca="true">IF(AND(F464&gt;=1,R464&gt;=Inputs!$B$10),INDEX(LINEST(OFFSET(D464,-R464,0,R464,1),OFFSET(E464,-R464,0,R464,2)),1,2),"")</f>
        <v>0.983358756344209</v>
      </c>
      <c r="U464" s="29" t="n">
        <f aca="true">IF(AND(F464&gt;=1,R464&gt;=Inputs!$B$10),INDEX(LINEST(OFFSET(D464,-R464,0,R464,1),OFFSET(E464,-R464,0,R464,2)),1,3),"")</f>
        <v>4.60869083158682</v>
      </c>
      <c r="V464" s="29" t="n">
        <f aca="true">IF(AND(F464&gt;=1,R464&gt;=Inputs!$B$10),SQRT(SUMPRODUCT((OFFSET(D464,-R464,0,R464,1)-U464-T464*OFFSET(E464,-R464,0,R464,1)-S464*OFFSET(F464,-R464,0,R464,1))^2)/(R464-3)),"")</f>
        <v>0.00335309853937409</v>
      </c>
      <c r="W464" s="31" t="n">
        <f aca="false">IF(AND(F464&gt;=1,R464&gt;=Inputs!$B$10),(D464-U464-T464*E464-S464*F464)/V464,"")</f>
        <v>-0.037706714288071</v>
      </c>
      <c r="X464" s="30" t="n">
        <f aca="false">IF(AB463&lt;&gt;0,AC463+1,0)</f>
        <v>0</v>
      </c>
      <c r="Y464" s="30" t="n">
        <f aca="false">IF(W464="",0,IF(AND(AB463&lt;&gt;0,OR(ABS(W464)&gt;Inputs!$B$7,X464&gt;=Inputs!$B$8,ABS(W464)&lt;Inputs!$B$6)),1,0))</f>
        <v>0</v>
      </c>
      <c r="Z464" s="30" t="n">
        <f aca="false">IF(Y464=1,0,AB463)</f>
        <v>0</v>
      </c>
      <c r="AA464" s="30" t="n">
        <f aca="false">IF(W464="",0,IF(AND(Z464=0,ABS(W464)&gt;Inputs!$B$5,ABS(W464)&lt;=Inputs!$B$7),1,0))</f>
        <v>0</v>
      </c>
      <c r="AB464" s="30" t="n">
        <f aca="false">IF(W464="",0,IF(AA464=1,-SIGN(W464),Z464))</f>
        <v>0</v>
      </c>
      <c r="AC464" s="30" t="n">
        <f aca="false">IF(W464="",0,IF(AA464=1,0,IF(Y464=1,0,X464)))</f>
        <v>0</v>
      </c>
      <c r="AD464" s="30" t="n">
        <f aca="false">IF(AB464=0,0,IF(AB463=AB464,AD463,T464))</f>
        <v>0</v>
      </c>
      <c r="AE464" s="30" t="n">
        <f aca="false">AB464-AB463</f>
        <v>0</v>
      </c>
      <c r="AF464" s="30" t="n">
        <f aca="false">-AD464*AB464</f>
        <v>-0</v>
      </c>
      <c r="AG464" s="30" t="n">
        <f aca="false">AF464-AF463</f>
        <v>0</v>
      </c>
      <c r="AH464" s="30" t="n">
        <f aca="false">MAX(AE464,0)*(Inputs!$B$17+Inputs!$B$18+Inputs!$B$19)+MAX(-AE464,0)*(O464+Inputs!$B$18+Inputs!$B$19)+IF(AND(K464=1,AB464&lt;&gt;0),(Inputs!$B$17+Inputs!$B$18+Inputs!$B$19)+(O464+Inputs!$B$18+Inputs!$B$19),0)+MAX(AG464,0)*(Inputs!$B$20+Inputs!$B$22+Inputs!$B$23)+MAX(-AG464,0)*(Inputs!$B$21+Inputs!$B$22+Inputs!$B$23)</f>
        <v>0</v>
      </c>
      <c r="AI464" s="30" t="n">
        <f aca="false">AB463*(M464-AD463*J464)+AB463*AD463*N464/Inputs!$B$16-AH464</f>
        <v>0</v>
      </c>
      <c r="AJ464" s="30" t="n">
        <f aca="false">MAX(AE464,0)*(Inputs!$B$17+Inputs!$B$24+Inputs!$B$25)+MAX(-AE464,0)*(O464+Inputs!$B$24+Inputs!$B$25)+IF(AND(K464=1,AB464&lt;&gt;0),(Inputs!$B$17+Inputs!$B$24+Inputs!$B$25)+(O464+Inputs!$B$24+Inputs!$B$25),0)+MAX(AG464,0)*(Inputs!$B$20+Inputs!$B$26+Inputs!$B$27)+MAX(-AG464,0)*(Inputs!$B$21+Inputs!$B$26+Inputs!$B$27)</f>
        <v>0</v>
      </c>
      <c r="AK464" s="30" t="n">
        <f aca="false">AB463*(M464-AD463*J464)+AB463*AD463*(N464+Inputs!$B$14)/Inputs!$B$16-AJ464</f>
        <v>0</v>
      </c>
      <c r="AL464" s="30" t="n">
        <f aca="false">IF(AP463&lt;&gt;0,AQ463+1,0)</f>
        <v>0</v>
      </c>
      <c r="AM464" s="30" t="n">
        <f aca="false">IF(W464="",0,IF(AND(AP463&lt;&gt;0,OR(ABS(W464)&gt;Inputs!$B$7,AL464&gt;=Inputs!$B$8,ABS(W464)&lt;Inputs!$B$6)),1,0))</f>
        <v>0</v>
      </c>
      <c r="AN464" s="30" t="n">
        <f aca="false">IF(AM464=1,0,AP463)</f>
        <v>0</v>
      </c>
      <c r="AO464" s="30" t="n">
        <f aca="false">IF(W464="",0,IF(AND(AN464=0,ABS(W464)&gt;Inputs!$B$5,ABS(W464)&lt;=Inputs!$B$7,W464&gt;0),1,0))</f>
        <v>0</v>
      </c>
      <c r="AP464" s="30" t="n">
        <f aca="false">IF(W464="",0,IF(AO464=1,-SIGN(W464),AN464))</f>
        <v>0</v>
      </c>
      <c r="AQ464" s="30" t="n">
        <f aca="false">IF(W464="",0,IF(AO464=1,0,IF(AM464=1,0,AL464)))</f>
        <v>0</v>
      </c>
      <c r="AR464" s="30" t="n">
        <f aca="false">IF(AP464=0,0,IF(AP463=AP464,AR463,T464))</f>
        <v>0</v>
      </c>
      <c r="AS464" s="30" t="n">
        <f aca="false">AP464-AP463</f>
        <v>0</v>
      </c>
      <c r="AT464" s="30" t="n">
        <f aca="false">-AR464*AP464</f>
        <v>-0</v>
      </c>
      <c r="AU464" s="30" t="n">
        <f aca="false">AT464-AT463</f>
        <v>0</v>
      </c>
      <c r="AV464" s="30" t="n">
        <f aca="false">MAX(AS464,0)*(Inputs!$B$17+Inputs!$B$18+Inputs!$B$19)+MAX(-AS464,0)*(O464+Inputs!$B$18+Inputs!$B$19)+IF(AND(K464=1,AP464&lt;&gt;0),(Inputs!$B$17+Inputs!$B$18+Inputs!$B$19)+(O464+Inputs!$B$18+Inputs!$B$19),0)+MAX(AU464,0)*(Inputs!$B$20+Inputs!$B$22+Inputs!$B$23)+MAX(-AU464,0)*(Inputs!$B$21+Inputs!$B$22+Inputs!$B$23)</f>
        <v>0</v>
      </c>
      <c r="AW464" s="30" t="n">
        <f aca="false">AP463*(M464-AR463*J464)+AP463*AR463*N464/Inputs!$B$16-AV464</f>
        <v>0</v>
      </c>
      <c r="AX464" s="30" t="n">
        <f aca="false">AW464-IF(AP463&lt;&gt;0,0.75*AR463*(Inputs!$B$13-N464)/Inputs!$B$16,0)</f>
        <v>0</v>
      </c>
      <c r="AY464" s="30" t="n">
        <f aca="false">MAX(AS464,0)*(Inputs!$B$17+Inputs!$B$18+Inputs!$B$19)+MAX(-AS464,0)*(O464+Inputs!$B$18+Inputs!$B$19)+IF(AND(K464=1,AP464&lt;&gt;0),(Inputs!$B$17+Inputs!$B$18+Inputs!$B$19)+(O464+Inputs!$B$18+Inputs!$B$19),0)</f>
        <v>0</v>
      </c>
      <c r="AZ464" s="30" t="n">
        <f aca="false">AP463*M464-AY464</f>
        <v>0</v>
      </c>
      <c r="BA464" s="32" t="n">
        <f aca="false">BA463+AI464</f>
        <v>0.00429130278454792</v>
      </c>
      <c r="BB464" s="30" t="n">
        <f aca="false">MAX(BB463,BA464)</f>
        <v>0.00429130278454792</v>
      </c>
      <c r="BC464" s="32" t="n">
        <f aca="false">BA464-BB464</f>
        <v>0</v>
      </c>
      <c r="BD464" s="30" t="n">
        <f aca="false">A465-A464</f>
        <v>1</v>
      </c>
    </row>
    <row r="465" customFormat="false" ht="15" hidden="false" customHeight="false" outlineLevel="0" collapsed="false">
      <c r="A465" s="28" t="n">
        <v>45722</v>
      </c>
      <c r="B465" s="0" t="n">
        <v>22620.2</v>
      </c>
      <c r="C465" s="0" t="n">
        <v>252.62</v>
      </c>
      <c r="D465" s="29" t="n">
        <f aca="false">LN(B465)</f>
        <v>10.026598591364</v>
      </c>
      <c r="E465" s="29" t="n">
        <f aca="false">LN(C465)</f>
        <v>5.53188638334583</v>
      </c>
      <c r="F465" s="0" t="n">
        <v>460</v>
      </c>
      <c r="G465" s="0" t="n">
        <v>21</v>
      </c>
      <c r="H465" s="29" t="n">
        <f aca="false">D465-E465</f>
        <v>4.49471220801817</v>
      </c>
      <c r="I465" s="29" t="n">
        <f aca="false">D465-D464</f>
        <v>0.00773088778780107</v>
      </c>
      <c r="J465" s="29" t="n">
        <f aca="false">E465-E464</f>
        <v>0.00643344421404546</v>
      </c>
      <c r="K465" s="0" t="n">
        <v>0</v>
      </c>
      <c r="L465" s="0" t="n">
        <v>0</v>
      </c>
      <c r="M465" s="29" t="n">
        <f aca="false">IF(L465=1,J465-Carry!$B$9/Inputs!$B$16,I465)</f>
        <v>0.00773088778780107</v>
      </c>
      <c r="N465" s="0" t="n">
        <v>0.0625</v>
      </c>
      <c r="O465" s="0" t="n">
        <v>0.0002</v>
      </c>
      <c r="P465" s="29" t="n">
        <f aca="false">D465-('2 Hedge ratio'!$B$6+'2 Hedge ratio'!$B$5*E465)</f>
        <v>-0.00313063487986298</v>
      </c>
      <c r="Q465" s="29" t="n">
        <f aca="false">D465-('5 Re-specification'!$B$7+'5 Re-specification'!$B$5*E465+'5 Re-specification'!$B$6*F465)</f>
        <v>0.000943055196744425</v>
      </c>
      <c r="R465" s="30" t="n">
        <f aca="false">MIN(F465,Inputs!$B$9)</f>
        <v>250</v>
      </c>
      <c r="S465" s="29" t="n">
        <f aca="true">IF(AND(F465&gt;=1,R465&gt;=Inputs!$B$10),INDEX(LINEST(OFFSET(D465,-R465,0,R465,1),OFFSET(E465,-R465,0,R465,2)),1,1),"")</f>
        <v>-5.02348602067401E-005</v>
      </c>
      <c r="T465" s="29" t="n">
        <f aca="true">IF(AND(F465&gt;=1,R465&gt;=Inputs!$B$10),INDEX(LINEST(OFFSET(D465,-R465,0,R465,1),OFFSET(E465,-R465,0,R465,2)),1,2),"")</f>
        <v>0.983710725677685</v>
      </c>
      <c r="U465" s="29" t="n">
        <f aca="true">IF(AND(F465&gt;=1,R465&gt;=Inputs!$B$10),INDEX(LINEST(OFFSET(D465,-R465,0,R465,1),OFFSET(E465,-R465,0,R465,2)),1,3),"")</f>
        <v>4.60660736716626</v>
      </c>
      <c r="V465" s="29" t="n">
        <f aca="true">IF(AND(F465&gt;=1,R465&gt;=Inputs!$B$10),SQRT(SUMPRODUCT((OFFSET(D465,-R465,0,R465,1)-U465-T465*OFFSET(E465,-R465,0,R465,1)-S465*OFFSET(F465,-R465,0,R465,1))^2)/(R465-3)),"")</f>
        <v>0.00334175587635649</v>
      </c>
      <c r="W465" s="31" t="n">
        <f aca="false">IF(AND(F465&gt;=1,R465&gt;=Inputs!$B$10),(D465-U465-T465*E465-S465*F465)/V465,"")</f>
        <v>0.39598684469379</v>
      </c>
      <c r="X465" s="30" t="n">
        <f aca="false">IF(AB464&lt;&gt;0,AC464+1,0)</f>
        <v>0</v>
      </c>
      <c r="Y465" s="30" t="n">
        <f aca="false">IF(W465="",0,IF(AND(AB464&lt;&gt;0,OR(ABS(W465)&gt;Inputs!$B$7,X465&gt;=Inputs!$B$8,ABS(W465)&lt;Inputs!$B$6)),1,0))</f>
        <v>0</v>
      </c>
      <c r="Z465" s="30" t="n">
        <f aca="false">IF(Y465=1,0,AB464)</f>
        <v>0</v>
      </c>
      <c r="AA465" s="30" t="n">
        <f aca="false">IF(W465="",0,IF(AND(Z465=0,ABS(W465)&gt;Inputs!$B$5,ABS(W465)&lt;=Inputs!$B$7),1,0))</f>
        <v>0</v>
      </c>
      <c r="AB465" s="30" t="n">
        <f aca="false">IF(W465="",0,IF(AA465=1,-SIGN(W465),Z465))</f>
        <v>0</v>
      </c>
      <c r="AC465" s="30" t="n">
        <f aca="false">IF(W465="",0,IF(AA465=1,0,IF(Y465=1,0,X465)))</f>
        <v>0</v>
      </c>
      <c r="AD465" s="30" t="n">
        <f aca="false">IF(AB465=0,0,IF(AB464=AB465,AD464,T465))</f>
        <v>0</v>
      </c>
      <c r="AE465" s="30" t="n">
        <f aca="false">AB465-AB464</f>
        <v>0</v>
      </c>
      <c r="AF465" s="30" t="n">
        <f aca="false">-AD465*AB465</f>
        <v>-0</v>
      </c>
      <c r="AG465" s="30" t="n">
        <f aca="false">AF465-AF464</f>
        <v>0</v>
      </c>
      <c r="AH465" s="30" t="n">
        <f aca="false">MAX(AE465,0)*(Inputs!$B$17+Inputs!$B$18+Inputs!$B$19)+MAX(-AE465,0)*(O465+Inputs!$B$18+Inputs!$B$19)+IF(AND(K465=1,AB465&lt;&gt;0),(Inputs!$B$17+Inputs!$B$18+Inputs!$B$19)+(O465+Inputs!$B$18+Inputs!$B$19),0)+MAX(AG465,0)*(Inputs!$B$20+Inputs!$B$22+Inputs!$B$23)+MAX(-AG465,0)*(Inputs!$B$21+Inputs!$B$22+Inputs!$B$23)</f>
        <v>0</v>
      </c>
      <c r="AI465" s="30" t="n">
        <f aca="false">AB464*(M465-AD464*J465)+AB464*AD464*N465/Inputs!$B$16-AH465</f>
        <v>0</v>
      </c>
      <c r="AJ465" s="30" t="n">
        <f aca="false">MAX(AE465,0)*(Inputs!$B$17+Inputs!$B$24+Inputs!$B$25)+MAX(-AE465,0)*(O465+Inputs!$B$24+Inputs!$B$25)+IF(AND(K465=1,AB465&lt;&gt;0),(Inputs!$B$17+Inputs!$B$24+Inputs!$B$25)+(O465+Inputs!$B$24+Inputs!$B$25),0)+MAX(AG465,0)*(Inputs!$B$20+Inputs!$B$26+Inputs!$B$27)+MAX(-AG465,0)*(Inputs!$B$21+Inputs!$B$26+Inputs!$B$27)</f>
        <v>0</v>
      </c>
      <c r="AK465" s="30" t="n">
        <f aca="false">AB464*(M465-AD464*J465)+AB464*AD464*(N465+Inputs!$B$14)/Inputs!$B$16-AJ465</f>
        <v>0</v>
      </c>
      <c r="AL465" s="30" t="n">
        <f aca="false">IF(AP464&lt;&gt;0,AQ464+1,0)</f>
        <v>0</v>
      </c>
      <c r="AM465" s="30" t="n">
        <f aca="false">IF(W465="",0,IF(AND(AP464&lt;&gt;0,OR(ABS(W465)&gt;Inputs!$B$7,AL465&gt;=Inputs!$B$8,ABS(W465)&lt;Inputs!$B$6)),1,0))</f>
        <v>0</v>
      </c>
      <c r="AN465" s="30" t="n">
        <f aca="false">IF(AM465=1,0,AP464)</f>
        <v>0</v>
      </c>
      <c r="AO465" s="30" t="n">
        <f aca="false">IF(W465="",0,IF(AND(AN465=0,ABS(W465)&gt;Inputs!$B$5,ABS(W465)&lt;=Inputs!$B$7,W465&gt;0),1,0))</f>
        <v>0</v>
      </c>
      <c r="AP465" s="30" t="n">
        <f aca="false">IF(W465="",0,IF(AO465=1,-SIGN(W465),AN465))</f>
        <v>0</v>
      </c>
      <c r="AQ465" s="30" t="n">
        <f aca="false">IF(W465="",0,IF(AO465=1,0,IF(AM465=1,0,AL465)))</f>
        <v>0</v>
      </c>
      <c r="AR465" s="30" t="n">
        <f aca="false">IF(AP465=0,0,IF(AP464=AP465,AR464,T465))</f>
        <v>0</v>
      </c>
      <c r="AS465" s="30" t="n">
        <f aca="false">AP465-AP464</f>
        <v>0</v>
      </c>
      <c r="AT465" s="30" t="n">
        <f aca="false">-AR465*AP465</f>
        <v>-0</v>
      </c>
      <c r="AU465" s="30" t="n">
        <f aca="false">AT465-AT464</f>
        <v>0</v>
      </c>
      <c r="AV465" s="30" t="n">
        <f aca="false">MAX(AS465,0)*(Inputs!$B$17+Inputs!$B$18+Inputs!$B$19)+MAX(-AS465,0)*(O465+Inputs!$B$18+Inputs!$B$19)+IF(AND(K465=1,AP465&lt;&gt;0),(Inputs!$B$17+Inputs!$B$18+Inputs!$B$19)+(O465+Inputs!$B$18+Inputs!$B$19),0)+MAX(AU465,0)*(Inputs!$B$20+Inputs!$B$22+Inputs!$B$23)+MAX(-AU465,0)*(Inputs!$B$21+Inputs!$B$22+Inputs!$B$23)</f>
        <v>0</v>
      </c>
      <c r="AW465" s="30" t="n">
        <f aca="false">AP464*(M465-AR464*J465)+AP464*AR464*N465/Inputs!$B$16-AV465</f>
        <v>0</v>
      </c>
      <c r="AX465" s="30" t="n">
        <f aca="false">AW465-IF(AP464&lt;&gt;0,0.75*AR464*(Inputs!$B$13-N465)/Inputs!$B$16,0)</f>
        <v>0</v>
      </c>
      <c r="AY465" s="30" t="n">
        <f aca="false">MAX(AS465,0)*(Inputs!$B$17+Inputs!$B$18+Inputs!$B$19)+MAX(-AS465,0)*(O465+Inputs!$B$18+Inputs!$B$19)+IF(AND(K465=1,AP465&lt;&gt;0),(Inputs!$B$17+Inputs!$B$18+Inputs!$B$19)+(O465+Inputs!$B$18+Inputs!$B$19),0)</f>
        <v>0</v>
      </c>
      <c r="AZ465" s="30" t="n">
        <f aca="false">AP464*M465-AY465</f>
        <v>0</v>
      </c>
      <c r="BA465" s="32" t="n">
        <f aca="false">BA464+AI465</f>
        <v>0.00429130278454792</v>
      </c>
      <c r="BB465" s="30" t="n">
        <f aca="false">MAX(BB464,BA465)</f>
        <v>0.00429130278454792</v>
      </c>
      <c r="BC465" s="32" t="n">
        <f aca="false">BA465-BB465</f>
        <v>0</v>
      </c>
      <c r="BD465" s="30" t="n">
        <f aca="false">A466-A465</f>
        <v>1</v>
      </c>
    </row>
    <row r="466" customFormat="false" ht="15" hidden="false" customHeight="false" outlineLevel="0" collapsed="false">
      <c r="A466" s="28" t="n">
        <v>45723</v>
      </c>
      <c r="B466" s="0" t="n">
        <v>22642</v>
      </c>
      <c r="C466" s="0" t="n">
        <v>252.72</v>
      </c>
      <c r="D466" s="29" t="n">
        <f aca="false">LN(B466)</f>
        <v>10.0275618676381</v>
      </c>
      <c r="E466" s="29" t="n">
        <f aca="false">LN(C466)</f>
        <v>5.53228215649383</v>
      </c>
      <c r="F466" s="0" t="n">
        <v>461</v>
      </c>
      <c r="G466" s="0" t="n">
        <v>20</v>
      </c>
      <c r="H466" s="29" t="n">
        <f aca="false">D466-E466</f>
        <v>4.49527971114422</v>
      </c>
      <c r="I466" s="29" t="n">
        <f aca="false">D466-D465</f>
        <v>0.000963276274051239</v>
      </c>
      <c r="J466" s="29" t="n">
        <f aca="false">E466-E465</f>
        <v>0.000395773148000878</v>
      </c>
      <c r="K466" s="0" t="n">
        <v>0</v>
      </c>
      <c r="L466" s="0" t="n">
        <v>0</v>
      </c>
      <c r="M466" s="29" t="n">
        <f aca="false">IF(L466=1,J466-Carry!$B$9/Inputs!$B$16,I466)</f>
        <v>0.000963276274051239</v>
      </c>
      <c r="N466" s="0" t="n">
        <v>0.0625</v>
      </c>
      <c r="O466" s="0" t="n">
        <v>0.0002</v>
      </c>
      <c r="P466" s="29" t="n">
        <f aca="false">D466-('2 Hedge ratio'!$B$6+'2 Hedge ratio'!$B$5*E466)</f>
        <v>-0.00252993697728776</v>
      </c>
      <c r="Q466" s="29" t="n">
        <f aca="false">D466-('5 Re-specification'!$B$7+'5 Re-specification'!$B$5*E466+'5 Re-specification'!$B$6*F466)</f>
        <v>0.00155668703142453</v>
      </c>
      <c r="R466" s="30" t="n">
        <f aca="false">MIN(F466,Inputs!$B$9)</f>
        <v>250</v>
      </c>
      <c r="S466" s="29" t="n">
        <f aca="true">IF(AND(F466&gt;=1,R466&gt;=Inputs!$B$10),INDEX(LINEST(OFFSET(D466,-R466,0,R466,1),OFFSET(E466,-R466,0,R466,2)),1,1),"")</f>
        <v>-4.96916774858581E-005</v>
      </c>
      <c r="T466" s="29" t="n">
        <f aca="true">IF(AND(F466&gt;=1,R466&gt;=Inputs!$B$10),INDEX(LINEST(OFFSET(D466,-R466,0,R466,1),OFFSET(E466,-R466,0,R466,2)),1,2),"")</f>
        <v>0.983832551015968</v>
      </c>
      <c r="U466" s="29" t="n">
        <f aca="true">IF(AND(F466&gt;=1,R466&gt;=Inputs!$B$10),INDEX(LINEST(OFFSET(D466,-R466,0,R466,1),OFFSET(E466,-R466,0,R466,2)),1,3),"")</f>
        <v>4.60573248308725</v>
      </c>
      <c r="V466" s="29" t="n">
        <f aca="true">IF(AND(F466&gt;=1,R466&gt;=Inputs!$B$10),SQRT(SUMPRODUCT((OFFSET(D466,-R466,0,R466,1)-U466-T466*OFFSET(E466,-R466,0,R466,1)-S466*OFFSET(F466,-R466,0,R466,1))^2)/(R466-3)),"")</f>
        <v>0.0033294310271696</v>
      </c>
      <c r="W466" s="31" t="n">
        <f aca="false">IF(AND(F466&gt;=1,R466&gt;=Inputs!$B$10),(D466-U466-T466*E466-S466*F466)/V466,"")</f>
        <v>0.570061639016702</v>
      </c>
      <c r="X466" s="30" t="n">
        <f aca="false">IF(AB465&lt;&gt;0,AC465+1,0)</f>
        <v>0</v>
      </c>
      <c r="Y466" s="30" t="n">
        <f aca="false">IF(W466="",0,IF(AND(AB465&lt;&gt;0,OR(ABS(W466)&gt;Inputs!$B$7,X466&gt;=Inputs!$B$8,ABS(W466)&lt;Inputs!$B$6)),1,0))</f>
        <v>0</v>
      </c>
      <c r="Z466" s="30" t="n">
        <f aca="false">IF(Y466=1,0,AB465)</f>
        <v>0</v>
      </c>
      <c r="AA466" s="30" t="n">
        <f aca="false">IF(W466="",0,IF(AND(Z466=0,ABS(W466)&gt;Inputs!$B$5,ABS(W466)&lt;=Inputs!$B$7),1,0))</f>
        <v>0</v>
      </c>
      <c r="AB466" s="30" t="n">
        <f aca="false">IF(W466="",0,IF(AA466=1,-SIGN(W466),Z466))</f>
        <v>0</v>
      </c>
      <c r="AC466" s="30" t="n">
        <f aca="false">IF(W466="",0,IF(AA466=1,0,IF(Y466=1,0,X466)))</f>
        <v>0</v>
      </c>
      <c r="AD466" s="30" t="n">
        <f aca="false">IF(AB466=0,0,IF(AB465=AB466,AD465,T466))</f>
        <v>0</v>
      </c>
      <c r="AE466" s="30" t="n">
        <f aca="false">AB466-AB465</f>
        <v>0</v>
      </c>
      <c r="AF466" s="30" t="n">
        <f aca="false">-AD466*AB466</f>
        <v>-0</v>
      </c>
      <c r="AG466" s="30" t="n">
        <f aca="false">AF466-AF465</f>
        <v>0</v>
      </c>
      <c r="AH466" s="30" t="n">
        <f aca="false">MAX(AE466,0)*(Inputs!$B$17+Inputs!$B$18+Inputs!$B$19)+MAX(-AE466,0)*(O466+Inputs!$B$18+Inputs!$B$19)+IF(AND(K466=1,AB466&lt;&gt;0),(Inputs!$B$17+Inputs!$B$18+Inputs!$B$19)+(O466+Inputs!$B$18+Inputs!$B$19),0)+MAX(AG466,0)*(Inputs!$B$20+Inputs!$B$22+Inputs!$B$23)+MAX(-AG466,0)*(Inputs!$B$21+Inputs!$B$22+Inputs!$B$23)</f>
        <v>0</v>
      </c>
      <c r="AI466" s="30" t="n">
        <f aca="false">AB465*(M466-AD465*J466)+AB465*AD465*N466/Inputs!$B$16-AH466</f>
        <v>0</v>
      </c>
      <c r="AJ466" s="30" t="n">
        <f aca="false">MAX(AE466,0)*(Inputs!$B$17+Inputs!$B$24+Inputs!$B$25)+MAX(-AE466,0)*(O466+Inputs!$B$24+Inputs!$B$25)+IF(AND(K466=1,AB466&lt;&gt;0),(Inputs!$B$17+Inputs!$B$24+Inputs!$B$25)+(O466+Inputs!$B$24+Inputs!$B$25),0)+MAX(AG466,0)*(Inputs!$B$20+Inputs!$B$26+Inputs!$B$27)+MAX(-AG466,0)*(Inputs!$B$21+Inputs!$B$26+Inputs!$B$27)</f>
        <v>0</v>
      </c>
      <c r="AK466" s="30" t="n">
        <f aca="false">AB465*(M466-AD465*J466)+AB465*AD465*(N466+Inputs!$B$14)/Inputs!$B$16-AJ466</f>
        <v>0</v>
      </c>
      <c r="AL466" s="30" t="n">
        <f aca="false">IF(AP465&lt;&gt;0,AQ465+1,0)</f>
        <v>0</v>
      </c>
      <c r="AM466" s="30" t="n">
        <f aca="false">IF(W466="",0,IF(AND(AP465&lt;&gt;0,OR(ABS(W466)&gt;Inputs!$B$7,AL466&gt;=Inputs!$B$8,ABS(W466)&lt;Inputs!$B$6)),1,0))</f>
        <v>0</v>
      </c>
      <c r="AN466" s="30" t="n">
        <f aca="false">IF(AM466=1,0,AP465)</f>
        <v>0</v>
      </c>
      <c r="AO466" s="30" t="n">
        <f aca="false">IF(W466="",0,IF(AND(AN466=0,ABS(W466)&gt;Inputs!$B$5,ABS(W466)&lt;=Inputs!$B$7,W466&gt;0),1,0))</f>
        <v>0</v>
      </c>
      <c r="AP466" s="30" t="n">
        <f aca="false">IF(W466="",0,IF(AO466=1,-SIGN(W466),AN466))</f>
        <v>0</v>
      </c>
      <c r="AQ466" s="30" t="n">
        <f aca="false">IF(W466="",0,IF(AO466=1,0,IF(AM466=1,0,AL466)))</f>
        <v>0</v>
      </c>
      <c r="AR466" s="30" t="n">
        <f aca="false">IF(AP466=0,0,IF(AP465=AP466,AR465,T466))</f>
        <v>0</v>
      </c>
      <c r="AS466" s="30" t="n">
        <f aca="false">AP466-AP465</f>
        <v>0</v>
      </c>
      <c r="AT466" s="30" t="n">
        <f aca="false">-AR466*AP466</f>
        <v>-0</v>
      </c>
      <c r="AU466" s="30" t="n">
        <f aca="false">AT466-AT465</f>
        <v>0</v>
      </c>
      <c r="AV466" s="30" t="n">
        <f aca="false">MAX(AS466,0)*(Inputs!$B$17+Inputs!$B$18+Inputs!$B$19)+MAX(-AS466,0)*(O466+Inputs!$B$18+Inputs!$B$19)+IF(AND(K466=1,AP466&lt;&gt;0),(Inputs!$B$17+Inputs!$B$18+Inputs!$B$19)+(O466+Inputs!$B$18+Inputs!$B$19),0)+MAX(AU466,0)*(Inputs!$B$20+Inputs!$B$22+Inputs!$B$23)+MAX(-AU466,0)*(Inputs!$B$21+Inputs!$B$22+Inputs!$B$23)</f>
        <v>0</v>
      </c>
      <c r="AW466" s="30" t="n">
        <f aca="false">AP465*(M466-AR465*J466)+AP465*AR465*N466/Inputs!$B$16-AV466</f>
        <v>0</v>
      </c>
      <c r="AX466" s="30" t="n">
        <f aca="false">AW466-IF(AP465&lt;&gt;0,0.75*AR465*(Inputs!$B$13-N466)/Inputs!$B$16,0)</f>
        <v>0</v>
      </c>
      <c r="AY466" s="30" t="n">
        <f aca="false">MAX(AS466,0)*(Inputs!$B$17+Inputs!$B$18+Inputs!$B$19)+MAX(-AS466,0)*(O466+Inputs!$B$18+Inputs!$B$19)+IF(AND(K466=1,AP466&lt;&gt;0),(Inputs!$B$17+Inputs!$B$18+Inputs!$B$19)+(O466+Inputs!$B$18+Inputs!$B$19),0)</f>
        <v>0</v>
      </c>
      <c r="AZ466" s="30" t="n">
        <f aca="false">AP465*M466-AY466</f>
        <v>0</v>
      </c>
      <c r="BA466" s="32" t="n">
        <f aca="false">BA465+AI466</f>
        <v>0.00429130278454792</v>
      </c>
      <c r="BB466" s="30" t="n">
        <f aca="false">MAX(BB465,BA466)</f>
        <v>0.00429130278454792</v>
      </c>
      <c r="BC466" s="32" t="n">
        <f aca="false">BA466-BB466</f>
        <v>0</v>
      </c>
      <c r="BD466" s="30" t="n">
        <f aca="false">A467-A466</f>
        <v>3</v>
      </c>
    </row>
    <row r="467" customFormat="false" ht="15" hidden="false" customHeight="false" outlineLevel="0" collapsed="false">
      <c r="A467" s="28" t="n">
        <v>45726</v>
      </c>
      <c r="B467" s="0" t="n">
        <v>22500.1</v>
      </c>
      <c r="C467" s="0" t="n">
        <v>251.64</v>
      </c>
      <c r="D467" s="29" t="n">
        <f aca="false">LN(B467)</f>
        <v>10.0212750326271</v>
      </c>
      <c r="E467" s="29" t="n">
        <f aca="false">LN(C467)</f>
        <v>5.52799949470183</v>
      </c>
      <c r="F467" s="0" t="n">
        <v>462</v>
      </c>
      <c r="G467" s="0" t="n">
        <v>17</v>
      </c>
      <c r="H467" s="29" t="n">
        <f aca="false">D467-E467</f>
        <v>4.49327553792525</v>
      </c>
      <c r="I467" s="29" t="n">
        <f aca="false">D467-D466</f>
        <v>-0.00628683501097527</v>
      </c>
      <c r="J467" s="29" t="n">
        <f aca="false">E467-E466</f>
        <v>-0.00428266179200065</v>
      </c>
      <c r="K467" s="0" t="n">
        <v>0</v>
      </c>
      <c r="L467" s="0" t="n">
        <v>0</v>
      </c>
      <c r="M467" s="29" t="n">
        <f aca="false">IF(L467=1,J467-Carry!$B$9/Inputs!$B$16,I467)</f>
        <v>-0.00628683501097527</v>
      </c>
      <c r="N467" s="0" t="n">
        <v>0.0625</v>
      </c>
      <c r="O467" s="0" t="n">
        <v>0.0002</v>
      </c>
      <c r="P467" s="29" t="n">
        <f aca="false">D467-('2 Hedge ratio'!$B$6+'2 Hedge ratio'!$B$5*E467)</f>
        <v>-0.00489331091980638</v>
      </c>
      <c r="Q467" s="29" t="n">
        <f aca="false">D467-('5 Re-specification'!$B$7+'5 Re-specification'!$B$5*E467+'5 Re-specification'!$B$6*F467)</f>
        <v>-0.000415535476104623</v>
      </c>
      <c r="R467" s="30" t="n">
        <f aca="false">MIN(F467,Inputs!$B$9)</f>
        <v>250</v>
      </c>
      <c r="S467" s="29" t="n">
        <f aca="true">IF(AND(F467&gt;=1,R467&gt;=Inputs!$B$10),INDEX(LINEST(OFFSET(D467,-R467,0,R467,1),OFFSET(E467,-R467,0,R467,2)),1,1),"")</f>
        <v>-4.92348237218525E-005</v>
      </c>
      <c r="T467" s="29" t="n">
        <f aca="true">IF(AND(F467&gt;=1,R467&gt;=Inputs!$B$10),INDEX(LINEST(OFFSET(D467,-R467,0,R467,1),OFFSET(E467,-R467,0,R467,2)),1,2),"")</f>
        <v>0.983709173009986</v>
      </c>
      <c r="U467" s="29" t="n">
        <f aca="true">IF(AND(F467&gt;=1,R467&gt;=Inputs!$B$10),INDEX(LINEST(OFFSET(D467,-R467,0,R467,1),OFFSET(E467,-R467,0,R467,2)),1,3),"")</f>
        <v>4.60626419548801</v>
      </c>
      <c r="V467" s="29" t="n">
        <f aca="true">IF(AND(F467&gt;=1,R467&gt;=Inputs!$B$10),SQRT(SUMPRODUCT((OFFSET(D467,-R467,0,R467,1)-U467-T467*OFFSET(E467,-R467,0,R467,1)-S467*OFFSET(F467,-R467,0,R467,1))^2)/(R467-3)),"")</f>
        <v>0.00332753760842092</v>
      </c>
      <c r="W467" s="31" t="n">
        <f aca="false">IF(AND(F467&gt;=1,R467&gt;=Inputs!$B$10),(D467-U467-T467*E467-S467*F467)/V467,"")</f>
        <v>-0.0560431334341972</v>
      </c>
      <c r="X467" s="30" t="n">
        <f aca="false">IF(AB466&lt;&gt;0,AC466+1,0)</f>
        <v>0</v>
      </c>
      <c r="Y467" s="30" t="n">
        <f aca="false">IF(W467="",0,IF(AND(AB466&lt;&gt;0,OR(ABS(W467)&gt;Inputs!$B$7,X467&gt;=Inputs!$B$8,ABS(W467)&lt;Inputs!$B$6)),1,0))</f>
        <v>0</v>
      </c>
      <c r="Z467" s="30" t="n">
        <f aca="false">IF(Y467=1,0,AB466)</f>
        <v>0</v>
      </c>
      <c r="AA467" s="30" t="n">
        <f aca="false">IF(W467="",0,IF(AND(Z467=0,ABS(W467)&gt;Inputs!$B$5,ABS(W467)&lt;=Inputs!$B$7),1,0))</f>
        <v>0</v>
      </c>
      <c r="AB467" s="30" t="n">
        <f aca="false">IF(W467="",0,IF(AA467=1,-SIGN(W467),Z467))</f>
        <v>0</v>
      </c>
      <c r="AC467" s="30" t="n">
        <f aca="false">IF(W467="",0,IF(AA467=1,0,IF(Y467=1,0,X467)))</f>
        <v>0</v>
      </c>
      <c r="AD467" s="30" t="n">
        <f aca="false">IF(AB467=0,0,IF(AB466=AB467,AD466,T467))</f>
        <v>0</v>
      </c>
      <c r="AE467" s="30" t="n">
        <f aca="false">AB467-AB466</f>
        <v>0</v>
      </c>
      <c r="AF467" s="30" t="n">
        <f aca="false">-AD467*AB467</f>
        <v>-0</v>
      </c>
      <c r="AG467" s="30" t="n">
        <f aca="false">AF467-AF466</f>
        <v>0</v>
      </c>
      <c r="AH467" s="30" t="n">
        <f aca="false">MAX(AE467,0)*(Inputs!$B$17+Inputs!$B$18+Inputs!$B$19)+MAX(-AE467,0)*(O467+Inputs!$B$18+Inputs!$B$19)+IF(AND(K467=1,AB467&lt;&gt;0),(Inputs!$B$17+Inputs!$B$18+Inputs!$B$19)+(O467+Inputs!$B$18+Inputs!$B$19),0)+MAX(AG467,0)*(Inputs!$B$20+Inputs!$B$22+Inputs!$B$23)+MAX(-AG467,0)*(Inputs!$B$21+Inputs!$B$22+Inputs!$B$23)</f>
        <v>0</v>
      </c>
      <c r="AI467" s="30" t="n">
        <f aca="false">AB466*(M467-AD466*J467)+AB466*AD466*N467/Inputs!$B$16-AH467</f>
        <v>0</v>
      </c>
      <c r="AJ467" s="30" t="n">
        <f aca="false">MAX(AE467,0)*(Inputs!$B$17+Inputs!$B$24+Inputs!$B$25)+MAX(-AE467,0)*(O467+Inputs!$B$24+Inputs!$B$25)+IF(AND(K467=1,AB467&lt;&gt;0),(Inputs!$B$17+Inputs!$B$24+Inputs!$B$25)+(O467+Inputs!$B$24+Inputs!$B$25),0)+MAX(AG467,0)*(Inputs!$B$20+Inputs!$B$26+Inputs!$B$27)+MAX(-AG467,0)*(Inputs!$B$21+Inputs!$B$26+Inputs!$B$27)</f>
        <v>0</v>
      </c>
      <c r="AK467" s="30" t="n">
        <f aca="false">AB466*(M467-AD466*J467)+AB466*AD466*(N467+Inputs!$B$14)/Inputs!$B$16-AJ467</f>
        <v>0</v>
      </c>
      <c r="AL467" s="30" t="n">
        <f aca="false">IF(AP466&lt;&gt;0,AQ466+1,0)</f>
        <v>0</v>
      </c>
      <c r="AM467" s="30" t="n">
        <f aca="false">IF(W467="",0,IF(AND(AP466&lt;&gt;0,OR(ABS(W467)&gt;Inputs!$B$7,AL467&gt;=Inputs!$B$8,ABS(W467)&lt;Inputs!$B$6)),1,0))</f>
        <v>0</v>
      </c>
      <c r="AN467" s="30" t="n">
        <f aca="false">IF(AM467=1,0,AP466)</f>
        <v>0</v>
      </c>
      <c r="AO467" s="30" t="n">
        <f aca="false">IF(W467="",0,IF(AND(AN467=0,ABS(W467)&gt;Inputs!$B$5,ABS(W467)&lt;=Inputs!$B$7,W467&gt;0),1,0))</f>
        <v>0</v>
      </c>
      <c r="AP467" s="30" t="n">
        <f aca="false">IF(W467="",0,IF(AO467=1,-SIGN(W467),AN467))</f>
        <v>0</v>
      </c>
      <c r="AQ467" s="30" t="n">
        <f aca="false">IF(W467="",0,IF(AO467=1,0,IF(AM467=1,0,AL467)))</f>
        <v>0</v>
      </c>
      <c r="AR467" s="30" t="n">
        <f aca="false">IF(AP467=0,0,IF(AP466=AP467,AR466,T467))</f>
        <v>0</v>
      </c>
      <c r="AS467" s="30" t="n">
        <f aca="false">AP467-AP466</f>
        <v>0</v>
      </c>
      <c r="AT467" s="30" t="n">
        <f aca="false">-AR467*AP467</f>
        <v>-0</v>
      </c>
      <c r="AU467" s="30" t="n">
        <f aca="false">AT467-AT466</f>
        <v>0</v>
      </c>
      <c r="AV467" s="30" t="n">
        <f aca="false">MAX(AS467,0)*(Inputs!$B$17+Inputs!$B$18+Inputs!$B$19)+MAX(-AS467,0)*(O467+Inputs!$B$18+Inputs!$B$19)+IF(AND(K467=1,AP467&lt;&gt;0),(Inputs!$B$17+Inputs!$B$18+Inputs!$B$19)+(O467+Inputs!$B$18+Inputs!$B$19),0)+MAX(AU467,0)*(Inputs!$B$20+Inputs!$B$22+Inputs!$B$23)+MAX(-AU467,0)*(Inputs!$B$21+Inputs!$B$22+Inputs!$B$23)</f>
        <v>0</v>
      </c>
      <c r="AW467" s="30" t="n">
        <f aca="false">AP466*(M467-AR466*J467)+AP466*AR466*N467/Inputs!$B$16-AV467</f>
        <v>0</v>
      </c>
      <c r="AX467" s="30" t="n">
        <f aca="false">AW467-IF(AP466&lt;&gt;0,0.75*AR466*(Inputs!$B$13-N467)/Inputs!$B$16,0)</f>
        <v>0</v>
      </c>
      <c r="AY467" s="30" t="n">
        <f aca="false">MAX(AS467,0)*(Inputs!$B$17+Inputs!$B$18+Inputs!$B$19)+MAX(-AS467,0)*(O467+Inputs!$B$18+Inputs!$B$19)+IF(AND(K467=1,AP467&lt;&gt;0),(Inputs!$B$17+Inputs!$B$18+Inputs!$B$19)+(O467+Inputs!$B$18+Inputs!$B$19),0)</f>
        <v>0</v>
      </c>
      <c r="AZ467" s="30" t="n">
        <f aca="false">AP466*M467-AY467</f>
        <v>-0</v>
      </c>
      <c r="BA467" s="32" t="n">
        <f aca="false">BA466+AI467</f>
        <v>0.00429130278454792</v>
      </c>
      <c r="BB467" s="30" t="n">
        <f aca="false">MAX(BB466,BA467)</f>
        <v>0.00429130278454792</v>
      </c>
      <c r="BC467" s="32" t="n">
        <f aca="false">BA467-BB467</f>
        <v>0</v>
      </c>
      <c r="BD467" s="30" t="n">
        <f aca="false">A468-A467</f>
        <v>1</v>
      </c>
    </row>
    <row r="468" customFormat="false" ht="15" hidden="false" customHeight="false" outlineLevel="0" collapsed="false">
      <c r="A468" s="28" t="n">
        <v>45727</v>
      </c>
      <c r="B468" s="0" t="n">
        <v>22590</v>
      </c>
      <c r="C468" s="0" t="n">
        <v>252.3</v>
      </c>
      <c r="D468" s="29" t="n">
        <f aca="false">LN(B468)</f>
        <v>10.025262609462</v>
      </c>
      <c r="E468" s="29" t="n">
        <f aca="false">LN(C468)</f>
        <v>5.53061885564701</v>
      </c>
      <c r="F468" s="0" t="n">
        <v>463</v>
      </c>
      <c r="G468" s="0" t="n">
        <v>16</v>
      </c>
      <c r="H468" s="29" t="n">
        <f aca="false">D468-E468</f>
        <v>4.49464375381504</v>
      </c>
      <c r="I468" s="29" t="n">
        <f aca="false">D468-D467</f>
        <v>0.00398757683496953</v>
      </c>
      <c r="J468" s="29" t="n">
        <f aca="false">E468-E467</f>
        <v>0.00261936094518322</v>
      </c>
      <c r="K468" s="0" t="n">
        <v>0</v>
      </c>
      <c r="L468" s="0" t="n">
        <v>0</v>
      </c>
      <c r="M468" s="29" t="n">
        <f aca="false">IF(L468=1,J468-Carry!$B$9/Inputs!$B$16,I468)</f>
        <v>0.00398757683496953</v>
      </c>
      <c r="N468" s="0" t="n">
        <v>0.0625</v>
      </c>
      <c r="O468" s="0" t="n">
        <v>0.0002</v>
      </c>
      <c r="P468" s="29" t="n">
        <f aca="false">D468-('2 Hedge ratio'!$B$6+'2 Hedge ratio'!$B$5*E468)</f>
        <v>-0.00330540073884578</v>
      </c>
      <c r="Q468" s="29" t="n">
        <f aca="false">D468-('5 Re-specification'!$B$7+'5 Re-specification'!$B$5*E468+'5 Re-specification'!$B$6*F468)</f>
        <v>0.00100554770517824</v>
      </c>
      <c r="R468" s="30" t="n">
        <f aca="false">MIN(F468,Inputs!$B$9)</f>
        <v>250</v>
      </c>
      <c r="S468" s="29" t="n">
        <f aca="true">IF(AND(F468&gt;=1,R468&gt;=Inputs!$B$10),INDEX(LINEST(OFFSET(D468,-R468,0,R468,1),OFFSET(E468,-R468,0,R468,2)),1,1),"")</f>
        <v>-4.90994972270246E-005</v>
      </c>
      <c r="T468" s="29" t="n">
        <f aca="true">IF(AND(F468&gt;=1,R468&gt;=Inputs!$B$10),INDEX(LINEST(OFFSET(D468,-R468,0,R468,1),OFFSET(E468,-R468,0,R468,2)),1,2),"")</f>
        <v>0.983901697405148</v>
      </c>
      <c r="U468" s="29" t="n">
        <f aca="true">IF(AND(F468&gt;=1,R468&gt;=Inputs!$B$10),INDEX(LINEST(OFFSET(D468,-R468,0,R468,1),OFFSET(E468,-R468,0,R468,2)),1,3),"")</f>
        <v>4.60513591324845</v>
      </c>
      <c r="V468" s="29" t="n">
        <f aca="true">IF(AND(F468&gt;=1,R468&gt;=Inputs!$B$10),SQRT(SUMPRODUCT((OFFSET(D468,-R468,0,R468,1)-U468-T468*OFFSET(E468,-R468,0,R468,1)-S468*OFFSET(F468,-R468,0,R468,1))^2)/(R468-3)),"")</f>
        <v>0.00332493749198858</v>
      </c>
      <c r="W468" s="31" t="n">
        <f aca="false">IF(AND(F468&gt;=1,R468&gt;=Inputs!$B$10),(D468-U468-T468*E468-S468*F468)/V468,"")</f>
        <v>0.383310561709139</v>
      </c>
      <c r="X468" s="30" t="n">
        <f aca="false">IF(AB467&lt;&gt;0,AC467+1,0)</f>
        <v>0</v>
      </c>
      <c r="Y468" s="30" t="n">
        <f aca="false">IF(W468="",0,IF(AND(AB467&lt;&gt;0,OR(ABS(W468)&gt;Inputs!$B$7,X468&gt;=Inputs!$B$8,ABS(W468)&lt;Inputs!$B$6)),1,0))</f>
        <v>0</v>
      </c>
      <c r="Z468" s="30" t="n">
        <f aca="false">IF(Y468=1,0,AB467)</f>
        <v>0</v>
      </c>
      <c r="AA468" s="30" t="n">
        <f aca="false">IF(W468="",0,IF(AND(Z468=0,ABS(W468)&gt;Inputs!$B$5,ABS(W468)&lt;=Inputs!$B$7),1,0))</f>
        <v>0</v>
      </c>
      <c r="AB468" s="30" t="n">
        <f aca="false">IF(W468="",0,IF(AA468=1,-SIGN(W468),Z468))</f>
        <v>0</v>
      </c>
      <c r="AC468" s="30" t="n">
        <f aca="false">IF(W468="",0,IF(AA468=1,0,IF(Y468=1,0,X468)))</f>
        <v>0</v>
      </c>
      <c r="AD468" s="30" t="n">
        <f aca="false">IF(AB468=0,0,IF(AB467=AB468,AD467,T468))</f>
        <v>0</v>
      </c>
      <c r="AE468" s="30" t="n">
        <f aca="false">AB468-AB467</f>
        <v>0</v>
      </c>
      <c r="AF468" s="30" t="n">
        <f aca="false">-AD468*AB468</f>
        <v>-0</v>
      </c>
      <c r="AG468" s="30" t="n">
        <f aca="false">AF468-AF467</f>
        <v>0</v>
      </c>
      <c r="AH468" s="30" t="n">
        <f aca="false">MAX(AE468,0)*(Inputs!$B$17+Inputs!$B$18+Inputs!$B$19)+MAX(-AE468,0)*(O468+Inputs!$B$18+Inputs!$B$19)+IF(AND(K468=1,AB468&lt;&gt;0),(Inputs!$B$17+Inputs!$B$18+Inputs!$B$19)+(O468+Inputs!$B$18+Inputs!$B$19),0)+MAX(AG468,0)*(Inputs!$B$20+Inputs!$B$22+Inputs!$B$23)+MAX(-AG468,0)*(Inputs!$B$21+Inputs!$B$22+Inputs!$B$23)</f>
        <v>0</v>
      </c>
      <c r="AI468" s="30" t="n">
        <f aca="false">AB467*(M468-AD467*J468)+AB467*AD467*N468/Inputs!$B$16-AH468</f>
        <v>0</v>
      </c>
      <c r="AJ468" s="30" t="n">
        <f aca="false">MAX(AE468,0)*(Inputs!$B$17+Inputs!$B$24+Inputs!$B$25)+MAX(-AE468,0)*(O468+Inputs!$B$24+Inputs!$B$25)+IF(AND(K468=1,AB468&lt;&gt;0),(Inputs!$B$17+Inputs!$B$24+Inputs!$B$25)+(O468+Inputs!$B$24+Inputs!$B$25),0)+MAX(AG468,0)*(Inputs!$B$20+Inputs!$B$26+Inputs!$B$27)+MAX(-AG468,0)*(Inputs!$B$21+Inputs!$B$26+Inputs!$B$27)</f>
        <v>0</v>
      </c>
      <c r="AK468" s="30" t="n">
        <f aca="false">AB467*(M468-AD467*J468)+AB467*AD467*(N468+Inputs!$B$14)/Inputs!$B$16-AJ468</f>
        <v>0</v>
      </c>
      <c r="AL468" s="30" t="n">
        <f aca="false">IF(AP467&lt;&gt;0,AQ467+1,0)</f>
        <v>0</v>
      </c>
      <c r="AM468" s="30" t="n">
        <f aca="false">IF(W468="",0,IF(AND(AP467&lt;&gt;0,OR(ABS(W468)&gt;Inputs!$B$7,AL468&gt;=Inputs!$B$8,ABS(W468)&lt;Inputs!$B$6)),1,0))</f>
        <v>0</v>
      </c>
      <c r="AN468" s="30" t="n">
        <f aca="false">IF(AM468=1,0,AP467)</f>
        <v>0</v>
      </c>
      <c r="AO468" s="30" t="n">
        <f aca="false">IF(W468="",0,IF(AND(AN468=0,ABS(W468)&gt;Inputs!$B$5,ABS(W468)&lt;=Inputs!$B$7,W468&gt;0),1,0))</f>
        <v>0</v>
      </c>
      <c r="AP468" s="30" t="n">
        <f aca="false">IF(W468="",0,IF(AO468=1,-SIGN(W468),AN468))</f>
        <v>0</v>
      </c>
      <c r="AQ468" s="30" t="n">
        <f aca="false">IF(W468="",0,IF(AO468=1,0,IF(AM468=1,0,AL468)))</f>
        <v>0</v>
      </c>
      <c r="AR468" s="30" t="n">
        <f aca="false">IF(AP468=0,0,IF(AP467=AP468,AR467,T468))</f>
        <v>0</v>
      </c>
      <c r="AS468" s="30" t="n">
        <f aca="false">AP468-AP467</f>
        <v>0</v>
      </c>
      <c r="AT468" s="30" t="n">
        <f aca="false">-AR468*AP468</f>
        <v>-0</v>
      </c>
      <c r="AU468" s="30" t="n">
        <f aca="false">AT468-AT467</f>
        <v>0</v>
      </c>
      <c r="AV468" s="30" t="n">
        <f aca="false">MAX(AS468,0)*(Inputs!$B$17+Inputs!$B$18+Inputs!$B$19)+MAX(-AS468,0)*(O468+Inputs!$B$18+Inputs!$B$19)+IF(AND(K468=1,AP468&lt;&gt;0),(Inputs!$B$17+Inputs!$B$18+Inputs!$B$19)+(O468+Inputs!$B$18+Inputs!$B$19),0)+MAX(AU468,0)*(Inputs!$B$20+Inputs!$B$22+Inputs!$B$23)+MAX(-AU468,0)*(Inputs!$B$21+Inputs!$B$22+Inputs!$B$23)</f>
        <v>0</v>
      </c>
      <c r="AW468" s="30" t="n">
        <f aca="false">AP467*(M468-AR467*J468)+AP467*AR467*N468/Inputs!$B$16-AV468</f>
        <v>0</v>
      </c>
      <c r="AX468" s="30" t="n">
        <f aca="false">AW468-IF(AP467&lt;&gt;0,0.75*AR467*(Inputs!$B$13-N468)/Inputs!$B$16,0)</f>
        <v>0</v>
      </c>
      <c r="AY468" s="30" t="n">
        <f aca="false">MAX(AS468,0)*(Inputs!$B$17+Inputs!$B$18+Inputs!$B$19)+MAX(-AS468,0)*(O468+Inputs!$B$18+Inputs!$B$19)+IF(AND(K468=1,AP468&lt;&gt;0),(Inputs!$B$17+Inputs!$B$18+Inputs!$B$19)+(O468+Inputs!$B$18+Inputs!$B$19),0)</f>
        <v>0</v>
      </c>
      <c r="AZ468" s="30" t="n">
        <f aca="false">AP467*M468-AY468</f>
        <v>0</v>
      </c>
      <c r="BA468" s="32" t="n">
        <f aca="false">BA467+AI468</f>
        <v>0.00429130278454792</v>
      </c>
      <c r="BB468" s="30" t="n">
        <f aca="false">MAX(BB467,BA468)</f>
        <v>0.00429130278454792</v>
      </c>
      <c r="BC468" s="32" t="n">
        <f aca="false">BA468-BB468</f>
        <v>0</v>
      </c>
      <c r="BD468" s="30" t="n">
        <f aca="false">A469-A468</f>
        <v>1</v>
      </c>
    </row>
    <row r="469" customFormat="false" ht="15" hidden="false" customHeight="false" outlineLevel="0" collapsed="false">
      <c r="A469" s="28" t="n">
        <v>45728</v>
      </c>
      <c r="B469" s="0" t="n">
        <v>22525.95</v>
      </c>
      <c r="C469" s="0" t="n">
        <v>251.5</v>
      </c>
      <c r="D469" s="29" t="n">
        <f aca="false">LN(B469)</f>
        <v>10.0224232569479</v>
      </c>
      <c r="E469" s="29" t="n">
        <f aca="false">LN(C469)</f>
        <v>5.52744298953979</v>
      </c>
      <c r="F469" s="0" t="n">
        <v>464</v>
      </c>
      <c r="G469" s="0" t="n">
        <v>15</v>
      </c>
      <c r="H469" s="29" t="n">
        <f aca="false">D469-E469</f>
        <v>4.4949802674081</v>
      </c>
      <c r="I469" s="29" t="n">
        <f aca="false">D469-D468</f>
        <v>-0.00283935251415457</v>
      </c>
      <c r="J469" s="29" t="n">
        <f aca="false">E469-E468</f>
        <v>-0.00317586610721854</v>
      </c>
      <c r="K469" s="0" t="n">
        <v>0</v>
      </c>
      <c r="L469" s="0" t="n">
        <v>0</v>
      </c>
      <c r="M469" s="29" t="n">
        <f aca="false">IF(L469=1,J469-Carry!$B$9/Inputs!$B$16,I469)</f>
        <v>-0.00283935251415457</v>
      </c>
      <c r="N469" s="0" t="n">
        <v>0.0625</v>
      </c>
      <c r="O469" s="0" t="n">
        <v>0.0002</v>
      </c>
      <c r="P469" s="29" t="n">
        <f aca="false">D469-('2 Hedge ratio'!$B$6+'2 Hedge ratio'!$B$5*E469)</f>
        <v>-0.00323525732839336</v>
      </c>
      <c r="Q469" s="29" t="n">
        <f aca="false">D469-('5 Re-specification'!$B$7+'5 Re-specification'!$B$5*E469+'5 Re-specification'!$B$6*F469)</f>
        <v>0.00137736615403483</v>
      </c>
      <c r="R469" s="30" t="n">
        <f aca="false">MIN(F469,Inputs!$B$9)</f>
        <v>250</v>
      </c>
      <c r="S469" s="29" t="n">
        <f aca="true">IF(AND(F469&gt;=1,R469&gt;=Inputs!$B$10),INDEX(LINEST(OFFSET(D469,-R469,0,R469,1),OFFSET(E469,-R469,0,R469,2)),1,1),"")</f>
        <v>-4.86291966777253E-005</v>
      </c>
      <c r="T469" s="29" t="n">
        <f aca="true">IF(AND(F469&gt;=1,R469&gt;=Inputs!$B$10),INDEX(LINEST(OFFSET(D469,-R469,0,R469,1),OFFSET(E469,-R469,0,R469,2)),1,2),"")</f>
        <v>0.983959856131002</v>
      </c>
      <c r="U469" s="29" t="n">
        <f aca="true">IF(AND(F469&gt;=1,R469&gt;=Inputs!$B$10),INDEX(LINEST(OFFSET(D469,-R469,0,R469,1),OFFSET(E469,-R469,0,R469,2)),1,3),"")</f>
        <v>4.60464248094892</v>
      </c>
      <c r="V469" s="29" t="n">
        <f aca="true">IF(AND(F469&gt;=1,R469&gt;=Inputs!$B$10),SQRT(SUMPRODUCT((OFFSET(D469,-R469,0,R469,1)-U469-T469*OFFSET(E469,-R469,0,R469,1)-S469*OFFSET(F469,-R469,0,R469,1))^2)/(R469-3)),"")</f>
        <v>0.00331715490810888</v>
      </c>
      <c r="W469" s="31" t="n">
        <f aca="false">IF(AND(F469&gt;=1,R469&gt;=Inputs!$B$10),(D469-U469-T469*E469-S469*F469)/V469,"")</f>
        <v>0.471100850228831</v>
      </c>
      <c r="X469" s="30" t="n">
        <f aca="false">IF(AB468&lt;&gt;0,AC468+1,0)</f>
        <v>0</v>
      </c>
      <c r="Y469" s="30" t="n">
        <f aca="false">IF(W469="",0,IF(AND(AB468&lt;&gt;0,OR(ABS(W469)&gt;Inputs!$B$7,X469&gt;=Inputs!$B$8,ABS(W469)&lt;Inputs!$B$6)),1,0))</f>
        <v>0</v>
      </c>
      <c r="Z469" s="30" t="n">
        <f aca="false">IF(Y469=1,0,AB468)</f>
        <v>0</v>
      </c>
      <c r="AA469" s="30" t="n">
        <f aca="false">IF(W469="",0,IF(AND(Z469=0,ABS(W469)&gt;Inputs!$B$5,ABS(W469)&lt;=Inputs!$B$7),1,0))</f>
        <v>0</v>
      </c>
      <c r="AB469" s="30" t="n">
        <f aca="false">IF(W469="",0,IF(AA469=1,-SIGN(W469),Z469))</f>
        <v>0</v>
      </c>
      <c r="AC469" s="30" t="n">
        <f aca="false">IF(W469="",0,IF(AA469=1,0,IF(Y469=1,0,X469)))</f>
        <v>0</v>
      </c>
      <c r="AD469" s="30" t="n">
        <f aca="false">IF(AB469=0,0,IF(AB468=AB469,AD468,T469))</f>
        <v>0</v>
      </c>
      <c r="AE469" s="30" t="n">
        <f aca="false">AB469-AB468</f>
        <v>0</v>
      </c>
      <c r="AF469" s="30" t="n">
        <f aca="false">-AD469*AB469</f>
        <v>-0</v>
      </c>
      <c r="AG469" s="30" t="n">
        <f aca="false">AF469-AF468</f>
        <v>0</v>
      </c>
      <c r="AH469" s="30" t="n">
        <f aca="false">MAX(AE469,0)*(Inputs!$B$17+Inputs!$B$18+Inputs!$B$19)+MAX(-AE469,0)*(O469+Inputs!$B$18+Inputs!$B$19)+IF(AND(K469=1,AB469&lt;&gt;0),(Inputs!$B$17+Inputs!$B$18+Inputs!$B$19)+(O469+Inputs!$B$18+Inputs!$B$19),0)+MAX(AG469,0)*(Inputs!$B$20+Inputs!$B$22+Inputs!$B$23)+MAX(-AG469,0)*(Inputs!$B$21+Inputs!$B$22+Inputs!$B$23)</f>
        <v>0</v>
      </c>
      <c r="AI469" s="30" t="n">
        <f aca="false">AB468*(M469-AD468*J469)+AB468*AD468*N469/Inputs!$B$16-AH469</f>
        <v>0</v>
      </c>
      <c r="AJ469" s="30" t="n">
        <f aca="false">MAX(AE469,0)*(Inputs!$B$17+Inputs!$B$24+Inputs!$B$25)+MAX(-AE469,0)*(O469+Inputs!$B$24+Inputs!$B$25)+IF(AND(K469=1,AB469&lt;&gt;0),(Inputs!$B$17+Inputs!$B$24+Inputs!$B$25)+(O469+Inputs!$B$24+Inputs!$B$25),0)+MAX(AG469,0)*(Inputs!$B$20+Inputs!$B$26+Inputs!$B$27)+MAX(-AG469,0)*(Inputs!$B$21+Inputs!$B$26+Inputs!$B$27)</f>
        <v>0</v>
      </c>
      <c r="AK469" s="30" t="n">
        <f aca="false">AB468*(M469-AD468*J469)+AB468*AD468*(N469+Inputs!$B$14)/Inputs!$B$16-AJ469</f>
        <v>0</v>
      </c>
      <c r="AL469" s="30" t="n">
        <f aca="false">IF(AP468&lt;&gt;0,AQ468+1,0)</f>
        <v>0</v>
      </c>
      <c r="AM469" s="30" t="n">
        <f aca="false">IF(W469="",0,IF(AND(AP468&lt;&gt;0,OR(ABS(W469)&gt;Inputs!$B$7,AL469&gt;=Inputs!$B$8,ABS(W469)&lt;Inputs!$B$6)),1,0))</f>
        <v>0</v>
      </c>
      <c r="AN469" s="30" t="n">
        <f aca="false">IF(AM469=1,0,AP468)</f>
        <v>0</v>
      </c>
      <c r="AO469" s="30" t="n">
        <f aca="false">IF(W469="",0,IF(AND(AN469=0,ABS(W469)&gt;Inputs!$B$5,ABS(W469)&lt;=Inputs!$B$7,W469&gt;0),1,0))</f>
        <v>0</v>
      </c>
      <c r="AP469" s="30" t="n">
        <f aca="false">IF(W469="",0,IF(AO469=1,-SIGN(W469),AN469))</f>
        <v>0</v>
      </c>
      <c r="AQ469" s="30" t="n">
        <f aca="false">IF(W469="",0,IF(AO469=1,0,IF(AM469=1,0,AL469)))</f>
        <v>0</v>
      </c>
      <c r="AR469" s="30" t="n">
        <f aca="false">IF(AP469=0,0,IF(AP468=AP469,AR468,T469))</f>
        <v>0</v>
      </c>
      <c r="AS469" s="30" t="n">
        <f aca="false">AP469-AP468</f>
        <v>0</v>
      </c>
      <c r="AT469" s="30" t="n">
        <f aca="false">-AR469*AP469</f>
        <v>-0</v>
      </c>
      <c r="AU469" s="30" t="n">
        <f aca="false">AT469-AT468</f>
        <v>0</v>
      </c>
      <c r="AV469" s="30" t="n">
        <f aca="false">MAX(AS469,0)*(Inputs!$B$17+Inputs!$B$18+Inputs!$B$19)+MAX(-AS469,0)*(O469+Inputs!$B$18+Inputs!$B$19)+IF(AND(K469=1,AP469&lt;&gt;0),(Inputs!$B$17+Inputs!$B$18+Inputs!$B$19)+(O469+Inputs!$B$18+Inputs!$B$19),0)+MAX(AU469,0)*(Inputs!$B$20+Inputs!$B$22+Inputs!$B$23)+MAX(-AU469,0)*(Inputs!$B$21+Inputs!$B$22+Inputs!$B$23)</f>
        <v>0</v>
      </c>
      <c r="AW469" s="30" t="n">
        <f aca="false">AP468*(M469-AR468*J469)+AP468*AR468*N469/Inputs!$B$16-AV469</f>
        <v>0</v>
      </c>
      <c r="AX469" s="30" t="n">
        <f aca="false">AW469-IF(AP468&lt;&gt;0,0.75*AR468*(Inputs!$B$13-N469)/Inputs!$B$16,0)</f>
        <v>0</v>
      </c>
      <c r="AY469" s="30" t="n">
        <f aca="false">MAX(AS469,0)*(Inputs!$B$17+Inputs!$B$18+Inputs!$B$19)+MAX(-AS469,0)*(O469+Inputs!$B$18+Inputs!$B$19)+IF(AND(K469=1,AP469&lt;&gt;0),(Inputs!$B$17+Inputs!$B$18+Inputs!$B$19)+(O469+Inputs!$B$18+Inputs!$B$19),0)</f>
        <v>0</v>
      </c>
      <c r="AZ469" s="30" t="n">
        <f aca="false">AP468*M469-AY469</f>
        <v>-0</v>
      </c>
      <c r="BA469" s="32" t="n">
        <f aca="false">BA468+AI469</f>
        <v>0.00429130278454792</v>
      </c>
      <c r="BB469" s="30" t="n">
        <f aca="false">MAX(BB468,BA469)</f>
        <v>0.00429130278454792</v>
      </c>
      <c r="BC469" s="32" t="n">
        <f aca="false">BA469-BB469</f>
        <v>0</v>
      </c>
      <c r="BD469" s="30" t="n">
        <f aca="false">A470-A469</f>
        <v>1</v>
      </c>
    </row>
    <row r="470" customFormat="false" ht="15" hidden="false" customHeight="false" outlineLevel="0" collapsed="false">
      <c r="A470" s="28" t="n">
        <v>45729</v>
      </c>
      <c r="B470" s="0" t="n">
        <v>22435.05</v>
      </c>
      <c r="C470" s="0" t="n">
        <v>251.09</v>
      </c>
      <c r="D470" s="29" t="n">
        <f aca="false">LN(B470)</f>
        <v>10.0183797470682</v>
      </c>
      <c r="E470" s="29" t="n">
        <f aca="false">LN(C470)</f>
        <v>5.5258114405995</v>
      </c>
      <c r="F470" s="0" t="n">
        <v>465</v>
      </c>
      <c r="G470" s="0" t="n">
        <v>14</v>
      </c>
      <c r="H470" s="29" t="n">
        <f aca="false">D470-E470</f>
        <v>4.49256830646867</v>
      </c>
      <c r="I470" s="29" t="n">
        <f aca="false">D470-D469</f>
        <v>-0.00404350987971824</v>
      </c>
      <c r="J470" s="29" t="n">
        <f aca="false">E470-E469</f>
        <v>-0.00163154894028938</v>
      </c>
      <c r="K470" s="0" t="n">
        <v>0</v>
      </c>
      <c r="L470" s="0" t="n">
        <v>0</v>
      </c>
      <c r="M470" s="29" t="n">
        <f aca="false">IF(L470=1,J470-Carry!$B$9/Inputs!$B$16,I470)</f>
        <v>-0.00404350987971824</v>
      </c>
      <c r="N470" s="0" t="n">
        <v>0.0625</v>
      </c>
      <c r="O470" s="0" t="n">
        <v>0.0002</v>
      </c>
      <c r="P470" s="29" t="n">
        <f aca="false">D470-('2 Hedge ratio'!$B$6+'2 Hedge ratio'!$B$5*E470)</f>
        <v>-0.00578406156489031</v>
      </c>
      <c r="Q470" s="29" t="n">
        <f aca="false">D470-('5 Re-specification'!$B$7+'5 Re-specification'!$B$5*E470+'5 Re-specification'!$B$6*F470)</f>
        <v>-0.000994609876395103</v>
      </c>
      <c r="R470" s="30" t="n">
        <f aca="false">MIN(F470,Inputs!$B$9)</f>
        <v>250</v>
      </c>
      <c r="S470" s="29" t="n">
        <f aca="true">IF(AND(F470&gt;=1,R470&gt;=Inputs!$B$10),INDEX(LINEST(OFFSET(D470,-R470,0,R470,1),OFFSET(E470,-R470,0,R470,2)),1,1),"")</f>
        <v>-4.83363372228703E-005</v>
      </c>
      <c r="T470" s="29" t="n">
        <f aca="true">IF(AND(F470&gt;=1,R470&gt;=Inputs!$B$10),INDEX(LINEST(OFFSET(D470,-R470,0,R470,1),OFFSET(E470,-R470,0,R470,2)),1,2),"")</f>
        <v>0.983791151781831</v>
      </c>
      <c r="U470" s="29" t="n">
        <f aca="true">IF(AND(F470&gt;=1,R470&gt;=Inputs!$B$10),INDEX(LINEST(OFFSET(D470,-R470,0,R470,1),OFFSET(E470,-R470,0,R470,2)),1,3),"")</f>
        <v>4.60548566590574</v>
      </c>
      <c r="V470" s="29" t="n">
        <f aca="true">IF(AND(F470&gt;=1,R470&gt;=Inputs!$B$10),SQRT(SUMPRODUCT((OFFSET(D470,-R470,0,R470,1)-U470-T470*OFFSET(E470,-R470,0,R470,1)-S470*OFFSET(F470,-R470,0,R470,1))^2)/(R470-3)),"")</f>
        <v>0.00331782483018902</v>
      </c>
      <c r="W470" s="31" t="n">
        <f aca="false">IF(AND(F470&gt;=1,R470&gt;=Inputs!$B$10),(D470-U470-T470*E470-S470*F470)/V470,"")</f>
        <v>-0.263402605701032</v>
      </c>
      <c r="X470" s="30" t="n">
        <f aca="false">IF(AB469&lt;&gt;0,AC469+1,0)</f>
        <v>0</v>
      </c>
      <c r="Y470" s="30" t="n">
        <f aca="false">IF(W470="",0,IF(AND(AB469&lt;&gt;0,OR(ABS(W470)&gt;Inputs!$B$7,X470&gt;=Inputs!$B$8,ABS(W470)&lt;Inputs!$B$6)),1,0))</f>
        <v>0</v>
      </c>
      <c r="Z470" s="30" t="n">
        <f aca="false">IF(Y470=1,0,AB469)</f>
        <v>0</v>
      </c>
      <c r="AA470" s="30" t="n">
        <f aca="false">IF(W470="",0,IF(AND(Z470=0,ABS(W470)&gt;Inputs!$B$5,ABS(W470)&lt;=Inputs!$B$7),1,0))</f>
        <v>0</v>
      </c>
      <c r="AB470" s="30" t="n">
        <f aca="false">IF(W470="",0,IF(AA470=1,-SIGN(W470),Z470))</f>
        <v>0</v>
      </c>
      <c r="AC470" s="30" t="n">
        <f aca="false">IF(W470="",0,IF(AA470=1,0,IF(Y470=1,0,X470)))</f>
        <v>0</v>
      </c>
      <c r="AD470" s="30" t="n">
        <f aca="false">IF(AB470=0,0,IF(AB469=AB470,AD469,T470))</f>
        <v>0</v>
      </c>
      <c r="AE470" s="30" t="n">
        <f aca="false">AB470-AB469</f>
        <v>0</v>
      </c>
      <c r="AF470" s="30" t="n">
        <f aca="false">-AD470*AB470</f>
        <v>-0</v>
      </c>
      <c r="AG470" s="30" t="n">
        <f aca="false">AF470-AF469</f>
        <v>0</v>
      </c>
      <c r="AH470" s="30" t="n">
        <f aca="false">MAX(AE470,0)*(Inputs!$B$17+Inputs!$B$18+Inputs!$B$19)+MAX(-AE470,0)*(O470+Inputs!$B$18+Inputs!$B$19)+IF(AND(K470=1,AB470&lt;&gt;0),(Inputs!$B$17+Inputs!$B$18+Inputs!$B$19)+(O470+Inputs!$B$18+Inputs!$B$19),0)+MAX(AG470,0)*(Inputs!$B$20+Inputs!$B$22+Inputs!$B$23)+MAX(-AG470,0)*(Inputs!$B$21+Inputs!$B$22+Inputs!$B$23)</f>
        <v>0</v>
      </c>
      <c r="AI470" s="30" t="n">
        <f aca="false">AB469*(M470-AD469*J470)+AB469*AD469*N470/Inputs!$B$16-AH470</f>
        <v>0</v>
      </c>
      <c r="AJ470" s="30" t="n">
        <f aca="false">MAX(AE470,0)*(Inputs!$B$17+Inputs!$B$24+Inputs!$B$25)+MAX(-AE470,0)*(O470+Inputs!$B$24+Inputs!$B$25)+IF(AND(K470=1,AB470&lt;&gt;0),(Inputs!$B$17+Inputs!$B$24+Inputs!$B$25)+(O470+Inputs!$B$24+Inputs!$B$25),0)+MAX(AG470,0)*(Inputs!$B$20+Inputs!$B$26+Inputs!$B$27)+MAX(-AG470,0)*(Inputs!$B$21+Inputs!$B$26+Inputs!$B$27)</f>
        <v>0</v>
      </c>
      <c r="AK470" s="30" t="n">
        <f aca="false">AB469*(M470-AD469*J470)+AB469*AD469*(N470+Inputs!$B$14)/Inputs!$B$16-AJ470</f>
        <v>0</v>
      </c>
      <c r="AL470" s="30" t="n">
        <f aca="false">IF(AP469&lt;&gt;0,AQ469+1,0)</f>
        <v>0</v>
      </c>
      <c r="AM470" s="30" t="n">
        <f aca="false">IF(W470="",0,IF(AND(AP469&lt;&gt;0,OR(ABS(W470)&gt;Inputs!$B$7,AL470&gt;=Inputs!$B$8,ABS(W470)&lt;Inputs!$B$6)),1,0))</f>
        <v>0</v>
      </c>
      <c r="AN470" s="30" t="n">
        <f aca="false">IF(AM470=1,0,AP469)</f>
        <v>0</v>
      </c>
      <c r="AO470" s="30" t="n">
        <f aca="false">IF(W470="",0,IF(AND(AN470=0,ABS(W470)&gt;Inputs!$B$5,ABS(W470)&lt;=Inputs!$B$7,W470&gt;0),1,0))</f>
        <v>0</v>
      </c>
      <c r="AP470" s="30" t="n">
        <f aca="false">IF(W470="",0,IF(AO470=1,-SIGN(W470),AN470))</f>
        <v>0</v>
      </c>
      <c r="AQ470" s="30" t="n">
        <f aca="false">IF(W470="",0,IF(AO470=1,0,IF(AM470=1,0,AL470)))</f>
        <v>0</v>
      </c>
      <c r="AR470" s="30" t="n">
        <f aca="false">IF(AP470=0,0,IF(AP469=AP470,AR469,T470))</f>
        <v>0</v>
      </c>
      <c r="AS470" s="30" t="n">
        <f aca="false">AP470-AP469</f>
        <v>0</v>
      </c>
      <c r="AT470" s="30" t="n">
        <f aca="false">-AR470*AP470</f>
        <v>-0</v>
      </c>
      <c r="AU470" s="30" t="n">
        <f aca="false">AT470-AT469</f>
        <v>0</v>
      </c>
      <c r="AV470" s="30" t="n">
        <f aca="false">MAX(AS470,0)*(Inputs!$B$17+Inputs!$B$18+Inputs!$B$19)+MAX(-AS470,0)*(O470+Inputs!$B$18+Inputs!$B$19)+IF(AND(K470=1,AP470&lt;&gt;0),(Inputs!$B$17+Inputs!$B$18+Inputs!$B$19)+(O470+Inputs!$B$18+Inputs!$B$19),0)+MAX(AU470,0)*(Inputs!$B$20+Inputs!$B$22+Inputs!$B$23)+MAX(-AU470,0)*(Inputs!$B$21+Inputs!$B$22+Inputs!$B$23)</f>
        <v>0</v>
      </c>
      <c r="AW470" s="30" t="n">
        <f aca="false">AP469*(M470-AR469*J470)+AP469*AR469*N470/Inputs!$B$16-AV470</f>
        <v>0</v>
      </c>
      <c r="AX470" s="30" t="n">
        <f aca="false">AW470-IF(AP469&lt;&gt;0,0.75*AR469*(Inputs!$B$13-N470)/Inputs!$B$16,0)</f>
        <v>0</v>
      </c>
      <c r="AY470" s="30" t="n">
        <f aca="false">MAX(AS470,0)*(Inputs!$B$17+Inputs!$B$18+Inputs!$B$19)+MAX(-AS470,0)*(O470+Inputs!$B$18+Inputs!$B$19)+IF(AND(K470=1,AP470&lt;&gt;0),(Inputs!$B$17+Inputs!$B$18+Inputs!$B$19)+(O470+Inputs!$B$18+Inputs!$B$19),0)</f>
        <v>0</v>
      </c>
      <c r="AZ470" s="30" t="n">
        <f aca="false">AP469*M470-AY470</f>
        <v>-0</v>
      </c>
      <c r="BA470" s="32" t="n">
        <f aca="false">BA469+AI470</f>
        <v>0.00429130278454792</v>
      </c>
      <c r="BB470" s="30" t="n">
        <f aca="false">MAX(BB469,BA470)</f>
        <v>0.00429130278454792</v>
      </c>
      <c r="BC470" s="32" t="n">
        <f aca="false">BA470-BB470</f>
        <v>0</v>
      </c>
      <c r="BD470" s="30" t="n">
        <f aca="false">A471-A470</f>
        <v>4</v>
      </c>
    </row>
    <row r="471" customFormat="false" ht="15" hidden="false" customHeight="false" outlineLevel="0" collapsed="false">
      <c r="A471" s="28" t="n">
        <v>45733</v>
      </c>
      <c r="B471" s="0" t="n">
        <v>22592.8</v>
      </c>
      <c r="C471" s="0" t="n">
        <v>252.25</v>
      </c>
      <c r="D471" s="29" t="n">
        <f aca="false">LN(B471)</f>
        <v>10.0253865504309</v>
      </c>
      <c r="E471" s="29" t="n">
        <f aca="false">LN(C471)</f>
        <v>5.53042065923372</v>
      </c>
      <c r="F471" s="0" t="n">
        <v>466</v>
      </c>
      <c r="G471" s="0" t="n">
        <v>10</v>
      </c>
      <c r="H471" s="29" t="n">
        <f aca="false">D471-E471</f>
        <v>4.49496589119718</v>
      </c>
      <c r="I471" s="29" t="n">
        <f aca="false">D471-D470</f>
        <v>0.00700680336271908</v>
      </c>
      <c r="J471" s="29" t="n">
        <f aca="false">E471-E470</f>
        <v>0.00460921863421415</v>
      </c>
      <c r="K471" s="0" t="n">
        <v>0</v>
      </c>
      <c r="L471" s="0" t="n">
        <v>0</v>
      </c>
      <c r="M471" s="29" t="n">
        <f aca="false">IF(L471=1,J471-Carry!$B$9/Inputs!$B$16,I471)</f>
        <v>0.00700680336271908</v>
      </c>
      <c r="N471" s="0" t="n">
        <v>0.0625</v>
      </c>
      <c r="O471" s="0" t="n">
        <v>0.0002</v>
      </c>
      <c r="P471" s="29" t="n">
        <f aca="false">D471-('2 Hedge ratio'!$B$6+'2 Hedge ratio'!$B$5*E471)</f>
        <v>-0.00299988673219431</v>
      </c>
      <c r="Q471" s="29" t="n">
        <f aca="false">D471-('5 Re-specification'!$B$7+'5 Re-specification'!$B$5*E471+'5 Re-specification'!$B$6*F471)</f>
        <v>0.00146187240737383</v>
      </c>
      <c r="R471" s="30" t="n">
        <f aca="false">MIN(F471,Inputs!$B$9)</f>
        <v>250</v>
      </c>
      <c r="S471" s="29" t="n">
        <f aca="true">IF(AND(F471&gt;=1,R471&gt;=Inputs!$B$10),INDEX(LINEST(OFFSET(D471,-R471,0,R471,1),OFFSET(E471,-R471,0,R471,2)),1,1),"")</f>
        <v>-4.84200175553258E-005</v>
      </c>
      <c r="T471" s="29" t="n">
        <f aca="true">IF(AND(F471&gt;=1,R471&gt;=Inputs!$B$10),INDEX(LINEST(OFFSET(D471,-R471,0,R471,1),OFFSET(E471,-R471,0,R471,2)),1,2),"")</f>
        <v>0.983958140059438</v>
      </c>
      <c r="U471" s="29" t="n">
        <f aca="true">IF(AND(F471&gt;=1,R471&gt;=Inputs!$B$10),INDEX(LINEST(OFFSET(D471,-R471,0,R471,1),OFFSET(E471,-R471,0,R471,2)),1,3),"")</f>
        <v>4.60457800879004</v>
      </c>
      <c r="V471" s="29" t="n">
        <f aca="true">IF(AND(F471&gt;=1,R471&gt;=Inputs!$B$10),SQRT(SUMPRODUCT((OFFSET(D471,-R471,0,R471,1)-U471-T471*OFFSET(E471,-R471,0,R471,1)-S471*OFFSET(F471,-R471,0,R471,1))^2)/(R471-3)),"")</f>
        <v>0.00331820286166257</v>
      </c>
      <c r="W471" s="31" t="n">
        <f aca="false">IF(AND(F471&gt;=1,R471&gt;=Inputs!$B$10),(D471-U471-T471*E471-S471*F471)/V471,"")</f>
        <v>0.503237531082234</v>
      </c>
      <c r="X471" s="30" t="n">
        <f aca="false">IF(AB470&lt;&gt;0,AC470+1,0)</f>
        <v>0</v>
      </c>
      <c r="Y471" s="30" t="n">
        <f aca="false">IF(W471="",0,IF(AND(AB470&lt;&gt;0,OR(ABS(W471)&gt;Inputs!$B$7,X471&gt;=Inputs!$B$8,ABS(W471)&lt;Inputs!$B$6)),1,0))</f>
        <v>0</v>
      </c>
      <c r="Z471" s="30" t="n">
        <f aca="false">IF(Y471=1,0,AB470)</f>
        <v>0</v>
      </c>
      <c r="AA471" s="30" t="n">
        <f aca="false">IF(W471="",0,IF(AND(Z471=0,ABS(W471)&gt;Inputs!$B$5,ABS(W471)&lt;=Inputs!$B$7),1,0))</f>
        <v>0</v>
      </c>
      <c r="AB471" s="30" t="n">
        <f aca="false">IF(W471="",0,IF(AA471=1,-SIGN(W471),Z471))</f>
        <v>0</v>
      </c>
      <c r="AC471" s="30" t="n">
        <f aca="false">IF(W471="",0,IF(AA471=1,0,IF(Y471=1,0,X471)))</f>
        <v>0</v>
      </c>
      <c r="AD471" s="30" t="n">
        <f aca="false">IF(AB471=0,0,IF(AB470=AB471,AD470,T471))</f>
        <v>0</v>
      </c>
      <c r="AE471" s="30" t="n">
        <f aca="false">AB471-AB470</f>
        <v>0</v>
      </c>
      <c r="AF471" s="30" t="n">
        <f aca="false">-AD471*AB471</f>
        <v>-0</v>
      </c>
      <c r="AG471" s="30" t="n">
        <f aca="false">AF471-AF470</f>
        <v>0</v>
      </c>
      <c r="AH471" s="30" t="n">
        <f aca="false">MAX(AE471,0)*(Inputs!$B$17+Inputs!$B$18+Inputs!$B$19)+MAX(-AE471,0)*(O471+Inputs!$B$18+Inputs!$B$19)+IF(AND(K471=1,AB471&lt;&gt;0),(Inputs!$B$17+Inputs!$B$18+Inputs!$B$19)+(O471+Inputs!$B$18+Inputs!$B$19),0)+MAX(AG471,0)*(Inputs!$B$20+Inputs!$B$22+Inputs!$B$23)+MAX(-AG471,0)*(Inputs!$B$21+Inputs!$B$22+Inputs!$B$23)</f>
        <v>0</v>
      </c>
      <c r="AI471" s="30" t="n">
        <f aca="false">AB470*(M471-AD470*J471)+AB470*AD470*N471/Inputs!$B$16-AH471</f>
        <v>0</v>
      </c>
      <c r="AJ471" s="30" t="n">
        <f aca="false">MAX(AE471,0)*(Inputs!$B$17+Inputs!$B$24+Inputs!$B$25)+MAX(-AE471,0)*(O471+Inputs!$B$24+Inputs!$B$25)+IF(AND(K471=1,AB471&lt;&gt;0),(Inputs!$B$17+Inputs!$B$24+Inputs!$B$25)+(O471+Inputs!$B$24+Inputs!$B$25),0)+MAX(AG471,0)*(Inputs!$B$20+Inputs!$B$26+Inputs!$B$27)+MAX(-AG471,0)*(Inputs!$B$21+Inputs!$B$26+Inputs!$B$27)</f>
        <v>0</v>
      </c>
      <c r="AK471" s="30" t="n">
        <f aca="false">AB470*(M471-AD470*J471)+AB470*AD470*(N471+Inputs!$B$14)/Inputs!$B$16-AJ471</f>
        <v>0</v>
      </c>
      <c r="AL471" s="30" t="n">
        <f aca="false">IF(AP470&lt;&gt;0,AQ470+1,0)</f>
        <v>0</v>
      </c>
      <c r="AM471" s="30" t="n">
        <f aca="false">IF(W471="",0,IF(AND(AP470&lt;&gt;0,OR(ABS(W471)&gt;Inputs!$B$7,AL471&gt;=Inputs!$B$8,ABS(W471)&lt;Inputs!$B$6)),1,0))</f>
        <v>0</v>
      </c>
      <c r="AN471" s="30" t="n">
        <f aca="false">IF(AM471=1,0,AP470)</f>
        <v>0</v>
      </c>
      <c r="AO471" s="30" t="n">
        <f aca="false">IF(W471="",0,IF(AND(AN471=0,ABS(W471)&gt;Inputs!$B$5,ABS(W471)&lt;=Inputs!$B$7,W471&gt;0),1,0))</f>
        <v>0</v>
      </c>
      <c r="AP471" s="30" t="n">
        <f aca="false">IF(W471="",0,IF(AO471=1,-SIGN(W471),AN471))</f>
        <v>0</v>
      </c>
      <c r="AQ471" s="30" t="n">
        <f aca="false">IF(W471="",0,IF(AO471=1,0,IF(AM471=1,0,AL471)))</f>
        <v>0</v>
      </c>
      <c r="AR471" s="30" t="n">
        <f aca="false">IF(AP471=0,0,IF(AP470=AP471,AR470,T471))</f>
        <v>0</v>
      </c>
      <c r="AS471" s="30" t="n">
        <f aca="false">AP471-AP470</f>
        <v>0</v>
      </c>
      <c r="AT471" s="30" t="n">
        <f aca="false">-AR471*AP471</f>
        <v>-0</v>
      </c>
      <c r="AU471" s="30" t="n">
        <f aca="false">AT471-AT470</f>
        <v>0</v>
      </c>
      <c r="AV471" s="30" t="n">
        <f aca="false">MAX(AS471,0)*(Inputs!$B$17+Inputs!$B$18+Inputs!$B$19)+MAX(-AS471,0)*(O471+Inputs!$B$18+Inputs!$B$19)+IF(AND(K471=1,AP471&lt;&gt;0),(Inputs!$B$17+Inputs!$B$18+Inputs!$B$19)+(O471+Inputs!$B$18+Inputs!$B$19),0)+MAX(AU471,0)*(Inputs!$B$20+Inputs!$B$22+Inputs!$B$23)+MAX(-AU471,0)*(Inputs!$B$21+Inputs!$B$22+Inputs!$B$23)</f>
        <v>0</v>
      </c>
      <c r="AW471" s="30" t="n">
        <f aca="false">AP470*(M471-AR470*J471)+AP470*AR470*N471/Inputs!$B$16-AV471</f>
        <v>0</v>
      </c>
      <c r="AX471" s="30" t="n">
        <f aca="false">AW471-IF(AP470&lt;&gt;0,0.75*AR470*(Inputs!$B$13-N471)/Inputs!$B$16,0)</f>
        <v>0</v>
      </c>
      <c r="AY471" s="30" t="n">
        <f aca="false">MAX(AS471,0)*(Inputs!$B$17+Inputs!$B$18+Inputs!$B$19)+MAX(-AS471,0)*(O471+Inputs!$B$18+Inputs!$B$19)+IF(AND(K471=1,AP471&lt;&gt;0),(Inputs!$B$17+Inputs!$B$18+Inputs!$B$19)+(O471+Inputs!$B$18+Inputs!$B$19),0)</f>
        <v>0</v>
      </c>
      <c r="AZ471" s="30" t="n">
        <f aca="false">AP470*M471-AY471</f>
        <v>0</v>
      </c>
      <c r="BA471" s="32" t="n">
        <f aca="false">BA470+AI471</f>
        <v>0.00429130278454792</v>
      </c>
      <c r="BB471" s="30" t="n">
        <f aca="false">MAX(BB470,BA471)</f>
        <v>0.00429130278454792</v>
      </c>
      <c r="BC471" s="32" t="n">
        <f aca="false">BA471-BB471</f>
        <v>0</v>
      </c>
      <c r="BD471" s="30" t="n">
        <f aca="false">A472-A471</f>
        <v>1</v>
      </c>
    </row>
    <row r="472" customFormat="false" ht="15" hidden="false" customHeight="false" outlineLevel="0" collapsed="false">
      <c r="A472" s="28" t="n">
        <v>45734</v>
      </c>
      <c r="B472" s="0" t="n">
        <v>22905</v>
      </c>
      <c r="C472" s="0" t="n">
        <v>256</v>
      </c>
      <c r="D472" s="29" t="n">
        <f aca="false">LN(B472)</f>
        <v>10.0391105063208</v>
      </c>
      <c r="E472" s="29" t="n">
        <f aca="false">LN(C472)</f>
        <v>5.54517744447956</v>
      </c>
      <c r="F472" s="0" t="n">
        <v>467</v>
      </c>
      <c r="G472" s="0" t="n">
        <v>9</v>
      </c>
      <c r="H472" s="29" t="n">
        <f aca="false">D472-E472</f>
        <v>4.49393306184128</v>
      </c>
      <c r="I472" s="29" t="n">
        <f aca="false">D472-D471</f>
        <v>0.0137239558899473</v>
      </c>
      <c r="J472" s="29" t="n">
        <f aca="false">E472-E471</f>
        <v>0.0147567852458437</v>
      </c>
      <c r="K472" s="0" t="n">
        <v>0</v>
      </c>
      <c r="L472" s="0" t="n">
        <v>0</v>
      </c>
      <c r="M472" s="29" t="n">
        <f aca="false">IF(L472=1,J472-Carry!$B$9/Inputs!$B$16,I472)</f>
        <v>0.0137239558899473</v>
      </c>
      <c r="N472" s="0" t="n">
        <v>0.0625</v>
      </c>
      <c r="O472" s="0" t="n">
        <v>0.0002</v>
      </c>
      <c r="P472" s="29" t="n">
        <f aca="false">D472-('2 Hedge ratio'!$B$6+'2 Hedge ratio'!$B$5*E472)</f>
        <v>-0.0027950166864219</v>
      </c>
      <c r="Q472" s="29" t="n">
        <f aca="false">D472-('5 Re-specification'!$B$7+'5 Re-specification'!$B$5*E472+'5 Re-specification'!$B$6*F472)</f>
        <v>0.000518692807576215</v>
      </c>
      <c r="R472" s="30" t="n">
        <f aca="false">MIN(F472,Inputs!$B$9)</f>
        <v>250</v>
      </c>
      <c r="S472" s="29" t="n">
        <f aca="true">IF(AND(F472&gt;=1,R472&gt;=Inputs!$B$10),INDEX(LINEST(OFFSET(D472,-R472,0,R472,1),OFFSET(E472,-R472,0,R472,2)),1,1),"")</f>
        <v>-4.81127228146293E-005</v>
      </c>
      <c r="T472" s="29" t="n">
        <f aca="true">IF(AND(F472&gt;=1,R472&gt;=Inputs!$B$10),INDEX(LINEST(OFFSET(D472,-R472,0,R472,1),OFFSET(E472,-R472,0,R472,2)),1,2),"")</f>
        <v>0.983824577125494</v>
      </c>
      <c r="U472" s="29" t="n">
        <f aca="true">IF(AND(F472&gt;=1,R472&gt;=Inputs!$B$10),INDEX(LINEST(OFFSET(D472,-R472,0,R472,1),OFFSET(E472,-R472,0,R472,2)),1,3),"")</f>
        <v>4.60521954400384</v>
      </c>
      <c r="V472" s="29" t="n">
        <f aca="true">IF(AND(F472&gt;=1,R472&gt;=Inputs!$B$10),SQRT(SUMPRODUCT((OFFSET(D472,-R472,0,R472,1)-U472-T472*OFFSET(E472,-R472,0,R472,1)-S472*OFFSET(F472,-R472,0,R472,1))^2)/(R472-3)),"")</f>
        <v>0.00331885606598658</v>
      </c>
      <c r="W472" s="31" t="n">
        <f aca="false">IF(AND(F472&gt;=1,R472&gt;=Inputs!$B$10),(D472-U472-T472*E472-S472*F472)/V472,"")</f>
        <v>0.26447349720784</v>
      </c>
      <c r="X472" s="30" t="n">
        <f aca="false">IF(AB471&lt;&gt;0,AC471+1,0)</f>
        <v>0</v>
      </c>
      <c r="Y472" s="30" t="n">
        <f aca="false">IF(W472="",0,IF(AND(AB471&lt;&gt;0,OR(ABS(W472)&gt;Inputs!$B$7,X472&gt;=Inputs!$B$8,ABS(W472)&lt;Inputs!$B$6)),1,0))</f>
        <v>0</v>
      </c>
      <c r="Z472" s="30" t="n">
        <f aca="false">IF(Y472=1,0,AB471)</f>
        <v>0</v>
      </c>
      <c r="AA472" s="30" t="n">
        <f aca="false">IF(W472="",0,IF(AND(Z472=0,ABS(W472)&gt;Inputs!$B$5,ABS(W472)&lt;=Inputs!$B$7),1,0))</f>
        <v>0</v>
      </c>
      <c r="AB472" s="30" t="n">
        <f aca="false">IF(W472="",0,IF(AA472=1,-SIGN(W472),Z472))</f>
        <v>0</v>
      </c>
      <c r="AC472" s="30" t="n">
        <f aca="false">IF(W472="",0,IF(AA472=1,0,IF(Y472=1,0,X472)))</f>
        <v>0</v>
      </c>
      <c r="AD472" s="30" t="n">
        <f aca="false">IF(AB472=0,0,IF(AB471=AB472,AD471,T472))</f>
        <v>0</v>
      </c>
      <c r="AE472" s="30" t="n">
        <f aca="false">AB472-AB471</f>
        <v>0</v>
      </c>
      <c r="AF472" s="30" t="n">
        <f aca="false">-AD472*AB472</f>
        <v>-0</v>
      </c>
      <c r="AG472" s="30" t="n">
        <f aca="false">AF472-AF471</f>
        <v>0</v>
      </c>
      <c r="AH472" s="30" t="n">
        <f aca="false">MAX(AE472,0)*(Inputs!$B$17+Inputs!$B$18+Inputs!$B$19)+MAX(-AE472,0)*(O472+Inputs!$B$18+Inputs!$B$19)+IF(AND(K472=1,AB472&lt;&gt;0),(Inputs!$B$17+Inputs!$B$18+Inputs!$B$19)+(O472+Inputs!$B$18+Inputs!$B$19),0)+MAX(AG472,0)*(Inputs!$B$20+Inputs!$B$22+Inputs!$B$23)+MAX(-AG472,0)*(Inputs!$B$21+Inputs!$B$22+Inputs!$B$23)</f>
        <v>0</v>
      </c>
      <c r="AI472" s="30" t="n">
        <f aca="false">AB471*(M472-AD471*J472)+AB471*AD471*N472/Inputs!$B$16-AH472</f>
        <v>0</v>
      </c>
      <c r="AJ472" s="30" t="n">
        <f aca="false">MAX(AE472,0)*(Inputs!$B$17+Inputs!$B$24+Inputs!$B$25)+MAX(-AE472,0)*(O472+Inputs!$B$24+Inputs!$B$25)+IF(AND(K472=1,AB472&lt;&gt;0),(Inputs!$B$17+Inputs!$B$24+Inputs!$B$25)+(O472+Inputs!$B$24+Inputs!$B$25),0)+MAX(AG472,0)*(Inputs!$B$20+Inputs!$B$26+Inputs!$B$27)+MAX(-AG472,0)*(Inputs!$B$21+Inputs!$B$26+Inputs!$B$27)</f>
        <v>0</v>
      </c>
      <c r="AK472" s="30" t="n">
        <f aca="false">AB471*(M472-AD471*J472)+AB471*AD471*(N472+Inputs!$B$14)/Inputs!$B$16-AJ472</f>
        <v>0</v>
      </c>
      <c r="AL472" s="30" t="n">
        <f aca="false">IF(AP471&lt;&gt;0,AQ471+1,0)</f>
        <v>0</v>
      </c>
      <c r="AM472" s="30" t="n">
        <f aca="false">IF(W472="",0,IF(AND(AP471&lt;&gt;0,OR(ABS(W472)&gt;Inputs!$B$7,AL472&gt;=Inputs!$B$8,ABS(W472)&lt;Inputs!$B$6)),1,0))</f>
        <v>0</v>
      </c>
      <c r="AN472" s="30" t="n">
        <f aca="false">IF(AM472=1,0,AP471)</f>
        <v>0</v>
      </c>
      <c r="AO472" s="30" t="n">
        <f aca="false">IF(W472="",0,IF(AND(AN472=0,ABS(W472)&gt;Inputs!$B$5,ABS(W472)&lt;=Inputs!$B$7,W472&gt;0),1,0))</f>
        <v>0</v>
      </c>
      <c r="AP472" s="30" t="n">
        <f aca="false">IF(W472="",0,IF(AO472=1,-SIGN(W472),AN472))</f>
        <v>0</v>
      </c>
      <c r="AQ472" s="30" t="n">
        <f aca="false">IF(W472="",0,IF(AO472=1,0,IF(AM472=1,0,AL472)))</f>
        <v>0</v>
      </c>
      <c r="AR472" s="30" t="n">
        <f aca="false">IF(AP472=0,0,IF(AP471=AP472,AR471,T472))</f>
        <v>0</v>
      </c>
      <c r="AS472" s="30" t="n">
        <f aca="false">AP472-AP471</f>
        <v>0</v>
      </c>
      <c r="AT472" s="30" t="n">
        <f aca="false">-AR472*AP472</f>
        <v>-0</v>
      </c>
      <c r="AU472" s="30" t="n">
        <f aca="false">AT472-AT471</f>
        <v>0</v>
      </c>
      <c r="AV472" s="30" t="n">
        <f aca="false">MAX(AS472,0)*(Inputs!$B$17+Inputs!$B$18+Inputs!$B$19)+MAX(-AS472,0)*(O472+Inputs!$B$18+Inputs!$B$19)+IF(AND(K472=1,AP472&lt;&gt;0),(Inputs!$B$17+Inputs!$B$18+Inputs!$B$19)+(O472+Inputs!$B$18+Inputs!$B$19),0)+MAX(AU472,0)*(Inputs!$B$20+Inputs!$B$22+Inputs!$B$23)+MAX(-AU472,0)*(Inputs!$B$21+Inputs!$B$22+Inputs!$B$23)</f>
        <v>0</v>
      </c>
      <c r="AW472" s="30" t="n">
        <f aca="false">AP471*(M472-AR471*J472)+AP471*AR471*N472/Inputs!$B$16-AV472</f>
        <v>0</v>
      </c>
      <c r="AX472" s="30" t="n">
        <f aca="false">AW472-IF(AP471&lt;&gt;0,0.75*AR471*(Inputs!$B$13-N472)/Inputs!$B$16,0)</f>
        <v>0</v>
      </c>
      <c r="AY472" s="30" t="n">
        <f aca="false">MAX(AS472,0)*(Inputs!$B$17+Inputs!$B$18+Inputs!$B$19)+MAX(-AS472,0)*(O472+Inputs!$B$18+Inputs!$B$19)+IF(AND(K472=1,AP472&lt;&gt;0),(Inputs!$B$17+Inputs!$B$18+Inputs!$B$19)+(O472+Inputs!$B$18+Inputs!$B$19),0)</f>
        <v>0</v>
      </c>
      <c r="AZ472" s="30" t="n">
        <f aca="false">AP471*M472-AY472</f>
        <v>0</v>
      </c>
      <c r="BA472" s="32" t="n">
        <f aca="false">BA471+AI472</f>
        <v>0.00429130278454792</v>
      </c>
      <c r="BB472" s="30" t="n">
        <f aca="false">MAX(BB471,BA472)</f>
        <v>0.00429130278454792</v>
      </c>
      <c r="BC472" s="32" t="n">
        <f aca="false">BA472-BB472</f>
        <v>0</v>
      </c>
      <c r="BD472" s="30" t="n">
        <f aca="false">A473-A472</f>
        <v>1</v>
      </c>
    </row>
    <row r="473" customFormat="false" ht="15" hidden="false" customHeight="false" outlineLevel="0" collapsed="false">
      <c r="A473" s="28" t="n">
        <v>45735</v>
      </c>
      <c r="B473" s="0" t="n">
        <v>22972.95</v>
      </c>
      <c r="C473" s="0" t="n">
        <v>256.8</v>
      </c>
      <c r="D473" s="29" t="n">
        <f aca="false">LN(B473)</f>
        <v>10.0420727158218</v>
      </c>
      <c r="E473" s="29" t="n">
        <f aca="false">LN(C473)</f>
        <v>5.54829757181581</v>
      </c>
      <c r="F473" s="0" t="n">
        <v>468</v>
      </c>
      <c r="G473" s="0" t="n">
        <v>8</v>
      </c>
      <c r="H473" s="29" t="n">
        <f aca="false">D473-E473</f>
        <v>4.49377514400597</v>
      </c>
      <c r="I473" s="29" t="n">
        <f aca="false">D473-D472</f>
        <v>0.00296220950093229</v>
      </c>
      <c r="J473" s="29" t="n">
        <f aca="false">E473-E472</f>
        <v>0.00312012733624378</v>
      </c>
      <c r="K473" s="0" t="n">
        <v>0</v>
      </c>
      <c r="L473" s="0" t="n">
        <v>0</v>
      </c>
      <c r="M473" s="29" t="n">
        <f aca="false">IF(L473=1,J473-Carry!$B$9/Inputs!$B$16,I473)</f>
        <v>0.00296220950093229</v>
      </c>
      <c r="N473" s="0" t="n">
        <v>0.0625</v>
      </c>
      <c r="O473" s="0" t="n">
        <v>0.0002</v>
      </c>
      <c r="P473" s="29" t="n">
        <f aca="false">D473-('2 Hedge ratio'!$B$6+'2 Hedge ratio'!$B$5*E473)</f>
        <v>-0.00269123933047943</v>
      </c>
      <c r="Q473" s="29" t="n">
        <f aca="false">D473-('5 Re-specification'!$B$7+'5 Re-specification'!$B$5*E473+'5 Re-specification'!$B$6*F473)</f>
        <v>0.000415159836320456</v>
      </c>
      <c r="R473" s="30" t="n">
        <f aca="false">MIN(F473,Inputs!$B$9)</f>
        <v>250</v>
      </c>
      <c r="S473" s="29" t="n">
        <f aca="true">IF(AND(F473&gt;=1,R473&gt;=Inputs!$B$10),INDEX(LINEST(OFFSET(D473,-R473,0,R473,1),OFFSET(E473,-R473,0,R473,2)),1,1),"")</f>
        <v>-4.79926392535106E-005</v>
      </c>
      <c r="T473" s="29" t="n">
        <f aca="true">IF(AND(F473&gt;=1,R473&gt;=Inputs!$B$10),INDEX(LINEST(OFFSET(D473,-R473,0,R473,1),OFFSET(E473,-R473,0,R473,2)),1,2),"")</f>
        <v>0.983756064031153</v>
      </c>
      <c r="U473" s="29" t="n">
        <f aca="true">IF(AND(F473&gt;=1,R473&gt;=Inputs!$B$10),INDEX(LINEST(OFFSET(D473,-R473,0,R473,1),OFFSET(E473,-R473,0,R473,2)),1,3),"")</f>
        <v>4.60556304122289</v>
      </c>
      <c r="V473" s="29" t="n">
        <f aca="true">IF(AND(F473&gt;=1,R473&gt;=Inputs!$B$10),SQRT(SUMPRODUCT((OFFSET(D473,-R473,0,R473,1)-U473-T473*OFFSET(E473,-R473,0,R473,1)-S473*OFFSET(F473,-R473,0,R473,1))^2)/(R473-3)),"")</f>
        <v>0.00331927718378571</v>
      </c>
      <c r="W473" s="31" t="n">
        <f aca="false">IF(AND(F473&gt;=1,R473&gt;=Inputs!$B$10),(D473-U473-T473*E473-S473*F473)/V473,"")</f>
        <v>0.240669399441929</v>
      </c>
      <c r="X473" s="30" t="n">
        <f aca="false">IF(AB472&lt;&gt;0,AC472+1,0)</f>
        <v>0</v>
      </c>
      <c r="Y473" s="30" t="n">
        <f aca="false">IF(W473="",0,IF(AND(AB472&lt;&gt;0,OR(ABS(W473)&gt;Inputs!$B$7,X473&gt;=Inputs!$B$8,ABS(W473)&lt;Inputs!$B$6)),1,0))</f>
        <v>0</v>
      </c>
      <c r="Z473" s="30" t="n">
        <f aca="false">IF(Y473=1,0,AB472)</f>
        <v>0</v>
      </c>
      <c r="AA473" s="30" t="n">
        <f aca="false">IF(W473="",0,IF(AND(Z473=0,ABS(W473)&gt;Inputs!$B$5,ABS(W473)&lt;=Inputs!$B$7),1,0))</f>
        <v>0</v>
      </c>
      <c r="AB473" s="30" t="n">
        <f aca="false">IF(W473="",0,IF(AA473=1,-SIGN(W473),Z473))</f>
        <v>0</v>
      </c>
      <c r="AC473" s="30" t="n">
        <f aca="false">IF(W473="",0,IF(AA473=1,0,IF(Y473=1,0,X473)))</f>
        <v>0</v>
      </c>
      <c r="AD473" s="30" t="n">
        <f aca="false">IF(AB473=0,0,IF(AB472=AB473,AD472,T473))</f>
        <v>0</v>
      </c>
      <c r="AE473" s="30" t="n">
        <f aca="false">AB473-AB472</f>
        <v>0</v>
      </c>
      <c r="AF473" s="30" t="n">
        <f aca="false">-AD473*AB473</f>
        <v>-0</v>
      </c>
      <c r="AG473" s="30" t="n">
        <f aca="false">AF473-AF472</f>
        <v>0</v>
      </c>
      <c r="AH473" s="30" t="n">
        <f aca="false">MAX(AE473,0)*(Inputs!$B$17+Inputs!$B$18+Inputs!$B$19)+MAX(-AE473,0)*(O473+Inputs!$B$18+Inputs!$B$19)+IF(AND(K473=1,AB473&lt;&gt;0),(Inputs!$B$17+Inputs!$B$18+Inputs!$B$19)+(O473+Inputs!$B$18+Inputs!$B$19),0)+MAX(AG473,0)*(Inputs!$B$20+Inputs!$B$22+Inputs!$B$23)+MAX(-AG473,0)*(Inputs!$B$21+Inputs!$B$22+Inputs!$B$23)</f>
        <v>0</v>
      </c>
      <c r="AI473" s="30" t="n">
        <f aca="false">AB472*(M473-AD472*J473)+AB472*AD472*N473/Inputs!$B$16-AH473</f>
        <v>0</v>
      </c>
      <c r="AJ473" s="30" t="n">
        <f aca="false">MAX(AE473,0)*(Inputs!$B$17+Inputs!$B$24+Inputs!$B$25)+MAX(-AE473,0)*(O473+Inputs!$B$24+Inputs!$B$25)+IF(AND(K473=1,AB473&lt;&gt;0),(Inputs!$B$17+Inputs!$B$24+Inputs!$B$25)+(O473+Inputs!$B$24+Inputs!$B$25),0)+MAX(AG473,0)*(Inputs!$B$20+Inputs!$B$26+Inputs!$B$27)+MAX(-AG473,0)*(Inputs!$B$21+Inputs!$B$26+Inputs!$B$27)</f>
        <v>0</v>
      </c>
      <c r="AK473" s="30" t="n">
        <f aca="false">AB472*(M473-AD472*J473)+AB472*AD472*(N473+Inputs!$B$14)/Inputs!$B$16-AJ473</f>
        <v>0</v>
      </c>
      <c r="AL473" s="30" t="n">
        <f aca="false">IF(AP472&lt;&gt;0,AQ472+1,0)</f>
        <v>0</v>
      </c>
      <c r="AM473" s="30" t="n">
        <f aca="false">IF(W473="",0,IF(AND(AP472&lt;&gt;0,OR(ABS(W473)&gt;Inputs!$B$7,AL473&gt;=Inputs!$B$8,ABS(W473)&lt;Inputs!$B$6)),1,0))</f>
        <v>0</v>
      </c>
      <c r="AN473" s="30" t="n">
        <f aca="false">IF(AM473=1,0,AP472)</f>
        <v>0</v>
      </c>
      <c r="AO473" s="30" t="n">
        <f aca="false">IF(W473="",0,IF(AND(AN473=0,ABS(W473)&gt;Inputs!$B$5,ABS(W473)&lt;=Inputs!$B$7,W473&gt;0),1,0))</f>
        <v>0</v>
      </c>
      <c r="AP473" s="30" t="n">
        <f aca="false">IF(W473="",0,IF(AO473=1,-SIGN(W473),AN473))</f>
        <v>0</v>
      </c>
      <c r="AQ473" s="30" t="n">
        <f aca="false">IF(W473="",0,IF(AO473=1,0,IF(AM473=1,0,AL473)))</f>
        <v>0</v>
      </c>
      <c r="AR473" s="30" t="n">
        <f aca="false">IF(AP473=0,0,IF(AP472=AP473,AR472,T473))</f>
        <v>0</v>
      </c>
      <c r="AS473" s="30" t="n">
        <f aca="false">AP473-AP472</f>
        <v>0</v>
      </c>
      <c r="AT473" s="30" t="n">
        <f aca="false">-AR473*AP473</f>
        <v>-0</v>
      </c>
      <c r="AU473" s="30" t="n">
        <f aca="false">AT473-AT472</f>
        <v>0</v>
      </c>
      <c r="AV473" s="30" t="n">
        <f aca="false">MAX(AS473,0)*(Inputs!$B$17+Inputs!$B$18+Inputs!$B$19)+MAX(-AS473,0)*(O473+Inputs!$B$18+Inputs!$B$19)+IF(AND(K473=1,AP473&lt;&gt;0),(Inputs!$B$17+Inputs!$B$18+Inputs!$B$19)+(O473+Inputs!$B$18+Inputs!$B$19),0)+MAX(AU473,0)*(Inputs!$B$20+Inputs!$B$22+Inputs!$B$23)+MAX(-AU473,0)*(Inputs!$B$21+Inputs!$B$22+Inputs!$B$23)</f>
        <v>0</v>
      </c>
      <c r="AW473" s="30" t="n">
        <f aca="false">AP472*(M473-AR472*J473)+AP472*AR472*N473/Inputs!$B$16-AV473</f>
        <v>0</v>
      </c>
      <c r="AX473" s="30" t="n">
        <f aca="false">AW473-IF(AP472&lt;&gt;0,0.75*AR472*(Inputs!$B$13-N473)/Inputs!$B$16,0)</f>
        <v>0</v>
      </c>
      <c r="AY473" s="30" t="n">
        <f aca="false">MAX(AS473,0)*(Inputs!$B$17+Inputs!$B$18+Inputs!$B$19)+MAX(-AS473,0)*(O473+Inputs!$B$18+Inputs!$B$19)+IF(AND(K473=1,AP473&lt;&gt;0),(Inputs!$B$17+Inputs!$B$18+Inputs!$B$19)+(O473+Inputs!$B$18+Inputs!$B$19),0)</f>
        <v>0</v>
      </c>
      <c r="AZ473" s="30" t="n">
        <f aca="false">AP472*M473-AY473</f>
        <v>0</v>
      </c>
      <c r="BA473" s="32" t="n">
        <f aca="false">BA472+AI473</f>
        <v>0.00429130278454792</v>
      </c>
      <c r="BB473" s="30" t="n">
        <f aca="false">MAX(BB472,BA473)</f>
        <v>0.00429130278454792</v>
      </c>
      <c r="BC473" s="32" t="n">
        <f aca="false">BA473-BB473</f>
        <v>0</v>
      </c>
      <c r="BD473" s="30" t="n">
        <f aca="false">A474-A473</f>
        <v>1</v>
      </c>
    </row>
    <row r="474" customFormat="false" ht="15" hidden="false" customHeight="false" outlineLevel="0" collapsed="false">
      <c r="A474" s="28" t="n">
        <v>45736</v>
      </c>
      <c r="B474" s="0" t="n">
        <v>23191</v>
      </c>
      <c r="C474" s="0" t="n">
        <v>259.32</v>
      </c>
      <c r="D474" s="29" t="n">
        <f aca="false">LN(B474)</f>
        <v>10.0515195513552</v>
      </c>
      <c r="E474" s="29" t="n">
        <f aca="false">LN(C474)</f>
        <v>5.55806282030679</v>
      </c>
      <c r="F474" s="0" t="n">
        <v>469</v>
      </c>
      <c r="G474" s="0" t="n">
        <v>7</v>
      </c>
      <c r="H474" s="29" t="n">
        <f aca="false">D474-E474</f>
        <v>4.49345673104842</v>
      </c>
      <c r="I474" s="29" t="n">
        <f aca="false">D474-D473</f>
        <v>0.00944683553343495</v>
      </c>
      <c r="J474" s="29" t="n">
        <f aca="false">E474-E473</f>
        <v>0.00976524849098848</v>
      </c>
      <c r="K474" s="0" t="n">
        <v>0</v>
      </c>
      <c r="L474" s="0" t="n">
        <v>0</v>
      </c>
      <c r="M474" s="29" t="n">
        <f aca="false">IF(L474=1,J474-Carry!$B$9/Inputs!$B$16,I474)</f>
        <v>0.00944683553343495</v>
      </c>
      <c r="N474" s="0" t="n">
        <v>0.0625</v>
      </c>
      <c r="O474" s="0" t="n">
        <v>0.0002</v>
      </c>
      <c r="P474" s="29" t="n">
        <f aca="false">D474-('2 Hedge ratio'!$B$6+'2 Hedge ratio'!$B$5*E474)</f>
        <v>-0.00219060925033432</v>
      </c>
      <c r="Q474" s="29" t="n">
        <f aca="false">D474-('5 Re-specification'!$B$7+'5 Re-specification'!$B$5*E474+'5 Re-specification'!$B$6*F474)</f>
        <v>0.000171269782621053</v>
      </c>
      <c r="R474" s="30" t="n">
        <f aca="false">MIN(F474,Inputs!$B$9)</f>
        <v>250</v>
      </c>
      <c r="S474" s="29" t="n">
        <f aca="true">IF(AND(F474&gt;=1,R474&gt;=Inputs!$B$10),INDEX(LINEST(OFFSET(D474,-R474,0,R474,1),OFFSET(E474,-R474,0,R474,2)),1,1),"")</f>
        <v>-4.78168516939732E-005</v>
      </c>
      <c r="T474" s="29" t="n">
        <f aca="true">IF(AND(F474&gt;=1,R474&gt;=Inputs!$B$10),INDEX(LINEST(OFFSET(D474,-R474,0,R474,1),OFFSET(E474,-R474,0,R474,2)),1,2),"")</f>
        <v>0.983792023821985</v>
      </c>
      <c r="U474" s="29" t="n">
        <f aca="true">IF(AND(F474&gt;=1,R474&gt;=Inputs!$B$10),INDEX(LINEST(OFFSET(D474,-R474,0,R474,1),OFFSET(E474,-R474,0,R474,2)),1,3),"")</f>
        <v>4.60530091707948</v>
      </c>
      <c r="V474" s="29" t="n">
        <f aca="true">IF(AND(F474&gt;=1,R474&gt;=Inputs!$B$10),SQRT(SUMPRODUCT((OFFSET(D474,-R474,0,R474,1)-U474-T474*OFFSET(E474,-R474,0,R474,1)-S474*OFFSET(F474,-R474,0,R474,1))^2)/(R474-3)),"")</f>
        <v>0.00331890837479276</v>
      </c>
      <c r="W474" s="31" t="n">
        <f aca="false">IF(AND(F474&gt;=1,R474&gt;=Inputs!$B$10),(D474-U474-T474*E474-S474*F474)/V474,"")</f>
        <v>0.200929680949982</v>
      </c>
      <c r="X474" s="30" t="n">
        <f aca="false">IF(AB473&lt;&gt;0,AC473+1,0)</f>
        <v>0</v>
      </c>
      <c r="Y474" s="30" t="n">
        <f aca="false">IF(W474="",0,IF(AND(AB473&lt;&gt;0,OR(ABS(W474)&gt;Inputs!$B$7,X474&gt;=Inputs!$B$8,ABS(W474)&lt;Inputs!$B$6)),1,0))</f>
        <v>0</v>
      </c>
      <c r="Z474" s="30" t="n">
        <f aca="false">IF(Y474=1,0,AB473)</f>
        <v>0</v>
      </c>
      <c r="AA474" s="30" t="n">
        <f aca="false">IF(W474="",0,IF(AND(Z474=0,ABS(W474)&gt;Inputs!$B$5,ABS(W474)&lt;=Inputs!$B$7),1,0))</f>
        <v>0</v>
      </c>
      <c r="AB474" s="30" t="n">
        <f aca="false">IF(W474="",0,IF(AA474=1,-SIGN(W474),Z474))</f>
        <v>0</v>
      </c>
      <c r="AC474" s="30" t="n">
        <f aca="false">IF(W474="",0,IF(AA474=1,0,IF(Y474=1,0,X474)))</f>
        <v>0</v>
      </c>
      <c r="AD474" s="30" t="n">
        <f aca="false">IF(AB474=0,0,IF(AB473=AB474,AD473,T474))</f>
        <v>0</v>
      </c>
      <c r="AE474" s="30" t="n">
        <f aca="false">AB474-AB473</f>
        <v>0</v>
      </c>
      <c r="AF474" s="30" t="n">
        <f aca="false">-AD474*AB474</f>
        <v>-0</v>
      </c>
      <c r="AG474" s="30" t="n">
        <f aca="false">AF474-AF473</f>
        <v>0</v>
      </c>
      <c r="AH474" s="30" t="n">
        <f aca="false">MAX(AE474,0)*(Inputs!$B$17+Inputs!$B$18+Inputs!$B$19)+MAX(-AE474,0)*(O474+Inputs!$B$18+Inputs!$B$19)+IF(AND(K474=1,AB474&lt;&gt;0),(Inputs!$B$17+Inputs!$B$18+Inputs!$B$19)+(O474+Inputs!$B$18+Inputs!$B$19),0)+MAX(AG474,0)*(Inputs!$B$20+Inputs!$B$22+Inputs!$B$23)+MAX(-AG474,0)*(Inputs!$B$21+Inputs!$B$22+Inputs!$B$23)</f>
        <v>0</v>
      </c>
      <c r="AI474" s="30" t="n">
        <f aca="false">AB473*(M474-AD473*J474)+AB473*AD473*N474/Inputs!$B$16-AH474</f>
        <v>0</v>
      </c>
      <c r="AJ474" s="30" t="n">
        <f aca="false">MAX(AE474,0)*(Inputs!$B$17+Inputs!$B$24+Inputs!$B$25)+MAX(-AE474,0)*(O474+Inputs!$B$24+Inputs!$B$25)+IF(AND(K474=1,AB474&lt;&gt;0),(Inputs!$B$17+Inputs!$B$24+Inputs!$B$25)+(O474+Inputs!$B$24+Inputs!$B$25),0)+MAX(AG474,0)*(Inputs!$B$20+Inputs!$B$26+Inputs!$B$27)+MAX(-AG474,0)*(Inputs!$B$21+Inputs!$B$26+Inputs!$B$27)</f>
        <v>0</v>
      </c>
      <c r="AK474" s="30" t="n">
        <f aca="false">AB473*(M474-AD473*J474)+AB473*AD473*(N474+Inputs!$B$14)/Inputs!$B$16-AJ474</f>
        <v>0</v>
      </c>
      <c r="AL474" s="30" t="n">
        <f aca="false">IF(AP473&lt;&gt;0,AQ473+1,0)</f>
        <v>0</v>
      </c>
      <c r="AM474" s="30" t="n">
        <f aca="false">IF(W474="",0,IF(AND(AP473&lt;&gt;0,OR(ABS(W474)&gt;Inputs!$B$7,AL474&gt;=Inputs!$B$8,ABS(W474)&lt;Inputs!$B$6)),1,0))</f>
        <v>0</v>
      </c>
      <c r="AN474" s="30" t="n">
        <f aca="false">IF(AM474=1,0,AP473)</f>
        <v>0</v>
      </c>
      <c r="AO474" s="30" t="n">
        <f aca="false">IF(W474="",0,IF(AND(AN474=0,ABS(W474)&gt;Inputs!$B$5,ABS(W474)&lt;=Inputs!$B$7,W474&gt;0),1,0))</f>
        <v>0</v>
      </c>
      <c r="AP474" s="30" t="n">
        <f aca="false">IF(W474="",0,IF(AO474=1,-SIGN(W474),AN474))</f>
        <v>0</v>
      </c>
      <c r="AQ474" s="30" t="n">
        <f aca="false">IF(W474="",0,IF(AO474=1,0,IF(AM474=1,0,AL474)))</f>
        <v>0</v>
      </c>
      <c r="AR474" s="30" t="n">
        <f aca="false">IF(AP474=0,0,IF(AP473=AP474,AR473,T474))</f>
        <v>0</v>
      </c>
      <c r="AS474" s="30" t="n">
        <f aca="false">AP474-AP473</f>
        <v>0</v>
      </c>
      <c r="AT474" s="30" t="n">
        <f aca="false">-AR474*AP474</f>
        <v>-0</v>
      </c>
      <c r="AU474" s="30" t="n">
        <f aca="false">AT474-AT473</f>
        <v>0</v>
      </c>
      <c r="AV474" s="30" t="n">
        <f aca="false">MAX(AS474,0)*(Inputs!$B$17+Inputs!$B$18+Inputs!$B$19)+MAX(-AS474,0)*(O474+Inputs!$B$18+Inputs!$B$19)+IF(AND(K474=1,AP474&lt;&gt;0),(Inputs!$B$17+Inputs!$B$18+Inputs!$B$19)+(O474+Inputs!$B$18+Inputs!$B$19),0)+MAX(AU474,0)*(Inputs!$B$20+Inputs!$B$22+Inputs!$B$23)+MAX(-AU474,0)*(Inputs!$B$21+Inputs!$B$22+Inputs!$B$23)</f>
        <v>0</v>
      </c>
      <c r="AW474" s="30" t="n">
        <f aca="false">AP473*(M474-AR473*J474)+AP473*AR473*N474/Inputs!$B$16-AV474</f>
        <v>0</v>
      </c>
      <c r="AX474" s="30" t="n">
        <f aca="false">AW474-IF(AP473&lt;&gt;0,0.75*AR473*(Inputs!$B$13-N474)/Inputs!$B$16,0)</f>
        <v>0</v>
      </c>
      <c r="AY474" s="30" t="n">
        <f aca="false">MAX(AS474,0)*(Inputs!$B$17+Inputs!$B$18+Inputs!$B$19)+MAX(-AS474,0)*(O474+Inputs!$B$18+Inputs!$B$19)+IF(AND(K474=1,AP474&lt;&gt;0),(Inputs!$B$17+Inputs!$B$18+Inputs!$B$19)+(O474+Inputs!$B$18+Inputs!$B$19),0)</f>
        <v>0</v>
      </c>
      <c r="AZ474" s="30" t="n">
        <f aca="false">AP473*M474-AY474</f>
        <v>0</v>
      </c>
      <c r="BA474" s="32" t="n">
        <f aca="false">BA473+AI474</f>
        <v>0.00429130278454792</v>
      </c>
      <c r="BB474" s="30" t="n">
        <f aca="false">MAX(BB473,BA474)</f>
        <v>0.00429130278454792</v>
      </c>
      <c r="BC474" s="32" t="n">
        <f aca="false">BA474-BB474</f>
        <v>0</v>
      </c>
      <c r="BD474" s="30" t="n">
        <f aca="false">A475-A474</f>
        <v>1</v>
      </c>
    </row>
    <row r="475" customFormat="false" ht="15" hidden="false" customHeight="false" outlineLevel="0" collapsed="false">
      <c r="A475" s="28" t="n">
        <v>45737</v>
      </c>
      <c r="B475" s="0" t="n">
        <v>23385.65</v>
      </c>
      <c r="C475" s="0" t="n">
        <v>261.28</v>
      </c>
      <c r="D475" s="29" t="n">
        <f aca="false">LN(B475)</f>
        <v>10.0598778653692</v>
      </c>
      <c r="E475" s="29" t="n">
        <f aca="false">LN(C475)</f>
        <v>5.56559262922216</v>
      </c>
      <c r="F475" s="0" t="n">
        <v>470</v>
      </c>
      <c r="G475" s="0" t="n">
        <v>6</v>
      </c>
      <c r="H475" s="29" t="n">
        <f aca="false">D475-E475</f>
        <v>4.49428523614701</v>
      </c>
      <c r="I475" s="29" t="n">
        <f aca="false">D475-D474</f>
        <v>0.00835831401395382</v>
      </c>
      <c r="J475" s="29" t="n">
        <f aca="false">E475-E474</f>
        <v>0.00752980891536037</v>
      </c>
      <c r="K475" s="0" t="n">
        <v>0</v>
      </c>
      <c r="L475" s="0" t="n">
        <v>0</v>
      </c>
      <c r="M475" s="29" t="n">
        <f aca="false">IF(L475=1,J475-Carry!$B$9/Inputs!$B$16,I475)</f>
        <v>0.00835831401395382</v>
      </c>
      <c r="N475" s="0" t="n">
        <v>0.0625</v>
      </c>
      <c r="O475" s="0" t="n">
        <v>0.0002</v>
      </c>
      <c r="P475" s="29" t="n">
        <f aca="false">D475-('2 Hedge ratio'!$B$6+'2 Hedge ratio'!$B$5*E475)</f>
        <v>-0.000730554675755002</v>
      </c>
      <c r="Q475" s="29" t="n">
        <f aca="false">D475-('5 Re-specification'!$B$7+'5 Re-specification'!$B$5*E475+'5 Re-specification'!$B$6*F475)</f>
        <v>0.00106752328539095</v>
      </c>
      <c r="R475" s="30" t="n">
        <f aca="false">MIN(F475,Inputs!$B$9)</f>
        <v>250</v>
      </c>
      <c r="S475" s="29" t="n">
        <f aca="true">IF(AND(F475&gt;=1,R475&gt;=Inputs!$B$10),INDEX(LINEST(OFFSET(D475,-R475,0,R475,1),OFFSET(E475,-R475,0,R475,2)),1,1),"")</f>
        <v>-4.75737215936301E-005</v>
      </c>
      <c r="T475" s="29" t="n">
        <f aca="true">IF(AND(F475&gt;=1,R475&gt;=Inputs!$B$10),INDEX(LINEST(OFFSET(D475,-R475,0,R475,1),OFFSET(E475,-R475,0,R475,2)),1,2),"")</f>
        <v>0.984020308906324</v>
      </c>
      <c r="U475" s="29" t="n">
        <f aca="true">IF(AND(F475&gt;=1,R475&gt;=Inputs!$B$10),INDEX(LINEST(OFFSET(D475,-R475,0,R475,1),OFFSET(E475,-R475,0,R475,2)),1,3),"")</f>
        <v>4.60393759871365</v>
      </c>
      <c r="V475" s="29" t="n">
        <f aca="true">IF(AND(F475&gt;=1,R475&gt;=Inputs!$B$10),SQRT(SUMPRODUCT((OFFSET(D475,-R475,0,R475,1)-U475-T475*OFFSET(E475,-R475,0,R475,1)-S475*OFFSET(F475,-R475,0,R475,1))^2)/(R475-3)),"")</f>
        <v>0.00331602958030093</v>
      </c>
      <c r="W475" s="31" t="n">
        <f aca="false">IF(AND(F475&gt;=1,R475&gt;=Inputs!$B$10),(D475-U475-T475*E475-S475*F475)/V475,"")</f>
        <v>0.49569447761901</v>
      </c>
      <c r="X475" s="30" t="n">
        <f aca="false">IF(AB474&lt;&gt;0,AC474+1,0)</f>
        <v>0</v>
      </c>
      <c r="Y475" s="30" t="n">
        <f aca="false">IF(W475="",0,IF(AND(AB474&lt;&gt;0,OR(ABS(W475)&gt;Inputs!$B$7,X475&gt;=Inputs!$B$8,ABS(W475)&lt;Inputs!$B$6)),1,0))</f>
        <v>0</v>
      </c>
      <c r="Z475" s="30" t="n">
        <f aca="false">IF(Y475=1,0,AB474)</f>
        <v>0</v>
      </c>
      <c r="AA475" s="30" t="n">
        <f aca="false">IF(W475="",0,IF(AND(Z475=0,ABS(W475)&gt;Inputs!$B$5,ABS(W475)&lt;=Inputs!$B$7),1,0))</f>
        <v>0</v>
      </c>
      <c r="AB475" s="30" t="n">
        <f aca="false">IF(W475="",0,IF(AA475=1,-SIGN(W475),Z475))</f>
        <v>0</v>
      </c>
      <c r="AC475" s="30" t="n">
        <f aca="false">IF(W475="",0,IF(AA475=1,0,IF(Y475=1,0,X475)))</f>
        <v>0</v>
      </c>
      <c r="AD475" s="30" t="n">
        <f aca="false">IF(AB475=0,0,IF(AB474=AB475,AD474,T475))</f>
        <v>0</v>
      </c>
      <c r="AE475" s="30" t="n">
        <f aca="false">AB475-AB474</f>
        <v>0</v>
      </c>
      <c r="AF475" s="30" t="n">
        <f aca="false">-AD475*AB475</f>
        <v>-0</v>
      </c>
      <c r="AG475" s="30" t="n">
        <f aca="false">AF475-AF474</f>
        <v>0</v>
      </c>
      <c r="AH475" s="30" t="n">
        <f aca="false">MAX(AE475,0)*(Inputs!$B$17+Inputs!$B$18+Inputs!$B$19)+MAX(-AE475,0)*(O475+Inputs!$B$18+Inputs!$B$19)+IF(AND(K475=1,AB475&lt;&gt;0),(Inputs!$B$17+Inputs!$B$18+Inputs!$B$19)+(O475+Inputs!$B$18+Inputs!$B$19),0)+MAX(AG475,0)*(Inputs!$B$20+Inputs!$B$22+Inputs!$B$23)+MAX(-AG475,0)*(Inputs!$B$21+Inputs!$B$22+Inputs!$B$23)</f>
        <v>0</v>
      </c>
      <c r="AI475" s="30" t="n">
        <f aca="false">AB474*(M475-AD474*J475)+AB474*AD474*N475/Inputs!$B$16-AH475</f>
        <v>0</v>
      </c>
      <c r="AJ475" s="30" t="n">
        <f aca="false">MAX(AE475,0)*(Inputs!$B$17+Inputs!$B$24+Inputs!$B$25)+MAX(-AE475,0)*(O475+Inputs!$B$24+Inputs!$B$25)+IF(AND(K475=1,AB475&lt;&gt;0),(Inputs!$B$17+Inputs!$B$24+Inputs!$B$25)+(O475+Inputs!$B$24+Inputs!$B$25),0)+MAX(AG475,0)*(Inputs!$B$20+Inputs!$B$26+Inputs!$B$27)+MAX(-AG475,0)*(Inputs!$B$21+Inputs!$B$26+Inputs!$B$27)</f>
        <v>0</v>
      </c>
      <c r="AK475" s="30" t="n">
        <f aca="false">AB474*(M475-AD474*J475)+AB474*AD474*(N475+Inputs!$B$14)/Inputs!$B$16-AJ475</f>
        <v>0</v>
      </c>
      <c r="AL475" s="30" t="n">
        <f aca="false">IF(AP474&lt;&gt;0,AQ474+1,0)</f>
        <v>0</v>
      </c>
      <c r="AM475" s="30" t="n">
        <f aca="false">IF(W475="",0,IF(AND(AP474&lt;&gt;0,OR(ABS(W475)&gt;Inputs!$B$7,AL475&gt;=Inputs!$B$8,ABS(W475)&lt;Inputs!$B$6)),1,0))</f>
        <v>0</v>
      </c>
      <c r="AN475" s="30" t="n">
        <f aca="false">IF(AM475=1,0,AP474)</f>
        <v>0</v>
      </c>
      <c r="AO475" s="30" t="n">
        <f aca="false">IF(W475="",0,IF(AND(AN475=0,ABS(W475)&gt;Inputs!$B$5,ABS(W475)&lt;=Inputs!$B$7,W475&gt;0),1,0))</f>
        <v>0</v>
      </c>
      <c r="AP475" s="30" t="n">
        <f aca="false">IF(W475="",0,IF(AO475=1,-SIGN(W475),AN475))</f>
        <v>0</v>
      </c>
      <c r="AQ475" s="30" t="n">
        <f aca="false">IF(W475="",0,IF(AO475=1,0,IF(AM475=1,0,AL475)))</f>
        <v>0</v>
      </c>
      <c r="AR475" s="30" t="n">
        <f aca="false">IF(AP475=0,0,IF(AP474=AP475,AR474,T475))</f>
        <v>0</v>
      </c>
      <c r="AS475" s="30" t="n">
        <f aca="false">AP475-AP474</f>
        <v>0</v>
      </c>
      <c r="AT475" s="30" t="n">
        <f aca="false">-AR475*AP475</f>
        <v>-0</v>
      </c>
      <c r="AU475" s="30" t="n">
        <f aca="false">AT475-AT474</f>
        <v>0</v>
      </c>
      <c r="AV475" s="30" t="n">
        <f aca="false">MAX(AS475,0)*(Inputs!$B$17+Inputs!$B$18+Inputs!$B$19)+MAX(-AS475,0)*(O475+Inputs!$B$18+Inputs!$B$19)+IF(AND(K475=1,AP475&lt;&gt;0),(Inputs!$B$17+Inputs!$B$18+Inputs!$B$19)+(O475+Inputs!$B$18+Inputs!$B$19),0)+MAX(AU475,0)*(Inputs!$B$20+Inputs!$B$22+Inputs!$B$23)+MAX(-AU475,0)*(Inputs!$B$21+Inputs!$B$22+Inputs!$B$23)</f>
        <v>0</v>
      </c>
      <c r="AW475" s="30" t="n">
        <f aca="false">AP474*(M475-AR474*J475)+AP474*AR474*N475/Inputs!$B$16-AV475</f>
        <v>0</v>
      </c>
      <c r="AX475" s="30" t="n">
        <f aca="false">AW475-IF(AP474&lt;&gt;0,0.75*AR474*(Inputs!$B$13-N475)/Inputs!$B$16,0)</f>
        <v>0</v>
      </c>
      <c r="AY475" s="30" t="n">
        <f aca="false">MAX(AS475,0)*(Inputs!$B$17+Inputs!$B$18+Inputs!$B$19)+MAX(-AS475,0)*(O475+Inputs!$B$18+Inputs!$B$19)+IF(AND(K475=1,AP475&lt;&gt;0),(Inputs!$B$17+Inputs!$B$18+Inputs!$B$19)+(O475+Inputs!$B$18+Inputs!$B$19),0)</f>
        <v>0</v>
      </c>
      <c r="AZ475" s="30" t="n">
        <f aca="false">AP474*M475-AY475</f>
        <v>0</v>
      </c>
      <c r="BA475" s="32" t="n">
        <f aca="false">BA474+AI475</f>
        <v>0.00429130278454792</v>
      </c>
      <c r="BB475" s="30" t="n">
        <f aca="false">MAX(BB474,BA475)</f>
        <v>0.00429130278454792</v>
      </c>
      <c r="BC475" s="32" t="n">
        <f aca="false">BA475-BB475</f>
        <v>0</v>
      </c>
      <c r="BD475" s="30" t="n">
        <f aca="false">A476-A475</f>
        <v>3</v>
      </c>
    </row>
    <row r="476" customFormat="false" ht="15" hidden="false" customHeight="false" outlineLevel="0" collapsed="false">
      <c r="A476" s="28" t="n">
        <v>45740</v>
      </c>
      <c r="B476" s="0" t="n">
        <v>23720</v>
      </c>
      <c r="C476" s="0" t="n">
        <v>265.11</v>
      </c>
      <c r="D476" s="29" t="n">
        <f aca="false">LN(B476)</f>
        <v>10.0740738531117</v>
      </c>
      <c r="E476" s="29" t="n">
        <f aca="false">LN(C476)</f>
        <v>5.58014483419802</v>
      </c>
      <c r="F476" s="0" t="n">
        <v>471</v>
      </c>
      <c r="G476" s="0" t="n">
        <v>3</v>
      </c>
      <c r="H476" s="29" t="n">
        <f aca="false">D476-E476</f>
        <v>4.49392901891364</v>
      </c>
      <c r="I476" s="29" t="n">
        <f aca="false">D476-D475</f>
        <v>0.0141959877424984</v>
      </c>
      <c r="J476" s="29" t="n">
        <f aca="false">E476-E475</f>
        <v>0.0145522049758675</v>
      </c>
      <c r="K476" s="0" t="n">
        <v>0</v>
      </c>
      <c r="L476" s="0" t="n">
        <v>0</v>
      </c>
      <c r="M476" s="29" t="n">
        <f aca="false">IF(L476=1,J476-Carry!$B$9/Inputs!$B$16,I476)</f>
        <v>0.0141959877424984</v>
      </c>
      <c r="N476" s="0" t="n">
        <v>0.0625</v>
      </c>
      <c r="O476" s="0" t="n">
        <v>0.0002</v>
      </c>
      <c r="P476" s="29" t="n">
        <f aca="false">D476-('2 Hedge ratio'!$B$6+'2 Hedge ratio'!$B$5*E476)</f>
        <v>0.000133768682307078</v>
      </c>
      <c r="Q476" s="29" t="n">
        <f aca="false">D476-('5 Re-specification'!$B$7+'5 Re-specification'!$B$5*E476+'5 Re-specification'!$B$6*F476)</f>
        <v>0.000800335827605636</v>
      </c>
      <c r="R476" s="30" t="n">
        <f aca="false">MIN(F476,Inputs!$B$9)</f>
        <v>250</v>
      </c>
      <c r="S476" s="29" t="n">
        <f aca="true">IF(AND(F476&gt;=1,R476&gt;=Inputs!$B$10),INDEX(LINEST(OFFSET(D476,-R476,0,R476,1),OFFSET(E476,-R476,0,R476,2)),1,1),"")</f>
        <v>-4.72685622111571E-005</v>
      </c>
      <c r="T476" s="29" t="n">
        <f aca="true">IF(AND(F476&gt;=1,R476&gt;=Inputs!$B$10),INDEX(LINEST(OFFSET(D476,-R476,0,R476,1),OFFSET(E476,-R476,0,R476,2)),1,2),"")</f>
        <v>0.984131527815294</v>
      </c>
      <c r="U476" s="29" t="n">
        <f aca="true">IF(AND(F476&gt;=1,R476&gt;=Inputs!$B$10),INDEX(LINEST(OFFSET(D476,-R476,0,R476,1),OFFSET(E476,-R476,0,R476,2)),1,3),"")</f>
        <v>4.60321154426112</v>
      </c>
      <c r="V476" s="29" t="n">
        <f aca="true">IF(AND(F476&gt;=1,R476&gt;=Inputs!$B$10),SQRT(SUMPRODUCT((OFFSET(D476,-R476,0,R476,1)-U476-T476*OFFSET(E476,-R476,0,R476,1)-S476*OFFSET(F476,-R476,0,R476,1))^2)/(R476-3)),"")</f>
        <v>0.00331580632041498</v>
      </c>
      <c r="W476" s="31" t="n">
        <f aca="false">IF(AND(F476&gt;=1,R476&gt;=Inputs!$B$10),(D476-U476-T476*E476-S476*F476)/V476,"")</f>
        <v>0.461227343905571</v>
      </c>
      <c r="X476" s="30" t="n">
        <f aca="false">IF(AB475&lt;&gt;0,AC475+1,0)</f>
        <v>0</v>
      </c>
      <c r="Y476" s="30" t="n">
        <f aca="false">IF(W476="",0,IF(AND(AB475&lt;&gt;0,OR(ABS(W476)&gt;Inputs!$B$7,X476&gt;=Inputs!$B$8,ABS(W476)&lt;Inputs!$B$6)),1,0))</f>
        <v>0</v>
      </c>
      <c r="Z476" s="30" t="n">
        <f aca="false">IF(Y476=1,0,AB475)</f>
        <v>0</v>
      </c>
      <c r="AA476" s="30" t="n">
        <f aca="false">IF(W476="",0,IF(AND(Z476=0,ABS(W476)&gt;Inputs!$B$5,ABS(W476)&lt;=Inputs!$B$7),1,0))</f>
        <v>0</v>
      </c>
      <c r="AB476" s="30" t="n">
        <f aca="false">IF(W476="",0,IF(AA476=1,-SIGN(W476),Z476))</f>
        <v>0</v>
      </c>
      <c r="AC476" s="30" t="n">
        <f aca="false">IF(W476="",0,IF(AA476=1,0,IF(Y476=1,0,X476)))</f>
        <v>0</v>
      </c>
      <c r="AD476" s="30" t="n">
        <f aca="false">IF(AB476=0,0,IF(AB475=AB476,AD475,T476))</f>
        <v>0</v>
      </c>
      <c r="AE476" s="30" t="n">
        <f aca="false">AB476-AB475</f>
        <v>0</v>
      </c>
      <c r="AF476" s="30" t="n">
        <f aca="false">-AD476*AB476</f>
        <v>-0</v>
      </c>
      <c r="AG476" s="30" t="n">
        <f aca="false">AF476-AF475</f>
        <v>0</v>
      </c>
      <c r="AH476" s="30" t="n">
        <f aca="false">MAX(AE476,0)*(Inputs!$B$17+Inputs!$B$18+Inputs!$B$19)+MAX(-AE476,0)*(O476+Inputs!$B$18+Inputs!$B$19)+IF(AND(K476=1,AB476&lt;&gt;0),(Inputs!$B$17+Inputs!$B$18+Inputs!$B$19)+(O476+Inputs!$B$18+Inputs!$B$19),0)+MAX(AG476,0)*(Inputs!$B$20+Inputs!$B$22+Inputs!$B$23)+MAX(-AG476,0)*(Inputs!$B$21+Inputs!$B$22+Inputs!$B$23)</f>
        <v>0</v>
      </c>
      <c r="AI476" s="30" t="n">
        <f aca="false">AB475*(M476-AD475*J476)+AB475*AD475*N476/Inputs!$B$16-AH476</f>
        <v>0</v>
      </c>
      <c r="AJ476" s="30" t="n">
        <f aca="false">MAX(AE476,0)*(Inputs!$B$17+Inputs!$B$24+Inputs!$B$25)+MAX(-AE476,0)*(O476+Inputs!$B$24+Inputs!$B$25)+IF(AND(K476=1,AB476&lt;&gt;0),(Inputs!$B$17+Inputs!$B$24+Inputs!$B$25)+(O476+Inputs!$B$24+Inputs!$B$25),0)+MAX(AG476,0)*(Inputs!$B$20+Inputs!$B$26+Inputs!$B$27)+MAX(-AG476,0)*(Inputs!$B$21+Inputs!$B$26+Inputs!$B$27)</f>
        <v>0</v>
      </c>
      <c r="AK476" s="30" t="n">
        <f aca="false">AB475*(M476-AD475*J476)+AB475*AD475*(N476+Inputs!$B$14)/Inputs!$B$16-AJ476</f>
        <v>0</v>
      </c>
      <c r="AL476" s="30" t="n">
        <f aca="false">IF(AP475&lt;&gt;0,AQ475+1,0)</f>
        <v>0</v>
      </c>
      <c r="AM476" s="30" t="n">
        <f aca="false">IF(W476="",0,IF(AND(AP475&lt;&gt;0,OR(ABS(W476)&gt;Inputs!$B$7,AL476&gt;=Inputs!$B$8,ABS(W476)&lt;Inputs!$B$6)),1,0))</f>
        <v>0</v>
      </c>
      <c r="AN476" s="30" t="n">
        <f aca="false">IF(AM476=1,0,AP475)</f>
        <v>0</v>
      </c>
      <c r="AO476" s="30" t="n">
        <f aca="false">IF(W476="",0,IF(AND(AN476=0,ABS(W476)&gt;Inputs!$B$5,ABS(W476)&lt;=Inputs!$B$7,W476&gt;0),1,0))</f>
        <v>0</v>
      </c>
      <c r="AP476" s="30" t="n">
        <f aca="false">IF(W476="",0,IF(AO476=1,-SIGN(W476),AN476))</f>
        <v>0</v>
      </c>
      <c r="AQ476" s="30" t="n">
        <f aca="false">IF(W476="",0,IF(AO476=1,0,IF(AM476=1,0,AL476)))</f>
        <v>0</v>
      </c>
      <c r="AR476" s="30" t="n">
        <f aca="false">IF(AP476=0,0,IF(AP475=AP476,AR475,T476))</f>
        <v>0</v>
      </c>
      <c r="AS476" s="30" t="n">
        <f aca="false">AP476-AP475</f>
        <v>0</v>
      </c>
      <c r="AT476" s="30" t="n">
        <f aca="false">-AR476*AP476</f>
        <v>-0</v>
      </c>
      <c r="AU476" s="30" t="n">
        <f aca="false">AT476-AT475</f>
        <v>0</v>
      </c>
      <c r="AV476" s="30" t="n">
        <f aca="false">MAX(AS476,0)*(Inputs!$B$17+Inputs!$B$18+Inputs!$B$19)+MAX(-AS476,0)*(O476+Inputs!$B$18+Inputs!$B$19)+IF(AND(K476=1,AP476&lt;&gt;0),(Inputs!$B$17+Inputs!$B$18+Inputs!$B$19)+(O476+Inputs!$B$18+Inputs!$B$19),0)+MAX(AU476,0)*(Inputs!$B$20+Inputs!$B$22+Inputs!$B$23)+MAX(-AU476,0)*(Inputs!$B$21+Inputs!$B$22+Inputs!$B$23)</f>
        <v>0</v>
      </c>
      <c r="AW476" s="30" t="n">
        <f aca="false">AP475*(M476-AR475*J476)+AP475*AR475*N476/Inputs!$B$16-AV476</f>
        <v>0</v>
      </c>
      <c r="AX476" s="30" t="n">
        <f aca="false">AW476-IF(AP475&lt;&gt;0,0.75*AR475*(Inputs!$B$13-N476)/Inputs!$B$16,0)</f>
        <v>0</v>
      </c>
      <c r="AY476" s="30" t="n">
        <f aca="false">MAX(AS476,0)*(Inputs!$B$17+Inputs!$B$18+Inputs!$B$19)+MAX(-AS476,0)*(O476+Inputs!$B$18+Inputs!$B$19)+IF(AND(K476=1,AP476&lt;&gt;0),(Inputs!$B$17+Inputs!$B$18+Inputs!$B$19)+(O476+Inputs!$B$18+Inputs!$B$19),0)</f>
        <v>0</v>
      </c>
      <c r="AZ476" s="30" t="n">
        <f aca="false">AP475*M476-AY476</f>
        <v>0</v>
      </c>
      <c r="BA476" s="32" t="n">
        <f aca="false">BA475+AI476</f>
        <v>0.00429130278454792</v>
      </c>
      <c r="BB476" s="30" t="n">
        <f aca="false">MAX(BB475,BA476)</f>
        <v>0.00429130278454792</v>
      </c>
      <c r="BC476" s="32" t="n">
        <f aca="false">BA476-BB476</f>
        <v>0</v>
      </c>
      <c r="BD476" s="30" t="n">
        <f aca="false">A477-A476</f>
        <v>1</v>
      </c>
    </row>
    <row r="477" customFormat="false" ht="15" hidden="false" customHeight="false" outlineLevel="0" collapsed="false">
      <c r="A477" s="28" t="n">
        <v>45741</v>
      </c>
      <c r="B477" s="0" t="n">
        <v>23667</v>
      </c>
      <c r="C477" s="0" t="n">
        <v>264.25</v>
      </c>
      <c r="D477" s="29" t="n">
        <f aca="false">LN(B477)</f>
        <v>10.0718369517632</v>
      </c>
      <c r="E477" s="29" t="n">
        <f aca="false">LN(C477)</f>
        <v>5.57689562475035</v>
      </c>
      <c r="F477" s="0" t="n">
        <v>472</v>
      </c>
      <c r="G477" s="0" t="n">
        <v>2</v>
      </c>
      <c r="H477" s="29" t="n">
        <f aca="false">D477-E477</f>
        <v>4.49494132701285</v>
      </c>
      <c r="I477" s="29" t="n">
        <f aca="false">D477-D476</f>
        <v>-0.00223690134846244</v>
      </c>
      <c r="J477" s="29" t="n">
        <f aca="false">E477-E476</f>
        <v>-0.00324920944767548</v>
      </c>
      <c r="K477" s="0" t="n">
        <v>0</v>
      </c>
      <c r="L477" s="0" t="n">
        <v>0</v>
      </c>
      <c r="M477" s="29" t="n">
        <f aca="false">IF(L477=1,J477-Carry!$B$9/Inputs!$B$16,I477)</f>
        <v>-0.00223690134846244</v>
      </c>
      <c r="N477" s="0" t="n">
        <v>0.0625</v>
      </c>
      <c r="O477" s="0" t="n">
        <v>0.0002</v>
      </c>
      <c r="P477" s="29" t="n">
        <f aca="false">D477-('2 Hedge ratio'!$B$6+'2 Hedge ratio'!$B$5*E477)</f>
        <v>0.000873555055257214</v>
      </c>
      <c r="Q477" s="29" t="n">
        <f aca="false">D477-('5 Re-specification'!$B$7+'5 Re-specification'!$B$5*E477+'5 Re-specification'!$B$6*F477)</f>
        <v>0.0018477265156136</v>
      </c>
      <c r="R477" s="30" t="n">
        <f aca="false">MIN(F477,Inputs!$B$9)</f>
        <v>250</v>
      </c>
      <c r="S477" s="29" t="n">
        <f aca="true">IF(AND(F477&gt;=1,R477&gt;=Inputs!$B$10),INDEX(LINEST(OFFSET(D477,-R477,0,R477,1),OFFSET(E477,-R477,0,R477,2)),1,1),"")</f>
        <v>-4.70915344951466E-005</v>
      </c>
      <c r="T477" s="29" t="n">
        <f aca="true">IF(AND(F477&gt;=1,R477&gt;=Inputs!$B$10),INDEX(LINEST(OFFSET(D477,-R477,0,R477,1),OFFSET(E477,-R477,0,R477,2)),1,2),"")</f>
        <v>0.984128684245007</v>
      </c>
      <c r="U477" s="29" t="n">
        <f aca="true">IF(AND(F477&gt;=1,R477&gt;=Inputs!$B$10),INDEX(LINEST(OFFSET(D477,-R477,0,R477,1),OFFSET(E477,-R477,0,R477,2)),1,3),"")</f>
        <v>4.60317092226533</v>
      </c>
      <c r="V477" s="29" t="n">
        <f aca="true">IF(AND(F477&gt;=1,R477&gt;=Inputs!$B$10),SQRT(SUMPRODUCT((OFFSET(D477,-R477,0,R477,1)-U477-T477*OFFSET(E477,-R477,0,R477,1)-S477*OFFSET(F477,-R477,0,R477,1))^2)/(R477-3)),"")</f>
        <v>0.0033171448511943</v>
      </c>
      <c r="W477" s="31" t="n">
        <f aca="false">IF(AND(F477&gt;=1,R477&gt;=Inputs!$B$10),(D477-U477-T477*E477-S477*F477)/V477,"")</f>
        <v>0.75675936231208</v>
      </c>
      <c r="X477" s="30" t="n">
        <f aca="false">IF(AB476&lt;&gt;0,AC476+1,0)</f>
        <v>0</v>
      </c>
      <c r="Y477" s="30" t="n">
        <f aca="false">IF(W477="",0,IF(AND(AB476&lt;&gt;0,OR(ABS(W477)&gt;Inputs!$B$7,X477&gt;=Inputs!$B$8,ABS(W477)&lt;Inputs!$B$6)),1,0))</f>
        <v>0</v>
      </c>
      <c r="Z477" s="30" t="n">
        <f aca="false">IF(Y477=1,0,AB476)</f>
        <v>0</v>
      </c>
      <c r="AA477" s="30" t="n">
        <f aca="false">IF(W477="",0,IF(AND(Z477=0,ABS(W477)&gt;Inputs!$B$5,ABS(W477)&lt;=Inputs!$B$7),1,0))</f>
        <v>0</v>
      </c>
      <c r="AB477" s="30" t="n">
        <f aca="false">IF(W477="",0,IF(AA477=1,-SIGN(W477),Z477))</f>
        <v>0</v>
      </c>
      <c r="AC477" s="30" t="n">
        <f aca="false">IF(W477="",0,IF(AA477=1,0,IF(Y477=1,0,X477)))</f>
        <v>0</v>
      </c>
      <c r="AD477" s="30" t="n">
        <f aca="false">IF(AB477=0,0,IF(AB476=AB477,AD476,T477))</f>
        <v>0</v>
      </c>
      <c r="AE477" s="30" t="n">
        <f aca="false">AB477-AB476</f>
        <v>0</v>
      </c>
      <c r="AF477" s="30" t="n">
        <f aca="false">-AD477*AB477</f>
        <v>-0</v>
      </c>
      <c r="AG477" s="30" t="n">
        <f aca="false">AF477-AF476</f>
        <v>0</v>
      </c>
      <c r="AH477" s="30" t="n">
        <f aca="false">MAX(AE477,0)*(Inputs!$B$17+Inputs!$B$18+Inputs!$B$19)+MAX(-AE477,0)*(O477+Inputs!$B$18+Inputs!$B$19)+IF(AND(K477=1,AB477&lt;&gt;0),(Inputs!$B$17+Inputs!$B$18+Inputs!$B$19)+(O477+Inputs!$B$18+Inputs!$B$19),0)+MAX(AG477,0)*(Inputs!$B$20+Inputs!$B$22+Inputs!$B$23)+MAX(-AG477,0)*(Inputs!$B$21+Inputs!$B$22+Inputs!$B$23)</f>
        <v>0</v>
      </c>
      <c r="AI477" s="30" t="n">
        <f aca="false">AB476*(M477-AD476*J477)+AB476*AD476*N477/Inputs!$B$16-AH477</f>
        <v>0</v>
      </c>
      <c r="AJ477" s="30" t="n">
        <f aca="false">MAX(AE477,0)*(Inputs!$B$17+Inputs!$B$24+Inputs!$B$25)+MAX(-AE477,0)*(O477+Inputs!$B$24+Inputs!$B$25)+IF(AND(K477=1,AB477&lt;&gt;0),(Inputs!$B$17+Inputs!$B$24+Inputs!$B$25)+(O477+Inputs!$B$24+Inputs!$B$25),0)+MAX(AG477,0)*(Inputs!$B$20+Inputs!$B$26+Inputs!$B$27)+MAX(-AG477,0)*(Inputs!$B$21+Inputs!$B$26+Inputs!$B$27)</f>
        <v>0</v>
      </c>
      <c r="AK477" s="30" t="n">
        <f aca="false">AB476*(M477-AD476*J477)+AB476*AD476*(N477+Inputs!$B$14)/Inputs!$B$16-AJ477</f>
        <v>0</v>
      </c>
      <c r="AL477" s="30" t="n">
        <f aca="false">IF(AP476&lt;&gt;0,AQ476+1,0)</f>
        <v>0</v>
      </c>
      <c r="AM477" s="30" t="n">
        <f aca="false">IF(W477="",0,IF(AND(AP476&lt;&gt;0,OR(ABS(W477)&gt;Inputs!$B$7,AL477&gt;=Inputs!$B$8,ABS(W477)&lt;Inputs!$B$6)),1,0))</f>
        <v>0</v>
      </c>
      <c r="AN477" s="30" t="n">
        <f aca="false">IF(AM477=1,0,AP476)</f>
        <v>0</v>
      </c>
      <c r="AO477" s="30" t="n">
        <f aca="false">IF(W477="",0,IF(AND(AN477=0,ABS(W477)&gt;Inputs!$B$5,ABS(W477)&lt;=Inputs!$B$7,W477&gt;0),1,0))</f>
        <v>0</v>
      </c>
      <c r="AP477" s="30" t="n">
        <f aca="false">IF(W477="",0,IF(AO477=1,-SIGN(W477),AN477))</f>
        <v>0</v>
      </c>
      <c r="AQ477" s="30" t="n">
        <f aca="false">IF(W477="",0,IF(AO477=1,0,IF(AM477=1,0,AL477)))</f>
        <v>0</v>
      </c>
      <c r="AR477" s="30" t="n">
        <f aca="false">IF(AP477=0,0,IF(AP476=AP477,AR476,T477))</f>
        <v>0</v>
      </c>
      <c r="AS477" s="30" t="n">
        <f aca="false">AP477-AP476</f>
        <v>0</v>
      </c>
      <c r="AT477" s="30" t="n">
        <f aca="false">-AR477*AP477</f>
        <v>-0</v>
      </c>
      <c r="AU477" s="30" t="n">
        <f aca="false">AT477-AT476</f>
        <v>0</v>
      </c>
      <c r="AV477" s="30" t="n">
        <f aca="false">MAX(AS477,0)*(Inputs!$B$17+Inputs!$B$18+Inputs!$B$19)+MAX(-AS477,0)*(O477+Inputs!$B$18+Inputs!$B$19)+IF(AND(K477=1,AP477&lt;&gt;0),(Inputs!$B$17+Inputs!$B$18+Inputs!$B$19)+(O477+Inputs!$B$18+Inputs!$B$19),0)+MAX(AU477,0)*(Inputs!$B$20+Inputs!$B$22+Inputs!$B$23)+MAX(-AU477,0)*(Inputs!$B$21+Inputs!$B$22+Inputs!$B$23)</f>
        <v>0</v>
      </c>
      <c r="AW477" s="30" t="n">
        <f aca="false">AP476*(M477-AR476*J477)+AP476*AR476*N477/Inputs!$B$16-AV477</f>
        <v>0</v>
      </c>
      <c r="AX477" s="30" t="n">
        <f aca="false">AW477-IF(AP476&lt;&gt;0,0.75*AR476*(Inputs!$B$13-N477)/Inputs!$B$16,0)</f>
        <v>0</v>
      </c>
      <c r="AY477" s="30" t="n">
        <f aca="false">MAX(AS477,0)*(Inputs!$B$17+Inputs!$B$18+Inputs!$B$19)+MAX(-AS477,0)*(O477+Inputs!$B$18+Inputs!$B$19)+IF(AND(K477=1,AP477&lt;&gt;0),(Inputs!$B$17+Inputs!$B$18+Inputs!$B$19)+(O477+Inputs!$B$18+Inputs!$B$19),0)</f>
        <v>0</v>
      </c>
      <c r="AZ477" s="30" t="n">
        <f aca="false">AP476*M477-AY477</f>
        <v>-0</v>
      </c>
      <c r="BA477" s="32" t="n">
        <f aca="false">BA476+AI477</f>
        <v>0.00429130278454792</v>
      </c>
      <c r="BB477" s="30" t="n">
        <f aca="false">MAX(BB476,BA477)</f>
        <v>0.00429130278454792</v>
      </c>
      <c r="BC477" s="32" t="n">
        <f aca="false">BA477-BB477</f>
        <v>0</v>
      </c>
      <c r="BD477" s="30" t="n">
        <f aca="false">A478-A477</f>
        <v>1</v>
      </c>
    </row>
    <row r="478" customFormat="false" ht="15" hidden="false" customHeight="false" outlineLevel="0" collapsed="false">
      <c r="A478" s="28" t="n">
        <v>45742</v>
      </c>
      <c r="B478" s="0" t="n">
        <v>23512.55</v>
      </c>
      <c r="C478" s="0" t="n">
        <v>262.91</v>
      </c>
      <c r="D478" s="29" t="n">
        <f aca="false">LN(B478)</f>
        <v>10.0652896001355</v>
      </c>
      <c r="E478" s="29" t="n">
        <f aca="false">LN(C478)</f>
        <v>5.57181176828897</v>
      </c>
      <c r="F478" s="0" t="n">
        <v>473</v>
      </c>
      <c r="G478" s="0" t="n">
        <v>1</v>
      </c>
      <c r="H478" s="29" t="n">
        <f aca="false">D478-E478</f>
        <v>4.4934778318465</v>
      </c>
      <c r="I478" s="29" t="n">
        <f aca="false">D478-D477</f>
        <v>-0.00654735162773257</v>
      </c>
      <c r="J478" s="29" t="n">
        <f aca="false">E478-E477</f>
        <v>-0.0050838564613791</v>
      </c>
      <c r="K478" s="0" t="n">
        <v>0</v>
      </c>
      <c r="L478" s="0" t="n">
        <v>0</v>
      </c>
      <c r="M478" s="29" t="n">
        <f aca="false">IF(L478=1,J478-Carry!$B$9/Inputs!$B$16,I478)</f>
        <v>-0.00654735162773257</v>
      </c>
      <c r="N478" s="0" t="n">
        <v>0.0625</v>
      </c>
      <c r="O478" s="0" t="n">
        <v>0.0002</v>
      </c>
      <c r="P478" s="29" t="n">
        <f aca="false">D478-('2 Hedge ratio'!$B$6+'2 Hedge ratio'!$B$5*E478)</f>
        <v>-0.00101633962803582</v>
      </c>
      <c r="Q478" s="29" t="n">
        <f aca="false">D478-('5 Re-specification'!$B$7+'5 Re-specification'!$B$5*E478+'5 Re-specification'!$B$6*F478)</f>
        <v>0.000413754040243575</v>
      </c>
      <c r="R478" s="30" t="n">
        <f aca="false">MIN(F478,Inputs!$B$9)</f>
        <v>250</v>
      </c>
      <c r="S478" s="29" t="n">
        <f aca="true">IF(AND(F478&gt;=1,R478&gt;=Inputs!$B$10),INDEX(LINEST(OFFSET(D478,-R478,0,R478,1),OFFSET(E478,-R478,0,R478,2)),1,1),"")</f>
        <v>-4.67407873512017E-005</v>
      </c>
      <c r="T478" s="29" t="n">
        <f aca="true">IF(AND(F478&gt;=1,R478&gt;=Inputs!$B$10),INDEX(LINEST(OFFSET(D478,-R478,0,R478,1),OFFSET(E478,-R478,0,R478,2)),1,2),"")</f>
        <v>0.984232565879829</v>
      </c>
      <c r="U478" s="29" t="n">
        <f aca="true">IF(AND(F478&gt;=1,R478&gt;=Inputs!$B$10),INDEX(LINEST(OFFSET(D478,-R478,0,R478,1),OFFSET(E478,-R478,0,R478,2)),1,3),"")</f>
        <v>4.60247439957615</v>
      </c>
      <c r="V478" s="29" t="n">
        <f aca="true">IF(AND(F478&gt;=1,R478&gt;=Inputs!$B$10),SQRT(SUMPRODUCT((OFFSET(D478,-R478,0,R478,1)-U478-T478*OFFSET(E478,-R478,0,R478,1)-S478*OFFSET(F478,-R478,0,R478,1))^2)/(R478-3)),"")</f>
        <v>0.00331985519938785</v>
      </c>
      <c r="W478" s="31" t="n">
        <f aca="false">IF(AND(F478&gt;=1,R478&gt;=Inputs!$B$10),(D478-U478-T478*E478-S478*F478)/V478,"")</f>
        <v>0.290675230092962</v>
      </c>
      <c r="X478" s="30" t="n">
        <f aca="false">IF(AB477&lt;&gt;0,AC477+1,0)</f>
        <v>0</v>
      </c>
      <c r="Y478" s="30" t="n">
        <f aca="false">IF(W478="",0,IF(AND(AB477&lt;&gt;0,OR(ABS(W478)&gt;Inputs!$B$7,X478&gt;=Inputs!$B$8,ABS(W478)&lt;Inputs!$B$6)),1,0))</f>
        <v>0</v>
      </c>
      <c r="Z478" s="30" t="n">
        <f aca="false">IF(Y478=1,0,AB477)</f>
        <v>0</v>
      </c>
      <c r="AA478" s="30" t="n">
        <f aca="false">IF(W478="",0,IF(AND(Z478=0,ABS(W478)&gt;Inputs!$B$5,ABS(W478)&lt;=Inputs!$B$7),1,0))</f>
        <v>0</v>
      </c>
      <c r="AB478" s="30" t="n">
        <f aca="false">IF(W478="",0,IF(AA478=1,-SIGN(W478),Z478))</f>
        <v>0</v>
      </c>
      <c r="AC478" s="30" t="n">
        <f aca="false">IF(W478="",0,IF(AA478=1,0,IF(Y478=1,0,X478)))</f>
        <v>0</v>
      </c>
      <c r="AD478" s="30" t="n">
        <f aca="false">IF(AB478=0,0,IF(AB477=AB478,AD477,T478))</f>
        <v>0</v>
      </c>
      <c r="AE478" s="30" t="n">
        <f aca="false">AB478-AB477</f>
        <v>0</v>
      </c>
      <c r="AF478" s="30" t="n">
        <f aca="false">-AD478*AB478</f>
        <v>-0</v>
      </c>
      <c r="AG478" s="30" t="n">
        <f aca="false">AF478-AF477</f>
        <v>0</v>
      </c>
      <c r="AH478" s="30" t="n">
        <f aca="false">MAX(AE478,0)*(Inputs!$B$17+Inputs!$B$18+Inputs!$B$19)+MAX(-AE478,0)*(O478+Inputs!$B$18+Inputs!$B$19)+IF(AND(K478=1,AB478&lt;&gt;0),(Inputs!$B$17+Inputs!$B$18+Inputs!$B$19)+(O478+Inputs!$B$18+Inputs!$B$19),0)+MAX(AG478,0)*(Inputs!$B$20+Inputs!$B$22+Inputs!$B$23)+MAX(-AG478,0)*(Inputs!$B$21+Inputs!$B$22+Inputs!$B$23)</f>
        <v>0</v>
      </c>
      <c r="AI478" s="30" t="n">
        <f aca="false">AB477*(M478-AD477*J478)+AB477*AD477*N478/Inputs!$B$16-AH478</f>
        <v>0</v>
      </c>
      <c r="AJ478" s="30" t="n">
        <f aca="false">MAX(AE478,0)*(Inputs!$B$17+Inputs!$B$24+Inputs!$B$25)+MAX(-AE478,0)*(O478+Inputs!$B$24+Inputs!$B$25)+IF(AND(K478=1,AB478&lt;&gt;0),(Inputs!$B$17+Inputs!$B$24+Inputs!$B$25)+(O478+Inputs!$B$24+Inputs!$B$25),0)+MAX(AG478,0)*(Inputs!$B$20+Inputs!$B$26+Inputs!$B$27)+MAX(-AG478,0)*(Inputs!$B$21+Inputs!$B$26+Inputs!$B$27)</f>
        <v>0</v>
      </c>
      <c r="AK478" s="30" t="n">
        <f aca="false">AB477*(M478-AD477*J478)+AB477*AD477*(N478+Inputs!$B$14)/Inputs!$B$16-AJ478</f>
        <v>0</v>
      </c>
      <c r="AL478" s="30" t="n">
        <f aca="false">IF(AP477&lt;&gt;0,AQ477+1,0)</f>
        <v>0</v>
      </c>
      <c r="AM478" s="30" t="n">
        <f aca="false">IF(W478="",0,IF(AND(AP477&lt;&gt;0,OR(ABS(W478)&gt;Inputs!$B$7,AL478&gt;=Inputs!$B$8,ABS(W478)&lt;Inputs!$B$6)),1,0))</f>
        <v>0</v>
      </c>
      <c r="AN478" s="30" t="n">
        <f aca="false">IF(AM478=1,0,AP477)</f>
        <v>0</v>
      </c>
      <c r="AO478" s="30" t="n">
        <f aca="false">IF(W478="",0,IF(AND(AN478=0,ABS(W478)&gt;Inputs!$B$5,ABS(W478)&lt;=Inputs!$B$7,W478&gt;0),1,0))</f>
        <v>0</v>
      </c>
      <c r="AP478" s="30" t="n">
        <f aca="false">IF(W478="",0,IF(AO478=1,-SIGN(W478),AN478))</f>
        <v>0</v>
      </c>
      <c r="AQ478" s="30" t="n">
        <f aca="false">IF(W478="",0,IF(AO478=1,0,IF(AM478=1,0,AL478)))</f>
        <v>0</v>
      </c>
      <c r="AR478" s="30" t="n">
        <f aca="false">IF(AP478=0,0,IF(AP477=AP478,AR477,T478))</f>
        <v>0</v>
      </c>
      <c r="AS478" s="30" t="n">
        <f aca="false">AP478-AP477</f>
        <v>0</v>
      </c>
      <c r="AT478" s="30" t="n">
        <f aca="false">-AR478*AP478</f>
        <v>-0</v>
      </c>
      <c r="AU478" s="30" t="n">
        <f aca="false">AT478-AT477</f>
        <v>0</v>
      </c>
      <c r="AV478" s="30" t="n">
        <f aca="false">MAX(AS478,0)*(Inputs!$B$17+Inputs!$B$18+Inputs!$B$19)+MAX(-AS478,0)*(O478+Inputs!$B$18+Inputs!$B$19)+IF(AND(K478=1,AP478&lt;&gt;0),(Inputs!$B$17+Inputs!$B$18+Inputs!$B$19)+(O478+Inputs!$B$18+Inputs!$B$19),0)+MAX(AU478,0)*(Inputs!$B$20+Inputs!$B$22+Inputs!$B$23)+MAX(-AU478,0)*(Inputs!$B$21+Inputs!$B$22+Inputs!$B$23)</f>
        <v>0</v>
      </c>
      <c r="AW478" s="30" t="n">
        <f aca="false">AP477*(M478-AR477*J478)+AP477*AR477*N478/Inputs!$B$16-AV478</f>
        <v>0</v>
      </c>
      <c r="AX478" s="30" t="n">
        <f aca="false">AW478-IF(AP477&lt;&gt;0,0.75*AR477*(Inputs!$B$13-N478)/Inputs!$B$16,0)</f>
        <v>0</v>
      </c>
      <c r="AY478" s="30" t="n">
        <f aca="false">MAX(AS478,0)*(Inputs!$B$17+Inputs!$B$18+Inputs!$B$19)+MAX(-AS478,0)*(O478+Inputs!$B$18+Inputs!$B$19)+IF(AND(K478=1,AP478&lt;&gt;0),(Inputs!$B$17+Inputs!$B$18+Inputs!$B$19)+(O478+Inputs!$B$18+Inputs!$B$19),0)</f>
        <v>0</v>
      </c>
      <c r="AZ478" s="30" t="n">
        <f aca="false">AP477*M478-AY478</f>
        <v>-0</v>
      </c>
      <c r="BA478" s="32" t="n">
        <f aca="false">BA477+AI478</f>
        <v>0.00429130278454792</v>
      </c>
      <c r="BB478" s="30" t="n">
        <f aca="false">MAX(BB477,BA478)</f>
        <v>0.00429130278454792</v>
      </c>
      <c r="BC478" s="32" t="n">
        <f aca="false">BA478-BB478</f>
        <v>0</v>
      </c>
      <c r="BD478" s="30" t="n">
        <f aca="false">A479-A478</f>
        <v>1</v>
      </c>
    </row>
    <row r="479" customFormat="false" ht="15" hidden="false" customHeight="false" outlineLevel="0" collapsed="false">
      <c r="A479" s="28" t="n">
        <v>45743</v>
      </c>
      <c r="B479" s="0" t="n">
        <v>23595.8</v>
      </c>
      <c r="C479" s="0" t="n">
        <v>264</v>
      </c>
      <c r="D479" s="29" t="n">
        <f aca="false">LN(B479)</f>
        <v>10.0688240090742</v>
      </c>
      <c r="E479" s="29" t="n">
        <f aca="false">LN(C479)</f>
        <v>5.57594910314632</v>
      </c>
      <c r="F479" s="0" t="n">
        <v>474</v>
      </c>
      <c r="G479" s="0" t="n">
        <v>0</v>
      </c>
      <c r="H479" s="29" t="n">
        <f aca="false">D479-E479</f>
        <v>4.49287490592785</v>
      </c>
      <c r="I479" s="29" t="n">
        <f aca="false">D479-D478</f>
        <v>0.00353440893869461</v>
      </c>
      <c r="J479" s="29" t="n">
        <f aca="false">E479-E478</f>
        <v>0.00413733485734813</v>
      </c>
      <c r="K479" s="0" t="n">
        <v>1</v>
      </c>
      <c r="L479" s="0" t="n">
        <v>0</v>
      </c>
      <c r="M479" s="29" t="n">
        <f aca="false">IF(L479=1,J479-Carry!$B$9/Inputs!$B$16,I479)</f>
        <v>0.00353440893869461</v>
      </c>
      <c r="N479" s="0" t="n">
        <v>0.0625</v>
      </c>
      <c r="O479" s="0" t="n">
        <v>0.0002</v>
      </c>
      <c r="P479" s="29" t="n">
        <f aca="false">D479-('2 Hedge ratio'!$B$6+'2 Hedge ratio'!$B$5*E479)</f>
        <v>-0.00127225386412277</v>
      </c>
      <c r="Q479" s="29" t="n">
        <f aca="false">D479-('5 Re-specification'!$B$7+'5 Re-specification'!$B$5*E479+'5 Re-specification'!$B$6*F479)</f>
        <v>-0.000131704366939545</v>
      </c>
      <c r="R479" s="30" t="n">
        <f aca="false">MIN(F479,Inputs!$B$9)</f>
        <v>250</v>
      </c>
      <c r="S479" s="29" t="n">
        <f aca="true">IF(AND(F479&gt;=1,R479&gt;=Inputs!$B$10),INDEX(LINEST(OFFSET(D479,-R479,0,R479,1),OFFSET(E479,-R479,0,R479,2)),1,1),"")</f>
        <v>-4.65097850612832E-005</v>
      </c>
      <c r="T479" s="29" t="n">
        <f aca="true">IF(AND(F479&gt;=1,R479&gt;=Inputs!$B$10),INDEX(LINEST(OFFSET(D479,-R479,0,R479,1),OFFSET(E479,-R479,0,R479,2)),1,2),"")</f>
        <v>0.984423557876948</v>
      </c>
      <c r="U479" s="29" t="n">
        <f aca="true">IF(AND(F479&gt;=1,R479&gt;=Inputs!$B$10),INDEX(LINEST(OFFSET(D479,-R479,0,R479,1),OFFSET(E479,-R479,0,R479,2)),1,3),"")</f>
        <v>4.60132549180946</v>
      </c>
      <c r="V479" s="29" t="n">
        <f aca="true">IF(AND(F479&gt;=1,R479&gt;=Inputs!$B$10),SQRT(SUMPRODUCT((OFFSET(D479,-R479,0,R479,1)-U479-T479*OFFSET(E479,-R479,0,R479,1)-S479*OFFSET(F479,-R479,0,R479,1))^2)/(R479-3)),"")</f>
        <v>0.00331861917126325</v>
      </c>
      <c r="W479" s="31" t="n">
        <f aca="false">IF(AND(F479&gt;=1,R479&gt;=Inputs!$B$10),(D479-U479-T479*E479-S479*F479)/V479,"")</f>
        <v>0.135146788629462</v>
      </c>
      <c r="X479" s="30" t="n">
        <f aca="false">IF(AB478&lt;&gt;0,AC478+1,0)</f>
        <v>0</v>
      </c>
      <c r="Y479" s="30" t="n">
        <f aca="false">IF(W479="",0,IF(AND(AB478&lt;&gt;0,OR(ABS(W479)&gt;Inputs!$B$7,X479&gt;=Inputs!$B$8,ABS(W479)&lt;Inputs!$B$6)),1,0))</f>
        <v>0</v>
      </c>
      <c r="Z479" s="30" t="n">
        <f aca="false">IF(Y479=1,0,AB478)</f>
        <v>0</v>
      </c>
      <c r="AA479" s="30" t="n">
        <f aca="false">IF(W479="",0,IF(AND(Z479=0,ABS(W479)&gt;Inputs!$B$5,ABS(W479)&lt;=Inputs!$B$7),1,0))</f>
        <v>0</v>
      </c>
      <c r="AB479" s="30" t="n">
        <f aca="false">IF(W479="",0,IF(AA479=1,-SIGN(W479),Z479))</f>
        <v>0</v>
      </c>
      <c r="AC479" s="30" t="n">
        <f aca="false">IF(W479="",0,IF(AA479=1,0,IF(Y479=1,0,X479)))</f>
        <v>0</v>
      </c>
      <c r="AD479" s="30" t="n">
        <f aca="false">IF(AB479=0,0,IF(AB478=AB479,AD478,T479))</f>
        <v>0</v>
      </c>
      <c r="AE479" s="30" t="n">
        <f aca="false">AB479-AB478</f>
        <v>0</v>
      </c>
      <c r="AF479" s="30" t="n">
        <f aca="false">-AD479*AB479</f>
        <v>-0</v>
      </c>
      <c r="AG479" s="30" t="n">
        <f aca="false">AF479-AF478</f>
        <v>0</v>
      </c>
      <c r="AH479" s="30" t="n">
        <f aca="false">MAX(AE479,0)*(Inputs!$B$17+Inputs!$B$18+Inputs!$B$19)+MAX(-AE479,0)*(O479+Inputs!$B$18+Inputs!$B$19)+IF(AND(K479=1,AB479&lt;&gt;0),(Inputs!$B$17+Inputs!$B$18+Inputs!$B$19)+(O479+Inputs!$B$18+Inputs!$B$19),0)+MAX(AG479,0)*(Inputs!$B$20+Inputs!$B$22+Inputs!$B$23)+MAX(-AG479,0)*(Inputs!$B$21+Inputs!$B$22+Inputs!$B$23)</f>
        <v>0</v>
      </c>
      <c r="AI479" s="30" t="n">
        <f aca="false">AB478*(M479-AD478*J479)+AB478*AD478*N479/Inputs!$B$16-AH479</f>
        <v>0</v>
      </c>
      <c r="AJ479" s="30" t="n">
        <f aca="false">MAX(AE479,0)*(Inputs!$B$17+Inputs!$B$24+Inputs!$B$25)+MAX(-AE479,0)*(O479+Inputs!$B$24+Inputs!$B$25)+IF(AND(K479=1,AB479&lt;&gt;0),(Inputs!$B$17+Inputs!$B$24+Inputs!$B$25)+(O479+Inputs!$B$24+Inputs!$B$25),0)+MAX(AG479,0)*(Inputs!$B$20+Inputs!$B$26+Inputs!$B$27)+MAX(-AG479,0)*(Inputs!$B$21+Inputs!$B$26+Inputs!$B$27)</f>
        <v>0</v>
      </c>
      <c r="AK479" s="30" t="n">
        <f aca="false">AB478*(M479-AD478*J479)+AB478*AD478*(N479+Inputs!$B$14)/Inputs!$B$16-AJ479</f>
        <v>0</v>
      </c>
      <c r="AL479" s="30" t="n">
        <f aca="false">IF(AP478&lt;&gt;0,AQ478+1,0)</f>
        <v>0</v>
      </c>
      <c r="AM479" s="30" t="n">
        <f aca="false">IF(W479="",0,IF(AND(AP478&lt;&gt;0,OR(ABS(W479)&gt;Inputs!$B$7,AL479&gt;=Inputs!$B$8,ABS(W479)&lt;Inputs!$B$6)),1,0))</f>
        <v>0</v>
      </c>
      <c r="AN479" s="30" t="n">
        <f aca="false">IF(AM479=1,0,AP478)</f>
        <v>0</v>
      </c>
      <c r="AO479" s="30" t="n">
        <f aca="false">IF(W479="",0,IF(AND(AN479=0,ABS(W479)&gt;Inputs!$B$5,ABS(W479)&lt;=Inputs!$B$7,W479&gt;0),1,0))</f>
        <v>0</v>
      </c>
      <c r="AP479" s="30" t="n">
        <f aca="false">IF(W479="",0,IF(AO479=1,-SIGN(W479),AN479))</f>
        <v>0</v>
      </c>
      <c r="AQ479" s="30" t="n">
        <f aca="false">IF(W479="",0,IF(AO479=1,0,IF(AM479=1,0,AL479)))</f>
        <v>0</v>
      </c>
      <c r="AR479" s="30" t="n">
        <f aca="false">IF(AP479=0,0,IF(AP478=AP479,AR478,T479))</f>
        <v>0</v>
      </c>
      <c r="AS479" s="30" t="n">
        <f aca="false">AP479-AP478</f>
        <v>0</v>
      </c>
      <c r="AT479" s="30" t="n">
        <f aca="false">-AR479*AP479</f>
        <v>-0</v>
      </c>
      <c r="AU479" s="30" t="n">
        <f aca="false">AT479-AT478</f>
        <v>0</v>
      </c>
      <c r="AV479" s="30" t="n">
        <f aca="false">MAX(AS479,0)*(Inputs!$B$17+Inputs!$B$18+Inputs!$B$19)+MAX(-AS479,0)*(O479+Inputs!$B$18+Inputs!$B$19)+IF(AND(K479=1,AP479&lt;&gt;0),(Inputs!$B$17+Inputs!$B$18+Inputs!$B$19)+(O479+Inputs!$B$18+Inputs!$B$19),0)+MAX(AU479,0)*(Inputs!$B$20+Inputs!$B$22+Inputs!$B$23)+MAX(-AU479,0)*(Inputs!$B$21+Inputs!$B$22+Inputs!$B$23)</f>
        <v>0</v>
      </c>
      <c r="AW479" s="30" t="n">
        <f aca="false">AP478*(M479-AR478*J479)+AP478*AR478*N479/Inputs!$B$16-AV479</f>
        <v>0</v>
      </c>
      <c r="AX479" s="30" t="n">
        <f aca="false">AW479-IF(AP478&lt;&gt;0,0.75*AR478*(Inputs!$B$13-N479)/Inputs!$B$16,0)</f>
        <v>0</v>
      </c>
      <c r="AY479" s="30" t="n">
        <f aca="false">MAX(AS479,0)*(Inputs!$B$17+Inputs!$B$18+Inputs!$B$19)+MAX(-AS479,0)*(O479+Inputs!$B$18+Inputs!$B$19)+IF(AND(K479=1,AP479&lt;&gt;0),(Inputs!$B$17+Inputs!$B$18+Inputs!$B$19)+(O479+Inputs!$B$18+Inputs!$B$19),0)</f>
        <v>0</v>
      </c>
      <c r="AZ479" s="30" t="n">
        <f aca="false">AP478*M479-AY479</f>
        <v>0</v>
      </c>
      <c r="BA479" s="32" t="n">
        <f aca="false">BA478+AI479</f>
        <v>0.00429130278454792</v>
      </c>
      <c r="BB479" s="30" t="n">
        <f aca="false">MAX(BB478,BA479)</f>
        <v>0.00429130278454792</v>
      </c>
      <c r="BC479" s="32" t="n">
        <f aca="false">BA479-BB479</f>
        <v>0</v>
      </c>
      <c r="BD479" s="30" t="n">
        <f aca="false">A480-A479</f>
        <v>1</v>
      </c>
    </row>
    <row r="480" customFormat="false" ht="15" hidden="false" customHeight="false" outlineLevel="0" collapsed="false">
      <c r="A480" s="28" t="n">
        <v>45744</v>
      </c>
      <c r="B480" s="0" t="n">
        <v>23644</v>
      </c>
      <c r="C480" s="0" t="n">
        <v>263.15</v>
      </c>
      <c r="D480" s="29" t="n">
        <f aca="false">LN(B480)</f>
        <v>10.0708646619443</v>
      </c>
      <c r="E480" s="29" t="n">
        <f aca="false">LN(C480)</f>
        <v>5.57272421179979</v>
      </c>
      <c r="F480" s="0" t="n">
        <v>475</v>
      </c>
      <c r="G480" s="0" t="n">
        <v>27</v>
      </c>
      <c r="H480" s="29" t="n">
        <f aca="false">D480-E480</f>
        <v>4.49814045014447</v>
      </c>
      <c r="I480" s="29" t="n">
        <f aca="false">D480-D479</f>
        <v>0.00204065287009847</v>
      </c>
      <c r="J480" s="29" t="n">
        <f aca="false">E480-E479</f>
        <v>-0.00322489134652848</v>
      </c>
      <c r="K480" s="0" t="n">
        <v>0</v>
      </c>
      <c r="L480" s="0" t="n">
        <v>1</v>
      </c>
      <c r="M480" s="29" t="n">
        <f aca="false">IF(L480=1,J480-Carry!$B$9/Inputs!$B$16,I480)</f>
        <v>-0.00348434952824961</v>
      </c>
      <c r="N480" s="0" t="n">
        <v>0.0625</v>
      </c>
      <c r="O480" s="0" t="n">
        <v>0.0002</v>
      </c>
      <c r="P480" s="29" t="n">
        <f aca="false">D480-('2 Hedge ratio'!$B$6+'2 Hedge ratio'!$B$5*E480)</f>
        <v>0.00372280826419313</v>
      </c>
      <c r="Q480" s="29" t="n">
        <f aca="false">D480-('5 Re-specification'!$B$7+'5 Re-specification'!$B$5*E480+'5 Re-specification'!$B$6*F480)</f>
        <v>0.00516899613448985</v>
      </c>
      <c r="R480" s="30" t="n">
        <f aca="false">MIN(F480,Inputs!$B$9)</f>
        <v>250</v>
      </c>
      <c r="S480" s="29" t="n">
        <f aca="true">IF(AND(F480&gt;=1,R480&gt;=Inputs!$B$10),INDEX(LINEST(OFFSET(D480,-R480,0,R480,1),OFFSET(E480,-R480,0,R480,2)),1,1),"")</f>
        <v>-4.63696002595064E-005</v>
      </c>
      <c r="T480" s="29" t="n">
        <f aca="true">IF(AND(F480&gt;=1,R480&gt;=Inputs!$B$10),INDEX(LINEST(OFFSET(D480,-R480,0,R480,1),OFFSET(E480,-R480,0,R480,2)),1,2),"")</f>
        <v>0.984573155367049</v>
      </c>
      <c r="U480" s="29" t="n">
        <f aca="true">IF(AND(F480&gt;=1,R480&gt;=Inputs!$B$10),INDEX(LINEST(OFFSET(D480,-R480,0,R480,1),OFFSET(E480,-R480,0,R480,2)),1,3),"")</f>
        <v>4.60043889894697</v>
      </c>
      <c r="V480" s="29" t="n">
        <f aca="true">IF(AND(F480&gt;=1,R480&gt;=Inputs!$B$10),SQRT(SUMPRODUCT((OFFSET(D480,-R480,0,R480,1)-U480-T480*OFFSET(E480,-R480,0,R480,1)-S480*OFFSET(F480,-R480,0,R480,1))^2)/(R480-3)),"")</f>
        <v>0.00331784607911847</v>
      </c>
      <c r="W480" s="31" t="n">
        <f aca="false">IF(AND(F480&gt;=1,R480&gt;=Inputs!$B$10),(D480-U480-T480*E480-S480*F480)/V480,"")</f>
        <v>1.71697594844303</v>
      </c>
      <c r="X480" s="30" t="n">
        <f aca="false">IF(AB479&lt;&gt;0,AC479+1,0)</f>
        <v>0</v>
      </c>
      <c r="Y480" s="30" t="n">
        <f aca="false">IF(W480="",0,IF(AND(AB479&lt;&gt;0,OR(ABS(W480)&gt;Inputs!$B$7,X480&gt;=Inputs!$B$8,ABS(W480)&lt;Inputs!$B$6)),1,0))</f>
        <v>0</v>
      </c>
      <c r="Z480" s="30" t="n">
        <f aca="false">IF(Y480=1,0,AB479)</f>
        <v>0</v>
      </c>
      <c r="AA480" s="30" t="n">
        <f aca="false">IF(W480="",0,IF(AND(Z480=0,ABS(W480)&gt;Inputs!$B$5,ABS(W480)&lt;=Inputs!$B$7),1,0))</f>
        <v>0</v>
      </c>
      <c r="AB480" s="30" t="n">
        <f aca="false">IF(W480="",0,IF(AA480=1,-SIGN(W480),Z480))</f>
        <v>0</v>
      </c>
      <c r="AC480" s="30" t="n">
        <f aca="false">IF(W480="",0,IF(AA480=1,0,IF(Y480=1,0,X480)))</f>
        <v>0</v>
      </c>
      <c r="AD480" s="30" t="n">
        <f aca="false">IF(AB480=0,0,IF(AB479=AB480,AD479,T480))</f>
        <v>0</v>
      </c>
      <c r="AE480" s="30" t="n">
        <f aca="false">AB480-AB479</f>
        <v>0</v>
      </c>
      <c r="AF480" s="30" t="n">
        <f aca="false">-AD480*AB480</f>
        <v>-0</v>
      </c>
      <c r="AG480" s="30" t="n">
        <f aca="false">AF480-AF479</f>
        <v>0</v>
      </c>
      <c r="AH480" s="30" t="n">
        <f aca="false">MAX(AE480,0)*(Inputs!$B$17+Inputs!$B$18+Inputs!$B$19)+MAX(-AE480,0)*(O480+Inputs!$B$18+Inputs!$B$19)+IF(AND(K480=1,AB480&lt;&gt;0),(Inputs!$B$17+Inputs!$B$18+Inputs!$B$19)+(O480+Inputs!$B$18+Inputs!$B$19),0)+MAX(AG480,0)*(Inputs!$B$20+Inputs!$B$22+Inputs!$B$23)+MAX(-AG480,0)*(Inputs!$B$21+Inputs!$B$22+Inputs!$B$23)</f>
        <v>0</v>
      </c>
      <c r="AI480" s="30" t="n">
        <f aca="false">AB479*(M480-AD479*J480)+AB479*AD479*N480/Inputs!$B$16-AH480</f>
        <v>0</v>
      </c>
      <c r="AJ480" s="30" t="n">
        <f aca="false">MAX(AE480,0)*(Inputs!$B$17+Inputs!$B$24+Inputs!$B$25)+MAX(-AE480,0)*(O480+Inputs!$B$24+Inputs!$B$25)+IF(AND(K480=1,AB480&lt;&gt;0),(Inputs!$B$17+Inputs!$B$24+Inputs!$B$25)+(O480+Inputs!$B$24+Inputs!$B$25),0)+MAX(AG480,0)*(Inputs!$B$20+Inputs!$B$26+Inputs!$B$27)+MAX(-AG480,0)*(Inputs!$B$21+Inputs!$B$26+Inputs!$B$27)</f>
        <v>0</v>
      </c>
      <c r="AK480" s="30" t="n">
        <f aca="false">AB479*(M480-AD479*J480)+AB479*AD479*(N480+Inputs!$B$14)/Inputs!$B$16-AJ480</f>
        <v>0</v>
      </c>
      <c r="AL480" s="30" t="n">
        <f aca="false">IF(AP479&lt;&gt;0,AQ479+1,0)</f>
        <v>0</v>
      </c>
      <c r="AM480" s="30" t="n">
        <f aca="false">IF(W480="",0,IF(AND(AP479&lt;&gt;0,OR(ABS(W480)&gt;Inputs!$B$7,AL480&gt;=Inputs!$B$8,ABS(W480)&lt;Inputs!$B$6)),1,0))</f>
        <v>0</v>
      </c>
      <c r="AN480" s="30" t="n">
        <f aca="false">IF(AM480=1,0,AP479)</f>
        <v>0</v>
      </c>
      <c r="AO480" s="30" t="n">
        <f aca="false">IF(W480="",0,IF(AND(AN480=0,ABS(W480)&gt;Inputs!$B$5,ABS(W480)&lt;=Inputs!$B$7,W480&gt;0),1,0))</f>
        <v>0</v>
      </c>
      <c r="AP480" s="30" t="n">
        <f aca="false">IF(W480="",0,IF(AO480=1,-SIGN(W480),AN480))</f>
        <v>0</v>
      </c>
      <c r="AQ480" s="30" t="n">
        <f aca="false">IF(W480="",0,IF(AO480=1,0,IF(AM480=1,0,AL480)))</f>
        <v>0</v>
      </c>
      <c r="AR480" s="30" t="n">
        <f aca="false">IF(AP480=0,0,IF(AP479=AP480,AR479,T480))</f>
        <v>0</v>
      </c>
      <c r="AS480" s="30" t="n">
        <f aca="false">AP480-AP479</f>
        <v>0</v>
      </c>
      <c r="AT480" s="30" t="n">
        <f aca="false">-AR480*AP480</f>
        <v>-0</v>
      </c>
      <c r="AU480" s="30" t="n">
        <f aca="false">AT480-AT479</f>
        <v>0</v>
      </c>
      <c r="AV480" s="30" t="n">
        <f aca="false">MAX(AS480,0)*(Inputs!$B$17+Inputs!$B$18+Inputs!$B$19)+MAX(-AS480,0)*(O480+Inputs!$B$18+Inputs!$B$19)+IF(AND(K480=1,AP480&lt;&gt;0),(Inputs!$B$17+Inputs!$B$18+Inputs!$B$19)+(O480+Inputs!$B$18+Inputs!$B$19),0)+MAX(AU480,0)*(Inputs!$B$20+Inputs!$B$22+Inputs!$B$23)+MAX(-AU480,0)*(Inputs!$B$21+Inputs!$B$22+Inputs!$B$23)</f>
        <v>0</v>
      </c>
      <c r="AW480" s="30" t="n">
        <f aca="false">AP479*(M480-AR479*J480)+AP479*AR479*N480/Inputs!$B$16-AV480</f>
        <v>0</v>
      </c>
      <c r="AX480" s="30" t="n">
        <f aca="false">AW480-IF(AP479&lt;&gt;0,0.75*AR479*(Inputs!$B$13-N480)/Inputs!$B$16,0)</f>
        <v>0</v>
      </c>
      <c r="AY480" s="30" t="n">
        <f aca="false">MAX(AS480,0)*(Inputs!$B$17+Inputs!$B$18+Inputs!$B$19)+MAX(-AS480,0)*(O480+Inputs!$B$18+Inputs!$B$19)+IF(AND(K480=1,AP480&lt;&gt;0),(Inputs!$B$17+Inputs!$B$18+Inputs!$B$19)+(O480+Inputs!$B$18+Inputs!$B$19),0)</f>
        <v>0</v>
      </c>
      <c r="AZ480" s="30" t="n">
        <f aca="false">AP479*M480-AY480</f>
        <v>-0</v>
      </c>
      <c r="BA480" s="32" t="n">
        <f aca="false">BA479+AI480</f>
        <v>0.00429130278454792</v>
      </c>
      <c r="BB480" s="30" t="n">
        <f aca="false">MAX(BB479,BA480)</f>
        <v>0.00429130278454792</v>
      </c>
      <c r="BC480" s="32" t="n">
        <f aca="false">BA480-BB480</f>
        <v>0</v>
      </c>
      <c r="BD480" s="30" t="n">
        <f aca="false">A481-A480</f>
        <v>4</v>
      </c>
    </row>
    <row r="481" customFormat="false" ht="15" hidden="false" customHeight="false" outlineLevel="0" collapsed="false">
      <c r="A481" s="28" t="n">
        <v>45748</v>
      </c>
      <c r="B481" s="0" t="n">
        <v>23315</v>
      </c>
      <c r="C481" s="0" t="n">
        <v>259.67</v>
      </c>
      <c r="D481" s="29" t="n">
        <f aca="false">LN(B481)</f>
        <v>10.0568522092424</v>
      </c>
      <c r="E481" s="29" t="n">
        <f aca="false">LN(C481)</f>
        <v>5.55941159409072</v>
      </c>
      <c r="F481" s="0" t="n">
        <v>476</v>
      </c>
      <c r="G481" s="0" t="n">
        <v>23</v>
      </c>
      <c r="H481" s="29" t="n">
        <f aca="false">D481-E481</f>
        <v>4.4974406151517</v>
      </c>
      <c r="I481" s="29" t="n">
        <f aca="false">D481-D480</f>
        <v>-0.0140124527018379</v>
      </c>
      <c r="J481" s="29" t="n">
        <f aca="false">E481-E480</f>
        <v>-0.013312617709067</v>
      </c>
      <c r="K481" s="0" t="n">
        <v>0</v>
      </c>
      <c r="L481" s="0" t="n">
        <v>0</v>
      </c>
      <c r="M481" s="29" t="n">
        <f aca="false">IF(L481=1,J481-Carry!$B$9/Inputs!$B$16,I481)</f>
        <v>-0.0140124527018379</v>
      </c>
      <c r="N481" s="0" t="n">
        <v>0.0625</v>
      </c>
      <c r="O481" s="0" t="n">
        <v>0.0002</v>
      </c>
      <c r="P481" s="29" t="n">
        <f aca="false">D481-('2 Hedge ratio'!$B$6+'2 Hedge ratio'!$B$5*E481)</f>
        <v>0.00190640088125349</v>
      </c>
      <c r="Q481" s="29" t="n">
        <f aca="false">D481-('5 Re-specification'!$B$7+'5 Re-specification'!$B$5*E481+'5 Re-specification'!$B$6*F481)</f>
        <v>0.0044737465715663</v>
      </c>
      <c r="R481" s="30" t="n">
        <f aca="false">MIN(F481,Inputs!$B$9)</f>
        <v>250</v>
      </c>
      <c r="S481" s="29" t="n">
        <f aca="true">IF(AND(F481&gt;=1,R481&gt;=Inputs!$B$10),INDEX(LINEST(OFFSET(D481,-R481,0,R481,1),OFFSET(E481,-R481,0,R481,2)),1,1),"")</f>
        <v>-4.5651517513238E-005</v>
      </c>
      <c r="T481" s="29" t="n">
        <f aca="true">IF(AND(F481&gt;=1,R481&gt;=Inputs!$B$10),INDEX(LINEST(OFFSET(D481,-R481,0,R481,1),OFFSET(E481,-R481,0,R481,2)),1,2),"")</f>
        <v>0.984597649528625</v>
      </c>
      <c r="U481" s="29" t="n">
        <f aca="true">IF(AND(F481&gt;=1,R481&gt;=Inputs!$B$10),INDEX(LINEST(OFFSET(D481,-R481,0,R481,1),OFFSET(E481,-R481,0,R481,2)),1,3),"")</f>
        <v>4.60006602776977</v>
      </c>
      <c r="V481" s="29" t="n">
        <f aca="true">IF(AND(F481&gt;=1,R481&gt;=Inputs!$B$10),SQRT(SUMPRODUCT((OFFSET(D481,-R481,0,R481,1)-U481-T481*OFFSET(E481,-R481,0,R481,1)-S481*OFFSET(F481,-R481,0,R481,1))^2)/(R481-3)),"")</f>
        <v>0.00333511548698687</v>
      </c>
      <c r="W481" s="31" t="n">
        <f aca="false">IF(AND(F481&gt;=1,R481&gt;=Inputs!$B$10),(D481-U481-T481*E481-S481*F481)/V481,"")</f>
        <v>1.41905595878601</v>
      </c>
      <c r="X481" s="30" t="n">
        <f aca="false">IF(AB480&lt;&gt;0,AC480+1,0)</f>
        <v>0</v>
      </c>
      <c r="Y481" s="30" t="n">
        <f aca="false">IF(W481="",0,IF(AND(AB480&lt;&gt;0,OR(ABS(W481)&gt;Inputs!$B$7,X481&gt;=Inputs!$B$8,ABS(W481)&lt;Inputs!$B$6)),1,0))</f>
        <v>0</v>
      </c>
      <c r="Z481" s="30" t="n">
        <f aca="false">IF(Y481=1,0,AB480)</f>
        <v>0</v>
      </c>
      <c r="AA481" s="30" t="n">
        <f aca="false">IF(W481="",0,IF(AND(Z481=0,ABS(W481)&gt;Inputs!$B$5,ABS(W481)&lt;=Inputs!$B$7),1,0))</f>
        <v>0</v>
      </c>
      <c r="AB481" s="30" t="n">
        <f aca="false">IF(W481="",0,IF(AA481=1,-SIGN(W481),Z481))</f>
        <v>0</v>
      </c>
      <c r="AC481" s="30" t="n">
        <f aca="false">IF(W481="",0,IF(AA481=1,0,IF(Y481=1,0,X481)))</f>
        <v>0</v>
      </c>
      <c r="AD481" s="30" t="n">
        <f aca="false">IF(AB481=0,0,IF(AB480=AB481,AD480,T481))</f>
        <v>0</v>
      </c>
      <c r="AE481" s="30" t="n">
        <f aca="false">AB481-AB480</f>
        <v>0</v>
      </c>
      <c r="AF481" s="30" t="n">
        <f aca="false">-AD481*AB481</f>
        <v>-0</v>
      </c>
      <c r="AG481" s="30" t="n">
        <f aca="false">AF481-AF480</f>
        <v>0</v>
      </c>
      <c r="AH481" s="30" t="n">
        <f aca="false">MAX(AE481,0)*(Inputs!$B$17+Inputs!$B$18+Inputs!$B$19)+MAX(-AE481,0)*(O481+Inputs!$B$18+Inputs!$B$19)+IF(AND(K481=1,AB481&lt;&gt;0),(Inputs!$B$17+Inputs!$B$18+Inputs!$B$19)+(O481+Inputs!$B$18+Inputs!$B$19),0)+MAX(AG481,0)*(Inputs!$B$20+Inputs!$B$22+Inputs!$B$23)+MAX(-AG481,0)*(Inputs!$B$21+Inputs!$B$22+Inputs!$B$23)</f>
        <v>0</v>
      </c>
      <c r="AI481" s="30" t="n">
        <f aca="false">AB480*(M481-AD480*J481)+AB480*AD480*N481/Inputs!$B$16-AH481</f>
        <v>0</v>
      </c>
      <c r="AJ481" s="30" t="n">
        <f aca="false">MAX(AE481,0)*(Inputs!$B$17+Inputs!$B$24+Inputs!$B$25)+MAX(-AE481,0)*(O481+Inputs!$B$24+Inputs!$B$25)+IF(AND(K481=1,AB481&lt;&gt;0),(Inputs!$B$17+Inputs!$B$24+Inputs!$B$25)+(O481+Inputs!$B$24+Inputs!$B$25),0)+MAX(AG481,0)*(Inputs!$B$20+Inputs!$B$26+Inputs!$B$27)+MAX(-AG481,0)*(Inputs!$B$21+Inputs!$B$26+Inputs!$B$27)</f>
        <v>0</v>
      </c>
      <c r="AK481" s="30" t="n">
        <f aca="false">AB480*(M481-AD480*J481)+AB480*AD480*(N481+Inputs!$B$14)/Inputs!$B$16-AJ481</f>
        <v>0</v>
      </c>
      <c r="AL481" s="30" t="n">
        <f aca="false">IF(AP480&lt;&gt;0,AQ480+1,0)</f>
        <v>0</v>
      </c>
      <c r="AM481" s="30" t="n">
        <f aca="false">IF(W481="",0,IF(AND(AP480&lt;&gt;0,OR(ABS(W481)&gt;Inputs!$B$7,AL481&gt;=Inputs!$B$8,ABS(W481)&lt;Inputs!$B$6)),1,0))</f>
        <v>0</v>
      </c>
      <c r="AN481" s="30" t="n">
        <f aca="false">IF(AM481=1,0,AP480)</f>
        <v>0</v>
      </c>
      <c r="AO481" s="30" t="n">
        <f aca="false">IF(W481="",0,IF(AND(AN481=0,ABS(W481)&gt;Inputs!$B$5,ABS(W481)&lt;=Inputs!$B$7,W481&gt;0),1,0))</f>
        <v>0</v>
      </c>
      <c r="AP481" s="30" t="n">
        <f aca="false">IF(W481="",0,IF(AO481=1,-SIGN(W481),AN481))</f>
        <v>0</v>
      </c>
      <c r="AQ481" s="30" t="n">
        <f aca="false">IF(W481="",0,IF(AO481=1,0,IF(AM481=1,0,AL481)))</f>
        <v>0</v>
      </c>
      <c r="AR481" s="30" t="n">
        <f aca="false">IF(AP481=0,0,IF(AP480=AP481,AR480,T481))</f>
        <v>0</v>
      </c>
      <c r="AS481" s="30" t="n">
        <f aca="false">AP481-AP480</f>
        <v>0</v>
      </c>
      <c r="AT481" s="30" t="n">
        <f aca="false">-AR481*AP481</f>
        <v>-0</v>
      </c>
      <c r="AU481" s="30" t="n">
        <f aca="false">AT481-AT480</f>
        <v>0</v>
      </c>
      <c r="AV481" s="30" t="n">
        <f aca="false">MAX(AS481,0)*(Inputs!$B$17+Inputs!$B$18+Inputs!$B$19)+MAX(-AS481,0)*(O481+Inputs!$B$18+Inputs!$B$19)+IF(AND(K481=1,AP481&lt;&gt;0),(Inputs!$B$17+Inputs!$B$18+Inputs!$B$19)+(O481+Inputs!$B$18+Inputs!$B$19),0)+MAX(AU481,0)*(Inputs!$B$20+Inputs!$B$22+Inputs!$B$23)+MAX(-AU481,0)*(Inputs!$B$21+Inputs!$B$22+Inputs!$B$23)</f>
        <v>0</v>
      </c>
      <c r="AW481" s="30" t="n">
        <f aca="false">AP480*(M481-AR480*J481)+AP480*AR480*N481/Inputs!$B$16-AV481</f>
        <v>0</v>
      </c>
      <c r="AX481" s="30" t="n">
        <f aca="false">AW481-IF(AP480&lt;&gt;0,0.75*AR480*(Inputs!$B$13-N481)/Inputs!$B$16,0)</f>
        <v>0</v>
      </c>
      <c r="AY481" s="30" t="n">
        <f aca="false">MAX(AS481,0)*(Inputs!$B$17+Inputs!$B$18+Inputs!$B$19)+MAX(-AS481,0)*(O481+Inputs!$B$18+Inputs!$B$19)+IF(AND(K481=1,AP481&lt;&gt;0),(Inputs!$B$17+Inputs!$B$18+Inputs!$B$19)+(O481+Inputs!$B$18+Inputs!$B$19),0)</f>
        <v>0</v>
      </c>
      <c r="AZ481" s="30" t="n">
        <f aca="false">AP480*M481-AY481</f>
        <v>-0</v>
      </c>
      <c r="BA481" s="32" t="n">
        <f aca="false">BA480+AI481</f>
        <v>0.00429130278454792</v>
      </c>
      <c r="BB481" s="30" t="n">
        <f aca="false">MAX(BB480,BA481)</f>
        <v>0.00429130278454792</v>
      </c>
      <c r="BC481" s="32" t="n">
        <f aca="false">BA481-BB481</f>
        <v>0</v>
      </c>
      <c r="BD481" s="30" t="n">
        <f aca="false">A482-A481</f>
        <v>1</v>
      </c>
    </row>
    <row r="482" customFormat="false" ht="15" hidden="false" customHeight="false" outlineLevel="0" collapsed="false">
      <c r="A482" s="28" t="n">
        <v>45749</v>
      </c>
      <c r="B482" s="0" t="n">
        <v>23435</v>
      </c>
      <c r="C482" s="0" t="n">
        <v>261.6</v>
      </c>
      <c r="D482" s="29" t="n">
        <f aca="false">LN(B482)</f>
        <v>10.0619859103568</v>
      </c>
      <c r="E482" s="29" t="n">
        <f aca="false">LN(C482)</f>
        <v>5.56681661958304</v>
      </c>
      <c r="F482" s="0" t="n">
        <v>477</v>
      </c>
      <c r="G482" s="0" t="n">
        <v>22</v>
      </c>
      <c r="H482" s="29" t="n">
        <f aca="false">D482-E482</f>
        <v>4.49516929077376</v>
      </c>
      <c r="I482" s="29" t="n">
        <f aca="false">D482-D481</f>
        <v>0.00513370111438505</v>
      </c>
      <c r="J482" s="29" t="n">
        <f aca="false">E482-E481</f>
        <v>0.00740502549232325</v>
      </c>
      <c r="K482" s="0" t="n">
        <v>0</v>
      </c>
      <c r="L482" s="0" t="n">
        <v>0</v>
      </c>
      <c r="M482" s="29" t="n">
        <f aca="false">IF(L482=1,J482-Carry!$B$9/Inputs!$B$16,I482)</f>
        <v>0.00513370111438505</v>
      </c>
      <c r="N482" s="0" t="n">
        <v>0.0625</v>
      </c>
      <c r="O482" s="0" t="n">
        <v>0.0002</v>
      </c>
      <c r="P482" s="29" t="n">
        <f aca="false">D482-('2 Hedge ratio'!$B$6+'2 Hedge ratio'!$B$5*E482)</f>
        <v>0.000256159989216798</v>
      </c>
      <c r="Q482" s="29" t="n">
        <f aca="false">D482-('5 Re-specification'!$B$7+'5 Re-specification'!$B$5*E482+'5 Re-specification'!$B$6*F482)</f>
        <v>0.00226979244163594</v>
      </c>
      <c r="R482" s="30" t="n">
        <f aca="false">MIN(F482,Inputs!$B$9)</f>
        <v>250</v>
      </c>
      <c r="S482" s="29" t="n">
        <f aca="true">IF(AND(F482&gt;=1,R482&gt;=Inputs!$B$10),INDEX(LINEST(OFFSET(D482,-R482,0,R482,1),OFFSET(E482,-R482,0,R482,2)),1,1),"")</f>
        <v>-4.50560561685371E-005</v>
      </c>
      <c r="T482" s="29" t="n">
        <f aca="true">IF(AND(F482&gt;=1,R482&gt;=Inputs!$B$10),INDEX(LINEST(OFFSET(D482,-R482,0,R482,1),OFFSET(E482,-R482,0,R482,2)),1,2),"")</f>
        <v>0.984450193013677</v>
      </c>
      <c r="U482" s="29" t="n">
        <f aca="true">IF(AND(F482&gt;=1,R482&gt;=Inputs!$B$10),INDEX(LINEST(OFFSET(D482,-R482,0,R482,1),OFFSET(E482,-R482,0,R482,2)),1,3),"")</f>
        <v>4.60069309042881</v>
      </c>
      <c r="V482" s="29" t="n">
        <f aca="true">IF(AND(F482&gt;=1,R482&gt;=Inputs!$B$10),SQRT(SUMPRODUCT((OFFSET(D482,-R482,0,R482,1)-U482-T482*OFFSET(E482,-R482,0,R482,1)-S482*OFFSET(F482,-R482,0,R482,1))^2)/(R482-3)),"")</f>
        <v>0.00334731464459593</v>
      </c>
      <c r="W482" s="31" t="n">
        <f aca="false">IF(AND(F482&gt;=1,R482&gt;=Inputs!$B$10),(D482-U482-T482*E482-S482*F482)/V482,"")</f>
        <v>0.756087601207942</v>
      </c>
      <c r="X482" s="30" t="n">
        <f aca="false">IF(AB481&lt;&gt;0,AC481+1,0)</f>
        <v>0</v>
      </c>
      <c r="Y482" s="30" t="n">
        <f aca="false">IF(W482="",0,IF(AND(AB481&lt;&gt;0,OR(ABS(W482)&gt;Inputs!$B$7,X482&gt;=Inputs!$B$8,ABS(W482)&lt;Inputs!$B$6)),1,0))</f>
        <v>0</v>
      </c>
      <c r="Z482" s="30" t="n">
        <f aca="false">IF(Y482=1,0,AB481)</f>
        <v>0</v>
      </c>
      <c r="AA482" s="30" t="n">
        <f aca="false">IF(W482="",0,IF(AND(Z482=0,ABS(W482)&gt;Inputs!$B$5,ABS(W482)&lt;=Inputs!$B$7),1,0))</f>
        <v>0</v>
      </c>
      <c r="AB482" s="30" t="n">
        <f aca="false">IF(W482="",0,IF(AA482=1,-SIGN(W482),Z482))</f>
        <v>0</v>
      </c>
      <c r="AC482" s="30" t="n">
        <f aca="false">IF(W482="",0,IF(AA482=1,0,IF(Y482=1,0,X482)))</f>
        <v>0</v>
      </c>
      <c r="AD482" s="30" t="n">
        <f aca="false">IF(AB482=0,0,IF(AB481=AB482,AD481,T482))</f>
        <v>0</v>
      </c>
      <c r="AE482" s="30" t="n">
        <f aca="false">AB482-AB481</f>
        <v>0</v>
      </c>
      <c r="AF482" s="30" t="n">
        <f aca="false">-AD482*AB482</f>
        <v>-0</v>
      </c>
      <c r="AG482" s="30" t="n">
        <f aca="false">AF482-AF481</f>
        <v>0</v>
      </c>
      <c r="AH482" s="30" t="n">
        <f aca="false">MAX(AE482,0)*(Inputs!$B$17+Inputs!$B$18+Inputs!$B$19)+MAX(-AE482,0)*(O482+Inputs!$B$18+Inputs!$B$19)+IF(AND(K482=1,AB482&lt;&gt;0),(Inputs!$B$17+Inputs!$B$18+Inputs!$B$19)+(O482+Inputs!$B$18+Inputs!$B$19),0)+MAX(AG482,0)*(Inputs!$B$20+Inputs!$B$22+Inputs!$B$23)+MAX(-AG482,0)*(Inputs!$B$21+Inputs!$B$22+Inputs!$B$23)</f>
        <v>0</v>
      </c>
      <c r="AI482" s="30" t="n">
        <f aca="false">AB481*(M482-AD481*J482)+AB481*AD481*N482/Inputs!$B$16-AH482</f>
        <v>0</v>
      </c>
      <c r="AJ482" s="30" t="n">
        <f aca="false">MAX(AE482,0)*(Inputs!$B$17+Inputs!$B$24+Inputs!$B$25)+MAX(-AE482,0)*(O482+Inputs!$B$24+Inputs!$B$25)+IF(AND(K482=1,AB482&lt;&gt;0),(Inputs!$B$17+Inputs!$B$24+Inputs!$B$25)+(O482+Inputs!$B$24+Inputs!$B$25),0)+MAX(AG482,0)*(Inputs!$B$20+Inputs!$B$26+Inputs!$B$27)+MAX(-AG482,0)*(Inputs!$B$21+Inputs!$B$26+Inputs!$B$27)</f>
        <v>0</v>
      </c>
      <c r="AK482" s="30" t="n">
        <f aca="false">AB481*(M482-AD481*J482)+AB481*AD481*(N482+Inputs!$B$14)/Inputs!$B$16-AJ482</f>
        <v>0</v>
      </c>
      <c r="AL482" s="30" t="n">
        <f aca="false">IF(AP481&lt;&gt;0,AQ481+1,0)</f>
        <v>0</v>
      </c>
      <c r="AM482" s="30" t="n">
        <f aca="false">IF(W482="",0,IF(AND(AP481&lt;&gt;0,OR(ABS(W482)&gt;Inputs!$B$7,AL482&gt;=Inputs!$B$8,ABS(W482)&lt;Inputs!$B$6)),1,0))</f>
        <v>0</v>
      </c>
      <c r="AN482" s="30" t="n">
        <f aca="false">IF(AM482=1,0,AP481)</f>
        <v>0</v>
      </c>
      <c r="AO482" s="30" t="n">
        <f aca="false">IF(W482="",0,IF(AND(AN482=0,ABS(W482)&gt;Inputs!$B$5,ABS(W482)&lt;=Inputs!$B$7,W482&gt;0),1,0))</f>
        <v>0</v>
      </c>
      <c r="AP482" s="30" t="n">
        <f aca="false">IF(W482="",0,IF(AO482=1,-SIGN(W482),AN482))</f>
        <v>0</v>
      </c>
      <c r="AQ482" s="30" t="n">
        <f aca="false">IF(W482="",0,IF(AO482=1,0,IF(AM482=1,0,AL482)))</f>
        <v>0</v>
      </c>
      <c r="AR482" s="30" t="n">
        <f aca="false">IF(AP482=0,0,IF(AP481=AP482,AR481,T482))</f>
        <v>0</v>
      </c>
      <c r="AS482" s="30" t="n">
        <f aca="false">AP482-AP481</f>
        <v>0</v>
      </c>
      <c r="AT482" s="30" t="n">
        <f aca="false">-AR482*AP482</f>
        <v>-0</v>
      </c>
      <c r="AU482" s="30" t="n">
        <f aca="false">AT482-AT481</f>
        <v>0</v>
      </c>
      <c r="AV482" s="30" t="n">
        <f aca="false">MAX(AS482,0)*(Inputs!$B$17+Inputs!$B$18+Inputs!$B$19)+MAX(-AS482,0)*(O482+Inputs!$B$18+Inputs!$B$19)+IF(AND(K482=1,AP482&lt;&gt;0),(Inputs!$B$17+Inputs!$B$18+Inputs!$B$19)+(O482+Inputs!$B$18+Inputs!$B$19),0)+MAX(AU482,0)*(Inputs!$B$20+Inputs!$B$22+Inputs!$B$23)+MAX(-AU482,0)*(Inputs!$B$21+Inputs!$B$22+Inputs!$B$23)</f>
        <v>0</v>
      </c>
      <c r="AW482" s="30" t="n">
        <f aca="false">AP481*(M482-AR481*J482)+AP481*AR481*N482/Inputs!$B$16-AV482</f>
        <v>0</v>
      </c>
      <c r="AX482" s="30" t="n">
        <f aca="false">AW482-IF(AP481&lt;&gt;0,0.75*AR481*(Inputs!$B$13-N482)/Inputs!$B$16,0)</f>
        <v>0</v>
      </c>
      <c r="AY482" s="30" t="n">
        <f aca="false">MAX(AS482,0)*(Inputs!$B$17+Inputs!$B$18+Inputs!$B$19)+MAX(-AS482,0)*(O482+Inputs!$B$18+Inputs!$B$19)+IF(AND(K482=1,AP482&lt;&gt;0),(Inputs!$B$17+Inputs!$B$18+Inputs!$B$19)+(O482+Inputs!$B$18+Inputs!$B$19),0)</f>
        <v>0</v>
      </c>
      <c r="AZ482" s="30" t="n">
        <f aca="false">AP481*M482-AY482</f>
        <v>0</v>
      </c>
      <c r="BA482" s="32" t="n">
        <f aca="false">BA481+AI482</f>
        <v>0.00429130278454792</v>
      </c>
      <c r="BB482" s="30" t="n">
        <f aca="false">MAX(BB481,BA482)</f>
        <v>0.00429130278454792</v>
      </c>
      <c r="BC482" s="32" t="n">
        <f aca="false">BA482-BB482</f>
        <v>0</v>
      </c>
      <c r="BD482" s="30" t="n">
        <f aca="false">A483-A482</f>
        <v>1</v>
      </c>
    </row>
    <row r="483" customFormat="false" ht="15" hidden="false" customHeight="false" outlineLevel="0" collapsed="false">
      <c r="A483" s="28" t="n">
        <v>45750</v>
      </c>
      <c r="B483" s="0" t="n">
        <v>23328.1</v>
      </c>
      <c r="C483" s="0" t="n">
        <v>261.02</v>
      </c>
      <c r="D483" s="29" t="n">
        <f aca="false">LN(B483)</f>
        <v>10.0574139214933</v>
      </c>
      <c r="E483" s="29" t="n">
        <f aca="false">LN(C483)</f>
        <v>5.56459703273938</v>
      </c>
      <c r="F483" s="0" t="n">
        <v>478</v>
      </c>
      <c r="G483" s="0" t="n">
        <v>21</v>
      </c>
      <c r="H483" s="29" t="n">
        <f aca="false">D483-E483</f>
        <v>4.49281688875392</v>
      </c>
      <c r="I483" s="29" t="n">
        <f aca="false">D483-D482</f>
        <v>-0.00457198886350874</v>
      </c>
      <c r="J483" s="29" t="n">
        <f aca="false">E483-E482</f>
        <v>-0.00221958684366186</v>
      </c>
      <c r="K483" s="0" t="n">
        <v>0</v>
      </c>
      <c r="L483" s="0" t="n">
        <v>0</v>
      </c>
      <c r="M483" s="29" t="n">
        <f aca="false">IF(L483=1,J483-Carry!$B$9/Inputs!$B$16,I483)</f>
        <v>-0.00457198886350874</v>
      </c>
      <c r="N483" s="0" t="n">
        <v>0.0625</v>
      </c>
      <c r="O483" s="0" t="n">
        <v>0.0002</v>
      </c>
      <c r="P483" s="29" t="n">
        <f aca="false">D483-('2 Hedge ratio'!$B$6+'2 Hedge ratio'!$B$5*E483)</f>
        <v>-0.00228240597233942</v>
      </c>
      <c r="Q483" s="29" t="n">
        <f aca="false">D483-('5 Re-specification'!$B$7+'5 Re-specification'!$B$5*E483+'5 Re-specification'!$B$6*F483)</f>
        <v>-4.44067180911389E-005</v>
      </c>
      <c r="R483" s="30" t="n">
        <f aca="false">MIN(F483,Inputs!$B$9)</f>
        <v>250</v>
      </c>
      <c r="S483" s="29" t="n">
        <f aca="true">IF(AND(F483&gt;=1,R483&gt;=Inputs!$B$10),INDEX(LINEST(OFFSET(D483,-R483,0,R483,1),OFFSET(E483,-R483,0,R483,2)),1,1),"")</f>
        <v>-4.48828032263175E-005</v>
      </c>
      <c r="T483" s="29" t="n">
        <f aca="true">IF(AND(F483&gt;=1,R483&gt;=Inputs!$B$10),INDEX(LINEST(OFFSET(D483,-R483,0,R483,1),OFFSET(E483,-R483,0,R483,2)),1,2),"")</f>
        <v>0.984189086031162</v>
      </c>
      <c r="U483" s="29" t="n">
        <f aca="true">IF(AND(F483&gt;=1,R483&gt;=Inputs!$B$10),INDEX(LINEST(OFFSET(D483,-R483,0,R483,1),OFFSET(E483,-R483,0,R483,2)),1,3),"")</f>
        <v>4.60210293819641</v>
      </c>
      <c r="V483" s="29" t="n">
        <f aca="true">IF(AND(F483&gt;=1,R483&gt;=Inputs!$B$10),SQRT(SUMPRODUCT((OFFSET(D483,-R483,0,R483,1)-U483-T483*OFFSET(E483,-R483,0,R483,1)-S483*OFFSET(F483,-R483,0,R483,1))^2)/(R483-3)),"")</f>
        <v>0.00335055997457608</v>
      </c>
      <c r="W483" s="31" t="n">
        <f aca="false">IF(AND(F483&gt;=1,R483&gt;=Inputs!$B$10),(D483-U483-T483*E483-S483*F483)/V483,"")</f>
        <v>0.04455835941298</v>
      </c>
      <c r="X483" s="30" t="n">
        <f aca="false">IF(AB482&lt;&gt;0,AC482+1,0)</f>
        <v>0</v>
      </c>
      <c r="Y483" s="30" t="n">
        <f aca="false">IF(W483="",0,IF(AND(AB482&lt;&gt;0,OR(ABS(W483)&gt;Inputs!$B$7,X483&gt;=Inputs!$B$8,ABS(W483)&lt;Inputs!$B$6)),1,0))</f>
        <v>0</v>
      </c>
      <c r="Z483" s="30" t="n">
        <f aca="false">IF(Y483=1,0,AB482)</f>
        <v>0</v>
      </c>
      <c r="AA483" s="30" t="n">
        <f aca="false">IF(W483="",0,IF(AND(Z483=0,ABS(W483)&gt;Inputs!$B$5,ABS(W483)&lt;=Inputs!$B$7),1,0))</f>
        <v>0</v>
      </c>
      <c r="AB483" s="30" t="n">
        <f aca="false">IF(W483="",0,IF(AA483=1,-SIGN(W483),Z483))</f>
        <v>0</v>
      </c>
      <c r="AC483" s="30" t="n">
        <f aca="false">IF(W483="",0,IF(AA483=1,0,IF(Y483=1,0,X483)))</f>
        <v>0</v>
      </c>
      <c r="AD483" s="30" t="n">
        <f aca="false">IF(AB483=0,0,IF(AB482=AB483,AD482,T483))</f>
        <v>0</v>
      </c>
      <c r="AE483" s="30" t="n">
        <f aca="false">AB483-AB482</f>
        <v>0</v>
      </c>
      <c r="AF483" s="30" t="n">
        <f aca="false">-AD483*AB483</f>
        <v>-0</v>
      </c>
      <c r="AG483" s="30" t="n">
        <f aca="false">AF483-AF482</f>
        <v>0</v>
      </c>
      <c r="AH483" s="30" t="n">
        <f aca="false">MAX(AE483,0)*(Inputs!$B$17+Inputs!$B$18+Inputs!$B$19)+MAX(-AE483,0)*(O483+Inputs!$B$18+Inputs!$B$19)+IF(AND(K483=1,AB483&lt;&gt;0),(Inputs!$B$17+Inputs!$B$18+Inputs!$B$19)+(O483+Inputs!$B$18+Inputs!$B$19),0)+MAX(AG483,0)*(Inputs!$B$20+Inputs!$B$22+Inputs!$B$23)+MAX(-AG483,0)*(Inputs!$B$21+Inputs!$B$22+Inputs!$B$23)</f>
        <v>0</v>
      </c>
      <c r="AI483" s="30" t="n">
        <f aca="false">AB482*(M483-AD482*J483)+AB482*AD482*N483/Inputs!$B$16-AH483</f>
        <v>0</v>
      </c>
      <c r="AJ483" s="30" t="n">
        <f aca="false">MAX(AE483,0)*(Inputs!$B$17+Inputs!$B$24+Inputs!$B$25)+MAX(-AE483,0)*(O483+Inputs!$B$24+Inputs!$B$25)+IF(AND(K483=1,AB483&lt;&gt;0),(Inputs!$B$17+Inputs!$B$24+Inputs!$B$25)+(O483+Inputs!$B$24+Inputs!$B$25),0)+MAX(AG483,0)*(Inputs!$B$20+Inputs!$B$26+Inputs!$B$27)+MAX(-AG483,0)*(Inputs!$B$21+Inputs!$B$26+Inputs!$B$27)</f>
        <v>0</v>
      </c>
      <c r="AK483" s="30" t="n">
        <f aca="false">AB482*(M483-AD482*J483)+AB482*AD482*(N483+Inputs!$B$14)/Inputs!$B$16-AJ483</f>
        <v>0</v>
      </c>
      <c r="AL483" s="30" t="n">
        <f aca="false">IF(AP482&lt;&gt;0,AQ482+1,0)</f>
        <v>0</v>
      </c>
      <c r="AM483" s="30" t="n">
        <f aca="false">IF(W483="",0,IF(AND(AP482&lt;&gt;0,OR(ABS(W483)&gt;Inputs!$B$7,AL483&gt;=Inputs!$B$8,ABS(W483)&lt;Inputs!$B$6)),1,0))</f>
        <v>0</v>
      </c>
      <c r="AN483" s="30" t="n">
        <f aca="false">IF(AM483=1,0,AP482)</f>
        <v>0</v>
      </c>
      <c r="AO483" s="30" t="n">
        <f aca="false">IF(W483="",0,IF(AND(AN483=0,ABS(W483)&gt;Inputs!$B$5,ABS(W483)&lt;=Inputs!$B$7,W483&gt;0),1,0))</f>
        <v>0</v>
      </c>
      <c r="AP483" s="30" t="n">
        <f aca="false">IF(W483="",0,IF(AO483=1,-SIGN(W483),AN483))</f>
        <v>0</v>
      </c>
      <c r="AQ483" s="30" t="n">
        <f aca="false">IF(W483="",0,IF(AO483=1,0,IF(AM483=1,0,AL483)))</f>
        <v>0</v>
      </c>
      <c r="AR483" s="30" t="n">
        <f aca="false">IF(AP483=0,0,IF(AP482=AP483,AR482,T483))</f>
        <v>0</v>
      </c>
      <c r="AS483" s="30" t="n">
        <f aca="false">AP483-AP482</f>
        <v>0</v>
      </c>
      <c r="AT483" s="30" t="n">
        <f aca="false">-AR483*AP483</f>
        <v>-0</v>
      </c>
      <c r="AU483" s="30" t="n">
        <f aca="false">AT483-AT482</f>
        <v>0</v>
      </c>
      <c r="AV483" s="30" t="n">
        <f aca="false">MAX(AS483,0)*(Inputs!$B$17+Inputs!$B$18+Inputs!$B$19)+MAX(-AS483,0)*(O483+Inputs!$B$18+Inputs!$B$19)+IF(AND(K483=1,AP483&lt;&gt;0),(Inputs!$B$17+Inputs!$B$18+Inputs!$B$19)+(O483+Inputs!$B$18+Inputs!$B$19),0)+MAX(AU483,0)*(Inputs!$B$20+Inputs!$B$22+Inputs!$B$23)+MAX(-AU483,0)*(Inputs!$B$21+Inputs!$B$22+Inputs!$B$23)</f>
        <v>0</v>
      </c>
      <c r="AW483" s="30" t="n">
        <f aca="false">AP482*(M483-AR482*J483)+AP482*AR482*N483/Inputs!$B$16-AV483</f>
        <v>0</v>
      </c>
      <c r="AX483" s="30" t="n">
        <f aca="false">AW483-IF(AP482&lt;&gt;0,0.75*AR482*(Inputs!$B$13-N483)/Inputs!$B$16,0)</f>
        <v>0</v>
      </c>
      <c r="AY483" s="30" t="n">
        <f aca="false">MAX(AS483,0)*(Inputs!$B$17+Inputs!$B$18+Inputs!$B$19)+MAX(-AS483,0)*(O483+Inputs!$B$18+Inputs!$B$19)+IF(AND(K483=1,AP483&lt;&gt;0),(Inputs!$B$17+Inputs!$B$18+Inputs!$B$19)+(O483+Inputs!$B$18+Inputs!$B$19),0)</f>
        <v>0</v>
      </c>
      <c r="AZ483" s="30" t="n">
        <f aca="false">AP482*M483-AY483</f>
        <v>-0</v>
      </c>
      <c r="BA483" s="32" t="n">
        <f aca="false">BA482+AI483</f>
        <v>0.00429130278454792</v>
      </c>
      <c r="BB483" s="30" t="n">
        <f aca="false">MAX(BB482,BA483)</f>
        <v>0.00429130278454792</v>
      </c>
      <c r="BC483" s="32" t="n">
        <f aca="false">BA483-BB483</f>
        <v>0</v>
      </c>
      <c r="BD483" s="30" t="n">
        <f aca="false">A484-A483</f>
        <v>1</v>
      </c>
    </row>
    <row r="484" customFormat="false" ht="15" hidden="false" customHeight="false" outlineLevel="0" collapsed="false">
      <c r="A484" s="28" t="n">
        <v>45751</v>
      </c>
      <c r="B484" s="0" t="n">
        <v>22971.6</v>
      </c>
      <c r="C484" s="0" t="n">
        <v>258</v>
      </c>
      <c r="D484" s="29" t="n">
        <f aca="false">LN(B484)</f>
        <v>10.0420139493304</v>
      </c>
      <c r="E484" s="29" t="n">
        <f aca="false">LN(C484)</f>
        <v>5.55295958492162</v>
      </c>
      <c r="F484" s="0" t="n">
        <v>479</v>
      </c>
      <c r="G484" s="0" t="n">
        <v>20</v>
      </c>
      <c r="H484" s="29" t="n">
        <f aca="false">D484-E484</f>
        <v>4.48905436440879</v>
      </c>
      <c r="I484" s="29" t="n">
        <f aca="false">D484-D483</f>
        <v>-0.0153999721628875</v>
      </c>
      <c r="J484" s="29" t="n">
        <f aca="false">E484-E483</f>
        <v>-0.0116374478177645</v>
      </c>
      <c r="K484" s="0" t="n">
        <v>0</v>
      </c>
      <c r="L484" s="0" t="n">
        <v>0</v>
      </c>
      <c r="M484" s="29" t="n">
        <f aca="false">IF(L484=1,J484-Carry!$B$9/Inputs!$B$16,I484)</f>
        <v>-0.0153999721628875</v>
      </c>
      <c r="N484" s="0" t="n">
        <v>0.0625</v>
      </c>
      <c r="O484" s="0" t="n">
        <v>0.0002</v>
      </c>
      <c r="P484" s="29" t="n">
        <f aca="false">D484-('2 Hedge ratio'!$B$6+'2 Hedge ratio'!$B$5*E484)</f>
        <v>-0.00702100078003554</v>
      </c>
      <c r="Q484" s="29" t="n">
        <f aca="false">D484-('5 Re-specification'!$B$7+'5 Re-specification'!$B$5*E484+'5 Re-specification'!$B$6*F484)</f>
        <v>-0.00379726903097577</v>
      </c>
      <c r="R484" s="30" t="n">
        <f aca="false">MIN(F484,Inputs!$B$9)</f>
        <v>250</v>
      </c>
      <c r="S484" s="29" t="n">
        <f aca="true">IF(AND(F484&gt;=1,R484&gt;=Inputs!$B$10),INDEX(LINEST(OFFSET(D484,-R484,0,R484,1),OFFSET(E484,-R484,0,R484,2)),1,1),"")</f>
        <v>-4.43434357790289E-005</v>
      </c>
      <c r="T484" s="29" t="n">
        <f aca="true">IF(AND(F484&gt;=1,R484&gt;=Inputs!$B$10),INDEX(LINEST(OFFSET(D484,-R484,0,R484,1),OFFSET(E484,-R484,0,R484,2)),1,2),"")</f>
        <v>0.984908263157723</v>
      </c>
      <c r="U484" s="29" t="n">
        <f aca="true">IF(AND(F484&gt;=1,R484&gt;=Inputs!$B$10),INDEX(LINEST(OFFSET(D484,-R484,0,R484,1),OFFSET(E484,-R484,0,R484,2)),1,3),"")</f>
        <v>4.59787549551855</v>
      </c>
      <c r="V484" s="29" t="n">
        <f aca="true">IF(AND(F484&gt;=1,R484&gt;=Inputs!$B$10),SQRT(SUMPRODUCT((OFFSET(D484,-R484,0,R484,1)-U484-T484*OFFSET(E484,-R484,0,R484,1)-S484*OFFSET(F484,-R484,0,R484,1))^2)/(R484-3)),"")</f>
        <v>0.00332766033099691</v>
      </c>
      <c r="W484" s="31" t="n">
        <f aca="false">IF(AND(F484&gt;=1,R484&gt;=Inputs!$B$10),(D484-U484-T484*E484-S484*F484)/V484,"")</f>
        <v>-1.13497780557265</v>
      </c>
      <c r="X484" s="30" t="n">
        <f aca="false">IF(AB483&lt;&gt;0,AC483+1,0)</f>
        <v>0</v>
      </c>
      <c r="Y484" s="30" t="n">
        <f aca="false">IF(W484="",0,IF(AND(AB483&lt;&gt;0,OR(ABS(W484)&gt;Inputs!$B$7,X484&gt;=Inputs!$B$8,ABS(W484)&lt;Inputs!$B$6)),1,0))</f>
        <v>0</v>
      </c>
      <c r="Z484" s="30" t="n">
        <f aca="false">IF(Y484=1,0,AB483)</f>
        <v>0</v>
      </c>
      <c r="AA484" s="30" t="n">
        <f aca="false">IF(W484="",0,IF(AND(Z484=0,ABS(W484)&gt;Inputs!$B$5,ABS(W484)&lt;=Inputs!$B$7),1,0))</f>
        <v>0</v>
      </c>
      <c r="AB484" s="30" t="n">
        <f aca="false">IF(W484="",0,IF(AA484=1,-SIGN(W484),Z484))</f>
        <v>0</v>
      </c>
      <c r="AC484" s="30" t="n">
        <f aca="false">IF(W484="",0,IF(AA484=1,0,IF(Y484=1,0,X484)))</f>
        <v>0</v>
      </c>
      <c r="AD484" s="30" t="n">
        <f aca="false">IF(AB484=0,0,IF(AB483=AB484,AD483,T484))</f>
        <v>0</v>
      </c>
      <c r="AE484" s="30" t="n">
        <f aca="false">AB484-AB483</f>
        <v>0</v>
      </c>
      <c r="AF484" s="30" t="n">
        <f aca="false">-AD484*AB484</f>
        <v>-0</v>
      </c>
      <c r="AG484" s="30" t="n">
        <f aca="false">AF484-AF483</f>
        <v>0</v>
      </c>
      <c r="AH484" s="30" t="n">
        <f aca="false">MAX(AE484,0)*(Inputs!$B$17+Inputs!$B$18+Inputs!$B$19)+MAX(-AE484,0)*(O484+Inputs!$B$18+Inputs!$B$19)+IF(AND(K484=1,AB484&lt;&gt;0),(Inputs!$B$17+Inputs!$B$18+Inputs!$B$19)+(O484+Inputs!$B$18+Inputs!$B$19),0)+MAX(AG484,0)*(Inputs!$B$20+Inputs!$B$22+Inputs!$B$23)+MAX(-AG484,0)*(Inputs!$B$21+Inputs!$B$22+Inputs!$B$23)</f>
        <v>0</v>
      </c>
      <c r="AI484" s="30" t="n">
        <f aca="false">AB483*(M484-AD483*J484)+AB483*AD483*N484/Inputs!$B$16-AH484</f>
        <v>0</v>
      </c>
      <c r="AJ484" s="30" t="n">
        <f aca="false">MAX(AE484,0)*(Inputs!$B$17+Inputs!$B$24+Inputs!$B$25)+MAX(-AE484,0)*(O484+Inputs!$B$24+Inputs!$B$25)+IF(AND(K484=1,AB484&lt;&gt;0),(Inputs!$B$17+Inputs!$B$24+Inputs!$B$25)+(O484+Inputs!$B$24+Inputs!$B$25),0)+MAX(AG484,0)*(Inputs!$B$20+Inputs!$B$26+Inputs!$B$27)+MAX(-AG484,0)*(Inputs!$B$21+Inputs!$B$26+Inputs!$B$27)</f>
        <v>0</v>
      </c>
      <c r="AK484" s="30" t="n">
        <f aca="false">AB483*(M484-AD483*J484)+AB483*AD483*(N484+Inputs!$B$14)/Inputs!$B$16-AJ484</f>
        <v>0</v>
      </c>
      <c r="AL484" s="30" t="n">
        <f aca="false">IF(AP483&lt;&gt;0,AQ483+1,0)</f>
        <v>0</v>
      </c>
      <c r="AM484" s="30" t="n">
        <f aca="false">IF(W484="",0,IF(AND(AP483&lt;&gt;0,OR(ABS(W484)&gt;Inputs!$B$7,AL484&gt;=Inputs!$B$8,ABS(W484)&lt;Inputs!$B$6)),1,0))</f>
        <v>0</v>
      </c>
      <c r="AN484" s="30" t="n">
        <f aca="false">IF(AM484=1,0,AP483)</f>
        <v>0</v>
      </c>
      <c r="AO484" s="30" t="n">
        <f aca="false">IF(W484="",0,IF(AND(AN484=0,ABS(W484)&gt;Inputs!$B$5,ABS(W484)&lt;=Inputs!$B$7,W484&gt;0),1,0))</f>
        <v>0</v>
      </c>
      <c r="AP484" s="30" t="n">
        <f aca="false">IF(W484="",0,IF(AO484=1,-SIGN(W484),AN484))</f>
        <v>0</v>
      </c>
      <c r="AQ484" s="30" t="n">
        <f aca="false">IF(W484="",0,IF(AO484=1,0,IF(AM484=1,0,AL484)))</f>
        <v>0</v>
      </c>
      <c r="AR484" s="30" t="n">
        <f aca="false">IF(AP484=0,0,IF(AP483=AP484,AR483,T484))</f>
        <v>0</v>
      </c>
      <c r="AS484" s="30" t="n">
        <f aca="false">AP484-AP483</f>
        <v>0</v>
      </c>
      <c r="AT484" s="30" t="n">
        <f aca="false">-AR484*AP484</f>
        <v>-0</v>
      </c>
      <c r="AU484" s="30" t="n">
        <f aca="false">AT484-AT483</f>
        <v>0</v>
      </c>
      <c r="AV484" s="30" t="n">
        <f aca="false">MAX(AS484,0)*(Inputs!$B$17+Inputs!$B$18+Inputs!$B$19)+MAX(-AS484,0)*(O484+Inputs!$B$18+Inputs!$B$19)+IF(AND(K484=1,AP484&lt;&gt;0),(Inputs!$B$17+Inputs!$B$18+Inputs!$B$19)+(O484+Inputs!$B$18+Inputs!$B$19),0)+MAX(AU484,0)*(Inputs!$B$20+Inputs!$B$22+Inputs!$B$23)+MAX(-AU484,0)*(Inputs!$B$21+Inputs!$B$22+Inputs!$B$23)</f>
        <v>0</v>
      </c>
      <c r="AW484" s="30" t="n">
        <f aca="false">AP483*(M484-AR483*J484)+AP483*AR483*N484/Inputs!$B$16-AV484</f>
        <v>0</v>
      </c>
      <c r="AX484" s="30" t="n">
        <f aca="false">AW484-IF(AP483&lt;&gt;0,0.75*AR483*(Inputs!$B$13-N484)/Inputs!$B$16,0)</f>
        <v>0</v>
      </c>
      <c r="AY484" s="30" t="n">
        <f aca="false">MAX(AS484,0)*(Inputs!$B$17+Inputs!$B$18+Inputs!$B$19)+MAX(-AS484,0)*(O484+Inputs!$B$18+Inputs!$B$19)+IF(AND(K484=1,AP484&lt;&gt;0),(Inputs!$B$17+Inputs!$B$18+Inputs!$B$19)+(O484+Inputs!$B$18+Inputs!$B$19),0)</f>
        <v>0</v>
      </c>
      <c r="AZ484" s="30" t="n">
        <f aca="false">AP483*M484-AY484</f>
        <v>-0</v>
      </c>
      <c r="BA484" s="32" t="n">
        <f aca="false">BA483+AI484</f>
        <v>0.00429130278454792</v>
      </c>
      <c r="BB484" s="30" t="n">
        <f aca="false">MAX(BB483,BA484)</f>
        <v>0.00429130278454792</v>
      </c>
      <c r="BC484" s="32" t="n">
        <f aca="false">BA484-BB484</f>
        <v>0</v>
      </c>
      <c r="BD484" s="30" t="n">
        <f aca="false">A485-A484</f>
        <v>3</v>
      </c>
    </row>
    <row r="485" customFormat="false" ht="15" hidden="false" customHeight="false" outlineLevel="0" collapsed="false">
      <c r="A485" s="28" t="n">
        <v>45754</v>
      </c>
      <c r="B485" s="0" t="n">
        <v>22320</v>
      </c>
      <c r="C485" s="0" t="n">
        <v>249.8</v>
      </c>
      <c r="D485" s="29" t="n">
        <f aca="false">LN(B485)</f>
        <v>10.0132384164952</v>
      </c>
      <c r="E485" s="29" t="n">
        <f aca="false">LN(C485)</f>
        <v>5.52066059769148</v>
      </c>
      <c r="F485" s="0" t="n">
        <v>480</v>
      </c>
      <c r="G485" s="0" t="n">
        <v>17</v>
      </c>
      <c r="H485" s="29" t="n">
        <f aca="false">D485-E485</f>
        <v>4.49257781880377</v>
      </c>
      <c r="I485" s="29" t="n">
        <f aca="false">D485-D484</f>
        <v>-0.028775532835164</v>
      </c>
      <c r="J485" s="29" t="n">
        <f aca="false">E485-E484</f>
        <v>-0.0322989872301402</v>
      </c>
      <c r="K485" s="0" t="n">
        <v>0</v>
      </c>
      <c r="L485" s="0" t="n">
        <v>0</v>
      </c>
      <c r="M485" s="29" t="n">
        <f aca="false">IF(L485=1,J485-Carry!$B$9/Inputs!$B$16,I485)</f>
        <v>-0.028775532835164</v>
      </c>
      <c r="N485" s="0" t="n">
        <v>0.0625</v>
      </c>
      <c r="O485" s="0" t="n">
        <v>0.0002</v>
      </c>
      <c r="P485" s="29" t="n">
        <f aca="false">D485-('2 Hedge ratio'!$B$6+'2 Hedge ratio'!$B$5*E485)</f>
        <v>-0.00620656711710055</v>
      </c>
      <c r="Q485" s="29" t="n">
        <f aca="false">D485-('5 Re-specification'!$B$7+'5 Re-specification'!$B$5*E485+'5 Re-specification'!$B$6*F485)</f>
        <v>-0.000326767399387862</v>
      </c>
      <c r="R485" s="30" t="n">
        <f aca="false">MIN(F485,Inputs!$B$9)</f>
        <v>250</v>
      </c>
      <c r="S485" s="29" t="n">
        <f aca="true">IF(AND(F485&gt;=1,R485&gt;=Inputs!$B$10),INDEX(LINEST(OFFSET(D485,-R485,0,R485,1),OFFSET(E485,-R485,0,R485,2)),1,1),"")</f>
        <v>-4.44534326772427E-005</v>
      </c>
      <c r="T485" s="29" t="n">
        <f aca="true">IF(AND(F485&gt;=1,R485&gt;=Inputs!$B$10),INDEX(LINEST(OFFSET(D485,-R485,0,R485,1),OFFSET(E485,-R485,0,R485,2)),1,2),"")</f>
        <v>0.985591166319632</v>
      </c>
      <c r="U485" s="29" t="n">
        <f aca="true">IF(AND(F485&gt;=1,R485&gt;=Inputs!$B$10),INDEX(LINEST(OFFSET(D485,-R485,0,R485,1),OFFSET(E485,-R485,0,R485,2)),1,3),"")</f>
        <v>4.59407606401496</v>
      </c>
      <c r="V485" s="29" t="n">
        <f aca="true">IF(AND(F485&gt;=1,R485&gt;=Inputs!$B$10),SQRT(SUMPRODUCT((OFFSET(D485,-R485,0,R485,1)-U485-T485*OFFSET(E485,-R485,0,R485,1)-S485*OFFSET(F485,-R485,0,R485,1))^2)/(R485-3)),"")</f>
        <v>0.00333007955678103</v>
      </c>
      <c r="W485" s="31" t="n">
        <f aca="false">IF(AND(F485&gt;=1,R485&gt;=Inputs!$B$10),(D485-U485-T485*E485-S485*F485)/V485,"")</f>
        <v>-0.184475222810714</v>
      </c>
      <c r="X485" s="30" t="n">
        <f aca="false">IF(AB484&lt;&gt;0,AC484+1,0)</f>
        <v>0</v>
      </c>
      <c r="Y485" s="30" t="n">
        <f aca="false">IF(W485="",0,IF(AND(AB484&lt;&gt;0,OR(ABS(W485)&gt;Inputs!$B$7,X485&gt;=Inputs!$B$8,ABS(W485)&lt;Inputs!$B$6)),1,0))</f>
        <v>0</v>
      </c>
      <c r="Z485" s="30" t="n">
        <f aca="false">IF(Y485=1,0,AB484)</f>
        <v>0</v>
      </c>
      <c r="AA485" s="30" t="n">
        <f aca="false">IF(W485="",0,IF(AND(Z485=0,ABS(W485)&gt;Inputs!$B$5,ABS(W485)&lt;=Inputs!$B$7),1,0))</f>
        <v>0</v>
      </c>
      <c r="AB485" s="30" t="n">
        <f aca="false">IF(W485="",0,IF(AA485=1,-SIGN(W485),Z485))</f>
        <v>0</v>
      </c>
      <c r="AC485" s="30" t="n">
        <f aca="false">IF(W485="",0,IF(AA485=1,0,IF(Y485=1,0,X485)))</f>
        <v>0</v>
      </c>
      <c r="AD485" s="30" t="n">
        <f aca="false">IF(AB485=0,0,IF(AB484=AB485,AD484,T485))</f>
        <v>0</v>
      </c>
      <c r="AE485" s="30" t="n">
        <f aca="false">AB485-AB484</f>
        <v>0</v>
      </c>
      <c r="AF485" s="30" t="n">
        <f aca="false">-AD485*AB485</f>
        <v>-0</v>
      </c>
      <c r="AG485" s="30" t="n">
        <f aca="false">AF485-AF484</f>
        <v>0</v>
      </c>
      <c r="AH485" s="30" t="n">
        <f aca="false">MAX(AE485,0)*(Inputs!$B$17+Inputs!$B$18+Inputs!$B$19)+MAX(-AE485,0)*(O485+Inputs!$B$18+Inputs!$B$19)+IF(AND(K485=1,AB485&lt;&gt;0),(Inputs!$B$17+Inputs!$B$18+Inputs!$B$19)+(O485+Inputs!$B$18+Inputs!$B$19),0)+MAX(AG485,0)*(Inputs!$B$20+Inputs!$B$22+Inputs!$B$23)+MAX(-AG485,0)*(Inputs!$B$21+Inputs!$B$22+Inputs!$B$23)</f>
        <v>0</v>
      </c>
      <c r="AI485" s="30" t="n">
        <f aca="false">AB484*(M485-AD484*J485)+AB484*AD484*N485/Inputs!$B$16-AH485</f>
        <v>0</v>
      </c>
      <c r="AJ485" s="30" t="n">
        <f aca="false">MAX(AE485,0)*(Inputs!$B$17+Inputs!$B$24+Inputs!$B$25)+MAX(-AE485,0)*(O485+Inputs!$B$24+Inputs!$B$25)+IF(AND(K485=1,AB485&lt;&gt;0),(Inputs!$B$17+Inputs!$B$24+Inputs!$B$25)+(O485+Inputs!$B$24+Inputs!$B$25),0)+MAX(AG485,0)*(Inputs!$B$20+Inputs!$B$26+Inputs!$B$27)+MAX(-AG485,0)*(Inputs!$B$21+Inputs!$B$26+Inputs!$B$27)</f>
        <v>0</v>
      </c>
      <c r="AK485" s="30" t="n">
        <f aca="false">AB484*(M485-AD484*J485)+AB484*AD484*(N485+Inputs!$B$14)/Inputs!$B$16-AJ485</f>
        <v>0</v>
      </c>
      <c r="AL485" s="30" t="n">
        <f aca="false">IF(AP484&lt;&gt;0,AQ484+1,0)</f>
        <v>0</v>
      </c>
      <c r="AM485" s="30" t="n">
        <f aca="false">IF(W485="",0,IF(AND(AP484&lt;&gt;0,OR(ABS(W485)&gt;Inputs!$B$7,AL485&gt;=Inputs!$B$8,ABS(W485)&lt;Inputs!$B$6)),1,0))</f>
        <v>0</v>
      </c>
      <c r="AN485" s="30" t="n">
        <f aca="false">IF(AM485=1,0,AP484)</f>
        <v>0</v>
      </c>
      <c r="AO485" s="30" t="n">
        <f aca="false">IF(W485="",0,IF(AND(AN485=0,ABS(W485)&gt;Inputs!$B$5,ABS(W485)&lt;=Inputs!$B$7,W485&gt;0),1,0))</f>
        <v>0</v>
      </c>
      <c r="AP485" s="30" t="n">
        <f aca="false">IF(W485="",0,IF(AO485=1,-SIGN(W485),AN485))</f>
        <v>0</v>
      </c>
      <c r="AQ485" s="30" t="n">
        <f aca="false">IF(W485="",0,IF(AO485=1,0,IF(AM485=1,0,AL485)))</f>
        <v>0</v>
      </c>
      <c r="AR485" s="30" t="n">
        <f aca="false">IF(AP485=0,0,IF(AP484=AP485,AR484,T485))</f>
        <v>0</v>
      </c>
      <c r="AS485" s="30" t="n">
        <f aca="false">AP485-AP484</f>
        <v>0</v>
      </c>
      <c r="AT485" s="30" t="n">
        <f aca="false">-AR485*AP485</f>
        <v>-0</v>
      </c>
      <c r="AU485" s="30" t="n">
        <f aca="false">AT485-AT484</f>
        <v>0</v>
      </c>
      <c r="AV485" s="30" t="n">
        <f aca="false">MAX(AS485,0)*(Inputs!$B$17+Inputs!$B$18+Inputs!$B$19)+MAX(-AS485,0)*(O485+Inputs!$B$18+Inputs!$B$19)+IF(AND(K485=1,AP485&lt;&gt;0),(Inputs!$B$17+Inputs!$B$18+Inputs!$B$19)+(O485+Inputs!$B$18+Inputs!$B$19),0)+MAX(AU485,0)*(Inputs!$B$20+Inputs!$B$22+Inputs!$B$23)+MAX(-AU485,0)*(Inputs!$B$21+Inputs!$B$22+Inputs!$B$23)</f>
        <v>0</v>
      </c>
      <c r="AW485" s="30" t="n">
        <f aca="false">AP484*(M485-AR484*J485)+AP484*AR484*N485/Inputs!$B$16-AV485</f>
        <v>0</v>
      </c>
      <c r="AX485" s="30" t="n">
        <f aca="false">AW485-IF(AP484&lt;&gt;0,0.75*AR484*(Inputs!$B$13-N485)/Inputs!$B$16,0)</f>
        <v>0</v>
      </c>
      <c r="AY485" s="30" t="n">
        <f aca="false">MAX(AS485,0)*(Inputs!$B$17+Inputs!$B$18+Inputs!$B$19)+MAX(-AS485,0)*(O485+Inputs!$B$18+Inputs!$B$19)+IF(AND(K485=1,AP485&lt;&gt;0),(Inputs!$B$17+Inputs!$B$18+Inputs!$B$19)+(O485+Inputs!$B$18+Inputs!$B$19),0)</f>
        <v>0</v>
      </c>
      <c r="AZ485" s="30" t="n">
        <f aca="false">AP484*M485-AY485</f>
        <v>-0</v>
      </c>
      <c r="BA485" s="32" t="n">
        <f aca="false">BA484+AI485</f>
        <v>0.00429130278454792</v>
      </c>
      <c r="BB485" s="30" t="n">
        <f aca="false">MAX(BB484,BA485)</f>
        <v>0.00429130278454792</v>
      </c>
      <c r="BC485" s="32" t="n">
        <f aca="false">BA485-BB485</f>
        <v>0</v>
      </c>
      <c r="BD485" s="30" t="n">
        <f aca="false">A486-A485</f>
        <v>1</v>
      </c>
    </row>
    <row r="486" customFormat="false" ht="15" hidden="false" customHeight="false" outlineLevel="0" collapsed="false">
      <c r="A486" s="28" t="n">
        <v>45755</v>
      </c>
      <c r="B486" s="0" t="n">
        <v>22653.45</v>
      </c>
      <c r="C486" s="0" t="n">
        <v>252.95</v>
      </c>
      <c r="D486" s="29" t="n">
        <f aca="false">LN(B486)</f>
        <v>10.0280674371928</v>
      </c>
      <c r="E486" s="29" t="n">
        <f aca="false">LN(C486)</f>
        <v>5.53319184073795</v>
      </c>
      <c r="F486" s="0" t="n">
        <v>481</v>
      </c>
      <c r="G486" s="0" t="n">
        <v>16</v>
      </c>
      <c r="H486" s="29" t="n">
        <f aca="false">D486-E486</f>
        <v>4.49487559645484</v>
      </c>
      <c r="I486" s="29" t="n">
        <f aca="false">D486-D485</f>
        <v>0.0148290206975368</v>
      </c>
      <c r="J486" s="29" t="n">
        <f aca="false">E486-E485</f>
        <v>0.0125312430464684</v>
      </c>
      <c r="K486" s="0" t="n">
        <v>0</v>
      </c>
      <c r="L486" s="0" t="n">
        <v>0</v>
      </c>
      <c r="M486" s="29" t="n">
        <f aca="false">IF(L486=1,J486-Carry!$B$9/Inputs!$B$16,I486)</f>
        <v>0.0148290206975368</v>
      </c>
      <c r="N486" s="0" t="n">
        <v>0.0625</v>
      </c>
      <c r="O486" s="0" t="n">
        <v>0.0002</v>
      </c>
      <c r="P486" s="29" t="n">
        <f aca="false">D486-('2 Hedge ratio'!$B$6+'2 Hedge ratio'!$B$5*E486)</f>
        <v>-0.00285775350105766</v>
      </c>
      <c r="Q486" s="29" t="n">
        <f aca="false">D486-('5 Re-specification'!$B$7+'5 Re-specification'!$B$5*E486+'5 Re-specification'!$B$6*F486)</f>
        <v>0.00205391550209555</v>
      </c>
      <c r="R486" s="30" t="n">
        <f aca="false">MIN(F486,Inputs!$B$9)</f>
        <v>250</v>
      </c>
      <c r="S486" s="29" t="n">
        <f aca="true">IF(AND(F486&gt;=1,R486&gt;=Inputs!$B$10),INDEX(LINEST(OFFSET(D486,-R486,0,R486,1),OFFSET(E486,-R486,0,R486,2)),1,1),"")</f>
        <v>-4.43115228297904E-005</v>
      </c>
      <c r="T486" s="29" t="n">
        <f aca="true">IF(AND(F486&gt;=1,R486&gt;=Inputs!$B$10),INDEX(LINEST(OFFSET(D486,-R486,0,R486,1),OFFSET(E486,-R486,0,R486,2)),1,2),"")</f>
        <v>0.985969937568097</v>
      </c>
      <c r="U486" s="29" t="n">
        <f aca="true">IF(AND(F486&gt;=1,R486&gt;=Inputs!$B$10),INDEX(LINEST(OFFSET(D486,-R486,0,R486,1),OFFSET(E486,-R486,0,R486,2)),1,3),"")</f>
        <v>4.59190019329696</v>
      </c>
      <c r="V486" s="29" t="n">
        <f aca="true">IF(AND(F486&gt;=1,R486&gt;=Inputs!$B$10),SQRT(SUMPRODUCT((OFFSET(D486,-R486,0,R486,1)-U486-T486*OFFSET(E486,-R486,0,R486,1)-S486*OFFSET(F486,-R486,0,R486,1))^2)/(R486-3)),"")</f>
        <v>0.0033269148650443</v>
      </c>
      <c r="W486" s="31" t="n">
        <f aca="false">IF(AND(F486&gt;=1,R486&gt;=Inputs!$B$10),(D486-U486-T486*E486-S486*F486)/V486,"")</f>
        <v>0.57719319253882</v>
      </c>
      <c r="X486" s="30" t="n">
        <f aca="false">IF(AB485&lt;&gt;0,AC485+1,0)</f>
        <v>0</v>
      </c>
      <c r="Y486" s="30" t="n">
        <f aca="false">IF(W486="",0,IF(AND(AB485&lt;&gt;0,OR(ABS(W486)&gt;Inputs!$B$7,X486&gt;=Inputs!$B$8,ABS(W486)&lt;Inputs!$B$6)),1,0))</f>
        <v>0</v>
      </c>
      <c r="Z486" s="30" t="n">
        <f aca="false">IF(Y486=1,0,AB485)</f>
        <v>0</v>
      </c>
      <c r="AA486" s="30" t="n">
        <f aca="false">IF(W486="",0,IF(AND(Z486=0,ABS(W486)&gt;Inputs!$B$5,ABS(W486)&lt;=Inputs!$B$7),1,0))</f>
        <v>0</v>
      </c>
      <c r="AB486" s="30" t="n">
        <f aca="false">IF(W486="",0,IF(AA486=1,-SIGN(W486),Z486))</f>
        <v>0</v>
      </c>
      <c r="AC486" s="30" t="n">
        <f aca="false">IF(W486="",0,IF(AA486=1,0,IF(Y486=1,0,X486)))</f>
        <v>0</v>
      </c>
      <c r="AD486" s="30" t="n">
        <f aca="false">IF(AB486=0,0,IF(AB485=AB486,AD485,T486))</f>
        <v>0</v>
      </c>
      <c r="AE486" s="30" t="n">
        <f aca="false">AB486-AB485</f>
        <v>0</v>
      </c>
      <c r="AF486" s="30" t="n">
        <f aca="false">-AD486*AB486</f>
        <v>-0</v>
      </c>
      <c r="AG486" s="30" t="n">
        <f aca="false">AF486-AF485</f>
        <v>0</v>
      </c>
      <c r="AH486" s="30" t="n">
        <f aca="false">MAX(AE486,0)*(Inputs!$B$17+Inputs!$B$18+Inputs!$B$19)+MAX(-AE486,0)*(O486+Inputs!$B$18+Inputs!$B$19)+IF(AND(K486=1,AB486&lt;&gt;0),(Inputs!$B$17+Inputs!$B$18+Inputs!$B$19)+(O486+Inputs!$B$18+Inputs!$B$19),0)+MAX(AG486,0)*(Inputs!$B$20+Inputs!$B$22+Inputs!$B$23)+MAX(-AG486,0)*(Inputs!$B$21+Inputs!$B$22+Inputs!$B$23)</f>
        <v>0</v>
      </c>
      <c r="AI486" s="30" t="n">
        <f aca="false">AB485*(M486-AD485*J486)+AB485*AD485*N486/Inputs!$B$16-AH486</f>
        <v>0</v>
      </c>
      <c r="AJ486" s="30" t="n">
        <f aca="false">MAX(AE486,0)*(Inputs!$B$17+Inputs!$B$24+Inputs!$B$25)+MAX(-AE486,0)*(O486+Inputs!$B$24+Inputs!$B$25)+IF(AND(K486=1,AB486&lt;&gt;0),(Inputs!$B$17+Inputs!$B$24+Inputs!$B$25)+(O486+Inputs!$B$24+Inputs!$B$25),0)+MAX(AG486,0)*(Inputs!$B$20+Inputs!$B$26+Inputs!$B$27)+MAX(-AG486,0)*(Inputs!$B$21+Inputs!$B$26+Inputs!$B$27)</f>
        <v>0</v>
      </c>
      <c r="AK486" s="30" t="n">
        <f aca="false">AB485*(M486-AD485*J486)+AB485*AD485*(N486+Inputs!$B$14)/Inputs!$B$16-AJ486</f>
        <v>0</v>
      </c>
      <c r="AL486" s="30" t="n">
        <f aca="false">IF(AP485&lt;&gt;0,AQ485+1,0)</f>
        <v>0</v>
      </c>
      <c r="AM486" s="30" t="n">
        <f aca="false">IF(W486="",0,IF(AND(AP485&lt;&gt;0,OR(ABS(W486)&gt;Inputs!$B$7,AL486&gt;=Inputs!$B$8,ABS(W486)&lt;Inputs!$B$6)),1,0))</f>
        <v>0</v>
      </c>
      <c r="AN486" s="30" t="n">
        <f aca="false">IF(AM486=1,0,AP485)</f>
        <v>0</v>
      </c>
      <c r="AO486" s="30" t="n">
        <f aca="false">IF(W486="",0,IF(AND(AN486=0,ABS(W486)&gt;Inputs!$B$5,ABS(W486)&lt;=Inputs!$B$7,W486&gt;0),1,0))</f>
        <v>0</v>
      </c>
      <c r="AP486" s="30" t="n">
        <f aca="false">IF(W486="",0,IF(AO486=1,-SIGN(W486),AN486))</f>
        <v>0</v>
      </c>
      <c r="AQ486" s="30" t="n">
        <f aca="false">IF(W486="",0,IF(AO486=1,0,IF(AM486=1,0,AL486)))</f>
        <v>0</v>
      </c>
      <c r="AR486" s="30" t="n">
        <f aca="false">IF(AP486=0,0,IF(AP485=AP486,AR485,T486))</f>
        <v>0</v>
      </c>
      <c r="AS486" s="30" t="n">
        <f aca="false">AP486-AP485</f>
        <v>0</v>
      </c>
      <c r="AT486" s="30" t="n">
        <f aca="false">-AR486*AP486</f>
        <v>-0</v>
      </c>
      <c r="AU486" s="30" t="n">
        <f aca="false">AT486-AT485</f>
        <v>0</v>
      </c>
      <c r="AV486" s="30" t="n">
        <f aca="false">MAX(AS486,0)*(Inputs!$B$17+Inputs!$B$18+Inputs!$B$19)+MAX(-AS486,0)*(O486+Inputs!$B$18+Inputs!$B$19)+IF(AND(K486=1,AP486&lt;&gt;0),(Inputs!$B$17+Inputs!$B$18+Inputs!$B$19)+(O486+Inputs!$B$18+Inputs!$B$19),0)+MAX(AU486,0)*(Inputs!$B$20+Inputs!$B$22+Inputs!$B$23)+MAX(-AU486,0)*(Inputs!$B$21+Inputs!$B$22+Inputs!$B$23)</f>
        <v>0</v>
      </c>
      <c r="AW486" s="30" t="n">
        <f aca="false">AP485*(M486-AR485*J486)+AP485*AR485*N486/Inputs!$B$16-AV486</f>
        <v>0</v>
      </c>
      <c r="AX486" s="30" t="n">
        <f aca="false">AW486-IF(AP485&lt;&gt;0,0.75*AR485*(Inputs!$B$13-N486)/Inputs!$B$16,0)</f>
        <v>0</v>
      </c>
      <c r="AY486" s="30" t="n">
        <f aca="false">MAX(AS486,0)*(Inputs!$B$17+Inputs!$B$18+Inputs!$B$19)+MAX(-AS486,0)*(O486+Inputs!$B$18+Inputs!$B$19)+IF(AND(K486=1,AP486&lt;&gt;0),(Inputs!$B$17+Inputs!$B$18+Inputs!$B$19)+(O486+Inputs!$B$18+Inputs!$B$19),0)</f>
        <v>0</v>
      </c>
      <c r="AZ486" s="30" t="n">
        <f aca="false">AP485*M486-AY486</f>
        <v>0</v>
      </c>
      <c r="BA486" s="32" t="n">
        <f aca="false">BA485+AI486</f>
        <v>0.00429130278454792</v>
      </c>
      <c r="BB486" s="30" t="n">
        <f aca="false">MAX(BB485,BA486)</f>
        <v>0.00429130278454792</v>
      </c>
      <c r="BC486" s="32" t="n">
        <f aca="false">BA486-BB486</f>
        <v>0</v>
      </c>
      <c r="BD486" s="30" t="n">
        <f aca="false">A487-A486</f>
        <v>1</v>
      </c>
    </row>
    <row r="487" customFormat="false" ht="15" hidden="false" customHeight="false" outlineLevel="0" collapsed="false">
      <c r="A487" s="28" t="n">
        <v>45756</v>
      </c>
      <c r="B487" s="0" t="n">
        <v>22501.5</v>
      </c>
      <c r="C487" s="0" t="n">
        <v>251.45</v>
      </c>
      <c r="D487" s="29" t="n">
        <f aca="false">LN(B487)</f>
        <v>10.0213372526371</v>
      </c>
      <c r="E487" s="29" t="n">
        <f aca="false">LN(C487)</f>
        <v>5.52724416261797</v>
      </c>
      <c r="F487" s="0" t="n">
        <v>482</v>
      </c>
      <c r="G487" s="0" t="n">
        <v>15</v>
      </c>
      <c r="H487" s="29" t="n">
        <f aca="false">D487-E487</f>
        <v>4.49409309001908</v>
      </c>
      <c r="I487" s="29" t="n">
        <f aca="false">D487-D486</f>
        <v>-0.00673018455572816</v>
      </c>
      <c r="J487" s="29" t="n">
        <f aca="false">E487-E486</f>
        <v>-0.00594767811997166</v>
      </c>
      <c r="K487" s="0" t="n">
        <v>0</v>
      </c>
      <c r="L487" s="0" t="n">
        <v>0</v>
      </c>
      <c r="M487" s="29" t="n">
        <f aca="false">IF(L487=1,J487-Carry!$B$9/Inputs!$B$16,I487)</f>
        <v>-0.00673018455572816</v>
      </c>
      <c r="N487" s="0" t="n">
        <v>0.06</v>
      </c>
      <c r="O487" s="0" t="n">
        <v>0.0002</v>
      </c>
      <c r="P487" s="29" t="n">
        <f aca="false">D487-('2 Hedge ratio'!$B$6+'2 Hedge ratio'!$B$5*E487)</f>
        <v>-0.00413911097569475</v>
      </c>
      <c r="Q487" s="29" t="n">
        <f aca="false">D487-('5 Re-specification'!$B$7+'5 Re-specification'!$B$5*E487+'5 Re-specification'!$B$6*F487)</f>
        <v>0.0012983139457674</v>
      </c>
      <c r="R487" s="30" t="n">
        <f aca="false">MIN(F487,Inputs!$B$9)</f>
        <v>250</v>
      </c>
      <c r="S487" s="29" t="n">
        <f aca="true">IF(AND(F487&gt;=1,R487&gt;=Inputs!$B$10),INDEX(LINEST(OFFSET(D487,-R487,0,R487,1),OFFSET(E487,-R487,0,R487,2)),1,1),"")</f>
        <v>-4.38883000897928E-005</v>
      </c>
      <c r="T487" s="29" t="n">
        <f aca="true">IF(AND(F487&gt;=1,R487&gt;=Inputs!$B$10),INDEX(LINEST(OFFSET(D487,-R487,0,R487,1),OFFSET(E487,-R487,0,R487,2)),1,2),"")</f>
        <v>0.98603723888788</v>
      </c>
      <c r="U487" s="29" t="n">
        <f aca="true">IF(AND(F487&gt;=1,R487&gt;=Inputs!$B$10),INDEX(LINEST(OFFSET(D487,-R487,0,R487,1),OFFSET(E487,-R487,0,R487,2)),1,3),"")</f>
        <v>4.59137134110061</v>
      </c>
      <c r="V487" s="29" t="n">
        <f aca="true">IF(AND(F487&gt;=1,R487&gt;=Inputs!$B$10),SQRT(SUMPRODUCT((OFFSET(D487,-R487,0,R487,1)-U487-T487*OFFSET(E487,-R487,0,R487,1)-S487*OFFSET(F487,-R487,0,R487,1))^2)/(R487-3)),"")</f>
        <v>0.00332513671677024</v>
      </c>
      <c r="W487" s="31" t="n">
        <f aca="false">IF(AND(F487&gt;=1,R487&gt;=Inputs!$B$10),(D487-U487-T487*E487-S487*F487)/V487,"")</f>
        <v>0.316227422302327</v>
      </c>
      <c r="X487" s="30" t="n">
        <f aca="false">IF(AB486&lt;&gt;0,AC486+1,0)</f>
        <v>0</v>
      </c>
      <c r="Y487" s="30" t="n">
        <f aca="false">IF(W487="",0,IF(AND(AB486&lt;&gt;0,OR(ABS(W487)&gt;Inputs!$B$7,X487&gt;=Inputs!$B$8,ABS(W487)&lt;Inputs!$B$6)),1,0))</f>
        <v>0</v>
      </c>
      <c r="Z487" s="30" t="n">
        <f aca="false">IF(Y487=1,0,AB486)</f>
        <v>0</v>
      </c>
      <c r="AA487" s="30" t="n">
        <f aca="false">IF(W487="",0,IF(AND(Z487=0,ABS(W487)&gt;Inputs!$B$5,ABS(W487)&lt;=Inputs!$B$7),1,0))</f>
        <v>0</v>
      </c>
      <c r="AB487" s="30" t="n">
        <f aca="false">IF(W487="",0,IF(AA487=1,-SIGN(W487),Z487))</f>
        <v>0</v>
      </c>
      <c r="AC487" s="30" t="n">
        <f aca="false">IF(W487="",0,IF(AA487=1,0,IF(Y487=1,0,X487)))</f>
        <v>0</v>
      </c>
      <c r="AD487" s="30" t="n">
        <f aca="false">IF(AB487=0,0,IF(AB486=AB487,AD486,T487))</f>
        <v>0</v>
      </c>
      <c r="AE487" s="30" t="n">
        <f aca="false">AB487-AB486</f>
        <v>0</v>
      </c>
      <c r="AF487" s="30" t="n">
        <f aca="false">-AD487*AB487</f>
        <v>-0</v>
      </c>
      <c r="AG487" s="30" t="n">
        <f aca="false">AF487-AF486</f>
        <v>0</v>
      </c>
      <c r="AH487" s="30" t="n">
        <f aca="false">MAX(AE487,0)*(Inputs!$B$17+Inputs!$B$18+Inputs!$B$19)+MAX(-AE487,0)*(O487+Inputs!$B$18+Inputs!$B$19)+IF(AND(K487=1,AB487&lt;&gt;0),(Inputs!$B$17+Inputs!$B$18+Inputs!$B$19)+(O487+Inputs!$B$18+Inputs!$B$19),0)+MAX(AG487,0)*(Inputs!$B$20+Inputs!$B$22+Inputs!$B$23)+MAX(-AG487,0)*(Inputs!$B$21+Inputs!$B$22+Inputs!$B$23)</f>
        <v>0</v>
      </c>
      <c r="AI487" s="30" t="n">
        <f aca="false">AB486*(M487-AD486*J487)+AB486*AD486*N487/Inputs!$B$16-AH487</f>
        <v>0</v>
      </c>
      <c r="AJ487" s="30" t="n">
        <f aca="false">MAX(AE487,0)*(Inputs!$B$17+Inputs!$B$24+Inputs!$B$25)+MAX(-AE487,0)*(O487+Inputs!$B$24+Inputs!$B$25)+IF(AND(K487=1,AB487&lt;&gt;0),(Inputs!$B$17+Inputs!$B$24+Inputs!$B$25)+(O487+Inputs!$B$24+Inputs!$B$25),0)+MAX(AG487,0)*(Inputs!$B$20+Inputs!$B$26+Inputs!$B$27)+MAX(-AG487,0)*(Inputs!$B$21+Inputs!$B$26+Inputs!$B$27)</f>
        <v>0</v>
      </c>
      <c r="AK487" s="30" t="n">
        <f aca="false">AB486*(M487-AD486*J487)+AB486*AD486*(N487+Inputs!$B$14)/Inputs!$B$16-AJ487</f>
        <v>0</v>
      </c>
      <c r="AL487" s="30" t="n">
        <f aca="false">IF(AP486&lt;&gt;0,AQ486+1,0)</f>
        <v>0</v>
      </c>
      <c r="AM487" s="30" t="n">
        <f aca="false">IF(W487="",0,IF(AND(AP486&lt;&gt;0,OR(ABS(W487)&gt;Inputs!$B$7,AL487&gt;=Inputs!$B$8,ABS(W487)&lt;Inputs!$B$6)),1,0))</f>
        <v>0</v>
      </c>
      <c r="AN487" s="30" t="n">
        <f aca="false">IF(AM487=1,0,AP486)</f>
        <v>0</v>
      </c>
      <c r="AO487" s="30" t="n">
        <f aca="false">IF(W487="",0,IF(AND(AN487=0,ABS(W487)&gt;Inputs!$B$5,ABS(W487)&lt;=Inputs!$B$7,W487&gt;0),1,0))</f>
        <v>0</v>
      </c>
      <c r="AP487" s="30" t="n">
        <f aca="false">IF(W487="",0,IF(AO487=1,-SIGN(W487),AN487))</f>
        <v>0</v>
      </c>
      <c r="AQ487" s="30" t="n">
        <f aca="false">IF(W487="",0,IF(AO487=1,0,IF(AM487=1,0,AL487)))</f>
        <v>0</v>
      </c>
      <c r="AR487" s="30" t="n">
        <f aca="false">IF(AP487=0,0,IF(AP486=AP487,AR486,T487))</f>
        <v>0</v>
      </c>
      <c r="AS487" s="30" t="n">
        <f aca="false">AP487-AP486</f>
        <v>0</v>
      </c>
      <c r="AT487" s="30" t="n">
        <f aca="false">-AR487*AP487</f>
        <v>-0</v>
      </c>
      <c r="AU487" s="30" t="n">
        <f aca="false">AT487-AT486</f>
        <v>0</v>
      </c>
      <c r="AV487" s="30" t="n">
        <f aca="false">MAX(AS487,0)*(Inputs!$B$17+Inputs!$B$18+Inputs!$B$19)+MAX(-AS487,0)*(O487+Inputs!$B$18+Inputs!$B$19)+IF(AND(K487=1,AP487&lt;&gt;0),(Inputs!$B$17+Inputs!$B$18+Inputs!$B$19)+(O487+Inputs!$B$18+Inputs!$B$19),0)+MAX(AU487,0)*(Inputs!$B$20+Inputs!$B$22+Inputs!$B$23)+MAX(-AU487,0)*(Inputs!$B$21+Inputs!$B$22+Inputs!$B$23)</f>
        <v>0</v>
      </c>
      <c r="AW487" s="30" t="n">
        <f aca="false">AP486*(M487-AR486*J487)+AP486*AR486*N487/Inputs!$B$16-AV487</f>
        <v>0</v>
      </c>
      <c r="AX487" s="30" t="n">
        <f aca="false">AW487-IF(AP486&lt;&gt;0,0.75*AR486*(Inputs!$B$13-N487)/Inputs!$B$16,0)</f>
        <v>0</v>
      </c>
      <c r="AY487" s="30" t="n">
        <f aca="false">MAX(AS487,0)*(Inputs!$B$17+Inputs!$B$18+Inputs!$B$19)+MAX(-AS487,0)*(O487+Inputs!$B$18+Inputs!$B$19)+IF(AND(K487=1,AP487&lt;&gt;0),(Inputs!$B$17+Inputs!$B$18+Inputs!$B$19)+(O487+Inputs!$B$18+Inputs!$B$19),0)</f>
        <v>0</v>
      </c>
      <c r="AZ487" s="30" t="n">
        <f aca="false">AP486*M487-AY487</f>
        <v>-0</v>
      </c>
      <c r="BA487" s="32" t="n">
        <f aca="false">BA486+AI487</f>
        <v>0.00429130278454792</v>
      </c>
      <c r="BB487" s="30" t="n">
        <f aca="false">MAX(BB486,BA487)</f>
        <v>0.00429130278454792</v>
      </c>
      <c r="BC487" s="32" t="n">
        <f aca="false">BA487-BB487</f>
        <v>0</v>
      </c>
      <c r="BD487" s="30" t="n">
        <f aca="false">A488-A487</f>
        <v>2</v>
      </c>
    </row>
    <row r="488" customFormat="false" ht="15" hidden="false" customHeight="false" outlineLevel="0" collapsed="false">
      <c r="A488" s="28" t="n">
        <v>45758</v>
      </c>
      <c r="B488" s="0" t="n">
        <v>22945</v>
      </c>
      <c r="C488" s="0" t="n">
        <v>256.23</v>
      </c>
      <c r="D488" s="29" t="n">
        <f aca="false">LN(B488)</f>
        <v>10.0408553268289</v>
      </c>
      <c r="E488" s="29" t="n">
        <f aca="false">LN(C488)</f>
        <v>5.54607547862617</v>
      </c>
      <c r="F488" s="0" t="n">
        <v>483</v>
      </c>
      <c r="G488" s="0" t="n">
        <v>13</v>
      </c>
      <c r="H488" s="29" t="n">
        <f aca="false">D488-E488</f>
        <v>4.49477984820277</v>
      </c>
      <c r="I488" s="29" t="n">
        <f aca="false">D488-D487</f>
        <v>0.019518074191879</v>
      </c>
      <c r="J488" s="29" t="n">
        <f aca="false">E488-E487</f>
        <v>0.0188313160081917</v>
      </c>
      <c r="K488" s="0" t="n">
        <v>0</v>
      </c>
      <c r="L488" s="0" t="n">
        <v>0</v>
      </c>
      <c r="M488" s="29" t="n">
        <f aca="false">IF(L488=1,J488-Carry!$B$9/Inputs!$B$16,I488)</f>
        <v>0.019518074191879</v>
      </c>
      <c r="N488" s="0" t="n">
        <v>0.06</v>
      </c>
      <c r="O488" s="0" t="n">
        <v>0.0002</v>
      </c>
      <c r="P488" s="29" t="n">
        <f aca="false">D488-('2 Hedge ratio'!$B$6+'2 Hedge ratio'!$B$5*E488)</f>
        <v>-0.0018729092907499</v>
      </c>
      <c r="Q488" s="29" t="n">
        <f aca="false">D488-('5 Re-specification'!$B$7+'5 Re-specification'!$B$5*E488+'5 Re-specification'!$B$6*F488)</f>
        <v>0.00208706975111106</v>
      </c>
      <c r="R488" s="30" t="n">
        <f aca="false">MIN(F488,Inputs!$B$9)</f>
        <v>250</v>
      </c>
      <c r="S488" s="29" t="n">
        <f aca="true">IF(AND(F488&gt;=1,R488&gt;=Inputs!$B$10),INDEX(LINEST(OFFSET(D488,-R488,0,R488,1),OFFSET(E488,-R488,0,R488,2)),1,1),"")</f>
        <v>-4.34973654629627E-005</v>
      </c>
      <c r="T488" s="29" t="n">
        <f aca="true">IF(AND(F488&gt;=1,R488&gt;=Inputs!$B$10),INDEX(LINEST(OFFSET(D488,-R488,0,R488,1),OFFSET(E488,-R488,0,R488,2)),1,2),"")</f>
        <v>0.986288251377759</v>
      </c>
      <c r="U488" s="29" t="n">
        <f aca="true">IF(AND(F488&gt;=1,R488&gt;=Inputs!$B$10),INDEX(LINEST(OFFSET(D488,-R488,0,R488,1),OFFSET(E488,-R488,0,R488,2)),1,3),"")</f>
        <v>4.58982256214124</v>
      </c>
      <c r="V488" s="29" t="n">
        <f aca="true">IF(AND(F488&gt;=1,R488&gt;=Inputs!$B$10),SQRT(SUMPRODUCT((OFFSET(D488,-R488,0,R488,1)-U488-T488*OFFSET(E488,-R488,0,R488,1)-S488*OFFSET(F488,-R488,0,R488,1))^2)/(R488-3)),"")</f>
        <v>0.00331970675731511</v>
      </c>
      <c r="W488" s="31" t="n">
        <f aca="false">IF(AND(F488&gt;=1,R488&gt;=Inputs!$B$10),(D488-U488-T488*E488-S488*F488)/V488,"")</f>
        <v>0.606350659918971</v>
      </c>
      <c r="X488" s="30" t="n">
        <f aca="false">IF(AB487&lt;&gt;0,AC487+1,0)</f>
        <v>0</v>
      </c>
      <c r="Y488" s="30" t="n">
        <f aca="false">IF(W488="",0,IF(AND(AB487&lt;&gt;0,OR(ABS(W488)&gt;Inputs!$B$7,X488&gt;=Inputs!$B$8,ABS(W488)&lt;Inputs!$B$6)),1,0))</f>
        <v>0</v>
      </c>
      <c r="Z488" s="30" t="n">
        <f aca="false">IF(Y488=1,0,AB487)</f>
        <v>0</v>
      </c>
      <c r="AA488" s="30" t="n">
        <f aca="false">IF(W488="",0,IF(AND(Z488=0,ABS(W488)&gt;Inputs!$B$5,ABS(W488)&lt;=Inputs!$B$7),1,0))</f>
        <v>0</v>
      </c>
      <c r="AB488" s="30" t="n">
        <f aca="false">IF(W488="",0,IF(AA488=1,-SIGN(W488),Z488))</f>
        <v>0</v>
      </c>
      <c r="AC488" s="30" t="n">
        <f aca="false">IF(W488="",0,IF(AA488=1,0,IF(Y488=1,0,X488)))</f>
        <v>0</v>
      </c>
      <c r="AD488" s="30" t="n">
        <f aca="false">IF(AB488=0,0,IF(AB487=AB488,AD487,T488))</f>
        <v>0</v>
      </c>
      <c r="AE488" s="30" t="n">
        <f aca="false">AB488-AB487</f>
        <v>0</v>
      </c>
      <c r="AF488" s="30" t="n">
        <f aca="false">-AD488*AB488</f>
        <v>-0</v>
      </c>
      <c r="AG488" s="30" t="n">
        <f aca="false">AF488-AF487</f>
        <v>0</v>
      </c>
      <c r="AH488" s="30" t="n">
        <f aca="false">MAX(AE488,0)*(Inputs!$B$17+Inputs!$B$18+Inputs!$B$19)+MAX(-AE488,0)*(O488+Inputs!$B$18+Inputs!$B$19)+IF(AND(K488=1,AB488&lt;&gt;0),(Inputs!$B$17+Inputs!$B$18+Inputs!$B$19)+(O488+Inputs!$B$18+Inputs!$B$19),0)+MAX(AG488,0)*(Inputs!$B$20+Inputs!$B$22+Inputs!$B$23)+MAX(-AG488,0)*(Inputs!$B$21+Inputs!$B$22+Inputs!$B$23)</f>
        <v>0</v>
      </c>
      <c r="AI488" s="30" t="n">
        <f aca="false">AB487*(M488-AD487*J488)+AB487*AD487*N488/Inputs!$B$16-AH488</f>
        <v>0</v>
      </c>
      <c r="AJ488" s="30" t="n">
        <f aca="false">MAX(AE488,0)*(Inputs!$B$17+Inputs!$B$24+Inputs!$B$25)+MAX(-AE488,0)*(O488+Inputs!$B$24+Inputs!$B$25)+IF(AND(K488=1,AB488&lt;&gt;0),(Inputs!$B$17+Inputs!$B$24+Inputs!$B$25)+(O488+Inputs!$B$24+Inputs!$B$25),0)+MAX(AG488,0)*(Inputs!$B$20+Inputs!$B$26+Inputs!$B$27)+MAX(-AG488,0)*(Inputs!$B$21+Inputs!$B$26+Inputs!$B$27)</f>
        <v>0</v>
      </c>
      <c r="AK488" s="30" t="n">
        <f aca="false">AB487*(M488-AD487*J488)+AB487*AD487*(N488+Inputs!$B$14)/Inputs!$B$16-AJ488</f>
        <v>0</v>
      </c>
      <c r="AL488" s="30" t="n">
        <f aca="false">IF(AP487&lt;&gt;0,AQ487+1,0)</f>
        <v>0</v>
      </c>
      <c r="AM488" s="30" t="n">
        <f aca="false">IF(W488="",0,IF(AND(AP487&lt;&gt;0,OR(ABS(W488)&gt;Inputs!$B$7,AL488&gt;=Inputs!$B$8,ABS(W488)&lt;Inputs!$B$6)),1,0))</f>
        <v>0</v>
      </c>
      <c r="AN488" s="30" t="n">
        <f aca="false">IF(AM488=1,0,AP487)</f>
        <v>0</v>
      </c>
      <c r="AO488" s="30" t="n">
        <f aca="false">IF(W488="",0,IF(AND(AN488=0,ABS(W488)&gt;Inputs!$B$5,ABS(W488)&lt;=Inputs!$B$7,W488&gt;0),1,0))</f>
        <v>0</v>
      </c>
      <c r="AP488" s="30" t="n">
        <f aca="false">IF(W488="",0,IF(AO488=1,-SIGN(W488),AN488))</f>
        <v>0</v>
      </c>
      <c r="AQ488" s="30" t="n">
        <f aca="false">IF(W488="",0,IF(AO488=1,0,IF(AM488=1,0,AL488)))</f>
        <v>0</v>
      </c>
      <c r="AR488" s="30" t="n">
        <f aca="false">IF(AP488=0,0,IF(AP487=AP488,AR487,T488))</f>
        <v>0</v>
      </c>
      <c r="AS488" s="30" t="n">
        <f aca="false">AP488-AP487</f>
        <v>0</v>
      </c>
      <c r="AT488" s="30" t="n">
        <f aca="false">-AR488*AP488</f>
        <v>-0</v>
      </c>
      <c r="AU488" s="30" t="n">
        <f aca="false">AT488-AT487</f>
        <v>0</v>
      </c>
      <c r="AV488" s="30" t="n">
        <f aca="false">MAX(AS488,0)*(Inputs!$B$17+Inputs!$B$18+Inputs!$B$19)+MAX(-AS488,0)*(O488+Inputs!$B$18+Inputs!$B$19)+IF(AND(K488=1,AP488&lt;&gt;0),(Inputs!$B$17+Inputs!$B$18+Inputs!$B$19)+(O488+Inputs!$B$18+Inputs!$B$19),0)+MAX(AU488,0)*(Inputs!$B$20+Inputs!$B$22+Inputs!$B$23)+MAX(-AU488,0)*(Inputs!$B$21+Inputs!$B$22+Inputs!$B$23)</f>
        <v>0</v>
      </c>
      <c r="AW488" s="30" t="n">
        <f aca="false">AP487*(M488-AR487*J488)+AP487*AR487*N488/Inputs!$B$16-AV488</f>
        <v>0</v>
      </c>
      <c r="AX488" s="30" t="n">
        <f aca="false">AW488-IF(AP487&lt;&gt;0,0.75*AR487*(Inputs!$B$13-N488)/Inputs!$B$16,0)</f>
        <v>0</v>
      </c>
      <c r="AY488" s="30" t="n">
        <f aca="false">MAX(AS488,0)*(Inputs!$B$17+Inputs!$B$18+Inputs!$B$19)+MAX(-AS488,0)*(O488+Inputs!$B$18+Inputs!$B$19)+IF(AND(K488=1,AP488&lt;&gt;0),(Inputs!$B$17+Inputs!$B$18+Inputs!$B$19)+(O488+Inputs!$B$18+Inputs!$B$19),0)</f>
        <v>0</v>
      </c>
      <c r="AZ488" s="30" t="n">
        <f aca="false">AP487*M488-AY488</f>
        <v>0</v>
      </c>
      <c r="BA488" s="32" t="n">
        <f aca="false">BA487+AI488</f>
        <v>0.00429130278454792</v>
      </c>
      <c r="BB488" s="30" t="n">
        <f aca="false">MAX(BB487,BA488)</f>
        <v>0.00429130278454792</v>
      </c>
      <c r="BC488" s="32" t="n">
        <f aca="false">BA488-BB488</f>
        <v>0</v>
      </c>
      <c r="BD488" s="30" t="n">
        <f aca="false">A489-A488</f>
        <v>4</v>
      </c>
    </row>
    <row r="489" customFormat="false" ht="15" hidden="false" customHeight="false" outlineLevel="0" collapsed="false">
      <c r="A489" s="28" t="n">
        <v>45762</v>
      </c>
      <c r="B489" s="0" t="n">
        <v>23368.5</v>
      </c>
      <c r="C489" s="0" t="n">
        <v>261.4</v>
      </c>
      <c r="D489" s="29" t="n">
        <f aca="false">LN(B489)</f>
        <v>10.0591442406206</v>
      </c>
      <c r="E489" s="29" t="n">
        <f aca="false">LN(C489)</f>
        <v>5.56605180119012</v>
      </c>
      <c r="F489" s="0" t="n">
        <v>484</v>
      </c>
      <c r="G489" s="0" t="n">
        <v>9</v>
      </c>
      <c r="H489" s="29" t="n">
        <f aca="false">D489-E489</f>
        <v>4.49309243943047</v>
      </c>
      <c r="I489" s="29" t="n">
        <f aca="false">D489-D488</f>
        <v>0.0182889137916593</v>
      </c>
      <c r="J489" s="29" t="n">
        <f aca="false">E489-E488</f>
        <v>0.0199763225639558</v>
      </c>
      <c r="K489" s="0" t="n">
        <v>0</v>
      </c>
      <c r="L489" s="0" t="n">
        <v>0</v>
      </c>
      <c r="M489" s="29" t="n">
        <f aca="false">IF(L489=1,J489-Carry!$B$9/Inputs!$B$16,I489)</f>
        <v>0.0182889137916593</v>
      </c>
      <c r="N489" s="0" t="n">
        <v>0.06</v>
      </c>
      <c r="O489" s="0" t="n">
        <v>0.0002</v>
      </c>
      <c r="P489" s="29" t="n">
        <f aca="false">D489-('2 Hedge ratio'!$B$6+'2 Hedge ratio'!$B$5*E489)</f>
        <v>-0.00188483915127513</v>
      </c>
      <c r="Q489" s="29" t="n">
        <f aca="false">D489-('5 Re-specification'!$B$7+'5 Re-specification'!$B$5*E489+'5 Re-specification'!$B$6*F489)</f>
        <v>0.000505128542865663</v>
      </c>
      <c r="R489" s="30" t="n">
        <f aca="false">MIN(F489,Inputs!$B$9)</f>
        <v>250</v>
      </c>
      <c r="S489" s="29" t="n">
        <f aca="true">IF(AND(F489&gt;=1,R489&gt;=Inputs!$B$10),INDEX(LINEST(OFFSET(D489,-R489,0,R489,1),OFFSET(E489,-R489,0,R489,2)),1,1),"")</f>
        <v>-4.29178105249504E-005</v>
      </c>
      <c r="T489" s="29" t="n">
        <f aca="true">IF(AND(F489&gt;=1,R489&gt;=Inputs!$B$10),INDEX(LINEST(OFFSET(D489,-R489,0,R489,1),OFFSET(E489,-R489,0,R489,2)),1,2),"")</f>
        <v>0.986589937725029</v>
      </c>
      <c r="U489" s="29" t="n">
        <f aca="true">IF(AND(F489&gt;=1,R489&gt;=Inputs!$B$10),INDEX(LINEST(OFFSET(D489,-R489,0,R489,1),OFFSET(E489,-R489,0,R489,2)),1,3),"")</f>
        <v>4.58792282096215</v>
      </c>
      <c r="V489" s="29" t="n">
        <f aca="true">IF(AND(F489&gt;=1,R489&gt;=Inputs!$B$10),SQRT(SUMPRODUCT((OFFSET(D489,-R489,0,R489,1)-U489-T489*OFFSET(E489,-R489,0,R489,1)-S489*OFFSET(F489,-R489,0,R489,1))^2)/(R489-3)),"")</f>
        <v>0.00331148956723798</v>
      </c>
      <c r="W489" s="31" t="n">
        <f aca="false">IF(AND(F489&gt;=1,R489&gt;=Inputs!$B$10),(D489-U489-T489*E489-S489*F489)/V489,"")</f>
        <v>0.176035596741209</v>
      </c>
      <c r="X489" s="30" t="n">
        <f aca="false">IF(AB488&lt;&gt;0,AC488+1,0)</f>
        <v>0</v>
      </c>
      <c r="Y489" s="30" t="n">
        <f aca="false">IF(W489="",0,IF(AND(AB488&lt;&gt;0,OR(ABS(W489)&gt;Inputs!$B$7,X489&gt;=Inputs!$B$8,ABS(W489)&lt;Inputs!$B$6)),1,0))</f>
        <v>0</v>
      </c>
      <c r="Z489" s="30" t="n">
        <f aca="false">IF(Y489=1,0,AB488)</f>
        <v>0</v>
      </c>
      <c r="AA489" s="30" t="n">
        <f aca="false">IF(W489="",0,IF(AND(Z489=0,ABS(W489)&gt;Inputs!$B$5,ABS(W489)&lt;=Inputs!$B$7),1,0))</f>
        <v>0</v>
      </c>
      <c r="AB489" s="30" t="n">
        <f aca="false">IF(W489="",0,IF(AA489=1,-SIGN(W489),Z489))</f>
        <v>0</v>
      </c>
      <c r="AC489" s="30" t="n">
        <f aca="false">IF(W489="",0,IF(AA489=1,0,IF(Y489=1,0,X489)))</f>
        <v>0</v>
      </c>
      <c r="AD489" s="30" t="n">
        <f aca="false">IF(AB489=0,0,IF(AB488=AB489,AD488,T489))</f>
        <v>0</v>
      </c>
      <c r="AE489" s="30" t="n">
        <f aca="false">AB489-AB488</f>
        <v>0</v>
      </c>
      <c r="AF489" s="30" t="n">
        <f aca="false">-AD489*AB489</f>
        <v>-0</v>
      </c>
      <c r="AG489" s="30" t="n">
        <f aca="false">AF489-AF488</f>
        <v>0</v>
      </c>
      <c r="AH489" s="30" t="n">
        <f aca="false">MAX(AE489,0)*(Inputs!$B$17+Inputs!$B$18+Inputs!$B$19)+MAX(-AE489,0)*(O489+Inputs!$B$18+Inputs!$B$19)+IF(AND(K489=1,AB489&lt;&gt;0),(Inputs!$B$17+Inputs!$B$18+Inputs!$B$19)+(O489+Inputs!$B$18+Inputs!$B$19),0)+MAX(AG489,0)*(Inputs!$B$20+Inputs!$B$22+Inputs!$B$23)+MAX(-AG489,0)*(Inputs!$B$21+Inputs!$B$22+Inputs!$B$23)</f>
        <v>0</v>
      </c>
      <c r="AI489" s="30" t="n">
        <f aca="false">AB488*(M489-AD488*J489)+AB488*AD488*N489/Inputs!$B$16-AH489</f>
        <v>0</v>
      </c>
      <c r="AJ489" s="30" t="n">
        <f aca="false">MAX(AE489,0)*(Inputs!$B$17+Inputs!$B$24+Inputs!$B$25)+MAX(-AE489,0)*(O489+Inputs!$B$24+Inputs!$B$25)+IF(AND(K489=1,AB489&lt;&gt;0),(Inputs!$B$17+Inputs!$B$24+Inputs!$B$25)+(O489+Inputs!$B$24+Inputs!$B$25),0)+MAX(AG489,0)*(Inputs!$B$20+Inputs!$B$26+Inputs!$B$27)+MAX(-AG489,0)*(Inputs!$B$21+Inputs!$B$26+Inputs!$B$27)</f>
        <v>0</v>
      </c>
      <c r="AK489" s="30" t="n">
        <f aca="false">AB488*(M489-AD488*J489)+AB488*AD488*(N489+Inputs!$B$14)/Inputs!$B$16-AJ489</f>
        <v>0</v>
      </c>
      <c r="AL489" s="30" t="n">
        <f aca="false">IF(AP488&lt;&gt;0,AQ488+1,0)</f>
        <v>0</v>
      </c>
      <c r="AM489" s="30" t="n">
        <f aca="false">IF(W489="",0,IF(AND(AP488&lt;&gt;0,OR(ABS(W489)&gt;Inputs!$B$7,AL489&gt;=Inputs!$B$8,ABS(W489)&lt;Inputs!$B$6)),1,0))</f>
        <v>0</v>
      </c>
      <c r="AN489" s="30" t="n">
        <f aca="false">IF(AM489=1,0,AP488)</f>
        <v>0</v>
      </c>
      <c r="AO489" s="30" t="n">
        <f aca="false">IF(W489="",0,IF(AND(AN489=0,ABS(W489)&gt;Inputs!$B$5,ABS(W489)&lt;=Inputs!$B$7,W489&gt;0),1,0))</f>
        <v>0</v>
      </c>
      <c r="AP489" s="30" t="n">
        <f aca="false">IF(W489="",0,IF(AO489=1,-SIGN(W489),AN489))</f>
        <v>0</v>
      </c>
      <c r="AQ489" s="30" t="n">
        <f aca="false">IF(W489="",0,IF(AO489=1,0,IF(AM489=1,0,AL489)))</f>
        <v>0</v>
      </c>
      <c r="AR489" s="30" t="n">
        <f aca="false">IF(AP489=0,0,IF(AP488=AP489,AR488,T489))</f>
        <v>0</v>
      </c>
      <c r="AS489" s="30" t="n">
        <f aca="false">AP489-AP488</f>
        <v>0</v>
      </c>
      <c r="AT489" s="30" t="n">
        <f aca="false">-AR489*AP489</f>
        <v>-0</v>
      </c>
      <c r="AU489" s="30" t="n">
        <f aca="false">AT489-AT488</f>
        <v>0</v>
      </c>
      <c r="AV489" s="30" t="n">
        <f aca="false">MAX(AS489,0)*(Inputs!$B$17+Inputs!$B$18+Inputs!$B$19)+MAX(-AS489,0)*(O489+Inputs!$B$18+Inputs!$B$19)+IF(AND(K489=1,AP489&lt;&gt;0),(Inputs!$B$17+Inputs!$B$18+Inputs!$B$19)+(O489+Inputs!$B$18+Inputs!$B$19),0)+MAX(AU489,0)*(Inputs!$B$20+Inputs!$B$22+Inputs!$B$23)+MAX(-AU489,0)*(Inputs!$B$21+Inputs!$B$22+Inputs!$B$23)</f>
        <v>0</v>
      </c>
      <c r="AW489" s="30" t="n">
        <f aca="false">AP488*(M489-AR488*J489)+AP488*AR488*N489/Inputs!$B$16-AV489</f>
        <v>0</v>
      </c>
      <c r="AX489" s="30" t="n">
        <f aca="false">AW489-IF(AP488&lt;&gt;0,0.75*AR488*(Inputs!$B$13-N489)/Inputs!$B$16,0)</f>
        <v>0</v>
      </c>
      <c r="AY489" s="30" t="n">
        <f aca="false">MAX(AS489,0)*(Inputs!$B$17+Inputs!$B$18+Inputs!$B$19)+MAX(-AS489,0)*(O489+Inputs!$B$18+Inputs!$B$19)+IF(AND(K489=1,AP489&lt;&gt;0),(Inputs!$B$17+Inputs!$B$18+Inputs!$B$19)+(O489+Inputs!$B$18+Inputs!$B$19),0)</f>
        <v>0</v>
      </c>
      <c r="AZ489" s="30" t="n">
        <f aca="false">AP488*M489-AY489</f>
        <v>0</v>
      </c>
      <c r="BA489" s="32" t="n">
        <f aca="false">BA488+AI489</f>
        <v>0.00429130278454792</v>
      </c>
      <c r="BB489" s="30" t="n">
        <f aca="false">MAX(BB488,BA489)</f>
        <v>0.00429130278454792</v>
      </c>
      <c r="BC489" s="32" t="n">
        <f aca="false">BA489-BB489</f>
        <v>0</v>
      </c>
      <c r="BD489" s="30" t="n">
        <f aca="false">A490-A489</f>
        <v>1</v>
      </c>
    </row>
    <row r="490" customFormat="false" ht="15" hidden="false" customHeight="false" outlineLevel="0" collapsed="false">
      <c r="A490" s="28" t="n">
        <v>45763</v>
      </c>
      <c r="B490" s="0" t="n">
        <v>23439</v>
      </c>
      <c r="C490" s="0" t="n">
        <v>261.61</v>
      </c>
      <c r="D490" s="29" t="n">
        <f aca="false">LN(B490)</f>
        <v>10.0621565806649</v>
      </c>
      <c r="E490" s="29" t="n">
        <f aca="false">LN(C490)</f>
        <v>5.56685484515213</v>
      </c>
      <c r="F490" s="0" t="n">
        <v>485</v>
      </c>
      <c r="G490" s="0" t="n">
        <v>8</v>
      </c>
      <c r="H490" s="29" t="n">
        <f aca="false">D490-E490</f>
        <v>4.49530173551272</v>
      </c>
      <c r="I490" s="29" t="n">
        <f aca="false">D490-D489</f>
        <v>0.00301234004426121</v>
      </c>
      <c r="J490" s="29" t="n">
        <f aca="false">E490-E489</f>
        <v>0.000803043962010364</v>
      </c>
      <c r="K490" s="0" t="n">
        <v>0</v>
      </c>
      <c r="L490" s="0" t="n">
        <v>0</v>
      </c>
      <c r="M490" s="29" t="n">
        <f aca="false">IF(L490=1,J490-Carry!$B$9/Inputs!$B$16,I490)</f>
        <v>0.00301234004426121</v>
      </c>
      <c r="N490" s="0" t="n">
        <v>0.06</v>
      </c>
      <c r="O490" s="0" t="n">
        <v>0.0002</v>
      </c>
      <c r="P490" s="29" t="n">
        <f aca="false">D490-('2 Hedge ratio'!$B$6+'2 Hedge ratio'!$B$5*E490)</f>
        <v>0.000391810830537409</v>
      </c>
      <c r="Q490" s="29" t="n">
        <f aca="false">D490-('5 Re-specification'!$B$7+'5 Re-specification'!$B$5*E490+'5 Re-specification'!$B$6*F490)</f>
        <v>0.00276178756795886</v>
      </c>
      <c r="R490" s="30" t="n">
        <f aca="false">MIN(F490,Inputs!$B$9)</f>
        <v>250</v>
      </c>
      <c r="S490" s="29" t="n">
        <f aca="true">IF(AND(F490&gt;=1,R490&gt;=Inputs!$B$10),INDEX(LINEST(OFFSET(D490,-R490,0,R490,1),OFFSET(E490,-R490,0,R490,2)),1,1),"")</f>
        <v>-4.2560448586007E-005</v>
      </c>
      <c r="T490" s="29" t="n">
        <f aca="true">IF(AND(F490&gt;=1,R490&gt;=Inputs!$B$10),INDEX(LINEST(OFFSET(D490,-R490,0,R490,1),OFFSET(E490,-R490,0,R490,2)),1,2),"")</f>
        <v>0.986944809096529</v>
      </c>
      <c r="U490" s="29" t="n">
        <f aca="true">IF(AND(F490&gt;=1,R490&gt;=Inputs!$B$10),INDEX(LINEST(OFFSET(D490,-R490,0,R490,1),OFFSET(E490,-R490,0,R490,2)),1,3),"")</f>
        <v>4.58580337691026</v>
      </c>
      <c r="V490" s="29" t="n">
        <f aca="true">IF(AND(F490&gt;=1,R490&gt;=Inputs!$B$10),SQRT(SUMPRODUCT((OFFSET(D490,-R490,0,R490,1)-U490-T490*OFFSET(E490,-R490,0,R490,1)-S490*OFFSET(F490,-R490,0,R490,1))^2)/(R490-3)),"")</f>
        <v>0.00330515361713294</v>
      </c>
      <c r="W490" s="31" t="n">
        <f aca="false">IF(AND(F490&gt;=1,R490&gt;=Inputs!$B$10),(D490-U490-T490*E490-S490*F490)/V490,"")</f>
        <v>0.852162782224927</v>
      </c>
      <c r="X490" s="30" t="n">
        <f aca="false">IF(AB489&lt;&gt;0,AC489+1,0)</f>
        <v>0</v>
      </c>
      <c r="Y490" s="30" t="n">
        <f aca="false">IF(W490="",0,IF(AND(AB489&lt;&gt;0,OR(ABS(W490)&gt;Inputs!$B$7,X490&gt;=Inputs!$B$8,ABS(W490)&lt;Inputs!$B$6)),1,0))</f>
        <v>0</v>
      </c>
      <c r="Z490" s="30" t="n">
        <f aca="false">IF(Y490=1,0,AB489)</f>
        <v>0</v>
      </c>
      <c r="AA490" s="30" t="n">
        <f aca="false">IF(W490="",0,IF(AND(Z490=0,ABS(W490)&gt;Inputs!$B$5,ABS(W490)&lt;=Inputs!$B$7),1,0))</f>
        <v>0</v>
      </c>
      <c r="AB490" s="30" t="n">
        <f aca="false">IF(W490="",0,IF(AA490=1,-SIGN(W490),Z490))</f>
        <v>0</v>
      </c>
      <c r="AC490" s="30" t="n">
        <f aca="false">IF(W490="",0,IF(AA490=1,0,IF(Y490=1,0,X490)))</f>
        <v>0</v>
      </c>
      <c r="AD490" s="30" t="n">
        <f aca="false">IF(AB490=0,0,IF(AB489=AB490,AD489,T490))</f>
        <v>0</v>
      </c>
      <c r="AE490" s="30" t="n">
        <f aca="false">AB490-AB489</f>
        <v>0</v>
      </c>
      <c r="AF490" s="30" t="n">
        <f aca="false">-AD490*AB490</f>
        <v>-0</v>
      </c>
      <c r="AG490" s="30" t="n">
        <f aca="false">AF490-AF489</f>
        <v>0</v>
      </c>
      <c r="AH490" s="30" t="n">
        <f aca="false">MAX(AE490,0)*(Inputs!$B$17+Inputs!$B$18+Inputs!$B$19)+MAX(-AE490,0)*(O490+Inputs!$B$18+Inputs!$B$19)+IF(AND(K490=1,AB490&lt;&gt;0),(Inputs!$B$17+Inputs!$B$18+Inputs!$B$19)+(O490+Inputs!$B$18+Inputs!$B$19),0)+MAX(AG490,0)*(Inputs!$B$20+Inputs!$B$22+Inputs!$B$23)+MAX(-AG490,0)*(Inputs!$B$21+Inputs!$B$22+Inputs!$B$23)</f>
        <v>0</v>
      </c>
      <c r="AI490" s="30" t="n">
        <f aca="false">AB489*(M490-AD489*J490)+AB489*AD489*N490/Inputs!$B$16-AH490</f>
        <v>0</v>
      </c>
      <c r="AJ490" s="30" t="n">
        <f aca="false">MAX(AE490,0)*(Inputs!$B$17+Inputs!$B$24+Inputs!$B$25)+MAX(-AE490,0)*(O490+Inputs!$B$24+Inputs!$B$25)+IF(AND(K490=1,AB490&lt;&gt;0),(Inputs!$B$17+Inputs!$B$24+Inputs!$B$25)+(O490+Inputs!$B$24+Inputs!$B$25),0)+MAX(AG490,0)*(Inputs!$B$20+Inputs!$B$26+Inputs!$B$27)+MAX(-AG490,0)*(Inputs!$B$21+Inputs!$B$26+Inputs!$B$27)</f>
        <v>0</v>
      </c>
      <c r="AK490" s="30" t="n">
        <f aca="false">AB489*(M490-AD489*J490)+AB489*AD489*(N490+Inputs!$B$14)/Inputs!$B$16-AJ490</f>
        <v>0</v>
      </c>
      <c r="AL490" s="30" t="n">
        <f aca="false">IF(AP489&lt;&gt;0,AQ489+1,0)</f>
        <v>0</v>
      </c>
      <c r="AM490" s="30" t="n">
        <f aca="false">IF(W490="",0,IF(AND(AP489&lt;&gt;0,OR(ABS(W490)&gt;Inputs!$B$7,AL490&gt;=Inputs!$B$8,ABS(W490)&lt;Inputs!$B$6)),1,0))</f>
        <v>0</v>
      </c>
      <c r="AN490" s="30" t="n">
        <f aca="false">IF(AM490=1,0,AP489)</f>
        <v>0</v>
      </c>
      <c r="AO490" s="30" t="n">
        <f aca="false">IF(W490="",0,IF(AND(AN490=0,ABS(W490)&gt;Inputs!$B$5,ABS(W490)&lt;=Inputs!$B$7,W490&gt;0),1,0))</f>
        <v>0</v>
      </c>
      <c r="AP490" s="30" t="n">
        <f aca="false">IF(W490="",0,IF(AO490=1,-SIGN(W490),AN490))</f>
        <v>0</v>
      </c>
      <c r="AQ490" s="30" t="n">
        <f aca="false">IF(W490="",0,IF(AO490=1,0,IF(AM490=1,0,AL490)))</f>
        <v>0</v>
      </c>
      <c r="AR490" s="30" t="n">
        <f aca="false">IF(AP490=0,0,IF(AP489=AP490,AR489,T490))</f>
        <v>0</v>
      </c>
      <c r="AS490" s="30" t="n">
        <f aca="false">AP490-AP489</f>
        <v>0</v>
      </c>
      <c r="AT490" s="30" t="n">
        <f aca="false">-AR490*AP490</f>
        <v>-0</v>
      </c>
      <c r="AU490" s="30" t="n">
        <f aca="false">AT490-AT489</f>
        <v>0</v>
      </c>
      <c r="AV490" s="30" t="n">
        <f aca="false">MAX(AS490,0)*(Inputs!$B$17+Inputs!$B$18+Inputs!$B$19)+MAX(-AS490,0)*(O490+Inputs!$B$18+Inputs!$B$19)+IF(AND(K490=1,AP490&lt;&gt;0),(Inputs!$B$17+Inputs!$B$18+Inputs!$B$19)+(O490+Inputs!$B$18+Inputs!$B$19),0)+MAX(AU490,0)*(Inputs!$B$20+Inputs!$B$22+Inputs!$B$23)+MAX(-AU490,0)*(Inputs!$B$21+Inputs!$B$22+Inputs!$B$23)</f>
        <v>0</v>
      </c>
      <c r="AW490" s="30" t="n">
        <f aca="false">AP489*(M490-AR489*J490)+AP489*AR489*N490/Inputs!$B$16-AV490</f>
        <v>0</v>
      </c>
      <c r="AX490" s="30" t="n">
        <f aca="false">AW490-IF(AP489&lt;&gt;0,0.75*AR489*(Inputs!$B$13-N490)/Inputs!$B$16,0)</f>
        <v>0</v>
      </c>
      <c r="AY490" s="30" t="n">
        <f aca="false">MAX(AS490,0)*(Inputs!$B$17+Inputs!$B$18+Inputs!$B$19)+MAX(-AS490,0)*(O490+Inputs!$B$18+Inputs!$B$19)+IF(AND(K490=1,AP490&lt;&gt;0),(Inputs!$B$17+Inputs!$B$18+Inputs!$B$19)+(O490+Inputs!$B$18+Inputs!$B$19),0)</f>
        <v>0</v>
      </c>
      <c r="AZ490" s="30" t="n">
        <f aca="false">AP489*M490-AY490</f>
        <v>0</v>
      </c>
      <c r="BA490" s="32" t="n">
        <f aca="false">BA489+AI490</f>
        <v>0.00429130278454792</v>
      </c>
      <c r="BB490" s="30" t="n">
        <f aca="false">MAX(BB489,BA490)</f>
        <v>0.00429130278454792</v>
      </c>
      <c r="BC490" s="32" t="n">
        <f aca="false">BA490-BB490</f>
        <v>0</v>
      </c>
      <c r="BD490" s="30" t="n">
        <f aca="false">A491-A490</f>
        <v>1</v>
      </c>
    </row>
    <row r="491" customFormat="false" ht="15" hidden="false" customHeight="false" outlineLevel="0" collapsed="false">
      <c r="A491" s="28" t="n">
        <v>45764</v>
      </c>
      <c r="B491" s="0" t="n">
        <v>23846</v>
      </c>
      <c r="C491" s="0" t="n">
        <v>266.36</v>
      </c>
      <c r="D491" s="29" t="n">
        <f aca="false">LN(B491)</f>
        <v>10.0793717673661</v>
      </c>
      <c r="E491" s="29" t="n">
        <f aca="false">LN(C491)</f>
        <v>5.58484877724242</v>
      </c>
      <c r="F491" s="0" t="n">
        <v>486</v>
      </c>
      <c r="G491" s="0" t="n">
        <v>7</v>
      </c>
      <c r="H491" s="29" t="n">
        <f aca="false">D491-E491</f>
        <v>4.49452299012366</v>
      </c>
      <c r="I491" s="29" t="n">
        <f aca="false">D491-D490</f>
        <v>0.0172151867012218</v>
      </c>
      <c r="J491" s="29" t="n">
        <f aca="false">E491-E490</f>
        <v>0.01799393209029</v>
      </c>
      <c r="K491" s="0" t="n">
        <v>0</v>
      </c>
      <c r="L491" s="0" t="n">
        <v>0</v>
      </c>
      <c r="M491" s="29" t="n">
        <f aca="false">IF(L491=1,J491-Carry!$B$9/Inputs!$B$16,I491)</f>
        <v>0.0172151867012218</v>
      </c>
      <c r="N491" s="0" t="n">
        <v>0.06</v>
      </c>
      <c r="O491" s="0" t="n">
        <v>0.0002</v>
      </c>
      <c r="P491" s="29" t="n">
        <f aca="false">D491-('2 Hedge ratio'!$B$6+'2 Hedge ratio'!$B$5*E491)</f>
        <v>0.00112227483977634</v>
      </c>
      <c r="Q491" s="29" t="n">
        <f aca="false">D491-('5 Re-specification'!$B$7+'5 Re-specification'!$B$5*E491+'5 Re-specification'!$B$6*F491)</f>
        <v>0.00208250210856775</v>
      </c>
      <c r="R491" s="30" t="n">
        <f aca="false">MIN(F491,Inputs!$B$9)</f>
        <v>250</v>
      </c>
      <c r="S491" s="29" t="n">
        <f aca="true">IF(AND(F491&gt;=1,R491&gt;=Inputs!$B$10),INDEX(LINEST(OFFSET(D491,-R491,0,R491,1),OFFSET(E491,-R491,0,R491,2)),1,1),"")</f>
        <v>-4.19298613929186E-005</v>
      </c>
      <c r="T491" s="29" t="n">
        <f aca="true">IF(AND(F491&gt;=1,R491&gt;=Inputs!$B$10),INDEX(LINEST(OFFSET(D491,-R491,0,R491,1),OFFSET(E491,-R491,0,R491,2)),1,2),"")</f>
        <v>0.987275461456138</v>
      </c>
      <c r="U491" s="29" t="n">
        <f aca="true">IF(AND(F491&gt;=1,R491&gt;=Inputs!$B$10),INDEX(LINEST(OFFSET(D491,-R491,0,R491,1),OFFSET(E491,-R491,0,R491,2)),1,3),"")</f>
        <v>4.58372675593811</v>
      </c>
      <c r="V491" s="29" t="n">
        <f aca="true">IF(AND(F491&gt;=1,R491&gt;=Inputs!$B$10),SQRT(SUMPRODUCT((OFFSET(D491,-R491,0,R491,1)-U491-T491*OFFSET(E491,-R491,0,R491,1)-S491*OFFSET(F491,-R491,0,R491,1))^2)/(R491-3)),"")</f>
        <v>0.00330071447528154</v>
      </c>
      <c r="W491" s="31" t="n">
        <f aca="false">IF(AND(F491&gt;=1,R491&gt;=Inputs!$B$10),(D491-U491-T491*E491-S491*F491)/V491,"")</f>
        <v>0.678268407320879</v>
      </c>
      <c r="X491" s="30" t="n">
        <f aca="false">IF(AB490&lt;&gt;0,AC490+1,0)</f>
        <v>0</v>
      </c>
      <c r="Y491" s="30" t="n">
        <f aca="false">IF(W491="",0,IF(AND(AB490&lt;&gt;0,OR(ABS(W491)&gt;Inputs!$B$7,X491&gt;=Inputs!$B$8,ABS(W491)&lt;Inputs!$B$6)),1,0))</f>
        <v>0</v>
      </c>
      <c r="Z491" s="30" t="n">
        <f aca="false">IF(Y491=1,0,AB490)</f>
        <v>0</v>
      </c>
      <c r="AA491" s="30" t="n">
        <f aca="false">IF(W491="",0,IF(AND(Z491=0,ABS(W491)&gt;Inputs!$B$5,ABS(W491)&lt;=Inputs!$B$7),1,0))</f>
        <v>0</v>
      </c>
      <c r="AB491" s="30" t="n">
        <f aca="false">IF(W491="",0,IF(AA491=1,-SIGN(W491),Z491))</f>
        <v>0</v>
      </c>
      <c r="AC491" s="30" t="n">
        <f aca="false">IF(W491="",0,IF(AA491=1,0,IF(Y491=1,0,X491)))</f>
        <v>0</v>
      </c>
      <c r="AD491" s="30" t="n">
        <f aca="false">IF(AB491=0,0,IF(AB490=AB491,AD490,T491))</f>
        <v>0</v>
      </c>
      <c r="AE491" s="30" t="n">
        <f aca="false">AB491-AB490</f>
        <v>0</v>
      </c>
      <c r="AF491" s="30" t="n">
        <f aca="false">-AD491*AB491</f>
        <v>-0</v>
      </c>
      <c r="AG491" s="30" t="n">
        <f aca="false">AF491-AF490</f>
        <v>0</v>
      </c>
      <c r="AH491" s="30" t="n">
        <f aca="false">MAX(AE491,0)*(Inputs!$B$17+Inputs!$B$18+Inputs!$B$19)+MAX(-AE491,0)*(O491+Inputs!$B$18+Inputs!$B$19)+IF(AND(K491=1,AB491&lt;&gt;0),(Inputs!$B$17+Inputs!$B$18+Inputs!$B$19)+(O491+Inputs!$B$18+Inputs!$B$19),0)+MAX(AG491,0)*(Inputs!$B$20+Inputs!$B$22+Inputs!$B$23)+MAX(-AG491,0)*(Inputs!$B$21+Inputs!$B$22+Inputs!$B$23)</f>
        <v>0</v>
      </c>
      <c r="AI491" s="30" t="n">
        <f aca="false">AB490*(M491-AD490*J491)+AB490*AD490*N491/Inputs!$B$16-AH491</f>
        <v>0</v>
      </c>
      <c r="AJ491" s="30" t="n">
        <f aca="false">MAX(AE491,0)*(Inputs!$B$17+Inputs!$B$24+Inputs!$B$25)+MAX(-AE491,0)*(O491+Inputs!$B$24+Inputs!$B$25)+IF(AND(K491=1,AB491&lt;&gt;0),(Inputs!$B$17+Inputs!$B$24+Inputs!$B$25)+(O491+Inputs!$B$24+Inputs!$B$25),0)+MAX(AG491,0)*(Inputs!$B$20+Inputs!$B$26+Inputs!$B$27)+MAX(-AG491,0)*(Inputs!$B$21+Inputs!$B$26+Inputs!$B$27)</f>
        <v>0</v>
      </c>
      <c r="AK491" s="30" t="n">
        <f aca="false">AB490*(M491-AD490*J491)+AB490*AD490*(N491+Inputs!$B$14)/Inputs!$B$16-AJ491</f>
        <v>0</v>
      </c>
      <c r="AL491" s="30" t="n">
        <f aca="false">IF(AP490&lt;&gt;0,AQ490+1,0)</f>
        <v>0</v>
      </c>
      <c r="AM491" s="30" t="n">
        <f aca="false">IF(W491="",0,IF(AND(AP490&lt;&gt;0,OR(ABS(W491)&gt;Inputs!$B$7,AL491&gt;=Inputs!$B$8,ABS(W491)&lt;Inputs!$B$6)),1,0))</f>
        <v>0</v>
      </c>
      <c r="AN491" s="30" t="n">
        <f aca="false">IF(AM491=1,0,AP490)</f>
        <v>0</v>
      </c>
      <c r="AO491" s="30" t="n">
        <f aca="false">IF(W491="",0,IF(AND(AN491=0,ABS(W491)&gt;Inputs!$B$5,ABS(W491)&lt;=Inputs!$B$7,W491&gt;0),1,0))</f>
        <v>0</v>
      </c>
      <c r="AP491" s="30" t="n">
        <f aca="false">IF(W491="",0,IF(AO491=1,-SIGN(W491),AN491))</f>
        <v>0</v>
      </c>
      <c r="AQ491" s="30" t="n">
        <f aca="false">IF(W491="",0,IF(AO491=1,0,IF(AM491=1,0,AL491)))</f>
        <v>0</v>
      </c>
      <c r="AR491" s="30" t="n">
        <f aca="false">IF(AP491=0,0,IF(AP490=AP491,AR490,T491))</f>
        <v>0</v>
      </c>
      <c r="AS491" s="30" t="n">
        <f aca="false">AP491-AP490</f>
        <v>0</v>
      </c>
      <c r="AT491" s="30" t="n">
        <f aca="false">-AR491*AP491</f>
        <v>-0</v>
      </c>
      <c r="AU491" s="30" t="n">
        <f aca="false">AT491-AT490</f>
        <v>0</v>
      </c>
      <c r="AV491" s="30" t="n">
        <f aca="false">MAX(AS491,0)*(Inputs!$B$17+Inputs!$B$18+Inputs!$B$19)+MAX(-AS491,0)*(O491+Inputs!$B$18+Inputs!$B$19)+IF(AND(K491=1,AP491&lt;&gt;0),(Inputs!$B$17+Inputs!$B$18+Inputs!$B$19)+(O491+Inputs!$B$18+Inputs!$B$19),0)+MAX(AU491,0)*(Inputs!$B$20+Inputs!$B$22+Inputs!$B$23)+MAX(-AU491,0)*(Inputs!$B$21+Inputs!$B$22+Inputs!$B$23)</f>
        <v>0</v>
      </c>
      <c r="AW491" s="30" t="n">
        <f aca="false">AP490*(M491-AR490*J491)+AP490*AR490*N491/Inputs!$B$16-AV491</f>
        <v>0</v>
      </c>
      <c r="AX491" s="30" t="n">
        <f aca="false">AW491-IF(AP490&lt;&gt;0,0.75*AR490*(Inputs!$B$13-N491)/Inputs!$B$16,0)</f>
        <v>0</v>
      </c>
      <c r="AY491" s="30" t="n">
        <f aca="false">MAX(AS491,0)*(Inputs!$B$17+Inputs!$B$18+Inputs!$B$19)+MAX(-AS491,0)*(O491+Inputs!$B$18+Inputs!$B$19)+IF(AND(K491=1,AP491&lt;&gt;0),(Inputs!$B$17+Inputs!$B$18+Inputs!$B$19)+(O491+Inputs!$B$18+Inputs!$B$19),0)</f>
        <v>0</v>
      </c>
      <c r="AZ491" s="30" t="n">
        <f aca="false">AP490*M491-AY491</f>
        <v>0</v>
      </c>
      <c r="BA491" s="32" t="n">
        <f aca="false">BA490+AI491</f>
        <v>0.00429130278454792</v>
      </c>
      <c r="BB491" s="30" t="n">
        <f aca="false">MAX(BB490,BA491)</f>
        <v>0.00429130278454792</v>
      </c>
      <c r="BC491" s="32" t="n">
        <f aca="false">BA491-BB491</f>
        <v>0</v>
      </c>
      <c r="BD491" s="30" t="n">
        <f aca="false">A492-A491</f>
        <v>4</v>
      </c>
    </row>
    <row r="492" customFormat="false" ht="15" hidden="false" customHeight="false" outlineLevel="0" collapsed="false">
      <c r="A492" s="28" t="n">
        <v>45768</v>
      </c>
      <c r="B492" s="0" t="n">
        <v>24135</v>
      </c>
      <c r="C492" s="0" t="n">
        <v>269.65</v>
      </c>
      <c r="D492" s="29" t="n">
        <f aca="false">LN(B492)</f>
        <v>10.0914183480946</v>
      </c>
      <c r="E492" s="29" t="n">
        <f aca="false">LN(C492)</f>
        <v>5.59712482178324</v>
      </c>
      <c r="F492" s="0" t="n">
        <v>487</v>
      </c>
      <c r="G492" s="0" t="n">
        <v>3</v>
      </c>
      <c r="H492" s="29" t="n">
        <f aca="false">D492-E492</f>
        <v>4.49429352631136</v>
      </c>
      <c r="I492" s="29" t="n">
        <f aca="false">D492-D491</f>
        <v>0.0120465807285175</v>
      </c>
      <c r="J492" s="29" t="n">
        <f aca="false">E492-E491</f>
        <v>0.0122760445408145</v>
      </c>
      <c r="K492" s="0" t="n">
        <v>0</v>
      </c>
      <c r="L492" s="0" t="n">
        <v>0</v>
      </c>
      <c r="M492" s="29" t="n">
        <f aca="false">IF(L492=1,J492-Carry!$B$9/Inputs!$B$16,I492)</f>
        <v>0.0120465807285175</v>
      </c>
      <c r="N492" s="0" t="n">
        <v>0.06</v>
      </c>
      <c r="O492" s="0" t="n">
        <v>0.0002</v>
      </c>
      <c r="P492" s="29" t="n">
        <f aca="false">D492-('2 Hedge ratio'!$B$6+'2 Hedge ratio'!$B$5*E492)</f>
        <v>0.00192244266674813</v>
      </c>
      <c r="Q492" s="29" t="n">
        <f aca="false">D492-('5 Re-specification'!$B$7+'5 Re-specification'!$B$5*E492+'5 Re-specification'!$B$6*F492)</f>
        <v>0.00193517016761113</v>
      </c>
      <c r="R492" s="30" t="n">
        <f aca="false">MIN(F492,Inputs!$B$9)</f>
        <v>250</v>
      </c>
      <c r="S492" s="29" t="n">
        <f aca="true">IF(AND(F492&gt;=1,R492&gt;=Inputs!$B$10),INDEX(LINEST(OFFSET(D492,-R492,0,R492,1),OFFSET(E492,-R492,0,R492,2)),1,1),"")</f>
        <v>-4.16119392572162E-005</v>
      </c>
      <c r="T492" s="29" t="n">
        <f aca="true">IF(AND(F492&gt;=1,R492&gt;=Inputs!$B$10),INDEX(LINEST(OFFSET(D492,-R492,0,R492,1),OFFSET(E492,-R492,0,R492,2)),1,2),"")</f>
        <v>0.987428253827524</v>
      </c>
      <c r="U492" s="29" t="n">
        <f aca="true">IF(AND(F492&gt;=1,R492&gt;=Inputs!$B$10),INDEX(LINEST(OFFSET(D492,-R492,0,R492,1),OFFSET(E492,-R492,0,R492,2)),1,3),"")</f>
        <v>4.58276364204824</v>
      </c>
      <c r="V492" s="29" t="n">
        <f aca="true">IF(AND(F492&gt;=1,R492&gt;=Inputs!$B$10),SQRT(SUMPRODUCT((OFFSET(D492,-R492,0,R492,1)-U492-T492*OFFSET(E492,-R492,0,R492,1)-S492*OFFSET(F492,-R492,0,R492,1))^2)/(R492-3)),"")</f>
        <v>0.00330295091263134</v>
      </c>
      <c r="W492" s="31" t="n">
        <f aca="false">IF(AND(F492&gt;=1,R492&gt;=Inputs!$B$10),(D492-U492-T492*E492-S492*F492)/V492,"")</f>
        <v>0.65412150941902</v>
      </c>
      <c r="X492" s="30" t="n">
        <f aca="false">IF(AB491&lt;&gt;0,AC491+1,0)</f>
        <v>0</v>
      </c>
      <c r="Y492" s="30" t="n">
        <f aca="false">IF(W492="",0,IF(AND(AB491&lt;&gt;0,OR(ABS(W492)&gt;Inputs!$B$7,X492&gt;=Inputs!$B$8,ABS(W492)&lt;Inputs!$B$6)),1,0))</f>
        <v>0</v>
      </c>
      <c r="Z492" s="30" t="n">
        <f aca="false">IF(Y492=1,0,AB491)</f>
        <v>0</v>
      </c>
      <c r="AA492" s="30" t="n">
        <f aca="false">IF(W492="",0,IF(AND(Z492=0,ABS(W492)&gt;Inputs!$B$5,ABS(W492)&lt;=Inputs!$B$7),1,0))</f>
        <v>0</v>
      </c>
      <c r="AB492" s="30" t="n">
        <f aca="false">IF(W492="",0,IF(AA492=1,-SIGN(W492),Z492))</f>
        <v>0</v>
      </c>
      <c r="AC492" s="30" t="n">
        <f aca="false">IF(W492="",0,IF(AA492=1,0,IF(Y492=1,0,X492)))</f>
        <v>0</v>
      </c>
      <c r="AD492" s="30" t="n">
        <f aca="false">IF(AB492=0,0,IF(AB491=AB492,AD491,T492))</f>
        <v>0</v>
      </c>
      <c r="AE492" s="30" t="n">
        <f aca="false">AB492-AB491</f>
        <v>0</v>
      </c>
      <c r="AF492" s="30" t="n">
        <f aca="false">-AD492*AB492</f>
        <v>-0</v>
      </c>
      <c r="AG492" s="30" t="n">
        <f aca="false">AF492-AF491</f>
        <v>0</v>
      </c>
      <c r="AH492" s="30" t="n">
        <f aca="false">MAX(AE492,0)*(Inputs!$B$17+Inputs!$B$18+Inputs!$B$19)+MAX(-AE492,0)*(O492+Inputs!$B$18+Inputs!$B$19)+IF(AND(K492=1,AB492&lt;&gt;0),(Inputs!$B$17+Inputs!$B$18+Inputs!$B$19)+(O492+Inputs!$B$18+Inputs!$B$19),0)+MAX(AG492,0)*(Inputs!$B$20+Inputs!$B$22+Inputs!$B$23)+MAX(-AG492,0)*(Inputs!$B$21+Inputs!$B$22+Inputs!$B$23)</f>
        <v>0</v>
      </c>
      <c r="AI492" s="30" t="n">
        <f aca="false">AB491*(M492-AD491*J492)+AB491*AD491*N492/Inputs!$B$16-AH492</f>
        <v>0</v>
      </c>
      <c r="AJ492" s="30" t="n">
        <f aca="false">MAX(AE492,0)*(Inputs!$B$17+Inputs!$B$24+Inputs!$B$25)+MAX(-AE492,0)*(O492+Inputs!$B$24+Inputs!$B$25)+IF(AND(K492=1,AB492&lt;&gt;0),(Inputs!$B$17+Inputs!$B$24+Inputs!$B$25)+(O492+Inputs!$B$24+Inputs!$B$25),0)+MAX(AG492,0)*(Inputs!$B$20+Inputs!$B$26+Inputs!$B$27)+MAX(-AG492,0)*(Inputs!$B$21+Inputs!$B$26+Inputs!$B$27)</f>
        <v>0</v>
      </c>
      <c r="AK492" s="30" t="n">
        <f aca="false">AB491*(M492-AD491*J492)+AB491*AD491*(N492+Inputs!$B$14)/Inputs!$B$16-AJ492</f>
        <v>0</v>
      </c>
      <c r="AL492" s="30" t="n">
        <f aca="false">IF(AP491&lt;&gt;0,AQ491+1,0)</f>
        <v>0</v>
      </c>
      <c r="AM492" s="30" t="n">
        <f aca="false">IF(W492="",0,IF(AND(AP491&lt;&gt;0,OR(ABS(W492)&gt;Inputs!$B$7,AL492&gt;=Inputs!$B$8,ABS(W492)&lt;Inputs!$B$6)),1,0))</f>
        <v>0</v>
      </c>
      <c r="AN492" s="30" t="n">
        <f aca="false">IF(AM492=1,0,AP491)</f>
        <v>0</v>
      </c>
      <c r="AO492" s="30" t="n">
        <f aca="false">IF(W492="",0,IF(AND(AN492=0,ABS(W492)&gt;Inputs!$B$5,ABS(W492)&lt;=Inputs!$B$7,W492&gt;0),1,0))</f>
        <v>0</v>
      </c>
      <c r="AP492" s="30" t="n">
        <f aca="false">IF(W492="",0,IF(AO492=1,-SIGN(W492),AN492))</f>
        <v>0</v>
      </c>
      <c r="AQ492" s="30" t="n">
        <f aca="false">IF(W492="",0,IF(AO492=1,0,IF(AM492=1,0,AL492)))</f>
        <v>0</v>
      </c>
      <c r="AR492" s="30" t="n">
        <f aca="false">IF(AP492=0,0,IF(AP491=AP492,AR491,T492))</f>
        <v>0</v>
      </c>
      <c r="AS492" s="30" t="n">
        <f aca="false">AP492-AP491</f>
        <v>0</v>
      </c>
      <c r="AT492" s="30" t="n">
        <f aca="false">-AR492*AP492</f>
        <v>-0</v>
      </c>
      <c r="AU492" s="30" t="n">
        <f aca="false">AT492-AT491</f>
        <v>0</v>
      </c>
      <c r="AV492" s="30" t="n">
        <f aca="false">MAX(AS492,0)*(Inputs!$B$17+Inputs!$B$18+Inputs!$B$19)+MAX(-AS492,0)*(O492+Inputs!$B$18+Inputs!$B$19)+IF(AND(K492=1,AP492&lt;&gt;0),(Inputs!$B$17+Inputs!$B$18+Inputs!$B$19)+(O492+Inputs!$B$18+Inputs!$B$19),0)+MAX(AU492,0)*(Inputs!$B$20+Inputs!$B$22+Inputs!$B$23)+MAX(-AU492,0)*(Inputs!$B$21+Inputs!$B$22+Inputs!$B$23)</f>
        <v>0</v>
      </c>
      <c r="AW492" s="30" t="n">
        <f aca="false">AP491*(M492-AR491*J492)+AP491*AR491*N492/Inputs!$B$16-AV492</f>
        <v>0</v>
      </c>
      <c r="AX492" s="30" t="n">
        <f aca="false">AW492-IF(AP491&lt;&gt;0,0.75*AR491*(Inputs!$B$13-N492)/Inputs!$B$16,0)</f>
        <v>0</v>
      </c>
      <c r="AY492" s="30" t="n">
        <f aca="false">MAX(AS492,0)*(Inputs!$B$17+Inputs!$B$18+Inputs!$B$19)+MAX(-AS492,0)*(O492+Inputs!$B$18+Inputs!$B$19)+IF(AND(K492=1,AP492&lt;&gt;0),(Inputs!$B$17+Inputs!$B$18+Inputs!$B$19)+(O492+Inputs!$B$18+Inputs!$B$19),0)</f>
        <v>0</v>
      </c>
      <c r="AZ492" s="30" t="n">
        <f aca="false">AP491*M492-AY492</f>
        <v>0</v>
      </c>
      <c r="BA492" s="32" t="n">
        <f aca="false">BA491+AI492</f>
        <v>0.00429130278454792</v>
      </c>
      <c r="BB492" s="30" t="n">
        <f aca="false">MAX(BB491,BA492)</f>
        <v>0.00429130278454792</v>
      </c>
      <c r="BC492" s="32" t="n">
        <f aca="false">BA492-BB492</f>
        <v>0</v>
      </c>
      <c r="BD492" s="30" t="n">
        <f aca="false">A493-A492</f>
        <v>1</v>
      </c>
    </row>
    <row r="493" customFormat="false" ht="15" hidden="false" customHeight="false" outlineLevel="0" collapsed="false">
      <c r="A493" s="28" t="n">
        <v>45769</v>
      </c>
      <c r="B493" s="0" t="n">
        <v>24165</v>
      </c>
      <c r="C493" s="0" t="n">
        <v>269.95</v>
      </c>
      <c r="D493" s="29" t="n">
        <f aca="false">LN(B493)</f>
        <v>10.0926605842792</v>
      </c>
      <c r="E493" s="29" t="n">
        <f aca="false">LN(C493)</f>
        <v>5.5982367566643</v>
      </c>
      <c r="F493" s="0" t="n">
        <v>488</v>
      </c>
      <c r="G493" s="0" t="n">
        <v>2</v>
      </c>
      <c r="H493" s="29" t="n">
        <f aca="false">D493-E493</f>
        <v>4.49442382761489</v>
      </c>
      <c r="I493" s="29" t="n">
        <f aca="false">D493-D492</f>
        <v>0.00124223618458963</v>
      </c>
      <c r="J493" s="29" t="n">
        <f aca="false">E493-E492</f>
        <v>0.00111193488105954</v>
      </c>
      <c r="K493" s="0" t="n">
        <v>0</v>
      </c>
      <c r="L493" s="0" t="n">
        <v>0</v>
      </c>
      <c r="M493" s="29" t="n">
        <f aca="false">IF(L493=1,J493-Carry!$B$9/Inputs!$B$16,I493)</f>
        <v>0.00124223618458963</v>
      </c>
      <c r="N493" s="0" t="n">
        <v>0.06</v>
      </c>
      <c r="O493" s="0" t="n">
        <v>0.0002</v>
      </c>
      <c r="P493" s="29" t="n">
        <f aca="false">D493-('2 Hedge ratio'!$B$6+'2 Hedge ratio'!$B$5*E493)</f>
        <v>0.00214600555225886</v>
      </c>
      <c r="Q493" s="29" t="n">
        <f aca="false">D493-('5 Re-specification'!$B$7+'5 Re-specification'!$B$5*E493+'5 Re-specification'!$B$6*F493)</f>
        <v>0.00211377050791661</v>
      </c>
      <c r="R493" s="30" t="n">
        <f aca="false">MIN(F493,Inputs!$B$9)</f>
        <v>250</v>
      </c>
      <c r="S493" s="29" t="n">
        <f aca="true">IF(AND(F493&gt;=1,R493&gt;=Inputs!$B$10),INDEX(LINEST(OFFSET(D493,-R493,0,R493,1),OFFSET(E493,-R493,0,R493,2)),1,1),"")</f>
        <v>-4.12655694284862E-005</v>
      </c>
      <c r="T493" s="29" t="n">
        <f aca="true">IF(AND(F493&gt;=1,R493&gt;=Inputs!$B$10),INDEX(LINEST(OFFSET(D493,-R493,0,R493,1),OFFSET(E493,-R493,0,R493,2)),1,2),"")</f>
        <v>0.987737198669899</v>
      </c>
      <c r="U493" s="29" t="n">
        <f aca="true">IF(AND(F493&gt;=1,R493&gt;=Inputs!$B$10),INDEX(LINEST(OFFSET(D493,-R493,0,R493,1),OFFSET(E493,-R493,0,R493,2)),1,3),"")</f>
        <v>4.58091646929901</v>
      </c>
      <c r="V493" s="29" t="n">
        <f aca="true">IF(AND(F493&gt;=1,R493&gt;=Inputs!$B$10),SQRT(SUMPRODUCT((OFFSET(D493,-R493,0,R493,1)-U493-T493*OFFSET(E493,-R493,0,R493,1)-S493*OFFSET(F493,-R493,0,R493,1))^2)/(R493-3)),"")</f>
        <v>0.00330433853856525</v>
      </c>
      <c r="W493" s="31" t="n">
        <f aca="false">IF(AND(F493&gt;=1,R493&gt;=Inputs!$B$10),(D493-U493-T493*E493-S493*F493)/V493,"")</f>
        <v>0.694547884859778</v>
      </c>
      <c r="X493" s="30" t="n">
        <f aca="false">IF(AB492&lt;&gt;0,AC492+1,0)</f>
        <v>0</v>
      </c>
      <c r="Y493" s="30" t="n">
        <f aca="false">IF(W493="",0,IF(AND(AB492&lt;&gt;0,OR(ABS(W493)&gt;Inputs!$B$7,X493&gt;=Inputs!$B$8,ABS(W493)&lt;Inputs!$B$6)),1,0))</f>
        <v>0</v>
      </c>
      <c r="Z493" s="30" t="n">
        <f aca="false">IF(Y493=1,0,AB492)</f>
        <v>0</v>
      </c>
      <c r="AA493" s="30" t="n">
        <f aca="false">IF(W493="",0,IF(AND(Z493=0,ABS(W493)&gt;Inputs!$B$5,ABS(W493)&lt;=Inputs!$B$7),1,0))</f>
        <v>0</v>
      </c>
      <c r="AB493" s="30" t="n">
        <f aca="false">IF(W493="",0,IF(AA493=1,-SIGN(W493),Z493))</f>
        <v>0</v>
      </c>
      <c r="AC493" s="30" t="n">
        <f aca="false">IF(W493="",0,IF(AA493=1,0,IF(Y493=1,0,X493)))</f>
        <v>0</v>
      </c>
      <c r="AD493" s="30" t="n">
        <f aca="false">IF(AB493=0,0,IF(AB492=AB493,AD492,T493))</f>
        <v>0</v>
      </c>
      <c r="AE493" s="30" t="n">
        <f aca="false">AB493-AB492</f>
        <v>0</v>
      </c>
      <c r="AF493" s="30" t="n">
        <f aca="false">-AD493*AB493</f>
        <v>-0</v>
      </c>
      <c r="AG493" s="30" t="n">
        <f aca="false">AF493-AF492</f>
        <v>0</v>
      </c>
      <c r="AH493" s="30" t="n">
        <f aca="false">MAX(AE493,0)*(Inputs!$B$17+Inputs!$B$18+Inputs!$B$19)+MAX(-AE493,0)*(O493+Inputs!$B$18+Inputs!$B$19)+IF(AND(K493=1,AB493&lt;&gt;0),(Inputs!$B$17+Inputs!$B$18+Inputs!$B$19)+(O493+Inputs!$B$18+Inputs!$B$19),0)+MAX(AG493,0)*(Inputs!$B$20+Inputs!$B$22+Inputs!$B$23)+MAX(-AG493,0)*(Inputs!$B$21+Inputs!$B$22+Inputs!$B$23)</f>
        <v>0</v>
      </c>
      <c r="AI493" s="30" t="n">
        <f aca="false">AB492*(M493-AD492*J493)+AB492*AD492*N493/Inputs!$B$16-AH493</f>
        <v>0</v>
      </c>
      <c r="AJ493" s="30" t="n">
        <f aca="false">MAX(AE493,0)*(Inputs!$B$17+Inputs!$B$24+Inputs!$B$25)+MAX(-AE493,0)*(O493+Inputs!$B$24+Inputs!$B$25)+IF(AND(K493=1,AB493&lt;&gt;0),(Inputs!$B$17+Inputs!$B$24+Inputs!$B$25)+(O493+Inputs!$B$24+Inputs!$B$25),0)+MAX(AG493,0)*(Inputs!$B$20+Inputs!$B$26+Inputs!$B$27)+MAX(-AG493,0)*(Inputs!$B$21+Inputs!$B$26+Inputs!$B$27)</f>
        <v>0</v>
      </c>
      <c r="AK493" s="30" t="n">
        <f aca="false">AB492*(M493-AD492*J493)+AB492*AD492*(N493+Inputs!$B$14)/Inputs!$B$16-AJ493</f>
        <v>0</v>
      </c>
      <c r="AL493" s="30" t="n">
        <f aca="false">IF(AP492&lt;&gt;0,AQ492+1,0)</f>
        <v>0</v>
      </c>
      <c r="AM493" s="30" t="n">
        <f aca="false">IF(W493="",0,IF(AND(AP492&lt;&gt;0,OR(ABS(W493)&gt;Inputs!$B$7,AL493&gt;=Inputs!$B$8,ABS(W493)&lt;Inputs!$B$6)),1,0))</f>
        <v>0</v>
      </c>
      <c r="AN493" s="30" t="n">
        <f aca="false">IF(AM493=1,0,AP492)</f>
        <v>0</v>
      </c>
      <c r="AO493" s="30" t="n">
        <f aca="false">IF(W493="",0,IF(AND(AN493=0,ABS(W493)&gt;Inputs!$B$5,ABS(W493)&lt;=Inputs!$B$7,W493&gt;0),1,0))</f>
        <v>0</v>
      </c>
      <c r="AP493" s="30" t="n">
        <f aca="false">IF(W493="",0,IF(AO493=1,-SIGN(W493),AN493))</f>
        <v>0</v>
      </c>
      <c r="AQ493" s="30" t="n">
        <f aca="false">IF(W493="",0,IF(AO493=1,0,IF(AM493=1,0,AL493)))</f>
        <v>0</v>
      </c>
      <c r="AR493" s="30" t="n">
        <f aca="false">IF(AP493=0,0,IF(AP492=AP493,AR492,T493))</f>
        <v>0</v>
      </c>
      <c r="AS493" s="30" t="n">
        <f aca="false">AP493-AP492</f>
        <v>0</v>
      </c>
      <c r="AT493" s="30" t="n">
        <f aca="false">-AR493*AP493</f>
        <v>-0</v>
      </c>
      <c r="AU493" s="30" t="n">
        <f aca="false">AT493-AT492</f>
        <v>0</v>
      </c>
      <c r="AV493" s="30" t="n">
        <f aca="false">MAX(AS493,0)*(Inputs!$B$17+Inputs!$B$18+Inputs!$B$19)+MAX(-AS493,0)*(O493+Inputs!$B$18+Inputs!$B$19)+IF(AND(K493=1,AP493&lt;&gt;0),(Inputs!$B$17+Inputs!$B$18+Inputs!$B$19)+(O493+Inputs!$B$18+Inputs!$B$19),0)+MAX(AU493,0)*(Inputs!$B$20+Inputs!$B$22+Inputs!$B$23)+MAX(-AU493,0)*(Inputs!$B$21+Inputs!$B$22+Inputs!$B$23)</f>
        <v>0</v>
      </c>
      <c r="AW493" s="30" t="n">
        <f aca="false">AP492*(M493-AR492*J493)+AP492*AR492*N493/Inputs!$B$16-AV493</f>
        <v>0</v>
      </c>
      <c r="AX493" s="30" t="n">
        <f aca="false">AW493-IF(AP492&lt;&gt;0,0.75*AR492*(Inputs!$B$13-N493)/Inputs!$B$16,0)</f>
        <v>0</v>
      </c>
      <c r="AY493" s="30" t="n">
        <f aca="false">MAX(AS493,0)*(Inputs!$B$17+Inputs!$B$18+Inputs!$B$19)+MAX(-AS493,0)*(O493+Inputs!$B$18+Inputs!$B$19)+IF(AND(K493=1,AP493&lt;&gt;0),(Inputs!$B$17+Inputs!$B$18+Inputs!$B$19)+(O493+Inputs!$B$18+Inputs!$B$19),0)</f>
        <v>0</v>
      </c>
      <c r="AZ493" s="30" t="n">
        <f aca="false">AP492*M493-AY493</f>
        <v>0</v>
      </c>
      <c r="BA493" s="32" t="n">
        <f aca="false">BA492+AI493</f>
        <v>0.00429130278454792</v>
      </c>
      <c r="BB493" s="30" t="n">
        <f aca="false">MAX(BB492,BA493)</f>
        <v>0.00429130278454792</v>
      </c>
      <c r="BC493" s="32" t="n">
        <f aca="false">BA493-BB493</f>
        <v>0</v>
      </c>
      <c r="BD493" s="30" t="n">
        <f aca="false">A494-A493</f>
        <v>1</v>
      </c>
    </row>
    <row r="494" customFormat="false" ht="15" hidden="false" customHeight="false" outlineLevel="0" collapsed="false">
      <c r="A494" s="28" t="n">
        <v>45770</v>
      </c>
      <c r="B494" s="0" t="n">
        <v>24306.9</v>
      </c>
      <c r="C494" s="0" t="n">
        <v>271.49</v>
      </c>
      <c r="D494" s="29" t="n">
        <f aca="false">LN(B494)</f>
        <v>10.0985155396396</v>
      </c>
      <c r="E494" s="29" t="n">
        <f aca="false">LN(C494)</f>
        <v>5.60392530628314</v>
      </c>
      <c r="F494" s="0" t="n">
        <v>489</v>
      </c>
      <c r="G494" s="0" t="n">
        <v>1</v>
      </c>
      <c r="H494" s="29" t="n">
        <f aca="false">D494-E494</f>
        <v>4.49459023335644</v>
      </c>
      <c r="I494" s="29" t="n">
        <f aca="false">D494-D493</f>
        <v>0.00585495536039282</v>
      </c>
      <c r="J494" s="29" t="n">
        <f aca="false">E494-E493</f>
        <v>0.00568854961884124</v>
      </c>
      <c r="K494" s="0" t="n">
        <v>0</v>
      </c>
      <c r="L494" s="0" t="n">
        <v>0</v>
      </c>
      <c r="M494" s="29" t="n">
        <f aca="false">IF(L494=1,J494-Carry!$B$9/Inputs!$B$16,I494)</f>
        <v>0.00585495536039282</v>
      </c>
      <c r="N494" s="0" t="n">
        <v>0.06</v>
      </c>
      <c r="O494" s="0" t="n">
        <v>0.0002</v>
      </c>
      <c r="P494" s="29" t="n">
        <f aca="false">D494-('2 Hedge ratio'!$B$6+'2 Hedge ratio'!$B$5*E494)</f>
        <v>0.00278952838552904</v>
      </c>
      <c r="Q494" s="29" t="n">
        <f aca="false">D494-('5 Re-specification'!$B$7+'5 Re-specification'!$B$5*E494+'5 Re-specification'!$B$6*F494)</f>
        <v>0.00234234471730588</v>
      </c>
      <c r="R494" s="30" t="n">
        <f aca="false">MIN(F494,Inputs!$B$9)</f>
        <v>250</v>
      </c>
      <c r="S494" s="29" t="n">
        <f aca="true">IF(AND(F494&gt;=1,R494&gt;=Inputs!$B$10),INDEX(LINEST(OFFSET(D494,-R494,0,R494,1),OFFSET(E494,-R494,0,R494,2)),1,1),"")</f>
        <v>-4.11012884274933E-005</v>
      </c>
      <c r="T494" s="29" t="n">
        <f aca="true">IF(AND(F494&gt;=1,R494&gt;=Inputs!$B$10),INDEX(LINEST(OFFSET(D494,-R494,0,R494,1),OFFSET(E494,-R494,0,R494,2)),1,2),"")</f>
        <v>0.987721509834043</v>
      </c>
      <c r="U494" s="29" t="n">
        <f aca="true">IF(AND(F494&gt;=1,R494&gt;=Inputs!$B$10),INDEX(LINEST(OFFSET(D494,-R494,0,R494,1),OFFSET(E494,-R494,0,R494,2)),1,3),"")</f>
        <v>4.58095579588378</v>
      </c>
      <c r="V494" s="29" t="n">
        <f aca="true">IF(AND(F494&gt;=1,R494&gt;=Inputs!$B$10),SQRT(SUMPRODUCT((OFFSET(D494,-R494,0,R494,1)-U494-T494*OFFSET(E494,-R494,0,R494,1)-S494*OFFSET(F494,-R494,0,R494,1))^2)/(R494-3)),"")</f>
        <v>0.00330732099606107</v>
      </c>
      <c r="W494" s="31" t="n">
        <f aca="false">IF(AND(F494&gt;=1,R494&gt;=Inputs!$B$10),(D494-U494-T494*E494-S494*F494)/V494,"")</f>
        <v>0.768207646213401</v>
      </c>
      <c r="X494" s="30" t="n">
        <f aca="false">IF(AB493&lt;&gt;0,AC493+1,0)</f>
        <v>0</v>
      </c>
      <c r="Y494" s="30" t="n">
        <f aca="false">IF(W494="",0,IF(AND(AB493&lt;&gt;0,OR(ABS(W494)&gt;Inputs!$B$7,X494&gt;=Inputs!$B$8,ABS(W494)&lt;Inputs!$B$6)),1,0))</f>
        <v>0</v>
      </c>
      <c r="Z494" s="30" t="n">
        <f aca="false">IF(Y494=1,0,AB493)</f>
        <v>0</v>
      </c>
      <c r="AA494" s="30" t="n">
        <f aca="false">IF(W494="",0,IF(AND(Z494=0,ABS(W494)&gt;Inputs!$B$5,ABS(W494)&lt;=Inputs!$B$7),1,0))</f>
        <v>0</v>
      </c>
      <c r="AB494" s="30" t="n">
        <f aca="false">IF(W494="",0,IF(AA494=1,-SIGN(W494),Z494))</f>
        <v>0</v>
      </c>
      <c r="AC494" s="30" t="n">
        <f aca="false">IF(W494="",0,IF(AA494=1,0,IF(Y494=1,0,X494)))</f>
        <v>0</v>
      </c>
      <c r="AD494" s="30" t="n">
        <f aca="false">IF(AB494=0,0,IF(AB493=AB494,AD493,T494))</f>
        <v>0</v>
      </c>
      <c r="AE494" s="30" t="n">
        <f aca="false">AB494-AB493</f>
        <v>0</v>
      </c>
      <c r="AF494" s="30" t="n">
        <f aca="false">-AD494*AB494</f>
        <v>-0</v>
      </c>
      <c r="AG494" s="30" t="n">
        <f aca="false">AF494-AF493</f>
        <v>0</v>
      </c>
      <c r="AH494" s="30" t="n">
        <f aca="false">MAX(AE494,0)*(Inputs!$B$17+Inputs!$B$18+Inputs!$B$19)+MAX(-AE494,0)*(O494+Inputs!$B$18+Inputs!$B$19)+IF(AND(K494=1,AB494&lt;&gt;0),(Inputs!$B$17+Inputs!$B$18+Inputs!$B$19)+(O494+Inputs!$B$18+Inputs!$B$19),0)+MAX(AG494,0)*(Inputs!$B$20+Inputs!$B$22+Inputs!$B$23)+MAX(-AG494,0)*(Inputs!$B$21+Inputs!$B$22+Inputs!$B$23)</f>
        <v>0</v>
      </c>
      <c r="AI494" s="30" t="n">
        <f aca="false">AB493*(M494-AD493*J494)+AB493*AD493*N494/Inputs!$B$16-AH494</f>
        <v>0</v>
      </c>
      <c r="AJ494" s="30" t="n">
        <f aca="false">MAX(AE494,0)*(Inputs!$B$17+Inputs!$B$24+Inputs!$B$25)+MAX(-AE494,0)*(O494+Inputs!$B$24+Inputs!$B$25)+IF(AND(K494=1,AB494&lt;&gt;0),(Inputs!$B$17+Inputs!$B$24+Inputs!$B$25)+(O494+Inputs!$B$24+Inputs!$B$25),0)+MAX(AG494,0)*(Inputs!$B$20+Inputs!$B$26+Inputs!$B$27)+MAX(-AG494,0)*(Inputs!$B$21+Inputs!$B$26+Inputs!$B$27)</f>
        <v>0</v>
      </c>
      <c r="AK494" s="30" t="n">
        <f aca="false">AB493*(M494-AD493*J494)+AB493*AD493*(N494+Inputs!$B$14)/Inputs!$B$16-AJ494</f>
        <v>0</v>
      </c>
      <c r="AL494" s="30" t="n">
        <f aca="false">IF(AP493&lt;&gt;0,AQ493+1,0)</f>
        <v>0</v>
      </c>
      <c r="AM494" s="30" t="n">
        <f aca="false">IF(W494="",0,IF(AND(AP493&lt;&gt;0,OR(ABS(W494)&gt;Inputs!$B$7,AL494&gt;=Inputs!$B$8,ABS(W494)&lt;Inputs!$B$6)),1,0))</f>
        <v>0</v>
      </c>
      <c r="AN494" s="30" t="n">
        <f aca="false">IF(AM494=1,0,AP493)</f>
        <v>0</v>
      </c>
      <c r="AO494" s="30" t="n">
        <f aca="false">IF(W494="",0,IF(AND(AN494=0,ABS(W494)&gt;Inputs!$B$5,ABS(W494)&lt;=Inputs!$B$7,W494&gt;0),1,0))</f>
        <v>0</v>
      </c>
      <c r="AP494" s="30" t="n">
        <f aca="false">IF(W494="",0,IF(AO494=1,-SIGN(W494),AN494))</f>
        <v>0</v>
      </c>
      <c r="AQ494" s="30" t="n">
        <f aca="false">IF(W494="",0,IF(AO494=1,0,IF(AM494=1,0,AL494)))</f>
        <v>0</v>
      </c>
      <c r="AR494" s="30" t="n">
        <f aca="false">IF(AP494=0,0,IF(AP493=AP494,AR493,T494))</f>
        <v>0</v>
      </c>
      <c r="AS494" s="30" t="n">
        <f aca="false">AP494-AP493</f>
        <v>0</v>
      </c>
      <c r="AT494" s="30" t="n">
        <f aca="false">-AR494*AP494</f>
        <v>-0</v>
      </c>
      <c r="AU494" s="30" t="n">
        <f aca="false">AT494-AT493</f>
        <v>0</v>
      </c>
      <c r="AV494" s="30" t="n">
        <f aca="false">MAX(AS494,0)*(Inputs!$B$17+Inputs!$B$18+Inputs!$B$19)+MAX(-AS494,0)*(O494+Inputs!$B$18+Inputs!$B$19)+IF(AND(K494=1,AP494&lt;&gt;0),(Inputs!$B$17+Inputs!$B$18+Inputs!$B$19)+(O494+Inputs!$B$18+Inputs!$B$19),0)+MAX(AU494,0)*(Inputs!$B$20+Inputs!$B$22+Inputs!$B$23)+MAX(-AU494,0)*(Inputs!$B$21+Inputs!$B$22+Inputs!$B$23)</f>
        <v>0</v>
      </c>
      <c r="AW494" s="30" t="n">
        <f aca="false">AP493*(M494-AR493*J494)+AP493*AR493*N494/Inputs!$B$16-AV494</f>
        <v>0</v>
      </c>
      <c r="AX494" s="30" t="n">
        <f aca="false">AW494-IF(AP493&lt;&gt;0,0.75*AR493*(Inputs!$B$13-N494)/Inputs!$B$16,0)</f>
        <v>0</v>
      </c>
      <c r="AY494" s="30" t="n">
        <f aca="false">MAX(AS494,0)*(Inputs!$B$17+Inputs!$B$18+Inputs!$B$19)+MAX(-AS494,0)*(O494+Inputs!$B$18+Inputs!$B$19)+IF(AND(K494=1,AP494&lt;&gt;0),(Inputs!$B$17+Inputs!$B$18+Inputs!$B$19)+(O494+Inputs!$B$18+Inputs!$B$19),0)</f>
        <v>0</v>
      </c>
      <c r="AZ494" s="30" t="n">
        <f aca="false">AP493*M494-AY494</f>
        <v>0</v>
      </c>
      <c r="BA494" s="32" t="n">
        <f aca="false">BA493+AI494</f>
        <v>0.00429130278454792</v>
      </c>
      <c r="BB494" s="30" t="n">
        <f aca="false">MAX(BB493,BA494)</f>
        <v>0.00429130278454792</v>
      </c>
      <c r="BC494" s="32" t="n">
        <f aca="false">BA494-BB494</f>
        <v>0</v>
      </c>
      <c r="BD494" s="30" t="n">
        <f aca="false">A495-A494</f>
        <v>1</v>
      </c>
    </row>
    <row r="495" customFormat="false" ht="15" hidden="false" customHeight="false" outlineLevel="0" collapsed="false">
      <c r="A495" s="28" t="n">
        <v>45771</v>
      </c>
      <c r="B495" s="0" t="n">
        <v>24248</v>
      </c>
      <c r="C495" s="0" t="n">
        <v>270.95</v>
      </c>
      <c r="D495" s="29" t="n">
        <f aca="false">LN(B495)</f>
        <v>10.0960894187376</v>
      </c>
      <c r="E495" s="29" t="n">
        <f aca="false">LN(C495)</f>
        <v>5.60193430201212</v>
      </c>
      <c r="F495" s="0" t="n">
        <v>490</v>
      </c>
      <c r="G495" s="0" t="n">
        <v>0</v>
      </c>
      <c r="H495" s="29" t="n">
        <f aca="false">D495-E495</f>
        <v>4.49415511672552</v>
      </c>
      <c r="I495" s="29" t="n">
        <f aca="false">D495-D494</f>
        <v>-0.00242612090193717</v>
      </c>
      <c r="J495" s="29" t="n">
        <f aca="false">E495-E494</f>
        <v>-0.00199100427101406</v>
      </c>
      <c r="K495" s="0" t="n">
        <v>1</v>
      </c>
      <c r="L495" s="0" t="n">
        <v>0</v>
      </c>
      <c r="M495" s="29" t="n">
        <f aca="false">IF(L495=1,J495-Carry!$B$9/Inputs!$B$16,I495)</f>
        <v>-0.00242612090193717</v>
      </c>
      <c r="N495" s="0" t="n">
        <v>0.06</v>
      </c>
      <c r="O495" s="0" t="n">
        <v>0.0002</v>
      </c>
      <c r="P495" s="29" t="n">
        <f aca="false">D495-('2 Hedge ratio'!$B$6+'2 Hedge ratio'!$B$5*E495)</f>
        <v>0.00218741977404235</v>
      </c>
      <c r="Q495" s="29" t="n">
        <f aca="false">D495-('5 Re-specification'!$B$7+'5 Re-specification'!$B$5*E495+'5 Re-specification'!$B$6*F495)</f>
        <v>0.001946123665995</v>
      </c>
      <c r="R495" s="30" t="n">
        <f aca="false">MIN(F495,Inputs!$B$9)</f>
        <v>250</v>
      </c>
      <c r="S495" s="29" t="n">
        <f aca="true">IF(AND(F495&gt;=1,R495&gt;=Inputs!$B$10),INDEX(LINEST(OFFSET(D495,-R495,0,R495,1),OFFSET(E495,-R495,0,R495,2)),1,1),"")</f>
        <v>-4.08771627028867E-005</v>
      </c>
      <c r="T495" s="29" t="n">
        <f aca="true">IF(AND(F495&gt;=1,R495&gt;=Inputs!$B$10),INDEX(LINEST(OFFSET(D495,-R495,0,R495,1),OFFSET(E495,-R495,0,R495,2)),1,2),"")</f>
        <v>0.987813895675565</v>
      </c>
      <c r="U495" s="29" t="n">
        <f aca="true">IF(AND(F495&gt;=1,R495&gt;=Inputs!$B$10),INDEX(LINEST(OFFSET(D495,-R495,0,R495,1),OFFSET(E495,-R495,0,R495,2)),1,3),"")</f>
        <v>4.58036934150017</v>
      </c>
      <c r="V495" s="29" t="n">
        <f aca="true">IF(AND(F495&gt;=1,R495&gt;=Inputs!$B$10),SQRT(SUMPRODUCT((OFFSET(D495,-R495,0,R495,1)-U495-T495*OFFSET(E495,-R495,0,R495,1)-S495*OFFSET(F495,-R495,0,R495,1))^2)/(R495-3)),"")</f>
        <v>0.0033111855798</v>
      </c>
      <c r="W495" s="31" t="n">
        <f aca="false">IF(AND(F495&gt;=1,R495&gt;=Inputs!$B$10),(D495-U495-T495*E495-S495*F495)/V495,"")</f>
        <v>0.628578713743567</v>
      </c>
      <c r="X495" s="30" t="n">
        <f aca="false">IF(AB494&lt;&gt;0,AC494+1,0)</f>
        <v>0</v>
      </c>
      <c r="Y495" s="30" t="n">
        <f aca="false">IF(W495="",0,IF(AND(AB494&lt;&gt;0,OR(ABS(W495)&gt;Inputs!$B$7,X495&gt;=Inputs!$B$8,ABS(W495)&lt;Inputs!$B$6)),1,0))</f>
        <v>0</v>
      </c>
      <c r="Z495" s="30" t="n">
        <f aca="false">IF(Y495=1,0,AB494)</f>
        <v>0</v>
      </c>
      <c r="AA495" s="30" t="n">
        <f aca="false">IF(W495="",0,IF(AND(Z495=0,ABS(W495)&gt;Inputs!$B$5,ABS(W495)&lt;=Inputs!$B$7),1,0))</f>
        <v>0</v>
      </c>
      <c r="AB495" s="30" t="n">
        <f aca="false">IF(W495="",0,IF(AA495=1,-SIGN(W495),Z495))</f>
        <v>0</v>
      </c>
      <c r="AC495" s="30" t="n">
        <f aca="false">IF(W495="",0,IF(AA495=1,0,IF(Y495=1,0,X495)))</f>
        <v>0</v>
      </c>
      <c r="AD495" s="30" t="n">
        <f aca="false">IF(AB495=0,0,IF(AB494=AB495,AD494,T495))</f>
        <v>0</v>
      </c>
      <c r="AE495" s="30" t="n">
        <f aca="false">AB495-AB494</f>
        <v>0</v>
      </c>
      <c r="AF495" s="30" t="n">
        <f aca="false">-AD495*AB495</f>
        <v>-0</v>
      </c>
      <c r="AG495" s="30" t="n">
        <f aca="false">AF495-AF494</f>
        <v>0</v>
      </c>
      <c r="AH495" s="30" t="n">
        <f aca="false">MAX(AE495,0)*(Inputs!$B$17+Inputs!$B$18+Inputs!$B$19)+MAX(-AE495,0)*(O495+Inputs!$B$18+Inputs!$B$19)+IF(AND(K495=1,AB495&lt;&gt;0),(Inputs!$B$17+Inputs!$B$18+Inputs!$B$19)+(O495+Inputs!$B$18+Inputs!$B$19),0)+MAX(AG495,0)*(Inputs!$B$20+Inputs!$B$22+Inputs!$B$23)+MAX(-AG495,0)*(Inputs!$B$21+Inputs!$B$22+Inputs!$B$23)</f>
        <v>0</v>
      </c>
      <c r="AI495" s="30" t="n">
        <f aca="false">AB494*(M495-AD494*J495)+AB494*AD494*N495/Inputs!$B$16-AH495</f>
        <v>0</v>
      </c>
      <c r="AJ495" s="30" t="n">
        <f aca="false">MAX(AE495,0)*(Inputs!$B$17+Inputs!$B$24+Inputs!$B$25)+MAX(-AE495,0)*(O495+Inputs!$B$24+Inputs!$B$25)+IF(AND(K495=1,AB495&lt;&gt;0),(Inputs!$B$17+Inputs!$B$24+Inputs!$B$25)+(O495+Inputs!$B$24+Inputs!$B$25),0)+MAX(AG495,0)*(Inputs!$B$20+Inputs!$B$26+Inputs!$B$27)+MAX(-AG495,0)*(Inputs!$B$21+Inputs!$B$26+Inputs!$B$27)</f>
        <v>0</v>
      </c>
      <c r="AK495" s="30" t="n">
        <f aca="false">AB494*(M495-AD494*J495)+AB494*AD494*(N495+Inputs!$B$14)/Inputs!$B$16-AJ495</f>
        <v>0</v>
      </c>
      <c r="AL495" s="30" t="n">
        <f aca="false">IF(AP494&lt;&gt;0,AQ494+1,0)</f>
        <v>0</v>
      </c>
      <c r="AM495" s="30" t="n">
        <f aca="false">IF(W495="",0,IF(AND(AP494&lt;&gt;0,OR(ABS(W495)&gt;Inputs!$B$7,AL495&gt;=Inputs!$B$8,ABS(W495)&lt;Inputs!$B$6)),1,0))</f>
        <v>0</v>
      </c>
      <c r="AN495" s="30" t="n">
        <f aca="false">IF(AM495=1,0,AP494)</f>
        <v>0</v>
      </c>
      <c r="AO495" s="30" t="n">
        <f aca="false">IF(W495="",0,IF(AND(AN495=0,ABS(W495)&gt;Inputs!$B$5,ABS(W495)&lt;=Inputs!$B$7,W495&gt;0),1,0))</f>
        <v>0</v>
      </c>
      <c r="AP495" s="30" t="n">
        <f aca="false">IF(W495="",0,IF(AO495=1,-SIGN(W495),AN495))</f>
        <v>0</v>
      </c>
      <c r="AQ495" s="30" t="n">
        <f aca="false">IF(W495="",0,IF(AO495=1,0,IF(AM495=1,0,AL495)))</f>
        <v>0</v>
      </c>
      <c r="AR495" s="30" t="n">
        <f aca="false">IF(AP495=0,0,IF(AP494=AP495,AR494,T495))</f>
        <v>0</v>
      </c>
      <c r="AS495" s="30" t="n">
        <f aca="false">AP495-AP494</f>
        <v>0</v>
      </c>
      <c r="AT495" s="30" t="n">
        <f aca="false">-AR495*AP495</f>
        <v>-0</v>
      </c>
      <c r="AU495" s="30" t="n">
        <f aca="false">AT495-AT494</f>
        <v>0</v>
      </c>
      <c r="AV495" s="30" t="n">
        <f aca="false">MAX(AS495,0)*(Inputs!$B$17+Inputs!$B$18+Inputs!$B$19)+MAX(-AS495,0)*(O495+Inputs!$B$18+Inputs!$B$19)+IF(AND(K495=1,AP495&lt;&gt;0),(Inputs!$B$17+Inputs!$B$18+Inputs!$B$19)+(O495+Inputs!$B$18+Inputs!$B$19),0)+MAX(AU495,0)*(Inputs!$B$20+Inputs!$B$22+Inputs!$B$23)+MAX(-AU495,0)*(Inputs!$B$21+Inputs!$B$22+Inputs!$B$23)</f>
        <v>0</v>
      </c>
      <c r="AW495" s="30" t="n">
        <f aca="false">AP494*(M495-AR494*J495)+AP494*AR494*N495/Inputs!$B$16-AV495</f>
        <v>0</v>
      </c>
      <c r="AX495" s="30" t="n">
        <f aca="false">AW495-IF(AP494&lt;&gt;0,0.75*AR494*(Inputs!$B$13-N495)/Inputs!$B$16,0)</f>
        <v>0</v>
      </c>
      <c r="AY495" s="30" t="n">
        <f aca="false">MAX(AS495,0)*(Inputs!$B$17+Inputs!$B$18+Inputs!$B$19)+MAX(-AS495,0)*(O495+Inputs!$B$18+Inputs!$B$19)+IF(AND(K495=1,AP495&lt;&gt;0),(Inputs!$B$17+Inputs!$B$18+Inputs!$B$19)+(O495+Inputs!$B$18+Inputs!$B$19),0)</f>
        <v>0</v>
      </c>
      <c r="AZ495" s="30" t="n">
        <f aca="false">AP494*M495-AY495</f>
        <v>-0</v>
      </c>
      <c r="BA495" s="32" t="n">
        <f aca="false">BA494+AI495</f>
        <v>0.00429130278454792</v>
      </c>
      <c r="BB495" s="30" t="n">
        <f aca="false">MAX(BB494,BA495)</f>
        <v>0.00429130278454792</v>
      </c>
      <c r="BC495" s="32" t="n">
        <f aca="false">BA495-BB495</f>
        <v>0</v>
      </c>
      <c r="BD495" s="30" t="n">
        <f aca="false">A496-A495</f>
        <v>1</v>
      </c>
    </row>
    <row r="496" customFormat="false" ht="15" hidden="false" customHeight="false" outlineLevel="0" collapsed="false">
      <c r="A496" s="28" t="n">
        <v>45772</v>
      </c>
      <c r="B496" s="0" t="n">
        <v>24111</v>
      </c>
      <c r="C496" s="0" t="n">
        <v>268.19</v>
      </c>
      <c r="D496" s="29" t="n">
        <f aca="false">LN(B496)</f>
        <v>10.0904234468808</v>
      </c>
      <c r="E496" s="29" t="n">
        <f aca="false">LN(C496)</f>
        <v>5.5916956845447</v>
      </c>
      <c r="F496" s="0" t="n">
        <v>491</v>
      </c>
      <c r="G496" s="0" t="n">
        <v>34</v>
      </c>
      <c r="H496" s="29" t="n">
        <f aca="false">D496-E496</f>
        <v>4.49872776233613</v>
      </c>
      <c r="I496" s="29" t="n">
        <f aca="false">D496-D495</f>
        <v>-0.00566597185681061</v>
      </c>
      <c r="J496" s="29" t="n">
        <f aca="false">E496-E495</f>
        <v>-0.0102386174674258</v>
      </c>
      <c r="K496" s="0" t="n">
        <v>0</v>
      </c>
      <c r="L496" s="0" t="n">
        <v>1</v>
      </c>
      <c r="M496" s="29" t="n">
        <f aca="false">IF(L496=1,J496-Carry!$B$9/Inputs!$B$16,I496)</f>
        <v>-0.010498075649147</v>
      </c>
      <c r="N496" s="0" t="n">
        <v>0.06</v>
      </c>
      <c r="O496" s="0" t="n">
        <v>0.0002</v>
      </c>
      <c r="P496" s="29" t="n">
        <f aca="false">D496-('2 Hedge ratio'!$B$6+'2 Hedge ratio'!$B$5*E496)</f>
        <v>0.00590131935683225</v>
      </c>
      <c r="Q496" s="29" t="n">
        <f aca="false">D496-('5 Re-specification'!$B$7+'5 Re-specification'!$B$5*E496+'5 Re-specification'!$B$6*F496)</f>
        <v>0.00653267046425299</v>
      </c>
      <c r="R496" s="30" t="n">
        <f aca="false">MIN(F496,Inputs!$B$9)</f>
        <v>250</v>
      </c>
      <c r="S496" s="29" t="n">
        <f aca="true">IF(AND(F496&gt;=1,R496&gt;=Inputs!$B$10),INDEX(LINEST(OFFSET(D496,-R496,0,R496,1),OFFSET(E496,-R496,0,R496,2)),1,1),"")</f>
        <v>-4.0937355438221E-005</v>
      </c>
      <c r="T496" s="29" t="n">
        <f aca="true">IF(AND(F496&gt;=1,R496&gt;=Inputs!$B$10),INDEX(LINEST(OFFSET(D496,-R496,0,R496,1),OFFSET(E496,-R496,0,R496,2)),1,2),"")</f>
        <v>0.987409733110895</v>
      </c>
      <c r="U496" s="29" t="n">
        <f aca="true">IF(AND(F496&gt;=1,R496&gt;=Inputs!$B$10),INDEX(LINEST(OFFSET(D496,-R496,0,R496,1),OFFSET(E496,-R496,0,R496,2)),1,3),"")</f>
        <v>4.58266655100228</v>
      </c>
      <c r="V496" s="29" t="n">
        <f aca="true">IF(AND(F496&gt;=1,R496&gt;=Inputs!$B$10),SQRT(SUMPRODUCT((OFFSET(D496,-R496,0,R496,1)-U496-T496*OFFSET(E496,-R496,0,R496,1)-S496*OFFSET(F496,-R496,0,R496,1))^2)/(R496-3)),"")</f>
        <v>0.00330940703199096</v>
      </c>
      <c r="W496" s="31" t="n">
        <f aca="false">IF(AND(F496&gt;=1,R496&gt;=Inputs!$B$10),(D496-U496-T496*E496-S496*F496)/V496,"")</f>
        <v>1.98295157460373</v>
      </c>
      <c r="X496" s="30" t="n">
        <f aca="false">IF(AB495&lt;&gt;0,AC495+1,0)</f>
        <v>0</v>
      </c>
      <c r="Y496" s="30" t="n">
        <f aca="false">IF(W496="",0,IF(AND(AB495&lt;&gt;0,OR(ABS(W496)&gt;Inputs!$B$7,X496&gt;=Inputs!$B$8,ABS(W496)&lt;Inputs!$B$6)),1,0))</f>
        <v>0</v>
      </c>
      <c r="Z496" s="30" t="n">
        <f aca="false">IF(Y496=1,0,AB495)</f>
        <v>0</v>
      </c>
      <c r="AA496" s="30" t="n">
        <f aca="false">IF(W496="",0,IF(AND(Z496=0,ABS(W496)&gt;Inputs!$B$5,ABS(W496)&lt;=Inputs!$B$7),1,0))</f>
        <v>0</v>
      </c>
      <c r="AB496" s="30" t="n">
        <f aca="false">IF(W496="",0,IF(AA496=1,-SIGN(W496),Z496))</f>
        <v>0</v>
      </c>
      <c r="AC496" s="30" t="n">
        <f aca="false">IF(W496="",0,IF(AA496=1,0,IF(Y496=1,0,X496)))</f>
        <v>0</v>
      </c>
      <c r="AD496" s="30" t="n">
        <f aca="false">IF(AB496=0,0,IF(AB495=AB496,AD495,T496))</f>
        <v>0</v>
      </c>
      <c r="AE496" s="30" t="n">
        <f aca="false">AB496-AB495</f>
        <v>0</v>
      </c>
      <c r="AF496" s="30" t="n">
        <f aca="false">-AD496*AB496</f>
        <v>-0</v>
      </c>
      <c r="AG496" s="30" t="n">
        <f aca="false">AF496-AF495</f>
        <v>0</v>
      </c>
      <c r="AH496" s="30" t="n">
        <f aca="false">MAX(AE496,0)*(Inputs!$B$17+Inputs!$B$18+Inputs!$B$19)+MAX(-AE496,0)*(O496+Inputs!$B$18+Inputs!$B$19)+IF(AND(K496=1,AB496&lt;&gt;0),(Inputs!$B$17+Inputs!$B$18+Inputs!$B$19)+(O496+Inputs!$B$18+Inputs!$B$19),0)+MAX(AG496,0)*(Inputs!$B$20+Inputs!$B$22+Inputs!$B$23)+MAX(-AG496,0)*(Inputs!$B$21+Inputs!$B$22+Inputs!$B$23)</f>
        <v>0</v>
      </c>
      <c r="AI496" s="30" t="n">
        <f aca="false">AB495*(M496-AD495*J496)+AB495*AD495*N496/Inputs!$B$16-AH496</f>
        <v>0</v>
      </c>
      <c r="AJ496" s="30" t="n">
        <f aca="false">MAX(AE496,0)*(Inputs!$B$17+Inputs!$B$24+Inputs!$B$25)+MAX(-AE496,0)*(O496+Inputs!$B$24+Inputs!$B$25)+IF(AND(K496=1,AB496&lt;&gt;0),(Inputs!$B$17+Inputs!$B$24+Inputs!$B$25)+(O496+Inputs!$B$24+Inputs!$B$25),0)+MAX(AG496,0)*(Inputs!$B$20+Inputs!$B$26+Inputs!$B$27)+MAX(-AG496,0)*(Inputs!$B$21+Inputs!$B$26+Inputs!$B$27)</f>
        <v>0</v>
      </c>
      <c r="AK496" s="30" t="n">
        <f aca="false">AB495*(M496-AD495*J496)+AB495*AD495*(N496+Inputs!$B$14)/Inputs!$B$16-AJ496</f>
        <v>0</v>
      </c>
      <c r="AL496" s="30" t="n">
        <f aca="false">IF(AP495&lt;&gt;0,AQ495+1,0)</f>
        <v>0</v>
      </c>
      <c r="AM496" s="30" t="n">
        <f aca="false">IF(W496="",0,IF(AND(AP495&lt;&gt;0,OR(ABS(W496)&gt;Inputs!$B$7,AL496&gt;=Inputs!$B$8,ABS(W496)&lt;Inputs!$B$6)),1,0))</f>
        <v>0</v>
      </c>
      <c r="AN496" s="30" t="n">
        <f aca="false">IF(AM496=1,0,AP495)</f>
        <v>0</v>
      </c>
      <c r="AO496" s="30" t="n">
        <f aca="false">IF(W496="",0,IF(AND(AN496=0,ABS(W496)&gt;Inputs!$B$5,ABS(W496)&lt;=Inputs!$B$7,W496&gt;0),1,0))</f>
        <v>0</v>
      </c>
      <c r="AP496" s="30" t="n">
        <f aca="false">IF(W496="",0,IF(AO496=1,-SIGN(W496),AN496))</f>
        <v>0</v>
      </c>
      <c r="AQ496" s="30" t="n">
        <f aca="false">IF(W496="",0,IF(AO496=1,0,IF(AM496=1,0,AL496)))</f>
        <v>0</v>
      </c>
      <c r="AR496" s="30" t="n">
        <f aca="false">IF(AP496=0,0,IF(AP495=AP496,AR495,T496))</f>
        <v>0</v>
      </c>
      <c r="AS496" s="30" t="n">
        <f aca="false">AP496-AP495</f>
        <v>0</v>
      </c>
      <c r="AT496" s="30" t="n">
        <f aca="false">-AR496*AP496</f>
        <v>-0</v>
      </c>
      <c r="AU496" s="30" t="n">
        <f aca="false">AT496-AT495</f>
        <v>0</v>
      </c>
      <c r="AV496" s="30" t="n">
        <f aca="false">MAX(AS496,0)*(Inputs!$B$17+Inputs!$B$18+Inputs!$B$19)+MAX(-AS496,0)*(O496+Inputs!$B$18+Inputs!$B$19)+IF(AND(K496=1,AP496&lt;&gt;0),(Inputs!$B$17+Inputs!$B$18+Inputs!$B$19)+(O496+Inputs!$B$18+Inputs!$B$19),0)+MAX(AU496,0)*(Inputs!$B$20+Inputs!$B$22+Inputs!$B$23)+MAX(-AU496,0)*(Inputs!$B$21+Inputs!$B$22+Inputs!$B$23)</f>
        <v>0</v>
      </c>
      <c r="AW496" s="30" t="n">
        <f aca="false">AP495*(M496-AR495*J496)+AP495*AR495*N496/Inputs!$B$16-AV496</f>
        <v>0</v>
      </c>
      <c r="AX496" s="30" t="n">
        <f aca="false">AW496-IF(AP495&lt;&gt;0,0.75*AR495*(Inputs!$B$13-N496)/Inputs!$B$16,0)</f>
        <v>0</v>
      </c>
      <c r="AY496" s="30" t="n">
        <f aca="false">MAX(AS496,0)*(Inputs!$B$17+Inputs!$B$18+Inputs!$B$19)+MAX(-AS496,0)*(O496+Inputs!$B$18+Inputs!$B$19)+IF(AND(K496=1,AP496&lt;&gt;0),(Inputs!$B$17+Inputs!$B$18+Inputs!$B$19)+(O496+Inputs!$B$18+Inputs!$B$19),0)</f>
        <v>0</v>
      </c>
      <c r="AZ496" s="30" t="n">
        <f aca="false">AP495*M496-AY496</f>
        <v>-0</v>
      </c>
      <c r="BA496" s="32" t="n">
        <f aca="false">BA495+AI496</f>
        <v>0.00429130278454792</v>
      </c>
      <c r="BB496" s="30" t="n">
        <f aca="false">MAX(BB495,BA496)</f>
        <v>0.00429130278454792</v>
      </c>
      <c r="BC496" s="32" t="n">
        <f aca="false">BA496-BB496</f>
        <v>0</v>
      </c>
      <c r="BD496" s="30" t="n">
        <f aca="false">A497-A496</f>
        <v>3</v>
      </c>
    </row>
    <row r="497" customFormat="false" ht="15" hidden="false" customHeight="false" outlineLevel="0" collapsed="false">
      <c r="A497" s="28" t="n">
        <v>45775</v>
      </c>
      <c r="B497" s="0" t="n">
        <v>24452</v>
      </c>
      <c r="C497" s="0" t="n">
        <v>271.92</v>
      </c>
      <c r="D497" s="29" t="n">
        <f aca="false">LN(B497)</f>
        <v>10.1044672911486</v>
      </c>
      <c r="E497" s="29" t="n">
        <f aca="false">LN(C497)</f>
        <v>5.60550790538786</v>
      </c>
      <c r="F497" s="0" t="n">
        <v>492</v>
      </c>
      <c r="G497" s="0" t="n">
        <v>31</v>
      </c>
      <c r="H497" s="29" t="n">
        <f aca="false">D497-E497</f>
        <v>4.49895938576076</v>
      </c>
      <c r="I497" s="29" t="n">
        <f aca="false">D497-D496</f>
        <v>0.0140438442677873</v>
      </c>
      <c r="J497" s="29" t="n">
        <f aca="false">E497-E496</f>
        <v>0.0138122208431639</v>
      </c>
      <c r="K497" s="0" t="n">
        <v>0</v>
      </c>
      <c r="L497" s="0" t="n">
        <v>0</v>
      </c>
      <c r="M497" s="29" t="n">
        <f aca="false">IF(L497=1,J497-Carry!$B$9/Inputs!$B$16,I497)</f>
        <v>0.0140438442677873</v>
      </c>
      <c r="N497" s="0" t="n">
        <v>0.06</v>
      </c>
      <c r="O497" s="0" t="n">
        <v>0.0002</v>
      </c>
      <c r="P497" s="29" t="n">
        <f aca="false">D497-('2 Hedge ratio'!$B$6+'2 Hedge ratio'!$B$5*E497)</f>
        <v>0.00729141850557014</v>
      </c>
      <c r="Q497" s="29" t="n">
        <f aca="false">D497-('5 Re-specification'!$B$7+'5 Re-specification'!$B$5*E497+'5 Re-specification'!$B$6*F497)</f>
        <v>0.00685108114253374</v>
      </c>
      <c r="R497" s="30" t="n">
        <f aca="false">MIN(F497,Inputs!$B$9)</f>
        <v>250</v>
      </c>
      <c r="S497" s="29" t="n">
        <f aca="true">IF(AND(F497&gt;=1,R497&gt;=Inputs!$B$10),INDEX(LINEST(OFFSET(D497,-R497,0,R497,1),OFFSET(E497,-R497,0,R497,2)),1,1),"")</f>
        <v>-4.02781404412764E-005</v>
      </c>
      <c r="T497" s="29" t="n">
        <f aca="true">IF(AND(F497&gt;=1,R497&gt;=Inputs!$B$10),INDEX(LINEST(OFFSET(D497,-R497,0,R497,1),OFFSET(E497,-R497,0,R497,2)),1,2),"")</f>
        <v>0.987626323381601</v>
      </c>
      <c r="U497" s="29" t="n">
        <f aca="true">IF(AND(F497&gt;=1,R497&gt;=Inputs!$B$10),INDEX(LINEST(OFFSET(D497,-R497,0,R497,1),OFFSET(E497,-R497,0,R497,2)),1,3),"")</f>
        <v>4.58124080964173</v>
      </c>
      <c r="V497" s="29" t="n">
        <f aca="true">IF(AND(F497&gt;=1,R497&gt;=Inputs!$B$10),SQRT(SUMPRODUCT((OFFSET(D497,-R497,0,R497,1)-U497-T497*OFFSET(E497,-R497,0,R497,1)-S497*OFFSET(F497,-R497,0,R497,1))^2)/(R497-3)),"")</f>
        <v>0.00333514251309783</v>
      </c>
      <c r="W497" s="31" t="n">
        <f aca="false">IF(AND(F497&gt;=1,R497&gt;=Inputs!$B$10),(D497-U497-T497*E497-S497*F497)/V497,"")</f>
        <v>2.06772672897749</v>
      </c>
      <c r="X497" s="30" t="n">
        <f aca="false">IF(AB496&lt;&gt;0,AC496+1,0)</f>
        <v>0</v>
      </c>
      <c r="Y497" s="30" t="n">
        <f aca="false">IF(W497="",0,IF(AND(AB496&lt;&gt;0,OR(ABS(W497)&gt;Inputs!$B$7,X497&gt;=Inputs!$B$8,ABS(W497)&lt;Inputs!$B$6)),1,0))</f>
        <v>0</v>
      </c>
      <c r="Z497" s="30" t="n">
        <f aca="false">IF(Y497=1,0,AB496)</f>
        <v>0</v>
      </c>
      <c r="AA497" s="30" t="n">
        <f aca="false">IF(W497="",0,IF(AND(Z497=0,ABS(W497)&gt;Inputs!$B$5,ABS(W497)&lt;=Inputs!$B$7),1,0))</f>
        <v>1</v>
      </c>
      <c r="AB497" s="30" t="n">
        <f aca="false">IF(W497="",0,IF(AA497=1,-SIGN(W497),Z497))</f>
        <v>-1</v>
      </c>
      <c r="AC497" s="30" t="n">
        <f aca="false">IF(W497="",0,IF(AA497=1,0,IF(Y497=1,0,X497)))</f>
        <v>0</v>
      </c>
      <c r="AD497" s="29" t="n">
        <f aca="false">IF(AB497=0,0,IF(AB496=AB497,AD496,T497))</f>
        <v>0.987626323381601</v>
      </c>
      <c r="AE497" s="30" t="n">
        <f aca="false">AB497-AB496</f>
        <v>-1</v>
      </c>
      <c r="AF497" s="30" t="n">
        <f aca="false">-AD497*AB497</f>
        <v>0.987626323381601</v>
      </c>
      <c r="AG497" s="30" t="n">
        <f aca="false">AF497-AF496</f>
        <v>0.987626323381601</v>
      </c>
      <c r="AH497" s="30" t="n">
        <f aca="false">MAX(AE497,0)*(Inputs!$B$17+Inputs!$B$18+Inputs!$B$19)+MAX(-AE497,0)*(O497+Inputs!$B$18+Inputs!$B$19)+IF(AND(K497=1,AB497&lt;&gt;0),(Inputs!$B$17+Inputs!$B$18+Inputs!$B$19)+(O497+Inputs!$B$18+Inputs!$B$19),0)+MAX(AG497,0)*(Inputs!$B$20+Inputs!$B$22+Inputs!$B$23)+MAX(-AG497,0)*(Inputs!$B$21+Inputs!$B$22+Inputs!$B$23)</f>
        <v>0.00068066921318356</v>
      </c>
      <c r="AI497" s="30" t="n">
        <f aca="false">AB496*(M497-AD496*J497)+AB496*AD496*N497/Inputs!$B$16-AH497</f>
        <v>-0.00068066921318356</v>
      </c>
      <c r="AJ497" s="30" t="n">
        <f aca="false">MAX(AE497,0)*(Inputs!$B$17+Inputs!$B$24+Inputs!$B$25)+MAX(-AE497,0)*(O497+Inputs!$B$24+Inputs!$B$25)+IF(AND(K497=1,AB497&lt;&gt;0),(Inputs!$B$17+Inputs!$B$24+Inputs!$B$25)+(O497+Inputs!$B$24+Inputs!$B$25),0)+MAX(AG497,0)*(Inputs!$B$20+Inputs!$B$26+Inputs!$B$27)+MAX(-AG497,0)*(Inputs!$B$21+Inputs!$B$26+Inputs!$B$27)</f>
        <v>0.000521844712462308</v>
      </c>
      <c r="AK497" s="30" t="n">
        <f aca="false">AB496*(M497-AD496*J497)+AB496*AD496*(N497+Inputs!$B$14)/Inputs!$B$16-AJ497</f>
        <v>-0.000521844712462308</v>
      </c>
      <c r="AL497" s="30" t="n">
        <f aca="false">IF(AP496&lt;&gt;0,AQ496+1,0)</f>
        <v>0</v>
      </c>
      <c r="AM497" s="30" t="n">
        <f aca="false">IF(W497="",0,IF(AND(AP496&lt;&gt;0,OR(ABS(W497)&gt;Inputs!$B$7,AL497&gt;=Inputs!$B$8,ABS(W497)&lt;Inputs!$B$6)),1,0))</f>
        <v>0</v>
      </c>
      <c r="AN497" s="30" t="n">
        <f aca="false">IF(AM497=1,0,AP496)</f>
        <v>0</v>
      </c>
      <c r="AO497" s="30" t="n">
        <f aca="false">IF(W497="",0,IF(AND(AN497=0,ABS(W497)&gt;Inputs!$B$5,ABS(W497)&lt;=Inputs!$B$7,W497&gt;0),1,0))</f>
        <v>1</v>
      </c>
      <c r="AP497" s="30" t="n">
        <f aca="false">IF(W497="",0,IF(AO497=1,-SIGN(W497),AN497))</f>
        <v>-1</v>
      </c>
      <c r="AQ497" s="30" t="n">
        <f aca="false">IF(W497="",0,IF(AO497=1,0,IF(AM497=1,0,AL497)))</f>
        <v>0</v>
      </c>
      <c r="AR497" s="29" t="n">
        <f aca="false">IF(AP497=0,0,IF(AP496=AP497,AR496,T497))</f>
        <v>0.987626323381601</v>
      </c>
      <c r="AS497" s="30" t="n">
        <f aca="false">AP497-AP496</f>
        <v>-1</v>
      </c>
      <c r="AT497" s="30" t="n">
        <f aca="false">-AR497*AP497</f>
        <v>0.987626323381601</v>
      </c>
      <c r="AU497" s="30" t="n">
        <f aca="false">AT497-AT496</f>
        <v>0.987626323381601</v>
      </c>
      <c r="AV497" s="30" t="n">
        <f aca="false">MAX(AS497,0)*(Inputs!$B$17+Inputs!$B$18+Inputs!$B$19)+MAX(-AS497,0)*(O497+Inputs!$B$18+Inputs!$B$19)+IF(AND(K497=1,AP497&lt;&gt;0),(Inputs!$B$17+Inputs!$B$18+Inputs!$B$19)+(O497+Inputs!$B$18+Inputs!$B$19),0)+MAX(AU497,0)*(Inputs!$B$20+Inputs!$B$22+Inputs!$B$23)+MAX(-AU497,0)*(Inputs!$B$21+Inputs!$B$22+Inputs!$B$23)</f>
        <v>0.00068066921318356</v>
      </c>
      <c r="AW497" s="30" t="n">
        <f aca="false">AP496*(M497-AR496*J497)+AP496*AR496*N497/Inputs!$B$16-AV497</f>
        <v>-0.00068066921318356</v>
      </c>
      <c r="AX497" s="30" t="n">
        <f aca="false">AW497-IF(AP496&lt;&gt;0,0.75*AR496*(Inputs!$B$13-N497)/Inputs!$B$16,0)</f>
        <v>-0.00068066921318356</v>
      </c>
      <c r="AY497" s="30" t="n">
        <f aca="false">MAX(AS497,0)*(Inputs!$B$17+Inputs!$B$18+Inputs!$B$19)+MAX(-AS497,0)*(O497+Inputs!$B$18+Inputs!$B$19)+IF(AND(K497=1,AP497&lt;&gt;0),(Inputs!$B$17+Inputs!$B$18+Inputs!$B$19)+(O497+Inputs!$B$18+Inputs!$B$19),0)</f>
        <v>0.000335</v>
      </c>
      <c r="AZ497" s="30" t="n">
        <f aca="false">AP496*M497-AY497</f>
        <v>-0.000335</v>
      </c>
      <c r="BA497" s="32" t="n">
        <f aca="false">BA496+AI497</f>
        <v>0.00361063357136436</v>
      </c>
      <c r="BB497" s="30" t="n">
        <f aca="false">MAX(BB496,BA497)</f>
        <v>0.00429130278454792</v>
      </c>
      <c r="BC497" s="32" t="n">
        <f aca="false">BA497-BB497</f>
        <v>-0.00068066921318356</v>
      </c>
      <c r="BD497" s="30" t="n">
        <f aca="false">A498-A497</f>
        <v>1</v>
      </c>
    </row>
    <row r="498" customFormat="false" ht="15" hidden="false" customHeight="false" outlineLevel="0" collapsed="false">
      <c r="A498" s="28" t="n">
        <v>45776</v>
      </c>
      <c r="B498" s="0" t="n">
        <v>24423.5</v>
      </c>
      <c r="C498" s="0" t="n">
        <v>271.78</v>
      </c>
      <c r="D498" s="29" t="n">
        <f aca="false">LN(B498)</f>
        <v>10.103301062538</v>
      </c>
      <c r="E498" s="29" t="n">
        <f aca="false">LN(C498)</f>
        <v>5.60499291549235</v>
      </c>
      <c r="F498" s="0" t="n">
        <v>493</v>
      </c>
      <c r="G498" s="0" t="n">
        <v>30</v>
      </c>
      <c r="H498" s="29" t="n">
        <f aca="false">D498-E498</f>
        <v>4.4983081470456</v>
      </c>
      <c r="I498" s="29" t="n">
        <f aca="false">D498-D497</f>
        <v>-0.0011662286106624</v>
      </c>
      <c r="J498" s="29" t="n">
        <f aca="false">E498-E497</f>
        <v>-0.000514989895509466</v>
      </c>
      <c r="K498" s="0" t="n">
        <v>0</v>
      </c>
      <c r="L498" s="0" t="n">
        <v>0</v>
      </c>
      <c r="M498" s="29" t="n">
        <f aca="false">IF(L498=1,J498-Carry!$B$9/Inputs!$B$16,I498)</f>
        <v>-0.0011662286106624</v>
      </c>
      <c r="N498" s="0" t="n">
        <v>0.06</v>
      </c>
      <c r="O498" s="0" t="n">
        <v>0.0002</v>
      </c>
      <c r="P498" s="29" t="n">
        <f aca="false">D498-('2 Hedge ratio'!$B$6+'2 Hedge ratio'!$B$5*E498)</f>
        <v>0.00659698591892699</v>
      </c>
      <c r="Q498" s="29" t="n">
        <f aca="false">D498-('5 Re-specification'!$B$7+'5 Re-specification'!$B$5*E498+'5 Re-specification'!$B$6*F498)</f>
        <v>0.00624321106858616</v>
      </c>
      <c r="R498" s="30" t="n">
        <f aca="false">MIN(F498,Inputs!$B$9)</f>
        <v>250</v>
      </c>
      <c r="S498" s="29" t="n">
        <f aca="true">IF(AND(F498&gt;=1,R498&gt;=Inputs!$B$10),INDEX(LINEST(OFFSET(D498,-R498,0,R498,1),OFFSET(E498,-R498,0,R498,2)),1,1),"")</f>
        <v>-3.96936097407949E-005</v>
      </c>
      <c r="T498" s="29" t="n">
        <f aca="true">IF(AND(F498&gt;=1,R498&gt;=Inputs!$B$10),INDEX(LINEST(OFFSET(D498,-R498,0,R498,1),OFFSET(E498,-R498,0,R498,2)),1,2),"")</f>
        <v>0.98789012831319</v>
      </c>
      <c r="U498" s="29" t="n">
        <f aca="true">IF(AND(F498&gt;=1,R498&gt;=Inputs!$B$10),INDEX(LINEST(OFFSET(D498,-R498,0,R498,1),OFFSET(E498,-R498,0,R498,2)),1,3),"")</f>
        <v>4.57958400043555</v>
      </c>
      <c r="V498" s="29" t="n">
        <f aca="true">IF(AND(F498&gt;=1,R498&gt;=Inputs!$B$10),SQRT(SUMPRODUCT((OFFSET(D498,-R498,0,R498,1)-U498-T498*OFFSET(E498,-R498,0,R498,1)-S498*OFFSET(F498,-R498,0,R498,1))^2)/(R498-3)),"")</f>
        <v>0.00336305065879305</v>
      </c>
      <c r="W498" s="31" t="n">
        <f aca="false">IF(AND(F498&gt;=1,R498&gt;=Inputs!$B$10),(D498-U498-T498*E498-S498*F498)/V498,"")</f>
        <v>1.83429922717003</v>
      </c>
      <c r="X498" s="30" t="n">
        <f aca="false">IF(AB497&lt;&gt;0,AC497+1,0)</f>
        <v>1</v>
      </c>
      <c r="Y498" s="30" t="n">
        <f aca="false">IF(W498="",0,IF(AND(AB497&lt;&gt;0,OR(ABS(W498)&gt;Inputs!$B$7,X498&gt;=Inputs!$B$8,ABS(W498)&lt;Inputs!$B$6)),1,0))</f>
        <v>0</v>
      </c>
      <c r="Z498" s="30" t="n">
        <f aca="false">IF(Y498=1,0,AB497)</f>
        <v>-1</v>
      </c>
      <c r="AA498" s="30" t="n">
        <f aca="false">IF(W498="",0,IF(AND(Z498=0,ABS(W498)&gt;Inputs!$B$5,ABS(W498)&lt;=Inputs!$B$7),1,0))</f>
        <v>0</v>
      </c>
      <c r="AB498" s="30" t="n">
        <f aca="false">IF(W498="",0,IF(AA498=1,-SIGN(W498),Z498))</f>
        <v>-1</v>
      </c>
      <c r="AC498" s="30" t="n">
        <f aca="false">IF(W498="",0,IF(AA498=1,0,IF(Y498=1,0,X498)))</f>
        <v>1</v>
      </c>
      <c r="AD498" s="29" t="n">
        <f aca="false">IF(AB498=0,0,IF(AB497=AB498,AD497,T498))</f>
        <v>0.987626323381601</v>
      </c>
      <c r="AE498" s="30" t="n">
        <f aca="false">AB498-AB497</f>
        <v>0</v>
      </c>
      <c r="AF498" s="30" t="n">
        <f aca="false">-AD498*AB498</f>
        <v>0.987626323381601</v>
      </c>
      <c r="AG498" s="30" t="n">
        <f aca="false">AF498-AF497</f>
        <v>0</v>
      </c>
      <c r="AH498" s="30" t="n">
        <f aca="false">MAX(AE498,0)*(Inputs!$B$17+Inputs!$B$18+Inputs!$B$19)+MAX(-AE498,0)*(O498+Inputs!$B$18+Inputs!$B$19)+IF(AND(K498=1,AB498&lt;&gt;0),(Inputs!$B$17+Inputs!$B$18+Inputs!$B$19)+(O498+Inputs!$B$18+Inputs!$B$19),0)+MAX(AG498,0)*(Inputs!$B$20+Inputs!$B$22+Inputs!$B$23)+MAX(-AG498,0)*(Inputs!$B$21+Inputs!$B$22+Inputs!$B$23)</f>
        <v>0</v>
      </c>
      <c r="AI498" s="30" t="n">
        <f aca="false">AB497*(M498-AD497*J498)+AB497*AD497*N498/Inputs!$B$16-AH498</f>
        <v>0.000422461908967046</v>
      </c>
      <c r="AJ498" s="30" t="n">
        <f aca="false">MAX(AE498,0)*(Inputs!$B$17+Inputs!$B$24+Inputs!$B$25)+MAX(-AE498,0)*(O498+Inputs!$B$24+Inputs!$B$25)+IF(AND(K498=1,AB498&lt;&gt;0),(Inputs!$B$17+Inputs!$B$24+Inputs!$B$25)+(O498+Inputs!$B$24+Inputs!$B$25),0)+MAX(AG498,0)*(Inputs!$B$20+Inputs!$B$26+Inputs!$B$27)+MAX(-AG498,0)*(Inputs!$B$21+Inputs!$B$26+Inputs!$B$27)</f>
        <v>0</v>
      </c>
      <c r="AK498" s="30" t="n">
        <f aca="false">AB497*(M498-AD497*J498)+AB497*AD497*(N498+Inputs!$B$14)/Inputs!$B$16-AJ498</f>
        <v>0.000393068268390212</v>
      </c>
      <c r="AL498" s="30" t="n">
        <f aca="false">IF(AP497&lt;&gt;0,AQ497+1,0)</f>
        <v>1</v>
      </c>
      <c r="AM498" s="30" t="n">
        <f aca="false">IF(W498="",0,IF(AND(AP497&lt;&gt;0,OR(ABS(W498)&gt;Inputs!$B$7,AL498&gt;=Inputs!$B$8,ABS(W498)&lt;Inputs!$B$6)),1,0))</f>
        <v>0</v>
      </c>
      <c r="AN498" s="30" t="n">
        <f aca="false">IF(AM498=1,0,AP497)</f>
        <v>-1</v>
      </c>
      <c r="AO498" s="30" t="n">
        <f aca="false">IF(W498="",0,IF(AND(AN498=0,ABS(W498)&gt;Inputs!$B$5,ABS(W498)&lt;=Inputs!$B$7,W498&gt;0),1,0))</f>
        <v>0</v>
      </c>
      <c r="AP498" s="30" t="n">
        <f aca="false">IF(W498="",0,IF(AO498=1,-SIGN(W498),AN498))</f>
        <v>-1</v>
      </c>
      <c r="AQ498" s="30" t="n">
        <f aca="false">IF(W498="",0,IF(AO498=1,0,IF(AM498=1,0,AL498)))</f>
        <v>1</v>
      </c>
      <c r="AR498" s="29" t="n">
        <f aca="false">IF(AP498=0,0,IF(AP497=AP498,AR497,T498))</f>
        <v>0.987626323381601</v>
      </c>
      <c r="AS498" s="30" t="n">
        <f aca="false">AP498-AP497</f>
        <v>0</v>
      </c>
      <c r="AT498" s="30" t="n">
        <f aca="false">-AR498*AP498</f>
        <v>0.987626323381601</v>
      </c>
      <c r="AU498" s="30" t="n">
        <f aca="false">AT498-AT497</f>
        <v>0</v>
      </c>
      <c r="AV498" s="30" t="n">
        <f aca="false">MAX(AS498,0)*(Inputs!$B$17+Inputs!$B$18+Inputs!$B$19)+MAX(-AS498,0)*(O498+Inputs!$B$18+Inputs!$B$19)+IF(AND(K498=1,AP498&lt;&gt;0),(Inputs!$B$17+Inputs!$B$18+Inputs!$B$19)+(O498+Inputs!$B$18+Inputs!$B$19),0)+MAX(AU498,0)*(Inputs!$B$20+Inputs!$B$22+Inputs!$B$23)+MAX(-AU498,0)*(Inputs!$B$21+Inputs!$B$22+Inputs!$B$23)</f>
        <v>0</v>
      </c>
      <c r="AW498" s="30" t="n">
        <f aca="false">AP497*(M498-AR497*J498)+AP497*AR497*N498/Inputs!$B$16-AV498</f>
        <v>0.000422461908967046</v>
      </c>
      <c r="AX498" s="30" t="n">
        <f aca="false">AW498-IF(AP497&lt;&gt;0,0.75*AR497*(Inputs!$B$13-N498)/Inputs!$B$16,0)</f>
        <v>0.000187312784352379</v>
      </c>
      <c r="AY498" s="30" t="n">
        <f aca="false">MAX(AS498,0)*(Inputs!$B$17+Inputs!$B$18+Inputs!$B$19)+MAX(-AS498,0)*(O498+Inputs!$B$18+Inputs!$B$19)+IF(AND(K498=1,AP498&lt;&gt;0),(Inputs!$B$17+Inputs!$B$18+Inputs!$B$19)+(O498+Inputs!$B$18+Inputs!$B$19),0)</f>
        <v>0</v>
      </c>
      <c r="AZ498" s="30" t="n">
        <f aca="false">AP497*M498-AY498</f>
        <v>0.0011662286106624</v>
      </c>
      <c r="BA498" s="32" t="n">
        <f aca="false">BA497+AI498</f>
        <v>0.0040330954803314</v>
      </c>
      <c r="BB498" s="30" t="n">
        <f aca="false">MAX(BB497,BA498)</f>
        <v>0.00429130278454792</v>
      </c>
      <c r="BC498" s="32" t="n">
        <f aca="false">BA498-BB498</f>
        <v>-0.000258207304216515</v>
      </c>
      <c r="BD498" s="30" t="n">
        <f aca="false">A499-A498</f>
        <v>1</v>
      </c>
    </row>
    <row r="499" customFormat="false" ht="15" hidden="false" customHeight="false" outlineLevel="0" collapsed="false">
      <c r="A499" s="28" t="n">
        <v>45777</v>
      </c>
      <c r="B499" s="0" t="n">
        <v>24376</v>
      </c>
      <c r="C499" s="0" t="n">
        <v>271.33</v>
      </c>
      <c r="D499" s="29" t="n">
        <f aca="false">LN(B499)</f>
        <v>10.1013543206655</v>
      </c>
      <c r="E499" s="29" t="n">
        <f aca="false">LN(C499)</f>
        <v>5.60333579224668</v>
      </c>
      <c r="F499" s="0" t="n">
        <v>494</v>
      </c>
      <c r="G499" s="0" t="n">
        <v>29</v>
      </c>
      <c r="H499" s="29" t="n">
        <f aca="false">D499-E499</f>
        <v>4.49801852841886</v>
      </c>
      <c r="I499" s="29" t="n">
        <f aca="false">D499-D498</f>
        <v>-0.00194674187240906</v>
      </c>
      <c r="J499" s="29" t="n">
        <f aca="false">E499-E498</f>
        <v>-0.00165712324566769</v>
      </c>
      <c r="K499" s="0" t="n">
        <v>0</v>
      </c>
      <c r="L499" s="0" t="n">
        <v>0</v>
      </c>
      <c r="M499" s="29" t="n">
        <f aca="false">IF(L499=1,J499-Carry!$B$9/Inputs!$B$16,I499)</f>
        <v>-0.00194674187240906</v>
      </c>
      <c r="N499" s="0" t="n">
        <v>0.06</v>
      </c>
      <c r="O499" s="0" t="n">
        <v>0.0002</v>
      </c>
      <c r="P499" s="29" t="n">
        <f aca="false">D499-('2 Hedge ratio'!$B$6+'2 Hedge ratio'!$B$5*E499)</f>
        <v>0.00616837899524292</v>
      </c>
      <c r="Q499" s="29" t="n">
        <f aca="false">D499-('5 Re-specification'!$B$7+'5 Re-specification'!$B$5*E499+'5 Re-specification'!$B$6*F499)</f>
        <v>0.00599349984790898</v>
      </c>
      <c r="R499" s="30" t="n">
        <f aca="false">MIN(F499,Inputs!$B$9)</f>
        <v>250</v>
      </c>
      <c r="S499" s="29" t="n">
        <f aca="true">IF(AND(F499&gt;=1,R499&gt;=Inputs!$B$10),INDEX(LINEST(OFFSET(D499,-R499,0,R499,1),OFFSET(E499,-R499,0,R499,2)),1,1),"")</f>
        <v>-3.90244870226644E-005</v>
      </c>
      <c r="T499" s="29" t="n">
        <f aca="true">IF(AND(F499&gt;=1,R499&gt;=Inputs!$B$10),INDEX(LINEST(OFFSET(D499,-R499,0,R499,1),OFFSET(E499,-R499,0,R499,2)),1,2),"")</f>
        <v>0.988383025992611</v>
      </c>
      <c r="U499" s="29" t="n">
        <f aca="true">IF(AND(F499&gt;=1,R499&gt;=Inputs!$B$10),INDEX(LINEST(OFFSET(D499,-R499,0,R499,1),OFFSET(E499,-R499,0,R499,2)),1,3),"")</f>
        <v>4.57660713738622</v>
      </c>
      <c r="V499" s="29" t="n">
        <f aca="true">IF(AND(F499&gt;=1,R499&gt;=Inputs!$B$10),SQRT(SUMPRODUCT((OFFSET(D499,-R499,0,R499,1)-U499-T499*OFFSET(E499,-R499,0,R499,1)-S499*OFFSET(F499,-R499,0,R499,1))^2)/(R499-3)),"")</f>
        <v>0.00338510975348669</v>
      </c>
      <c r="W499" s="31" t="n">
        <f aca="false">IF(AND(F499&gt;=1,R499&gt;=Inputs!$B$10),(D499-U499-T499*E499-S499*F499)/V499,"")</f>
        <v>1.70845092070848</v>
      </c>
      <c r="X499" s="30" t="n">
        <f aca="false">IF(AB498&lt;&gt;0,AC498+1,0)</f>
        <v>2</v>
      </c>
      <c r="Y499" s="30" t="n">
        <f aca="false">IF(W499="",0,IF(AND(AB498&lt;&gt;0,OR(ABS(W499)&gt;Inputs!$B$7,X499&gt;=Inputs!$B$8,ABS(W499)&lt;Inputs!$B$6)),1,0))</f>
        <v>0</v>
      </c>
      <c r="Z499" s="30" t="n">
        <f aca="false">IF(Y499=1,0,AB498)</f>
        <v>-1</v>
      </c>
      <c r="AA499" s="30" t="n">
        <f aca="false">IF(W499="",0,IF(AND(Z499=0,ABS(W499)&gt;Inputs!$B$5,ABS(W499)&lt;=Inputs!$B$7),1,0))</f>
        <v>0</v>
      </c>
      <c r="AB499" s="30" t="n">
        <f aca="false">IF(W499="",0,IF(AA499=1,-SIGN(W499),Z499))</f>
        <v>-1</v>
      </c>
      <c r="AC499" s="30" t="n">
        <f aca="false">IF(W499="",0,IF(AA499=1,0,IF(Y499=1,0,X499)))</f>
        <v>2</v>
      </c>
      <c r="AD499" s="29" t="n">
        <f aca="false">IF(AB499=0,0,IF(AB498=AB499,AD498,T499))</f>
        <v>0.987626323381601</v>
      </c>
      <c r="AE499" s="30" t="n">
        <f aca="false">AB499-AB498</f>
        <v>0</v>
      </c>
      <c r="AF499" s="30" t="n">
        <f aca="false">-AD499*AB499</f>
        <v>0.987626323381601</v>
      </c>
      <c r="AG499" s="30" t="n">
        <f aca="false">AF499-AF498</f>
        <v>0</v>
      </c>
      <c r="AH499" s="30" t="n">
        <f aca="false">MAX(AE499,0)*(Inputs!$B$17+Inputs!$B$18+Inputs!$B$19)+MAX(-AE499,0)*(O499+Inputs!$B$18+Inputs!$B$19)+IF(AND(K499=1,AB499&lt;&gt;0),(Inputs!$B$17+Inputs!$B$18+Inputs!$B$19)+(O499+Inputs!$B$18+Inputs!$B$19),0)+MAX(AG499,0)*(Inputs!$B$20+Inputs!$B$22+Inputs!$B$23)+MAX(-AG499,0)*(Inputs!$B$21+Inputs!$B$22+Inputs!$B$23)</f>
        <v>0</v>
      </c>
      <c r="AI499" s="30" t="n">
        <f aca="false">AB498*(M499-AD498*J499)+AB498*AD498*N499/Inputs!$B$16-AH499</f>
        <v>7.49742092854298E-005</v>
      </c>
      <c r="AJ499" s="30" t="n">
        <f aca="false">MAX(AE499,0)*(Inputs!$B$17+Inputs!$B$24+Inputs!$B$25)+MAX(-AE499,0)*(O499+Inputs!$B$24+Inputs!$B$25)+IF(AND(K499=1,AB499&lt;&gt;0),(Inputs!$B$17+Inputs!$B$24+Inputs!$B$25)+(O499+Inputs!$B$24+Inputs!$B$25),0)+MAX(AG499,0)*(Inputs!$B$20+Inputs!$B$26+Inputs!$B$27)+MAX(-AG499,0)*(Inputs!$B$21+Inputs!$B$26+Inputs!$B$27)</f>
        <v>0</v>
      </c>
      <c r="AK499" s="30" t="n">
        <f aca="false">AB498*(M499-AD498*J499)+AB498*AD498*(N499+Inputs!$B$14)/Inputs!$B$16-AJ499</f>
        <v>4.55805687085964E-005</v>
      </c>
      <c r="AL499" s="30" t="n">
        <f aca="false">IF(AP498&lt;&gt;0,AQ498+1,0)</f>
        <v>2</v>
      </c>
      <c r="AM499" s="30" t="n">
        <f aca="false">IF(W499="",0,IF(AND(AP498&lt;&gt;0,OR(ABS(W499)&gt;Inputs!$B$7,AL499&gt;=Inputs!$B$8,ABS(W499)&lt;Inputs!$B$6)),1,0))</f>
        <v>0</v>
      </c>
      <c r="AN499" s="30" t="n">
        <f aca="false">IF(AM499=1,0,AP498)</f>
        <v>-1</v>
      </c>
      <c r="AO499" s="30" t="n">
        <f aca="false">IF(W499="",0,IF(AND(AN499=0,ABS(W499)&gt;Inputs!$B$5,ABS(W499)&lt;=Inputs!$B$7,W499&gt;0),1,0))</f>
        <v>0</v>
      </c>
      <c r="AP499" s="30" t="n">
        <f aca="false">IF(W499="",0,IF(AO499=1,-SIGN(W499),AN499))</f>
        <v>-1</v>
      </c>
      <c r="AQ499" s="30" t="n">
        <f aca="false">IF(W499="",0,IF(AO499=1,0,IF(AM499=1,0,AL499)))</f>
        <v>2</v>
      </c>
      <c r="AR499" s="29" t="n">
        <f aca="false">IF(AP499=0,0,IF(AP498=AP499,AR498,T499))</f>
        <v>0.987626323381601</v>
      </c>
      <c r="AS499" s="30" t="n">
        <f aca="false">AP499-AP498</f>
        <v>0</v>
      </c>
      <c r="AT499" s="30" t="n">
        <f aca="false">-AR499*AP499</f>
        <v>0.987626323381601</v>
      </c>
      <c r="AU499" s="30" t="n">
        <f aca="false">AT499-AT498</f>
        <v>0</v>
      </c>
      <c r="AV499" s="30" t="n">
        <f aca="false">MAX(AS499,0)*(Inputs!$B$17+Inputs!$B$18+Inputs!$B$19)+MAX(-AS499,0)*(O499+Inputs!$B$18+Inputs!$B$19)+IF(AND(K499=1,AP499&lt;&gt;0),(Inputs!$B$17+Inputs!$B$18+Inputs!$B$19)+(O499+Inputs!$B$18+Inputs!$B$19),0)+MAX(AU499,0)*(Inputs!$B$20+Inputs!$B$22+Inputs!$B$23)+MAX(-AU499,0)*(Inputs!$B$21+Inputs!$B$22+Inputs!$B$23)</f>
        <v>0</v>
      </c>
      <c r="AW499" s="30" t="n">
        <f aca="false">AP498*(M499-AR498*J499)+AP498*AR498*N499/Inputs!$B$16-AV499</f>
        <v>7.49742092854298E-005</v>
      </c>
      <c r="AX499" s="30" t="n">
        <f aca="false">AW499-IF(AP498&lt;&gt;0,0.75*AR498*(Inputs!$B$13-N499)/Inputs!$B$16,0)</f>
        <v>-0.000160174915329237</v>
      </c>
      <c r="AY499" s="30" t="n">
        <f aca="false">MAX(AS499,0)*(Inputs!$B$17+Inputs!$B$18+Inputs!$B$19)+MAX(-AS499,0)*(O499+Inputs!$B$18+Inputs!$B$19)+IF(AND(K499=1,AP499&lt;&gt;0),(Inputs!$B$17+Inputs!$B$18+Inputs!$B$19)+(O499+Inputs!$B$18+Inputs!$B$19),0)</f>
        <v>0</v>
      </c>
      <c r="AZ499" s="30" t="n">
        <f aca="false">AP498*M499-AY499</f>
        <v>0.00194674187240906</v>
      </c>
      <c r="BA499" s="32" t="n">
        <f aca="false">BA498+AI499</f>
        <v>0.00410806968961683</v>
      </c>
      <c r="BB499" s="30" t="n">
        <f aca="false">MAX(BB498,BA499)</f>
        <v>0.00429130278454792</v>
      </c>
      <c r="BC499" s="32" t="n">
        <f aca="false">BA499-BB499</f>
        <v>-0.000183233094931085</v>
      </c>
      <c r="BD499" s="30" t="n">
        <f aca="false">A500-A499</f>
        <v>2</v>
      </c>
    </row>
    <row r="500" customFormat="false" ht="15" hidden="false" customHeight="false" outlineLevel="0" collapsed="false">
      <c r="A500" s="28" t="n">
        <v>45779</v>
      </c>
      <c r="B500" s="0" t="n">
        <v>24396.8</v>
      </c>
      <c r="C500" s="0" t="n">
        <v>271.95</v>
      </c>
      <c r="D500" s="29" t="n">
        <f aca="false">LN(B500)</f>
        <v>10.1022072551397</v>
      </c>
      <c r="E500" s="29" t="n">
        <f aca="false">LN(C500)</f>
        <v>5.60561822586897</v>
      </c>
      <c r="F500" s="0" t="n">
        <v>495</v>
      </c>
      <c r="G500" s="0" t="n">
        <v>27</v>
      </c>
      <c r="H500" s="29" t="n">
        <f aca="false">D500-E500</f>
        <v>4.49658902927075</v>
      </c>
      <c r="I500" s="29" t="n">
        <f aca="false">D500-D499</f>
        <v>0.00085293447417456</v>
      </c>
      <c r="J500" s="29" t="n">
        <f aca="false">E500-E499</f>
        <v>0.00228243362228575</v>
      </c>
      <c r="K500" s="0" t="n">
        <v>0</v>
      </c>
      <c r="L500" s="0" t="n">
        <v>0</v>
      </c>
      <c r="M500" s="29" t="n">
        <f aca="false">IF(L500=1,J500-Carry!$B$9/Inputs!$B$16,I500)</f>
        <v>0.00085293447417456</v>
      </c>
      <c r="N500" s="0" t="n">
        <v>0.06</v>
      </c>
      <c r="O500" s="0" t="n">
        <v>0.0002</v>
      </c>
      <c r="P500" s="29" t="n">
        <f aca="false">D500-('2 Hedge ratio'!$B$6+'2 Hedge ratio'!$B$5*E500)</f>
        <v>0.00493031495183693</v>
      </c>
      <c r="Q500" s="29" t="n">
        <f aca="false">D500-('5 Re-specification'!$B$7+'5 Re-specification'!$B$5*E500+'5 Re-specification'!$B$6*F500)</f>
        <v>0.00461584693303685</v>
      </c>
      <c r="R500" s="30" t="n">
        <f aca="false">MIN(F500,Inputs!$B$9)</f>
        <v>250</v>
      </c>
      <c r="S500" s="29" t="n">
        <f aca="true">IF(AND(F500&gt;=1,R500&gt;=Inputs!$B$10),INDEX(LINEST(OFFSET(D500,-R500,0,R500,1),OFFSET(E500,-R500,0,R500,2)),1,1),"")</f>
        <v>-3.81971228457083E-005</v>
      </c>
      <c r="T500" s="29" t="n">
        <f aca="true">IF(AND(F500&gt;=1,R500&gt;=Inputs!$B$10),INDEX(LINEST(OFFSET(D500,-R500,0,R500,1),OFFSET(E500,-R500,0,R500,2)),1,2),"")</f>
        <v>0.989155586425671</v>
      </c>
      <c r="U500" s="29" t="n">
        <f aca="true">IF(AND(F500&gt;=1,R500&gt;=Inputs!$B$10),INDEX(LINEST(OFFSET(D500,-R500,0,R500,1),OFFSET(E500,-R500,0,R500,2)),1,3),"")</f>
        <v>4.57200011398646</v>
      </c>
      <c r="V500" s="29" t="n">
        <f aca="true">IF(AND(F500&gt;=1,R500&gt;=Inputs!$B$10),SQRT(SUMPRODUCT((OFFSET(D500,-R500,0,R500,1)-U500-T500*OFFSET(E500,-R500,0,R500,1)-S500*OFFSET(F500,-R500,0,R500,1))^2)/(R500-3)),"")</f>
        <v>0.00340024736316381</v>
      </c>
      <c r="W500" s="31" t="n">
        <f aca="false">IF(AND(F500&gt;=1,R500&gt;=Inputs!$B$10),(D500-U500-T500*E500-S500*F500)/V500,"")</f>
        <v>1.26053578350308</v>
      </c>
      <c r="X500" s="30" t="n">
        <f aca="false">IF(AB499&lt;&gt;0,AC499+1,0)</f>
        <v>3</v>
      </c>
      <c r="Y500" s="30" t="n">
        <f aca="false">IF(W500="",0,IF(AND(AB499&lt;&gt;0,OR(ABS(W500)&gt;Inputs!$B$7,X500&gt;=Inputs!$B$8,ABS(W500)&lt;Inputs!$B$6)),1,0))</f>
        <v>0</v>
      </c>
      <c r="Z500" s="30" t="n">
        <f aca="false">IF(Y500=1,0,AB499)</f>
        <v>-1</v>
      </c>
      <c r="AA500" s="30" t="n">
        <f aca="false">IF(W500="",0,IF(AND(Z500=0,ABS(W500)&gt;Inputs!$B$5,ABS(W500)&lt;=Inputs!$B$7),1,0))</f>
        <v>0</v>
      </c>
      <c r="AB500" s="30" t="n">
        <f aca="false">IF(W500="",0,IF(AA500=1,-SIGN(W500),Z500))</f>
        <v>-1</v>
      </c>
      <c r="AC500" s="30" t="n">
        <f aca="false">IF(W500="",0,IF(AA500=1,0,IF(Y500=1,0,X500)))</f>
        <v>3</v>
      </c>
      <c r="AD500" s="29" t="n">
        <f aca="false">IF(AB500=0,0,IF(AB499=AB500,AD499,T500))</f>
        <v>0.987626323381601</v>
      </c>
      <c r="AE500" s="30" t="n">
        <f aca="false">AB500-AB499</f>
        <v>0</v>
      </c>
      <c r="AF500" s="30" t="n">
        <f aca="false">-AD500*AB500</f>
        <v>0.987626323381601</v>
      </c>
      <c r="AG500" s="30" t="n">
        <f aca="false">AF500-AF499</f>
        <v>0</v>
      </c>
      <c r="AH500" s="30" t="n">
        <f aca="false">MAX(AE500,0)*(Inputs!$B$17+Inputs!$B$18+Inputs!$B$19)+MAX(-AE500,0)*(O500+Inputs!$B$18+Inputs!$B$19)+IF(AND(K500=1,AB500&lt;&gt;0),(Inputs!$B$17+Inputs!$B$18+Inputs!$B$19)+(O500+Inputs!$B$18+Inputs!$B$19),0)+MAX(AG500,0)*(Inputs!$B$20+Inputs!$B$22+Inputs!$B$23)+MAX(-AG500,0)*(Inputs!$B$21+Inputs!$B$22+Inputs!$B$23)</f>
        <v>0</v>
      </c>
      <c r="AI500" s="30" t="n">
        <f aca="false">AB499*(M500-AD499*J500)+AB499*AD499*N500/Inputs!$B$16-AH500</f>
        <v>0.0011661079279514</v>
      </c>
      <c r="AJ500" s="30" t="n">
        <f aca="false">MAX(AE500,0)*(Inputs!$B$17+Inputs!$B$24+Inputs!$B$25)+MAX(-AE500,0)*(O500+Inputs!$B$24+Inputs!$B$25)+IF(AND(K500=1,AB500&lt;&gt;0),(Inputs!$B$17+Inputs!$B$24+Inputs!$B$25)+(O500+Inputs!$B$24+Inputs!$B$25),0)+MAX(AG500,0)*(Inputs!$B$20+Inputs!$B$26+Inputs!$B$27)+MAX(-AG500,0)*(Inputs!$B$21+Inputs!$B$26+Inputs!$B$27)</f>
        <v>0</v>
      </c>
      <c r="AK500" s="30" t="n">
        <f aca="false">AB499*(M500-AD499*J500)+AB499*AD499*(N500+Inputs!$B$14)/Inputs!$B$16-AJ500</f>
        <v>0.00113671428737457</v>
      </c>
      <c r="AL500" s="30" t="n">
        <f aca="false">IF(AP499&lt;&gt;0,AQ499+1,0)</f>
        <v>3</v>
      </c>
      <c r="AM500" s="30" t="n">
        <f aca="false">IF(W500="",0,IF(AND(AP499&lt;&gt;0,OR(ABS(W500)&gt;Inputs!$B$7,AL500&gt;=Inputs!$B$8,ABS(W500)&lt;Inputs!$B$6)),1,0))</f>
        <v>0</v>
      </c>
      <c r="AN500" s="30" t="n">
        <f aca="false">IF(AM500=1,0,AP499)</f>
        <v>-1</v>
      </c>
      <c r="AO500" s="30" t="n">
        <f aca="false">IF(W500="",0,IF(AND(AN500=0,ABS(W500)&gt;Inputs!$B$5,ABS(W500)&lt;=Inputs!$B$7,W500&gt;0),1,0))</f>
        <v>0</v>
      </c>
      <c r="AP500" s="30" t="n">
        <f aca="false">IF(W500="",0,IF(AO500=1,-SIGN(W500),AN500))</f>
        <v>-1</v>
      </c>
      <c r="AQ500" s="30" t="n">
        <f aca="false">IF(W500="",0,IF(AO500=1,0,IF(AM500=1,0,AL500)))</f>
        <v>3</v>
      </c>
      <c r="AR500" s="29" t="n">
        <f aca="false">IF(AP500=0,0,IF(AP499=AP500,AR499,T500))</f>
        <v>0.987626323381601</v>
      </c>
      <c r="AS500" s="30" t="n">
        <f aca="false">AP500-AP499</f>
        <v>0</v>
      </c>
      <c r="AT500" s="30" t="n">
        <f aca="false">-AR500*AP500</f>
        <v>0.987626323381601</v>
      </c>
      <c r="AU500" s="30" t="n">
        <f aca="false">AT500-AT499</f>
        <v>0</v>
      </c>
      <c r="AV500" s="30" t="n">
        <f aca="false">MAX(AS500,0)*(Inputs!$B$17+Inputs!$B$18+Inputs!$B$19)+MAX(-AS500,0)*(O500+Inputs!$B$18+Inputs!$B$19)+IF(AND(K500=1,AP500&lt;&gt;0),(Inputs!$B$17+Inputs!$B$18+Inputs!$B$19)+(O500+Inputs!$B$18+Inputs!$B$19),0)+MAX(AU500,0)*(Inputs!$B$20+Inputs!$B$22+Inputs!$B$23)+MAX(-AU500,0)*(Inputs!$B$21+Inputs!$B$22+Inputs!$B$23)</f>
        <v>0</v>
      </c>
      <c r="AW500" s="30" t="n">
        <f aca="false">AP499*(M500-AR499*J500)+AP499*AR499*N500/Inputs!$B$16-AV500</f>
        <v>0.0011661079279514</v>
      </c>
      <c r="AX500" s="30" t="n">
        <f aca="false">AW500-IF(AP499&lt;&gt;0,0.75*AR499*(Inputs!$B$13-N500)/Inputs!$B$16,0)</f>
        <v>0.000930958803336732</v>
      </c>
      <c r="AY500" s="30" t="n">
        <f aca="false">MAX(AS500,0)*(Inputs!$B$17+Inputs!$B$18+Inputs!$B$19)+MAX(-AS500,0)*(O500+Inputs!$B$18+Inputs!$B$19)+IF(AND(K500=1,AP500&lt;&gt;0),(Inputs!$B$17+Inputs!$B$18+Inputs!$B$19)+(O500+Inputs!$B$18+Inputs!$B$19),0)</f>
        <v>0</v>
      </c>
      <c r="AZ500" s="30" t="n">
        <f aca="false">AP499*M500-AY500</f>
        <v>-0.00085293447417456</v>
      </c>
      <c r="BA500" s="32" t="n">
        <f aca="false">BA499+AI500</f>
        <v>0.00527417761756823</v>
      </c>
      <c r="BB500" s="30" t="n">
        <f aca="false">MAX(BB499,BA500)</f>
        <v>0.00527417761756823</v>
      </c>
      <c r="BC500" s="32" t="n">
        <f aca="false">BA500-BB500</f>
        <v>0</v>
      </c>
      <c r="BD500" s="30" t="n">
        <f aca="false">A501-A500</f>
        <v>3</v>
      </c>
    </row>
    <row r="501" customFormat="false" ht="15" hidden="false" customHeight="false" outlineLevel="0" collapsed="false">
      <c r="A501" s="28" t="n">
        <v>45782</v>
      </c>
      <c r="B501" s="0" t="n">
        <v>24567.1</v>
      </c>
      <c r="C501" s="0" t="n">
        <v>274.18</v>
      </c>
      <c r="D501" s="29" t="n">
        <f aca="false">LN(B501)</f>
        <v>10.1091634284311</v>
      </c>
      <c r="E501" s="29" t="n">
        <f aca="false">LN(C501)</f>
        <v>5.61378482500775</v>
      </c>
      <c r="F501" s="0" t="n">
        <v>496</v>
      </c>
      <c r="G501" s="0" t="n">
        <v>24</v>
      </c>
      <c r="H501" s="29" t="n">
        <f aca="false">D501-E501</f>
        <v>4.49537860342334</v>
      </c>
      <c r="I501" s="29" t="n">
        <f aca="false">D501-D500</f>
        <v>0.00695617329137299</v>
      </c>
      <c r="J501" s="29" t="n">
        <f aca="false">E501-E500</f>
        <v>0.00816659913878493</v>
      </c>
      <c r="K501" s="0" t="n">
        <v>0</v>
      </c>
      <c r="L501" s="0" t="n">
        <v>0</v>
      </c>
      <c r="M501" s="29" t="n">
        <f aca="false">IF(L501=1,J501-Carry!$B$9/Inputs!$B$16,I501)</f>
        <v>0.00695617329137299</v>
      </c>
      <c r="N501" s="0" t="n">
        <v>0.06</v>
      </c>
      <c r="O501" s="0" t="n">
        <v>0.0002</v>
      </c>
      <c r="P501" s="29" t="n">
        <f aca="false">D501-('2 Hedge ratio'!$B$6+'2 Hedge ratio'!$B$5*E501)</f>
        <v>0.00440484824012799</v>
      </c>
      <c r="Q501" s="29" t="n">
        <f aca="false">D501-('5 Re-specification'!$B$7+'5 Re-specification'!$B$5*E501+'5 Re-specification'!$B$6*F501)</f>
        <v>0.0034750992825856</v>
      </c>
      <c r="R501" s="30" t="n">
        <f aca="false">MIN(F501,Inputs!$B$9)</f>
        <v>250</v>
      </c>
      <c r="S501" s="29" t="n">
        <f aca="true">IF(AND(F501&gt;=1,R501&gt;=Inputs!$B$10),INDEX(LINEST(OFFSET(D501,-R501,0,R501,1),OFFSET(E501,-R501,0,R501,2)),1,1),"")</f>
        <v>-3.72376829557333E-005</v>
      </c>
      <c r="T501" s="29" t="n">
        <f aca="true">IF(AND(F501&gt;=1,R501&gt;=Inputs!$B$10),INDEX(LINEST(OFFSET(D501,-R501,0,R501,1),OFFSET(E501,-R501,0,R501,2)),1,2),"")</f>
        <v>0.990383752904993</v>
      </c>
      <c r="U501" s="29" t="n">
        <f aca="true">IF(AND(F501&gt;=1,R501&gt;=Inputs!$B$10),INDEX(LINEST(OFFSET(D501,-R501,0,R501,1),OFFSET(E501,-R501,0,R501,2)),1,3),"")</f>
        <v>4.5647821435809</v>
      </c>
      <c r="V501" s="29" t="n">
        <f aca="true">IF(AND(F501&gt;=1,R501&gt;=Inputs!$B$10),SQRT(SUMPRODUCT((OFFSET(D501,-R501,0,R501,1)-U501-T501*OFFSET(E501,-R501,0,R501,1)-S501*OFFSET(F501,-R501,0,R501,1))^2)/(R501-3)),"")</f>
        <v>0.00339336870907371</v>
      </c>
      <c r="W501" s="31" t="n">
        <f aca="false">IF(AND(F501&gt;=1,R501&gt;=Inputs!$B$10),(D501-U501-T501*E501-S501*F501)/V501,"")</f>
        <v>0.898780199099576</v>
      </c>
      <c r="X501" s="30" t="n">
        <f aca="false">IF(AB500&lt;&gt;0,AC500+1,0)</f>
        <v>4</v>
      </c>
      <c r="Y501" s="30" t="n">
        <f aca="false">IF(W501="",0,IF(AND(AB500&lt;&gt;0,OR(ABS(W501)&gt;Inputs!$B$7,X501&gt;=Inputs!$B$8,ABS(W501)&lt;Inputs!$B$6)),1,0))</f>
        <v>0</v>
      </c>
      <c r="Z501" s="30" t="n">
        <f aca="false">IF(Y501=1,0,AB500)</f>
        <v>-1</v>
      </c>
      <c r="AA501" s="30" t="n">
        <f aca="false">IF(W501="",0,IF(AND(Z501=0,ABS(W501)&gt;Inputs!$B$5,ABS(W501)&lt;=Inputs!$B$7),1,0))</f>
        <v>0</v>
      </c>
      <c r="AB501" s="30" t="n">
        <f aca="false">IF(W501="",0,IF(AA501=1,-SIGN(W501),Z501))</f>
        <v>-1</v>
      </c>
      <c r="AC501" s="30" t="n">
        <f aca="false">IF(W501="",0,IF(AA501=1,0,IF(Y501=1,0,X501)))</f>
        <v>4</v>
      </c>
      <c r="AD501" s="29" t="n">
        <f aca="false">IF(AB501=0,0,IF(AB500=AB501,AD500,T501))</f>
        <v>0.987626323381601</v>
      </c>
      <c r="AE501" s="30" t="n">
        <f aca="false">AB501-AB500</f>
        <v>0</v>
      </c>
      <c r="AF501" s="30" t="n">
        <f aca="false">-AD501*AB501</f>
        <v>0.987626323381601</v>
      </c>
      <c r="AG501" s="30" t="n">
        <f aca="false">AF501-AF500</f>
        <v>0</v>
      </c>
      <c r="AH501" s="30" t="n">
        <f aca="false">MAX(AE501,0)*(Inputs!$B$17+Inputs!$B$18+Inputs!$B$19)+MAX(-AE501,0)*(O501+Inputs!$B$18+Inputs!$B$19)+IF(AND(K501=1,AB501&lt;&gt;0),(Inputs!$B$17+Inputs!$B$18+Inputs!$B$19)+(O501+Inputs!$B$18+Inputs!$B$19),0)+MAX(AG501,0)*(Inputs!$B$20+Inputs!$B$22+Inputs!$B$23)+MAX(-AG501,0)*(Inputs!$B$21+Inputs!$B$22+Inputs!$B$23)</f>
        <v>0</v>
      </c>
      <c r="AI501" s="30" t="n">
        <f aca="false">AB500*(M501-AD500*J501)+AB500*AD500*N501/Inputs!$B$16-AH501</f>
        <v>0.000874225865981844</v>
      </c>
      <c r="AJ501" s="30" t="n">
        <f aca="false">MAX(AE501,0)*(Inputs!$B$17+Inputs!$B$24+Inputs!$B$25)+MAX(-AE501,0)*(O501+Inputs!$B$24+Inputs!$B$25)+IF(AND(K501=1,AB501&lt;&gt;0),(Inputs!$B$17+Inputs!$B$24+Inputs!$B$25)+(O501+Inputs!$B$24+Inputs!$B$25),0)+MAX(AG501,0)*(Inputs!$B$20+Inputs!$B$26+Inputs!$B$27)+MAX(-AG501,0)*(Inputs!$B$21+Inputs!$B$26+Inputs!$B$27)</f>
        <v>0</v>
      </c>
      <c r="AK501" s="30" t="n">
        <f aca="false">AB500*(M501-AD500*J501)+AB500*AD500*(N501+Inputs!$B$14)/Inputs!$B$16-AJ501</f>
        <v>0.000844832225405011</v>
      </c>
      <c r="AL501" s="30" t="n">
        <f aca="false">IF(AP500&lt;&gt;0,AQ500+1,0)</f>
        <v>4</v>
      </c>
      <c r="AM501" s="30" t="n">
        <f aca="false">IF(W501="",0,IF(AND(AP500&lt;&gt;0,OR(ABS(W501)&gt;Inputs!$B$7,AL501&gt;=Inputs!$B$8,ABS(W501)&lt;Inputs!$B$6)),1,0))</f>
        <v>0</v>
      </c>
      <c r="AN501" s="30" t="n">
        <f aca="false">IF(AM501=1,0,AP500)</f>
        <v>-1</v>
      </c>
      <c r="AO501" s="30" t="n">
        <f aca="false">IF(W501="",0,IF(AND(AN501=0,ABS(W501)&gt;Inputs!$B$5,ABS(W501)&lt;=Inputs!$B$7,W501&gt;0),1,0))</f>
        <v>0</v>
      </c>
      <c r="AP501" s="30" t="n">
        <f aca="false">IF(W501="",0,IF(AO501=1,-SIGN(W501),AN501))</f>
        <v>-1</v>
      </c>
      <c r="AQ501" s="30" t="n">
        <f aca="false">IF(W501="",0,IF(AO501=1,0,IF(AM501=1,0,AL501)))</f>
        <v>4</v>
      </c>
      <c r="AR501" s="29" t="n">
        <f aca="false">IF(AP501=0,0,IF(AP500=AP501,AR500,T501))</f>
        <v>0.987626323381601</v>
      </c>
      <c r="AS501" s="30" t="n">
        <f aca="false">AP501-AP500</f>
        <v>0</v>
      </c>
      <c r="AT501" s="30" t="n">
        <f aca="false">-AR501*AP501</f>
        <v>0.987626323381601</v>
      </c>
      <c r="AU501" s="30" t="n">
        <f aca="false">AT501-AT500</f>
        <v>0</v>
      </c>
      <c r="AV501" s="30" t="n">
        <f aca="false">MAX(AS501,0)*(Inputs!$B$17+Inputs!$B$18+Inputs!$B$19)+MAX(-AS501,0)*(O501+Inputs!$B$18+Inputs!$B$19)+IF(AND(K501=1,AP501&lt;&gt;0),(Inputs!$B$17+Inputs!$B$18+Inputs!$B$19)+(O501+Inputs!$B$18+Inputs!$B$19),0)+MAX(AU501,0)*(Inputs!$B$20+Inputs!$B$22+Inputs!$B$23)+MAX(-AU501,0)*(Inputs!$B$21+Inputs!$B$22+Inputs!$B$23)</f>
        <v>0</v>
      </c>
      <c r="AW501" s="30" t="n">
        <f aca="false">AP500*(M501-AR500*J501)+AP500*AR500*N501/Inputs!$B$16-AV501</f>
        <v>0.000874225865981844</v>
      </c>
      <c r="AX501" s="30" t="n">
        <f aca="false">AW501-IF(AP500&lt;&gt;0,0.75*AR500*(Inputs!$B$13-N501)/Inputs!$B$16,0)</f>
        <v>0.000639076741367177</v>
      </c>
      <c r="AY501" s="30" t="n">
        <f aca="false">MAX(AS501,0)*(Inputs!$B$17+Inputs!$B$18+Inputs!$B$19)+MAX(-AS501,0)*(O501+Inputs!$B$18+Inputs!$B$19)+IF(AND(K501=1,AP501&lt;&gt;0),(Inputs!$B$17+Inputs!$B$18+Inputs!$B$19)+(O501+Inputs!$B$18+Inputs!$B$19),0)</f>
        <v>0</v>
      </c>
      <c r="AZ501" s="30" t="n">
        <f aca="false">AP500*M501-AY501</f>
        <v>-0.00695617329137299</v>
      </c>
      <c r="BA501" s="32" t="n">
        <f aca="false">BA500+AI501</f>
        <v>0.00614840348355008</v>
      </c>
      <c r="BB501" s="30" t="n">
        <f aca="false">MAX(BB500,BA501)</f>
        <v>0.00614840348355008</v>
      </c>
      <c r="BC501" s="32" t="n">
        <f aca="false">BA501-BB501</f>
        <v>0</v>
      </c>
      <c r="BD501" s="30" t="n">
        <f aca="false">A502-A501</f>
        <v>1</v>
      </c>
    </row>
    <row r="502" customFormat="false" ht="15" hidden="false" customHeight="false" outlineLevel="0" collapsed="false">
      <c r="A502" s="28" t="n">
        <v>45783</v>
      </c>
      <c r="B502" s="0" t="n">
        <v>24412.3</v>
      </c>
      <c r="C502" s="0" t="n">
        <v>272.2</v>
      </c>
      <c r="D502" s="29" t="n">
        <f aca="false">LN(B502)</f>
        <v>10.1028423826271</v>
      </c>
      <c r="E502" s="29" t="n">
        <f aca="false">LN(C502)</f>
        <v>5.60653709021737</v>
      </c>
      <c r="F502" s="0" t="n">
        <v>497</v>
      </c>
      <c r="G502" s="0" t="n">
        <v>23</v>
      </c>
      <c r="H502" s="29" t="n">
        <f aca="false">D502-E502</f>
        <v>4.49630529240969</v>
      </c>
      <c r="I502" s="29" t="n">
        <f aca="false">D502-D501</f>
        <v>-0.0063210458040377</v>
      </c>
      <c r="J502" s="29" t="n">
        <f aca="false">E502-E501</f>
        <v>-0.00724773479038898</v>
      </c>
      <c r="K502" s="0" t="n">
        <v>0</v>
      </c>
      <c r="L502" s="0" t="n">
        <v>0</v>
      </c>
      <c r="M502" s="29" t="n">
        <f aca="false">IF(L502=1,J502-Carry!$B$9/Inputs!$B$16,I502)</f>
        <v>-0.0063210458040377</v>
      </c>
      <c r="N502" s="0" t="n">
        <v>0.06</v>
      </c>
      <c r="O502" s="0" t="n">
        <v>0.0002</v>
      </c>
      <c r="P502" s="29" t="n">
        <f aca="false">D502-('2 Hedge ratio'!$B$6+'2 Hedge ratio'!$B$5*E502)</f>
        <v>0.0047236462214908</v>
      </c>
      <c r="Q502" s="29" t="n">
        <f aca="false">D502-('5 Re-specification'!$B$7+'5 Re-specification'!$B$5*E502+'5 Re-specification'!$B$6*F502)</f>
        <v>0.00442475332659775</v>
      </c>
      <c r="R502" s="30" t="n">
        <f aca="false">MIN(F502,Inputs!$B$9)</f>
        <v>250</v>
      </c>
      <c r="S502" s="29" t="n">
        <f aca="true">IF(AND(F502&gt;=1,R502&gt;=Inputs!$B$10),INDEX(LINEST(OFFSET(D502,-R502,0,R502,1),OFFSET(E502,-R502,0,R502,2)),1,1),"")</f>
        <v>-3.62338792606493E-005</v>
      </c>
      <c r="T502" s="29" t="n">
        <f aca="true">IF(AND(F502&gt;=1,R502&gt;=Inputs!$B$10),INDEX(LINEST(OFFSET(D502,-R502,0,R502,1),OFFSET(E502,-R502,0,R502,2)),1,2),"")</f>
        <v>0.991795841041924</v>
      </c>
      <c r="U502" s="29" t="n">
        <f aca="true">IF(AND(F502&gt;=1,R502&gt;=Inputs!$B$10),INDEX(LINEST(OFFSET(D502,-R502,0,R502,1),OFFSET(E502,-R502,0,R502,2)),1,3),"")</f>
        <v>4.55650787710142</v>
      </c>
      <c r="V502" s="29" t="n">
        <f aca="true">IF(AND(F502&gt;=1,R502&gt;=Inputs!$B$10),SQRT(SUMPRODUCT((OFFSET(D502,-R502,0,R502,1)-U502-T502*OFFSET(E502,-R502,0,R502,1)-S502*OFFSET(F502,-R502,0,R502,1))^2)/(R502-3)),"")</f>
        <v>0.00336927282826721</v>
      </c>
      <c r="W502" s="31" t="n">
        <f aca="false">IF(AND(F502&gt;=1,R502&gt;=Inputs!$B$10),(D502-U502-T502*E502-S502*F502)/V502,"")</f>
        <v>1.12860400066315</v>
      </c>
      <c r="X502" s="30" t="n">
        <f aca="false">IF(AB501&lt;&gt;0,AC501+1,0)</f>
        <v>5</v>
      </c>
      <c r="Y502" s="30" t="n">
        <f aca="false">IF(W502="",0,IF(AND(AB501&lt;&gt;0,OR(ABS(W502)&gt;Inputs!$B$7,X502&gt;=Inputs!$B$8,ABS(W502)&lt;Inputs!$B$6)),1,0))</f>
        <v>0</v>
      </c>
      <c r="Z502" s="30" t="n">
        <f aca="false">IF(Y502=1,0,AB501)</f>
        <v>-1</v>
      </c>
      <c r="AA502" s="30" t="n">
        <f aca="false">IF(W502="",0,IF(AND(Z502=0,ABS(W502)&gt;Inputs!$B$5,ABS(W502)&lt;=Inputs!$B$7),1,0))</f>
        <v>0</v>
      </c>
      <c r="AB502" s="30" t="n">
        <f aca="false">IF(W502="",0,IF(AA502=1,-SIGN(W502),Z502))</f>
        <v>-1</v>
      </c>
      <c r="AC502" s="30" t="n">
        <f aca="false">IF(W502="",0,IF(AA502=1,0,IF(Y502=1,0,X502)))</f>
        <v>5</v>
      </c>
      <c r="AD502" s="29" t="n">
        <f aca="false">IF(AB502=0,0,IF(AB501=AB502,AD501,T502))</f>
        <v>0.987626323381601</v>
      </c>
      <c r="AE502" s="30" t="n">
        <f aca="false">AB502-AB501</f>
        <v>0</v>
      </c>
      <c r="AF502" s="30" t="n">
        <f aca="false">-AD502*AB502</f>
        <v>0.987626323381601</v>
      </c>
      <c r="AG502" s="30" t="n">
        <f aca="false">AF502-AF501</f>
        <v>0</v>
      </c>
      <c r="AH502" s="30" t="n">
        <f aca="false">MAX(AE502,0)*(Inputs!$B$17+Inputs!$B$18+Inputs!$B$19)+MAX(-AE502,0)*(O502+Inputs!$B$18+Inputs!$B$19)+IF(AND(K502=1,AB502&lt;&gt;0),(Inputs!$B$17+Inputs!$B$18+Inputs!$B$19)+(O502+Inputs!$B$18+Inputs!$B$19),0)+MAX(AG502,0)*(Inputs!$B$20+Inputs!$B$22+Inputs!$B$23)+MAX(-AG502,0)*(Inputs!$B$21+Inputs!$B$22+Inputs!$B$23)</f>
        <v>0</v>
      </c>
      <c r="AI502" s="30" t="n">
        <f aca="false">AB501*(M502-AD501*J502)+AB501*AD501*N502/Inputs!$B$16-AH502</f>
        <v>-0.00107215698445376</v>
      </c>
      <c r="AJ502" s="30" t="n">
        <f aca="false">MAX(AE502,0)*(Inputs!$B$17+Inputs!$B$24+Inputs!$B$25)+MAX(-AE502,0)*(O502+Inputs!$B$24+Inputs!$B$25)+IF(AND(K502=1,AB502&lt;&gt;0),(Inputs!$B$17+Inputs!$B$24+Inputs!$B$25)+(O502+Inputs!$B$24+Inputs!$B$25),0)+MAX(AG502,0)*(Inputs!$B$20+Inputs!$B$26+Inputs!$B$27)+MAX(-AG502,0)*(Inputs!$B$21+Inputs!$B$26+Inputs!$B$27)</f>
        <v>0</v>
      </c>
      <c r="AK502" s="30" t="n">
        <f aca="false">AB501*(M502-AD501*J502)+AB501*AD501*(N502+Inputs!$B$14)/Inputs!$B$16-AJ502</f>
        <v>-0.00110155062503059</v>
      </c>
      <c r="AL502" s="30" t="n">
        <f aca="false">IF(AP501&lt;&gt;0,AQ501+1,0)</f>
        <v>5</v>
      </c>
      <c r="AM502" s="30" t="n">
        <f aca="false">IF(W502="",0,IF(AND(AP501&lt;&gt;0,OR(ABS(W502)&gt;Inputs!$B$7,AL502&gt;=Inputs!$B$8,ABS(W502)&lt;Inputs!$B$6)),1,0))</f>
        <v>0</v>
      </c>
      <c r="AN502" s="30" t="n">
        <f aca="false">IF(AM502=1,0,AP501)</f>
        <v>-1</v>
      </c>
      <c r="AO502" s="30" t="n">
        <f aca="false">IF(W502="",0,IF(AND(AN502=0,ABS(W502)&gt;Inputs!$B$5,ABS(W502)&lt;=Inputs!$B$7,W502&gt;0),1,0))</f>
        <v>0</v>
      </c>
      <c r="AP502" s="30" t="n">
        <f aca="false">IF(W502="",0,IF(AO502=1,-SIGN(W502),AN502))</f>
        <v>-1</v>
      </c>
      <c r="AQ502" s="30" t="n">
        <f aca="false">IF(W502="",0,IF(AO502=1,0,IF(AM502=1,0,AL502)))</f>
        <v>5</v>
      </c>
      <c r="AR502" s="29" t="n">
        <f aca="false">IF(AP502=0,0,IF(AP501=AP502,AR501,T502))</f>
        <v>0.987626323381601</v>
      </c>
      <c r="AS502" s="30" t="n">
        <f aca="false">AP502-AP501</f>
        <v>0</v>
      </c>
      <c r="AT502" s="30" t="n">
        <f aca="false">-AR502*AP502</f>
        <v>0.987626323381601</v>
      </c>
      <c r="AU502" s="30" t="n">
        <f aca="false">AT502-AT501</f>
        <v>0</v>
      </c>
      <c r="AV502" s="30" t="n">
        <f aca="false">MAX(AS502,0)*(Inputs!$B$17+Inputs!$B$18+Inputs!$B$19)+MAX(-AS502,0)*(O502+Inputs!$B$18+Inputs!$B$19)+IF(AND(K502=1,AP502&lt;&gt;0),(Inputs!$B$17+Inputs!$B$18+Inputs!$B$19)+(O502+Inputs!$B$18+Inputs!$B$19),0)+MAX(AU502,0)*(Inputs!$B$20+Inputs!$B$22+Inputs!$B$23)+MAX(-AU502,0)*(Inputs!$B$21+Inputs!$B$22+Inputs!$B$23)</f>
        <v>0</v>
      </c>
      <c r="AW502" s="30" t="n">
        <f aca="false">AP501*(M502-AR501*J502)+AP501*AR501*N502/Inputs!$B$16-AV502</f>
        <v>-0.00107215698445376</v>
      </c>
      <c r="AX502" s="30" t="n">
        <f aca="false">AW502-IF(AP501&lt;&gt;0,0.75*AR501*(Inputs!$B$13-N502)/Inputs!$B$16,0)</f>
        <v>-0.00130730610906843</v>
      </c>
      <c r="AY502" s="30" t="n">
        <f aca="false">MAX(AS502,0)*(Inputs!$B$17+Inputs!$B$18+Inputs!$B$19)+MAX(-AS502,0)*(O502+Inputs!$B$18+Inputs!$B$19)+IF(AND(K502=1,AP502&lt;&gt;0),(Inputs!$B$17+Inputs!$B$18+Inputs!$B$19)+(O502+Inputs!$B$18+Inputs!$B$19),0)</f>
        <v>0</v>
      </c>
      <c r="AZ502" s="30" t="n">
        <f aca="false">AP501*M502-AY502</f>
        <v>0.0063210458040377</v>
      </c>
      <c r="BA502" s="32" t="n">
        <f aca="false">BA501+AI502</f>
        <v>0.00507624649909632</v>
      </c>
      <c r="BB502" s="30" t="n">
        <f aca="false">MAX(BB501,BA502)</f>
        <v>0.00614840348355008</v>
      </c>
      <c r="BC502" s="32" t="n">
        <f aca="false">BA502-BB502</f>
        <v>-0.00107215698445376</v>
      </c>
      <c r="BD502" s="30" t="n">
        <f aca="false">A503-A502</f>
        <v>1</v>
      </c>
    </row>
    <row r="503" customFormat="false" ht="15" hidden="false" customHeight="false" outlineLevel="0" collapsed="false">
      <c r="A503" s="28" t="n">
        <v>45784</v>
      </c>
      <c r="B503" s="0" t="n">
        <v>24467.5</v>
      </c>
      <c r="C503" s="0" t="n">
        <v>272.94</v>
      </c>
      <c r="D503" s="29" t="n">
        <f aca="false">LN(B503)</f>
        <v>10.1051009853</v>
      </c>
      <c r="E503" s="29" t="n">
        <f aca="false">LN(C503)</f>
        <v>5.60925199080997</v>
      </c>
      <c r="F503" s="0" t="n">
        <v>498</v>
      </c>
      <c r="G503" s="0" t="n">
        <v>22</v>
      </c>
      <c r="H503" s="29" t="n">
        <f aca="false">D503-E503</f>
        <v>4.49584899449001</v>
      </c>
      <c r="I503" s="29" t="n">
        <f aca="false">D503-D502</f>
        <v>0.00225860267292077</v>
      </c>
      <c r="J503" s="29" t="n">
        <f aca="false">E503-E502</f>
        <v>0.00271490059260238</v>
      </c>
      <c r="K503" s="0" t="n">
        <v>0</v>
      </c>
      <c r="L503" s="0" t="n">
        <v>0</v>
      </c>
      <c r="M503" s="29" t="n">
        <f aca="false">IF(L503=1,J503-Carry!$B$9/Inputs!$B$16,I503)</f>
        <v>0.00225860267292077</v>
      </c>
      <c r="N503" s="0" t="n">
        <v>0.06</v>
      </c>
      <c r="O503" s="0" t="n">
        <v>0.0002</v>
      </c>
      <c r="P503" s="29" t="n">
        <f aca="false">D503-('2 Hedge ratio'!$B$6+'2 Hedge ratio'!$B$5*E503)</f>
        <v>0.00449505581283205</v>
      </c>
      <c r="Q503" s="29" t="n">
        <f aca="false">D503-('5 Re-specification'!$B$7+'5 Re-specification'!$B$5*E503+'5 Re-specification'!$B$6*F503)</f>
        <v>0.00402161223131792</v>
      </c>
      <c r="R503" s="30" t="n">
        <f aca="false">MIN(F503,Inputs!$B$9)</f>
        <v>250</v>
      </c>
      <c r="S503" s="29" t="n">
        <f aca="true">IF(AND(F503&gt;=1,R503&gt;=Inputs!$B$10),INDEX(LINEST(OFFSET(D503,-R503,0,R503,1),OFFSET(E503,-R503,0,R503,2)),1,1),"")</f>
        <v>-3.51705704004934E-005</v>
      </c>
      <c r="T503" s="29" t="n">
        <f aca="true">IF(AND(F503&gt;=1,R503&gt;=Inputs!$B$10),INDEX(LINEST(OFFSET(D503,-R503,0,R503,1),OFFSET(E503,-R503,0,R503,2)),1,2),"")</f>
        <v>0.993221703656389</v>
      </c>
      <c r="U503" s="29" t="n">
        <f aca="true">IF(AND(F503&gt;=1,R503&gt;=Inputs!$B$10),INDEX(LINEST(OFFSET(D503,-R503,0,R503,1),OFFSET(E503,-R503,0,R503,2)),1,3),"")</f>
        <v>4.54813681425269</v>
      </c>
      <c r="V503" s="29" t="n">
        <f aca="true">IF(AND(F503&gt;=1,R503&gt;=Inputs!$B$10),SQRT(SUMPRODUCT((OFFSET(D503,-R503,0,R503,1)-U503-T503*OFFSET(E503,-R503,0,R503,1)-S503*OFFSET(F503,-R503,0,R503,1))^2)/(R503-3)),"")</f>
        <v>0.00334964012572363</v>
      </c>
      <c r="W503" s="31" t="n">
        <f aca="false">IF(AND(F503&gt;=1,R503&gt;=Inputs!$B$10),(D503-U503-T503*E503-S503*F503)/V503,"")</f>
        <v>0.969744938124521</v>
      </c>
      <c r="X503" s="30" t="n">
        <f aca="false">IF(AB502&lt;&gt;0,AC502+1,0)</f>
        <v>6</v>
      </c>
      <c r="Y503" s="30" t="n">
        <f aca="false">IF(W503="",0,IF(AND(AB502&lt;&gt;0,OR(ABS(W503)&gt;Inputs!$B$7,X503&gt;=Inputs!$B$8,ABS(W503)&lt;Inputs!$B$6)),1,0))</f>
        <v>0</v>
      </c>
      <c r="Z503" s="30" t="n">
        <f aca="false">IF(Y503=1,0,AB502)</f>
        <v>-1</v>
      </c>
      <c r="AA503" s="30" t="n">
        <f aca="false">IF(W503="",0,IF(AND(Z503=0,ABS(W503)&gt;Inputs!$B$5,ABS(W503)&lt;=Inputs!$B$7),1,0))</f>
        <v>0</v>
      </c>
      <c r="AB503" s="30" t="n">
        <f aca="false">IF(W503="",0,IF(AA503=1,-SIGN(W503),Z503))</f>
        <v>-1</v>
      </c>
      <c r="AC503" s="30" t="n">
        <f aca="false">IF(W503="",0,IF(AA503=1,0,IF(Y503=1,0,X503)))</f>
        <v>6</v>
      </c>
      <c r="AD503" s="29" t="n">
        <f aca="false">IF(AB503=0,0,IF(AB502=AB503,AD502,T503))</f>
        <v>0.987626323381601</v>
      </c>
      <c r="AE503" s="30" t="n">
        <f aca="false">AB503-AB502</f>
        <v>0</v>
      </c>
      <c r="AF503" s="30" t="n">
        <f aca="false">-AD503*AB503</f>
        <v>0.987626323381601</v>
      </c>
      <c r="AG503" s="30" t="n">
        <f aca="false">AF503-AF502</f>
        <v>0</v>
      </c>
      <c r="AH503" s="30" t="n">
        <f aca="false">MAX(AE503,0)*(Inputs!$B$17+Inputs!$B$18+Inputs!$B$19)+MAX(-AE503,0)*(O503+Inputs!$B$18+Inputs!$B$19)+IF(AND(K503=1,AB503&lt;&gt;0),(Inputs!$B$17+Inputs!$B$18+Inputs!$B$19)+(O503+Inputs!$B$18+Inputs!$B$19),0)+MAX(AG503,0)*(Inputs!$B$20+Inputs!$B$22+Inputs!$B$23)+MAX(-AG503,0)*(Inputs!$B$21+Inputs!$B$22+Inputs!$B$23)</f>
        <v>0</v>
      </c>
      <c r="AI503" s="30" t="n">
        <f aca="false">AB502*(M503-AD502*J503)+AB502*AD502*N503/Inputs!$B$16-AH503</f>
        <v>0.000187555493082974</v>
      </c>
      <c r="AJ503" s="30" t="n">
        <f aca="false">MAX(AE503,0)*(Inputs!$B$17+Inputs!$B$24+Inputs!$B$25)+MAX(-AE503,0)*(O503+Inputs!$B$24+Inputs!$B$25)+IF(AND(K503=1,AB503&lt;&gt;0),(Inputs!$B$17+Inputs!$B$24+Inputs!$B$25)+(O503+Inputs!$B$24+Inputs!$B$25),0)+MAX(AG503,0)*(Inputs!$B$20+Inputs!$B$26+Inputs!$B$27)+MAX(-AG503,0)*(Inputs!$B$21+Inputs!$B$26+Inputs!$B$27)</f>
        <v>0</v>
      </c>
      <c r="AK503" s="30" t="n">
        <f aca="false">AB502*(M503-AD502*J503)+AB502*AD502*(N503+Inputs!$B$14)/Inputs!$B$16-AJ503</f>
        <v>0.000158161852506141</v>
      </c>
      <c r="AL503" s="30" t="n">
        <f aca="false">IF(AP502&lt;&gt;0,AQ502+1,0)</f>
        <v>6</v>
      </c>
      <c r="AM503" s="30" t="n">
        <f aca="false">IF(W503="",0,IF(AND(AP502&lt;&gt;0,OR(ABS(W503)&gt;Inputs!$B$7,AL503&gt;=Inputs!$B$8,ABS(W503)&lt;Inputs!$B$6)),1,0))</f>
        <v>0</v>
      </c>
      <c r="AN503" s="30" t="n">
        <f aca="false">IF(AM503=1,0,AP502)</f>
        <v>-1</v>
      </c>
      <c r="AO503" s="30" t="n">
        <f aca="false">IF(W503="",0,IF(AND(AN503=0,ABS(W503)&gt;Inputs!$B$5,ABS(W503)&lt;=Inputs!$B$7,W503&gt;0),1,0))</f>
        <v>0</v>
      </c>
      <c r="AP503" s="30" t="n">
        <f aca="false">IF(W503="",0,IF(AO503=1,-SIGN(W503),AN503))</f>
        <v>-1</v>
      </c>
      <c r="AQ503" s="30" t="n">
        <f aca="false">IF(W503="",0,IF(AO503=1,0,IF(AM503=1,0,AL503)))</f>
        <v>6</v>
      </c>
      <c r="AR503" s="29" t="n">
        <f aca="false">IF(AP503=0,0,IF(AP502=AP503,AR502,T503))</f>
        <v>0.987626323381601</v>
      </c>
      <c r="AS503" s="30" t="n">
        <f aca="false">AP503-AP502</f>
        <v>0</v>
      </c>
      <c r="AT503" s="30" t="n">
        <f aca="false">-AR503*AP503</f>
        <v>0.987626323381601</v>
      </c>
      <c r="AU503" s="30" t="n">
        <f aca="false">AT503-AT502</f>
        <v>0</v>
      </c>
      <c r="AV503" s="30" t="n">
        <f aca="false">MAX(AS503,0)*(Inputs!$B$17+Inputs!$B$18+Inputs!$B$19)+MAX(-AS503,0)*(O503+Inputs!$B$18+Inputs!$B$19)+IF(AND(K503=1,AP503&lt;&gt;0),(Inputs!$B$17+Inputs!$B$18+Inputs!$B$19)+(O503+Inputs!$B$18+Inputs!$B$19),0)+MAX(AU503,0)*(Inputs!$B$20+Inputs!$B$22+Inputs!$B$23)+MAX(-AU503,0)*(Inputs!$B$21+Inputs!$B$22+Inputs!$B$23)</f>
        <v>0</v>
      </c>
      <c r="AW503" s="30" t="n">
        <f aca="false">AP502*(M503-AR502*J503)+AP502*AR502*N503/Inputs!$B$16-AV503</f>
        <v>0.000187555493082974</v>
      </c>
      <c r="AX503" s="30" t="n">
        <f aca="false">AW503-IF(AP502&lt;&gt;0,0.75*AR502*(Inputs!$B$13-N503)/Inputs!$B$16,0)</f>
        <v>-4.75936315316926E-005</v>
      </c>
      <c r="AY503" s="30" t="n">
        <f aca="false">MAX(AS503,0)*(Inputs!$B$17+Inputs!$B$18+Inputs!$B$19)+MAX(-AS503,0)*(O503+Inputs!$B$18+Inputs!$B$19)+IF(AND(K503=1,AP503&lt;&gt;0),(Inputs!$B$17+Inputs!$B$18+Inputs!$B$19)+(O503+Inputs!$B$18+Inputs!$B$19),0)</f>
        <v>0</v>
      </c>
      <c r="AZ503" s="30" t="n">
        <f aca="false">AP502*M503-AY503</f>
        <v>-0.00225860267292077</v>
      </c>
      <c r="BA503" s="32" t="n">
        <f aca="false">BA502+AI503</f>
        <v>0.00526380199217929</v>
      </c>
      <c r="BB503" s="30" t="n">
        <f aca="false">MAX(BB502,BA503)</f>
        <v>0.00614840348355008</v>
      </c>
      <c r="BC503" s="32" t="n">
        <f aca="false">BA503-BB503</f>
        <v>-0.000884601491370786</v>
      </c>
      <c r="BD503" s="30" t="n">
        <f aca="false">A504-A503</f>
        <v>1</v>
      </c>
    </row>
    <row r="504" customFormat="false" ht="15" hidden="false" customHeight="false" outlineLevel="0" collapsed="false">
      <c r="A504" s="28" t="n">
        <v>45785</v>
      </c>
      <c r="B504" s="0" t="n">
        <v>24208.2</v>
      </c>
      <c r="C504" s="0" t="n">
        <v>270.27</v>
      </c>
      <c r="D504" s="29" t="n">
        <f aca="false">LN(B504)</f>
        <v>10.0944466977257</v>
      </c>
      <c r="E504" s="29" t="n">
        <f aca="false">LN(C504)</f>
        <v>5.59942145933146</v>
      </c>
      <c r="F504" s="0" t="n">
        <v>499</v>
      </c>
      <c r="G504" s="0" t="n">
        <v>21</v>
      </c>
      <c r="H504" s="29" t="n">
        <f aca="false">D504-E504</f>
        <v>4.49502523839421</v>
      </c>
      <c r="I504" s="29" t="n">
        <f aca="false">D504-D503</f>
        <v>-0.0106542875743063</v>
      </c>
      <c r="J504" s="29" t="n">
        <f aca="false">E504-E503</f>
        <v>-0.00983053147850921</v>
      </c>
      <c r="K504" s="0" t="n">
        <v>0</v>
      </c>
      <c r="L504" s="0" t="n">
        <v>0</v>
      </c>
      <c r="M504" s="29" t="n">
        <f aca="false">IF(L504=1,J504-Carry!$B$9/Inputs!$B$16,I504)</f>
        <v>-0.0106542875743063</v>
      </c>
      <c r="N504" s="0" t="n">
        <v>0.06</v>
      </c>
      <c r="O504" s="0" t="n">
        <v>0.0002</v>
      </c>
      <c r="P504" s="29" t="n">
        <f aca="false">D504-('2 Hedge ratio'!$B$6+'2 Hedge ratio'!$B$5*E504)</f>
        <v>0.0028467811836066</v>
      </c>
      <c r="Q504" s="29" t="n">
        <f aca="false">D504-('5 Re-specification'!$B$7+'5 Re-specification'!$B$5*E504+'5 Re-specification'!$B$6*F504)</f>
        <v>0.00321299402776098</v>
      </c>
      <c r="R504" s="30" t="n">
        <f aca="false">MIN(F504,Inputs!$B$9)</f>
        <v>250</v>
      </c>
      <c r="S504" s="29" t="n">
        <f aca="true">IF(AND(F504&gt;=1,R504&gt;=Inputs!$B$10),INDEX(LINEST(OFFSET(D504,-R504,0,R504,1),OFFSET(E504,-R504,0,R504,2)),1,1),"")</f>
        <v>-3.41618427015862E-005</v>
      </c>
      <c r="T504" s="29" t="n">
        <f aca="true">IF(AND(F504&gt;=1,R504&gt;=Inputs!$B$10),INDEX(LINEST(OFFSET(D504,-R504,0,R504,1),OFFSET(E504,-R504,0,R504,2)),1,2),"")</f>
        <v>0.994589325616155</v>
      </c>
      <c r="U504" s="29" t="n">
        <f aca="true">IF(AND(F504&gt;=1,R504&gt;=Inputs!$B$10),INDEX(LINEST(OFFSET(D504,-R504,0,R504,1),OFFSET(E504,-R504,0,R504,2)),1,3),"")</f>
        <v>4.54010783855109</v>
      </c>
      <c r="V504" s="29" t="n">
        <f aca="true">IF(AND(F504&gt;=1,R504&gt;=Inputs!$B$10),SQRT(SUMPRODUCT((OFFSET(D504,-R504,0,R504,1)-U504-T504*OFFSET(E504,-R504,0,R504,1)-S504*OFFSET(F504,-R504,0,R504,1))^2)/(R504-3)),"")</f>
        <v>0.00332798446561489</v>
      </c>
      <c r="W504" s="31" t="n">
        <f aca="false">IF(AND(F504&gt;=1,R504&gt;=Inputs!$B$10),(D504-U504-T504*E504-S504*F504)/V504,"")</f>
        <v>0.679331778414851</v>
      </c>
      <c r="X504" s="30" t="n">
        <f aca="false">IF(AB503&lt;&gt;0,AC503+1,0)</f>
        <v>7</v>
      </c>
      <c r="Y504" s="30" t="n">
        <f aca="false">IF(W504="",0,IF(AND(AB503&lt;&gt;0,OR(ABS(W504)&gt;Inputs!$B$7,X504&gt;=Inputs!$B$8,ABS(W504)&lt;Inputs!$B$6)),1,0))</f>
        <v>0</v>
      </c>
      <c r="Z504" s="30" t="n">
        <f aca="false">IF(Y504=1,0,AB503)</f>
        <v>-1</v>
      </c>
      <c r="AA504" s="30" t="n">
        <f aca="false">IF(W504="",0,IF(AND(Z504=0,ABS(W504)&gt;Inputs!$B$5,ABS(W504)&lt;=Inputs!$B$7),1,0))</f>
        <v>0</v>
      </c>
      <c r="AB504" s="30" t="n">
        <f aca="false">IF(W504="",0,IF(AA504=1,-SIGN(W504),Z504))</f>
        <v>-1</v>
      </c>
      <c r="AC504" s="30" t="n">
        <f aca="false">IF(W504="",0,IF(AA504=1,0,IF(Y504=1,0,X504)))</f>
        <v>7</v>
      </c>
      <c r="AD504" s="29" t="n">
        <f aca="false">IF(AB504=0,0,IF(AB503=AB504,AD503,T504))</f>
        <v>0.987626323381601</v>
      </c>
      <c r="AE504" s="30" t="n">
        <f aca="false">AB504-AB503</f>
        <v>0</v>
      </c>
      <c r="AF504" s="30" t="n">
        <f aca="false">-AD504*AB504</f>
        <v>0.987626323381601</v>
      </c>
      <c r="AG504" s="30" t="n">
        <f aca="false">AF504-AF503</f>
        <v>0</v>
      </c>
      <c r="AH504" s="30" t="n">
        <f aca="false">MAX(AE504,0)*(Inputs!$B$17+Inputs!$B$18+Inputs!$B$19)+MAX(-AE504,0)*(O504+Inputs!$B$18+Inputs!$B$19)+IF(AND(K504=1,AB504&lt;&gt;0),(Inputs!$B$17+Inputs!$B$18+Inputs!$B$19)+(O504+Inputs!$B$18+Inputs!$B$19),0)+MAX(AG504,0)*(Inputs!$B$20+Inputs!$B$22+Inputs!$B$23)+MAX(-AG504,0)*(Inputs!$B$21+Inputs!$B$22+Inputs!$B$23)</f>
        <v>0</v>
      </c>
      <c r="AI504" s="30" t="n">
        <f aca="false">AB503*(M504-AD503*J504)+AB503*AD503*N504/Inputs!$B$16-AH504</f>
        <v>0.0007102467886845</v>
      </c>
      <c r="AJ504" s="30" t="n">
        <f aca="false">MAX(AE504,0)*(Inputs!$B$17+Inputs!$B$24+Inputs!$B$25)+MAX(-AE504,0)*(O504+Inputs!$B$24+Inputs!$B$25)+IF(AND(K504=1,AB504&lt;&gt;0),(Inputs!$B$17+Inputs!$B$24+Inputs!$B$25)+(O504+Inputs!$B$24+Inputs!$B$25),0)+MAX(AG504,0)*(Inputs!$B$20+Inputs!$B$26+Inputs!$B$27)+MAX(-AG504,0)*(Inputs!$B$21+Inputs!$B$26+Inputs!$B$27)</f>
        <v>0</v>
      </c>
      <c r="AK504" s="30" t="n">
        <f aca="false">AB503*(M504-AD503*J504)+AB503*AD503*(N504+Inputs!$B$14)/Inputs!$B$16-AJ504</f>
        <v>0.000680853148107667</v>
      </c>
      <c r="AL504" s="30" t="n">
        <f aca="false">IF(AP503&lt;&gt;0,AQ503+1,0)</f>
        <v>7</v>
      </c>
      <c r="AM504" s="30" t="n">
        <f aca="false">IF(W504="",0,IF(AND(AP503&lt;&gt;0,OR(ABS(W504)&gt;Inputs!$B$7,AL504&gt;=Inputs!$B$8,ABS(W504)&lt;Inputs!$B$6)),1,0))</f>
        <v>0</v>
      </c>
      <c r="AN504" s="30" t="n">
        <f aca="false">IF(AM504=1,0,AP503)</f>
        <v>-1</v>
      </c>
      <c r="AO504" s="30" t="n">
        <f aca="false">IF(W504="",0,IF(AND(AN504=0,ABS(W504)&gt;Inputs!$B$5,ABS(W504)&lt;=Inputs!$B$7,W504&gt;0),1,0))</f>
        <v>0</v>
      </c>
      <c r="AP504" s="30" t="n">
        <f aca="false">IF(W504="",0,IF(AO504=1,-SIGN(W504),AN504))</f>
        <v>-1</v>
      </c>
      <c r="AQ504" s="30" t="n">
        <f aca="false">IF(W504="",0,IF(AO504=1,0,IF(AM504=1,0,AL504)))</f>
        <v>7</v>
      </c>
      <c r="AR504" s="29" t="n">
        <f aca="false">IF(AP504=0,0,IF(AP503=AP504,AR503,T504))</f>
        <v>0.987626323381601</v>
      </c>
      <c r="AS504" s="30" t="n">
        <f aca="false">AP504-AP503</f>
        <v>0</v>
      </c>
      <c r="AT504" s="30" t="n">
        <f aca="false">-AR504*AP504</f>
        <v>0.987626323381601</v>
      </c>
      <c r="AU504" s="30" t="n">
        <f aca="false">AT504-AT503</f>
        <v>0</v>
      </c>
      <c r="AV504" s="30" t="n">
        <f aca="false">MAX(AS504,0)*(Inputs!$B$17+Inputs!$B$18+Inputs!$B$19)+MAX(-AS504,0)*(O504+Inputs!$B$18+Inputs!$B$19)+IF(AND(K504=1,AP504&lt;&gt;0),(Inputs!$B$17+Inputs!$B$18+Inputs!$B$19)+(O504+Inputs!$B$18+Inputs!$B$19),0)+MAX(AU504,0)*(Inputs!$B$20+Inputs!$B$22+Inputs!$B$23)+MAX(-AU504,0)*(Inputs!$B$21+Inputs!$B$22+Inputs!$B$23)</f>
        <v>0</v>
      </c>
      <c r="AW504" s="30" t="n">
        <f aca="false">AP503*(M504-AR503*J504)+AP503*AR503*N504/Inputs!$B$16-AV504</f>
        <v>0.0007102467886845</v>
      </c>
      <c r="AX504" s="30" t="n">
        <f aca="false">AW504-IF(AP503&lt;&gt;0,0.75*AR503*(Inputs!$B$13-N504)/Inputs!$B$16,0)</f>
        <v>0.000475097664069833</v>
      </c>
      <c r="AY504" s="30" t="n">
        <f aca="false">MAX(AS504,0)*(Inputs!$B$17+Inputs!$B$18+Inputs!$B$19)+MAX(-AS504,0)*(O504+Inputs!$B$18+Inputs!$B$19)+IF(AND(K504=1,AP504&lt;&gt;0),(Inputs!$B$17+Inputs!$B$18+Inputs!$B$19)+(O504+Inputs!$B$18+Inputs!$B$19),0)</f>
        <v>0</v>
      </c>
      <c r="AZ504" s="30" t="n">
        <f aca="false">AP503*M504-AY504</f>
        <v>0.0106542875743063</v>
      </c>
      <c r="BA504" s="32" t="n">
        <f aca="false">BA503+AI504</f>
        <v>0.00597404878086379</v>
      </c>
      <c r="BB504" s="30" t="n">
        <f aca="false">MAX(BB503,BA504)</f>
        <v>0.00614840348355008</v>
      </c>
      <c r="BC504" s="32" t="n">
        <f aca="false">BA504-BB504</f>
        <v>-0.000174354702686286</v>
      </c>
      <c r="BD504" s="30" t="n">
        <f aca="false">A505-A504</f>
        <v>1</v>
      </c>
    </row>
    <row r="505" customFormat="false" ht="15" hidden="false" customHeight="false" outlineLevel="0" collapsed="false">
      <c r="A505" s="28" t="n">
        <v>45786</v>
      </c>
      <c r="B505" s="0" t="n">
        <v>24090</v>
      </c>
      <c r="C505" s="0" t="n">
        <v>268.75</v>
      </c>
      <c r="D505" s="29" t="n">
        <f aca="false">LN(B505)</f>
        <v>10.0895520956089</v>
      </c>
      <c r="E505" s="29" t="n">
        <f aca="false">LN(C505)</f>
        <v>5.59378157944187</v>
      </c>
      <c r="F505" s="0" t="n">
        <v>500</v>
      </c>
      <c r="G505" s="0" t="n">
        <v>20</v>
      </c>
      <c r="H505" s="29" t="n">
        <f aca="false">D505-E505</f>
        <v>4.49577051616705</v>
      </c>
      <c r="I505" s="29" t="n">
        <f aca="false">D505-D504</f>
        <v>-0.0048946021167513</v>
      </c>
      <c r="J505" s="29" t="n">
        <f aca="false">E505-E504</f>
        <v>-0.00563987988958647</v>
      </c>
      <c r="K505" s="0" t="n">
        <v>0</v>
      </c>
      <c r="L505" s="0" t="n">
        <v>0</v>
      </c>
      <c r="M505" s="29" t="n">
        <f aca="false">IF(L505=1,J505-Carry!$B$9/Inputs!$B$16,I505)</f>
        <v>-0.0048946021167513</v>
      </c>
      <c r="N505" s="0" t="n">
        <v>0.06</v>
      </c>
      <c r="O505" s="0" t="n">
        <v>0.0002</v>
      </c>
      <c r="P505" s="29" t="n">
        <f aca="false">D505-('2 Hedge ratio'!$B$6+'2 Hedge ratio'!$B$5*E505)</f>
        <v>0.00311902395264241</v>
      </c>
      <c r="Q505" s="29" t="n">
        <f aca="false">D505-('5 Re-specification'!$B$7+'5 Re-specification'!$B$5*E505+'5 Re-specification'!$B$6*F505)</f>
        <v>0.00398610946256817</v>
      </c>
      <c r="R505" s="30" t="n">
        <f aca="false">MIN(F505,Inputs!$B$9)</f>
        <v>250</v>
      </c>
      <c r="S505" s="29" t="n">
        <f aca="true">IF(AND(F505&gt;=1,R505&gt;=Inputs!$B$10),INDEX(LINEST(OFFSET(D505,-R505,0,R505,1),OFFSET(E505,-R505,0,R505,2)),1,1),"")</f>
        <v>-3.3357910422345E-005</v>
      </c>
      <c r="T505" s="29" t="n">
        <f aca="true">IF(AND(F505&gt;=1,R505&gt;=Inputs!$B$10),INDEX(LINEST(OFFSET(D505,-R505,0,R505,1),OFFSET(E505,-R505,0,R505,2)),1,2),"")</f>
        <v>0.995784615952357</v>
      </c>
      <c r="U505" s="29" t="n">
        <f aca="true">IF(AND(F505&gt;=1,R505&gt;=Inputs!$B$10),INDEX(LINEST(OFFSET(D505,-R505,0,R505,1),OFFSET(E505,-R505,0,R505,2)),1,3),"")</f>
        <v>4.53311727473574</v>
      </c>
      <c r="V505" s="29" t="n">
        <f aca="true">IF(AND(F505&gt;=1,R505&gt;=Inputs!$B$10),SQRT(SUMPRODUCT((OFFSET(D505,-R505,0,R505,1)-U505-T505*OFFSET(E505,-R505,0,R505,1)-S505*OFFSET(F505,-R505,0,R505,1))^2)/(R505-3)),"")</f>
        <v>0.00331171434512034</v>
      </c>
      <c r="W505" s="31" t="n">
        <f aca="false">IF(AND(F505&gt;=1,R505&gt;=Inputs!$B$10),(D505-U505-T505*E505-S505*F505)/V505,"")</f>
        <v>0.879343438166287</v>
      </c>
      <c r="X505" s="30" t="n">
        <f aca="false">IF(AB504&lt;&gt;0,AC504+1,0)</f>
        <v>8</v>
      </c>
      <c r="Y505" s="30" t="n">
        <f aca="false">IF(W505="",0,IF(AND(AB504&lt;&gt;0,OR(ABS(W505)&gt;Inputs!$B$7,X505&gt;=Inputs!$B$8,ABS(W505)&lt;Inputs!$B$6)),1,0))</f>
        <v>0</v>
      </c>
      <c r="Z505" s="30" t="n">
        <f aca="false">IF(Y505=1,0,AB504)</f>
        <v>-1</v>
      </c>
      <c r="AA505" s="30" t="n">
        <f aca="false">IF(W505="",0,IF(AND(Z505=0,ABS(W505)&gt;Inputs!$B$5,ABS(W505)&lt;=Inputs!$B$7),1,0))</f>
        <v>0</v>
      </c>
      <c r="AB505" s="30" t="n">
        <f aca="false">IF(W505="",0,IF(AA505=1,-SIGN(W505),Z505))</f>
        <v>-1</v>
      </c>
      <c r="AC505" s="30" t="n">
        <f aca="false">IF(W505="",0,IF(AA505=1,0,IF(Y505=1,0,X505)))</f>
        <v>8</v>
      </c>
      <c r="AD505" s="29" t="n">
        <f aca="false">IF(AB505=0,0,IF(AB504=AB505,AD504,T505))</f>
        <v>0.987626323381601</v>
      </c>
      <c r="AE505" s="30" t="n">
        <f aca="false">AB505-AB504</f>
        <v>0</v>
      </c>
      <c r="AF505" s="30" t="n">
        <f aca="false">-AD505*AB505</f>
        <v>0.987626323381601</v>
      </c>
      <c r="AG505" s="30" t="n">
        <f aca="false">AF505-AF504</f>
        <v>0</v>
      </c>
      <c r="AH505" s="30" t="n">
        <f aca="false">MAX(AE505,0)*(Inputs!$B$17+Inputs!$B$18+Inputs!$B$19)+MAX(-AE505,0)*(O505+Inputs!$B$18+Inputs!$B$19)+IF(AND(K505=1,AB505&lt;&gt;0),(Inputs!$B$17+Inputs!$B$18+Inputs!$B$19)+(O505+Inputs!$B$18+Inputs!$B$19),0)+MAX(AG505,0)*(Inputs!$B$20+Inputs!$B$22+Inputs!$B$23)+MAX(-AG505,0)*(Inputs!$B$21+Inputs!$B$22+Inputs!$B$23)</f>
        <v>0</v>
      </c>
      <c r="AI505" s="30" t="n">
        <f aca="false">AB504*(M505-AD504*J505)+AB504*AD504*N505/Inputs!$B$16-AH505</f>
        <v>-0.000910640847529485</v>
      </c>
      <c r="AJ505" s="30" t="n">
        <f aca="false">MAX(AE505,0)*(Inputs!$B$17+Inputs!$B$24+Inputs!$B$25)+MAX(-AE505,0)*(O505+Inputs!$B$24+Inputs!$B$25)+IF(AND(K505=1,AB505&lt;&gt;0),(Inputs!$B$17+Inputs!$B$24+Inputs!$B$25)+(O505+Inputs!$B$24+Inputs!$B$25),0)+MAX(AG505,0)*(Inputs!$B$20+Inputs!$B$26+Inputs!$B$27)+MAX(-AG505,0)*(Inputs!$B$21+Inputs!$B$26+Inputs!$B$27)</f>
        <v>0</v>
      </c>
      <c r="AK505" s="30" t="n">
        <f aca="false">AB504*(M505-AD504*J505)+AB504*AD504*(N505+Inputs!$B$14)/Inputs!$B$16-AJ505</f>
        <v>-0.000940034488106318</v>
      </c>
      <c r="AL505" s="30" t="n">
        <f aca="false">IF(AP504&lt;&gt;0,AQ504+1,0)</f>
        <v>8</v>
      </c>
      <c r="AM505" s="30" t="n">
        <f aca="false">IF(W505="",0,IF(AND(AP504&lt;&gt;0,OR(ABS(W505)&gt;Inputs!$B$7,AL505&gt;=Inputs!$B$8,ABS(W505)&lt;Inputs!$B$6)),1,0))</f>
        <v>0</v>
      </c>
      <c r="AN505" s="30" t="n">
        <f aca="false">IF(AM505=1,0,AP504)</f>
        <v>-1</v>
      </c>
      <c r="AO505" s="30" t="n">
        <f aca="false">IF(W505="",0,IF(AND(AN505=0,ABS(W505)&gt;Inputs!$B$5,ABS(W505)&lt;=Inputs!$B$7,W505&gt;0),1,0))</f>
        <v>0</v>
      </c>
      <c r="AP505" s="30" t="n">
        <f aca="false">IF(W505="",0,IF(AO505=1,-SIGN(W505),AN505))</f>
        <v>-1</v>
      </c>
      <c r="AQ505" s="30" t="n">
        <f aca="false">IF(W505="",0,IF(AO505=1,0,IF(AM505=1,0,AL505)))</f>
        <v>8</v>
      </c>
      <c r="AR505" s="29" t="n">
        <f aca="false">IF(AP505=0,0,IF(AP504=AP505,AR504,T505))</f>
        <v>0.987626323381601</v>
      </c>
      <c r="AS505" s="30" t="n">
        <f aca="false">AP505-AP504</f>
        <v>0</v>
      </c>
      <c r="AT505" s="30" t="n">
        <f aca="false">-AR505*AP505</f>
        <v>0.987626323381601</v>
      </c>
      <c r="AU505" s="30" t="n">
        <f aca="false">AT505-AT504</f>
        <v>0</v>
      </c>
      <c r="AV505" s="30" t="n">
        <f aca="false">MAX(AS505,0)*(Inputs!$B$17+Inputs!$B$18+Inputs!$B$19)+MAX(-AS505,0)*(O505+Inputs!$B$18+Inputs!$B$19)+IF(AND(K505=1,AP505&lt;&gt;0),(Inputs!$B$17+Inputs!$B$18+Inputs!$B$19)+(O505+Inputs!$B$18+Inputs!$B$19),0)+MAX(AU505,0)*(Inputs!$B$20+Inputs!$B$22+Inputs!$B$23)+MAX(-AU505,0)*(Inputs!$B$21+Inputs!$B$22+Inputs!$B$23)</f>
        <v>0</v>
      </c>
      <c r="AW505" s="30" t="n">
        <f aca="false">AP504*(M505-AR504*J505)+AP504*AR504*N505/Inputs!$B$16-AV505</f>
        <v>-0.000910640847529485</v>
      </c>
      <c r="AX505" s="30" t="n">
        <f aca="false">AW505-IF(AP504&lt;&gt;0,0.75*AR504*(Inputs!$B$13-N505)/Inputs!$B$16,0)</f>
        <v>-0.00114578997214415</v>
      </c>
      <c r="AY505" s="30" t="n">
        <f aca="false">MAX(AS505,0)*(Inputs!$B$17+Inputs!$B$18+Inputs!$B$19)+MAX(-AS505,0)*(O505+Inputs!$B$18+Inputs!$B$19)+IF(AND(K505=1,AP505&lt;&gt;0),(Inputs!$B$17+Inputs!$B$18+Inputs!$B$19)+(O505+Inputs!$B$18+Inputs!$B$19),0)</f>
        <v>0</v>
      </c>
      <c r="AZ505" s="30" t="n">
        <f aca="false">AP504*M505-AY505</f>
        <v>0.0048946021167513</v>
      </c>
      <c r="BA505" s="32" t="n">
        <f aca="false">BA504+AI505</f>
        <v>0.00506340793333431</v>
      </c>
      <c r="BB505" s="30" t="n">
        <f aca="false">MAX(BB504,BA505)</f>
        <v>0.00614840348355008</v>
      </c>
      <c r="BC505" s="32" t="n">
        <f aca="false">BA505-BB505</f>
        <v>-0.00108499555021577</v>
      </c>
      <c r="BD505" s="30" t="n">
        <f aca="false">A506-A505</f>
        <v>3</v>
      </c>
    </row>
    <row r="506" customFormat="false" ht="15" hidden="false" customHeight="false" outlineLevel="0" collapsed="false">
      <c r="A506" s="28" t="n">
        <v>45789</v>
      </c>
      <c r="B506" s="0" t="n">
        <v>25045.6</v>
      </c>
      <c r="C506" s="0" t="n">
        <v>279.01</v>
      </c>
      <c r="D506" s="29" t="n">
        <f aca="false">LN(B506)</f>
        <v>10.1284534423824</v>
      </c>
      <c r="E506" s="29" t="n">
        <f aca="false">LN(C506)</f>
        <v>5.63124762347295</v>
      </c>
      <c r="F506" s="0" t="n">
        <v>501</v>
      </c>
      <c r="G506" s="0" t="n">
        <v>17</v>
      </c>
      <c r="H506" s="29" t="n">
        <f aca="false">D506-E506</f>
        <v>4.49720581890942</v>
      </c>
      <c r="I506" s="29" t="n">
        <f aca="false">D506-D505</f>
        <v>0.0389013467734589</v>
      </c>
      <c r="J506" s="29" t="n">
        <f aca="false">E506-E505</f>
        <v>0.0374660440310803</v>
      </c>
      <c r="K506" s="0" t="n">
        <v>0</v>
      </c>
      <c r="L506" s="0" t="n">
        <v>0</v>
      </c>
      <c r="M506" s="29" t="n">
        <f aca="false">IF(L506=1,J506-Carry!$B$9/Inputs!$B$16,I506)</f>
        <v>0.0389013467734589</v>
      </c>
      <c r="N506" s="0" t="n">
        <v>0.06</v>
      </c>
      <c r="O506" s="0" t="n">
        <v>0.0002</v>
      </c>
      <c r="P506" s="29" t="n">
        <f aca="false">D506-('2 Hedge ratio'!$B$6+'2 Hedge ratio'!$B$5*E506)</f>
        <v>0.00769672522611131</v>
      </c>
      <c r="Q506" s="29" t="n">
        <f aca="false">D506-('5 Re-specification'!$B$7+'5 Re-specification'!$B$5*E506+'5 Re-specification'!$B$6*F506)</f>
        <v>0.00557988237027551</v>
      </c>
      <c r="R506" s="30" t="n">
        <f aca="false">MIN(F506,Inputs!$B$9)</f>
        <v>250</v>
      </c>
      <c r="S506" s="29" t="n">
        <f aca="true">IF(AND(F506&gt;=1,R506&gt;=Inputs!$B$10),INDEX(LINEST(OFFSET(D506,-R506,0,R506,1),OFFSET(E506,-R506,0,R506,2)),1,1),"")</f>
        <v>-3.23324250265665E-005</v>
      </c>
      <c r="T506" s="29" t="n">
        <f aca="true">IF(AND(F506&gt;=1,R506&gt;=Inputs!$B$10),INDEX(LINEST(OFFSET(D506,-R506,0,R506,1),OFFSET(E506,-R506,0,R506,2)),1,2),"")</f>
        <v>0.997310607554005</v>
      </c>
      <c r="U506" s="29" t="n">
        <f aca="true">IF(AND(F506&gt;=1,R506&gt;=Inputs!$B$10),INDEX(LINEST(OFFSET(D506,-R506,0,R506,1),OFFSET(E506,-R506,0,R506,2)),1,3),"")</f>
        <v>4.52419207353955</v>
      </c>
      <c r="V506" s="29" t="n">
        <f aca="true">IF(AND(F506&gt;=1,R506&gt;=Inputs!$B$10),SQRT(SUMPRODUCT((OFFSET(D506,-R506,0,R506,1)-U506-T506*OFFSET(E506,-R506,0,R506,1)-S506*OFFSET(F506,-R506,0,R506,1))^2)/(R506-3)),"")</f>
        <v>0.00328625570339451</v>
      </c>
      <c r="W506" s="31" t="n">
        <f aca="false">IF(AND(F506&gt;=1,R506&gt;=Inputs!$B$10),(D506-U506-T506*E506-S506*F506)/V506,"")</f>
        <v>1.32580222646037</v>
      </c>
      <c r="X506" s="30" t="n">
        <f aca="false">IF(AB505&lt;&gt;0,AC505+1,0)</f>
        <v>9</v>
      </c>
      <c r="Y506" s="30" t="n">
        <f aca="false">IF(W506="",0,IF(AND(AB505&lt;&gt;0,OR(ABS(W506)&gt;Inputs!$B$7,X506&gt;=Inputs!$B$8,ABS(W506)&lt;Inputs!$B$6)),1,0))</f>
        <v>0</v>
      </c>
      <c r="Z506" s="30" t="n">
        <f aca="false">IF(Y506=1,0,AB505)</f>
        <v>-1</v>
      </c>
      <c r="AA506" s="30" t="n">
        <f aca="false">IF(W506="",0,IF(AND(Z506=0,ABS(W506)&gt;Inputs!$B$5,ABS(W506)&lt;=Inputs!$B$7),1,0))</f>
        <v>0</v>
      </c>
      <c r="AB506" s="30" t="n">
        <f aca="false">IF(W506="",0,IF(AA506=1,-SIGN(W506),Z506))</f>
        <v>-1</v>
      </c>
      <c r="AC506" s="30" t="n">
        <f aca="false">IF(W506="",0,IF(AA506=1,0,IF(Y506=1,0,X506)))</f>
        <v>9</v>
      </c>
      <c r="AD506" s="29" t="n">
        <f aca="false">IF(AB506=0,0,IF(AB505=AB506,AD505,T506))</f>
        <v>0.987626323381601</v>
      </c>
      <c r="AE506" s="30" t="n">
        <f aca="false">AB506-AB505</f>
        <v>0</v>
      </c>
      <c r="AF506" s="30" t="n">
        <f aca="false">-AD506*AB506</f>
        <v>0.987626323381601</v>
      </c>
      <c r="AG506" s="30" t="n">
        <f aca="false">AF506-AF505</f>
        <v>0</v>
      </c>
      <c r="AH506" s="30" t="n">
        <f aca="false">MAX(AE506,0)*(Inputs!$B$17+Inputs!$B$18+Inputs!$B$19)+MAX(-AE506,0)*(O506+Inputs!$B$18+Inputs!$B$19)+IF(AND(K506=1,AB506&lt;&gt;0),(Inputs!$B$17+Inputs!$B$18+Inputs!$B$19)+(O506+Inputs!$B$18+Inputs!$B$19),0)+MAX(AG506,0)*(Inputs!$B$20+Inputs!$B$22+Inputs!$B$23)+MAX(-AG506,0)*(Inputs!$B$21+Inputs!$B$22+Inputs!$B$23)</f>
        <v>0</v>
      </c>
      <c r="AI506" s="30" t="n">
        <f aca="false">AB505*(M506-AD505*J506)+AB505*AD505*N506/Inputs!$B$16-AH506</f>
        <v>-0.00213404458000454</v>
      </c>
      <c r="AJ506" s="30" t="n">
        <f aca="false">MAX(AE506,0)*(Inputs!$B$17+Inputs!$B$24+Inputs!$B$25)+MAX(-AE506,0)*(O506+Inputs!$B$24+Inputs!$B$25)+IF(AND(K506=1,AB506&lt;&gt;0),(Inputs!$B$17+Inputs!$B$24+Inputs!$B$25)+(O506+Inputs!$B$24+Inputs!$B$25),0)+MAX(AG506,0)*(Inputs!$B$20+Inputs!$B$26+Inputs!$B$27)+MAX(-AG506,0)*(Inputs!$B$21+Inputs!$B$26+Inputs!$B$27)</f>
        <v>0</v>
      </c>
      <c r="AK506" s="30" t="n">
        <f aca="false">AB505*(M506-AD505*J506)+AB505*AD505*(N506+Inputs!$B$14)/Inputs!$B$16-AJ506</f>
        <v>-0.00216343822058137</v>
      </c>
      <c r="AL506" s="30" t="n">
        <f aca="false">IF(AP505&lt;&gt;0,AQ505+1,0)</f>
        <v>9</v>
      </c>
      <c r="AM506" s="30" t="n">
        <f aca="false">IF(W506="",0,IF(AND(AP505&lt;&gt;0,OR(ABS(W506)&gt;Inputs!$B$7,AL506&gt;=Inputs!$B$8,ABS(W506)&lt;Inputs!$B$6)),1,0))</f>
        <v>0</v>
      </c>
      <c r="AN506" s="30" t="n">
        <f aca="false">IF(AM506=1,0,AP505)</f>
        <v>-1</v>
      </c>
      <c r="AO506" s="30" t="n">
        <f aca="false">IF(W506="",0,IF(AND(AN506=0,ABS(W506)&gt;Inputs!$B$5,ABS(W506)&lt;=Inputs!$B$7,W506&gt;0),1,0))</f>
        <v>0</v>
      </c>
      <c r="AP506" s="30" t="n">
        <f aca="false">IF(W506="",0,IF(AO506=1,-SIGN(W506),AN506))</f>
        <v>-1</v>
      </c>
      <c r="AQ506" s="30" t="n">
        <f aca="false">IF(W506="",0,IF(AO506=1,0,IF(AM506=1,0,AL506)))</f>
        <v>9</v>
      </c>
      <c r="AR506" s="29" t="n">
        <f aca="false">IF(AP506=0,0,IF(AP505=AP506,AR505,T506))</f>
        <v>0.987626323381601</v>
      </c>
      <c r="AS506" s="30" t="n">
        <f aca="false">AP506-AP505</f>
        <v>0</v>
      </c>
      <c r="AT506" s="30" t="n">
        <f aca="false">-AR506*AP506</f>
        <v>0.987626323381601</v>
      </c>
      <c r="AU506" s="30" t="n">
        <f aca="false">AT506-AT505</f>
        <v>0</v>
      </c>
      <c r="AV506" s="30" t="n">
        <f aca="false">MAX(AS506,0)*(Inputs!$B$17+Inputs!$B$18+Inputs!$B$19)+MAX(-AS506,0)*(O506+Inputs!$B$18+Inputs!$B$19)+IF(AND(K506=1,AP506&lt;&gt;0),(Inputs!$B$17+Inputs!$B$18+Inputs!$B$19)+(O506+Inputs!$B$18+Inputs!$B$19),0)+MAX(AU506,0)*(Inputs!$B$20+Inputs!$B$22+Inputs!$B$23)+MAX(-AU506,0)*(Inputs!$B$21+Inputs!$B$22+Inputs!$B$23)</f>
        <v>0</v>
      </c>
      <c r="AW506" s="30" t="n">
        <f aca="false">AP505*(M506-AR505*J506)+AP505*AR505*N506/Inputs!$B$16-AV506</f>
        <v>-0.00213404458000454</v>
      </c>
      <c r="AX506" s="30" t="n">
        <f aca="false">AW506-IF(AP505&lt;&gt;0,0.75*AR505*(Inputs!$B$13-N506)/Inputs!$B$16,0)</f>
        <v>-0.0023691937046192</v>
      </c>
      <c r="AY506" s="30" t="n">
        <f aca="false">MAX(AS506,0)*(Inputs!$B$17+Inputs!$B$18+Inputs!$B$19)+MAX(-AS506,0)*(O506+Inputs!$B$18+Inputs!$B$19)+IF(AND(K506=1,AP506&lt;&gt;0),(Inputs!$B$17+Inputs!$B$18+Inputs!$B$19)+(O506+Inputs!$B$18+Inputs!$B$19),0)</f>
        <v>0</v>
      </c>
      <c r="AZ506" s="30" t="n">
        <f aca="false">AP505*M506-AY506</f>
        <v>-0.0389013467734589</v>
      </c>
      <c r="BA506" s="32" t="n">
        <f aca="false">BA505+AI506</f>
        <v>0.00292936335332977</v>
      </c>
      <c r="BB506" s="30" t="n">
        <f aca="false">MAX(BB505,BA506)</f>
        <v>0.00614840348355008</v>
      </c>
      <c r="BC506" s="32" t="n">
        <f aca="false">BA506-BB506</f>
        <v>-0.00321904013022031</v>
      </c>
      <c r="BD506" s="30" t="n">
        <f aca="false">A507-A506</f>
        <v>1</v>
      </c>
    </row>
    <row r="507" customFormat="false" ht="15" hidden="false" customHeight="false" outlineLevel="0" collapsed="false">
      <c r="A507" s="28" t="n">
        <v>45790</v>
      </c>
      <c r="B507" s="0" t="n">
        <v>24646.9</v>
      </c>
      <c r="C507" s="0" t="n">
        <v>275.81</v>
      </c>
      <c r="D507" s="29" t="n">
        <f aca="false">LN(B507)</f>
        <v>10.1124064109132</v>
      </c>
      <c r="E507" s="29" t="n">
        <f aca="false">LN(C507)</f>
        <v>5.61971222285998</v>
      </c>
      <c r="F507" s="0" t="n">
        <v>502</v>
      </c>
      <c r="G507" s="0" t="n">
        <v>16</v>
      </c>
      <c r="H507" s="29" t="n">
        <f aca="false">D507-E507</f>
        <v>4.49269418805324</v>
      </c>
      <c r="I507" s="29" t="n">
        <f aca="false">D507-D506</f>
        <v>-0.0160470314691601</v>
      </c>
      <c r="J507" s="29" t="n">
        <f aca="false">E507-E506</f>
        <v>-0.0115354006129769</v>
      </c>
      <c r="K507" s="0" t="n">
        <v>0</v>
      </c>
      <c r="L507" s="0" t="n">
        <v>0</v>
      </c>
      <c r="M507" s="29" t="n">
        <f aca="false">IF(L507=1,J507-Carry!$B$9/Inputs!$B$16,I507)</f>
        <v>-0.0160470314691601</v>
      </c>
      <c r="N507" s="0" t="n">
        <v>0.06</v>
      </c>
      <c r="O507" s="0" t="n">
        <v>0.0002</v>
      </c>
      <c r="P507" s="29" t="n">
        <f aca="false">D507-('2 Hedge ratio'!$B$6+'2 Hedge ratio'!$B$5*E507)</f>
        <v>0.00221758293713137</v>
      </c>
      <c r="Q507" s="29" t="n">
        <f aca="false">D507-('5 Re-specification'!$B$7+'5 Re-specification'!$B$5*E507+'5 Re-specification'!$B$6*F507)</f>
        <v>0.00107822280038583</v>
      </c>
      <c r="R507" s="30" t="n">
        <f aca="false">MIN(F507,Inputs!$B$9)</f>
        <v>250</v>
      </c>
      <c r="S507" s="29" t="n">
        <f aca="true">IF(AND(F507&gt;=1,R507&gt;=Inputs!$B$10),INDEX(LINEST(OFFSET(D507,-R507,0,R507,1),OFFSET(E507,-R507,0,R507,2)),1,1),"")</f>
        <v>-3.15485106103543E-005</v>
      </c>
      <c r="T507" s="29" t="n">
        <f aca="true">IF(AND(F507&gt;=1,R507&gt;=Inputs!$B$10),INDEX(LINEST(OFFSET(D507,-R507,0,R507,1),OFFSET(E507,-R507,0,R507,2)),1,2),"")</f>
        <v>0.998590768383551</v>
      </c>
      <c r="U507" s="29" t="n">
        <f aca="true">IF(AND(F507&gt;=1,R507&gt;=Inputs!$B$10),INDEX(LINEST(OFFSET(D507,-R507,0,R507,1),OFFSET(E507,-R507,0,R507,2)),1,3),"")</f>
        <v>4.51675053489161</v>
      </c>
      <c r="V507" s="29" t="n">
        <f aca="true">IF(AND(F507&gt;=1,R507&gt;=Inputs!$B$10),SQRT(SUMPRODUCT((OFFSET(D507,-R507,0,R507,1)-U507-T507*OFFSET(E507,-R507,0,R507,1)-S507*OFFSET(F507,-R507,0,R507,1))^2)/(R507-3)),"")</f>
        <v>0.003291332197118</v>
      </c>
      <c r="W507" s="31" t="n">
        <f aca="false">IF(AND(F507&gt;=1,R507&gt;=Inputs!$B$10),(D507-U507-T507*E507-S507*F507)/V507,"")</f>
        <v>-0.0910021700128472</v>
      </c>
      <c r="X507" s="30" t="n">
        <f aca="false">IF(AB506&lt;&gt;0,AC506+1,0)</f>
        <v>10</v>
      </c>
      <c r="Y507" s="30" t="n">
        <f aca="false">IF(W507="",0,IF(AND(AB506&lt;&gt;0,OR(ABS(W507)&gt;Inputs!$B$7,X507&gt;=Inputs!$B$8,ABS(W507)&lt;Inputs!$B$6)),1,0))</f>
        <v>1</v>
      </c>
      <c r="Z507" s="30" t="n">
        <f aca="false">IF(Y507=1,0,AB506)</f>
        <v>0</v>
      </c>
      <c r="AA507" s="30" t="n">
        <f aca="false">IF(W507="",0,IF(AND(Z507=0,ABS(W507)&gt;Inputs!$B$5,ABS(W507)&lt;=Inputs!$B$7),1,0))</f>
        <v>0</v>
      </c>
      <c r="AB507" s="30" t="n">
        <f aca="false">IF(W507="",0,IF(AA507=1,-SIGN(W507),Z507))</f>
        <v>0</v>
      </c>
      <c r="AC507" s="30" t="n">
        <f aca="false">IF(W507="",0,IF(AA507=1,0,IF(Y507=1,0,X507)))</f>
        <v>0</v>
      </c>
      <c r="AD507" s="30" t="n">
        <f aca="false">IF(AB507=0,0,IF(AB506=AB507,AD506,T507))</f>
        <v>0</v>
      </c>
      <c r="AE507" s="30" t="n">
        <f aca="false">AB507-AB506</f>
        <v>1</v>
      </c>
      <c r="AF507" s="30" t="n">
        <f aca="false">-AD507*AB507</f>
        <v>-0</v>
      </c>
      <c r="AG507" s="30" t="n">
        <f aca="false">AF507-AF506</f>
        <v>-0.987626323381601</v>
      </c>
      <c r="AH507" s="30" t="n">
        <f aca="false">MAX(AE507,0)*(Inputs!$B$17+Inputs!$B$18+Inputs!$B$19)+MAX(-AE507,0)*(O507+Inputs!$B$18+Inputs!$B$19)+IF(AND(K507=1,AB507&lt;&gt;0),(Inputs!$B$17+Inputs!$B$18+Inputs!$B$19)+(O507+Inputs!$B$18+Inputs!$B$19),0)+MAX(AG507,0)*(Inputs!$B$20+Inputs!$B$22+Inputs!$B$23)+MAX(-AG507,0)*(Inputs!$B$21+Inputs!$B$22+Inputs!$B$23)</f>
        <v>0.000362401527910136</v>
      </c>
      <c r="AI507" s="30" t="n">
        <f aca="false">AB506*(M507-AD506*J507)+AB506*AD506*N507/Inputs!$B$16-AH507</f>
        <v>0.00405681552050708</v>
      </c>
      <c r="AJ507" s="30" t="n">
        <f aca="false">MAX(AE507,0)*(Inputs!$B$17+Inputs!$B$24+Inputs!$B$25)+MAX(-AE507,0)*(O507+Inputs!$B$24+Inputs!$B$25)+IF(AND(K507=1,AB507&lt;&gt;0),(Inputs!$B$17+Inputs!$B$24+Inputs!$B$25)+(O507+Inputs!$B$24+Inputs!$B$25),0)+MAX(AG507,0)*(Inputs!$B$20+Inputs!$B$26+Inputs!$B$27)+MAX(-AG507,0)*(Inputs!$B$21+Inputs!$B$26+Inputs!$B$27)</f>
        <v>0.000203577027188884</v>
      </c>
      <c r="AK507" s="30" t="n">
        <f aca="false">AB506*(M507-AD506*J507)+AB506*AD506*(N507+Inputs!$B$14)/Inputs!$B$16-AJ507</f>
        <v>0.0041862463806515</v>
      </c>
      <c r="AL507" s="30" t="n">
        <f aca="false">IF(AP506&lt;&gt;0,AQ506+1,0)</f>
        <v>10</v>
      </c>
      <c r="AM507" s="30" t="n">
        <f aca="false">IF(W507="",0,IF(AND(AP506&lt;&gt;0,OR(ABS(W507)&gt;Inputs!$B$7,AL507&gt;=Inputs!$B$8,ABS(W507)&lt;Inputs!$B$6)),1,0))</f>
        <v>1</v>
      </c>
      <c r="AN507" s="30" t="n">
        <f aca="false">IF(AM507=1,0,AP506)</f>
        <v>0</v>
      </c>
      <c r="AO507" s="30" t="n">
        <f aca="false">IF(W507="",0,IF(AND(AN507=0,ABS(W507)&gt;Inputs!$B$5,ABS(W507)&lt;=Inputs!$B$7,W507&gt;0),1,0))</f>
        <v>0</v>
      </c>
      <c r="AP507" s="30" t="n">
        <f aca="false">IF(W507="",0,IF(AO507=1,-SIGN(W507),AN507))</f>
        <v>0</v>
      </c>
      <c r="AQ507" s="30" t="n">
        <f aca="false">IF(W507="",0,IF(AO507=1,0,IF(AM507=1,0,AL507)))</f>
        <v>0</v>
      </c>
      <c r="AR507" s="30" t="n">
        <f aca="false">IF(AP507=0,0,IF(AP506=AP507,AR506,T507))</f>
        <v>0</v>
      </c>
      <c r="AS507" s="30" t="n">
        <f aca="false">AP507-AP506</f>
        <v>1</v>
      </c>
      <c r="AT507" s="30" t="n">
        <f aca="false">-AR507*AP507</f>
        <v>-0</v>
      </c>
      <c r="AU507" s="30" t="n">
        <f aca="false">AT507-AT506</f>
        <v>-0.987626323381601</v>
      </c>
      <c r="AV507" s="30" t="n">
        <f aca="false">MAX(AS507,0)*(Inputs!$B$17+Inputs!$B$18+Inputs!$B$19)+MAX(-AS507,0)*(O507+Inputs!$B$18+Inputs!$B$19)+IF(AND(K507=1,AP507&lt;&gt;0),(Inputs!$B$17+Inputs!$B$18+Inputs!$B$19)+(O507+Inputs!$B$18+Inputs!$B$19),0)+MAX(AU507,0)*(Inputs!$B$20+Inputs!$B$22+Inputs!$B$23)+MAX(-AU507,0)*(Inputs!$B$21+Inputs!$B$22+Inputs!$B$23)</f>
        <v>0.000362401527910136</v>
      </c>
      <c r="AW507" s="30" t="n">
        <f aca="false">AP506*(M507-AR506*J507)+AP506*AR506*N507/Inputs!$B$16-AV507</f>
        <v>0.00405681552050708</v>
      </c>
      <c r="AX507" s="30" t="n">
        <f aca="false">AW507-IF(AP506&lt;&gt;0,0.75*AR506*(Inputs!$B$13-N507)/Inputs!$B$16,0)</f>
        <v>0.00382166639589241</v>
      </c>
      <c r="AY507" s="30" t="n">
        <f aca="false">MAX(AS507,0)*(Inputs!$B$17+Inputs!$B$18+Inputs!$B$19)+MAX(-AS507,0)*(O507+Inputs!$B$18+Inputs!$B$19)+IF(AND(K507=1,AP507&lt;&gt;0),(Inputs!$B$17+Inputs!$B$18+Inputs!$B$19)+(O507+Inputs!$B$18+Inputs!$B$19),0)</f>
        <v>0.000155</v>
      </c>
      <c r="AZ507" s="30" t="n">
        <f aca="false">AP506*M507-AY507</f>
        <v>0.0158920314691601</v>
      </c>
      <c r="BA507" s="32" t="n">
        <f aca="false">BA506+AI507</f>
        <v>0.00698617887383685</v>
      </c>
      <c r="BB507" s="30" t="n">
        <f aca="false">MAX(BB506,BA507)</f>
        <v>0.00698617887383685</v>
      </c>
      <c r="BC507" s="32" t="n">
        <f aca="false">BA507-BB507</f>
        <v>0</v>
      </c>
      <c r="BD507" s="30" t="n">
        <f aca="false">A508-A507</f>
        <v>1</v>
      </c>
    </row>
    <row r="508" customFormat="false" ht="15" hidden="false" customHeight="false" outlineLevel="0" collapsed="false">
      <c r="A508" s="28" t="n">
        <v>45791</v>
      </c>
      <c r="B508" s="0" t="n">
        <v>24733</v>
      </c>
      <c r="C508" s="0" t="n">
        <v>276.8</v>
      </c>
      <c r="D508" s="29" t="n">
        <f aca="false">LN(B508)</f>
        <v>10.1158936633076</v>
      </c>
      <c r="E508" s="29" t="n">
        <f aca="false">LN(C508)</f>
        <v>5.62329522374352</v>
      </c>
      <c r="F508" s="0" t="n">
        <v>503</v>
      </c>
      <c r="G508" s="0" t="n">
        <v>15</v>
      </c>
      <c r="H508" s="29" t="n">
        <f aca="false">D508-E508</f>
        <v>4.49259843956408</v>
      </c>
      <c r="I508" s="29" t="n">
        <f aca="false">D508-D507</f>
        <v>0.00348725239438075</v>
      </c>
      <c r="J508" s="29" t="n">
        <f aca="false">E508-E507</f>
        <v>0.00358300088353936</v>
      </c>
      <c r="K508" s="0" t="n">
        <v>0</v>
      </c>
      <c r="L508" s="0" t="n">
        <v>0</v>
      </c>
      <c r="M508" s="29" t="n">
        <f aca="false">IF(L508=1,J508-Carry!$B$9/Inputs!$B$16,I508)</f>
        <v>0.00348725239438075</v>
      </c>
      <c r="N508" s="0" t="n">
        <v>0.06</v>
      </c>
      <c r="O508" s="0" t="n">
        <v>0.0002</v>
      </c>
      <c r="P508" s="29" t="n">
        <f aca="false">D508-('2 Hedge ratio'!$B$6+'2 Hedge ratio'!$B$5*E508)</f>
        <v>0.00242235234369659</v>
      </c>
      <c r="Q508" s="29" t="n">
        <f aca="false">D508-('5 Re-specification'!$B$7+'5 Re-specification'!$B$5*E508+'5 Re-specification'!$B$6*F508)</f>
        <v>0.00103826191357825</v>
      </c>
      <c r="R508" s="30" t="n">
        <f aca="false">MIN(F508,Inputs!$B$9)</f>
        <v>250</v>
      </c>
      <c r="S508" s="29" t="n">
        <f aca="true">IF(AND(F508&gt;=1,R508&gt;=Inputs!$B$10),INDEX(LINEST(OFFSET(D508,-R508,0,R508,1),OFFSET(E508,-R508,0,R508,2)),1,1),"")</f>
        <v>-3.11787057729058E-005</v>
      </c>
      <c r="T508" s="29" t="n">
        <f aca="true">IF(AND(F508&gt;=1,R508&gt;=Inputs!$B$10),INDEX(LINEST(OFFSET(D508,-R508,0,R508,1),OFFSET(E508,-R508,0,R508,2)),1,2),"")</f>
        <v>0.999376366191053</v>
      </c>
      <c r="U508" s="29" t="n">
        <f aca="true">IF(AND(F508&gt;=1,R508&gt;=Inputs!$B$10),INDEX(LINEST(OFFSET(D508,-R508,0,R508,1),OFFSET(E508,-R508,0,R508,2)),1,3),"")</f>
        <v>4.51220611480844</v>
      </c>
      <c r="V508" s="29" t="n">
        <f aca="true">IF(AND(F508&gt;=1,R508&gt;=Inputs!$B$10),SQRT(SUMPRODUCT((OFFSET(D508,-R508,0,R508,1)-U508-T508*OFFSET(E508,-R508,0,R508,1)-S508*OFFSET(F508,-R508,0,R508,1))^2)/(R508-3)),"")</f>
        <v>0.00328292313044888</v>
      </c>
      <c r="W508" s="31" t="n">
        <f aca="false">IF(AND(F508&gt;=1,R508&gt;=Inputs!$B$10),(D508-U508-T508*E508-S508*F508)/V508,"")</f>
        <v>-0.127297900304858</v>
      </c>
      <c r="X508" s="30" t="n">
        <f aca="false">IF(AB507&lt;&gt;0,AC507+1,0)</f>
        <v>0</v>
      </c>
      <c r="Y508" s="30" t="n">
        <f aca="false">IF(W508="",0,IF(AND(AB507&lt;&gt;0,OR(ABS(W508)&gt;Inputs!$B$7,X508&gt;=Inputs!$B$8,ABS(W508)&lt;Inputs!$B$6)),1,0))</f>
        <v>0</v>
      </c>
      <c r="Z508" s="30" t="n">
        <f aca="false">IF(Y508=1,0,AB507)</f>
        <v>0</v>
      </c>
      <c r="AA508" s="30" t="n">
        <f aca="false">IF(W508="",0,IF(AND(Z508=0,ABS(W508)&gt;Inputs!$B$5,ABS(W508)&lt;=Inputs!$B$7),1,0))</f>
        <v>0</v>
      </c>
      <c r="AB508" s="30" t="n">
        <f aca="false">IF(W508="",0,IF(AA508=1,-SIGN(W508),Z508))</f>
        <v>0</v>
      </c>
      <c r="AC508" s="30" t="n">
        <f aca="false">IF(W508="",0,IF(AA508=1,0,IF(Y508=1,0,X508)))</f>
        <v>0</v>
      </c>
      <c r="AD508" s="30" t="n">
        <f aca="false">IF(AB508=0,0,IF(AB507=AB508,AD507,T508))</f>
        <v>0</v>
      </c>
      <c r="AE508" s="30" t="n">
        <f aca="false">AB508-AB507</f>
        <v>0</v>
      </c>
      <c r="AF508" s="30" t="n">
        <f aca="false">-AD508*AB508</f>
        <v>-0</v>
      </c>
      <c r="AG508" s="30" t="n">
        <f aca="false">AF508-AF507</f>
        <v>0</v>
      </c>
      <c r="AH508" s="30" t="n">
        <f aca="false">MAX(AE508,0)*(Inputs!$B$17+Inputs!$B$18+Inputs!$B$19)+MAX(-AE508,0)*(O508+Inputs!$B$18+Inputs!$B$19)+IF(AND(K508=1,AB508&lt;&gt;0),(Inputs!$B$17+Inputs!$B$18+Inputs!$B$19)+(O508+Inputs!$B$18+Inputs!$B$19),0)+MAX(AG508,0)*(Inputs!$B$20+Inputs!$B$22+Inputs!$B$23)+MAX(-AG508,0)*(Inputs!$B$21+Inputs!$B$22+Inputs!$B$23)</f>
        <v>0</v>
      </c>
      <c r="AI508" s="30" t="n">
        <f aca="false">AB507*(M508-AD507*J508)+AB507*AD507*N508/Inputs!$B$16-AH508</f>
        <v>0</v>
      </c>
      <c r="AJ508" s="30" t="n">
        <f aca="false">MAX(AE508,0)*(Inputs!$B$17+Inputs!$B$24+Inputs!$B$25)+MAX(-AE508,0)*(O508+Inputs!$B$24+Inputs!$B$25)+IF(AND(K508=1,AB508&lt;&gt;0),(Inputs!$B$17+Inputs!$B$24+Inputs!$B$25)+(O508+Inputs!$B$24+Inputs!$B$25),0)+MAX(AG508,0)*(Inputs!$B$20+Inputs!$B$26+Inputs!$B$27)+MAX(-AG508,0)*(Inputs!$B$21+Inputs!$B$26+Inputs!$B$27)</f>
        <v>0</v>
      </c>
      <c r="AK508" s="30" t="n">
        <f aca="false">AB507*(M508-AD507*J508)+AB507*AD507*(N508+Inputs!$B$14)/Inputs!$B$16-AJ508</f>
        <v>0</v>
      </c>
      <c r="AL508" s="30" t="n">
        <f aca="false">IF(AP507&lt;&gt;0,AQ507+1,0)</f>
        <v>0</v>
      </c>
      <c r="AM508" s="30" t="n">
        <f aca="false">IF(W508="",0,IF(AND(AP507&lt;&gt;0,OR(ABS(W508)&gt;Inputs!$B$7,AL508&gt;=Inputs!$B$8,ABS(W508)&lt;Inputs!$B$6)),1,0))</f>
        <v>0</v>
      </c>
      <c r="AN508" s="30" t="n">
        <f aca="false">IF(AM508=1,0,AP507)</f>
        <v>0</v>
      </c>
      <c r="AO508" s="30" t="n">
        <f aca="false">IF(W508="",0,IF(AND(AN508=0,ABS(W508)&gt;Inputs!$B$5,ABS(W508)&lt;=Inputs!$B$7,W508&gt;0),1,0))</f>
        <v>0</v>
      </c>
      <c r="AP508" s="30" t="n">
        <f aca="false">IF(W508="",0,IF(AO508=1,-SIGN(W508),AN508))</f>
        <v>0</v>
      </c>
      <c r="AQ508" s="30" t="n">
        <f aca="false">IF(W508="",0,IF(AO508=1,0,IF(AM508=1,0,AL508)))</f>
        <v>0</v>
      </c>
      <c r="AR508" s="30" t="n">
        <f aca="false">IF(AP508=0,0,IF(AP507=AP508,AR507,T508))</f>
        <v>0</v>
      </c>
      <c r="AS508" s="30" t="n">
        <f aca="false">AP508-AP507</f>
        <v>0</v>
      </c>
      <c r="AT508" s="30" t="n">
        <f aca="false">-AR508*AP508</f>
        <v>-0</v>
      </c>
      <c r="AU508" s="30" t="n">
        <f aca="false">AT508-AT507</f>
        <v>0</v>
      </c>
      <c r="AV508" s="30" t="n">
        <f aca="false">MAX(AS508,0)*(Inputs!$B$17+Inputs!$B$18+Inputs!$B$19)+MAX(-AS508,0)*(O508+Inputs!$B$18+Inputs!$B$19)+IF(AND(K508=1,AP508&lt;&gt;0),(Inputs!$B$17+Inputs!$B$18+Inputs!$B$19)+(O508+Inputs!$B$18+Inputs!$B$19),0)+MAX(AU508,0)*(Inputs!$B$20+Inputs!$B$22+Inputs!$B$23)+MAX(-AU508,0)*(Inputs!$B$21+Inputs!$B$22+Inputs!$B$23)</f>
        <v>0</v>
      </c>
      <c r="AW508" s="30" t="n">
        <f aca="false">AP507*(M508-AR507*J508)+AP507*AR507*N508/Inputs!$B$16-AV508</f>
        <v>0</v>
      </c>
      <c r="AX508" s="30" t="n">
        <f aca="false">AW508-IF(AP507&lt;&gt;0,0.75*AR507*(Inputs!$B$13-N508)/Inputs!$B$16,0)</f>
        <v>0</v>
      </c>
      <c r="AY508" s="30" t="n">
        <f aca="false">MAX(AS508,0)*(Inputs!$B$17+Inputs!$B$18+Inputs!$B$19)+MAX(-AS508,0)*(O508+Inputs!$B$18+Inputs!$B$19)+IF(AND(K508=1,AP508&lt;&gt;0),(Inputs!$B$17+Inputs!$B$18+Inputs!$B$19)+(O508+Inputs!$B$18+Inputs!$B$19),0)</f>
        <v>0</v>
      </c>
      <c r="AZ508" s="30" t="n">
        <f aca="false">AP507*M508-AY508</f>
        <v>0</v>
      </c>
      <c r="BA508" s="32" t="n">
        <f aca="false">BA507+AI508</f>
        <v>0.00698617887383685</v>
      </c>
      <c r="BB508" s="30" t="n">
        <f aca="false">MAX(BB507,BA508)</f>
        <v>0.00698617887383685</v>
      </c>
      <c r="BC508" s="32" t="n">
        <f aca="false">BA508-BB508</f>
        <v>0</v>
      </c>
      <c r="BD508" s="30" t="n">
        <f aca="false">A509-A508</f>
        <v>1</v>
      </c>
    </row>
    <row r="509" customFormat="false" ht="15" hidden="false" customHeight="false" outlineLevel="0" collapsed="false">
      <c r="A509" s="28" t="n">
        <v>45792</v>
      </c>
      <c r="B509" s="0" t="n">
        <v>25075</v>
      </c>
      <c r="C509" s="0" t="n">
        <v>279.92</v>
      </c>
      <c r="D509" s="29" t="n">
        <f aca="false">LN(B509)</f>
        <v>10.1296266128301</v>
      </c>
      <c r="E509" s="29" t="n">
        <f aca="false">LN(C509)</f>
        <v>5.63450384805943</v>
      </c>
      <c r="F509" s="0" t="n">
        <v>504</v>
      </c>
      <c r="G509" s="0" t="n">
        <v>14</v>
      </c>
      <c r="H509" s="29" t="n">
        <f aca="false">D509-E509</f>
        <v>4.4951227647707</v>
      </c>
      <c r="I509" s="29" t="n">
        <f aca="false">D509-D508</f>
        <v>0.0137329495225398</v>
      </c>
      <c r="J509" s="29" t="n">
        <f aca="false">E509-E508</f>
        <v>0.011208624315918</v>
      </c>
      <c r="K509" s="0" t="n">
        <v>0</v>
      </c>
      <c r="L509" s="0" t="n">
        <v>0</v>
      </c>
      <c r="M509" s="29" t="n">
        <f aca="false">IF(L509=1,J509-Carry!$B$9/Inputs!$B$16,I509)</f>
        <v>0.0137329495225398</v>
      </c>
      <c r="N509" s="0" t="n">
        <v>0.06</v>
      </c>
      <c r="O509" s="0" t="n">
        <v>0.0002</v>
      </c>
      <c r="P509" s="29" t="n">
        <f aca="false">D509-('2 Hedge ratio'!$B$6+'2 Hedge ratio'!$B$5*E509)</f>
        <v>0.00588678119608055</v>
      </c>
      <c r="Q509" s="29" t="n">
        <f aca="false">D509-('5 Re-specification'!$B$7+'5 Re-specification'!$B$5*E509+'5 Re-specification'!$B$6*F509)</f>
        <v>0.00364148417452448</v>
      </c>
      <c r="R509" s="30" t="n">
        <f aca="false">MIN(F509,Inputs!$B$9)</f>
        <v>250</v>
      </c>
      <c r="S509" s="29" t="n">
        <f aca="true">IF(AND(F509&gt;=1,R509&gt;=Inputs!$B$10),INDEX(LINEST(OFFSET(D509,-R509,0,R509,1),OFFSET(E509,-R509,0,R509,2)),1,1),"")</f>
        <v>-3.06619731331262E-005</v>
      </c>
      <c r="T509" s="29" t="n">
        <f aca="true">IF(AND(F509&gt;=1,R509&gt;=Inputs!$B$10),INDEX(LINEST(OFFSET(D509,-R509,0,R509,1),OFFSET(E509,-R509,0,R509,2)),1,2),"")</f>
        <v>1.00067578615876</v>
      </c>
      <c r="U509" s="29" t="n">
        <f aca="true">IF(AND(F509&gt;=1,R509&gt;=Inputs!$B$10),INDEX(LINEST(OFFSET(D509,-R509,0,R509,1),OFFSET(E509,-R509,0,R509,2)),1,3),"")</f>
        <v>4.50472891080724</v>
      </c>
      <c r="V509" s="29" t="n">
        <f aca="true">IF(AND(F509&gt;=1,R509&gt;=Inputs!$B$10),SQRT(SUMPRODUCT((OFFSET(D509,-R509,0,R509,1)-U509-T509*OFFSET(E509,-R509,0,R509,1)-S509*OFFSET(F509,-R509,0,R509,1))^2)/(R509-3)),"")</f>
        <v>0.00326757110097602</v>
      </c>
      <c r="W509" s="31" t="n">
        <f aca="false">IF(AND(F509&gt;=1,R509&gt;=Inputs!$B$10),(D509-U509-T509*E509-S509*F509)/V509,"")</f>
        <v>0.62424615946913</v>
      </c>
      <c r="X509" s="30" t="n">
        <f aca="false">IF(AB508&lt;&gt;0,AC508+1,0)</f>
        <v>0</v>
      </c>
      <c r="Y509" s="30" t="n">
        <f aca="false">IF(W509="",0,IF(AND(AB508&lt;&gt;0,OR(ABS(W509)&gt;Inputs!$B$7,X509&gt;=Inputs!$B$8,ABS(W509)&lt;Inputs!$B$6)),1,0))</f>
        <v>0</v>
      </c>
      <c r="Z509" s="30" t="n">
        <f aca="false">IF(Y509=1,0,AB508)</f>
        <v>0</v>
      </c>
      <c r="AA509" s="30" t="n">
        <f aca="false">IF(W509="",0,IF(AND(Z509=0,ABS(W509)&gt;Inputs!$B$5,ABS(W509)&lt;=Inputs!$B$7),1,0))</f>
        <v>0</v>
      </c>
      <c r="AB509" s="30" t="n">
        <f aca="false">IF(W509="",0,IF(AA509=1,-SIGN(W509),Z509))</f>
        <v>0</v>
      </c>
      <c r="AC509" s="30" t="n">
        <f aca="false">IF(W509="",0,IF(AA509=1,0,IF(Y509=1,0,X509)))</f>
        <v>0</v>
      </c>
      <c r="AD509" s="30" t="n">
        <f aca="false">IF(AB509=0,0,IF(AB508=AB509,AD508,T509))</f>
        <v>0</v>
      </c>
      <c r="AE509" s="30" t="n">
        <f aca="false">AB509-AB508</f>
        <v>0</v>
      </c>
      <c r="AF509" s="30" t="n">
        <f aca="false">-AD509*AB509</f>
        <v>-0</v>
      </c>
      <c r="AG509" s="30" t="n">
        <f aca="false">AF509-AF508</f>
        <v>0</v>
      </c>
      <c r="AH509" s="30" t="n">
        <f aca="false">MAX(AE509,0)*(Inputs!$B$17+Inputs!$B$18+Inputs!$B$19)+MAX(-AE509,0)*(O509+Inputs!$B$18+Inputs!$B$19)+IF(AND(K509=1,AB509&lt;&gt;0),(Inputs!$B$17+Inputs!$B$18+Inputs!$B$19)+(O509+Inputs!$B$18+Inputs!$B$19),0)+MAX(AG509,0)*(Inputs!$B$20+Inputs!$B$22+Inputs!$B$23)+MAX(-AG509,0)*(Inputs!$B$21+Inputs!$B$22+Inputs!$B$23)</f>
        <v>0</v>
      </c>
      <c r="AI509" s="30" t="n">
        <f aca="false">AB508*(M509-AD508*J509)+AB508*AD508*N509/Inputs!$B$16-AH509</f>
        <v>0</v>
      </c>
      <c r="AJ509" s="30" t="n">
        <f aca="false">MAX(AE509,0)*(Inputs!$B$17+Inputs!$B$24+Inputs!$B$25)+MAX(-AE509,0)*(O509+Inputs!$B$24+Inputs!$B$25)+IF(AND(K509=1,AB509&lt;&gt;0),(Inputs!$B$17+Inputs!$B$24+Inputs!$B$25)+(O509+Inputs!$B$24+Inputs!$B$25),0)+MAX(AG509,0)*(Inputs!$B$20+Inputs!$B$26+Inputs!$B$27)+MAX(-AG509,0)*(Inputs!$B$21+Inputs!$B$26+Inputs!$B$27)</f>
        <v>0</v>
      </c>
      <c r="AK509" s="30" t="n">
        <f aca="false">AB508*(M509-AD508*J509)+AB508*AD508*(N509+Inputs!$B$14)/Inputs!$B$16-AJ509</f>
        <v>0</v>
      </c>
      <c r="AL509" s="30" t="n">
        <f aca="false">IF(AP508&lt;&gt;0,AQ508+1,0)</f>
        <v>0</v>
      </c>
      <c r="AM509" s="30" t="n">
        <f aca="false">IF(W509="",0,IF(AND(AP508&lt;&gt;0,OR(ABS(W509)&gt;Inputs!$B$7,AL509&gt;=Inputs!$B$8,ABS(W509)&lt;Inputs!$B$6)),1,0))</f>
        <v>0</v>
      </c>
      <c r="AN509" s="30" t="n">
        <f aca="false">IF(AM509=1,0,AP508)</f>
        <v>0</v>
      </c>
      <c r="AO509" s="30" t="n">
        <f aca="false">IF(W509="",0,IF(AND(AN509=0,ABS(W509)&gt;Inputs!$B$5,ABS(W509)&lt;=Inputs!$B$7,W509&gt;0),1,0))</f>
        <v>0</v>
      </c>
      <c r="AP509" s="30" t="n">
        <f aca="false">IF(W509="",0,IF(AO509=1,-SIGN(W509),AN509))</f>
        <v>0</v>
      </c>
      <c r="AQ509" s="30" t="n">
        <f aca="false">IF(W509="",0,IF(AO509=1,0,IF(AM509=1,0,AL509)))</f>
        <v>0</v>
      </c>
      <c r="AR509" s="30" t="n">
        <f aca="false">IF(AP509=0,0,IF(AP508=AP509,AR508,T509))</f>
        <v>0</v>
      </c>
      <c r="AS509" s="30" t="n">
        <f aca="false">AP509-AP508</f>
        <v>0</v>
      </c>
      <c r="AT509" s="30" t="n">
        <f aca="false">-AR509*AP509</f>
        <v>-0</v>
      </c>
      <c r="AU509" s="30" t="n">
        <f aca="false">AT509-AT508</f>
        <v>0</v>
      </c>
      <c r="AV509" s="30" t="n">
        <f aca="false">MAX(AS509,0)*(Inputs!$B$17+Inputs!$B$18+Inputs!$B$19)+MAX(-AS509,0)*(O509+Inputs!$B$18+Inputs!$B$19)+IF(AND(K509=1,AP509&lt;&gt;0),(Inputs!$B$17+Inputs!$B$18+Inputs!$B$19)+(O509+Inputs!$B$18+Inputs!$B$19),0)+MAX(AU509,0)*(Inputs!$B$20+Inputs!$B$22+Inputs!$B$23)+MAX(-AU509,0)*(Inputs!$B$21+Inputs!$B$22+Inputs!$B$23)</f>
        <v>0</v>
      </c>
      <c r="AW509" s="30" t="n">
        <f aca="false">AP508*(M509-AR508*J509)+AP508*AR508*N509/Inputs!$B$16-AV509</f>
        <v>0</v>
      </c>
      <c r="AX509" s="30" t="n">
        <f aca="false">AW509-IF(AP508&lt;&gt;0,0.75*AR508*(Inputs!$B$13-N509)/Inputs!$B$16,0)</f>
        <v>0</v>
      </c>
      <c r="AY509" s="30" t="n">
        <f aca="false">MAX(AS509,0)*(Inputs!$B$17+Inputs!$B$18+Inputs!$B$19)+MAX(-AS509,0)*(O509+Inputs!$B$18+Inputs!$B$19)+IF(AND(K509=1,AP509&lt;&gt;0),(Inputs!$B$17+Inputs!$B$18+Inputs!$B$19)+(O509+Inputs!$B$18+Inputs!$B$19),0)</f>
        <v>0</v>
      </c>
      <c r="AZ509" s="30" t="n">
        <f aca="false">AP508*M509-AY509</f>
        <v>0</v>
      </c>
      <c r="BA509" s="32" t="n">
        <f aca="false">BA508+AI509</f>
        <v>0.00698617887383685</v>
      </c>
      <c r="BB509" s="30" t="n">
        <f aca="false">MAX(BB508,BA509)</f>
        <v>0.00698617887383685</v>
      </c>
      <c r="BC509" s="32" t="n">
        <f aca="false">BA509-BB509</f>
        <v>0</v>
      </c>
      <c r="BD509" s="30" t="n">
        <f aca="false">A510-A509</f>
        <v>1</v>
      </c>
    </row>
    <row r="510" customFormat="false" ht="15" hidden="false" customHeight="false" outlineLevel="0" collapsed="false">
      <c r="A510" s="28" t="n">
        <v>45793</v>
      </c>
      <c r="B510" s="0" t="n">
        <v>25080</v>
      </c>
      <c r="C510" s="0" t="n">
        <v>280.1</v>
      </c>
      <c r="D510" s="29" t="n">
        <f aca="false">LN(B510)</f>
        <v>10.1298259947469</v>
      </c>
      <c r="E510" s="29" t="n">
        <f aca="false">LN(C510)</f>
        <v>5.63514668226606</v>
      </c>
      <c r="F510" s="0" t="n">
        <v>505</v>
      </c>
      <c r="G510" s="0" t="n">
        <v>13</v>
      </c>
      <c r="H510" s="29" t="n">
        <f aca="false">D510-E510</f>
        <v>4.4946793124808</v>
      </c>
      <c r="I510" s="29" t="n">
        <f aca="false">D510-D509</f>
        <v>0.000199381916720753</v>
      </c>
      <c r="J510" s="29" t="n">
        <f aca="false">E510-E509</f>
        <v>0.000642834206630027</v>
      </c>
      <c r="K510" s="0" t="n">
        <v>0</v>
      </c>
      <c r="L510" s="0" t="n">
        <v>0</v>
      </c>
      <c r="M510" s="29" t="n">
        <f aca="false">IF(L510=1,J510-Carry!$B$9/Inputs!$B$16,I510)</f>
        <v>0.000199381916720753</v>
      </c>
      <c r="N510" s="0" t="n">
        <v>0.06</v>
      </c>
      <c r="O510" s="0" t="n">
        <v>0.0002</v>
      </c>
      <c r="P510" s="29" t="n">
        <f aca="false">D510-('2 Hedge ratio'!$B$6+'2 Hedge ratio'!$B$5*E510)</f>
        <v>0.00549724549434849</v>
      </c>
      <c r="Q510" s="29" t="n">
        <f aca="false">D510-('5 Re-specification'!$B$7+'5 Re-specification'!$B$5*E510+'5 Re-specification'!$B$6*F510)</f>
        <v>0.00324490931178723</v>
      </c>
      <c r="R510" s="30" t="n">
        <f aca="false">MIN(F510,Inputs!$B$9)</f>
        <v>250</v>
      </c>
      <c r="S510" s="29" t="n">
        <f aca="true">IF(AND(F510&gt;=1,R510&gt;=Inputs!$B$10),INDEX(LINEST(OFFSET(D510,-R510,0,R510,1),OFFSET(E510,-R510,0,R510,2)),1,1),"")</f>
        <v>-3.01294144964573E-005</v>
      </c>
      <c r="T510" s="29" t="n">
        <f aca="true">IF(AND(F510&gt;=1,R510&gt;=Inputs!$B$10),INDEX(LINEST(OFFSET(D510,-R510,0,R510,1),OFFSET(E510,-R510,0,R510,2)),1,2),"")</f>
        <v>1.00173344579732</v>
      </c>
      <c r="U510" s="29" t="n">
        <f aca="true">IF(AND(F510&gt;=1,R510&gt;=Inputs!$B$10),INDEX(LINEST(OFFSET(D510,-R510,0,R510,1),OFFSET(E510,-R510,0,R510,2)),1,3),"")</f>
        <v>4.49861386753055</v>
      </c>
      <c r="V510" s="29" t="n">
        <f aca="true">IF(AND(F510&gt;=1,R510&gt;=Inputs!$B$10),SQRT(SUMPRODUCT((OFFSET(D510,-R510,0,R510,1)-U510-T510*OFFSET(E510,-R510,0,R510,1)-S510*OFFSET(F510,-R510,0,R510,1))^2)/(R510-3)),"")</f>
        <v>0.00326504332584587</v>
      </c>
      <c r="W510" s="31" t="n">
        <f aca="false">IF(AND(F510&gt;=1,R510&gt;=Inputs!$B$10),(D510-U510-T510*E510-S510*F510)/V510,"")</f>
        <v>0.46326427748984</v>
      </c>
      <c r="X510" s="30" t="n">
        <f aca="false">IF(AB509&lt;&gt;0,AC509+1,0)</f>
        <v>0</v>
      </c>
      <c r="Y510" s="30" t="n">
        <f aca="false">IF(W510="",0,IF(AND(AB509&lt;&gt;0,OR(ABS(W510)&gt;Inputs!$B$7,X510&gt;=Inputs!$B$8,ABS(W510)&lt;Inputs!$B$6)),1,0))</f>
        <v>0</v>
      </c>
      <c r="Z510" s="30" t="n">
        <f aca="false">IF(Y510=1,0,AB509)</f>
        <v>0</v>
      </c>
      <c r="AA510" s="30" t="n">
        <f aca="false">IF(W510="",0,IF(AND(Z510=0,ABS(W510)&gt;Inputs!$B$5,ABS(W510)&lt;=Inputs!$B$7),1,0))</f>
        <v>0</v>
      </c>
      <c r="AB510" s="30" t="n">
        <f aca="false">IF(W510="",0,IF(AA510=1,-SIGN(W510),Z510))</f>
        <v>0</v>
      </c>
      <c r="AC510" s="30" t="n">
        <f aca="false">IF(W510="",0,IF(AA510=1,0,IF(Y510=1,0,X510)))</f>
        <v>0</v>
      </c>
      <c r="AD510" s="30" t="n">
        <f aca="false">IF(AB510=0,0,IF(AB509=AB510,AD509,T510))</f>
        <v>0</v>
      </c>
      <c r="AE510" s="30" t="n">
        <f aca="false">AB510-AB509</f>
        <v>0</v>
      </c>
      <c r="AF510" s="30" t="n">
        <f aca="false">-AD510*AB510</f>
        <v>-0</v>
      </c>
      <c r="AG510" s="30" t="n">
        <f aca="false">AF510-AF509</f>
        <v>0</v>
      </c>
      <c r="AH510" s="30" t="n">
        <f aca="false">MAX(AE510,0)*(Inputs!$B$17+Inputs!$B$18+Inputs!$B$19)+MAX(-AE510,0)*(O510+Inputs!$B$18+Inputs!$B$19)+IF(AND(K510=1,AB510&lt;&gt;0),(Inputs!$B$17+Inputs!$B$18+Inputs!$B$19)+(O510+Inputs!$B$18+Inputs!$B$19),0)+MAX(AG510,0)*(Inputs!$B$20+Inputs!$B$22+Inputs!$B$23)+MAX(-AG510,0)*(Inputs!$B$21+Inputs!$B$22+Inputs!$B$23)</f>
        <v>0</v>
      </c>
      <c r="AI510" s="30" t="n">
        <f aca="false">AB509*(M510-AD509*J510)+AB509*AD509*N510/Inputs!$B$16-AH510</f>
        <v>0</v>
      </c>
      <c r="AJ510" s="30" t="n">
        <f aca="false">MAX(AE510,0)*(Inputs!$B$17+Inputs!$B$24+Inputs!$B$25)+MAX(-AE510,0)*(O510+Inputs!$B$24+Inputs!$B$25)+IF(AND(K510=1,AB510&lt;&gt;0),(Inputs!$B$17+Inputs!$B$24+Inputs!$B$25)+(O510+Inputs!$B$24+Inputs!$B$25),0)+MAX(AG510,0)*(Inputs!$B$20+Inputs!$B$26+Inputs!$B$27)+MAX(-AG510,0)*(Inputs!$B$21+Inputs!$B$26+Inputs!$B$27)</f>
        <v>0</v>
      </c>
      <c r="AK510" s="30" t="n">
        <f aca="false">AB509*(M510-AD509*J510)+AB509*AD509*(N510+Inputs!$B$14)/Inputs!$B$16-AJ510</f>
        <v>0</v>
      </c>
      <c r="AL510" s="30" t="n">
        <f aca="false">IF(AP509&lt;&gt;0,AQ509+1,0)</f>
        <v>0</v>
      </c>
      <c r="AM510" s="30" t="n">
        <f aca="false">IF(W510="",0,IF(AND(AP509&lt;&gt;0,OR(ABS(W510)&gt;Inputs!$B$7,AL510&gt;=Inputs!$B$8,ABS(W510)&lt;Inputs!$B$6)),1,0))</f>
        <v>0</v>
      </c>
      <c r="AN510" s="30" t="n">
        <f aca="false">IF(AM510=1,0,AP509)</f>
        <v>0</v>
      </c>
      <c r="AO510" s="30" t="n">
        <f aca="false">IF(W510="",0,IF(AND(AN510=0,ABS(W510)&gt;Inputs!$B$5,ABS(W510)&lt;=Inputs!$B$7,W510&gt;0),1,0))</f>
        <v>0</v>
      </c>
      <c r="AP510" s="30" t="n">
        <f aca="false">IF(W510="",0,IF(AO510=1,-SIGN(W510),AN510))</f>
        <v>0</v>
      </c>
      <c r="AQ510" s="30" t="n">
        <f aca="false">IF(W510="",0,IF(AO510=1,0,IF(AM510=1,0,AL510)))</f>
        <v>0</v>
      </c>
      <c r="AR510" s="30" t="n">
        <f aca="false">IF(AP510=0,0,IF(AP509=AP510,AR509,T510))</f>
        <v>0</v>
      </c>
      <c r="AS510" s="30" t="n">
        <f aca="false">AP510-AP509</f>
        <v>0</v>
      </c>
      <c r="AT510" s="30" t="n">
        <f aca="false">-AR510*AP510</f>
        <v>-0</v>
      </c>
      <c r="AU510" s="30" t="n">
        <f aca="false">AT510-AT509</f>
        <v>0</v>
      </c>
      <c r="AV510" s="30" t="n">
        <f aca="false">MAX(AS510,0)*(Inputs!$B$17+Inputs!$B$18+Inputs!$B$19)+MAX(-AS510,0)*(O510+Inputs!$B$18+Inputs!$B$19)+IF(AND(K510=1,AP510&lt;&gt;0),(Inputs!$B$17+Inputs!$B$18+Inputs!$B$19)+(O510+Inputs!$B$18+Inputs!$B$19),0)+MAX(AU510,0)*(Inputs!$B$20+Inputs!$B$22+Inputs!$B$23)+MAX(-AU510,0)*(Inputs!$B$21+Inputs!$B$22+Inputs!$B$23)</f>
        <v>0</v>
      </c>
      <c r="AW510" s="30" t="n">
        <f aca="false">AP509*(M510-AR509*J510)+AP509*AR509*N510/Inputs!$B$16-AV510</f>
        <v>0</v>
      </c>
      <c r="AX510" s="30" t="n">
        <f aca="false">AW510-IF(AP509&lt;&gt;0,0.75*AR509*(Inputs!$B$13-N510)/Inputs!$B$16,0)</f>
        <v>0</v>
      </c>
      <c r="AY510" s="30" t="n">
        <f aca="false">MAX(AS510,0)*(Inputs!$B$17+Inputs!$B$18+Inputs!$B$19)+MAX(-AS510,0)*(O510+Inputs!$B$18+Inputs!$B$19)+IF(AND(K510=1,AP510&lt;&gt;0),(Inputs!$B$17+Inputs!$B$18+Inputs!$B$19)+(O510+Inputs!$B$18+Inputs!$B$19),0)</f>
        <v>0</v>
      </c>
      <c r="AZ510" s="30" t="n">
        <f aca="false">AP509*M510-AY510</f>
        <v>0</v>
      </c>
      <c r="BA510" s="32" t="n">
        <f aca="false">BA509+AI510</f>
        <v>0.00698617887383685</v>
      </c>
      <c r="BB510" s="30" t="n">
        <f aca="false">MAX(BB509,BA510)</f>
        <v>0.00698617887383685</v>
      </c>
      <c r="BC510" s="32" t="n">
        <f aca="false">BA510-BB510</f>
        <v>0</v>
      </c>
      <c r="BD510" s="30" t="n">
        <f aca="false">A511-A510</f>
        <v>3</v>
      </c>
    </row>
    <row r="511" customFormat="false" ht="15" hidden="false" customHeight="false" outlineLevel="0" collapsed="false">
      <c r="A511" s="28" t="n">
        <v>45796</v>
      </c>
      <c r="B511" s="0" t="n">
        <v>24965</v>
      </c>
      <c r="C511" s="0" t="n">
        <v>279.64</v>
      </c>
      <c r="D511" s="29" t="n">
        <f aca="false">LN(B511)</f>
        <v>10.1252301229347</v>
      </c>
      <c r="E511" s="29" t="n">
        <f aca="false">LN(C511)</f>
        <v>5.63350306164378</v>
      </c>
      <c r="F511" s="0" t="n">
        <v>506</v>
      </c>
      <c r="G511" s="0" t="n">
        <v>10</v>
      </c>
      <c r="H511" s="29" t="n">
        <f aca="false">D511-E511</f>
        <v>4.49172706129093</v>
      </c>
      <c r="I511" s="29" t="n">
        <f aca="false">D511-D510</f>
        <v>-0.00459587181214793</v>
      </c>
      <c r="J511" s="29" t="n">
        <f aca="false">E511-E510</f>
        <v>-0.00164362062227852</v>
      </c>
      <c r="K511" s="0" t="n">
        <v>0</v>
      </c>
      <c r="L511" s="0" t="n">
        <v>0</v>
      </c>
      <c r="M511" s="29" t="n">
        <f aca="false">IF(L511=1,J511-Carry!$B$9/Inputs!$B$16,I511)</f>
        <v>-0.00459587181214793</v>
      </c>
      <c r="N511" s="0" t="n">
        <v>0.06</v>
      </c>
      <c r="O511" s="0" t="n">
        <v>0.0002</v>
      </c>
      <c r="P511" s="29" t="n">
        <f aca="false">D511-('2 Hedge ratio'!$B$6+'2 Hedge ratio'!$B$5*E511)</f>
        <v>0.00240713851632002</v>
      </c>
      <c r="Q511" s="29" t="n">
        <f aca="false">D511-('5 Re-specification'!$B$7+'5 Re-specification'!$B$5*E511+'5 Re-specification'!$B$6*F511)</f>
        <v>0.00033260644768518</v>
      </c>
      <c r="R511" s="30" t="n">
        <f aca="false">MIN(F511,Inputs!$B$9)</f>
        <v>250</v>
      </c>
      <c r="S511" s="29" t="n">
        <f aca="true">IF(AND(F511&gt;=1,R511&gt;=Inputs!$B$10),INDEX(LINEST(OFFSET(D511,-R511,0,R511,1),OFFSET(E511,-R511,0,R511,2)),1,1),"")</f>
        <v>-2.93008127787439E-005</v>
      </c>
      <c r="T511" s="29" t="n">
        <f aca="true">IF(AND(F511&gt;=1,R511&gt;=Inputs!$B$10),INDEX(LINEST(OFFSET(D511,-R511,0,R511,1),OFFSET(E511,-R511,0,R511,2)),1,2),"")</f>
        <v>1.00353779252972</v>
      </c>
      <c r="U511" s="29" t="n">
        <f aca="true">IF(AND(F511&gt;=1,R511&gt;=Inputs!$B$10),INDEX(LINEST(OFFSET(D511,-R511,0,R511,1),OFFSET(E511,-R511,0,R511,2)),1,3),"")</f>
        <v>4.48819819160409</v>
      </c>
      <c r="V511" s="29" t="n">
        <f aca="true">IF(AND(F511&gt;=1,R511&gt;=Inputs!$B$10),SQRT(SUMPRODUCT((OFFSET(D511,-R511,0,R511,1)-U511-T511*OFFSET(E511,-R511,0,R511,1)-S511*OFFSET(F511,-R511,0,R511,1))^2)/(R511-3)),"")</f>
        <v>0.00324479118471471</v>
      </c>
      <c r="W511" s="31" t="n">
        <f aca="false">IF(AND(F511&gt;=1,R511&gt;=Inputs!$B$10),(D511-U511-T511*E511-S511*F511)/V511,"")</f>
        <v>-0.485419247370357</v>
      </c>
      <c r="X511" s="30" t="n">
        <f aca="false">IF(AB510&lt;&gt;0,AC510+1,0)</f>
        <v>0</v>
      </c>
      <c r="Y511" s="30" t="n">
        <f aca="false">IF(W511="",0,IF(AND(AB510&lt;&gt;0,OR(ABS(W511)&gt;Inputs!$B$7,X511&gt;=Inputs!$B$8,ABS(W511)&lt;Inputs!$B$6)),1,0))</f>
        <v>0</v>
      </c>
      <c r="Z511" s="30" t="n">
        <f aca="false">IF(Y511=1,0,AB510)</f>
        <v>0</v>
      </c>
      <c r="AA511" s="30" t="n">
        <f aca="false">IF(W511="",0,IF(AND(Z511=0,ABS(W511)&gt;Inputs!$B$5,ABS(W511)&lt;=Inputs!$B$7),1,0))</f>
        <v>0</v>
      </c>
      <c r="AB511" s="30" t="n">
        <f aca="false">IF(W511="",0,IF(AA511=1,-SIGN(W511),Z511))</f>
        <v>0</v>
      </c>
      <c r="AC511" s="30" t="n">
        <f aca="false">IF(W511="",0,IF(AA511=1,0,IF(Y511=1,0,X511)))</f>
        <v>0</v>
      </c>
      <c r="AD511" s="30" t="n">
        <f aca="false">IF(AB511=0,0,IF(AB510=AB511,AD510,T511))</f>
        <v>0</v>
      </c>
      <c r="AE511" s="30" t="n">
        <f aca="false">AB511-AB510</f>
        <v>0</v>
      </c>
      <c r="AF511" s="30" t="n">
        <f aca="false">-AD511*AB511</f>
        <v>-0</v>
      </c>
      <c r="AG511" s="30" t="n">
        <f aca="false">AF511-AF510</f>
        <v>0</v>
      </c>
      <c r="AH511" s="30" t="n">
        <f aca="false">MAX(AE511,0)*(Inputs!$B$17+Inputs!$B$18+Inputs!$B$19)+MAX(-AE511,0)*(O511+Inputs!$B$18+Inputs!$B$19)+IF(AND(K511=1,AB511&lt;&gt;0),(Inputs!$B$17+Inputs!$B$18+Inputs!$B$19)+(O511+Inputs!$B$18+Inputs!$B$19),0)+MAX(AG511,0)*(Inputs!$B$20+Inputs!$B$22+Inputs!$B$23)+MAX(-AG511,0)*(Inputs!$B$21+Inputs!$B$22+Inputs!$B$23)</f>
        <v>0</v>
      </c>
      <c r="AI511" s="30" t="n">
        <f aca="false">AB510*(M511-AD510*J511)+AB510*AD510*N511/Inputs!$B$16-AH511</f>
        <v>0</v>
      </c>
      <c r="AJ511" s="30" t="n">
        <f aca="false">MAX(AE511,0)*(Inputs!$B$17+Inputs!$B$24+Inputs!$B$25)+MAX(-AE511,0)*(O511+Inputs!$B$24+Inputs!$B$25)+IF(AND(K511=1,AB511&lt;&gt;0),(Inputs!$B$17+Inputs!$B$24+Inputs!$B$25)+(O511+Inputs!$B$24+Inputs!$B$25),0)+MAX(AG511,0)*(Inputs!$B$20+Inputs!$B$26+Inputs!$B$27)+MAX(-AG511,0)*(Inputs!$B$21+Inputs!$B$26+Inputs!$B$27)</f>
        <v>0</v>
      </c>
      <c r="AK511" s="30" t="n">
        <f aca="false">AB510*(M511-AD510*J511)+AB510*AD510*(N511+Inputs!$B$14)/Inputs!$B$16-AJ511</f>
        <v>0</v>
      </c>
      <c r="AL511" s="30" t="n">
        <f aca="false">IF(AP510&lt;&gt;0,AQ510+1,0)</f>
        <v>0</v>
      </c>
      <c r="AM511" s="30" t="n">
        <f aca="false">IF(W511="",0,IF(AND(AP510&lt;&gt;0,OR(ABS(W511)&gt;Inputs!$B$7,AL511&gt;=Inputs!$B$8,ABS(W511)&lt;Inputs!$B$6)),1,0))</f>
        <v>0</v>
      </c>
      <c r="AN511" s="30" t="n">
        <f aca="false">IF(AM511=1,0,AP510)</f>
        <v>0</v>
      </c>
      <c r="AO511" s="30" t="n">
        <f aca="false">IF(W511="",0,IF(AND(AN511=0,ABS(W511)&gt;Inputs!$B$5,ABS(W511)&lt;=Inputs!$B$7,W511&gt;0),1,0))</f>
        <v>0</v>
      </c>
      <c r="AP511" s="30" t="n">
        <f aca="false">IF(W511="",0,IF(AO511=1,-SIGN(W511),AN511))</f>
        <v>0</v>
      </c>
      <c r="AQ511" s="30" t="n">
        <f aca="false">IF(W511="",0,IF(AO511=1,0,IF(AM511=1,0,AL511)))</f>
        <v>0</v>
      </c>
      <c r="AR511" s="30" t="n">
        <f aca="false">IF(AP511=0,0,IF(AP510=AP511,AR510,T511))</f>
        <v>0</v>
      </c>
      <c r="AS511" s="30" t="n">
        <f aca="false">AP511-AP510</f>
        <v>0</v>
      </c>
      <c r="AT511" s="30" t="n">
        <f aca="false">-AR511*AP511</f>
        <v>-0</v>
      </c>
      <c r="AU511" s="30" t="n">
        <f aca="false">AT511-AT510</f>
        <v>0</v>
      </c>
      <c r="AV511" s="30" t="n">
        <f aca="false">MAX(AS511,0)*(Inputs!$B$17+Inputs!$B$18+Inputs!$B$19)+MAX(-AS511,0)*(O511+Inputs!$B$18+Inputs!$B$19)+IF(AND(K511=1,AP511&lt;&gt;0),(Inputs!$B$17+Inputs!$B$18+Inputs!$B$19)+(O511+Inputs!$B$18+Inputs!$B$19),0)+MAX(AU511,0)*(Inputs!$B$20+Inputs!$B$22+Inputs!$B$23)+MAX(-AU511,0)*(Inputs!$B$21+Inputs!$B$22+Inputs!$B$23)</f>
        <v>0</v>
      </c>
      <c r="AW511" s="30" t="n">
        <f aca="false">AP510*(M511-AR510*J511)+AP510*AR510*N511/Inputs!$B$16-AV511</f>
        <v>0</v>
      </c>
      <c r="AX511" s="30" t="n">
        <f aca="false">AW511-IF(AP510&lt;&gt;0,0.75*AR510*(Inputs!$B$13-N511)/Inputs!$B$16,0)</f>
        <v>0</v>
      </c>
      <c r="AY511" s="30" t="n">
        <f aca="false">MAX(AS511,0)*(Inputs!$B$17+Inputs!$B$18+Inputs!$B$19)+MAX(-AS511,0)*(O511+Inputs!$B$18+Inputs!$B$19)+IF(AND(K511=1,AP511&lt;&gt;0),(Inputs!$B$17+Inputs!$B$18+Inputs!$B$19)+(O511+Inputs!$B$18+Inputs!$B$19),0)</f>
        <v>0</v>
      </c>
      <c r="AZ511" s="30" t="n">
        <f aca="false">AP510*M511-AY511</f>
        <v>-0</v>
      </c>
      <c r="BA511" s="32" t="n">
        <f aca="false">BA510+AI511</f>
        <v>0.00698617887383685</v>
      </c>
      <c r="BB511" s="30" t="n">
        <f aca="false">MAX(BB510,BA511)</f>
        <v>0.00698617887383685</v>
      </c>
      <c r="BC511" s="32" t="n">
        <f aca="false">BA511-BB511</f>
        <v>0</v>
      </c>
      <c r="BD511" s="30" t="n">
        <f aca="false">A512-A511</f>
        <v>1</v>
      </c>
    </row>
    <row r="512" customFormat="false" ht="15" hidden="false" customHeight="false" outlineLevel="0" collapsed="false">
      <c r="A512" s="28" t="n">
        <v>45797</v>
      </c>
      <c r="B512" s="0" t="n">
        <v>24782</v>
      </c>
      <c r="C512" s="0" t="n">
        <v>277.2</v>
      </c>
      <c r="D512" s="29" t="n">
        <f aca="false">LN(B512)</f>
        <v>10.1178728621764</v>
      </c>
      <c r="E512" s="29" t="n">
        <f aca="false">LN(C512)</f>
        <v>5.62473926731575</v>
      </c>
      <c r="F512" s="0" t="n">
        <v>507</v>
      </c>
      <c r="G512" s="0" t="n">
        <v>9</v>
      </c>
      <c r="H512" s="29" t="n">
        <f aca="false">D512-E512</f>
        <v>4.49313359486069</v>
      </c>
      <c r="I512" s="29" t="n">
        <f aca="false">D512-D511</f>
        <v>-0.00735726075827081</v>
      </c>
      <c r="J512" s="29" t="n">
        <f aca="false">E512-E511</f>
        <v>-0.00876379432803631</v>
      </c>
      <c r="K512" s="0" t="n">
        <v>0</v>
      </c>
      <c r="L512" s="0" t="n">
        <v>0</v>
      </c>
      <c r="M512" s="29" t="n">
        <f aca="false">IF(L512=1,J512-Carry!$B$9/Inputs!$B$16,I512)</f>
        <v>-0.00735726075827081</v>
      </c>
      <c r="N512" s="0" t="n">
        <v>0.06</v>
      </c>
      <c r="O512" s="0" t="n">
        <v>0.0002</v>
      </c>
      <c r="P512" s="29" t="n">
        <f aca="false">D512-('2 Hedge ratio'!$B$6+'2 Hedge ratio'!$B$5*E512)</f>
        <v>0.00307862425449734</v>
      </c>
      <c r="Q512" s="29" t="n">
        <f aca="false">D512-('5 Re-specification'!$B$7+'5 Re-specification'!$B$5*E512+'5 Re-specification'!$B$6*F512)</f>
        <v>0.00175751065665075</v>
      </c>
      <c r="R512" s="30" t="n">
        <f aca="false">MIN(F512,Inputs!$B$9)</f>
        <v>250</v>
      </c>
      <c r="S512" s="29" t="n">
        <f aca="true">IF(AND(F512&gt;=1,R512&gt;=Inputs!$B$10),INDEX(LINEST(OFFSET(D512,-R512,0,R512,1),OFFSET(E512,-R512,0,R512,2)),1,1),"")</f>
        <v>-2.90100394005636E-005</v>
      </c>
      <c r="T512" s="29" t="n">
        <f aca="true">IF(AND(F512&gt;=1,R512&gt;=Inputs!$B$10),INDEX(LINEST(OFFSET(D512,-R512,0,R512,1),OFFSET(E512,-R512,0,R512,2)),1,2),"")</f>
        <v>1.00432487950133</v>
      </c>
      <c r="U512" s="29" t="n">
        <f aca="true">IF(AND(F512&gt;=1,R512&gt;=Inputs!$B$10),INDEX(LINEST(OFFSET(D512,-R512,0,R512,1),OFFSET(E512,-R512,0,R512,2)),1,3),"")</f>
        <v>4.48366613947815</v>
      </c>
      <c r="V512" s="29" t="n">
        <f aca="true">IF(AND(F512&gt;=1,R512&gt;=Inputs!$B$10),SQRT(SUMPRODUCT((OFFSET(D512,-R512,0,R512,1)-U512-T512*OFFSET(E512,-R512,0,R512,1)-S512*OFFSET(F512,-R512,0,R512,1))^2)/(R512-3)),"")</f>
        <v>0.00323627920113882</v>
      </c>
      <c r="W512" s="31" t="n">
        <f aca="false">IF(AND(F512&gt;=1,R512&gt;=Inputs!$B$10),(D512-U512-T512*E512-S512*F512)/V512,"")</f>
        <v>-0.0465887488474561</v>
      </c>
      <c r="X512" s="30" t="n">
        <f aca="false">IF(AB511&lt;&gt;0,AC511+1,0)</f>
        <v>0</v>
      </c>
      <c r="Y512" s="30" t="n">
        <f aca="false">IF(W512="",0,IF(AND(AB511&lt;&gt;0,OR(ABS(W512)&gt;Inputs!$B$7,X512&gt;=Inputs!$B$8,ABS(W512)&lt;Inputs!$B$6)),1,0))</f>
        <v>0</v>
      </c>
      <c r="Z512" s="30" t="n">
        <f aca="false">IF(Y512=1,0,AB511)</f>
        <v>0</v>
      </c>
      <c r="AA512" s="30" t="n">
        <f aca="false">IF(W512="",0,IF(AND(Z512=0,ABS(W512)&gt;Inputs!$B$5,ABS(W512)&lt;=Inputs!$B$7),1,0))</f>
        <v>0</v>
      </c>
      <c r="AB512" s="30" t="n">
        <f aca="false">IF(W512="",0,IF(AA512=1,-SIGN(W512),Z512))</f>
        <v>0</v>
      </c>
      <c r="AC512" s="30" t="n">
        <f aca="false">IF(W512="",0,IF(AA512=1,0,IF(Y512=1,0,X512)))</f>
        <v>0</v>
      </c>
      <c r="AD512" s="30" t="n">
        <f aca="false">IF(AB512=0,0,IF(AB511=AB512,AD511,T512))</f>
        <v>0</v>
      </c>
      <c r="AE512" s="30" t="n">
        <f aca="false">AB512-AB511</f>
        <v>0</v>
      </c>
      <c r="AF512" s="30" t="n">
        <f aca="false">-AD512*AB512</f>
        <v>-0</v>
      </c>
      <c r="AG512" s="30" t="n">
        <f aca="false">AF512-AF511</f>
        <v>0</v>
      </c>
      <c r="AH512" s="30" t="n">
        <f aca="false">MAX(AE512,0)*(Inputs!$B$17+Inputs!$B$18+Inputs!$B$19)+MAX(-AE512,0)*(O512+Inputs!$B$18+Inputs!$B$19)+IF(AND(K512=1,AB512&lt;&gt;0),(Inputs!$B$17+Inputs!$B$18+Inputs!$B$19)+(O512+Inputs!$B$18+Inputs!$B$19),0)+MAX(AG512,0)*(Inputs!$B$20+Inputs!$B$22+Inputs!$B$23)+MAX(-AG512,0)*(Inputs!$B$21+Inputs!$B$22+Inputs!$B$23)</f>
        <v>0</v>
      </c>
      <c r="AI512" s="30" t="n">
        <f aca="false">AB511*(M512-AD511*J512)+AB511*AD511*N512/Inputs!$B$16-AH512</f>
        <v>0</v>
      </c>
      <c r="AJ512" s="30" t="n">
        <f aca="false">MAX(AE512,0)*(Inputs!$B$17+Inputs!$B$24+Inputs!$B$25)+MAX(-AE512,0)*(O512+Inputs!$B$24+Inputs!$B$25)+IF(AND(K512=1,AB512&lt;&gt;0),(Inputs!$B$17+Inputs!$B$24+Inputs!$B$25)+(O512+Inputs!$B$24+Inputs!$B$25),0)+MAX(AG512,0)*(Inputs!$B$20+Inputs!$B$26+Inputs!$B$27)+MAX(-AG512,0)*(Inputs!$B$21+Inputs!$B$26+Inputs!$B$27)</f>
        <v>0</v>
      </c>
      <c r="AK512" s="30" t="n">
        <f aca="false">AB511*(M512-AD511*J512)+AB511*AD511*(N512+Inputs!$B$14)/Inputs!$B$16-AJ512</f>
        <v>0</v>
      </c>
      <c r="AL512" s="30" t="n">
        <f aca="false">IF(AP511&lt;&gt;0,AQ511+1,0)</f>
        <v>0</v>
      </c>
      <c r="AM512" s="30" t="n">
        <f aca="false">IF(W512="",0,IF(AND(AP511&lt;&gt;0,OR(ABS(W512)&gt;Inputs!$B$7,AL512&gt;=Inputs!$B$8,ABS(W512)&lt;Inputs!$B$6)),1,0))</f>
        <v>0</v>
      </c>
      <c r="AN512" s="30" t="n">
        <f aca="false">IF(AM512=1,0,AP511)</f>
        <v>0</v>
      </c>
      <c r="AO512" s="30" t="n">
        <f aca="false">IF(W512="",0,IF(AND(AN512=0,ABS(W512)&gt;Inputs!$B$5,ABS(W512)&lt;=Inputs!$B$7,W512&gt;0),1,0))</f>
        <v>0</v>
      </c>
      <c r="AP512" s="30" t="n">
        <f aca="false">IF(W512="",0,IF(AO512=1,-SIGN(W512),AN512))</f>
        <v>0</v>
      </c>
      <c r="AQ512" s="30" t="n">
        <f aca="false">IF(W512="",0,IF(AO512=1,0,IF(AM512=1,0,AL512)))</f>
        <v>0</v>
      </c>
      <c r="AR512" s="30" t="n">
        <f aca="false">IF(AP512=0,0,IF(AP511=AP512,AR511,T512))</f>
        <v>0</v>
      </c>
      <c r="AS512" s="30" t="n">
        <f aca="false">AP512-AP511</f>
        <v>0</v>
      </c>
      <c r="AT512" s="30" t="n">
        <f aca="false">-AR512*AP512</f>
        <v>-0</v>
      </c>
      <c r="AU512" s="30" t="n">
        <f aca="false">AT512-AT511</f>
        <v>0</v>
      </c>
      <c r="AV512" s="30" t="n">
        <f aca="false">MAX(AS512,0)*(Inputs!$B$17+Inputs!$B$18+Inputs!$B$19)+MAX(-AS512,0)*(O512+Inputs!$B$18+Inputs!$B$19)+IF(AND(K512=1,AP512&lt;&gt;0),(Inputs!$B$17+Inputs!$B$18+Inputs!$B$19)+(O512+Inputs!$B$18+Inputs!$B$19),0)+MAX(AU512,0)*(Inputs!$B$20+Inputs!$B$22+Inputs!$B$23)+MAX(-AU512,0)*(Inputs!$B$21+Inputs!$B$22+Inputs!$B$23)</f>
        <v>0</v>
      </c>
      <c r="AW512" s="30" t="n">
        <f aca="false">AP511*(M512-AR511*J512)+AP511*AR511*N512/Inputs!$B$16-AV512</f>
        <v>0</v>
      </c>
      <c r="AX512" s="30" t="n">
        <f aca="false">AW512-IF(AP511&lt;&gt;0,0.75*AR511*(Inputs!$B$13-N512)/Inputs!$B$16,0)</f>
        <v>0</v>
      </c>
      <c r="AY512" s="30" t="n">
        <f aca="false">MAX(AS512,0)*(Inputs!$B$17+Inputs!$B$18+Inputs!$B$19)+MAX(-AS512,0)*(O512+Inputs!$B$18+Inputs!$B$19)+IF(AND(K512=1,AP512&lt;&gt;0),(Inputs!$B$17+Inputs!$B$18+Inputs!$B$19)+(O512+Inputs!$B$18+Inputs!$B$19),0)</f>
        <v>0</v>
      </c>
      <c r="AZ512" s="30" t="n">
        <f aca="false">AP511*M512-AY512</f>
        <v>-0</v>
      </c>
      <c r="BA512" s="32" t="n">
        <f aca="false">BA511+AI512</f>
        <v>0.00698617887383685</v>
      </c>
      <c r="BB512" s="30" t="n">
        <f aca="false">MAX(BB511,BA512)</f>
        <v>0.00698617887383685</v>
      </c>
      <c r="BC512" s="32" t="n">
        <f aca="false">BA512-BB512</f>
        <v>0</v>
      </c>
      <c r="BD512" s="30" t="n">
        <f aca="false">A513-A512</f>
        <v>1</v>
      </c>
    </row>
    <row r="513" customFormat="false" ht="15" hidden="false" customHeight="false" outlineLevel="0" collapsed="false">
      <c r="A513" s="28" t="n">
        <v>45798</v>
      </c>
      <c r="B513" s="0" t="n">
        <v>24818</v>
      </c>
      <c r="C513" s="0" t="n">
        <v>277.49</v>
      </c>
      <c r="D513" s="29" t="n">
        <f aca="false">LN(B513)</f>
        <v>10.1193244753346</v>
      </c>
      <c r="E513" s="29" t="n">
        <f aca="false">LN(C513)</f>
        <v>5.62578489650114</v>
      </c>
      <c r="F513" s="0" t="n">
        <v>508</v>
      </c>
      <c r="G513" s="0" t="n">
        <v>8</v>
      </c>
      <c r="H513" s="29" t="n">
        <f aca="false">D513-E513</f>
        <v>4.49353957883343</v>
      </c>
      <c r="I513" s="29" t="n">
        <f aca="false">D513-D512</f>
        <v>0.00145161315812636</v>
      </c>
      <c r="J513" s="29" t="n">
        <f aca="false">E513-E512</f>
        <v>0.00104562918539131</v>
      </c>
      <c r="K513" s="0" t="n">
        <v>0</v>
      </c>
      <c r="L513" s="0" t="n">
        <v>0</v>
      </c>
      <c r="M513" s="29" t="n">
        <f aca="false">IF(L513=1,J513-Carry!$B$9/Inputs!$B$16,I513)</f>
        <v>0.00145161315812636</v>
      </c>
      <c r="N513" s="0" t="n">
        <v>0.06</v>
      </c>
      <c r="O513" s="0" t="n">
        <v>0.0002</v>
      </c>
      <c r="P513" s="29" t="n">
        <f aca="false">D513-('2 Hedge ratio'!$B$6+'2 Hedge ratio'!$B$5*E513)</f>
        <v>0.00357230853563806</v>
      </c>
      <c r="Q513" s="29" t="n">
        <f aca="false">D513-('5 Re-specification'!$B$7+'5 Re-specification'!$B$5*E513+'5 Re-specification'!$B$6*F513)</f>
        <v>0.00221159272675031</v>
      </c>
      <c r="R513" s="30" t="n">
        <f aca="false">MIN(F513,Inputs!$B$9)</f>
        <v>250</v>
      </c>
      <c r="S513" s="29" t="n">
        <f aca="true">IF(AND(F513&gt;=1,R513&gt;=Inputs!$B$10),INDEX(LINEST(OFFSET(D513,-R513,0,R513,1),OFFSET(E513,-R513,0,R513,2)),1,1),"")</f>
        <v>-2.85883872469202E-005</v>
      </c>
      <c r="T513" s="29" t="n">
        <f aca="true">IF(AND(F513&gt;=1,R513&gt;=Inputs!$B$10),INDEX(LINEST(OFFSET(D513,-R513,0,R513,1),OFFSET(E513,-R513,0,R513,2)),1,2),"")</f>
        <v>1.00531394399832</v>
      </c>
      <c r="U513" s="29" t="n">
        <f aca="true">IF(AND(F513&gt;=1,R513&gt;=Inputs!$B$10),INDEX(LINEST(OFFSET(D513,-R513,0,R513,1),OFFSET(E513,-R513,0,R513,2)),1,3),"")</f>
        <v>4.477961166273</v>
      </c>
      <c r="V513" s="29" t="n">
        <f aca="true">IF(AND(F513&gt;=1,R513&gt;=Inputs!$B$10),SQRT(SUMPRODUCT((OFFSET(D513,-R513,0,R513,1)-U513-T513*OFFSET(E513,-R513,0,R513,1)-S513*OFFSET(F513,-R513,0,R513,1))^2)/(R513-3)),"")</f>
        <v>0.00322736100733781</v>
      </c>
      <c r="W513" s="31" t="n">
        <f aca="false">IF(AND(F513&gt;=1,R513&gt;=Inputs!$B$10),(D513-U513-T513*E513-S513*F513)/V513,"")</f>
        <v>0.0638935014730278</v>
      </c>
      <c r="X513" s="30" t="n">
        <f aca="false">IF(AB512&lt;&gt;0,AC512+1,0)</f>
        <v>0</v>
      </c>
      <c r="Y513" s="30" t="n">
        <f aca="false">IF(W513="",0,IF(AND(AB512&lt;&gt;0,OR(ABS(W513)&gt;Inputs!$B$7,X513&gt;=Inputs!$B$8,ABS(W513)&lt;Inputs!$B$6)),1,0))</f>
        <v>0</v>
      </c>
      <c r="Z513" s="30" t="n">
        <f aca="false">IF(Y513=1,0,AB512)</f>
        <v>0</v>
      </c>
      <c r="AA513" s="30" t="n">
        <f aca="false">IF(W513="",0,IF(AND(Z513=0,ABS(W513)&gt;Inputs!$B$5,ABS(W513)&lt;=Inputs!$B$7),1,0))</f>
        <v>0</v>
      </c>
      <c r="AB513" s="30" t="n">
        <f aca="false">IF(W513="",0,IF(AA513=1,-SIGN(W513),Z513))</f>
        <v>0</v>
      </c>
      <c r="AC513" s="30" t="n">
        <f aca="false">IF(W513="",0,IF(AA513=1,0,IF(Y513=1,0,X513)))</f>
        <v>0</v>
      </c>
      <c r="AD513" s="30" t="n">
        <f aca="false">IF(AB513=0,0,IF(AB512=AB513,AD512,T513))</f>
        <v>0</v>
      </c>
      <c r="AE513" s="30" t="n">
        <f aca="false">AB513-AB512</f>
        <v>0</v>
      </c>
      <c r="AF513" s="30" t="n">
        <f aca="false">-AD513*AB513</f>
        <v>-0</v>
      </c>
      <c r="AG513" s="30" t="n">
        <f aca="false">AF513-AF512</f>
        <v>0</v>
      </c>
      <c r="AH513" s="30" t="n">
        <f aca="false">MAX(AE513,0)*(Inputs!$B$17+Inputs!$B$18+Inputs!$B$19)+MAX(-AE513,0)*(O513+Inputs!$B$18+Inputs!$B$19)+IF(AND(K513=1,AB513&lt;&gt;0),(Inputs!$B$17+Inputs!$B$18+Inputs!$B$19)+(O513+Inputs!$B$18+Inputs!$B$19),0)+MAX(AG513,0)*(Inputs!$B$20+Inputs!$B$22+Inputs!$B$23)+MAX(-AG513,0)*(Inputs!$B$21+Inputs!$B$22+Inputs!$B$23)</f>
        <v>0</v>
      </c>
      <c r="AI513" s="30" t="n">
        <f aca="false">AB512*(M513-AD512*J513)+AB512*AD512*N513/Inputs!$B$16-AH513</f>
        <v>0</v>
      </c>
      <c r="AJ513" s="30" t="n">
        <f aca="false">MAX(AE513,0)*(Inputs!$B$17+Inputs!$B$24+Inputs!$B$25)+MAX(-AE513,0)*(O513+Inputs!$B$24+Inputs!$B$25)+IF(AND(K513=1,AB513&lt;&gt;0),(Inputs!$B$17+Inputs!$B$24+Inputs!$B$25)+(O513+Inputs!$B$24+Inputs!$B$25),0)+MAX(AG513,0)*(Inputs!$B$20+Inputs!$B$26+Inputs!$B$27)+MAX(-AG513,0)*(Inputs!$B$21+Inputs!$B$26+Inputs!$B$27)</f>
        <v>0</v>
      </c>
      <c r="AK513" s="30" t="n">
        <f aca="false">AB512*(M513-AD512*J513)+AB512*AD512*(N513+Inputs!$B$14)/Inputs!$B$16-AJ513</f>
        <v>0</v>
      </c>
      <c r="AL513" s="30" t="n">
        <f aca="false">IF(AP512&lt;&gt;0,AQ512+1,0)</f>
        <v>0</v>
      </c>
      <c r="AM513" s="30" t="n">
        <f aca="false">IF(W513="",0,IF(AND(AP512&lt;&gt;0,OR(ABS(W513)&gt;Inputs!$B$7,AL513&gt;=Inputs!$B$8,ABS(W513)&lt;Inputs!$B$6)),1,0))</f>
        <v>0</v>
      </c>
      <c r="AN513" s="30" t="n">
        <f aca="false">IF(AM513=1,0,AP512)</f>
        <v>0</v>
      </c>
      <c r="AO513" s="30" t="n">
        <f aca="false">IF(W513="",0,IF(AND(AN513=0,ABS(W513)&gt;Inputs!$B$5,ABS(W513)&lt;=Inputs!$B$7,W513&gt;0),1,0))</f>
        <v>0</v>
      </c>
      <c r="AP513" s="30" t="n">
        <f aca="false">IF(W513="",0,IF(AO513=1,-SIGN(W513),AN513))</f>
        <v>0</v>
      </c>
      <c r="AQ513" s="30" t="n">
        <f aca="false">IF(W513="",0,IF(AO513=1,0,IF(AM513=1,0,AL513)))</f>
        <v>0</v>
      </c>
      <c r="AR513" s="30" t="n">
        <f aca="false">IF(AP513=0,0,IF(AP512=AP513,AR512,T513))</f>
        <v>0</v>
      </c>
      <c r="AS513" s="30" t="n">
        <f aca="false">AP513-AP512</f>
        <v>0</v>
      </c>
      <c r="AT513" s="30" t="n">
        <f aca="false">-AR513*AP513</f>
        <v>-0</v>
      </c>
      <c r="AU513" s="30" t="n">
        <f aca="false">AT513-AT512</f>
        <v>0</v>
      </c>
      <c r="AV513" s="30" t="n">
        <f aca="false">MAX(AS513,0)*(Inputs!$B$17+Inputs!$B$18+Inputs!$B$19)+MAX(-AS513,0)*(O513+Inputs!$B$18+Inputs!$B$19)+IF(AND(K513=1,AP513&lt;&gt;0),(Inputs!$B$17+Inputs!$B$18+Inputs!$B$19)+(O513+Inputs!$B$18+Inputs!$B$19),0)+MAX(AU513,0)*(Inputs!$B$20+Inputs!$B$22+Inputs!$B$23)+MAX(-AU513,0)*(Inputs!$B$21+Inputs!$B$22+Inputs!$B$23)</f>
        <v>0</v>
      </c>
      <c r="AW513" s="30" t="n">
        <f aca="false">AP512*(M513-AR512*J513)+AP512*AR512*N513/Inputs!$B$16-AV513</f>
        <v>0</v>
      </c>
      <c r="AX513" s="30" t="n">
        <f aca="false">AW513-IF(AP512&lt;&gt;0,0.75*AR512*(Inputs!$B$13-N513)/Inputs!$B$16,0)</f>
        <v>0</v>
      </c>
      <c r="AY513" s="30" t="n">
        <f aca="false">MAX(AS513,0)*(Inputs!$B$17+Inputs!$B$18+Inputs!$B$19)+MAX(-AS513,0)*(O513+Inputs!$B$18+Inputs!$B$19)+IF(AND(K513=1,AP513&lt;&gt;0),(Inputs!$B$17+Inputs!$B$18+Inputs!$B$19)+(O513+Inputs!$B$18+Inputs!$B$19),0)</f>
        <v>0</v>
      </c>
      <c r="AZ513" s="30" t="n">
        <f aca="false">AP512*M513-AY513</f>
        <v>0</v>
      </c>
      <c r="BA513" s="32" t="n">
        <f aca="false">BA512+AI513</f>
        <v>0.00698617887383685</v>
      </c>
      <c r="BB513" s="30" t="n">
        <f aca="false">MAX(BB512,BA513)</f>
        <v>0.00698617887383685</v>
      </c>
      <c r="BC513" s="32" t="n">
        <f aca="false">BA513-BB513</f>
        <v>0</v>
      </c>
      <c r="BD513" s="30" t="n">
        <f aca="false">A514-A513</f>
        <v>1</v>
      </c>
    </row>
    <row r="514" customFormat="false" ht="15" hidden="false" customHeight="false" outlineLevel="0" collapsed="false">
      <c r="A514" s="28" t="n">
        <v>45799</v>
      </c>
      <c r="B514" s="0" t="n">
        <v>24665.1</v>
      </c>
      <c r="C514" s="0" t="n">
        <v>276.22</v>
      </c>
      <c r="D514" s="29" t="n">
        <f aca="false">LN(B514)</f>
        <v>10.1131445679876</v>
      </c>
      <c r="E514" s="29" t="n">
        <f aca="false">LN(C514)</f>
        <v>5.62119764964978</v>
      </c>
      <c r="F514" s="0" t="n">
        <v>509</v>
      </c>
      <c r="G514" s="0" t="n">
        <v>7</v>
      </c>
      <c r="H514" s="29" t="n">
        <f aca="false">D514-E514</f>
        <v>4.49194691833783</v>
      </c>
      <c r="I514" s="29" t="n">
        <f aca="false">D514-D513</f>
        <v>-0.00617990734695084</v>
      </c>
      <c r="J514" s="29" t="n">
        <f aca="false">E514-E513</f>
        <v>-0.00458724685135703</v>
      </c>
      <c r="K514" s="0" t="n">
        <v>0</v>
      </c>
      <c r="L514" s="0" t="n">
        <v>0</v>
      </c>
      <c r="M514" s="29" t="n">
        <f aca="false">IF(L514=1,J514-Carry!$B$9/Inputs!$B$16,I514)</f>
        <v>-0.00617990734695084</v>
      </c>
      <c r="N514" s="0" t="n">
        <v>0.06</v>
      </c>
      <c r="O514" s="0" t="n">
        <v>0.0002</v>
      </c>
      <c r="P514" s="29" t="n">
        <f aca="false">D514-('2 Hedge ratio'!$B$6+'2 Hedge ratio'!$B$5*E514)</f>
        <v>0.00159490078048563</v>
      </c>
      <c r="Q514" s="29" t="n">
        <f aca="false">D514-('5 Re-specification'!$B$7+'5 Re-specification'!$B$5*E514+'5 Re-specification'!$B$6*F514)</f>
        <v>0.000649959897572217</v>
      </c>
      <c r="R514" s="30" t="n">
        <f aca="false">MIN(F514,Inputs!$B$9)</f>
        <v>250</v>
      </c>
      <c r="S514" s="29" t="n">
        <f aca="true">IF(AND(F514&gt;=1,R514&gt;=Inputs!$B$10),INDEX(LINEST(OFFSET(D514,-R514,0,R514,1),OFFSET(E514,-R514,0,R514,2)),1,1),"")</f>
        <v>-2.79872193251208E-005</v>
      </c>
      <c r="T514" s="29" t="n">
        <f aca="true">IF(AND(F514&gt;=1,R514&gt;=Inputs!$B$10),INDEX(LINEST(OFFSET(D514,-R514,0,R514,1),OFFSET(E514,-R514,0,R514,2)),1,2),"")</f>
        <v>1.0066020561083</v>
      </c>
      <c r="U514" s="29" t="n">
        <f aca="true">IF(AND(F514&gt;=1,R514&gt;=Inputs!$B$10),INDEX(LINEST(OFFSET(D514,-R514,0,R514,1),OFFSET(E514,-R514,0,R514,2)),1,3),"")</f>
        <v>4.47051144493908</v>
      </c>
      <c r="V514" s="29" t="n">
        <f aca="true">IF(AND(F514&gt;=1,R514&gt;=Inputs!$B$10),SQRT(SUMPRODUCT((OFFSET(D514,-R514,0,R514,1)-U514-T514*OFFSET(E514,-R514,0,R514,1)-S514*OFFSET(F514,-R514,0,R514,1))^2)/(R514-3)),"")</f>
        <v>0.00321159585234865</v>
      </c>
      <c r="W514" s="31" t="n">
        <f aca="false">IF(AND(F514&gt;=1,R514&gt;=Inputs!$B$10),(D514-U514-T514*E514-S514*F514)/V514,"")</f>
        <v>-0.445415397631049</v>
      </c>
      <c r="X514" s="30" t="n">
        <f aca="false">IF(AB513&lt;&gt;0,AC513+1,0)</f>
        <v>0</v>
      </c>
      <c r="Y514" s="30" t="n">
        <f aca="false">IF(W514="",0,IF(AND(AB513&lt;&gt;0,OR(ABS(W514)&gt;Inputs!$B$7,X514&gt;=Inputs!$B$8,ABS(W514)&lt;Inputs!$B$6)),1,0))</f>
        <v>0</v>
      </c>
      <c r="Z514" s="30" t="n">
        <f aca="false">IF(Y514=1,0,AB513)</f>
        <v>0</v>
      </c>
      <c r="AA514" s="30" t="n">
        <f aca="false">IF(W514="",0,IF(AND(Z514=0,ABS(W514)&gt;Inputs!$B$5,ABS(W514)&lt;=Inputs!$B$7),1,0))</f>
        <v>0</v>
      </c>
      <c r="AB514" s="30" t="n">
        <f aca="false">IF(W514="",0,IF(AA514=1,-SIGN(W514),Z514))</f>
        <v>0</v>
      </c>
      <c r="AC514" s="30" t="n">
        <f aca="false">IF(W514="",0,IF(AA514=1,0,IF(Y514=1,0,X514)))</f>
        <v>0</v>
      </c>
      <c r="AD514" s="30" t="n">
        <f aca="false">IF(AB514=0,0,IF(AB513=AB514,AD513,T514))</f>
        <v>0</v>
      </c>
      <c r="AE514" s="30" t="n">
        <f aca="false">AB514-AB513</f>
        <v>0</v>
      </c>
      <c r="AF514" s="30" t="n">
        <f aca="false">-AD514*AB514</f>
        <v>-0</v>
      </c>
      <c r="AG514" s="30" t="n">
        <f aca="false">AF514-AF513</f>
        <v>0</v>
      </c>
      <c r="AH514" s="30" t="n">
        <f aca="false">MAX(AE514,0)*(Inputs!$B$17+Inputs!$B$18+Inputs!$B$19)+MAX(-AE514,0)*(O514+Inputs!$B$18+Inputs!$B$19)+IF(AND(K514=1,AB514&lt;&gt;0),(Inputs!$B$17+Inputs!$B$18+Inputs!$B$19)+(O514+Inputs!$B$18+Inputs!$B$19),0)+MAX(AG514,0)*(Inputs!$B$20+Inputs!$B$22+Inputs!$B$23)+MAX(-AG514,0)*(Inputs!$B$21+Inputs!$B$22+Inputs!$B$23)</f>
        <v>0</v>
      </c>
      <c r="AI514" s="30" t="n">
        <f aca="false">AB513*(M514-AD513*J514)+AB513*AD513*N514/Inputs!$B$16-AH514</f>
        <v>0</v>
      </c>
      <c r="AJ514" s="30" t="n">
        <f aca="false">MAX(AE514,0)*(Inputs!$B$17+Inputs!$B$24+Inputs!$B$25)+MAX(-AE514,0)*(O514+Inputs!$B$24+Inputs!$B$25)+IF(AND(K514=1,AB514&lt;&gt;0),(Inputs!$B$17+Inputs!$B$24+Inputs!$B$25)+(O514+Inputs!$B$24+Inputs!$B$25),0)+MAX(AG514,0)*(Inputs!$B$20+Inputs!$B$26+Inputs!$B$27)+MAX(-AG514,0)*(Inputs!$B$21+Inputs!$B$26+Inputs!$B$27)</f>
        <v>0</v>
      </c>
      <c r="AK514" s="30" t="n">
        <f aca="false">AB513*(M514-AD513*J514)+AB513*AD513*(N514+Inputs!$B$14)/Inputs!$B$16-AJ514</f>
        <v>0</v>
      </c>
      <c r="AL514" s="30" t="n">
        <f aca="false">IF(AP513&lt;&gt;0,AQ513+1,0)</f>
        <v>0</v>
      </c>
      <c r="AM514" s="30" t="n">
        <f aca="false">IF(W514="",0,IF(AND(AP513&lt;&gt;0,OR(ABS(W514)&gt;Inputs!$B$7,AL514&gt;=Inputs!$B$8,ABS(W514)&lt;Inputs!$B$6)),1,0))</f>
        <v>0</v>
      </c>
      <c r="AN514" s="30" t="n">
        <f aca="false">IF(AM514=1,0,AP513)</f>
        <v>0</v>
      </c>
      <c r="AO514" s="30" t="n">
        <f aca="false">IF(W514="",0,IF(AND(AN514=0,ABS(W514)&gt;Inputs!$B$5,ABS(W514)&lt;=Inputs!$B$7,W514&gt;0),1,0))</f>
        <v>0</v>
      </c>
      <c r="AP514" s="30" t="n">
        <f aca="false">IF(W514="",0,IF(AO514=1,-SIGN(W514),AN514))</f>
        <v>0</v>
      </c>
      <c r="AQ514" s="30" t="n">
        <f aca="false">IF(W514="",0,IF(AO514=1,0,IF(AM514=1,0,AL514)))</f>
        <v>0</v>
      </c>
      <c r="AR514" s="30" t="n">
        <f aca="false">IF(AP514=0,0,IF(AP513=AP514,AR513,T514))</f>
        <v>0</v>
      </c>
      <c r="AS514" s="30" t="n">
        <f aca="false">AP514-AP513</f>
        <v>0</v>
      </c>
      <c r="AT514" s="30" t="n">
        <f aca="false">-AR514*AP514</f>
        <v>-0</v>
      </c>
      <c r="AU514" s="30" t="n">
        <f aca="false">AT514-AT513</f>
        <v>0</v>
      </c>
      <c r="AV514" s="30" t="n">
        <f aca="false">MAX(AS514,0)*(Inputs!$B$17+Inputs!$B$18+Inputs!$B$19)+MAX(-AS514,0)*(O514+Inputs!$B$18+Inputs!$B$19)+IF(AND(K514=1,AP514&lt;&gt;0),(Inputs!$B$17+Inputs!$B$18+Inputs!$B$19)+(O514+Inputs!$B$18+Inputs!$B$19),0)+MAX(AU514,0)*(Inputs!$B$20+Inputs!$B$22+Inputs!$B$23)+MAX(-AU514,0)*(Inputs!$B$21+Inputs!$B$22+Inputs!$B$23)</f>
        <v>0</v>
      </c>
      <c r="AW514" s="30" t="n">
        <f aca="false">AP513*(M514-AR513*J514)+AP513*AR513*N514/Inputs!$B$16-AV514</f>
        <v>0</v>
      </c>
      <c r="AX514" s="30" t="n">
        <f aca="false">AW514-IF(AP513&lt;&gt;0,0.75*AR513*(Inputs!$B$13-N514)/Inputs!$B$16,0)</f>
        <v>0</v>
      </c>
      <c r="AY514" s="30" t="n">
        <f aca="false">MAX(AS514,0)*(Inputs!$B$17+Inputs!$B$18+Inputs!$B$19)+MAX(-AS514,0)*(O514+Inputs!$B$18+Inputs!$B$19)+IF(AND(K514=1,AP514&lt;&gt;0),(Inputs!$B$17+Inputs!$B$18+Inputs!$B$19)+(O514+Inputs!$B$18+Inputs!$B$19),0)</f>
        <v>0</v>
      </c>
      <c r="AZ514" s="30" t="n">
        <f aca="false">AP513*M514-AY514</f>
        <v>-0</v>
      </c>
      <c r="BA514" s="32" t="n">
        <f aca="false">BA513+AI514</f>
        <v>0.00698617887383685</v>
      </c>
      <c r="BB514" s="30" t="n">
        <f aca="false">MAX(BB513,BA514)</f>
        <v>0.00698617887383685</v>
      </c>
      <c r="BC514" s="32" t="n">
        <f aca="false">BA514-BB514</f>
        <v>0</v>
      </c>
      <c r="BD514" s="30" t="n">
        <f aca="false">A515-A514</f>
        <v>1</v>
      </c>
    </row>
    <row r="515" customFormat="false" ht="15" hidden="false" customHeight="false" outlineLevel="0" collapsed="false">
      <c r="A515" s="28" t="n">
        <v>45800</v>
      </c>
      <c r="B515" s="0" t="n">
        <v>24885.2</v>
      </c>
      <c r="C515" s="0" t="n">
        <v>278.3</v>
      </c>
      <c r="D515" s="29" t="n">
        <f aca="false">LN(B515)</f>
        <v>10.1220285282304</v>
      </c>
      <c r="E515" s="29" t="n">
        <f aca="false">LN(C515)</f>
        <v>5.62869966853185</v>
      </c>
      <c r="F515" s="0" t="n">
        <v>510</v>
      </c>
      <c r="G515" s="0" t="n">
        <v>6</v>
      </c>
      <c r="H515" s="29" t="n">
        <f aca="false">D515-E515</f>
        <v>4.49332885969858</v>
      </c>
      <c r="I515" s="29" t="n">
        <f aca="false">D515-D514</f>
        <v>0.00888396024280702</v>
      </c>
      <c r="J515" s="29" t="n">
        <f aca="false">E515-E514</f>
        <v>0.0075020188820627</v>
      </c>
      <c r="K515" s="0" t="n">
        <v>0</v>
      </c>
      <c r="L515" s="0" t="n">
        <v>0</v>
      </c>
      <c r="M515" s="29" t="n">
        <f aca="false">IF(L515=1,J515-Carry!$B$9/Inputs!$B$16,I515)</f>
        <v>0.00888396024280702</v>
      </c>
      <c r="N515" s="0" t="n">
        <v>0.06</v>
      </c>
      <c r="O515" s="0" t="n">
        <v>0.0002</v>
      </c>
      <c r="P515" s="29" t="n">
        <f aca="false">D515-('2 Hedge ratio'!$B$6+'2 Hedge ratio'!$B$5*E515)</f>
        <v>0.00360606077706116</v>
      </c>
      <c r="Q515" s="29" t="n">
        <f aca="false">D515-('5 Re-specification'!$B$7+'5 Re-specification'!$B$5*E515+'5 Re-specification'!$B$6*F515)</f>
        <v>0.00209956544479439</v>
      </c>
      <c r="R515" s="30" t="n">
        <f aca="false">MIN(F515,Inputs!$B$9)</f>
        <v>250</v>
      </c>
      <c r="S515" s="29" t="n">
        <f aca="true">IF(AND(F515&gt;=1,R515&gt;=Inputs!$B$10),INDEX(LINEST(OFFSET(D515,-R515,0,R515,1),OFFSET(E515,-R515,0,R515,2)),1,1),"")</f>
        <v>-2.75382041205244E-005</v>
      </c>
      <c r="T515" s="29" t="n">
        <f aca="true">IF(AND(F515&gt;=1,R515&gt;=Inputs!$B$10),INDEX(LINEST(OFFSET(D515,-R515,0,R515,1),OFFSET(E515,-R515,0,R515,2)),1,2),"")</f>
        <v>1.00772220485872</v>
      </c>
      <c r="U515" s="29" t="n">
        <f aca="true">IF(AND(F515&gt;=1,R515&gt;=Inputs!$B$10),INDEX(LINEST(OFFSET(D515,-R515,0,R515,1),OFFSET(E515,-R515,0,R515,2)),1,3),"")</f>
        <v>4.46405092325269</v>
      </c>
      <c r="V515" s="29" t="n">
        <f aca="true">IF(AND(F515&gt;=1,R515&gt;=Inputs!$B$10),SQRT(SUMPRODUCT((OFFSET(D515,-R515,0,R515,1)-U515-T515*OFFSET(E515,-R515,0,R515,1)-S515*OFFSET(F515,-R515,0,R515,1))^2)/(R515-3)),"")</f>
        <v>0.00319624980799501</v>
      </c>
      <c r="W515" s="31" t="n">
        <f aca="false">IF(AND(F515&gt;=1,R515&gt;=Inputs!$B$10),(D515-U515-T515*E515-S515*F515)/V515,"")</f>
        <v>-0.0449124411097393</v>
      </c>
      <c r="X515" s="30" t="n">
        <f aca="false">IF(AB514&lt;&gt;0,AC514+1,0)</f>
        <v>0</v>
      </c>
      <c r="Y515" s="30" t="n">
        <f aca="false">IF(W515="",0,IF(AND(AB514&lt;&gt;0,OR(ABS(W515)&gt;Inputs!$B$7,X515&gt;=Inputs!$B$8,ABS(W515)&lt;Inputs!$B$6)),1,0))</f>
        <v>0</v>
      </c>
      <c r="Z515" s="30" t="n">
        <f aca="false">IF(Y515=1,0,AB514)</f>
        <v>0</v>
      </c>
      <c r="AA515" s="30" t="n">
        <f aca="false">IF(W515="",0,IF(AND(Z515=0,ABS(W515)&gt;Inputs!$B$5,ABS(W515)&lt;=Inputs!$B$7),1,0))</f>
        <v>0</v>
      </c>
      <c r="AB515" s="30" t="n">
        <f aca="false">IF(W515="",0,IF(AA515=1,-SIGN(W515),Z515))</f>
        <v>0</v>
      </c>
      <c r="AC515" s="30" t="n">
        <f aca="false">IF(W515="",0,IF(AA515=1,0,IF(Y515=1,0,X515)))</f>
        <v>0</v>
      </c>
      <c r="AD515" s="30" t="n">
        <f aca="false">IF(AB515=0,0,IF(AB514=AB515,AD514,T515))</f>
        <v>0</v>
      </c>
      <c r="AE515" s="30" t="n">
        <f aca="false">AB515-AB514</f>
        <v>0</v>
      </c>
      <c r="AF515" s="30" t="n">
        <f aca="false">-AD515*AB515</f>
        <v>-0</v>
      </c>
      <c r="AG515" s="30" t="n">
        <f aca="false">AF515-AF514</f>
        <v>0</v>
      </c>
      <c r="AH515" s="30" t="n">
        <f aca="false">MAX(AE515,0)*(Inputs!$B$17+Inputs!$B$18+Inputs!$B$19)+MAX(-AE515,0)*(O515+Inputs!$B$18+Inputs!$B$19)+IF(AND(K515=1,AB515&lt;&gt;0),(Inputs!$B$17+Inputs!$B$18+Inputs!$B$19)+(O515+Inputs!$B$18+Inputs!$B$19),0)+MAX(AG515,0)*(Inputs!$B$20+Inputs!$B$22+Inputs!$B$23)+MAX(-AG515,0)*(Inputs!$B$21+Inputs!$B$22+Inputs!$B$23)</f>
        <v>0</v>
      </c>
      <c r="AI515" s="30" t="n">
        <f aca="false">AB514*(M515-AD514*J515)+AB514*AD514*N515/Inputs!$B$16-AH515</f>
        <v>0</v>
      </c>
      <c r="AJ515" s="30" t="n">
        <f aca="false">MAX(AE515,0)*(Inputs!$B$17+Inputs!$B$24+Inputs!$B$25)+MAX(-AE515,0)*(O515+Inputs!$B$24+Inputs!$B$25)+IF(AND(K515=1,AB515&lt;&gt;0),(Inputs!$B$17+Inputs!$B$24+Inputs!$B$25)+(O515+Inputs!$B$24+Inputs!$B$25),0)+MAX(AG515,0)*(Inputs!$B$20+Inputs!$B$26+Inputs!$B$27)+MAX(-AG515,0)*(Inputs!$B$21+Inputs!$B$26+Inputs!$B$27)</f>
        <v>0</v>
      </c>
      <c r="AK515" s="30" t="n">
        <f aca="false">AB514*(M515-AD514*J515)+AB514*AD514*(N515+Inputs!$B$14)/Inputs!$B$16-AJ515</f>
        <v>0</v>
      </c>
      <c r="AL515" s="30" t="n">
        <f aca="false">IF(AP514&lt;&gt;0,AQ514+1,0)</f>
        <v>0</v>
      </c>
      <c r="AM515" s="30" t="n">
        <f aca="false">IF(W515="",0,IF(AND(AP514&lt;&gt;0,OR(ABS(W515)&gt;Inputs!$B$7,AL515&gt;=Inputs!$B$8,ABS(W515)&lt;Inputs!$B$6)),1,0))</f>
        <v>0</v>
      </c>
      <c r="AN515" s="30" t="n">
        <f aca="false">IF(AM515=1,0,AP514)</f>
        <v>0</v>
      </c>
      <c r="AO515" s="30" t="n">
        <f aca="false">IF(W515="",0,IF(AND(AN515=0,ABS(W515)&gt;Inputs!$B$5,ABS(W515)&lt;=Inputs!$B$7,W515&gt;0),1,0))</f>
        <v>0</v>
      </c>
      <c r="AP515" s="30" t="n">
        <f aca="false">IF(W515="",0,IF(AO515=1,-SIGN(W515),AN515))</f>
        <v>0</v>
      </c>
      <c r="AQ515" s="30" t="n">
        <f aca="false">IF(W515="",0,IF(AO515=1,0,IF(AM515=1,0,AL515)))</f>
        <v>0</v>
      </c>
      <c r="AR515" s="30" t="n">
        <f aca="false">IF(AP515=0,0,IF(AP514=AP515,AR514,T515))</f>
        <v>0</v>
      </c>
      <c r="AS515" s="30" t="n">
        <f aca="false">AP515-AP514</f>
        <v>0</v>
      </c>
      <c r="AT515" s="30" t="n">
        <f aca="false">-AR515*AP515</f>
        <v>-0</v>
      </c>
      <c r="AU515" s="30" t="n">
        <f aca="false">AT515-AT514</f>
        <v>0</v>
      </c>
      <c r="AV515" s="30" t="n">
        <f aca="false">MAX(AS515,0)*(Inputs!$B$17+Inputs!$B$18+Inputs!$B$19)+MAX(-AS515,0)*(O515+Inputs!$B$18+Inputs!$B$19)+IF(AND(K515=1,AP515&lt;&gt;0),(Inputs!$B$17+Inputs!$B$18+Inputs!$B$19)+(O515+Inputs!$B$18+Inputs!$B$19),0)+MAX(AU515,0)*(Inputs!$B$20+Inputs!$B$22+Inputs!$B$23)+MAX(-AU515,0)*(Inputs!$B$21+Inputs!$B$22+Inputs!$B$23)</f>
        <v>0</v>
      </c>
      <c r="AW515" s="30" t="n">
        <f aca="false">AP514*(M515-AR514*J515)+AP514*AR514*N515/Inputs!$B$16-AV515</f>
        <v>0</v>
      </c>
      <c r="AX515" s="30" t="n">
        <f aca="false">AW515-IF(AP514&lt;&gt;0,0.75*AR514*(Inputs!$B$13-N515)/Inputs!$B$16,0)</f>
        <v>0</v>
      </c>
      <c r="AY515" s="30" t="n">
        <f aca="false">MAX(AS515,0)*(Inputs!$B$17+Inputs!$B$18+Inputs!$B$19)+MAX(-AS515,0)*(O515+Inputs!$B$18+Inputs!$B$19)+IF(AND(K515=1,AP515&lt;&gt;0),(Inputs!$B$17+Inputs!$B$18+Inputs!$B$19)+(O515+Inputs!$B$18+Inputs!$B$19),0)</f>
        <v>0</v>
      </c>
      <c r="AZ515" s="30" t="n">
        <f aca="false">AP514*M515-AY515</f>
        <v>0</v>
      </c>
      <c r="BA515" s="32" t="n">
        <f aca="false">BA514+AI515</f>
        <v>0.00698617887383685</v>
      </c>
      <c r="BB515" s="30" t="n">
        <f aca="false">MAX(BB514,BA515)</f>
        <v>0.00698617887383685</v>
      </c>
      <c r="BC515" s="32" t="n">
        <f aca="false">BA515-BB515</f>
        <v>0</v>
      </c>
      <c r="BD515" s="30" t="n">
        <f aca="false">A516-A515</f>
        <v>3</v>
      </c>
    </row>
    <row r="516" customFormat="false" ht="15" hidden="false" customHeight="false" outlineLevel="0" collapsed="false">
      <c r="A516" s="28" t="n">
        <v>45803</v>
      </c>
      <c r="B516" s="0" t="n">
        <v>25035</v>
      </c>
      <c r="C516" s="0" t="n">
        <v>279.7</v>
      </c>
      <c r="D516" s="29" t="n">
        <f aca="false">LN(B516)</f>
        <v>10.128030124764</v>
      </c>
      <c r="E516" s="29" t="n">
        <f aca="false">LN(C516)</f>
        <v>5.63371760020791</v>
      </c>
      <c r="F516" s="0" t="n">
        <v>511</v>
      </c>
      <c r="G516" s="0" t="n">
        <v>3</v>
      </c>
      <c r="H516" s="29" t="n">
        <f aca="false">D516-E516</f>
        <v>4.49431252455613</v>
      </c>
      <c r="I516" s="29" t="n">
        <f aca="false">D516-D515</f>
        <v>0.00600159653362375</v>
      </c>
      <c r="J516" s="29" t="n">
        <f aca="false">E516-E515</f>
        <v>0.00501793167606923</v>
      </c>
      <c r="K516" s="0" t="n">
        <v>0</v>
      </c>
      <c r="L516" s="0" t="n">
        <v>0</v>
      </c>
      <c r="M516" s="29" t="n">
        <f aca="false">IF(L516=1,J516-Carry!$B$9/Inputs!$B$16,I516)</f>
        <v>0.00600159653362375</v>
      </c>
      <c r="N516" s="0" t="n">
        <v>0.06</v>
      </c>
      <c r="O516" s="0" t="n">
        <v>0.0002</v>
      </c>
      <c r="P516" s="29" t="n">
        <f aca="false">D516-('2 Hedge ratio'!$B$6+'2 Hedge ratio'!$B$5*E516)</f>
        <v>0.0050105958261657</v>
      </c>
      <c r="Q516" s="29" t="n">
        <f aca="false">D516-('5 Re-specification'!$B$7+'5 Re-specification'!$B$5*E516+'5 Re-specification'!$B$6*F516)</f>
        <v>0.00314336646249735</v>
      </c>
      <c r="R516" s="30" t="n">
        <f aca="false">MIN(F516,Inputs!$B$9)</f>
        <v>250</v>
      </c>
      <c r="S516" s="29" t="n">
        <f aca="true">IF(AND(F516&gt;=1,R516&gt;=Inputs!$B$10),INDEX(LINEST(OFFSET(D516,-R516,0,R516,1),OFFSET(E516,-R516,0,R516,2)),1,1),"")</f>
        <v>-2.68427056881604E-005</v>
      </c>
      <c r="T516" s="29" t="n">
        <f aca="true">IF(AND(F516&gt;=1,R516&gt;=Inputs!$B$10),INDEX(LINEST(OFFSET(D516,-R516,0,R516,1),OFFSET(E516,-R516,0,R516,2)),1,2),"")</f>
        <v>1.00925078857852</v>
      </c>
      <c r="U516" s="29" t="n">
        <f aca="true">IF(AND(F516&gt;=1,R516&gt;=Inputs!$B$10),INDEX(LINEST(OFFSET(D516,-R516,0,R516,1),OFFSET(E516,-R516,0,R516,2)),1,3),"")</f>
        <v>4.45521272044009</v>
      </c>
      <c r="V516" s="29" t="n">
        <f aca="true">IF(AND(F516&gt;=1,R516&gt;=Inputs!$B$10),SQRT(SUMPRODUCT((OFFSET(D516,-R516,0,R516,1)-U516-T516*OFFSET(E516,-R516,0,R516,1)-S516*OFFSET(F516,-R516,0,R516,1))^2)/(R516-3)),"")</f>
        <v>0.00317318950866482</v>
      </c>
      <c r="W516" s="31" t="n">
        <f aca="false">IF(AND(F516&gt;=1,R516&gt;=Inputs!$B$10),(D516-U516-T516*E516-S516*F516)/V516,"")</f>
        <v>0.220628578964184</v>
      </c>
      <c r="X516" s="30" t="n">
        <f aca="false">IF(AB515&lt;&gt;0,AC515+1,0)</f>
        <v>0</v>
      </c>
      <c r="Y516" s="30" t="n">
        <f aca="false">IF(W516="",0,IF(AND(AB515&lt;&gt;0,OR(ABS(W516)&gt;Inputs!$B$7,X516&gt;=Inputs!$B$8,ABS(W516)&lt;Inputs!$B$6)),1,0))</f>
        <v>0</v>
      </c>
      <c r="Z516" s="30" t="n">
        <f aca="false">IF(Y516=1,0,AB515)</f>
        <v>0</v>
      </c>
      <c r="AA516" s="30" t="n">
        <f aca="false">IF(W516="",0,IF(AND(Z516=0,ABS(W516)&gt;Inputs!$B$5,ABS(W516)&lt;=Inputs!$B$7),1,0))</f>
        <v>0</v>
      </c>
      <c r="AB516" s="30" t="n">
        <f aca="false">IF(W516="",0,IF(AA516=1,-SIGN(W516),Z516))</f>
        <v>0</v>
      </c>
      <c r="AC516" s="30" t="n">
        <f aca="false">IF(W516="",0,IF(AA516=1,0,IF(Y516=1,0,X516)))</f>
        <v>0</v>
      </c>
      <c r="AD516" s="30" t="n">
        <f aca="false">IF(AB516=0,0,IF(AB515=AB516,AD515,T516))</f>
        <v>0</v>
      </c>
      <c r="AE516" s="30" t="n">
        <f aca="false">AB516-AB515</f>
        <v>0</v>
      </c>
      <c r="AF516" s="30" t="n">
        <f aca="false">-AD516*AB516</f>
        <v>-0</v>
      </c>
      <c r="AG516" s="30" t="n">
        <f aca="false">AF516-AF515</f>
        <v>0</v>
      </c>
      <c r="AH516" s="30" t="n">
        <f aca="false">MAX(AE516,0)*(Inputs!$B$17+Inputs!$B$18+Inputs!$B$19)+MAX(-AE516,0)*(O516+Inputs!$B$18+Inputs!$B$19)+IF(AND(K516=1,AB516&lt;&gt;0),(Inputs!$B$17+Inputs!$B$18+Inputs!$B$19)+(O516+Inputs!$B$18+Inputs!$B$19),0)+MAX(AG516,0)*(Inputs!$B$20+Inputs!$B$22+Inputs!$B$23)+MAX(-AG516,0)*(Inputs!$B$21+Inputs!$B$22+Inputs!$B$23)</f>
        <v>0</v>
      </c>
      <c r="AI516" s="30" t="n">
        <f aca="false">AB515*(M516-AD515*J516)+AB515*AD515*N516/Inputs!$B$16-AH516</f>
        <v>0</v>
      </c>
      <c r="AJ516" s="30" t="n">
        <f aca="false">MAX(AE516,0)*(Inputs!$B$17+Inputs!$B$24+Inputs!$B$25)+MAX(-AE516,0)*(O516+Inputs!$B$24+Inputs!$B$25)+IF(AND(K516=1,AB516&lt;&gt;0),(Inputs!$B$17+Inputs!$B$24+Inputs!$B$25)+(O516+Inputs!$B$24+Inputs!$B$25),0)+MAX(AG516,0)*(Inputs!$B$20+Inputs!$B$26+Inputs!$B$27)+MAX(-AG516,0)*(Inputs!$B$21+Inputs!$B$26+Inputs!$B$27)</f>
        <v>0</v>
      </c>
      <c r="AK516" s="30" t="n">
        <f aca="false">AB515*(M516-AD515*J516)+AB515*AD515*(N516+Inputs!$B$14)/Inputs!$B$16-AJ516</f>
        <v>0</v>
      </c>
      <c r="AL516" s="30" t="n">
        <f aca="false">IF(AP515&lt;&gt;0,AQ515+1,0)</f>
        <v>0</v>
      </c>
      <c r="AM516" s="30" t="n">
        <f aca="false">IF(W516="",0,IF(AND(AP515&lt;&gt;0,OR(ABS(W516)&gt;Inputs!$B$7,AL516&gt;=Inputs!$B$8,ABS(W516)&lt;Inputs!$B$6)),1,0))</f>
        <v>0</v>
      </c>
      <c r="AN516" s="30" t="n">
        <f aca="false">IF(AM516=1,0,AP515)</f>
        <v>0</v>
      </c>
      <c r="AO516" s="30" t="n">
        <f aca="false">IF(W516="",0,IF(AND(AN516=0,ABS(W516)&gt;Inputs!$B$5,ABS(W516)&lt;=Inputs!$B$7,W516&gt;0),1,0))</f>
        <v>0</v>
      </c>
      <c r="AP516" s="30" t="n">
        <f aca="false">IF(W516="",0,IF(AO516=1,-SIGN(W516),AN516))</f>
        <v>0</v>
      </c>
      <c r="AQ516" s="30" t="n">
        <f aca="false">IF(W516="",0,IF(AO516=1,0,IF(AM516=1,0,AL516)))</f>
        <v>0</v>
      </c>
      <c r="AR516" s="30" t="n">
        <f aca="false">IF(AP516=0,0,IF(AP515=AP516,AR515,T516))</f>
        <v>0</v>
      </c>
      <c r="AS516" s="30" t="n">
        <f aca="false">AP516-AP515</f>
        <v>0</v>
      </c>
      <c r="AT516" s="30" t="n">
        <f aca="false">-AR516*AP516</f>
        <v>-0</v>
      </c>
      <c r="AU516" s="30" t="n">
        <f aca="false">AT516-AT515</f>
        <v>0</v>
      </c>
      <c r="AV516" s="30" t="n">
        <f aca="false">MAX(AS516,0)*(Inputs!$B$17+Inputs!$B$18+Inputs!$B$19)+MAX(-AS516,0)*(O516+Inputs!$B$18+Inputs!$B$19)+IF(AND(K516=1,AP516&lt;&gt;0),(Inputs!$B$17+Inputs!$B$18+Inputs!$B$19)+(O516+Inputs!$B$18+Inputs!$B$19),0)+MAX(AU516,0)*(Inputs!$B$20+Inputs!$B$22+Inputs!$B$23)+MAX(-AU516,0)*(Inputs!$B$21+Inputs!$B$22+Inputs!$B$23)</f>
        <v>0</v>
      </c>
      <c r="AW516" s="30" t="n">
        <f aca="false">AP515*(M516-AR515*J516)+AP515*AR515*N516/Inputs!$B$16-AV516</f>
        <v>0</v>
      </c>
      <c r="AX516" s="30" t="n">
        <f aca="false">AW516-IF(AP515&lt;&gt;0,0.75*AR515*(Inputs!$B$13-N516)/Inputs!$B$16,0)</f>
        <v>0</v>
      </c>
      <c r="AY516" s="30" t="n">
        <f aca="false">MAX(AS516,0)*(Inputs!$B$17+Inputs!$B$18+Inputs!$B$19)+MAX(-AS516,0)*(O516+Inputs!$B$18+Inputs!$B$19)+IF(AND(K516=1,AP516&lt;&gt;0),(Inputs!$B$17+Inputs!$B$18+Inputs!$B$19)+(O516+Inputs!$B$18+Inputs!$B$19),0)</f>
        <v>0</v>
      </c>
      <c r="AZ516" s="30" t="n">
        <f aca="false">AP515*M516-AY516</f>
        <v>0</v>
      </c>
      <c r="BA516" s="32" t="n">
        <f aca="false">BA515+AI516</f>
        <v>0.00698617887383685</v>
      </c>
      <c r="BB516" s="30" t="n">
        <f aca="false">MAX(BB515,BA516)</f>
        <v>0.00698617887383685</v>
      </c>
      <c r="BC516" s="32" t="n">
        <f aca="false">BA516-BB516</f>
        <v>0</v>
      </c>
      <c r="BD516" s="30" t="n">
        <f aca="false">A517-A516</f>
        <v>1</v>
      </c>
    </row>
    <row r="517" customFormat="false" ht="15" hidden="false" customHeight="false" outlineLevel="0" collapsed="false">
      <c r="A517" s="28" t="n">
        <v>45804</v>
      </c>
      <c r="B517" s="0" t="n">
        <v>24860</v>
      </c>
      <c r="C517" s="0" t="n">
        <v>278.3</v>
      </c>
      <c r="D517" s="29" t="n">
        <f aca="false">LN(B517)</f>
        <v>10.1210153650647</v>
      </c>
      <c r="E517" s="29" t="n">
        <f aca="false">LN(C517)</f>
        <v>5.62869966853185</v>
      </c>
      <c r="F517" s="0" t="n">
        <v>512</v>
      </c>
      <c r="G517" s="0" t="n">
        <v>2</v>
      </c>
      <c r="H517" s="29" t="n">
        <f aca="false">D517-E517</f>
        <v>4.49231569653286</v>
      </c>
      <c r="I517" s="29" t="n">
        <f aca="false">D517-D516</f>
        <v>-0.00701475969934329</v>
      </c>
      <c r="J517" s="29" t="n">
        <f aca="false">E517-E516</f>
        <v>-0.00501793167606923</v>
      </c>
      <c r="K517" s="0" t="n">
        <v>0</v>
      </c>
      <c r="L517" s="0" t="n">
        <v>0</v>
      </c>
      <c r="M517" s="29" t="n">
        <f aca="false">IF(L517=1,J517-Carry!$B$9/Inputs!$B$16,I517)</f>
        <v>-0.00701475969934329</v>
      </c>
      <c r="N517" s="0" t="n">
        <v>0.06</v>
      </c>
      <c r="O517" s="0" t="n">
        <v>0.0002</v>
      </c>
      <c r="P517" s="29" t="n">
        <f aca="false">D517-('2 Hedge ratio'!$B$6+'2 Hedge ratio'!$B$5*E517)</f>
        <v>0.00259289761134163</v>
      </c>
      <c r="Q517" s="29" t="n">
        <f aca="false">D517-('5 Re-specification'!$B$7+'5 Re-specification'!$B$5*E517+'5 Re-specification'!$B$6*F517)</f>
        <v>0.00117626091526901</v>
      </c>
      <c r="R517" s="30" t="n">
        <f aca="false">MIN(F517,Inputs!$B$9)</f>
        <v>250</v>
      </c>
      <c r="S517" s="29" t="n">
        <f aca="true">IF(AND(F517&gt;=1,R517&gt;=Inputs!$B$10),INDEX(LINEST(OFFSET(D517,-R517,0,R517,1),OFFSET(E517,-R517,0,R517,2)),1,1),"")</f>
        <v>-2.59180652287754E-005</v>
      </c>
      <c r="T517" s="29" t="n">
        <f aca="true">IF(AND(F517&gt;=1,R517&gt;=Inputs!$B$10),INDEX(LINEST(OFFSET(D517,-R517,0,R517,1),OFFSET(E517,-R517,0,R517,2)),1,2),"")</f>
        <v>1.01121239924656</v>
      </c>
      <c r="U517" s="29" t="n">
        <f aca="true">IF(AND(F517&gt;=1,R517&gt;=Inputs!$B$10),INDEX(LINEST(OFFSET(D517,-R517,0,R517,1),OFFSET(E517,-R517,0,R517,2)),1,3),"")</f>
        <v>4.4438625105567</v>
      </c>
      <c r="V517" s="29" t="n">
        <f aca="true">IF(AND(F517&gt;=1,R517&gt;=Inputs!$B$10),SQRT(SUMPRODUCT((OFFSET(D517,-R517,0,R517,1)-U517-T517*OFFSET(E517,-R517,0,R517,1)-S517*OFFSET(F517,-R517,0,R517,1))^2)/(R517-3)),"")</f>
        <v>0.00314082192089504</v>
      </c>
      <c r="W517" s="31" t="n">
        <f aca="false">IF(AND(F517&gt;=1,R517&gt;=Inputs!$B$10),(D517-U517-T517*E517-S517*F517)/V517,"")</f>
        <v>-0.441920167473547</v>
      </c>
      <c r="X517" s="30" t="n">
        <f aca="false">IF(AB516&lt;&gt;0,AC516+1,0)</f>
        <v>0</v>
      </c>
      <c r="Y517" s="30" t="n">
        <f aca="false">IF(W517="",0,IF(AND(AB516&lt;&gt;0,OR(ABS(W517)&gt;Inputs!$B$7,X517&gt;=Inputs!$B$8,ABS(W517)&lt;Inputs!$B$6)),1,0))</f>
        <v>0</v>
      </c>
      <c r="Z517" s="30" t="n">
        <f aca="false">IF(Y517=1,0,AB516)</f>
        <v>0</v>
      </c>
      <c r="AA517" s="30" t="n">
        <f aca="false">IF(W517="",0,IF(AND(Z517=0,ABS(W517)&gt;Inputs!$B$5,ABS(W517)&lt;=Inputs!$B$7),1,0))</f>
        <v>0</v>
      </c>
      <c r="AB517" s="30" t="n">
        <f aca="false">IF(W517="",0,IF(AA517=1,-SIGN(W517),Z517))</f>
        <v>0</v>
      </c>
      <c r="AC517" s="30" t="n">
        <f aca="false">IF(W517="",0,IF(AA517=1,0,IF(Y517=1,0,X517)))</f>
        <v>0</v>
      </c>
      <c r="AD517" s="30" t="n">
        <f aca="false">IF(AB517=0,0,IF(AB516=AB517,AD516,T517))</f>
        <v>0</v>
      </c>
      <c r="AE517" s="30" t="n">
        <f aca="false">AB517-AB516</f>
        <v>0</v>
      </c>
      <c r="AF517" s="30" t="n">
        <f aca="false">-AD517*AB517</f>
        <v>-0</v>
      </c>
      <c r="AG517" s="30" t="n">
        <f aca="false">AF517-AF516</f>
        <v>0</v>
      </c>
      <c r="AH517" s="30" t="n">
        <f aca="false">MAX(AE517,0)*(Inputs!$B$17+Inputs!$B$18+Inputs!$B$19)+MAX(-AE517,0)*(O517+Inputs!$B$18+Inputs!$B$19)+IF(AND(K517=1,AB517&lt;&gt;0),(Inputs!$B$17+Inputs!$B$18+Inputs!$B$19)+(O517+Inputs!$B$18+Inputs!$B$19),0)+MAX(AG517,0)*(Inputs!$B$20+Inputs!$B$22+Inputs!$B$23)+MAX(-AG517,0)*(Inputs!$B$21+Inputs!$B$22+Inputs!$B$23)</f>
        <v>0</v>
      </c>
      <c r="AI517" s="30" t="n">
        <f aca="false">AB516*(M517-AD516*J517)+AB516*AD516*N517/Inputs!$B$16-AH517</f>
        <v>0</v>
      </c>
      <c r="AJ517" s="30" t="n">
        <f aca="false">MAX(AE517,0)*(Inputs!$B$17+Inputs!$B$24+Inputs!$B$25)+MAX(-AE517,0)*(O517+Inputs!$B$24+Inputs!$B$25)+IF(AND(K517=1,AB517&lt;&gt;0),(Inputs!$B$17+Inputs!$B$24+Inputs!$B$25)+(O517+Inputs!$B$24+Inputs!$B$25),0)+MAX(AG517,0)*(Inputs!$B$20+Inputs!$B$26+Inputs!$B$27)+MAX(-AG517,0)*(Inputs!$B$21+Inputs!$B$26+Inputs!$B$27)</f>
        <v>0</v>
      </c>
      <c r="AK517" s="30" t="n">
        <f aca="false">AB516*(M517-AD516*J517)+AB516*AD516*(N517+Inputs!$B$14)/Inputs!$B$16-AJ517</f>
        <v>0</v>
      </c>
      <c r="AL517" s="30" t="n">
        <f aca="false">IF(AP516&lt;&gt;0,AQ516+1,0)</f>
        <v>0</v>
      </c>
      <c r="AM517" s="30" t="n">
        <f aca="false">IF(W517="",0,IF(AND(AP516&lt;&gt;0,OR(ABS(W517)&gt;Inputs!$B$7,AL517&gt;=Inputs!$B$8,ABS(W517)&lt;Inputs!$B$6)),1,0))</f>
        <v>0</v>
      </c>
      <c r="AN517" s="30" t="n">
        <f aca="false">IF(AM517=1,0,AP516)</f>
        <v>0</v>
      </c>
      <c r="AO517" s="30" t="n">
        <f aca="false">IF(W517="",0,IF(AND(AN517=0,ABS(W517)&gt;Inputs!$B$5,ABS(W517)&lt;=Inputs!$B$7,W517&gt;0),1,0))</f>
        <v>0</v>
      </c>
      <c r="AP517" s="30" t="n">
        <f aca="false">IF(W517="",0,IF(AO517=1,-SIGN(W517),AN517))</f>
        <v>0</v>
      </c>
      <c r="AQ517" s="30" t="n">
        <f aca="false">IF(W517="",0,IF(AO517=1,0,IF(AM517=1,0,AL517)))</f>
        <v>0</v>
      </c>
      <c r="AR517" s="30" t="n">
        <f aca="false">IF(AP517=0,0,IF(AP516=AP517,AR516,T517))</f>
        <v>0</v>
      </c>
      <c r="AS517" s="30" t="n">
        <f aca="false">AP517-AP516</f>
        <v>0</v>
      </c>
      <c r="AT517" s="30" t="n">
        <f aca="false">-AR517*AP517</f>
        <v>-0</v>
      </c>
      <c r="AU517" s="30" t="n">
        <f aca="false">AT517-AT516</f>
        <v>0</v>
      </c>
      <c r="AV517" s="30" t="n">
        <f aca="false">MAX(AS517,0)*(Inputs!$B$17+Inputs!$B$18+Inputs!$B$19)+MAX(-AS517,0)*(O517+Inputs!$B$18+Inputs!$B$19)+IF(AND(K517=1,AP517&lt;&gt;0),(Inputs!$B$17+Inputs!$B$18+Inputs!$B$19)+(O517+Inputs!$B$18+Inputs!$B$19),0)+MAX(AU517,0)*(Inputs!$B$20+Inputs!$B$22+Inputs!$B$23)+MAX(-AU517,0)*(Inputs!$B$21+Inputs!$B$22+Inputs!$B$23)</f>
        <v>0</v>
      </c>
      <c r="AW517" s="30" t="n">
        <f aca="false">AP516*(M517-AR516*J517)+AP516*AR516*N517/Inputs!$B$16-AV517</f>
        <v>0</v>
      </c>
      <c r="AX517" s="30" t="n">
        <f aca="false">AW517-IF(AP516&lt;&gt;0,0.75*AR516*(Inputs!$B$13-N517)/Inputs!$B$16,0)</f>
        <v>0</v>
      </c>
      <c r="AY517" s="30" t="n">
        <f aca="false">MAX(AS517,0)*(Inputs!$B$17+Inputs!$B$18+Inputs!$B$19)+MAX(-AS517,0)*(O517+Inputs!$B$18+Inputs!$B$19)+IF(AND(K517=1,AP517&lt;&gt;0),(Inputs!$B$17+Inputs!$B$18+Inputs!$B$19)+(O517+Inputs!$B$18+Inputs!$B$19),0)</f>
        <v>0</v>
      </c>
      <c r="AZ517" s="30" t="n">
        <f aca="false">AP516*M517-AY517</f>
        <v>-0</v>
      </c>
      <c r="BA517" s="32" t="n">
        <f aca="false">BA516+AI517</f>
        <v>0.00698617887383685</v>
      </c>
      <c r="BB517" s="30" t="n">
        <f aca="false">MAX(BB516,BA517)</f>
        <v>0.00698617887383685</v>
      </c>
      <c r="BC517" s="32" t="n">
        <f aca="false">BA517-BB517</f>
        <v>0</v>
      </c>
      <c r="BD517" s="30" t="n">
        <f aca="false">A518-A517</f>
        <v>1</v>
      </c>
    </row>
    <row r="518" customFormat="false" ht="15" hidden="false" customHeight="false" outlineLevel="0" collapsed="false">
      <c r="A518" s="28" t="n">
        <v>45805</v>
      </c>
      <c r="B518" s="0" t="n">
        <v>24749.9</v>
      </c>
      <c r="C518" s="0" t="n">
        <v>277.79</v>
      </c>
      <c r="D518" s="29" t="n">
        <f aca="false">LN(B518)</f>
        <v>10.1165767275846</v>
      </c>
      <c r="E518" s="29" t="n">
        <f aca="false">LN(C518)</f>
        <v>5.6268654325521</v>
      </c>
      <c r="F518" s="0" t="n">
        <v>513</v>
      </c>
      <c r="G518" s="0" t="n">
        <v>1</v>
      </c>
      <c r="H518" s="29" t="n">
        <f aca="false">D518-E518</f>
        <v>4.48971129503253</v>
      </c>
      <c r="I518" s="29" t="n">
        <f aca="false">D518-D517</f>
        <v>-0.00443863748006912</v>
      </c>
      <c r="J518" s="29" t="n">
        <f aca="false">E518-E517</f>
        <v>-0.00183423597974386</v>
      </c>
      <c r="K518" s="0" t="n">
        <v>0</v>
      </c>
      <c r="L518" s="0" t="n">
        <v>0</v>
      </c>
      <c r="M518" s="29" t="n">
        <f aca="false">IF(L518=1,J518-Carry!$B$9/Inputs!$B$16,I518)</f>
        <v>-0.00443863748006912</v>
      </c>
      <c r="N518" s="0" t="n">
        <v>0.06</v>
      </c>
      <c r="O518" s="0" t="n">
        <v>0.0002</v>
      </c>
      <c r="P518" s="29" t="n">
        <f aca="false">D518-('2 Hedge ratio'!$B$6+'2 Hedge ratio'!$B$5*E518)</f>
        <v>-0.000165347204912791</v>
      </c>
      <c r="Q518" s="29" t="n">
        <f aca="false">D518-('5 Re-specification'!$B$7+'5 Re-specification'!$B$5*E518+'5 Re-specification'!$B$6*F518)</f>
        <v>-0.00138876991913506</v>
      </c>
      <c r="R518" s="30" t="n">
        <f aca="false">MIN(F518,Inputs!$B$9)</f>
        <v>250</v>
      </c>
      <c r="S518" s="29" t="n">
        <f aca="true">IF(AND(F518&gt;=1,R518&gt;=Inputs!$B$10),INDEX(LINEST(OFFSET(D518,-R518,0,R518,1),OFFSET(E518,-R518,0,R518,2)),1,1),"")</f>
        <v>-2.53136202928893E-005</v>
      </c>
      <c r="T518" s="29" t="n">
        <f aca="true">IF(AND(F518&gt;=1,R518&gt;=Inputs!$B$10),INDEX(LINEST(OFFSET(D518,-R518,0,R518,1),OFFSET(E518,-R518,0,R518,2)),1,2),"")</f>
        <v>1.01259494255796</v>
      </c>
      <c r="U518" s="29" t="n">
        <f aca="true">IF(AND(F518&gt;=1,R518&gt;=Inputs!$B$10),INDEX(LINEST(OFFSET(D518,-R518,0,R518,1),OFFSET(E518,-R518,0,R518,2)),1,3),"")</f>
        <v>4.43586709200966</v>
      </c>
      <c r="V518" s="29" t="n">
        <f aca="true">IF(AND(F518&gt;=1,R518&gt;=Inputs!$B$10),SQRT(SUMPRODUCT((OFFSET(D518,-R518,0,R518,1)-U518-T518*OFFSET(E518,-R518,0,R518,1)-S518*OFFSET(F518,-R518,0,R518,1))^2)/(R518-3)),"")</f>
        <v>0.00311597405612179</v>
      </c>
      <c r="W518" s="31" t="n">
        <f aca="false">IF(AND(F518&gt;=1,R518&gt;=Inputs!$B$10),(D518-U518-T518*E518-S518*F518)/V518,"")</f>
        <v>-1.29653090766049</v>
      </c>
      <c r="X518" s="30" t="n">
        <f aca="false">IF(AB517&lt;&gt;0,AC517+1,0)</f>
        <v>0</v>
      </c>
      <c r="Y518" s="30" t="n">
        <f aca="false">IF(W518="",0,IF(AND(AB517&lt;&gt;0,OR(ABS(W518)&gt;Inputs!$B$7,X518&gt;=Inputs!$B$8,ABS(W518)&lt;Inputs!$B$6)),1,0))</f>
        <v>0</v>
      </c>
      <c r="Z518" s="30" t="n">
        <f aca="false">IF(Y518=1,0,AB517)</f>
        <v>0</v>
      </c>
      <c r="AA518" s="30" t="n">
        <f aca="false">IF(W518="",0,IF(AND(Z518=0,ABS(W518)&gt;Inputs!$B$5,ABS(W518)&lt;=Inputs!$B$7),1,0))</f>
        <v>0</v>
      </c>
      <c r="AB518" s="30" t="n">
        <f aca="false">IF(W518="",0,IF(AA518=1,-SIGN(W518),Z518))</f>
        <v>0</v>
      </c>
      <c r="AC518" s="30" t="n">
        <f aca="false">IF(W518="",0,IF(AA518=1,0,IF(Y518=1,0,X518)))</f>
        <v>0</v>
      </c>
      <c r="AD518" s="30" t="n">
        <f aca="false">IF(AB518=0,0,IF(AB517=AB518,AD517,T518))</f>
        <v>0</v>
      </c>
      <c r="AE518" s="30" t="n">
        <f aca="false">AB518-AB517</f>
        <v>0</v>
      </c>
      <c r="AF518" s="30" t="n">
        <f aca="false">-AD518*AB518</f>
        <v>-0</v>
      </c>
      <c r="AG518" s="30" t="n">
        <f aca="false">AF518-AF517</f>
        <v>0</v>
      </c>
      <c r="AH518" s="30" t="n">
        <f aca="false">MAX(AE518,0)*(Inputs!$B$17+Inputs!$B$18+Inputs!$B$19)+MAX(-AE518,0)*(O518+Inputs!$B$18+Inputs!$B$19)+IF(AND(K518=1,AB518&lt;&gt;0),(Inputs!$B$17+Inputs!$B$18+Inputs!$B$19)+(O518+Inputs!$B$18+Inputs!$B$19),0)+MAX(AG518,0)*(Inputs!$B$20+Inputs!$B$22+Inputs!$B$23)+MAX(-AG518,0)*(Inputs!$B$21+Inputs!$B$22+Inputs!$B$23)</f>
        <v>0</v>
      </c>
      <c r="AI518" s="30" t="n">
        <f aca="false">AB517*(M518-AD517*J518)+AB517*AD517*N518/Inputs!$B$16-AH518</f>
        <v>0</v>
      </c>
      <c r="AJ518" s="30" t="n">
        <f aca="false">MAX(AE518,0)*(Inputs!$B$17+Inputs!$B$24+Inputs!$B$25)+MAX(-AE518,0)*(O518+Inputs!$B$24+Inputs!$B$25)+IF(AND(K518=1,AB518&lt;&gt;0),(Inputs!$B$17+Inputs!$B$24+Inputs!$B$25)+(O518+Inputs!$B$24+Inputs!$B$25),0)+MAX(AG518,0)*(Inputs!$B$20+Inputs!$B$26+Inputs!$B$27)+MAX(-AG518,0)*(Inputs!$B$21+Inputs!$B$26+Inputs!$B$27)</f>
        <v>0</v>
      </c>
      <c r="AK518" s="30" t="n">
        <f aca="false">AB517*(M518-AD517*J518)+AB517*AD517*(N518+Inputs!$B$14)/Inputs!$B$16-AJ518</f>
        <v>0</v>
      </c>
      <c r="AL518" s="30" t="n">
        <f aca="false">IF(AP517&lt;&gt;0,AQ517+1,0)</f>
        <v>0</v>
      </c>
      <c r="AM518" s="30" t="n">
        <f aca="false">IF(W518="",0,IF(AND(AP517&lt;&gt;0,OR(ABS(W518)&gt;Inputs!$B$7,AL518&gt;=Inputs!$B$8,ABS(W518)&lt;Inputs!$B$6)),1,0))</f>
        <v>0</v>
      </c>
      <c r="AN518" s="30" t="n">
        <f aca="false">IF(AM518=1,0,AP517)</f>
        <v>0</v>
      </c>
      <c r="AO518" s="30" t="n">
        <f aca="false">IF(W518="",0,IF(AND(AN518=0,ABS(W518)&gt;Inputs!$B$5,ABS(W518)&lt;=Inputs!$B$7,W518&gt;0),1,0))</f>
        <v>0</v>
      </c>
      <c r="AP518" s="30" t="n">
        <f aca="false">IF(W518="",0,IF(AO518=1,-SIGN(W518),AN518))</f>
        <v>0</v>
      </c>
      <c r="AQ518" s="30" t="n">
        <f aca="false">IF(W518="",0,IF(AO518=1,0,IF(AM518=1,0,AL518)))</f>
        <v>0</v>
      </c>
      <c r="AR518" s="30" t="n">
        <f aca="false">IF(AP518=0,0,IF(AP517=AP518,AR517,T518))</f>
        <v>0</v>
      </c>
      <c r="AS518" s="30" t="n">
        <f aca="false">AP518-AP517</f>
        <v>0</v>
      </c>
      <c r="AT518" s="30" t="n">
        <f aca="false">-AR518*AP518</f>
        <v>-0</v>
      </c>
      <c r="AU518" s="30" t="n">
        <f aca="false">AT518-AT517</f>
        <v>0</v>
      </c>
      <c r="AV518" s="30" t="n">
        <f aca="false">MAX(AS518,0)*(Inputs!$B$17+Inputs!$B$18+Inputs!$B$19)+MAX(-AS518,0)*(O518+Inputs!$B$18+Inputs!$B$19)+IF(AND(K518=1,AP518&lt;&gt;0),(Inputs!$B$17+Inputs!$B$18+Inputs!$B$19)+(O518+Inputs!$B$18+Inputs!$B$19),0)+MAX(AU518,0)*(Inputs!$B$20+Inputs!$B$22+Inputs!$B$23)+MAX(-AU518,0)*(Inputs!$B$21+Inputs!$B$22+Inputs!$B$23)</f>
        <v>0</v>
      </c>
      <c r="AW518" s="30" t="n">
        <f aca="false">AP517*(M518-AR517*J518)+AP517*AR517*N518/Inputs!$B$16-AV518</f>
        <v>0</v>
      </c>
      <c r="AX518" s="30" t="n">
        <f aca="false">AW518-IF(AP517&lt;&gt;0,0.75*AR517*(Inputs!$B$13-N518)/Inputs!$B$16,0)</f>
        <v>0</v>
      </c>
      <c r="AY518" s="30" t="n">
        <f aca="false">MAX(AS518,0)*(Inputs!$B$17+Inputs!$B$18+Inputs!$B$19)+MAX(-AS518,0)*(O518+Inputs!$B$18+Inputs!$B$19)+IF(AND(K518=1,AP518&lt;&gt;0),(Inputs!$B$17+Inputs!$B$18+Inputs!$B$19)+(O518+Inputs!$B$18+Inputs!$B$19),0)</f>
        <v>0</v>
      </c>
      <c r="AZ518" s="30" t="n">
        <f aca="false">AP517*M518-AY518</f>
        <v>-0</v>
      </c>
      <c r="BA518" s="32" t="n">
        <f aca="false">BA517+AI518</f>
        <v>0.00698617887383685</v>
      </c>
      <c r="BB518" s="30" t="n">
        <f aca="false">MAX(BB517,BA518)</f>
        <v>0.00698617887383685</v>
      </c>
      <c r="BC518" s="32" t="n">
        <f aca="false">BA518-BB518</f>
        <v>0</v>
      </c>
      <c r="BD518" s="30" t="n">
        <f aca="false">A519-A518</f>
        <v>1</v>
      </c>
    </row>
    <row r="519" customFormat="false" ht="15" hidden="false" customHeight="false" outlineLevel="0" collapsed="false">
      <c r="A519" s="28" t="n">
        <v>45806</v>
      </c>
      <c r="B519" s="0" t="n">
        <v>24831.8</v>
      </c>
      <c r="C519" s="0" t="n">
        <v>279</v>
      </c>
      <c r="D519" s="29" t="n">
        <f aca="false">LN(B519)</f>
        <v>10.1198803688268</v>
      </c>
      <c r="E519" s="29" t="n">
        <f aca="false">LN(C519)</f>
        <v>5.63121178182137</v>
      </c>
      <c r="F519" s="0" t="n">
        <v>514</v>
      </c>
      <c r="G519" s="0" t="n">
        <v>0</v>
      </c>
      <c r="H519" s="29" t="n">
        <f aca="false">D519-E519</f>
        <v>4.48866858700543</v>
      </c>
      <c r="I519" s="29" t="n">
        <f aca="false">D519-D518</f>
        <v>0.00330364124216587</v>
      </c>
      <c r="J519" s="29" t="n">
        <f aca="false">E519-E518</f>
        <v>0.00434634926926414</v>
      </c>
      <c r="K519" s="0" t="n">
        <v>1</v>
      </c>
      <c r="L519" s="0" t="n">
        <v>0</v>
      </c>
      <c r="M519" s="29" t="n">
        <f aca="false">IF(L519=1,J519-Carry!$B$9/Inputs!$B$16,I519)</f>
        <v>0.00330364124216587</v>
      </c>
      <c r="N519" s="0" t="n">
        <v>0.06</v>
      </c>
      <c r="O519" s="0" t="n">
        <v>0.0002</v>
      </c>
      <c r="P519" s="29" t="n">
        <f aca="false">D519-('2 Hedge ratio'!$B$6+'2 Hedge ratio'!$B$5*E519)</f>
        <v>-0.000843512833352378</v>
      </c>
      <c r="Q519" s="29" t="n">
        <f aca="false">D519-('5 Re-specification'!$B$7+'5 Re-specification'!$B$5*E519+'5 Re-specification'!$B$6*F519)</f>
        <v>-0.00237337701658369</v>
      </c>
      <c r="R519" s="30" t="n">
        <f aca="false">MIN(F519,Inputs!$B$9)</f>
        <v>250</v>
      </c>
      <c r="S519" s="29" t="n">
        <f aca="true">IF(AND(F519&gt;=1,R519&gt;=Inputs!$B$10),INDEX(LINEST(OFFSET(D519,-R519,0,R519,1),OFFSET(E519,-R519,0,R519,2)),1,1),"")</f>
        <v>-2.50572793727639E-005</v>
      </c>
      <c r="T519" s="29" t="n">
        <f aca="true">IF(AND(F519&gt;=1,R519&gt;=Inputs!$B$10),INDEX(LINEST(OFFSET(D519,-R519,0,R519,1),OFFSET(E519,-R519,0,R519,2)),1,2),"")</f>
        <v>1.01324509983393</v>
      </c>
      <c r="U519" s="29" t="n">
        <f aca="true">IF(AND(F519&gt;=1,R519&gt;=Inputs!$B$10),INDEX(LINEST(OFFSET(D519,-R519,0,R519,1),OFFSET(E519,-R519,0,R519,2)),1,3),"")</f>
        <v>4.43209169504258</v>
      </c>
      <c r="V519" s="29" t="n">
        <f aca="true">IF(AND(F519&gt;=1,R519&gt;=Inputs!$B$10),SQRT(SUMPRODUCT((OFFSET(D519,-R519,0,R519,1)-U519-T519*OFFSET(E519,-R519,0,R519,1)-S519*OFFSET(F519,-R519,0,R519,1))^2)/(R519-3)),"")</f>
        <v>0.00310275484954404</v>
      </c>
      <c r="W519" s="31" t="n">
        <f aca="false">IF(AND(F519&gt;=1,R519&gt;=Inputs!$B$10),(D519-U519-T519*E519-S519*F519)/V519,"")</f>
        <v>-1.65324974885521</v>
      </c>
      <c r="X519" s="30" t="n">
        <f aca="false">IF(AB518&lt;&gt;0,AC518+1,0)</f>
        <v>0</v>
      </c>
      <c r="Y519" s="30" t="n">
        <f aca="false">IF(W519="",0,IF(AND(AB518&lt;&gt;0,OR(ABS(W519)&gt;Inputs!$B$7,X519&gt;=Inputs!$B$8,ABS(W519)&lt;Inputs!$B$6)),1,0))</f>
        <v>0</v>
      </c>
      <c r="Z519" s="30" t="n">
        <f aca="false">IF(Y519=1,0,AB518)</f>
        <v>0</v>
      </c>
      <c r="AA519" s="30" t="n">
        <f aca="false">IF(W519="",0,IF(AND(Z519=0,ABS(W519)&gt;Inputs!$B$5,ABS(W519)&lt;=Inputs!$B$7),1,0))</f>
        <v>0</v>
      </c>
      <c r="AB519" s="30" t="n">
        <f aca="false">IF(W519="",0,IF(AA519=1,-SIGN(W519),Z519))</f>
        <v>0</v>
      </c>
      <c r="AC519" s="30" t="n">
        <f aca="false">IF(W519="",0,IF(AA519=1,0,IF(Y519=1,0,X519)))</f>
        <v>0</v>
      </c>
      <c r="AD519" s="30" t="n">
        <f aca="false">IF(AB519=0,0,IF(AB518=AB519,AD518,T519))</f>
        <v>0</v>
      </c>
      <c r="AE519" s="30" t="n">
        <f aca="false">AB519-AB518</f>
        <v>0</v>
      </c>
      <c r="AF519" s="30" t="n">
        <f aca="false">-AD519*AB519</f>
        <v>-0</v>
      </c>
      <c r="AG519" s="30" t="n">
        <f aca="false">AF519-AF518</f>
        <v>0</v>
      </c>
      <c r="AH519" s="30" t="n">
        <f aca="false">MAX(AE519,0)*(Inputs!$B$17+Inputs!$B$18+Inputs!$B$19)+MAX(-AE519,0)*(O519+Inputs!$B$18+Inputs!$B$19)+IF(AND(K519=1,AB519&lt;&gt;0),(Inputs!$B$17+Inputs!$B$18+Inputs!$B$19)+(O519+Inputs!$B$18+Inputs!$B$19),0)+MAX(AG519,0)*(Inputs!$B$20+Inputs!$B$22+Inputs!$B$23)+MAX(-AG519,0)*(Inputs!$B$21+Inputs!$B$22+Inputs!$B$23)</f>
        <v>0</v>
      </c>
      <c r="AI519" s="30" t="n">
        <f aca="false">AB518*(M519-AD518*J519)+AB518*AD518*N519/Inputs!$B$16-AH519</f>
        <v>0</v>
      </c>
      <c r="AJ519" s="30" t="n">
        <f aca="false">MAX(AE519,0)*(Inputs!$B$17+Inputs!$B$24+Inputs!$B$25)+MAX(-AE519,0)*(O519+Inputs!$B$24+Inputs!$B$25)+IF(AND(K519=1,AB519&lt;&gt;0),(Inputs!$B$17+Inputs!$B$24+Inputs!$B$25)+(O519+Inputs!$B$24+Inputs!$B$25),0)+MAX(AG519,0)*(Inputs!$B$20+Inputs!$B$26+Inputs!$B$27)+MAX(-AG519,0)*(Inputs!$B$21+Inputs!$B$26+Inputs!$B$27)</f>
        <v>0</v>
      </c>
      <c r="AK519" s="30" t="n">
        <f aca="false">AB518*(M519-AD518*J519)+AB518*AD518*(N519+Inputs!$B$14)/Inputs!$B$16-AJ519</f>
        <v>0</v>
      </c>
      <c r="AL519" s="30" t="n">
        <f aca="false">IF(AP518&lt;&gt;0,AQ518+1,0)</f>
        <v>0</v>
      </c>
      <c r="AM519" s="30" t="n">
        <f aca="false">IF(W519="",0,IF(AND(AP518&lt;&gt;0,OR(ABS(W519)&gt;Inputs!$B$7,AL519&gt;=Inputs!$B$8,ABS(W519)&lt;Inputs!$B$6)),1,0))</f>
        <v>0</v>
      </c>
      <c r="AN519" s="30" t="n">
        <f aca="false">IF(AM519=1,0,AP518)</f>
        <v>0</v>
      </c>
      <c r="AO519" s="30" t="n">
        <f aca="false">IF(W519="",0,IF(AND(AN519=0,ABS(W519)&gt;Inputs!$B$5,ABS(W519)&lt;=Inputs!$B$7,W519&gt;0),1,0))</f>
        <v>0</v>
      </c>
      <c r="AP519" s="30" t="n">
        <f aca="false">IF(W519="",0,IF(AO519=1,-SIGN(W519),AN519))</f>
        <v>0</v>
      </c>
      <c r="AQ519" s="30" t="n">
        <f aca="false">IF(W519="",0,IF(AO519=1,0,IF(AM519=1,0,AL519)))</f>
        <v>0</v>
      </c>
      <c r="AR519" s="30" t="n">
        <f aca="false">IF(AP519=0,0,IF(AP518=AP519,AR518,T519))</f>
        <v>0</v>
      </c>
      <c r="AS519" s="30" t="n">
        <f aca="false">AP519-AP518</f>
        <v>0</v>
      </c>
      <c r="AT519" s="30" t="n">
        <f aca="false">-AR519*AP519</f>
        <v>-0</v>
      </c>
      <c r="AU519" s="30" t="n">
        <f aca="false">AT519-AT518</f>
        <v>0</v>
      </c>
      <c r="AV519" s="30" t="n">
        <f aca="false">MAX(AS519,0)*(Inputs!$B$17+Inputs!$B$18+Inputs!$B$19)+MAX(-AS519,0)*(O519+Inputs!$B$18+Inputs!$B$19)+IF(AND(K519=1,AP519&lt;&gt;0),(Inputs!$B$17+Inputs!$B$18+Inputs!$B$19)+(O519+Inputs!$B$18+Inputs!$B$19),0)+MAX(AU519,0)*(Inputs!$B$20+Inputs!$B$22+Inputs!$B$23)+MAX(-AU519,0)*(Inputs!$B$21+Inputs!$B$22+Inputs!$B$23)</f>
        <v>0</v>
      </c>
      <c r="AW519" s="30" t="n">
        <f aca="false">AP518*(M519-AR518*J519)+AP518*AR518*N519/Inputs!$B$16-AV519</f>
        <v>0</v>
      </c>
      <c r="AX519" s="30" t="n">
        <f aca="false">AW519-IF(AP518&lt;&gt;0,0.75*AR518*(Inputs!$B$13-N519)/Inputs!$B$16,0)</f>
        <v>0</v>
      </c>
      <c r="AY519" s="30" t="n">
        <f aca="false">MAX(AS519,0)*(Inputs!$B$17+Inputs!$B$18+Inputs!$B$19)+MAX(-AS519,0)*(O519+Inputs!$B$18+Inputs!$B$19)+IF(AND(K519=1,AP519&lt;&gt;0),(Inputs!$B$17+Inputs!$B$18+Inputs!$B$19)+(O519+Inputs!$B$18+Inputs!$B$19),0)</f>
        <v>0</v>
      </c>
      <c r="AZ519" s="30" t="n">
        <f aca="false">AP518*M519-AY519</f>
        <v>0</v>
      </c>
      <c r="BA519" s="32" t="n">
        <f aca="false">BA518+AI519</f>
        <v>0.00698617887383685</v>
      </c>
      <c r="BB519" s="30" t="n">
        <f aca="false">MAX(BB518,BA519)</f>
        <v>0.00698617887383685</v>
      </c>
      <c r="BC519" s="32" t="n">
        <f aca="false">BA519-BB519</f>
        <v>0</v>
      </c>
      <c r="BD519" s="30" t="n">
        <f aca="false">A520-A519</f>
        <v>1</v>
      </c>
    </row>
    <row r="520" customFormat="false" ht="15" hidden="false" customHeight="false" outlineLevel="0" collapsed="false">
      <c r="A520" s="28" t="n">
        <v>45807</v>
      </c>
      <c r="B520" s="0" t="n">
        <v>24857.5</v>
      </c>
      <c r="C520" s="0" t="n">
        <v>278</v>
      </c>
      <c r="D520" s="29" t="n">
        <f aca="false">LN(B520)</f>
        <v>10.1209147968542</v>
      </c>
      <c r="E520" s="29" t="n">
        <f aca="false">LN(C520)</f>
        <v>5.62762111369064</v>
      </c>
      <c r="F520" s="0" t="n">
        <v>515</v>
      </c>
      <c r="G520" s="0" t="n">
        <v>27</v>
      </c>
      <c r="H520" s="29" t="n">
        <f aca="false">D520-E520</f>
        <v>4.49329368316359</v>
      </c>
      <c r="I520" s="29" t="n">
        <f aca="false">D520-D519</f>
        <v>0.00103442802742926</v>
      </c>
      <c r="J520" s="29" t="n">
        <f aca="false">E520-E519</f>
        <v>-0.0035906681307285</v>
      </c>
      <c r="K520" s="0" t="n">
        <v>0</v>
      </c>
      <c r="L520" s="0" t="n">
        <v>1</v>
      </c>
      <c r="M520" s="29" t="n">
        <f aca="false">IF(L520=1,J520-Carry!$B$9/Inputs!$B$16,I520)</f>
        <v>-0.00385012631244963</v>
      </c>
      <c r="N520" s="0" t="n">
        <v>0.06</v>
      </c>
      <c r="O520" s="0" t="n">
        <v>0.0002</v>
      </c>
      <c r="P520" s="29" t="n">
        <f aca="false">D520-('2 Hedge ratio'!$B$6+'2 Hedge ratio'!$B$5*E520)</f>
        <v>0.00348042235221335</v>
      </c>
      <c r="Q520" s="29" t="n">
        <f aca="false">D520-('5 Re-specification'!$B$7+'5 Re-specification'!$B$5*E520+'5 Re-specification'!$B$6*F520)</f>
        <v>0.00228576693982419</v>
      </c>
      <c r="R520" s="30" t="n">
        <f aca="false">MIN(F520,Inputs!$B$9)</f>
        <v>250</v>
      </c>
      <c r="S520" s="29" t="n">
        <f aca="true">IF(AND(F520&gt;=1,R520&gt;=Inputs!$B$10),INDEX(LINEST(OFFSET(D520,-R520,0,R520,1),OFFSET(E520,-R520,0,R520,2)),1,1),"")</f>
        <v>-2.50554662838796E-005</v>
      </c>
      <c r="T520" s="29" t="n">
        <f aca="true">IF(AND(F520&gt;=1,R520&gt;=Inputs!$B$10),INDEX(LINEST(OFFSET(D520,-R520,0,R520,1),OFFSET(E520,-R520,0,R520,2)),1,2),"")</f>
        <v>1.01341804346695</v>
      </c>
      <c r="U520" s="29" t="n">
        <f aca="true">IF(AND(F520&gt;=1,R520&gt;=Inputs!$B$10),INDEX(LINEST(OFFSET(D520,-R520,0,R520,1),OFFSET(E520,-R520,0,R520,2)),1,3),"")</f>
        <v>4.43108360334845</v>
      </c>
      <c r="V520" s="29" t="n">
        <f aca="true">IF(AND(F520&gt;=1,R520&gt;=Inputs!$B$10),SQRT(SUMPRODUCT((OFFSET(D520,-R520,0,R520,1)-U520-T520*OFFSET(E520,-R520,0,R520,1)-S520*OFFSET(F520,-R520,0,R520,1))^2)/(R520-3)),"")</f>
        <v>0.00310380197100576</v>
      </c>
      <c r="W520" s="31" t="n">
        <f aca="false">IF(AND(F520&gt;=1,R520&gt;=Inputs!$B$10),(D520-U520-T520*E520-S520*F520)/V520,"")</f>
        <v>-0.128236199153705</v>
      </c>
      <c r="X520" s="30" t="n">
        <f aca="false">IF(AB519&lt;&gt;0,AC519+1,0)</f>
        <v>0</v>
      </c>
      <c r="Y520" s="30" t="n">
        <f aca="false">IF(W520="",0,IF(AND(AB519&lt;&gt;0,OR(ABS(W520)&gt;Inputs!$B$7,X520&gt;=Inputs!$B$8,ABS(W520)&lt;Inputs!$B$6)),1,0))</f>
        <v>0</v>
      </c>
      <c r="Z520" s="30" t="n">
        <f aca="false">IF(Y520=1,0,AB519)</f>
        <v>0</v>
      </c>
      <c r="AA520" s="30" t="n">
        <f aca="false">IF(W520="",0,IF(AND(Z520=0,ABS(W520)&gt;Inputs!$B$5,ABS(W520)&lt;=Inputs!$B$7),1,0))</f>
        <v>0</v>
      </c>
      <c r="AB520" s="30" t="n">
        <f aca="false">IF(W520="",0,IF(AA520=1,-SIGN(W520),Z520))</f>
        <v>0</v>
      </c>
      <c r="AC520" s="30" t="n">
        <f aca="false">IF(W520="",0,IF(AA520=1,0,IF(Y520=1,0,X520)))</f>
        <v>0</v>
      </c>
      <c r="AD520" s="30" t="n">
        <f aca="false">IF(AB520=0,0,IF(AB519=AB520,AD519,T520))</f>
        <v>0</v>
      </c>
      <c r="AE520" s="30" t="n">
        <f aca="false">AB520-AB519</f>
        <v>0</v>
      </c>
      <c r="AF520" s="30" t="n">
        <f aca="false">-AD520*AB520</f>
        <v>-0</v>
      </c>
      <c r="AG520" s="30" t="n">
        <f aca="false">AF520-AF519</f>
        <v>0</v>
      </c>
      <c r="AH520" s="30" t="n">
        <f aca="false">MAX(AE520,0)*(Inputs!$B$17+Inputs!$B$18+Inputs!$B$19)+MAX(-AE520,0)*(O520+Inputs!$B$18+Inputs!$B$19)+IF(AND(K520=1,AB520&lt;&gt;0),(Inputs!$B$17+Inputs!$B$18+Inputs!$B$19)+(O520+Inputs!$B$18+Inputs!$B$19),0)+MAX(AG520,0)*(Inputs!$B$20+Inputs!$B$22+Inputs!$B$23)+MAX(-AG520,0)*(Inputs!$B$21+Inputs!$B$22+Inputs!$B$23)</f>
        <v>0</v>
      </c>
      <c r="AI520" s="30" t="n">
        <f aca="false">AB519*(M520-AD519*J520)+AB519*AD519*N520/Inputs!$B$16-AH520</f>
        <v>0</v>
      </c>
      <c r="AJ520" s="30" t="n">
        <f aca="false">MAX(AE520,0)*(Inputs!$B$17+Inputs!$B$24+Inputs!$B$25)+MAX(-AE520,0)*(O520+Inputs!$B$24+Inputs!$B$25)+IF(AND(K520=1,AB520&lt;&gt;0),(Inputs!$B$17+Inputs!$B$24+Inputs!$B$25)+(O520+Inputs!$B$24+Inputs!$B$25),0)+MAX(AG520,0)*(Inputs!$B$20+Inputs!$B$26+Inputs!$B$27)+MAX(-AG520,0)*(Inputs!$B$21+Inputs!$B$26+Inputs!$B$27)</f>
        <v>0</v>
      </c>
      <c r="AK520" s="30" t="n">
        <f aca="false">AB519*(M520-AD519*J520)+AB519*AD519*(N520+Inputs!$B$14)/Inputs!$B$16-AJ520</f>
        <v>0</v>
      </c>
      <c r="AL520" s="30" t="n">
        <f aca="false">IF(AP519&lt;&gt;0,AQ519+1,0)</f>
        <v>0</v>
      </c>
      <c r="AM520" s="30" t="n">
        <f aca="false">IF(W520="",0,IF(AND(AP519&lt;&gt;0,OR(ABS(W520)&gt;Inputs!$B$7,AL520&gt;=Inputs!$B$8,ABS(W520)&lt;Inputs!$B$6)),1,0))</f>
        <v>0</v>
      </c>
      <c r="AN520" s="30" t="n">
        <f aca="false">IF(AM520=1,0,AP519)</f>
        <v>0</v>
      </c>
      <c r="AO520" s="30" t="n">
        <f aca="false">IF(W520="",0,IF(AND(AN520=0,ABS(W520)&gt;Inputs!$B$5,ABS(W520)&lt;=Inputs!$B$7,W520&gt;0),1,0))</f>
        <v>0</v>
      </c>
      <c r="AP520" s="30" t="n">
        <f aca="false">IF(W520="",0,IF(AO520=1,-SIGN(W520),AN520))</f>
        <v>0</v>
      </c>
      <c r="AQ520" s="30" t="n">
        <f aca="false">IF(W520="",0,IF(AO520=1,0,IF(AM520=1,0,AL520)))</f>
        <v>0</v>
      </c>
      <c r="AR520" s="30" t="n">
        <f aca="false">IF(AP520=0,0,IF(AP519=AP520,AR519,T520))</f>
        <v>0</v>
      </c>
      <c r="AS520" s="30" t="n">
        <f aca="false">AP520-AP519</f>
        <v>0</v>
      </c>
      <c r="AT520" s="30" t="n">
        <f aca="false">-AR520*AP520</f>
        <v>-0</v>
      </c>
      <c r="AU520" s="30" t="n">
        <f aca="false">AT520-AT519</f>
        <v>0</v>
      </c>
      <c r="AV520" s="30" t="n">
        <f aca="false">MAX(AS520,0)*(Inputs!$B$17+Inputs!$B$18+Inputs!$B$19)+MAX(-AS520,0)*(O520+Inputs!$B$18+Inputs!$B$19)+IF(AND(K520=1,AP520&lt;&gt;0),(Inputs!$B$17+Inputs!$B$18+Inputs!$B$19)+(O520+Inputs!$B$18+Inputs!$B$19),0)+MAX(AU520,0)*(Inputs!$B$20+Inputs!$B$22+Inputs!$B$23)+MAX(-AU520,0)*(Inputs!$B$21+Inputs!$B$22+Inputs!$B$23)</f>
        <v>0</v>
      </c>
      <c r="AW520" s="30" t="n">
        <f aca="false">AP519*(M520-AR519*J520)+AP519*AR519*N520/Inputs!$B$16-AV520</f>
        <v>0</v>
      </c>
      <c r="AX520" s="30" t="n">
        <f aca="false">AW520-IF(AP519&lt;&gt;0,0.75*AR519*(Inputs!$B$13-N520)/Inputs!$B$16,0)</f>
        <v>0</v>
      </c>
      <c r="AY520" s="30" t="n">
        <f aca="false">MAX(AS520,0)*(Inputs!$B$17+Inputs!$B$18+Inputs!$B$19)+MAX(-AS520,0)*(O520+Inputs!$B$18+Inputs!$B$19)+IF(AND(K520=1,AP520&lt;&gt;0),(Inputs!$B$17+Inputs!$B$18+Inputs!$B$19)+(O520+Inputs!$B$18+Inputs!$B$19),0)</f>
        <v>0</v>
      </c>
      <c r="AZ520" s="30" t="n">
        <f aca="false">AP519*M520-AY520</f>
        <v>-0</v>
      </c>
      <c r="BA520" s="32" t="n">
        <f aca="false">BA519+AI520</f>
        <v>0.00698617887383685</v>
      </c>
      <c r="BB520" s="30" t="n">
        <f aca="false">MAX(BB519,BA520)</f>
        <v>0.00698617887383685</v>
      </c>
      <c r="BC520" s="32" t="n">
        <f aca="false">BA520-BB520</f>
        <v>0</v>
      </c>
      <c r="BD520" s="30" t="n">
        <f aca="false">A521-A520</f>
        <v>3</v>
      </c>
    </row>
    <row r="521" customFormat="false" ht="15" hidden="false" customHeight="false" outlineLevel="0" collapsed="false">
      <c r="A521" s="28" t="n">
        <v>45810</v>
      </c>
      <c r="B521" s="0" t="n">
        <v>24800</v>
      </c>
      <c r="C521" s="0" t="n">
        <v>277.52</v>
      </c>
      <c r="D521" s="29" t="n">
        <f aca="false">LN(B521)</f>
        <v>10.1185989321531</v>
      </c>
      <c r="E521" s="29" t="n">
        <f aca="false">LN(C521)</f>
        <v>5.6258930026615</v>
      </c>
      <c r="F521" s="0" t="n">
        <v>516</v>
      </c>
      <c r="G521" s="0" t="n">
        <v>24</v>
      </c>
      <c r="H521" s="29" t="n">
        <f aca="false">D521-E521</f>
        <v>4.49270592949158</v>
      </c>
      <c r="I521" s="29" t="n">
        <f aca="false">D521-D520</f>
        <v>-0.00231586470115452</v>
      </c>
      <c r="J521" s="29" t="n">
        <f aca="false">E521-E520</f>
        <v>-0.00172811102914228</v>
      </c>
      <c r="K521" s="0" t="n">
        <v>0</v>
      </c>
      <c r="L521" s="0" t="n">
        <v>0</v>
      </c>
      <c r="M521" s="29" t="n">
        <f aca="false">IF(L521=1,J521-Carry!$B$9/Inputs!$B$16,I521)</f>
        <v>-0.00231586470115452</v>
      </c>
      <c r="N521" s="0" t="n">
        <v>0.06</v>
      </c>
      <c r="O521" s="0" t="n">
        <v>0.0002</v>
      </c>
      <c r="P521" s="29" t="n">
        <f aca="false">D521-('2 Hedge ratio'!$B$6+'2 Hedge ratio'!$B$5*E521)</f>
        <v>0.00274772640780441</v>
      </c>
      <c r="Q521" s="29" t="n">
        <f aca="false">D521-('5 Re-specification'!$B$7+'5 Re-specification'!$B$5*E521+'5 Re-specification'!$B$6*F521)</f>
        <v>0.00173770554539843</v>
      </c>
      <c r="R521" s="30" t="n">
        <f aca="false">MIN(F521,Inputs!$B$9)</f>
        <v>250</v>
      </c>
      <c r="S521" s="29" t="n">
        <f aca="true">IF(AND(F521&gt;=1,R521&gt;=Inputs!$B$10),INDEX(LINEST(OFFSET(D521,-R521,0,R521,1),OFFSET(E521,-R521,0,R521,2)),1,1),"")</f>
        <v>-2.4729262890782E-005</v>
      </c>
      <c r="T521" s="29" t="n">
        <f aca="true">IF(AND(F521&gt;=1,R521&gt;=Inputs!$B$10),INDEX(LINEST(OFFSET(D521,-R521,0,R521,1),OFFSET(E521,-R521,0,R521,2)),1,2),"")</f>
        <v>1.01401056731295</v>
      </c>
      <c r="U521" s="29" t="n">
        <f aca="true">IF(AND(F521&gt;=1,R521&gt;=Inputs!$B$10),INDEX(LINEST(OFFSET(D521,-R521,0,R521,1),OFFSET(E521,-R521,0,R521,2)),1,3),"")</f>
        <v>4.42762822707714</v>
      </c>
      <c r="V521" s="29" t="n">
        <f aca="true">IF(AND(F521&gt;=1,R521&gt;=Inputs!$B$10),SQRT(SUMPRODUCT((OFFSET(D521,-R521,0,R521,1)-U521-T521*OFFSET(E521,-R521,0,R521,1)-S521*OFFSET(F521,-R521,0,R521,1))^2)/(R521-3)),"")</f>
        <v>0.00309723221184992</v>
      </c>
      <c r="W521" s="31" t="n">
        <f aca="false">IF(AND(F521&gt;=1,R521&gt;=Inputs!$B$10),(D521-U521-T521*E521-S521*F521)/V521,"")</f>
        <v>-0.317687043099214</v>
      </c>
      <c r="X521" s="30" t="n">
        <f aca="false">IF(AB520&lt;&gt;0,AC520+1,0)</f>
        <v>0</v>
      </c>
      <c r="Y521" s="30" t="n">
        <f aca="false">IF(W521="",0,IF(AND(AB520&lt;&gt;0,OR(ABS(W521)&gt;Inputs!$B$7,X521&gt;=Inputs!$B$8,ABS(W521)&lt;Inputs!$B$6)),1,0))</f>
        <v>0</v>
      </c>
      <c r="Z521" s="30" t="n">
        <f aca="false">IF(Y521=1,0,AB520)</f>
        <v>0</v>
      </c>
      <c r="AA521" s="30" t="n">
        <f aca="false">IF(W521="",0,IF(AND(Z521=0,ABS(W521)&gt;Inputs!$B$5,ABS(W521)&lt;=Inputs!$B$7),1,0))</f>
        <v>0</v>
      </c>
      <c r="AB521" s="30" t="n">
        <f aca="false">IF(W521="",0,IF(AA521=1,-SIGN(W521),Z521))</f>
        <v>0</v>
      </c>
      <c r="AC521" s="30" t="n">
        <f aca="false">IF(W521="",0,IF(AA521=1,0,IF(Y521=1,0,X521)))</f>
        <v>0</v>
      </c>
      <c r="AD521" s="30" t="n">
        <f aca="false">IF(AB521=0,0,IF(AB520=AB521,AD520,T521))</f>
        <v>0</v>
      </c>
      <c r="AE521" s="30" t="n">
        <f aca="false">AB521-AB520</f>
        <v>0</v>
      </c>
      <c r="AF521" s="30" t="n">
        <f aca="false">-AD521*AB521</f>
        <v>-0</v>
      </c>
      <c r="AG521" s="30" t="n">
        <f aca="false">AF521-AF520</f>
        <v>0</v>
      </c>
      <c r="AH521" s="30" t="n">
        <f aca="false">MAX(AE521,0)*(Inputs!$B$17+Inputs!$B$18+Inputs!$B$19)+MAX(-AE521,0)*(O521+Inputs!$B$18+Inputs!$B$19)+IF(AND(K521=1,AB521&lt;&gt;0),(Inputs!$B$17+Inputs!$B$18+Inputs!$B$19)+(O521+Inputs!$B$18+Inputs!$B$19),0)+MAX(AG521,0)*(Inputs!$B$20+Inputs!$B$22+Inputs!$B$23)+MAX(-AG521,0)*(Inputs!$B$21+Inputs!$B$22+Inputs!$B$23)</f>
        <v>0</v>
      </c>
      <c r="AI521" s="30" t="n">
        <f aca="false">AB520*(M521-AD520*J521)+AB520*AD520*N521/Inputs!$B$16-AH521</f>
        <v>0</v>
      </c>
      <c r="AJ521" s="30" t="n">
        <f aca="false">MAX(AE521,0)*(Inputs!$B$17+Inputs!$B$24+Inputs!$B$25)+MAX(-AE521,0)*(O521+Inputs!$B$24+Inputs!$B$25)+IF(AND(K521=1,AB521&lt;&gt;0),(Inputs!$B$17+Inputs!$B$24+Inputs!$B$25)+(O521+Inputs!$B$24+Inputs!$B$25),0)+MAX(AG521,0)*(Inputs!$B$20+Inputs!$B$26+Inputs!$B$27)+MAX(-AG521,0)*(Inputs!$B$21+Inputs!$B$26+Inputs!$B$27)</f>
        <v>0</v>
      </c>
      <c r="AK521" s="30" t="n">
        <f aca="false">AB520*(M521-AD520*J521)+AB520*AD520*(N521+Inputs!$B$14)/Inputs!$B$16-AJ521</f>
        <v>0</v>
      </c>
      <c r="AL521" s="30" t="n">
        <f aca="false">IF(AP520&lt;&gt;0,AQ520+1,0)</f>
        <v>0</v>
      </c>
      <c r="AM521" s="30" t="n">
        <f aca="false">IF(W521="",0,IF(AND(AP520&lt;&gt;0,OR(ABS(W521)&gt;Inputs!$B$7,AL521&gt;=Inputs!$B$8,ABS(W521)&lt;Inputs!$B$6)),1,0))</f>
        <v>0</v>
      </c>
      <c r="AN521" s="30" t="n">
        <f aca="false">IF(AM521=1,0,AP520)</f>
        <v>0</v>
      </c>
      <c r="AO521" s="30" t="n">
        <f aca="false">IF(W521="",0,IF(AND(AN521=0,ABS(W521)&gt;Inputs!$B$5,ABS(W521)&lt;=Inputs!$B$7,W521&gt;0),1,0))</f>
        <v>0</v>
      </c>
      <c r="AP521" s="30" t="n">
        <f aca="false">IF(W521="",0,IF(AO521=1,-SIGN(W521),AN521))</f>
        <v>0</v>
      </c>
      <c r="AQ521" s="30" t="n">
        <f aca="false">IF(W521="",0,IF(AO521=1,0,IF(AM521=1,0,AL521)))</f>
        <v>0</v>
      </c>
      <c r="AR521" s="30" t="n">
        <f aca="false">IF(AP521=0,0,IF(AP520=AP521,AR520,T521))</f>
        <v>0</v>
      </c>
      <c r="AS521" s="30" t="n">
        <f aca="false">AP521-AP520</f>
        <v>0</v>
      </c>
      <c r="AT521" s="30" t="n">
        <f aca="false">-AR521*AP521</f>
        <v>-0</v>
      </c>
      <c r="AU521" s="30" t="n">
        <f aca="false">AT521-AT520</f>
        <v>0</v>
      </c>
      <c r="AV521" s="30" t="n">
        <f aca="false">MAX(AS521,0)*(Inputs!$B$17+Inputs!$B$18+Inputs!$B$19)+MAX(-AS521,0)*(O521+Inputs!$B$18+Inputs!$B$19)+IF(AND(K521=1,AP521&lt;&gt;0),(Inputs!$B$17+Inputs!$B$18+Inputs!$B$19)+(O521+Inputs!$B$18+Inputs!$B$19),0)+MAX(AU521,0)*(Inputs!$B$20+Inputs!$B$22+Inputs!$B$23)+MAX(-AU521,0)*(Inputs!$B$21+Inputs!$B$22+Inputs!$B$23)</f>
        <v>0</v>
      </c>
      <c r="AW521" s="30" t="n">
        <f aca="false">AP520*(M521-AR520*J521)+AP520*AR520*N521/Inputs!$B$16-AV521</f>
        <v>0</v>
      </c>
      <c r="AX521" s="30" t="n">
        <f aca="false">AW521-IF(AP520&lt;&gt;0,0.75*AR520*(Inputs!$B$13-N521)/Inputs!$B$16,0)</f>
        <v>0</v>
      </c>
      <c r="AY521" s="30" t="n">
        <f aca="false">MAX(AS521,0)*(Inputs!$B$17+Inputs!$B$18+Inputs!$B$19)+MAX(-AS521,0)*(O521+Inputs!$B$18+Inputs!$B$19)+IF(AND(K521=1,AP521&lt;&gt;0),(Inputs!$B$17+Inputs!$B$18+Inputs!$B$19)+(O521+Inputs!$B$18+Inputs!$B$19),0)</f>
        <v>0</v>
      </c>
      <c r="AZ521" s="30" t="n">
        <f aca="false">AP520*M521-AY521</f>
        <v>-0</v>
      </c>
      <c r="BA521" s="32" t="n">
        <f aca="false">BA520+AI521</f>
        <v>0.00698617887383685</v>
      </c>
      <c r="BB521" s="30" t="n">
        <f aca="false">MAX(BB520,BA521)</f>
        <v>0.00698617887383685</v>
      </c>
      <c r="BC521" s="32" t="n">
        <f aca="false">BA521-BB521</f>
        <v>0</v>
      </c>
      <c r="BD521" s="30" t="n">
        <f aca="false">A522-A521</f>
        <v>1</v>
      </c>
    </row>
    <row r="522" customFormat="false" ht="15" hidden="false" customHeight="false" outlineLevel="0" collapsed="false">
      <c r="A522" s="28" t="n">
        <v>45811</v>
      </c>
      <c r="B522" s="0" t="n">
        <v>24646.8</v>
      </c>
      <c r="C522" s="0" t="n">
        <v>275.75</v>
      </c>
      <c r="D522" s="29" t="n">
        <f aca="false">LN(B522)</f>
        <v>10.1124023535996</v>
      </c>
      <c r="E522" s="29" t="n">
        <f aca="false">LN(C522)</f>
        <v>5.61949465813361</v>
      </c>
      <c r="F522" s="0" t="n">
        <v>517</v>
      </c>
      <c r="G522" s="0" t="n">
        <v>23</v>
      </c>
      <c r="H522" s="29" t="n">
        <f aca="false">D522-E522</f>
        <v>4.49290769546599</v>
      </c>
      <c r="I522" s="29" t="n">
        <f aca="false">D522-D521</f>
        <v>-0.00619657855346922</v>
      </c>
      <c r="J522" s="29" t="n">
        <f aca="false">E522-E521</f>
        <v>-0.00639834452788257</v>
      </c>
      <c r="K522" s="0" t="n">
        <v>0</v>
      </c>
      <c r="L522" s="0" t="n">
        <v>0</v>
      </c>
      <c r="M522" s="29" t="n">
        <f aca="false">IF(L522=1,J522-Carry!$B$9/Inputs!$B$16,I522)</f>
        <v>-0.00619657855346922</v>
      </c>
      <c r="N522" s="0" t="n">
        <v>0.06</v>
      </c>
      <c r="O522" s="0" t="n">
        <v>0.0002</v>
      </c>
      <c r="P522" s="29" t="n">
        <f aca="false">D522-('2 Hedge ratio'!$B$6+'2 Hedge ratio'!$B$5*E522)</f>
        <v>0.00241284249120888</v>
      </c>
      <c r="Q522" s="29" t="n">
        <f aca="false">D522-('5 Re-specification'!$B$7+'5 Re-specification'!$B$5*E522+'5 Re-specification'!$B$6*F522)</f>
        <v>0.00196501065468091</v>
      </c>
      <c r="R522" s="30" t="n">
        <f aca="false">MIN(F522,Inputs!$B$9)</f>
        <v>250</v>
      </c>
      <c r="S522" s="29" t="n">
        <f aca="true">IF(AND(F522&gt;=1,R522&gt;=Inputs!$B$10),INDEX(LINEST(OFFSET(D522,-R522,0,R522,1),OFFSET(E522,-R522,0,R522,2)),1,1),"")</f>
        <v>-2.43765075168647E-005</v>
      </c>
      <c r="T522" s="29" t="n">
        <f aca="true">IF(AND(F522&gt;=1,R522&gt;=Inputs!$B$10),INDEX(LINEST(OFFSET(D522,-R522,0,R522,1),OFFSET(E522,-R522,0,R522,2)),1,2),"")</f>
        <v>1.0147271708948</v>
      </c>
      <c r="U522" s="29" t="n">
        <f aca="true">IF(AND(F522&gt;=1,R522&gt;=Inputs!$B$10),INDEX(LINEST(OFFSET(D522,-R522,0,R522,1),OFFSET(E522,-R522,0,R522,2)),1,3),"")</f>
        <v>4.4234627565803</v>
      </c>
      <c r="V522" s="29" t="n">
        <f aca="true">IF(AND(F522&gt;=1,R522&gt;=Inputs!$B$10),SQRT(SUMPRODUCT((OFFSET(D522,-R522,0,R522,1)-U522-T522*OFFSET(E522,-R522,0,R522,1)-S522*OFFSET(F522,-R522,0,R522,1))^2)/(R522-3)),"")</f>
        <v>0.00308784085884327</v>
      </c>
      <c r="W522" s="31" t="n">
        <f aca="false">IF(AND(F522&gt;=1,R522&gt;=Inputs!$B$10),(D522-U522-T522*E522-S522*F522)/V522,"")</f>
        <v>-0.230473309142173</v>
      </c>
      <c r="X522" s="30" t="n">
        <f aca="false">IF(AB521&lt;&gt;0,AC521+1,0)</f>
        <v>0</v>
      </c>
      <c r="Y522" s="30" t="n">
        <f aca="false">IF(W522="",0,IF(AND(AB521&lt;&gt;0,OR(ABS(W522)&gt;Inputs!$B$7,X522&gt;=Inputs!$B$8,ABS(W522)&lt;Inputs!$B$6)),1,0))</f>
        <v>0</v>
      </c>
      <c r="Z522" s="30" t="n">
        <f aca="false">IF(Y522=1,0,AB521)</f>
        <v>0</v>
      </c>
      <c r="AA522" s="30" t="n">
        <f aca="false">IF(W522="",0,IF(AND(Z522=0,ABS(W522)&gt;Inputs!$B$5,ABS(W522)&lt;=Inputs!$B$7),1,0))</f>
        <v>0</v>
      </c>
      <c r="AB522" s="30" t="n">
        <f aca="false">IF(W522="",0,IF(AA522=1,-SIGN(W522),Z522))</f>
        <v>0</v>
      </c>
      <c r="AC522" s="30" t="n">
        <f aca="false">IF(W522="",0,IF(AA522=1,0,IF(Y522=1,0,X522)))</f>
        <v>0</v>
      </c>
      <c r="AD522" s="30" t="n">
        <f aca="false">IF(AB522=0,0,IF(AB521=AB522,AD521,T522))</f>
        <v>0</v>
      </c>
      <c r="AE522" s="30" t="n">
        <f aca="false">AB522-AB521</f>
        <v>0</v>
      </c>
      <c r="AF522" s="30" t="n">
        <f aca="false">-AD522*AB522</f>
        <v>-0</v>
      </c>
      <c r="AG522" s="30" t="n">
        <f aca="false">AF522-AF521</f>
        <v>0</v>
      </c>
      <c r="AH522" s="30" t="n">
        <f aca="false">MAX(AE522,0)*(Inputs!$B$17+Inputs!$B$18+Inputs!$B$19)+MAX(-AE522,0)*(O522+Inputs!$B$18+Inputs!$B$19)+IF(AND(K522=1,AB522&lt;&gt;0),(Inputs!$B$17+Inputs!$B$18+Inputs!$B$19)+(O522+Inputs!$B$18+Inputs!$B$19),0)+MAX(AG522,0)*(Inputs!$B$20+Inputs!$B$22+Inputs!$B$23)+MAX(-AG522,0)*(Inputs!$B$21+Inputs!$B$22+Inputs!$B$23)</f>
        <v>0</v>
      </c>
      <c r="AI522" s="30" t="n">
        <f aca="false">AB521*(M522-AD521*J522)+AB521*AD521*N522/Inputs!$B$16-AH522</f>
        <v>0</v>
      </c>
      <c r="AJ522" s="30" t="n">
        <f aca="false">MAX(AE522,0)*(Inputs!$B$17+Inputs!$B$24+Inputs!$B$25)+MAX(-AE522,0)*(O522+Inputs!$B$24+Inputs!$B$25)+IF(AND(K522=1,AB522&lt;&gt;0),(Inputs!$B$17+Inputs!$B$24+Inputs!$B$25)+(O522+Inputs!$B$24+Inputs!$B$25),0)+MAX(AG522,0)*(Inputs!$B$20+Inputs!$B$26+Inputs!$B$27)+MAX(-AG522,0)*(Inputs!$B$21+Inputs!$B$26+Inputs!$B$27)</f>
        <v>0</v>
      </c>
      <c r="AK522" s="30" t="n">
        <f aca="false">AB521*(M522-AD521*J522)+AB521*AD521*(N522+Inputs!$B$14)/Inputs!$B$16-AJ522</f>
        <v>0</v>
      </c>
      <c r="AL522" s="30" t="n">
        <f aca="false">IF(AP521&lt;&gt;0,AQ521+1,0)</f>
        <v>0</v>
      </c>
      <c r="AM522" s="30" t="n">
        <f aca="false">IF(W522="",0,IF(AND(AP521&lt;&gt;0,OR(ABS(W522)&gt;Inputs!$B$7,AL522&gt;=Inputs!$B$8,ABS(W522)&lt;Inputs!$B$6)),1,0))</f>
        <v>0</v>
      </c>
      <c r="AN522" s="30" t="n">
        <f aca="false">IF(AM522=1,0,AP521)</f>
        <v>0</v>
      </c>
      <c r="AO522" s="30" t="n">
        <f aca="false">IF(W522="",0,IF(AND(AN522=0,ABS(W522)&gt;Inputs!$B$5,ABS(W522)&lt;=Inputs!$B$7,W522&gt;0),1,0))</f>
        <v>0</v>
      </c>
      <c r="AP522" s="30" t="n">
        <f aca="false">IF(W522="",0,IF(AO522=1,-SIGN(W522),AN522))</f>
        <v>0</v>
      </c>
      <c r="AQ522" s="30" t="n">
        <f aca="false">IF(W522="",0,IF(AO522=1,0,IF(AM522=1,0,AL522)))</f>
        <v>0</v>
      </c>
      <c r="AR522" s="30" t="n">
        <f aca="false">IF(AP522=0,0,IF(AP521=AP522,AR521,T522))</f>
        <v>0</v>
      </c>
      <c r="AS522" s="30" t="n">
        <f aca="false">AP522-AP521</f>
        <v>0</v>
      </c>
      <c r="AT522" s="30" t="n">
        <f aca="false">-AR522*AP522</f>
        <v>-0</v>
      </c>
      <c r="AU522" s="30" t="n">
        <f aca="false">AT522-AT521</f>
        <v>0</v>
      </c>
      <c r="AV522" s="30" t="n">
        <f aca="false">MAX(AS522,0)*(Inputs!$B$17+Inputs!$B$18+Inputs!$B$19)+MAX(-AS522,0)*(O522+Inputs!$B$18+Inputs!$B$19)+IF(AND(K522=1,AP522&lt;&gt;0),(Inputs!$B$17+Inputs!$B$18+Inputs!$B$19)+(O522+Inputs!$B$18+Inputs!$B$19),0)+MAX(AU522,0)*(Inputs!$B$20+Inputs!$B$22+Inputs!$B$23)+MAX(-AU522,0)*(Inputs!$B$21+Inputs!$B$22+Inputs!$B$23)</f>
        <v>0</v>
      </c>
      <c r="AW522" s="30" t="n">
        <f aca="false">AP521*(M522-AR521*J522)+AP521*AR521*N522/Inputs!$B$16-AV522</f>
        <v>0</v>
      </c>
      <c r="AX522" s="30" t="n">
        <f aca="false">AW522-IF(AP521&lt;&gt;0,0.75*AR521*(Inputs!$B$13-N522)/Inputs!$B$16,0)</f>
        <v>0</v>
      </c>
      <c r="AY522" s="30" t="n">
        <f aca="false">MAX(AS522,0)*(Inputs!$B$17+Inputs!$B$18+Inputs!$B$19)+MAX(-AS522,0)*(O522+Inputs!$B$18+Inputs!$B$19)+IF(AND(K522=1,AP522&lt;&gt;0),(Inputs!$B$17+Inputs!$B$18+Inputs!$B$19)+(O522+Inputs!$B$18+Inputs!$B$19),0)</f>
        <v>0</v>
      </c>
      <c r="AZ522" s="30" t="n">
        <f aca="false">AP521*M522-AY522</f>
        <v>-0</v>
      </c>
      <c r="BA522" s="32" t="n">
        <f aca="false">BA521+AI522</f>
        <v>0.00698617887383685</v>
      </c>
      <c r="BB522" s="30" t="n">
        <f aca="false">MAX(BB521,BA522)</f>
        <v>0.00698617887383685</v>
      </c>
      <c r="BC522" s="32" t="n">
        <f aca="false">BA522-BB522</f>
        <v>0</v>
      </c>
      <c r="BD522" s="30" t="n">
        <f aca="false">A523-A522</f>
        <v>1</v>
      </c>
    </row>
    <row r="523" customFormat="false" ht="15" hidden="false" customHeight="false" outlineLevel="0" collapsed="false">
      <c r="A523" s="28" t="n">
        <v>45812</v>
      </c>
      <c r="B523" s="0" t="n">
        <v>24720</v>
      </c>
      <c r="C523" s="0" t="n">
        <v>276.4</v>
      </c>
      <c r="D523" s="29" t="n">
        <f aca="false">LN(B523)</f>
        <v>10.1153679115716</v>
      </c>
      <c r="E523" s="29" t="n">
        <f aca="false">LN(C523)</f>
        <v>5.62184909189352</v>
      </c>
      <c r="F523" s="0" t="n">
        <v>518</v>
      </c>
      <c r="G523" s="0" t="n">
        <v>22</v>
      </c>
      <c r="H523" s="29" t="n">
        <f aca="false">D523-E523</f>
        <v>4.49351881967811</v>
      </c>
      <c r="I523" s="29" t="n">
        <f aca="false">D523-D522</f>
        <v>0.0029655579720238</v>
      </c>
      <c r="J523" s="29" t="n">
        <f aca="false">E523-E522</f>
        <v>0.00235443375990307</v>
      </c>
      <c r="K523" s="0" t="n">
        <v>0</v>
      </c>
      <c r="L523" s="0" t="n">
        <v>0</v>
      </c>
      <c r="M523" s="29" t="n">
        <f aca="false">IF(L523=1,J523-Carry!$B$9/Inputs!$B$16,I523)</f>
        <v>0.0029655579720238</v>
      </c>
      <c r="N523" s="0" t="n">
        <v>0.06</v>
      </c>
      <c r="O523" s="0" t="n">
        <v>0.0002</v>
      </c>
      <c r="P523" s="29" t="n">
        <f aca="false">D523-('2 Hedge ratio'!$B$6+'2 Hedge ratio'!$B$5*E523)</f>
        <v>0.00322144069291141</v>
      </c>
      <c r="Q523" s="29" t="n">
        <f aca="false">D523-('5 Re-specification'!$B$7+'5 Re-specification'!$B$5*E523+'5 Re-specification'!$B$6*F523)</f>
        <v>0.0026281992964563</v>
      </c>
      <c r="R523" s="30" t="n">
        <f aca="false">MIN(F523,Inputs!$B$9)</f>
        <v>250</v>
      </c>
      <c r="S523" s="29" t="n">
        <f aca="true">IF(AND(F523&gt;=1,R523&gt;=Inputs!$B$10),INDEX(LINEST(OFFSET(D523,-R523,0,R523,1),OFFSET(E523,-R523,0,R523,2)),1,1),"")</f>
        <v>-2.42854042848951E-005</v>
      </c>
      <c r="T523" s="29" t="n">
        <f aca="true">IF(AND(F523&gt;=1,R523&gt;=Inputs!$B$10),INDEX(LINEST(OFFSET(D523,-R523,0,R523,1),OFFSET(E523,-R523,0,R523,2)),1,2),"")</f>
        <v>1.01497577934315</v>
      </c>
      <c r="U523" s="29" t="n">
        <f aca="true">IF(AND(F523&gt;=1,R523&gt;=Inputs!$B$10),INDEX(LINEST(OFFSET(D523,-R523,0,R523,1),OFFSET(E523,-R523,0,R523,2)),1,3),"")</f>
        <v>4.42202809496198</v>
      </c>
      <c r="V523" s="29" t="n">
        <f aca="true">IF(AND(F523&gt;=1,R523&gt;=Inputs!$B$10),SQRT(SUMPRODUCT((OFFSET(D523,-R523,0,R523,1)-U523-T523*OFFSET(E523,-R523,0,R523,1)-S523*OFFSET(F523,-R523,0,R523,1))^2)/(R523-3)),"")</f>
        <v>0.00308690403377427</v>
      </c>
      <c r="W523" s="31" t="n">
        <f aca="false">IF(AND(F523&gt;=1,R523&gt;=Inputs!$B$10),(D523-U523-T523*E523-S523*F523)/V523,"")</f>
        <v>-0.0392002354636458</v>
      </c>
      <c r="X523" s="30" t="n">
        <f aca="false">IF(AB522&lt;&gt;0,AC522+1,0)</f>
        <v>0</v>
      </c>
      <c r="Y523" s="30" t="n">
        <f aca="false">IF(W523="",0,IF(AND(AB522&lt;&gt;0,OR(ABS(W523)&gt;Inputs!$B$7,X523&gt;=Inputs!$B$8,ABS(W523)&lt;Inputs!$B$6)),1,0))</f>
        <v>0</v>
      </c>
      <c r="Z523" s="30" t="n">
        <f aca="false">IF(Y523=1,0,AB522)</f>
        <v>0</v>
      </c>
      <c r="AA523" s="30" t="n">
        <f aca="false">IF(W523="",0,IF(AND(Z523=0,ABS(W523)&gt;Inputs!$B$5,ABS(W523)&lt;=Inputs!$B$7),1,0))</f>
        <v>0</v>
      </c>
      <c r="AB523" s="30" t="n">
        <f aca="false">IF(W523="",0,IF(AA523=1,-SIGN(W523),Z523))</f>
        <v>0</v>
      </c>
      <c r="AC523" s="30" t="n">
        <f aca="false">IF(W523="",0,IF(AA523=1,0,IF(Y523=1,0,X523)))</f>
        <v>0</v>
      </c>
      <c r="AD523" s="30" t="n">
        <f aca="false">IF(AB523=0,0,IF(AB522=AB523,AD522,T523))</f>
        <v>0</v>
      </c>
      <c r="AE523" s="30" t="n">
        <f aca="false">AB523-AB522</f>
        <v>0</v>
      </c>
      <c r="AF523" s="30" t="n">
        <f aca="false">-AD523*AB523</f>
        <v>-0</v>
      </c>
      <c r="AG523" s="30" t="n">
        <f aca="false">AF523-AF522</f>
        <v>0</v>
      </c>
      <c r="AH523" s="30" t="n">
        <f aca="false">MAX(AE523,0)*(Inputs!$B$17+Inputs!$B$18+Inputs!$B$19)+MAX(-AE523,0)*(O523+Inputs!$B$18+Inputs!$B$19)+IF(AND(K523=1,AB523&lt;&gt;0),(Inputs!$B$17+Inputs!$B$18+Inputs!$B$19)+(O523+Inputs!$B$18+Inputs!$B$19),0)+MAX(AG523,0)*(Inputs!$B$20+Inputs!$B$22+Inputs!$B$23)+MAX(-AG523,0)*(Inputs!$B$21+Inputs!$B$22+Inputs!$B$23)</f>
        <v>0</v>
      </c>
      <c r="AI523" s="30" t="n">
        <f aca="false">AB522*(M523-AD522*J523)+AB522*AD522*N523/Inputs!$B$16-AH523</f>
        <v>0</v>
      </c>
      <c r="AJ523" s="30" t="n">
        <f aca="false">MAX(AE523,0)*(Inputs!$B$17+Inputs!$B$24+Inputs!$B$25)+MAX(-AE523,0)*(O523+Inputs!$B$24+Inputs!$B$25)+IF(AND(K523=1,AB523&lt;&gt;0),(Inputs!$B$17+Inputs!$B$24+Inputs!$B$25)+(O523+Inputs!$B$24+Inputs!$B$25),0)+MAX(AG523,0)*(Inputs!$B$20+Inputs!$B$26+Inputs!$B$27)+MAX(-AG523,0)*(Inputs!$B$21+Inputs!$B$26+Inputs!$B$27)</f>
        <v>0</v>
      </c>
      <c r="AK523" s="30" t="n">
        <f aca="false">AB522*(M523-AD522*J523)+AB522*AD522*(N523+Inputs!$B$14)/Inputs!$B$16-AJ523</f>
        <v>0</v>
      </c>
      <c r="AL523" s="30" t="n">
        <f aca="false">IF(AP522&lt;&gt;0,AQ522+1,0)</f>
        <v>0</v>
      </c>
      <c r="AM523" s="30" t="n">
        <f aca="false">IF(W523="",0,IF(AND(AP522&lt;&gt;0,OR(ABS(W523)&gt;Inputs!$B$7,AL523&gt;=Inputs!$B$8,ABS(W523)&lt;Inputs!$B$6)),1,0))</f>
        <v>0</v>
      </c>
      <c r="AN523" s="30" t="n">
        <f aca="false">IF(AM523=1,0,AP522)</f>
        <v>0</v>
      </c>
      <c r="AO523" s="30" t="n">
        <f aca="false">IF(W523="",0,IF(AND(AN523=0,ABS(W523)&gt;Inputs!$B$5,ABS(W523)&lt;=Inputs!$B$7,W523&gt;0),1,0))</f>
        <v>0</v>
      </c>
      <c r="AP523" s="30" t="n">
        <f aca="false">IF(W523="",0,IF(AO523=1,-SIGN(W523),AN523))</f>
        <v>0</v>
      </c>
      <c r="AQ523" s="30" t="n">
        <f aca="false">IF(W523="",0,IF(AO523=1,0,IF(AM523=1,0,AL523)))</f>
        <v>0</v>
      </c>
      <c r="AR523" s="30" t="n">
        <f aca="false">IF(AP523=0,0,IF(AP522=AP523,AR522,T523))</f>
        <v>0</v>
      </c>
      <c r="AS523" s="30" t="n">
        <f aca="false">AP523-AP522</f>
        <v>0</v>
      </c>
      <c r="AT523" s="30" t="n">
        <f aca="false">-AR523*AP523</f>
        <v>-0</v>
      </c>
      <c r="AU523" s="30" t="n">
        <f aca="false">AT523-AT522</f>
        <v>0</v>
      </c>
      <c r="AV523" s="30" t="n">
        <f aca="false">MAX(AS523,0)*(Inputs!$B$17+Inputs!$B$18+Inputs!$B$19)+MAX(-AS523,0)*(O523+Inputs!$B$18+Inputs!$B$19)+IF(AND(K523=1,AP523&lt;&gt;0),(Inputs!$B$17+Inputs!$B$18+Inputs!$B$19)+(O523+Inputs!$B$18+Inputs!$B$19),0)+MAX(AU523,0)*(Inputs!$B$20+Inputs!$B$22+Inputs!$B$23)+MAX(-AU523,0)*(Inputs!$B$21+Inputs!$B$22+Inputs!$B$23)</f>
        <v>0</v>
      </c>
      <c r="AW523" s="30" t="n">
        <f aca="false">AP522*(M523-AR522*J523)+AP522*AR522*N523/Inputs!$B$16-AV523</f>
        <v>0</v>
      </c>
      <c r="AX523" s="30" t="n">
        <f aca="false">AW523-IF(AP522&lt;&gt;0,0.75*AR522*(Inputs!$B$13-N523)/Inputs!$B$16,0)</f>
        <v>0</v>
      </c>
      <c r="AY523" s="30" t="n">
        <f aca="false">MAX(AS523,0)*(Inputs!$B$17+Inputs!$B$18+Inputs!$B$19)+MAX(-AS523,0)*(O523+Inputs!$B$18+Inputs!$B$19)+IF(AND(K523=1,AP523&lt;&gt;0),(Inputs!$B$17+Inputs!$B$18+Inputs!$B$19)+(O523+Inputs!$B$18+Inputs!$B$19),0)</f>
        <v>0</v>
      </c>
      <c r="AZ523" s="30" t="n">
        <f aca="false">AP522*M523-AY523</f>
        <v>0</v>
      </c>
      <c r="BA523" s="32" t="n">
        <f aca="false">BA522+AI523</f>
        <v>0.00698617887383685</v>
      </c>
      <c r="BB523" s="30" t="n">
        <f aca="false">MAX(BB522,BA523)</f>
        <v>0.00698617887383685</v>
      </c>
      <c r="BC523" s="32" t="n">
        <f aca="false">BA523-BB523</f>
        <v>0</v>
      </c>
      <c r="BD523" s="30" t="n">
        <f aca="false">A524-A523</f>
        <v>1</v>
      </c>
    </row>
    <row r="524" customFormat="false" ht="15" hidden="false" customHeight="false" outlineLevel="0" collapsed="false">
      <c r="A524" s="28" t="n">
        <v>45813</v>
      </c>
      <c r="B524" s="0" t="n">
        <v>24870.6</v>
      </c>
      <c r="C524" s="0" t="n">
        <v>277.97</v>
      </c>
      <c r="D524" s="29" t="n">
        <f aca="false">LN(B524)</f>
        <v>10.1214416619588</v>
      </c>
      <c r="E524" s="29" t="n">
        <f aca="false">LN(C524)</f>
        <v>5.62751319419847</v>
      </c>
      <c r="F524" s="0" t="n">
        <v>519</v>
      </c>
      <c r="G524" s="0" t="n">
        <v>21</v>
      </c>
      <c r="H524" s="29" t="n">
        <f aca="false">D524-E524</f>
        <v>4.49392846776032</v>
      </c>
      <c r="I524" s="29" t="n">
        <f aca="false">D524-D523</f>
        <v>0.00607375038716107</v>
      </c>
      <c r="J524" s="29" t="n">
        <f aca="false">E524-E523</f>
        <v>0.00566410230495862</v>
      </c>
      <c r="K524" s="0" t="n">
        <v>0</v>
      </c>
      <c r="L524" s="0" t="n">
        <v>0</v>
      </c>
      <c r="M524" s="29" t="n">
        <f aca="false">IF(L524=1,J524-Carry!$B$9/Inputs!$B$16,I524)</f>
        <v>0.00607375038716107</v>
      </c>
      <c r="N524" s="0" t="n">
        <v>0.06</v>
      </c>
      <c r="O524" s="0" t="n">
        <v>0.0002</v>
      </c>
      <c r="P524" s="29" t="n">
        <f aca="false">D524-('2 Hedge ratio'!$B$6+'2 Hedge ratio'!$B$5*E524)</f>
        <v>0.00410615539138881</v>
      </c>
      <c r="Q524" s="29" t="n">
        <f aca="false">D524-('5 Re-specification'!$B$7+'5 Re-specification'!$B$5*E524+'5 Re-specification'!$B$6*F524)</f>
        <v>0.00309994175891326</v>
      </c>
      <c r="R524" s="30" t="n">
        <f aca="false">MIN(F524,Inputs!$B$9)</f>
        <v>250</v>
      </c>
      <c r="S524" s="29" t="n">
        <f aca="true">IF(AND(F524&gt;=1,R524&gt;=Inputs!$B$10),INDEX(LINEST(OFFSET(D524,-R524,0,R524,1),OFFSET(E524,-R524,0,R524,2)),1,1),"")</f>
        <v>-2.46787856368525E-005</v>
      </c>
      <c r="T524" s="29" t="n">
        <f aca="true">IF(AND(F524&gt;=1,R524&gt;=Inputs!$B$10),INDEX(LINEST(OFFSET(D524,-R524,0,R524,1),OFFSET(E524,-R524,0,R524,2)),1,2),"")</f>
        <v>1.01413220263434</v>
      </c>
      <c r="U524" s="29" t="n">
        <f aca="true">IF(AND(F524&gt;=1,R524&gt;=Inputs!$B$10),INDEX(LINEST(OFFSET(D524,-R524,0,R524,1),OFFSET(E524,-R524,0,R524,2)),1,3),"")</f>
        <v>4.42691312412731</v>
      </c>
      <c r="V524" s="29" t="n">
        <f aca="true">IF(AND(F524&gt;=1,R524&gt;=Inputs!$B$10),SQRT(SUMPRODUCT((OFFSET(D524,-R524,0,R524,1)-U524-T524*OFFSET(E524,-R524,0,R524,1)-S524*OFFSET(F524,-R524,0,R524,1))^2)/(R524-3)),"")</f>
        <v>0.00308078976099095</v>
      </c>
      <c r="W524" s="31" t="n">
        <f aca="false">IF(AND(F524&gt;=1,R524&gt;=Inputs!$B$10),(D524-U524-T524*E524-S524*F524)/V524,"")</f>
        <v>0.0955847732336849</v>
      </c>
      <c r="X524" s="30" t="n">
        <f aca="false">IF(AB523&lt;&gt;0,AC523+1,0)</f>
        <v>0</v>
      </c>
      <c r="Y524" s="30" t="n">
        <f aca="false">IF(W524="",0,IF(AND(AB523&lt;&gt;0,OR(ABS(W524)&gt;Inputs!$B$7,X524&gt;=Inputs!$B$8,ABS(W524)&lt;Inputs!$B$6)),1,0))</f>
        <v>0</v>
      </c>
      <c r="Z524" s="30" t="n">
        <f aca="false">IF(Y524=1,0,AB523)</f>
        <v>0</v>
      </c>
      <c r="AA524" s="30" t="n">
        <f aca="false">IF(W524="",0,IF(AND(Z524=0,ABS(W524)&gt;Inputs!$B$5,ABS(W524)&lt;=Inputs!$B$7),1,0))</f>
        <v>0</v>
      </c>
      <c r="AB524" s="30" t="n">
        <f aca="false">IF(W524="",0,IF(AA524=1,-SIGN(W524),Z524))</f>
        <v>0</v>
      </c>
      <c r="AC524" s="30" t="n">
        <f aca="false">IF(W524="",0,IF(AA524=1,0,IF(Y524=1,0,X524)))</f>
        <v>0</v>
      </c>
      <c r="AD524" s="30" t="n">
        <f aca="false">IF(AB524=0,0,IF(AB523=AB524,AD523,T524))</f>
        <v>0</v>
      </c>
      <c r="AE524" s="30" t="n">
        <f aca="false">AB524-AB523</f>
        <v>0</v>
      </c>
      <c r="AF524" s="30" t="n">
        <f aca="false">-AD524*AB524</f>
        <v>-0</v>
      </c>
      <c r="AG524" s="30" t="n">
        <f aca="false">AF524-AF523</f>
        <v>0</v>
      </c>
      <c r="AH524" s="30" t="n">
        <f aca="false">MAX(AE524,0)*(Inputs!$B$17+Inputs!$B$18+Inputs!$B$19)+MAX(-AE524,0)*(O524+Inputs!$B$18+Inputs!$B$19)+IF(AND(K524=1,AB524&lt;&gt;0),(Inputs!$B$17+Inputs!$B$18+Inputs!$B$19)+(O524+Inputs!$B$18+Inputs!$B$19),0)+MAX(AG524,0)*(Inputs!$B$20+Inputs!$B$22+Inputs!$B$23)+MAX(-AG524,0)*(Inputs!$B$21+Inputs!$B$22+Inputs!$B$23)</f>
        <v>0</v>
      </c>
      <c r="AI524" s="30" t="n">
        <f aca="false">AB523*(M524-AD523*J524)+AB523*AD523*N524/Inputs!$B$16-AH524</f>
        <v>0</v>
      </c>
      <c r="AJ524" s="30" t="n">
        <f aca="false">MAX(AE524,0)*(Inputs!$B$17+Inputs!$B$24+Inputs!$B$25)+MAX(-AE524,0)*(O524+Inputs!$B$24+Inputs!$B$25)+IF(AND(K524=1,AB524&lt;&gt;0),(Inputs!$B$17+Inputs!$B$24+Inputs!$B$25)+(O524+Inputs!$B$24+Inputs!$B$25),0)+MAX(AG524,0)*(Inputs!$B$20+Inputs!$B$26+Inputs!$B$27)+MAX(-AG524,0)*(Inputs!$B$21+Inputs!$B$26+Inputs!$B$27)</f>
        <v>0</v>
      </c>
      <c r="AK524" s="30" t="n">
        <f aca="false">AB523*(M524-AD523*J524)+AB523*AD523*(N524+Inputs!$B$14)/Inputs!$B$16-AJ524</f>
        <v>0</v>
      </c>
      <c r="AL524" s="30" t="n">
        <f aca="false">IF(AP523&lt;&gt;0,AQ523+1,0)</f>
        <v>0</v>
      </c>
      <c r="AM524" s="30" t="n">
        <f aca="false">IF(W524="",0,IF(AND(AP523&lt;&gt;0,OR(ABS(W524)&gt;Inputs!$B$7,AL524&gt;=Inputs!$B$8,ABS(W524)&lt;Inputs!$B$6)),1,0))</f>
        <v>0</v>
      </c>
      <c r="AN524" s="30" t="n">
        <f aca="false">IF(AM524=1,0,AP523)</f>
        <v>0</v>
      </c>
      <c r="AO524" s="30" t="n">
        <f aca="false">IF(W524="",0,IF(AND(AN524=0,ABS(W524)&gt;Inputs!$B$5,ABS(W524)&lt;=Inputs!$B$7,W524&gt;0),1,0))</f>
        <v>0</v>
      </c>
      <c r="AP524" s="30" t="n">
        <f aca="false">IF(W524="",0,IF(AO524=1,-SIGN(W524),AN524))</f>
        <v>0</v>
      </c>
      <c r="AQ524" s="30" t="n">
        <f aca="false">IF(W524="",0,IF(AO524=1,0,IF(AM524=1,0,AL524)))</f>
        <v>0</v>
      </c>
      <c r="AR524" s="30" t="n">
        <f aca="false">IF(AP524=0,0,IF(AP523=AP524,AR523,T524))</f>
        <v>0</v>
      </c>
      <c r="AS524" s="30" t="n">
        <f aca="false">AP524-AP523</f>
        <v>0</v>
      </c>
      <c r="AT524" s="30" t="n">
        <f aca="false">-AR524*AP524</f>
        <v>-0</v>
      </c>
      <c r="AU524" s="30" t="n">
        <f aca="false">AT524-AT523</f>
        <v>0</v>
      </c>
      <c r="AV524" s="30" t="n">
        <f aca="false">MAX(AS524,0)*(Inputs!$B$17+Inputs!$B$18+Inputs!$B$19)+MAX(-AS524,0)*(O524+Inputs!$B$18+Inputs!$B$19)+IF(AND(K524=1,AP524&lt;&gt;0),(Inputs!$B$17+Inputs!$B$18+Inputs!$B$19)+(O524+Inputs!$B$18+Inputs!$B$19),0)+MAX(AU524,0)*(Inputs!$B$20+Inputs!$B$22+Inputs!$B$23)+MAX(-AU524,0)*(Inputs!$B$21+Inputs!$B$22+Inputs!$B$23)</f>
        <v>0</v>
      </c>
      <c r="AW524" s="30" t="n">
        <f aca="false">AP523*(M524-AR523*J524)+AP523*AR523*N524/Inputs!$B$16-AV524</f>
        <v>0</v>
      </c>
      <c r="AX524" s="30" t="n">
        <f aca="false">AW524-IF(AP523&lt;&gt;0,0.75*AR523*(Inputs!$B$13-N524)/Inputs!$B$16,0)</f>
        <v>0</v>
      </c>
      <c r="AY524" s="30" t="n">
        <f aca="false">MAX(AS524,0)*(Inputs!$B$17+Inputs!$B$18+Inputs!$B$19)+MAX(-AS524,0)*(O524+Inputs!$B$18+Inputs!$B$19)+IF(AND(K524=1,AP524&lt;&gt;0),(Inputs!$B$17+Inputs!$B$18+Inputs!$B$19)+(O524+Inputs!$B$18+Inputs!$B$19),0)</f>
        <v>0</v>
      </c>
      <c r="AZ524" s="30" t="n">
        <f aca="false">AP523*M524-AY524</f>
        <v>0</v>
      </c>
      <c r="BA524" s="32" t="n">
        <f aca="false">BA523+AI524</f>
        <v>0.00698617887383685</v>
      </c>
      <c r="BB524" s="30" t="n">
        <f aca="false">MAX(BB523,BA524)</f>
        <v>0.00698617887383685</v>
      </c>
      <c r="BC524" s="32" t="n">
        <f aca="false">BA524-BB524</f>
        <v>0</v>
      </c>
      <c r="BD524" s="30" t="n">
        <f aca="false">A525-A524</f>
        <v>1</v>
      </c>
    </row>
    <row r="525" customFormat="false" ht="15" hidden="false" customHeight="false" outlineLevel="0" collapsed="false">
      <c r="A525" s="28" t="n">
        <v>45814</v>
      </c>
      <c r="B525" s="0" t="n">
        <v>25090.7</v>
      </c>
      <c r="C525" s="0" t="n">
        <v>280.5</v>
      </c>
      <c r="D525" s="29" t="n">
        <f aca="false">LN(B525)</f>
        <v>10.1302525385329</v>
      </c>
      <c r="E525" s="29" t="n">
        <f aca="false">LN(C525)</f>
        <v>5.63657372496275</v>
      </c>
      <c r="F525" s="0" t="n">
        <v>520</v>
      </c>
      <c r="G525" s="0" t="n">
        <v>20</v>
      </c>
      <c r="H525" s="29" t="n">
        <f aca="false">D525-E525</f>
        <v>4.49367881357011</v>
      </c>
      <c r="I525" s="29" t="n">
        <f aca="false">D525-D524</f>
        <v>0.00881087657407242</v>
      </c>
      <c r="J525" s="29" t="n">
        <f aca="false">E525-E524</f>
        <v>0.00906053076427771</v>
      </c>
      <c r="K525" s="0" t="n">
        <v>0</v>
      </c>
      <c r="L525" s="0" t="n">
        <v>0</v>
      </c>
      <c r="M525" s="29" t="n">
        <f aca="false">IF(L525=1,J525-Carry!$B$9/Inputs!$B$16,I525)</f>
        <v>0.00881087657407242</v>
      </c>
      <c r="N525" s="0" t="n">
        <v>0.055</v>
      </c>
      <c r="O525" s="0" t="n">
        <v>0.0002</v>
      </c>
      <c r="P525" s="29" t="n">
        <f aca="false">D525-('2 Hedge ratio'!$B$6+'2 Hedge ratio'!$B$5*E525)</f>
        <v>0.00461643727932781</v>
      </c>
      <c r="Q525" s="29" t="n">
        <f aca="false">D525-('5 Re-specification'!$B$7+'5 Re-specification'!$B$5*E525+'5 Re-specification'!$B$6*F525)</f>
        <v>0.00292267482547715</v>
      </c>
      <c r="R525" s="30" t="n">
        <f aca="false">MIN(F525,Inputs!$B$9)</f>
        <v>250</v>
      </c>
      <c r="S525" s="29" t="n">
        <f aca="true">IF(AND(F525&gt;=1,R525&gt;=Inputs!$B$10),INDEX(LINEST(OFFSET(D525,-R525,0,R525,1),OFFSET(E525,-R525,0,R525,2)),1,1),"")</f>
        <v>-2.41031383430965E-005</v>
      </c>
      <c r="T525" s="29" t="n">
        <f aca="true">IF(AND(F525&gt;=1,R525&gt;=Inputs!$B$10),INDEX(LINEST(OFFSET(D525,-R525,0,R525,1),OFFSET(E525,-R525,0,R525,2)),1,2),"")</f>
        <v>1.01535082311951</v>
      </c>
      <c r="U525" s="29" t="n">
        <f aca="true">IF(AND(F525&gt;=1,R525&gt;=Inputs!$B$10),INDEX(LINEST(OFFSET(D525,-R525,0,R525,1),OFFSET(E525,-R525,0,R525,2)),1,3),"")</f>
        <v>4.4198531137885</v>
      </c>
      <c r="V525" s="29" t="n">
        <f aca="true">IF(AND(F525&gt;=1,R525&gt;=Inputs!$B$10),SQRT(SUMPRODUCT((OFFSET(D525,-R525,0,R525,1)-U525-T525*OFFSET(E525,-R525,0,R525,1)-S525*OFFSET(F525,-R525,0,R525,1))^2)/(R525-3)),"")</f>
        <v>0.00306849838127435</v>
      </c>
      <c r="W525" s="31" t="n">
        <f aca="false">IF(AND(F525&gt;=1,R525&gt;=Inputs!$B$10),(D525-U525-T525*E525-S525*F525)/V525,"")</f>
        <v>-0.0543309825289998</v>
      </c>
      <c r="X525" s="30" t="n">
        <f aca="false">IF(AB524&lt;&gt;0,AC524+1,0)</f>
        <v>0</v>
      </c>
      <c r="Y525" s="30" t="n">
        <f aca="false">IF(W525="",0,IF(AND(AB524&lt;&gt;0,OR(ABS(W525)&gt;Inputs!$B$7,X525&gt;=Inputs!$B$8,ABS(W525)&lt;Inputs!$B$6)),1,0))</f>
        <v>0</v>
      </c>
      <c r="Z525" s="30" t="n">
        <f aca="false">IF(Y525=1,0,AB524)</f>
        <v>0</v>
      </c>
      <c r="AA525" s="30" t="n">
        <f aca="false">IF(W525="",0,IF(AND(Z525=0,ABS(W525)&gt;Inputs!$B$5,ABS(W525)&lt;=Inputs!$B$7),1,0))</f>
        <v>0</v>
      </c>
      <c r="AB525" s="30" t="n">
        <f aca="false">IF(W525="",0,IF(AA525=1,-SIGN(W525),Z525))</f>
        <v>0</v>
      </c>
      <c r="AC525" s="30" t="n">
        <f aca="false">IF(W525="",0,IF(AA525=1,0,IF(Y525=1,0,X525)))</f>
        <v>0</v>
      </c>
      <c r="AD525" s="30" t="n">
        <f aca="false">IF(AB525=0,0,IF(AB524=AB525,AD524,T525))</f>
        <v>0</v>
      </c>
      <c r="AE525" s="30" t="n">
        <f aca="false">AB525-AB524</f>
        <v>0</v>
      </c>
      <c r="AF525" s="30" t="n">
        <f aca="false">-AD525*AB525</f>
        <v>-0</v>
      </c>
      <c r="AG525" s="30" t="n">
        <f aca="false">AF525-AF524</f>
        <v>0</v>
      </c>
      <c r="AH525" s="30" t="n">
        <f aca="false">MAX(AE525,0)*(Inputs!$B$17+Inputs!$B$18+Inputs!$B$19)+MAX(-AE525,0)*(O525+Inputs!$B$18+Inputs!$B$19)+IF(AND(K525=1,AB525&lt;&gt;0),(Inputs!$B$17+Inputs!$B$18+Inputs!$B$19)+(O525+Inputs!$B$18+Inputs!$B$19),0)+MAX(AG525,0)*(Inputs!$B$20+Inputs!$B$22+Inputs!$B$23)+MAX(-AG525,0)*(Inputs!$B$21+Inputs!$B$22+Inputs!$B$23)</f>
        <v>0</v>
      </c>
      <c r="AI525" s="30" t="n">
        <f aca="false">AB524*(M525-AD524*J525)+AB524*AD524*N525/Inputs!$B$16-AH525</f>
        <v>0</v>
      </c>
      <c r="AJ525" s="30" t="n">
        <f aca="false">MAX(AE525,0)*(Inputs!$B$17+Inputs!$B$24+Inputs!$B$25)+MAX(-AE525,0)*(O525+Inputs!$B$24+Inputs!$B$25)+IF(AND(K525=1,AB525&lt;&gt;0),(Inputs!$B$17+Inputs!$B$24+Inputs!$B$25)+(O525+Inputs!$B$24+Inputs!$B$25),0)+MAX(AG525,0)*(Inputs!$B$20+Inputs!$B$26+Inputs!$B$27)+MAX(-AG525,0)*(Inputs!$B$21+Inputs!$B$26+Inputs!$B$27)</f>
        <v>0</v>
      </c>
      <c r="AK525" s="30" t="n">
        <f aca="false">AB524*(M525-AD524*J525)+AB524*AD524*(N525+Inputs!$B$14)/Inputs!$B$16-AJ525</f>
        <v>0</v>
      </c>
      <c r="AL525" s="30" t="n">
        <f aca="false">IF(AP524&lt;&gt;0,AQ524+1,0)</f>
        <v>0</v>
      </c>
      <c r="AM525" s="30" t="n">
        <f aca="false">IF(W525="",0,IF(AND(AP524&lt;&gt;0,OR(ABS(W525)&gt;Inputs!$B$7,AL525&gt;=Inputs!$B$8,ABS(W525)&lt;Inputs!$B$6)),1,0))</f>
        <v>0</v>
      </c>
      <c r="AN525" s="30" t="n">
        <f aca="false">IF(AM525=1,0,AP524)</f>
        <v>0</v>
      </c>
      <c r="AO525" s="30" t="n">
        <f aca="false">IF(W525="",0,IF(AND(AN525=0,ABS(W525)&gt;Inputs!$B$5,ABS(W525)&lt;=Inputs!$B$7,W525&gt;0),1,0))</f>
        <v>0</v>
      </c>
      <c r="AP525" s="30" t="n">
        <f aca="false">IF(W525="",0,IF(AO525=1,-SIGN(W525),AN525))</f>
        <v>0</v>
      </c>
      <c r="AQ525" s="30" t="n">
        <f aca="false">IF(W525="",0,IF(AO525=1,0,IF(AM525=1,0,AL525)))</f>
        <v>0</v>
      </c>
      <c r="AR525" s="30" t="n">
        <f aca="false">IF(AP525=0,0,IF(AP524=AP525,AR524,T525))</f>
        <v>0</v>
      </c>
      <c r="AS525" s="30" t="n">
        <f aca="false">AP525-AP524</f>
        <v>0</v>
      </c>
      <c r="AT525" s="30" t="n">
        <f aca="false">-AR525*AP525</f>
        <v>-0</v>
      </c>
      <c r="AU525" s="30" t="n">
        <f aca="false">AT525-AT524</f>
        <v>0</v>
      </c>
      <c r="AV525" s="30" t="n">
        <f aca="false">MAX(AS525,0)*(Inputs!$B$17+Inputs!$B$18+Inputs!$B$19)+MAX(-AS525,0)*(O525+Inputs!$B$18+Inputs!$B$19)+IF(AND(K525=1,AP525&lt;&gt;0),(Inputs!$B$17+Inputs!$B$18+Inputs!$B$19)+(O525+Inputs!$B$18+Inputs!$B$19),0)+MAX(AU525,0)*(Inputs!$B$20+Inputs!$B$22+Inputs!$B$23)+MAX(-AU525,0)*(Inputs!$B$21+Inputs!$B$22+Inputs!$B$23)</f>
        <v>0</v>
      </c>
      <c r="AW525" s="30" t="n">
        <f aca="false">AP524*(M525-AR524*J525)+AP524*AR524*N525/Inputs!$B$16-AV525</f>
        <v>0</v>
      </c>
      <c r="AX525" s="30" t="n">
        <f aca="false">AW525-IF(AP524&lt;&gt;0,0.75*AR524*(Inputs!$B$13-N525)/Inputs!$B$16,0)</f>
        <v>0</v>
      </c>
      <c r="AY525" s="30" t="n">
        <f aca="false">MAX(AS525,0)*(Inputs!$B$17+Inputs!$B$18+Inputs!$B$19)+MAX(-AS525,0)*(O525+Inputs!$B$18+Inputs!$B$19)+IF(AND(K525=1,AP525&lt;&gt;0),(Inputs!$B$17+Inputs!$B$18+Inputs!$B$19)+(O525+Inputs!$B$18+Inputs!$B$19),0)</f>
        <v>0</v>
      </c>
      <c r="AZ525" s="30" t="n">
        <f aca="false">AP524*M525-AY525</f>
        <v>0</v>
      </c>
      <c r="BA525" s="32" t="n">
        <f aca="false">BA524+AI525</f>
        <v>0.00698617887383685</v>
      </c>
      <c r="BB525" s="30" t="n">
        <f aca="false">MAX(BB524,BA525)</f>
        <v>0.00698617887383685</v>
      </c>
      <c r="BC525" s="32" t="n">
        <f aca="false">BA525-BB525</f>
        <v>0</v>
      </c>
      <c r="BD525" s="30" t="n">
        <f aca="false">A526-A525</f>
        <v>3</v>
      </c>
    </row>
    <row r="526" customFormat="false" ht="15" hidden="false" customHeight="false" outlineLevel="0" collapsed="false">
      <c r="A526" s="28" t="n">
        <v>45817</v>
      </c>
      <c r="B526" s="0" t="n">
        <v>25180</v>
      </c>
      <c r="C526" s="0" t="n">
        <v>281.35</v>
      </c>
      <c r="D526" s="29" t="n">
        <f aca="false">LN(B526)</f>
        <v>10.1338053075983</v>
      </c>
      <c r="E526" s="29" t="n">
        <f aca="false">LN(C526)</f>
        <v>5.63959944587929</v>
      </c>
      <c r="F526" s="0" t="n">
        <v>521</v>
      </c>
      <c r="G526" s="0" t="n">
        <v>17</v>
      </c>
      <c r="H526" s="29" t="n">
        <f aca="false">D526-E526</f>
        <v>4.49420586171905</v>
      </c>
      <c r="I526" s="29" t="n">
        <f aca="false">D526-D525</f>
        <v>0.00355276906547708</v>
      </c>
      <c r="J526" s="29" t="n">
        <f aca="false">E526-E525</f>
        <v>0.0030257209165363</v>
      </c>
      <c r="K526" s="0" t="n">
        <v>0</v>
      </c>
      <c r="L526" s="0" t="n">
        <v>0</v>
      </c>
      <c r="M526" s="29" t="n">
        <f aca="false">IF(L526=1,J526-Carry!$B$9/Inputs!$B$16,I526)</f>
        <v>0.00355276906547708</v>
      </c>
      <c r="N526" s="0" t="n">
        <v>0.055</v>
      </c>
      <c r="O526" s="0" t="n">
        <v>0.0002</v>
      </c>
      <c r="P526" s="29" t="n">
        <f aca="false">D526-('2 Hedge ratio'!$B$6+'2 Hedge ratio'!$B$5*E526)</f>
        <v>0.00539726244715411</v>
      </c>
      <c r="Q526" s="29" t="n">
        <f aca="false">D526-('5 Re-specification'!$B$7+'5 Re-specification'!$B$5*E526+'5 Re-specification'!$B$6*F526)</f>
        <v>0.003503821739816</v>
      </c>
      <c r="R526" s="30" t="n">
        <f aca="false">MIN(F526,Inputs!$B$9)</f>
        <v>250</v>
      </c>
      <c r="S526" s="29" t="n">
        <f aca="true">IF(AND(F526&gt;=1,R526&gt;=Inputs!$B$10),INDEX(LINEST(OFFSET(D526,-R526,0,R526,1),OFFSET(E526,-R526,0,R526,2)),1,1),"")</f>
        <v>-2.29599626949196E-005</v>
      </c>
      <c r="T526" s="29" t="n">
        <f aca="true">IF(AND(F526&gt;=1,R526&gt;=Inputs!$B$10),INDEX(LINEST(OFFSET(D526,-R526,0,R526,1),OFFSET(E526,-R526,0,R526,2)),1,2),"")</f>
        <v>1.01715870943451</v>
      </c>
      <c r="U526" s="29" t="n">
        <f aca="true">IF(AND(F526&gt;=1,R526&gt;=Inputs!$B$10),INDEX(LINEST(OFFSET(D526,-R526,0,R526,1),OFFSET(E526,-R526,0,R526,2)),1,3),"")</f>
        <v>4.4092465809018</v>
      </c>
      <c r="V526" s="29" t="n">
        <f aca="true">IF(AND(F526&gt;=1,R526&gt;=Inputs!$B$10),SQRT(SUMPRODUCT((OFFSET(D526,-R526,0,R526,1)-U526-T526*OFFSET(E526,-R526,0,R526,1)-S526*OFFSET(F526,-R526,0,R526,1))^2)/(R526-3)),"")</f>
        <v>0.00300149145488096</v>
      </c>
      <c r="W526" s="31" t="n">
        <f aca="false">IF(AND(F526&gt;=1,R526&gt;=Inputs!$B$10),(D526-U526-T526*E526-S526*F526)/V526,"")</f>
        <v>0.0510323500072029</v>
      </c>
      <c r="X526" s="30" t="n">
        <f aca="false">IF(AB525&lt;&gt;0,AC525+1,0)</f>
        <v>0</v>
      </c>
      <c r="Y526" s="30" t="n">
        <f aca="false">IF(W526="",0,IF(AND(AB525&lt;&gt;0,OR(ABS(W526)&gt;Inputs!$B$7,X526&gt;=Inputs!$B$8,ABS(W526)&lt;Inputs!$B$6)),1,0))</f>
        <v>0</v>
      </c>
      <c r="Z526" s="30" t="n">
        <f aca="false">IF(Y526=1,0,AB525)</f>
        <v>0</v>
      </c>
      <c r="AA526" s="30" t="n">
        <f aca="false">IF(W526="",0,IF(AND(Z526=0,ABS(W526)&gt;Inputs!$B$5,ABS(W526)&lt;=Inputs!$B$7),1,0))</f>
        <v>0</v>
      </c>
      <c r="AB526" s="30" t="n">
        <f aca="false">IF(W526="",0,IF(AA526=1,-SIGN(W526),Z526))</f>
        <v>0</v>
      </c>
      <c r="AC526" s="30" t="n">
        <f aca="false">IF(W526="",0,IF(AA526=1,0,IF(Y526=1,0,X526)))</f>
        <v>0</v>
      </c>
      <c r="AD526" s="30" t="n">
        <f aca="false">IF(AB526=0,0,IF(AB525=AB526,AD525,T526))</f>
        <v>0</v>
      </c>
      <c r="AE526" s="30" t="n">
        <f aca="false">AB526-AB525</f>
        <v>0</v>
      </c>
      <c r="AF526" s="30" t="n">
        <f aca="false">-AD526*AB526</f>
        <v>-0</v>
      </c>
      <c r="AG526" s="30" t="n">
        <f aca="false">AF526-AF525</f>
        <v>0</v>
      </c>
      <c r="AH526" s="30" t="n">
        <f aca="false">MAX(AE526,0)*(Inputs!$B$17+Inputs!$B$18+Inputs!$B$19)+MAX(-AE526,0)*(O526+Inputs!$B$18+Inputs!$B$19)+IF(AND(K526=1,AB526&lt;&gt;0),(Inputs!$B$17+Inputs!$B$18+Inputs!$B$19)+(O526+Inputs!$B$18+Inputs!$B$19),0)+MAX(AG526,0)*(Inputs!$B$20+Inputs!$B$22+Inputs!$B$23)+MAX(-AG526,0)*(Inputs!$B$21+Inputs!$B$22+Inputs!$B$23)</f>
        <v>0</v>
      </c>
      <c r="AI526" s="30" t="n">
        <f aca="false">AB525*(M526-AD525*J526)+AB525*AD525*N526/Inputs!$B$16-AH526</f>
        <v>0</v>
      </c>
      <c r="AJ526" s="30" t="n">
        <f aca="false">MAX(AE526,0)*(Inputs!$B$17+Inputs!$B$24+Inputs!$B$25)+MAX(-AE526,0)*(O526+Inputs!$B$24+Inputs!$B$25)+IF(AND(K526=1,AB526&lt;&gt;0),(Inputs!$B$17+Inputs!$B$24+Inputs!$B$25)+(O526+Inputs!$B$24+Inputs!$B$25),0)+MAX(AG526,0)*(Inputs!$B$20+Inputs!$B$26+Inputs!$B$27)+MAX(-AG526,0)*(Inputs!$B$21+Inputs!$B$26+Inputs!$B$27)</f>
        <v>0</v>
      </c>
      <c r="AK526" s="30" t="n">
        <f aca="false">AB525*(M526-AD525*J526)+AB525*AD525*(N526+Inputs!$B$14)/Inputs!$B$16-AJ526</f>
        <v>0</v>
      </c>
      <c r="AL526" s="30" t="n">
        <f aca="false">IF(AP525&lt;&gt;0,AQ525+1,0)</f>
        <v>0</v>
      </c>
      <c r="AM526" s="30" t="n">
        <f aca="false">IF(W526="",0,IF(AND(AP525&lt;&gt;0,OR(ABS(W526)&gt;Inputs!$B$7,AL526&gt;=Inputs!$B$8,ABS(W526)&lt;Inputs!$B$6)),1,0))</f>
        <v>0</v>
      </c>
      <c r="AN526" s="30" t="n">
        <f aca="false">IF(AM526=1,0,AP525)</f>
        <v>0</v>
      </c>
      <c r="AO526" s="30" t="n">
        <f aca="false">IF(W526="",0,IF(AND(AN526=0,ABS(W526)&gt;Inputs!$B$5,ABS(W526)&lt;=Inputs!$B$7,W526&gt;0),1,0))</f>
        <v>0</v>
      </c>
      <c r="AP526" s="30" t="n">
        <f aca="false">IF(W526="",0,IF(AO526=1,-SIGN(W526),AN526))</f>
        <v>0</v>
      </c>
      <c r="AQ526" s="30" t="n">
        <f aca="false">IF(W526="",0,IF(AO526=1,0,IF(AM526=1,0,AL526)))</f>
        <v>0</v>
      </c>
      <c r="AR526" s="30" t="n">
        <f aca="false">IF(AP526=0,0,IF(AP525=AP526,AR525,T526))</f>
        <v>0</v>
      </c>
      <c r="AS526" s="30" t="n">
        <f aca="false">AP526-AP525</f>
        <v>0</v>
      </c>
      <c r="AT526" s="30" t="n">
        <f aca="false">-AR526*AP526</f>
        <v>-0</v>
      </c>
      <c r="AU526" s="30" t="n">
        <f aca="false">AT526-AT525</f>
        <v>0</v>
      </c>
      <c r="AV526" s="30" t="n">
        <f aca="false">MAX(AS526,0)*(Inputs!$B$17+Inputs!$B$18+Inputs!$B$19)+MAX(-AS526,0)*(O526+Inputs!$B$18+Inputs!$B$19)+IF(AND(K526=1,AP526&lt;&gt;0),(Inputs!$B$17+Inputs!$B$18+Inputs!$B$19)+(O526+Inputs!$B$18+Inputs!$B$19),0)+MAX(AU526,0)*(Inputs!$B$20+Inputs!$B$22+Inputs!$B$23)+MAX(-AU526,0)*(Inputs!$B$21+Inputs!$B$22+Inputs!$B$23)</f>
        <v>0</v>
      </c>
      <c r="AW526" s="30" t="n">
        <f aca="false">AP525*(M526-AR525*J526)+AP525*AR525*N526/Inputs!$B$16-AV526</f>
        <v>0</v>
      </c>
      <c r="AX526" s="30" t="n">
        <f aca="false">AW526-IF(AP525&lt;&gt;0,0.75*AR525*(Inputs!$B$13-N526)/Inputs!$B$16,0)</f>
        <v>0</v>
      </c>
      <c r="AY526" s="30" t="n">
        <f aca="false">MAX(AS526,0)*(Inputs!$B$17+Inputs!$B$18+Inputs!$B$19)+MAX(-AS526,0)*(O526+Inputs!$B$18+Inputs!$B$19)+IF(AND(K526=1,AP526&lt;&gt;0),(Inputs!$B$17+Inputs!$B$18+Inputs!$B$19)+(O526+Inputs!$B$18+Inputs!$B$19),0)</f>
        <v>0</v>
      </c>
      <c r="AZ526" s="30" t="n">
        <f aca="false">AP525*M526-AY526</f>
        <v>0</v>
      </c>
      <c r="BA526" s="32" t="n">
        <f aca="false">BA525+AI526</f>
        <v>0.00698617887383685</v>
      </c>
      <c r="BB526" s="30" t="n">
        <f aca="false">MAX(BB525,BA526)</f>
        <v>0.00698617887383685</v>
      </c>
      <c r="BC526" s="32" t="n">
        <f aca="false">BA526-BB526</f>
        <v>0</v>
      </c>
      <c r="BD526" s="30" t="n">
        <f aca="false">A527-A526</f>
        <v>1</v>
      </c>
    </row>
    <row r="527" customFormat="false" ht="15" hidden="false" customHeight="false" outlineLevel="0" collapsed="false">
      <c r="A527" s="28" t="n">
        <v>45818</v>
      </c>
      <c r="B527" s="0" t="n">
        <v>25154.9</v>
      </c>
      <c r="C527" s="0" t="n">
        <v>281.35</v>
      </c>
      <c r="D527" s="29" t="n">
        <f aca="false">LN(B527)</f>
        <v>10.1328079875647</v>
      </c>
      <c r="E527" s="29" t="n">
        <f aca="false">LN(C527)</f>
        <v>5.63959944587929</v>
      </c>
      <c r="F527" s="0" t="n">
        <v>522</v>
      </c>
      <c r="G527" s="0" t="n">
        <v>16</v>
      </c>
      <c r="H527" s="29" t="n">
        <f aca="false">D527-E527</f>
        <v>4.49320854168542</v>
      </c>
      <c r="I527" s="29" t="n">
        <f aca="false">D527-D526</f>
        <v>-0.000997320033633287</v>
      </c>
      <c r="J527" s="29" t="n">
        <f aca="false">E527-E526</f>
        <v>0</v>
      </c>
      <c r="K527" s="0" t="n">
        <v>0</v>
      </c>
      <c r="L527" s="0" t="n">
        <v>0</v>
      </c>
      <c r="M527" s="29" t="n">
        <f aca="false">IF(L527=1,J527-Carry!$B$9/Inputs!$B$16,I527)</f>
        <v>-0.000997320033633287</v>
      </c>
      <c r="N527" s="0" t="n">
        <v>0.055</v>
      </c>
      <c r="O527" s="0" t="n">
        <v>0.0002</v>
      </c>
      <c r="P527" s="29" t="n">
        <f aca="false">D527-('2 Hedge ratio'!$B$6+'2 Hedge ratio'!$B$5*E527)</f>
        <v>0.00439994241352082</v>
      </c>
      <c r="Q527" s="29" t="n">
        <f aca="false">D527-('5 Re-specification'!$B$7+'5 Re-specification'!$B$5*E527+'5 Re-specification'!$B$6*F527)</f>
        <v>0.00255143102427979</v>
      </c>
      <c r="R527" s="30" t="n">
        <f aca="false">MIN(F527,Inputs!$B$9)</f>
        <v>250</v>
      </c>
      <c r="S527" s="29" t="n">
        <f aca="true">IF(AND(F527&gt;=1,R527&gt;=Inputs!$B$10),INDEX(LINEST(OFFSET(D527,-R527,0,R527,1),OFFSET(E527,-R527,0,R527,2)),1,1),"")</f>
        <v>-2.67337788299872E-005</v>
      </c>
      <c r="T527" s="29" t="n">
        <f aca="true">IF(AND(F527&gt;=1,R527&gt;=Inputs!$B$10),INDEX(LINEST(OFFSET(D527,-R527,0,R527,1),OFFSET(E527,-R527,0,R527,2)),1,2),"")</f>
        <v>1.00903535638979</v>
      </c>
      <c r="U527" s="29" t="n">
        <f aca="true">IF(AND(F527&gt;=1,R527&gt;=Inputs!$B$10),INDEX(LINEST(OFFSET(D527,-R527,0,R527,1),OFFSET(E527,-R527,0,R527,2)),1,3),"")</f>
        <v>4.45631118624547</v>
      </c>
      <c r="V527" s="29" t="n">
        <f aca="true">IF(AND(F527&gt;=1,R527&gt;=Inputs!$B$10),SQRT(SUMPRODUCT((OFFSET(D527,-R527,0,R527,1)-U527-T527*OFFSET(E527,-R527,0,R527,1)-S527*OFFSET(F527,-R527,0,R527,1))^2)/(R527-3)),"")</f>
        <v>0.0023091444258987</v>
      </c>
      <c r="W527" s="31" t="n">
        <f aca="false">IF(AND(F527&gt;=1,R527&gt;=Inputs!$B$10),(D527-U527-T527*E527-S527*F527)/V527,"")</f>
        <v>-0.0447797456158107</v>
      </c>
      <c r="X527" s="30" t="n">
        <f aca="false">IF(AB526&lt;&gt;0,AC526+1,0)</f>
        <v>0</v>
      </c>
      <c r="Y527" s="30" t="n">
        <f aca="false">IF(W527="",0,IF(AND(AB526&lt;&gt;0,OR(ABS(W527)&gt;Inputs!$B$7,X527&gt;=Inputs!$B$8,ABS(W527)&lt;Inputs!$B$6)),1,0))</f>
        <v>0</v>
      </c>
      <c r="Z527" s="30" t="n">
        <f aca="false">IF(Y527=1,0,AB526)</f>
        <v>0</v>
      </c>
      <c r="AA527" s="30" t="n">
        <f aca="false">IF(W527="",0,IF(AND(Z527=0,ABS(W527)&gt;Inputs!$B$5,ABS(W527)&lt;=Inputs!$B$7),1,0))</f>
        <v>0</v>
      </c>
      <c r="AB527" s="30" t="n">
        <f aca="false">IF(W527="",0,IF(AA527=1,-SIGN(W527),Z527))</f>
        <v>0</v>
      </c>
      <c r="AC527" s="30" t="n">
        <f aca="false">IF(W527="",0,IF(AA527=1,0,IF(Y527=1,0,X527)))</f>
        <v>0</v>
      </c>
      <c r="AD527" s="30" t="n">
        <f aca="false">IF(AB527=0,0,IF(AB526=AB527,AD526,T527))</f>
        <v>0</v>
      </c>
      <c r="AE527" s="30" t="n">
        <f aca="false">AB527-AB526</f>
        <v>0</v>
      </c>
      <c r="AF527" s="30" t="n">
        <f aca="false">-AD527*AB527</f>
        <v>-0</v>
      </c>
      <c r="AG527" s="30" t="n">
        <f aca="false">AF527-AF526</f>
        <v>0</v>
      </c>
      <c r="AH527" s="30" t="n">
        <f aca="false">MAX(AE527,0)*(Inputs!$B$17+Inputs!$B$18+Inputs!$B$19)+MAX(-AE527,0)*(O527+Inputs!$B$18+Inputs!$B$19)+IF(AND(K527=1,AB527&lt;&gt;0),(Inputs!$B$17+Inputs!$B$18+Inputs!$B$19)+(O527+Inputs!$B$18+Inputs!$B$19),0)+MAX(AG527,0)*(Inputs!$B$20+Inputs!$B$22+Inputs!$B$23)+MAX(-AG527,0)*(Inputs!$B$21+Inputs!$B$22+Inputs!$B$23)</f>
        <v>0</v>
      </c>
      <c r="AI527" s="30" t="n">
        <f aca="false">AB526*(M527-AD526*J527)+AB526*AD526*N527/Inputs!$B$16-AH527</f>
        <v>0</v>
      </c>
      <c r="AJ527" s="30" t="n">
        <f aca="false">MAX(AE527,0)*(Inputs!$B$17+Inputs!$B$24+Inputs!$B$25)+MAX(-AE527,0)*(O527+Inputs!$B$24+Inputs!$B$25)+IF(AND(K527=1,AB527&lt;&gt;0),(Inputs!$B$17+Inputs!$B$24+Inputs!$B$25)+(O527+Inputs!$B$24+Inputs!$B$25),0)+MAX(AG527,0)*(Inputs!$B$20+Inputs!$B$26+Inputs!$B$27)+MAX(-AG527,0)*(Inputs!$B$21+Inputs!$B$26+Inputs!$B$27)</f>
        <v>0</v>
      </c>
      <c r="AK527" s="30" t="n">
        <f aca="false">AB526*(M527-AD526*J527)+AB526*AD526*(N527+Inputs!$B$14)/Inputs!$B$16-AJ527</f>
        <v>0</v>
      </c>
      <c r="AL527" s="30" t="n">
        <f aca="false">IF(AP526&lt;&gt;0,AQ526+1,0)</f>
        <v>0</v>
      </c>
      <c r="AM527" s="30" t="n">
        <f aca="false">IF(W527="",0,IF(AND(AP526&lt;&gt;0,OR(ABS(W527)&gt;Inputs!$B$7,AL527&gt;=Inputs!$B$8,ABS(W527)&lt;Inputs!$B$6)),1,0))</f>
        <v>0</v>
      </c>
      <c r="AN527" s="30" t="n">
        <f aca="false">IF(AM527=1,0,AP526)</f>
        <v>0</v>
      </c>
      <c r="AO527" s="30" t="n">
        <f aca="false">IF(W527="",0,IF(AND(AN527=0,ABS(W527)&gt;Inputs!$B$5,ABS(W527)&lt;=Inputs!$B$7,W527&gt;0),1,0))</f>
        <v>0</v>
      </c>
      <c r="AP527" s="30" t="n">
        <f aca="false">IF(W527="",0,IF(AO527=1,-SIGN(W527),AN527))</f>
        <v>0</v>
      </c>
      <c r="AQ527" s="30" t="n">
        <f aca="false">IF(W527="",0,IF(AO527=1,0,IF(AM527=1,0,AL527)))</f>
        <v>0</v>
      </c>
      <c r="AR527" s="30" t="n">
        <f aca="false">IF(AP527=0,0,IF(AP526=AP527,AR526,T527))</f>
        <v>0</v>
      </c>
      <c r="AS527" s="30" t="n">
        <f aca="false">AP527-AP526</f>
        <v>0</v>
      </c>
      <c r="AT527" s="30" t="n">
        <f aca="false">-AR527*AP527</f>
        <v>-0</v>
      </c>
      <c r="AU527" s="30" t="n">
        <f aca="false">AT527-AT526</f>
        <v>0</v>
      </c>
      <c r="AV527" s="30" t="n">
        <f aca="false">MAX(AS527,0)*(Inputs!$B$17+Inputs!$B$18+Inputs!$B$19)+MAX(-AS527,0)*(O527+Inputs!$B$18+Inputs!$B$19)+IF(AND(K527=1,AP527&lt;&gt;0),(Inputs!$B$17+Inputs!$B$18+Inputs!$B$19)+(O527+Inputs!$B$18+Inputs!$B$19),0)+MAX(AU527,0)*(Inputs!$B$20+Inputs!$B$22+Inputs!$B$23)+MAX(-AU527,0)*(Inputs!$B$21+Inputs!$B$22+Inputs!$B$23)</f>
        <v>0</v>
      </c>
      <c r="AW527" s="30" t="n">
        <f aca="false">AP526*(M527-AR526*J527)+AP526*AR526*N527/Inputs!$B$16-AV527</f>
        <v>0</v>
      </c>
      <c r="AX527" s="30" t="n">
        <f aca="false">AW527-IF(AP526&lt;&gt;0,0.75*AR526*(Inputs!$B$13-N527)/Inputs!$B$16,0)</f>
        <v>0</v>
      </c>
      <c r="AY527" s="30" t="n">
        <f aca="false">MAX(AS527,0)*(Inputs!$B$17+Inputs!$B$18+Inputs!$B$19)+MAX(-AS527,0)*(O527+Inputs!$B$18+Inputs!$B$19)+IF(AND(K527=1,AP527&lt;&gt;0),(Inputs!$B$17+Inputs!$B$18+Inputs!$B$19)+(O527+Inputs!$B$18+Inputs!$B$19),0)</f>
        <v>0</v>
      </c>
      <c r="AZ527" s="30" t="n">
        <f aca="false">AP526*M527-AY527</f>
        <v>-0</v>
      </c>
      <c r="BA527" s="32" t="n">
        <f aca="false">BA526+AI527</f>
        <v>0.00698617887383685</v>
      </c>
      <c r="BB527" s="30" t="n">
        <f aca="false">MAX(BB526,BA527)</f>
        <v>0.00698617887383685</v>
      </c>
      <c r="BC527" s="32" t="n">
        <f aca="false">BA527-BB527</f>
        <v>0</v>
      </c>
      <c r="BD527" s="30" t="n">
        <f aca="false">A528-A527</f>
        <v>1</v>
      </c>
    </row>
    <row r="528" customFormat="false" ht="15" hidden="false" customHeight="false" outlineLevel="0" collapsed="false">
      <c r="A528" s="28" t="n">
        <v>45819</v>
      </c>
      <c r="B528" s="0" t="n">
        <v>25200</v>
      </c>
      <c r="C528" s="0" t="n">
        <v>281.76</v>
      </c>
      <c r="D528" s="29" t="n">
        <f aca="false">LN(B528)</f>
        <v>10.1345992734995</v>
      </c>
      <c r="E528" s="29" t="n">
        <f aca="false">LN(C528)</f>
        <v>5.6410556447479</v>
      </c>
      <c r="F528" s="0" t="n">
        <v>523</v>
      </c>
      <c r="G528" s="0" t="n">
        <v>15</v>
      </c>
      <c r="H528" s="29" t="n">
        <f aca="false">D528-E528</f>
        <v>4.49354362875162</v>
      </c>
      <c r="I528" s="29" t="n">
        <f aca="false">D528-D527</f>
        <v>0.00179128593480904</v>
      </c>
      <c r="J528" s="29" t="n">
        <f aca="false">E528-E527</f>
        <v>0.00145619886860793</v>
      </c>
      <c r="K528" s="0" t="n">
        <v>0</v>
      </c>
      <c r="L528" s="0" t="n">
        <v>0</v>
      </c>
      <c r="M528" s="29" t="n">
        <f aca="false">IF(L528=1,J528-Carry!$B$9/Inputs!$B$16,I528)</f>
        <v>0.00179128593480904</v>
      </c>
      <c r="N528" s="0" t="n">
        <v>0.055</v>
      </c>
      <c r="O528" s="0" t="n">
        <v>0.0002</v>
      </c>
      <c r="P528" s="29" t="n">
        <f aca="false">D528-('2 Hedge ratio'!$B$6+'2 Hedge ratio'!$B$5*E528)</f>
        <v>0.00485716559801297</v>
      </c>
      <c r="Q528" s="29" t="n">
        <f aca="false">D528-('5 Re-specification'!$B$7+'5 Re-specification'!$B$5*E528+'5 Re-specification'!$B$6*F528)</f>
        <v>0.00293586041927973</v>
      </c>
      <c r="R528" s="30" t="n">
        <f aca="false">MIN(F528,Inputs!$B$9)</f>
        <v>250</v>
      </c>
      <c r="S528" s="29" t="n">
        <f aca="true">IF(AND(F528&gt;=1,R528&gt;=Inputs!$B$10),INDEX(LINEST(OFFSET(D528,-R528,0,R528,1),OFFSET(E528,-R528,0,R528,2)),1,1),"")</f>
        <v>-2.66320558515372E-005</v>
      </c>
      <c r="T528" s="29" t="n">
        <f aca="true">IF(AND(F528&gt;=1,R528&gt;=Inputs!$B$10),INDEX(LINEST(OFFSET(D528,-R528,0,R528,1),OFFSET(E528,-R528,0,R528,2)),1,2),"")</f>
        <v>1.00927125775554</v>
      </c>
      <c r="U528" s="29" t="n">
        <f aca="true">IF(AND(F528&gt;=1,R528&gt;=Inputs!$B$10),INDEX(LINEST(OFFSET(D528,-R528,0,R528,1),OFFSET(E528,-R528,0,R528,2)),1,3),"")</f>
        <v>4.45494690685388</v>
      </c>
      <c r="V528" s="29" t="n">
        <f aca="true">IF(AND(F528&gt;=1,R528&gt;=Inputs!$B$10),SQRT(SUMPRODUCT((OFFSET(D528,-R528,0,R528,1)-U528-T528*OFFSET(E528,-R528,0,R528,1)-S528*OFFSET(F528,-R528,0,R528,1))^2)/(R528-3)),"")</f>
        <v>0.0023084672565901</v>
      </c>
      <c r="W528" s="31" t="n">
        <f aca="false">IF(AND(F528&gt;=1,R528&gt;=Inputs!$B$10),(D528-U528-T528*E528-S528*F528)/V528,"")</f>
        <v>0.0977298732072213</v>
      </c>
      <c r="X528" s="30" t="n">
        <f aca="false">IF(AB527&lt;&gt;0,AC527+1,0)</f>
        <v>0</v>
      </c>
      <c r="Y528" s="30" t="n">
        <f aca="false">IF(W528="",0,IF(AND(AB527&lt;&gt;0,OR(ABS(W528)&gt;Inputs!$B$7,X528&gt;=Inputs!$B$8,ABS(W528)&lt;Inputs!$B$6)),1,0))</f>
        <v>0</v>
      </c>
      <c r="Z528" s="30" t="n">
        <f aca="false">IF(Y528=1,0,AB527)</f>
        <v>0</v>
      </c>
      <c r="AA528" s="30" t="n">
        <f aca="false">IF(W528="",0,IF(AND(Z528=0,ABS(W528)&gt;Inputs!$B$5,ABS(W528)&lt;=Inputs!$B$7),1,0))</f>
        <v>0</v>
      </c>
      <c r="AB528" s="30" t="n">
        <f aca="false">IF(W528="",0,IF(AA528=1,-SIGN(W528),Z528))</f>
        <v>0</v>
      </c>
      <c r="AC528" s="30" t="n">
        <f aca="false">IF(W528="",0,IF(AA528=1,0,IF(Y528=1,0,X528)))</f>
        <v>0</v>
      </c>
      <c r="AD528" s="30" t="n">
        <f aca="false">IF(AB528=0,0,IF(AB527=AB528,AD527,T528))</f>
        <v>0</v>
      </c>
      <c r="AE528" s="30" t="n">
        <f aca="false">AB528-AB527</f>
        <v>0</v>
      </c>
      <c r="AF528" s="30" t="n">
        <f aca="false">-AD528*AB528</f>
        <v>-0</v>
      </c>
      <c r="AG528" s="30" t="n">
        <f aca="false">AF528-AF527</f>
        <v>0</v>
      </c>
      <c r="AH528" s="30" t="n">
        <f aca="false">MAX(AE528,0)*(Inputs!$B$17+Inputs!$B$18+Inputs!$B$19)+MAX(-AE528,0)*(O528+Inputs!$B$18+Inputs!$B$19)+IF(AND(K528=1,AB528&lt;&gt;0),(Inputs!$B$17+Inputs!$B$18+Inputs!$B$19)+(O528+Inputs!$B$18+Inputs!$B$19),0)+MAX(AG528,0)*(Inputs!$B$20+Inputs!$B$22+Inputs!$B$23)+MAX(-AG528,0)*(Inputs!$B$21+Inputs!$B$22+Inputs!$B$23)</f>
        <v>0</v>
      </c>
      <c r="AI528" s="30" t="n">
        <f aca="false">AB527*(M528-AD527*J528)+AB527*AD527*N528/Inputs!$B$16-AH528</f>
        <v>0</v>
      </c>
      <c r="AJ528" s="30" t="n">
        <f aca="false">MAX(AE528,0)*(Inputs!$B$17+Inputs!$B$24+Inputs!$B$25)+MAX(-AE528,0)*(O528+Inputs!$B$24+Inputs!$B$25)+IF(AND(K528=1,AB528&lt;&gt;0),(Inputs!$B$17+Inputs!$B$24+Inputs!$B$25)+(O528+Inputs!$B$24+Inputs!$B$25),0)+MAX(AG528,0)*(Inputs!$B$20+Inputs!$B$26+Inputs!$B$27)+MAX(-AG528,0)*(Inputs!$B$21+Inputs!$B$26+Inputs!$B$27)</f>
        <v>0</v>
      </c>
      <c r="AK528" s="30" t="n">
        <f aca="false">AB527*(M528-AD527*J528)+AB527*AD527*(N528+Inputs!$B$14)/Inputs!$B$16-AJ528</f>
        <v>0</v>
      </c>
      <c r="AL528" s="30" t="n">
        <f aca="false">IF(AP527&lt;&gt;0,AQ527+1,0)</f>
        <v>0</v>
      </c>
      <c r="AM528" s="30" t="n">
        <f aca="false">IF(W528="",0,IF(AND(AP527&lt;&gt;0,OR(ABS(W528)&gt;Inputs!$B$7,AL528&gt;=Inputs!$B$8,ABS(W528)&lt;Inputs!$B$6)),1,0))</f>
        <v>0</v>
      </c>
      <c r="AN528" s="30" t="n">
        <f aca="false">IF(AM528=1,0,AP527)</f>
        <v>0</v>
      </c>
      <c r="AO528" s="30" t="n">
        <f aca="false">IF(W528="",0,IF(AND(AN528=0,ABS(W528)&gt;Inputs!$B$5,ABS(W528)&lt;=Inputs!$B$7,W528&gt;0),1,0))</f>
        <v>0</v>
      </c>
      <c r="AP528" s="30" t="n">
        <f aca="false">IF(W528="",0,IF(AO528=1,-SIGN(W528),AN528))</f>
        <v>0</v>
      </c>
      <c r="AQ528" s="30" t="n">
        <f aca="false">IF(W528="",0,IF(AO528=1,0,IF(AM528=1,0,AL528)))</f>
        <v>0</v>
      </c>
      <c r="AR528" s="30" t="n">
        <f aca="false">IF(AP528=0,0,IF(AP527=AP528,AR527,T528))</f>
        <v>0</v>
      </c>
      <c r="AS528" s="30" t="n">
        <f aca="false">AP528-AP527</f>
        <v>0</v>
      </c>
      <c r="AT528" s="30" t="n">
        <f aca="false">-AR528*AP528</f>
        <v>-0</v>
      </c>
      <c r="AU528" s="30" t="n">
        <f aca="false">AT528-AT527</f>
        <v>0</v>
      </c>
      <c r="AV528" s="30" t="n">
        <f aca="false">MAX(AS528,0)*(Inputs!$B$17+Inputs!$B$18+Inputs!$B$19)+MAX(-AS528,0)*(O528+Inputs!$B$18+Inputs!$B$19)+IF(AND(K528=1,AP528&lt;&gt;0),(Inputs!$B$17+Inputs!$B$18+Inputs!$B$19)+(O528+Inputs!$B$18+Inputs!$B$19),0)+MAX(AU528,0)*(Inputs!$B$20+Inputs!$B$22+Inputs!$B$23)+MAX(-AU528,0)*(Inputs!$B$21+Inputs!$B$22+Inputs!$B$23)</f>
        <v>0</v>
      </c>
      <c r="AW528" s="30" t="n">
        <f aca="false">AP527*(M528-AR527*J528)+AP527*AR527*N528/Inputs!$B$16-AV528</f>
        <v>0</v>
      </c>
      <c r="AX528" s="30" t="n">
        <f aca="false">AW528-IF(AP527&lt;&gt;0,0.75*AR527*(Inputs!$B$13-N528)/Inputs!$B$16,0)</f>
        <v>0</v>
      </c>
      <c r="AY528" s="30" t="n">
        <f aca="false">MAX(AS528,0)*(Inputs!$B$17+Inputs!$B$18+Inputs!$B$19)+MAX(-AS528,0)*(O528+Inputs!$B$18+Inputs!$B$19)+IF(AND(K528=1,AP528&lt;&gt;0),(Inputs!$B$17+Inputs!$B$18+Inputs!$B$19)+(O528+Inputs!$B$18+Inputs!$B$19),0)</f>
        <v>0</v>
      </c>
      <c r="AZ528" s="30" t="n">
        <f aca="false">AP527*M528-AY528</f>
        <v>0</v>
      </c>
      <c r="BA528" s="32" t="n">
        <f aca="false">BA527+AI528</f>
        <v>0.00698617887383685</v>
      </c>
      <c r="BB528" s="30" t="n">
        <f aca="false">MAX(BB527,BA528)</f>
        <v>0.00698617887383685</v>
      </c>
      <c r="BC528" s="32" t="n">
        <f aca="false">BA528-BB528</f>
        <v>0</v>
      </c>
      <c r="BD528" s="30" t="n">
        <f aca="false">A529-A528</f>
        <v>1</v>
      </c>
    </row>
    <row r="529" customFormat="false" ht="15" hidden="false" customHeight="false" outlineLevel="0" collapsed="false">
      <c r="A529" s="28" t="n">
        <v>45820</v>
      </c>
      <c r="B529" s="0" t="n">
        <v>24907.1</v>
      </c>
      <c r="C529" s="0" t="n">
        <v>278.9</v>
      </c>
      <c r="D529" s="29" t="n">
        <f aca="false">LN(B529)</f>
        <v>10.1229081823702</v>
      </c>
      <c r="E529" s="29" t="n">
        <f aca="false">LN(C529)</f>
        <v>5.63085329463344</v>
      </c>
      <c r="F529" s="0" t="n">
        <v>524</v>
      </c>
      <c r="G529" s="0" t="n">
        <v>14</v>
      </c>
      <c r="H529" s="29" t="n">
        <f aca="false">D529-E529</f>
        <v>4.49205488773676</v>
      </c>
      <c r="I529" s="29" t="n">
        <f aca="false">D529-D528</f>
        <v>-0.0116910911293111</v>
      </c>
      <c r="J529" s="29" t="n">
        <f aca="false">E529-E528</f>
        <v>-0.0102023501144526</v>
      </c>
      <c r="K529" s="0" t="n">
        <v>0</v>
      </c>
      <c r="L529" s="0" t="n">
        <v>0</v>
      </c>
      <c r="M529" s="29" t="n">
        <f aca="false">IF(L529=1,J529-Carry!$B$9/Inputs!$B$16,I529)</f>
        <v>-0.0116910911293111</v>
      </c>
      <c r="N529" s="0" t="n">
        <v>0.055</v>
      </c>
      <c r="O529" s="0" t="n">
        <v>0.0002</v>
      </c>
      <c r="P529" s="29" t="n">
        <f aca="false">D529-('2 Hedge ratio'!$B$6+'2 Hedge ratio'!$B$5*E529)</f>
        <v>0.0025127204157549</v>
      </c>
      <c r="Q529" s="29" t="n">
        <f aca="false">D529-('5 Re-specification'!$B$7+'5 Re-specification'!$B$5*E529+'5 Re-specification'!$B$6*F529)</f>
        <v>0.00146113050027985</v>
      </c>
      <c r="R529" s="30" t="n">
        <f aca="false">MIN(F529,Inputs!$B$9)</f>
        <v>250</v>
      </c>
      <c r="S529" s="29" t="n">
        <f aca="true">IF(AND(F529&gt;=1,R529&gt;=Inputs!$B$10),INDEX(LINEST(OFFSET(D529,-R529,0,R529,1),OFFSET(E529,-R529,0,R529,2)),1,1),"")</f>
        <v>-2.5749357666472E-005</v>
      </c>
      <c r="T529" s="29" t="n">
        <f aca="true">IF(AND(F529&gt;=1,R529&gt;=Inputs!$B$10),INDEX(LINEST(OFFSET(D529,-R529,0,R529,1),OFFSET(E529,-R529,0,R529,2)),1,2),"")</f>
        <v>1.01110147940484</v>
      </c>
      <c r="U529" s="29" t="n">
        <f aca="true">IF(AND(F529&gt;=1,R529&gt;=Inputs!$B$10),INDEX(LINEST(OFFSET(D529,-R529,0,R529,1),OFFSET(E529,-R529,0,R529,2)),1,3),"")</f>
        <v>4.44432785500817</v>
      </c>
      <c r="V529" s="29" t="n">
        <f aca="true">IF(AND(F529&gt;=1,R529&gt;=Inputs!$B$10),SQRT(SUMPRODUCT((OFFSET(D529,-R529,0,R529,1)-U529-T529*OFFSET(E529,-R529,0,R529,1)-S529*OFFSET(F529,-R529,0,R529,1))^2)/(R529-3)),"")</f>
        <v>0.00226766978816635</v>
      </c>
      <c r="W529" s="31" t="n">
        <f aca="false">IF(AND(F529&gt;=1,R529&gt;=Inputs!$B$10),(D529-U529-T529*E529-S529*F529)/V529,"")</f>
        <v>-0.569353502429082</v>
      </c>
      <c r="X529" s="30" t="n">
        <f aca="false">IF(AB528&lt;&gt;0,AC528+1,0)</f>
        <v>0</v>
      </c>
      <c r="Y529" s="30" t="n">
        <f aca="false">IF(W529="",0,IF(AND(AB528&lt;&gt;0,OR(ABS(W529)&gt;Inputs!$B$7,X529&gt;=Inputs!$B$8,ABS(W529)&lt;Inputs!$B$6)),1,0))</f>
        <v>0</v>
      </c>
      <c r="Z529" s="30" t="n">
        <f aca="false">IF(Y529=1,0,AB528)</f>
        <v>0</v>
      </c>
      <c r="AA529" s="30" t="n">
        <f aca="false">IF(W529="",0,IF(AND(Z529=0,ABS(W529)&gt;Inputs!$B$5,ABS(W529)&lt;=Inputs!$B$7),1,0))</f>
        <v>0</v>
      </c>
      <c r="AB529" s="30" t="n">
        <f aca="false">IF(W529="",0,IF(AA529=1,-SIGN(W529),Z529))</f>
        <v>0</v>
      </c>
      <c r="AC529" s="30" t="n">
        <f aca="false">IF(W529="",0,IF(AA529=1,0,IF(Y529=1,0,X529)))</f>
        <v>0</v>
      </c>
      <c r="AD529" s="30" t="n">
        <f aca="false">IF(AB529=0,0,IF(AB528=AB529,AD528,T529))</f>
        <v>0</v>
      </c>
      <c r="AE529" s="30" t="n">
        <f aca="false">AB529-AB528</f>
        <v>0</v>
      </c>
      <c r="AF529" s="30" t="n">
        <f aca="false">-AD529*AB529</f>
        <v>-0</v>
      </c>
      <c r="AG529" s="30" t="n">
        <f aca="false">AF529-AF528</f>
        <v>0</v>
      </c>
      <c r="AH529" s="30" t="n">
        <f aca="false">MAX(AE529,0)*(Inputs!$B$17+Inputs!$B$18+Inputs!$B$19)+MAX(-AE529,0)*(O529+Inputs!$B$18+Inputs!$B$19)+IF(AND(K529=1,AB529&lt;&gt;0),(Inputs!$B$17+Inputs!$B$18+Inputs!$B$19)+(O529+Inputs!$B$18+Inputs!$B$19),0)+MAX(AG529,0)*(Inputs!$B$20+Inputs!$B$22+Inputs!$B$23)+MAX(-AG529,0)*(Inputs!$B$21+Inputs!$B$22+Inputs!$B$23)</f>
        <v>0</v>
      </c>
      <c r="AI529" s="30" t="n">
        <f aca="false">AB528*(M529-AD528*J529)+AB528*AD528*N529/Inputs!$B$16-AH529</f>
        <v>0</v>
      </c>
      <c r="AJ529" s="30" t="n">
        <f aca="false">MAX(AE529,0)*(Inputs!$B$17+Inputs!$B$24+Inputs!$B$25)+MAX(-AE529,0)*(O529+Inputs!$B$24+Inputs!$B$25)+IF(AND(K529=1,AB529&lt;&gt;0),(Inputs!$B$17+Inputs!$B$24+Inputs!$B$25)+(O529+Inputs!$B$24+Inputs!$B$25),0)+MAX(AG529,0)*(Inputs!$B$20+Inputs!$B$26+Inputs!$B$27)+MAX(-AG529,0)*(Inputs!$B$21+Inputs!$B$26+Inputs!$B$27)</f>
        <v>0</v>
      </c>
      <c r="AK529" s="30" t="n">
        <f aca="false">AB528*(M529-AD528*J529)+AB528*AD528*(N529+Inputs!$B$14)/Inputs!$B$16-AJ529</f>
        <v>0</v>
      </c>
      <c r="AL529" s="30" t="n">
        <f aca="false">IF(AP528&lt;&gt;0,AQ528+1,0)</f>
        <v>0</v>
      </c>
      <c r="AM529" s="30" t="n">
        <f aca="false">IF(W529="",0,IF(AND(AP528&lt;&gt;0,OR(ABS(W529)&gt;Inputs!$B$7,AL529&gt;=Inputs!$B$8,ABS(W529)&lt;Inputs!$B$6)),1,0))</f>
        <v>0</v>
      </c>
      <c r="AN529" s="30" t="n">
        <f aca="false">IF(AM529=1,0,AP528)</f>
        <v>0</v>
      </c>
      <c r="AO529" s="30" t="n">
        <f aca="false">IF(W529="",0,IF(AND(AN529=0,ABS(W529)&gt;Inputs!$B$5,ABS(W529)&lt;=Inputs!$B$7,W529&gt;0),1,0))</f>
        <v>0</v>
      </c>
      <c r="AP529" s="30" t="n">
        <f aca="false">IF(W529="",0,IF(AO529=1,-SIGN(W529),AN529))</f>
        <v>0</v>
      </c>
      <c r="AQ529" s="30" t="n">
        <f aca="false">IF(W529="",0,IF(AO529=1,0,IF(AM529=1,0,AL529)))</f>
        <v>0</v>
      </c>
      <c r="AR529" s="30" t="n">
        <f aca="false">IF(AP529=0,0,IF(AP528=AP529,AR528,T529))</f>
        <v>0</v>
      </c>
      <c r="AS529" s="30" t="n">
        <f aca="false">AP529-AP528</f>
        <v>0</v>
      </c>
      <c r="AT529" s="30" t="n">
        <f aca="false">-AR529*AP529</f>
        <v>-0</v>
      </c>
      <c r="AU529" s="30" t="n">
        <f aca="false">AT529-AT528</f>
        <v>0</v>
      </c>
      <c r="AV529" s="30" t="n">
        <f aca="false">MAX(AS529,0)*(Inputs!$B$17+Inputs!$B$18+Inputs!$B$19)+MAX(-AS529,0)*(O529+Inputs!$B$18+Inputs!$B$19)+IF(AND(K529=1,AP529&lt;&gt;0),(Inputs!$B$17+Inputs!$B$18+Inputs!$B$19)+(O529+Inputs!$B$18+Inputs!$B$19),0)+MAX(AU529,0)*(Inputs!$B$20+Inputs!$B$22+Inputs!$B$23)+MAX(-AU529,0)*(Inputs!$B$21+Inputs!$B$22+Inputs!$B$23)</f>
        <v>0</v>
      </c>
      <c r="AW529" s="30" t="n">
        <f aca="false">AP528*(M529-AR528*J529)+AP528*AR528*N529/Inputs!$B$16-AV529</f>
        <v>0</v>
      </c>
      <c r="AX529" s="30" t="n">
        <f aca="false">AW529-IF(AP528&lt;&gt;0,0.75*AR528*(Inputs!$B$13-N529)/Inputs!$B$16,0)</f>
        <v>0</v>
      </c>
      <c r="AY529" s="30" t="n">
        <f aca="false">MAX(AS529,0)*(Inputs!$B$17+Inputs!$B$18+Inputs!$B$19)+MAX(-AS529,0)*(O529+Inputs!$B$18+Inputs!$B$19)+IF(AND(K529=1,AP529&lt;&gt;0),(Inputs!$B$17+Inputs!$B$18+Inputs!$B$19)+(O529+Inputs!$B$18+Inputs!$B$19),0)</f>
        <v>0</v>
      </c>
      <c r="AZ529" s="30" t="n">
        <f aca="false">AP528*M529-AY529</f>
        <v>-0</v>
      </c>
      <c r="BA529" s="32" t="n">
        <f aca="false">BA528+AI529</f>
        <v>0.00698617887383685</v>
      </c>
      <c r="BB529" s="30" t="n">
        <f aca="false">MAX(BB528,BA529)</f>
        <v>0.00698617887383685</v>
      </c>
      <c r="BC529" s="32" t="n">
        <f aca="false">BA529-BB529</f>
        <v>0</v>
      </c>
      <c r="BD529" s="30" t="n">
        <f aca="false">A530-A529</f>
        <v>1</v>
      </c>
    </row>
    <row r="530" customFormat="false" ht="15" hidden="false" customHeight="false" outlineLevel="0" collapsed="false">
      <c r="A530" s="28" t="n">
        <v>45821</v>
      </c>
      <c r="B530" s="0" t="n">
        <v>24740</v>
      </c>
      <c r="C530" s="0" t="n">
        <v>277.37</v>
      </c>
      <c r="D530" s="29" t="n">
        <f aca="false">LN(B530)</f>
        <v>10.1161766459465</v>
      </c>
      <c r="E530" s="29" t="n">
        <f aca="false">LN(C530)</f>
        <v>5.62535235495239</v>
      </c>
      <c r="F530" s="0" t="n">
        <v>525</v>
      </c>
      <c r="G530" s="0" t="n">
        <v>13</v>
      </c>
      <c r="H530" s="29" t="n">
        <f aca="false">D530-E530</f>
        <v>4.49082429099409</v>
      </c>
      <c r="I530" s="29" t="n">
        <f aca="false">D530-D529</f>
        <v>-0.00673153642372348</v>
      </c>
      <c r="J530" s="29" t="n">
        <f aca="false">E530-E529</f>
        <v>-0.00550093968105792</v>
      </c>
      <c r="K530" s="0" t="n">
        <v>0</v>
      </c>
      <c r="L530" s="0" t="n">
        <v>0</v>
      </c>
      <c r="M530" s="29" t="n">
        <f aca="false">IF(L530=1,J530-Carry!$B$9/Inputs!$B$16,I530)</f>
        <v>-0.00673153642372348</v>
      </c>
      <c r="N530" s="0" t="n">
        <v>0.055</v>
      </c>
      <c r="O530" s="0" t="n">
        <v>0.0002</v>
      </c>
      <c r="P530" s="29" t="n">
        <f aca="false">D530-('2 Hedge ratio'!$B$6+'2 Hedge ratio'!$B$5*E530)</f>
        <v>0.000820742034852273</v>
      </c>
      <c r="Q530" s="29" t="n">
        <f aca="false">D530-('5 Re-specification'!$B$7+'5 Re-specification'!$B$5*E530+'5 Re-specification'!$B$6*F530)</f>
        <v>0.000258792477890069</v>
      </c>
      <c r="R530" s="30" t="n">
        <f aca="false">MIN(F530,Inputs!$B$9)</f>
        <v>250</v>
      </c>
      <c r="S530" s="29" t="n">
        <f aca="true">IF(AND(F530&gt;=1,R530&gt;=Inputs!$B$10),INDEX(LINEST(OFFSET(D530,-R530,0,R530,1),OFFSET(E530,-R530,0,R530,2)),1,1),"")</f>
        <v>-2.53139646577891E-005</v>
      </c>
      <c r="T530" s="29" t="n">
        <f aca="true">IF(AND(F530&gt;=1,R530&gt;=Inputs!$B$10),INDEX(LINEST(OFFSET(D530,-R530,0,R530,1),OFFSET(E530,-R530,0,R530,2)),1,2),"")</f>
        <v>1.01185159862238</v>
      </c>
      <c r="U530" s="29" t="n">
        <f aca="true">IF(AND(F530&gt;=1,R530&gt;=Inputs!$B$10),INDEX(LINEST(OFFSET(D530,-R530,0,R530,1),OFFSET(E530,-R530,0,R530,2)),1,3),"")</f>
        <v>4.43993155863895</v>
      </c>
      <c r="V530" s="29" t="n">
        <f aca="true">IF(AND(F530&gt;=1,R530&gt;=Inputs!$B$10),SQRT(SUMPRODUCT((OFFSET(D530,-R530,0,R530,1)-U530-T530*OFFSET(E530,-R530,0,R530,1)-S530*OFFSET(F530,-R530,0,R530,1))^2)/(R530-3)),"")</f>
        <v>0.00224752989681477</v>
      </c>
      <c r="W530" s="31" t="n">
        <f aca="false">IF(AND(F530&gt;=1,R530&gt;=Inputs!$B$10),(D530-U530-T530*E530-S530*F530)/V530,"")</f>
        <v>-1.10648335464269</v>
      </c>
      <c r="X530" s="30" t="n">
        <f aca="false">IF(AB529&lt;&gt;0,AC529+1,0)</f>
        <v>0</v>
      </c>
      <c r="Y530" s="30" t="n">
        <f aca="false">IF(W530="",0,IF(AND(AB529&lt;&gt;0,OR(ABS(W530)&gt;Inputs!$B$7,X530&gt;=Inputs!$B$8,ABS(W530)&lt;Inputs!$B$6)),1,0))</f>
        <v>0</v>
      </c>
      <c r="Z530" s="30" t="n">
        <f aca="false">IF(Y530=1,0,AB529)</f>
        <v>0</v>
      </c>
      <c r="AA530" s="30" t="n">
        <f aca="false">IF(W530="",0,IF(AND(Z530=0,ABS(W530)&gt;Inputs!$B$5,ABS(W530)&lt;=Inputs!$B$7),1,0))</f>
        <v>0</v>
      </c>
      <c r="AB530" s="30" t="n">
        <f aca="false">IF(W530="",0,IF(AA530=1,-SIGN(W530),Z530))</f>
        <v>0</v>
      </c>
      <c r="AC530" s="30" t="n">
        <f aca="false">IF(W530="",0,IF(AA530=1,0,IF(Y530=1,0,X530)))</f>
        <v>0</v>
      </c>
      <c r="AD530" s="30" t="n">
        <f aca="false">IF(AB530=0,0,IF(AB529=AB530,AD529,T530))</f>
        <v>0</v>
      </c>
      <c r="AE530" s="30" t="n">
        <f aca="false">AB530-AB529</f>
        <v>0</v>
      </c>
      <c r="AF530" s="30" t="n">
        <f aca="false">-AD530*AB530</f>
        <v>-0</v>
      </c>
      <c r="AG530" s="30" t="n">
        <f aca="false">AF530-AF529</f>
        <v>0</v>
      </c>
      <c r="AH530" s="30" t="n">
        <f aca="false">MAX(AE530,0)*(Inputs!$B$17+Inputs!$B$18+Inputs!$B$19)+MAX(-AE530,0)*(O530+Inputs!$B$18+Inputs!$B$19)+IF(AND(K530=1,AB530&lt;&gt;0),(Inputs!$B$17+Inputs!$B$18+Inputs!$B$19)+(O530+Inputs!$B$18+Inputs!$B$19),0)+MAX(AG530,0)*(Inputs!$B$20+Inputs!$B$22+Inputs!$B$23)+MAX(-AG530,0)*(Inputs!$B$21+Inputs!$B$22+Inputs!$B$23)</f>
        <v>0</v>
      </c>
      <c r="AI530" s="30" t="n">
        <f aca="false">AB529*(M530-AD529*J530)+AB529*AD529*N530/Inputs!$B$16-AH530</f>
        <v>0</v>
      </c>
      <c r="AJ530" s="30" t="n">
        <f aca="false">MAX(AE530,0)*(Inputs!$B$17+Inputs!$B$24+Inputs!$B$25)+MAX(-AE530,0)*(O530+Inputs!$B$24+Inputs!$B$25)+IF(AND(K530=1,AB530&lt;&gt;0),(Inputs!$B$17+Inputs!$B$24+Inputs!$B$25)+(O530+Inputs!$B$24+Inputs!$B$25),0)+MAX(AG530,0)*(Inputs!$B$20+Inputs!$B$26+Inputs!$B$27)+MAX(-AG530,0)*(Inputs!$B$21+Inputs!$B$26+Inputs!$B$27)</f>
        <v>0</v>
      </c>
      <c r="AK530" s="30" t="n">
        <f aca="false">AB529*(M530-AD529*J530)+AB529*AD529*(N530+Inputs!$B$14)/Inputs!$B$16-AJ530</f>
        <v>0</v>
      </c>
      <c r="AL530" s="30" t="n">
        <f aca="false">IF(AP529&lt;&gt;0,AQ529+1,0)</f>
        <v>0</v>
      </c>
      <c r="AM530" s="30" t="n">
        <f aca="false">IF(W530="",0,IF(AND(AP529&lt;&gt;0,OR(ABS(W530)&gt;Inputs!$B$7,AL530&gt;=Inputs!$B$8,ABS(W530)&lt;Inputs!$B$6)),1,0))</f>
        <v>0</v>
      </c>
      <c r="AN530" s="30" t="n">
        <f aca="false">IF(AM530=1,0,AP529)</f>
        <v>0</v>
      </c>
      <c r="AO530" s="30" t="n">
        <f aca="false">IF(W530="",0,IF(AND(AN530=0,ABS(W530)&gt;Inputs!$B$5,ABS(W530)&lt;=Inputs!$B$7,W530&gt;0),1,0))</f>
        <v>0</v>
      </c>
      <c r="AP530" s="30" t="n">
        <f aca="false">IF(W530="",0,IF(AO530=1,-SIGN(W530),AN530))</f>
        <v>0</v>
      </c>
      <c r="AQ530" s="30" t="n">
        <f aca="false">IF(W530="",0,IF(AO530=1,0,IF(AM530=1,0,AL530)))</f>
        <v>0</v>
      </c>
      <c r="AR530" s="30" t="n">
        <f aca="false">IF(AP530=0,0,IF(AP529=AP530,AR529,T530))</f>
        <v>0</v>
      </c>
      <c r="AS530" s="30" t="n">
        <f aca="false">AP530-AP529</f>
        <v>0</v>
      </c>
      <c r="AT530" s="30" t="n">
        <f aca="false">-AR530*AP530</f>
        <v>-0</v>
      </c>
      <c r="AU530" s="30" t="n">
        <f aca="false">AT530-AT529</f>
        <v>0</v>
      </c>
      <c r="AV530" s="30" t="n">
        <f aca="false">MAX(AS530,0)*(Inputs!$B$17+Inputs!$B$18+Inputs!$B$19)+MAX(-AS530,0)*(O530+Inputs!$B$18+Inputs!$B$19)+IF(AND(K530=1,AP530&lt;&gt;0),(Inputs!$B$17+Inputs!$B$18+Inputs!$B$19)+(O530+Inputs!$B$18+Inputs!$B$19),0)+MAX(AU530,0)*(Inputs!$B$20+Inputs!$B$22+Inputs!$B$23)+MAX(-AU530,0)*(Inputs!$B$21+Inputs!$B$22+Inputs!$B$23)</f>
        <v>0</v>
      </c>
      <c r="AW530" s="30" t="n">
        <f aca="false">AP529*(M530-AR529*J530)+AP529*AR529*N530/Inputs!$B$16-AV530</f>
        <v>0</v>
      </c>
      <c r="AX530" s="30" t="n">
        <f aca="false">AW530-IF(AP529&lt;&gt;0,0.75*AR529*(Inputs!$B$13-N530)/Inputs!$B$16,0)</f>
        <v>0</v>
      </c>
      <c r="AY530" s="30" t="n">
        <f aca="false">MAX(AS530,0)*(Inputs!$B$17+Inputs!$B$18+Inputs!$B$19)+MAX(-AS530,0)*(O530+Inputs!$B$18+Inputs!$B$19)+IF(AND(K530=1,AP530&lt;&gt;0),(Inputs!$B$17+Inputs!$B$18+Inputs!$B$19)+(O530+Inputs!$B$18+Inputs!$B$19),0)</f>
        <v>0</v>
      </c>
      <c r="AZ530" s="30" t="n">
        <f aca="false">AP529*M530-AY530</f>
        <v>-0</v>
      </c>
      <c r="BA530" s="32" t="n">
        <f aca="false">BA529+AI530</f>
        <v>0.00698617887383685</v>
      </c>
      <c r="BB530" s="30" t="n">
        <f aca="false">MAX(BB529,BA530)</f>
        <v>0.00698617887383685</v>
      </c>
      <c r="BC530" s="32" t="n">
        <f aca="false">BA530-BB530</f>
        <v>0</v>
      </c>
      <c r="BD530" s="30" t="n">
        <f aca="false">A531-A530</f>
        <v>3</v>
      </c>
    </row>
    <row r="531" customFormat="false" ht="15" hidden="false" customHeight="false" outlineLevel="0" collapsed="false">
      <c r="A531" s="28" t="n">
        <v>45824</v>
      </c>
      <c r="B531" s="0" t="n">
        <v>24998</v>
      </c>
      <c r="C531" s="0" t="n">
        <v>279.5</v>
      </c>
      <c r="D531" s="29" t="n">
        <f aca="false">LN(B531)</f>
        <v>10.1265511006502</v>
      </c>
      <c r="E531" s="29" t="n">
        <f aca="false">LN(C531)</f>
        <v>5.63300229259515</v>
      </c>
      <c r="F531" s="0" t="n">
        <v>526</v>
      </c>
      <c r="G531" s="0" t="n">
        <v>10</v>
      </c>
      <c r="H531" s="29" t="n">
        <f aca="false">D531-E531</f>
        <v>4.49354880805501</v>
      </c>
      <c r="I531" s="29" t="n">
        <f aca="false">D531-D530</f>
        <v>0.0103744547036868</v>
      </c>
      <c r="J531" s="29" t="n">
        <f aca="false">E531-E530</f>
        <v>0.00764993764276856</v>
      </c>
      <c r="K531" s="0" t="n">
        <v>0</v>
      </c>
      <c r="L531" s="0" t="n">
        <v>0</v>
      </c>
      <c r="M531" s="29" t="n">
        <f aca="false">IF(L531=1,J531-Carry!$B$9/Inputs!$B$16,I531)</f>
        <v>0.0103744547036868</v>
      </c>
      <c r="N531" s="0" t="n">
        <v>0.055</v>
      </c>
      <c r="O531" s="0" t="n">
        <v>0.0002</v>
      </c>
      <c r="P531" s="29" t="n">
        <f aca="false">D531-('2 Hedge ratio'!$B$6+'2 Hedge ratio'!$B$5*E531)</f>
        <v>0.00418688415742885</v>
      </c>
      <c r="Q531" s="29" t="n">
        <f aca="false">D531-('5 Re-specification'!$B$7+'5 Re-specification'!$B$5*E531+'5 Re-specification'!$B$6*F531)</f>
        <v>0.00305142199309572</v>
      </c>
      <c r="R531" s="30" t="n">
        <f aca="false">MIN(F531,Inputs!$B$9)</f>
        <v>250</v>
      </c>
      <c r="S531" s="29" t="n">
        <f aca="true">IF(AND(F531&gt;=1,R531&gt;=Inputs!$B$10),INDEX(LINEST(OFFSET(D531,-R531,0,R531,1),OFFSET(E531,-R531,0,R531,2)),1,1),"")</f>
        <v>-2.53869599955586E-005</v>
      </c>
      <c r="T531" s="29" t="n">
        <f aca="true">IF(AND(F531&gt;=1,R531&gt;=Inputs!$B$10),INDEX(LINEST(OFFSET(D531,-R531,0,R531,1),OFFSET(E531,-R531,0,R531,2)),1,2),"")</f>
        <v>1.01182653737637</v>
      </c>
      <c r="U531" s="29" t="n">
        <f aca="true">IF(AND(F531&gt;=1,R531&gt;=Inputs!$B$10),INDEX(LINEST(OFFSET(D531,-R531,0,R531,1),OFFSET(E531,-R531,0,R531,2)),1,3),"")</f>
        <v>4.44008413307503</v>
      </c>
      <c r="V531" s="29" t="n">
        <f aca="true">IF(AND(F531&gt;=1,R531&gt;=Inputs!$B$10),SQRT(SUMPRODUCT((OFFSET(D531,-R531,0,R531,1)-U531-T531*OFFSET(E531,-R531,0,R531,1)-S531*OFFSET(F531,-R531,0,R531,1))^2)/(R531-3)),"")</f>
        <v>0.00225029720265753</v>
      </c>
      <c r="W531" s="31" t="n">
        <f aca="false">IF(AND(F531&gt;=1,R531&gt;=Inputs!$B$10),(D531-U531-T531*E531-S531*F531)/V531,"")</f>
        <v>0.0885677602332013</v>
      </c>
      <c r="X531" s="30" t="n">
        <f aca="false">IF(AB530&lt;&gt;0,AC530+1,0)</f>
        <v>0</v>
      </c>
      <c r="Y531" s="30" t="n">
        <f aca="false">IF(W531="",0,IF(AND(AB530&lt;&gt;0,OR(ABS(W531)&gt;Inputs!$B$7,X531&gt;=Inputs!$B$8,ABS(W531)&lt;Inputs!$B$6)),1,0))</f>
        <v>0</v>
      </c>
      <c r="Z531" s="30" t="n">
        <f aca="false">IF(Y531=1,0,AB530)</f>
        <v>0</v>
      </c>
      <c r="AA531" s="30" t="n">
        <f aca="false">IF(W531="",0,IF(AND(Z531=0,ABS(W531)&gt;Inputs!$B$5,ABS(W531)&lt;=Inputs!$B$7),1,0))</f>
        <v>0</v>
      </c>
      <c r="AB531" s="30" t="n">
        <f aca="false">IF(W531="",0,IF(AA531=1,-SIGN(W531),Z531))</f>
        <v>0</v>
      </c>
      <c r="AC531" s="30" t="n">
        <f aca="false">IF(W531="",0,IF(AA531=1,0,IF(Y531=1,0,X531)))</f>
        <v>0</v>
      </c>
      <c r="AD531" s="30" t="n">
        <f aca="false">IF(AB531=0,0,IF(AB530=AB531,AD530,T531))</f>
        <v>0</v>
      </c>
      <c r="AE531" s="30" t="n">
        <f aca="false">AB531-AB530</f>
        <v>0</v>
      </c>
      <c r="AF531" s="30" t="n">
        <f aca="false">-AD531*AB531</f>
        <v>-0</v>
      </c>
      <c r="AG531" s="30" t="n">
        <f aca="false">AF531-AF530</f>
        <v>0</v>
      </c>
      <c r="AH531" s="30" t="n">
        <f aca="false">MAX(AE531,0)*(Inputs!$B$17+Inputs!$B$18+Inputs!$B$19)+MAX(-AE531,0)*(O531+Inputs!$B$18+Inputs!$B$19)+IF(AND(K531=1,AB531&lt;&gt;0),(Inputs!$B$17+Inputs!$B$18+Inputs!$B$19)+(O531+Inputs!$B$18+Inputs!$B$19),0)+MAX(AG531,0)*(Inputs!$B$20+Inputs!$B$22+Inputs!$B$23)+MAX(-AG531,0)*(Inputs!$B$21+Inputs!$B$22+Inputs!$B$23)</f>
        <v>0</v>
      </c>
      <c r="AI531" s="30" t="n">
        <f aca="false">AB530*(M531-AD530*J531)+AB530*AD530*N531/Inputs!$B$16-AH531</f>
        <v>0</v>
      </c>
      <c r="AJ531" s="30" t="n">
        <f aca="false">MAX(AE531,0)*(Inputs!$B$17+Inputs!$B$24+Inputs!$B$25)+MAX(-AE531,0)*(O531+Inputs!$B$24+Inputs!$B$25)+IF(AND(K531=1,AB531&lt;&gt;0),(Inputs!$B$17+Inputs!$B$24+Inputs!$B$25)+(O531+Inputs!$B$24+Inputs!$B$25),0)+MAX(AG531,0)*(Inputs!$B$20+Inputs!$B$26+Inputs!$B$27)+MAX(-AG531,0)*(Inputs!$B$21+Inputs!$B$26+Inputs!$B$27)</f>
        <v>0</v>
      </c>
      <c r="AK531" s="30" t="n">
        <f aca="false">AB530*(M531-AD530*J531)+AB530*AD530*(N531+Inputs!$B$14)/Inputs!$B$16-AJ531</f>
        <v>0</v>
      </c>
      <c r="AL531" s="30" t="n">
        <f aca="false">IF(AP530&lt;&gt;0,AQ530+1,0)</f>
        <v>0</v>
      </c>
      <c r="AM531" s="30" t="n">
        <f aca="false">IF(W531="",0,IF(AND(AP530&lt;&gt;0,OR(ABS(W531)&gt;Inputs!$B$7,AL531&gt;=Inputs!$B$8,ABS(W531)&lt;Inputs!$B$6)),1,0))</f>
        <v>0</v>
      </c>
      <c r="AN531" s="30" t="n">
        <f aca="false">IF(AM531=1,0,AP530)</f>
        <v>0</v>
      </c>
      <c r="AO531" s="30" t="n">
        <f aca="false">IF(W531="",0,IF(AND(AN531=0,ABS(W531)&gt;Inputs!$B$5,ABS(W531)&lt;=Inputs!$B$7,W531&gt;0),1,0))</f>
        <v>0</v>
      </c>
      <c r="AP531" s="30" t="n">
        <f aca="false">IF(W531="",0,IF(AO531=1,-SIGN(W531),AN531))</f>
        <v>0</v>
      </c>
      <c r="AQ531" s="30" t="n">
        <f aca="false">IF(W531="",0,IF(AO531=1,0,IF(AM531=1,0,AL531)))</f>
        <v>0</v>
      </c>
      <c r="AR531" s="30" t="n">
        <f aca="false">IF(AP531=0,0,IF(AP530=AP531,AR530,T531))</f>
        <v>0</v>
      </c>
      <c r="AS531" s="30" t="n">
        <f aca="false">AP531-AP530</f>
        <v>0</v>
      </c>
      <c r="AT531" s="30" t="n">
        <f aca="false">-AR531*AP531</f>
        <v>-0</v>
      </c>
      <c r="AU531" s="30" t="n">
        <f aca="false">AT531-AT530</f>
        <v>0</v>
      </c>
      <c r="AV531" s="30" t="n">
        <f aca="false">MAX(AS531,0)*(Inputs!$B$17+Inputs!$B$18+Inputs!$B$19)+MAX(-AS531,0)*(O531+Inputs!$B$18+Inputs!$B$19)+IF(AND(K531=1,AP531&lt;&gt;0),(Inputs!$B$17+Inputs!$B$18+Inputs!$B$19)+(O531+Inputs!$B$18+Inputs!$B$19),0)+MAX(AU531,0)*(Inputs!$B$20+Inputs!$B$22+Inputs!$B$23)+MAX(-AU531,0)*(Inputs!$B$21+Inputs!$B$22+Inputs!$B$23)</f>
        <v>0</v>
      </c>
      <c r="AW531" s="30" t="n">
        <f aca="false">AP530*(M531-AR530*J531)+AP530*AR530*N531/Inputs!$B$16-AV531</f>
        <v>0</v>
      </c>
      <c r="AX531" s="30" t="n">
        <f aca="false">AW531-IF(AP530&lt;&gt;0,0.75*AR530*(Inputs!$B$13-N531)/Inputs!$B$16,0)</f>
        <v>0</v>
      </c>
      <c r="AY531" s="30" t="n">
        <f aca="false">MAX(AS531,0)*(Inputs!$B$17+Inputs!$B$18+Inputs!$B$19)+MAX(-AS531,0)*(O531+Inputs!$B$18+Inputs!$B$19)+IF(AND(K531=1,AP531&lt;&gt;0),(Inputs!$B$17+Inputs!$B$18+Inputs!$B$19)+(O531+Inputs!$B$18+Inputs!$B$19),0)</f>
        <v>0</v>
      </c>
      <c r="AZ531" s="30" t="n">
        <f aca="false">AP530*M531-AY531</f>
        <v>0</v>
      </c>
      <c r="BA531" s="32" t="n">
        <f aca="false">BA530+AI531</f>
        <v>0.00698617887383685</v>
      </c>
      <c r="BB531" s="30" t="n">
        <f aca="false">MAX(BB530,BA531)</f>
        <v>0.00698617887383685</v>
      </c>
      <c r="BC531" s="32" t="n">
        <f aca="false">BA531-BB531</f>
        <v>0</v>
      </c>
      <c r="BD531" s="30" t="n">
        <f aca="false">A532-A531</f>
        <v>1</v>
      </c>
    </row>
    <row r="532" customFormat="false" ht="15" hidden="false" customHeight="false" outlineLevel="0" collapsed="false">
      <c r="A532" s="28" t="n">
        <v>45825</v>
      </c>
      <c r="B532" s="0" t="n">
        <v>24859</v>
      </c>
      <c r="C532" s="0" t="n">
        <v>278.55</v>
      </c>
      <c r="D532" s="29" t="n">
        <f aca="false">LN(B532)</f>
        <v>10.1209751389942</v>
      </c>
      <c r="E532" s="29" t="n">
        <f aca="false">LN(C532)</f>
        <v>5.62959757646683</v>
      </c>
      <c r="F532" s="0" t="n">
        <v>527</v>
      </c>
      <c r="G532" s="0" t="n">
        <v>9</v>
      </c>
      <c r="H532" s="29" t="n">
        <f aca="false">D532-E532</f>
        <v>4.49137756252736</v>
      </c>
      <c r="I532" s="29" t="n">
        <f aca="false">D532-D531</f>
        <v>-0.0055759616559854</v>
      </c>
      <c r="J532" s="29" t="n">
        <f aca="false">E532-E531</f>
        <v>-0.00340471612832882</v>
      </c>
      <c r="K532" s="0" t="n">
        <v>0</v>
      </c>
      <c r="L532" s="0" t="n">
        <v>0</v>
      </c>
      <c r="M532" s="29" t="n">
        <f aca="false">IF(L532=1,J532-Carry!$B$9/Inputs!$B$16,I532)</f>
        <v>-0.0055759616559854</v>
      </c>
      <c r="N532" s="0" t="n">
        <v>0.055</v>
      </c>
      <c r="O532" s="0" t="n">
        <v>0.0002</v>
      </c>
      <c r="P532" s="29" t="n">
        <f aca="false">D532-('2 Hedge ratio'!$B$6+'2 Hedge ratio'!$B$5*E532)</f>
        <v>0.00173007405424563</v>
      </c>
      <c r="Q532" s="29" t="n">
        <f aca="false">D532-('5 Re-specification'!$B$7+'5 Re-specification'!$B$5*E532+'5 Re-specification'!$B$6*F532)</f>
        <v>0.000914787791234772</v>
      </c>
      <c r="R532" s="30" t="n">
        <f aca="false">MIN(F532,Inputs!$B$9)</f>
        <v>250</v>
      </c>
      <c r="S532" s="29" t="n">
        <f aca="true">IF(AND(F532&gt;=1,R532&gt;=Inputs!$B$10),INDEX(LINEST(OFFSET(D532,-R532,0,R532,1),OFFSET(E532,-R532,0,R532,2)),1,1),"")</f>
        <v>-2.51090782164931E-005</v>
      </c>
      <c r="T532" s="29" t="n">
        <f aca="true">IF(AND(F532&gt;=1,R532&gt;=Inputs!$B$10),INDEX(LINEST(OFFSET(D532,-R532,0,R532,1),OFFSET(E532,-R532,0,R532,2)),1,2),"")</f>
        <v>1.01228287118933</v>
      </c>
      <c r="U532" s="29" t="n">
        <f aca="true">IF(AND(F532&gt;=1,R532&gt;=Inputs!$B$10),INDEX(LINEST(OFFSET(D532,-R532,0,R532,1),OFFSET(E532,-R532,0,R532,2)),1,3),"")</f>
        <v>4.43741096663306</v>
      </c>
      <c r="V532" s="29" t="n">
        <f aca="true">IF(AND(F532&gt;=1,R532&gt;=Inputs!$B$10),SQRT(SUMPRODUCT((OFFSET(D532,-R532,0,R532,1)-U532-T532*OFFSET(E532,-R532,0,R532,1)-S532*OFFSET(F532,-R532,0,R532,1))^2)/(R532-3)),"")</f>
        <v>0.00224620506346934</v>
      </c>
      <c r="W532" s="31" t="n">
        <f aca="false">IF(AND(F532&gt;=1,R532&gt;=Inputs!$B$10),(D532-U532-T532*E532-S532*F532)/V532,"")</f>
        <v>-0.8674816902669</v>
      </c>
      <c r="X532" s="30" t="n">
        <f aca="false">IF(AB531&lt;&gt;0,AC531+1,0)</f>
        <v>0</v>
      </c>
      <c r="Y532" s="30" t="n">
        <f aca="false">IF(W532="",0,IF(AND(AB531&lt;&gt;0,OR(ABS(W532)&gt;Inputs!$B$7,X532&gt;=Inputs!$B$8,ABS(W532)&lt;Inputs!$B$6)),1,0))</f>
        <v>0</v>
      </c>
      <c r="Z532" s="30" t="n">
        <f aca="false">IF(Y532=1,0,AB531)</f>
        <v>0</v>
      </c>
      <c r="AA532" s="30" t="n">
        <f aca="false">IF(W532="",0,IF(AND(Z532=0,ABS(W532)&gt;Inputs!$B$5,ABS(W532)&lt;=Inputs!$B$7),1,0))</f>
        <v>0</v>
      </c>
      <c r="AB532" s="30" t="n">
        <f aca="false">IF(W532="",0,IF(AA532=1,-SIGN(W532),Z532))</f>
        <v>0</v>
      </c>
      <c r="AC532" s="30" t="n">
        <f aca="false">IF(W532="",0,IF(AA532=1,0,IF(Y532=1,0,X532)))</f>
        <v>0</v>
      </c>
      <c r="AD532" s="30" t="n">
        <f aca="false">IF(AB532=0,0,IF(AB531=AB532,AD531,T532))</f>
        <v>0</v>
      </c>
      <c r="AE532" s="30" t="n">
        <f aca="false">AB532-AB531</f>
        <v>0</v>
      </c>
      <c r="AF532" s="30" t="n">
        <f aca="false">-AD532*AB532</f>
        <v>-0</v>
      </c>
      <c r="AG532" s="30" t="n">
        <f aca="false">AF532-AF531</f>
        <v>0</v>
      </c>
      <c r="AH532" s="30" t="n">
        <f aca="false">MAX(AE532,0)*(Inputs!$B$17+Inputs!$B$18+Inputs!$B$19)+MAX(-AE532,0)*(O532+Inputs!$B$18+Inputs!$B$19)+IF(AND(K532=1,AB532&lt;&gt;0),(Inputs!$B$17+Inputs!$B$18+Inputs!$B$19)+(O532+Inputs!$B$18+Inputs!$B$19),0)+MAX(AG532,0)*(Inputs!$B$20+Inputs!$B$22+Inputs!$B$23)+MAX(-AG532,0)*(Inputs!$B$21+Inputs!$B$22+Inputs!$B$23)</f>
        <v>0</v>
      </c>
      <c r="AI532" s="30" t="n">
        <f aca="false">AB531*(M532-AD531*J532)+AB531*AD531*N532/Inputs!$B$16-AH532</f>
        <v>0</v>
      </c>
      <c r="AJ532" s="30" t="n">
        <f aca="false">MAX(AE532,0)*(Inputs!$B$17+Inputs!$B$24+Inputs!$B$25)+MAX(-AE532,0)*(O532+Inputs!$B$24+Inputs!$B$25)+IF(AND(K532=1,AB532&lt;&gt;0),(Inputs!$B$17+Inputs!$B$24+Inputs!$B$25)+(O532+Inputs!$B$24+Inputs!$B$25),0)+MAX(AG532,0)*(Inputs!$B$20+Inputs!$B$26+Inputs!$B$27)+MAX(-AG532,0)*(Inputs!$B$21+Inputs!$B$26+Inputs!$B$27)</f>
        <v>0</v>
      </c>
      <c r="AK532" s="30" t="n">
        <f aca="false">AB531*(M532-AD531*J532)+AB531*AD531*(N532+Inputs!$B$14)/Inputs!$B$16-AJ532</f>
        <v>0</v>
      </c>
      <c r="AL532" s="30" t="n">
        <f aca="false">IF(AP531&lt;&gt;0,AQ531+1,0)</f>
        <v>0</v>
      </c>
      <c r="AM532" s="30" t="n">
        <f aca="false">IF(W532="",0,IF(AND(AP531&lt;&gt;0,OR(ABS(W532)&gt;Inputs!$B$7,AL532&gt;=Inputs!$B$8,ABS(W532)&lt;Inputs!$B$6)),1,0))</f>
        <v>0</v>
      </c>
      <c r="AN532" s="30" t="n">
        <f aca="false">IF(AM532=1,0,AP531)</f>
        <v>0</v>
      </c>
      <c r="AO532" s="30" t="n">
        <f aca="false">IF(W532="",0,IF(AND(AN532=0,ABS(W532)&gt;Inputs!$B$5,ABS(W532)&lt;=Inputs!$B$7,W532&gt;0),1,0))</f>
        <v>0</v>
      </c>
      <c r="AP532" s="30" t="n">
        <f aca="false">IF(W532="",0,IF(AO532=1,-SIGN(W532),AN532))</f>
        <v>0</v>
      </c>
      <c r="AQ532" s="30" t="n">
        <f aca="false">IF(W532="",0,IF(AO532=1,0,IF(AM532=1,0,AL532)))</f>
        <v>0</v>
      </c>
      <c r="AR532" s="30" t="n">
        <f aca="false">IF(AP532=0,0,IF(AP531=AP532,AR531,T532))</f>
        <v>0</v>
      </c>
      <c r="AS532" s="30" t="n">
        <f aca="false">AP532-AP531</f>
        <v>0</v>
      </c>
      <c r="AT532" s="30" t="n">
        <f aca="false">-AR532*AP532</f>
        <v>-0</v>
      </c>
      <c r="AU532" s="30" t="n">
        <f aca="false">AT532-AT531</f>
        <v>0</v>
      </c>
      <c r="AV532" s="30" t="n">
        <f aca="false">MAX(AS532,0)*(Inputs!$B$17+Inputs!$B$18+Inputs!$B$19)+MAX(-AS532,0)*(O532+Inputs!$B$18+Inputs!$B$19)+IF(AND(K532=1,AP532&lt;&gt;0),(Inputs!$B$17+Inputs!$B$18+Inputs!$B$19)+(O532+Inputs!$B$18+Inputs!$B$19),0)+MAX(AU532,0)*(Inputs!$B$20+Inputs!$B$22+Inputs!$B$23)+MAX(-AU532,0)*(Inputs!$B$21+Inputs!$B$22+Inputs!$B$23)</f>
        <v>0</v>
      </c>
      <c r="AW532" s="30" t="n">
        <f aca="false">AP531*(M532-AR531*J532)+AP531*AR531*N532/Inputs!$B$16-AV532</f>
        <v>0</v>
      </c>
      <c r="AX532" s="30" t="n">
        <f aca="false">AW532-IF(AP531&lt;&gt;0,0.75*AR531*(Inputs!$B$13-N532)/Inputs!$B$16,0)</f>
        <v>0</v>
      </c>
      <c r="AY532" s="30" t="n">
        <f aca="false">MAX(AS532,0)*(Inputs!$B$17+Inputs!$B$18+Inputs!$B$19)+MAX(-AS532,0)*(O532+Inputs!$B$18+Inputs!$B$19)+IF(AND(K532=1,AP532&lt;&gt;0),(Inputs!$B$17+Inputs!$B$18+Inputs!$B$19)+(O532+Inputs!$B$18+Inputs!$B$19),0)</f>
        <v>0</v>
      </c>
      <c r="AZ532" s="30" t="n">
        <f aca="false">AP531*M532-AY532</f>
        <v>-0</v>
      </c>
      <c r="BA532" s="32" t="n">
        <f aca="false">BA531+AI532</f>
        <v>0.00698617887383685</v>
      </c>
      <c r="BB532" s="30" t="n">
        <f aca="false">MAX(BB531,BA532)</f>
        <v>0.00698617887383685</v>
      </c>
      <c r="BC532" s="32" t="n">
        <f aca="false">BA532-BB532</f>
        <v>0</v>
      </c>
      <c r="BD532" s="30" t="n">
        <f aca="false">A533-A532</f>
        <v>1</v>
      </c>
    </row>
    <row r="533" customFormat="false" ht="15" hidden="false" customHeight="false" outlineLevel="0" collapsed="false">
      <c r="A533" s="28" t="n">
        <v>45826</v>
      </c>
      <c r="B533" s="0" t="n">
        <v>24818</v>
      </c>
      <c r="C533" s="0" t="n">
        <v>278.31</v>
      </c>
      <c r="D533" s="29" t="n">
        <f aca="false">LN(B533)</f>
        <v>10.1193244753346</v>
      </c>
      <c r="E533" s="29" t="n">
        <f aca="false">LN(C533)</f>
        <v>5.62873560033329</v>
      </c>
      <c r="F533" s="0" t="n">
        <v>528</v>
      </c>
      <c r="G533" s="0" t="n">
        <v>8</v>
      </c>
      <c r="H533" s="29" t="n">
        <f aca="false">D533-E533</f>
        <v>4.49058887500128</v>
      </c>
      <c r="I533" s="29" t="n">
        <f aca="false">D533-D532</f>
        <v>-0.00165066365961586</v>
      </c>
      <c r="J533" s="29" t="n">
        <f aca="false">E533-E532</f>
        <v>-0.000861976133535336</v>
      </c>
      <c r="K533" s="0" t="n">
        <v>0</v>
      </c>
      <c r="L533" s="0" t="n">
        <v>0</v>
      </c>
      <c r="M533" s="29" t="n">
        <f aca="false">IF(L533=1,J533-Carry!$B$9/Inputs!$B$16,I533)</f>
        <v>-0.00165066365961586</v>
      </c>
      <c r="N533" s="0" t="n">
        <v>0.055</v>
      </c>
      <c r="O533" s="0" t="n">
        <v>0.0002</v>
      </c>
      <c r="P533" s="29" t="n">
        <f aca="false">D533-('2 Hedge ratio'!$B$6+'2 Hedge ratio'!$B$5*E533)</f>
        <v>0.000869089796392331</v>
      </c>
      <c r="Q533" s="29" t="n">
        <f aca="false">D533-('5 Re-specification'!$B$7+'5 Re-specification'!$B$5*E533+'5 Re-specification'!$B$6*F533)</f>
        <v>0.000168417364559303</v>
      </c>
      <c r="R533" s="30" t="n">
        <f aca="false">MIN(F533,Inputs!$B$9)</f>
        <v>250</v>
      </c>
      <c r="S533" s="29" t="n">
        <f aca="true">IF(AND(F533&gt;=1,R533&gt;=Inputs!$B$10),INDEX(LINEST(OFFSET(D533,-R533,0,R533,1),OFFSET(E533,-R533,0,R533,2)),1,1),"")</f>
        <v>-2.51345136160047E-005</v>
      </c>
      <c r="T533" s="29" t="n">
        <f aca="true">IF(AND(F533&gt;=1,R533&gt;=Inputs!$B$10),INDEX(LINEST(OFFSET(D533,-R533,0,R533,1),OFFSET(E533,-R533,0,R533,2)),1,2),"")</f>
        <v>1.012273784885</v>
      </c>
      <c r="U533" s="29" t="n">
        <f aca="true">IF(AND(F533&gt;=1,R533&gt;=Inputs!$B$10),INDEX(LINEST(OFFSET(D533,-R533,0,R533,1),OFFSET(E533,-R533,0,R533,2)),1,3),"")</f>
        <v>4.43745754341644</v>
      </c>
      <c r="V533" s="29" t="n">
        <f aca="true">IF(AND(F533&gt;=1,R533&gt;=Inputs!$B$10),SQRT(SUMPRODUCT((OFFSET(D533,-R533,0,R533,1)-U533-T533*OFFSET(E533,-R533,0,R533,1)-S533*OFFSET(F533,-R533,0,R533,1))^2)/(R533-3)),"")</f>
        <v>0.00224703288120044</v>
      </c>
      <c r="W533" s="31" t="n">
        <f aca="false">IF(AND(F533&gt;=1,R533&gt;=Inputs!$B$10),(D533-U533-T533*E533-S533*F533)/V533,"")</f>
        <v>-1.19425718306347</v>
      </c>
      <c r="X533" s="30" t="n">
        <f aca="false">IF(AB532&lt;&gt;0,AC532+1,0)</f>
        <v>0</v>
      </c>
      <c r="Y533" s="30" t="n">
        <f aca="false">IF(W533="",0,IF(AND(AB532&lt;&gt;0,OR(ABS(W533)&gt;Inputs!$B$7,X533&gt;=Inputs!$B$8,ABS(W533)&lt;Inputs!$B$6)),1,0))</f>
        <v>0</v>
      </c>
      <c r="Z533" s="30" t="n">
        <f aca="false">IF(Y533=1,0,AB532)</f>
        <v>0</v>
      </c>
      <c r="AA533" s="30" t="n">
        <f aca="false">IF(W533="",0,IF(AND(Z533=0,ABS(W533)&gt;Inputs!$B$5,ABS(W533)&lt;=Inputs!$B$7),1,0))</f>
        <v>0</v>
      </c>
      <c r="AB533" s="30" t="n">
        <f aca="false">IF(W533="",0,IF(AA533=1,-SIGN(W533),Z533))</f>
        <v>0</v>
      </c>
      <c r="AC533" s="30" t="n">
        <f aca="false">IF(W533="",0,IF(AA533=1,0,IF(Y533=1,0,X533)))</f>
        <v>0</v>
      </c>
      <c r="AD533" s="30" t="n">
        <f aca="false">IF(AB533=0,0,IF(AB532=AB533,AD532,T533))</f>
        <v>0</v>
      </c>
      <c r="AE533" s="30" t="n">
        <f aca="false">AB533-AB532</f>
        <v>0</v>
      </c>
      <c r="AF533" s="30" t="n">
        <f aca="false">-AD533*AB533</f>
        <v>-0</v>
      </c>
      <c r="AG533" s="30" t="n">
        <f aca="false">AF533-AF532</f>
        <v>0</v>
      </c>
      <c r="AH533" s="30" t="n">
        <f aca="false">MAX(AE533,0)*(Inputs!$B$17+Inputs!$B$18+Inputs!$B$19)+MAX(-AE533,0)*(O533+Inputs!$B$18+Inputs!$B$19)+IF(AND(K533=1,AB533&lt;&gt;0),(Inputs!$B$17+Inputs!$B$18+Inputs!$B$19)+(O533+Inputs!$B$18+Inputs!$B$19),0)+MAX(AG533,0)*(Inputs!$B$20+Inputs!$B$22+Inputs!$B$23)+MAX(-AG533,0)*(Inputs!$B$21+Inputs!$B$22+Inputs!$B$23)</f>
        <v>0</v>
      </c>
      <c r="AI533" s="30" t="n">
        <f aca="false">AB532*(M533-AD532*J533)+AB532*AD532*N533/Inputs!$B$16-AH533</f>
        <v>0</v>
      </c>
      <c r="AJ533" s="30" t="n">
        <f aca="false">MAX(AE533,0)*(Inputs!$B$17+Inputs!$B$24+Inputs!$B$25)+MAX(-AE533,0)*(O533+Inputs!$B$24+Inputs!$B$25)+IF(AND(K533=1,AB533&lt;&gt;0),(Inputs!$B$17+Inputs!$B$24+Inputs!$B$25)+(O533+Inputs!$B$24+Inputs!$B$25),0)+MAX(AG533,0)*(Inputs!$B$20+Inputs!$B$26+Inputs!$B$27)+MAX(-AG533,0)*(Inputs!$B$21+Inputs!$B$26+Inputs!$B$27)</f>
        <v>0</v>
      </c>
      <c r="AK533" s="30" t="n">
        <f aca="false">AB532*(M533-AD532*J533)+AB532*AD532*(N533+Inputs!$B$14)/Inputs!$B$16-AJ533</f>
        <v>0</v>
      </c>
      <c r="AL533" s="30" t="n">
        <f aca="false">IF(AP532&lt;&gt;0,AQ532+1,0)</f>
        <v>0</v>
      </c>
      <c r="AM533" s="30" t="n">
        <f aca="false">IF(W533="",0,IF(AND(AP532&lt;&gt;0,OR(ABS(W533)&gt;Inputs!$B$7,AL533&gt;=Inputs!$B$8,ABS(W533)&lt;Inputs!$B$6)),1,0))</f>
        <v>0</v>
      </c>
      <c r="AN533" s="30" t="n">
        <f aca="false">IF(AM533=1,0,AP532)</f>
        <v>0</v>
      </c>
      <c r="AO533" s="30" t="n">
        <f aca="false">IF(W533="",0,IF(AND(AN533=0,ABS(W533)&gt;Inputs!$B$5,ABS(W533)&lt;=Inputs!$B$7,W533&gt;0),1,0))</f>
        <v>0</v>
      </c>
      <c r="AP533" s="30" t="n">
        <f aca="false">IF(W533="",0,IF(AO533=1,-SIGN(W533),AN533))</f>
        <v>0</v>
      </c>
      <c r="AQ533" s="30" t="n">
        <f aca="false">IF(W533="",0,IF(AO533=1,0,IF(AM533=1,0,AL533)))</f>
        <v>0</v>
      </c>
      <c r="AR533" s="30" t="n">
        <f aca="false">IF(AP533=0,0,IF(AP532=AP533,AR532,T533))</f>
        <v>0</v>
      </c>
      <c r="AS533" s="30" t="n">
        <f aca="false">AP533-AP532</f>
        <v>0</v>
      </c>
      <c r="AT533" s="30" t="n">
        <f aca="false">-AR533*AP533</f>
        <v>-0</v>
      </c>
      <c r="AU533" s="30" t="n">
        <f aca="false">AT533-AT532</f>
        <v>0</v>
      </c>
      <c r="AV533" s="30" t="n">
        <f aca="false">MAX(AS533,0)*(Inputs!$B$17+Inputs!$B$18+Inputs!$B$19)+MAX(-AS533,0)*(O533+Inputs!$B$18+Inputs!$B$19)+IF(AND(K533=1,AP533&lt;&gt;0),(Inputs!$B$17+Inputs!$B$18+Inputs!$B$19)+(O533+Inputs!$B$18+Inputs!$B$19),0)+MAX(AU533,0)*(Inputs!$B$20+Inputs!$B$22+Inputs!$B$23)+MAX(-AU533,0)*(Inputs!$B$21+Inputs!$B$22+Inputs!$B$23)</f>
        <v>0</v>
      </c>
      <c r="AW533" s="30" t="n">
        <f aca="false">AP532*(M533-AR532*J533)+AP532*AR532*N533/Inputs!$B$16-AV533</f>
        <v>0</v>
      </c>
      <c r="AX533" s="30" t="n">
        <f aca="false">AW533-IF(AP532&lt;&gt;0,0.75*AR532*(Inputs!$B$13-N533)/Inputs!$B$16,0)</f>
        <v>0</v>
      </c>
      <c r="AY533" s="30" t="n">
        <f aca="false">MAX(AS533,0)*(Inputs!$B$17+Inputs!$B$18+Inputs!$B$19)+MAX(-AS533,0)*(O533+Inputs!$B$18+Inputs!$B$19)+IF(AND(K533=1,AP533&lt;&gt;0),(Inputs!$B$17+Inputs!$B$18+Inputs!$B$19)+(O533+Inputs!$B$18+Inputs!$B$19),0)</f>
        <v>0</v>
      </c>
      <c r="AZ533" s="30" t="n">
        <f aca="false">AP532*M533-AY533</f>
        <v>-0</v>
      </c>
      <c r="BA533" s="32" t="n">
        <f aca="false">BA532+AI533</f>
        <v>0.00698617887383685</v>
      </c>
      <c r="BB533" s="30" t="n">
        <f aca="false">MAX(BB532,BA533)</f>
        <v>0.00698617887383685</v>
      </c>
      <c r="BC533" s="32" t="n">
        <f aca="false">BA533-BB533</f>
        <v>0</v>
      </c>
      <c r="BD533" s="30" t="n">
        <f aca="false">A534-A533</f>
        <v>1</v>
      </c>
    </row>
    <row r="534" customFormat="false" ht="15" hidden="false" customHeight="false" outlineLevel="0" collapsed="false">
      <c r="A534" s="28" t="n">
        <v>45827</v>
      </c>
      <c r="B534" s="0" t="n">
        <v>24775</v>
      </c>
      <c r="C534" s="0" t="n">
        <v>277.78</v>
      </c>
      <c r="D534" s="29" t="n">
        <f aca="false">LN(B534)</f>
        <v>10.1175903591982</v>
      </c>
      <c r="E534" s="29" t="n">
        <f aca="false">LN(C534)</f>
        <v>5.62682943348807</v>
      </c>
      <c r="F534" s="0" t="n">
        <v>529</v>
      </c>
      <c r="G534" s="0" t="n">
        <v>7</v>
      </c>
      <c r="H534" s="29" t="n">
        <f aca="false">D534-E534</f>
        <v>4.49076092571012</v>
      </c>
      <c r="I534" s="29" t="n">
        <f aca="false">D534-D533</f>
        <v>-0.00173411613637597</v>
      </c>
      <c r="J534" s="29" t="n">
        <f aca="false">E534-E533</f>
        <v>-0.00190616684521672</v>
      </c>
      <c r="K534" s="0" t="n">
        <v>0</v>
      </c>
      <c r="L534" s="0" t="n">
        <v>0</v>
      </c>
      <c r="M534" s="29" t="n">
        <f aca="false">IF(L534=1,J534-Carry!$B$9/Inputs!$B$16,I534)</f>
        <v>-0.00173411613637597</v>
      </c>
      <c r="N534" s="0" t="n">
        <v>0.055</v>
      </c>
      <c r="O534" s="0" t="n">
        <v>0.0002</v>
      </c>
      <c r="P534" s="29" t="n">
        <f aca="false">D534-('2 Hedge ratio'!$B$6+'2 Hedge ratio'!$B$5*E534)</f>
        <v>0.000881264114509506</v>
      </c>
      <c r="Q534" s="29" t="n">
        <f aca="false">D534-('5 Re-specification'!$B$7+'5 Re-specification'!$B$5*E534+'5 Re-specification'!$B$6*F534)</f>
        <v>0.000379620752834597</v>
      </c>
      <c r="R534" s="30" t="n">
        <f aca="false">MIN(F534,Inputs!$B$9)</f>
        <v>250</v>
      </c>
      <c r="S534" s="29" t="n">
        <f aca="true">IF(AND(F534&gt;=1,R534&gt;=Inputs!$B$10),INDEX(LINEST(OFFSET(D534,-R534,0,R534,1),OFFSET(E534,-R534,0,R534,2)),1,1),"")</f>
        <v>-2.5387709346281E-005</v>
      </c>
      <c r="T534" s="29" t="n">
        <f aca="true">IF(AND(F534&gt;=1,R534&gt;=Inputs!$B$10),INDEX(LINEST(OFFSET(D534,-R534,0,R534,1),OFFSET(E534,-R534,0,R534,2)),1,2),"")</f>
        <v>1.01191720304412</v>
      </c>
      <c r="U534" s="29" t="n">
        <f aca="true">IF(AND(F534&gt;=1,R534&gt;=Inputs!$B$10),INDEX(LINEST(OFFSET(D534,-R534,0,R534,1),OFFSET(E534,-R534,0,R534,2)),1,3),"")</f>
        <v>4.43954289260977</v>
      </c>
      <c r="V534" s="29" t="n">
        <f aca="true">IF(AND(F534&gt;=1,R534&gt;=Inputs!$B$10),SQRT(SUMPRODUCT((OFFSET(D534,-R534,0,R534,1)-U534-T534*OFFSET(E534,-R534,0,R534,1)-S534*OFFSET(F534,-R534,0,R534,1))^2)/(R534-3)),"")</f>
        <v>0.00225317634103579</v>
      </c>
      <c r="W534" s="31" t="n">
        <f aca="false">IF(AND(F534&gt;=1,R534&gt;=Inputs!$B$10),(D534-U534-T534*E534-S534*F534)/V534,"")</f>
        <v>-1.06868577711971</v>
      </c>
      <c r="X534" s="30" t="n">
        <f aca="false">IF(AB533&lt;&gt;0,AC533+1,0)</f>
        <v>0</v>
      </c>
      <c r="Y534" s="30" t="n">
        <f aca="false">IF(W534="",0,IF(AND(AB533&lt;&gt;0,OR(ABS(W534)&gt;Inputs!$B$7,X534&gt;=Inputs!$B$8,ABS(W534)&lt;Inputs!$B$6)),1,0))</f>
        <v>0</v>
      </c>
      <c r="Z534" s="30" t="n">
        <f aca="false">IF(Y534=1,0,AB533)</f>
        <v>0</v>
      </c>
      <c r="AA534" s="30" t="n">
        <f aca="false">IF(W534="",0,IF(AND(Z534=0,ABS(W534)&gt;Inputs!$B$5,ABS(W534)&lt;=Inputs!$B$7),1,0))</f>
        <v>0</v>
      </c>
      <c r="AB534" s="30" t="n">
        <f aca="false">IF(W534="",0,IF(AA534=1,-SIGN(W534),Z534))</f>
        <v>0</v>
      </c>
      <c r="AC534" s="30" t="n">
        <f aca="false">IF(W534="",0,IF(AA534=1,0,IF(Y534=1,0,X534)))</f>
        <v>0</v>
      </c>
      <c r="AD534" s="30" t="n">
        <f aca="false">IF(AB534=0,0,IF(AB533=AB534,AD533,T534))</f>
        <v>0</v>
      </c>
      <c r="AE534" s="30" t="n">
        <f aca="false">AB534-AB533</f>
        <v>0</v>
      </c>
      <c r="AF534" s="30" t="n">
        <f aca="false">-AD534*AB534</f>
        <v>-0</v>
      </c>
      <c r="AG534" s="30" t="n">
        <f aca="false">AF534-AF533</f>
        <v>0</v>
      </c>
      <c r="AH534" s="30" t="n">
        <f aca="false">MAX(AE534,0)*(Inputs!$B$17+Inputs!$B$18+Inputs!$B$19)+MAX(-AE534,0)*(O534+Inputs!$B$18+Inputs!$B$19)+IF(AND(K534=1,AB534&lt;&gt;0),(Inputs!$B$17+Inputs!$B$18+Inputs!$B$19)+(O534+Inputs!$B$18+Inputs!$B$19),0)+MAX(AG534,0)*(Inputs!$B$20+Inputs!$B$22+Inputs!$B$23)+MAX(-AG534,0)*(Inputs!$B$21+Inputs!$B$22+Inputs!$B$23)</f>
        <v>0</v>
      </c>
      <c r="AI534" s="30" t="n">
        <f aca="false">AB533*(M534-AD533*J534)+AB533*AD533*N534/Inputs!$B$16-AH534</f>
        <v>0</v>
      </c>
      <c r="AJ534" s="30" t="n">
        <f aca="false">MAX(AE534,0)*(Inputs!$B$17+Inputs!$B$24+Inputs!$B$25)+MAX(-AE534,0)*(O534+Inputs!$B$24+Inputs!$B$25)+IF(AND(K534=1,AB534&lt;&gt;0),(Inputs!$B$17+Inputs!$B$24+Inputs!$B$25)+(O534+Inputs!$B$24+Inputs!$B$25),0)+MAX(AG534,0)*(Inputs!$B$20+Inputs!$B$26+Inputs!$B$27)+MAX(-AG534,0)*(Inputs!$B$21+Inputs!$B$26+Inputs!$B$27)</f>
        <v>0</v>
      </c>
      <c r="AK534" s="30" t="n">
        <f aca="false">AB533*(M534-AD533*J534)+AB533*AD533*(N534+Inputs!$B$14)/Inputs!$B$16-AJ534</f>
        <v>0</v>
      </c>
      <c r="AL534" s="30" t="n">
        <f aca="false">IF(AP533&lt;&gt;0,AQ533+1,0)</f>
        <v>0</v>
      </c>
      <c r="AM534" s="30" t="n">
        <f aca="false">IF(W534="",0,IF(AND(AP533&lt;&gt;0,OR(ABS(W534)&gt;Inputs!$B$7,AL534&gt;=Inputs!$B$8,ABS(W534)&lt;Inputs!$B$6)),1,0))</f>
        <v>0</v>
      </c>
      <c r="AN534" s="30" t="n">
        <f aca="false">IF(AM534=1,0,AP533)</f>
        <v>0</v>
      </c>
      <c r="AO534" s="30" t="n">
        <f aca="false">IF(W534="",0,IF(AND(AN534=0,ABS(W534)&gt;Inputs!$B$5,ABS(W534)&lt;=Inputs!$B$7,W534&gt;0),1,0))</f>
        <v>0</v>
      </c>
      <c r="AP534" s="30" t="n">
        <f aca="false">IF(W534="",0,IF(AO534=1,-SIGN(W534),AN534))</f>
        <v>0</v>
      </c>
      <c r="AQ534" s="30" t="n">
        <f aca="false">IF(W534="",0,IF(AO534=1,0,IF(AM534=1,0,AL534)))</f>
        <v>0</v>
      </c>
      <c r="AR534" s="30" t="n">
        <f aca="false">IF(AP534=0,0,IF(AP533=AP534,AR533,T534))</f>
        <v>0</v>
      </c>
      <c r="AS534" s="30" t="n">
        <f aca="false">AP534-AP533</f>
        <v>0</v>
      </c>
      <c r="AT534" s="30" t="n">
        <f aca="false">-AR534*AP534</f>
        <v>-0</v>
      </c>
      <c r="AU534" s="30" t="n">
        <f aca="false">AT534-AT533</f>
        <v>0</v>
      </c>
      <c r="AV534" s="30" t="n">
        <f aca="false">MAX(AS534,0)*(Inputs!$B$17+Inputs!$B$18+Inputs!$B$19)+MAX(-AS534,0)*(O534+Inputs!$B$18+Inputs!$B$19)+IF(AND(K534=1,AP534&lt;&gt;0),(Inputs!$B$17+Inputs!$B$18+Inputs!$B$19)+(O534+Inputs!$B$18+Inputs!$B$19),0)+MAX(AU534,0)*(Inputs!$B$20+Inputs!$B$22+Inputs!$B$23)+MAX(-AU534,0)*(Inputs!$B$21+Inputs!$B$22+Inputs!$B$23)</f>
        <v>0</v>
      </c>
      <c r="AW534" s="30" t="n">
        <f aca="false">AP533*(M534-AR533*J534)+AP533*AR533*N534/Inputs!$B$16-AV534</f>
        <v>0</v>
      </c>
      <c r="AX534" s="30" t="n">
        <f aca="false">AW534-IF(AP533&lt;&gt;0,0.75*AR533*(Inputs!$B$13-N534)/Inputs!$B$16,0)</f>
        <v>0</v>
      </c>
      <c r="AY534" s="30" t="n">
        <f aca="false">MAX(AS534,0)*(Inputs!$B$17+Inputs!$B$18+Inputs!$B$19)+MAX(-AS534,0)*(O534+Inputs!$B$18+Inputs!$B$19)+IF(AND(K534=1,AP534&lt;&gt;0),(Inputs!$B$17+Inputs!$B$18+Inputs!$B$19)+(O534+Inputs!$B$18+Inputs!$B$19),0)</f>
        <v>0</v>
      </c>
      <c r="AZ534" s="30" t="n">
        <f aca="false">AP533*M534-AY534</f>
        <v>-0</v>
      </c>
      <c r="BA534" s="32" t="n">
        <f aca="false">BA533+AI534</f>
        <v>0.00698617887383685</v>
      </c>
      <c r="BB534" s="30" t="n">
        <f aca="false">MAX(BB533,BA534)</f>
        <v>0.00698617887383685</v>
      </c>
      <c r="BC534" s="32" t="n">
        <f aca="false">BA534-BB534</f>
        <v>0</v>
      </c>
      <c r="BD534" s="30" t="n">
        <f aca="false">A535-A534</f>
        <v>1</v>
      </c>
    </row>
    <row r="535" customFormat="false" ht="15" hidden="false" customHeight="false" outlineLevel="0" collapsed="false">
      <c r="A535" s="28" t="n">
        <v>45828</v>
      </c>
      <c r="B535" s="0" t="n">
        <v>25098</v>
      </c>
      <c r="C535" s="0" t="n">
        <v>281.48</v>
      </c>
      <c r="D535" s="29" t="n">
        <f aca="false">LN(B535)</f>
        <v>10.1305434406703</v>
      </c>
      <c r="E535" s="29" t="n">
        <f aca="false">LN(C535)</f>
        <v>5.64006139709835</v>
      </c>
      <c r="F535" s="0" t="n">
        <v>530</v>
      </c>
      <c r="G535" s="0" t="n">
        <v>6</v>
      </c>
      <c r="H535" s="29" t="n">
        <f aca="false">D535-E535</f>
        <v>4.49048204357191</v>
      </c>
      <c r="I535" s="29" t="n">
        <f aca="false">D535-D534</f>
        <v>0.0129530814720642</v>
      </c>
      <c r="J535" s="29" t="n">
        <f aca="false">E535-E534</f>
        <v>0.0132319636102753</v>
      </c>
      <c r="K535" s="0" t="n">
        <v>0</v>
      </c>
      <c r="L535" s="0" t="n">
        <v>0</v>
      </c>
      <c r="M535" s="29" t="n">
        <f aca="false">IF(L535=1,J535-Carry!$B$9/Inputs!$B$16,I535)</f>
        <v>0.0129530814720642</v>
      </c>
      <c r="N535" s="0" t="n">
        <v>0.055</v>
      </c>
      <c r="O535" s="0" t="n">
        <v>0.0002</v>
      </c>
      <c r="P535" s="29" t="n">
        <f aca="false">D535-('2 Hedge ratio'!$B$6+'2 Hedge ratio'!$B$5*E535)</f>
        <v>0.00171218964582032</v>
      </c>
      <c r="Q535" s="29" t="n">
        <f aca="false">D535-('5 Re-specification'!$B$7+'5 Re-specification'!$B$5*E535+'5 Re-specification'!$B$6*F535)</f>
        <v>0.000185767398720671</v>
      </c>
      <c r="R535" s="30" t="n">
        <f aca="false">MIN(F535,Inputs!$B$9)</f>
        <v>250</v>
      </c>
      <c r="S535" s="29" t="n">
        <f aca="true">IF(AND(F535&gt;=1,R535&gt;=Inputs!$B$10),INDEX(LINEST(OFFSET(D535,-R535,0,R535,1),OFFSET(E535,-R535,0,R535,2)),1,1),"")</f>
        <v>-2.55828554046488E-005</v>
      </c>
      <c r="T535" s="29" t="n">
        <f aca="true">IF(AND(F535&gt;=1,R535&gt;=Inputs!$B$10),INDEX(LINEST(OFFSET(D535,-R535,0,R535,1),OFFSET(E535,-R535,0,R535,2)),1,2),"")</f>
        <v>1.01165662483965</v>
      </c>
      <c r="U535" s="29" t="n">
        <f aca="true">IF(AND(F535&gt;=1,R535&gt;=Inputs!$B$10),INDEX(LINEST(OFFSET(D535,-R535,0,R535,1),OFFSET(E535,-R535,0,R535,2)),1,3),"")</f>
        <v>4.44106799534337</v>
      </c>
      <c r="V535" s="29" t="n">
        <f aca="true">IF(AND(F535&gt;=1,R535&gt;=Inputs!$B$10),SQRT(SUMPRODUCT((OFFSET(D535,-R535,0,R535,1)-U535-T535*OFFSET(E535,-R535,0,R535,1)-S535*OFFSET(F535,-R535,0,R535,1))^2)/(R535-3)),"")</f>
        <v>0.00225786124655283</v>
      </c>
      <c r="W535" s="31" t="n">
        <f aca="false">IF(AND(F535&gt;=1,R535&gt;=Inputs!$B$10),(D535-U535-T535*E535-S535*F535)/V535,"")</f>
        <v>-1.22731996476033</v>
      </c>
      <c r="X535" s="30" t="n">
        <f aca="false">IF(AB534&lt;&gt;0,AC534+1,0)</f>
        <v>0</v>
      </c>
      <c r="Y535" s="30" t="n">
        <f aca="false">IF(W535="",0,IF(AND(AB534&lt;&gt;0,OR(ABS(W535)&gt;Inputs!$B$7,X535&gt;=Inputs!$B$8,ABS(W535)&lt;Inputs!$B$6)),1,0))</f>
        <v>0</v>
      </c>
      <c r="Z535" s="30" t="n">
        <f aca="false">IF(Y535=1,0,AB534)</f>
        <v>0</v>
      </c>
      <c r="AA535" s="30" t="n">
        <f aca="false">IF(W535="",0,IF(AND(Z535=0,ABS(W535)&gt;Inputs!$B$5,ABS(W535)&lt;=Inputs!$B$7),1,0))</f>
        <v>0</v>
      </c>
      <c r="AB535" s="30" t="n">
        <f aca="false">IF(W535="",0,IF(AA535=1,-SIGN(W535),Z535))</f>
        <v>0</v>
      </c>
      <c r="AC535" s="30" t="n">
        <f aca="false">IF(W535="",0,IF(AA535=1,0,IF(Y535=1,0,X535)))</f>
        <v>0</v>
      </c>
      <c r="AD535" s="30" t="n">
        <f aca="false">IF(AB535=0,0,IF(AB534=AB535,AD534,T535))</f>
        <v>0</v>
      </c>
      <c r="AE535" s="30" t="n">
        <f aca="false">AB535-AB534</f>
        <v>0</v>
      </c>
      <c r="AF535" s="30" t="n">
        <f aca="false">-AD535*AB535</f>
        <v>-0</v>
      </c>
      <c r="AG535" s="30" t="n">
        <f aca="false">AF535-AF534</f>
        <v>0</v>
      </c>
      <c r="AH535" s="30" t="n">
        <f aca="false">MAX(AE535,0)*(Inputs!$B$17+Inputs!$B$18+Inputs!$B$19)+MAX(-AE535,0)*(O535+Inputs!$B$18+Inputs!$B$19)+IF(AND(K535=1,AB535&lt;&gt;0),(Inputs!$B$17+Inputs!$B$18+Inputs!$B$19)+(O535+Inputs!$B$18+Inputs!$B$19),0)+MAX(AG535,0)*(Inputs!$B$20+Inputs!$B$22+Inputs!$B$23)+MAX(-AG535,0)*(Inputs!$B$21+Inputs!$B$22+Inputs!$B$23)</f>
        <v>0</v>
      </c>
      <c r="AI535" s="30" t="n">
        <f aca="false">AB534*(M535-AD534*J535)+AB534*AD534*N535/Inputs!$B$16-AH535</f>
        <v>0</v>
      </c>
      <c r="AJ535" s="30" t="n">
        <f aca="false">MAX(AE535,0)*(Inputs!$B$17+Inputs!$B$24+Inputs!$B$25)+MAX(-AE535,0)*(O535+Inputs!$B$24+Inputs!$B$25)+IF(AND(K535=1,AB535&lt;&gt;0),(Inputs!$B$17+Inputs!$B$24+Inputs!$B$25)+(O535+Inputs!$B$24+Inputs!$B$25),0)+MAX(AG535,0)*(Inputs!$B$20+Inputs!$B$26+Inputs!$B$27)+MAX(-AG535,0)*(Inputs!$B$21+Inputs!$B$26+Inputs!$B$27)</f>
        <v>0</v>
      </c>
      <c r="AK535" s="30" t="n">
        <f aca="false">AB534*(M535-AD534*J535)+AB534*AD534*(N535+Inputs!$B$14)/Inputs!$B$16-AJ535</f>
        <v>0</v>
      </c>
      <c r="AL535" s="30" t="n">
        <f aca="false">IF(AP534&lt;&gt;0,AQ534+1,0)</f>
        <v>0</v>
      </c>
      <c r="AM535" s="30" t="n">
        <f aca="false">IF(W535="",0,IF(AND(AP534&lt;&gt;0,OR(ABS(W535)&gt;Inputs!$B$7,AL535&gt;=Inputs!$B$8,ABS(W535)&lt;Inputs!$B$6)),1,0))</f>
        <v>0</v>
      </c>
      <c r="AN535" s="30" t="n">
        <f aca="false">IF(AM535=1,0,AP534)</f>
        <v>0</v>
      </c>
      <c r="AO535" s="30" t="n">
        <f aca="false">IF(W535="",0,IF(AND(AN535=0,ABS(W535)&gt;Inputs!$B$5,ABS(W535)&lt;=Inputs!$B$7,W535&gt;0),1,0))</f>
        <v>0</v>
      </c>
      <c r="AP535" s="30" t="n">
        <f aca="false">IF(W535="",0,IF(AO535=1,-SIGN(W535),AN535))</f>
        <v>0</v>
      </c>
      <c r="AQ535" s="30" t="n">
        <f aca="false">IF(W535="",0,IF(AO535=1,0,IF(AM535=1,0,AL535)))</f>
        <v>0</v>
      </c>
      <c r="AR535" s="30" t="n">
        <f aca="false">IF(AP535=0,0,IF(AP534=AP535,AR534,T535))</f>
        <v>0</v>
      </c>
      <c r="AS535" s="30" t="n">
        <f aca="false">AP535-AP534</f>
        <v>0</v>
      </c>
      <c r="AT535" s="30" t="n">
        <f aca="false">-AR535*AP535</f>
        <v>-0</v>
      </c>
      <c r="AU535" s="30" t="n">
        <f aca="false">AT535-AT534</f>
        <v>0</v>
      </c>
      <c r="AV535" s="30" t="n">
        <f aca="false">MAX(AS535,0)*(Inputs!$B$17+Inputs!$B$18+Inputs!$B$19)+MAX(-AS535,0)*(O535+Inputs!$B$18+Inputs!$B$19)+IF(AND(K535=1,AP535&lt;&gt;0),(Inputs!$B$17+Inputs!$B$18+Inputs!$B$19)+(O535+Inputs!$B$18+Inputs!$B$19),0)+MAX(AU535,0)*(Inputs!$B$20+Inputs!$B$22+Inputs!$B$23)+MAX(-AU535,0)*(Inputs!$B$21+Inputs!$B$22+Inputs!$B$23)</f>
        <v>0</v>
      </c>
      <c r="AW535" s="30" t="n">
        <f aca="false">AP534*(M535-AR534*J535)+AP534*AR534*N535/Inputs!$B$16-AV535</f>
        <v>0</v>
      </c>
      <c r="AX535" s="30" t="n">
        <f aca="false">AW535-IF(AP534&lt;&gt;0,0.75*AR534*(Inputs!$B$13-N535)/Inputs!$B$16,0)</f>
        <v>0</v>
      </c>
      <c r="AY535" s="30" t="n">
        <f aca="false">MAX(AS535,0)*(Inputs!$B$17+Inputs!$B$18+Inputs!$B$19)+MAX(-AS535,0)*(O535+Inputs!$B$18+Inputs!$B$19)+IF(AND(K535=1,AP535&lt;&gt;0),(Inputs!$B$17+Inputs!$B$18+Inputs!$B$19)+(O535+Inputs!$B$18+Inputs!$B$19),0)</f>
        <v>0</v>
      </c>
      <c r="AZ535" s="30" t="n">
        <f aca="false">AP534*M535-AY535</f>
        <v>0</v>
      </c>
      <c r="BA535" s="32" t="n">
        <f aca="false">BA534+AI535</f>
        <v>0.00698617887383685</v>
      </c>
      <c r="BB535" s="30" t="n">
        <f aca="false">MAX(BB534,BA535)</f>
        <v>0.00698617887383685</v>
      </c>
      <c r="BC535" s="32" t="n">
        <f aca="false">BA535-BB535</f>
        <v>0</v>
      </c>
      <c r="BD535" s="30" t="n">
        <f aca="false">A536-A535</f>
        <v>3</v>
      </c>
    </row>
    <row r="536" customFormat="false" ht="15" hidden="false" customHeight="false" outlineLevel="0" collapsed="false">
      <c r="A536" s="28" t="n">
        <v>45831</v>
      </c>
      <c r="B536" s="0" t="n">
        <v>24993</v>
      </c>
      <c r="C536" s="0" t="n">
        <v>280.96</v>
      </c>
      <c r="D536" s="29" t="n">
        <f aca="false">LN(B536)</f>
        <v>10.126351064643</v>
      </c>
      <c r="E536" s="29" t="n">
        <f aca="false">LN(C536)</f>
        <v>5.63821231044675</v>
      </c>
      <c r="F536" s="0" t="n">
        <v>531</v>
      </c>
      <c r="G536" s="0" t="n">
        <v>3</v>
      </c>
      <c r="H536" s="29" t="n">
        <f aca="false">D536-E536</f>
        <v>4.48813875419627</v>
      </c>
      <c r="I536" s="29" t="n">
        <f aca="false">D536-D535</f>
        <v>-0.00419237602723399</v>
      </c>
      <c r="J536" s="29" t="n">
        <f aca="false">E536-E535</f>
        <v>-0.00184908665159611</v>
      </c>
      <c r="K536" s="0" t="n">
        <v>0</v>
      </c>
      <c r="L536" s="0" t="n">
        <v>0</v>
      </c>
      <c r="M536" s="29" t="n">
        <f aca="false">IF(L536=1,J536-Carry!$B$9/Inputs!$B$16,I536)</f>
        <v>-0.00419237602723399</v>
      </c>
      <c r="N536" s="0" t="n">
        <v>0.055</v>
      </c>
      <c r="O536" s="0" t="n">
        <v>0.0002</v>
      </c>
      <c r="P536" s="29" t="n">
        <f aca="false">D536-('2 Hedge ratio'!$B$6+'2 Hedge ratio'!$B$5*E536)</f>
        <v>-0.000786188619718686</v>
      </c>
      <c r="Q536" s="29" t="n">
        <f aca="false">D536-('5 Re-specification'!$B$7+'5 Re-specification'!$B$5*E536+'5 Re-specification'!$B$6*F536)</f>
        <v>-0.00211819631595667</v>
      </c>
      <c r="R536" s="30" t="n">
        <f aca="false">MIN(F536,Inputs!$B$9)</f>
        <v>250</v>
      </c>
      <c r="S536" s="29" t="n">
        <f aca="true">IF(AND(F536&gt;=1,R536&gt;=Inputs!$B$10),INDEX(LINEST(OFFSET(D536,-R536,0,R536,1),OFFSET(E536,-R536,0,R536,2)),1,1),"")</f>
        <v>-2.56701166405068E-005</v>
      </c>
      <c r="T536" s="29" t="n">
        <f aca="true">IF(AND(F536&gt;=1,R536&gt;=Inputs!$B$10),INDEX(LINEST(OFFSET(D536,-R536,0,R536,1),OFFSET(E536,-R536,0,R536,2)),1,2),"")</f>
        <v>1.01143975124956</v>
      </c>
      <c r="U536" s="29" t="n">
        <f aca="true">IF(AND(F536&gt;=1,R536&gt;=Inputs!$B$10),INDEX(LINEST(OFFSET(D536,-R536,0,R536,1),OFFSET(E536,-R536,0,R536,2)),1,3),"")</f>
        <v>4.44229783524196</v>
      </c>
      <c r="V536" s="29" t="n">
        <f aca="true">IF(AND(F536&gt;=1,R536&gt;=Inputs!$B$10),SQRT(SUMPRODUCT((OFFSET(D536,-R536,0,R536,1)-U536-T536*OFFSET(E536,-R536,0,R536,1)-S536*OFFSET(F536,-R536,0,R536,1))^2)/(R536-3)),"")</f>
        <v>0.00226061937247035</v>
      </c>
      <c r="W536" s="31" t="n">
        <f aca="false">IF(AND(F536&gt;=1,R536&gt;=Inputs!$B$10),(D536-U536-T536*E536-S536*F536)/V536,"")</f>
        <v>-2.22416718820832</v>
      </c>
      <c r="X536" s="30" t="n">
        <f aca="false">IF(AB535&lt;&gt;0,AC535+1,0)</f>
        <v>0</v>
      </c>
      <c r="Y536" s="30" t="n">
        <f aca="false">IF(W536="",0,IF(AND(AB535&lt;&gt;0,OR(ABS(W536)&gt;Inputs!$B$7,X536&gt;=Inputs!$B$8,ABS(W536)&lt;Inputs!$B$6)),1,0))</f>
        <v>0</v>
      </c>
      <c r="Z536" s="30" t="n">
        <f aca="false">IF(Y536=1,0,AB535)</f>
        <v>0</v>
      </c>
      <c r="AA536" s="30" t="n">
        <f aca="false">IF(W536="",0,IF(AND(Z536=0,ABS(W536)&gt;Inputs!$B$5,ABS(W536)&lt;=Inputs!$B$7),1,0))</f>
        <v>1</v>
      </c>
      <c r="AB536" s="30" t="n">
        <f aca="false">IF(W536="",0,IF(AA536=1,-SIGN(W536),Z536))</f>
        <v>1</v>
      </c>
      <c r="AC536" s="30" t="n">
        <f aca="false">IF(W536="",0,IF(AA536=1,0,IF(Y536=1,0,X536)))</f>
        <v>0</v>
      </c>
      <c r="AD536" s="29" t="n">
        <f aca="false">IF(AB536=0,0,IF(AB535=AB536,AD535,T536))</f>
        <v>1.01143975124956</v>
      </c>
      <c r="AE536" s="30" t="n">
        <f aca="false">AB536-AB535</f>
        <v>1</v>
      </c>
      <c r="AF536" s="30" t="n">
        <f aca="false">-AD536*AB536</f>
        <v>-1.01143975124956</v>
      </c>
      <c r="AG536" s="30" t="n">
        <f aca="false">AF536-AF535</f>
        <v>-1.01143975124956</v>
      </c>
      <c r="AH536" s="30" t="n">
        <f aca="false">MAX(AE536,0)*(Inputs!$B$17+Inputs!$B$18+Inputs!$B$19)+MAX(-AE536,0)*(O536+Inputs!$B$18+Inputs!$B$19)+IF(AND(K536=1,AB536&lt;&gt;0),(Inputs!$B$17+Inputs!$B$18+Inputs!$B$19)+(O536+Inputs!$B$18+Inputs!$B$19),0)+MAX(AG536,0)*(Inputs!$B$20+Inputs!$B$22+Inputs!$B$23)+MAX(-AG536,0)*(Inputs!$B$21+Inputs!$B$22+Inputs!$B$23)</f>
        <v>0.000367402347762407</v>
      </c>
      <c r="AI536" s="30" t="n">
        <f aca="false">AB535*(M536-AD535*J536)+AB535*AD535*N536/Inputs!$B$16-AH536</f>
        <v>-0.000367402347762407</v>
      </c>
      <c r="AJ536" s="30" t="n">
        <f aca="false">MAX(AE536,0)*(Inputs!$B$17+Inputs!$B$24+Inputs!$B$25)+MAX(-AE536,0)*(O536+Inputs!$B$24+Inputs!$B$25)+IF(AND(K536=1,AB536&lt;&gt;0),(Inputs!$B$17+Inputs!$B$24+Inputs!$B$25)+(O536+Inputs!$B$24+Inputs!$B$25),0)+MAX(AG536,0)*(Inputs!$B$20+Inputs!$B$26+Inputs!$B$27)+MAX(-AG536,0)*(Inputs!$B$21+Inputs!$B$26+Inputs!$B$27)</f>
        <v>0.000206315571393699</v>
      </c>
      <c r="AK536" s="30" t="n">
        <f aca="false">AB535*(M536-AD535*J536)+AB535*AD535*(N536+Inputs!$B$14)/Inputs!$B$16-AJ536</f>
        <v>-0.000206315571393699</v>
      </c>
      <c r="AL536" s="30" t="n">
        <f aca="false">IF(AP535&lt;&gt;0,AQ535+1,0)</f>
        <v>0</v>
      </c>
      <c r="AM536" s="30" t="n">
        <f aca="false">IF(W536="",0,IF(AND(AP535&lt;&gt;0,OR(ABS(W536)&gt;Inputs!$B$7,AL536&gt;=Inputs!$B$8,ABS(W536)&lt;Inputs!$B$6)),1,0))</f>
        <v>0</v>
      </c>
      <c r="AN536" s="30" t="n">
        <f aca="false">IF(AM536=1,0,AP535)</f>
        <v>0</v>
      </c>
      <c r="AO536" s="30" t="n">
        <f aca="false">IF(W536="",0,IF(AND(AN536=0,ABS(W536)&gt;Inputs!$B$5,ABS(W536)&lt;=Inputs!$B$7,W536&gt;0),1,0))</f>
        <v>0</v>
      </c>
      <c r="AP536" s="30" t="n">
        <f aca="false">IF(W536="",0,IF(AO536=1,-SIGN(W536),AN536))</f>
        <v>0</v>
      </c>
      <c r="AQ536" s="30" t="n">
        <f aca="false">IF(W536="",0,IF(AO536=1,0,IF(AM536=1,0,AL536)))</f>
        <v>0</v>
      </c>
      <c r="AR536" s="30" t="n">
        <f aca="false">IF(AP536=0,0,IF(AP535=AP536,AR535,T536))</f>
        <v>0</v>
      </c>
      <c r="AS536" s="30" t="n">
        <f aca="false">AP536-AP535</f>
        <v>0</v>
      </c>
      <c r="AT536" s="30" t="n">
        <f aca="false">-AR536*AP536</f>
        <v>-0</v>
      </c>
      <c r="AU536" s="30" t="n">
        <f aca="false">AT536-AT535</f>
        <v>0</v>
      </c>
      <c r="AV536" s="30" t="n">
        <f aca="false">MAX(AS536,0)*(Inputs!$B$17+Inputs!$B$18+Inputs!$B$19)+MAX(-AS536,0)*(O536+Inputs!$B$18+Inputs!$B$19)+IF(AND(K536=1,AP536&lt;&gt;0),(Inputs!$B$17+Inputs!$B$18+Inputs!$B$19)+(O536+Inputs!$B$18+Inputs!$B$19),0)+MAX(AU536,0)*(Inputs!$B$20+Inputs!$B$22+Inputs!$B$23)+MAX(-AU536,0)*(Inputs!$B$21+Inputs!$B$22+Inputs!$B$23)</f>
        <v>0</v>
      </c>
      <c r="AW536" s="30" t="n">
        <f aca="false">AP535*(M536-AR535*J536)+AP535*AR535*N536/Inputs!$B$16-AV536</f>
        <v>0</v>
      </c>
      <c r="AX536" s="30" t="n">
        <f aca="false">AW536-IF(AP535&lt;&gt;0,0.75*AR535*(Inputs!$B$13-N536)/Inputs!$B$16,0)</f>
        <v>0</v>
      </c>
      <c r="AY536" s="30" t="n">
        <f aca="false">MAX(AS536,0)*(Inputs!$B$17+Inputs!$B$18+Inputs!$B$19)+MAX(-AS536,0)*(O536+Inputs!$B$18+Inputs!$B$19)+IF(AND(K536=1,AP536&lt;&gt;0),(Inputs!$B$17+Inputs!$B$18+Inputs!$B$19)+(O536+Inputs!$B$18+Inputs!$B$19),0)</f>
        <v>0</v>
      </c>
      <c r="AZ536" s="30" t="n">
        <f aca="false">AP535*M536-AY536</f>
        <v>-0</v>
      </c>
      <c r="BA536" s="32" t="n">
        <f aca="false">BA535+AI536</f>
        <v>0.00661877652607444</v>
      </c>
      <c r="BB536" s="30" t="n">
        <f aca="false">MAX(BB535,BA536)</f>
        <v>0.00698617887383685</v>
      </c>
      <c r="BC536" s="32" t="n">
        <f aca="false">BA536-BB536</f>
        <v>-0.000367402347762407</v>
      </c>
      <c r="BD536" s="30" t="n">
        <f aca="false">A537-A536</f>
        <v>1</v>
      </c>
    </row>
    <row r="537" customFormat="false" ht="15" hidden="false" customHeight="false" outlineLevel="0" collapsed="false">
      <c r="A537" s="28" t="n">
        <v>45832</v>
      </c>
      <c r="B537" s="0" t="n">
        <v>25086</v>
      </c>
      <c r="C537" s="0" t="n">
        <v>281.8</v>
      </c>
      <c r="D537" s="29" t="n">
        <f aca="false">LN(B537)</f>
        <v>10.1300652005846</v>
      </c>
      <c r="E537" s="29" t="n">
        <f aca="false">LN(C537)</f>
        <v>5.64119759946458</v>
      </c>
      <c r="F537" s="0" t="n">
        <v>532</v>
      </c>
      <c r="G537" s="0" t="n">
        <v>2</v>
      </c>
      <c r="H537" s="29" t="n">
        <f aca="false">D537-E537</f>
        <v>4.48886760112004</v>
      </c>
      <c r="I537" s="29" t="n">
        <f aca="false">D537-D536</f>
        <v>0.00371413594159975</v>
      </c>
      <c r="J537" s="29" t="n">
        <f aca="false">E537-E536</f>
        <v>0.00298528901782813</v>
      </c>
      <c r="K537" s="0" t="n">
        <v>0</v>
      </c>
      <c r="L537" s="0" t="n">
        <v>0</v>
      </c>
      <c r="M537" s="29" t="n">
        <f aca="false">IF(L537=1,J537-Carry!$B$9/Inputs!$B$16,I537)</f>
        <v>0.00371413594159975</v>
      </c>
      <c r="N537" s="0" t="n">
        <v>0.055</v>
      </c>
      <c r="O537" s="0" t="n">
        <v>0.0002</v>
      </c>
      <c r="P537" s="29" t="n">
        <f aca="false">D537-('2 Hedge ratio'!$B$6+'2 Hedge ratio'!$B$5*E537)</f>
        <v>0.000193044168563361</v>
      </c>
      <c r="Q537" s="29" t="n">
        <f aca="false">D537-('5 Re-specification'!$B$7+'5 Re-specification'!$B$5*E537+'5 Re-specification'!$B$6*F537)</f>
        <v>-0.00133537315565846</v>
      </c>
      <c r="R537" s="30" t="n">
        <f aca="false">MIN(F537,Inputs!$B$9)</f>
        <v>250</v>
      </c>
      <c r="S537" s="29" t="n">
        <f aca="true">IF(AND(F537&gt;=1,R537&gt;=Inputs!$B$10),INDEX(LINEST(OFFSET(D537,-R537,0,R537,1),OFFSET(E537,-R537,0,R537,2)),1,1),"")</f>
        <v>-2.62322528744214E-005</v>
      </c>
      <c r="T537" s="29" t="n">
        <f aca="true">IF(AND(F537&gt;=1,R537&gt;=Inputs!$B$10),INDEX(LINEST(OFFSET(D537,-R537,0,R537,1),OFFSET(E537,-R537,0,R537,2)),1,2),"")</f>
        <v>1.0105126093674</v>
      </c>
      <c r="U537" s="29" t="n">
        <f aca="true">IF(AND(F537&gt;=1,R537&gt;=Inputs!$B$10),INDEX(LINEST(OFFSET(D537,-R537,0,R537,1),OFFSET(E537,-R537,0,R537,2)),1,3),"")</f>
        <v>4.44769515847285</v>
      </c>
      <c r="V537" s="29" t="n">
        <f aca="true">IF(AND(F537&gt;=1,R537&gt;=Inputs!$B$10),SQRT(SUMPRODUCT((OFFSET(D537,-R537,0,R537,1)-U537-T537*OFFSET(E537,-R537,0,R537,1)-S537*OFFSET(F537,-R537,0,R537,1))^2)/(R537-3)),"")</f>
        <v>0.00228250219934171</v>
      </c>
      <c r="W537" s="31" t="n">
        <f aca="false">IF(AND(F537&gt;=1,R537&gt;=Inputs!$B$10),(D537-U537-T537*E537-S537*F537)/V537,"")</f>
        <v>-1.82944207121791</v>
      </c>
      <c r="X537" s="30" t="n">
        <f aca="false">IF(AB536&lt;&gt;0,AC536+1,0)</f>
        <v>1</v>
      </c>
      <c r="Y537" s="30" t="n">
        <f aca="false">IF(W537="",0,IF(AND(AB536&lt;&gt;0,OR(ABS(W537)&gt;Inputs!$B$7,X537&gt;=Inputs!$B$8,ABS(W537)&lt;Inputs!$B$6)),1,0))</f>
        <v>0</v>
      </c>
      <c r="Z537" s="30" t="n">
        <f aca="false">IF(Y537=1,0,AB536)</f>
        <v>1</v>
      </c>
      <c r="AA537" s="30" t="n">
        <f aca="false">IF(W537="",0,IF(AND(Z537=0,ABS(W537)&gt;Inputs!$B$5,ABS(W537)&lt;=Inputs!$B$7),1,0))</f>
        <v>0</v>
      </c>
      <c r="AB537" s="30" t="n">
        <f aca="false">IF(W537="",0,IF(AA537=1,-SIGN(W537),Z537))</f>
        <v>1</v>
      </c>
      <c r="AC537" s="30" t="n">
        <f aca="false">IF(W537="",0,IF(AA537=1,0,IF(Y537=1,0,X537)))</f>
        <v>1</v>
      </c>
      <c r="AD537" s="29" t="n">
        <f aca="false">IF(AB537=0,0,IF(AB536=AB537,AD536,T537))</f>
        <v>1.01143975124956</v>
      </c>
      <c r="AE537" s="30" t="n">
        <f aca="false">AB537-AB536</f>
        <v>0</v>
      </c>
      <c r="AF537" s="30" t="n">
        <f aca="false">-AD537*AB537</f>
        <v>-1.01143975124956</v>
      </c>
      <c r="AG537" s="30" t="n">
        <f aca="false">AF537-AF536</f>
        <v>0</v>
      </c>
      <c r="AH537" s="30" t="n">
        <f aca="false">MAX(AE537,0)*(Inputs!$B$17+Inputs!$B$18+Inputs!$B$19)+MAX(-AE537,0)*(O537+Inputs!$B$18+Inputs!$B$19)+IF(AND(K537=1,AB537&lt;&gt;0),(Inputs!$B$17+Inputs!$B$18+Inputs!$B$19)+(O537+Inputs!$B$18+Inputs!$B$19),0)+MAX(AG537,0)*(Inputs!$B$20+Inputs!$B$22+Inputs!$B$23)+MAX(-AG537,0)*(Inputs!$B$21+Inputs!$B$22+Inputs!$B$23)</f>
        <v>0</v>
      </c>
      <c r="AI537" s="30" t="n">
        <f aca="false">AB536*(M537-AD536*J537)+AB536*AD536*N537/Inputs!$B$16-AH537</f>
        <v>0.000915446699359659</v>
      </c>
      <c r="AJ537" s="30" t="n">
        <f aca="false">MAX(AE537,0)*(Inputs!$B$17+Inputs!$B$24+Inputs!$B$25)+MAX(-AE537,0)*(O537+Inputs!$B$24+Inputs!$B$25)+IF(AND(K537=1,AB537&lt;&gt;0),(Inputs!$B$17+Inputs!$B$24+Inputs!$B$25)+(O537+Inputs!$B$24+Inputs!$B$25),0)+MAX(AG537,0)*(Inputs!$B$20+Inputs!$B$26+Inputs!$B$27)+MAX(-AG537,0)*(Inputs!$B$21+Inputs!$B$26+Inputs!$B$27)</f>
        <v>0</v>
      </c>
      <c r="AK537" s="30" t="n">
        <f aca="false">AB536*(M537-AD536*J537)+AB536*AD536*(N537+Inputs!$B$14)/Inputs!$B$16-AJ537</f>
        <v>0.000945549072908753</v>
      </c>
      <c r="AL537" s="30" t="n">
        <f aca="false">IF(AP536&lt;&gt;0,AQ536+1,0)</f>
        <v>0</v>
      </c>
      <c r="AM537" s="30" t="n">
        <f aca="false">IF(W537="",0,IF(AND(AP536&lt;&gt;0,OR(ABS(W537)&gt;Inputs!$B$7,AL537&gt;=Inputs!$B$8,ABS(W537)&lt;Inputs!$B$6)),1,0))</f>
        <v>0</v>
      </c>
      <c r="AN537" s="30" t="n">
        <f aca="false">IF(AM537=1,0,AP536)</f>
        <v>0</v>
      </c>
      <c r="AO537" s="30" t="n">
        <f aca="false">IF(W537="",0,IF(AND(AN537=0,ABS(W537)&gt;Inputs!$B$5,ABS(W537)&lt;=Inputs!$B$7,W537&gt;0),1,0))</f>
        <v>0</v>
      </c>
      <c r="AP537" s="30" t="n">
        <f aca="false">IF(W537="",0,IF(AO537=1,-SIGN(W537),AN537))</f>
        <v>0</v>
      </c>
      <c r="AQ537" s="30" t="n">
        <f aca="false">IF(W537="",0,IF(AO537=1,0,IF(AM537=1,0,AL537)))</f>
        <v>0</v>
      </c>
      <c r="AR537" s="30" t="n">
        <f aca="false">IF(AP537=0,0,IF(AP536=AP537,AR536,T537))</f>
        <v>0</v>
      </c>
      <c r="AS537" s="30" t="n">
        <f aca="false">AP537-AP536</f>
        <v>0</v>
      </c>
      <c r="AT537" s="30" t="n">
        <f aca="false">-AR537*AP537</f>
        <v>-0</v>
      </c>
      <c r="AU537" s="30" t="n">
        <f aca="false">AT537-AT536</f>
        <v>0</v>
      </c>
      <c r="AV537" s="30" t="n">
        <f aca="false">MAX(AS537,0)*(Inputs!$B$17+Inputs!$B$18+Inputs!$B$19)+MAX(-AS537,0)*(O537+Inputs!$B$18+Inputs!$B$19)+IF(AND(K537=1,AP537&lt;&gt;0),(Inputs!$B$17+Inputs!$B$18+Inputs!$B$19)+(O537+Inputs!$B$18+Inputs!$B$19),0)+MAX(AU537,0)*(Inputs!$B$20+Inputs!$B$22+Inputs!$B$23)+MAX(-AU537,0)*(Inputs!$B$21+Inputs!$B$22+Inputs!$B$23)</f>
        <v>0</v>
      </c>
      <c r="AW537" s="30" t="n">
        <f aca="false">AP536*(M537-AR536*J537)+AP536*AR536*N537/Inputs!$B$16-AV537</f>
        <v>0</v>
      </c>
      <c r="AX537" s="30" t="n">
        <f aca="false">AW537-IF(AP536&lt;&gt;0,0.75*AR536*(Inputs!$B$13-N537)/Inputs!$B$16,0)</f>
        <v>0</v>
      </c>
      <c r="AY537" s="30" t="n">
        <f aca="false">MAX(AS537,0)*(Inputs!$B$17+Inputs!$B$18+Inputs!$B$19)+MAX(-AS537,0)*(O537+Inputs!$B$18+Inputs!$B$19)+IF(AND(K537=1,AP537&lt;&gt;0),(Inputs!$B$17+Inputs!$B$18+Inputs!$B$19)+(O537+Inputs!$B$18+Inputs!$B$19),0)</f>
        <v>0</v>
      </c>
      <c r="AZ537" s="30" t="n">
        <f aca="false">AP536*M537-AY537</f>
        <v>0</v>
      </c>
      <c r="BA537" s="32" t="n">
        <f aca="false">BA536+AI537</f>
        <v>0.0075342232254341</v>
      </c>
      <c r="BB537" s="30" t="n">
        <f aca="false">MAX(BB536,BA537)</f>
        <v>0.0075342232254341</v>
      </c>
      <c r="BC537" s="32" t="n">
        <f aca="false">BA537-BB537</f>
        <v>0</v>
      </c>
      <c r="BD537" s="30" t="n">
        <f aca="false">A538-A537</f>
        <v>1</v>
      </c>
    </row>
    <row r="538" customFormat="false" ht="15" hidden="false" customHeight="false" outlineLevel="0" collapsed="false">
      <c r="A538" s="28" t="n">
        <v>45833</v>
      </c>
      <c r="B538" s="0" t="n">
        <v>25250</v>
      </c>
      <c r="C538" s="0" t="n">
        <v>283.33</v>
      </c>
      <c r="D538" s="29" t="n">
        <f aca="false">LN(B538)</f>
        <v>10.1365814347035</v>
      </c>
      <c r="E538" s="29" t="n">
        <f aca="false">LN(C538)</f>
        <v>5.64661229604117</v>
      </c>
      <c r="F538" s="0" t="n">
        <v>533</v>
      </c>
      <c r="G538" s="0" t="n">
        <v>1</v>
      </c>
      <c r="H538" s="29" t="n">
        <f aca="false">D538-E538</f>
        <v>4.48996913866234</v>
      </c>
      <c r="I538" s="29" t="n">
        <f aca="false">D538-D537</f>
        <v>0.00651623411888735</v>
      </c>
      <c r="J538" s="29" t="n">
        <f aca="false">E538-E537</f>
        <v>0.00541469657658489</v>
      </c>
      <c r="K538" s="0" t="n">
        <v>0</v>
      </c>
      <c r="L538" s="0" t="n">
        <v>0</v>
      </c>
      <c r="M538" s="29" t="n">
        <f aca="false">IF(L538=1,J538-Carry!$B$9/Inputs!$B$16,I538)</f>
        <v>0.00651623411888735</v>
      </c>
      <c r="N538" s="0" t="n">
        <v>0.055</v>
      </c>
      <c r="O538" s="0" t="n">
        <v>0.0002</v>
      </c>
      <c r="P538" s="29" t="n">
        <f aca="false">D538-('2 Hedge ratio'!$B$6+'2 Hedge ratio'!$B$5*E538)</f>
        <v>0.00174872986043972</v>
      </c>
      <c r="Q538" s="29" t="n">
        <f aca="false">D538-('5 Re-specification'!$B$7+'5 Re-specification'!$B$5*E538+'5 Re-specification'!$B$6*F538)</f>
        <v>-0.000172497057167931</v>
      </c>
      <c r="R538" s="30" t="n">
        <f aca="false">MIN(F538,Inputs!$B$9)</f>
        <v>250</v>
      </c>
      <c r="S538" s="29" t="n">
        <f aca="true">IF(AND(F538&gt;=1,R538&gt;=Inputs!$B$10),INDEX(LINEST(OFFSET(D538,-R538,0,R538,1),OFFSET(E538,-R538,0,R538,2)),1,1),"")</f>
        <v>-2.64708312982803E-005</v>
      </c>
      <c r="T538" s="29" t="n">
        <f aca="true">IF(AND(F538&gt;=1,R538&gt;=Inputs!$B$10),INDEX(LINEST(OFFSET(D538,-R538,0,R538,1),OFFSET(E538,-R538,0,R538,2)),1,2),"")</f>
        <v>1.01002889676273</v>
      </c>
      <c r="U538" s="29" t="n">
        <f aca="true">IF(AND(F538&gt;=1,R538&gt;=Inputs!$B$10),INDEX(LINEST(OFFSET(D538,-R538,0,R538,1),OFFSET(E538,-R538,0,R538,2)),1,3),"")</f>
        <v>4.45047460207496</v>
      </c>
      <c r="V538" s="29" t="n">
        <f aca="true">IF(AND(F538&gt;=1,R538&gt;=Inputs!$B$10),SQRT(SUMPRODUCT((OFFSET(D538,-R538,0,R538,1)-U538-T538*OFFSET(E538,-R538,0,R538,1)-S538*OFFSET(F538,-R538,0,R538,1))^2)/(R538-3)),"")</f>
        <v>0.00229312837856505</v>
      </c>
      <c r="W538" s="31" t="n">
        <f aca="false">IF(AND(F538&gt;=1,R538&gt;=Inputs!$B$10),(D538-U538-T538*E538-S538*F538)/V538,"")</f>
        <v>-1.31950837775317</v>
      </c>
      <c r="X538" s="30" t="n">
        <f aca="false">IF(AB537&lt;&gt;0,AC537+1,0)</f>
        <v>2</v>
      </c>
      <c r="Y538" s="30" t="n">
        <f aca="false">IF(W538="",0,IF(AND(AB537&lt;&gt;0,OR(ABS(W538)&gt;Inputs!$B$7,X538&gt;=Inputs!$B$8,ABS(W538)&lt;Inputs!$B$6)),1,0))</f>
        <v>0</v>
      </c>
      <c r="Z538" s="30" t="n">
        <f aca="false">IF(Y538=1,0,AB537)</f>
        <v>1</v>
      </c>
      <c r="AA538" s="30" t="n">
        <f aca="false">IF(W538="",0,IF(AND(Z538=0,ABS(W538)&gt;Inputs!$B$5,ABS(W538)&lt;=Inputs!$B$7),1,0))</f>
        <v>0</v>
      </c>
      <c r="AB538" s="30" t="n">
        <f aca="false">IF(W538="",0,IF(AA538=1,-SIGN(W538),Z538))</f>
        <v>1</v>
      </c>
      <c r="AC538" s="30" t="n">
        <f aca="false">IF(W538="",0,IF(AA538=1,0,IF(Y538=1,0,X538)))</f>
        <v>2</v>
      </c>
      <c r="AD538" s="29" t="n">
        <f aca="false">IF(AB538=0,0,IF(AB537=AB538,AD537,T538))</f>
        <v>1.01143975124956</v>
      </c>
      <c r="AE538" s="30" t="n">
        <f aca="false">AB538-AB537</f>
        <v>0</v>
      </c>
      <c r="AF538" s="30" t="n">
        <f aca="false">-AD538*AB538</f>
        <v>-1.01143975124956</v>
      </c>
      <c r="AG538" s="30" t="n">
        <f aca="false">AF538-AF537</f>
        <v>0</v>
      </c>
      <c r="AH538" s="30" t="n">
        <f aca="false">MAX(AE538,0)*(Inputs!$B$17+Inputs!$B$18+Inputs!$B$19)+MAX(-AE538,0)*(O538+Inputs!$B$18+Inputs!$B$19)+IF(AND(K538=1,AB538&lt;&gt;0),(Inputs!$B$17+Inputs!$B$18+Inputs!$B$19)+(O538+Inputs!$B$18+Inputs!$B$19),0)+MAX(AG538,0)*(Inputs!$B$20+Inputs!$B$22+Inputs!$B$23)+MAX(-AG538,0)*(Inputs!$B$21+Inputs!$B$22+Inputs!$B$23)</f>
        <v>0</v>
      </c>
      <c r="AI538" s="30" t="n">
        <f aca="false">AB537*(M538-AD537*J538)+AB537*AD537*N538/Inputs!$B$16-AH538</f>
        <v>0.00126034549973454</v>
      </c>
      <c r="AJ538" s="30" t="n">
        <f aca="false">MAX(AE538,0)*(Inputs!$B$17+Inputs!$B$24+Inputs!$B$25)+MAX(-AE538,0)*(O538+Inputs!$B$24+Inputs!$B$25)+IF(AND(K538=1,AB538&lt;&gt;0),(Inputs!$B$17+Inputs!$B$24+Inputs!$B$25)+(O538+Inputs!$B$24+Inputs!$B$25),0)+MAX(AG538,0)*(Inputs!$B$20+Inputs!$B$26+Inputs!$B$27)+MAX(-AG538,0)*(Inputs!$B$21+Inputs!$B$26+Inputs!$B$27)</f>
        <v>0</v>
      </c>
      <c r="AK538" s="30" t="n">
        <f aca="false">AB537*(M538-AD537*J538)+AB537*AD537*(N538+Inputs!$B$14)/Inputs!$B$16-AJ538</f>
        <v>0.00129044787328363</v>
      </c>
      <c r="AL538" s="30" t="n">
        <f aca="false">IF(AP537&lt;&gt;0,AQ537+1,0)</f>
        <v>0</v>
      </c>
      <c r="AM538" s="30" t="n">
        <f aca="false">IF(W538="",0,IF(AND(AP537&lt;&gt;0,OR(ABS(W538)&gt;Inputs!$B$7,AL538&gt;=Inputs!$B$8,ABS(W538)&lt;Inputs!$B$6)),1,0))</f>
        <v>0</v>
      </c>
      <c r="AN538" s="30" t="n">
        <f aca="false">IF(AM538=1,0,AP537)</f>
        <v>0</v>
      </c>
      <c r="AO538" s="30" t="n">
        <f aca="false">IF(W538="",0,IF(AND(AN538=0,ABS(W538)&gt;Inputs!$B$5,ABS(W538)&lt;=Inputs!$B$7,W538&gt;0),1,0))</f>
        <v>0</v>
      </c>
      <c r="AP538" s="30" t="n">
        <f aca="false">IF(W538="",0,IF(AO538=1,-SIGN(W538),AN538))</f>
        <v>0</v>
      </c>
      <c r="AQ538" s="30" t="n">
        <f aca="false">IF(W538="",0,IF(AO538=1,0,IF(AM538=1,0,AL538)))</f>
        <v>0</v>
      </c>
      <c r="AR538" s="30" t="n">
        <f aca="false">IF(AP538=0,0,IF(AP537=AP538,AR537,T538))</f>
        <v>0</v>
      </c>
      <c r="AS538" s="30" t="n">
        <f aca="false">AP538-AP537</f>
        <v>0</v>
      </c>
      <c r="AT538" s="30" t="n">
        <f aca="false">-AR538*AP538</f>
        <v>-0</v>
      </c>
      <c r="AU538" s="30" t="n">
        <f aca="false">AT538-AT537</f>
        <v>0</v>
      </c>
      <c r="AV538" s="30" t="n">
        <f aca="false">MAX(AS538,0)*(Inputs!$B$17+Inputs!$B$18+Inputs!$B$19)+MAX(-AS538,0)*(O538+Inputs!$B$18+Inputs!$B$19)+IF(AND(K538=1,AP538&lt;&gt;0),(Inputs!$B$17+Inputs!$B$18+Inputs!$B$19)+(O538+Inputs!$B$18+Inputs!$B$19),0)+MAX(AU538,0)*(Inputs!$B$20+Inputs!$B$22+Inputs!$B$23)+MAX(-AU538,0)*(Inputs!$B$21+Inputs!$B$22+Inputs!$B$23)</f>
        <v>0</v>
      </c>
      <c r="AW538" s="30" t="n">
        <f aca="false">AP537*(M538-AR537*J538)+AP537*AR537*N538/Inputs!$B$16-AV538</f>
        <v>0</v>
      </c>
      <c r="AX538" s="30" t="n">
        <f aca="false">AW538-IF(AP537&lt;&gt;0,0.75*AR537*(Inputs!$B$13-N538)/Inputs!$B$16,0)</f>
        <v>0</v>
      </c>
      <c r="AY538" s="30" t="n">
        <f aca="false">MAX(AS538,0)*(Inputs!$B$17+Inputs!$B$18+Inputs!$B$19)+MAX(-AS538,0)*(O538+Inputs!$B$18+Inputs!$B$19)+IF(AND(K538=1,AP538&lt;&gt;0),(Inputs!$B$17+Inputs!$B$18+Inputs!$B$19)+(O538+Inputs!$B$18+Inputs!$B$19),0)</f>
        <v>0</v>
      </c>
      <c r="AZ538" s="30" t="n">
        <f aca="false">AP537*M538-AY538</f>
        <v>0</v>
      </c>
      <c r="BA538" s="32" t="n">
        <f aca="false">BA537+AI538</f>
        <v>0.00879456872516864</v>
      </c>
      <c r="BB538" s="30" t="n">
        <f aca="false">MAX(BB537,BA538)</f>
        <v>0.00879456872516864</v>
      </c>
      <c r="BC538" s="32" t="n">
        <f aca="false">BA538-BB538</f>
        <v>0</v>
      </c>
      <c r="BD538" s="30" t="n">
        <f aca="false">A539-A538</f>
        <v>1</v>
      </c>
    </row>
    <row r="539" customFormat="false" ht="15" hidden="false" customHeight="false" outlineLevel="0" collapsed="false">
      <c r="A539" s="28" t="n">
        <v>45834</v>
      </c>
      <c r="B539" s="0" t="n">
        <v>25552</v>
      </c>
      <c r="C539" s="0" t="n">
        <v>286.4</v>
      </c>
      <c r="D539" s="29" t="n">
        <f aca="false">LN(B539)</f>
        <v>10.1484708704548</v>
      </c>
      <c r="E539" s="29" t="n">
        <f aca="false">LN(C539)</f>
        <v>5.65738943508649</v>
      </c>
      <c r="F539" s="0" t="n">
        <v>534</v>
      </c>
      <c r="G539" s="0" t="n">
        <v>0</v>
      </c>
      <c r="H539" s="29" t="n">
        <f aca="false">D539-E539</f>
        <v>4.4910814353683</v>
      </c>
      <c r="I539" s="29" t="n">
        <f aca="false">D539-D538</f>
        <v>0.0118894357512875</v>
      </c>
      <c r="J539" s="29" t="n">
        <f aca="false">E539-E538</f>
        <v>0.0107771390453255</v>
      </c>
      <c r="K539" s="0" t="n">
        <v>1</v>
      </c>
      <c r="L539" s="0" t="n">
        <v>0</v>
      </c>
      <c r="M539" s="29" t="n">
        <f aca="false">IF(L539=1,J539-Carry!$B$9/Inputs!$B$16,I539)</f>
        <v>0.0118894357512875</v>
      </c>
      <c r="N539" s="0" t="n">
        <v>0.055</v>
      </c>
      <c r="O539" s="0" t="n">
        <v>0.0002</v>
      </c>
      <c r="P539" s="29" t="n">
        <f aca="false">D539-('2 Hedge ratio'!$B$6+'2 Hedge ratio'!$B$5*E539)</f>
        <v>0.00376494014417972</v>
      </c>
      <c r="Q539" s="29" t="n">
        <f aca="false">D539-('5 Re-specification'!$B$7+'5 Re-specification'!$B$5*E539+'5 Re-specification'!$B$6*F539)</f>
        <v>0.00101738908699645</v>
      </c>
      <c r="R539" s="30" t="n">
        <f aca="false">MIN(F539,Inputs!$B$9)</f>
        <v>250</v>
      </c>
      <c r="S539" s="29" t="n">
        <f aca="true">IF(AND(F539&gt;=1,R539&gt;=Inputs!$B$10),INDEX(LINEST(OFFSET(D539,-R539,0,R539,1),OFFSET(E539,-R539,0,R539,2)),1,1),"")</f>
        <v>-2.68047434535758E-005</v>
      </c>
      <c r="T539" s="29" t="n">
        <f aca="true">IF(AND(F539&gt;=1,R539&gt;=Inputs!$B$10),INDEX(LINEST(OFFSET(D539,-R539,0,R539,1),OFFSET(E539,-R539,0,R539,2)),1,2),"")</f>
        <v>1.00941586568613</v>
      </c>
      <c r="U539" s="29" t="n">
        <f aca="true">IF(AND(F539&gt;=1,R539&gt;=Inputs!$B$10),INDEX(LINEST(OFFSET(D539,-R539,0,R539,1),OFFSET(E539,-R539,0,R539,2)),1,3),"")</f>
        <v>4.45402991160205</v>
      </c>
      <c r="V539" s="29" t="n">
        <f aca="true">IF(AND(F539&gt;=1,R539&gt;=Inputs!$B$10),SQRT(SUMPRODUCT((OFFSET(D539,-R539,0,R539,1)-U539-T539*OFFSET(E539,-R539,0,R539,1)-S539*OFFSET(F539,-R539,0,R539,1))^2)/(R539-3)),"")</f>
        <v>0.00230090958057909</v>
      </c>
      <c r="W539" s="31" t="n">
        <f aca="false">IF(AND(F539&gt;=1,R539&gt;=Inputs!$B$10),(D539-U539-T539*E539-S539*F539)/V539,"")</f>
        <v>-0.827482444565102</v>
      </c>
      <c r="X539" s="30" t="n">
        <f aca="false">IF(AB538&lt;&gt;0,AC538+1,0)</f>
        <v>3</v>
      </c>
      <c r="Y539" s="30" t="n">
        <f aca="false">IF(W539="",0,IF(AND(AB538&lt;&gt;0,OR(ABS(W539)&gt;Inputs!$B$7,X539&gt;=Inputs!$B$8,ABS(W539)&lt;Inputs!$B$6)),1,0))</f>
        <v>0</v>
      </c>
      <c r="Z539" s="30" t="n">
        <f aca="false">IF(Y539=1,0,AB538)</f>
        <v>1</v>
      </c>
      <c r="AA539" s="30" t="n">
        <f aca="false">IF(W539="",0,IF(AND(Z539=0,ABS(W539)&gt;Inputs!$B$5,ABS(W539)&lt;=Inputs!$B$7),1,0))</f>
        <v>0</v>
      </c>
      <c r="AB539" s="30" t="n">
        <f aca="false">IF(W539="",0,IF(AA539=1,-SIGN(W539),Z539))</f>
        <v>1</v>
      </c>
      <c r="AC539" s="30" t="n">
        <f aca="false">IF(W539="",0,IF(AA539=1,0,IF(Y539=1,0,X539)))</f>
        <v>3</v>
      </c>
      <c r="AD539" s="29" t="n">
        <f aca="false">IF(AB539=0,0,IF(AB538=AB539,AD538,T539))</f>
        <v>1.01143975124956</v>
      </c>
      <c r="AE539" s="30" t="n">
        <f aca="false">AB539-AB538</f>
        <v>0</v>
      </c>
      <c r="AF539" s="30" t="n">
        <f aca="false">-AD539*AB539</f>
        <v>-1.01143975124956</v>
      </c>
      <c r="AG539" s="30" t="n">
        <f aca="false">AF539-AF538</f>
        <v>0</v>
      </c>
      <c r="AH539" s="32" t="n">
        <f aca="false">MAX(AE539,0)*(Inputs!$B$17+Inputs!$B$18+Inputs!$B$19)+MAX(-AE539,0)*(O539+Inputs!$B$18+Inputs!$B$19)+IF(AND(K539=1,AB539&lt;&gt;0),(Inputs!$B$17+Inputs!$B$18+Inputs!$B$19)+(O539+Inputs!$B$18+Inputs!$B$19),0)+MAX(AG539,0)*(Inputs!$B$20+Inputs!$B$22+Inputs!$B$23)+MAX(-AG539,0)*(Inputs!$B$21+Inputs!$B$22+Inputs!$B$23)</f>
        <v>0.00049</v>
      </c>
      <c r="AI539" s="32" t="n">
        <f aca="false">AB538*(M539-AD538*J539)+AB538*AD538*N539/Inputs!$B$16-AH539</f>
        <v>0.00071975965546165</v>
      </c>
      <c r="AJ539" s="32" t="n">
        <f aca="false">MAX(AE539,0)*(Inputs!$B$17+Inputs!$B$24+Inputs!$B$25)+MAX(-AE539,0)*(O539+Inputs!$B$24+Inputs!$B$25)+IF(AND(K539=1,AB539&lt;&gt;0),(Inputs!$B$17+Inputs!$B$24+Inputs!$B$25)+(O539+Inputs!$B$24+Inputs!$B$25),0)+MAX(AG539,0)*(Inputs!$B$20+Inputs!$B$26+Inputs!$B$27)+MAX(-AG539,0)*(Inputs!$B$21+Inputs!$B$26+Inputs!$B$27)</f>
        <v>0.00036</v>
      </c>
      <c r="AK539" s="32" t="n">
        <f aca="false">AB538*(M539-AD538*J539)+AB538*AD538*(N539+Inputs!$B$14)/Inputs!$B$16-AJ539</f>
        <v>0.000879862029010744</v>
      </c>
      <c r="AL539" s="30" t="n">
        <f aca="false">IF(AP538&lt;&gt;0,AQ538+1,0)</f>
        <v>0</v>
      </c>
      <c r="AM539" s="30" t="n">
        <f aca="false">IF(W539="",0,IF(AND(AP538&lt;&gt;0,OR(ABS(W539)&gt;Inputs!$B$7,AL539&gt;=Inputs!$B$8,ABS(W539)&lt;Inputs!$B$6)),1,0))</f>
        <v>0</v>
      </c>
      <c r="AN539" s="30" t="n">
        <f aca="false">IF(AM539=1,0,AP538)</f>
        <v>0</v>
      </c>
      <c r="AO539" s="30" t="n">
        <f aca="false">IF(W539="",0,IF(AND(AN539=0,ABS(W539)&gt;Inputs!$B$5,ABS(W539)&lt;=Inputs!$B$7,W539&gt;0),1,0))</f>
        <v>0</v>
      </c>
      <c r="AP539" s="30" t="n">
        <f aca="false">IF(W539="",0,IF(AO539=1,-SIGN(W539),AN539))</f>
        <v>0</v>
      </c>
      <c r="AQ539" s="30" t="n">
        <f aca="false">IF(W539="",0,IF(AO539=1,0,IF(AM539=1,0,AL539)))</f>
        <v>0</v>
      </c>
      <c r="AR539" s="30" t="n">
        <f aca="false">IF(AP539=0,0,IF(AP538=AP539,AR538,T539))</f>
        <v>0</v>
      </c>
      <c r="AS539" s="30" t="n">
        <f aca="false">AP539-AP538</f>
        <v>0</v>
      </c>
      <c r="AT539" s="30" t="n">
        <f aca="false">-AR539*AP539</f>
        <v>-0</v>
      </c>
      <c r="AU539" s="30" t="n">
        <f aca="false">AT539-AT538</f>
        <v>0</v>
      </c>
      <c r="AV539" s="30" t="n">
        <f aca="false">MAX(AS539,0)*(Inputs!$B$17+Inputs!$B$18+Inputs!$B$19)+MAX(-AS539,0)*(O539+Inputs!$B$18+Inputs!$B$19)+IF(AND(K539=1,AP539&lt;&gt;0),(Inputs!$B$17+Inputs!$B$18+Inputs!$B$19)+(O539+Inputs!$B$18+Inputs!$B$19),0)+MAX(AU539,0)*(Inputs!$B$20+Inputs!$B$22+Inputs!$B$23)+MAX(-AU539,0)*(Inputs!$B$21+Inputs!$B$22+Inputs!$B$23)</f>
        <v>0</v>
      </c>
      <c r="AW539" s="30" t="n">
        <f aca="false">AP538*(M539-AR538*J539)+AP538*AR538*N539/Inputs!$B$16-AV539</f>
        <v>0</v>
      </c>
      <c r="AX539" s="30" t="n">
        <f aca="false">AW539-IF(AP538&lt;&gt;0,0.75*AR538*(Inputs!$B$13-N539)/Inputs!$B$16,0)</f>
        <v>0</v>
      </c>
      <c r="AY539" s="30" t="n">
        <f aca="false">MAX(AS539,0)*(Inputs!$B$17+Inputs!$B$18+Inputs!$B$19)+MAX(-AS539,0)*(O539+Inputs!$B$18+Inputs!$B$19)+IF(AND(K539=1,AP539&lt;&gt;0),(Inputs!$B$17+Inputs!$B$18+Inputs!$B$19)+(O539+Inputs!$B$18+Inputs!$B$19),0)</f>
        <v>0</v>
      </c>
      <c r="AZ539" s="30" t="n">
        <f aca="false">AP538*M539-AY539</f>
        <v>0</v>
      </c>
      <c r="BA539" s="32" t="n">
        <f aca="false">BA538+AI539</f>
        <v>0.00951432838063029</v>
      </c>
      <c r="BB539" s="30" t="n">
        <f aca="false">MAX(BB538,BA539)</f>
        <v>0.00951432838063029</v>
      </c>
      <c r="BC539" s="32" t="n">
        <f aca="false">BA539-BB539</f>
        <v>0</v>
      </c>
      <c r="BD539" s="30" t="n">
        <f aca="false">A540-A539</f>
        <v>1</v>
      </c>
    </row>
    <row r="540" customFormat="false" ht="15" hidden="false" customHeight="false" outlineLevel="0" collapsed="false">
      <c r="A540" s="28" t="n">
        <v>45835</v>
      </c>
      <c r="B540" s="0" t="n">
        <v>25757</v>
      </c>
      <c r="C540" s="0" t="n">
        <v>287.81</v>
      </c>
      <c r="D540" s="29" t="n">
        <f aca="false">LN(B540)</f>
        <v>10.156461713809</v>
      </c>
      <c r="E540" s="29" t="n">
        <f aca="false">LN(C540)</f>
        <v>5.66230054020126</v>
      </c>
      <c r="F540" s="0" t="n">
        <v>535</v>
      </c>
      <c r="G540" s="0" t="n">
        <v>34</v>
      </c>
      <c r="H540" s="29" t="n">
        <f aca="false">D540-E540</f>
        <v>4.49416117360775</v>
      </c>
      <c r="I540" s="29" t="n">
        <f aca="false">D540-D539</f>
        <v>0.00799084335421796</v>
      </c>
      <c r="J540" s="29" t="n">
        <f aca="false">E540-E539</f>
        <v>0.00491110511476922</v>
      </c>
      <c r="K540" s="0" t="n">
        <v>0</v>
      </c>
      <c r="L540" s="0" t="n">
        <v>1</v>
      </c>
      <c r="M540" s="29" t="n">
        <f aca="false">IF(L540=1,J540-Carry!$B$9/Inputs!$B$16,I540)</f>
        <v>0.00465164693304809</v>
      </c>
      <c r="N540" s="0" t="n">
        <v>0.055</v>
      </c>
      <c r="O540" s="0" t="n">
        <v>0.0002</v>
      </c>
      <c r="P540" s="29" t="n">
        <f aca="false">D540-('2 Hedge ratio'!$B$6+'2 Hedge ratio'!$B$5*E540)</f>
        <v>0.00725658868528534</v>
      </c>
      <c r="Q540" s="29" t="n">
        <f aca="false">D540-('5 Re-specification'!$B$7+'5 Re-specification'!$B$5*E540+'5 Re-specification'!$B$6*F540)</f>
        <v>0.00415693974869669</v>
      </c>
      <c r="R540" s="30" t="n">
        <f aca="false">MIN(F540,Inputs!$B$9)</f>
        <v>250</v>
      </c>
      <c r="S540" s="29" t="n">
        <f aca="true">IF(AND(F540&gt;=1,R540&gt;=Inputs!$B$10),INDEX(LINEST(OFFSET(D540,-R540,0,R540,1),OFFSET(E540,-R540,0,R540,2)),1,1),"")</f>
        <v>-2.6900552689588E-005</v>
      </c>
      <c r="T540" s="29" t="n">
        <f aca="true">IF(AND(F540&gt;=1,R540&gt;=Inputs!$B$10),INDEX(LINEST(OFFSET(D540,-R540,0,R540,1),OFFSET(E540,-R540,0,R540,2)),1,2),"")</f>
        <v>1.00913526934893</v>
      </c>
      <c r="U540" s="29" t="n">
        <f aca="true">IF(AND(F540&gt;=1,R540&gt;=Inputs!$B$10),INDEX(LINEST(OFFSET(D540,-R540,0,R540,1),OFFSET(E540,-R540,0,R540,2)),1,3),"")</f>
        <v>4.4556276750495</v>
      </c>
      <c r="V540" s="29" t="n">
        <f aca="true">IF(AND(F540&gt;=1,R540&gt;=Inputs!$B$10),SQRT(SUMPRODUCT((OFFSET(D540,-R540,0,R540,1)-U540-T540*OFFSET(E540,-R540,0,R540,1)-S540*OFFSET(F540,-R540,0,R540,1))^2)/(R540-3)),"")</f>
        <v>0.00230270115573014</v>
      </c>
      <c r="W540" s="31" t="n">
        <f aca="false">IF(AND(F540&gt;=1,R540&gt;=Inputs!$B$10),(D540-U540-T540*E540-S540*F540)/V540,"")</f>
        <v>0.520542439853444</v>
      </c>
      <c r="X540" s="30" t="n">
        <f aca="false">IF(AB539&lt;&gt;0,AC539+1,0)</f>
        <v>4</v>
      </c>
      <c r="Y540" s="30" t="n">
        <f aca="false">IF(W540="",0,IF(AND(AB539&lt;&gt;0,OR(ABS(W540)&gt;Inputs!$B$7,X540&gt;=Inputs!$B$8,ABS(W540)&lt;Inputs!$B$6)),1,0))</f>
        <v>0</v>
      </c>
      <c r="Z540" s="30" t="n">
        <f aca="false">IF(Y540=1,0,AB539)</f>
        <v>1</v>
      </c>
      <c r="AA540" s="30" t="n">
        <f aca="false">IF(W540="",0,IF(AND(Z540=0,ABS(W540)&gt;Inputs!$B$5,ABS(W540)&lt;=Inputs!$B$7),1,0))</f>
        <v>0</v>
      </c>
      <c r="AB540" s="30" t="n">
        <f aca="false">IF(W540="",0,IF(AA540=1,-SIGN(W540),Z540))</f>
        <v>1</v>
      </c>
      <c r="AC540" s="30" t="n">
        <f aca="false">IF(W540="",0,IF(AA540=1,0,IF(Y540=1,0,X540)))</f>
        <v>4</v>
      </c>
      <c r="AD540" s="29" t="n">
        <f aca="false">IF(AB540=0,0,IF(AB539=AB540,AD539,T540))</f>
        <v>1.01143975124956</v>
      </c>
      <c r="AE540" s="30" t="n">
        <f aca="false">AB540-AB539</f>
        <v>0</v>
      </c>
      <c r="AF540" s="30" t="n">
        <f aca="false">-AD540*AB540</f>
        <v>-1.01143975124956</v>
      </c>
      <c r="AG540" s="30" t="n">
        <f aca="false">AF540-AF539</f>
        <v>0</v>
      </c>
      <c r="AH540" s="30" t="n">
        <f aca="false">MAX(AE540,0)*(Inputs!$B$17+Inputs!$B$18+Inputs!$B$19)+MAX(-AE540,0)*(O540+Inputs!$B$18+Inputs!$B$19)+IF(AND(K540=1,AB540&lt;&gt;0),(Inputs!$B$17+Inputs!$B$18+Inputs!$B$19)+(O540+Inputs!$B$18+Inputs!$B$19),0)+MAX(AG540,0)*(Inputs!$B$20+Inputs!$B$22+Inputs!$B$23)+MAX(-AG540,0)*(Inputs!$B$21+Inputs!$B$22+Inputs!$B$23)</f>
        <v>0</v>
      </c>
      <c r="AI540" s="30" t="n">
        <f aca="false">AB539*(M540-AD539*J540)+AB539*AD539*N540/Inputs!$B$16-AH540</f>
        <v>-9.48892632344892E-005</v>
      </c>
      <c r="AJ540" s="30" t="n">
        <f aca="false">MAX(AE540,0)*(Inputs!$B$17+Inputs!$B$24+Inputs!$B$25)+MAX(-AE540,0)*(O540+Inputs!$B$24+Inputs!$B$25)+IF(AND(K540=1,AB540&lt;&gt;0),(Inputs!$B$17+Inputs!$B$24+Inputs!$B$25)+(O540+Inputs!$B$24+Inputs!$B$25),0)+MAX(AG540,0)*(Inputs!$B$20+Inputs!$B$26+Inputs!$B$27)+MAX(-AG540,0)*(Inputs!$B$21+Inputs!$B$26+Inputs!$B$27)</f>
        <v>0</v>
      </c>
      <c r="AK540" s="30" t="n">
        <f aca="false">AB539*(M540-AD539*J540)+AB539*AD539*(N540+Inputs!$B$14)/Inputs!$B$16-AJ540</f>
        <v>-6.47868896853953E-005</v>
      </c>
      <c r="AL540" s="30" t="n">
        <f aca="false">IF(AP539&lt;&gt;0,AQ539+1,0)</f>
        <v>0</v>
      </c>
      <c r="AM540" s="30" t="n">
        <f aca="false">IF(W540="",0,IF(AND(AP539&lt;&gt;0,OR(ABS(W540)&gt;Inputs!$B$7,AL540&gt;=Inputs!$B$8,ABS(W540)&lt;Inputs!$B$6)),1,0))</f>
        <v>0</v>
      </c>
      <c r="AN540" s="30" t="n">
        <f aca="false">IF(AM540=1,0,AP539)</f>
        <v>0</v>
      </c>
      <c r="AO540" s="30" t="n">
        <f aca="false">IF(W540="",0,IF(AND(AN540=0,ABS(W540)&gt;Inputs!$B$5,ABS(W540)&lt;=Inputs!$B$7,W540&gt;0),1,0))</f>
        <v>0</v>
      </c>
      <c r="AP540" s="30" t="n">
        <f aca="false">IF(W540="",0,IF(AO540=1,-SIGN(W540),AN540))</f>
        <v>0</v>
      </c>
      <c r="AQ540" s="30" t="n">
        <f aca="false">IF(W540="",0,IF(AO540=1,0,IF(AM540=1,0,AL540)))</f>
        <v>0</v>
      </c>
      <c r="AR540" s="30" t="n">
        <f aca="false">IF(AP540=0,0,IF(AP539=AP540,AR539,T540))</f>
        <v>0</v>
      </c>
      <c r="AS540" s="30" t="n">
        <f aca="false">AP540-AP539</f>
        <v>0</v>
      </c>
      <c r="AT540" s="30" t="n">
        <f aca="false">-AR540*AP540</f>
        <v>-0</v>
      </c>
      <c r="AU540" s="30" t="n">
        <f aca="false">AT540-AT539</f>
        <v>0</v>
      </c>
      <c r="AV540" s="30" t="n">
        <f aca="false">MAX(AS540,0)*(Inputs!$B$17+Inputs!$B$18+Inputs!$B$19)+MAX(-AS540,0)*(O540+Inputs!$B$18+Inputs!$B$19)+IF(AND(K540=1,AP540&lt;&gt;0),(Inputs!$B$17+Inputs!$B$18+Inputs!$B$19)+(O540+Inputs!$B$18+Inputs!$B$19),0)+MAX(AU540,0)*(Inputs!$B$20+Inputs!$B$22+Inputs!$B$23)+MAX(-AU540,0)*(Inputs!$B$21+Inputs!$B$22+Inputs!$B$23)</f>
        <v>0</v>
      </c>
      <c r="AW540" s="30" t="n">
        <f aca="false">AP539*(M540-AR539*J540)+AP539*AR539*N540/Inputs!$B$16-AV540</f>
        <v>0</v>
      </c>
      <c r="AX540" s="30" t="n">
        <f aca="false">AW540-IF(AP539&lt;&gt;0,0.75*AR539*(Inputs!$B$13-N540)/Inputs!$B$16,0)</f>
        <v>0</v>
      </c>
      <c r="AY540" s="30" t="n">
        <f aca="false">MAX(AS540,0)*(Inputs!$B$17+Inputs!$B$18+Inputs!$B$19)+MAX(-AS540,0)*(O540+Inputs!$B$18+Inputs!$B$19)+IF(AND(K540=1,AP540&lt;&gt;0),(Inputs!$B$17+Inputs!$B$18+Inputs!$B$19)+(O540+Inputs!$B$18+Inputs!$B$19),0)</f>
        <v>0</v>
      </c>
      <c r="AZ540" s="30" t="n">
        <f aca="false">AP539*M540-AY540</f>
        <v>0</v>
      </c>
      <c r="BA540" s="32" t="n">
        <f aca="false">BA539+AI540</f>
        <v>0.0094194391173958</v>
      </c>
      <c r="BB540" s="30" t="n">
        <f aca="false">MAX(BB539,BA540)</f>
        <v>0.00951432838063029</v>
      </c>
      <c r="BC540" s="32" t="n">
        <f aca="false">BA540-BB540</f>
        <v>-9.48892632344888E-005</v>
      </c>
      <c r="BD540" s="30" t="n">
        <f aca="false">A541-A540</f>
        <v>3</v>
      </c>
    </row>
    <row r="541" customFormat="false" ht="15" hidden="false" customHeight="false" outlineLevel="0" collapsed="false">
      <c r="A541" s="28" t="n">
        <v>45838</v>
      </c>
      <c r="B541" s="0" t="n">
        <v>25617</v>
      </c>
      <c r="C541" s="0" t="n">
        <v>286.5</v>
      </c>
      <c r="D541" s="29" t="n">
        <f aca="false">LN(B541)</f>
        <v>10.1510114725757</v>
      </c>
      <c r="E541" s="29" t="n">
        <f aca="false">LN(C541)</f>
        <v>5.65773853615479</v>
      </c>
      <c r="F541" s="0" t="n">
        <v>536</v>
      </c>
      <c r="G541" s="0" t="n">
        <v>31</v>
      </c>
      <c r="H541" s="29" t="n">
        <f aca="false">D541-E541</f>
        <v>4.49327293642092</v>
      </c>
      <c r="I541" s="29" t="n">
        <f aca="false">D541-D540</f>
        <v>-0.00545024123329618</v>
      </c>
      <c r="J541" s="29" t="n">
        <f aca="false">E541-E540</f>
        <v>-0.00456200404646534</v>
      </c>
      <c r="K541" s="0" t="n">
        <v>0</v>
      </c>
      <c r="L541" s="0" t="n">
        <v>0</v>
      </c>
      <c r="M541" s="29" t="n">
        <f aca="false">IF(L541=1,J541-Carry!$B$9/Inputs!$B$16,I541)</f>
        <v>-0.00545024123329618</v>
      </c>
      <c r="N541" s="0" t="n">
        <v>0.055</v>
      </c>
      <c r="O541" s="0" t="n">
        <v>0.0002</v>
      </c>
      <c r="P541" s="29" t="n">
        <f aca="false">D541-('2 Hedge ratio'!$B$6+'2 Hedge ratio'!$B$5*E541)</f>
        <v>0.0059857214347474</v>
      </c>
      <c r="Q541" s="29" t="n">
        <f aca="false">D541-('5 Re-specification'!$B$7+'5 Re-specification'!$B$5*E541+'5 Re-specification'!$B$6*F541)</f>
        <v>0.00329980672660213</v>
      </c>
      <c r="R541" s="30" t="n">
        <f aca="false">MIN(F541,Inputs!$B$9)</f>
        <v>250</v>
      </c>
      <c r="S541" s="29" t="n">
        <f aca="true">IF(AND(F541&gt;=1,R541&gt;=Inputs!$B$10),INDEX(LINEST(OFFSET(D541,-R541,0,R541,1),OFFSET(E541,-R541,0,R541,2)),1,1),"")</f>
        <v>-2.66208235975169E-005</v>
      </c>
      <c r="T541" s="29" t="n">
        <f aca="true">IF(AND(F541&gt;=1,R541&gt;=Inputs!$B$10),INDEX(LINEST(OFFSET(D541,-R541,0,R541,1),OFFSET(E541,-R541,0,R541,2)),1,2),"")</f>
        <v>1.00960363765963</v>
      </c>
      <c r="U541" s="29" t="n">
        <f aca="true">IF(AND(F541&gt;=1,R541&gt;=Inputs!$B$10),INDEX(LINEST(OFFSET(D541,-R541,0,R541,1),OFFSET(E541,-R541,0,R541,2)),1,3),"")</f>
        <v>4.45289038572598</v>
      </c>
      <c r="V541" s="29" t="n">
        <f aca="true">IF(AND(F541&gt;=1,R541&gt;=Inputs!$B$10),SQRT(SUMPRODUCT((OFFSET(D541,-R541,0,R541,1)-U541-T541*OFFSET(E541,-R541,0,R541,1)-S541*OFFSET(F541,-R541,0,R541,1))^2)/(R541-3)),"")</f>
        <v>0.00230265281662678</v>
      </c>
      <c r="W541" s="31" t="n">
        <f aca="false">IF(AND(F541&gt;=1,R541&gt;=Inputs!$B$10),(D541-U541-T541*E541-S541*F541)/V541,"")</f>
        <v>0.137424655053292</v>
      </c>
      <c r="X541" s="30" t="n">
        <f aca="false">IF(AB540&lt;&gt;0,AC540+1,0)</f>
        <v>5</v>
      </c>
      <c r="Y541" s="30" t="n">
        <f aca="false">IF(W541="",0,IF(AND(AB540&lt;&gt;0,OR(ABS(W541)&gt;Inputs!$B$7,X541&gt;=Inputs!$B$8,ABS(W541)&lt;Inputs!$B$6)),1,0))</f>
        <v>1</v>
      </c>
      <c r="Z541" s="30" t="n">
        <f aca="false">IF(Y541=1,0,AB540)</f>
        <v>0</v>
      </c>
      <c r="AA541" s="30" t="n">
        <f aca="false">IF(W541="",0,IF(AND(Z541=0,ABS(W541)&gt;Inputs!$B$5,ABS(W541)&lt;=Inputs!$B$7),1,0))</f>
        <v>0</v>
      </c>
      <c r="AB541" s="30" t="n">
        <f aca="false">IF(W541="",0,IF(AA541=1,-SIGN(W541),Z541))</f>
        <v>0</v>
      </c>
      <c r="AC541" s="30" t="n">
        <f aca="false">IF(W541="",0,IF(AA541=1,0,IF(Y541=1,0,X541)))</f>
        <v>0</v>
      </c>
      <c r="AD541" s="30" t="n">
        <f aca="false">IF(AB541=0,0,IF(AB540=AB541,AD540,T541))</f>
        <v>0</v>
      </c>
      <c r="AE541" s="30" t="n">
        <f aca="false">AB541-AB540</f>
        <v>-1</v>
      </c>
      <c r="AF541" s="30" t="n">
        <f aca="false">-AD541*AB541</f>
        <v>-0</v>
      </c>
      <c r="AG541" s="30" t="n">
        <f aca="false">AF541-AF540</f>
        <v>1.01143975124956</v>
      </c>
      <c r="AH541" s="30" t="n">
        <f aca="false">MAX(AE541,0)*(Inputs!$B$17+Inputs!$B$18+Inputs!$B$19)+MAX(-AE541,0)*(O541+Inputs!$B$18+Inputs!$B$19)+IF(AND(K541=1,AB541&lt;&gt;0),(Inputs!$B$17+Inputs!$B$18+Inputs!$B$19)+(O541+Inputs!$B$18+Inputs!$B$19),0)+MAX(AG541,0)*(Inputs!$B$20+Inputs!$B$22+Inputs!$B$23)+MAX(-AG541,0)*(Inputs!$B$21+Inputs!$B$22+Inputs!$B$23)</f>
        <v>0.000689003912937344</v>
      </c>
      <c r="AI541" s="30" t="n">
        <f aca="false">AB540*(M541-AD540*J541)+AB540*AD540*N541/Inputs!$B$16-AH541</f>
        <v>-0.00130430216891714</v>
      </c>
      <c r="AJ541" s="30" t="n">
        <f aca="false">MAX(AE541,0)*(Inputs!$B$17+Inputs!$B$24+Inputs!$B$25)+MAX(-AE541,0)*(O541+Inputs!$B$24+Inputs!$B$25)+IF(AND(K541=1,AB541&lt;&gt;0),(Inputs!$B$17+Inputs!$B$24+Inputs!$B$25)+(O541+Inputs!$B$24+Inputs!$B$25),0)+MAX(AG541,0)*(Inputs!$B$20+Inputs!$B$26+Inputs!$B$27)+MAX(-AG541,0)*(Inputs!$B$21+Inputs!$B$26+Inputs!$B$27)</f>
        <v>0.000527917136568637</v>
      </c>
      <c r="AK541" s="30" t="n">
        <f aca="false">AB540*(M541-AD540*J541)+AB540*AD540*(N541+Inputs!$B$14)/Inputs!$B$16-AJ541</f>
        <v>-0.00111311301899933</v>
      </c>
      <c r="AL541" s="30" t="n">
        <f aca="false">IF(AP540&lt;&gt;0,AQ540+1,0)</f>
        <v>0</v>
      </c>
      <c r="AM541" s="30" t="n">
        <f aca="false">IF(W541="",0,IF(AND(AP540&lt;&gt;0,OR(ABS(W541)&gt;Inputs!$B$7,AL541&gt;=Inputs!$B$8,ABS(W541)&lt;Inputs!$B$6)),1,0))</f>
        <v>0</v>
      </c>
      <c r="AN541" s="30" t="n">
        <f aca="false">IF(AM541=1,0,AP540)</f>
        <v>0</v>
      </c>
      <c r="AO541" s="30" t="n">
        <f aca="false">IF(W541="",0,IF(AND(AN541=0,ABS(W541)&gt;Inputs!$B$5,ABS(W541)&lt;=Inputs!$B$7,W541&gt;0),1,0))</f>
        <v>0</v>
      </c>
      <c r="AP541" s="30" t="n">
        <f aca="false">IF(W541="",0,IF(AO541=1,-SIGN(W541),AN541))</f>
        <v>0</v>
      </c>
      <c r="AQ541" s="30" t="n">
        <f aca="false">IF(W541="",0,IF(AO541=1,0,IF(AM541=1,0,AL541)))</f>
        <v>0</v>
      </c>
      <c r="AR541" s="30" t="n">
        <f aca="false">IF(AP541=0,0,IF(AP540=AP541,AR540,T541))</f>
        <v>0</v>
      </c>
      <c r="AS541" s="30" t="n">
        <f aca="false">AP541-AP540</f>
        <v>0</v>
      </c>
      <c r="AT541" s="30" t="n">
        <f aca="false">-AR541*AP541</f>
        <v>-0</v>
      </c>
      <c r="AU541" s="30" t="n">
        <f aca="false">AT541-AT540</f>
        <v>0</v>
      </c>
      <c r="AV541" s="30" t="n">
        <f aca="false">MAX(AS541,0)*(Inputs!$B$17+Inputs!$B$18+Inputs!$B$19)+MAX(-AS541,0)*(O541+Inputs!$B$18+Inputs!$B$19)+IF(AND(K541=1,AP541&lt;&gt;0),(Inputs!$B$17+Inputs!$B$18+Inputs!$B$19)+(O541+Inputs!$B$18+Inputs!$B$19),0)+MAX(AU541,0)*(Inputs!$B$20+Inputs!$B$22+Inputs!$B$23)+MAX(-AU541,0)*(Inputs!$B$21+Inputs!$B$22+Inputs!$B$23)</f>
        <v>0</v>
      </c>
      <c r="AW541" s="30" t="n">
        <f aca="false">AP540*(M541-AR540*J541)+AP540*AR540*N541/Inputs!$B$16-AV541</f>
        <v>0</v>
      </c>
      <c r="AX541" s="30" t="n">
        <f aca="false">AW541-IF(AP540&lt;&gt;0,0.75*AR540*(Inputs!$B$13-N541)/Inputs!$B$16,0)</f>
        <v>0</v>
      </c>
      <c r="AY541" s="30" t="n">
        <f aca="false">MAX(AS541,0)*(Inputs!$B$17+Inputs!$B$18+Inputs!$B$19)+MAX(-AS541,0)*(O541+Inputs!$B$18+Inputs!$B$19)+IF(AND(K541=1,AP541&lt;&gt;0),(Inputs!$B$17+Inputs!$B$18+Inputs!$B$19)+(O541+Inputs!$B$18+Inputs!$B$19),0)</f>
        <v>0</v>
      </c>
      <c r="AZ541" s="30" t="n">
        <f aca="false">AP540*M541-AY541</f>
        <v>-0</v>
      </c>
      <c r="BA541" s="32" t="n">
        <f aca="false">BA540+AI541</f>
        <v>0.00811513694847867</v>
      </c>
      <c r="BB541" s="30" t="n">
        <f aca="false">MAX(BB540,BA541)</f>
        <v>0.00951432838063029</v>
      </c>
      <c r="BC541" s="32" t="n">
        <f aca="false">BA541-BB541</f>
        <v>-0.00139919143215162</v>
      </c>
      <c r="BD541" s="30" t="n">
        <f aca="false">A542-A541</f>
        <v>1</v>
      </c>
    </row>
    <row r="542" customFormat="false" ht="15" hidden="false" customHeight="false" outlineLevel="0" collapsed="false">
      <c r="A542" s="28" t="n">
        <v>45839</v>
      </c>
      <c r="B542" s="0" t="n">
        <v>25638</v>
      </c>
      <c r="C542" s="0" t="n">
        <v>286.9</v>
      </c>
      <c r="D542" s="29" t="n">
        <f aca="false">LN(B542)</f>
        <v>10.1518309048721</v>
      </c>
      <c r="E542" s="29" t="n">
        <f aca="false">LN(C542)</f>
        <v>5.65913372298732</v>
      </c>
      <c r="F542" s="0" t="n">
        <v>537</v>
      </c>
      <c r="G542" s="0" t="n">
        <v>30</v>
      </c>
      <c r="H542" s="29" t="n">
        <f aca="false">D542-E542</f>
        <v>4.49269718188476</v>
      </c>
      <c r="I542" s="29" t="n">
        <f aca="false">D542-D541</f>
        <v>0.000819432296363942</v>
      </c>
      <c r="J542" s="29" t="n">
        <f aca="false">E542-E541</f>
        <v>0.00139518683252415</v>
      </c>
      <c r="K542" s="0" t="n">
        <v>0</v>
      </c>
      <c r="L542" s="0" t="n">
        <v>0</v>
      </c>
      <c r="M542" s="29" t="n">
        <f aca="false">IF(L542=1,J542-Carry!$B$9/Inputs!$B$16,I542)</f>
        <v>0.000819432296363942</v>
      </c>
      <c r="N542" s="0" t="n">
        <v>0.055</v>
      </c>
      <c r="O542" s="0" t="n">
        <v>0.0002</v>
      </c>
      <c r="P542" s="29" t="n">
        <f aca="false">D542-('2 Hedge ratio'!$B$6+'2 Hedge ratio'!$B$5*E542)</f>
        <v>0.00552698573968691</v>
      </c>
      <c r="Q542" s="29" t="n">
        <f aca="false">D542-('5 Re-specification'!$B$7+'5 Re-specification'!$B$5*E542+'5 Re-specification'!$B$6*F542)</f>
        <v>0.00277320962226568</v>
      </c>
      <c r="R542" s="30" t="n">
        <f aca="false">MIN(F542,Inputs!$B$9)</f>
        <v>250</v>
      </c>
      <c r="S542" s="29" t="n">
        <f aca="true">IF(AND(F542&gt;=1,R542&gt;=Inputs!$B$10),INDEX(LINEST(OFFSET(D542,-R542,0,R542,1),OFFSET(E542,-R542,0,R542,2)),1,1),"")</f>
        <v>-2.63810925268412E-005</v>
      </c>
      <c r="T542" s="29" t="n">
        <f aca="true">IF(AND(F542&gt;=1,R542&gt;=Inputs!$B$10),INDEX(LINEST(OFFSET(D542,-R542,0,R542,1),OFFSET(E542,-R542,0,R542,2)),1,2),"")</f>
        <v>1.00989281354215</v>
      </c>
      <c r="U542" s="29" t="n">
        <f aca="true">IF(AND(F542&gt;=1,R542&gt;=Inputs!$B$10),INDEX(LINEST(OFFSET(D542,-R542,0,R542,1),OFFSET(E542,-R542,0,R542,2)),1,3),"")</f>
        <v>4.45116630834314</v>
      </c>
      <c r="V542" s="29" t="n">
        <f aca="true">IF(AND(F542&gt;=1,R542&gt;=Inputs!$B$10),SQRT(SUMPRODUCT((OFFSET(D542,-R542,0,R542,1)-U542-T542*OFFSET(E542,-R542,0,R542,1)-S542*OFFSET(F542,-R542,0,R542,1))^2)/(R542-3)),"")</f>
        <v>0.00229966160098253</v>
      </c>
      <c r="W542" s="31" t="n">
        <f aca="false">IF(AND(F542&gt;=1,R542&gt;=Inputs!$B$10),(D542-U542-T542*E542-S542*F542)/V542,"")</f>
        <v>-0.124902943512377</v>
      </c>
      <c r="X542" s="30" t="n">
        <f aca="false">IF(AB541&lt;&gt;0,AC541+1,0)</f>
        <v>0</v>
      </c>
      <c r="Y542" s="30" t="n">
        <f aca="false">IF(W542="",0,IF(AND(AB541&lt;&gt;0,OR(ABS(W542)&gt;Inputs!$B$7,X542&gt;=Inputs!$B$8,ABS(W542)&lt;Inputs!$B$6)),1,0))</f>
        <v>0</v>
      </c>
      <c r="Z542" s="30" t="n">
        <f aca="false">IF(Y542=1,0,AB541)</f>
        <v>0</v>
      </c>
      <c r="AA542" s="30" t="n">
        <f aca="false">IF(W542="",0,IF(AND(Z542=0,ABS(W542)&gt;Inputs!$B$5,ABS(W542)&lt;=Inputs!$B$7),1,0))</f>
        <v>0</v>
      </c>
      <c r="AB542" s="30" t="n">
        <f aca="false">IF(W542="",0,IF(AA542=1,-SIGN(W542),Z542))</f>
        <v>0</v>
      </c>
      <c r="AC542" s="30" t="n">
        <f aca="false">IF(W542="",0,IF(AA542=1,0,IF(Y542=1,0,X542)))</f>
        <v>0</v>
      </c>
      <c r="AD542" s="30" t="n">
        <f aca="false">IF(AB542=0,0,IF(AB541=AB542,AD541,T542))</f>
        <v>0</v>
      </c>
      <c r="AE542" s="30" t="n">
        <f aca="false">AB542-AB541</f>
        <v>0</v>
      </c>
      <c r="AF542" s="30" t="n">
        <f aca="false">-AD542*AB542</f>
        <v>-0</v>
      </c>
      <c r="AG542" s="30" t="n">
        <f aca="false">AF542-AF541</f>
        <v>0</v>
      </c>
      <c r="AH542" s="30" t="n">
        <f aca="false">MAX(AE542,0)*(Inputs!$B$17+Inputs!$B$18+Inputs!$B$19)+MAX(-AE542,0)*(O542+Inputs!$B$18+Inputs!$B$19)+IF(AND(K542=1,AB542&lt;&gt;0),(Inputs!$B$17+Inputs!$B$18+Inputs!$B$19)+(O542+Inputs!$B$18+Inputs!$B$19),0)+MAX(AG542,0)*(Inputs!$B$20+Inputs!$B$22+Inputs!$B$23)+MAX(-AG542,0)*(Inputs!$B$21+Inputs!$B$22+Inputs!$B$23)</f>
        <v>0</v>
      </c>
      <c r="AI542" s="30" t="n">
        <f aca="false">AB541*(M542-AD541*J542)+AB541*AD541*N542/Inputs!$B$16-AH542</f>
        <v>0</v>
      </c>
      <c r="AJ542" s="30" t="n">
        <f aca="false">MAX(AE542,0)*(Inputs!$B$17+Inputs!$B$24+Inputs!$B$25)+MAX(-AE542,0)*(O542+Inputs!$B$24+Inputs!$B$25)+IF(AND(K542=1,AB542&lt;&gt;0),(Inputs!$B$17+Inputs!$B$24+Inputs!$B$25)+(O542+Inputs!$B$24+Inputs!$B$25),0)+MAX(AG542,0)*(Inputs!$B$20+Inputs!$B$26+Inputs!$B$27)+MAX(-AG542,0)*(Inputs!$B$21+Inputs!$B$26+Inputs!$B$27)</f>
        <v>0</v>
      </c>
      <c r="AK542" s="30" t="n">
        <f aca="false">AB541*(M542-AD541*J542)+AB541*AD541*(N542+Inputs!$B$14)/Inputs!$B$16-AJ542</f>
        <v>0</v>
      </c>
      <c r="AL542" s="30" t="n">
        <f aca="false">IF(AP541&lt;&gt;0,AQ541+1,0)</f>
        <v>0</v>
      </c>
      <c r="AM542" s="30" t="n">
        <f aca="false">IF(W542="",0,IF(AND(AP541&lt;&gt;0,OR(ABS(W542)&gt;Inputs!$B$7,AL542&gt;=Inputs!$B$8,ABS(W542)&lt;Inputs!$B$6)),1,0))</f>
        <v>0</v>
      </c>
      <c r="AN542" s="30" t="n">
        <f aca="false">IF(AM542=1,0,AP541)</f>
        <v>0</v>
      </c>
      <c r="AO542" s="30" t="n">
        <f aca="false">IF(W542="",0,IF(AND(AN542=0,ABS(W542)&gt;Inputs!$B$5,ABS(W542)&lt;=Inputs!$B$7,W542&gt;0),1,0))</f>
        <v>0</v>
      </c>
      <c r="AP542" s="30" t="n">
        <f aca="false">IF(W542="",0,IF(AO542=1,-SIGN(W542),AN542))</f>
        <v>0</v>
      </c>
      <c r="AQ542" s="30" t="n">
        <f aca="false">IF(W542="",0,IF(AO542=1,0,IF(AM542=1,0,AL542)))</f>
        <v>0</v>
      </c>
      <c r="AR542" s="30" t="n">
        <f aca="false">IF(AP542=0,0,IF(AP541=AP542,AR541,T542))</f>
        <v>0</v>
      </c>
      <c r="AS542" s="30" t="n">
        <f aca="false">AP542-AP541</f>
        <v>0</v>
      </c>
      <c r="AT542" s="30" t="n">
        <f aca="false">-AR542*AP542</f>
        <v>-0</v>
      </c>
      <c r="AU542" s="30" t="n">
        <f aca="false">AT542-AT541</f>
        <v>0</v>
      </c>
      <c r="AV542" s="30" t="n">
        <f aca="false">MAX(AS542,0)*(Inputs!$B$17+Inputs!$B$18+Inputs!$B$19)+MAX(-AS542,0)*(O542+Inputs!$B$18+Inputs!$B$19)+IF(AND(K542=1,AP542&lt;&gt;0),(Inputs!$B$17+Inputs!$B$18+Inputs!$B$19)+(O542+Inputs!$B$18+Inputs!$B$19),0)+MAX(AU542,0)*(Inputs!$B$20+Inputs!$B$22+Inputs!$B$23)+MAX(-AU542,0)*(Inputs!$B$21+Inputs!$B$22+Inputs!$B$23)</f>
        <v>0</v>
      </c>
      <c r="AW542" s="30" t="n">
        <f aca="false">AP541*(M542-AR541*J542)+AP541*AR541*N542/Inputs!$B$16-AV542</f>
        <v>0</v>
      </c>
      <c r="AX542" s="30" t="n">
        <f aca="false">AW542-IF(AP541&lt;&gt;0,0.75*AR541*(Inputs!$B$13-N542)/Inputs!$B$16,0)</f>
        <v>0</v>
      </c>
      <c r="AY542" s="30" t="n">
        <f aca="false">MAX(AS542,0)*(Inputs!$B$17+Inputs!$B$18+Inputs!$B$19)+MAX(-AS542,0)*(O542+Inputs!$B$18+Inputs!$B$19)+IF(AND(K542=1,AP542&lt;&gt;0),(Inputs!$B$17+Inputs!$B$18+Inputs!$B$19)+(O542+Inputs!$B$18+Inputs!$B$19),0)</f>
        <v>0</v>
      </c>
      <c r="AZ542" s="30" t="n">
        <f aca="false">AP541*M542-AY542</f>
        <v>0</v>
      </c>
      <c r="BA542" s="32" t="n">
        <f aca="false">BA541+AI542</f>
        <v>0.00811513694847867</v>
      </c>
      <c r="BB542" s="30" t="n">
        <f aca="false">MAX(BB541,BA542)</f>
        <v>0.00951432838063029</v>
      </c>
      <c r="BC542" s="32" t="n">
        <f aca="false">BA542-BB542</f>
        <v>-0.00139919143215162</v>
      </c>
      <c r="BD542" s="30" t="n">
        <f aca="false">A543-A542</f>
        <v>1</v>
      </c>
    </row>
    <row r="543" customFormat="false" ht="15" hidden="false" customHeight="false" outlineLevel="0" collapsed="false">
      <c r="A543" s="28" t="n">
        <v>45840</v>
      </c>
      <c r="B543" s="0" t="n">
        <v>25540</v>
      </c>
      <c r="C543" s="0" t="n">
        <v>285.89</v>
      </c>
      <c r="D543" s="29" t="n">
        <f aca="false">LN(B543)</f>
        <v>10.1480011295865</v>
      </c>
      <c r="E543" s="29" t="n">
        <f aca="false">LN(C543)</f>
        <v>5.65560712145177</v>
      </c>
      <c r="F543" s="0" t="n">
        <v>538</v>
      </c>
      <c r="G543" s="0" t="n">
        <v>29</v>
      </c>
      <c r="H543" s="29" t="n">
        <f aca="false">D543-E543</f>
        <v>4.49239400813476</v>
      </c>
      <c r="I543" s="29" t="n">
        <f aca="false">D543-D542</f>
        <v>-0.00382977528554918</v>
      </c>
      <c r="J543" s="29" t="n">
        <f aca="false">E543-E542</f>
        <v>-0.00352660153554929</v>
      </c>
      <c r="K543" s="0" t="n">
        <v>0</v>
      </c>
      <c r="L543" s="0" t="n">
        <v>0</v>
      </c>
      <c r="M543" s="29" t="n">
        <f aca="false">IF(L543=1,J543-Carry!$B$9/Inputs!$B$16,I543)</f>
        <v>-0.00382977528554918</v>
      </c>
      <c r="N543" s="0" t="n">
        <v>0.055</v>
      </c>
      <c r="O543" s="0" t="n">
        <v>0.0002</v>
      </c>
      <c r="P543" s="29" t="n">
        <f aca="false">D543-('2 Hedge ratio'!$B$6+'2 Hedge ratio'!$B$5*E543)</f>
        <v>0.0049280244900558</v>
      </c>
      <c r="Q543" s="29" t="n">
        <f aca="false">D543-('5 Re-specification'!$B$7+'5 Re-specification'!$B$5*E543+'5 Re-specification'!$B$6*F543)</f>
        <v>0.00250427782433249</v>
      </c>
      <c r="R543" s="30" t="n">
        <f aca="false">MIN(F543,Inputs!$B$9)</f>
        <v>250</v>
      </c>
      <c r="S543" s="29" t="n">
        <f aca="true">IF(AND(F543&gt;=1,R543&gt;=Inputs!$B$10),INDEX(LINEST(OFFSET(D543,-R543,0,R543,1),OFFSET(E543,-R543,0,R543,2)),1,1),"")</f>
        <v>-2.62216128035872E-005</v>
      </c>
      <c r="T543" s="29" t="n">
        <f aca="true">IF(AND(F543&gt;=1,R543&gt;=Inputs!$B$10),INDEX(LINEST(OFFSET(D543,-R543,0,R543,1),OFFSET(E543,-R543,0,R543,2)),1,2),"")</f>
        <v>1.00998318421671</v>
      </c>
      <c r="U543" s="29" t="n">
        <f aca="true">IF(AND(F543&gt;=1,R543&gt;=Inputs!$B$10),INDEX(LINEST(OFFSET(D543,-R543,0,R543,1),OFFSET(E543,-R543,0,R543,2)),1,3),"")</f>
        <v>4.45058592988209</v>
      </c>
      <c r="V543" s="29" t="n">
        <f aca="true">IF(AND(F543&gt;=1,R543&gt;=Inputs!$B$10),SQRT(SUMPRODUCT((OFFSET(D543,-R543,0,R543,1)-U543-T543*OFFSET(E543,-R543,0,R543,1)-S543*OFFSET(F543,-R543,0,R543,1))^2)/(R543-3)),"")</f>
        <v>0.00229670294574827</v>
      </c>
      <c r="W543" s="31" t="n">
        <f aca="false">IF(AND(F543&gt;=1,R543&gt;=Inputs!$B$10),(D543-U543-T543*E543-S543*F543)/V543,"")</f>
        <v>-0.237584843447832</v>
      </c>
      <c r="X543" s="30" t="n">
        <f aca="false">IF(AB542&lt;&gt;0,AC542+1,0)</f>
        <v>0</v>
      </c>
      <c r="Y543" s="30" t="n">
        <f aca="false">IF(W543="",0,IF(AND(AB542&lt;&gt;0,OR(ABS(W543)&gt;Inputs!$B$7,X543&gt;=Inputs!$B$8,ABS(W543)&lt;Inputs!$B$6)),1,0))</f>
        <v>0</v>
      </c>
      <c r="Z543" s="30" t="n">
        <f aca="false">IF(Y543=1,0,AB542)</f>
        <v>0</v>
      </c>
      <c r="AA543" s="30" t="n">
        <f aca="false">IF(W543="",0,IF(AND(Z543=0,ABS(W543)&gt;Inputs!$B$5,ABS(W543)&lt;=Inputs!$B$7),1,0))</f>
        <v>0</v>
      </c>
      <c r="AB543" s="30" t="n">
        <f aca="false">IF(W543="",0,IF(AA543=1,-SIGN(W543),Z543))</f>
        <v>0</v>
      </c>
      <c r="AC543" s="30" t="n">
        <f aca="false">IF(W543="",0,IF(AA543=1,0,IF(Y543=1,0,X543)))</f>
        <v>0</v>
      </c>
      <c r="AD543" s="30" t="n">
        <f aca="false">IF(AB543=0,0,IF(AB542=AB543,AD542,T543))</f>
        <v>0</v>
      </c>
      <c r="AE543" s="30" t="n">
        <f aca="false">AB543-AB542</f>
        <v>0</v>
      </c>
      <c r="AF543" s="30" t="n">
        <f aca="false">-AD543*AB543</f>
        <v>-0</v>
      </c>
      <c r="AG543" s="30" t="n">
        <f aca="false">AF543-AF542</f>
        <v>0</v>
      </c>
      <c r="AH543" s="30" t="n">
        <f aca="false">MAX(AE543,0)*(Inputs!$B$17+Inputs!$B$18+Inputs!$B$19)+MAX(-AE543,0)*(O543+Inputs!$B$18+Inputs!$B$19)+IF(AND(K543=1,AB543&lt;&gt;0),(Inputs!$B$17+Inputs!$B$18+Inputs!$B$19)+(O543+Inputs!$B$18+Inputs!$B$19),0)+MAX(AG543,0)*(Inputs!$B$20+Inputs!$B$22+Inputs!$B$23)+MAX(-AG543,0)*(Inputs!$B$21+Inputs!$B$22+Inputs!$B$23)</f>
        <v>0</v>
      </c>
      <c r="AI543" s="30" t="n">
        <f aca="false">AB542*(M543-AD542*J543)+AB542*AD542*N543/Inputs!$B$16-AH543</f>
        <v>0</v>
      </c>
      <c r="AJ543" s="30" t="n">
        <f aca="false">MAX(AE543,0)*(Inputs!$B$17+Inputs!$B$24+Inputs!$B$25)+MAX(-AE543,0)*(O543+Inputs!$B$24+Inputs!$B$25)+IF(AND(K543=1,AB543&lt;&gt;0),(Inputs!$B$17+Inputs!$B$24+Inputs!$B$25)+(O543+Inputs!$B$24+Inputs!$B$25),0)+MAX(AG543,0)*(Inputs!$B$20+Inputs!$B$26+Inputs!$B$27)+MAX(-AG543,0)*(Inputs!$B$21+Inputs!$B$26+Inputs!$B$27)</f>
        <v>0</v>
      </c>
      <c r="AK543" s="30" t="n">
        <f aca="false">AB542*(M543-AD542*J543)+AB542*AD542*(N543+Inputs!$B$14)/Inputs!$B$16-AJ543</f>
        <v>0</v>
      </c>
      <c r="AL543" s="30" t="n">
        <f aca="false">IF(AP542&lt;&gt;0,AQ542+1,0)</f>
        <v>0</v>
      </c>
      <c r="AM543" s="30" t="n">
        <f aca="false">IF(W543="",0,IF(AND(AP542&lt;&gt;0,OR(ABS(W543)&gt;Inputs!$B$7,AL543&gt;=Inputs!$B$8,ABS(W543)&lt;Inputs!$B$6)),1,0))</f>
        <v>0</v>
      </c>
      <c r="AN543" s="30" t="n">
        <f aca="false">IF(AM543=1,0,AP542)</f>
        <v>0</v>
      </c>
      <c r="AO543" s="30" t="n">
        <f aca="false">IF(W543="",0,IF(AND(AN543=0,ABS(W543)&gt;Inputs!$B$5,ABS(W543)&lt;=Inputs!$B$7,W543&gt;0),1,0))</f>
        <v>0</v>
      </c>
      <c r="AP543" s="30" t="n">
        <f aca="false">IF(W543="",0,IF(AO543=1,-SIGN(W543),AN543))</f>
        <v>0</v>
      </c>
      <c r="AQ543" s="30" t="n">
        <f aca="false">IF(W543="",0,IF(AO543=1,0,IF(AM543=1,0,AL543)))</f>
        <v>0</v>
      </c>
      <c r="AR543" s="30" t="n">
        <f aca="false">IF(AP543=0,0,IF(AP542=AP543,AR542,T543))</f>
        <v>0</v>
      </c>
      <c r="AS543" s="30" t="n">
        <f aca="false">AP543-AP542</f>
        <v>0</v>
      </c>
      <c r="AT543" s="30" t="n">
        <f aca="false">-AR543*AP543</f>
        <v>-0</v>
      </c>
      <c r="AU543" s="30" t="n">
        <f aca="false">AT543-AT542</f>
        <v>0</v>
      </c>
      <c r="AV543" s="30" t="n">
        <f aca="false">MAX(AS543,0)*(Inputs!$B$17+Inputs!$B$18+Inputs!$B$19)+MAX(-AS543,0)*(O543+Inputs!$B$18+Inputs!$B$19)+IF(AND(K543=1,AP543&lt;&gt;0),(Inputs!$B$17+Inputs!$B$18+Inputs!$B$19)+(O543+Inputs!$B$18+Inputs!$B$19),0)+MAX(AU543,0)*(Inputs!$B$20+Inputs!$B$22+Inputs!$B$23)+MAX(-AU543,0)*(Inputs!$B$21+Inputs!$B$22+Inputs!$B$23)</f>
        <v>0</v>
      </c>
      <c r="AW543" s="30" t="n">
        <f aca="false">AP542*(M543-AR542*J543)+AP542*AR542*N543/Inputs!$B$16-AV543</f>
        <v>0</v>
      </c>
      <c r="AX543" s="30" t="n">
        <f aca="false">AW543-IF(AP542&lt;&gt;0,0.75*AR542*(Inputs!$B$13-N543)/Inputs!$B$16,0)</f>
        <v>0</v>
      </c>
      <c r="AY543" s="30" t="n">
        <f aca="false">MAX(AS543,0)*(Inputs!$B$17+Inputs!$B$18+Inputs!$B$19)+MAX(-AS543,0)*(O543+Inputs!$B$18+Inputs!$B$19)+IF(AND(K543=1,AP543&lt;&gt;0),(Inputs!$B$17+Inputs!$B$18+Inputs!$B$19)+(O543+Inputs!$B$18+Inputs!$B$19),0)</f>
        <v>0</v>
      </c>
      <c r="AZ543" s="30" t="n">
        <f aca="false">AP542*M543-AY543</f>
        <v>-0</v>
      </c>
      <c r="BA543" s="32" t="n">
        <f aca="false">BA542+AI543</f>
        <v>0.00811513694847867</v>
      </c>
      <c r="BB543" s="30" t="n">
        <f aca="false">MAX(BB542,BA543)</f>
        <v>0.00951432838063029</v>
      </c>
      <c r="BC543" s="32" t="n">
        <f aca="false">BA543-BB543</f>
        <v>-0.00139919143215162</v>
      </c>
      <c r="BD543" s="30" t="n">
        <f aca="false">A544-A543</f>
        <v>1</v>
      </c>
    </row>
    <row r="544" customFormat="false" ht="15" hidden="false" customHeight="false" outlineLevel="0" collapsed="false">
      <c r="A544" s="28" t="n">
        <v>45841</v>
      </c>
      <c r="B544" s="0" t="n">
        <v>25501</v>
      </c>
      <c r="C544" s="0" t="n">
        <v>285.78</v>
      </c>
      <c r="D544" s="29" t="n">
        <f aca="false">LN(B544)</f>
        <v>10.1464729460639</v>
      </c>
      <c r="E544" s="29" t="n">
        <f aca="false">LN(C544)</f>
        <v>5.65522228404082</v>
      </c>
      <c r="F544" s="0" t="n">
        <v>539</v>
      </c>
      <c r="G544" s="0" t="n">
        <v>28</v>
      </c>
      <c r="H544" s="29" t="n">
        <f aca="false">D544-E544</f>
        <v>4.49125066202305</v>
      </c>
      <c r="I544" s="29" t="n">
        <f aca="false">D544-D543</f>
        <v>-0.00152818352265349</v>
      </c>
      <c r="J544" s="29" t="n">
        <f aca="false">E544-E543</f>
        <v>-0.000384837410945416</v>
      </c>
      <c r="K544" s="0" t="n">
        <v>0</v>
      </c>
      <c r="L544" s="0" t="n">
        <v>0</v>
      </c>
      <c r="M544" s="29" t="n">
        <f aca="false">IF(L544=1,J544-Carry!$B$9/Inputs!$B$16,I544)</f>
        <v>-0.00152818352265349</v>
      </c>
      <c r="N544" s="0" t="n">
        <v>0.055</v>
      </c>
      <c r="O544" s="0" t="n">
        <v>0.0002</v>
      </c>
      <c r="P544" s="29" t="n">
        <f aca="false">D544-('2 Hedge ratio'!$B$6+'2 Hedge ratio'!$B$5*E544)</f>
        <v>0.00375240081752892</v>
      </c>
      <c r="Q544" s="29" t="n">
        <f aca="false">D544-('5 Re-specification'!$B$7+'5 Re-specification'!$B$5*E544+'5 Re-specification'!$B$6*F544)</f>
        <v>0.00140469478093941</v>
      </c>
      <c r="R544" s="30" t="n">
        <f aca="false">MIN(F544,Inputs!$B$9)</f>
        <v>250</v>
      </c>
      <c r="S544" s="29" t="n">
        <f aca="true">IF(AND(F544&gt;=1,R544&gt;=Inputs!$B$10),INDEX(LINEST(OFFSET(D544,-R544,0,R544,1),OFFSET(E544,-R544,0,R544,2)),1,1),"")</f>
        <v>-2.59249549808984E-005</v>
      </c>
      <c r="T544" s="29" t="n">
        <f aca="true">IF(AND(F544&gt;=1,R544&gt;=Inputs!$B$10),INDEX(LINEST(OFFSET(D544,-R544,0,R544,1),OFFSET(E544,-R544,0,R544,2)),1,2),"")</f>
        <v>1.01013110311012</v>
      </c>
      <c r="U544" s="29" t="n">
        <f aca="true">IF(AND(F544&gt;=1,R544&gt;=Inputs!$B$10),INDEX(LINEST(OFFSET(D544,-R544,0,R544,1),OFFSET(E544,-R544,0,R544,2)),1,3),"")</f>
        <v>4.44961882942857</v>
      </c>
      <c r="V544" s="29" t="n">
        <f aca="true">IF(AND(F544&gt;=1,R544&gt;=Inputs!$B$10),SQRT(SUMPRODUCT((OFFSET(D544,-R544,0,R544,1)-U544-T544*OFFSET(E544,-R544,0,R544,1)-S544*OFFSET(F544,-R544,0,R544,1))^2)/(R544-3)),"")</f>
        <v>0.00228620301305215</v>
      </c>
      <c r="W544" s="31" t="n">
        <f aca="false">IF(AND(F544&gt;=1,R544&gt;=Inputs!$B$10),(D544-U544-T544*E544-S544*F544)/V544,"")</f>
        <v>-0.738454429216274</v>
      </c>
      <c r="X544" s="30" t="n">
        <f aca="false">IF(AB543&lt;&gt;0,AC543+1,0)</f>
        <v>0</v>
      </c>
      <c r="Y544" s="30" t="n">
        <f aca="false">IF(W544="",0,IF(AND(AB543&lt;&gt;0,OR(ABS(W544)&gt;Inputs!$B$7,X544&gt;=Inputs!$B$8,ABS(W544)&lt;Inputs!$B$6)),1,0))</f>
        <v>0</v>
      </c>
      <c r="Z544" s="30" t="n">
        <f aca="false">IF(Y544=1,0,AB543)</f>
        <v>0</v>
      </c>
      <c r="AA544" s="30" t="n">
        <f aca="false">IF(W544="",0,IF(AND(Z544=0,ABS(W544)&gt;Inputs!$B$5,ABS(W544)&lt;=Inputs!$B$7),1,0))</f>
        <v>0</v>
      </c>
      <c r="AB544" s="30" t="n">
        <f aca="false">IF(W544="",0,IF(AA544=1,-SIGN(W544),Z544))</f>
        <v>0</v>
      </c>
      <c r="AC544" s="30" t="n">
        <f aca="false">IF(W544="",0,IF(AA544=1,0,IF(Y544=1,0,X544)))</f>
        <v>0</v>
      </c>
      <c r="AD544" s="30" t="n">
        <f aca="false">IF(AB544=0,0,IF(AB543=AB544,AD543,T544))</f>
        <v>0</v>
      </c>
      <c r="AE544" s="30" t="n">
        <f aca="false">AB544-AB543</f>
        <v>0</v>
      </c>
      <c r="AF544" s="30" t="n">
        <f aca="false">-AD544*AB544</f>
        <v>-0</v>
      </c>
      <c r="AG544" s="30" t="n">
        <f aca="false">AF544-AF543</f>
        <v>0</v>
      </c>
      <c r="AH544" s="30" t="n">
        <f aca="false">MAX(AE544,0)*(Inputs!$B$17+Inputs!$B$18+Inputs!$B$19)+MAX(-AE544,0)*(O544+Inputs!$B$18+Inputs!$B$19)+IF(AND(K544=1,AB544&lt;&gt;0),(Inputs!$B$17+Inputs!$B$18+Inputs!$B$19)+(O544+Inputs!$B$18+Inputs!$B$19),0)+MAX(AG544,0)*(Inputs!$B$20+Inputs!$B$22+Inputs!$B$23)+MAX(-AG544,0)*(Inputs!$B$21+Inputs!$B$22+Inputs!$B$23)</f>
        <v>0</v>
      </c>
      <c r="AI544" s="30" t="n">
        <f aca="false">AB543*(M544-AD543*J544)+AB543*AD543*N544/Inputs!$B$16-AH544</f>
        <v>0</v>
      </c>
      <c r="AJ544" s="30" t="n">
        <f aca="false">MAX(AE544,0)*(Inputs!$B$17+Inputs!$B$24+Inputs!$B$25)+MAX(-AE544,0)*(O544+Inputs!$B$24+Inputs!$B$25)+IF(AND(K544=1,AB544&lt;&gt;0),(Inputs!$B$17+Inputs!$B$24+Inputs!$B$25)+(O544+Inputs!$B$24+Inputs!$B$25),0)+MAX(AG544,0)*(Inputs!$B$20+Inputs!$B$26+Inputs!$B$27)+MAX(-AG544,0)*(Inputs!$B$21+Inputs!$B$26+Inputs!$B$27)</f>
        <v>0</v>
      </c>
      <c r="AK544" s="30" t="n">
        <f aca="false">AB543*(M544-AD543*J544)+AB543*AD543*(N544+Inputs!$B$14)/Inputs!$B$16-AJ544</f>
        <v>0</v>
      </c>
      <c r="AL544" s="30" t="n">
        <f aca="false">IF(AP543&lt;&gt;0,AQ543+1,0)</f>
        <v>0</v>
      </c>
      <c r="AM544" s="30" t="n">
        <f aca="false">IF(W544="",0,IF(AND(AP543&lt;&gt;0,OR(ABS(W544)&gt;Inputs!$B$7,AL544&gt;=Inputs!$B$8,ABS(W544)&lt;Inputs!$B$6)),1,0))</f>
        <v>0</v>
      </c>
      <c r="AN544" s="30" t="n">
        <f aca="false">IF(AM544=1,0,AP543)</f>
        <v>0</v>
      </c>
      <c r="AO544" s="30" t="n">
        <f aca="false">IF(W544="",0,IF(AND(AN544=0,ABS(W544)&gt;Inputs!$B$5,ABS(W544)&lt;=Inputs!$B$7,W544&gt;0),1,0))</f>
        <v>0</v>
      </c>
      <c r="AP544" s="30" t="n">
        <f aca="false">IF(W544="",0,IF(AO544=1,-SIGN(W544),AN544))</f>
        <v>0</v>
      </c>
      <c r="AQ544" s="30" t="n">
        <f aca="false">IF(W544="",0,IF(AO544=1,0,IF(AM544=1,0,AL544)))</f>
        <v>0</v>
      </c>
      <c r="AR544" s="30" t="n">
        <f aca="false">IF(AP544=0,0,IF(AP543=AP544,AR543,T544))</f>
        <v>0</v>
      </c>
      <c r="AS544" s="30" t="n">
        <f aca="false">AP544-AP543</f>
        <v>0</v>
      </c>
      <c r="AT544" s="30" t="n">
        <f aca="false">-AR544*AP544</f>
        <v>-0</v>
      </c>
      <c r="AU544" s="30" t="n">
        <f aca="false">AT544-AT543</f>
        <v>0</v>
      </c>
      <c r="AV544" s="30" t="n">
        <f aca="false">MAX(AS544,0)*(Inputs!$B$17+Inputs!$B$18+Inputs!$B$19)+MAX(-AS544,0)*(O544+Inputs!$B$18+Inputs!$B$19)+IF(AND(K544=1,AP544&lt;&gt;0),(Inputs!$B$17+Inputs!$B$18+Inputs!$B$19)+(O544+Inputs!$B$18+Inputs!$B$19),0)+MAX(AU544,0)*(Inputs!$B$20+Inputs!$B$22+Inputs!$B$23)+MAX(-AU544,0)*(Inputs!$B$21+Inputs!$B$22+Inputs!$B$23)</f>
        <v>0</v>
      </c>
      <c r="AW544" s="30" t="n">
        <f aca="false">AP543*(M544-AR543*J544)+AP543*AR543*N544/Inputs!$B$16-AV544</f>
        <v>0</v>
      </c>
      <c r="AX544" s="30" t="n">
        <f aca="false">AW544-IF(AP543&lt;&gt;0,0.75*AR543*(Inputs!$B$13-N544)/Inputs!$B$16,0)</f>
        <v>0</v>
      </c>
      <c r="AY544" s="30" t="n">
        <f aca="false">MAX(AS544,0)*(Inputs!$B$17+Inputs!$B$18+Inputs!$B$19)+MAX(-AS544,0)*(O544+Inputs!$B$18+Inputs!$B$19)+IF(AND(K544=1,AP544&lt;&gt;0),(Inputs!$B$17+Inputs!$B$18+Inputs!$B$19)+(O544+Inputs!$B$18+Inputs!$B$19),0)</f>
        <v>0</v>
      </c>
      <c r="AZ544" s="30" t="n">
        <f aca="false">AP543*M544-AY544</f>
        <v>-0</v>
      </c>
      <c r="BA544" s="32" t="n">
        <f aca="false">BA543+AI544</f>
        <v>0.00811513694847867</v>
      </c>
      <c r="BB544" s="30" t="n">
        <f aca="false">MAX(BB543,BA544)</f>
        <v>0.00951432838063029</v>
      </c>
      <c r="BC544" s="32" t="n">
        <f aca="false">BA544-BB544</f>
        <v>-0.00139919143215162</v>
      </c>
      <c r="BD544" s="30" t="n">
        <f aca="false">A545-A544</f>
        <v>1</v>
      </c>
    </row>
    <row r="545" customFormat="false" ht="15" hidden="false" customHeight="false" outlineLevel="0" collapsed="false">
      <c r="A545" s="28" t="n">
        <v>45842</v>
      </c>
      <c r="B545" s="0" t="n">
        <v>25545.6</v>
      </c>
      <c r="C545" s="0" t="n">
        <v>286.45</v>
      </c>
      <c r="D545" s="29" t="n">
        <f aca="false">LN(B545)</f>
        <v>10.1482203694515</v>
      </c>
      <c r="E545" s="29" t="n">
        <f aca="false">LN(C545)</f>
        <v>5.65756400085459</v>
      </c>
      <c r="F545" s="0" t="n">
        <v>540</v>
      </c>
      <c r="G545" s="0" t="n">
        <v>27</v>
      </c>
      <c r="H545" s="29" t="n">
        <f aca="false">D545-E545</f>
        <v>4.49065636859689</v>
      </c>
      <c r="I545" s="29" t="n">
        <f aca="false">D545-D544</f>
        <v>0.00174742338760225</v>
      </c>
      <c r="J545" s="29" t="n">
        <f aca="false">E545-E544</f>
        <v>0.0023417168137625</v>
      </c>
      <c r="K545" s="0" t="n">
        <v>0</v>
      </c>
      <c r="L545" s="0" t="n">
        <v>0</v>
      </c>
      <c r="M545" s="29" t="n">
        <f aca="false">IF(L545=1,J545-Carry!$B$9/Inputs!$B$16,I545)</f>
        <v>0.00174742338760225</v>
      </c>
      <c r="N545" s="0" t="n">
        <v>0.055</v>
      </c>
      <c r="O545" s="0" t="n">
        <v>0.0002</v>
      </c>
      <c r="P545" s="29" t="n">
        <f aca="false">D545-('2 Hedge ratio'!$B$6+'2 Hedge ratio'!$B$5*E545)</f>
        <v>0.00335451476946602</v>
      </c>
      <c r="Q545" s="29" t="n">
        <f aca="false">D545-('5 Re-specification'!$B$7+'5 Re-specification'!$B$5*E545+'5 Re-specification'!$B$6*F545)</f>
        <v>0.000862427245730046</v>
      </c>
      <c r="R545" s="30" t="n">
        <f aca="false">MIN(F545,Inputs!$B$9)</f>
        <v>250</v>
      </c>
      <c r="S545" s="29" t="n">
        <f aca="true">IF(AND(F545&gt;=1,R545&gt;=Inputs!$B$10),INDEX(LINEST(OFFSET(D545,-R545,0,R545,1),OFFSET(E545,-R545,0,R545,2)),1,1),"")</f>
        <v>-2.57851624646614E-005</v>
      </c>
      <c r="T545" s="29" t="n">
        <f aca="true">IF(AND(F545&gt;=1,R545&gt;=Inputs!$B$10),INDEX(LINEST(OFFSET(D545,-R545,0,R545,1),OFFSET(E545,-R545,0,R545,2)),1,2),"")</f>
        <v>1.00997861436998</v>
      </c>
      <c r="U545" s="29" t="n">
        <f aca="true">IF(AND(F545&gt;=1,R545&gt;=Inputs!$B$10),INDEX(LINEST(OFFSET(D545,-R545,0,R545,1),OFFSET(E545,-R545,0,R545,2)),1,3),"")</f>
        <v>4.45039504523979</v>
      </c>
      <c r="V545" s="29" t="n">
        <f aca="true">IF(AND(F545&gt;=1,R545&gt;=Inputs!$B$10),SQRT(SUMPRODUCT((OFFSET(D545,-R545,0,R545,1)-U545-T545*OFFSET(E545,-R545,0,R545,1)-S545*OFFSET(F545,-R545,0,R545,1))^2)/(R545-3)),"")</f>
        <v>0.0022790888982374</v>
      </c>
      <c r="W545" s="31" t="n">
        <f aca="false">IF(AND(F545&gt;=1,R545&gt;=Inputs!$B$10),(D545-U545-T545*E545-S545*F545)/V545,"")</f>
        <v>-0.995721734126915</v>
      </c>
      <c r="X545" s="30" t="n">
        <f aca="false">IF(AB544&lt;&gt;0,AC544+1,0)</f>
        <v>0</v>
      </c>
      <c r="Y545" s="30" t="n">
        <f aca="false">IF(W545="",0,IF(AND(AB544&lt;&gt;0,OR(ABS(W545)&gt;Inputs!$B$7,X545&gt;=Inputs!$B$8,ABS(W545)&lt;Inputs!$B$6)),1,0))</f>
        <v>0</v>
      </c>
      <c r="Z545" s="30" t="n">
        <f aca="false">IF(Y545=1,0,AB544)</f>
        <v>0</v>
      </c>
      <c r="AA545" s="30" t="n">
        <f aca="false">IF(W545="",0,IF(AND(Z545=0,ABS(W545)&gt;Inputs!$B$5,ABS(W545)&lt;=Inputs!$B$7),1,0))</f>
        <v>0</v>
      </c>
      <c r="AB545" s="30" t="n">
        <f aca="false">IF(W545="",0,IF(AA545=1,-SIGN(W545),Z545))</f>
        <v>0</v>
      </c>
      <c r="AC545" s="30" t="n">
        <f aca="false">IF(W545="",0,IF(AA545=1,0,IF(Y545=1,0,X545)))</f>
        <v>0</v>
      </c>
      <c r="AD545" s="30" t="n">
        <f aca="false">IF(AB545=0,0,IF(AB544=AB545,AD544,T545))</f>
        <v>0</v>
      </c>
      <c r="AE545" s="30" t="n">
        <f aca="false">AB545-AB544</f>
        <v>0</v>
      </c>
      <c r="AF545" s="30" t="n">
        <f aca="false">-AD545*AB545</f>
        <v>-0</v>
      </c>
      <c r="AG545" s="30" t="n">
        <f aca="false">AF545-AF544</f>
        <v>0</v>
      </c>
      <c r="AH545" s="30" t="n">
        <f aca="false">MAX(AE545,0)*(Inputs!$B$17+Inputs!$B$18+Inputs!$B$19)+MAX(-AE545,0)*(O545+Inputs!$B$18+Inputs!$B$19)+IF(AND(K545=1,AB545&lt;&gt;0),(Inputs!$B$17+Inputs!$B$18+Inputs!$B$19)+(O545+Inputs!$B$18+Inputs!$B$19),0)+MAX(AG545,0)*(Inputs!$B$20+Inputs!$B$22+Inputs!$B$23)+MAX(-AG545,0)*(Inputs!$B$21+Inputs!$B$22+Inputs!$B$23)</f>
        <v>0</v>
      </c>
      <c r="AI545" s="30" t="n">
        <f aca="false">AB544*(M545-AD544*J545)+AB544*AD544*N545/Inputs!$B$16-AH545</f>
        <v>0</v>
      </c>
      <c r="AJ545" s="30" t="n">
        <f aca="false">MAX(AE545,0)*(Inputs!$B$17+Inputs!$B$24+Inputs!$B$25)+MAX(-AE545,0)*(O545+Inputs!$B$24+Inputs!$B$25)+IF(AND(K545=1,AB545&lt;&gt;0),(Inputs!$B$17+Inputs!$B$24+Inputs!$B$25)+(O545+Inputs!$B$24+Inputs!$B$25),0)+MAX(AG545,0)*(Inputs!$B$20+Inputs!$B$26+Inputs!$B$27)+MAX(-AG545,0)*(Inputs!$B$21+Inputs!$B$26+Inputs!$B$27)</f>
        <v>0</v>
      </c>
      <c r="AK545" s="30" t="n">
        <f aca="false">AB544*(M545-AD544*J545)+AB544*AD544*(N545+Inputs!$B$14)/Inputs!$B$16-AJ545</f>
        <v>0</v>
      </c>
      <c r="AL545" s="30" t="n">
        <f aca="false">IF(AP544&lt;&gt;0,AQ544+1,0)</f>
        <v>0</v>
      </c>
      <c r="AM545" s="30" t="n">
        <f aca="false">IF(W545="",0,IF(AND(AP544&lt;&gt;0,OR(ABS(W545)&gt;Inputs!$B$7,AL545&gt;=Inputs!$B$8,ABS(W545)&lt;Inputs!$B$6)),1,0))</f>
        <v>0</v>
      </c>
      <c r="AN545" s="30" t="n">
        <f aca="false">IF(AM545=1,0,AP544)</f>
        <v>0</v>
      </c>
      <c r="AO545" s="30" t="n">
        <f aca="false">IF(W545="",0,IF(AND(AN545=0,ABS(W545)&gt;Inputs!$B$5,ABS(W545)&lt;=Inputs!$B$7,W545&gt;0),1,0))</f>
        <v>0</v>
      </c>
      <c r="AP545" s="30" t="n">
        <f aca="false">IF(W545="",0,IF(AO545=1,-SIGN(W545),AN545))</f>
        <v>0</v>
      </c>
      <c r="AQ545" s="30" t="n">
        <f aca="false">IF(W545="",0,IF(AO545=1,0,IF(AM545=1,0,AL545)))</f>
        <v>0</v>
      </c>
      <c r="AR545" s="30" t="n">
        <f aca="false">IF(AP545=0,0,IF(AP544=AP545,AR544,T545))</f>
        <v>0</v>
      </c>
      <c r="AS545" s="30" t="n">
        <f aca="false">AP545-AP544</f>
        <v>0</v>
      </c>
      <c r="AT545" s="30" t="n">
        <f aca="false">-AR545*AP545</f>
        <v>-0</v>
      </c>
      <c r="AU545" s="30" t="n">
        <f aca="false">AT545-AT544</f>
        <v>0</v>
      </c>
      <c r="AV545" s="30" t="n">
        <f aca="false">MAX(AS545,0)*(Inputs!$B$17+Inputs!$B$18+Inputs!$B$19)+MAX(-AS545,0)*(O545+Inputs!$B$18+Inputs!$B$19)+IF(AND(K545=1,AP545&lt;&gt;0),(Inputs!$B$17+Inputs!$B$18+Inputs!$B$19)+(O545+Inputs!$B$18+Inputs!$B$19),0)+MAX(AU545,0)*(Inputs!$B$20+Inputs!$B$22+Inputs!$B$23)+MAX(-AU545,0)*(Inputs!$B$21+Inputs!$B$22+Inputs!$B$23)</f>
        <v>0</v>
      </c>
      <c r="AW545" s="30" t="n">
        <f aca="false">AP544*(M545-AR544*J545)+AP544*AR544*N545/Inputs!$B$16-AV545</f>
        <v>0</v>
      </c>
      <c r="AX545" s="30" t="n">
        <f aca="false">AW545-IF(AP544&lt;&gt;0,0.75*AR544*(Inputs!$B$13-N545)/Inputs!$B$16,0)</f>
        <v>0</v>
      </c>
      <c r="AY545" s="30" t="n">
        <f aca="false">MAX(AS545,0)*(Inputs!$B$17+Inputs!$B$18+Inputs!$B$19)+MAX(-AS545,0)*(O545+Inputs!$B$18+Inputs!$B$19)+IF(AND(K545=1,AP545&lt;&gt;0),(Inputs!$B$17+Inputs!$B$18+Inputs!$B$19)+(O545+Inputs!$B$18+Inputs!$B$19),0)</f>
        <v>0</v>
      </c>
      <c r="AZ545" s="30" t="n">
        <f aca="false">AP544*M545-AY545</f>
        <v>0</v>
      </c>
      <c r="BA545" s="32" t="n">
        <f aca="false">BA544+AI545</f>
        <v>0.00811513694847867</v>
      </c>
      <c r="BB545" s="30" t="n">
        <f aca="false">MAX(BB544,BA545)</f>
        <v>0.00951432838063029</v>
      </c>
      <c r="BC545" s="32" t="n">
        <f aca="false">BA545-BB545</f>
        <v>-0.00139919143215162</v>
      </c>
      <c r="BD545" s="30" t="n">
        <f aca="false">A546-A545</f>
        <v>3</v>
      </c>
    </row>
    <row r="546" customFormat="false" ht="15" hidden="false" customHeight="false" outlineLevel="0" collapsed="false">
      <c r="A546" s="28" t="n">
        <v>45845</v>
      </c>
      <c r="B546" s="0" t="n">
        <v>25541.1</v>
      </c>
      <c r="C546" s="0" t="n">
        <v>286.22</v>
      </c>
      <c r="D546" s="29" t="n">
        <f aca="false">LN(B546)</f>
        <v>10.1480441983537</v>
      </c>
      <c r="E546" s="29" t="n">
        <f aca="false">LN(C546)</f>
        <v>5.65676074588273</v>
      </c>
      <c r="F546" s="0" t="n">
        <v>541</v>
      </c>
      <c r="G546" s="0" t="n">
        <v>24</v>
      </c>
      <c r="H546" s="29" t="n">
        <f aca="false">D546-E546</f>
        <v>4.49128345247092</v>
      </c>
      <c r="I546" s="29" t="n">
        <f aca="false">D546-D545</f>
        <v>-0.000176171097825417</v>
      </c>
      <c r="J546" s="29" t="n">
        <f aca="false">E546-E545</f>
        <v>-0.000803254971856404</v>
      </c>
      <c r="K546" s="0" t="n">
        <v>0</v>
      </c>
      <c r="L546" s="0" t="n">
        <v>0</v>
      </c>
      <c r="M546" s="29" t="n">
        <f aca="false">IF(L546=1,J546-Carry!$B$9/Inputs!$B$16,I546)</f>
        <v>-0.000176171097825417</v>
      </c>
      <c r="N546" s="0" t="n">
        <v>0.055</v>
      </c>
      <c r="O546" s="0" t="n">
        <v>0.0002</v>
      </c>
      <c r="P546" s="29" t="n">
        <f aca="false">D546-('2 Hedge ratio'!$B$6+'2 Hedge ratio'!$B$5*E546)</f>
        <v>0.00391422704585587</v>
      </c>
      <c r="Q546" s="29" t="n">
        <f aca="false">D546-('5 Re-specification'!$B$7+'5 Re-specification'!$B$5*E546+'5 Re-specification'!$B$6*F546)</f>
        <v>0.00153200617364924</v>
      </c>
      <c r="R546" s="30" t="n">
        <f aca="false">MIN(F546,Inputs!$B$9)</f>
        <v>250</v>
      </c>
      <c r="S546" s="29" t="n">
        <f aca="true">IF(AND(F546&gt;=1,R546&gt;=Inputs!$B$10),INDEX(LINEST(OFFSET(D546,-R546,0,R546,1),OFFSET(E546,-R546,0,R546,2)),1,1),"")</f>
        <v>-2.59790298870521E-005</v>
      </c>
      <c r="T546" s="29" t="n">
        <f aca="true">IF(AND(F546&gt;=1,R546&gt;=Inputs!$B$10),INDEX(LINEST(OFFSET(D546,-R546,0,R546,1),OFFSET(E546,-R546,0,R546,2)),1,2),"")</f>
        <v>1.00952369599016</v>
      </c>
      <c r="U546" s="29" t="n">
        <f aca="true">IF(AND(F546&gt;=1,R546&gt;=Inputs!$B$10),INDEX(LINEST(OFFSET(D546,-R546,0,R546,1),OFFSET(E546,-R546,0,R546,2)),1,3),"")</f>
        <v>4.45301174815897</v>
      </c>
      <c r="V546" s="29" t="n">
        <f aca="true">IF(AND(F546&gt;=1,R546&gt;=Inputs!$B$10),SQRT(SUMPRODUCT((OFFSET(D546,-R546,0,R546,1)-U546-T546*OFFSET(E546,-R546,0,R546,1)-S546*OFFSET(F546,-R546,0,R546,1))^2)/(R546-3)),"")</f>
        <v>0.00228314756405536</v>
      </c>
      <c r="W546" s="31" t="n">
        <f aca="false">IF(AND(F546&gt;=1,R546&gt;=Inputs!$B$10),(D546-U546-T546*E546-S546*F546)/V546,"")</f>
        <v>-0.677534022060076</v>
      </c>
      <c r="X546" s="30" t="n">
        <f aca="false">IF(AB545&lt;&gt;0,AC545+1,0)</f>
        <v>0</v>
      </c>
      <c r="Y546" s="30" t="n">
        <f aca="false">IF(W546="",0,IF(AND(AB545&lt;&gt;0,OR(ABS(W546)&gt;Inputs!$B$7,X546&gt;=Inputs!$B$8,ABS(W546)&lt;Inputs!$B$6)),1,0))</f>
        <v>0</v>
      </c>
      <c r="Z546" s="30" t="n">
        <f aca="false">IF(Y546=1,0,AB545)</f>
        <v>0</v>
      </c>
      <c r="AA546" s="30" t="n">
        <f aca="false">IF(W546="",0,IF(AND(Z546=0,ABS(W546)&gt;Inputs!$B$5,ABS(W546)&lt;=Inputs!$B$7),1,0))</f>
        <v>0</v>
      </c>
      <c r="AB546" s="30" t="n">
        <f aca="false">IF(W546="",0,IF(AA546=1,-SIGN(W546),Z546))</f>
        <v>0</v>
      </c>
      <c r="AC546" s="30" t="n">
        <f aca="false">IF(W546="",0,IF(AA546=1,0,IF(Y546=1,0,X546)))</f>
        <v>0</v>
      </c>
      <c r="AD546" s="30" t="n">
        <f aca="false">IF(AB546=0,0,IF(AB545=AB546,AD545,T546))</f>
        <v>0</v>
      </c>
      <c r="AE546" s="30" t="n">
        <f aca="false">AB546-AB545</f>
        <v>0</v>
      </c>
      <c r="AF546" s="30" t="n">
        <f aca="false">-AD546*AB546</f>
        <v>-0</v>
      </c>
      <c r="AG546" s="30" t="n">
        <f aca="false">AF546-AF545</f>
        <v>0</v>
      </c>
      <c r="AH546" s="30" t="n">
        <f aca="false">MAX(AE546,0)*(Inputs!$B$17+Inputs!$B$18+Inputs!$B$19)+MAX(-AE546,0)*(O546+Inputs!$B$18+Inputs!$B$19)+IF(AND(K546=1,AB546&lt;&gt;0),(Inputs!$B$17+Inputs!$B$18+Inputs!$B$19)+(O546+Inputs!$B$18+Inputs!$B$19),0)+MAX(AG546,0)*(Inputs!$B$20+Inputs!$B$22+Inputs!$B$23)+MAX(-AG546,0)*(Inputs!$B$21+Inputs!$B$22+Inputs!$B$23)</f>
        <v>0</v>
      </c>
      <c r="AI546" s="30" t="n">
        <f aca="false">AB545*(M546-AD545*J546)+AB545*AD545*N546/Inputs!$B$16-AH546</f>
        <v>0</v>
      </c>
      <c r="AJ546" s="30" t="n">
        <f aca="false">MAX(AE546,0)*(Inputs!$B$17+Inputs!$B$24+Inputs!$B$25)+MAX(-AE546,0)*(O546+Inputs!$B$24+Inputs!$B$25)+IF(AND(K546=1,AB546&lt;&gt;0),(Inputs!$B$17+Inputs!$B$24+Inputs!$B$25)+(O546+Inputs!$B$24+Inputs!$B$25),0)+MAX(AG546,0)*(Inputs!$B$20+Inputs!$B$26+Inputs!$B$27)+MAX(-AG546,0)*(Inputs!$B$21+Inputs!$B$26+Inputs!$B$27)</f>
        <v>0</v>
      </c>
      <c r="AK546" s="30" t="n">
        <f aca="false">AB545*(M546-AD545*J546)+AB545*AD545*(N546+Inputs!$B$14)/Inputs!$B$16-AJ546</f>
        <v>0</v>
      </c>
      <c r="AL546" s="30" t="n">
        <f aca="false">IF(AP545&lt;&gt;0,AQ545+1,0)</f>
        <v>0</v>
      </c>
      <c r="AM546" s="30" t="n">
        <f aca="false">IF(W546="",0,IF(AND(AP545&lt;&gt;0,OR(ABS(W546)&gt;Inputs!$B$7,AL546&gt;=Inputs!$B$8,ABS(W546)&lt;Inputs!$B$6)),1,0))</f>
        <v>0</v>
      </c>
      <c r="AN546" s="30" t="n">
        <f aca="false">IF(AM546=1,0,AP545)</f>
        <v>0</v>
      </c>
      <c r="AO546" s="30" t="n">
        <f aca="false">IF(W546="",0,IF(AND(AN546=0,ABS(W546)&gt;Inputs!$B$5,ABS(W546)&lt;=Inputs!$B$7,W546&gt;0),1,0))</f>
        <v>0</v>
      </c>
      <c r="AP546" s="30" t="n">
        <f aca="false">IF(W546="",0,IF(AO546=1,-SIGN(W546),AN546))</f>
        <v>0</v>
      </c>
      <c r="AQ546" s="30" t="n">
        <f aca="false">IF(W546="",0,IF(AO546=1,0,IF(AM546=1,0,AL546)))</f>
        <v>0</v>
      </c>
      <c r="AR546" s="30" t="n">
        <f aca="false">IF(AP546=0,0,IF(AP545=AP546,AR545,T546))</f>
        <v>0</v>
      </c>
      <c r="AS546" s="30" t="n">
        <f aca="false">AP546-AP545</f>
        <v>0</v>
      </c>
      <c r="AT546" s="30" t="n">
        <f aca="false">-AR546*AP546</f>
        <v>-0</v>
      </c>
      <c r="AU546" s="30" t="n">
        <f aca="false">AT546-AT545</f>
        <v>0</v>
      </c>
      <c r="AV546" s="30" t="n">
        <f aca="false">MAX(AS546,0)*(Inputs!$B$17+Inputs!$B$18+Inputs!$B$19)+MAX(-AS546,0)*(O546+Inputs!$B$18+Inputs!$B$19)+IF(AND(K546=1,AP546&lt;&gt;0),(Inputs!$B$17+Inputs!$B$18+Inputs!$B$19)+(O546+Inputs!$B$18+Inputs!$B$19),0)+MAX(AU546,0)*(Inputs!$B$20+Inputs!$B$22+Inputs!$B$23)+MAX(-AU546,0)*(Inputs!$B$21+Inputs!$B$22+Inputs!$B$23)</f>
        <v>0</v>
      </c>
      <c r="AW546" s="30" t="n">
        <f aca="false">AP545*(M546-AR545*J546)+AP545*AR545*N546/Inputs!$B$16-AV546</f>
        <v>0</v>
      </c>
      <c r="AX546" s="30" t="n">
        <f aca="false">AW546-IF(AP545&lt;&gt;0,0.75*AR545*(Inputs!$B$13-N546)/Inputs!$B$16,0)</f>
        <v>0</v>
      </c>
      <c r="AY546" s="30" t="n">
        <f aca="false">MAX(AS546,0)*(Inputs!$B$17+Inputs!$B$18+Inputs!$B$19)+MAX(-AS546,0)*(O546+Inputs!$B$18+Inputs!$B$19)+IF(AND(K546=1,AP546&lt;&gt;0),(Inputs!$B$17+Inputs!$B$18+Inputs!$B$19)+(O546+Inputs!$B$18+Inputs!$B$19),0)</f>
        <v>0</v>
      </c>
      <c r="AZ546" s="30" t="n">
        <f aca="false">AP545*M546-AY546</f>
        <v>-0</v>
      </c>
      <c r="BA546" s="32" t="n">
        <f aca="false">BA545+AI546</f>
        <v>0.00811513694847867</v>
      </c>
      <c r="BB546" s="30" t="n">
        <f aca="false">MAX(BB545,BA546)</f>
        <v>0.00951432838063029</v>
      </c>
      <c r="BC546" s="32" t="n">
        <f aca="false">BA546-BB546</f>
        <v>-0.00139919143215162</v>
      </c>
      <c r="BD546" s="30" t="n">
        <f aca="false">A547-A546</f>
        <v>1</v>
      </c>
    </row>
    <row r="547" customFormat="false" ht="15" hidden="false" customHeight="false" outlineLevel="0" collapsed="false">
      <c r="A547" s="28" t="n">
        <v>45846</v>
      </c>
      <c r="B547" s="0" t="n">
        <v>25623</v>
      </c>
      <c r="C547" s="0" t="n">
        <v>287.16</v>
      </c>
      <c r="D547" s="29" t="n">
        <f aca="false">LN(B547)</f>
        <v>10.1512456646143</v>
      </c>
      <c r="E547" s="29" t="n">
        <f aca="false">LN(C547)</f>
        <v>5.66003955170828</v>
      </c>
      <c r="F547" s="0" t="n">
        <v>542</v>
      </c>
      <c r="G547" s="0" t="n">
        <v>23</v>
      </c>
      <c r="H547" s="29" t="n">
        <f aca="false">D547-E547</f>
        <v>4.49120611290597</v>
      </c>
      <c r="I547" s="29" t="n">
        <f aca="false">D547-D546</f>
        <v>0.00320146626060236</v>
      </c>
      <c r="J547" s="29" t="n">
        <f aca="false">E547-E546</f>
        <v>0.00327880582555196</v>
      </c>
      <c r="K547" s="0" t="n">
        <v>0</v>
      </c>
      <c r="L547" s="0" t="n">
        <v>0</v>
      </c>
      <c r="M547" s="29" t="n">
        <f aca="false">IF(L547=1,J547-Carry!$B$9/Inputs!$B$16,I547)</f>
        <v>0.00320146626060236</v>
      </c>
      <c r="N547" s="0" t="n">
        <v>0.055</v>
      </c>
      <c r="O547" s="0" t="n">
        <v>0.0002</v>
      </c>
      <c r="P547" s="29" t="n">
        <f aca="false">D547-('2 Hedge ratio'!$B$6+'2 Hedge ratio'!$B$5*E547)</f>
        <v>0.00411189155129499</v>
      </c>
      <c r="Q547" s="29" t="n">
        <f aca="false">D547-('5 Re-specification'!$B$7+'5 Re-specification'!$B$5*E547+'5 Re-specification'!$B$6*F547)</f>
        <v>0.00150953234792084</v>
      </c>
      <c r="R547" s="30" t="n">
        <f aca="false">MIN(F547,Inputs!$B$9)</f>
        <v>250</v>
      </c>
      <c r="S547" s="29" t="n">
        <f aca="true">IF(AND(F547&gt;=1,R547&gt;=Inputs!$B$10),INDEX(LINEST(OFFSET(D547,-R547,0,R547,1),OFFSET(E547,-R547,0,R547,2)),1,1),"")</f>
        <v>-2.59108881915272E-005</v>
      </c>
      <c r="T547" s="29" t="n">
        <f aca="true">IF(AND(F547&gt;=1,R547&gt;=Inputs!$B$10),INDEX(LINEST(OFFSET(D547,-R547,0,R547,1),OFFSET(E547,-R547,0,R547,2)),1,2),"")</f>
        <v>1.00929415884776</v>
      </c>
      <c r="U547" s="29" t="n">
        <f aca="true">IF(AND(F547&gt;=1,R547&gt;=Inputs!$B$10),INDEX(LINEST(OFFSET(D547,-R547,0,R547,1),OFFSET(E547,-R547,0,R547,2)),1,3),"")</f>
        <v>4.45425303994747</v>
      </c>
      <c r="V547" s="29" t="n">
        <f aca="true">IF(AND(F547&gt;=1,R547&gt;=Inputs!$B$10),SQRT(SUMPRODUCT((OFFSET(D547,-R547,0,R547,1)-U547-T547*OFFSET(E547,-R547,0,R547,1)-S547*OFFSET(F547,-R547,0,R547,1))^2)/(R547-3)),"")</f>
        <v>0.00227988573968994</v>
      </c>
      <c r="W547" s="31" t="n">
        <f aca="false">IF(AND(F547&gt;=1,R547&gt;=Inputs!$B$10),(D547-U547-T547*E547-S547*F547)/V547,"")</f>
        <v>-0.705531988670702</v>
      </c>
      <c r="X547" s="30" t="n">
        <f aca="false">IF(AB546&lt;&gt;0,AC546+1,0)</f>
        <v>0</v>
      </c>
      <c r="Y547" s="30" t="n">
        <f aca="false">IF(W547="",0,IF(AND(AB546&lt;&gt;0,OR(ABS(W547)&gt;Inputs!$B$7,X547&gt;=Inputs!$B$8,ABS(W547)&lt;Inputs!$B$6)),1,0))</f>
        <v>0</v>
      </c>
      <c r="Z547" s="30" t="n">
        <f aca="false">IF(Y547=1,0,AB546)</f>
        <v>0</v>
      </c>
      <c r="AA547" s="30" t="n">
        <f aca="false">IF(W547="",0,IF(AND(Z547=0,ABS(W547)&gt;Inputs!$B$5,ABS(W547)&lt;=Inputs!$B$7),1,0))</f>
        <v>0</v>
      </c>
      <c r="AB547" s="30" t="n">
        <f aca="false">IF(W547="",0,IF(AA547=1,-SIGN(W547),Z547))</f>
        <v>0</v>
      </c>
      <c r="AC547" s="30" t="n">
        <f aca="false">IF(W547="",0,IF(AA547=1,0,IF(Y547=1,0,X547)))</f>
        <v>0</v>
      </c>
      <c r="AD547" s="30" t="n">
        <f aca="false">IF(AB547=0,0,IF(AB546=AB547,AD546,T547))</f>
        <v>0</v>
      </c>
      <c r="AE547" s="30" t="n">
        <f aca="false">AB547-AB546</f>
        <v>0</v>
      </c>
      <c r="AF547" s="30" t="n">
        <f aca="false">-AD547*AB547</f>
        <v>-0</v>
      </c>
      <c r="AG547" s="30" t="n">
        <f aca="false">AF547-AF546</f>
        <v>0</v>
      </c>
      <c r="AH547" s="30" t="n">
        <f aca="false">MAX(AE547,0)*(Inputs!$B$17+Inputs!$B$18+Inputs!$B$19)+MAX(-AE547,0)*(O547+Inputs!$B$18+Inputs!$B$19)+IF(AND(K547=1,AB547&lt;&gt;0),(Inputs!$B$17+Inputs!$B$18+Inputs!$B$19)+(O547+Inputs!$B$18+Inputs!$B$19),0)+MAX(AG547,0)*(Inputs!$B$20+Inputs!$B$22+Inputs!$B$23)+MAX(-AG547,0)*(Inputs!$B$21+Inputs!$B$22+Inputs!$B$23)</f>
        <v>0</v>
      </c>
      <c r="AI547" s="30" t="n">
        <f aca="false">AB546*(M547-AD546*J547)+AB546*AD546*N547/Inputs!$B$16-AH547</f>
        <v>0</v>
      </c>
      <c r="AJ547" s="30" t="n">
        <f aca="false">MAX(AE547,0)*(Inputs!$B$17+Inputs!$B$24+Inputs!$B$25)+MAX(-AE547,0)*(O547+Inputs!$B$24+Inputs!$B$25)+IF(AND(K547=1,AB547&lt;&gt;0),(Inputs!$B$17+Inputs!$B$24+Inputs!$B$25)+(O547+Inputs!$B$24+Inputs!$B$25),0)+MAX(AG547,0)*(Inputs!$B$20+Inputs!$B$26+Inputs!$B$27)+MAX(-AG547,0)*(Inputs!$B$21+Inputs!$B$26+Inputs!$B$27)</f>
        <v>0</v>
      </c>
      <c r="AK547" s="30" t="n">
        <f aca="false">AB546*(M547-AD546*J547)+AB546*AD546*(N547+Inputs!$B$14)/Inputs!$B$16-AJ547</f>
        <v>0</v>
      </c>
      <c r="AL547" s="30" t="n">
        <f aca="false">IF(AP546&lt;&gt;0,AQ546+1,0)</f>
        <v>0</v>
      </c>
      <c r="AM547" s="30" t="n">
        <f aca="false">IF(W547="",0,IF(AND(AP546&lt;&gt;0,OR(ABS(W547)&gt;Inputs!$B$7,AL547&gt;=Inputs!$B$8,ABS(W547)&lt;Inputs!$B$6)),1,0))</f>
        <v>0</v>
      </c>
      <c r="AN547" s="30" t="n">
        <f aca="false">IF(AM547=1,0,AP546)</f>
        <v>0</v>
      </c>
      <c r="AO547" s="30" t="n">
        <f aca="false">IF(W547="",0,IF(AND(AN547=0,ABS(W547)&gt;Inputs!$B$5,ABS(W547)&lt;=Inputs!$B$7,W547&gt;0),1,0))</f>
        <v>0</v>
      </c>
      <c r="AP547" s="30" t="n">
        <f aca="false">IF(W547="",0,IF(AO547=1,-SIGN(W547),AN547))</f>
        <v>0</v>
      </c>
      <c r="AQ547" s="30" t="n">
        <f aca="false">IF(W547="",0,IF(AO547=1,0,IF(AM547=1,0,AL547)))</f>
        <v>0</v>
      </c>
      <c r="AR547" s="30" t="n">
        <f aca="false">IF(AP547=0,0,IF(AP546=AP547,AR546,T547))</f>
        <v>0</v>
      </c>
      <c r="AS547" s="30" t="n">
        <f aca="false">AP547-AP546</f>
        <v>0</v>
      </c>
      <c r="AT547" s="30" t="n">
        <f aca="false">-AR547*AP547</f>
        <v>-0</v>
      </c>
      <c r="AU547" s="30" t="n">
        <f aca="false">AT547-AT546</f>
        <v>0</v>
      </c>
      <c r="AV547" s="30" t="n">
        <f aca="false">MAX(AS547,0)*(Inputs!$B$17+Inputs!$B$18+Inputs!$B$19)+MAX(-AS547,0)*(O547+Inputs!$B$18+Inputs!$B$19)+IF(AND(K547=1,AP547&lt;&gt;0),(Inputs!$B$17+Inputs!$B$18+Inputs!$B$19)+(O547+Inputs!$B$18+Inputs!$B$19),0)+MAX(AU547,0)*(Inputs!$B$20+Inputs!$B$22+Inputs!$B$23)+MAX(-AU547,0)*(Inputs!$B$21+Inputs!$B$22+Inputs!$B$23)</f>
        <v>0</v>
      </c>
      <c r="AW547" s="30" t="n">
        <f aca="false">AP546*(M547-AR546*J547)+AP546*AR546*N547/Inputs!$B$16-AV547</f>
        <v>0</v>
      </c>
      <c r="AX547" s="30" t="n">
        <f aca="false">AW547-IF(AP546&lt;&gt;0,0.75*AR546*(Inputs!$B$13-N547)/Inputs!$B$16,0)</f>
        <v>0</v>
      </c>
      <c r="AY547" s="30" t="n">
        <f aca="false">MAX(AS547,0)*(Inputs!$B$17+Inputs!$B$18+Inputs!$B$19)+MAX(-AS547,0)*(O547+Inputs!$B$18+Inputs!$B$19)+IF(AND(K547=1,AP547&lt;&gt;0),(Inputs!$B$17+Inputs!$B$18+Inputs!$B$19)+(O547+Inputs!$B$18+Inputs!$B$19),0)</f>
        <v>0</v>
      </c>
      <c r="AZ547" s="30" t="n">
        <f aca="false">AP546*M547-AY547</f>
        <v>0</v>
      </c>
      <c r="BA547" s="32" t="n">
        <f aca="false">BA546+AI547</f>
        <v>0.00811513694847867</v>
      </c>
      <c r="BB547" s="30" t="n">
        <f aca="false">MAX(BB546,BA547)</f>
        <v>0.00951432838063029</v>
      </c>
      <c r="BC547" s="32" t="n">
        <f aca="false">BA547-BB547</f>
        <v>-0.00139919143215162</v>
      </c>
      <c r="BD547" s="30" t="n">
        <f aca="false">A548-A547</f>
        <v>1</v>
      </c>
    </row>
    <row r="548" customFormat="false" ht="15" hidden="false" customHeight="false" outlineLevel="0" collapsed="false">
      <c r="A548" s="28" t="n">
        <v>45847</v>
      </c>
      <c r="B548" s="0" t="n">
        <v>25547</v>
      </c>
      <c r="C548" s="0" t="n">
        <v>286.56</v>
      </c>
      <c r="D548" s="29" t="n">
        <f aca="false">LN(B548)</f>
        <v>10.1482751719082</v>
      </c>
      <c r="E548" s="29" t="n">
        <f aca="false">LN(C548)</f>
        <v>5.6579479383124</v>
      </c>
      <c r="F548" s="0" t="n">
        <v>543</v>
      </c>
      <c r="G548" s="0" t="n">
        <v>22</v>
      </c>
      <c r="H548" s="29" t="n">
        <f aca="false">D548-E548</f>
        <v>4.49032723359581</v>
      </c>
      <c r="I548" s="29" t="n">
        <f aca="false">D548-D547</f>
        <v>-0.00297049270604788</v>
      </c>
      <c r="J548" s="29" t="n">
        <f aca="false">E548-E547</f>
        <v>-0.00209161339587993</v>
      </c>
      <c r="K548" s="0" t="n">
        <v>0</v>
      </c>
      <c r="L548" s="0" t="n">
        <v>0</v>
      </c>
      <c r="M548" s="29" t="n">
        <f aca="false">IF(L548=1,J548-Carry!$B$9/Inputs!$B$16,I548)</f>
        <v>-0.00297049270604788</v>
      </c>
      <c r="N548" s="0" t="n">
        <v>0.055</v>
      </c>
      <c r="O548" s="0" t="n">
        <v>0.0002</v>
      </c>
      <c r="P548" s="29" t="n">
        <f aca="false">D548-('2 Hedge ratio'!$B$6+'2 Hedge ratio'!$B$5*E548)</f>
        <v>0.00305758184721228</v>
      </c>
      <c r="Q548" s="29" t="n">
        <f aca="false">D548-('5 Re-specification'!$B$7+'5 Re-specification'!$B$5*E548+'5 Re-specification'!$B$6*F548)</f>
        <v>0.000669243721407753</v>
      </c>
      <c r="R548" s="30" t="n">
        <f aca="false">MIN(F548,Inputs!$B$9)</f>
        <v>250</v>
      </c>
      <c r="S548" s="29" t="n">
        <f aca="true">IF(AND(F548&gt;=1,R548&gt;=Inputs!$B$10),INDEX(LINEST(OFFSET(D548,-R548,0,R548,1),OFFSET(E548,-R548,0,R548,2)),1,1),"")</f>
        <v>-2.59385764154715E-005</v>
      </c>
      <c r="T548" s="29" t="n">
        <f aca="true">IF(AND(F548&gt;=1,R548&gt;=Inputs!$B$10),INDEX(LINEST(OFFSET(D548,-R548,0,R548,1),OFFSET(E548,-R548,0,R548,2)),1,2),"")</f>
        <v>1.00900116906387</v>
      </c>
      <c r="U548" s="29" t="n">
        <f aca="true">IF(AND(F548&gt;=1,R548&gt;=Inputs!$B$10),INDEX(LINEST(OFFSET(D548,-R548,0,R548,1),OFFSET(E548,-R548,0,R548,2)),1,3),"")</f>
        <v>4.45589307040128</v>
      </c>
      <c r="V548" s="29" t="n">
        <f aca="true">IF(AND(F548&gt;=1,R548&gt;=Inputs!$B$10),SQRT(SUMPRODUCT((OFFSET(D548,-R548,0,R548,1)-U548-T548*OFFSET(E548,-R548,0,R548,1)-S548*OFFSET(F548,-R548,0,R548,1))^2)/(R548-3)),"")</f>
        <v>0.00227998667994734</v>
      </c>
      <c r="W548" s="31" t="n">
        <f aca="false">IF(AND(F548&gt;=1,R548&gt;=Inputs!$B$10),(D548-U548-T548*E548-S548*F548)/V548,"")</f>
        <v>-1.05673238374887</v>
      </c>
      <c r="X548" s="30" t="n">
        <f aca="false">IF(AB547&lt;&gt;0,AC547+1,0)</f>
        <v>0</v>
      </c>
      <c r="Y548" s="30" t="n">
        <f aca="false">IF(W548="",0,IF(AND(AB547&lt;&gt;0,OR(ABS(W548)&gt;Inputs!$B$7,X548&gt;=Inputs!$B$8,ABS(W548)&lt;Inputs!$B$6)),1,0))</f>
        <v>0</v>
      </c>
      <c r="Z548" s="30" t="n">
        <f aca="false">IF(Y548=1,0,AB547)</f>
        <v>0</v>
      </c>
      <c r="AA548" s="30" t="n">
        <f aca="false">IF(W548="",0,IF(AND(Z548=0,ABS(W548)&gt;Inputs!$B$5,ABS(W548)&lt;=Inputs!$B$7),1,0))</f>
        <v>0</v>
      </c>
      <c r="AB548" s="30" t="n">
        <f aca="false">IF(W548="",0,IF(AA548=1,-SIGN(W548),Z548))</f>
        <v>0</v>
      </c>
      <c r="AC548" s="30" t="n">
        <f aca="false">IF(W548="",0,IF(AA548=1,0,IF(Y548=1,0,X548)))</f>
        <v>0</v>
      </c>
      <c r="AD548" s="30" t="n">
        <f aca="false">IF(AB548=0,0,IF(AB547=AB548,AD547,T548))</f>
        <v>0</v>
      </c>
      <c r="AE548" s="30" t="n">
        <f aca="false">AB548-AB547</f>
        <v>0</v>
      </c>
      <c r="AF548" s="30" t="n">
        <f aca="false">-AD548*AB548</f>
        <v>-0</v>
      </c>
      <c r="AG548" s="30" t="n">
        <f aca="false">AF548-AF547</f>
        <v>0</v>
      </c>
      <c r="AH548" s="30" t="n">
        <f aca="false">MAX(AE548,0)*(Inputs!$B$17+Inputs!$B$18+Inputs!$B$19)+MAX(-AE548,0)*(O548+Inputs!$B$18+Inputs!$B$19)+IF(AND(K548=1,AB548&lt;&gt;0),(Inputs!$B$17+Inputs!$B$18+Inputs!$B$19)+(O548+Inputs!$B$18+Inputs!$B$19),0)+MAX(AG548,0)*(Inputs!$B$20+Inputs!$B$22+Inputs!$B$23)+MAX(-AG548,0)*(Inputs!$B$21+Inputs!$B$22+Inputs!$B$23)</f>
        <v>0</v>
      </c>
      <c r="AI548" s="30" t="n">
        <f aca="false">AB547*(M548-AD547*J548)+AB547*AD547*N548/Inputs!$B$16-AH548</f>
        <v>0</v>
      </c>
      <c r="AJ548" s="30" t="n">
        <f aca="false">MAX(AE548,0)*(Inputs!$B$17+Inputs!$B$24+Inputs!$B$25)+MAX(-AE548,0)*(O548+Inputs!$B$24+Inputs!$B$25)+IF(AND(K548=1,AB548&lt;&gt;0),(Inputs!$B$17+Inputs!$B$24+Inputs!$B$25)+(O548+Inputs!$B$24+Inputs!$B$25),0)+MAX(AG548,0)*(Inputs!$B$20+Inputs!$B$26+Inputs!$B$27)+MAX(-AG548,0)*(Inputs!$B$21+Inputs!$B$26+Inputs!$B$27)</f>
        <v>0</v>
      </c>
      <c r="AK548" s="30" t="n">
        <f aca="false">AB547*(M548-AD547*J548)+AB547*AD547*(N548+Inputs!$B$14)/Inputs!$B$16-AJ548</f>
        <v>0</v>
      </c>
      <c r="AL548" s="30" t="n">
        <f aca="false">IF(AP547&lt;&gt;0,AQ547+1,0)</f>
        <v>0</v>
      </c>
      <c r="AM548" s="30" t="n">
        <f aca="false">IF(W548="",0,IF(AND(AP547&lt;&gt;0,OR(ABS(W548)&gt;Inputs!$B$7,AL548&gt;=Inputs!$B$8,ABS(W548)&lt;Inputs!$B$6)),1,0))</f>
        <v>0</v>
      </c>
      <c r="AN548" s="30" t="n">
        <f aca="false">IF(AM548=1,0,AP547)</f>
        <v>0</v>
      </c>
      <c r="AO548" s="30" t="n">
        <f aca="false">IF(W548="",0,IF(AND(AN548=0,ABS(W548)&gt;Inputs!$B$5,ABS(W548)&lt;=Inputs!$B$7,W548&gt;0),1,0))</f>
        <v>0</v>
      </c>
      <c r="AP548" s="30" t="n">
        <f aca="false">IF(W548="",0,IF(AO548=1,-SIGN(W548),AN548))</f>
        <v>0</v>
      </c>
      <c r="AQ548" s="30" t="n">
        <f aca="false">IF(W548="",0,IF(AO548=1,0,IF(AM548=1,0,AL548)))</f>
        <v>0</v>
      </c>
      <c r="AR548" s="30" t="n">
        <f aca="false">IF(AP548=0,0,IF(AP547=AP548,AR547,T548))</f>
        <v>0</v>
      </c>
      <c r="AS548" s="30" t="n">
        <f aca="false">AP548-AP547</f>
        <v>0</v>
      </c>
      <c r="AT548" s="30" t="n">
        <f aca="false">-AR548*AP548</f>
        <v>-0</v>
      </c>
      <c r="AU548" s="30" t="n">
        <f aca="false">AT548-AT547</f>
        <v>0</v>
      </c>
      <c r="AV548" s="30" t="n">
        <f aca="false">MAX(AS548,0)*(Inputs!$B$17+Inputs!$B$18+Inputs!$B$19)+MAX(-AS548,0)*(O548+Inputs!$B$18+Inputs!$B$19)+IF(AND(K548=1,AP548&lt;&gt;0),(Inputs!$B$17+Inputs!$B$18+Inputs!$B$19)+(O548+Inputs!$B$18+Inputs!$B$19),0)+MAX(AU548,0)*(Inputs!$B$20+Inputs!$B$22+Inputs!$B$23)+MAX(-AU548,0)*(Inputs!$B$21+Inputs!$B$22+Inputs!$B$23)</f>
        <v>0</v>
      </c>
      <c r="AW548" s="30" t="n">
        <f aca="false">AP547*(M548-AR547*J548)+AP547*AR547*N548/Inputs!$B$16-AV548</f>
        <v>0</v>
      </c>
      <c r="AX548" s="30" t="n">
        <f aca="false">AW548-IF(AP547&lt;&gt;0,0.75*AR547*(Inputs!$B$13-N548)/Inputs!$B$16,0)</f>
        <v>0</v>
      </c>
      <c r="AY548" s="30" t="n">
        <f aca="false">MAX(AS548,0)*(Inputs!$B$17+Inputs!$B$18+Inputs!$B$19)+MAX(-AS548,0)*(O548+Inputs!$B$18+Inputs!$B$19)+IF(AND(K548=1,AP548&lt;&gt;0),(Inputs!$B$17+Inputs!$B$18+Inputs!$B$19)+(O548+Inputs!$B$18+Inputs!$B$19),0)</f>
        <v>0</v>
      </c>
      <c r="AZ548" s="30" t="n">
        <f aca="false">AP547*M548-AY548</f>
        <v>-0</v>
      </c>
      <c r="BA548" s="32" t="n">
        <f aca="false">BA547+AI548</f>
        <v>0.00811513694847867</v>
      </c>
      <c r="BB548" s="30" t="n">
        <f aca="false">MAX(BB547,BA548)</f>
        <v>0.00951432838063029</v>
      </c>
      <c r="BC548" s="32" t="n">
        <f aca="false">BA548-BB548</f>
        <v>-0.00139919143215162</v>
      </c>
      <c r="BD548" s="30" t="n">
        <f aca="false">A549-A548</f>
        <v>1</v>
      </c>
    </row>
    <row r="549" customFormat="false" ht="15" hidden="false" customHeight="false" outlineLevel="0" collapsed="false">
      <c r="A549" s="28" t="n">
        <v>45848</v>
      </c>
      <c r="B549" s="0" t="n">
        <v>25414</v>
      </c>
      <c r="C549" s="0" t="n">
        <v>285.32</v>
      </c>
      <c r="D549" s="29" t="n">
        <f aca="false">LN(B549)</f>
        <v>10.1430554822645</v>
      </c>
      <c r="E549" s="29" t="n">
        <f aca="false">LN(C549)</f>
        <v>5.65361135740984</v>
      </c>
      <c r="F549" s="0" t="n">
        <v>544</v>
      </c>
      <c r="G549" s="0" t="n">
        <v>21</v>
      </c>
      <c r="H549" s="29" t="n">
        <f aca="false">D549-E549</f>
        <v>4.48944412485464</v>
      </c>
      <c r="I549" s="29" t="n">
        <f aca="false">D549-D548</f>
        <v>-0.0052196896437291</v>
      </c>
      <c r="J549" s="29" t="n">
        <f aca="false">E549-E548</f>
        <v>-0.00433658090256461</v>
      </c>
      <c r="K549" s="0" t="n">
        <v>0</v>
      </c>
      <c r="L549" s="0" t="n">
        <v>0</v>
      </c>
      <c r="M549" s="29" t="n">
        <f aca="false">IF(L549=1,J549-Carry!$B$9/Inputs!$B$16,I549)</f>
        <v>-0.0052196896437291</v>
      </c>
      <c r="N549" s="0" t="n">
        <v>0.055</v>
      </c>
      <c r="O549" s="0" t="n">
        <v>0.0002</v>
      </c>
      <c r="P549" s="29" t="n">
        <f aca="false">D549-('2 Hedge ratio'!$B$6+'2 Hedge ratio'!$B$5*E549)</f>
        <v>0.00181075001196085</v>
      </c>
      <c r="Q549" s="29" t="n">
        <f aca="false">D549-('5 Re-specification'!$B$7+'5 Re-specification'!$B$5*E549+'5 Re-specification'!$B$6*F549)</f>
        <v>-0.000182077710176642</v>
      </c>
      <c r="R549" s="30" t="n">
        <f aca="false">MIN(F549,Inputs!$B$9)</f>
        <v>250</v>
      </c>
      <c r="S549" s="29" t="n">
        <f aca="true">IF(AND(F549&gt;=1,R549&gt;=Inputs!$B$10),INDEX(LINEST(OFFSET(D549,-R549,0,R549,1),OFFSET(E549,-R549,0,R549,2)),1,1),"")</f>
        <v>-2.60759165230648E-005</v>
      </c>
      <c r="T549" s="29" t="n">
        <f aca="true">IF(AND(F549&gt;=1,R549&gt;=Inputs!$B$10),INDEX(LINEST(OFFSET(D549,-R549,0,R549,1),OFFSET(E549,-R549,0,R549,2)),1,2),"")</f>
        <v>1.00855380422258</v>
      </c>
      <c r="U549" s="29" t="n">
        <f aca="true">IF(AND(F549&gt;=1,R549&gt;=Inputs!$B$10),INDEX(LINEST(OFFSET(D549,-R549,0,R549,1),OFFSET(E549,-R549,0,R549,2)),1,3),"")</f>
        <v>4.4584415715626</v>
      </c>
      <c r="V549" s="29" t="n">
        <f aca="true">IF(AND(F549&gt;=1,R549&gt;=Inputs!$B$10),SQRT(SUMPRODUCT((OFFSET(D549,-R549,0,R549,1)-U549-T549*OFFSET(E549,-R549,0,R549,1)-S549*OFFSET(F549,-R549,0,R549,1))^2)/(R549-3)),"")</f>
        <v>0.00228349360084389</v>
      </c>
      <c r="W549" s="31" t="n">
        <f aca="false">IF(AND(F549&gt;=1,R549&gt;=Inputs!$B$10),(D549-U549-T549*E549-S549*F549)/V549,"")</f>
        <v>-1.38911395243624</v>
      </c>
      <c r="X549" s="30" t="n">
        <f aca="false">IF(AB548&lt;&gt;0,AC548+1,0)</f>
        <v>0</v>
      </c>
      <c r="Y549" s="30" t="n">
        <f aca="false">IF(W549="",0,IF(AND(AB548&lt;&gt;0,OR(ABS(W549)&gt;Inputs!$B$7,X549&gt;=Inputs!$B$8,ABS(W549)&lt;Inputs!$B$6)),1,0))</f>
        <v>0</v>
      </c>
      <c r="Z549" s="30" t="n">
        <f aca="false">IF(Y549=1,0,AB548)</f>
        <v>0</v>
      </c>
      <c r="AA549" s="30" t="n">
        <f aca="false">IF(W549="",0,IF(AND(Z549=0,ABS(W549)&gt;Inputs!$B$5,ABS(W549)&lt;=Inputs!$B$7),1,0))</f>
        <v>0</v>
      </c>
      <c r="AB549" s="30" t="n">
        <f aca="false">IF(W549="",0,IF(AA549=1,-SIGN(W549),Z549))</f>
        <v>0</v>
      </c>
      <c r="AC549" s="30" t="n">
        <f aca="false">IF(W549="",0,IF(AA549=1,0,IF(Y549=1,0,X549)))</f>
        <v>0</v>
      </c>
      <c r="AD549" s="30" t="n">
        <f aca="false">IF(AB549=0,0,IF(AB548=AB549,AD548,T549))</f>
        <v>0</v>
      </c>
      <c r="AE549" s="30" t="n">
        <f aca="false">AB549-AB548</f>
        <v>0</v>
      </c>
      <c r="AF549" s="30" t="n">
        <f aca="false">-AD549*AB549</f>
        <v>-0</v>
      </c>
      <c r="AG549" s="30" t="n">
        <f aca="false">AF549-AF548</f>
        <v>0</v>
      </c>
      <c r="AH549" s="30" t="n">
        <f aca="false">MAX(AE549,0)*(Inputs!$B$17+Inputs!$B$18+Inputs!$B$19)+MAX(-AE549,0)*(O549+Inputs!$B$18+Inputs!$B$19)+IF(AND(K549=1,AB549&lt;&gt;0),(Inputs!$B$17+Inputs!$B$18+Inputs!$B$19)+(O549+Inputs!$B$18+Inputs!$B$19),0)+MAX(AG549,0)*(Inputs!$B$20+Inputs!$B$22+Inputs!$B$23)+MAX(-AG549,0)*(Inputs!$B$21+Inputs!$B$22+Inputs!$B$23)</f>
        <v>0</v>
      </c>
      <c r="AI549" s="30" t="n">
        <f aca="false">AB548*(M549-AD548*J549)+AB548*AD548*N549/Inputs!$B$16-AH549</f>
        <v>0</v>
      </c>
      <c r="AJ549" s="30" t="n">
        <f aca="false">MAX(AE549,0)*(Inputs!$B$17+Inputs!$B$24+Inputs!$B$25)+MAX(-AE549,0)*(O549+Inputs!$B$24+Inputs!$B$25)+IF(AND(K549=1,AB549&lt;&gt;0),(Inputs!$B$17+Inputs!$B$24+Inputs!$B$25)+(O549+Inputs!$B$24+Inputs!$B$25),0)+MAX(AG549,0)*(Inputs!$B$20+Inputs!$B$26+Inputs!$B$27)+MAX(-AG549,0)*(Inputs!$B$21+Inputs!$B$26+Inputs!$B$27)</f>
        <v>0</v>
      </c>
      <c r="AK549" s="30" t="n">
        <f aca="false">AB548*(M549-AD548*J549)+AB548*AD548*(N549+Inputs!$B$14)/Inputs!$B$16-AJ549</f>
        <v>0</v>
      </c>
      <c r="AL549" s="30" t="n">
        <f aca="false">IF(AP548&lt;&gt;0,AQ548+1,0)</f>
        <v>0</v>
      </c>
      <c r="AM549" s="30" t="n">
        <f aca="false">IF(W549="",0,IF(AND(AP548&lt;&gt;0,OR(ABS(W549)&gt;Inputs!$B$7,AL549&gt;=Inputs!$B$8,ABS(W549)&lt;Inputs!$B$6)),1,0))</f>
        <v>0</v>
      </c>
      <c r="AN549" s="30" t="n">
        <f aca="false">IF(AM549=1,0,AP548)</f>
        <v>0</v>
      </c>
      <c r="AO549" s="30" t="n">
        <f aca="false">IF(W549="",0,IF(AND(AN549=0,ABS(W549)&gt;Inputs!$B$5,ABS(W549)&lt;=Inputs!$B$7,W549&gt;0),1,0))</f>
        <v>0</v>
      </c>
      <c r="AP549" s="30" t="n">
        <f aca="false">IF(W549="",0,IF(AO549=1,-SIGN(W549),AN549))</f>
        <v>0</v>
      </c>
      <c r="AQ549" s="30" t="n">
        <f aca="false">IF(W549="",0,IF(AO549=1,0,IF(AM549=1,0,AL549)))</f>
        <v>0</v>
      </c>
      <c r="AR549" s="30" t="n">
        <f aca="false">IF(AP549=0,0,IF(AP548=AP549,AR548,T549))</f>
        <v>0</v>
      </c>
      <c r="AS549" s="30" t="n">
        <f aca="false">AP549-AP548</f>
        <v>0</v>
      </c>
      <c r="AT549" s="30" t="n">
        <f aca="false">-AR549*AP549</f>
        <v>-0</v>
      </c>
      <c r="AU549" s="30" t="n">
        <f aca="false">AT549-AT548</f>
        <v>0</v>
      </c>
      <c r="AV549" s="30" t="n">
        <f aca="false">MAX(AS549,0)*(Inputs!$B$17+Inputs!$B$18+Inputs!$B$19)+MAX(-AS549,0)*(O549+Inputs!$B$18+Inputs!$B$19)+IF(AND(K549=1,AP549&lt;&gt;0),(Inputs!$B$17+Inputs!$B$18+Inputs!$B$19)+(O549+Inputs!$B$18+Inputs!$B$19),0)+MAX(AU549,0)*(Inputs!$B$20+Inputs!$B$22+Inputs!$B$23)+MAX(-AU549,0)*(Inputs!$B$21+Inputs!$B$22+Inputs!$B$23)</f>
        <v>0</v>
      </c>
      <c r="AW549" s="30" t="n">
        <f aca="false">AP548*(M549-AR548*J549)+AP548*AR548*N549/Inputs!$B$16-AV549</f>
        <v>0</v>
      </c>
      <c r="AX549" s="30" t="n">
        <f aca="false">AW549-IF(AP548&lt;&gt;0,0.75*AR548*(Inputs!$B$13-N549)/Inputs!$B$16,0)</f>
        <v>0</v>
      </c>
      <c r="AY549" s="30" t="n">
        <f aca="false">MAX(AS549,0)*(Inputs!$B$17+Inputs!$B$18+Inputs!$B$19)+MAX(-AS549,0)*(O549+Inputs!$B$18+Inputs!$B$19)+IF(AND(K549=1,AP549&lt;&gt;0),(Inputs!$B$17+Inputs!$B$18+Inputs!$B$19)+(O549+Inputs!$B$18+Inputs!$B$19),0)</f>
        <v>0</v>
      </c>
      <c r="AZ549" s="30" t="n">
        <f aca="false">AP548*M549-AY549</f>
        <v>-0</v>
      </c>
      <c r="BA549" s="32" t="n">
        <f aca="false">BA548+AI549</f>
        <v>0.00811513694847867</v>
      </c>
      <c r="BB549" s="30" t="n">
        <f aca="false">MAX(BB548,BA549)</f>
        <v>0.00951432838063029</v>
      </c>
      <c r="BC549" s="32" t="n">
        <f aca="false">BA549-BB549</f>
        <v>-0.00139919143215162</v>
      </c>
      <c r="BD549" s="30" t="n">
        <f aca="false">A550-A549</f>
        <v>1</v>
      </c>
    </row>
    <row r="550" customFormat="false" ht="15" hidden="false" customHeight="false" outlineLevel="0" collapsed="false">
      <c r="A550" s="28" t="n">
        <v>45849</v>
      </c>
      <c r="B550" s="0" t="n">
        <v>25208</v>
      </c>
      <c r="C550" s="0" t="n">
        <v>283.1</v>
      </c>
      <c r="D550" s="29" t="n">
        <f aca="false">LN(B550)</f>
        <v>10.1349166834371</v>
      </c>
      <c r="E550" s="29" t="n">
        <f aca="false">LN(C550)</f>
        <v>5.64580019211785</v>
      </c>
      <c r="F550" s="0" t="n">
        <v>545</v>
      </c>
      <c r="G550" s="0" t="n">
        <v>20</v>
      </c>
      <c r="H550" s="29" t="n">
        <f aca="false">D550-E550</f>
        <v>4.48911649131926</v>
      </c>
      <c r="I550" s="29" t="n">
        <f aca="false">D550-D549</f>
        <v>-0.00813879882736934</v>
      </c>
      <c r="J550" s="29" t="n">
        <f aca="false">E550-E549</f>
        <v>-0.00781116529198389</v>
      </c>
      <c r="K550" s="0" t="n">
        <v>0</v>
      </c>
      <c r="L550" s="0" t="n">
        <v>0</v>
      </c>
      <c r="M550" s="29" t="n">
        <f aca="false">IF(L550=1,J550-Carry!$B$9/Inputs!$B$16,I550)</f>
        <v>-0.00813879882736934</v>
      </c>
      <c r="N550" s="0" t="n">
        <v>0.055</v>
      </c>
      <c r="O550" s="0" t="n">
        <v>0.0002</v>
      </c>
      <c r="P550" s="29" t="n">
        <f aca="false">D550-('2 Hedge ratio'!$B$6+'2 Hedge ratio'!$B$5*E550)</f>
        <v>0.000827968729476325</v>
      </c>
      <c r="Q550" s="29" t="n">
        <f aca="false">D550-('5 Re-specification'!$B$7+'5 Re-specification'!$B$5*E550+'5 Re-specification'!$B$6*F550)</f>
        <v>-0.000488453664047484</v>
      </c>
      <c r="R550" s="30" t="n">
        <f aca="false">MIN(F550,Inputs!$B$9)</f>
        <v>250</v>
      </c>
      <c r="S550" s="29" t="n">
        <f aca="true">IF(AND(F550&gt;=1,R550&gt;=Inputs!$B$10),INDEX(LINEST(OFFSET(D550,-R550,0,R550,1),OFFSET(E550,-R550,0,R550,2)),1,1),"")</f>
        <v>-2.60983590127016E-005</v>
      </c>
      <c r="T550" s="29" t="n">
        <f aca="true">IF(AND(F550&gt;=1,R550&gt;=Inputs!$B$10),INDEX(LINEST(OFFSET(D550,-R550,0,R550,1),OFFSET(E550,-R550,0,R550,2)),1,2),"")</f>
        <v>1.00808283158482</v>
      </c>
      <c r="U550" s="29" t="n">
        <f aca="true">IF(AND(F550&gt;=1,R550&gt;=Inputs!$B$10),INDEX(LINEST(OFFSET(D550,-R550,0,R550,1),OFFSET(E550,-R550,0,R550,2)),1,3),"")</f>
        <v>4.46106352628978</v>
      </c>
      <c r="V550" s="29" t="n">
        <f aca="true">IF(AND(F550&gt;=1,R550&gt;=Inputs!$B$10),SQRT(SUMPRODUCT((OFFSET(D550,-R550,0,R550,1)-U550-T550*OFFSET(E550,-R550,0,R550,1)-S550*OFFSET(F550,-R550,0,R550,1))^2)/(R550-3)),"")</f>
        <v>0.0022828157683538</v>
      </c>
      <c r="W550" s="31" t="n">
        <f aca="false">IF(AND(F550&gt;=1,R550&gt;=Inputs!$B$10),(D550-U550-T550*E550-S550*F550)/V550,"")</f>
        <v>-1.47076319937426</v>
      </c>
      <c r="X550" s="30" t="n">
        <f aca="false">IF(AB549&lt;&gt;0,AC549+1,0)</f>
        <v>0</v>
      </c>
      <c r="Y550" s="30" t="n">
        <f aca="false">IF(W550="",0,IF(AND(AB549&lt;&gt;0,OR(ABS(W550)&gt;Inputs!$B$7,X550&gt;=Inputs!$B$8,ABS(W550)&lt;Inputs!$B$6)),1,0))</f>
        <v>0</v>
      </c>
      <c r="Z550" s="30" t="n">
        <f aca="false">IF(Y550=1,0,AB549)</f>
        <v>0</v>
      </c>
      <c r="AA550" s="30" t="n">
        <f aca="false">IF(W550="",0,IF(AND(Z550=0,ABS(W550)&gt;Inputs!$B$5,ABS(W550)&lt;=Inputs!$B$7),1,0))</f>
        <v>0</v>
      </c>
      <c r="AB550" s="30" t="n">
        <f aca="false">IF(W550="",0,IF(AA550=1,-SIGN(W550),Z550))</f>
        <v>0</v>
      </c>
      <c r="AC550" s="30" t="n">
        <f aca="false">IF(W550="",0,IF(AA550=1,0,IF(Y550=1,0,X550)))</f>
        <v>0</v>
      </c>
      <c r="AD550" s="30" t="n">
        <f aca="false">IF(AB550=0,0,IF(AB549=AB550,AD549,T550))</f>
        <v>0</v>
      </c>
      <c r="AE550" s="30" t="n">
        <f aca="false">AB550-AB549</f>
        <v>0</v>
      </c>
      <c r="AF550" s="30" t="n">
        <f aca="false">-AD550*AB550</f>
        <v>-0</v>
      </c>
      <c r="AG550" s="30" t="n">
        <f aca="false">AF550-AF549</f>
        <v>0</v>
      </c>
      <c r="AH550" s="30" t="n">
        <f aca="false">MAX(AE550,0)*(Inputs!$B$17+Inputs!$B$18+Inputs!$B$19)+MAX(-AE550,0)*(O550+Inputs!$B$18+Inputs!$B$19)+IF(AND(K550=1,AB550&lt;&gt;0),(Inputs!$B$17+Inputs!$B$18+Inputs!$B$19)+(O550+Inputs!$B$18+Inputs!$B$19),0)+MAX(AG550,0)*(Inputs!$B$20+Inputs!$B$22+Inputs!$B$23)+MAX(-AG550,0)*(Inputs!$B$21+Inputs!$B$22+Inputs!$B$23)</f>
        <v>0</v>
      </c>
      <c r="AI550" s="30" t="n">
        <f aca="false">AB549*(M550-AD549*J550)+AB549*AD549*N550/Inputs!$B$16-AH550</f>
        <v>0</v>
      </c>
      <c r="AJ550" s="30" t="n">
        <f aca="false">MAX(AE550,0)*(Inputs!$B$17+Inputs!$B$24+Inputs!$B$25)+MAX(-AE550,0)*(O550+Inputs!$B$24+Inputs!$B$25)+IF(AND(K550=1,AB550&lt;&gt;0),(Inputs!$B$17+Inputs!$B$24+Inputs!$B$25)+(O550+Inputs!$B$24+Inputs!$B$25),0)+MAX(AG550,0)*(Inputs!$B$20+Inputs!$B$26+Inputs!$B$27)+MAX(-AG550,0)*(Inputs!$B$21+Inputs!$B$26+Inputs!$B$27)</f>
        <v>0</v>
      </c>
      <c r="AK550" s="30" t="n">
        <f aca="false">AB549*(M550-AD549*J550)+AB549*AD549*(N550+Inputs!$B$14)/Inputs!$B$16-AJ550</f>
        <v>0</v>
      </c>
      <c r="AL550" s="30" t="n">
        <f aca="false">IF(AP549&lt;&gt;0,AQ549+1,0)</f>
        <v>0</v>
      </c>
      <c r="AM550" s="30" t="n">
        <f aca="false">IF(W550="",0,IF(AND(AP549&lt;&gt;0,OR(ABS(W550)&gt;Inputs!$B$7,AL550&gt;=Inputs!$B$8,ABS(W550)&lt;Inputs!$B$6)),1,0))</f>
        <v>0</v>
      </c>
      <c r="AN550" s="30" t="n">
        <f aca="false">IF(AM550=1,0,AP549)</f>
        <v>0</v>
      </c>
      <c r="AO550" s="30" t="n">
        <f aca="false">IF(W550="",0,IF(AND(AN550=0,ABS(W550)&gt;Inputs!$B$5,ABS(W550)&lt;=Inputs!$B$7,W550&gt;0),1,0))</f>
        <v>0</v>
      </c>
      <c r="AP550" s="30" t="n">
        <f aca="false">IF(W550="",0,IF(AO550=1,-SIGN(W550),AN550))</f>
        <v>0</v>
      </c>
      <c r="AQ550" s="30" t="n">
        <f aca="false">IF(W550="",0,IF(AO550=1,0,IF(AM550=1,0,AL550)))</f>
        <v>0</v>
      </c>
      <c r="AR550" s="30" t="n">
        <f aca="false">IF(AP550=0,0,IF(AP549=AP550,AR549,T550))</f>
        <v>0</v>
      </c>
      <c r="AS550" s="30" t="n">
        <f aca="false">AP550-AP549</f>
        <v>0</v>
      </c>
      <c r="AT550" s="30" t="n">
        <f aca="false">-AR550*AP550</f>
        <v>-0</v>
      </c>
      <c r="AU550" s="30" t="n">
        <f aca="false">AT550-AT549</f>
        <v>0</v>
      </c>
      <c r="AV550" s="30" t="n">
        <f aca="false">MAX(AS550,0)*(Inputs!$B$17+Inputs!$B$18+Inputs!$B$19)+MAX(-AS550,0)*(O550+Inputs!$B$18+Inputs!$B$19)+IF(AND(K550=1,AP550&lt;&gt;0),(Inputs!$B$17+Inputs!$B$18+Inputs!$B$19)+(O550+Inputs!$B$18+Inputs!$B$19),0)+MAX(AU550,0)*(Inputs!$B$20+Inputs!$B$22+Inputs!$B$23)+MAX(-AU550,0)*(Inputs!$B$21+Inputs!$B$22+Inputs!$B$23)</f>
        <v>0</v>
      </c>
      <c r="AW550" s="30" t="n">
        <f aca="false">AP549*(M550-AR549*J550)+AP549*AR549*N550/Inputs!$B$16-AV550</f>
        <v>0</v>
      </c>
      <c r="AX550" s="30" t="n">
        <f aca="false">AW550-IF(AP549&lt;&gt;0,0.75*AR549*(Inputs!$B$13-N550)/Inputs!$B$16,0)</f>
        <v>0</v>
      </c>
      <c r="AY550" s="30" t="n">
        <f aca="false">MAX(AS550,0)*(Inputs!$B$17+Inputs!$B$18+Inputs!$B$19)+MAX(-AS550,0)*(O550+Inputs!$B$18+Inputs!$B$19)+IF(AND(K550=1,AP550&lt;&gt;0),(Inputs!$B$17+Inputs!$B$18+Inputs!$B$19)+(O550+Inputs!$B$18+Inputs!$B$19),0)</f>
        <v>0</v>
      </c>
      <c r="AZ550" s="30" t="n">
        <f aca="false">AP549*M550-AY550</f>
        <v>-0</v>
      </c>
      <c r="BA550" s="32" t="n">
        <f aca="false">BA549+AI550</f>
        <v>0.00811513694847867</v>
      </c>
      <c r="BB550" s="30" t="n">
        <f aca="false">MAX(BB549,BA550)</f>
        <v>0.00951432838063029</v>
      </c>
      <c r="BC550" s="32" t="n">
        <f aca="false">BA550-BB550</f>
        <v>-0.00139919143215162</v>
      </c>
      <c r="BD550" s="30" t="n">
        <f aca="false">A551-A550</f>
        <v>3</v>
      </c>
    </row>
    <row r="551" customFormat="false" ht="15" hidden="false" customHeight="false" outlineLevel="0" collapsed="false">
      <c r="A551" s="28" t="n">
        <v>45852</v>
      </c>
      <c r="B551" s="0" t="n">
        <v>25172</v>
      </c>
      <c r="C551" s="0" t="n">
        <v>282.85</v>
      </c>
      <c r="D551" s="29" t="n">
        <f aca="false">LN(B551)</f>
        <v>10.1334875446468</v>
      </c>
      <c r="E551" s="29" t="n">
        <f aca="false">LN(C551)</f>
        <v>5.64491672178917</v>
      </c>
      <c r="F551" s="0" t="n">
        <v>546</v>
      </c>
      <c r="G551" s="0" t="n">
        <v>17</v>
      </c>
      <c r="H551" s="29" t="n">
        <f aca="false">D551-E551</f>
        <v>4.48857082285766</v>
      </c>
      <c r="I551" s="29" t="n">
        <f aca="false">D551-D550</f>
        <v>-0.00142913879028583</v>
      </c>
      <c r="J551" s="29" t="n">
        <f aca="false">E551-E550</f>
        <v>-0.000883470328688851</v>
      </c>
      <c r="K551" s="0" t="n">
        <v>0</v>
      </c>
      <c r="L551" s="0" t="n">
        <v>0</v>
      </c>
      <c r="M551" s="29" t="n">
        <f aca="false">IF(L551=1,J551-Carry!$B$9/Inputs!$B$16,I551)</f>
        <v>-0.00142913879028583</v>
      </c>
      <c r="N551" s="0" t="n">
        <v>0.055</v>
      </c>
      <c r="O551" s="0" t="n">
        <v>0.0002</v>
      </c>
      <c r="P551" s="29" t="n">
        <f aca="false">D551-('2 Hedge ratio'!$B$6+'2 Hedge ratio'!$B$5*E551)</f>
        <v>0.000208200748303966</v>
      </c>
      <c r="Q551" s="29" t="n">
        <f aca="false">D551-('5 Re-specification'!$B$7+'5 Re-specification'!$B$5*E551+'5 Re-specification'!$B$6*F551)</f>
        <v>-0.000991870164398279</v>
      </c>
      <c r="R551" s="30" t="n">
        <f aca="false">MIN(F551,Inputs!$B$9)</f>
        <v>250</v>
      </c>
      <c r="S551" s="29" t="n">
        <f aca="true">IF(AND(F551&gt;=1,R551&gt;=Inputs!$B$10),INDEX(LINEST(OFFSET(D551,-R551,0,R551,1),OFFSET(E551,-R551,0,R551,2)),1,1),"")</f>
        <v>-2.6087330344072E-005</v>
      </c>
      <c r="T551" s="29" t="n">
        <f aca="true">IF(AND(F551&gt;=1,R551&gt;=Inputs!$B$10),INDEX(LINEST(OFFSET(D551,-R551,0,R551,1),OFFSET(E551,-R551,0,R551,2)),1,2),"")</f>
        <v>1.00763427586661</v>
      </c>
      <c r="U551" s="29" t="n">
        <f aca="true">IF(AND(F551&gt;=1,R551&gt;=Inputs!$B$10),INDEX(LINEST(OFFSET(D551,-R551,0,R551,1),OFFSET(E551,-R551,0,R551,2)),1,3),"")</f>
        <v>4.4635432117975</v>
      </c>
      <c r="V551" s="29" t="n">
        <f aca="true">IF(AND(F551&gt;=1,R551&gt;=Inputs!$B$10),SQRT(SUMPRODUCT((OFFSET(D551,-R551,0,R551,1)-U551-T551*OFFSET(E551,-R551,0,R551,1)-S551*OFFSET(F551,-R551,0,R551,1))^2)/(R551-3)),"")</f>
        <v>0.00228010968313017</v>
      </c>
      <c r="W551" s="31" t="n">
        <f aca="false">IF(AND(F551&gt;=1,R551&gt;=Inputs!$B$10),(D551-U551-T551*E551-S551*F551)/V551,"")</f>
        <v>-1.67691848268207</v>
      </c>
      <c r="X551" s="30" t="n">
        <f aca="false">IF(AB550&lt;&gt;0,AC550+1,0)</f>
        <v>0</v>
      </c>
      <c r="Y551" s="30" t="n">
        <f aca="false">IF(W551="",0,IF(AND(AB550&lt;&gt;0,OR(ABS(W551)&gt;Inputs!$B$7,X551&gt;=Inputs!$B$8,ABS(W551)&lt;Inputs!$B$6)),1,0))</f>
        <v>0</v>
      </c>
      <c r="Z551" s="30" t="n">
        <f aca="false">IF(Y551=1,0,AB550)</f>
        <v>0</v>
      </c>
      <c r="AA551" s="30" t="n">
        <f aca="false">IF(W551="",0,IF(AND(Z551=0,ABS(W551)&gt;Inputs!$B$5,ABS(W551)&lt;=Inputs!$B$7),1,0))</f>
        <v>0</v>
      </c>
      <c r="AB551" s="30" t="n">
        <f aca="false">IF(W551="",0,IF(AA551=1,-SIGN(W551),Z551))</f>
        <v>0</v>
      </c>
      <c r="AC551" s="30" t="n">
        <f aca="false">IF(W551="",0,IF(AA551=1,0,IF(Y551=1,0,X551)))</f>
        <v>0</v>
      </c>
      <c r="AD551" s="30" t="n">
        <f aca="false">IF(AB551=0,0,IF(AB550=AB551,AD550,T551))</f>
        <v>0</v>
      </c>
      <c r="AE551" s="30" t="n">
        <f aca="false">AB551-AB550</f>
        <v>0</v>
      </c>
      <c r="AF551" s="30" t="n">
        <f aca="false">-AD551*AB551</f>
        <v>-0</v>
      </c>
      <c r="AG551" s="30" t="n">
        <f aca="false">AF551-AF550</f>
        <v>0</v>
      </c>
      <c r="AH551" s="30" t="n">
        <f aca="false">MAX(AE551,0)*(Inputs!$B$17+Inputs!$B$18+Inputs!$B$19)+MAX(-AE551,0)*(O551+Inputs!$B$18+Inputs!$B$19)+IF(AND(K551=1,AB551&lt;&gt;0),(Inputs!$B$17+Inputs!$B$18+Inputs!$B$19)+(O551+Inputs!$B$18+Inputs!$B$19),0)+MAX(AG551,0)*(Inputs!$B$20+Inputs!$B$22+Inputs!$B$23)+MAX(-AG551,0)*(Inputs!$B$21+Inputs!$B$22+Inputs!$B$23)</f>
        <v>0</v>
      </c>
      <c r="AI551" s="30" t="n">
        <f aca="false">AB550*(M551-AD550*J551)+AB550*AD550*N551/Inputs!$B$16-AH551</f>
        <v>0</v>
      </c>
      <c r="AJ551" s="30" t="n">
        <f aca="false">MAX(AE551,0)*(Inputs!$B$17+Inputs!$B$24+Inputs!$B$25)+MAX(-AE551,0)*(O551+Inputs!$B$24+Inputs!$B$25)+IF(AND(K551=1,AB551&lt;&gt;0),(Inputs!$B$17+Inputs!$B$24+Inputs!$B$25)+(O551+Inputs!$B$24+Inputs!$B$25),0)+MAX(AG551,0)*(Inputs!$B$20+Inputs!$B$26+Inputs!$B$27)+MAX(-AG551,0)*(Inputs!$B$21+Inputs!$B$26+Inputs!$B$27)</f>
        <v>0</v>
      </c>
      <c r="AK551" s="30" t="n">
        <f aca="false">AB550*(M551-AD550*J551)+AB550*AD550*(N551+Inputs!$B$14)/Inputs!$B$16-AJ551</f>
        <v>0</v>
      </c>
      <c r="AL551" s="30" t="n">
        <f aca="false">IF(AP550&lt;&gt;0,AQ550+1,0)</f>
        <v>0</v>
      </c>
      <c r="AM551" s="30" t="n">
        <f aca="false">IF(W551="",0,IF(AND(AP550&lt;&gt;0,OR(ABS(W551)&gt;Inputs!$B$7,AL551&gt;=Inputs!$B$8,ABS(W551)&lt;Inputs!$B$6)),1,0))</f>
        <v>0</v>
      </c>
      <c r="AN551" s="30" t="n">
        <f aca="false">IF(AM551=1,0,AP550)</f>
        <v>0</v>
      </c>
      <c r="AO551" s="30" t="n">
        <f aca="false">IF(W551="",0,IF(AND(AN551=0,ABS(W551)&gt;Inputs!$B$5,ABS(W551)&lt;=Inputs!$B$7,W551&gt;0),1,0))</f>
        <v>0</v>
      </c>
      <c r="AP551" s="30" t="n">
        <f aca="false">IF(W551="",0,IF(AO551=1,-SIGN(W551),AN551))</f>
        <v>0</v>
      </c>
      <c r="AQ551" s="30" t="n">
        <f aca="false">IF(W551="",0,IF(AO551=1,0,IF(AM551=1,0,AL551)))</f>
        <v>0</v>
      </c>
      <c r="AR551" s="30" t="n">
        <f aca="false">IF(AP551=0,0,IF(AP550=AP551,AR550,T551))</f>
        <v>0</v>
      </c>
      <c r="AS551" s="30" t="n">
        <f aca="false">AP551-AP550</f>
        <v>0</v>
      </c>
      <c r="AT551" s="30" t="n">
        <f aca="false">-AR551*AP551</f>
        <v>-0</v>
      </c>
      <c r="AU551" s="30" t="n">
        <f aca="false">AT551-AT550</f>
        <v>0</v>
      </c>
      <c r="AV551" s="30" t="n">
        <f aca="false">MAX(AS551,0)*(Inputs!$B$17+Inputs!$B$18+Inputs!$B$19)+MAX(-AS551,0)*(O551+Inputs!$B$18+Inputs!$B$19)+IF(AND(K551=1,AP551&lt;&gt;0),(Inputs!$B$17+Inputs!$B$18+Inputs!$B$19)+(O551+Inputs!$B$18+Inputs!$B$19),0)+MAX(AU551,0)*(Inputs!$B$20+Inputs!$B$22+Inputs!$B$23)+MAX(-AU551,0)*(Inputs!$B$21+Inputs!$B$22+Inputs!$B$23)</f>
        <v>0</v>
      </c>
      <c r="AW551" s="30" t="n">
        <f aca="false">AP550*(M551-AR550*J551)+AP550*AR550*N551/Inputs!$B$16-AV551</f>
        <v>0</v>
      </c>
      <c r="AX551" s="30" t="n">
        <f aca="false">AW551-IF(AP550&lt;&gt;0,0.75*AR550*(Inputs!$B$13-N551)/Inputs!$B$16,0)</f>
        <v>0</v>
      </c>
      <c r="AY551" s="30" t="n">
        <f aca="false">MAX(AS551,0)*(Inputs!$B$17+Inputs!$B$18+Inputs!$B$19)+MAX(-AS551,0)*(O551+Inputs!$B$18+Inputs!$B$19)+IF(AND(K551=1,AP551&lt;&gt;0),(Inputs!$B$17+Inputs!$B$18+Inputs!$B$19)+(O551+Inputs!$B$18+Inputs!$B$19),0)</f>
        <v>0</v>
      </c>
      <c r="AZ551" s="30" t="n">
        <f aca="false">AP550*M551-AY551</f>
        <v>-0</v>
      </c>
      <c r="BA551" s="32" t="n">
        <f aca="false">BA550+AI551</f>
        <v>0.00811513694847867</v>
      </c>
      <c r="BB551" s="30" t="n">
        <f aca="false">MAX(BB550,BA551)</f>
        <v>0.00951432838063029</v>
      </c>
      <c r="BC551" s="32" t="n">
        <f aca="false">BA551-BB551</f>
        <v>-0.00139919143215162</v>
      </c>
      <c r="BD551" s="30" t="n">
        <f aca="false">A552-A551</f>
        <v>1</v>
      </c>
    </row>
    <row r="552" customFormat="false" ht="15" hidden="false" customHeight="false" outlineLevel="0" collapsed="false">
      <c r="A552" s="28" t="n">
        <v>45853</v>
      </c>
      <c r="B552" s="0" t="n">
        <v>25280</v>
      </c>
      <c r="C552" s="0" t="n">
        <v>284</v>
      </c>
      <c r="D552" s="29" t="n">
        <f aca="false">LN(B552)</f>
        <v>10.1377688482608</v>
      </c>
      <c r="E552" s="29" t="n">
        <f aca="false">LN(C552)</f>
        <v>5.64897423816121</v>
      </c>
      <c r="F552" s="0" t="n">
        <v>547</v>
      </c>
      <c r="G552" s="0" t="n">
        <v>16</v>
      </c>
      <c r="H552" s="29" t="n">
        <f aca="false">D552-E552</f>
        <v>4.48879461009959</v>
      </c>
      <c r="I552" s="29" t="n">
        <f aca="false">D552-D551</f>
        <v>0.00428130361397017</v>
      </c>
      <c r="J552" s="29" t="n">
        <f aca="false">E552-E551</f>
        <v>0.00405751637204155</v>
      </c>
      <c r="K552" s="0" t="n">
        <v>0</v>
      </c>
      <c r="L552" s="0" t="n">
        <v>0</v>
      </c>
      <c r="M552" s="29" t="n">
        <f aca="false">IF(L552=1,J552-Carry!$B$9/Inputs!$B$16,I552)</f>
        <v>0.00428130361397017</v>
      </c>
      <c r="N552" s="0" t="n">
        <v>0.055</v>
      </c>
      <c r="O552" s="0" t="n">
        <v>0.0002</v>
      </c>
      <c r="P552" s="29" t="n">
        <f aca="false">D552-('2 Hedge ratio'!$B$6+'2 Hedge ratio'!$B$5*E552)</f>
        <v>0.000772305037763488</v>
      </c>
      <c r="Q552" s="29" t="n">
        <f aca="false">D552-('5 Re-specification'!$B$7+'5 Re-specification'!$B$5*E552+'5 Re-specification'!$B$6*F552)</f>
        <v>-0.000710857300921575</v>
      </c>
      <c r="R552" s="30" t="n">
        <f aca="false">MIN(F552,Inputs!$B$9)</f>
        <v>250</v>
      </c>
      <c r="S552" s="29" t="n">
        <f aca="true">IF(AND(F552&gt;=1,R552&gt;=Inputs!$B$10),INDEX(LINEST(OFFSET(D552,-R552,0,R552,1),OFFSET(E552,-R552,0,R552,2)),1,1),"")</f>
        <v>-2.64200056130263E-005</v>
      </c>
      <c r="T552" s="29" t="n">
        <f aca="true">IF(AND(F552&gt;=1,R552&gt;=Inputs!$B$10),INDEX(LINEST(OFFSET(D552,-R552,0,R552,1),OFFSET(E552,-R552,0,R552,2)),1,2),"")</f>
        <v>1.00707963037041</v>
      </c>
      <c r="U552" s="29" t="n">
        <f aca="true">IF(AND(F552&gt;=1,R552&gt;=Inputs!$B$10),INDEX(LINEST(OFFSET(D552,-R552,0,R552,1),OFFSET(E552,-R552,0,R552,2)),1,3),"")</f>
        <v>4.46677251097672</v>
      </c>
      <c r="V552" s="29" t="n">
        <f aca="true">IF(AND(F552&gt;=1,R552&gt;=Inputs!$B$10),SQRT(SUMPRODUCT((OFFSET(D552,-R552,0,R552,1)-U552-T552*OFFSET(E552,-R552,0,R552,1)-S552*OFFSET(F552,-R552,0,R552,1))^2)/(R552-3)),"")</f>
        <v>0.00229236131363994</v>
      </c>
      <c r="W552" s="31" t="n">
        <f aca="false">IF(AND(F552&gt;=1,R552&gt;=Inputs!$B$10),(D552-U552-T552*E552-S552*F552)/V552,"")</f>
        <v>-1.53501429465701</v>
      </c>
      <c r="X552" s="30" t="n">
        <f aca="false">IF(AB551&lt;&gt;0,AC551+1,0)</f>
        <v>0</v>
      </c>
      <c r="Y552" s="30" t="n">
        <f aca="false">IF(W552="",0,IF(AND(AB551&lt;&gt;0,OR(ABS(W552)&gt;Inputs!$B$7,X552&gt;=Inputs!$B$8,ABS(W552)&lt;Inputs!$B$6)),1,0))</f>
        <v>0</v>
      </c>
      <c r="Z552" s="30" t="n">
        <f aca="false">IF(Y552=1,0,AB551)</f>
        <v>0</v>
      </c>
      <c r="AA552" s="30" t="n">
        <f aca="false">IF(W552="",0,IF(AND(Z552=0,ABS(W552)&gt;Inputs!$B$5,ABS(W552)&lt;=Inputs!$B$7),1,0))</f>
        <v>0</v>
      </c>
      <c r="AB552" s="30" t="n">
        <f aca="false">IF(W552="",0,IF(AA552=1,-SIGN(W552),Z552))</f>
        <v>0</v>
      </c>
      <c r="AC552" s="30" t="n">
        <f aca="false">IF(W552="",0,IF(AA552=1,0,IF(Y552=1,0,X552)))</f>
        <v>0</v>
      </c>
      <c r="AD552" s="30" t="n">
        <f aca="false">IF(AB552=0,0,IF(AB551=AB552,AD551,T552))</f>
        <v>0</v>
      </c>
      <c r="AE552" s="30" t="n">
        <f aca="false">AB552-AB551</f>
        <v>0</v>
      </c>
      <c r="AF552" s="30" t="n">
        <f aca="false">-AD552*AB552</f>
        <v>-0</v>
      </c>
      <c r="AG552" s="30" t="n">
        <f aca="false">AF552-AF551</f>
        <v>0</v>
      </c>
      <c r="AH552" s="30" t="n">
        <f aca="false">MAX(AE552,0)*(Inputs!$B$17+Inputs!$B$18+Inputs!$B$19)+MAX(-AE552,0)*(O552+Inputs!$B$18+Inputs!$B$19)+IF(AND(K552=1,AB552&lt;&gt;0),(Inputs!$B$17+Inputs!$B$18+Inputs!$B$19)+(O552+Inputs!$B$18+Inputs!$B$19),0)+MAX(AG552,0)*(Inputs!$B$20+Inputs!$B$22+Inputs!$B$23)+MAX(-AG552,0)*(Inputs!$B$21+Inputs!$B$22+Inputs!$B$23)</f>
        <v>0</v>
      </c>
      <c r="AI552" s="30" t="n">
        <f aca="false">AB551*(M552-AD551*J552)+AB551*AD551*N552/Inputs!$B$16-AH552</f>
        <v>0</v>
      </c>
      <c r="AJ552" s="30" t="n">
        <f aca="false">MAX(AE552,0)*(Inputs!$B$17+Inputs!$B$24+Inputs!$B$25)+MAX(-AE552,0)*(O552+Inputs!$B$24+Inputs!$B$25)+IF(AND(K552=1,AB552&lt;&gt;0),(Inputs!$B$17+Inputs!$B$24+Inputs!$B$25)+(O552+Inputs!$B$24+Inputs!$B$25),0)+MAX(AG552,0)*(Inputs!$B$20+Inputs!$B$26+Inputs!$B$27)+MAX(-AG552,0)*(Inputs!$B$21+Inputs!$B$26+Inputs!$B$27)</f>
        <v>0</v>
      </c>
      <c r="AK552" s="30" t="n">
        <f aca="false">AB551*(M552-AD551*J552)+AB551*AD551*(N552+Inputs!$B$14)/Inputs!$B$16-AJ552</f>
        <v>0</v>
      </c>
      <c r="AL552" s="30" t="n">
        <f aca="false">IF(AP551&lt;&gt;0,AQ551+1,0)</f>
        <v>0</v>
      </c>
      <c r="AM552" s="30" t="n">
        <f aca="false">IF(W552="",0,IF(AND(AP551&lt;&gt;0,OR(ABS(W552)&gt;Inputs!$B$7,AL552&gt;=Inputs!$B$8,ABS(W552)&lt;Inputs!$B$6)),1,0))</f>
        <v>0</v>
      </c>
      <c r="AN552" s="30" t="n">
        <f aca="false">IF(AM552=1,0,AP551)</f>
        <v>0</v>
      </c>
      <c r="AO552" s="30" t="n">
        <f aca="false">IF(W552="",0,IF(AND(AN552=0,ABS(W552)&gt;Inputs!$B$5,ABS(W552)&lt;=Inputs!$B$7,W552&gt;0),1,0))</f>
        <v>0</v>
      </c>
      <c r="AP552" s="30" t="n">
        <f aca="false">IF(W552="",0,IF(AO552=1,-SIGN(W552),AN552))</f>
        <v>0</v>
      </c>
      <c r="AQ552" s="30" t="n">
        <f aca="false">IF(W552="",0,IF(AO552=1,0,IF(AM552=1,0,AL552)))</f>
        <v>0</v>
      </c>
      <c r="AR552" s="30" t="n">
        <f aca="false">IF(AP552=0,0,IF(AP551=AP552,AR551,T552))</f>
        <v>0</v>
      </c>
      <c r="AS552" s="30" t="n">
        <f aca="false">AP552-AP551</f>
        <v>0</v>
      </c>
      <c r="AT552" s="30" t="n">
        <f aca="false">-AR552*AP552</f>
        <v>-0</v>
      </c>
      <c r="AU552" s="30" t="n">
        <f aca="false">AT552-AT551</f>
        <v>0</v>
      </c>
      <c r="AV552" s="30" t="n">
        <f aca="false">MAX(AS552,0)*(Inputs!$B$17+Inputs!$B$18+Inputs!$B$19)+MAX(-AS552,0)*(O552+Inputs!$B$18+Inputs!$B$19)+IF(AND(K552=1,AP552&lt;&gt;0),(Inputs!$B$17+Inputs!$B$18+Inputs!$B$19)+(O552+Inputs!$B$18+Inputs!$B$19),0)+MAX(AU552,0)*(Inputs!$B$20+Inputs!$B$22+Inputs!$B$23)+MAX(-AU552,0)*(Inputs!$B$21+Inputs!$B$22+Inputs!$B$23)</f>
        <v>0</v>
      </c>
      <c r="AW552" s="30" t="n">
        <f aca="false">AP551*(M552-AR551*J552)+AP551*AR551*N552/Inputs!$B$16-AV552</f>
        <v>0</v>
      </c>
      <c r="AX552" s="30" t="n">
        <f aca="false">AW552-IF(AP551&lt;&gt;0,0.75*AR551*(Inputs!$B$13-N552)/Inputs!$B$16,0)</f>
        <v>0</v>
      </c>
      <c r="AY552" s="30" t="n">
        <f aca="false">MAX(AS552,0)*(Inputs!$B$17+Inputs!$B$18+Inputs!$B$19)+MAX(-AS552,0)*(O552+Inputs!$B$18+Inputs!$B$19)+IF(AND(K552=1,AP552&lt;&gt;0),(Inputs!$B$17+Inputs!$B$18+Inputs!$B$19)+(O552+Inputs!$B$18+Inputs!$B$19),0)</f>
        <v>0</v>
      </c>
      <c r="AZ552" s="30" t="n">
        <f aca="false">AP551*M552-AY552</f>
        <v>0</v>
      </c>
      <c r="BA552" s="32" t="n">
        <f aca="false">BA551+AI552</f>
        <v>0.00811513694847867</v>
      </c>
      <c r="BB552" s="30" t="n">
        <f aca="false">MAX(BB551,BA552)</f>
        <v>0.00951432838063029</v>
      </c>
      <c r="BC552" s="32" t="n">
        <f aca="false">BA552-BB552</f>
        <v>-0.00139919143215162</v>
      </c>
      <c r="BD552" s="30" t="n">
        <f aca="false">A553-A552</f>
        <v>1</v>
      </c>
    </row>
    <row r="553" customFormat="false" ht="15" hidden="false" customHeight="false" outlineLevel="0" collapsed="false">
      <c r="A553" s="28" t="n">
        <v>45854</v>
      </c>
      <c r="B553" s="0" t="n">
        <v>25243.9</v>
      </c>
      <c r="C553" s="0" t="n">
        <v>283.65</v>
      </c>
      <c r="D553" s="29" t="n">
        <f aca="false">LN(B553)</f>
        <v>10.1363398213589</v>
      </c>
      <c r="E553" s="29" t="n">
        <f aca="false">LN(C553)</f>
        <v>5.64774108377258</v>
      </c>
      <c r="F553" s="0" t="n">
        <v>548</v>
      </c>
      <c r="G553" s="0" t="n">
        <v>15</v>
      </c>
      <c r="H553" s="29" t="n">
        <f aca="false">D553-E553</f>
        <v>4.48859873758636</v>
      </c>
      <c r="I553" s="29" t="n">
        <f aca="false">D553-D552</f>
        <v>-0.00142902690185842</v>
      </c>
      <c r="J553" s="29" t="n">
        <f aca="false">E553-E552</f>
        <v>-0.00123315438862992</v>
      </c>
      <c r="K553" s="0" t="n">
        <v>0</v>
      </c>
      <c r="L553" s="0" t="n">
        <v>0</v>
      </c>
      <c r="M553" s="29" t="n">
        <f aca="false">IF(L553=1,J553-Carry!$B$9/Inputs!$B$16,I553)</f>
        <v>-0.00142902690185842</v>
      </c>
      <c r="N553" s="0" t="n">
        <v>0.055</v>
      </c>
      <c r="O553" s="0" t="n">
        <v>0.0002</v>
      </c>
      <c r="P553" s="29" t="n">
        <f aca="false">D553-('2 Hedge ratio'!$B$6+'2 Hedge ratio'!$B$5*E553)</f>
        <v>0.000473003869613464</v>
      </c>
      <c r="Q553" s="29" t="n">
        <f aca="false">D553-('5 Re-specification'!$B$7+'5 Re-specification'!$B$5*E553+'5 Re-specification'!$B$6*F553)</f>
        <v>-0.000865537570453157</v>
      </c>
      <c r="R553" s="30" t="n">
        <f aca="false">MIN(F553,Inputs!$B$9)</f>
        <v>250</v>
      </c>
      <c r="S553" s="29" t="n">
        <f aca="true">IF(AND(F553&gt;=1,R553&gt;=Inputs!$B$10),INDEX(LINEST(OFFSET(D553,-R553,0,R553,1),OFFSET(E553,-R553,0,R553,2)),1,1),"")</f>
        <v>-2.65468893908317E-005</v>
      </c>
      <c r="T553" s="29" t="n">
        <f aca="true">IF(AND(F553&gt;=1,R553&gt;=Inputs!$B$10),INDEX(LINEST(OFFSET(D553,-R553,0,R553,1),OFFSET(E553,-R553,0,R553,2)),1,2),"")</f>
        <v>1.00657996907201</v>
      </c>
      <c r="U553" s="29" t="n">
        <f aca="true">IF(AND(F553&gt;=1,R553&gt;=Inputs!$B$10),INDEX(LINEST(OFFSET(D553,-R553,0,R553,1),OFFSET(E553,-R553,0,R553,2)),1,3),"")</f>
        <v>4.46960138675619</v>
      </c>
      <c r="V553" s="29" t="n">
        <f aca="true">IF(AND(F553&gt;=1,R553&gt;=Inputs!$B$10),SQRT(SUMPRODUCT((OFFSET(D553,-R553,0,R553,1)-U553-T553*OFFSET(E553,-R553,0,R553,1)-S553*OFFSET(F553,-R553,0,R553,1))^2)/(R553-3)),"")</f>
        <v>0.00229769512397274</v>
      </c>
      <c r="W553" s="31" t="n">
        <f aca="false">IF(AND(F553&gt;=1,R553&gt;=Inputs!$B$10),(D553-U553-T553*E553-S553*F553)/V553,"")</f>
        <v>-1.57414941775928</v>
      </c>
      <c r="X553" s="30" t="n">
        <f aca="false">IF(AB552&lt;&gt;0,AC552+1,0)</f>
        <v>0</v>
      </c>
      <c r="Y553" s="30" t="n">
        <f aca="false">IF(W553="",0,IF(AND(AB552&lt;&gt;0,OR(ABS(W553)&gt;Inputs!$B$7,X553&gt;=Inputs!$B$8,ABS(W553)&lt;Inputs!$B$6)),1,0))</f>
        <v>0</v>
      </c>
      <c r="Z553" s="30" t="n">
        <f aca="false">IF(Y553=1,0,AB552)</f>
        <v>0</v>
      </c>
      <c r="AA553" s="30" t="n">
        <f aca="false">IF(W553="",0,IF(AND(Z553=0,ABS(W553)&gt;Inputs!$B$5,ABS(W553)&lt;=Inputs!$B$7),1,0))</f>
        <v>0</v>
      </c>
      <c r="AB553" s="30" t="n">
        <f aca="false">IF(W553="",0,IF(AA553=1,-SIGN(W553),Z553))</f>
        <v>0</v>
      </c>
      <c r="AC553" s="30" t="n">
        <f aca="false">IF(W553="",0,IF(AA553=1,0,IF(Y553=1,0,X553)))</f>
        <v>0</v>
      </c>
      <c r="AD553" s="30" t="n">
        <f aca="false">IF(AB553=0,0,IF(AB552=AB553,AD552,T553))</f>
        <v>0</v>
      </c>
      <c r="AE553" s="30" t="n">
        <f aca="false">AB553-AB552</f>
        <v>0</v>
      </c>
      <c r="AF553" s="30" t="n">
        <f aca="false">-AD553*AB553</f>
        <v>-0</v>
      </c>
      <c r="AG553" s="30" t="n">
        <f aca="false">AF553-AF552</f>
        <v>0</v>
      </c>
      <c r="AH553" s="30" t="n">
        <f aca="false">MAX(AE553,0)*(Inputs!$B$17+Inputs!$B$18+Inputs!$B$19)+MAX(-AE553,0)*(O553+Inputs!$B$18+Inputs!$B$19)+IF(AND(K553=1,AB553&lt;&gt;0),(Inputs!$B$17+Inputs!$B$18+Inputs!$B$19)+(O553+Inputs!$B$18+Inputs!$B$19),0)+MAX(AG553,0)*(Inputs!$B$20+Inputs!$B$22+Inputs!$B$23)+MAX(-AG553,0)*(Inputs!$B$21+Inputs!$B$22+Inputs!$B$23)</f>
        <v>0</v>
      </c>
      <c r="AI553" s="30" t="n">
        <f aca="false">AB552*(M553-AD552*J553)+AB552*AD552*N553/Inputs!$B$16-AH553</f>
        <v>0</v>
      </c>
      <c r="AJ553" s="30" t="n">
        <f aca="false">MAX(AE553,0)*(Inputs!$B$17+Inputs!$B$24+Inputs!$B$25)+MAX(-AE553,0)*(O553+Inputs!$B$24+Inputs!$B$25)+IF(AND(K553=1,AB553&lt;&gt;0),(Inputs!$B$17+Inputs!$B$24+Inputs!$B$25)+(O553+Inputs!$B$24+Inputs!$B$25),0)+MAX(AG553,0)*(Inputs!$B$20+Inputs!$B$26+Inputs!$B$27)+MAX(-AG553,0)*(Inputs!$B$21+Inputs!$B$26+Inputs!$B$27)</f>
        <v>0</v>
      </c>
      <c r="AK553" s="30" t="n">
        <f aca="false">AB552*(M553-AD552*J553)+AB552*AD552*(N553+Inputs!$B$14)/Inputs!$B$16-AJ553</f>
        <v>0</v>
      </c>
      <c r="AL553" s="30" t="n">
        <f aca="false">IF(AP552&lt;&gt;0,AQ552+1,0)</f>
        <v>0</v>
      </c>
      <c r="AM553" s="30" t="n">
        <f aca="false">IF(W553="",0,IF(AND(AP552&lt;&gt;0,OR(ABS(W553)&gt;Inputs!$B$7,AL553&gt;=Inputs!$B$8,ABS(W553)&lt;Inputs!$B$6)),1,0))</f>
        <v>0</v>
      </c>
      <c r="AN553" s="30" t="n">
        <f aca="false">IF(AM553=1,0,AP552)</f>
        <v>0</v>
      </c>
      <c r="AO553" s="30" t="n">
        <f aca="false">IF(W553="",0,IF(AND(AN553=0,ABS(W553)&gt;Inputs!$B$5,ABS(W553)&lt;=Inputs!$B$7,W553&gt;0),1,0))</f>
        <v>0</v>
      </c>
      <c r="AP553" s="30" t="n">
        <f aca="false">IF(W553="",0,IF(AO553=1,-SIGN(W553),AN553))</f>
        <v>0</v>
      </c>
      <c r="AQ553" s="30" t="n">
        <f aca="false">IF(W553="",0,IF(AO553=1,0,IF(AM553=1,0,AL553)))</f>
        <v>0</v>
      </c>
      <c r="AR553" s="30" t="n">
        <f aca="false">IF(AP553=0,0,IF(AP552=AP553,AR552,T553))</f>
        <v>0</v>
      </c>
      <c r="AS553" s="30" t="n">
        <f aca="false">AP553-AP552</f>
        <v>0</v>
      </c>
      <c r="AT553" s="30" t="n">
        <f aca="false">-AR553*AP553</f>
        <v>-0</v>
      </c>
      <c r="AU553" s="30" t="n">
        <f aca="false">AT553-AT552</f>
        <v>0</v>
      </c>
      <c r="AV553" s="30" t="n">
        <f aca="false">MAX(AS553,0)*(Inputs!$B$17+Inputs!$B$18+Inputs!$B$19)+MAX(-AS553,0)*(O553+Inputs!$B$18+Inputs!$B$19)+IF(AND(K553=1,AP553&lt;&gt;0),(Inputs!$B$17+Inputs!$B$18+Inputs!$B$19)+(O553+Inputs!$B$18+Inputs!$B$19),0)+MAX(AU553,0)*(Inputs!$B$20+Inputs!$B$22+Inputs!$B$23)+MAX(-AU553,0)*(Inputs!$B$21+Inputs!$B$22+Inputs!$B$23)</f>
        <v>0</v>
      </c>
      <c r="AW553" s="30" t="n">
        <f aca="false">AP552*(M553-AR552*J553)+AP552*AR552*N553/Inputs!$B$16-AV553</f>
        <v>0</v>
      </c>
      <c r="AX553" s="30" t="n">
        <f aca="false">AW553-IF(AP552&lt;&gt;0,0.75*AR552*(Inputs!$B$13-N553)/Inputs!$B$16,0)</f>
        <v>0</v>
      </c>
      <c r="AY553" s="30" t="n">
        <f aca="false">MAX(AS553,0)*(Inputs!$B$17+Inputs!$B$18+Inputs!$B$19)+MAX(-AS553,0)*(O553+Inputs!$B$18+Inputs!$B$19)+IF(AND(K553=1,AP553&lt;&gt;0),(Inputs!$B$17+Inputs!$B$18+Inputs!$B$19)+(O553+Inputs!$B$18+Inputs!$B$19),0)</f>
        <v>0</v>
      </c>
      <c r="AZ553" s="30" t="n">
        <f aca="false">AP552*M553-AY553</f>
        <v>-0</v>
      </c>
      <c r="BA553" s="32" t="n">
        <f aca="false">BA552+AI553</f>
        <v>0.00811513694847867</v>
      </c>
      <c r="BB553" s="30" t="n">
        <f aca="false">MAX(BB552,BA553)</f>
        <v>0.00951432838063029</v>
      </c>
      <c r="BC553" s="32" t="n">
        <f aca="false">BA553-BB553</f>
        <v>-0.00139919143215162</v>
      </c>
      <c r="BD553" s="30" t="n">
        <f aca="false">A554-A553</f>
        <v>1</v>
      </c>
    </row>
    <row r="554" customFormat="false" ht="15" hidden="false" customHeight="false" outlineLevel="0" collapsed="false">
      <c r="A554" s="28" t="n">
        <v>45855</v>
      </c>
      <c r="B554" s="0" t="n">
        <v>25173.8</v>
      </c>
      <c r="C554" s="0" t="n">
        <v>282.94</v>
      </c>
      <c r="D554" s="29" t="n">
        <f aca="false">LN(B554)</f>
        <v>10.133559050115</v>
      </c>
      <c r="E554" s="29" t="n">
        <f aca="false">LN(C554)</f>
        <v>5.64523486103079</v>
      </c>
      <c r="F554" s="0" t="n">
        <v>549</v>
      </c>
      <c r="G554" s="0" t="n">
        <v>14</v>
      </c>
      <c r="H554" s="29" t="n">
        <f aca="false">D554-E554</f>
        <v>4.48832418908425</v>
      </c>
      <c r="I554" s="29" t="n">
        <f aca="false">D554-D553</f>
        <v>-0.00278077124389853</v>
      </c>
      <c r="J554" s="29" t="n">
        <f aca="false">E554-E553</f>
        <v>-0.00250622274178802</v>
      </c>
      <c r="K554" s="0" t="n">
        <v>0</v>
      </c>
      <c r="L554" s="0" t="n">
        <v>0</v>
      </c>
      <c r="M554" s="29" t="n">
        <f aca="false">IF(L554=1,J554-Carry!$B$9/Inputs!$B$16,I554)</f>
        <v>-0.00278077124389853</v>
      </c>
      <c r="N554" s="0" t="n">
        <v>0.055</v>
      </c>
      <c r="O554" s="0" t="n">
        <v>0.0002</v>
      </c>
      <c r="P554" s="29" t="n">
        <f aca="false">D554-('2 Hedge ratio'!$B$6+'2 Hedge ratio'!$B$5*E554)</f>
        <v>-1.17496559006725E-005</v>
      </c>
      <c r="Q554" s="29" t="n">
        <f aca="false">D554-('5 Re-specification'!$B$7+'5 Re-specification'!$B$5*E554+'5 Re-specification'!$B$6*F554)</f>
        <v>-0.0011027518625415</v>
      </c>
      <c r="R554" s="30" t="n">
        <f aca="false">MIN(F554,Inputs!$B$9)</f>
        <v>250</v>
      </c>
      <c r="S554" s="29" t="n">
        <f aca="true">IF(AND(F554&gt;=1,R554&gt;=Inputs!$B$10),INDEX(LINEST(OFFSET(D554,-R554,0,R554,1),OFFSET(E554,-R554,0,R554,2)),1,1),"")</f>
        <v>-2.66081009883046E-005</v>
      </c>
      <c r="T554" s="29" t="n">
        <f aca="true">IF(AND(F554&gt;=1,R554&gt;=Inputs!$B$10),INDEX(LINEST(OFFSET(D554,-R554,0,R554,1),OFFSET(E554,-R554,0,R554,2)),1,2),"")</f>
        <v>1.00606188959085</v>
      </c>
      <c r="U554" s="29" t="n">
        <f aca="true">IF(AND(F554&gt;=1,R554&gt;=Inputs!$B$10),INDEX(LINEST(OFFSET(D554,-R554,0,R554,1),OFFSET(E554,-R554,0,R554,2)),1,3),"")</f>
        <v>4.47250239748905</v>
      </c>
      <c r="V554" s="29" t="n">
        <f aca="true">IF(AND(F554&gt;=1,R554&gt;=Inputs!$B$10),SQRT(SUMPRODUCT((OFFSET(D554,-R554,0,R554,1)-U554-T554*OFFSET(E554,-R554,0,R554,1)-S554*OFFSET(F554,-R554,0,R554,1))^2)/(R554-3)),"")</f>
        <v>0.00229976407802874</v>
      </c>
      <c r="W554" s="31" t="n">
        <f aca="false">IF(AND(F554&gt;=1,R554&gt;=Inputs!$B$10),(D554-U554-T554*E554-S554*F554)/V554,"")</f>
        <v>-1.64849579155809</v>
      </c>
      <c r="X554" s="30" t="n">
        <f aca="false">IF(AB553&lt;&gt;0,AC553+1,0)</f>
        <v>0</v>
      </c>
      <c r="Y554" s="30" t="n">
        <f aca="false">IF(W554="",0,IF(AND(AB553&lt;&gt;0,OR(ABS(W554)&gt;Inputs!$B$7,X554&gt;=Inputs!$B$8,ABS(W554)&lt;Inputs!$B$6)),1,0))</f>
        <v>0</v>
      </c>
      <c r="Z554" s="30" t="n">
        <f aca="false">IF(Y554=1,0,AB553)</f>
        <v>0</v>
      </c>
      <c r="AA554" s="30" t="n">
        <f aca="false">IF(W554="",0,IF(AND(Z554=0,ABS(W554)&gt;Inputs!$B$5,ABS(W554)&lt;=Inputs!$B$7),1,0))</f>
        <v>0</v>
      </c>
      <c r="AB554" s="30" t="n">
        <f aca="false">IF(W554="",0,IF(AA554=1,-SIGN(W554),Z554))</f>
        <v>0</v>
      </c>
      <c r="AC554" s="30" t="n">
        <f aca="false">IF(W554="",0,IF(AA554=1,0,IF(Y554=1,0,X554)))</f>
        <v>0</v>
      </c>
      <c r="AD554" s="30" t="n">
        <f aca="false">IF(AB554=0,0,IF(AB553=AB554,AD553,T554))</f>
        <v>0</v>
      </c>
      <c r="AE554" s="30" t="n">
        <f aca="false">AB554-AB553</f>
        <v>0</v>
      </c>
      <c r="AF554" s="30" t="n">
        <f aca="false">-AD554*AB554</f>
        <v>-0</v>
      </c>
      <c r="AG554" s="30" t="n">
        <f aca="false">AF554-AF553</f>
        <v>0</v>
      </c>
      <c r="AH554" s="30" t="n">
        <f aca="false">MAX(AE554,0)*(Inputs!$B$17+Inputs!$B$18+Inputs!$B$19)+MAX(-AE554,0)*(O554+Inputs!$B$18+Inputs!$B$19)+IF(AND(K554=1,AB554&lt;&gt;0),(Inputs!$B$17+Inputs!$B$18+Inputs!$B$19)+(O554+Inputs!$B$18+Inputs!$B$19),0)+MAX(AG554,0)*(Inputs!$B$20+Inputs!$B$22+Inputs!$B$23)+MAX(-AG554,0)*(Inputs!$B$21+Inputs!$B$22+Inputs!$B$23)</f>
        <v>0</v>
      </c>
      <c r="AI554" s="30" t="n">
        <f aca="false">AB553*(M554-AD553*J554)+AB553*AD553*N554/Inputs!$B$16-AH554</f>
        <v>0</v>
      </c>
      <c r="AJ554" s="30" t="n">
        <f aca="false">MAX(AE554,0)*(Inputs!$B$17+Inputs!$B$24+Inputs!$B$25)+MAX(-AE554,0)*(O554+Inputs!$B$24+Inputs!$B$25)+IF(AND(K554=1,AB554&lt;&gt;0),(Inputs!$B$17+Inputs!$B$24+Inputs!$B$25)+(O554+Inputs!$B$24+Inputs!$B$25),0)+MAX(AG554,0)*(Inputs!$B$20+Inputs!$B$26+Inputs!$B$27)+MAX(-AG554,0)*(Inputs!$B$21+Inputs!$B$26+Inputs!$B$27)</f>
        <v>0</v>
      </c>
      <c r="AK554" s="30" t="n">
        <f aca="false">AB553*(M554-AD553*J554)+AB553*AD553*(N554+Inputs!$B$14)/Inputs!$B$16-AJ554</f>
        <v>0</v>
      </c>
      <c r="AL554" s="30" t="n">
        <f aca="false">IF(AP553&lt;&gt;0,AQ553+1,0)</f>
        <v>0</v>
      </c>
      <c r="AM554" s="30" t="n">
        <f aca="false">IF(W554="",0,IF(AND(AP553&lt;&gt;0,OR(ABS(W554)&gt;Inputs!$B$7,AL554&gt;=Inputs!$B$8,ABS(W554)&lt;Inputs!$B$6)),1,0))</f>
        <v>0</v>
      </c>
      <c r="AN554" s="30" t="n">
        <f aca="false">IF(AM554=1,0,AP553)</f>
        <v>0</v>
      </c>
      <c r="AO554" s="30" t="n">
        <f aca="false">IF(W554="",0,IF(AND(AN554=0,ABS(W554)&gt;Inputs!$B$5,ABS(W554)&lt;=Inputs!$B$7,W554&gt;0),1,0))</f>
        <v>0</v>
      </c>
      <c r="AP554" s="30" t="n">
        <f aca="false">IF(W554="",0,IF(AO554=1,-SIGN(W554),AN554))</f>
        <v>0</v>
      </c>
      <c r="AQ554" s="30" t="n">
        <f aca="false">IF(W554="",0,IF(AO554=1,0,IF(AM554=1,0,AL554)))</f>
        <v>0</v>
      </c>
      <c r="AR554" s="30" t="n">
        <f aca="false">IF(AP554=0,0,IF(AP553=AP554,AR553,T554))</f>
        <v>0</v>
      </c>
      <c r="AS554" s="30" t="n">
        <f aca="false">AP554-AP553</f>
        <v>0</v>
      </c>
      <c r="AT554" s="30" t="n">
        <f aca="false">-AR554*AP554</f>
        <v>-0</v>
      </c>
      <c r="AU554" s="30" t="n">
        <f aca="false">AT554-AT553</f>
        <v>0</v>
      </c>
      <c r="AV554" s="30" t="n">
        <f aca="false">MAX(AS554,0)*(Inputs!$B$17+Inputs!$B$18+Inputs!$B$19)+MAX(-AS554,0)*(O554+Inputs!$B$18+Inputs!$B$19)+IF(AND(K554=1,AP554&lt;&gt;0),(Inputs!$B$17+Inputs!$B$18+Inputs!$B$19)+(O554+Inputs!$B$18+Inputs!$B$19),0)+MAX(AU554,0)*(Inputs!$B$20+Inputs!$B$22+Inputs!$B$23)+MAX(-AU554,0)*(Inputs!$B$21+Inputs!$B$22+Inputs!$B$23)</f>
        <v>0</v>
      </c>
      <c r="AW554" s="30" t="n">
        <f aca="false">AP553*(M554-AR553*J554)+AP553*AR553*N554/Inputs!$B$16-AV554</f>
        <v>0</v>
      </c>
      <c r="AX554" s="30" t="n">
        <f aca="false">AW554-IF(AP553&lt;&gt;0,0.75*AR553*(Inputs!$B$13-N554)/Inputs!$B$16,0)</f>
        <v>0</v>
      </c>
      <c r="AY554" s="30" t="n">
        <f aca="false">MAX(AS554,0)*(Inputs!$B$17+Inputs!$B$18+Inputs!$B$19)+MAX(-AS554,0)*(O554+Inputs!$B$18+Inputs!$B$19)+IF(AND(K554=1,AP554&lt;&gt;0),(Inputs!$B$17+Inputs!$B$18+Inputs!$B$19)+(O554+Inputs!$B$18+Inputs!$B$19),0)</f>
        <v>0</v>
      </c>
      <c r="AZ554" s="30" t="n">
        <f aca="false">AP553*M554-AY554</f>
        <v>-0</v>
      </c>
      <c r="BA554" s="32" t="n">
        <f aca="false">BA553+AI554</f>
        <v>0.00811513694847867</v>
      </c>
      <c r="BB554" s="30" t="n">
        <f aca="false">MAX(BB553,BA554)</f>
        <v>0.00951432838063029</v>
      </c>
      <c r="BC554" s="32" t="n">
        <f aca="false">BA554-BB554</f>
        <v>-0.00139919143215162</v>
      </c>
      <c r="BD554" s="30" t="n">
        <f aca="false">A555-A554</f>
        <v>1</v>
      </c>
    </row>
    <row r="555" customFormat="false" ht="15" hidden="false" customHeight="false" outlineLevel="0" collapsed="false">
      <c r="A555" s="28" t="n">
        <v>45856</v>
      </c>
      <c r="B555" s="0" t="n">
        <v>25027</v>
      </c>
      <c r="C555" s="0" t="n">
        <v>281.6</v>
      </c>
      <c r="D555" s="29" t="n">
        <f aca="false">LN(B555)</f>
        <v>10.1277105210699</v>
      </c>
      <c r="E555" s="29" t="n">
        <f aca="false">LN(C555)</f>
        <v>5.64048762428389</v>
      </c>
      <c r="F555" s="0" t="n">
        <v>550</v>
      </c>
      <c r="G555" s="0" t="n">
        <v>13</v>
      </c>
      <c r="H555" s="29" t="n">
        <f aca="false">D555-E555</f>
        <v>4.48722289678602</v>
      </c>
      <c r="I555" s="29" t="n">
        <f aca="false">D555-D554</f>
        <v>-0.00584852904513511</v>
      </c>
      <c r="J555" s="29" t="n">
        <f aca="false">E555-E554</f>
        <v>-0.00474723674690125</v>
      </c>
      <c r="K555" s="0" t="n">
        <v>0</v>
      </c>
      <c r="L555" s="0" t="n">
        <v>0</v>
      </c>
      <c r="M555" s="29" t="n">
        <f aca="false">IF(L555=1,J555-Carry!$B$9/Inputs!$B$16,I555)</f>
        <v>-0.00584852904513511</v>
      </c>
      <c r="N555" s="0" t="n">
        <v>0.055</v>
      </c>
      <c r="O555" s="0" t="n">
        <v>0.0002</v>
      </c>
      <c r="P555" s="29" t="n">
        <f aca="false">D555-('2 Hedge ratio'!$B$6+'2 Hedge ratio'!$B$5*E555)</f>
        <v>-0.00151120808471994</v>
      </c>
      <c r="Q555" s="29" t="n">
        <f aca="false">D555-('5 Re-specification'!$B$7+'5 Re-specification'!$B$5*E555+'5 Re-specification'!$B$6*F555)</f>
        <v>-0.00217350134373895</v>
      </c>
      <c r="R555" s="30" t="n">
        <f aca="false">MIN(F555,Inputs!$B$9)</f>
        <v>250</v>
      </c>
      <c r="S555" s="29" t="n">
        <f aca="true">IF(AND(F555&gt;=1,R555&gt;=Inputs!$B$10),INDEX(LINEST(OFFSET(D555,-R555,0,R555,1),OFFSET(E555,-R555,0,R555,2)),1,1),"")</f>
        <v>-2.6727618241813E-005</v>
      </c>
      <c r="T555" s="29" t="n">
        <f aca="true">IF(AND(F555&gt;=1,R555&gt;=Inputs!$B$10),INDEX(LINEST(OFFSET(D555,-R555,0,R555,1),OFFSET(E555,-R555,0,R555,2)),1,2),"")</f>
        <v>1.00551411614156</v>
      </c>
      <c r="U555" s="29" t="n">
        <f aca="true">IF(AND(F555&gt;=1,R555&gt;=Inputs!$B$10),INDEX(LINEST(OFFSET(D555,-R555,0,R555,1),OFFSET(E555,-R555,0,R555,2)),1,3),"")</f>
        <v>4.47559573174195</v>
      </c>
      <c r="V555" s="29" t="n">
        <f aca="true">IF(AND(F555&gt;=1,R555&gt;=Inputs!$B$10),SQRT(SUMPRODUCT((OFFSET(D555,-R555,0,R555,1)-U555-T555*OFFSET(E555,-R555,0,R555,1)-S555*OFFSET(F555,-R555,0,R555,1))^2)/(R555-3)),"")</f>
        <v>0.00230530661140883</v>
      </c>
      <c r="W555" s="31" t="n">
        <f aca="false">IF(AND(F555&gt;=1,R555&gt;=Inputs!$B$10),(D555-U555-T555*E555-S555*F555)/V555,"")</f>
        <v>-2.07128576938445</v>
      </c>
      <c r="X555" s="30" t="n">
        <f aca="false">IF(AB554&lt;&gt;0,AC554+1,0)</f>
        <v>0</v>
      </c>
      <c r="Y555" s="30" t="n">
        <f aca="false">IF(W555="",0,IF(AND(AB554&lt;&gt;0,OR(ABS(W555)&gt;Inputs!$B$7,X555&gt;=Inputs!$B$8,ABS(W555)&lt;Inputs!$B$6)),1,0))</f>
        <v>0</v>
      </c>
      <c r="Z555" s="30" t="n">
        <f aca="false">IF(Y555=1,0,AB554)</f>
        <v>0</v>
      </c>
      <c r="AA555" s="30" t="n">
        <f aca="false">IF(W555="",0,IF(AND(Z555=0,ABS(W555)&gt;Inputs!$B$5,ABS(W555)&lt;=Inputs!$B$7),1,0))</f>
        <v>1</v>
      </c>
      <c r="AB555" s="30" t="n">
        <f aca="false">IF(W555="",0,IF(AA555=1,-SIGN(W555),Z555))</f>
        <v>1</v>
      </c>
      <c r="AC555" s="30" t="n">
        <f aca="false">IF(W555="",0,IF(AA555=1,0,IF(Y555=1,0,X555)))</f>
        <v>0</v>
      </c>
      <c r="AD555" s="29" t="n">
        <f aca="false">IF(AB555=0,0,IF(AB554=AB555,AD554,T555))</f>
        <v>1.00551411614156</v>
      </c>
      <c r="AE555" s="30" t="n">
        <f aca="false">AB555-AB554</f>
        <v>1</v>
      </c>
      <c r="AF555" s="30" t="n">
        <f aca="false">-AD555*AB555</f>
        <v>-1.00551411614156</v>
      </c>
      <c r="AG555" s="30" t="n">
        <f aca="false">AF555-AF554</f>
        <v>-1.00551411614156</v>
      </c>
      <c r="AH555" s="30" t="n">
        <f aca="false">MAX(AE555,0)*(Inputs!$B$17+Inputs!$B$18+Inputs!$B$19)+MAX(-AE555,0)*(O555+Inputs!$B$18+Inputs!$B$19)+IF(AND(K555=1,AB555&lt;&gt;0),(Inputs!$B$17+Inputs!$B$18+Inputs!$B$19)+(O555+Inputs!$B$18+Inputs!$B$19),0)+MAX(AG555,0)*(Inputs!$B$20+Inputs!$B$22+Inputs!$B$23)+MAX(-AG555,0)*(Inputs!$B$21+Inputs!$B$22+Inputs!$B$23)</f>
        <v>0.000366157964389728</v>
      </c>
      <c r="AI555" s="30" t="n">
        <f aca="false">AB554*(M555-AD554*J555)+AB554*AD554*N555/Inputs!$B$16-AH555</f>
        <v>-0.000366157964389728</v>
      </c>
      <c r="AJ555" s="30" t="n">
        <f aca="false">MAX(AE555,0)*(Inputs!$B$17+Inputs!$B$24+Inputs!$B$25)+MAX(-AE555,0)*(O555+Inputs!$B$24+Inputs!$B$25)+IF(AND(K555=1,AB555&lt;&gt;0),(Inputs!$B$17+Inputs!$B$24+Inputs!$B$25)+(O555+Inputs!$B$24+Inputs!$B$25),0)+MAX(AG555,0)*(Inputs!$B$20+Inputs!$B$26+Inputs!$B$27)+MAX(-AG555,0)*(Inputs!$B$21+Inputs!$B$26+Inputs!$B$27)</f>
        <v>0.00020563412335628</v>
      </c>
      <c r="AK555" s="30" t="n">
        <f aca="false">AB554*(M555-AD554*J555)+AB554*AD554*(N555+Inputs!$B$14)/Inputs!$B$16-AJ555</f>
        <v>-0.00020563412335628</v>
      </c>
      <c r="AL555" s="30" t="n">
        <f aca="false">IF(AP554&lt;&gt;0,AQ554+1,0)</f>
        <v>0</v>
      </c>
      <c r="AM555" s="30" t="n">
        <f aca="false">IF(W555="",0,IF(AND(AP554&lt;&gt;0,OR(ABS(W555)&gt;Inputs!$B$7,AL555&gt;=Inputs!$B$8,ABS(W555)&lt;Inputs!$B$6)),1,0))</f>
        <v>0</v>
      </c>
      <c r="AN555" s="30" t="n">
        <f aca="false">IF(AM555=1,0,AP554)</f>
        <v>0</v>
      </c>
      <c r="AO555" s="30" t="n">
        <f aca="false">IF(W555="",0,IF(AND(AN555=0,ABS(W555)&gt;Inputs!$B$5,ABS(W555)&lt;=Inputs!$B$7,W555&gt;0),1,0))</f>
        <v>0</v>
      </c>
      <c r="AP555" s="30" t="n">
        <f aca="false">IF(W555="",0,IF(AO555=1,-SIGN(W555),AN555))</f>
        <v>0</v>
      </c>
      <c r="AQ555" s="30" t="n">
        <f aca="false">IF(W555="",0,IF(AO555=1,0,IF(AM555=1,0,AL555)))</f>
        <v>0</v>
      </c>
      <c r="AR555" s="30" t="n">
        <f aca="false">IF(AP555=0,0,IF(AP554=AP555,AR554,T555))</f>
        <v>0</v>
      </c>
      <c r="AS555" s="30" t="n">
        <f aca="false">AP555-AP554</f>
        <v>0</v>
      </c>
      <c r="AT555" s="30" t="n">
        <f aca="false">-AR555*AP555</f>
        <v>-0</v>
      </c>
      <c r="AU555" s="30" t="n">
        <f aca="false">AT555-AT554</f>
        <v>0</v>
      </c>
      <c r="AV555" s="30" t="n">
        <f aca="false">MAX(AS555,0)*(Inputs!$B$17+Inputs!$B$18+Inputs!$B$19)+MAX(-AS555,0)*(O555+Inputs!$B$18+Inputs!$B$19)+IF(AND(K555=1,AP555&lt;&gt;0),(Inputs!$B$17+Inputs!$B$18+Inputs!$B$19)+(O555+Inputs!$B$18+Inputs!$B$19),0)+MAX(AU555,0)*(Inputs!$B$20+Inputs!$B$22+Inputs!$B$23)+MAX(-AU555,0)*(Inputs!$B$21+Inputs!$B$22+Inputs!$B$23)</f>
        <v>0</v>
      </c>
      <c r="AW555" s="30" t="n">
        <f aca="false">AP554*(M555-AR554*J555)+AP554*AR554*N555/Inputs!$B$16-AV555</f>
        <v>0</v>
      </c>
      <c r="AX555" s="30" t="n">
        <f aca="false">AW555-IF(AP554&lt;&gt;0,0.75*AR554*(Inputs!$B$13-N555)/Inputs!$B$16,0)</f>
        <v>0</v>
      </c>
      <c r="AY555" s="30" t="n">
        <f aca="false">MAX(AS555,0)*(Inputs!$B$17+Inputs!$B$18+Inputs!$B$19)+MAX(-AS555,0)*(O555+Inputs!$B$18+Inputs!$B$19)+IF(AND(K555=1,AP555&lt;&gt;0),(Inputs!$B$17+Inputs!$B$18+Inputs!$B$19)+(O555+Inputs!$B$18+Inputs!$B$19),0)</f>
        <v>0</v>
      </c>
      <c r="AZ555" s="30" t="n">
        <f aca="false">AP554*M555-AY555</f>
        <v>-0</v>
      </c>
      <c r="BA555" s="32" t="n">
        <f aca="false">BA554+AI555</f>
        <v>0.00774897898408894</v>
      </c>
      <c r="BB555" s="30" t="n">
        <f aca="false">MAX(BB554,BA555)</f>
        <v>0.00951432838063029</v>
      </c>
      <c r="BC555" s="32" t="n">
        <f aca="false">BA555-BB555</f>
        <v>-0.00176534939654135</v>
      </c>
      <c r="BD555" s="30" t="n">
        <f aca="false">A556-A555</f>
        <v>3</v>
      </c>
    </row>
    <row r="556" customFormat="false" ht="15" hidden="false" customHeight="false" outlineLevel="0" collapsed="false">
      <c r="A556" s="28" t="n">
        <v>45859</v>
      </c>
      <c r="B556" s="0" t="n">
        <v>25139.7</v>
      </c>
      <c r="C556" s="0" t="n">
        <v>282.49</v>
      </c>
      <c r="D556" s="29" t="n">
        <f aca="false">LN(B556)</f>
        <v>10.1322035488988</v>
      </c>
      <c r="E556" s="29" t="n">
        <f aca="false">LN(C556)</f>
        <v>5.64364315172988</v>
      </c>
      <c r="F556" s="0" t="n">
        <v>551</v>
      </c>
      <c r="G556" s="0" t="n">
        <v>10</v>
      </c>
      <c r="H556" s="29" t="n">
        <f aca="false">D556-E556</f>
        <v>4.48856039716894</v>
      </c>
      <c r="I556" s="29" t="n">
        <f aca="false">D556-D555</f>
        <v>0.00449302782891081</v>
      </c>
      <c r="J556" s="29" t="n">
        <f aca="false">E556-E555</f>
        <v>0.00315552744598779</v>
      </c>
      <c r="K556" s="0" t="n">
        <v>0</v>
      </c>
      <c r="L556" s="0" t="n">
        <v>0</v>
      </c>
      <c r="M556" s="29" t="n">
        <f aca="false">IF(L556=1,J556-Carry!$B$9/Inputs!$B$16,I556)</f>
        <v>0.00449302782891081</v>
      </c>
      <c r="N556" s="0" t="n">
        <v>0.055</v>
      </c>
      <c r="O556" s="0" t="n">
        <v>0.0002</v>
      </c>
      <c r="P556" s="29" t="n">
        <f aca="false">D556-('2 Hedge ratio'!$B$6+'2 Hedge ratio'!$B$5*E556)</f>
        <v>9.09566113822535E-005</v>
      </c>
      <c r="Q556" s="29" t="n">
        <f aca="false">D556-('5 Re-specification'!$B$7+'5 Re-specification'!$B$5*E556+'5 Re-specification'!$B$6*F556)</f>
        <v>-0.000781508816727339</v>
      </c>
      <c r="R556" s="30" t="n">
        <f aca="false">MIN(F556,Inputs!$B$9)</f>
        <v>250</v>
      </c>
      <c r="S556" s="29" t="n">
        <f aca="true">IF(AND(F556&gt;=1,R556&gt;=Inputs!$B$10),INDEX(LINEST(OFFSET(D556,-R556,0,R556,1),OFFSET(E556,-R556,0,R556,2)),1,1),"")</f>
        <v>-2.70518664760367E-005</v>
      </c>
      <c r="T556" s="29" t="n">
        <f aca="true">IF(AND(F556&gt;=1,R556&gt;=Inputs!$B$10),INDEX(LINEST(OFFSET(D556,-R556,0,R556,1),OFFSET(E556,-R556,0,R556,2)),1,2),"")</f>
        <v>1.00490084970765</v>
      </c>
      <c r="U556" s="29" t="n">
        <f aca="true">IF(AND(F556&gt;=1,R556&gt;=Inputs!$B$10),INDEX(LINEST(OFFSET(D556,-R556,0,R556,1),OFFSET(E556,-R556,0,R556,2)),1,3),"")</f>
        <v>4.47914393983344</v>
      </c>
      <c r="V556" s="29" t="n">
        <f aca="true">IF(AND(F556&gt;=1,R556&gt;=Inputs!$B$10),SQRT(SUMPRODUCT((OFFSET(D556,-R556,0,R556,1)-U556-T556*OFFSET(E556,-R556,0,R556,1)-S556*OFFSET(F556,-R556,0,R556,1))^2)/(R556-3)),"")</f>
        <v>0.00232252780072437</v>
      </c>
      <c r="W556" s="31" t="n">
        <f aca="false">IF(AND(F556&gt;=1,R556&gt;=Inputs!$B$10),(D556-U556-T556*E556-S556*F556)/V556,"")</f>
        <v>-1.43662914408429</v>
      </c>
      <c r="X556" s="30" t="n">
        <f aca="false">IF(AB555&lt;&gt;0,AC555+1,0)</f>
        <v>1</v>
      </c>
      <c r="Y556" s="30" t="n">
        <f aca="false">IF(W556="",0,IF(AND(AB555&lt;&gt;0,OR(ABS(W556)&gt;Inputs!$B$7,X556&gt;=Inputs!$B$8,ABS(W556)&lt;Inputs!$B$6)),1,0))</f>
        <v>0</v>
      </c>
      <c r="Z556" s="30" t="n">
        <f aca="false">IF(Y556=1,0,AB555)</f>
        <v>1</v>
      </c>
      <c r="AA556" s="30" t="n">
        <f aca="false">IF(W556="",0,IF(AND(Z556=0,ABS(W556)&gt;Inputs!$B$5,ABS(W556)&lt;=Inputs!$B$7),1,0))</f>
        <v>0</v>
      </c>
      <c r="AB556" s="30" t="n">
        <f aca="false">IF(W556="",0,IF(AA556=1,-SIGN(W556),Z556))</f>
        <v>1</v>
      </c>
      <c r="AC556" s="30" t="n">
        <f aca="false">IF(W556="",0,IF(AA556=1,0,IF(Y556=1,0,X556)))</f>
        <v>1</v>
      </c>
      <c r="AD556" s="29" t="n">
        <f aca="false">IF(AB556=0,0,IF(AB555=AB556,AD555,T556))</f>
        <v>1.00551411614156</v>
      </c>
      <c r="AE556" s="30" t="n">
        <f aca="false">AB556-AB555</f>
        <v>0</v>
      </c>
      <c r="AF556" s="30" t="n">
        <f aca="false">-AD556*AB556</f>
        <v>-1.00551411614156</v>
      </c>
      <c r="AG556" s="30" t="n">
        <f aca="false">AF556-AF555</f>
        <v>0</v>
      </c>
      <c r="AH556" s="30" t="n">
        <f aca="false">MAX(AE556,0)*(Inputs!$B$17+Inputs!$B$18+Inputs!$B$19)+MAX(-AE556,0)*(O556+Inputs!$B$18+Inputs!$B$19)+IF(AND(K556=1,AB556&lt;&gt;0),(Inputs!$B$17+Inputs!$B$18+Inputs!$B$19)+(O556+Inputs!$B$18+Inputs!$B$19),0)+MAX(AG556,0)*(Inputs!$B$20+Inputs!$B$22+Inputs!$B$23)+MAX(-AG556,0)*(Inputs!$B$21+Inputs!$B$22+Inputs!$B$23)</f>
        <v>0</v>
      </c>
      <c r="AI556" s="30" t="n">
        <f aca="false">AB555*(M556-AD555*J556)+AB555*AD555*N556/Inputs!$B$16-AH556</f>
        <v>0.00153955788408124</v>
      </c>
      <c r="AJ556" s="30" t="n">
        <f aca="false">MAX(AE556,0)*(Inputs!$B$17+Inputs!$B$24+Inputs!$B$25)+MAX(-AE556,0)*(O556+Inputs!$B$24+Inputs!$B$25)+IF(AND(K556=1,AB556&lt;&gt;0),(Inputs!$B$17+Inputs!$B$24+Inputs!$B$25)+(O556+Inputs!$B$24+Inputs!$B$25),0)+MAX(AG556,0)*(Inputs!$B$20+Inputs!$B$26+Inputs!$B$27)+MAX(-AG556,0)*(Inputs!$B$21+Inputs!$B$26+Inputs!$B$27)</f>
        <v>0</v>
      </c>
      <c r="AK556" s="30" t="n">
        <f aca="false">AB555*(M556-AD555*J556)+AB555*AD555*(N556+Inputs!$B$14)/Inputs!$B$16-AJ556</f>
        <v>0.00156948389944259</v>
      </c>
      <c r="AL556" s="30" t="n">
        <f aca="false">IF(AP555&lt;&gt;0,AQ555+1,0)</f>
        <v>0</v>
      </c>
      <c r="AM556" s="30" t="n">
        <f aca="false">IF(W556="",0,IF(AND(AP555&lt;&gt;0,OR(ABS(W556)&gt;Inputs!$B$7,AL556&gt;=Inputs!$B$8,ABS(W556)&lt;Inputs!$B$6)),1,0))</f>
        <v>0</v>
      </c>
      <c r="AN556" s="30" t="n">
        <f aca="false">IF(AM556=1,0,AP555)</f>
        <v>0</v>
      </c>
      <c r="AO556" s="30" t="n">
        <f aca="false">IF(W556="",0,IF(AND(AN556=0,ABS(W556)&gt;Inputs!$B$5,ABS(W556)&lt;=Inputs!$B$7,W556&gt;0),1,0))</f>
        <v>0</v>
      </c>
      <c r="AP556" s="30" t="n">
        <f aca="false">IF(W556="",0,IF(AO556=1,-SIGN(W556),AN556))</f>
        <v>0</v>
      </c>
      <c r="AQ556" s="30" t="n">
        <f aca="false">IF(W556="",0,IF(AO556=1,0,IF(AM556=1,0,AL556)))</f>
        <v>0</v>
      </c>
      <c r="AR556" s="30" t="n">
        <f aca="false">IF(AP556=0,0,IF(AP555=AP556,AR555,T556))</f>
        <v>0</v>
      </c>
      <c r="AS556" s="30" t="n">
        <f aca="false">AP556-AP555</f>
        <v>0</v>
      </c>
      <c r="AT556" s="30" t="n">
        <f aca="false">-AR556*AP556</f>
        <v>-0</v>
      </c>
      <c r="AU556" s="30" t="n">
        <f aca="false">AT556-AT555</f>
        <v>0</v>
      </c>
      <c r="AV556" s="30" t="n">
        <f aca="false">MAX(AS556,0)*(Inputs!$B$17+Inputs!$B$18+Inputs!$B$19)+MAX(-AS556,0)*(O556+Inputs!$B$18+Inputs!$B$19)+IF(AND(K556=1,AP556&lt;&gt;0),(Inputs!$B$17+Inputs!$B$18+Inputs!$B$19)+(O556+Inputs!$B$18+Inputs!$B$19),0)+MAX(AU556,0)*(Inputs!$B$20+Inputs!$B$22+Inputs!$B$23)+MAX(-AU556,0)*(Inputs!$B$21+Inputs!$B$22+Inputs!$B$23)</f>
        <v>0</v>
      </c>
      <c r="AW556" s="30" t="n">
        <f aca="false">AP555*(M556-AR555*J556)+AP555*AR555*N556/Inputs!$B$16-AV556</f>
        <v>0</v>
      </c>
      <c r="AX556" s="30" t="n">
        <f aca="false">AW556-IF(AP555&lt;&gt;0,0.75*AR555*(Inputs!$B$13-N556)/Inputs!$B$16,0)</f>
        <v>0</v>
      </c>
      <c r="AY556" s="30" t="n">
        <f aca="false">MAX(AS556,0)*(Inputs!$B$17+Inputs!$B$18+Inputs!$B$19)+MAX(-AS556,0)*(O556+Inputs!$B$18+Inputs!$B$19)+IF(AND(K556=1,AP556&lt;&gt;0),(Inputs!$B$17+Inputs!$B$18+Inputs!$B$19)+(O556+Inputs!$B$18+Inputs!$B$19),0)</f>
        <v>0</v>
      </c>
      <c r="AZ556" s="30" t="n">
        <f aca="false">AP555*M556-AY556</f>
        <v>0</v>
      </c>
      <c r="BA556" s="32" t="n">
        <f aca="false">BA555+AI556</f>
        <v>0.00928853686817018</v>
      </c>
      <c r="BB556" s="30" t="n">
        <f aca="false">MAX(BB555,BA556)</f>
        <v>0.00951432838063029</v>
      </c>
      <c r="BC556" s="32" t="n">
        <f aca="false">BA556-BB556</f>
        <v>-0.000225791512460116</v>
      </c>
      <c r="BD556" s="30" t="n">
        <f aca="false">A557-A556</f>
        <v>1</v>
      </c>
    </row>
    <row r="557" customFormat="false" ht="15" hidden="false" customHeight="false" outlineLevel="0" collapsed="false">
      <c r="A557" s="28" t="n">
        <v>45860</v>
      </c>
      <c r="B557" s="0" t="n">
        <v>25095</v>
      </c>
      <c r="C557" s="0" t="n">
        <v>282.1</v>
      </c>
      <c r="D557" s="29" t="n">
        <f aca="false">LN(B557)</f>
        <v>10.130423902089</v>
      </c>
      <c r="E557" s="29" t="n">
        <f aca="false">LN(C557)</f>
        <v>5.64226161800795</v>
      </c>
      <c r="F557" s="0" t="n">
        <v>552</v>
      </c>
      <c r="G557" s="0" t="n">
        <v>9</v>
      </c>
      <c r="H557" s="29" t="n">
        <f aca="false">D557-E557</f>
        <v>4.48816228408108</v>
      </c>
      <c r="I557" s="29" t="n">
        <f aca="false">D557-D556</f>
        <v>-0.00177964680977993</v>
      </c>
      <c r="J557" s="29" t="n">
        <f aca="false">E557-E556</f>
        <v>-0.00138153372192384</v>
      </c>
      <c r="K557" s="0" t="n">
        <v>0</v>
      </c>
      <c r="L557" s="0" t="n">
        <v>0</v>
      </c>
      <c r="M557" s="29" t="n">
        <f aca="false">IF(L557=1,J557-Carry!$B$9/Inputs!$B$16,I557)</f>
        <v>-0.00177964680977993</v>
      </c>
      <c r="N557" s="0" t="n">
        <v>0.055</v>
      </c>
      <c r="O557" s="0" t="n">
        <v>0.0002</v>
      </c>
      <c r="P557" s="29" t="n">
        <f aca="false">D557-('2 Hedge ratio'!$B$6+'2 Hedge ratio'!$B$5*E557)</f>
        <v>-0.000423030186940565</v>
      </c>
      <c r="Q557" s="29" t="n">
        <f aca="false">D557-('5 Re-specification'!$B$7+'5 Re-specification'!$B$5*E557+'5 Re-specification'!$B$6*F557)</f>
        <v>-0.00113887932445955</v>
      </c>
      <c r="R557" s="30" t="n">
        <f aca="false">MIN(F557,Inputs!$B$9)</f>
        <v>250</v>
      </c>
      <c r="S557" s="29" t="n">
        <f aca="true">IF(AND(F557&gt;=1,R557&gt;=Inputs!$B$10),INDEX(LINEST(OFFSET(D557,-R557,0,R557,1),OFFSET(E557,-R557,0,R557,2)),1,1),"")</f>
        <v>-2.71813069099306E-005</v>
      </c>
      <c r="T557" s="29" t="n">
        <f aca="true">IF(AND(F557&gt;=1,R557&gt;=Inputs!$B$10),INDEX(LINEST(OFFSET(D557,-R557,0,R557,1),OFFSET(E557,-R557,0,R557,2)),1,2),"")</f>
        <v>1.00439808878197</v>
      </c>
      <c r="U557" s="29" t="n">
        <f aca="true">IF(AND(F557&gt;=1,R557&gt;=Inputs!$B$10),INDEX(LINEST(OFFSET(D557,-R557,0,R557,1),OFFSET(E557,-R557,0,R557,2)),1,3),"")</f>
        <v>4.48199399913017</v>
      </c>
      <c r="V557" s="29" t="n">
        <f aca="true">IF(AND(F557&gt;=1,R557&gt;=Inputs!$B$10),SQRT(SUMPRODUCT((OFFSET(D557,-R557,0,R557,1)-U557-T557*OFFSET(E557,-R557,0,R557,1)-S557*OFFSET(F557,-R557,0,R557,1))^2)/(R557-3)),"")</f>
        <v>0.00232795671687816</v>
      </c>
      <c r="W557" s="31" t="n">
        <f aca="false">IF(AND(F557&gt;=1,R557&gt;=Inputs!$B$10),(D557-U557-T557*E557-S557*F557)/V557,"")</f>
        <v>-1.56480622490263</v>
      </c>
      <c r="X557" s="30" t="n">
        <f aca="false">IF(AB556&lt;&gt;0,AC556+1,0)</f>
        <v>2</v>
      </c>
      <c r="Y557" s="30" t="n">
        <f aca="false">IF(W557="",0,IF(AND(AB556&lt;&gt;0,OR(ABS(W557)&gt;Inputs!$B$7,X557&gt;=Inputs!$B$8,ABS(W557)&lt;Inputs!$B$6)),1,0))</f>
        <v>0</v>
      </c>
      <c r="Z557" s="30" t="n">
        <f aca="false">IF(Y557=1,0,AB556)</f>
        <v>1</v>
      </c>
      <c r="AA557" s="30" t="n">
        <f aca="false">IF(W557="",0,IF(AND(Z557=0,ABS(W557)&gt;Inputs!$B$5,ABS(W557)&lt;=Inputs!$B$7),1,0))</f>
        <v>0</v>
      </c>
      <c r="AB557" s="30" t="n">
        <f aca="false">IF(W557="",0,IF(AA557=1,-SIGN(W557),Z557))</f>
        <v>1</v>
      </c>
      <c r="AC557" s="30" t="n">
        <f aca="false">IF(W557="",0,IF(AA557=1,0,IF(Y557=1,0,X557)))</f>
        <v>2</v>
      </c>
      <c r="AD557" s="29" t="n">
        <f aca="false">IF(AB557=0,0,IF(AB556=AB557,AD556,T557))</f>
        <v>1.00551411614156</v>
      </c>
      <c r="AE557" s="30" t="n">
        <f aca="false">AB557-AB556</f>
        <v>0</v>
      </c>
      <c r="AF557" s="30" t="n">
        <f aca="false">-AD557*AB557</f>
        <v>-1.00551411614156</v>
      </c>
      <c r="AG557" s="30" t="n">
        <f aca="false">AF557-AF556</f>
        <v>0</v>
      </c>
      <c r="AH557" s="30" t="n">
        <f aca="false">MAX(AE557,0)*(Inputs!$B$17+Inputs!$B$18+Inputs!$B$19)+MAX(-AE557,0)*(O557+Inputs!$B$18+Inputs!$B$19)+IF(AND(K557=1,AB557&lt;&gt;0),(Inputs!$B$17+Inputs!$B$18+Inputs!$B$19)+(O557+Inputs!$B$18+Inputs!$B$19),0)+MAX(AG557,0)*(Inputs!$B$20+Inputs!$B$22+Inputs!$B$23)+MAX(-AG557,0)*(Inputs!$B$21+Inputs!$B$22+Inputs!$B$23)</f>
        <v>0</v>
      </c>
      <c r="AI557" s="30" t="n">
        <f aca="false">AB556*(M557-AD556*J557)+AB556*AD556*N557/Inputs!$B$16-AH557</f>
        <v>-0.000171037704476641</v>
      </c>
      <c r="AJ557" s="30" t="n">
        <f aca="false">MAX(AE557,0)*(Inputs!$B$17+Inputs!$B$24+Inputs!$B$25)+MAX(-AE557,0)*(O557+Inputs!$B$24+Inputs!$B$25)+IF(AND(K557=1,AB557&lt;&gt;0),(Inputs!$B$17+Inputs!$B$24+Inputs!$B$25)+(O557+Inputs!$B$24+Inputs!$B$25),0)+MAX(AG557,0)*(Inputs!$B$20+Inputs!$B$26+Inputs!$B$27)+MAX(-AG557,0)*(Inputs!$B$21+Inputs!$B$26+Inputs!$B$27)</f>
        <v>0</v>
      </c>
      <c r="AK557" s="30" t="n">
        <f aca="false">AB556*(M557-AD556*J557)+AB556*AD556*(N557+Inputs!$B$14)/Inputs!$B$16-AJ557</f>
        <v>-0.000141111689115285</v>
      </c>
      <c r="AL557" s="30" t="n">
        <f aca="false">IF(AP556&lt;&gt;0,AQ556+1,0)</f>
        <v>0</v>
      </c>
      <c r="AM557" s="30" t="n">
        <f aca="false">IF(W557="",0,IF(AND(AP556&lt;&gt;0,OR(ABS(W557)&gt;Inputs!$B$7,AL557&gt;=Inputs!$B$8,ABS(W557)&lt;Inputs!$B$6)),1,0))</f>
        <v>0</v>
      </c>
      <c r="AN557" s="30" t="n">
        <f aca="false">IF(AM557=1,0,AP556)</f>
        <v>0</v>
      </c>
      <c r="AO557" s="30" t="n">
        <f aca="false">IF(W557="",0,IF(AND(AN557=0,ABS(W557)&gt;Inputs!$B$5,ABS(W557)&lt;=Inputs!$B$7,W557&gt;0),1,0))</f>
        <v>0</v>
      </c>
      <c r="AP557" s="30" t="n">
        <f aca="false">IF(W557="",0,IF(AO557=1,-SIGN(W557),AN557))</f>
        <v>0</v>
      </c>
      <c r="AQ557" s="30" t="n">
        <f aca="false">IF(W557="",0,IF(AO557=1,0,IF(AM557=1,0,AL557)))</f>
        <v>0</v>
      </c>
      <c r="AR557" s="30" t="n">
        <f aca="false">IF(AP557=0,0,IF(AP556=AP557,AR556,T557))</f>
        <v>0</v>
      </c>
      <c r="AS557" s="30" t="n">
        <f aca="false">AP557-AP556</f>
        <v>0</v>
      </c>
      <c r="AT557" s="30" t="n">
        <f aca="false">-AR557*AP557</f>
        <v>-0</v>
      </c>
      <c r="AU557" s="30" t="n">
        <f aca="false">AT557-AT556</f>
        <v>0</v>
      </c>
      <c r="AV557" s="30" t="n">
        <f aca="false">MAX(AS557,0)*(Inputs!$B$17+Inputs!$B$18+Inputs!$B$19)+MAX(-AS557,0)*(O557+Inputs!$B$18+Inputs!$B$19)+IF(AND(K557=1,AP557&lt;&gt;0),(Inputs!$B$17+Inputs!$B$18+Inputs!$B$19)+(O557+Inputs!$B$18+Inputs!$B$19),0)+MAX(AU557,0)*(Inputs!$B$20+Inputs!$B$22+Inputs!$B$23)+MAX(-AU557,0)*(Inputs!$B$21+Inputs!$B$22+Inputs!$B$23)</f>
        <v>0</v>
      </c>
      <c r="AW557" s="30" t="n">
        <f aca="false">AP556*(M557-AR556*J557)+AP556*AR556*N557/Inputs!$B$16-AV557</f>
        <v>0</v>
      </c>
      <c r="AX557" s="30" t="n">
        <f aca="false">AW557-IF(AP556&lt;&gt;0,0.75*AR556*(Inputs!$B$13-N557)/Inputs!$B$16,0)</f>
        <v>0</v>
      </c>
      <c r="AY557" s="30" t="n">
        <f aca="false">MAX(AS557,0)*(Inputs!$B$17+Inputs!$B$18+Inputs!$B$19)+MAX(-AS557,0)*(O557+Inputs!$B$18+Inputs!$B$19)+IF(AND(K557=1,AP557&lt;&gt;0),(Inputs!$B$17+Inputs!$B$18+Inputs!$B$19)+(O557+Inputs!$B$18+Inputs!$B$19),0)</f>
        <v>0</v>
      </c>
      <c r="AZ557" s="30" t="n">
        <f aca="false">AP556*M557-AY557</f>
        <v>-0</v>
      </c>
      <c r="BA557" s="32" t="n">
        <f aca="false">BA556+AI557</f>
        <v>0.00911749916369353</v>
      </c>
      <c r="BB557" s="30" t="n">
        <f aca="false">MAX(BB556,BA557)</f>
        <v>0.00951432838063029</v>
      </c>
      <c r="BC557" s="32" t="n">
        <f aca="false">BA557-BB557</f>
        <v>-0.000396829216936756</v>
      </c>
      <c r="BD557" s="30" t="n">
        <f aca="false">A558-A557</f>
        <v>1</v>
      </c>
    </row>
    <row r="558" customFormat="false" ht="15" hidden="false" customHeight="false" outlineLevel="0" collapsed="false">
      <c r="A558" s="28" t="n">
        <v>45861</v>
      </c>
      <c r="B558" s="0" t="n">
        <v>25254.9</v>
      </c>
      <c r="C558" s="0" t="n">
        <v>283.56</v>
      </c>
      <c r="D558" s="29" t="n">
        <f aca="false">LN(B558)</f>
        <v>10.1367754752824</v>
      </c>
      <c r="E558" s="29" t="n">
        <f aca="false">LN(C558)</f>
        <v>5.64742374098682</v>
      </c>
      <c r="F558" s="0" t="n">
        <v>553</v>
      </c>
      <c r="G558" s="0" t="n">
        <v>8</v>
      </c>
      <c r="H558" s="29" t="n">
        <f aca="false">D558-E558</f>
        <v>4.48935173429554</v>
      </c>
      <c r="I558" s="29" t="n">
        <f aca="false">D558-D557</f>
        <v>0.00635157319332258</v>
      </c>
      <c r="J558" s="29" t="n">
        <f aca="false">E558-E557</f>
        <v>0.00516212297886565</v>
      </c>
      <c r="K558" s="0" t="n">
        <v>0</v>
      </c>
      <c r="L558" s="0" t="n">
        <v>0</v>
      </c>
      <c r="M558" s="29" t="n">
        <f aca="false">IF(L558=1,J558-Carry!$B$9/Inputs!$B$16,I558)</f>
        <v>0.00635157319332258</v>
      </c>
      <c r="N558" s="0" t="n">
        <v>0.055</v>
      </c>
      <c r="O558" s="0" t="n">
        <v>0.0002</v>
      </c>
      <c r="P558" s="29" t="n">
        <f aca="false">D558-('2 Hedge ratio'!$B$6+'2 Hedge ratio'!$B$5*E558)</f>
        <v>0.00119938401092057</v>
      </c>
      <c r="Q558" s="29" t="n">
        <f aca="false">D558-('5 Re-specification'!$B$7+'5 Re-specification'!$B$5*E558+'5 Re-specification'!$B$6*F558)</f>
        <v>0.000111144021889942</v>
      </c>
      <c r="R558" s="30" t="n">
        <f aca="false">MIN(F558,Inputs!$B$9)</f>
        <v>250</v>
      </c>
      <c r="S558" s="29" t="n">
        <f aca="true">IF(AND(F558&gt;=1,R558&gt;=Inputs!$B$10),INDEX(LINEST(OFFSET(D558,-R558,0,R558,1),OFFSET(E558,-R558,0,R558,2)),1,1),"")</f>
        <v>-2.76449372495641E-005</v>
      </c>
      <c r="T558" s="29" t="n">
        <f aca="true">IF(AND(F558&gt;=1,R558&gt;=Inputs!$B$10),INDEX(LINEST(OFFSET(D558,-R558,0,R558,1),OFFSET(E558,-R558,0,R558,2)),1,2),"")</f>
        <v>1.00395595554037</v>
      </c>
      <c r="U558" s="29" t="n">
        <f aca="true">IF(AND(F558&gt;=1,R558&gt;=Inputs!$B$10),INDEX(LINEST(OFFSET(D558,-R558,0,R558,1),OFFSET(E558,-R558,0,R558,2)),1,3),"")</f>
        <v>4.48465903418735</v>
      </c>
      <c r="V558" s="29" t="n">
        <f aca="true">IF(AND(F558&gt;=1,R558&gt;=Inputs!$B$10),SQRT(SUMPRODUCT((OFFSET(D558,-R558,0,R558,1)-U558-T558*OFFSET(E558,-R558,0,R558,1)-S558*OFFSET(F558,-R558,0,R558,1))^2)/(R558-3)),"")</f>
        <v>0.00233821022025579</v>
      </c>
      <c r="W558" s="31" t="n">
        <f aca="false">IF(AND(F558&gt;=1,R558&gt;=Inputs!$B$10),(D558-U558-T558*E558-S558*F558)/V558,"")</f>
        <v>-1.00957852690017</v>
      </c>
      <c r="X558" s="30" t="n">
        <f aca="false">IF(AB557&lt;&gt;0,AC557+1,0)</f>
        <v>3</v>
      </c>
      <c r="Y558" s="30" t="n">
        <f aca="false">IF(W558="",0,IF(AND(AB557&lt;&gt;0,OR(ABS(W558)&gt;Inputs!$B$7,X558&gt;=Inputs!$B$8,ABS(W558)&lt;Inputs!$B$6)),1,0))</f>
        <v>0</v>
      </c>
      <c r="Z558" s="30" t="n">
        <f aca="false">IF(Y558=1,0,AB557)</f>
        <v>1</v>
      </c>
      <c r="AA558" s="30" t="n">
        <f aca="false">IF(W558="",0,IF(AND(Z558=0,ABS(W558)&gt;Inputs!$B$5,ABS(W558)&lt;=Inputs!$B$7),1,0))</f>
        <v>0</v>
      </c>
      <c r="AB558" s="30" t="n">
        <f aca="false">IF(W558="",0,IF(AA558=1,-SIGN(W558),Z558))</f>
        <v>1</v>
      </c>
      <c r="AC558" s="30" t="n">
        <f aca="false">IF(W558="",0,IF(AA558=1,0,IF(Y558=1,0,X558)))</f>
        <v>3</v>
      </c>
      <c r="AD558" s="29" t="n">
        <f aca="false">IF(AB558=0,0,IF(AB557=AB558,AD557,T558))</f>
        <v>1.00551411614156</v>
      </c>
      <c r="AE558" s="30" t="n">
        <f aca="false">AB558-AB557</f>
        <v>0</v>
      </c>
      <c r="AF558" s="30" t="n">
        <f aca="false">-AD558*AB558</f>
        <v>-1.00551411614156</v>
      </c>
      <c r="AG558" s="30" t="n">
        <f aca="false">AF558-AF557</f>
        <v>0</v>
      </c>
      <c r="AH558" s="30" t="n">
        <f aca="false">MAX(AE558,0)*(Inputs!$B$17+Inputs!$B$18+Inputs!$B$19)+MAX(-AE558,0)*(O558+Inputs!$B$18+Inputs!$B$19)+IF(AND(K558=1,AB558&lt;&gt;0),(Inputs!$B$17+Inputs!$B$18+Inputs!$B$19)+(O558+Inputs!$B$18+Inputs!$B$19),0)+MAX(AG558,0)*(Inputs!$B$20+Inputs!$B$22+Inputs!$B$23)+MAX(-AG558,0)*(Inputs!$B$21+Inputs!$B$22+Inputs!$B$23)</f>
        <v>0</v>
      </c>
      <c r="AI558" s="30" t="n">
        <f aca="false">AB557*(M558-AD557*J558)+AB557*AD557*N558/Inputs!$B$16-AH558</f>
        <v>0.00138044311479773</v>
      </c>
      <c r="AJ558" s="30" t="n">
        <f aca="false">MAX(AE558,0)*(Inputs!$B$17+Inputs!$B$24+Inputs!$B$25)+MAX(-AE558,0)*(O558+Inputs!$B$24+Inputs!$B$25)+IF(AND(K558=1,AB558&lt;&gt;0),(Inputs!$B$17+Inputs!$B$24+Inputs!$B$25)+(O558+Inputs!$B$24+Inputs!$B$25),0)+MAX(AG558,0)*(Inputs!$B$20+Inputs!$B$26+Inputs!$B$27)+MAX(-AG558,0)*(Inputs!$B$21+Inputs!$B$26+Inputs!$B$27)</f>
        <v>0</v>
      </c>
      <c r="AK558" s="30" t="n">
        <f aca="false">AB557*(M558-AD557*J558)+AB557*AD557*(N558+Inputs!$B$14)/Inputs!$B$16-AJ558</f>
        <v>0.00141036913015908</v>
      </c>
      <c r="AL558" s="30" t="n">
        <f aca="false">IF(AP557&lt;&gt;0,AQ557+1,0)</f>
        <v>0</v>
      </c>
      <c r="AM558" s="30" t="n">
        <f aca="false">IF(W558="",0,IF(AND(AP557&lt;&gt;0,OR(ABS(W558)&gt;Inputs!$B$7,AL558&gt;=Inputs!$B$8,ABS(W558)&lt;Inputs!$B$6)),1,0))</f>
        <v>0</v>
      </c>
      <c r="AN558" s="30" t="n">
        <f aca="false">IF(AM558=1,0,AP557)</f>
        <v>0</v>
      </c>
      <c r="AO558" s="30" t="n">
        <f aca="false">IF(W558="",0,IF(AND(AN558=0,ABS(W558)&gt;Inputs!$B$5,ABS(W558)&lt;=Inputs!$B$7,W558&gt;0),1,0))</f>
        <v>0</v>
      </c>
      <c r="AP558" s="30" t="n">
        <f aca="false">IF(W558="",0,IF(AO558=1,-SIGN(W558),AN558))</f>
        <v>0</v>
      </c>
      <c r="AQ558" s="30" t="n">
        <f aca="false">IF(W558="",0,IF(AO558=1,0,IF(AM558=1,0,AL558)))</f>
        <v>0</v>
      </c>
      <c r="AR558" s="30" t="n">
        <f aca="false">IF(AP558=0,0,IF(AP557=AP558,AR557,T558))</f>
        <v>0</v>
      </c>
      <c r="AS558" s="30" t="n">
        <f aca="false">AP558-AP557</f>
        <v>0</v>
      </c>
      <c r="AT558" s="30" t="n">
        <f aca="false">-AR558*AP558</f>
        <v>-0</v>
      </c>
      <c r="AU558" s="30" t="n">
        <f aca="false">AT558-AT557</f>
        <v>0</v>
      </c>
      <c r="AV558" s="30" t="n">
        <f aca="false">MAX(AS558,0)*(Inputs!$B$17+Inputs!$B$18+Inputs!$B$19)+MAX(-AS558,0)*(O558+Inputs!$B$18+Inputs!$B$19)+IF(AND(K558=1,AP558&lt;&gt;0),(Inputs!$B$17+Inputs!$B$18+Inputs!$B$19)+(O558+Inputs!$B$18+Inputs!$B$19),0)+MAX(AU558,0)*(Inputs!$B$20+Inputs!$B$22+Inputs!$B$23)+MAX(-AU558,0)*(Inputs!$B$21+Inputs!$B$22+Inputs!$B$23)</f>
        <v>0</v>
      </c>
      <c r="AW558" s="30" t="n">
        <f aca="false">AP557*(M558-AR557*J558)+AP557*AR557*N558/Inputs!$B$16-AV558</f>
        <v>0</v>
      </c>
      <c r="AX558" s="30" t="n">
        <f aca="false">AW558-IF(AP557&lt;&gt;0,0.75*AR557*(Inputs!$B$13-N558)/Inputs!$B$16,0)</f>
        <v>0</v>
      </c>
      <c r="AY558" s="30" t="n">
        <f aca="false">MAX(AS558,0)*(Inputs!$B$17+Inputs!$B$18+Inputs!$B$19)+MAX(-AS558,0)*(O558+Inputs!$B$18+Inputs!$B$19)+IF(AND(K558=1,AP558&lt;&gt;0),(Inputs!$B$17+Inputs!$B$18+Inputs!$B$19)+(O558+Inputs!$B$18+Inputs!$B$19),0)</f>
        <v>0</v>
      </c>
      <c r="AZ558" s="30" t="n">
        <f aca="false">AP557*M558-AY558</f>
        <v>0</v>
      </c>
      <c r="BA558" s="32" t="n">
        <f aca="false">BA557+AI558</f>
        <v>0.0104979422784913</v>
      </c>
      <c r="BB558" s="30" t="n">
        <f aca="false">MAX(BB557,BA558)</f>
        <v>0.0104979422784913</v>
      </c>
      <c r="BC558" s="32" t="n">
        <f aca="false">BA558-BB558</f>
        <v>0</v>
      </c>
      <c r="BD558" s="30" t="n">
        <f aca="false">A559-A558</f>
        <v>1</v>
      </c>
    </row>
    <row r="559" customFormat="false" ht="15" hidden="false" customHeight="false" outlineLevel="0" collapsed="false">
      <c r="A559" s="28" t="n">
        <v>45862</v>
      </c>
      <c r="B559" s="0" t="n">
        <v>25090</v>
      </c>
      <c r="C559" s="0" t="n">
        <v>282.35</v>
      </c>
      <c r="D559" s="29" t="n">
        <f aca="false">LN(B559)</f>
        <v>10.1302246393605</v>
      </c>
      <c r="E559" s="29" t="n">
        <f aca="false">LN(C559)</f>
        <v>5.64314743611885</v>
      </c>
      <c r="F559" s="0" t="n">
        <v>554</v>
      </c>
      <c r="G559" s="0" t="n">
        <v>7</v>
      </c>
      <c r="H559" s="29" t="n">
        <f aca="false">D559-E559</f>
        <v>4.48707720324162</v>
      </c>
      <c r="I559" s="29" t="n">
        <f aca="false">D559-D558</f>
        <v>-0.0065508359218871</v>
      </c>
      <c r="J559" s="29" t="n">
        <f aca="false">E559-E558</f>
        <v>-0.00427630486797082</v>
      </c>
      <c r="K559" s="0" t="n">
        <v>0</v>
      </c>
      <c r="L559" s="0" t="n">
        <v>0</v>
      </c>
      <c r="M559" s="29" t="n">
        <f aca="false">IF(L559=1,J559-Carry!$B$9/Inputs!$B$16,I559)</f>
        <v>-0.0065508359218871</v>
      </c>
      <c r="N559" s="0" t="n">
        <v>0.055</v>
      </c>
      <c r="O559" s="0" t="n">
        <v>0.0002</v>
      </c>
      <c r="P559" s="29" t="n">
        <f aca="false">D559-('2 Hedge ratio'!$B$6+'2 Hedge ratio'!$B$5*E559)</f>
        <v>-0.00143381459072067</v>
      </c>
      <c r="Q559" s="29" t="n">
        <f aca="false">D559-('5 Re-specification'!$B$7+'5 Re-specification'!$B$5*E559+'5 Re-specification'!$B$6*F559)</f>
        <v>-0.00213141705592257</v>
      </c>
      <c r="R559" s="30" t="n">
        <f aca="false">MIN(F559,Inputs!$B$9)</f>
        <v>250</v>
      </c>
      <c r="S559" s="29" t="n">
        <f aca="true">IF(AND(F559&gt;=1,R559&gt;=Inputs!$B$10),INDEX(LINEST(OFFSET(D559,-R559,0,R559,1),OFFSET(E559,-R559,0,R559,2)),1,1),"")</f>
        <v>-2.78394234126821E-005</v>
      </c>
      <c r="T559" s="29" t="n">
        <f aca="true">IF(AND(F559&gt;=1,R559&gt;=Inputs!$B$10),INDEX(LINEST(OFFSET(D559,-R559,0,R559,1),OFFSET(E559,-R559,0,R559,2)),1,2),"")</f>
        <v>1.00363362980271</v>
      </c>
      <c r="U559" s="29" t="n">
        <f aca="true">IF(AND(F559&gt;=1,R559&gt;=Inputs!$B$10),INDEX(LINEST(OFFSET(D559,-R559,0,R559,1),OFFSET(E559,-R559,0,R559,2)),1,3),"")</f>
        <v>4.48653726192492</v>
      </c>
      <c r="V559" s="29" t="n">
        <f aca="true">IF(AND(F559&gt;=1,R559&gt;=Inputs!$B$10),SQRT(SUMPRODUCT((OFFSET(D559,-R559,0,R559,1)-U559-T559*OFFSET(E559,-R559,0,R559,1)-S559*OFFSET(F559,-R559,0,R559,1))^2)/(R559-3)),"")</f>
        <v>0.00234278185265253</v>
      </c>
      <c r="W559" s="31" t="n">
        <f aca="false">IF(AND(F559&gt;=1,R559&gt;=Inputs!$B$10),(D559-U559-T559*E559-S559*F559)/V559,"")</f>
        <v>-1.93877497066302</v>
      </c>
      <c r="X559" s="30" t="n">
        <f aca="false">IF(AB558&lt;&gt;0,AC558+1,0)</f>
        <v>4</v>
      </c>
      <c r="Y559" s="30" t="n">
        <f aca="false">IF(W559="",0,IF(AND(AB558&lt;&gt;0,OR(ABS(W559)&gt;Inputs!$B$7,X559&gt;=Inputs!$B$8,ABS(W559)&lt;Inputs!$B$6)),1,0))</f>
        <v>0</v>
      </c>
      <c r="Z559" s="30" t="n">
        <f aca="false">IF(Y559=1,0,AB558)</f>
        <v>1</v>
      </c>
      <c r="AA559" s="30" t="n">
        <f aca="false">IF(W559="",0,IF(AND(Z559=0,ABS(W559)&gt;Inputs!$B$5,ABS(W559)&lt;=Inputs!$B$7),1,0))</f>
        <v>0</v>
      </c>
      <c r="AB559" s="30" t="n">
        <f aca="false">IF(W559="",0,IF(AA559=1,-SIGN(W559),Z559))</f>
        <v>1</v>
      </c>
      <c r="AC559" s="30" t="n">
        <f aca="false">IF(W559="",0,IF(AA559=1,0,IF(Y559=1,0,X559)))</f>
        <v>4</v>
      </c>
      <c r="AD559" s="29" t="n">
        <f aca="false">IF(AB559=0,0,IF(AB558=AB559,AD558,T559))</f>
        <v>1.00551411614156</v>
      </c>
      <c r="AE559" s="30" t="n">
        <f aca="false">AB559-AB558</f>
        <v>0</v>
      </c>
      <c r="AF559" s="30" t="n">
        <f aca="false">-AD559*AB559</f>
        <v>-1.00551411614156</v>
      </c>
      <c r="AG559" s="30" t="n">
        <f aca="false">AF559-AF558</f>
        <v>0</v>
      </c>
      <c r="AH559" s="30" t="n">
        <f aca="false">MAX(AE559,0)*(Inputs!$B$17+Inputs!$B$18+Inputs!$B$19)+MAX(-AE559,0)*(O559+Inputs!$B$18+Inputs!$B$19)+IF(AND(K559=1,AB559&lt;&gt;0),(Inputs!$B$17+Inputs!$B$18+Inputs!$B$19)+(O559+Inputs!$B$18+Inputs!$B$19),0)+MAX(AG559,0)*(Inputs!$B$20+Inputs!$B$22+Inputs!$B$23)+MAX(-AG559,0)*(Inputs!$B$21+Inputs!$B$22+Inputs!$B$23)</f>
        <v>0</v>
      </c>
      <c r="AI559" s="30" t="n">
        <f aca="false">AB558*(M559-AD558*J559)+AB558*AD558*N559/Inputs!$B$16-AH559</f>
        <v>-0.00203149356623429</v>
      </c>
      <c r="AJ559" s="30" t="n">
        <f aca="false">MAX(AE559,0)*(Inputs!$B$17+Inputs!$B$24+Inputs!$B$25)+MAX(-AE559,0)*(O559+Inputs!$B$24+Inputs!$B$25)+IF(AND(K559=1,AB559&lt;&gt;0),(Inputs!$B$17+Inputs!$B$24+Inputs!$B$25)+(O559+Inputs!$B$24+Inputs!$B$25),0)+MAX(AG559,0)*(Inputs!$B$20+Inputs!$B$26+Inputs!$B$27)+MAX(-AG559,0)*(Inputs!$B$21+Inputs!$B$26+Inputs!$B$27)</f>
        <v>0</v>
      </c>
      <c r="AK559" s="30" t="n">
        <f aca="false">AB558*(M559-AD558*J559)+AB558*AD558*(N559+Inputs!$B$14)/Inputs!$B$16-AJ559</f>
        <v>-0.00200156755087294</v>
      </c>
      <c r="AL559" s="30" t="n">
        <f aca="false">IF(AP558&lt;&gt;0,AQ558+1,0)</f>
        <v>0</v>
      </c>
      <c r="AM559" s="30" t="n">
        <f aca="false">IF(W559="",0,IF(AND(AP558&lt;&gt;0,OR(ABS(W559)&gt;Inputs!$B$7,AL559&gt;=Inputs!$B$8,ABS(W559)&lt;Inputs!$B$6)),1,0))</f>
        <v>0</v>
      </c>
      <c r="AN559" s="30" t="n">
        <f aca="false">IF(AM559=1,0,AP558)</f>
        <v>0</v>
      </c>
      <c r="AO559" s="30" t="n">
        <f aca="false">IF(W559="",0,IF(AND(AN559=0,ABS(W559)&gt;Inputs!$B$5,ABS(W559)&lt;=Inputs!$B$7,W559&gt;0),1,0))</f>
        <v>0</v>
      </c>
      <c r="AP559" s="30" t="n">
        <f aca="false">IF(W559="",0,IF(AO559=1,-SIGN(W559),AN559))</f>
        <v>0</v>
      </c>
      <c r="AQ559" s="30" t="n">
        <f aca="false">IF(W559="",0,IF(AO559=1,0,IF(AM559=1,0,AL559)))</f>
        <v>0</v>
      </c>
      <c r="AR559" s="30" t="n">
        <f aca="false">IF(AP559=0,0,IF(AP558=AP559,AR558,T559))</f>
        <v>0</v>
      </c>
      <c r="AS559" s="30" t="n">
        <f aca="false">AP559-AP558</f>
        <v>0</v>
      </c>
      <c r="AT559" s="30" t="n">
        <f aca="false">-AR559*AP559</f>
        <v>-0</v>
      </c>
      <c r="AU559" s="30" t="n">
        <f aca="false">AT559-AT558</f>
        <v>0</v>
      </c>
      <c r="AV559" s="30" t="n">
        <f aca="false">MAX(AS559,0)*(Inputs!$B$17+Inputs!$B$18+Inputs!$B$19)+MAX(-AS559,0)*(O559+Inputs!$B$18+Inputs!$B$19)+IF(AND(K559=1,AP559&lt;&gt;0),(Inputs!$B$17+Inputs!$B$18+Inputs!$B$19)+(O559+Inputs!$B$18+Inputs!$B$19),0)+MAX(AU559,0)*(Inputs!$B$20+Inputs!$B$22+Inputs!$B$23)+MAX(-AU559,0)*(Inputs!$B$21+Inputs!$B$22+Inputs!$B$23)</f>
        <v>0</v>
      </c>
      <c r="AW559" s="30" t="n">
        <f aca="false">AP558*(M559-AR558*J559)+AP558*AR558*N559/Inputs!$B$16-AV559</f>
        <v>0</v>
      </c>
      <c r="AX559" s="30" t="n">
        <f aca="false">AW559-IF(AP558&lt;&gt;0,0.75*AR558*(Inputs!$B$13-N559)/Inputs!$B$16,0)</f>
        <v>0</v>
      </c>
      <c r="AY559" s="30" t="n">
        <f aca="false">MAX(AS559,0)*(Inputs!$B$17+Inputs!$B$18+Inputs!$B$19)+MAX(-AS559,0)*(O559+Inputs!$B$18+Inputs!$B$19)+IF(AND(K559=1,AP559&lt;&gt;0),(Inputs!$B$17+Inputs!$B$18+Inputs!$B$19)+(O559+Inputs!$B$18+Inputs!$B$19),0)</f>
        <v>0</v>
      </c>
      <c r="AZ559" s="30" t="n">
        <f aca="false">AP558*M559-AY559</f>
        <v>-0</v>
      </c>
      <c r="BA559" s="32" t="n">
        <f aca="false">BA558+AI559</f>
        <v>0.00846644871225697</v>
      </c>
      <c r="BB559" s="30" t="n">
        <f aca="false">MAX(BB558,BA559)</f>
        <v>0.0104979422784913</v>
      </c>
      <c r="BC559" s="32" t="n">
        <f aca="false">BA559-BB559</f>
        <v>-0.00203149356623429</v>
      </c>
      <c r="BD559" s="30" t="n">
        <f aca="false">A560-A559</f>
        <v>1</v>
      </c>
    </row>
    <row r="560" customFormat="false" ht="15" hidden="false" customHeight="false" outlineLevel="0" collapsed="false">
      <c r="A560" s="28" t="n">
        <v>45863</v>
      </c>
      <c r="B560" s="0" t="n">
        <v>24846.5</v>
      </c>
      <c r="C560" s="0" t="n">
        <v>280</v>
      </c>
      <c r="D560" s="29" t="n">
        <f aca="false">LN(B560)</f>
        <v>10.1204721765348</v>
      </c>
      <c r="E560" s="29" t="n">
        <f aca="false">LN(C560)</f>
        <v>5.63478960316925</v>
      </c>
      <c r="F560" s="0" t="n">
        <v>555</v>
      </c>
      <c r="G560" s="0" t="n">
        <v>6</v>
      </c>
      <c r="H560" s="29" t="n">
        <f aca="false">D560-E560</f>
        <v>4.48568257336551</v>
      </c>
      <c r="I560" s="29" t="n">
        <f aca="false">D560-D559</f>
        <v>-0.0097524628257144</v>
      </c>
      <c r="J560" s="29" t="n">
        <f aca="false">E560-E559</f>
        <v>-0.00835783294959658</v>
      </c>
      <c r="K560" s="0" t="n">
        <v>0</v>
      </c>
      <c r="L560" s="0" t="n">
        <v>0</v>
      </c>
      <c r="M560" s="29" t="n">
        <f aca="false">IF(L560=1,J560-Carry!$B$9/Inputs!$B$16,I560)</f>
        <v>-0.0097524628257144</v>
      </c>
      <c r="N560" s="0" t="n">
        <v>0.055</v>
      </c>
      <c r="O560" s="0" t="n">
        <v>0.0002</v>
      </c>
      <c r="P560" s="29" t="n">
        <f aca="false">D560-('2 Hedge ratio'!$B$6+'2 Hedge ratio'!$B$5*E560)</f>
        <v>-0.00352944300199631</v>
      </c>
      <c r="Q560" s="29" t="n">
        <f aca="false">D560-('5 Re-specification'!$B$7+'5 Re-specification'!$B$5*E560+'5 Re-specification'!$B$6*F560)</f>
        <v>-0.00350644602687566</v>
      </c>
      <c r="R560" s="30" t="n">
        <f aca="false">MIN(F560,Inputs!$B$9)</f>
        <v>250</v>
      </c>
      <c r="S560" s="29" t="n">
        <f aca="true">IF(AND(F560&gt;=1,R560&gt;=Inputs!$B$10),INDEX(LINEST(OFFSET(D560,-R560,0,R560,1),OFFSET(E560,-R560,0,R560,2)),1,1),"")</f>
        <v>-2.84566522151096E-005</v>
      </c>
      <c r="T560" s="29" t="n">
        <f aca="true">IF(AND(F560&gt;=1,R560&gt;=Inputs!$B$10),INDEX(LINEST(OFFSET(D560,-R560,0,R560,1),OFFSET(E560,-R560,0,R560,2)),1,2),"")</f>
        <v>1.00309230501917</v>
      </c>
      <c r="U560" s="29" t="n">
        <f aca="true">IF(AND(F560&gt;=1,R560&gt;=Inputs!$B$10),INDEX(LINEST(OFFSET(D560,-R560,0,R560,1),OFFSET(E560,-R560,0,R560,2)),1,3),"")</f>
        <v>4.48982439183721</v>
      </c>
      <c r="V560" s="29" t="n">
        <f aca="true">IF(AND(F560&gt;=1,R560&gt;=Inputs!$B$10),SQRT(SUMPRODUCT((OFFSET(D560,-R560,0,R560,1)-U560-T560*OFFSET(E560,-R560,0,R560,1)-S560*OFFSET(F560,-R560,0,R560,1))^2)/(R560-3)),"")</f>
        <v>0.00235734450285747</v>
      </c>
      <c r="W560" s="31" t="n">
        <f aca="false">IF(AND(F560&gt;=1,R560&gt;=Inputs!$B$10),(D560-U560-T560*E560-S560*F560)/V560,"")</f>
        <v>-2.44888460604416</v>
      </c>
      <c r="X560" s="30" t="n">
        <f aca="false">IF(AB559&lt;&gt;0,AC559+1,0)</f>
        <v>5</v>
      </c>
      <c r="Y560" s="30" t="n">
        <f aca="false">IF(W560="",0,IF(AND(AB559&lt;&gt;0,OR(ABS(W560)&gt;Inputs!$B$7,X560&gt;=Inputs!$B$8,ABS(W560)&lt;Inputs!$B$6)),1,0))</f>
        <v>0</v>
      </c>
      <c r="Z560" s="30" t="n">
        <f aca="false">IF(Y560=1,0,AB559)</f>
        <v>1</v>
      </c>
      <c r="AA560" s="30" t="n">
        <f aca="false">IF(W560="",0,IF(AND(Z560=0,ABS(W560)&gt;Inputs!$B$5,ABS(W560)&lt;=Inputs!$B$7),1,0))</f>
        <v>0</v>
      </c>
      <c r="AB560" s="30" t="n">
        <f aca="false">IF(W560="",0,IF(AA560=1,-SIGN(W560),Z560))</f>
        <v>1</v>
      </c>
      <c r="AC560" s="30" t="n">
        <f aca="false">IF(W560="",0,IF(AA560=1,0,IF(Y560=1,0,X560)))</f>
        <v>5</v>
      </c>
      <c r="AD560" s="29" t="n">
        <f aca="false">IF(AB560=0,0,IF(AB559=AB560,AD559,T560))</f>
        <v>1.00551411614156</v>
      </c>
      <c r="AE560" s="30" t="n">
        <f aca="false">AB560-AB559</f>
        <v>0</v>
      </c>
      <c r="AF560" s="30" t="n">
        <f aca="false">-AD560*AB560</f>
        <v>-1.00551411614156</v>
      </c>
      <c r="AG560" s="30" t="n">
        <f aca="false">AF560-AF559</f>
        <v>0</v>
      </c>
      <c r="AH560" s="30" t="n">
        <f aca="false">MAX(AE560,0)*(Inputs!$B$17+Inputs!$B$18+Inputs!$B$19)+MAX(-AE560,0)*(O560+Inputs!$B$18+Inputs!$B$19)+IF(AND(K560=1,AB560&lt;&gt;0),(Inputs!$B$17+Inputs!$B$18+Inputs!$B$19)+(O560+Inputs!$B$18+Inputs!$B$19),0)+MAX(AG560,0)*(Inputs!$B$20+Inputs!$B$22+Inputs!$B$23)+MAX(-AG560,0)*(Inputs!$B$21+Inputs!$B$22+Inputs!$B$23)</f>
        <v>0</v>
      </c>
      <c r="AI560" s="30" t="n">
        <f aca="false">AB559*(M560-AD559*J560)+AB559*AD559*N560/Inputs!$B$16-AH560</f>
        <v>-0.00112908636855871</v>
      </c>
      <c r="AJ560" s="30" t="n">
        <f aca="false">MAX(AE560,0)*(Inputs!$B$17+Inputs!$B$24+Inputs!$B$25)+MAX(-AE560,0)*(O560+Inputs!$B$24+Inputs!$B$25)+IF(AND(K560=1,AB560&lt;&gt;0),(Inputs!$B$17+Inputs!$B$24+Inputs!$B$25)+(O560+Inputs!$B$24+Inputs!$B$25),0)+MAX(AG560,0)*(Inputs!$B$20+Inputs!$B$26+Inputs!$B$27)+MAX(-AG560,0)*(Inputs!$B$21+Inputs!$B$26+Inputs!$B$27)</f>
        <v>0</v>
      </c>
      <c r="AK560" s="30" t="n">
        <f aca="false">AB559*(M560-AD559*J560)+AB559*AD559*(N560+Inputs!$B$14)/Inputs!$B$16-AJ560</f>
        <v>-0.00109916035319735</v>
      </c>
      <c r="AL560" s="30" t="n">
        <f aca="false">IF(AP559&lt;&gt;0,AQ559+1,0)</f>
        <v>0</v>
      </c>
      <c r="AM560" s="30" t="n">
        <f aca="false">IF(W560="",0,IF(AND(AP559&lt;&gt;0,OR(ABS(W560)&gt;Inputs!$B$7,AL560&gt;=Inputs!$B$8,ABS(W560)&lt;Inputs!$B$6)),1,0))</f>
        <v>0</v>
      </c>
      <c r="AN560" s="30" t="n">
        <f aca="false">IF(AM560=1,0,AP559)</f>
        <v>0</v>
      </c>
      <c r="AO560" s="30" t="n">
        <f aca="false">IF(W560="",0,IF(AND(AN560=0,ABS(W560)&gt;Inputs!$B$5,ABS(W560)&lt;=Inputs!$B$7,W560&gt;0),1,0))</f>
        <v>0</v>
      </c>
      <c r="AP560" s="30" t="n">
        <f aca="false">IF(W560="",0,IF(AO560=1,-SIGN(W560),AN560))</f>
        <v>0</v>
      </c>
      <c r="AQ560" s="30" t="n">
        <f aca="false">IF(W560="",0,IF(AO560=1,0,IF(AM560=1,0,AL560)))</f>
        <v>0</v>
      </c>
      <c r="AR560" s="30" t="n">
        <f aca="false">IF(AP560=0,0,IF(AP559=AP560,AR559,T560))</f>
        <v>0</v>
      </c>
      <c r="AS560" s="30" t="n">
        <f aca="false">AP560-AP559</f>
        <v>0</v>
      </c>
      <c r="AT560" s="30" t="n">
        <f aca="false">-AR560*AP560</f>
        <v>-0</v>
      </c>
      <c r="AU560" s="30" t="n">
        <f aca="false">AT560-AT559</f>
        <v>0</v>
      </c>
      <c r="AV560" s="30" t="n">
        <f aca="false">MAX(AS560,0)*(Inputs!$B$17+Inputs!$B$18+Inputs!$B$19)+MAX(-AS560,0)*(O560+Inputs!$B$18+Inputs!$B$19)+IF(AND(K560=1,AP560&lt;&gt;0),(Inputs!$B$17+Inputs!$B$18+Inputs!$B$19)+(O560+Inputs!$B$18+Inputs!$B$19),0)+MAX(AU560,0)*(Inputs!$B$20+Inputs!$B$22+Inputs!$B$23)+MAX(-AU560,0)*(Inputs!$B$21+Inputs!$B$22+Inputs!$B$23)</f>
        <v>0</v>
      </c>
      <c r="AW560" s="30" t="n">
        <f aca="false">AP559*(M560-AR559*J560)+AP559*AR559*N560/Inputs!$B$16-AV560</f>
        <v>0</v>
      </c>
      <c r="AX560" s="30" t="n">
        <f aca="false">AW560-IF(AP559&lt;&gt;0,0.75*AR559*(Inputs!$B$13-N560)/Inputs!$B$16,0)</f>
        <v>0</v>
      </c>
      <c r="AY560" s="30" t="n">
        <f aca="false">MAX(AS560,0)*(Inputs!$B$17+Inputs!$B$18+Inputs!$B$19)+MAX(-AS560,0)*(O560+Inputs!$B$18+Inputs!$B$19)+IF(AND(K560=1,AP560&lt;&gt;0),(Inputs!$B$17+Inputs!$B$18+Inputs!$B$19)+(O560+Inputs!$B$18+Inputs!$B$19),0)</f>
        <v>0</v>
      </c>
      <c r="AZ560" s="30" t="n">
        <f aca="false">AP559*M560-AY560</f>
        <v>-0</v>
      </c>
      <c r="BA560" s="32" t="n">
        <f aca="false">BA559+AI560</f>
        <v>0.00733736234369826</v>
      </c>
      <c r="BB560" s="30" t="n">
        <f aca="false">MAX(BB559,BA560)</f>
        <v>0.0104979422784913</v>
      </c>
      <c r="BC560" s="32" t="n">
        <f aca="false">BA560-BB560</f>
        <v>-0.003160579934793</v>
      </c>
      <c r="BD560" s="30" t="n">
        <f aca="false">A561-A560</f>
        <v>3</v>
      </c>
    </row>
    <row r="561" customFormat="false" ht="15" hidden="false" customHeight="false" outlineLevel="0" collapsed="false">
      <c r="A561" s="28" t="n">
        <v>45866</v>
      </c>
      <c r="B561" s="0" t="n">
        <v>24706.5</v>
      </c>
      <c r="C561" s="0" t="n">
        <v>278.76</v>
      </c>
      <c r="D561" s="29" t="n">
        <f aca="false">LN(B561)</f>
        <v>10.1148216458908</v>
      </c>
      <c r="E561" s="29" t="n">
        <f aca="false">LN(C561)</f>
        <v>5.63035119657032</v>
      </c>
      <c r="F561" s="0" t="n">
        <v>556</v>
      </c>
      <c r="G561" s="0" t="n">
        <v>3</v>
      </c>
      <c r="H561" s="29" t="n">
        <f aca="false">D561-E561</f>
        <v>4.48447044932052</v>
      </c>
      <c r="I561" s="29" t="n">
        <f aca="false">D561-D560</f>
        <v>-0.00565053064391385</v>
      </c>
      <c r="J561" s="29" t="n">
        <f aca="false">E561-E560</f>
        <v>-0.00443840659893091</v>
      </c>
      <c r="K561" s="0" t="n">
        <v>0</v>
      </c>
      <c r="L561" s="0" t="n">
        <v>0</v>
      </c>
      <c r="M561" s="29" t="n">
        <f aca="false">IF(L561=1,J561-Carry!$B$9/Inputs!$B$16,I561)</f>
        <v>-0.00565053064391385</v>
      </c>
      <c r="N561" s="0" t="n">
        <v>0.055</v>
      </c>
      <c r="O561" s="0" t="n">
        <v>0.0002</v>
      </c>
      <c r="P561" s="29" t="n">
        <f aca="false">D561-('2 Hedge ratio'!$B$6+'2 Hedge ratio'!$B$5*E561)</f>
        <v>-0.00511383059221338</v>
      </c>
      <c r="Q561" s="29" t="n">
        <f aca="false">D561-('5 Re-specification'!$B$7+'5 Re-specification'!$B$5*E561+'5 Re-specification'!$B$6*F561)</f>
        <v>-0.00468709134505296</v>
      </c>
      <c r="R561" s="30" t="n">
        <f aca="false">MIN(F561,Inputs!$B$9)</f>
        <v>250</v>
      </c>
      <c r="S561" s="29" t="n">
        <f aca="true">IF(AND(F561&gt;=1,R561&gt;=Inputs!$B$10),INDEX(LINEST(OFFSET(D561,-R561,0,R561,1),OFFSET(E561,-R561,0,R561,2)),1,1),"")</f>
        <v>-2.92608054841794E-005</v>
      </c>
      <c r="T561" s="29" t="n">
        <f aca="true">IF(AND(F561&gt;=1,R561&gt;=Inputs!$B$10),INDEX(LINEST(OFFSET(D561,-R561,0,R561,1),OFFSET(E561,-R561,0,R561,2)),1,2),"")</f>
        <v>1.00255016607406</v>
      </c>
      <c r="U561" s="29" t="n">
        <f aca="true">IF(AND(F561&gt;=1,R561&gt;=Inputs!$B$10),INDEX(LINEST(OFFSET(D561,-R561,0,R561,1),OFFSET(E561,-R561,0,R561,2)),1,3),"")</f>
        <v>4.49319525829476</v>
      </c>
      <c r="V561" s="29" t="n">
        <f aca="true">IF(AND(F561&gt;=1,R561&gt;=Inputs!$B$10),SQRT(SUMPRODUCT((OFFSET(D561,-R561,0,R561,1)-U561-T561*OFFSET(E561,-R561,0,R561,1)-S561*OFFSET(F561,-R561,0,R561,1))^2)/(R561-3)),"")</f>
        <v>0.00237965044314985</v>
      </c>
      <c r="W561" s="31" t="n">
        <f aca="false">IF(AND(F561&gt;=1,R561&gt;=Inputs!$B$10),(D561-U561-T561*E561-S561*F561)/V561,"")</f>
        <v>-2.86350112940595</v>
      </c>
      <c r="X561" s="30" t="n">
        <f aca="false">IF(AB560&lt;&gt;0,AC560+1,0)</f>
        <v>6</v>
      </c>
      <c r="Y561" s="30" t="n">
        <f aca="false">IF(W561="",0,IF(AND(AB560&lt;&gt;0,OR(ABS(W561)&gt;Inputs!$B$7,X561&gt;=Inputs!$B$8,ABS(W561)&lt;Inputs!$B$6)),1,0))</f>
        <v>0</v>
      </c>
      <c r="Z561" s="30" t="n">
        <f aca="false">IF(Y561=1,0,AB560)</f>
        <v>1</v>
      </c>
      <c r="AA561" s="30" t="n">
        <f aca="false">IF(W561="",0,IF(AND(Z561=0,ABS(W561)&gt;Inputs!$B$5,ABS(W561)&lt;=Inputs!$B$7),1,0))</f>
        <v>0</v>
      </c>
      <c r="AB561" s="30" t="n">
        <f aca="false">IF(W561="",0,IF(AA561=1,-SIGN(W561),Z561))</f>
        <v>1</v>
      </c>
      <c r="AC561" s="30" t="n">
        <f aca="false">IF(W561="",0,IF(AA561=1,0,IF(Y561=1,0,X561)))</f>
        <v>6</v>
      </c>
      <c r="AD561" s="29" t="n">
        <f aca="false">IF(AB561=0,0,IF(AB560=AB561,AD560,T561))</f>
        <v>1.00551411614156</v>
      </c>
      <c r="AE561" s="30" t="n">
        <f aca="false">AB561-AB560</f>
        <v>0</v>
      </c>
      <c r="AF561" s="30" t="n">
        <f aca="false">-AD561*AB561</f>
        <v>-1.00551411614156</v>
      </c>
      <c r="AG561" s="30" t="n">
        <f aca="false">AF561-AF560</f>
        <v>0</v>
      </c>
      <c r="AH561" s="30" t="n">
        <f aca="false">MAX(AE561,0)*(Inputs!$B$17+Inputs!$B$18+Inputs!$B$19)+MAX(-AE561,0)*(O561+Inputs!$B$18+Inputs!$B$19)+IF(AND(K561=1,AB561&lt;&gt;0),(Inputs!$B$17+Inputs!$B$18+Inputs!$B$19)+(O561+Inputs!$B$18+Inputs!$B$19),0)+MAX(AG561,0)*(Inputs!$B$20+Inputs!$B$22+Inputs!$B$23)+MAX(-AG561,0)*(Inputs!$B$21+Inputs!$B$22+Inputs!$B$23)</f>
        <v>0</v>
      </c>
      <c r="AI561" s="30" t="n">
        <f aca="false">AB560*(M561-AD560*J561)+AB560*AD560*N561/Inputs!$B$16-AH561</f>
        <v>-0.000968192709529691</v>
      </c>
      <c r="AJ561" s="30" t="n">
        <f aca="false">MAX(AE561,0)*(Inputs!$B$17+Inputs!$B$24+Inputs!$B$25)+MAX(-AE561,0)*(O561+Inputs!$B$24+Inputs!$B$25)+IF(AND(K561=1,AB561&lt;&gt;0),(Inputs!$B$17+Inputs!$B$24+Inputs!$B$25)+(O561+Inputs!$B$24+Inputs!$B$25),0)+MAX(AG561,0)*(Inputs!$B$20+Inputs!$B$26+Inputs!$B$27)+MAX(-AG561,0)*(Inputs!$B$21+Inputs!$B$26+Inputs!$B$27)</f>
        <v>0</v>
      </c>
      <c r="AK561" s="30" t="n">
        <f aca="false">AB560*(M561-AD560*J561)+AB560*AD560*(N561+Inputs!$B$14)/Inputs!$B$16-AJ561</f>
        <v>-0.000938266694168335</v>
      </c>
      <c r="AL561" s="30" t="n">
        <f aca="false">IF(AP560&lt;&gt;0,AQ560+1,0)</f>
        <v>0</v>
      </c>
      <c r="AM561" s="30" t="n">
        <f aca="false">IF(W561="",0,IF(AND(AP560&lt;&gt;0,OR(ABS(W561)&gt;Inputs!$B$7,AL561&gt;=Inputs!$B$8,ABS(W561)&lt;Inputs!$B$6)),1,0))</f>
        <v>0</v>
      </c>
      <c r="AN561" s="30" t="n">
        <f aca="false">IF(AM561=1,0,AP560)</f>
        <v>0</v>
      </c>
      <c r="AO561" s="30" t="n">
        <f aca="false">IF(W561="",0,IF(AND(AN561=0,ABS(W561)&gt;Inputs!$B$5,ABS(W561)&lt;=Inputs!$B$7,W561&gt;0),1,0))</f>
        <v>0</v>
      </c>
      <c r="AP561" s="30" t="n">
        <f aca="false">IF(W561="",0,IF(AO561=1,-SIGN(W561),AN561))</f>
        <v>0</v>
      </c>
      <c r="AQ561" s="30" t="n">
        <f aca="false">IF(W561="",0,IF(AO561=1,0,IF(AM561=1,0,AL561)))</f>
        <v>0</v>
      </c>
      <c r="AR561" s="30" t="n">
        <f aca="false">IF(AP561=0,0,IF(AP560=AP561,AR560,T561))</f>
        <v>0</v>
      </c>
      <c r="AS561" s="30" t="n">
        <f aca="false">AP561-AP560</f>
        <v>0</v>
      </c>
      <c r="AT561" s="30" t="n">
        <f aca="false">-AR561*AP561</f>
        <v>-0</v>
      </c>
      <c r="AU561" s="30" t="n">
        <f aca="false">AT561-AT560</f>
        <v>0</v>
      </c>
      <c r="AV561" s="30" t="n">
        <f aca="false">MAX(AS561,0)*(Inputs!$B$17+Inputs!$B$18+Inputs!$B$19)+MAX(-AS561,0)*(O561+Inputs!$B$18+Inputs!$B$19)+IF(AND(K561=1,AP561&lt;&gt;0),(Inputs!$B$17+Inputs!$B$18+Inputs!$B$19)+(O561+Inputs!$B$18+Inputs!$B$19),0)+MAX(AU561,0)*(Inputs!$B$20+Inputs!$B$22+Inputs!$B$23)+MAX(-AU561,0)*(Inputs!$B$21+Inputs!$B$22+Inputs!$B$23)</f>
        <v>0</v>
      </c>
      <c r="AW561" s="30" t="n">
        <f aca="false">AP560*(M561-AR560*J561)+AP560*AR560*N561/Inputs!$B$16-AV561</f>
        <v>0</v>
      </c>
      <c r="AX561" s="30" t="n">
        <f aca="false">AW561-IF(AP560&lt;&gt;0,0.75*AR560*(Inputs!$B$13-N561)/Inputs!$B$16,0)</f>
        <v>0</v>
      </c>
      <c r="AY561" s="30" t="n">
        <f aca="false">MAX(AS561,0)*(Inputs!$B$17+Inputs!$B$18+Inputs!$B$19)+MAX(-AS561,0)*(O561+Inputs!$B$18+Inputs!$B$19)+IF(AND(K561=1,AP561&lt;&gt;0),(Inputs!$B$17+Inputs!$B$18+Inputs!$B$19)+(O561+Inputs!$B$18+Inputs!$B$19),0)</f>
        <v>0</v>
      </c>
      <c r="AZ561" s="30" t="n">
        <f aca="false">AP560*M561-AY561</f>
        <v>-0</v>
      </c>
      <c r="BA561" s="32" t="n">
        <f aca="false">BA560+AI561</f>
        <v>0.00636916963416857</v>
      </c>
      <c r="BB561" s="30" t="n">
        <f aca="false">MAX(BB560,BA561)</f>
        <v>0.0104979422784913</v>
      </c>
      <c r="BC561" s="32" t="n">
        <f aca="false">BA561-BB561</f>
        <v>-0.00412877264432269</v>
      </c>
      <c r="BD561" s="30" t="n">
        <f aca="false">A562-A561</f>
        <v>1</v>
      </c>
    </row>
    <row r="562" customFormat="false" ht="15" hidden="false" customHeight="false" outlineLevel="0" collapsed="false">
      <c r="A562" s="28" t="n">
        <v>45867</v>
      </c>
      <c r="B562" s="0" t="n">
        <v>24843.3</v>
      </c>
      <c r="C562" s="0" t="n">
        <v>280</v>
      </c>
      <c r="D562" s="29" t="n">
        <f aca="false">LN(B562)</f>
        <v>10.1203433774651</v>
      </c>
      <c r="E562" s="29" t="n">
        <f aca="false">LN(C562)</f>
        <v>5.63478960316925</v>
      </c>
      <c r="F562" s="0" t="n">
        <v>557</v>
      </c>
      <c r="G562" s="0" t="n">
        <v>2</v>
      </c>
      <c r="H562" s="29" t="n">
        <f aca="false">D562-E562</f>
        <v>4.4855537742959</v>
      </c>
      <c r="I562" s="29" t="n">
        <f aca="false">D562-D561</f>
        <v>0.00552173157430858</v>
      </c>
      <c r="J562" s="29" t="n">
        <f aca="false">E562-E561</f>
        <v>0.00443840659893091</v>
      </c>
      <c r="K562" s="0" t="n">
        <v>0</v>
      </c>
      <c r="L562" s="0" t="n">
        <v>0</v>
      </c>
      <c r="M562" s="29" t="n">
        <f aca="false">IF(L562=1,J562-Carry!$B$9/Inputs!$B$16,I562)</f>
        <v>0.00552173157430858</v>
      </c>
      <c r="N562" s="0" t="n">
        <v>0.055</v>
      </c>
      <c r="O562" s="0" t="n">
        <v>0.0002</v>
      </c>
      <c r="P562" s="29" t="n">
        <f aca="false">D562-('2 Hedge ratio'!$B$6+'2 Hedge ratio'!$B$5*E562)</f>
        <v>-0.00365824207160159</v>
      </c>
      <c r="Q562" s="29" t="n">
        <f aca="false">D562-('5 Re-specification'!$B$7+'5 Re-specification'!$B$5*E562+'5 Re-specification'!$B$6*F562)</f>
        <v>-0.00354538646028679</v>
      </c>
      <c r="R562" s="30" t="n">
        <f aca="false">MIN(F562,Inputs!$B$9)</f>
        <v>250</v>
      </c>
      <c r="S562" s="29" t="n">
        <f aca="true">IF(AND(F562&gt;=1,R562&gt;=Inputs!$B$10),INDEX(LINEST(OFFSET(D562,-R562,0,R562,1),OFFSET(E562,-R562,0,R562,2)),1,1),"")</f>
        <v>-3.01187648076838E-005</v>
      </c>
      <c r="T562" s="29" t="n">
        <f aca="true">IF(AND(F562&gt;=1,R562&gt;=Inputs!$B$10),INDEX(LINEST(OFFSET(D562,-R562,0,R562,1),OFFSET(E562,-R562,0,R562,2)),1,2),"")</f>
        <v>1.00199706246368</v>
      </c>
      <c r="U562" s="29" t="n">
        <f aca="true">IF(AND(F562&gt;=1,R562&gt;=Inputs!$B$10),INDEX(LINEST(OFFSET(D562,-R562,0,R562,1),OFFSET(E562,-R562,0,R562,2)),1,3),"")</f>
        <v>4.49664563044999</v>
      </c>
      <c r="V562" s="29" t="n">
        <f aca="true">IF(AND(F562&gt;=1,R562&gt;=Inputs!$B$10),SQRT(SUMPRODUCT((OFFSET(D562,-R562,0,R562,1)-U562-T562*OFFSET(E562,-R562,0,R562,1)-S562*OFFSET(F562,-R562,0,R562,1))^2)/(R562-3)),"")</f>
        <v>0.0024143825970085</v>
      </c>
      <c r="W562" s="31" t="n">
        <f aca="false">IF(AND(F562&gt;=1,R562&gt;=Inputs!$B$10),(D562-U562-T562*E562-S562*F562)/V562,"")</f>
        <v>-2.30648239858142</v>
      </c>
      <c r="X562" s="30" t="n">
        <f aca="false">IF(AB561&lt;&gt;0,AC561+1,0)</f>
        <v>7</v>
      </c>
      <c r="Y562" s="30" t="n">
        <f aca="false">IF(W562="",0,IF(AND(AB561&lt;&gt;0,OR(ABS(W562)&gt;Inputs!$B$7,X562&gt;=Inputs!$B$8,ABS(W562)&lt;Inputs!$B$6)),1,0))</f>
        <v>0</v>
      </c>
      <c r="Z562" s="30" t="n">
        <f aca="false">IF(Y562=1,0,AB561)</f>
        <v>1</v>
      </c>
      <c r="AA562" s="30" t="n">
        <f aca="false">IF(W562="",0,IF(AND(Z562=0,ABS(W562)&gt;Inputs!$B$5,ABS(W562)&lt;=Inputs!$B$7),1,0))</f>
        <v>0</v>
      </c>
      <c r="AB562" s="30" t="n">
        <f aca="false">IF(W562="",0,IF(AA562=1,-SIGN(W562),Z562))</f>
        <v>1</v>
      </c>
      <c r="AC562" s="30" t="n">
        <f aca="false">IF(W562="",0,IF(AA562=1,0,IF(Y562=1,0,X562)))</f>
        <v>7</v>
      </c>
      <c r="AD562" s="29" t="n">
        <f aca="false">IF(AB562=0,0,IF(AB561=AB562,AD561,T562))</f>
        <v>1.00551411614156</v>
      </c>
      <c r="AE562" s="30" t="n">
        <f aca="false">AB562-AB561</f>
        <v>0</v>
      </c>
      <c r="AF562" s="30" t="n">
        <f aca="false">-AD562*AB562</f>
        <v>-1.00551411614156</v>
      </c>
      <c r="AG562" s="30" t="n">
        <f aca="false">AF562-AF561</f>
        <v>0</v>
      </c>
      <c r="AH562" s="30" t="n">
        <f aca="false">MAX(AE562,0)*(Inputs!$B$17+Inputs!$B$18+Inputs!$B$19)+MAX(-AE562,0)*(O562+Inputs!$B$18+Inputs!$B$19)+IF(AND(K562=1,AB562&lt;&gt;0),(Inputs!$B$17+Inputs!$B$18+Inputs!$B$19)+(O562+Inputs!$B$18+Inputs!$B$19),0)+MAX(AG562,0)*(Inputs!$B$20+Inputs!$B$22+Inputs!$B$23)+MAX(-AG562,0)*(Inputs!$B$21+Inputs!$B$22+Inputs!$B$23)</f>
        <v>0</v>
      </c>
      <c r="AI562" s="30" t="n">
        <f aca="false">AB561*(M562-AD561*J562)+AB561*AD561*N562/Inputs!$B$16-AH562</f>
        <v>0.00127830853189097</v>
      </c>
      <c r="AJ562" s="30" t="n">
        <f aca="false">MAX(AE562,0)*(Inputs!$B$17+Inputs!$B$24+Inputs!$B$25)+MAX(-AE562,0)*(O562+Inputs!$B$24+Inputs!$B$25)+IF(AND(K562=1,AB562&lt;&gt;0),(Inputs!$B$17+Inputs!$B$24+Inputs!$B$25)+(O562+Inputs!$B$24+Inputs!$B$25),0)+MAX(AG562,0)*(Inputs!$B$20+Inputs!$B$26+Inputs!$B$27)+MAX(-AG562,0)*(Inputs!$B$21+Inputs!$B$26+Inputs!$B$27)</f>
        <v>0</v>
      </c>
      <c r="AK562" s="30" t="n">
        <f aca="false">AB561*(M562-AD561*J562)+AB561*AD561*(N562+Inputs!$B$14)/Inputs!$B$16-AJ562</f>
        <v>0.00130823454725232</v>
      </c>
      <c r="AL562" s="30" t="n">
        <f aca="false">IF(AP561&lt;&gt;0,AQ561+1,0)</f>
        <v>0</v>
      </c>
      <c r="AM562" s="30" t="n">
        <f aca="false">IF(W562="",0,IF(AND(AP561&lt;&gt;0,OR(ABS(W562)&gt;Inputs!$B$7,AL562&gt;=Inputs!$B$8,ABS(W562)&lt;Inputs!$B$6)),1,0))</f>
        <v>0</v>
      </c>
      <c r="AN562" s="30" t="n">
        <f aca="false">IF(AM562=1,0,AP561)</f>
        <v>0</v>
      </c>
      <c r="AO562" s="30" t="n">
        <f aca="false">IF(W562="",0,IF(AND(AN562=0,ABS(W562)&gt;Inputs!$B$5,ABS(W562)&lt;=Inputs!$B$7,W562&gt;0),1,0))</f>
        <v>0</v>
      </c>
      <c r="AP562" s="30" t="n">
        <f aca="false">IF(W562="",0,IF(AO562=1,-SIGN(W562),AN562))</f>
        <v>0</v>
      </c>
      <c r="AQ562" s="30" t="n">
        <f aca="false">IF(W562="",0,IF(AO562=1,0,IF(AM562=1,0,AL562)))</f>
        <v>0</v>
      </c>
      <c r="AR562" s="30" t="n">
        <f aca="false">IF(AP562=0,0,IF(AP561=AP562,AR561,T562))</f>
        <v>0</v>
      </c>
      <c r="AS562" s="30" t="n">
        <f aca="false">AP562-AP561</f>
        <v>0</v>
      </c>
      <c r="AT562" s="30" t="n">
        <f aca="false">-AR562*AP562</f>
        <v>-0</v>
      </c>
      <c r="AU562" s="30" t="n">
        <f aca="false">AT562-AT561</f>
        <v>0</v>
      </c>
      <c r="AV562" s="30" t="n">
        <f aca="false">MAX(AS562,0)*(Inputs!$B$17+Inputs!$B$18+Inputs!$B$19)+MAX(-AS562,0)*(O562+Inputs!$B$18+Inputs!$B$19)+IF(AND(K562=1,AP562&lt;&gt;0),(Inputs!$B$17+Inputs!$B$18+Inputs!$B$19)+(O562+Inputs!$B$18+Inputs!$B$19),0)+MAX(AU562,0)*(Inputs!$B$20+Inputs!$B$22+Inputs!$B$23)+MAX(-AU562,0)*(Inputs!$B$21+Inputs!$B$22+Inputs!$B$23)</f>
        <v>0</v>
      </c>
      <c r="AW562" s="30" t="n">
        <f aca="false">AP561*(M562-AR561*J562)+AP561*AR561*N562/Inputs!$B$16-AV562</f>
        <v>0</v>
      </c>
      <c r="AX562" s="30" t="n">
        <f aca="false">AW562-IF(AP561&lt;&gt;0,0.75*AR561*(Inputs!$B$13-N562)/Inputs!$B$16,0)</f>
        <v>0</v>
      </c>
      <c r="AY562" s="30" t="n">
        <f aca="false">MAX(AS562,0)*(Inputs!$B$17+Inputs!$B$18+Inputs!$B$19)+MAX(-AS562,0)*(O562+Inputs!$B$18+Inputs!$B$19)+IF(AND(K562=1,AP562&lt;&gt;0),(Inputs!$B$17+Inputs!$B$18+Inputs!$B$19)+(O562+Inputs!$B$18+Inputs!$B$19),0)</f>
        <v>0</v>
      </c>
      <c r="AZ562" s="30" t="n">
        <f aca="false">AP561*M562-AY562</f>
        <v>0</v>
      </c>
      <c r="BA562" s="32" t="n">
        <f aca="false">BA561+AI562</f>
        <v>0.00764747816605953</v>
      </c>
      <c r="BB562" s="30" t="n">
        <f aca="false">MAX(BB561,BA562)</f>
        <v>0.0104979422784913</v>
      </c>
      <c r="BC562" s="32" t="n">
        <f aca="false">BA562-BB562</f>
        <v>-0.00285046411243173</v>
      </c>
      <c r="BD562" s="30" t="n">
        <f aca="false">A563-A562</f>
        <v>1</v>
      </c>
    </row>
    <row r="563" customFormat="false" ht="15" hidden="false" customHeight="false" outlineLevel="0" collapsed="false">
      <c r="A563" s="28" t="n">
        <v>45868</v>
      </c>
      <c r="B563" s="0" t="n">
        <v>24859</v>
      </c>
      <c r="C563" s="0" t="n">
        <v>280.24</v>
      </c>
      <c r="D563" s="29" t="n">
        <f aca="false">LN(B563)</f>
        <v>10.1209751389942</v>
      </c>
      <c r="E563" s="29" t="n">
        <f aca="false">LN(C563)</f>
        <v>5.63564637888923</v>
      </c>
      <c r="F563" s="0" t="n">
        <v>558</v>
      </c>
      <c r="G563" s="0" t="n">
        <v>1</v>
      </c>
      <c r="H563" s="29" t="n">
        <f aca="false">D563-E563</f>
        <v>4.48532876010495</v>
      </c>
      <c r="I563" s="29" t="n">
        <f aca="false">D563-D562</f>
        <v>0.000631761529032104</v>
      </c>
      <c r="J563" s="29" t="n">
        <f aca="false">E563-E562</f>
        <v>0.000856775719982217</v>
      </c>
      <c r="K563" s="0" t="n">
        <v>0</v>
      </c>
      <c r="L563" s="0" t="n">
        <v>0</v>
      </c>
      <c r="M563" s="29" t="n">
        <f aca="false">IF(L563=1,J563-Carry!$B$9/Inputs!$B$16,I563)</f>
        <v>0.000631761529032104</v>
      </c>
      <c r="N563" s="0" t="n">
        <v>0.055</v>
      </c>
      <c r="O563" s="0" t="n">
        <v>0.0002</v>
      </c>
      <c r="P563" s="29" t="n">
        <f aca="false">D563-('2 Hedge ratio'!$B$6+'2 Hedge ratio'!$B$5*E563)</f>
        <v>-0.00381139570631817</v>
      </c>
      <c r="Q563" s="29" t="n">
        <f aca="false">D563-('5 Re-specification'!$B$7+'5 Re-specification'!$B$5*E563+'5 Re-specification'!$B$6*F563)</f>
        <v>-0.00372287487430256</v>
      </c>
      <c r="R563" s="30" t="n">
        <f aca="false">MIN(F563,Inputs!$B$9)</f>
        <v>250</v>
      </c>
      <c r="S563" s="29" t="n">
        <f aca="true">IF(AND(F563&gt;=1,R563&gt;=Inputs!$B$10),INDEX(LINEST(OFFSET(D563,-R563,0,R563,1),OFFSET(E563,-R563,0,R563,2)),1,1),"")</f>
        <v>-3.0220563785424E-005</v>
      </c>
      <c r="T563" s="29" t="n">
        <f aca="true">IF(AND(F563&gt;=1,R563&gt;=Inputs!$B$10),INDEX(LINEST(OFFSET(D563,-R563,0,R563,1),OFFSET(E563,-R563,0,R563,2)),1,2),"")</f>
        <v>1.00128826908681</v>
      </c>
      <c r="U563" s="29" t="n">
        <f aca="true">IF(AND(F563&gt;=1,R563&gt;=Inputs!$B$10),INDEX(LINEST(OFFSET(D563,-R563,0,R563,1),OFFSET(E563,-R563,0,R563,2)),1,3),"")</f>
        <v>4.50062081876351</v>
      </c>
      <c r="V563" s="29" t="n">
        <f aca="true">IF(AND(F563&gt;=1,R563&gt;=Inputs!$B$10),SQRT(SUMPRODUCT((OFFSET(D563,-R563,0,R563,1)-U563-T563*OFFSET(E563,-R563,0,R563,1)-S563*OFFSET(F563,-R563,0,R563,1))^2)/(R563-3)),"")</f>
        <v>0.00242241497397684</v>
      </c>
      <c r="W563" s="31" t="n">
        <f aca="false">IF(AND(F563&gt;=1,R563&gt;=Inputs!$B$10),(D563-U563-T563*E563-S563*F563)/V563,"")</f>
        <v>-2.34857080289933</v>
      </c>
      <c r="X563" s="30" t="n">
        <f aca="false">IF(AB562&lt;&gt;0,AC562+1,0)</f>
        <v>8</v>
      </c>
      <c r="Y563" s="30" t="n">
        <f aca="false">IF(W563="",0,IF(AND(AB562&lt;&gt;0,OR(ABS(W563)&gt;Inputs!$B$7,X563&gt;=Inputs!$B$8,ABS(W563)&lt;Inputs!$B$6)),1,0))</f>
        <v>0</v>
      </c>
      <c r="Z563" s="30" t="n">
        <f aca="false">IF(Y563=1,0,AB562)</f>
        <v>1</v>
      </c>
      <c r="AA563" s="30" t="n">
        <f aca="false">IF(W563="",0,IF(AND(Z563=0,ABS(W563)&gt;Inputs!$B$5,ABS(W563)&lt;=Inputs!$B$7),1,0))</f>
        <v>0</v>
      </c>
      <c r="AB563" s="30" t="n">
        <f aca="false">IF(W563="",0,IF(AA563=1,-SIGN(W563),Z563))</f>
        <v>1</v>
      </c>
      <c r="AC563" s="30" t="n">
        <f aca="false">IF(W563="",0,IF(AA563=1,0,IF(Y563=1,0,X563)))</f>
        <v>8</v>
      </c>
      <c r="AD563" s="29" t="n">
        <f aca="false">IF(AB563=0,0,IF(AB562=AB563,AD562,T563))</f>
        <v>1.00551411614156</v>
      </c>
      <c r="AE563" s="30" t="n">
        <f aca="false">AB563-AB562</f>
        <v>0</v>
      </c>
      <c r="AF563" s="30" t="n">
        <f aca="false">-AD563*AB563</f>
        <v>-1.00551411614156</v>
      </c>
      <c r="AG563" s="30" t="n">
        <f aca="false">AF563-AF562</f>
        <v>0</v>
      </c>
      <c r="AH563" s="30" t="n">
        <f aca="false">MAX(AE563,0)*(Inputs!$B$17+Inputs!$B$18+Inputs!$B$19)+MAX(-AE563,0)*(O563+Inputs!$B$18+Inputs!$B$19)+IF(AND(K563=1,AB563&lt;&gt;0),(Inputs!$B$17+Inputs!$B$18+Inputs!$B$19)+(O563+Inputs!$B$18+Inputs!$B$19),0)+MAX(AG563,0)*(Inputs!$B$20+Inputs!$B$22+Inputs!$B$23)+MAX(-AG563,0)*(Inputs!$B$21+Inputs!$B$22+Inputs!$B$23)</f>
        <v>0</v>
      </c>
      <c r="AI563" s="30" t="n">
        <f aca="false">AB562*(M563-AD562*J563)+AB562*AD562*N563/Inputs!$B$16-AH563</f>
        <v>-1.02811057940866E-005</v>
      </c>
      <c r="AJ563" s="30" t="n">
        <f aca="false">MAX(AE563,0)*(Inputs!$B$17+Inputs!$B$24+Inputs!$B$25)+MAX(-AE563,0)*(O563+Inputs!$B$24+Inputs!$B$25)+IF(AND(K563=1,AB563&lt;&gt;0),(Inputs!$B$17+Inputs!$B$24+Inputs!$B$25)+(O563+Inputs!$B$24+Inputs!$B$25),0)+MAX(AG563,0)*(Inputs!$B$20+Inputs!$B$26+Inputs!$B$27)+MAX(-AG563,0)*(Inputs!$B$21+Inputs!$B$26+Inputs!$B$27)</f>
        <v>0</v>
      </c>
      <c r="AK563" s="30" t="n">
        <f aca="false">AB562*(M563-AD562*J563)+AB562*AD562*(N563+Inputs!$B$14)/Inputs!$B$16-AJ563</f>
        <v>1.96449095672694E-005</v>
      </c>
      <c r="AL563" s="30" t="n">
        <f aca="false">IF(AP562&lt;&gt;0,AQ562+1,0)</f>
        <v>0</v>
      </c>
      <c r="AM563" s="30" t="n">
        <f aca="false">IF(W563="",0,IF(AND(AP562&lt;&gt;0,OR(ABS(W563)&gt;Inputs!$B$7,AL563&gt;=Inputs!$B$8,ABS(W563)&lt;Inputs!$B$6)),1,0))</f>
        <v>0</v>
      </c>
      <c r="AN563" s="30" t="n">
        <f aca="false">IF(AM563=1,0,AP562)</f>
        <v>0</v>
      </c>
      <c r="AO563" s="30" t="n">
        <f aca="false">IF(W563="",0,IF(AND(AN563=0,ABS(W563)&gt;Inputs!$B$5,ABS(W563)&lt;=Inputs!$B$7,W563&gt;0),1,0))</f>
        <v>0</v>
      </c>
      <c r="AP563" s="30" t="n">
        <f aca="false">IF(W563="",0,IF(AO563=1,-SIGN(W563),AN563))</f>
        <v>0</v>
      </c>
      <c r="AQ563" s="30" t="n">
        <f aca="false">IF(W563="",0,IF(AO563=1,0,IF(AM563=1,0,AL563)))</f>
        <v>0</v>
      </c>
      <c r="AR563" s="30" t="n">
        <f aca="false">IF(AP563=0,0,IF(AP562=AP563,AR562,T563))</f>
        <v>0</v>
      </c>
      <c r="AS563" s="30" t="n">
        <f aca="false">AP563-AP562</f>
        <v>0</v>
      </c>
      <c r="AT563" s="30" t="n">
        <f aca="false">-AR563*AP563</f>
        <v>-0</v>
      </c>
      <c r="AU563" s="30" t="n">
        <f aca="false">AT563-AT562</f>
        <v>0</v>
      </c>
      <c r="AV563" s="30" t="n">
        <f aca="false">MAX(AS563,0)*(Inputs!$B$17+Inputs!$B$18+Inputs!$B$19)+MAX(-AS563,0)*(O563+Inputs!$B$18+Inputs!$B$19)+IF(AND(K563=1,AP563&lt;&gt;0),(Inputs!$B$17+Inputs!$B$18+Inputs!$B$19)+(O563+Inputs!$B$18+Inputs!$B$19),0)+MAX(AU563,0)*(Inputs!$B$20+Inputs!$B$22+Inputs!$B$23)+MAX(-AU563,0)*(Inputs!$B$21+Inputs!$B$22+Inputs!$B$23)</f>
        <v>0</v>
      </c>
      <c r="AW563" s="30" t="n">
        <f aca="false">AP562*(M563-AR562*J563)+AP562*AR562*N563/Inputs!$B$16-AV563</f>
        <v>0</v>
      </c>
      <c r="AX563" s="30" t="n">
        <f aca="false">AW563-IF(AP562&lt;&gt;0,0.75*AR562*(Inputs!$B$13-N563)/Inputs!$B$16,0)</f>
        <v>0</v>
      </c>
      <c r="AY563" s="30" t="n">
        <f aca="false">MAX(AS563,0)*(Inputs!$B$17+Inputs!$B$18+Inputs!$B$19)+MAX(-AS563,0)*(O563+Inputs!$B$18+Inputs!$B$19)+IF(AND(K563=1,AP563&lt;&gt;0),(Inputs!$B$17+Inputs!$B$18+Inputs!$B$19)+(O563+Inputs!$B$18+Inputs!$B$19),0)</f>
        <v>0</v>
      </c>
      <c r="AZ563" s="30" t="n">
        <f aca="false">AP562*M563-AY563</f>
        <v>0</v>
      </c>
      <c r="BA563" s="32" t="n">
        <f aca="false">BA562+AI563</f>
        <v>0.00763719706026545</v>
      </c>
      <c r="BB563" s="30" t="n">
        <f aca="false">MAX(BB562,BA563)</f>
        <v>0.0104979422784913</v>
      </c>
      <c r="BC563" s="32" t="n">
        <f aca="false">BA563-BB563</f>
        <v>-0.00286074521822581</v>
      </c>
      <c r="BD563" s="30" t="n">
        <f aca="false">A564-A563</f>
        <v>1</v>
      </c>
    </row>
    <row r="564" customFormat="false" ht="15" hidden="false" customHeight="false" outlineLevel="0" collapsed="false">
      <c r="A564" s="28" t="n">
        <v>45869</v>
      </c>
      <c r="B564" s="0" t="n">
        <v>24766.8</v>
      </c>
      <c r="C564" s="0" t="n">
        <v>279.34</v>
      </c>
      <c r="D564" s="29" t="n">
        <f aca="false">LN(B564)</f>
        <v>10.1172593256033</v>
      </c>
      <c r="E564" s="29" t="n">
        <f aca="false">LN(C564)</f>
        <v>5.63242967787763</v>
      </c>
      <c r="F564" s="0" t="n">
        <v>559</v>
      </c>
      <c r="G564" s="0" t="n">
        <v>0</v>
      </c>
      <c r="H564" s="29" t="n">
        <f aca="false">D564-E564</f>
        <v>4.48482964772571</v>
      </c>
      <c r="I564" s="29" t="n">
        <f aca="false">D564-D563</f>
        <v>-0.00371581339085125</v>
      </c>
      <c r="J564" s="29" t="n">
        <f aca="false">E564-E563</f>
        <v>-0.0032167010116062</v>
      </c>
      <c r="K564" s="0" t="n">
        <v>1</v>
      </c>
      <c r="L564" s="0" t="n">
        <v>0</v>
      </c>
      <c r="M564" s="29" t="n">
        <f aca="false">IF(L564=1,J564-Carry!$B$9/Inputs!$B$16,I564)</f>
        <v>-0.00371581339085125</v>
      </c>
      <c r="N564" s="0" t="n">
        <v>0.055</v>
      </c>
      <c r="O564" s="0" t="n">
        <v>0.0002</v>
      </c>
      <c r="P564" s="29" t="n">
        <f aca="false">D564-('2 Hedge ratio'!$B$6+'2 Hedge ratio'!$B$5*E564)</f>
        <v>-0.00458030322394087</v>
      </c>
      <c r="Q564" s="29" t="n">
        <f aca="false">D564-('5 Re-specification'!$B$7+'5 Re-specification'!$B$5*E564+'5 Re-specification'!$B$6*F564)</f>
        <v>-0.00418680614793487</v>
      </c>
      <c r="R564" s="30" t="n">
        <f aca="false">MIN(F564,Inputs!$B$9)</f>
        <v>250</v>
      </c>
      <c r="S564" s="29" t="n">
        <f aca="true">IF(AND(F564&gt;=1,R564&gt;=Inputs!$B$10),INDEX(LINEST(OFFSET(D564,-R564,0,R564,1),OFFSET(E564,-R564,0,R564,2)),1,1),"")</f>
        <v>-3.06623580847231E-005</v>
      </c>
      <c r="T564" s="29" t="n">
        <f aca="true">IF(AND(F564&gt;=1,R564&gt;=Inputs!$B$10),INDEX(LINEST(OFFSET(D564,-R564,0,R564,1),OFFSET(E564,-R564,0,R564,2)),1,2),"")</f>
        <v>1.00070228432318</v>
      </c>
      <c r="U564" s="29" t="n">
        <f aca="true">IF(AND(F564&gt;=1,R564&gt;=Inputs!$B$10),INDEX(LINEST(OFFSET(D564,-R564,0,R564,1),OFFSET(E564,-R564,0,R564,2)),1,3),"")</f>
        <v>4.50406871096478</v>
      </c>
      <c r="V564" s="29" t="n">
        <f aca="true">IF(AND(F564&gt;=1,R564&gt;=Inputs!$B$10),SQRT(SUMPRODUCT((OFFSET(D564,-R564,0,R564,1)-U564-T564*OFFSET(E564,-R564,0,R564,1)-S564*OFFSET(F564,-R564,0,R564,1))^2)/(R564-3)),"")</f>
        <v>0.00244783946839061</v>
      </c>
      <c r="W564" s="31" t="n">
        <f aca="false">IF(AND(F564&gt;=1,R564&gt;=Inputs!$B$10),(D564-U564-T564*E564-S564*F564)/V564,"")</f>
        <v>-2.47335342537379</v>
      </c>
      <c r="X564" s="30" t="n">
        <f aca="false">IF(AB563&lt;&gt;0,AC563+1,0)</f>
        <v>9</v>
      </c>
      <c r="Y564" s="30" t="n">
        <f aca="false">IF(W564="",0,IF(AND(AB563&lt;&gt;0,OR(ABS(W564)&gt;Inputs!$B$7,X564&gt;=Inputs!$B$8,ABS(W564)&lt;Inputs!$B$6)),1,0))</f>
        <v>0</v>
      </c>
      <c r="Z564" s="30" t="n">
        <f aca="false">IF(Y564=1,0,AB563)</f>
        <v>1</v>
      </c>
      <c r="AA564" s="30" t="n">
        <f aca="false">IF(W564="",0,IF(AND(Z564=0,ABS(W564)&gt;Inputs!$B$5,ABS(W564)&lt;=Inputs!$B$7),1,0))</f>
        <v>0</v>
      </c>
      <c r="AB564" s="30" t="n">
        <f aca="false">IF(W564="",0,IF(AA564=1,-SIGN(W564),Z564))</f>
        <v>1</v>
      </c>
      <c r="AC564" s="30" t="n">
        <f aca="false">IF(W564="",0,IF(AA564=1,0,IF(Y564=1,0,X564)))</f>
        <v>9</v>
      </c>
      <c r="AD564" s="29" t="n">
        <f aca="false">IF(AB564=0,0,IF(AB563=AB564,AD563,T564))</f>
        <v>1.00551411614156</v>
      </c>
      <c r="AE564" s="30" t="n">
        <f aca="false">AB564-AB563</f>
        <v>0</v>
      </c>
      <c r="AF564" s="30" t="n">
        <f aca="false">-AD564*AB564</f>
        <v>-1.00551411614156</v>
      </c>
      <c r="AG564" s="30" t="n">
        <f aca="false">AF564-AF563</f>
        <v>0</v>
      </c>
      <c r="AH564" s="32" t="n">
        <f aca="false">MAX(AE564,0)*(Inputs!$B$17+Inputs!$B$18+Inputs!$B$19)+MAX(-AE564,0)*(O564+Inputs!$B$18+Inputs!$B$19)+IF(AND(K564=1,AB564&lt;&gt;0),(Inputs!$B$17+Inputs!$B$18+Inputs!$B$19)+(O564+Inputs!$B$18+Inputs!$B$19),0)+MAX(AG564,0)*(Inputs!$B$20+Inputs!$B$22+Inputs!$B$23)+MAX(-AG564,0)*(Inputs!$B$21+Inputs!$B$22+Inputs!$B$23)</f>
        <v>0.00049</v>
      </c>
      <c r="AI564" s="32" t="n">
        <f aca="false">AB563*(M564-AD563*J564)+AB563*AD563*N564/Inputs!$B$16-AH564</f>
        <v>-0.000751917670291098</v>
      </c>
      <c r="AJ564" s="32" t="n">
        <f aca="false">MAX(AE564,0)*(Inputs!$B$17+Inputs!$B$24+Inputs!$B$25)+MAX(-AE564,0)*(O564+Inputs!$B$24+Inputs!$B$25)+IF(AND(K564=1,AB564&lt;&gt;0),(Inputs!$B$17+Inputs!$B$24+Inputs!$B$25)+(O564+Inputs!$B$24+Inputs!$B$25),0)+MAX(AG564,0)*(Inputs!$B$20+Inputs!$B$26+Inputs!$B$27)+MAX(-AG564,0)*(Inputs!$B$21+Inputs!$B$26+Inputs!$B$27)</f>
        <v>0.00036</v>
      </c>
      <c r="AK564" s="32" t="n">
        <f aca="false">AB563*(M564-AD563*J564)+AB563*AD563*(N564+Inputs!$B$14)/Inputs!$B$16-AJ564</f>
        <v>-0.000591991654929742</v>
      </c>
      <c r="AL564" s="30" t="n">
        <f aca="false">IF(AP563&lt;&gt;0,AQ563+1,0)</f>
        <v>0</v>
      </c>
      <c r="AM564" s="30" t="n">
        <f aca="false">IF(W564="",0,IF(AND(AP563&lt;&gt;0,OR(ABS(W564)&gt;Inputs!$B$7,AL564&gt;=Inputs!$B$8,ABS(W564)&lt;Inputs!$B$6)),1,0))</f>
        <v>0</v>
      </c>
      <c r="AN564" s="30" t="n">
        <f aca="false">IF(AM564=1,0,AP563)</f>
        <v>0</v>
      </c>
      <c r="AO564" s="30" t="n">
        <f aca="false">IF(W564="",0,IF(AND(AN564=0,ABS(W564)&gt;Inputs!$B$5,ABS(W564)&lt;=Inputs!$B$7,W564&gt;0),1,0))</f>
        <v>0</v>
      </c>
      <c r="AP564" s="30" t="n">
        <f aca="false">IF(W564="",0,IF(AO564=1,-SIGN(W564),AN564))</f>
        <v>0</v>
      </c>
      <c r="AQ564" s="30" t="n">
        <f aca="false">IF(W564="",0,IF(AO564=1,0,IF(AM564=1,0,AL564)))</f>
        <v>0</v>
      </c>
      <c r="AR564" s="30" t="n">
        <f aca="false">IF(AP564=0,0,IF(AP563=AP564,AR563,T564))</f>
        <v>0</v>
      </c>
      <c r="AS564" s="30" t="n">
        <f aca="false">AP564-AP563</f>
        <v>0</v>
      </c>
      <c r="AT564" s="30" t="n">
        <f aca="false">-AR564*AP564</f>
        <v>-0</v>
      </c>
      <c r="AU564" s="30" t="n">
        <f aca="false">AT564-AT563</f>
        <v>0</v>
      </c>
      <c r="AV564" s="30" t="n">
        <f aca="false">MAX(AS564,0)*(Inputs!$B$17+Inputs!$B$18+Inputs!$B$19)+MAX(-AS564,0)*(O564+Inputs!$B$18+Inputs!$B$19)+IF(AND(K564=1,AP564&lt;&gt;0),(Inputs!$B$17+Inputs!$B$18+Inputs!$B$19)+(O564+Inputs!$B$18+Inputs!$B$19),0)+MAX(AU564,0)*(Inputs!$B$20+Inputs!$B$22+Inputs!$B$23)+MAX(-AU564,0)*(Inputs!$B$21+Inputs!$B$22+Inputs!$B$23)</f>
        <v>0</v>
      </c>
      <c r="AW564" s="30" t="n">
        <f aca="false">AP563*(M564-AR563*J564)+AP563*AR563*N564/Inputs!$B$16-AV564</f>
        <v>0</v>
      </c>
      <c r="AX564" s="30" t="n">
        <f aca="false">AW564-IF(AP563&lt;&gt;0,0.75*AR563*(Inputs!$B$13-N564)/Inputs!$B$16,0)</f>
        <v>0</v>
      </c>
      <c r="AY564" s="30" t="n">
        <f aca="false">MAX(AS564,0)*(Inputs!$B$17+Inputs!$B$18+Inputs!$B$19)+MAX(-AS564,0)*(O564+Inputs!$B$18+Inputs!$B$19)+IF(AND(K564=1,AP564&lt;&gt;0),(Inputs!$B$17+Inputs!$B$18+Inputs!$B$19)+(O564+Inputs!$B$18+Inputs!$B$19),0)</f>
        <v>0</v>
      </c>
      <c r="AZ564" s="30" t="n">
        <f aca="false">AP563*M564-AY564</f>
        <v>-0</v>
      </c>
      <c r="BA564" s="32" t="n">
        <f aca="false">BA563+AI564</f>
        <v>0.00688527938997435</v>
      </c>
      <c r="BB564" s="30" t="n">
        <f aca="false">MAX(BB563,BA564)</f>
        <v>0.0104979422784913</v>
      </c>
      <c r="BC564" s="32" t="n">
        <f aca="false">BA564-BB564</f>
        <v>-0.00361266288851691</v>
      </c>
      <c r="BD564" s="30" t="n">
        <f aca="false">A565-A564</f>
        <v>1</v>
      </c>
    </row>
    <row r="565" customFormat="false" ht="15" hidden="false" customHeight="false" outlineLevel="0" collapsed="false">
      <c r="A565" s="28" t="n">
        <v>45870</v>
      </c>
      <c r="B565" s="0" t="n">
        <v>24613</v>
      </c>
      <c r="C565" s="0" t="n">
        <v>277.46</v>
      </c>
      <c r="D565" s="29" t="n">
        <f aca="false">LN(B565)</f>
        <v>10.1110300376217</v>
      </c>
      <c r="E565" s="29" t="n">
        <f aca="false">LN(C565)</f>
        <v>5.62567677865258</v>
      </c>
      <c r="F565" s="0" t="n">
        <v>560</v>
      </c>
      <c r="G565" s="0" t="n">
        <v>27</v>
      </c>
      <c r="H565" s="29" t="n">
        <f aca="false">D565-E565</f>
        <v>4.48535325896911</v>
      </c>
      <c r="I565" s="29" t="n">
        <f aca="false">D565-D564</f>
        <v>-0.00622928798164324</v>
      </c>
      <c r="J565" s="29" t="n">
        <f aca="false">E565-E564</f>
        <v>-0.00675289922504607</v>
      </c>
      <c r="K565" s="0" t="n">
        <v>0</v>
      </c>
      <c r="L565" s="0" t="n">
        <v>1</v>
      </c>
      <c r="M565" s="29" t="n">
        <f aca="false">IF(L565=1,J565-Carry!$B$9/Inputs!$B$16,I565)</f>
        <v>-0.0070123574067672</v>
      </c>
      <c r="N565" s="0" t="n">
        <v>0.055</v>
      </c>
      <c r="O565" s="0" t="n">
        <v>0.0002</v>
      </c>
      <c r="P565" s="29" t="n">
        <f aca="false">D565-('2 Hedge ratio'!$B$6+'2 Hedge ratio'!$B$5*E565)</f>
        <v>-0.00462307952302332</v>
      </c>
      <c r="Q565" s="29" t="n">
        <f aca="false">D565-('5 Re-specification'!$B$7+'5 Re-specification'!$B$5*E565+'5 Re-specification'!$B$6*F565)</f>
        <v>-0.00363873024768147</v>
      </c>
      <c r="R565" s="30" t="n">
        <f aca="false">MIN(F565,Inputs!$B$9)</f>
        <v>250</v>
      </c>
      <c r="S565" s="29" t="n">
        <f aca="true">IF(AND(F565&gt;=1,R565&gt;=Inputs!$B$10),INDEX(LINEST(OFFSET(D565,-R565,0,R565,1),OFFSET(E565,-R565,0,R565,2)),1,1),"")</f>
        <v>-3.10633988470545E-005</v>
      </c>
      <c r="T565" s="29" t="n">
        <f aca="true">IF(AND(F565&gt;=1,R565&gt;=Inputs!$B$10),INDEX(LINEST(OFFSET(D565,-R565,0,R565,1),OFFSET(E565,-R565,0,R565,2)),1,2),"")</f>
        <v>1.00010587497572</v>
      </c>
      <c r="U565" s="29" t="n">
        <f aca="true">IF(AND(F565&gt;=1,R565&gt;=Inputs!$B$10),INDEX(LINEST(OFFSET(D565,-R565,0,R565,1),OFFSET(E565,-R565,0,R565,2)),1,3),"")</f>
        <v>4.50755328488564</v>
      </c>
      <c r="V565" s="29" t="n">
        <f aca="true">IF(AND(F565&gt;=1,R565&gt;=Inputs!$B$10),SQRT(SUMPRODUCT((OFFSET(D565,-R565,0,R565,1)-U565-T565*OFFSET(E565,-R565,0,R565,1)-S565*OFFSET(F565,-R565,0,R565,1))^2)/(R565-3)),"")</f>
        <v>0.00247464779030735</v>
      </c>
      <c r="W565" s="31" t="n">
        <f aca="false">IF(AND(F565&gt;=1,R565&gt;=Inputs!$B$10),(D565-U565-T565*E565-S565*F565)/V565,"")</f>
        <v>-2.1821856733337</v>
      </c>
      <c r="X565" s="30" t="n">
        <f aca="false">IF(AB564&lt;&gt;0,AC564+1,0)</f>
        <v>10</v>
      </c>
      <c r="Y565" s="30" t="n">
        <f aca="false">IF(W565="",0,IF(AND(AB564&lt;&gt;0,OR(ABS(W565)&gt;Inputs!$B$7,X565&gt;=Inputs!$B$8,ABS(W565)&lt;Inputs!$B$6)),1,0))</f>
        <v>1</v>
      </c>
      <c r="Z565" s="30" t="n">
        <f aca="false">IF(Y565=1,0,AB564)</f>
        <v>0</v>
      </c>
      <c r="AA565" s="30" t="n">
        <f aca="false">IF(W565="",0,IF(AND(Z565=0,ABS(W565)&gt;Inputs!$B$5,ABS(W565)&lt;=Inputs!$B$7),1,0))</f>
        <v>1</v>
      </c>
      <c r="AB565" s="30" t="n">
        <f aca="false">IF(W565="",0,IF(AA565=1,-SIGN(W565),Z565))</f>
        <v>1</v>
      </c>
      <c r="AC565" s="30" t="n">
        <f aca="false">IF(W565="",0,IF(AA565=1,0,IF(Y565=1,0,X565)))</f>
        <v>0</v>
      </c>
      <c r="AD565" s="29" t="n">
        <f aca="false">IF(AB565=0,0,IF(AB564=AB565,AD564,T565))</f>
        <v>1.00551411614156</v>
      </c>
      <c r="AE565" s="30" t="n">
        <f aca="false">AB565-AB564</f>
        <v>0</v>
      </c>
      <c r="AF565" s="30" t="n">
        <f aca="false">-AD565*AB565</f>
        <v>-1.00551411614156</v>
      </c>
      <c r="AG565" s="30" t="n">
        <f aca="false">AF565-AF564</f>
        <v>0</v>
      </c>
      <c r="AH565" s="30" t="n">
        <f aca="false">MAX(AE565,0)*(Inputs!$B$17+Inputs!$B$18+Inputs!$B$19)+MAX(-AE565,0)*(O565+Inputs!$B$18+Inputs!$B$19)+IF(AND(K565=1,AB565&lt;&gt;0),(Inputs!$B$17+Inputs!$B$18+Inputs!$B$19)+(O565+Inputs!$B$18+Inputs!$B$19),0)+MAX(AG565,0)*(Inputs!$B$20+Inputs!$B$22+Inputs!$B$23)+MAX(-AG565,0)*(Inputs!$B$21+Inputs!$B$22+Inputs!$B$23)</f>
        <v>0</v>
      </c>
      <c r="AI565" s="30" t="n">
        <f aca="false">AB564*(M565-AD564*J565)+AB564*AD564*N565/Inputs!$B$16-AH565</f>
        <v>-2.76446511869436E-006</v>
      </c>
      <c r="AJ565" s="30" t="n">
        <f aca="false">MAX(AE565,0)*(Inputs!$B$17+Inputs!$B$24+Inputs!$B$25)+MAX(-AE565,0)*(O565+Inputs!$B$24+Inputs!$B$25)+IF(AND(K565=1,AB565&lt;&gt;0),(Inputs!$B$17+Inputs!$B$24+Inputs!$B$25)+(O565+Inputs!$B$24+Inputs!$B$25),0)+MAX(AG565,0)*(Inputs!$B$20+Inputs!$B$26+Inputs!$B$27)+MAX(-AG565,0)*(Inputs!$B$21+Inputs!$B$26+Inputs!$B$27)</f>
        <v>0</v>
      </c>
      <c r="AK565" s="30" t="n">
        <f aca="false">AB564*(M565-AD564*J565)+AB564*AD564*(N565+Inputs!$B$14)/Inputs!$B$16-AJ565</f>
        <v>2.71615502426616E-005</v>
      </c>
      <c r="AL565" s="30" t="n">
        <f aca="false">IF(AP564&lt;&gt;0,AQ564+1,0)</f>
        <v>0</v>
      </c>
      <c r="AM565" s="30" t="n">
        <f aca="false">IF(W565="",0,IF(AND(AP564&lt;&gt;0,OR(ABS(W565)&gt;Inputs!$B$7,AL565&gt;=Inputs!$B$8,ABS(W565)&lt;Inputs!$B$6)),1,0))</f>
        <v>0</v>
      </c>
      <c r="AN565" s="30" t="n">
        <f aca="false">IF(AM565=1,0,AP564)</f>
        <v>0</v>
      </c>
      <c r="AO565" s="30" t="n">
        <f aca="false">IF(W565="",0,IF(AND(AN565=0,ABS(W565)&gt;Inputs!$B$5,ABS(W565)&lt;=Inputs!$B$7,W565&gt;0),1,0))</f>
        <v>0</v>
      </c>
      <c r="AP565" s="30" t="n">
        <f aca="false">IF(W565="",0,IF(AO565=1,-SIGN(W565),AN565))</f>
        <v>0</v>
      </c>
      <c r="AQ565" s="30" t="n">
        <f aca="false">IF(W565="",0,IF(AO565=1,0,IF(AM565=1,0,AL565)))</f>
        <v>0</v>
      </c>
      <c r="AR565" s="30" t="n">
        <f aca="false">IF(AP565=0,0,IF(AP564=AP565,AR564,T565))</f>
        <v>0</v>
      </c>
      <c r="AS565" s="30" t="n">
        <f aca="false">AP565-AP564</f>
        <v>0</v>
      </c>
      <c r="AT565" s="30" t="n">
        <f aca="false">-AR565*AP565</f>
        <v>-0</v>
      </c>
      <c r="AU565" s="30" t="n">
        <f aca="false">AT565-AT564</f>
        <v>0</v>
      </c>
      <c r="AV565" s="30" t="n">
        <f aca="false">MAX(AS565,0)*(Inputs!$B$17+Inputs!$B$18+Inputs!$B$19)+MAX(-AS565,0)*(O565+Inputs!$B$18+Inputs!$B$19)+IF(AND(K565=1,AP565&lt;&gt;0),(Inputs!$B$17+Inputs!$B$18+Inputs!$B$19)+(O565+Inputs!$B$18+Inputs!$B$19),0)+MAX(AU565,0)*(Inputs!$B$20+Inputs!$B$22+Inputs!$B$23)+MAX(-AU565,0)*(Inputs!$B$21+Inputs!$B$22+Inputs!$B$23)</f>
        <v>0</v>
      </c>
      <c r="AW565" s="30" t="n">
        <f aca="false">AP564*(M565-AR564*J565)+AP564*AR564*N565/Inputs!$B$16-AV565</f>
        <v>0</v>
      </c>
      <c r="AX565" s="30" t="n">
        <f aca="false">AW565-IF(AP564&lt;&gt;0,0.75*AR564*(Inputs!$B$13-N565)/Inputs!$B$16,0)</f>
        <v>0</v>
      </c>
      <c r="AY565" s="30" t="n">
        <f aca="false">MAX(AS565,0)*(Inputs!$B$17+Inputs!$B$18+Inputs!$B$19)+MAX(-AS565,0)*(O565+Inputs!$B$18+Inputs!$B$19)+IF(AND(K565=1,AP565&lt;&gt;0),(Inputs!$B$17+Inputs!$B$18+Inputs!$B$19)+(O565+Inputs!$B$18+Inputs!$B$19),0)</f>
        <v>0</v>
      </c>
      <c r="AZ565" s="30" t="n">
        <f aca="false">AP564*M565-AY565</f>
        <v>-0</v>
      </c>
      <c r="BA565" s="32" t="n">
        <f aca="false">BA564+AI565</f>
        <v>0.00688251492485565</v>
      </c>
      <c r="BB565" s="30" t="n">
        <f aca="false">MAX(BB564,BA565)</f>
        <v>0.0104979422784913</v>
      </c>
      <c r="BC565" s="32" t="n">
        <f aca="false">BA565-BB565</f>
        <v>-0.00361542735363561</v>
      </c>
      <c r="BD565" s="30" t="n">
        <f aca="false">A566-A565</f>
        <v>3</v>
      </c>
    </row>
    <row r="566" customFormat="false" ht="15" hidden="false" customHeight="false" outlineLevel="0" collapsed="false">
      <c r="A566" s="28" t="n">
        <v>45873</v>
      </c>
      <c r="B566" s="0" t="n">
        <v>24800</v>
      </c>
      <c r="C566" s="0" t="n">
        <v>279.02</v>
      </c>
      <c r="D566" s="29" t="n">
        <f aca="false">LN(B566)</f>
        <v>10.1185989321531</v>
      </c>
      <c r="E566" s="29" t="n">
        <f aca="false">LN(C566)</f>
        <v>5.63128346383996</v>
      </c>
      <c r="F566" s="0" t="n">
        <v>561</v>
      </c>
      <c r="G566" s="0" t="n">
        <v>24</v>
      </c>
      <c r="H566" s="29" t="n">
        <f aca="false">D566-E566</f>
        <v>4.48731546831311</v>
      </c>
      <c r="I566" s="29" t="n">
        <f aca="false">D566-D565</f>
        <v>0.00756889453138676</v>
      </c>
      <c r="J566" s="29" t="n">
        <f aca="false">E566-E565</f>
        <v>0.00560668518738261</v>
      </c>
      <c r="K566" s="0" t="n">
        <v>0</v>
      </c>
      <c r="L566" s="0" t="n">
        <v>0</v>
      </c>
      <c r="M566" s="29" t="n">
        <f aca="false">IF(L566=1,J566-Carry!$B$9/Inputs!$B$16,I566)</f>
        <v>0.00756889453138676</v>
      </c>
      <c r="N566" s="0" t="n">
        <v>0.055</v>
      </c>
      <c r="O566" s="0" t="n">
        <v>0.0002</v>
      </c>
      <c r="P566" s="29" t="n">
        <f aca="false">D566-('2 Hedge ratio'!$B$6+'2 Hedge ratio'!$B$5*E566)</f>
        <v>-0.00219061932246945</v>
      </c>
      <c r="Q566" s="29" t="n">
        <f aca="false">D566-('5 Re-specification'!$B$7+'5 Re-specification'!$B$5*E566+'5 Re-specification'!$B$6*F566)</f>
        <v>-0.00161460052600049</v>
      </c>
      <c r="R566" s="30" t="n">
        <f aca="false">MIN(F566,Inputs!$B$9)</f>
        <v>250</v>
      </c>
      <c r="S566" s="29" t="n">
        <f aca="true">IF(AND(F566&gt;=1,R566&gt;=Inputs!$B$10),INDEX(LINEST(OFFSET(D566,-R566,0,R566,1),OFFSET(E566,-R566,0,R566,2)),1,1),"")</f>
        <v>-3.14110343010185E-005</v>
      </c>
      <c r="T566" s="29" t="n">
        <f aca="true">IF(AND(F566&gt;=1,R566&gt;=Inputs!$B$10),INDEX(LINEST(OFFSET(D566,-R566,0,R566,1),OFFSET(E566,-R566,0,R566,2)),1,2),"")</f>
        <v>0.999656989150452</v>
      </c>
      <c r="U566" s="29" t="n">
        <f aca="true">IF(AND(F566&gt;=1,R566&gt;=Inputs!$B$10),INDEX(LINEST(OFFSET(D566,-R566,0,R566,1),OFFSET(E566,-R566,0,R566,2)),1,3),"")</f>
        <v>4.51019144434153</v>
      </c>
      <c r="V566" s="29" t="n">
        <f aca="true">IF(AND(F566&gt;=1,R566&gt;=Inputs!$B$10),SQRT(SUMPRODUCT((OFFSET(D566,-R566,0,R566,1)-U566-T566*OFFSET(E566,-R566,0,R566,1)-S566*OFFSET(F566,-R566,0,R566,1))^2)/(R566-3)),"")</f>
        <v>0.00249557119612855</v>
      </c>
      <c r="W566" s="31" t="n">
        <f aca="false">IF(AND(F566&gt;=1,R566&gt;=Inputs!$B$10),(D566-U566-T566*E566-S566*F566)/V566,"")</f>
        <v>-1.33147652357892</v>
      </c>
      <c r="X566" s="30" t="n">
        <f aca="false">IF(AB565&lt;&gt;0,AC565+1,0)</f>
        <v>1</v>
      </c>
      <c r="Y566" s="30" t="n">
        <f aca="false">IF(W566="",0,IF(AND(AB565&lt;&gt;0,OR(ABS(W566)&gt;Inputs!$B$7,X566&gt;=Inputs!$B$8,ABS(W566)&lt;Inputs!$B$6)),1,0))</f>
        <v>0</v>
      </c>
      <c r="Z566" s="30" t="n">
        <f aca="false">IF(Y566=1,0,AB565)</f>
        <v>1</v>
      </c>
      <c r="AA566" s="30" t="n">
        <f aca="false">IF(W566="",0,IF(AND(Z566=0,ABS(W566)&gt;Inputs!$B$5,ABS(W566)&lt;=Inputs!$B$7),1,0))</f>
        <v>0</v>
      </c>
      <c r="AB566" s="30" t="n">
        <f aca="false">IF(W566="",0,IF(AA566=1,-SIGN(W566),Z566))</f>
        <v>1</v>
      </c>
      <c r="AC566" s="30" t="n">
        <f aca="false">IF(W566="",0,IF(AA566=1,0,IF(Y566=1,0,X566)))</f>
        <v>1</v>
      </c>
      <c r="AD566" s="29" t="n">
        <f aca="false">IF(AB566=0,0,IF(AB565=AB566,AD565,T566))</f>
        <v>1.00551411614156</v>
      </c>
      <c r="AE566" s="30" t="n">
        <f aca="false">AB566-AB565</f>
        <v>0</v>
      </c>
      <c r="AF566" s="30" t="n">
        <f aca="false">-AD566*AB566</f>
        <v>-1.00551411614156</v>
      </c>
      <c r="AG566" s="30" t="n">
        <f aca="false">AF566-AF565</f>
        <v>0</v>
      </c>
      <c r="AH566" s="30" t="n">
        <f aca="false">MAX(AE566,0)*(Inputs!$B$17+Inputs!$B$18+Inputs!$B$19)+MAX(-AE566,0)*(O566+Inputs!$B$18+Inputs!$B$19)+IF(AND(K566=1,AB566&lt;&gt;0),(Inputs!$B$17+Inputs!$B$18+Inputs!$B$19)+(O566+Inputs!$B$18+Inputs!$B$19),0)+MAX(AG566,0)*(Inputs!$B$20+Inputs!$B$22+Inputs!$B$23)+MAX(-AG566,0)*(Inputs!$B$21+Inputs!$B$22+Inputs!$B$23)</f>
        <v>0</v>
      </c>
      <c r="AI566" s="30" t="n">
        <f aca="false">AB565*(M566-AD565*J566)+AB565*AD565*N566/Inputs!$B$16-AH566</f>
        <v>0.00215075087669503</v>
      </c>
      <c r="AJ566" s="30" t="n">
        <f aca="false">MAX(AE566,0)*(Inputs!$B$17+Inputs!$B$24+Inputs!$B$25)+MAX(-AE566,0)*(O566+Inputs!$B$24+Inputs!$B$25)+IF(AND(K566=1,AB566&lt;&gt;0),(Inputs!$B$17+Inputs!$B$24+Inputs!$B$25)+(O566+Inputs!$B$24+Inputs!$B$25),0)+MAX(AG566,0)*(Inputs!$B$20+Inputs!$B$26+Inputs!$B$27)+MAX(-AG566,0)*(Inputs!$B$21+Inputs!$B$26+Inputs!$B$27)</f>
        <v>0</v>
      </c>
      <c r="AK566" s="30" t="n">
        <f aca="false">AB565*(M566-AD565*J566)+AB565*AD565*(N566+Inputs!$B$14)/Inputs!$B$16-AJ566</f>
        <v>0.00218067689205639</v>
      </c>
      <c r="AL566" s="30" t="n">
        <f aca="false">IF(AP565&lt;&gt;0,AQ565+1,0)</f>
        <v>0</v>
      </c>
      <c r="AM566" s="30" t="n">
        <f aca="false">IF(W566="",0,IF(AND(AP565&lt;&gt;0,OR(ABS(W566)&gt;Inputs!$B$7,AL566&gt;=Inputs!$B$8,ABS(W566)&lt;Inputs!$B$6)),1,0))</f>
        <v>0</v>
      </c>
      <c r="AN566" s="30" t="n">
        <f aca="false">IF(AM566=1,0,AP565)</f>
        <v>0</v>
      </c>
      <c r="AO566" s="30" t="n">
        <f aca="false">IF(W566="",0,IF(AND(AN566=0,ABS(W566)&gt;Inputs!$B$5,ABS(W566)&lt;=Inputs!$B$7,W566&gt;0),1,0))</f>
        <v>0</v>
      </c>
      <c r="AP566" s="30" t="n">
        <f aca="false">IF(W566="",0,IF(AO566=1,-SIGN(W566),AN566))</f>
        <v>0</v>
      </c>
      <c r="AQ566" s="30" t="n">
        <f aca="false">IF(W566="",0,IF(AO566=1,0,IF(AM566=1,0,AL566)))</f>
        <v>0</v>
      </c>
      <c r="AR566" s="30" t="n">
        <f aca="false">IF(AP566=0,0,IF(AP565=AP566,AR565,T566))</f>
        <v>0</v>
      </c>
      <c r="AS566" s="30" t="n">
        <f aca="false">AP566-AP565</f>
        <v>0</v>
      </c>
      <c r="AT566" s="30" t="n">
        <f aca="false">-AR566*AP566</f>
        <v>-0</v>
      </c>
      <c r="AU566" s="30" t="n">
        <f aca="false">AT566-AT565</f>
        <v>0</v>
      </c>
      <c r="AV566" s="30" t="n">
        <f aca="false">MAX(AS566,0)*(Inputs!$B$17+Inputs!$B$18+Inputs!$B$19)+MAX(-AS566,0)*(O566+Inputs!$B$18+Inputs!$B$19)+IF(AND(K566=1,AP566&lt;&gt;0),(Inputs!$B$17+Inputs!$B$18+Inputs!$B$19)+(O566+Inputs!$B$18+Inputs!$B$19),0)+MAX(AU566,0)*(Inputs!$B$20+Inputs!$B$22+Inputs!$B$23)+MAX(-AU566,0)*(Inputs!$B$21+Inputs!$B$22+Inputs!$B$23)</f>
        <v>0</v>
      </c>
      <c r="AW566" s="30" t="n">
        <f aca="false">AP565*(M566-AR565*J566)+AP565*AR565*N566/Inputs!$B$16-AV566</f>
        <v>0</v>
      </c>
      <c r="AX566" s="30" t="n">
        <f aca="false">AW566-IF(AP565&lt;&gt;0,0.75*AR565*(Inputs!$B$13-N566)/Inputs!$B$16,0)</f>
        <v>0</v>
      </c>
      <c r="AY566" s="30" t="n">
        <f aca="false">MAX(AS566,0)*(Inputs!$B$17+Inputs!$B$18+Inputs!$B$19)+MAX(-AS566,0)*(O566+Inputs!$B$18+Inputs!$B$19)+IF(AND(K566=1,AP566&lt;&gt;0),(Inputs!$B$17+Inputs!$B$18+Inputs!$B$19)+(O566+Inputs!$B$18+Inputs!$B$19),0)</f>
        <v>0</v>
      </c>
      <c r="AZ566" s="30" t="n">
        <f aca="false">AP565*M566-AY566</f>
        <v>0</v>
      </c>
      <c r="BA566" s="32" t="n">
        <f aca="false">BA565+AI566</f>
        <v>0.00903326580155069</v>
      </c>
      <c r="BB566" s="30" t="n">
        <f aca="false">MAX(BB565,BA566)</f>
        <v>0.0104979422784913</v>
      </c>
      <c r="BC566" s="32" t="n">
        <f aca="false">BA566-BB566</f>
        <v>-0.00146467647694057</v>
      </c>
      <c r="BD566" s="30" t="n">
        <f aca="false">A567-A566</f>
        <v>1</v>
      </c>
    </row>
    <row r="567" customFormat="false" ht="15" hidden="false" customHeight="false" outlineLevel="0" collapsed="false">
      <c r="A567" s="28" t="n">
        <v>45874</v>
      </c>
      <c r="B567" s="0" t="n">
        <v>24715</v>
      </c>
      <c r="C567" s="0" t="n">
        <v>278.29</v>
      </c>
      <c r="D567" s="29" t="n">
        <f aca="false">LN(B567)</f>
        <v>10.1151656257411</v>
      </c>
      <c r="E567" s="29" t="n">
        <f aca="false">LN(C567)</f>
        <v>5.62866373543926</v>
      </c>
      <c r="F567" s="0" t="n">
        <v>562</v>
      </c>
      <c r="G567" s="0" t="n">
        <v>23</v>
      </c>
      <c r="H567" s="29" t="n">
        <f aca="false">D567-E567</f>
        <v>4.4865018903018</v>
      </c>
      <c r="I567" s="29" t="n">
        <f aca="false">D567-D566</f>
        <v>-0.00343330641201334</v>
      </c>
      <c r="J567" s="29" t="n">
        <f aca="false">E567-E566</f>
        <v>-0.00261972840070168</v>
      </c>
      <c r="K567" s="0" t="n">
        <v>0</v>
      </c>
      <c r="L567" s="0" t="n">
        <v>0</v>
      </c>
      <c r="M567" s="29" t="n">
        <f aca="false">IF(L567=1,J567-Carry!$B$9/Inputs!$B$16,I567)</f>
        <v>-0.00343330641201334</v>
      </c>
      <c r="N567" s="0" t="n">
        <v>0.055</v>
      </c>
      <c r="O567" s="0" t="n">
        <v>0.0002</v>
      </c>
      <c r="P567" s="29" t="n">
        <f aca="false">D567-('2 Hedge ratio'!$B$6+'2 Hedge ratio'!$B$5*E567)</f>
        <v>-0.00322392244463998</v>
      </c>
      <c r="Q567" s="29" t="n">
        <f aca="false">D567-('5 Re-specification'!$B$7+'5 Re-specification'!$B$5*E567+'5 Re-specification'!$B$6*F567)</f>
        <v>-0.00239118830618779</v>
      </c>
      <c r="R567" s="30" t="n">
        <f aca="false">MIN(F567,Inputs!$B$9)</f>
        <v>250</v>
      </c>
      <c r="S567" s="29" t="n">
        <f aca="true">IF(AND(F567&gt;=1,R567&gt;=Inputs!$B$10),INDEX(LINEST(OFFSET(D567,-R567,0,R567,1),OFFSET(E567,-R567,0,R567,2)),1,1),"")</f>
        <v>-3.167255019296E-005</v>
      </c>
      <c r="T567" s="29" t="n">
        <f aca="true">IF(AND(F567&gt;=1,R567&gt;=Inputs!$B$10),INDEX(LINEST(OFFSET(D567,-R567,0,R567,1),OFFSET(E567,-R567,0,R567,2)),1,2),"")</f>
        <v>0.99936607487466</v>
      </c>
      <c r="U567" s="29" t="n">
        <f aca="true">IF(AND(F567&gt;=1,R567&gt;=Inputs!$B$10),INDEX(LINEST(OFFSET(D567,-R567,0,R567,1),OFFSET(E567,-R567,0,R567,2)),1,3),"")</f>
        <v>4.51192019743968</v>
      </c>
      <c r="V567" s="29" t="n">
        <f aca="true">IF(AND(F567&gt;=1,R567&gt;=Inputs!$B$10),SQRT(SUMPRODUCT((OFFSET(D567,-R567,0,R567,1)-U567-T567*OFFSET(E567,-R567,0,R567,1)-S567*OFFSET(F567,-R567,0,R567,1))^2)/(R567-3)),"")</f>
        <v>0.00250410817720185</v>
      </c>
      <c r="W567" s="31" t="n">
        <f aca="false">IF(AND(F567&gt;=1,R567&gt;=Inputs!$B$10),(D567-U567-T567*E567-S567*F567)/V567,"")</f>
        <v>-1.6174151749208</v>
      </c>
      <c r="X567" s="30" t="n">
        <f aca="false">IF(AB566&lt;&gt;0,AC566+1,0)</f>
        <v>2</v>
      </c>
      <c r="Y567" s="30" t="n">
        <f aca="false">IF(W567="",0,IF(AND(AB566&lt;&gt;0,OR(ABS(W567)&gt;Inputs!$B$7,X567&gt;=Inputs!$B$8,ABS(W567)&lt;Inputs!$B$6)),1,0))</f>
        <v>0</v>
      </c>
      <c r="Z567" s="30" t="n">
        <f aca="false">IF(Y567=1,0,AB566)</f>
        <v>1</v>
      </c>
      <c r="AA567" s="30" t="n">
        <f aca="false">IF(W567="",0,IF(AND(Z567=0,ABS(W567)&gt;Inputs!$B$5,ABS(W567)&lt;=Inputs!$B$7),1,0))</f>
        <v>0</v>
      </c>
      <c r="AB567" s="30" t="n">
        <f aca="false">IF(W567="",0,IF(AA567=1,-SIGN(W567),Z567))</f>
        <v>1</v>
      </c>
      <c r="AC567" s="30" t="n">
        <f aca="false">IF(W567="",0,IF(AA567=1,0,IF(Y567=1,0,X567)))</f>
        <v>2</v>
      </c>
      <c r="AD567" s="29" t="n">
        <f aca="false">IF(AB567=0,0,IF(AB566=AB567,AD566,T567))</f>
        <v>1.00551411614156</v>
      </c>
      <c r="AE567" s="30" t="n">
        <f aca="false">AB567-AB566</f>
        <v>0</v>
      </c>
      <c r="AF567" s="30" t="n">
        <f aca="false">-AD567*AB567</f>
        <v>-1.00551411614156</v>
      </c>
      <c r="AG567" s="30" t="n">
        <f aca="false">AF567-AF566</f>
        <v>0</v>
      </c>
      <c r="AH567" s="30" t="n">
        <f aca="false">MAX(AE567,0)*(Inputs!$B$17+Inputs!$B$18+Inputs!$B$19)+MAX(-AE567,0)*(O567+Inputs!$B$18+Inputs!$B$19)+IF(AND(K567=1,AB567&lt;&gt;0),(Inputs!$B$17+Inputs!$B$18+Inputs!$B$19)+(O567+Inputs!$B$18+Inputs!$B$19),0)+MAX(AG567,0)*(Inputs!$B$20+Inputs!$B$22+Inputs!$B$23)+MAX(-AG567,0)*(Inputs!$B$21+Inputs!$B$22+Inputs!$B$23)</f>
        <v>0</v>
      </c>
      <c r="AI567" s="30" t="n">
        <f aca="false">AB566*(M567-AD566*J567)+AB566*AD566*N567/Inputs!$B$16-AH567</f>
        <v>-0.000579675078667564</v>
      </c>
      <c r="AJ567" s="30" t="n">
        <f aca="false">MAX(AE567,0)*(Inputs!$B$17+Inputs!$B$24+Inputs!$B$25)+MAX(-AE567,0)*(O567+Inputs!$B$24+Inputs!$B$25)+IF(AND(K567=1,AB567&lt;&gt;0),(Inputs!$B$17+Inputs!$B$24+Inputs!$B$25)+(O567+Inputs!$B$24+Inputs!$B$25),0)+MAX(AG567,0)*(Inputs!$B$20+Inputs!$B$26+Inputs!$B$27)+MAX(-AG567,0)*(Inputs!$B$21+Inputs!$B$26+Inputs!$B$27)</f>
        <v>0</v>
      </c>
      <c r="AK567" s="30" t="n">
        <f aca="false">AB566*(M567-AD566*J567)+AB566*AD566*(N567+Inputs!$B$14)/Inputs!$B$16-AJ567</f>
        <v>-0.000549749063306208</v>
      </c>
      <c r="AL567" s="30" t="n">
        <f aca="false">IF(AP566&lt;&gt;0,AQ566+1,0)</f>
        <v>0</v>
      </c>
      <c r="AM567" s="30" t="n">
        <f aca="false">IF(W567="",0,IF(AND(AP566&lt;&gt;0,OR(ABS(W567)&gt;Inputs!$B$7,AL567&gt;=Inputs!$B$8,ABS(W567)&lt;Inputs!$B$6)),1,0))</f>
        <v>0</v>
      </c>
      <c r="AN567" s="30" t="n">
        <f aca="false">IF(AM567=1,0,AP566)</f>
        <v>0</v>
      </c>
      <c r="AO567" s="30" t="n">
        <f aca="false">IF(W567="",0,IF(AND(AN567=0,ABS(W567)&gt;Inputs!$B$5,ABS(W567)&lt;=Inputs!$B$7,W567&gt;0),1,0))</f>
        <v>0</v>
      </c>
      <c r="AP567" s="30" t="n">
        <f aca="false">IF(W567="",0,IF(AO567=1,-SIGN(W567),AN567))</f>
        <v>0</v>
      </c>
      <c r="AQ567" s="30" t="n">
        <f aca="false">IF(W567="",0,IF(AO567=1,0,IF(AM567=1,0,AL567)))</f>
        <v>0</v>
      </c>
      <c r="AR567" s="30" t="n">
        <f aca="false">IF(AP567=0,0,IF(AP566=AP567,AR566,T567))</f>
        <v>0</v>
      </c>
      <c r="AS567" s="30" t="n">
        <f aca="false">AP567-AP566</f>
        <v>0</v>
      </c>
      <c r="AT567" s="30" t="n">
        <f aca="false">-AR567*AP567</f>
        <v>-0</v>
      </c>
      <c r="AU567" s="30" t="n">
        <f aca="false">AT567-AT566</f>
        <v>0</v>
      </c>
      <c r="AV567" s="30" t="n">
        <f aca="false">MAX(AS567,0)*(Inputs!$B$17+Inputs!$B$18+Inputs!$B$19)+MAX(-AS567,0)*(O567+Inputs!$B$18+Inputs!$B$19)+IF(AND(K567=1,AP567&lt;&gt;0),(Inputs!$B$17+Inputs!$B$18+Inputs!$B$19)+(O567+Inputs!$B$18+Inputs!$B$19),0)+MAX(AU567,0)*(Inputs!$B$20+Inputs!$B$22+Inputs!$B$23)+MAX(-AU567,0)*(Inputs!$B$21+Inputs!$B$22+Inputs!$B$23)</f>
        <v>0</v>
      </c>
      <c r="AW567" s="30" t="n">
        <f aca="false">AP566*(M567-AR566*J567)+AP566*AR566*N567/Inputs!$B$16-AV567</f>
        <v>0</v>
      </c>
      <c r="AX567" s="30" t="n">
        <f aca="false">AW567-IF(AP566&lt;&gt;0,0.75*AR566*(Inputs!$B$13-N567)/Inputs!$B$16,0)</f>
        <v>0</v>
      </c>
      <c r="AY567" s="30" t="n">
        <f aca="false">MAX(AS567,0)*(Inputs!$B$17+Inputs!$B$18+Inputs!$B$19)+MAX(-AS567,0)*(O567+Inputs!$B$18+Inputs!$B$19)+IF(AND(K567=1,AP567&lt;&gt;0),(Inputs!$B$17+Inputs!$B$18+Inputs!$B$19)+(O567+Inputs!$B$18+Inputs!$B$19),0)</f>
        <v>0</v>
      </c>
      <c r="AZ567" s="30" t="n">
        <f aca="false">AP566*M567-AY567</f>
        <v>-0</v>
      </c>
      <c r="BA567" s="32" t="n">
        <f aca="false">BA566+AI567</f>
        <v>0.00845359072288312</v>
      </c>
      <c r="BB567" s="30" t="n">
        <f aca="false">MAX(BB566,BA567)</f>
        <v>0.0104979422784913</v>
      </c>
      <c r="BC567" s="32" t="n">
        <f aca="false">BA567-BB567</f>
        <v>-0.00204435155560814</v>
      </c>
      <c r="BD567" s="30" t="n">
        <f aca="false">A568-A567</f>
        <v>1</v>
      </c>
    </row>
    <row r="568" customFormat="false" ht="15" hidden="false" customHeight="false" outlineLevel="0" collapsed="false">
      <c r="A568" s="28" t="n">
        <v>45875</v>
      </c>
      <c r="B568" s="0" t="n">
        <v>24630</v>
      </c>
      <c r="C568" s="0" t="n">
        <v>277.4</v>
      </c>
      <c r="D568" s="29" t="n">
        <f aca="false">LN(B568)</f>
        <v>10.1117204911146</v>
      </c>
      <c r="E568" s="29" t="n">
        <f aca="false">LN(C568)</f>
        <v>5.62546050788073</v>
      </c>
      <c r="F568" s="0" t="n">
        <v>563</v>
      </c>
      <c r="G568" s="0" t="n">
        <v>22</v>
      </c>
      <c r="H568" s="29" t="n">
        <f aca="false">D568-E568</f>
        <v>4.48625998323385</v>
      </c>
      <c r="I568" s="29" t="n">
        <f aca="false">D568-D567</f>
        <v>-0.00344513462647633</v>
      </c>
      <c r="J568" s="29" t="n">
        <f aca="false">E568-E567</f>
        <v>-0.00320322755852942</v>
      </c>
      <c r="K568" s="0" t="n">
        <v>0</v>
      </c>
      <c r="L568" s="0" t="n">
        <v>0</v>
      </c>
      <c r="M568" s="29" t="n">
        <f aca="false">IF(L568=1,J568-Carry!$B$9/Inputs!$B$16,I568)</f>
        <v>-0.00344513462647633</v>
      </c>
      <c r="N568" s="0" t="n">
        <v>0.055</v>
      </c>
      <c r="O568" s="0" t="n">
        <v>0.0002</v>
      </c>
      <c r="P568" s="29" t="n">
        <f aca="false">D568-('2 Hedge ratio'!$B$6+'2 Hedge ratio'!$B$5*E568)</f>
        <v>-0.00373449458879271</v>
      </c>
      <c r="Q568" s="29" t="n">
        <f aca="false">D568-('5 Re-specification'!$B$7+'5 Re-specification'!$B$5*E568+'5 Re-specification'!$B$6*F568)</f>
        <v>-0.00259787343722273</v>
      </c>
      <c r="R568" s="30" t="n">
        <f aca="false">MIN(F568,Inputs!$B$9)</f>
        <v>250</v>
      </c>
      <c r="S568" s="29" t="n">
        <f aca="true">IF(AND(F568&gt;=1,R568&gt;=Inputs!$B$10),INDEX(LINEST(OFFSET(D568,-R568,0,R568,1),OFFSET(E568,-R568,0,R568,2)),1,1),"")</f>
        <v>-3.2384090662618E-005</v>
      </c>
      <c r="T568" s="29" t="n">
        <f aca="true">IF(AND(F568&gt;=1,R568&gt;=Inputs!$B$10),INDEX(LINEST(OFFSET(D568,-R568,0,R568,1),OFFSET(E568,-R568,0,R568,2)),1,2),"")</f>
        <v>0.999259506820005</v>
      </c>
      <c r="U568" s="29" t="n">
        <f aca="true">IF(AND(F568&gt;=1,R568&gt;=Inputs!$B$10),INDEX(LINEST(OFFSET(D568,-R568,0,R568,1),OFFSET(E568,-R568,0,R568,2)),1,3),"")</f>
        <v>4.51282596019227</v>
      </c>
      <c r="V568" s="29" t="n">
        <f aca="true">IF(AND(F568&gt;=1,R568&gt;=Inputs!$B$10),SQRT(SUMPRODUCT((OFFSET(D568,-R568,0,R568,1)-U568-T568*OFFSET(E568,-R568,0,R568,1)-S568*OFFSET(F568,-R568,0,R568,1))^2)/(R568-3)),"")</f>
        <v>0.00250761411111986</v>
      </c>
      <c r="W568" s="31" t="n">
        <f aca="false">IF(AND(F568&gt;=1,R568&gt;=Inputs!$B$10),(D568-U568-T568*E568-S568*F568)/V568,"")</f>
        <v>-1.66218508520355</v>
      </c>
      <c r="X568" s="30" t="n">
        <f aca="false">IF(AB567&lt;&gt;0,AC567+1,0)</f>
        <v>3</v>
      </c>
      <c r="Y568" s="30" t="n">
        <f aca="false">IF(W568="",0,IF(AND(AB567&lt;&gt;0,OR(ABS(W568)&gt;Inputs!$B$7,X568&gt;=Inputs!$B$8,ABS(W568)&lt;Inputs!$B$6)),1,0))</f>
        <v>0</v>
      </c>
      <c r="Z568" s="30" t="n">
        <f aca="false">IF(Y568=1,0,AB567)</f>
        <v>1</v>
      </c>
      <c r="AA568" s="30" t="n">
        <f aca="false">IF(W568="",0,IF(AND(Z568=0,ABS(W568)&gt;Inputs!$B$5,ABS(W568)&lt;=Inputs!$B$7),1,0))</f>
        <v>0</v>
      </c>
      <c r="AB568" s="30" t="n">
        <f aca="false">IF(W568="",0,IF(AA568=1,-SIGN(W568),Z568))</f>
        <v>1</v>
      </c>
      <c r="AC568" s="30" t="n">
        <f aca="false">IF(W568="",0,IF(AA568=1,0,IF(Y568=1,0,X568)))</f>
        <v>3</v>
      </c>
      <c r="AD568" s="29" t="n">
        <f aca="false">IF(AB568=0,0,IF(AB567=AB568,AD567,T568))</f>
        <v>1.00551411614156</v>
      </c>
      <c r="AE568" s="30" t="n">
        <f aca="false">AB568-AB567</f>
        <v>0</v>
      </c>
      <c r="AF568" s="30" t="n">
        <f aca="false">-AD568*AB568</f>
        <v>-1.00551411614156</v>
      </c>
      <c r="AG568" s="30" t="n">
        <f aca="false">AF568-AF567</f>
        <v>0</v>
      </c>
      <c r="AH568" s="30" t="n">
        <f aca="false">MAX(AE568,0)*(Inputs!$B$17+Inputs!$B$18+Inputs!$B$19)+MAX(-AE568,0)*(O568+Inputs!$B$18+Inputs!$B$19)+IF(AND(K568=1,AB568&lt;&gt;0),(Inputs!$B$17+Inputs!$B$18+Inputs!$B$19)+(O568+Inputs!$B$18+Inputs!$B$19),0)+MAX(AG568,0)*(Inputs!$B$20+Inputs!$B$22+Inputs!$B$23)+MAX(-AG568,0)*(Inputs!$B$21+Inputs!$B$22+Inputs!$B$23)</f>
        <v>0</v>
      </c>
      <c r="AI568" s="30" t="n">
        <f aca="false">AB567*(M568-AD567*J568)+AB567*AD567*N568/Inputs!$B$16-AH568</f>
        <v>-4.78665317805494E-006</v>
      </c>
      <c r="AJ568" s="30" t="n">
        <f aca="false">MAX(AE568,0)*(Inputs!$B$17+Inputs!$B$24+Inputs!$B$25)+MAX(-AE568,0)*(O568+Inputs!$B$24+Inputs!$B$25)+IF(AND(K568=1,AB568&lt;&gt;0),(Inputs!$B$17+Inputs!$B$24+Inputs!$B$25)+(O568+Inputs!$B$24+Inputs!$B$25),0)+MAX(AG568,0)*(Inputs!$B$20+Inputs!$B$26+Inputs!$B$27)+MAX(-AG568,0)*(Inputs!$B$21+Inputs!$B$26+Inputs!$B$27)</f>
        <v>0</v>
      </c>
      <c r="AK568" s="30" t="n">
        <f aca="false">AB567*(M568-AD567*J568)+AB567*AD567*(N568+Inputs!$B$14)/Inputs!$B$16-AJ568</f>
        <v>2.5139362183301E-005</v>
      </c>
      <c r="AL568" s="30" t="n">
        <f aca="false">IF(AP567&lt;&gt;0,AQ567+1,0)</f>
        <v>0</v>
      </c>
      <c r="AM568" s="30" t="n">
        <f aca="false">IF(W568="",0,IF(AND(AP567&lt;&gt;0,OR(ABS(W568)&gt;Inputs!$B$7,AL568&gt;=Inputs!$B$8,ABS(W568)&lt;Inputs!$B$6)),1,0))</f>
        <v>0</v>
      </c>
      <c r="AN568" s="30" t="n">
        <f aca="false">IF(AM568=1,0,AP567)</f>
        <v>0</v>
      </c>
      <c r="AO568" s="30" t="n">
        <f aca="false">IF(W568="",0,IF(AND(AN568=0,ABS(W568)&gt;Inputs!$B$5,ABS(W568)&lt;=Inputs!$B$7,W568&gt;0),1,0))</f>
        <v>0</v>
      </c>
      <c r="AP568" s="30" t="n">
        <f aca="false">IF(W568="",0,IF(AO568=1,-SIGN(W568),AN568))</f>
        <v>0</v>
      </c>
      <c r="AQ568" s="30" t="n">
        <f aca="false">IF(W568="",0,IF(AO568=1,0,IF(AM568=1,0,AL568)))</f>
        <v>0</v>
      </c>
      <c r="AR568" s="30" t="n">
        <f aca="false">IF(AP568=0,0,IF(AP567=AP568,AR567,T568))</f>
        <v>0</v>
      </c>
      <c r="AS568" s="30" t="n">
        <f aca="false">AP568-AP567</f>
        <v>0</v>
      </c>
      <c r="AT568" s="30" t="n">
        <f aca="false">-AR568*AP568</f>
        <v>-0</v>
      </c>
      <c r="AU568" s="30" t="n">
        <f aca="false">AT568-AT567</f>
        <v>0</v>
      </c>
      <c r="AV568" s="30" t="n">
        <f aca="false">MAX(AS568,0)*(Inputs!$B$17+Inputs!$B$18+Inputs!$B$19)+MAX(-AS568,0)*(O568+Inputs!$B$18+Inputs!$B$19)+IF(AND(K568=1,AP568&lt;&gt;0),(Inputs!$B$17+Inputs!$B$18+Inputs!$B$19)+(O568+Inputs!$B$18+Inputs!$B$19),0)+MAX(AU568,0)*(Inputs!$B$20+Inputs!$B$22+Inputs!$B$23)+MAX(-AU568,0)*(Inputs!$B$21+Inputs!$B$22+Inputs!$B$23)</f>
        <v>0</v>
      </c>
      <c r="AW568" s="30" t="n">
        <f aca="false">AP567*(M568-AR567*J568)+AP567*AR567*N568/Inputs!$B$16-AV568</f>
        <v>0</v>
      </c>
      <c r="AX568" s="30" t="n">
        <f aca="false">AW568-IF(AP567&lt;&gt;0,0.75*AR567*(Inputs!$B$13-N568)/Inputs!$B$16,0)</f>
        <v>0</v>
      </c>
      <c r="AY568" s="30" t="n">
        <f aca="false">MAX(AS568,0)*(Inputs!$B$17+Inputs!$B$18+Inputs!$B$19)+MAX(-AS568,0)*(O568+Inputs!$B$18+Inputs!$B$19)+IF(AND(K568=1,AP568&lt;&gt;0),(Inputs!$B$17+Inputs!$B$18+Inputs!$B$19)+(O568+Inputs!$B$18+Inputs!$B$19),0)</f>
        <v>0</v>
      </c>
      <c r="AZ568" s="30" t="n">
        <f aca="false">AP567*M568-AY568</f>
        <v>-0</v>
      </c>
      <c r="BA568" s="32" t="n">
        <f aca="false">BA567+AI568</f>
        <v>0.00844880406970507</v>
      </c>
      <c r="BB568" s="30" t="n">
        <f aca="false">MAX(BB567,BA568)</f>
        <v>0.0104979422784913</v>
      </c>
      <c r="BC568" s="32" t="n">
        <f aca="false">BA568-BB568</f>
        <v>-0.00204913820878619</v>
      </c>
      <c r="BD568" s="30" t="n">
        <f aca="false">A569-A568</f>
        <v>1</v>
      </c>
    </row>
    <row r="569" customFormat="false" ht="15" hidden="false" customHeight="false" outlineLevel="0" collapsed="false">
      <c r="A569" s="28" t="n">
        <v>45876</v>
      </c>
      <c r="B569" s="0" t="n">
        <v>24710.8</v>
      </c>
      <c r="C569" s="0" t="n">
        <v>277.84</v>
      </c>
      <c r="D569" s="29" t="n">
        <f aca="false">LN(B569)</f>
        <v>10.114995674015</v>
      </c>
      <c r="E569" s="29" t="n">
        <f aca="false">LN(C569)</f>
        <v>5.62704540843582</v>
      </c>
      <c r="F569" s="0" t="n">
        <v>564</v>
      </c>
      <c r="G569" s="0" t="n">
        <v>21</v>
      </c>
      <c r="H569" s="29" t="n">
        <f aca="false">D569-E569</f>
        <v>4.48795026557922</v>
      </c>
      <c r="I569" s="29" t="n">
        <f aca="false">D569-D568</f>
        <v>0.0032751829004507</v>
      </c>
      <c r="J569" s="29" t="n">
        <f aca="false">E569-E568</f>
        <v>0.00158490055508764</v>
      </c>
      <c r="K569" s="0" t="n">
        <v>0</v>
      </c>
      <c r="L569" s="0" t="n">
        <v>0</v>
      </c>
      <c r="M569" s="29" t="n">
        <f aca="false">IF(L569=1,J569-Carry!$B$9/Inputs!$B$16,I569)</f>
        <v>0.0032751829004507</v>
      </c>
      <c r="N569" s="0" t="n">
        <v>0.055</v>
      </c>
      <c r="O569" s="0" t="n">
        <v>0.0002</v>
      </c>
      <c r="P569" s="29" t="n">
        <f aca="false">D569-('2 Hedge ratio'!$B$6+'2 Hedge ratio'!$B$5*E569)</f>
        <v>-0.00191128149760189</v>
      </c>
      <c r="Q569" s="29" t="n">
        <f aca="false">D569-('5 Re-specification'!$B$7+'5 Re-specification'!$B$5*E569+'5 Re-specification'!$B$6*F569)</f>
        <v>-0.000857858732596029</v>
      </c>
      <c r="R569" s="30" t="n">
        <f aca="false">MIN(F569,Inputs!$B$9)</f>
        <v>250</v>
      </c>
      <c r="S569" s="29" t="n">
        <f aca="true">IF(AND(F569&gt;=1,R569&gt;=Inputs!$B$10),INDEX(LINEST(OFFSET(D569,-R569,0,R569,1),OFFSET(E569,-R569,0,R569,2)),1,1),"")</f>
        <v>-3.35873040336801E-005</v>
      </c>
      <c r="T569" s="29" t="n">
        <f aca="true">IF(AND(F569&gt;=1,R569&gt;=Inputs!$B$10),INDEX(LINEST(OFFSET(D569,-R569,0,R569,1),OFFSET(E569,-R569,0,R569,2)),1,2),"")</f>
        <v>0.998966334363483</v>
      </c>
      <c r="U569" s="29" t="n">
        <f aca="true">IF(AND(F569&gt;=1,R569&gt;=Inputs!$B$10),INDEX(LINEST(OFFSET(D569,-R569,0,R569,1),OFFSET(E569,-R569,0,R569,2)),1,3),"")</f>
        <v>4.51501327972299</v>
      </c>
      <c r="V569" s="29" t="n">
        <f aca="true">IF(AND(F569&gt;=1,R569&gt;=Inputs!$B$10),SQRT(SUMPRODUCT((OFFSET(D569,-R569,0,R569,1)-U569-T569*OFFSET(E569,-R569,0,R569,1)-S569*OFFSET(F569,-R569,0,R569,1))^2)/(R569-3)),"")</f>
        <v>0.0024628620284525</v>
      </c>
      <c r="W569" s="31" t="n">
        <f aca="false">IF(AND(F569&gt;=1,R569&gt;=Inputs!$B$10),(D569-U569-T569*E569-S569*F569)/V569,"")</f>
        <v>-0.935209186852948</v>
      </c>
      <c r="X569" s="30" t="n">
        <f aca="false">IF(AB568&lt;&gt;0,AC568+1,0)</f>
        <v>4</v>
      </c>
      <c r="Y569" s="30" t="n">
        <f aca="false">IF(W569="",0,IF(AND(AB568&lt;&gt;0,OR(ABS(W569)&gt;Inputs!$B$7,X569&gt;=Inputs!$B$8,ABS(W569)&lt;Inputs!$B$6)),1,0))</f>
        <v>0</v>
      </c>
      <c r="Z569" s="30" t="n">
        <f aca="false">IF(Y569=1,0,AB568)</f>
        <v>1</v>
      </c>
      <c r="AA569" s="30" t="n">
        <f aca="false">IF(W569="",0,IF(AND(Z569=0,ABS(W569)&gt;Inputs!$B$5,ABS(W569)&lt;=Inputs!$B$7),1,0))</f>
        <v>0</v>
      </c>
      <c r="AB569" s="30" t="n">
        <f aca="false">IF(W569="",0,IF(AA569=1,-SIGN(W569),Z569))</f>
        <v>1</v>
      </c>
      <c r="AC569" s="30" t="n">
        <f aca="false">IF(W569="",0,IF(AA569=1,0,IF(Y569=1,0,X569)))</f>
        <v>4</v>
      </c>
      <c r="AD569" s="29" t="n">
        <f aca="false">IF(AB569=0,0,IF(AB568=AB569,AD568,T569))</f>
        <v>1.00551411614156</v>
      </c>
      <c r="AE569" s="30" t="n">
        <f aca="false">AB569-AB568</f>
        <v>0</v>
      </c>
      <c r="AF569" s="30" t="n">
        <f aca="false">-AD569*AB569</f>
        <v>-1.00551411614156</v>
      </c>
      <c r="AG569" s="30" t="n">
        <f aca="false">AF569-AF568</f>
        <v>0</v>
      </c>
      <c r="AH569" s="30" t="n">
        <f aca="false">MAX(AE569,0)*(Inputs!$B$17+Inputs!$B$18+Inputs!$B$19)+MAX(-AE569,0)*(O569+Inputs!$B$18+Inputs!$B$19)+IF(AND(K569=1,AB569&lt;&gt;0),(Inputs!$B$17+Inputs!$B$18+Inputs!$B$19)+(O569+Inputs!$B$18+Inputs!$B$19),0)+MAX(AG569,0)*(Inputs!$B$20+Inputs!$B$22+Inputs!$B$23)+MAX(-AG569,0)*(Inputs!$B$21+Inputs!$B$22+Inputs!$B$23)</f>
        <v>0</v>
      </c>
      <c r="AI569" s="30" t="n">
        <f aca="false">AB568*(M569-AD568*J569)+AB568*AD568*N569/Inputs!$B$16-AH569</f>
        <v>0.00190100046561276</v>
      </c>
      <c r="AJ569" s="30" t="n">
        <f aca="false">MAX(AE569,0)*(Inputs!$B$17+Inputs!$B$24+Inputs!$B$25)+MAX(-AE569,0)*(O569+Inputs!$B$24+Inputs!$B$25)+IF(AND(K569=1,AB569&lt;&gt;0),(Inputs!$B$17+Inputs!$B$24+Inputs!$B$25)+(O569+Inputs!$B$24+Inputs!$B$25),0)+MAX(AG569,0)*(Inputs!$B$20+Inputs!$B$26+Inputs!$B$27)+MAX(-AG569,0)*(Inputs!$B$21+Inputs!$B$26+Inputs!$B$27)</f>
        <v>0</v>
      </c>
      <c r="AK569" s="30" t="n">
        <f aca="false">AB568*(M569-AD568*J569)+AB568*AD568*(N569+Inputs!$B$14)/Inputs!$B$16-AJ569</f>
        <v>0.00193092648097411</v>
      </c>
      <c r="AL569" s="30" t="n">
        <f aca="false">IF(AP568&lt;&gt;0,AQ568+1,0)</f>
        <v>0</v>
      </c>
      <c r="AM569" s="30" t="n">
        <f aca="false">IF(W569="",0,IF(AND(AP568&lt;&gt;0,OR(ABS(W569)&gt;Inputs!$B$7,AL569&gt;=Inputs!$B$8,ABS(W569)&lt;Inputs!$B$6)),1,0))</f>
        <v>0</v>
      </c>
      <c r="AN569" s="30" t="n">
        <f aca="false">IF(AM569=1,0,AP568)</f>
        <v>0</v>
      </c>
      <c r="AO569" s="30" t="n">
        <f aca="false">IF(W569="",0,IF(AND(AN569=0,ABS(W569)&gt;Inputs!$B$5,ABS(W569)&lt;=Inputs!$B$7,W569&gt;0),1,0))</f>
        <v>0</v>
      </c>
      <c r="AP569" s="30" t="n">
        <f aca="false">IF(W569="",0,IF(AO569=1,-SIGN(W569),AN569))</f>
        <v>0</v>
      </c>
      <c r="AQ569" s="30" t="n">
        <f aca="false">IF(W569="",0,IF(AO569=1,0,IF(AM569=1,0,AL569)))</f>
        <v>0</v>
      </c>
      <c r="AR569" s="30" t="n">
        <f aca="false">IF(AP569=0,0,IF(AP568=AP569,AR568,T569))</f>
        <v>0</v>
      </c>
      <c r="AS569" s="30" t="n">
        <f aca="false">AP569-AP568</f>
        <v>0</v>
      </c>
      <c r="AT569" s="30" t="n">
        <f aca="false">-AR569*AP569</f>
        <v>-0</v>
      </c>
      <c r="AU569" s="30" t="n">
        <f aca="false">AT569-AT568</f>
        <v>0</v>
      </c>
      <c r="AV569" s="30" t="n">
        <f aca="false">MAX(AS569,0)*(Inputs!$B$17+Inputs!$B$18+Inputs!$B$19)+MAX(-AS569,0)*(O569+Inputs!$B$18+Inputs!$B$19)+IF(AND(K569=1,AP569&lt;&gt;0),(Inputs!$B$17+Inputs!$B$18+Inputs!$B$19)+(O569+Inputs!$B$18+Inputs!$B$19),0)+MAX(AU569,0)*(Inputs!$B$20+Inputs!$B$22+Inputs!$B$23)+MAX(-AU569,0)*(Inputs!$B$21+Inputs!$B$22+Inputs!$B$23)</f>
        <v>0</v>
      </c>
      <c r="AW569" s="30" t="n">
        <f aca="false">AP568*(M569-AR568*J569)+AP568*AR568*N569/Inputs!$B$16-AV569</f>
        <v>0</v>
      </c>
      <c r="AX569" s="30" t="n">
        <f aca="false">AW569-IF(AP568&lt;&gt;0,0.75*AR568*(Inputs!$B$13-N569)/Inputs!$B$16,0)</f>
        <v>0</v>
      </c>
      <c r="AY569" s="30" t="n">
        <f aca="false">MAX(AS569,0)*(Inputs!$B$17+Inputs!$B$18+Inputs!$B$19)+MAX(-AS569,0)*(O569+Inputs!$B$18+Inputs!$B$19)+IF(AND(K569=1,AP569&lt;&gt;0),(Inputs!$B$17+Inputs!$B$18+Inputs!$B$19)+(O569+Inputs!$B$18+Inputs!$B$19),0)</f>
        <v>0</v>
      </c>
      <c r="AZ569" s="30" t="n">
        <f aca="false">AP568*M569-AY569</f>
        <v>0</v>
      </c>
      <c r="BA569" s="32" t="n">
        <f aca="false">BA568+AI569</f>
        <v>0.0103498045353178</v>
      </c>
      <c r="BB569" s="30" t="n">
        <f aca="false">MAX(BB568,BA569)</f>
        <v>0.0104979422784913</v>
      </c>
      <c r="BC569" s="32" t="n">
        <f aca="false">BA569-BB569</f>
        <v>-0.000148137743173434</v>
      </c>
      <c r="BD569" s="30" t="n">
        <f aca="false">A570-A569</f>
        <v>1</v>
      </c>
    </row>
    <row r="570" customFormat="false" ht="15" hidden="false" customHeight="false" outlineLevel="0" collapsed="false">
      <c r="A570" s="28" t="n">
        <v>45877</v>
      </c>
      <c r="B570" s="0" t="n">
        <v>24429</v>
      </c>
      <c r="C570" s="0" t="n">
        <v>275.48</v>
      </c>
      <c r="D570" s="29" t="n">
        <f aca="false">LN(B570)</f>
        <v>10.1035262301352</v>
      </c>
      <c r="E570" s="29" t="n">
        <f aca="false">LN(C570)</f>
        <v>5.6185150306765</v>
      </c>
      <c r="F570" s="0" t="n">
        <v>565</v>
      </c>
      <c r="G570" s="0" t="n">
        <v>20</v>
      </c>
      <c r="H570" s="29" t="n">
        <f aca="false">D570-E570</f>
        <v>4.48501119945874</v>
      </c>
      <c r="I570" s="29" t="n">
        <f aca="false">D570-D569</f>
        <v>-0.0114694438797933</v>
      </c>
      <c r="J570" s="29" t="n">
        <f aca="false">E570-E569</f>
        <v>-0.00853037775932108</v>
      </c>
      <c r="K570" s="0" t="n">
        <v>0</v>
      </c>
      <c r="L570" s="0" t="n">
        <v>0</v>
      </c>
      <c r="M570" s="29" t="n">
        <f aca="false">IF(L570=1,J570-Carry!$B$9/Inputs!$B$16,I570)</f>
        <v>-0.0114694438797933</v>
      </c>
      <c r="N570" s="0" t="n">
        <v>0.055</v>
      </c>
      <c r="O570" s="0" t="n">
        <v>0.0002</v>
      </c>
      <c r="P570" s="29" t="n">
        <f aca="false">D570-('2 Hedge ratio'!$B$6+'2 Hedge ratio'!$B$5*E570)</f>
        <v>-0.00556581804559819</v>
      </c>
      <c r="Q570" s="29" t="n">
        <f aca="false">D570-('5 Re-specification'!$B$7+'5 Re-specification'!$B$5*E570+'5 Re-specification'!$B$6*F570)</f>
        <v>-0.00377784684495097</v>
      </c>
      <c r="R570" s="30" t="n">
        <f aca="false">MIN(F570,Inputs!$B$9)</f>
        <v>250</v>
      </c>
      <c r="S570" s="29" t="n">
        <f aca="true">IF(AND(F570&gt;=1,R570&gt;=Inputs!$B$10),INDEX(LINEST(OFFSET(D570,-R570,0,R570,1),OFFSET(E570,-R570,0,R570,2)),1,1),"")</f>
        <v>-3.39136344776885E-005</v>
      </c>
      <c r="T570" s="29" t="n">
        <f aca="true">IF(AND(F570&gt;=1,R570&gt;=Inputs!$B$10),INDEX(LINEST(OFFSET(D570,-R570,0,R570,1),OFFSET(E570,-R570,0,R570,2)),1,2),"")</f>
        <v>0.998796658066958</v>
      </c>
      <c r="U570" s="29" t="n">
        <f aca="true">IF(AND(F570&gt;=1,R570&gt;=Inputs!$B$10),INDEX(LINEST(OFFSET(D570,-R570,0,R570,1),OFFSET(E570,-R570,0,R570,2)),1,3),"")</f>
        <v>4.51610281870484</v>
      </c>
      <c r="V570" s="29" t="n">
        <f aca="true">IF(AND(F570&gt;=1,R570&gt;=Inputs!$B$10),SQRT(SUMPRODUCT((OFFSET(D570,-R570,0,R570,1)-U570-T570*OFFSET(E570,-R570,0,R570,1)-S570*OFFSET(F570,-R570,0,R570,1))^2)/(R570-3)),"")</f>
        <v>0.0024660530295865</v>
      </c>
      <c r="W570" s="31" t="n">
        <f aca="false">IF(AND(F570&gt;=1,R570&gt;=Inputs!$B$10),(D570-U570-T570*E570-S570*F570)/V570,"")</f>
        <v>-2.09623271127542</v>
      </c>
      <c r="X570" s="30" t="n">
        <f aca="false">IF(AB569&lt;&gt;0,AC569+1,0)</f>
        <v>5</v>
      </c>
      <c r="Y570" s="30" t="n">
        <f aca="false">IF(W570="",0,IF(AND(AB569&lt;&gt;0,OR(ABS(W570)&gt;Inputs!$B$7,X570&gt;=Inputs!$B$8,ABS(W570)&lt;Inputs!$B$6)),1,0))</f>
        <v>0</v>
      </c>
      <c r="Z570" s="30" t="n">
        <f aca="false">IF(Y570=1,0,AB569)</f>
        <v>1</v>
      </c>
      <c r="AA570" s="30" t="n">
        <f aca="false">IF(W570="",0,IF(AND(Z570=0,ABS(W570)&gt;Inputs!$B$5,ABS(W570)&lt;=Inputs!$B$7),1,0))</f>
        <v>0</v>
      </c>
      <c r="AB570" s="30" t="n">
        <f aca="false">IF(W570="",0,IF(AA570=1,-SIGN(W570),Z570))</f>
        <v>1</v>
      </c>
      <c r="AC570" s="30" t="n">
        <f aca="false">IF(W570="",0,IF(AA570=1,0,IF(Y570=1,0,X570)))</f>
        <v>5</v>
      </c>
      <c r="AD570" s="29" t="n">
        <f aca="false">IF(AB570=0,0,IF(AB569=AB570,AD569,T570))</f>
        <v>1.00551411614156</v>
      </c>
      <c r="AE570" s="30" t="n">
        <f aca="false">AB570-AB569</f>
        <v>0</v>
      </c>
      <c r="AF570" s="30" t="n">
        <f aca="false">-AD570*AB570</f>
        <v>-1.00551411614156</v>
      </c>
      <c r="AG570" s="30" t="n">
        <f aca="false">AF570-AF569</f>
        <v>0</v>
      </c>
      <c r="AH570" s="30" t="n">
        <f aca="false">MAX(AE570,0)*(Inputs!$B$17+Inputs!$B$18+Inputs!$B$19)+MAX(-AE570,0)*(O570+Inputs!$B$18+Inputs!$B$19)+IF(AND(K570=1,AB570&lt;&gt;0),(Inputs!$B$17+Inputs!$B$18+Inputs!$B$19)+(O570+Inputs!$B$18+Inputs!$B$19),0)+MAX(AG570,0)*(Inputs!$B$20+Inputs!$B$22+Inputs!$B$23)+MAX(-AG570,0)*(Inputs!$B$21+Inputs!$B$22+Inputs!$B$23)</f>
        <v>0</v>
      </c>
      <c r="AI570" s="30" t="n">
        <f aca="false">AB569*(M570-AD569*J570)+AB569*AD569*N570/Inputs!$B$16-AH570</f>
        <v>-0.00267257118079267</v>
      </c>
      <c r="AJ570" s="30" t="n">
        <f aca="false">MAX(AE570,0)*(Inputs!$B$17+Inputs!$B$24+Inputs!$B$25)+MAX(-AE570,0)*(O570+Inputs!$B$24+Inputs!$B$25)+IF(AND(K570=1,AB570&lt;&gt;0),(Inputs!$B$17+Inputs!$B$24+Inputs!$B$25)+(O570+Inputs!$B$24+Inputs!$B$25),0)+MAX(AG570,0)*(Inputs!$B$20+Inputs!$B$26+Inputs!$B$27)+MAX(-AG570,0)*(Inputs!$B$21+Inputs!$B$26+Inputs!$B$27)</f>
        <v>0</v>
      </c>
      <c r="AK570" s="30" t="n">
        <f aca="false">AB569*(M570-AD569*J570)+AB569*AD569*(N570+Inputs!$B$14)/Inputs!$B$16-AJ570</f>
        <v>-0.00264264516543132</v>
      </c>
      <c r="AL570" s="30" t="n">
        <f aca="false">IF(AP569&lt;&gt;0,AQ569+1,0)</f>
        <v>0</v>
      </c>
      <c r="AM570" s="30" t="n">
        <f aca="false">IF(W570="",0,IF(AND(AP569&lt;&gt;0,OR(ABS(W570)&gt;Inputs!$B$7,AL570&gt;=Inputs!$B$8,ABS(W570)&lt;Inputs!$B$6)),1,0))</f>
        <v>0</v>
      </c>
      <c r="AN570" s="30" t="n">
        <f aca="false">IF(AM570=1,0,AP569)</f>
        <v>0</v>
      </c>
      <c r="AO570" s="30" t="n">
        <f aca="false">IF(W570="",0,IF(AND(AN570=0,ABS(W570)&gt;Inputs!$B$5,ABS(W570)&lt;=Inputs!$B$7,W570&gt;0),1,0))</f>
        <v>0</v>
      </c>
      <c r="AP570" s="30" t="n">
        <f aca="false">IF(W570="",0,IF(AO570=1,-SIGN(W570),AN570))</f>
        <v>0</v>
      </c>
      <c r="AQ570" s="30" t="n">
        <f aca="false">IF(W570="",0,IF(AO570=1,0,IF(AM570=1,0,AL570)))</f>
        <v>0</v>
      </c>
      <c r="AR570" s="30" t="n">
        <f aca="false">IF(AP570=0,0,IF(AP569=AP570,AR569,T570))</f>
        <v>0</v>
      </c>
      <c r="AS570" s="30" t="n">
        <f aca="false">AP570-AP569</f>
        <v>0</v>
      </c>
      <c r="AT570" s="30" t="n">
        <f aca="false">-AR570*AP570</f>
        <v>-0</v>
      </c>
      <c r="AU570" s="30" t="n">
        <f aca="false">AT570-AT569</f>
        <v>0</v>
      </c>
      <c r="AV570" s="30" t="n">
        <f aca="false">MAX(AS570,0)*(Inputs!$B$17+Inputs!$B$18+Inputs!$B$19)+MAX(-AS570,0)*(O570+Inputs!$B$18+Inputs!$B$19)+IF(AND(K570=1,AP570&lt;&gt;0),(Inputs!$B$17+Inputs!$B$18+Inputs!$B$19)+(O570+Inputs!$B$18+Inputs!$B$19),0)+MAX(AU570,0)*(Inputs!$B$20+Inputs!$B$22+Inputs!$B$23)+MAX(-AU570,0)*(Inputs!$B$21+Inputs!$B$22+Inputs!$B$23)</f>
        <v>0</v>
      </c>
      <c r="AW570" s="30" t="n">
        <f aca="false">AP569*(M570-AR569*J570)+AP569*AR569*N570/Inputs!$B$16-AV570</f>
        <v>0</v>
      </c>
      <c r="AX570" s="30" t="n">
        <f aca="false">AW570-IF(AP569&lt;&gt;0,0.75*AR569*(Inputs!$B$13-N570)/Inputs!$B$16,0)</f>
        <v>0</v>
      </c>
      <c r="AY570" s="30" t="n">
        <f aca="false">MAX(AS570,0)*(Inputs!$B$17+Inputs!$B$18+Inputs!$B$19)+MAX(-AS570,0)*(O570+Inputs!$B$18+Inputs!$B$19)+IF(AND(K570=1,AP570&lt;&gt;0),(Inputs!$B$17+Inputs!$B$18+Inputs!$B$19)+(O570+Inputs!$B$18+Inputs!$B$19),0)</f>
        <v>0</v>
      </c>
      <c r="AZ570" s="30" t="n">
        <f aca="false">AP569*M570-AY570</f>
        <v>-0</v>
      </c>
      <c r="BA570" s="32" t="n">
        <f aca="false">BA569+AI570</f>
        <v>0.00767723335452515</v>
      </c>
      <c r="BB570" s="30" t="n">
        <f aca="false">MAX(BB569,BA570)</f>
        <v>0.0104979422784913</v>
      </c>
      <c r="BC570" s="32" t="n">
        <f aca="false">BA570-BB570</f>
        <v>-0.00282070892396611</v>
      </c>
      <c r="BD570" s="30" t="n">
        <f aca="false">A571-A570</f>
        <v>3</v>
      </c>
    </row>
    <row r="571" customFormat="false" ht="15" hidden="false" customHeight="false" outlineLevel="0" collapsed="false">
      <c r="A571" s="28" t="n">
        <v>45880</v>
      </c>
      <c r="B571" s="0" t="n">
        <v>24612.3</v>
      </c>
      <c r="C571" s="0" t="n">
        <v>277</v>
      </c>
      <c r="D571" s="29" t="n">
        <f aca="false">LN(B571)</f>
        <v>10.1110015969621</v>
      </c>
      <c r="E571" s="29" t="n">
        <f aca="false">LN(C571)</f>
        <v>5.62401750618734</v>
      </c>
      <c r="F571" s="0" t="n">
        <v>566</v>
      </c>
      <c r="G571" s="0" t="n">
        <v>17</v>
      </c>
      <c r="H571" s="29" t="n">
        <f aca="false">D571-E571</f>
        <v>4.48698409077477</v>
      </c>
      <c r="I571" s="29" t="n">
        <f aca="false">D571-D570</f>
        <v>0.00747536682686345</v>
      </c>
      <c r="J571" s="29" t="n">
        <f aca="false">E571-E570</f>
        <v>0.00550247551084127</v>
      </c>
      <c r="K571" s="0" t="n">
        <v>0</v>
      </c>
      <c r="L571" s="0" t="n">
        <v>0</v>
      </c>
      <c r="M571" s="29" t="n">
        <f aca="false">IF(L571=1,J571-Carry!$B$9/Inputs!$B$16,I571)</f>
        <v>0.00747536682686345</v>
      </c>
      <c r="N571" s="0" t="n">
        <v>0.055</v>
      </c>
      <c r="O571" s="0" t="n">
        <v>0.0002</v>
      </c>
      <c r="P571" s="29" t="n">
        <f aca="false">D571-('2 Hedge ratio'!$B$6+'2 Hedge ratio'!$B$5*E571)</f>
        <v>-0.0031314162763163</v>
      </c>
      <c r="Q571" s="29" t="n">
        <f aca="false">D571-('5 Re-specification'!$B$7+'5 Re-specification'!$B$5*E571+'5 Re-specification'!$B$6*F571)</f>
        <v>-0.00174335095868194</v>
      </c>
      <c r="R571" s="30" t="n">
        <f aca="false">MIN(F571,Inputs!$B$9)</f>
        <v>250</v>
      </c>
      <c r="S571" s="29" t="n">
        <f aca="true">IF(AND(F571&gt;=1,R571&gt;=Inputs!$B$10),INDEX(LINEST(OFFSET(D571,-R571,0,R571,1),OFFSET(E571,-R571,0,R571,2)),1,1),"")</f>
        <v>-3.44309006573553E-005</v>
      </c>
      <c r="T571" s="29" t="n">
        <f aca="true">IF(AND(F571&gt;=1,R571&gt;=Inputs!$B$10),INDEX(LINEST(OFFSET(D571,-R571,0,R571,1),OFFSET(E571,-R571,0,R571,2)),1,2),"")</f>
        <v>0.998613152574502</v>
      </c>
      <c r="U571" s="29" t="n">
        <f aca="true">IF(AND(F571&gt;=1,R571&gt;=Inputs!$B$10),INDEX(LINEST(OFFSET(D571,-R571,0,R571,1),OFFSET(E571,-R571,0,R571,2)),1,3),"")</f>
        <v>4.51733940264496</v>
      </c>
      <c r="V571" s="29" t="n">
        <f aca="true">IF(AND(F571&gt;=1,R571&gt;=Inputs!$B$10),SQRT(SUMPRODUCT((OFFSET(D571,-R571,0,R571,1)-U571-T571*OFFSET(E571,-R571,0,R571,1)-S571*OFFSET(F571,-R571,0,R571,1))^2)/(R571-3)),"")</f>
        <v>0.00248745992766729</v>
      </c>
      <c r="W571" s="31" t="n">
        <f aca="false">IF(AND(F571&gt;=1,R571&gt;=Inputs!$B$10),(D571-U571-T571*E571-S571*F571)/V571,"")</f>
        <v>-1.23329339483991</v>
      </c>
      <c r="X571" s="30" t="n">
        <f aca="false">IF(AB570&lt;&gt;0,AC570+1,0)</f>
        <v>6</v>
      </c>
      <c r="Y571" s="30" t="n">
        <f aca="false">IF(W571="",0,IF(AND(AB570&lt;&gt;0,OR(ABS(W571)&gt;Inputs!$B$7,X571&gt;=Inputs!$B$8,ABS(W571)&lt;Inputs!$B$6)),1,0))</f>
        <v>0</v>
      </c>
      <c r="Z571" s="30" t="n">
        <f aca="false">IF(Y571=1,0,AB570)</f>
        <v>1</v>
      </c>
      <c r="AA571" s="30" t="n">
        <f aca="false">IF(W571="",0,IF(AND(Z571=0,ABS(W571)&gt;Inputs!$B$5,ABS(W571)&lt;=Inputs!$B$7),1,0))</f>
        <v>0</v>
      </c>
      <c r="AB571" s="30" t="n">
        <f aca="false">IF(W571="",0,IF(AA571=1,-SIGN(W571),Z571))</f>
        <v>1</v>
      </c>
      <c r="AC571" s="30" t="n">
        <f aca="false">IF(W571="",0,IF(AA571=1,0,IF(Y571=1,0,X571)))</f>
        <v>6</v>
      </c>
      <c r="AD571" s="29" t="n">
        <f aca="false">IF(AB571=0,0,IF(AB570=AB571,AD570,T571))</f>
        <v>1.00551411614156</v>
      </c>
      <c r="AE571" s="30" t="n">
        <f aca="false">AB571-AB570</f>
        <v>0</v>
      </c>
      <c r="AF571" s="30" t="n">
        <f aca="false">-AD571*AB571</f>
        <v>-1.00551411614156</v>
      </c>
      <c r="AG571" s="30" t="n">
        <f aca="false">AF571-AF570</f>
        <v>0</v>
      </c>
      <c r="AH571" s="30" t="n">
        <f aca="false">MAX(AE571,0)*(Inputs!$B$17+Inputs!$B$18+Inputs!$B$19)+MAX(-AE571,0)*(O571+Inputs!$B$18+Inputs!$B$19)+IF(AND(K571=1,AB571&lt;&gt;0),(Inputs!$B$17+Inputs!$B$18+Inputs!$B$19)+(O571+Inputs!$B$18+Inputs!$B$19),0)+MAX(AG571,0)*(Inputs!$B$20+Inputs!$B$22+Inputs!$B$23)+MAX(-AG571,0)*(Inputs!$B$21+Inputs!$B$22+Inputs!$B$23)</f>
        <v>0</v>
      </c>
      <c r="AI571" s="30" t="n">
        <f aca="false">AB570*(M571-AD570*J571)+AB570*AD570*N571/Inputs!$B$16-AH571</f>
        <v>0.00216200747297259</v>
      </c>
      <c r="AJ571" s="30" t="n">
        <f aca="false">MAX(AE571,0)*(Inputs!$B$17+Inputs!$B$24+Inputs!$B$25)+MAX(-AE571,0)*(O571+Inputs!$B$24+Inputs!$B$25)+IF(AND(K571=1,AB571&lt;&gt;0),(Inputs!$B$17+Inputs!$B$24+Inputs!$B$25)+(O571+Inputs!$B$24+Inputs!$B$25),0)+MAX(AG571,0)*(Inputs!$B$20+Inputs!$B$26+Inputs!$B$27)+MAX(-AG571,0)*(Inputs!$B$21+Inputs!$B$26+Inputs!$B$27)</f>
        <v>0</v>
      </c>
      <c r="AK571" s="30" t="n">
        <f aca="false">AB570*(M571-AD570*J571)+AB570*AD570*(N571+Inputs!$B$14)/Inputs!$B$16-AJ571</f>
        <v>0.00219193348833395</v>
      </c>
      <c r="AL571" s="30" t="n">
        <f aca="false">IF(AP570&lt;&gt;0,AQ570+1,0)</f>
        <v>0</v>
      </c>
      <c r="AM571" s="30" t="n">
        <f aca="false">IF(W571="",0,IF(AND(AP570&lt;&gt;0,OR(ABS(W571)&gt;Inputs!$B$7,AL571&gt;=Inputs!$B$8,ABS(W571)&lt;Inputs!$B$6)),1,0))</f>
        <v>0</v>
      </c>
      <c r="AN571" s="30" t="n">
        <f aca="false">IF(AM571=1,0,AP570)</f>
        <v>0</v>
      </c>
      <c r="AO571" s="30" t="n">
        <f aca="false">IF(W571="",0,IF(AND(AN571=0,ABS(W571)&gt;Inputs!$B$5,ABS(W571)&lt;=Inputs!$B$7,W571&gt;0),1,0))</f>
        <v>0</v>
      </c>
      <c r="AP571" s="30" t="n">
        <f aca="false">IF(W571="",0,IF(AO571=1,-SIGN(W571),AN571))</f>
        <v>0</v>
      </c>
      <c r="AQ571" s="30" t="n">
        <f aca="false">IF(W571="",0,IF(AO571=1,0,IF(AM571=1,0,AL571)))</f>
        <v>0</v>
      </c>
      <c r="AR571" s="30" t="n">
        <f aca="false">IF(AP571=0,0,IF(AP570=AP571,AR570,T571))</f>
        <v>0</v>
      </c>
      <c r="AS571" s="30" t="n">
        <f aca="false">AP571-AP570</f>
        <v>0</v>
      </c>
      <c r="AT571" s="30" t="n">
        <f aca="false">-AR571*AP571</f>
        <v>-0</v>
      </c>
      <c r="AU571" s="30" t="n">
        <f aca="false">AT571-AT570</f>
        <v>0</v>
      </c>
      <c r="AV571" s="30" t="n">
        <f aca="false">MAX(AS571,0)*(Inputs!$B$17+Inputs!$B$18+Inputs!$B$19)+MAX(-AS571,0)*(O571+Inputs!$B$18+Inputs!$B$19)+IF(AND(K571=1,AP571&lt;&gt;0),(Inputs!$B$17+Inputs!$B$18+Inputs!$B$19)+(O571+Inputs!$B$18+Inputs!$B$19),0)+MAX(AU571,0)*(Inputs!$B$20+Inputs!$B$22+Inputs!$B$23)+MAX(-AU571,0)*(Inputs!$B$21+Inputs!$B$22+Inputs!$B$23)</f>
        <v>0</v>
      </c>
      <c r="AW571" s="30" t="n">
        <f aca="false">AP570*(M571-AR570*J571)+AP570*AR570*N571/Inputs!$B$16-AV571</f>
        <v>0</v>
      </c>
      <c r="AX571" s="30" t="n">
        <f aca="false">AW571-IF(AP570&lt;&gt;0,0.75*AR570*(Inputs!$B$13-N571)/Inputs!$B$16,0)</f>
        <v>0</v>
      </c>
      <c r="AY571" s="30" t="n">
        <f aca="false">MAX(AS571,0)*(Inputs!$B$17+Inputs!$B$18+Inputs!$B$19)+MAX(-AS571,0)*(O571+Inputs!$B$18+Inputs!$B$19)+IF(AND(K571=1,AP571&lt;&gt;0),(Inputs!$B$17+Inputs!$B$18+Inputs!$B$19)+(O571+Inputs!$B$18+Inputs!$B$19),0)</f>
        <v>0</v>
      </c>
      <c r="AZ571" s="30" t="n">
        <f aca="false">AP570*M571-AY571</f>
        <v>0</v>
      </c>
      <c r="BA571" s="32" t="n">
        <f aca="false">BA570+AI571</f>
        <v>0.00983924082749774</v>
      </c>
      <c r="BB571" s="30" t="n">
        <f aca="false">MAX(BB570,BA571)</f>
        <v>0.0104979422784913</v>
      </c>
      <c r="BC571" s="32" t="n">
        <f aca="false">BA571-BB571</f>
        <v>-0.000658701450993516</v>
      </c>
      <c r="BD571" s="30" t="n">
        <f aca="false">A572-A571</f>
        <v>1</v>
      </c>
    </row>
    <row r="572" customFormat="false" ht="15" hidden="false" customHeight="false" outlineLevel="0" collapsed="false">
      <c r="A572" s="28" t="n">
        <v>45881</v>
      </c>
      <c r="B572" s="0" t="n">
        <v>24547</v>
      </c>
      <c r="C572" s="0" t="n">
        <v>276.65</v>
      </c>
      <c r="D572" s="29" t="n">
        <f aca="false">LN(B572)</f>
        <v>10.108344926163</v>
      </c>
      <c r="E572" s="29" t="n">
        <f aca="false">LN(C572)</f>
        <v>5.62275316934412</v>
      </c>
      <c r="F572" s="0" t="n">
        <v>567</v>
      </c>
      <c r="G572" s="0" t="n">
        <v>16</v>
      </c>
      <c r="H572" s="29" t="n">
        <f aca="false">D572-E572</f>
        <v>4.4855917568189</v>
      </c>
      <c r="I572" s="29" t="n">
        <f aca="false">D572-D571</f>
        <v>-0.00265667079908383</v>
      </c>
      <c r="J572" s="29" t="n">
        <f aca="false">E572-E571</f>
        <v>-0.00126433684321992</v>
      </c>
      <c r="K572" s="0" t="n">
        <v>0</v>
      </c>
      <c r="L572" s="0" t="n">
        <v>0</v>
      </c>
      <c r="M572" s="29" t="n">
        <f aca="false">IF(L572=1,J572-Carry!$B$9/Inputs!$B$16,I572)</f>
        <v>-0.00265667079908383</v>
      </c>
      <c r="N572" s="0" t="n">
        <v>0.055</v>
      </c>
      <c r="O572" s="0" t="n">
        <v>0.0002</v>
      </c>
      <c r="P572" s="29" t="n">
        <f aca="false">D572-('2 Hedge ratio'!$B$6+'2 Hedge ratio'!$B$5*E572)</f>
        <v>-0.00462979426062482</v>
      </c>
      <c r="Q572" s="29" t="n">
        <f aca="false">D572-('5 Re-specification'!$B$7+'5 Re-specification'!$B$5*E572+'5 Re-specification'!$B$6*F572)</f>
        <v>-0.00309458716927935</v>
      </c>
      <c r="R572" s="30" t="n">
        <f aca="false">MIN(F572,Inputs!$B$9)</f>
        <v>250</v>
      </c>
      <c r="S572" s="29" t="n">
        <f aca="true">IF(AND(F572&gt;=1,R572&gt;=Inputs!$B$10),INDEX(LINEST(OFFSET(D572,-R572,0,R572,1),OFFSET(E572,-R572,0,R572,2)),1,1),"")</f>
        <v>-3.50239439629598E-005</v>
      </c>
      <c r="T572" s="29" t="n">
        <f aca="true">IF(AND(F572&gt;=1,R572&gt;=Inputs!$B$10),INDEX(LINEST(OFFSET(D572,-R572,0,R572,1),OFFSET(E572,-R572,0,R572,2)),1,2),"")</f>
        <v>0.998401449683898</v>
      </c>
      <c r="U572" s="29" t="n">
        <f aca="true">IF(AND(F572&gt;=1,R572&gt;=Inputs!$B$10),INDEX(LINEST(OFFSET(D572,-R572,0,R572,1),OFFSET(E572,-R572,0,R572,2)),1,3),"")</f>
        <v>4.51878791608986</v>
      </c>
      <c r="V572" s="29" t="n">
        <f aca="true">IF(AND(F572&gt;=1,R572&gt;=Inputs!$B$10),SQRT(SUMPRODUCT((OFFSET(D572,-R572,0,R572,1)-U572-T572*OFFSET(E572,-R572,0,R572,1)-S572*OFFSET(F572,-R572,0,R572,1))^2)/(R572-3)),"")</f>
        <v>0.00248668405651427</v>
      </c>
      <c r="W572" s="31" t="n">
        <f aca="false">IF(AND(F572&gt;=1,R572&gt;=Inputs!$B$10),(D572-U572-T572*E572-S572*F572)/V572,"")</f>
        <v>-1.74904776356512</v>
      </c>
      <c r="X572" s="30" t="n">
        <f aca="false">IF(AB571&lt;&gt;0,AC571+1,0)</f>
        <v>7</v>
      </c>
      <c r="Y572" s="30" t="n">
        <f aca="false">IF(W572="",0,IF(AND(AB571&lt;&gt;0,OR(ABS(W572)&gt;Inputs!$B$7,X572&gt;=Inputs!$B$8,ABS(W572)&lt;Inputs!$B$6)),1,0))</f>
        <v>0</v>
      </c>
      <c r="Z572" s="30" t="n">
        <f aca="false">IF(Y572=1,0,AB571)</f>
        <v>1</v>
      </c>
      <c r="AA572" s="30" t="n">
        <f aca="false">IF(W572="",0,IF(AND(Z572=0,ABS(W572)&gt;Inputs!$B$5,ABS(W572)&lt;=Inputs!$B$7),1,0))</f>
        <v>0</v>
      </c>
      <c r="AB572" s="30" t="n">
        <f aca="false">IF(W572="",0,IF(AA572=1,-SIGN(W572),Z572))</f>
        <v>1</v>
      </c>
      <c r="AC572" s="30" t="n">
        <f aca="false">IF(W572="",0,IF(AA572=1,0,IF(Y572=1,0,X572)))</f>
        <v>7</v>
      </c>
      <c r="AD572" s="29" t="n">
        <f aca="false">IF(AB572=0,0,IF(AB571=AB572,AD571,T572))</f>
        <v>1.00551411614156</v>
      </c>
      <c r="AE572" s="30" t="n">
        <f aca="false">AB572-AB571</f>
        <v>0</v>
      </c>
      <c r="AF572" s="30" t="n">
        <f aca="false">-AD572*AB572</f>
        <v>-1.00551411614156</v>
      </c>
      <c r="AG572" s="30" t="n">
        <f aca="false">AF572-AF571</f>
        <v>0</v>
      </c>
      <c r="AH572" s="30" t="n">
        <f aca="false">MAX(AE572,0)*(Inputs!$B$17+Inputs!$B$18+Inputs!$B$19)+MAX(-AE572,0)*(O572+Inputs!$B$18+Inputs!$B$19)+IF(AND(K572=1,AB572&lt;&gt;0),(Inputs!$B$17+Inputs!$B$18+Inputs!$B$19)+(O572+Inputs!$B$18+Inputs!$B$19),0)+MAX(AG572,0)*(Inputs!$B$20+Inputs!$B$22+Inputs!$B$23)+MAX(-AG572,0)*(Inputs!$B$21+Inputs!$B$22+Inputs!$B$23)</f>
        <v>0</v>
      </c>
      <c r="AI572" s="30" t="n">
        <f aca="false">AB571*(M572-AD571*J572)+AB571*AD571*N572/Inputs!$B$16-AH572</f>
        <v>-0.00116590480968507</v>
      </c>
      <c r="AJ572" s="30" t="n">
        <f aca="false">MAX(AE572,0)*(Inputs!$B$17+Inputs!$B$24+Inputs!$B$25)+MAX(-AE572,0)*(O572+Inputs!$B$24+Inputs!$B$25)+IF(AND(K572=1,AB572&lt;&gt;0),(Inputs!$B$17+Inputs!$B$24+Inputs!$B$25)+(O572+Inputs!$B$24+Inputs!$B$25),0)+MAX(AG572,0)*(Inputs!$B$20+Inputs!$B$26+Inputs!$B$27)+MAX(-AG572,0)*(Inputs!$B$21+Inputs!$B$26+Inputs!$B$27)</f>
        <v>0</v>
      </c>
      <c r="AK572" s="30" t="n">
        <f aca="false">AB571*(M572-AD571*J572)+AB571*AD571*(N572+Inputs!$B$14)/Inputs!$B$16-AJ572</f>
        <v>-0.00113597879432371</v>
      </c>
      <c r="AL572" s="30" t="n">
        <f aca="false">IF(AP571&lt;&gt;0,AQ571+1,0)</f>
        <v>0</v>
      </c>
      <c r="AM572" s="30" t="n">
        <f aca="false">IF(W572="",0,IF(AND(AP571&lt;&gt;0,OR(ABS(W572)&gt;Inputs!$B$7,AL572&gt;=Inputs!$B$8,ABS(W572)&lt;Inputs!$B$6)),1,0))</f>
        <v>0</v>
      </c>
      <c r="AN572" s="30" t="n">
        <f aca="false">IF(AM572=1,0,AP571)</f>
        <v>0</v>
      </c>
      <c r="AO572" s="30" t="n">
        <f aca="false">IF(W572="",0,IF(AND(AN572=0,ABS(W572)&gt;Inputs!$B$5,ABS(W572)&lt;=Inputs!$B$7,W572&gt;0),1,0))</f>
        <v>0</v>
      </c>
      <c r="AP572" s="30" t="n">
        <f aca="false">IF(W572="",0,IF(AO572=1,-SIGN(W572),AN572))</f>
        <v>0</v>
      </c>
      <c r="AQ572" s="30" t="n">
        <f aca="false">IF(W572="",0,IF(AO572=1,0,IF(AM572=1,0,AL572)))</f>
        <v>0</v>
      </c>
      <c r="AR572" s="30" t="n">
        <f aca="false">IF(AP572=0,0,IF(AP571=AP572,AR571,T572))</f>
        <v>0</v>
      </c>
      <c r="AS572" s="30" t="n">
        <f aca="false">AP572-AP571</f>
        <v>0</v>
      </c>
      <c r="AT572" s="30" t="n">
        <f aca="false">-AR572*AP572</f>
        <v>-0</v>
      </c>
      <c r="AU572" s="30" t="n">
        <f aca="false">AT572-AT571</f>
        <v>0</v>
      </c>
      <c r="AV572" s="30" t="n">
        <f aca="false">MAX(AS572,0)*(Inputs!$B$17+Inputs!$B$18+Inputs!$B$19)+MAX(-AS572,0)*(O572+Inputs!$B$18+Inputs!$B$19)+IF(AND(K572=1,AP572&lt;&gt;0),(Inputs!$B$17+Inputs!$B$18+Inputs!$B$19)+(O572+Inputs!$B$18+Inputs!$B$19),0)+MAX(AU572,0)*(Inputs!$B$20+Inputs!$B$22+Inputs!$B$23)+MAX(-AU572,0)*(Inputs!$B$21+Inputs!$B$22+Inputs!$B$23)</f>
        <v>0</v>
      </c>
      <c r="AW572" s="30" t="n">
        <f aca="false">AP571*(M572-AR571*J572)+AP571*AR571*N572/Inputs!$B$16-AV572</f>
        <v>0</v>
      </c>
      <c r="AX572" s="30" t="n">
        <f aca="false">AW572-IF(AP571&lt;&gt;0,0.75*AR571*(Inputs!$B$13-N572)/Inputs!$B$16,0)</f>
        <v>0</v>
      </c>
      <c r="AY572" s="30" t="n">
        <f aca="false">MAX(AS572,0)*(Inputs!$B$17+Inputs!$B$18+Inputs!$B$19)+MAX(-AS572,0)*(O572+Inputs!$B$18+Inputs!$B$19)+IF(AND(K572=1,AP572&lt;&gt;0),(Inputs!$B$17+Inputs!$B$18+Inputs!$B$19)+(O572+Inputs!$B$18+Inputs!$B$19),0)</f>
        <v>0</v>
      </c>
      <c r="AZ572" s="30" t="n">
        <f aca="false">AP571*M572-AY572</f>
        <v>-0</v>
      </c>
      <c r="BA572" s="32" t="n">
        <f aca="false">BA571+AI572</f>
        <v>0.00867333601781268</v>
      </c>
      <c r="BB572" s="30" t="n">
        <f aca="false">MAX(BB571,BA572)</f>
        <v>0.0104979422784913</v>
      </c>
      <c r="BC572" s="32" t="n">
        <f aca="false">BA572-BB572</f>
        <v>-0.00182460626067858</v>
      </c>
      <c r="BD572" s="30" t="n">
        <f aca="false">A573-A572</f>
        <v>1</v>
      </c>
    </row>
    <row r="573" customFormat="false" ht="15" hidden="false" customHeight="false" outlineLevel="0" collapsed="false">
      <c r="A573" s="28" t="n">
        <v>45882</v>
      </c>
      <c r="B573" s="0" t="n">
        <v>24714.7</v>
      </c>
      <c r="C573" s="0" t="n">
        <v>278</v>
      </c>
      <c r="D573" s="29" t="n">
        <f aca="false">LN(B573)</f>
        <v>10.1151534872899</v>
      </c>
      <c r="E573" s="29" t="n">
        <f aca="false">LN(C573)</f>
        <v>5.62762111369064</v>
      </c>
      <c r="F573" s="0" t="n">
        <v>568</v>
      </c>
      <c r="G573" s="0" t="n">
        <v>15</v>
      </c>
      <c r="H573" s="29" t="n">
        <f aca="false">D573-E573</f>
        <v>4.48753237359925</v>
      </c>
      <c r="I573" s="29" t="n">
        <f aca="false">D573-D572</f>
        <v>0.00680856112686534</v>
      </c>
      <c r="J573" s="29" t="n">
        <f aca="false">E573-E572</f>
        <v>0.00486794434651827</v>
      </c>
      <c r="K573" s="0" t="n">
        <v>0</v>
      </c>
      <c r="L573" s="0" t="n">
        <v>0</v>
      </c>
      <c r="M573" s="29" t="n">
        <f aca="false">IF(L573=1,J573-Carry!$B$9/Inputs!$B$16,I573)</f>
        <v>0.00680856112686534</v>
      </c>
      <c r="N573" s="0" t="n">
        <v>0.055</v>
      </c>
      <c r="O573" s="0" t="n">
        <v>0.0002</v>
      </c>
      <c r="P573" s="29" t="n">
        <f aca="false">D573-('2 Hedge ratio'!$B$6+'2 Hedge ratio'!$B$5*E573)</f>
        <v>-0.00228088721212849</v>
      </c>
      <c r="Q573" s="29" t="n">
        <f aca="false">D573-('5 Re-specification'!$B$7+'5 Re-specification'!$B$5*E573+'5 Re-specification'!$B$6*F573)</f>
        <v>-0.00109428876539042</v>
      </c>
      <c r="R573" s="30" t="n">
        <f aca="false">MIN(F573,Inputs!$B$9)</f>
        <v>250</v>
      </c>
      <c r="S573" s="29" t="n">
        <f aca="true">IF(AND(F573&gt;=1,R573&gt;=Inputs!$B$10),INDEX(LINEST(OFFSET(D573,-R573,0,R573,1),OFFSET(E573,-R573,0,R573,2)),1,1),"")</f>
        <v>-3.55825602216202E-005</v>
      </c>
      <c r="T573" s="29" t="n">
        <f aca="true">IF(AND(F573&gt;=1,R573&gt;=Inputs!$B$10),INDEX(LINEST(OFFSET(D573,-R573,0,R573,1),OFFSET(E573,-R573,0,R573,2)),1,2),"")</f>
        <v>0.998215966101645</v>
      </c>
      <c r="U573" s="29" t="n">
        <f aca="true">IF(AND(F573&gt;=1,R573&gt;=Inputs!$B$10),INDEX(LINEST(OFFSET(D573,-R573,0,R573,1),OFFSET(E573,-R573,0,R573,2)),1,3),"")</f>
        <v>4.5200632262729</v>
      </c>
      <c r="V573" s="29" t="n">
        <f aca="true">IF(AND(F573&gt;=1,R573&gt;=Inputs!$B$10),SQRT(SUMPRODUCT((OFFSET(D573,-R573,0,R573,1)-U573-T573*OFFSET(E573,-R573,0,R573,1)-S573*OFFSET(F573,-R573,0,R573,1))^2)/(R573-3)),"")</f>
        <v>0.00249980945289459</v>
      </c>
      <c r="W573" s="31" t="n">
        <f aca="false">IF(AND(F573&gt;=1,R573&gt;=Inputs!$B$10),(D573-U573-T573*E573-S573*F573)/V573,"")</f>
        <v>-0.912106173213928</v>
      </c>
      <c r="X573" s="30" t="n">
        <f aca="false">IF(AB572&lt;&gt;0,AC572+1,0)</f>
        <v>8</v>
      </c>
      <c r="Y573" s="30" t="n">
        <f aca="false">IF(W573="",0,IF(AND(AB572&lt;&gt;0,OR(ABS(W573)&gt;Inputs!$B$7,X573&gt;=Inputs!$B$8,ABS(W573)&lt;Inputs!$B$6)),1,0))</f>
        <v>0</v>
      </c>
      <c r="Z573" s="30" t="n">
        <f aca="false">IF(Y573=1,0,AB572)</f>
        <v>1</v>
      </c>
      <c r="AA573" s="30" t="n">
        <f aca="false">IF(W573="",0,IF(AND(Z573=0,ABS(W573)&gt;Inputs!$B$5,ABS(W573)&lt;=Inputs!$B$7),1,0))</f>
        <v>0</v>
      </c>
      <c r="AB573" s="30" t="n">
        <f aca="false">IF(W573="",0,IF(AA573=1,-SIGN(W573),Z573))</f>
        <v>1</v>
      </c>
      <c r="AC573" s="30" t="n">
        <f aca="false">IF(W573="",0,IF(AA573=1,0,IF(Y573=1,0,X573)))</f>
        <v>8</v>
      </c>
      <c r="AD573" s="29" t="n">
        <f aca="false">IF(AB573=0,0,IF(AB572=AB573,AD572,T573))</f>
        <v>1.00551411614156</v>
      </c>
      <c r="AE573" s="30" t="n">
        <f aca="false">AB573-AB572</f>
        <v>0</v>
      </c>
      <c r="AF573" s="30" t="n">
        <f aca="false">-AD573*AB573</f>
        <v>-1.00551411614156</v>
      </c>
      <c r="AG573" s="30" t="n">
        <f aca="false">AF573-AF572</f>
        <v>0</v>
      </c>
      <c r="AH573" s="30" t="n">
        <f aca="false">MAX(AE573,0)*(Inputs!$B$17+Inputs!$B$18+Inputs!$B$19)+MAX(-AE573,0)*(O573+Inputs!$B$18+Inputs!$B$19)+IF(AND(K573=1,AB573&lt;&gt;0),(Inputs!$B$17+Inputs!$B$18+Inputs!$B$19)+(O573+Inputs!$B$18+Inputs!$B$19),0)+MAX(AG573,0)*(Inputs!$B$20+Inputs!$B$22+Inputs!$B$23)+MAX(-AG573,0)*(Inputs!$B$21+Inputs!$B$22+Inputs!$B$23)</f>
        <v>0</v>
      </c>
      <c r="AI573" s="30" t="n">
        <f aca="false">AB572*(M573-AD572*J573)+AB572*AD572*N573/Inputs!$B$16-AH573</f>
        <v>0.00213323181583299</v>
      </c>
      <c r="AJ573" s="30" t="n">
        <f aca="false">MAX(AE573,0)*(Inputs!$B$17+Inputs!$B$24+Inputs!$B$25)+MAX(-AE573,0)*(O573+Inputs!$B$24+Inputs!$B$25)+IF(AND(K573=1,AB573&lt;&gt;0),(Inputs!$B$17+Inputs!$B$24+Inputs!$B$25)+(O573+Inputs!$B$24+Inputs!$B$25),0)+MAX(AG573,0)*(Inputs!$B$20+Inputs!$B$26+Inputs!$B$27)+MAX(-AG573,0)*(Inputs!$B$21+Inputs!$B$26+Inputs!$B$27)</f>
        <v>0</v>
      </c>
      <c r="AK573" s="30" t="n">
        <f aca="false">AB572*(M573-AD572*J573)+AB572*AD572*(N573+Inputs!$B$14)/Inputs!$B$16-AJ573</f>
        <v>0.00216315783119435</v>
      </c>
      <c r="AL573" s="30" t="n">
        <f aca="false">IF(AP572&lt;&gt;0,AQ572+1,0)</f>
        <v>0</v>
      </c>
      <c r="AM573" s="30" t="n">
        <f aca="false">IF(W573="",0,IF(AND(AP572&lt;&gt;0,OR(ABS(W573)&gt;Inputs!$B$7,AL573&gt;=Inputs!$B$8,ABS(W573)&lt;Inputs!$B$6)),1,0))</f>
        <v>0</v>
      </c>
      <c r="AN573" s="30" t="n">
        <f aca="false">IF(AM573=1,0,AP572)</f>
        <v>0</v>
      </c>
      <c r="AO573" s="30" t="n">
        <f aca="false">IF(W573="",0,IF(AND(AN573=0,ABS(W573)&gt;Inputs!$B$5,ABS(W573)&lt;=Inputs!$B$7,W573&gt;0),1,0))</f>
        <v>0</v>
      </c>
      <c r="AP573" s="30" t="n">
        <f aca="false">IF(W573="",0,IF(AO573=1,-SIGN(W573),AN573))</f>
        <v>0</v>
      </c>
      <c r="AQ573" s="30" t="n">
        <f aca="false">IF(W573="",0,IF(AO573=1,0,IF(AM573=1,0,AL573)))</f>
        <v>0</v>
      </c>
      <c r="AR573" s="30" t="n">
        <f aca="false">IF(AP573=0,0,IF(AP572=AP573,AR572,T573))</f>
        <v>0</v>
      </c>
      <c r="AS573" s="30" t="n">
        <f aca="false">AP573-AP572</f>
        <v>0</v>
      </c>
      <c r="AT573" s="30" t="n">
        <f aca="false">-AR573*AP573</f>
        <v>-0</v>
      </c>
      <c r="AU573" s="30" t="n">
        <f aca="false">AT573-AT572</f>
        <v>0</v>
      </c>
      <c r="AV573" s="30" t="n">
        <f aca="false">MAX(AS573,0)*(Inputs!$B$17+Inputs!$B$18+Inputs!$B$19)+MAX(-AS573,0)*(O573+Inputs!$B$18+Inputs!$B$19)+IF(AND(K573=1,AP573&lt;&gt;0),(Inputs!$B$17+Inputs!$B$18+Inputs!$B$19)+(O573+Inputs!$B$18+Inputs!$B$19),0)+MAX(AU573,0)*(Inputs!$B$20+Inputs!$B$22+Inputs!$B$23)+MAX(-AU573,0)*(Inputs!$B$21+Inputs!$B$22+Inputs!$B$23)</f>
        <v>0</v>
      </c>
      <c r="AW573" s="30" t="n">
        <f aca="false">AP572*(M573-AR572*J573)+AP572*AR572*N573/Inputs!$B$16-AV573</f>
        <v>0</v>
      </c>
      <c r="AX573" s="30" t="n">
        <f aca="false">AW573-IF(AP572&lt;&gt;0,0.75*AR572*(Inputs!$B$13-N573)/Inputs!$B$16,0)</f>
        <v>0</v>
      </c>
      <c r="AY573" s="30" t="n">
        <f aca="false">MAX(AS573,0)*(Inputs!$B$17+Inputs!$B$18+Inputs!$B$19)+MAX(-AS573,0)*(O573+Inputs!$B$18+Inputs!$B$19)+IF(AND(K573=1,AP573&lt;&gt;0),(Inputs!$B$17+Inputs!$B$18+Inputs!$B$19)+(O573+Inputs!$B$18+Inputs!$B$19),0)</f>
        <v>0</v>
      </c>
      <c r="AZ573" s="30" t="n">
        <f aca="false">AP572*M573-AY573</f>
        <v>0</v>
      </c>
      <c r="BA573" s="32" t="n">
        <f aca="false">BA572+AI573</f>
        <v>0.0108065678336457</v>
      </c>
      <c r="BB573" s="30" t="n">
        <f aca="false">MAX(BB572,BA573)</f>
        <v>0.0108065678336457</v>
      </c>
      <c r="BC573" s="32" t="n">
        <f aca="false">BA573-BB573</f>
        <v>0</v>
      </c>
      <c r="BD573" s="30" t="n">
        <f aca="false">A574-A573</f>
        <v>1</v>
      </c>
    </row>
    <row r="574" customFormat="false" ht="15" hidden="false" customHeight="false" outlineLevel="0" collapsed="false">
      <c r="A574" s="28" t="n">
        <v>45883</v>
      </c>
      <c r="B574" s="0" t="n">
        <v>24671</v>
      </c>
      <c r="C574" s="0" t="n">
        <v>278.21</v>
      </c>
      <c r="D574" s="29" t="n">
        <f aca="false">LN(B574)</f>
        <v>10.1133837437647</v>
      </c>
      <c r="E574" s="29" t="n">
        <f aca="false">LN(C574)</f>
        <v>5.62837622420637</v>
      </c>
      <c r="F574" s="0" t="n">
        <v>569</v>
      </c>
      <c r="G574" s="0" t="n">
        <v>14</v>
      </c>
      <c r="H574" s="29" t="n">
        <f aca="false">D574-E574</f>
        <v>4.48500751955834</v>
      </c>
      <c r="I574" s="29" t="n">
        <f aca="false">D574-D573</f>
        <v>-0.00176974352517867</v>
      </c>
      <c r="J574" s="29" t="n">
        <f aca="false">E574-E573</f>
        <v>0.000755110515735069</v>
      </c>
      <c r="K574" s="0" t="n">
        <v>0</v>
      </c>
      <c r="L574" s="0" t="n">
        <v>0</v>
      </c>
      <c r="M574" s="29" t="n">
        <f aca="false">IF(L574=1,J574-Carry!$B$9/Inputs!$B$16,I574)</f>
        <v>-0.00176974352517867</v>
      </c>
      <c r="N574" s="0" t="n">
        <v>0.055</v>
      </c>
      <c r="O574" s="0" t="n">
        <v>0.0002</v>
      </c>
      <c r="P574" s="29" t="n">
        <f aca="false">D574-('2 Hedge ratio'!$B$6+'2 Hedge ratio'!$B$5*E574)</f>
        <v>-0.00474240768696177</v>
      </c>
      <c r="Q574" s="29" t="n">
        <f aca="false">D574-('5 Re-specification'!$B$7+'5 Re-specification'!$B$5*E574+'5 Re-specification'!$B$6*F574)</f>
        <v>-0.00357192512577242</v>
      </c>
      <c r="R574" s="30" t="n">
        <f aca="false">MIN(F574,Inputs!$B$9)</f>
        <v>250</v>
      </c>
      <c r="S574" s="29" t="n">
        <f aca="true">IF(AND(F574&gt;=1,R574&gt;=Inputs!$B$10),INDEX(LINEST(OFFSET(D574,-R574,0,R574,1),OFFSET(E574,-R574,0,R574,2)),1,1),"")</f>
        <v>-3.60102920811958E-005</v>
      </c>
      <c r="T574" s="29" t="n">
        <f aca="true">IF(AND(F574&gt;=1,R574&gt;=Inputs!$B$10),INDEX(LINEST(OFFSET(D574,-R574,0,R574,1),OFFSET(E574,-R574,0,R574,2)),1,2),"")</f>
        <v>0.998099504651705</v>
      </c>
      <c r="U574" s="29" t="n">
        <f aca="true">IF(AND(F574&gt;=1,R574&gt;=Inputs!$B$10),INDEX(LINEST(OFFSET(D574,-R574,0,R574,1),OFFSET(E574,-R574,0,R574,2)),1,3),"")</f>
        <v>4.52090527162403</v>
      </c>
      <c r="V574" s="29" t="n">
        <f aca="true">IF(AND(F574&gt;=1,R574&gt;=Inputs!$B$10),SQRT(SUMPRODUCT((OFFSET(D574,-R574,0,R574,1)-U574-T574*OFFSET(E574,-R574,0,R574,1)-S574*OFFSET(F574,-R574,0,R574,1))^2)/(R574-3)),"")</f>
        <v>0.00249990153683631</v>
      </c>
      <c r="W574" s="31" t="n">
        <f aca="false">IF(AND(F574&gt;=1,R574&gt;=Inputs!$B$10),(D574-U574-T574*E574-S574*F574)/V574,"")</f>
        <v>-1.88455143913184</v>
      </c>
      <c r="X574" s="30" t="n">
        <f aca="false">IF(AB573&lt;&gt;0,AC573+1,0)</f>
        <v>9</v>
      </c>
      <c r="Y574" s="30" t="n">
        <f aca="false">IF(W574="",0,IF(AND(AB573&lt;&gt;0,OR(ABS(W574)&gt;Inputs!$B$7,X574&gt;=Inputs!$B$8,ABS(W574)&lt;Inputs!$B$6)),1,0))</f>
        <v>0</v>
      </c>
      <c r="Z574" s="30" t="n">
        <f aca="false">IF(Y574=1,0,AB573)</f>
        <v>1</v>
      </c>
      <c r="AA574" s="30" t="n">
        <f aca="false">IF(W574="",0,IF(AND(Z574=0,ABS(W574)&gt;Inputs!$B$5,ABS(W574)&lt;=Inputs!$B$7),1,0))</f>
        <v>0</v>
      </c>
      <c r="AB574" s="30" t="n">
        <f aca="false">IF(W574="",0,IF(AA574=1,-SIGN(W574),Z574))</f>
        <v>1</v>
      </c>
      <c r="AC574" s="30" t="n">
        <f aca="false">IF(W574="",0,IF(AA574=1,0,IF(Y574=1,0,X574)))</f>
        <v>9</v>
      </c>
      <c r="AD574" s="29" t="n">
        <f aca="false">IF(AB574=0,0,IF(AB573=AB574,AD573,T574))</f>
        <v>1.00551411614156</v>
      </c>
      <c r="AE574" s="30" t="n">
        <f aca="false">AB574-AB573</f>
        <v>0</v>
      </c>
      <c r="AF574" s="30" t="n">
        <f aca="false">-AD574*AB574</f>
        <v>-1.00551411614156</v>
      </c>
      <c r="AG574" s="30" t="n">
        <f aca="false">AF574-AF573</f>
        <v>0</v>
      </c>
      <c r="AH574" s="30" t="n">
        <f aca="false">MAX(AE574,0)*(Inputs!$B$17+Inputs!$B$18+Inputs!$B$19)+MAX(-AE574,0)*(O574+Inputs!$B$18+Inputs!$B$19)+IF(AND(K574=1,AB574&lt;&gt;0),(Inputs!$B$17+Inputs!$B$18+Inputs!$B$19)+(O574+Inputs!$B$18+Inputs!$B$19),0)+MAX(AG574,0)*(Inputs!$B$20+Inputs!$B$22+Inputs!$B$23)+MAX(-AG574,0)*(Inputs!$B$21+Inputs!$B$22+Inputs!$B$23)</f>
        <v>0</v>
      </c>
      <c r="AI574" s="30" t="n">
        <f aca="false">AB573*(M574-AD573*J574)+AB573*AD573*N574/Inputs!$B$16-AH574</f>
        <v>-0.00230956036201394</v>
      </c>
      <c r="AJ574" s="30" t="n">
        <f aca="false">MAX(AE574,0)*(Inputs!$B$17+Inputs!$B$24+Inputs!$B$25)+MAX(-AE574,0)*(O574+Inputs!$B$24+Inputs!$B$25)+IF(AND(K574=1,AB574&lt;&gt;0),(Inputs!$B$17+Inputs!$B$24+Inputs!$B$25)+(O574+Inputs!$B$24+Inputs!$B$25),0)+MAX(AG574,0)*(Inputs!$B$20+Inputs!$B$26+Inputs!$B$27)+MAX(-AG574,0)*(Inputs!$B$21+Inputs!$B$26+Inputs!$B$27)</f>
        <v>0</v>
      </c>
      <c r="AK574" s="30" t="n">
        <f aca="false">AB573*(M574-AD573*J574)+AB573*AD573*(N574+Inputs!$B$14)/Inputs!$B$16-AJ574</f>
        <v>-0.00227963434665258</v>
      </c>
      <c r="AL574" s="30" t="n">
        <f aca="false">IF(AP573&lt;&gt;0,AQ573+1,0)</f>
        <v>0</v>
      </c>
      <c r="AM574" s="30" t="n">
        <f aca="false">IF(W574="",0,IF(AND(AP573&lt;&gt;0,OR(ABS(W574)&gt;Inputs!$B$7,AL574&gt;=Inputs!$B$8,ABS(W574)&lt;Inputs!$B$6)),1,0))</f>
        <v>0</v>
      </c>
      <c r="AN574" s="30" t="n">
        <f aca="false">IF(AM574=1,0,AP573)</f>
        <v>0</v>
      </c>
      <c r="AO574" s="30" t="n">
        <f aca="false">IF(W574="",0,IF(AND(AN574=0,ABS(W574)&gt;Inputs!$B$5,ABS(W574)&lt;=Inputs!$B$7,W574&gt;0),1,0))</f>
        <v>0</v>
      </c>
      <c r="AP574" s="30" t="n">
        <f aca="false">IF(W574="",0,IF(AO574=1,-SIGN(W574),AN574))</f>
        <v>0</v>
      </c>
      <c r="AQ574" s="30" t="n">
        <f aca="false">IF(W574="",0,IF(AO574=1,0,IF(AM574=1,0,AL574)))</f>
        <v>0</v>
      </c>
      <c r="AR574" s="30" t="n">
        <f aca="false">IF(AP574=0,0,IF(AP573=AP574,AR573,T574))</f>
        <v>0</v>
      </c>
      <c r="AS574" s="30" t="n">
        <f aca="false">AP574-AP573</f>
        <v>0</v>
      </c>
      <c r="AT574" s="30" t="n">
        <f aca="false">-AR574*AP574</f>
        <v>-0</v>
      </c>
      <c r="AU574" s="30" t="n">
        <f aca="false">AT574-AT573</f>
        <v>0</v>
      </c>
      <c r="AV574" s="30" t="n">
        <f aca="false">MAX(AS574,0)*(Inputs!$B$17+Inputs!$B$18+Inputs!$B$19)+MAX(-AS574,0)*(O574+Inputs!$B$18+Inputs!$B$19)+IF(AND(K574=1,AP574&lt;&gt;0),(Inputs!$B$17+Inputs!$B$18+Inputs!$B$19)+(O574+Inputs!$B$18+Inputs!$B$19),0)+MAX(AU574,0)*(Inputs!$B$20+Inputs!$B$22+Inputs!$B$23)+MAX(-AU574,0)*(Inputs!$B$21+Inputs!$B$22+Inputs!$B$23)</f>
        <v>0</v>
      </c>
      <c r="AW574" s="30" t="n">
        <f aca="false">AP573*(M574-AR573*J574)+AP573*AR573*N574/Inputs!$B$16-AV574</f>
        <v>0</v>
      </c>
      <c r="AX574" s="30" t="n">
        <f aca="false">AW574-IF(AP573&lt;&gt;0,0.75*AR573*(Inputs!$B$13-N574)/Inputs!$B$16,0)</f>
        <v>0</v>
      </c>
      <c r="AY574" s="30" t="n">
        <f aca="false">MAX(AS574,0)*(Inputs!$B$17+Inputs!$B$18+Inputs!$B$19)+MAX(-AS574,0)*(O574+Inputs!$B$18+Inputs!$B$19)+IF(AND(K574=1,AP574&lt;&gt;0),(Inputs!$B$17+Inputs!$B$18+Inputs!$B$19)+(O574+Inputs!$B$18+Inputs!$B$19),0)</f>
        <v>0</v>
      </c>
      <c r="AZ574" s="30" t="n">
        <f aca="false">AP573*M574-AY574</f>
        <v>-0</v>
      </c>
      <c r="BA574" s="32" t="n">
        <f aca="false">BA573+AI574</f>
        <v>0.00849700747163173</v>
      </c>
      <c r="BB574" s="30" t="n">
        <f aca="false">MAX(BB573,BA574)</f>
        <v>0.0108065678336457</v>
      </c>
      <c r="BC574" s="32" t="n">
        <f aca="false">BA574-BB574</f>
        <v>-0.00230956036201394</v>
      </c>
      <c r="BD574" s="30" t="n">
        <f aca="false">A575-A574</f>
        <v>4</v>
      </c>
    </row>
    <row r="575" customFormat="false" ht="15" hidden="false" customHeight="false" outlineLevel="0" collapsed="false">
      <c r="A575" s="28" t="n">
        <v>45887</v>
      </c>
      <c r="B575" s="0" t="n">
        <v>24973.1</v>
      </c>
      <c r="C575" s="0" t="n">
        <v>281.12</v>
      </c>
      <c r="D575" s="29" t="n">
        <f aca="false">LN(B575)</f>
        <v>10.1255545245467</v>
      </c>
      <c r="E575" s="29" t="n">
        <f aca="false">LN(C575)</f>
        <v>5.63878162443879</v>
      </c>
      <c r="F575" s="0" t="n">
        <v>570</v>
      </c>
      <c r="G575" s="0" t="n">
        <v>10</v>
      </c>
      <c r="H575" s="29" t="n">
        <f aca="false">D575-E575</f>
        <v>4.48677290010796</v>
      </c>
      <c r="I575" s="29" t="n">
        <f aca="false">D575-D574</f>
        <v>0.0121707807820393</v>
      </c>
      <c r="J575" s="29" t="n">
        <f aca="false">E575-E574</f>
        <v>0.0104054002324148</v>
      </c>
      <c r="K575" s="0" t="n">
        <v>0</v>
      </c>
      <c r="L575" s="0" t="n">
        <v>0</v>
      </c>
      <c r="M575" s="29" t="n">
        <f aca="false">IF(L575=1,J575-Carry!$B$9/Inputs!$B$16,I575)</f>
        <v>0.0121707807820393</v>
      </c>
      <c r="N575" s="0" t="n">
        <v>0.055</v>
      </c>
      <c r="O575" s="0" t="n">
        <v>0.0002</v>
      </c>
      <c r="P575" s="29" t="n">
        <f aca="false">D575-('2 Hedge ratio'!$B$6+'2 Hedge ratio'!$B$5*E575)</f>
        <v>-0.00210429249850819</v>
      </c>
      <c r="Q575" s="29" t="n">
        <f aca="false">D575-('5 Re-specification'!$B$7+'5 Re-specification'!$B$5*E575+'5 Re-specification'!$B$6*F575)</f>
        <v>-0.0017300816924255</v>
      </c>
      <c r="R575" s="30" t="n">
        <f aca="false">MIN(F575,Inputs!$B$9)</f>
        <v>250</v>
      </c>
      <c r="S575" s="29" t="n">
        <f aca="true">IF(AND(F575&gt;=1,R575&gt;=Inputs!$B$10),INDEX(LINEST(OFFSET(D575,-R575,0,R575,1),OFFSET(E575,-R575,0,R575,2)),1,1),"")</f>
        <v>-3.68479742224903E-005</v>
      </c>
      <c r="T575" s="29" t="n">
        <f aca="true">IF(AND(F575&gt;=1,R575&gt;=Inputs!$B$10),INDEX(LINEST(OFFSET(D575,-R575,0,R575,1),OFFSET(E575,-R575,0,R575,2)),1,2),"")</f>
        <v>0.997776548356812</v>
      </c>
      <c r="U575" s="29" t="n">
        <f aca="true">IF(AND(F575&gt;=1,R575&gt;=Inputs!$B$10),INDEX(LINEST(OFFSET(D575,-R575,0,R575,1),OFFSET(E575,-R575,0,R575,2)),1,3),"")</f>
        <v>4.52308506991117</v>
      </c>
      <c r="V575" s="29" t="n">
        <f aca="true">IF(AND(F575&gt;=1,R575&gt;=Inputs!$B$10),SQRT(SUMPRODUCT((OFFSET(D575,-R575,0,R575,1)-U575-T575*OFFSET(E575,-R575,0,R575,1)-S575*OFFSET(F575,-R575,0,R575,1))^2)/(R575-3)),"")</f>
        <v>0.00250354396404333</v>
      </c>
      <c r="W575" s="31" t="n">
        <f aca="false">IF(AND(F575&gt;=1,R575&gt;=Inputs!$B$10),(D575-U575-T575*E575-S575*F575)/V575,"")</f>
        <v>-1.10693731276701</v>
      </c>
      <c r="X575" s="30" t="n">
        <f aca="false">IF(AB574&lt;&gt;0,AC574+1,0)</f>
        <v>10</v>
      </c>
      <c r="Y575" s="30" t="n">
        <f aca="false">IF(W575="",0,IF(AND(AB574&lt;&gt;0,OR(ABS(W575)&gt;Inputs!$B$7,X575&gt;=Inputs!$B$8,ABS(W575)&lt;Inputs!$B$6)),1,0))</f>
        <v>1</v>
      </c>
      <c r="Z575" s="30" t="n">
        <f aca="false">IF(Y575=1,0,AB574)</f>
        <v>0</v>
      </c>
      <c r="AA575" s="30" t="n">
        <f aca="false">IF(W575="",0,IF(AND(Z575=0,ABS(W575)&gt;Inputs!$B$5,ABS(W575)&lt;=Inputs!$B$7),1,0))</f>
        <v>0</v>
      </c>
      <c r="AB575" s="30" t="n">
        <f aca="false">IF(W575="",0,IF(AA575=1,-SIGN(W575),Z575))</f>
        <v>0</v>
      </c>
      <c r="AC575" s="30" t="n">
        <f aca="false">IF(W575="",0,IF(AA575=1,0,IF(Y575=1,0,X575)))</f>
        <v>0</v>
      </c>
      <c r="AD575" s="30" t="n">
        <f aca="false">IF(AB575=0,0,IF(AB574=AB575,AD574,T575))</f>
        <v>0</v>
      </c>
      <c r="AE575" s="30" t="n">
        <f aca="false">AB575-AB574</f>
        <v>-1</v>
      </c>
      <c r="AF575" s="30" t="n">
        <f aca="false">-AD575*AB575</f>
        <v>-0</v>
      </c>
      <c r="AG575" s="30" t="n">
        <f aca="false">AF575-AF574</f>
        <v>1.00551411614156</v>
      </c>
      <c r="AH575" s="30" t="n">
        <f aca="false">MAX(AE575,0)*(Inputs!$B$17+Inputs!$B$18+Inputs!$B$19)+MAX(-AE575,0)*(O575+Inputs!$B$18+Inputs!$B$19)+IF(AND(K575=1,AB575&lt;&gt;0),(Inputs!$B$17+Inputs!$B$18+Inputs!$B$19)+(O575+Inputs!$B$18+Inputs!$B$19),0)+MAX(AG575,0)*(Inputs!$B$20+Inputs!$B$22+Inputs!$B$23)+MAX(-AG575,0)*(Inputs!$B$21+Inputs!$B$22+Inputs!$B$23)</f>
        <v>0.000686929940649546</v>
      </c>
      <c r="AI575" s="30" t="n">
        <f aca="false">AB574*(M575-AD574*J575)+AB574*AD574*N575/Inputs!$B$16-AH575</f>
        <v>0.00124053146957727</v>
      </c>
      <c r="AJ575" s="30" t="n">
        <f aca="false">MAX(AE575,0)*(Inputs!$B$17+Inputs!$B$24+Inputs!$B$25)+MAX(-AE575,0)*(O575+Inputs!$B$24+Inputs!$B$25)+IF(AND(K575=1,AB575&lt;&gt;0),(Inputs!$B$17+Inputs!$B$24+Inputs!$B$25)+(O575+Inputs!$B$24+Inputs!$B$25),0)+MAX(AG575,0)*(Inputs!$B$20+Inputs!$B$26+Inputs!$B$27)+MAX(-AG575,0)*(Inputs!$B$21+Inputs!$B$26+Inputs!$B$27)</f>
        <v>0.000526406099616098</v>
      </c>
      <c r="AK575" s="30" t="n">
        <f aca="false">AB574*(M575-AD574*J575)+AB574*AD574*(N575+Inputs!$B$14)/Inputs!$B$16-AJ575</f>
        <v>0.00143098132597207</v>
      </c>
      <c r="AL575" s="30" t="n">
        <f aca="false">IF(AP574&lt;&gt;0,AQ574+1,0)</f>
        <v>0</v>
      </c>
      <c r="AM575" s="30" t="n">
        <f aca="false">IF(W575="",0,IF(AND(AP574&lt;&gt;0,OR(ABS(W575)&gt;Inputs!$B$7,AL575&gt;=Inputs!$B$8,ABS(W575)&lt;Inputs!$B$6)),1,0))</f>
        <v>0</v>
      </c>
      <c r="AN575" s="30" t="n">
        <f aca="false">IF(AM575=1,0,AP574)</f>
        <v>0</v>
      </c>
      <c r="AO575" s="30" t="n">
        <f aca="false">IF(W575="",0,IF(AND(AN575=0,ABS(W575)&gt;Inputs!$B$5,ABS(W575)&lt;=Inputs!$B$7,W575&gt;0),1,0))</f>
        <v>0</v>
      </c>
      <c r="AP575" s="30" t="n">
        <f aca="false">IF(W575="",0,IF(AO575=1,-SIGN(W575),AN575))</f>
        <v>0</v>
      </c>
      <c r="AQ575" s="30" t="n">
        <f aca="false">IF(W575="",0,IF(AO575=1,0,IF(AM575=1,0,AL575)))</f>
        <v>0</v>
      </c>
      <c r="AR575" s="30" t="n">
        <f aca="false">IF(AP575=0,0,IF(AP574=AP575,AR574,T575))</f>
        <v>0</v>
      </c>
      <c r="AS575" s="30" t="n">
        <f aca="false">AP575-AP574</f>
        <v>0</v>
      </c>
      <c r="AT575" s="30" t="n">
        <f aca="false">-AR575*AP575</f>
        <v>-0</v>
      </c>
      <c r="AU575" s="30" t="n">
        <f aca="false">AT575-AT574</f>
        <v>0</v>
      </c>
      <c r="AV575" s="30" t="n">
        <f aca="false">MAX(AS575,0)*(Inputs!$B$17+Inputs!$B$18+Inputs!$B$19)+MAX(-AS575,0)*(O575+Inputs!$B$18+Inputs!$B$19)+IF(AND(K575=1,AP575&lt;&gt;0),(Inputs!$B$17+Inputs!$B$18+Inputs!$B$19)+(O575+Inputs!$B$18+Inputs!$B$19),0)+MAX(AU575,0)*(Inputs!$B$20+Inputs!$B$22+Inputs!$B$23)+MAX(-AU575,0)*(Inputs!$B$21+Inputs!$B$22+Inputs!$B$23)</f>
        <v>0</v>
      </c>
      <c r="AW575" s="30" t="n">
        <f aca="false">AP574*(M575-AR574*J575)+AP574*AR574*N575/Inputs!$B$16-AV575</f>
        <v>0</v>
      </c>
      <c r="AX575" s="30" t="n">
        <f aca="false">AW575-IF(AP574&lt;&gt;0,0.75*AR574*(Inputs!$B$13-N575)/Inputs!$B$16,0)</f>
        <v>0</v>
      </c>
      <c r="AY575" s="30" t="n">
        <f aca="false">MAX(AS575,0)*(Inputs!$B$17+Inputs!$B$18+Inputs!$B$19)+MAX(-AS575,0)*(O575+Inputs!$B$18+Inputs!$B$19)+IF(AND(K575=1,AP575&lt;&gt;0),(Inputs!$B$17+Inputs!$B$18+Inputs!$B$19)+(O575+Inputs!$B$18+Inputs!$B$19),0)</f>
        <v>0</v>
      </c>
      <c r="AZ575" s="30" t="n">
        <f aca="false">AP574*M575-AY575</f>
        <v>0</v>
      </c>
      <c r="BA575" s="32" t="n">
        <f aca="false">BA574+AI575</f>
        <v>0.009737538941209</v>
      </c>
      <c r="BB575" s="30" t="n">
        <f aca="false">MAX(BB574,BA575)</f>
        <v>0.0108065678336457</v>
      </c>
      <c r="BC575" s="32" t="n">
        <f aca="false">BA575-BB575</f>
        <v>-0.00106902889243667</v>
      </c>
      <c r="BD575" s="30" t="n">
        <f aca="false">A576-A575</f>
        <v>1</v>
      </c>
    </row>
    <row r="576" customFormat="false" ht="15" hidden="false" customHeight="false" outlineLevel="0" collapsed="false">
      <c r="A576" s="28" t="n">
        <v>45888</v>
      </c>
      <c r="B576" s="0" t="n">
        <v>25036</v>
      </c>
      <c r="C576" s="0" t="n">
        <v>282.09</v>
      </c>
      <c r="D576" s="29" t="n">
        <f aca="false">LN(B576)</f>
        <v>10.1280700680446</v>
      </c>
      <c r="E576" s="29" t="n">
        <f aca="false">LN(C576)</f>
        <v>5.6422261689571</v>
      </c>
      <c r="F576" s="0" t="n">
        <v>571</v>
      </c>
      <c r="G576" s="0" t="n">
        <v>9</v>
      </c>
      <c r="H576" s="29" t="n">
        <f aca="false">D576-E576</f>
        <v>4.4858438990875</v>
      </c>
      <c r="I576" s="29" t="n">
        <f aca="false">D576-D575</f>
        <v>0.00251554349784477</v>
      </c>
      <c r="J576" s="29" t="n">
        <f aca="false">E576-E575</f>
        <v>0.00344454451830867</v>
      </c>
      <c r="K576" s="0" t="n">
        <v>0</v>
      </c>
      <c r="L576" s="0" t="n">
        <v>0</v>
      </c>
      <c r="M576" s="29" t="n">
        <f aca="false">IF(L576=1,J576-Carry!$B$9/Inputs!$B$16,I576)</f>
        <v>0.00251554349784477</v>
      </c>
      <c r="N576" s="0" t="n">
        <v>0.055</v>
      </c>
      <c r="O576" s="0" t="n">
        <v>0.0002</v>
      </c>
      <c r="P576" s="29" t="n">
        <f aca="false">D576-('2 Hedge ratio'!$B$6+'2 Hedge ratio'!$B$5*E576)</f>
        <v>-0.00274438840730262</v>
      </c>
      <c r="Q576" s="29" t="n">
        <f aca="false">D576-('5 Re-specification'!$B$7+'5 Re-specification'!$B$5*E576+'5 Re-specification'!$B$6*F576)</f>
        <v>-0.00260371470255727</v>
      </c>
      <c r="R576" s="30" t="n">
        <f aca="false">MIN(F576,Inputs!$B$9)</f>
        <v>250</v>
      </c>
      <c r="S576" s="29" t="n">
        <f aca="true">IF(AND(F576&gt;=1,R576&gt;=Inputs!$B$10),INDEX(LINEST(OFFSET(D576,-R576,0,R576,1),OFFSET(E576,-R576,0,R576,2)),1,1),"")</f>
        <v>-3.73371453289253E-005</v>
      </c>
      <c r="T576" s="29" t="n">
        <f aca="true">IF(AND(F576&gt;=1,R576&gt;=Inputs!$B$10),INDEX(LINEST(OFFSET(D576,-R576,0,R576,1),OFFSET(E576,-R576,0,R576,2)),1,2),"")</f>
        <v>0.997504535047423</v>
      </c>
      <c r="U576" s="29" t="n">
        <f aca="true">IF(AND(F576&gt;=1,R576&gt;=Inputs!$B$10),INDEX(LINEST(OFFSET(D576,-R576,0,R576,1),OFFSET(E576,-R576,0,R576,2)),1,3),"")</f>
        <v>4.52482596941985</v>
      </c>
      <c r="V576" s="29" t="n">
        <f aca="true">IF(AND(F576&gt;=1,R576&gt;=Inputs!$B$10),SQRT(SUMPRODUCT((OFFSET(D576,-R576,0,R576,1)-U576-T576*OFFSET(E576,-R576,0,R576,1)-S576*OFFSET(F576,-R576,0,R576,1))^2)/(R576-3)),"")</f>
        <v>0.00250483783788138</v>
      </c>
      <c r="W576" s="31" t="n">
        <f aca="false">IF(AND(F576&gt;=1,R576&gt;=Inputs!$B$10),(D576-U576-T576*E576-S576*F576)/V576,"")</f>
        <v>-1.43026531945871</v>
      </c>
      <c r="X576" s="30" t="n">
        <f aca="false">IF(AB575&lt;&gt;0,AC575+1,0)</f>
        <v>0</v>
      </c>
      <c r="Y576" s="30" t="n">
        <f aca="false">IF(W576="",0,IF(AND(AB575&lt;&gt;0,OR(ABS(W576)&gt;Inputs!$B$7,X576&gt;=Inputs!$B$8,ABS(W576)&lt;Inputs!$B$6)),1,0))</f>
        <v>0</v>
      </c>
      <c r="Z576" s="30" t="n">
        <f aca="false">IF(Y576=1,0,AB575)</f>
        <v>0</v>
      </c>
      <c r="AA576" s="30" t="n">
        <f aca="false">IF(W576="",0,IF(AND(Z576=0,ABS(W576)&gt;Inputs!$B$5,ABS(W576)&lt;=Inputs!$B$7),1,0))</f>
        <v>0</v>
      </c>
      <c r="AB576" s="30" t="n">
        <f aca="false">IF(W576="",0,IF(AA576=1,-SIGN(W576),Z576))</f>
        <v>0</v>
      </c>
      <c r="AC576" s="30" t="n">
        <f aca="false">IF(W576="",0,IF(AA576=1,0,IF(Y576=1,0,X576)))</f>
        <v>0</v>
      </c>
      <c r="AD576" s="30" t="n">
        <f aca="false">IF(AB576=0,0,IF(AB575=AB576,AD575,T576))</f>
        <v>0</v>
      </c>
      <c r="AE576" s="30" t="n">
        <f aca="false">AB576-AB575</f>
        <v>0</v>
      </c>
      <c r="AF576" s="30" t="n">
        <f aca="false">-AD576*AB576</f>
        <v>-0</v>
      </c>
      <c r="AG576" s="30" t="n">
        <f aca="false">AF576-AF575</f>
        <v>0</v>
      </c>
      <c r="AH576" s="30" t="n">
        <f aca="false">MAX(AE576,0)*(Inputs!$B$17+Inputs!$B$18+Inputs!$B$19)+MAX(-AE576,0)*(O576+Inputs!$B$18+Inputs!$B$19)+IF(AND(K576=1,AB576&lt;&gt;0),(Inputs!$B$17+Inputs!$B$18+Inputs!$B$19)+(O576+Inputs!$B$18+Inputs!$B$19),0)+MAX(AG576,0)*(Inputs!$B$20+Inputs!$B$22+Inputs!$B$23)+MAX(-AG576,0)*(Inputs!$B$21+Inputs!$B$22+Inputs!$B$23)</f>
        <v>0</v>
      </c>
      <c r="AI576" s="30" t="n">
        <f aca="false">AB575*(M576-AD575*J576)+AB575*AD575*N576/Inputs!$B$16-AH576</f>
        <v>0</v>
      </c>
      <c r="AJ576" s="30" t="n">
        <f aca="false">MAX(AE576,0)*(Inputs!$B$17+Inputs!$B$24+Inputs!$B$25)+MAX(-AE576,0)*(O576+Inputs!$B$24+Inputs!$B$25)+IF(AND(K576=1,AB576&lt;&gt;0),(Inputs!$B$17+Inputs!$B$24+Inputs!$B$25)+(O576+Inputs!$B$24+Inputs!$B$25),0)+MAX(AG576,0)*(Inputs!$B$20+Inputs!$B$26+Inputs!$B$27)+MAX(-AG576,0)*(Inputs!$B$21+Inputs!$B$26+Inputs!$B$27)</f>
        <v>0</v>
      </c>
      <c r="AK576" s="30" t="n">
        <f aca="false">AB575*(M576-AD575*J576)+AB575*AD575*(N576+Inputs!$B$14)/Inputs!$B$16-AJ576</f>
        <v>0</v>
      </c>
      <c r="AL576" s="30" t="n">
        <f aca="false">IF(AP575&lt;&gt;0,AQ575+1,0)</f>
        <v>0</v>
      </c>
      <c r="AM576" s="30" t="n">
        <f aca="false">IF(W576="",0,IF(AND(AP575&lt;&gt;0,OR(ABS(W576)&gt;Inputs!$B$7,AL576&gt;=Inputs!$B$8,ABS(W576)&lt;Inputs!$B$6)),1,0))</f>
        <v>0</v>
      </c>
      <c r="AN576" s="30" t="n">
        <f aca="false">IF(AM576=1,0,AP575)</f>
        <v>0</v>
      </c>
      <c r="AO576" s="30" t="n">
        <f aca="false">IF(W576="",0,IF(AND(AN576=0,ABS(W576)&gt;Inputs!$B$5,ABS(W576)&lt;=Inputs!$B$7,W576&gt;0),1,0))</f>
        <v>0</v>
      </c>
      <c r="AP576" s="30" t="n">
        <f aca="false">IF(W576="",0,IF(AO576=1,-SIGN(W576),AN576))</f>
        <v>0</v>
      </c>
      <c r="AQ576" s="30" t="n">
        <f aca="false">IF(W576="",0,IF(AO576=1,0,IF(AM576=1,0,AL576)))</f>
        <v>0</v>
      </c>
      <c r="AR576" s="30" t="n">
        <f aca="false">IF(AP576=0,0,IF(AP575=AP576,AR575,T576))</f>
        <v>0</v>
      </c>
      <c r="AS576" s="30" t="n">
        <f aca="false">AP576-AP575</f>
        <v>0</v>
      </c>
      <c r="AT576" s="30" t="n">
        <f aca="false">-AR576*AP576</f>
        <v>-0</v>
      </c>
      <c r="AU576" s="30" t="n">
        <f aca="false">AT576-AT575</f>
        <v>0</v>
      </c>
      <c r="AV576" s="30" t="n">
        <f aca="false">MAX(AS576,0)*(Inputs!$B$17+Inputs!$B$18+Inputs!$B$19)+MAX(-AS576,0)*(O576+Inputs!$B$18+Inputs!$B$19)+IF(AND(K576=1,AP576&lt;&gt;0),(Inputs!$B$17+Inputs!$B$18+Inputs!$B$19)+(O576+Inputs!$B$18+Inputs!$B$19),0)+MAX(AU576,0)*(Inputs!$B$20+Inputs!$B$22+Inputs!$B$23)+MAX(-AU576,0)*(Inputs!$B$21+Inputs!$B$22+Inputs!$B$23)</f>
        <v>0</v>
      </c>
      <c r="AW576" s="30" t="n">
        <f aca="false">AP575*(M576-AR575*J576)+AP575*AR575*N576/Inputs!$B$16-AV576</f>
        <v>0</v>
      </c>
      <c r="AX576" s="30" t="n">
        <f aca="false">AW576-IF(AP575&lt;&gt;0,0.75*AR575*(Inputs!$B$13-N576)/Inputs!$B$16,0)</f>
        <v>0</v>
      </c>
      <c r="AY576" s="30" t="n">
        <f aca="false">MAX(AS576,0)*(Inputs!$B$17+Inputs!$B$18+Inputs!$B$19)+MAX(-AS576,0)*(O576+Inputs!$B$18+Inputs!$B$19)+IF(AND(K576=1,AP576&lt;&gt;0),(Inputs!$B$17+Inputs!$B$18+Inputs!$B$19)+(O576+Inputs!$B$18+Inputs!$B$19),0)</f>
        <v>0</v>
      </c>
      <c r="AZ576" s="30" t="n">
        <f aca="false">AP575*M576-AY576</f>
        <v>0</v>
      </c>
      <c r="BA576" s="32" t="n">
        <f aca="false">BA575+AI576</f>
        <v>0.009737538941209</v>
      </c>
      <c r="BB576" s="30" t="n">
        <f aca="false">MAX(BB575,BA576)</f>
        <v>0.0108065678336457</v>
      </c>
      <c r="BC576" s="32" t="n">
        <f aca="false">BA576-BB576</f>
        <v>-0.00106902889243667</v>
      </c>
      <c r="BD576" s="30" t="n">
        <f aca="false">A577-A576</f>
        <v>1</v>
      </c>
    </row>
    <row r="577" customFormat="false" ht="15" hidden="false" customHeight="false" outlineLevel="0" collapsed="false">
      <c r="A577" s="28" t="n">
        <v>45889</v>
      </c>
      <c r="B577" s="0" t="n">
        <v>25075.2</v>
      </c>
      <c r="C577" s="0" t="n">
        <v>282.52</v>
      </c>
      <c r="D577" s="29" t="n">
        <f aca="false">LN(B577)</f>
        <v>10.1296345888701</v>
      </c>
      <c r="E577" s="29" t="n">
        <f aca="false">LN(C577)</f>
        <v>5.64374934454072</v>
      </c>
      <c r="F577" s="0" t="n">
        <v>572</v>
      </c>
      <c r="G577" s="0" t="n">
        <v>8</v>
      </c>
      <c r="H577" s="29" t="n">
        <f aca="false">D577-E577</f>
        <v>4.48588524432939</v>
      </c>
      <c r="I577" s="29" t="n">
        <f aca="false">D577-D576</f>
        <v>0.0015645208255215</v>
      </c>
      <c r="J577" s="29" t="n">
        <f aca="false">E577-E576</f>
        <v>0.00152317558362647</v>
      </c>
      <c r="K577" s="0" t="n">
        <v>0</v>
      </c>
      <c r="L577" s="0" t="n">
        <v>0</v>
      </c>
      <c r="M577" s="29" t="n">
        <f aca="false">IF(L577=1,J577-Carry!$B$9/Inputs!$B$16,I577)</f>
        <v>0.0015645208255215</v>
      </c>
      <c r="N577" s="0" t="n">
        <v>0.055</v>
      </c>
      <c r="O577" s="0" t="n">
        <v>0.0002</v>
      </c>
      <c r="P577" s="29" t="n">
        <f aca="false">D577-('2 Hedge ratio'!$B$6+'2 Hedge ratio'!$B$5*E577)</f>
        <v>-0.00257528949297381</v>
      </c>
      <c r="Q577" s="29" t="n">
        <f aca="false">D577-('5 Re-specification'!$B$7+'5 Re-specification'!$B$5*E577+'5 Re-specification'!$B$6*F577)</f>
        <v>-0.00251282415892895</v>
      </c>
      <c r="R577" s="30" t="n">
        <f aca="false">MIN(F577,Inputs!$B$9)</f>
        <v>250</v>
      </c>
      <c r="S577" s="29" t="n">
        <f aca="true">IF(AND(F577&gt;=1,R577&gt;=Inputs!$B$10),INDEX(LINEST(OFFSET(D577,-R577,0,R577,1),OFFSET(E577,-R577,0,R577,2)),1,1),"")</f>
        <v>-3.78199006335668E-005</v>
      </c>
      <c r="T577" s="29" t="n">
        <f aca="true">IF(AND(F577&gt;=1,R577&gt;=Inputs!$B$10),INDEX(LINEST(OFFSET(D577,-R577,0,R577,1),OFFSET(E577,-R577,0,R577,2)),1,2),"")</f>
        <v>0.997219885319639</v>
      </c>
      <c r="U577" s="29" t="n">
        <f aca="true">IF(AND(F577&gt;=1,R577&gt;=Inputs!$B$10),INDEX(LINEST(OFFSET(D577,-R577,0,R577,1),OFFSET(E577,-R577,0,R577,2)),1,3),"")</f>
        <v>4.52662868093662</v>
      </c>
      <c r="V577" s="29" t="n">
        <f aca="true">IF(AND(F577&gt;=1,R577&gt;=Inputs!$B$10),SQRT(SUMPRODUCT((OFFSET(D577,-R577,0,R577,1)-U577-T577*OFFSET(E577,-R577,0,R577,1)-S577*OFFSET(F577,-R577,0,R577,1))^2)/(R577-3)),"")</f>
        <v>0.00251299202444211</v>
      </c>
      <c r="W577" s="31" t="n">
        <f aca="false">IF(AND(F577&gt;=1,R577&gt;=Inputs!$B$10),(D577-U577-T577*E577-S577*F577)/V577,"")</f>
        <v>-1.3610003559582</v>
      </c>
      <c r="X577" s="30" t="n">
        <f aca="false">IF(AB576&lt;&gt;0,AC576+1,0)</f>
        <v>0</v>
      </c>
      <c r="Y577" s="30" t="n">
        <f aca="false">IF(W577="",0,IF(AND(AB576&lt;&gt;0,OR(ABS(W577)&gt;Inputs!$B$7,X577&gt;=Inputs!$B$8,ABS(W577)&lt;Inputs!$B$6)),1,0))</f>
        <v>0</v>
      </c>
      <c r="Z577" s="30" t="n">
        <f aca="false">IF(Y577=1,0,AB576)</f>
        <v>0</v>
      </c>
      <c r="AA577" s="30" t="n">
        <f aca="false">IF(W577="",0,IF(AND(Z577=0,ABS(W577)&gt;Inputs!$B$5,ABS(W577)&lt;=Inputs!$B$7),1,0))</f>
        <v>0</v>
      </c>
      <c r="AB577" s="30" t="n">
        <f aca="false">IF(W577="",0,IF(AA577=1,-SIGN(W577),Z577))</f>
        <v>0</v>
      </c>
      <c r="AC577" s="30" t="n">
        <f aca="false">IF(W577="",0,IF(AA577=1,0,IF(Y577=1,0,X577)))</f>
        <v>0</v>
      </c>
      <c r="AD577" s="30" t="n">
        <f aca="false">IF(AB577=0,0,IF(AB576=AB577,AD576,T577))</f>
        <v>0</v>
      </c>
      <c r="AE577" s="30" t="n">
        <f aca="false">AB577-AB576</f>
        <v>0</v>
      </c>
      <c r="AF577" s="30" t="n">
        <f aca="false">-AD577*AB577</f>
        <v>-0</v>
      </c>
      <c r="AG577" s="30" t="n">
        <f aca="false">AF577-AF576</f>
        <v>0</v>
      </c>
      <c r="AH577" s="30" t="n">
        <f aca="false">MAX(AE577,0)*(Inputs!$B$17+Inputs!$B$18+Inputs!$B$19)+MAX(-AE577,0)*(O577+Inputs!$B$18+Inputs!$B$19)+IF(AND(K577=1,AB577&lt;&gt;0),(Inputs!$B$17+Inputs!$B$18+Inputs!$B$19)+(O577+Inputs!$B$18+Inputs!$B$19),0)+MAX(AG577,0)*(Inputs!$B$20+Inputs!$B$22+Inputs!$B$23)+MAX(-AG577,0)*(Inputs!$B$21+Inputs!$B$22+Inputs!$B$23)</f>
        <v>0</v>
      </c>
      <c r="AI577" s="30" t="n">
        <f aca="false">AB576*(M577-AD576*J577)+AB576*AD576*N577/Inputs!$B$16-AH577</f>
        <v>0</v>
      </c>
      <c r="AJ577" s="30" t="n">
        <f aca="false">MAX(AE577,0)*(Inputs!$B$17+Inputs!$B$24+Inputs!$B$25)+MAX(-AE577,0)*(O577+Inputs!$B$24+Inputs!$B$25)+IF(AND(K577=1,AB577&lt;&gt;0),(Inputs!$B$17+Inputs!$B$24+Inputs!$B$25)+(O577+Inputs!$B$24+Inputs!$B$25),0)+MAX(AG577,0)*(Inputs!$B$20+Inputs!$B$26+Inputs!$B$27)+MAX(-AG577,0)*(Inputs!$B$21+Inputs!$B$26+Inputs!$B$27)</f>
        <v>0</v>
      </c>
      <c r="AK577" s="30" t="n">
        <f aca="false">AB576*(M577-AD576*J577)+AB576*AD576*(N577+Inputs!$B$14)/Inputs!$B$16-AJ577</f>
        <v>0</v>
      </c>
      <c r="AL577" s="30" t="n">
        <f aca="false">IF(AP576&lt;&gt;0,AQ576+1,0)</f>
        <v>0</v>
      </c>
      <c r="AM577" s="30" t="n">
        <f aca="false">IF(W577="",0,IF(AND(AP576&lt;&gt;0,OR(ABS(W577)&gt;Inputs!$B$7,AL577&gt;=Inputs!$B$8,ABS(W577)&lt;Inputs!$B$6)),1,0))</f>
        <v>0</v>
      </c>
      <c r="AN577" s="30" t="n">
        <f aca="false">IF(AM577=1,0,AP576)</f>
        <v>0</v>
      </c>
      <c r="AO577" s="30" t="n">
        <f aca="false">IF(W577="",0,IF(AND(AN577=0,ABS(W577)&gt;Inputs!$B$5,ABS(W577)&lt;=Inputs!$B$7,W577&gt;0),1,0))</f>
        <v>0</v>
      </c>
      <c r="AP577" s="30" t="n">
        <f aca="false">IF(W577="",0,IF(AO577=1,-SIGN(W577),AN577))</f>
        <v>0</v>
      </c>
      <c r="AQ577" s="30" t="n">
        <f aca="false">IF(W577="",0,IF(AO577=1,0,IF(AM577=1,0,AL577)))</f>
        <v>0</v>
      </c>
      <c r="AR577" s="30" t="n">
        <f aca="false">IF(AP577=0,0,IF(AP576=AP577,AR576,T577))</f>
        <v>0</v>
      </c>
      <c r="AS577" s="30" t="n">
        <f aca="false">AP577-AP576</f>
        <v>0</v>
      </c>
      <c r="AT577" s="30" t="n">
        <f aca="false">-AR577*AP577</f>
        <v>-0</v>
      </c>
      <c r="AU577" s="30" t="n">
        <f aca="false">AT577-AT576</f>
        <v>0</v>
      </c>
      <c r="AV577" s="30" t="n">
        <f aca="false">MAX(AS577,0)*(Inputs!$B$17+Inputs!$B$18+Inputs!$B$19)+MAX(-AS577,0)*(O577+Inputs!$B$18+Inputs!$B$19)+IF(AND(K577=1,AP577&lt;&gt;0),(Inputs!$B$17+Inputs!$B$18+Inputs!$B$19)+(O577+Inputs!$B$18+Inputs!$B$19),0)+MAX(AU577,0)*(Inputs!$B$20+Inputs!$B$22+Inputs!$B$23)+MAX(-AU577,0)*(Inputs!$B$21+Inputs!$B$22+Inputs!$B$23)</f>
        <v>0</v>
      </c>
      <c r="AW577" s="30" t="n">
        <f aca="false">AP576*(M577-AR576*J577)+AP576*AR576*N577/Inputs!$B$16-AV577</f>
        <v>0</v>
      </c>
      <c r="AX577" s="30" t="n">
        <f aca="false">AW577-IF(AP576&lt;&gt;0,0.75*AR576*(Inputs!$B$13-N577)/Inputs!$B$16,0)</f>
        <v>0</v>
      </c>
      <c r="AY577" s="30" t="n">
        <f aca="false">MAX(AS577,0)*(Inputs!$B$17+Inputs!$B$18+Inputs!$B$19)+MAX(-AS577,0)*(O577+Inputs!$B$18+Inputs!$B$19)+IF(AND(K577=1,AP577&lt;&gt;0),(Inputs!$B$17+Inputs!$B$18+Inputs!$B$19)+(O577+Inputs!$B$18+Inputs!$B$19),0)</f>
        <v>0</v>
      </c>
      <c r="AZ577" s="30" t="n">
        <f aca="false">AP576*M577-AY577</f>
        <v>0</v>
      </c>
      <c r="BA577" s="32" t="n">
        <f aca="false">BA576+AI577</f>
        <v>0.009737538941209</v>
      </c>
      <c r="BB577" s="30" t="n">
        <f aca="false">MAX(BB576,BA577)</f>
        <v>0.0108065678336457</v>
      </c>
      <c r="BC577" s="32" t="n">
        <f aca="false">BA577-BB577</f>
        <v>-0.00106902889243667</v>
      </c>
      <c r="BD577" s="30" t="n">
        <f aca="false">A578-A577</f>
        <v>1</v>
      </c>
    </row>
    <row r="578" customFormat="false" ht="15" hidden="false" customHeight="false" outlineLevel="0" collapsed="false">
      <c r="A578" s="28" t="n">
        <v>45890</v>
      </c>
      <c r="B578" s="0" t="n">
        <v>25112.4</v>
      </c>
      <c r="C578" s="0" t="n">
        <v>282.96</v>
      </c>
      <c r="D578" s="29" t="n">
        <f aca="false">LN(B578)</f>
        <v>10.1311170270346</v>
      </c>
      <c r="E578" s="29" t="n">
        <f aca="false">LN(C578)</f>
        <v>5.64530554489723</v>
      </c>
      <c r="F578" s="0" t="n">
        <v>573</v>
      </c>
      <c r="G578" s="0" t="n">
        <v>7</v>
      </c>
      <c r="H578" s="29" t="n">
        <f aca="false">D578-E578</f>
        <v>4.4858114821374</v>
      </c>
      <c r="I578" s="29" t="n">
        <f aca="false">D578-D577</f>
        <v>0.00148243816451199</v>
      </c>
      <c r="J578" s="29" t="n">
        <f aca="false">E578-E577</f>
        <v>0.00155620035650283</v>
      </c>
      <c r="K578" s="0" t="n">
        <v>0</v>
      </c>
      <c r="L578" s="0" t="n">
        <v>0</v>
      </c>
      <c r="M578" s="29" t="n">
        <f aca="false">IF(L578=1,J578-Carry!$B$9/Inputs!$B$16,I578)</f>
        <v>0.00148243816451199</v>
      </c>
      <c r="N578" s="0" t="n">
        <v>0.055</v>
      </c>
      <c r="O578" s="0" t="n">
        <v>0.0002</v>
      </c>
      <c r="P578" s="29" t="n">
        <f aca="false">D578-('2 Hedge ratio'!$B$6+'2 Hedge ratio'!$B$5*E578)</f>
        <v>-0.00251852811780218</v>
      </c>
      <c r="Q578" s="29" t="n">
        <f aca="false">D578-('5 Re-specification'!$B$7+'5 Re-specification'!$B$5*E578+'5 Re-specification'!$B$6*F578)</f>
        <v>-0.00253694096760704</v>
      </c>
      <c r="R578" s="30" t="n">
        <f aca="false">MIN(F578,Inputs!$B$9)</f>
        <v>250</v>
      </c>
      <c r="S578" s="29" t="n">
        <f aca="true">IF(AND(F578&gt;=1,R578&gt;=Inputs!$B$10),INDEX(LINEST(OFFSET(D578,-R578,0,R578,1),OFFSET(E578,-R578,0,R578,2)),1,1),"")</f>
        <v>-3.84965953142952E-005</v>
      </c>
      <c r="T578" s="29" t="n">
        <f aca="true">IF(AND(F578&gt;=1,R578&gt;=Inputs!$B$10),INDEX(LINEST(OFFSET(D578,-R578,0,R578,1),OFFSET(E578,-R578,0,R578,2)),1,2),"")</f>
        <v>0.997038677691195</v>
      </c>
      <c r="U578" s="29" t="n">
        <f aca="true">IF(AND(F578&gt;=1,R578&gt;=Inputs!$B$10),INDEX(LINEST(OFFSET(D578,-R578,0,R578,1),OFFSET(E578,-R578,0,R578,2)),1,3),"")</f>
        <v>4.52794819228341</v>
      </c>
      <c r="V578" s="29" t="n">
        <f aca="true">IF(AND(F578&gt;=1,R578&gt;=Inputs!$B$10),SQRT(SUMPRODUCT((OFFSET(D578,-R578,0,R578,1)-U578-T578*OFFSET(E578,-R578,0,R578,1)-S578*OFFSET(F578,-R578,0,R578,1))^2)/(R578-3)),"")</f>
        <v>0.00251094412490158</v>
      </c>
      <c r="W578" s="31" t="n">
        <f aca="false">IF(AND(F578&gt;=1,R578&gt;=Inputs!$B$10),(D578-U578-T578*E578-S578*F578)/V578,"")</f>
        <v>-1.33837776295571</v>
      </c>
      <c r="X578" s="30" t="n">
        <f aca="false">IF(AB577&lt;&gt;0,AC577+1,0)</f>
        <v>0</v>
      </c>
      <c r="Y578" s="30" t="n">
        <f aca="false">IF(W578="",0,IF(AND(AB577&lt;&gt;0,OR(ABS(W578)&gt;Inputs!$B$7,X578&gt;=Inputs!$B$8,ABS(W578)&lt;Inputs!$B$6)),1,0))</f>
        <v>0</v>
      </c>
      <c r="Z578" s="30" t="n">
        <f aca="false">IF(Y578=1,0,AB577)</f>
        <v>0</v>
      </c>
      <c r="AA578" s="30" t="n">
        <f aca="false">IF(W578="",0,IF(AND(Z578=0,ABS(W578)&gt;Inputs!$B$5,ABS(W578)&lt;=Inputs!$B$7),1,0))</f>
        <v>0</v>
      </c>
      <c r="AB578" s="30" t="n">
        <f aca="false">IF(W578="",0,IF(AA578=1,-SIGN(W578),Z578))</f>
        <v>0</v>
      </c>
      <c r="AC578" s="30" t="n">
        <f aca="false">IF(W578="",0,IF(AA578=1,0,IF(Y578=1,0,X578)))</f>
        <v>0</v>
      </c>
      <c r="AD578" s="30" t="n">
        <f aca="false">IF(AB578=0,0,IF(AB577=AB578,AD577,T578))</f>
        <v>0</v>
      </c>
      <c r="AE578" s="30" t="n">
        <f aca="false">AB578-AB577</f>
        <v>0</v>
      </c>
      <c r="AF578" s="30" t="n">
        <f aca="false">-AD578*AB578</f>
        <v>-0</v>
      </c>
      <c r="AG578" s="30" t="n">
        <f aca="false">AF578-AF577</f>
        <v>0</v>
      </c>
      <c r="AH578" s="30" t="n">
        <f aca="false">MAX(AE578,0)*(Inputs!$B$17+Inputs!$B$18+Inputs!$B$19)+MAX(-AE578,0)*(O578+Inputs!$B$18+Inputs!$B$19)+IF(AND(K578=1,AB578&lt;&gt;0),(Inputs!$B$17+Inputs!$B$18+Inputs!$B$19)+(O578+Inputs!$B$18+Inputs!$B$19),0)+MAX(AG578,0)*(Inputs!$B$20+Inputs!$B$22+Inputs!$B$23)+MAX(-AG578,0)*(Inputs!$B$21+Inputs!$B$22+Inputs!$B$23)</f>
        <v>0</v>
      </c>
      <c r="AI578" s="30" t="n">
        <f aca="false">AB577*(M578-AD577*J578)+AB577*AD577*N578/Inputs!$B$16-AH578</f>
        <v>0</v>
      </c>
      <c r="AJ578" s="30" t="n">
        <f aca="false">MAX(AE578,0)*(Inputs!$B$17+Inputs!$B$24+Inputs!$B$25)+MAX(-AE578,0)*(O578+Inputs!$B$24+Inputs!$B$25)+IF(AND(K578=1,AB578&lt;&gt;0),(Inputs!$B$17+Inputs!$B$24+Inputs!$B$25)+(O578+Inputs!$B$24+Inputs!$B$25),0)+MAX(AG578,0)*(Inputs!$B$20+Inputs!$B$26+Inputs!$B$27)+MAX(-AG578,0)*(Inputs!$B$21+Inputs!$B$26+Inputs!$B$27)</f>
        <v>0</v>
      </c>
      <c r="AK578" s="30" t="n">
        <f aca="false">AB577*(M578-AD577*J578)+AB577*AD577*(N578+Inputs!$B$14)/Inputs!$B$16-AJ578</f>
        <v>0</v>
      </c>
      <c r="AL578" s="30" t="n">
        <f aca="false">IF(AP577&lt;&gt;0,AQ577+1,0)</f>
        <v>0</v>
      </c>
      <c r="AM578" s="30" t="n">
        <f aca="false">IF(W578="",0,IF(AND(AP577&lt;&gt;0,OR(ABS(W578)&gt;Inputs!$B$7,AL578&gt;=Inputs!$B$8,ABS(W578)&lt;Inputs!$B$6)),1,0))</f>
        <v>0</v>
      </c>
      <c r="AN578" s="30" t="n">
        <f aca="false">IF(AM578=1,0,AP577)</f>
        <v>0</v>
      </c>
      <c r="AO578" s="30" t="n">
        <f aca="false">IF(W578="",0,IF(AND(AN578=0,ABS(W578)&gt;Inputs!$B$5,ABS(W578)&lt;=Inputs!$B$7,W578&gt;0),1,0))</f>
        <v>0</v>
      </c>
      <c r="AP578" s="30" t="n">
        <f aca="false">IF(W578="",0,IF(AO578=1,-SIGN(W578),AN578))</f>
        <v>0</v>
      </c>
      <c r="AQ578" s="30" t="n">
        <f aca="false">IF(W578="",0,IF(AO578=1,0,IF(AM578=1,0,AL578)))</f>
        <v>0</v>
      </c>
      <c r="AR578" s="30" t="n">
        <f aca="false">IF(AP578=0,0,IF(AP577=AP578,AR577,T578))</f>
        <v>0</v>
      </c>
      <c r="AS578" s="30" t="n">
        <f aca="false">AP578-AP577</f>
        <v>0</v>
      </c>
      <c r="AT578" s="30" t="n">
        <f aca="false">-AR578*AP578</f>
        <v>-0</v>
      </c>
      <c r="AU578" s="30" t="n">
        <f aca="false">AT578-AT577</f>
        <v>0</v>
      </c>
      <c r="AV578" s="30" t="n">
        <f aca="false">MAX(AS578,0)*(Inputs!$B$17+Inputs!$B$18+Inputs!$B$19)+MAX(-AS578,0)*(O578+Inputs!$B$18+Inputs!$B$19)+IF(AND(K578=1,AP578&lt;&gt;0),(Inputs!$B$17+Inputs!$B$18+Inputs!$B$19)+(O578+Inputs!$B$18+Inputs!$B$19),0)+MAX(AU578,0)*(Inputs!$B$20+Inputs!$B$22+Inputs!$B$23)+MAX(-AU578,0)*(Inputs!$B$21+Inputs!$B$22+Inputs!$B$23)</f>
        <v>0</v>
      </c>
      <c r="AW578" s="30" t="n">
        <f aca="false">AP577*(M578-AR577*J578)+AP577*AR577*N578/Inputs!$B$16-AV578</f>
        <v>0</v>
      </c>
      <c r="AX578" s="30" t="n">
        <f aca="false">AW578-IF(AP577&lt;&gt;0,0.75*AR577*(Inputs!$B$13-N578)/Inputs!$B$16,0)</f>
        <v>0</v>
      </c>
      <c r="AY578" s="30" t="n">
        <f aca="false">MAX(AS578,0)*(Inputs!$B$17+Inputs!$B$18+Inputs!$B$19)+MAX(-AS578,0)*(O578+Inputs!$B$18+Inputs!$B$19)+IF(AND(K578=1,AP578&lt;&gt;0),(Inputs!$B$17+Inputs!$B$18+Inputs!$B$19)+(O578+Inputs!$B$18+Inputs!$B$19),0)</f>
        <v>0</v>
      </c>
      <c r="AZ578" s="30" t="n">
        <f aca="false">AP577*M578-AY578</f>
        <v>0</v>
      </c>
      <c r="BA578" s="32" t="n">
        <f aca="false">BA577+AI578</f>
        <v>0.009737538941209</v>
      </c>
      <c r="BB578" s="30" t="n">
        <f aca="false">MAX(BB577,BA578)</f>
        <v>0.0108065678336457</v>
      </c>
      <c r="BC578" s="32" t="n">
        <f aca="false">BA578-BB578</f>
        <v>-0.00106902889243667</v>
      </c>
      <c r="BD578" s="30" t="n">
        <f aca="false">A579-A578</f>
        <v>1</v>
      </c>
    </row>
    <row r="579" customFormat="false" ht="15" hidden="false" customHeight="false" outlineLevel="0" collapsed="false">
      <c r="A579" s="28" t="n">
        <v>45891</v>
      </c>
      <c r="B579" s="0" t="n">
        <v>24894</v>
      </c>
      <c r="C579" s="0" t="n">
        <v>280.84</v>
      </c>
      <c r="D579" s="29" t="n">
        <f aca="false">LN(B579)</f>
        <v>10.1223820895609</v>
      </c>
      <c r="E579" s="29" t="n">
        <f aca="false">LN(C579)</f>
        <v>5.63778511214905</v>
      </c>
      <c r="F579" s="0" t="n">
        <v>574</v>
      </c>
      <c r="G579" s="0" t="n">
        <v>6</v>
      </c>
      <c r="H579" s="29" t="n">
        <f aca="false">D579-E579</f>
        <v>4.48459697741187</v>
      </c>
      <c r="I579" s="29" t="n">
        <f aca="false">D579-D578</f>
        <v>-0.00873493747370269</v>
      </c>
      <c r="J579" s="29" t="n">
        <f aca="false">E579-E578</f>
        <v>-0.00752043274817638</v>
      </c>
      <c r="K579" s="0" t="n">
        <v>0</v>
      </c>
      <c r="L579" s="0" t="n">
        <v>0</v>
      </c>
      <c r="M579" s="29" t="n">
        <f aca="false">IF(L579=1,J579-Carry!$B$9/Inputs!$B$16,I579)</f>
        <v>-0.00873493747370269</v>
      </c>
      <c r="N579" s="0" t="n">
        <v>0.055</v>
      </c>
      <c r="O579" s="0" t="n">
        <v>0.0002</v>
      </c>
      <c r="P579" s="29" t="n">
        <f aca="false">D579-('2 Hedge ratio'!$B$6+'2 Hedge ratio'!$B$5*E579)</f>
        <v>-0.00436379590978575</v>
      </c>
      <c r="Q579" s="29" t="n">
        <f aca="false">D579-('5 Re-specification'!$B$7+'5 Re-specification'!$B$5*E579+'5 Re-specification'!$B$6*F579)</f>
        <v>-0.00372930704664043</v>
      </c>
      <c r="R579" s="30" t="n">
        <f aca="false">MIN(F579,Inputs!$B$9)</f>
        <v>250</v>
      </c>
      <c r="S579" s="29" t="n">
        <f aca="true">IF(AND(F579&gt;=1,R579&gt;=Inputs!$B$10),INDEX(LINEST(OFFSET(D579,-R579,0,R579,1),OFFSET(E579,-R579,0,R579,2)),1,1),"")</f>
        <v>-3.90590691834986E-005</v>
      </c>
      <c r="T579" s="29" t="n">
        <f aca="true">IF(AND(F579&gt;=1,R579&gt;=Inputs!$B$10),INDEX(LINEST(OFFSET(D579,-R579,0,R579,1),OFFSET(E579,-R579,0,R579,2)),1,2),"")</f>
        <v>0.996841924821431</v>
      </c>
      <c r="U579" s="29" t="n">
        <f aca="true">IF(AND(F579&gt;=1,R579&gt;=Inputs!$B$10),INDEX(LINEST(OFFSET(D579,-R579,0,R579,1),OFFSET(E579,-R579,0,R579,2)),1,3),"")</f>
        <v>4.52930009815443</v>
      </c>
      <c r="V579" s="29" t="n">
        <f aca="true">IF(AND(F579&gt;=1,R579&gt;=Inputs!$B$10),SQRT(SUMPRODUCT((OFFSET(D579,-R579,0,R579,1)-U579-T579*OFFSET(E579,-R579,0,R579,1)-S579*OFFSET(F579,-R579,0,R579,1))^2)/(R579-3)),"")</f>
        <v>0.00251432322918662</v>
      </c>
      <c r="W579" s="31" t="n">
        <f aca="false">IF(AND(F579&gt;=1,R579&gt;=Inputs!$B$10),(D579-U579-T579*E579-S579*F579)/V579,"")</f>
        <v>-1.78126095899544</v>
      </c>
      <c r="X579" s="30" t="n">
        <f aca="false">IF(AB578&lt;&gt;0,AC578+1,0)</f>
        <v>0</v>
      </c>
      <c r="Y579" s="30" t="n">
        <f aca="false">IF(W579="",0,IF(AND(AB578&lt;&gt;0,OR(ABS(W579)&gt;Inputs!$B$7,X579&gt;=Inputs!$B$8,ABS(W579)&lt;Inputs!$B$6)),1,0))</f>
        <v>0</v>
      </c>
      <c r="Z579" s="30" t="n">
        <f aca="false">IF(Y579=1,0,AB578)</f>
        <v>0</v>
      </c>
      <c r="AA579" s="30" t="n">
        <f aca="false">IF(W579="",0,IF(AND(Z579=0,ABS(W579)&gt;Inputs!$B$5,ABS(W579)&lt;=Inputs!$B$7),1,0))</f>
        <v>0</v>
      </c>
      <c r="AB579" s="30" t="n">
        <f aca="false">IF(W579="",0,IF(AA579=1,-SIGN(W579),Z579))</f>
        <v>0</v>
      </c>
      <c r="AC579" s="30" t="n">
        <f aca="false">IF(W579="",0,IF(AA579=1,0,IF(Y579=1,0,X579)))</f>
        <v>0</v>
      </c>
      <c r="AD579" s="30" t="n">
        <f aca="false">IF(AB579=0,0,IF(AB578=AB579,AD578,T579))</f>
        <v>0</v>
      </c>
      <c r="AE579" s="30" t="n">
        <f aca="false">AB579-AB578</f>
        <v>0</v>
      </c>
      <c r="AF579" s="30" t="n">
        <f aca="false">-AD579*AB579</f>
        <v>-0</v>
      </c>
      <c r="AG579" s="30" t="n">
        <f aca="false">AF579-AF578</f>
        <v>0</v>
      </c>
      <c r="AH579" s="30" t="n">
        <f aca="false">MAX(AE579,0)*(Inputs!$B$17+Inputs!$B$18+Inputs!$B$19)+MAX(-AE579,0)*(O579+Inputs!$B$18+Inputs!$B$19)+IF(AND(K579=1,AB579&lt;&gt;0),(Inputs!$B$17+Inputs!$B$18+Inputs!$B$19)+(O579+Inputs!$B$18+Inputs!$B$19),0)+MAX(AG579,0)*(Inputs!$B$20+Inputs!$B$22+Inputs!$B$23)+MAX(-AG579,0)*(Inputs!$B$21+Inputs!$B$22+Inputs!$B$23)</f>
        <v>0</v>
      </c>
      <c r="AI579" s="30" t="n">
        <f aca="false">AB578*(M579-AD578*J579)+AB578*AD578*N579/Inputs!$B$16-AH579</f>
        <v>0</v>
      </c>
      <c r="AJ579" s="30" t="n">
        <f aca="false">MAX(AE579,0)*(Inputs!$B$17+Inputs!$B$24+Inputs!$B$25)+MAX(-AE579,0)*(O579+Inputs!$B$24+Inputs!$B$25)+IF(AND(K579=1,AB579&lt;&gt;0),(Inputs!$B$17+Inputs!$B$24+Inputs!$B$25)+(O579+Inputs!$B$24+Inputs!$B$25),0)+MAX(AG579,0)*(Inputs!$B$20+Inputs!$B$26+Inputs!$B$27)+MAX(-AG579,0)*(Inputs!$B$21+Inputs!$B$26+Inputs!$B$27)</f>
        <v>0</v>
      </c>
      <c r="AK579" s="30" t="n">
        <f aca="false">AB578*(M579-AD578*J579)+AB578*AD578*(N579+Inputs!$B$14)/Inputs!$B$16-AJ579</f>
        <v>0</v>
      </c>
      <c r="AL579" s="30" t="n">
        <f aca="false">IF(AP578&lt;&gt;0,AQ578+1,0)</f>
        <v>0</v>
      </c>
      <c r="AM579" s="30" t="n">
        <f aca="false">IF(W579="",0,IF(AND(AP578&lt;&gt;0,OR(ABS(W579)&gt;Inputs!$B$7,AL579&gt;=Inputs!$B$8,ABS(W579)&lt;Inputs!$B$6)),1,0))</f>
        <v>0</v>
      </c>
      <c r="AN579" s="30" t="n">
        <f aca="false">IF(AM579=1,0,AP578)</f>
        <v>0</v>
      </c>
      <c r="AO579" s="30" t="n">
        <f aca="false">IF(W579="",0,IF(AND(AN579=0,ABS(W579)&gt;Inputs!$B$5,ABS(W579)&lt;=Inputs!$B$7,W579&gt;0),1,0))</f>
        <v>0</v>
      </c>
      <c r="AP579" s="30" t="n">
        <f aca="false">IF(W579="",0,IF(AO579=1,-SIGN(W579),AN579))</f>
        <v>0</v>
      </c>
      <c r="AQ579" s="30" t="n">
        <f aca="false">IF(W579="",0,IF(AO579=1,0,IF(AM579=1,0,AL579)))</f>
        <v>0</v>
      </c>
      <c r="AR579" s="30" t="n">
        <f aca="false">IF(AP579=0,0,IF(AP578=AP579,AR578,T579))</f>
        <v>0</v>
      </c>
      <c r="AS579" s="30" t="n">
        <f aca="false">AP579-AP578</f>
        <v>0</v>
      </c>
      <c r="AT579" s="30" t="n">
        <f aca="false">-AR579*AP579</f>
        <v>-0</v>
      </c>
      <c r="AU579" s="30" t="n">
        <f aca="false">AT579-AT578</f>
        <v>0</v>
      </c>
      <c r="AV579" s="30" t="n">
        <f aca="false">MAX(AS579,0)*(Inputs!$B$17+Inputs!$B$18+Inputs!$B$19)+MAX(-AS579,0)*(O579+Inputs!$B$18+Inputs!$B$19)+IF(AND(K579=1,AP579&lt;&gt;0),(Inputs!$B$17+Inputs!$B$18+Inputs!$B$19)+(O579+Inputs!$B$18+Inputs!$B$19),0)+MAX(AU579,0)*(Inputs!$B$20+Inputs!$B$22+Inputs!$B$23)+MAX(-AU579,0)*(Inputs!$B$21+Inputs!$B$22+Inputs!$B$23)</f>
        <v>0</v>
      </c>
      <c r="AW579" s="30" t="n">
        <f aca="false">AP578*(M579-AR578*J579)+AP578*AR578*N579/Inputs!$B$16-AV579</f>
        <v>0</v>
      </c>
      <c r="AX579" s="30" t="n">
        <f aca="false">AW579-IF(AP578&lt;&gt;0,0.75*AR578*(Inputs!$B$13-N579)/Inputs!$B$16,0)</f>
        <v>0</v>
      </c>
      <c r="AY579" s="30" t="n">
        <f aca="false">MAX(AS579,0)*(Inputs!$B$17+Inputs!$B$18+Inputs!$B$19)+MAX(-AS579,0)*(O579+Inputs!$B$18+Inputs!$B$19)+IF(AND(K579=1,AP579&lt;&gt;0),(Inputs!$B$17+Inputs!$B$18+Inputs!$B$19)+(O579+Inputs!$B$18+Inputs!$B$19),0)</f>
        <v>0</v>
      </c>
      <c r="AZ579" s="30" t="n">
        <f aca="false">AP578*M579-AY579</f>
        <v>-0</v>
      </c>
      <c r="BA579" s="32" t="n">
        <f aca="false">BA578+AI579</f>
        <v>0.009737538941209</v>
      </c>
      <c r="BB579" s="30" t="n">
        <f aca="false">MAX(BB578,BA579)</f>
        <v>0.0108065678336457</v>
      </c>
      <c r="BC579" s="32" t="n">
        <f aca="false">BA579-BB579</f>
        <v>-0.00106902889243667</v>
      </c>
      <c r="BD579" s="30" t="n">
        <f aca="false">A580-A579</f>
        <v>3</v>
      </c>
    </row>
    <row r="580" customFormat="false" ht="15" hidden="false" customHeight="false" outlineLevel="0" collapsed="false">
      <c r="A580" s="28" t="n">
        <v>45894</v>
      </c>
      <c r="B580" s="0" t="n">
        <v>24992.2</v>
      </c>
      <c r="C580" s="0" t="n">
        <v>281.84</v>
      </c>
      <c r="D580" s="29" t="n">
        <f aca="false">LN(B580)</f>
        <v>10.1263190551682</v>
      </c>
      <c r="E580" s="29" t="n">
        <f aca="false">LN(C580)</f>
        <v>5.64133953403298</v>
      </c>
      <c r="F580" s="0" t="n">
        <v>575</v>
      </c>
      <c r="G580" s="0" t="n">
        <v>3</v>
      </c>
      <c r="H580" s="29" t="n">
        <f aca="false">D580-E580</f>
        <v>4.48497952113523</v>
      </c>
      <c r="I580" s="29" t="n">
        <f aca="false">D580-D579</f>
        <v>0.00393696560728962</v>
      </c>
      <c r="J580" s="29" t="n">
        <f aca="false">E580-E579</f>
        <v>0.0035544218839334</v>
      </c>
      <c r="K580" s="0" t="n">
        <v>0</v>
      </c>
      <c r="L580" s="0" t="n">
        <v>0</v>
      </c>
      <c r="M580" s="29" t="n">
        <f aca="false">IF(L580=1,J580-Carry!$B$9/Inputs!$B$16,I580)</f>
        <v>0.00393696560728962</v>
      </c>
      <c r="N580" s="0" t="n">
        <v>0.055</v>
      </c>
      <c r="O580" s="0" t="n">
        <v>0.0002</v>
      </c>
      <c r="P580" s="29" t="n">
        <f aca="false">D580-('2 Hedge ratio'!$B$6+'2 Hedge ratio'!$B$5*E580)</f>
        <v>-0.00368313130402065</v>
      </c>
      <c r="Q580" s="29" t="n">
        <f aca="false">D580-('5 Re-specification'!$B$7+'5 Re-specification'!$B$5*E580+'5 Re-specification'!$B$6*F580)</f>
        <v>-0.00329106232959298</v>
      </c>
      <c r="R580" s="30" t="n">
        <f aca="false">MIN(F580,Inputs!$B$9)</f>
        <v>250</v>
      </c>
      <c r="S580" s="29" t="n">
        <f aca="true">IF(AND(F580&gt;=1,R580&gt;=Inputs!$B$10),INDEX(LINEST(OFFSET(D580,-R580,0,R580,1),OFFSET(E580,-R580,0,R580,2)),1,1),"")</f>
        <v>-3.96810188140196E-005</v>
      </c>
      <c r="T580" s="29" t="n">
        <f aca="true">IF(AND(F580&gt;=1,R580&gt;=Inputs!$B$10),INDEX(LINEST(OFFSET(D580,-R580,0,R580,1),OFFSET(E580,-R580,0,R580,2)),1,2),"")</f>
        <v>0.996632580273509</v>
      </c>
      <c r="U580" s="29" t="n">
        <f aca="true">IF(AND(F580&gt;=1,R580&gt;=Inputs!$B$10),INDEX(LINEST(OFFSET(D580,-R580,0,R580,1),OFFSET(E580,-R580,0,R580,2)),1,3),"")</f>
        <v>4.53074350892867</v>
      </c>
      <c r="V580" s="29" t="n">
        <f aca="true">IF(AND(F580&gt;=1,R580&gt;=Inputs!$B$10),SQRT(SUMPRODUCT((OFFSET(D580,-R580,0,R580,1)-U580-T580*OFFSET(E580,-R580,0,R580,1)-S580*OFFSET(F580,-R580,0,R580,1))^2)/(R580-3)),"")</f>
        <v>0.0025264308913589</v>
      </c>
      <c r="W580" s="31" t="n">
        <f aca="false">IF(AND(F580&gt;=1,R580&gt;=Inputs!$B$10),(D580-U580-T580*E580-S580*F580)/V580,"")</f>
        <v>-1.56372531627597</v>
      </c>
      <c r="X580" s="30" t="n">
        <f aca="false">IF(AB579&lt;&gt;0,AC579+1,0)</f>
        <v>0</v>
      </c>
      <c r="Y580" s="30" t="n">
        <f aca="false">IF(W580="",0,IF(AND(AB579&lt;&gt;0,OR(ABS(W580)&gt;Inputs!$B$7,X580&gt;=Inputs!$B$8,ABS(W580)&lt;Inputs!$B$6)),1,0))</f>
        <v>0</v>
      </c>
      <c r="Z580" s="30" t="n">
        <f aca="false">IF(Y580=1,0,AB579)</f>
        <v>0</v>
      </c>
      <c r="AA580" s="30" t="n">
        <f aca="false">IF(W580="",0,IF(AND(Z580=0,ABS(W580)&gt;Inputs!$B$5,ABS(W580)&lt;=Inputs!$B$7),1,0))</f>
        <v>0</v>
      </c>
      <c r="AB580" s="30" t="n">
        <f aca="false">IF(W580="",0,IF(AA580=1,-SIGN(W580),Z580))</f>
        <v>0</v>
      </c>
      <c r="AC580" s="30" t="n">
        <f aca="false">IF(W580="",0,IF(AA580=1,0,IF(Y580=1,0,X580)))</f>
        <v>0</v>
      </c>
      <c r="AD580" s="30" t="n">
        <f aca="false">IF(AB580=0,0,IF(AB579=AB580,AD579,T580))</f>
        <v>0</v>
      </c>
      <c r="AE580" s="30" t="n">
        <f aca="false">AB580-AB579</f>
        <v>0</v>
      </c>
      <c r="AF580" s="30" t="n">
        <f aca="false">-AD580*AB580</f>
        <v>-0</v>
      </c>
      <c r="AG580" s="30" t="n">
        <f aca="false">AF580-AF579</f>
        <v>0</v>
      </c>
      <c r="AH580" s="30" t="n">
        <f aca="false">MAX(AE580,0)*(Inputs!$B$17+Inputs!$B$18+Inputs!$B$19)+MAX(-AE580,0)*(O580+Inputs!$B$18+Inputs!$B$19)+IF(AND(K580=1,AB580&lt;&gt;0),(Inputs!$B$17+Inputs!$B$18+Inputs!$B$19)+(O580+Inputs!$B$18+Inputs!$B$19),0)+MAX(AG580,0)*(Inputs!$B$20+Inputs!$B$22+Inputs!$B$23)+MAX(-AG580,0)*(Inputs!$B$21+Inputs!$B$22+Inputs!$B$23)</f>
        <v>0</v>
      </c>
      <c r="AI580" s="30" t="n">
        <f aca="false">AB579*(M580-AD579*J580)+AB579*AD579*N580/Inputs!$B$16-AH580</f>
        <v>0</v>
      </c>
      <c r="AJ580" s="30" t="n">
        <f aca="false">MAX(AE580,0)*(Inputs!$B$17+Inputs!$B$24+Inputs!$B$25)+MAX(-AE580,0)*(O580+Inputs!$B$24+Inputs!$B$25)+IF(AND(K580=1,AB580&lt;&gt;0),(Inputs!$B$17+Inputs!$B$24+Inputs!$B$25)+(O580+Inputs!$B$24+Inputs!$B$25),0)+MAX(AG580,0)*(Inputs!$B$20+Inputs!$B$26+Inputs!$B$27)+MAX(-AG580,0)*(Inputs!$B$21+Inputs!$B$26+Inputs!$B$27)</f>
        <v>0</v>
      </c>
      <c r="AK580" s="30" t="n">
        <f aca="false">AB579*(M580-AD579*J580)+AB579*AD579*(N580+Inputs!$B$14)/Inputs!$B$16-AJ580</f>
        <v>0</v>
      </c>
      <c r="AL580" s="30" t="n">
        <f aca="false">IF(AP579&lt;&gt;0,AQ579+1,0)</f>
        <v>0</v>
      </c>
      <c r="AM580" s="30" t="n">
        <f aca="false">IF(W580="",0,IF(AND(AP579&lt;&gt;0,OR(ABS(W580)&gt;Inputs!$B$7,AL580&gt;=Inputs!$B$8,ABS(W580)&lt;Inputs!$B$6)),1,0))</f>
        <v>0</v>
      </c>
      <c r="AN580" s="30" t="n">
        <f aca="false">IF(AM580=1,0,AP579)</f>
        <v>0</v>
      </c>
      <c r="AO580" s="30" t="n">
        <f aca="false">IF(W580="",0,IF(AND(AN580=0,ABS(W580)&gt;Inputs!$B$5,ABS(W580)&lt;=Inputs!$B$7,W580&gt;0),1,0))</f>
        <v>0</v>
      </c>
      <c r="AP580" s="30" t="n">
        <f aca="false">IF(W580="",0,IF(AO580=1,-SIGN(W580),AN580))</f>
        <v>0</v>
      </c>
      <c r="AQ580" s="30" t="n">
        <f aca="false">IF(W580="",0,IF(AO580=1,0,IF(AM580=1,0,AL580)))</f>
        <v>0</v>
      </c>
      <c r="AR580" s="30" t="n">
        <f aca="false">IF(AP580=0,0,IF(AP579=AP580,AR579,T580))</f>
        <v>0</v>
      </c>
      <c r="AS580" s="30" t="n">
        <f aca="false">AP580-AP579</f>
        <v>0</v>
      </c>
      <c r="AT580" s="30" t="n">
        <f aca="false">-AR580*AP580</f>
        <v>-0</v>
      </c>
      <c r="AU580" s="30" t="n">
        <f aca="false">AT580-AT579</f>
        <v>0</v>
      </c>
      <c r="AV580" s="30" t="n">
        <f aca="false">MAX(AS580,0)*(Inputs!$B$17+Inputs!$B$18+Inputs!$B$19)+MAX(-AS580,0)*(O580+Inputs!$B$18+Inputs!$B$19)+IF(AND(K580=1,AP580&lt;&gt;0),(Inputs!$B$17+Inputs!$B$18+Inputs!$B$19)+(O580+Inputs!$B$18+Inputs!$B$19),0)+MAX(AU580,0)*(Inputs!$B$20+Inputs!$B$22+Inputs!$B$23)+MAX(-AU580,0)*(Inputs!$B$21+Inputs!$B$22+Inputs!$B$23)</f>
        <v>0</v>
      </c>
      <c r="AW580" s="30" t="n">
        <f aca="false">AP579*(M580-AR579*J580)+AP579*AR579*N580/Inputs!$B$16-AV580</f>
        <v>0</v>
      </c>
      <c r="AX580" s="30" t="n">
        <f aca="false">AW580-IF(AP579&lt;&gt;0,0.75*AR579*(Inputs!$B$13-N580)/Inputs!$B$16,0)</f>
        <v>0</v>
      </c>
      <c r="AY580" s="30" t="n">
        <f aca="false">MAX(AS580,0)*(Inputs!$B$17+Inputs!$B$18+Inputs!$B$19)+MAX(-AS580,0)*(O580+Inputs!$B$18+Inputs!$B$19)+IF(AND(K580=1,AP580&lt;&gt;0),(Inputs!$B$17+Inputs!$B$18+Inputs!$B$19)+(O580+Inputs!$B$18+Inputs!$B$19),0)</f>
        <v>0</v>
      </c>
      <c r="AZ580" s="30" t="n">
        <f aca="false">AP579*M580-AY580</f>
        <v>0</v>
      </c>
      <c r="BA580" s="32" t="n">
        <f aca="false">BA579+AI580</f>
        <v>0.009737538941209</v>
      </c>
      <c r="BB580" s="30" t="n">
        <f aca="false">MAX(BB579,BA580)</f>
        <v>0.0108065678336457</v>
      </c>
      <c r="BC580" s="32" t="n">
        <f aca="false">BA580-BB580</f>
        <v>-0.00106902889243667</v>
      </c>
      <c r="BD580" s="30" t="n">
        <f aca="false">A581-A580</f>
        <v>1</v>
      </c>
    </row>
    <row r="581" customFormat="false" ht="15" hidden="false" customHeight="false" outlineLevel="0" collapsed="false">
      <c r="A581" s="28" t="n">
        <v>45895</v>
      </c>
      <c r="B581" s="0" t="n">
        <v>24728</v>
      </c>
      <c r="C581" s="0" t="n">
        <v>279.11</v>
      </c>
      <c r="D581" s="29" t="n">
        <f aca="false">LN(B581)</f>
        <v>10.115691483812</v>
      </c>
      <c r="E581" s="29" t="n">
        <f aca="false">LN(C581)</f>
        <v>5.63160596935223</v>
      </c>
      <c r="F581" s="0" t="n">
        <v>576</v>
      </c>
      <c r="G581" s="0" t="n">
        <v>2</v>
      </c>
      <c r="H581" s="29" t="n">
        <f aca="false">D581-E581</f>
        <v>4.48408551445973</v>
      </c>
      <c r="I581" s="29" t="n">
        <f aca="false">D581-D580</f>
        <v>-0.0106275713562596</v>
      </c>
      <c r="J581" s="29" t="n">
        <f aca="false">E581-E580</f>
        <v>-0.00973356468075526</v>
      </c>
      <c r="K581" s="0" t="n">
        <v>0</v>
      </c>
      <c r="L581" s="0" t="n">
        <v>0</v>
      </c>
      <c r="M581" s="29" t="n">
        <f aca="false">IF(L581=1,J581-Carry!$B$9/Inputs!$B$16,I581)</f>
        <v>-0.0106275713562596</v>
      </c>
      <c r="N581" s="0" t="n">
        <v>0.055</v>
      </c>
      <c r="O581" s="0" t="n">
        <v>0.0002</v>
      </c>
      <c r="P581" s="29" t="n">
        <f aca="false">D581-('2 Hedge ratio'!$B$6+'2 Hedge ratio'!$B$5*E581)</f>
        <v>-0.00539352359338174</v>
      </c>
      <c r="Q581" s="29" t="n">
        <f aca="false">D581-('5 Re-specification'!$B$7+'5 Re-specification'!$B$5*E581+'5 Re-specification'!$B$6*F581)</f>
        <v>-0.00416963725497155</v>
      </c>
      <c r="R581" s="30" t="n">
        <f aca="false">MIN(F581,Inputs!$B$9)</f>
        <v>250</v>
      </c>
      <c r="S581" s="29" t="n">
        <f aca="true">IF(AND(F581&gt;=1,R581&gt;=Inputs!$B$10),INDEX(LINEST(OFFSET(D581,-R581,0,R581,1),OFFSET(E581,-R581,0,R581,2)),1,1),"")</f>
        <v>-4.0105198591781E-005</v>
      </c>
      <c r="T581" s="29" t="n">
        <f aca="true">IF(AND(F581&gt;=1,R581&gt;=Inputs!$B$10),INDEX(LINEST(OFFSET(D581,-R581,0,R581,1),OFFSET(E581,-R581,0,R581,2)),1,2),"")</f>
        <v>0.996344380606997</v>
      </c>
      <c r="U581" s="29" t="n">
        <f aca="true">IF(AND(F581&gt;=1,R581&gt;=Inputs!$B$10),INDEX(LINEST(OFFSET(D581,-R581,0,R581,1),OFFSET(E581,-R581,0,R581,2)),1,3),"")</f>
        <v>4.53253664251802</v>
      </c>
      <c r="V581" s="29" t="n">
        <f aca="true">IF(AND(F581&gt;=1,R581&gt;=Inputs!$B$10),SQRT(SUMPRODUCT((OFFSET(D581,-R581,0,R581,1)-U581-T581*OFFSET(E581,-R581,0,R581,1)-S581*OFFSET(F581,-R581,0,R581,1))^2)/(R581-3)),"")</f>
        <v>0.00253833357687864</v>
      </c>
      <c r="W581" s="31" t="n">
        <f aca="false">IF(AND(F581&gt;=1,R581&gt;=Inputs!$B$10),(D581-U581-T581*E581-S581*F581)/V581,"")</f>
        <v>-1.87663501657228</v>
      </c>
      <c r="X581" s="30" t="n">
        <f aca="false">IF(AB580&lt;&gt;0,AC580+1,0)</f>
        <v>0</v>
      </c>
      <c r="Y581" s="30" t="n">
        <f aca="false">IF(W581="",0,IF(AND(AB580&lt;&gt;0,OR(ABS(W581)&gt;Inputs!$B$7,X581&gt;=Inputs!$B$8,ABS(W581)&lt;Inputs!$B$6)),1,0))</f>
        <v>0</v>
      </c>
      <c r="Z581" s="30" t="n">
        <f aca="false">IF(Y581=1,0,AB580)</f>
        <v>0</v>
      </c>
      <c r="AA581" s="30" t="n">
        <f aca="false">IF(W581="",0,IF(AND(Z581=0,ABS(W581)&gt;Inputs!$B$5,ABS(W581)&lt;=Inputs!$B$7),1,0))</f>
        <v>0</v>
      </c>
      <c r="AB581" s="30" t="n">
        <f aca="false">IF(W581="",0,IF(AA581=1,-SIGN(W581),Z581))</f>
        <v>0</v>
      </c>
      <c r="AC581" s="30" t="n">
        <f aca="false">IF(W581="",0,IF(AA581=1,0,IF(Y581=1,0,X581)))</f>
        <v>0</v>
      </c>
      <c r="AD581" s="30" t="n">
        <f aca="false">IF(AB581=0,0,IF(AB580=AB581,AD580,T581))</f>
        <v>0</v>
      </c>
      <c r="AE581" s="30" t="n">
        <f aca="false">AB581-AB580</f>
        <v>0</v>
      </c>
      <c r="AF581" s="30" t="n">
        <f aca="false">-AD581*AB581</f>
        <v>-0</v>
      </c>
      <c r="AG581" s="30" t="n">
        <f aca="false">AF581-AF580</f>
        <v>0</v>
      </c>
      <c r="AH581" s="30" t="n">
        <f aca="false">MAX(AE581,0)*(Inputs!$B$17+Inputs!$B$18+Inputs!$B$19)+MAX(-AE581,0)*(O581+Inputs!$B$18+Inputs!$B$19)+IF(AND(K581=1,AB581&lt;&gt;0),(Inputs!$B$17+Inputs!$B$18+Inputs!$B$19)+(O581+Inputs!$B$18+Inputs!$B$19),0)+MAX(AG581,0)*(Inputs!$B$20+Inputs!$B$22+Inputs!$B$23)+MAX(-AG581,0)*(Inputs!$B$21+Inputs!$B$22+Inputs!$B$23)</f>
        <v>0</v>
      </c>
      <c r="AI581" s="30" t="n">
        <f aca="false">AB580*(M581-AD580*J581)+AB580*AD580*N581/Inputs!$B$16-AH581</f>
        <v>0</v>
      </c>
      <c r="AJ581" s="30" t="n">
        <f aca="false">MAX(AE581,0)*(Inputs!$B$17+Inputs!$B$24+Inputs!$B$25)+MAX(-AE581,0)*(O581+Inputs!$B$24+Inputs!$B$25)+IF(AND(K581=1,AB581&lt;&gt;0),(Inputs!$B$17+Inputs!$B$24+Inputs!$B$25)+(O581+Inputs!$B$24+Inputs!$B$25),0)+MAX(AG581,0)*(Inputs!$B$20+Inputs!$B$26+Inputs!$B$27)+MAX(-AG581,0)*(Inputs!$B$21+Inputs!$B$26+Inputs!$B$27)</f>
        <v>0</v>
      </c>
      <c r="AK581" s="30" t="n">
        <f aca="false">AB580*(M581-AD580*J581)+AB580*AD580*(N581+Inputs!$B$14)/Inputs!$B$16-AJ581</f>
        <v>0</v>
      </c>
      <c r="AL581" s="30" t="n">
        <f aca="false">IF(AP580&lt;&gt;0,AQ580+1,0)</f>
        <v>0</v>
      </c>
      <c r="AM581" s="30" t="n">
        <f aca="false">IF(W581="",0,IF(AND(AP580&lt;&gt;0,OR(ABS(W581)&gt;Inputs!$B$7,AL581&gt;=Inputs!$B$8,ABS(W581)&lt;Inputs!$B$6)),1,0))</f>
        <v>0</v>
      </c>
      <c r="AN581" s="30" t="n">
        <f aca="false">IF(AM581=1,0,AP580)</f>
        <v>0</v>
      </c>
      <c r="AO581" s="30" t="n">
        <f aca="false">IF(W581="",0,IF(AND(AN581=0,ABS(W581)&gt;Inputs!$B$5,ABS(W581)&lt;=Inputs!$B$7,W581&gt;0),1,0))</f>
        <v>0</v>
      </c>
      <c r="AP581" s="30" t="n">
        <f aca="false">IF(W581="",0,IF(AO581=1,-SIGN(W581),AN581))</f>
        <v>0</v>
      </c>
      <c r="AQ581" s="30" t="n">
        <f aca="false">IF(W581="",0,IF(AO581=1,0,IF(AM581=1,0,AL581)))</f>
        <v>0</v>
      </c>
      <c r="AR581" s="30" t="n">
        <f aca="false">IF(AP581=0,0,IF(AP580=AP581,AR580,T581))</f>
        <v>0</v>
      </c>
      <c r="AS581" s="30" t="n">
        <f aca="false">AP581-AP580</f>
        <v>0</v>
      </c>
      <c r="AT581" s="30" t="n">
        <f aca="false">-AR581*AP581</f>
        <v>-0</v>
      </c>
      <c r="AU581" s="30" t="n">
        <f aca="false">AT581-AT580</f>
        <v>0</v>
      </c>
      <c r="AV581" s="30" t="n">
        <f aca="false">MAX(AS581,0)*(Inputs!$B$17+Inputs!$B$18+Inputs!$B$19)+MAX(-AS581,0)*(O581+Inputs!$B$18+Inputs!$B$19)+IF(AND(K581=1,AP581&lt;&gt;0),(Inputs!$B$17+Inputs!$B$18+Inputs!$B$19)+(O581+Inputs!$B$18+Inputs!$B$19),0)+MAX(AU581,0)*(Inputs!$B$20+Inputs!$B$22+Inputs!$B$23)+MAX(-AU581,0)*(Inputs!$B$21+Inputs!$B$22+Inputs!$B$23)</f>
        <v>0</v>
      </c>
      <c r="AW581" s="30" t="n">
        <f aca="false">AP580*(M581-AR580*J581)+AP580*AR580*N581/Inputs!$B$16-AV581</f>
        <v>0</v>
      </c>
      <c r="AX581" s="30" t="n">
        <f aca="false">AW581-IF(AP580&lt;&gt;0,0.75*AR580*(Inputs!$B$13-N581)/Inputs!$B$16,0)</f>
        <v>0</v>
      </c>
      <c r="AY581" s="30" t="n">
        <f aca="false">MAX(AS581,0)*(Inputs!$B$17+Inputs!$B$18+Inputs!$B$19)+MAX(-AS581,0)*(O581+Inputs!$B$18+Inputs!$B$19)+IF(AND(K581=1,AP581&lt;&gt;0),(Inputs!$B$17+Inputs!$B$18+Inputs!$B$19)+(O581+Inputs!$B$18+Inputs!$B$19),0)</f>
        <v>0</v>
      </c>
      <c r="AZ581" s="30" t="n">
        <f aca="false">AP580*M581-AY581</f>
        <v>-0</v>
      </c>
      <c r="BA581" s="32" t="n">
        <f aca="false">BA580+AI581</f>
        <v>0.009737538941209</v>
      </c>
      <c r="BB581" s="30" t="n">
        <f aca="false">MAX(BB580,BA581)</f>
        <v>0.0108065678336457</v>
      </c>
      <c r="BC581" s="32" t="n">
        <f aca="false">BA581-BB581</f>
        <v>-0.00106902889243667</v>
      </c>
      <c r="BD581" s="30" t="n">
        <f aca="false">A582-A581</f>
        <v>2</v>
      </c>
    </row>
    <row r="582" customFormat="false" ht="15" hidden="false" customHeight="false" outlineLevel="0" collapsed="false">
      <c r="A582" s="28" t="n">
        <v>45897</v>
      </c>
      <c r="B582" s="0" t="n">
        <v>24503</v>
      </c>
      <c r="C582" s="0" t="n">
        <v>277.05</v>
      </c>
      <c r="D582" s="29" t="n">
        <f aca="false">LN(B582)</f>
        <v>10.1065508380161</v>
      </c>
      <c r="E582" s="29" t="n">
        <f aca="false">LN(C582)</f>
        <v>5.62419799531336</v>
      </c>
      <c r="F582" s="0" t="n">
        <v>577</v>
      </c>
      <c r="G582" s="0" t="n">
        <v>0</v>
      </c>
      <c r="H582" s="29" t="n">
        <f aca="false">D582-E582</f>
        <v>4.48235284270279</v>
      </c>
      <c r="I582" s="29" t="n">
        <f aca="false">D582-D581</f>
        <v>-0.00914064579580654</v>
      </c>
      <c r="J582" s="29" t="n">
        <f aca="false">E582-E581</f>
        <v>-0.00740797403886795</v>
      </c>
      <c r="K582" s="0" t="n">
        <v>1</v>
      </c>
      <c r="L582" s="0" t="n">
        <v>0</v>
      </c>
      <c r="M582" s="29" t="n">
        <f aca="false">IF(L582=1,J582-Carry!$B$9/Inputs!$B$16,I582)</f>
        <v>-0.00914064579580654</v>
      </c>
      <c r="N582" s="0" t="n">
        <v>0.055</v>
      </c>
      <c r="O582" s="0" t="n">
        <v>0.0002</v>
      </c>
      <c r="P582" s="29" t="n">
        <f aca="false">D582-('2 Hedge ratio'!$B$6+'2 Hedge ratio'!$B$5*E582)</f>
        <v>-0.00774752614037588</v>
      </c>
      <c r="Q582" s="29" t="n">
        <f aca="false">D582-('5 Re-specification'!$B$7+'5 Re-specification'!$B$5*E582+'5 Re-specification'!$B$6*F582)</f>
        <v>-0.00587982955929611</v>
      </c>
      <c r="R582" s="30" t="n">
        <f aca="false">MIN(F582,Inputs!$B$9)</f>
        <v>250</v>
      </c>
      <c r="S582" s="29" t="n">
        <f aca="true">IF(AND(F582&gt;=1,R582&gt;=Inputs!$B$10),INDEX(LINEST(OFFSET(D582,-R582,0,R582,1),OFFSET(E582,-R582,0,R582,2)),1,1),"")</f>
        <v>-4.05713651253729E-005</v>
      </c>
      <c r="T582" s="29" t="n">
        <f aca="true">IF(AND(F582&gt;=1,R582&gt;=Inputs!$B$10),INDEX(LINEST(OFFSET(D582,-R582,0,R582,1),OFFSET(E582,-R582,0,R582,2)),1,2),"")</f>
        <v>0.996099172819981</v>
      </c>
      <c r="U582" s="29" t="n">
        <f aca="true">IF(AND(F582&gt;=1,R582&gt;=Inputs!$B$10),INDEX(LINEST(OFFSET(D582,-R582,0,R582,1),OFFSET(E582,-R582,0,R582,2)),1,3),"")</f>
        <v>4.53410342214071</v>
      </c>
      <c r="V582" s="29" t="n">
        <f aca="true">IF(AND(F582&gt;=1,R582&gt;=Inputs!$B$10),SQRT(SUMPRODUCT((OFFSET(D582,-R582,0,R582,1)-U582-T582*OFFSET(E582,-R582,0,R582,1)-S582*OFFSET(F582,-R582,0,R582,1))^2)/(R582-3)),"")</f>
        <v>0.0025559991314989</v>
      </c>
      <c r="W582" s="31" t="n">
        <f aca="false">IF(AND(F582&gt;=1,R582&gt;=Inputs!$B$10),(D582-U582-T582*E582-S582*F582)/V582,"")</f>
        <v>-2.50464770342209</v>
      </c>
      <c r="X582" s="30" t="n">
        <f aca="false">IF(AB581&lt;&gt;0,AC581+1,0)</f>
        <v>0</v>
      </c>
      <c r="Y582" s="30" t="n">
        <f aca="false">IF(W582="",0,IF(AND(AB581&lt;&gt;0,OR(ABS(W582)&gt;Inputs!$B$7,X582&gt;=Inputs!$B$8,ABS(W582)&lt;Inputs!$B$6)),1,0))</f>
        <v>0</v>
      </c>
      <c r="Z582" s="30" t="n">
        <f aca="false">IF(Y582=1,0,AB581)</f>
        <v>0</v>
      </c>
      <c r="AA582" s="30" t="n">
        <f aca="false">IF(W582="",0,IF(AND(Z582=0,ABS(W582)&gt;Inputs!$B$5,ABS(W582)&lt;=Inputs!$B$7),1,0))</f>
        <v>1</v>
      </c>
      <c r="AB582" s="30" t="n">
        <f aca="false">IF(W582="",0,IF(AA582=1,-SIGN(W582),Z582))</f>
        <v>1</v>
      </c>
      <c r="AC582" s="30" t="n">
        <f aca="false">IF(W582="",0,IF(AA582=1,0,IF(Y582=1,0,X582)))</f>
        <v>0</v>
      </c>
      <c r="AD582" s="29" t="n">
        <f aca="false">IF(AB582=0,0,IF(AB581=AB582,AD581,T582))</f>
        <v>0.996099172819981</v>
      </c>
      <c r="AE582" s="30" t="n">
        <f aca="false">AB582-AB581</f>
        <v>1</v>
      </c>
      <c r="AF582" s="30" t="n">
        <f aca="false">-AD582*AB582</f>
        <v>-0.996099172819981</v>
      </c>
      <c r="AG582" s="30" t="n">
        <f aca="false">AF582-AF581</f>
        <v>-0.996099172819981</v>
      </c>
      <c r="AH582" s="32" t="n">
        <f aca="false">MAX(AE582,0)*(Inputs!$B$17+Inputs!$B$18+Inputs!$B$19)+MAX(-AE582,0)*(O582+Inputs!$B$18+Inputs!$B$19)+IF(AND(K582=1,AB582&lt;&gt;0),(Inputs!$B$17+Inputs!$B$18+Inputs!$B$19)+(O582+Inputs!$B$18+Inputs!$B$19),0)+MAX(AG582,0)*(Inputs!$B$20+Inputs!$B$22+Inputs!$B$23)+MAX(-AG582,0)*(Inputs!$B$21+Inputs!$B$22+Inputs!$B$23)</f>
        <v>0.000854180826292196</v>
      </c>
      <c r="AI582" s="32" t="n">
        <f aca="false">AB581*(M582-AD581*J582)+AB581*AD581*N582/Inputs!$B$16-AH582</f>
        <v>-0.000854180826292196</v>
      </c>
      <c r="AJ582" s="32" t="n">
        <f aca="false">MAX(AE582,0)*(Inputs!$B$17+Inputs!$B$24+Inputs!$B$25)+MAX(-AE582,0)*(O582+Inputs!$B$24+Inputs!$B$25)+IF(AND(K582=1,AB582&lt;&gt;0),(Inputs!$B$17+Inputs!$B$24+Inputs!$B$25)+(O582+Inputs!$B$24+Inputs!$B$25),0)+MAX(AG582,0)*(Inputs!$B$20+Inputs!$B$26+Inputs!$B$27)+MAX(-AG582,0)*(Inputs!$B$21+Inputs!$B$26+Inputs!$B$27)</f>
        <v>0.000564551404874298</v>
      </c>
      <c r="AK582" s="32" t="n">
        <f aca="false">AB581*(M582-AD581*J582)+AB581*AD581*(N582+Inputs!$B$14)/Inputs!$B$16-AJ582</f>
        <v>-0.000564551404874298</v>
      </c>
      <c r="AL582" s="30" t="n">
        <f aca="false">IF(AP581&lt;&gt;0,AQ581+1,0)</f>
        <v>0</v>
      </c>
      <c r="AM582" s="30" t="n">
        <f aca="false">IF(W582="",0,IF(AND(AP581&lt;&gt;0,OR(ABS(W582)&gt;Inputs!$B$7,AL582&gt;=Inputs!$B$8,ABS(W582)&lt;Inputs!$B$6)),1,0))</f>
        <v>0</v>
      </c>
      <c r="AN582" s="30" t="n">
        <f aca="false">IF(AM582=1,0,AP581)</f>
        <v>0</v>
      </c>
      <c r="AO582" s="30" t="n">
        <f aca="false">IF(W582="",0,IF(AND(AN582=0,ABS(W582)&gt;Inputs!$B$5,ABS(W582)&lt;=Inputs!$B$7,W582&gt;0),1,0))</f>
        <v>0</v>
      </c>
      <c r="AP582" s="30" t="n">
        <f aca="false">IF(W582="",0,IF(AO582=1,-SIGN(W582),AN582))</f>
        <v>0</v>
      </c>
      <c r="AQ582" s="30" t="n">
        <f aca="false">IF(W582="",0,IF(AO582=1,0,IF(AM582=1,0,AL582)))</f>
        <v>0</v>
      </c>
      <c r="AR582" s="30" t="n">
        <f aca="false">IF(AP582=0,0,IF(AP581=AP582,AR581,T582))</f>
        <v>0</v>
      </c>
      <c r="AS582" s="30" t="n">
        <f aca="false">AP582-AP581</f>
        <v>0</v>
      </c>
      <c r="AT582" s="30" t="n">
        <f aca="false">-AR582*AP582</f>
        <v>-0</v>
      </c>
      <c r="AU582" s="30" t="n">
        <f aca="false">AT582-AT581</f>
        <v>0</v>
      </c>
      <c r="AV582" s="30" t="n">
        <f aca="false">MAX(AS582,0)*(Inputs!$B$17+Inputs!$B$18+Inputs!$B$19)+MAX(-AS582,0)*(O582+Inputs!$B$18+Inputs!$B$19)+IF(AND(K582=1,AP582&lt;&gt;0),(Inputs!$B$17+Inputs!$B$18+Inputs!$B$19)+(O582+Inputs!$B$18+Inputs!$B$19),0)+MAX(AU582,0)*(Inputs!$B$20+Inputs!$B$22+Inputs!$B$23)+MAX(-AU582,0)*(Inputs!$B$21+Inputs!$B$22+Inputs!$B$23)</f>
        <v>0</v>
      </c>
      <c r="AW582" s="30" t="n">
        <f aca="false">AP581*(M582-AR581*J582)+AP581*AR581*N582/Inputs!$B$16-AV582</f>
        <v>0</v>
      </c>
      <c r="AX582" s="30" t="n">
        <f aca="false">AW582-IF(AP581&lt;&gt;0,0.75*AR581*(Inputs!$B$13-N582)/Inputs!$B$16,0)</f>
        <v>0</v>
      </c>
      <c r="AY582" s="30" t="n">
        <f aca="false">MAX(AS582,0)*(Inputs!$B$17+Inputs!$B$18+Inputs!$B$19)+MAX(-AS582,0)*(O582+Inputs!$B$18+Inputs!$B$19)+IF(AND(K582=1,AP582&lt;&gt;0),(Inputs!$B$17+Inputs!$B$18+Inputs!$B$19)+(O582+Inputs!$B$18+Inputs!$B$19),0)</f>
        <v>0</v>
      </c>
      <c r="AZ582" s="30" t="n">
        <f aca="false">AP581*M582-AY582</f>
        <v>-0</v>
      </c>
      <c r="BA582" s="32" t="n">
        <f aca="false">BA581+AI582</f>
        <v>0.0088833581149168</v>
      </c>
      <c r="BB582" s="30" t="n">
        <f aca="false">MAX(BB581,BA582)</f>
        <v>0.0108065678336457</v>
      </c>
      <c r="BC582" s="32" t="n">
        <f aca="false">BA582-BB582</f>
        <v>-0.00192320971872887</v>
      </c>
      <c r="BD582" s="30" t="n">
        <f aca="false">A583-A582</f>
        <v>1</v>
      </c>
    </row>
    <row r="583" customFormat="false" ht="15" hidden="false" customHeight="false" outlineLevel="0" collapsed="false">
      <c r="A583" s="28" t="n">
        <v>45898</v>
      </c>
      <c r="B583" s="0" t="n">
        <v>24574.6</v>
      </c>
      <c r="C583" s="0" t="n">
        <v>276.34</v>
      </c>
      <c r="D583" s="29" t="n">
        <f aca="false">LN(B583)</f>
        <v>10.1094686681789</v>
      </c>
      <c r="E583" s="29" t="n">
        <f aca="false">LN(C583)</f>
        <v>5.62163199162852</v>
      </c>
      <c r="F583" s="0" t="n">
        <v>578</v>
      </c>
      <c r="G583" s="0" t="n">
        <v>32</v>
      </c>
      <c r="H583" s="29" t="n">
        <f aca="false">D583-E583</f>
        <v>4.48783667655041</v>
      </c>
      <c r="I583" s="29" t="n">
        <f aca="false">D583-D582</f>
        <v>0.00291783016278657</v>
      </c>
      <c r="J583" s="29" t="n">
        <f aca="false">E583-E582</f>
        <v>-0.00256600368483539</v>
      </c>
      <c r="K583" s="0" t="n">
        <v>0</v>
      </c>
      <c r="L583" s="0" t="n">
        <v>1</v>
      </c>
      <c r="M583" s="29" t="n">
        <f aca="false">IF(L583=1,J583-Carry!$B$9/Inputs!$B$16,I583)</f>
        <v>-0.00282546186655653</v>
      </c>
      <c r="N583" s="0" t="n">
        <v>0.055</v>
      </c>
      <c r="O583" s="0" t="n">
        <v>0.0002</v>
      </c>
      <c r="P583" s="29" t="n">
        <f aca="false">D583-('2 Hedge ratio'!$B$6+'2 Hedge ratio'!$B$5*E583)</f>
        <v>-0.00247891133758493</v>
      </c>
      <c r="Q583" s="29" t="n">
        <f aca="false">D583-('5 Re-specification'!$B$7+'5 Re-specification'!$B$5*E583+'5 Re-specification'!$B$6*F583)</f>
        <v>-0.000358842667798953</v>
      </c>
      <c r="R583" s="30" t="n">
        <f aca="false">MIN(F583,Inputs!$B$9)</f>
        <v>250</v>
      </c>
      <c r="S583" s="29" t="n">
        <f aca="true">IF(AND(F583&gt;=1,R583&gt;=Inputs!$B$10),INDEX(LINEST(OFFSET(D583,-R583,0,R583,1),OFFSET(E583,-R583,0,R583,2)),1,1),"")</f>
        <v>-4.12592946607589E-005</v>
      </c>
      <c r="T583" s="29" t="n">
        <f aca="true">IF(AND(F583&gt;=1,R583&gt;=Inputs!$B$10),INDEX(LINEST(OFFSET(D583,-R583,0,R583,1),OFFSET(E583,-R583,0,R583,2)),1,2),"")</f>
        <v>0.995963407613282</v>
      </c>
      <c r="U583" s="29" t="n">
        <f aca="true">IF(AND(F583&gt;=1,R583&gt;=Inputs!$B$10),INDEX(LINEST(OFFSET(D583,-R583,0,R583,1),OFFSET(E583,-R583,0,R583,2)),1,3),"")</f>
        <v>4.53515352452788</v>
      </c>
      <c r="V583" s="29" t="n">
        <f aca="true">IF(AND(F583&gt;=1,R583&gt;=Inputs!$B$10),SQRT(SUMPRODUCT((OFFSET(D583,-R583,0,R583,1)-U583-T583*OFFSET(E583,-R583,0,R583,1)-S583*OFFSET(F583,-R583,0,R583,1))^2)/(R583-3)),"")</f>
        <v>0.00258707224622376</v>
      </c>
      <c r="W583" s="31" t="n">
        <f aca="false">IF(AND(F583&gt;=1,R583&gt;=Inputs!$B$10),(D583-U583-T583*E583-S583*F583)/V583,"")</f>
        <v>-0.300238528839775</v>
      </c>
      <c r="X583" s="30" t="n">
        <f aca="false">IF(AB582&lt;&gt;0,AC582+1,0)</f>
        <v>1</v>
      </c>
      <c r="Y583" s="30" t="n">
        <f aca="false">IF(W583="",0,IF(AND(AB582&lt;&gt;0,OR(ABS(W583)&gt;Inputs!$B$7,X583&gt;=Inputs!$B$8,ABS(W583)&lt;Inputs!$B$6)),1,0))</f>
        <v>1</v>
      </c>
      <c r="Z583" s="30" t="n">
        <f aca="false">IF(Y583=1,0,AB582)</f>
        <v>0</v>
      </c>
      <c r="AA583" s="30" t="n">
        <f aca="false">IF(W583="",0,IF(AND(Z583=0,ABS(W583)&gt;Inputs!$B$5,ABS(W583)&lt;=Inputs!$B$7),1,0))</f>
        <v>0</v>
      </c>
      <c r="AB583" s="30" t="n">
        <f aca="false">IF(W583="",0,IF(AA583=1,-SIGN(W583),Z583))</f>
        <v>0</v>
      </c>
      <c r="AC583" s="30" t="n">
        <f aca="false">IF(W583="",0,IF(AA583=1,0,IF(Y583=1,0,X583)))</f>
        <v>0</v>
      </c>
      <c r="AD583" s="30" t="n">
        <f aca="false">IF(AB583=0,0,IF(AB582=AB583,AD582,T583))</f>
        <v>0</v>
      </c>
      <c r="AE583" s="30" t="n">
        <f aca="false">AB583-AB582</f>
        <v>-1</v>
      </c>
      <c r="AF583" s="30" t="n">
        <f aca="false">-AD583*AB583</f>
        <v>-0</v>
      </c>
      <c r="AG583" s="30" t="n">
        <f aca="false">AF583-AF582</f>
        <v>0.996099172819981</v>
      </c>
      <c r="AH583" s="30" t="n">
        <f aca="false">MAX(AE583,0)*(Inputs!$B$17+Inputs!$B$18+Inputs!$B$19)+MAX(-AE583,0)*(O583+Inputs!$B$18+Inputs!$B$19)+IF(AND(K583=1,AB583&lt;&gt;0),(Inputs!$B$17+Inputs!$B$18+Inputs!$B$19)+(O583+Inputs!$B$18+Inputs!$B$19),0)+MAX(AG583,0)*(Inputs!$B$20+Inputs!$B$22+Inputs!$B$23)+MAX(-AG583,0)*(Inputs!$B$21+Inputs!$B$22+Inputs!$B$23)</f>
        <v>0.000683634710486994</v>
      </c>
      <c r="AI583" s="30" t="n">
        <f aca="false">AB582*(M583-AD582*J583)+AB582*AD582*N583/Inputs!$B$16-AH583</f>
        <v>-0.000735699831883503</v>
      </c>
      <c r="AJ583" s="30" t="n">
        <f aca="false">MAX(AE583,0)*(Inputs!$B$17+Inputs!$B$24+Inputs!$B$25)+MAX(-AE583,0)*(O583+Inputs!$B$24+Inputs!$B$25)+IF(AND(K583=1,AB583&lt;&gt;0),(Inputs!$B$17+Inputs!$B$24+Inputs!$B$25)+(O583+Inputs!$B$24+Inputs!$B$25),0)+MAX(AG583,0)*(Inputs!$B$20+Inputs!$B$26+Inputs!$B$27)+MAX(-AG583,0)*(Inputs!$B$21+Inputs!$B$26+Inputs!$B$27)</f>
        <v>0.000524005289069095</v>
      </c>
      <c r="AK583" s="30" t="n">
        <f aca="false">AB582*(M583-AD582*J583)+AB582*AD582*(N583+Inputs!$B$14)/Inputs!$B$16-AJ583</f>
        <v>-0.000546424601750724</v>
      </c>
      <c r="AL583" s="30" t="n">
        <f aca="false">IF(AP582&lt;&gt;0,AQ582+1,0)</f>
        <v>0</v>
      </c>
      <c r="AM583" s="30" t="n">
        <f aca="false">IF(W583="",0,IF(AND(AP582&lt;&gt;0,OR(ABS(W583)&gt;Inputs!$B$7,AL583&gt;=Inputs!$B$8,ABS(W583)&lt;Inputs!$B$6)),1,0))</f>
        <v>0</v>
      </c>
      <c r="AN583" s="30" t="n">
        <f aca="false">IF(AM583=1,0,AP582)</f>
        <v>0</v>
      </c>
      <c r="AO583" s="30" t="n">
        <f aca="false">IF(W583="",0,IF(AND(AN583=0,ABS(W583)&gt;Inputs!$B$5,ABS(W583)&lt;=Inputs!$B$7,W583&gt;0),1,0))</f>
        <v>0</v>
      </c>
      <c r="AP583" s="30" t="n">
        <f aca="false">IF(W583="",0,IF(AO583=1,-SIGN(W583),AN583))</f>
        <v>0</v>
      </c>
      <c r="AQ583" s="30" t="n">
        <f aca="false">IF(W583="",0,IF(AO583=1,0,IF(AM583=1,0,AL583)))</f>
        <v>0</v>
      </c>
      <c r="AR583" s="30" t="n">
        <f aca="false">IF(AP583=0,0,IF(AP582=AP583,AR582,T583))</f>
        <v>0</v>
      </c>
      <c r="AS583" s="30" t="n">
        <f aca="false">AP583-AP582</f>
        <v>0</v>
      </c>
      <c r="AT583" s="30" t="n">
        <f aca="false">-AR583*AP583</f>
        <v>-0</v>
      </c>
      <c r="AU583" s="30" t="n">
        <f aca="false">AT583-AT582</f>
        <v>0</v>
      </c>
      <c r="AV583" s="30" t="n">
        <f aca="false">MAX(AS583,0)*(Inputs!$B$17+Inputs!$B$18+Inputs!$B$19)+MAX(-AS583,0)*(O583+Inputs!$B$18+Inputs!$B$19)+IF(AND(K583=1,AP583&lt;&gt;0),(Inputs!$B$17+Inputs!$B$18+Inputs!$B$19)+(O583+Inputs!$B$18+Inputs!$B$19),0)+MAX(AU583,0)*(Inputs!$B$20+Inputs!$B$22+Inputs!$B$23)+MAX(-AU583,0)*(Inputs!$B$21+Inputs!$B$22+Inputs!$B$23)</f>
        <v>0</v>
      </c>
      <c r="AW583" s="30" t="n">
        <f aca="false">AP582*(M583-AR582*J583)+AP582*AR582*N583/Inputs!$B$16-AV583</f>
        <v>0</v>
      </c>
      <c r="AX583" s="30" t="n">
        <f aca="false">AW583-IF(AP582&lt;&gt;0,0.75*AR582*(Inputs!$B$13-N583)/Inputs!$B$16,0)</f>
        <v>0</v>
      </c>
      <c r="AY583" s="30" t="n">
        <f aca="false">MAX(AS583,0)*(Inputs!$B$17+Inputs!$B$18+Inputs!$B$19)+MAX(-AS583,0)*(O583+Inputs!$B$18+Inputs!$B$19)+IF(AND(K583=1,AP583&lt;&gt;0),(Inputs!$B$17+Inputs!$B$18+Inputs!$B$19)+(O583+Inputs!$B$18+Inputs!$B$19),0)</f>
        <v>0</v>
      </c>
      <c r="AZ583" s="30" t="n">
        <f aca="false">AP582*M583-AY583</f>
        <v>-0</v>
      </c>
      <c r="BA583" s="32" t="n">
        <f aca="false">BA582+AI583</f>
        <v>0.0081476582830333</v>
      </c>
      <c r="BB583" s="30" t="n">
        <f aca="false">MAX(BB582,BA583)</f>
        <v>0.0108065678336457</v>
      </c>
      <c r="BC583" s="32" t="n">
        <f aca="false">BA583-BB583</f>
        <v>-0.00265890955061237</v>
      </c>
      <c r="BD583" s="30" t="n">
        <f aca="false">A584-A583</f>
        <v>3</v>
      </c>
    </row>
    <row r="584" customFormat="false" ht="15" hidden="false" customHeight="false" outlineLevel="0" collapsed="false">
      <c r="A584" s="28" t="n">
        <v>45901</v>
      </c>
      <c r="B584" s="0" t="n">
        <v>24759</v>
      </c>
      <c r="C584" s="0" t="n">
        <v>278.2</v>
      </c>
      <c r="D584" s="29" t="n">
        <f aca="false">LN(B584)</f>
        <v>10.1169443382608</v>
      </c>
      <c r="E584" s="29" t="n">
        <f aca="false">LN(C584)</f>
        <v>5.62834027948934</v>
      </c>
      <c r="F584" s="0" t="n">
        <v>579</v>
      </c>
      <c r="G584" s="0" t="n">
        <v>29</v>
      </c>
      <c r="H584" s="29" t="n">
        <f aca="false">D584-E584</f>
        <v>4.48860405877145</v>
      </c>
      <c r="I584" s="29" t="n">
        <f aca="false">D584-D583</f>
        <v>0.00747567008186145</v>
      </c>
      <c r="J584" s="29" t="n">
        <f aca="false">E584-E583</f>
        <v>0.00670828786081934</v>
      </c>
      <c r="K584" s="0" t="n">
        <v>0</v>
      </c>
      <c r="L584" s="0" t="n">
        <v>0</v>
      </c>
      <c r="M584" s="29" t="n">
        <f aca="false">IF(L584=1,J584-Carry!$B$9/Inputs!$B$16,I584)</f>
        <v>0.00747567008186145</v>
      </c>
      <c r="N584" s="0" t="n">
        <v>0.055</v>
      </c>
      <c r="O584" s="0" t="n">
        <v>0.0002</v>
      </c>
      <c r="P584" s="29" t="n">
        <f aca="false">D584-('2 Hedge ratio'!$B$6+'2 Hedge ratio'!$B$5*E584)</f>
        <v>-0.00114888327374985</v>
      </c>
      <c r="Q584" s="29" t="n">
        <f aca="false">D584-('5 Re-specification'!$B$7+'5 Re-specification'!$B$5*E584+'5 Re-specification'!$B$6*F584)</f>
        <v>0.000473798337845111</v>
      </c>
      <c r="R584" s="30" t="n">
        <f aca="false">MIN(F584,Inputs!$B$9)</f>
        <v>250</v>
      </c>
      <c r="S584" s="29" t="n">
        <f aca="true">IF(AND(F584&gt;=1,R584&gt;=Inputs!$B$10),INDEX(LINEST(OFFSET(D584,-R584,0,R584,1),OFFSET(E584,-R584,0,R584,2)),1,1),"")</f>
        <v>-4.15527751572142E-005</v>
      </c>
      <c r="T584" s="29" t="n">
        <f aca="true">IF(AND(F584&gt;=1,R584&gt;=Inputs!$B$10),INDEX(LINEST(OFFSET(D584,-R584,0,R584,1),OFFSET(E584,-R584,0,R584,2)),1,2),"")</f>
        <v>0.996139095142957</v>
      </c>
      <c r="U584" s="29" t="n">
        <f aca="true">IF(AND(F584&gt;=1,R584&gt;=Inputs!$B$10),INDEX(LINEST(OFFSET(D584,-R584,0,R584,1),OFFSET(E584,-R584,0,R584,2)),1,3),"")</f>
        <v>4.53430745225068</v>
      </c>
      <c r="V584" s="29" t="n">
        <f aca="true">IF(AND(F584&gt;=1,R584&gt;=Inputs!$B$10),SQRT(SUMPRODUCT((OFFSET(D584,-R584,0,R584,1)-U584-T584*OFFSET(E584,-R584,0,R584,1)-S584*OFFSET(F584,-R584,0,R584,1))^2)/(R584-3)),"")</f>
        <v>0.00258378506959474</v>
      </c>
      <c r="W584" s="31" t="n">
        <f aca="false">IF(AND(F584&gt;=1,R584&gt;=Inputs!$B$10),(D584-U584-T584*E584-S584*F584)/V584,"")</f>
        <v>0.0333424246408991</v>
      </c>
      <c r="X584" s="30" t="n">
        <f aca="false">IF(AB583&lt;&gt;0,AC583+1,0)</f>
        <v>0</v>
      </c>
      <c r="Y584" s="30" t="n">
        <f aca="false">IF(W584="",0,IF(AND(AB583&lt;&gt;0,OR(ABS(W584)&gt;Inputs!$B$7,X584&gt;=Inputs!$B$8,ABS(W584)&lt;Inputs!$B$6)),1,0))</f>
        <v>0</v>
      </c>
      <c r="Z584" s="30" t="n">
        <f aca="false">IF(Y584=1,0,AB583)</f>
        <v>0</v>
      </c>
      <c r="AA584" s="30" t="n">
        <f aca="false">IF(W584="",0,IF(AND(Z584=0,ABS(W584)&gt;Inputs!$B$5,ABS(W584)&lt;=Inputs!$B$7),1,0))</f>
        <v>0</v>
      </c>
      <c r="AB584" s="30" t="n">
        <f aca="false">IF(W584="",0,IF(AA584=1,-SIGN(W584),Z584))</f>
        <v>0</v>
      </c>
      <c r="AC584" s="30" t="n">
        <f aca="false">IF(W584="",0,IF(AA584=1,0,IF(Y584=1,0,X584)))</f>
        <v>0</v>
      </c>
      <c r="AD584" s="30" t="n">
        <f aca="false">IF(AB584=0,0,IF(AB583=AB584,AD583,T584))</f>
        <v>0</v>
      </c>
      <c r="AE584" s="30" t="n">
        <f aca="false">AB584-AB583</f>
        <v>0</v>
      </c>
      <c r="AF584" s="30" t="n">
        <f aca="false">-AD584*AB584</f>
        <v>-0</v>
      </c>
      <c r="AG584" s="30" t="n">
        <f aca="false">AF584-AF583</f>
        <v>0</v>
      </c>
      <c r="AH584" s="30" t="n">
        <f aca="false">MAX(AE584,0)*(Inputs!$B$17+Inputs!$B$18+Inputs!$B$19)+MAX(-AE584,0)*(O584+Inputs!$B$18+Inputs!$B$19)+IF(AND(K584=1,AB584&lt;&gt;0),(Inputs!$B$17+Inputs!$B$18+Inputs!$B$19)+(O584+Inputs!$B$18+Inputs!$B$19),0)+MAX(AG584,0)*(Inputs!$B$20+Inputs!$B$22+Inputs!$B$23)+MAX(-AG584,0)*(Inputs!$B$21+Inputs!$B$22+Inputs!$B$23)</f>
        <v>0</v>
      </c>
      <c r="AI584" s="30" t="n">
        <f aca="false">AB583*(M584-AD583*J584)+AB583*AD583*N584/Inputs!$B$16-AH584</f>
        <v>0</v>
      </c>
      <c r="AJ584" s="30" t="n">
        <f aca="false">MAX(AE584,0)*(Inputs!$B$17+Inputs!$B$24+Inputs!$B$25)+MAX(-AE584,0)*(O584+Inputs!$B$24+Inputs!$B$25)+IF(AND(K584=1,AB584&lt;&gt;0),(Inputs!$B$17+Inputs!$B$24+Inputs!$B$25)+(O584+Inputs!$B$24+Inputs!$B$25),0)+MAX(AG584,0)*(Inputs!$B$20+Inputs!$B$26+Inputs!$B$27)+MAX(-AG584,0)*(Inputs!$B$21+Inputs!$B$26+Inputs!$B$27)</f>
        <v>0</v>
      </c>
      <c r="AK584" s="30" t="n">
        <f aca="false">AB583*(M584-AD583*J584)+AB583*AD583*(N584+Inputs!$B$14)/Inputs!$B$16-AJ584</f>
        <v>0</v>
      </c>
      <c r="AL584" s="30" t="n">
        <f aca="false">IF(AP583&lt;&gt;0,AQ583+1,0)</f>
        <v>0</v>
      </c>
      <c r="AM584" s="30" t="n">
        <f aca="false">IF(W584="",0,IF(AND(AP583&lt;&gt;0,OR(ABS(W584)&gt;Inputs!$B$7,AL584&gt;=Inputs!$B$8,ABS(W584)&lt;Inputs!$B$6)),1,0))</f>
        <v>0</v>
      </c>
      <c r="AN584" s="30" t="n">
        <f aca="false">IF(AM584=1,0,AP583)</f>
        <v>0</v>
      </c>
      <c r="AO584" s="30" t="n">
        <f aca="false">IF(W584="",0,IF(AND(AN584=0,ABS(W584)&gt;Inputs!$B$5,ABS(W584)&lt;=Inputs!$B$7,W584&gt;0),1,0))</f>
        <v>0</v>
      </c>
      <c r="AP584" s="30" t="n">
        <f aca="false">IF(W584="",0,IF(AO584=1,-SIGN(W584),AN584))</f>
        <v>0</v>
      </c>
      <c r="AQ584" s="30" t="n">
        <f aca="false">IF(W584="",0,IF(AO584=1,0,IF(AM584=1,0,AL584)))</f>
        <v>0</v>
      </c>
      <c r="AR584" s="30" t="n">
        <f aca="false">IF(AP584=0,0,IF(AP583=AP584,AR583,T584))</f>
        <v>0</v>
      </c>
      <c r="AS584" s="30" t="n">
        <f aca="false">AP584-AP583</f>
        <v>0</v>
      </c>
      <c r="AT584" s="30" t="n">
        <f aca="false">-AR584*AP584</f>
        <v>-0</v>
      </c>
      <c r="AU584" s="30" t="n">
        <f aca="false">AT584-AT583</f>
        <v>0</v>
      </c>
      <c r="AV584" s="30" t="n">
        <f aca="false">MAX(AS584,0)*(Inputs!$B$17+Inputs!$B$18+Inputs!$B$19)+MAX(-AS584,0)*(O584+Inputs!$B$18+Inputs!$B$19)+IF(AND(K584=1,AP584&lt;&gt;0),(Inputs!$B$17+Inputs!$B$18+Inputs!$B$19)+(O584+Inputs!$B$18+Inputs!$B$19),0)+MAX(AU584,0)*(Inputs!$B$20+Inputs!$B$22+Inputs!$B$23)+MAX(-AU584,0)*(Inputs!$B$21+Inputs!$B$22+Inputs!$B$23)</f>
        <v>0</v>
      </c>
      <c r="AW584" s="30" t="n">
        <f aca="false">AP583*(M584-AR583*J584)+AP583*AR583*N584/Inputs!$B$16-AV584</f>
        <v>0</v>
      </c>
      <c r="AX584" s="30" t="n">
        <f aca="false">AW584-IF(AP583&lt;&gt;0,0.75*AR583*(Inputs!$B$13-N584)/Inputs!$B$16,0)</f>
        <v>0</v>
      </c>
      <c r="AY584" s="30" t="n">
        <f aca="false">MAX(AS584,0)*(Inputs!$B$17+Inputs!$B$18+Inputs!$B$19)+MAX(-AS584,0)*(O584+Inputs!$B$18+Inputs!$B$19)+IF(AND(K584=1,AP584&lt;&gt;0),(Inputs!$B$17+Inputs!$B$18+Inputs!$B$19)+(O584+Inputs!$B$18+Inputs!$B$19),0)</f>
        <v>0</v>
      </c>
      <c r="AZ584" s="30" t="n">
        <f aca="false">AP583*M584-AY584</f>
        <v>0</v>
      </c>
      <c r="BA584" s="32" t="n">
        <f aca="false">BA583+AI584</f>
        <v>0.0081476582830333</v>
      </c>
      <c r="BB584" s="30" t="n">
        <f aca="false">MAX(BB583,BA584)</f>
        <v>0.0108065678336457</v>
      </c>
      <c r="BC584" s="32" t="n">
        <f aca="false">BA584-BB584</f>
        <v>-0.00265890955061237</v>
      </c>
      <c r="BD584" s="30" t="n">
        <f aca="false">A585-A584</f>
        <v>1</v>
      </c>
    </row>
    <row r="585" customFormat="false" ht="15" hidden="false" customHeight="false" outlineLevel="0" collapsed="false">
      <c r="A585" s="28" t="n">
        <v>45902</v>
      </c>
      <c r="B585" s="0" t="n">
        <v>24683</v>
      </c>
      <c r="C585" s="0" t="n">
        <v>277.6</v>
      </c>
      <c r="D585" s="29" t="n">
        <f aca="false">LN(B585)</f>
        <v>10.1138700265477</v>
      </c>
      <c r="E585" s="29" t="n">
        <f aca="false">LN(C585)</f>
        <v>5.62618122863265</v>
      </c>
      <c r="F585" s="0" t="n">
        <v>580</v>
      </c>
      <c r="G585" s="0" t="n">
        <v>28</v>
      </c>
      <c r="H585" s="29" t="n">
        <f aca="false">D585-E585</f>
        <v>4.48768879791508</v>
      </c>
      <c r="I585" s="29" t="n">
        <f aca="false">D585-D584</f>
        <v>-0.00307431171306938</v>
      </c>
      <c r="J585" s="29" t="n">
        <f aca="false">E585-E584</f>
        <v>-0.00215905085669288</v>
      </c>
      <c r="K585" s="0" t="n">
        <v>0</v>
      </c>
      <c r="L585" s="0" t="n">
        <v>0</v>
      </c>
      <c r="M585" s="29" t="n">
        <f aca="false">IF(L585=1,J585-Carry!$B$9/Inputs!$B$16,I585)</f>
        <v>-0.00307431171306938</v>
      </c>
      <c r="N585" s="0" t="n">
        <v>0.055</v>
      </c>
      <c r="O585" s="0" t="n">
        <v>0.0002</v>
      </c>
      <c r="P585" s="29" t="n">
        <f aca="false">D585-('2 Hedge ratio'!$B$6+'2 Hedge ratio'!$B$5*E585)</f>
        <v>-0.0022452307224281</v>
      </c>
      <c r="Q585" s="29" t="n">
        <f aca="false">D585-('5 Re-specification'!$B$7+'5 Re-specification'!$B$5*E585+'5 Re-specification'!$B$6*F585)</f>
        <v>-0.000403076204101183</v>
      </c>
      <c r="R585" s="30" t="n">
        <f aca="false">MIN(F585,Inputs!$B$9)</f>
        <v>250</v>
      </c>
      <c r="S585" s="29" t="n">
        <f aca="true">IF(AND(F585&gt;=1,R585&gt;=Inputs!$B$10),INDEX(LINEST(OFFSET(D585,-R585,0,R585,1),OFFSET(E585,-R585,0,R585,2)),1,1),"")</f>
        <v>-4.16135720024479E-005</v>
      </c>
      <c r="T585" s="29" t="n">
        <f aca="true">IF(AND(F585&gt;=1,R585&gt;=Inputs!$B$10),INDEX(LINEST(OFFSET(D585,-R585,0,R585,1),OFFSET(E585,-R585,0,R585,2)),1,2),"")</f>
        <v>0.996205438129324</v>
      </c>
      <c r="U585" s="29" t="n">
        <f aca="true">IF(AND(F585&gt;=1,R585&gt;=Inputs!$B$10),INDEX(LINEST(OFFSET(D585,-R585,0,R585,1),OFFSET(E585,-R585,0,R585,2)),1,3),"")</f>
        <v>4.5339662677255</v>
      </c>
      <c r="V585" s="29" t="n">
        <f aca="true">IF(AND(F585&gt;=1,R585&gt;=Inputs!$B$10),SQRT(SUMPRODUCT((OFFSET(D585,-R585,0,R585,1)-U585-T585*OFFSET(E585,-R585,0,R585,1)-S585*OFFSET(F585,-R585,0,R585,1))^2)/(R585-3)),"")</f>
        <v>0.00258343185919474</v>
      </c>
      <c r="W585" s="31" t="n">
        <f aca="false">IF(AND(F585&gt;=1,R585&gt;=Inputs!$B$10),(D585-U585-T585*E585-S585*F585)/V585,"")</f>
        <v>-0.306841954627356</v>
      </c>
      <c r="X585" s="30" t="n">
        <f aca="false">IF(AB584&lt;&gt;0,AC584+1,0)</f>
        <v>0</v>
      </c>
      <c r="Y585" s="30" t="n">
        <f aca="false">IF(W585="",0,IF(AND(AB584&lt;&gt;0,OR(ABS(W585)&gt;Inputs!$B$7,X585&gt;=Inputs!$B$8,ABS(W585)&lt;Inputs!$B$6)),1,0))</f>
        <v>0</v>
      </c>
      <c r="Z585" s="30" t="n">
        <f aca="false">IF(Y585=1,0,AB584)</f>
        <v>0</v>
      </c>
      <c r="AA585" s="30" t="n">
        <f aca="false">IF(W585="",0,IF(AND(Z585=0,ABS(W585)&gt;Inputs!$B$5,ABS(W585)&lt;=Inputs!$B$7),1,0))</f>
        <v>0</v>
      </c>
      <c r="AB585" s="30" t="n">
        <f aca="false">IF(W585="",0,IF(AA585=1,-SIGN(W585),Z585))</f>
        <v>0</v>
      </c>
      <c r="AC585" s="30" t="n">
        <f aca="false">IF(W585="",0,IF(AA585=1,0,IF(Y585=1,0,X585)))</f>
        <v>0</v>
      </c>
      <c r="AD585" s="30" t="n">
        <f aca="false">IF(AB585=0,0,IF(AB584=AB585,AD584,T585))</f>
        <v>0</v>
      </c>
      <c r="AE585" s="30" t="n">
        <f aca="false">AB585-AB584</f>
        <v>0</v>
      </c>
      <c r="AF585" s="30" t="n">
        <f aca="false">-AD585*AB585</f>
        <v>-0</v>
      </c>
      <c r="AG585" s="30" t="n">
        <f aca="false">AF585-AF584</f>
        <v>0</v>
      </c>
      <c r="AH585" s="30" t="n">
        <f aca="false">MAX(AE585,0)*(Inputs!$B$17+Inputs!$B$18+Inputs!$B$19)+MAX(-AE585,0)*(O585+Inputs!$B$18+Inputs!$B$19)+IF(AND(K585=1,AB585&lt;&gt;0),(Inputs!$B$17+Inputs!$B$18+Inputs!$B$19)+(O585+Inputs!$B$18+Inputs!$B$19),0)+MAX(AG585,0)*(Inputs!$B$20+Inputs!$B$22+Inputs!$B$23)+MAX(-AG585,0)*(Inputs!$B$21+Inputs!$B$22+Inputs!$B$23)</f>
        <v>0</v>
      </c>
      <c r="AI585" s="30" t="n">
        <f aca="false">AB584*(M585-AD584*J585)+AB584*AD584*N585/Inputs!$B$16-AH585</f>
        <v>0</v>
      </c>
      <c r="AJ585" s="30" t="n">
        <f aca="false">MAX(AE585,0)*(Inputs!$B$17+Inputs!$B$24+Inputs!$B$25)+MAX(-AE585,0)*(O585+Inputs!$B$24+Inputs!$B$25)+IF(AND(K585=1,AB585&lt;&gt;0),(Inputs!$B$17+Inputs!$B$24+Inputs!$B$25)+(O585+Inputs!$B$24+Inputs!$B$25),0)+MAX(AG585,0)*(Inputs!$B$20+Inputs!$B$26+Inputs!$B$27)+MAX(-AG585,0)*(Inputs!$B$21+Inputs!$B$26+Inputs!$B$27)</f>
        <v>0</v>
      </c>
      <c r="AK585" s="30" t="n">
        <f aca="false">AB584*(M585-AD584*J585)+AB584*AD584*(N585+Inputs!$B$14)/Inputs!$B$16-AJ585</f>
        <v>0</v>
      </c>
      <c r="AL585" s="30" t="n">
        <f aca="false">IF(AP584&lt;&gt;0,AQ584+1,0)</f>
        <v>0</v>
      </c>
      <c r="AM585" s="30" t="n">
        <f aca="false">IF(W585="",0,IF(AND(AP584&lt;&gt;0,OR(ABS(W585)&gt;Inputs!$B$7,AL585&gt;=Inputs!$B$8,ABS(W585)&lt;Inputs!$B$6)),1,0))</f>
        <v>0</v>
      </c>
      <c r="AN585" s="30" t="n">
        <f aca="false">IF(AM585=1,0,AP584)</f>
        <v>0</v>
      </c>
      <c r="AO585" s="30" t="n">
        <f aca="false">IF(W585="",0,IF(AND(AN585=0,ABS(W585)&gt;Inputs!$B$5,ABS(W585)&lt;=Inputs!$B$7,W585&gt;0),1,0))</f>
        <v>0</v>
      </c>
      <c r="AP585" s="30" t="n">
        <f aca="false">IF(W585="",0,IF(AO585=1,-SIGN(W585),AN585))</f>
        <v>0</v>
      </c>
      <c r="AQ585" s="30" t="n">
        <f aca="false">IF(W585="",0,IF(AO585=1,0,IF(AM585=1,0,AL585)))</f>
        <v>0</v>
      </c>
      <c r="AR585" s="30" t="n">
        <f aca="false">IF(AP585=0,0,IF(AP584=AP585,AR584,T585))</f>
        <v>0</v>
      </c>
      <c r="AS585" s="30" t="n">
        <f aca="false">AP585-AP584</f>
        <v>0</v>
      </c>
      <c r="AT585" s="30" t="n">
        <f aca="false">-AR585*AP585</f>
        <v>-0</v>
      </c>
      <c r="AU585" s="30" t="n">
        <f aca="false">AT585-AT584</f>
        <v>0</v>
      </c>
      <c r="AV585" s="30" t="n">
        <f aca="false">MAX(AS585,0)*(Inputs!$B$17+Inputs!$B$18+Inputs!$B$19)+MAX(-AS585,0)*(O585+Inputs!$B$18+Inputs!$B$19)+IF(AND(K585=1,AP585&lt;&gt;0),(Inputs!$B$17+Inputs!$B$18+Inputs!$B$19)+(O585+Inputs!$B$18+Inputs!$B$19),0)+MAX(AU585,0)*(Inputs!$B$20+Inputs!$B$22+Inputs!$B$23)+MAX(-AU585,0)*(Inputs!$B$21+Inputs!$B$22+Inputs!$B$23)</f>
        <v>0</v>
      </c>
      <c r="AW585" s="30" t="n">
        <f aca="false">AP584*(M585-AR584*J585)+AP584*AR584*N585/Inputs!$B$16-AV585</f>
        <v>0</v>
      </c>
      <c r="AX585" s="30" t="n">
        <f aca="false">AW585-IF(AP584&lt;&gt;0,0.75*AR584*(Inputs!$B$13-N585)/Inputs!$B$16,0)</f>
        <v>0</v>
      </c>
      <c r="AY585" s="30" t="n">
        <f aca="false">MAX(AS585,0)*(Inputs!$B$17+Inputs!$B$18+Inputs!$B$19)+MAX(-AS585,0)*(O585+Inputs!$B$18+Inputs!$B$19)+IF(AND(K585=1,AP585&lt;&gt;0),(Inputs!$B$17+Inputs!$B$18+Inputs!$B$19)+(O585+Inputs!$B$18+Inputs!$B$19),0)</f>
        <v>0</v>
      </c>
      <c r="AZ585" s="30" t="n">
        <f aca="false">AP584*M585-AY585</f>
        <v>-0</v>
      </c>
      <c r="BA585" s="32" t="n">
        <f aca="false">BA584+AI585</f>
        <v>0.0081476582830333</v>
      </c>
      <c r="BB585" s="30" t="n">
        <f aca="false">MAX(BB584,BA585)</f>
        <v>0.0108065678336457</v>
      </c>
      <c r="BC585" s="32" t="n">
        <f aca="false">BA585-BB585</f>
        <v>-0.00265890955061237</v>
      </c>
      <c r="BD585" s="30" t="n">
        <f aca="false">A586-A585</f>
        <v>1</v>
      </c>
    </row>
    <row r="586" customFormat="false" ht="15" hidden="false" customHeight="false" outlineLevel="0" collapsed="false">
      <c r="A586" s="28" t="n">
        <v>45903</v>
      </c>
      <c r="B586" s="0" t="n">
        <v>24820</v>
      </c>
      <c r="C586" s="0" t="n">
        <v>278.84</v>
      </c>
      <c r="D586" s="29" t="n">
        <f aca="false">LN(B586)</f>
        <v>10.1194050587586</v>
      </c>
      <c r="E586" s="29" t="n">
        <f aca="false">LN(C586)</f>
        <v>5.6306381406182</v>
      </c>
      <c r="F586" s="0" t="n">
        <v>581</v>
      </c>
      <c r="G586" s="0" t="n">
        <v>27</v>
      </c>
      <c r="H586" s="29" t="n">
        <f aca="false">D586-E586</f>
        <v>4.4887669181404</v>
      </c>
      <c r="I586" s="29" t="n">
        <f aca="false">D586-D585</f>
        <v>0.00553503221087404</v>
      </c>
      <c r="J586" s="29" t="n">
        <f aca="false">E586-E585</f>
        <v>0.00445691198554865</v>
      </c>
      <c r="K586" s="0" t="n">
        <v>0</v>
      </c>
      <c r="L586" s="0" t="n">
        <v>0</v>
      </c>
      <c r="M586" s="29" t="n">
        <f aca="false">IF(L586=1,J586-Carry!$B$9/Inputs!$B$16,I586)</f>
        <v>0.00553503221087404</v>
      </c>
      <c r="N586" s="0" t="n">
        <v>0.055</v>
      </c>
      <c r="O586" s="0" t="n">
        <v>0.0002</v>
      </c>
      <c r="P586" s="29" t="n">
        <f aca="false">D586-('2 Hedge ratio'!$B$6+'2 Hedge ratio'!$B$5*E586)</f>
        <v>-0.000793294845124137</v>
      </c>
      <c r="Q586" s="29" t="n">
        <f aca="false">D586-('5 Re-specification'!$B$7+'5 Re-specification'!$B$5*E586+'5 Re-specification'!$B$6*F586)</f>
        <v>0.000733480011186671</v>
      </c>
      <c r="R586" s="30" t="n">
        <f aca="false">MIN(F586,Inputs!$B$9)</f>
        <v>250</v>
      </c>
      <c r="S586" s="29" t="n">
        <f aca="true">IF(AND(F586&gt;=1,R586&gt;=Inputs!$B$10),INDEX(LINEST(OFFSET(D586,-R586,0,R586,1),OFFSET(E586,-R586,0,R586,2)),1,1),"")</f>
        <v>-4.17710192367589E-005</v>
      </c>
      <c r="T586" s="29" t="n">
        <f aca="true">IF(AND(F586&gt;=1,R586&gt;=Inputs!$B$10),INDEX(LINEST(OFFSET(D586,-R586,0,R586,1),OFFSET(E586,-R586,0,R586,2)),1,2),"")</f>
        <v>0.996264197347999</v>
      </c>
      <c r="U586" s="29" t="n">
        <f aca="true">IF(AND(F586&gt;=1,R586&gt;=Inputs!$B$10),INDEX(LINEST(OFFSET(D586,-R586,0,R586,1),OFFSET(E586,-R586,0,R586,2)),1,3),"")</f>
        <v>4.53370869332586</v>
      </c>
      <c r="V586" s="29" t="n">
        <f aca="true">IF(AND(F586&gt;=1,R586&gt;=Inputs!$B$10),SQRT(SUMPRODUCT((OFFSET(D586,-R586,0,R586,1)-U586-T586*OFFSET(E586,-R586,0,R586,1)-S586*OFFSET(F586,-R586,0,R586,1))^2)/(R586-3)),"")</f>
        <v>0.00258339273283975</v>
      </c>
      <c r="W586" s="31" t="n">
        <f aca="false">IF(AND(F586&gt;=1,R586&gt;=Inputs!$B$10),(D586-U586-T586*E586-S586*F586)/V586,"")</f>
        <v>0.140179959738945</v>
      </c>
      <c r="X586" s="30" t="n">
        <f aca="false">IF(AB585&lt;&gt;0,AC585+1,0)</f>
        <v>0</v>
      </c>
      <c r="Y586" s="30" t="n">
        <f aca="false">IF(W586="",0,IF(AND(AB585&lt;&gt;0,OR(ABS(W586)&gt;Inputs!$B$7,X586&gt;=Inputs!$B$8,ABS(W586)&lt;Inputs!$B$6)),1,0))</f>
        <v>0</v>
      </c>
      <c r="Z586" s="30" t="n">
        <f aca="false">IF(Y586=1,0,AB585)</f>
        <v>0</v>
      </c>
      <c r="AA586" s="30" t="n">
        <f aca="false">IF(W586="",0,IF(AND(Z586=0,ABS(W586)&gt;Inputs!$B$5,ABS(W586)&lt;=Inputs!$B$7),1,0))</f>
        <v>0</v>
      </c>
      <c r="AB586" s="30" t="n">
        <f aca="false">IF(W586="",0,IF(AA586=1,-SIGN(W586),Z586))</f>
        <v>0</v>
      </c>
      <c r="AC586" s="30" t="n">
        <f aca="false">IF(W586="",0,IF(AA586=1,0,IF(Y586=1,0,X586)))</f>
        <v>0</v>
      </c>
      <c r="AD586" s="30" t="n">
        <f aca="false">IF(AB586=0,0,IF(AB585=AB586,AD585,T586))</f>
        <v>0</v>
      </c>
      <c r="AE586" s="30" t="n">
        <f aca="false">AB586-AB585</f>
        <v>0</v>
      </c>
      <c r="AF586" s="30" t="n">
        <f aca="false">-AD586*AB586</f>
        <v>-0</v>
      </c>
      <c r="AG586" s="30" t="n">
        <f aca="false">AF586-AF585</f>
        <v>0</v>
      </c>
      <c r="AH586" s="30" t="n">
        <f aca="false">MAX(AE586,0)*(Inputs!$B$17+Inputs!$B$18+Inputs!$B$19)+MAX(-AE586,0)*(O586+Inputs!$B$18+Inputs!$B$19)+IF(AND(K586=1,AB586&lt;&gt;0),(Inputs!$B$17+Inputs!$B$18+Inputs!$B$19)+(O586+Inputs!$B$18+Inputs!$B$19),0)+MAX(AG586,0)*(Inputs!$B$20+Inputs!$B$22+Inputs!$B$23)+MAX(-AG586,0)*(Inputs!$B$21+Inputs!$B$22+Inputs!$B$23)</f>
        <v>0</v>
      </c>
      <c r="AI586" s="30" t="n">
        <f aca="false">AB585*(M586-AD585*J586)+AB585*AD585*N586/Inputs!$B$16-AH586</f>
        <v>0</v>
      </c>
      <c r="AJ586" s="30" t="n">
        <f aca="false">MAX(AE586,0)*(Inputs!$B$17+Inputs!$B$24+Inputs!$B$25)+MAX(-AE586,0)*(O586+Inputs!$B$24+Inputs!$B$25)+IF(AND(K586=1,AB586&lt;&gt;0),(Inputs!$B$17+Inputs!$B$24+Inputs!$B$25)+(O586+Inputs!$B$24+Inputs!$B$25),0)+MAX(AG586,0)*(Inputs!$B$20+Inputs!$B$26+Inputs!$B$27)+MAX(-AG586,0)*(Inputs!$B$21+Inputs!$B$26+Inputs!$B$27)</f>
        <v>0</v>
      </c>
      <c r="AK586" s="30" t="n">
        <f aca="false">AB585*(M586-AD585*J586)+AB585*AD585*(N586+Inputs!$B$14)/Inputs!$B$16-AJ586</f>
        <v>0</v>
      </c>
      <c r="AL586" s="30" t="n">
        <f aca="false">IF(AP585&lt;&gt;0,AQ585+1,0)</f>
        <v>0</v>
      </c>
      <c r="AM586" s="30" t="n">
        <f aca="false">IF(W586="",0,IF(AND(AP585&lt;&gt;0,OR(ABS(W586)&gt;Inputs!$B$7,AL586&gt;=Inputs!$B$8,ABS(W586)&lt;Inputs!$B$6)),1,0))</f>
        <v>0</v>
      </c>
      <c r="AN586" s="30" t="n">
        <f aca="false">IF(AM586=1,0,AP585)</f>
        <v>0</v>
      </c>
      <c r="AO586" s="30" t="n">
        <f aca="false">IF(W586="",0,IF(AND(AN586=0,ABS(W586)&gt;Inputs!$B$5,ABS(W586)&lt;=Inputs!$B$7,W586&gt;0),1,0))</f>
        <v>0</v>
      </c>
      <c r="AP586" s="30" t="n">
        <f aca="false">IF(W586="",0,IF(AO586=1,-SIGN(W586),AN586))</f>
        <v>0</v>
      </c>
      <c r="AQ586" s="30" t="n">
        <f aca="false">IF(W586="",0,IF(AO586=1,0,IF(AM586=1,0,AL586)))</f>
        <v>0</v>
      </c>
      <c r="AR586" s="30" t="n">
        <f aca="false">IF(AP586=0,0,IF(AP585=AP586,AR585,T586))</f>
        <v>0</v>
      </c>
      <c r="AS586" s="30" t="n">
        <f aca="false">AP586-AP585</f>
        <v>0</v>
      </c>
      <c r="AT586" s="30" t="n">
        <f aca="false">-AR586*AP586</f>
        <v>-0</v>
      </c>
      <c r="AU586" s="30" t="n">
        <f aca="false">AT586-AT585</f>
        <v>0</v>
      </c>
      <c r="AV586" s="30" t="n">
        <f aca="false">MAX(AS586,0)*(Inputs!$B$17+Inputs!$B$18+Inputs!$B$19)+MAX(-AS586,0)*(O586+Inputs!$B$18+Inputs!$B$19)+IF(AND(K586=1,AP586&lt;&gt;0),(Inputs!$B$17+Inputs!$B$18+Inputs!$B$19)+(O586+Inputs!$B$18+Inputs!$B$19),0)+MAX(AU586,0)*(Inputs!$B$20+Inputs!$B$22+Inputs!$B$23)+MAX(-AU586,0)*(Inputs!$B$21+Inputs!$B$22+Inputs!$B$23)</f>
        <v>0</v>
      </c>
      <c r="AW586" s="30" t="n">
        <f aca="false">AP585*(M586-AR585*J586)+AP585*AR585*N586/Inputs!$B$16-AV586</f>
        <v>0</v>
      </c>
      <c r="AX586" s="30" t="n">
        <f aca="false">AW586-IF(AP585&lt;&gt;0,0.75*AR585*(Inputs!$B$13-N586)/Inputs!$B$16,0)</f>
        <v>0</v>
      </c>
      <c r="AY586" s="30" t="n">
        <f aca="false">MAX(AS586,0)*(Inputs!$B$17+Inputs!$B$18+Inputs!$B$19)+MAX(-AS586,0)*(O586+Inputs!$B$18+Inputs!$B$19)+IF(AND(K586=1,AP586&lt;&gt;0),(Inputs!$B$17+Inputs!$B$18+Inputs!$B$19)+(O586+Inputs!$B$18+Inputs!$B$19),0)</f>
        <v>0</v>
      </c>
      <c r="AZ586" s="30" t="n">
        <f aca="false">AP585*M586-AY586</f>
        <v>0</v>
      </c>
      <c r="BA586" s="32" t="n">
        <f aca="false">BA585+AI586</f>
        <v>0.0081476582830333</v>
      </c>
      <c r="BB586" s="30" t="n">
        <f aca="false">MAX(BB585,BA586)</f>
        <v>0.0108065678336457</v>
      </c>
      <c r="BC586" s="32" t="n">
        <f aca="false">BA586-BB586</f>
        <v>-0.00265890955061237</v>
      </c>
      <c r="BD586" s="30" t="n">
        <f aca="false">A587-A586</f>
        <v>1</v>
      </c>
    </row>
    <row r="587" customFormat="false" ht="15" hidden="false" customHeight="false" outlineLevel="0" collapsed="false">
      <c r="A587" s="28" t="n">
        <v>45904</v>
      </c>
      <c r="B587" s="0" t="n">
        <v>24835</v>
      </c>
      <c r="C587" s="0" t="n">
        <v>279.61</v>
      </c>
      <c r="D587" s="29" t="n">
        <f aca="false">LN(B587)</f>
        <v>10.1200092275415</v>
      </c>
      <c r="E587" s="29" t="n">
        <f aca="false">LN(C587)</f>
        <v>5.6333957750992</v>
      </c>
      <c r="F587" s="0" t="n">
        <v>582</v>
      </c>
      <c r="G587" s="0" t="n">
        <v>26</v>
      </c>
      <c r="H587" s="29" t="n">
        <f aca="false">D587-E587</f>
        <v>4.48661345244225</v>
      </c>
      <c r="I587" s="29" t="n">
        <f aca="false">D587-D586</f>
        <v>0.000604168782851744</v>
      </c>
      <c r="J587" s="29" t="n">
        <f aca="false">E587-E586</f>
        <v>0.00275763448100452</v>
      </c>
      <c r="K587" s="0" t="n">
        <v>0</v>
      </c>
      <c r="L587" s="0" t="n">
        <v>0</v>
      </c>
      <c r="M587" s="29" t="n">
        <f aca="false">IF(L587=1,J587-Carry!$B$9/Inputs!$B$16,I587)</f>
        <v>0.000604168782851744</v>
      </c>
      <c r="N587" s="0" t="n">
        <v>0.055</v>
      </c>
      <c r="O587" s="0" t="n">
        <v>0.0002</v>
      </c>
      <c r="P587" s="29" t="n">
        <f aca="false">D587-('2 Hedge ratio'!$B$6+'2 Hedge ratio'!$B$5*E587)</f>
        <v>-0.00271546880254014</v>
      </c>
      <c r="Q587" s="29" t="n">
        <f aca="false">D587-('5 Re-specification'!$B$7+'5 Re-specification'!$B$5*E587+'5 Re-specification'!$B$6*F587)</f>
        <v>-0.00136669935751677</v>
      </c>
      <c r="R587" s="30" t="n">
        <f aca="false">MIN(F587,Inputs!$B$9)</f>
        <v>250</v>
      </c>
      <c r="S587" s="29" t="n">
        <f aca="true">IF(AND(F587&gt;=1,R587&gt;=Inputs!$B$10),INDEX(LINEST(OFFSET(D587,-R587,0,R587,1),OFFSET(E587,-R587,0,R587,2)),1,1),"")</f>
        <v>-4.12913013559423E-005</v>
      </c>
      <c r="T587" s="29" t="n">
        <f aca="true">IF(AND(F587&gt;=1,R587&gt;=Inputs!$B$10),INDEX(LINEST(OFFSET(D587,-R587,0,R587,1),OFFSET(E587,-R587,0,R587,2)),1,2),"")</f>
        <v>0.995763762999781</v>
      </c>
      <c r="U587" s="29" t="n">
        <f aca="true">IF(AND(F587&gt;=1,R587&gt;=Inputs!$B$10),INDEX(LINEST(OFFSET(D587,-R587,0,R587,1),OFFSET(E587,-R587,0,R587,2)),1,3),"")</f>
        <v>4.53627911242546</v>
      </c>
      <c r="V587" s="29" t="n">
        <f aca="true">IF(AND(F587&gt;=1,R587&gt;=Inputs!$B$10),SQRT(SUMPRODUCT((OFFSET(D587,-R587,0,R587,1)-U587-T587*OFFSET(E587,-R587,0,R587,1)-S587*OFFSET(F587,-R587,0,R587,1))^2)/(R587-3)),"")</f>
        <v>0.00256918104121908</v>
      </c>
      <c r="W587" s="31" t="n">
        <f aca="false">IF(AND(F587&gt;=1,R587&gt;=Inputs!$B$10),(D587-U587-T587*E587-S587*F587)/V587,"")</f>
        <v>-0.688827663878551</v>
      </c>
      <c r="X587" s="30" t="n">
        <f aca="false">IF(AB586&lt;&gt;0,AC586+1,0)</f>
        <v>0</v>
      </c>
      <c r="Y587" s="30" t="n">
        <f aca="false">IF(W587="",0,IF(AND(AB586&lt;&gt;0,OR(ABS(W587)&gt;Inputs!$B$7,X587&gt;=Inputs!$B$8,ABS(W587)&lt;Inputs!$B$6)),1,0))</f>
        <v>0</v>
      </c>
      <c r="Z587" s="30" t="n">
        <f aca="false">IF(Y587=1,0,AB586)</f>
        <v>0</v>
      </c>
      <c r="AA587" s="30" t="n">
        <f aca="false">IF(W587="",0,IF(AND(Z587=0,ABS(W587)&gt;Inputs!$B$5,ABS(W587)&lt;=Inputs!$B$7),1,0))</f>
        <v>0</v>
      </c>
      <c r="AB587" s="30" t="n">
        <f aca="false">IF(W587="",0,IF(AA587=1,-SIGN(W587),Z587))</f>
        <v>0</v>
      </c>
      <c r="AC587" s="30" t="n">
        <f aca="false">IF(W587="",0,IF(AA587=1,0,IF(Y587=1,0,X587)))</f>
        <v>0</v>
      </c>
      <c r="AD587" s="30" t="n">
        <f aca="false">IF(AB587=0,0,IF(AB586=AB587,AD586,T587))</f>
        <v>0</v>
      </c>
      <c r="AE587" s="30" t="n">
        <f aca="false">AB587-AB586</f>
        <v>0</v>
      </c>
      <c r="AF587" s="30" t="n">
        <f aca="false">-AD587*AB587</f>
        <v>-0</v>
      </c>
      <c r="AG587" s="30" t="n">
        <f aca="false">AF587-AF586</f>
        <v>0</v>
      </c>
      <c r="AH587" s="30" t="n">
        <f aca="false">MAX(AE587,0)*(Inputs!$B$17+Inputs!$B$18+Inputs!$B$19)+MAX(-AE587,0)*(O587+Inputs!$B$18+Inputs!$B$19)+IF(AND(K587=1,AB587&lt;&gt;0),(Inputs!$B$17+Inputs!$B$18+Inputs!$B$19)+(O587+Inputs!$B$18+Inputs!$B$19),0)+MAX(AG587,0)*(Inputs!$B$20+Inputs!$B$22+Inputs!$B$23)+MAX(-AG587,0)*(Inputs!$B$21+Inputs!$B$22+Inputs!$B$23)</f>
        <v>0</v>
      </c>
      <c r="AI587" s="30" t="n">
        <f aca="false">AB586*(M587-AD586*J587)+AB586*AD586*N587/Inputs!$B$16-AH587</f>
        <v>0</v>
      </c>
      <c r="AJ587" s="30" t="n">
        <f aca="false">MAX(AE587,0)*(Inputs!$B$17+Inputs!$B$24+Inputs!$B$25)+MAX(-AE587,0)*(O587+Inputs!$B$24+Inputs!$B$25)+IF(AND(K587=1,AB587&lt;&gt;0),(Inputs!$B$17+Inputs!$B$24+Inputs!$B$25)+(O587+Inputs!$B$24+Inputs!$B$25),0)+MAX(AG587,0)*(Inputs!$B$20+Inputs!$B$26+Inputs!$B$27)+MAX(-AG587,0)*(Inputs!$B$21+Inputs!$B$26+Inputs!$B$27)</f>
        <v>0</v>
      </c>
      <c r="AK587" s="30" t="n">
        <f aca="false">AB586*(M587-AD586*J587)+AB586*AD586*(N587+Inputs!$B$14)/Inputs!$B$16-AJ587</f>
        <v>0</v>
      </c>
      <c r="AL587" s="30" t="n">
        <f aca="false">IF(AP586&lt;&gt;0,AQ586+1,0)</f>
        <v>0</v>
      </c>
      <c r="AM587" s="30" t="n">
        <f aca="false">IF(W587="",0,IF(AND(AP586&lt;&gt;0,OR(ABS(W587)&gt;Inputs!$B$7,AL587&gt;=Inputs!$B$8,ABS(W587)&lt;Inputs!$B$6)),1,0))</f>
        <v>0</v>
      </c>
      <c r="AN587" s="30" t="n">
        <f aca="false">IF(AM587=1,0,AP586)</f>
        <v>0</v>
      </c>
      <c r="AO587" s="30" t="n">
        <f aca="false">IF(W587="",0,IF(AND(AN587=0,ABS(W587)&gt;Inputs!$B$5,ABS(W587)&lt;=Inputs!$B$7,W587&gt;0),1,0))</f>
        <v>0</v>
      </c>
      <c r="AP587" s="30" t="n">
        <f aca="false">IF(W587="",0,IF(AO587=1,-SIGN(W587),AN587))</f>
        <v>0</v>
      </c>
      <c r="AQ587" s="30" t="n">
        <f aca="false">IF(W587="",0,IF(AO587=1,0,IF(AM587=1,0,AL587)))</f>
        <v>0</v>
      </c>
      <c r="AR587" s="30" t="n">
        <f aca="false">IF(AP587=0,0,IF(AP586=AP587,AR586,T587))</f>
        <v>0</v>
      </c>
      <c r="AS587" s="30" t="n">
        <f aca="false">AP587-AP586</f>
        <v>0</v>
      </c>
      <c r="AT587" s="30" t="n">
        <f aca="false">-AR587*AP587</f>
        <v>-0</v>
      </c>
      <c r="AU587" s="30" t="n">
        <f aca="false">AT587-AT586</f>
        <v>0</v>
      </c>
      <c r="AV587" s="30" t="n">
        <f aca="false">MAX(AS587,0)*(Inputs!$B$17+Inputs!$B$18+Inputs!$B$19)+MAX(-AS587,0)*(O587+Inputs!$B$18+Inputs!$B$19)+IF(AND(K587=1,AP587&lt;&gt;0),(Inputs!$B$17+Inputs!$B$18+Inputs!$B$19)+(O587+Inputs!$B$18+Inputs!$B$19),0)+MAX(AU587,0)*(Inputs!$B$20+Inputs!$B$22+Inputs!$B$23)+MAX(-AU587,0)*(Inputs!$B$21+Inputs!$B$22+Inputs!$B$23)</f>
        <v>0</v>
      </c>
      <c r="AW587" s="30" t="n">
        <f aca="false">AP586*(M587-AR586*J587)+AP586*AR586*N587/Inputs!$B$16-AV587</f>
        <v>0</v>
      </c>
      <c r="AX587" s="30" t="n">
        <f aca="false">AW587-IF(AP586&lt;&gt;0,0.75*AR586*(Inputs!$B$13-N587)/Inputs!$B$16,0)</f>
        <v>0</v>
      </c>
      <c r="AY587" s="30" t="n">
        <f aca="false">MAX(AS587,0)*(Inputs!$B$17+Inputs!$B$18+Inputs!$B$19)+MAX(-AS587,0)*(O587+Inputs!$B$18+Inputs!$B$19)+IF(AND(K587=1,AP587&lt;&gt;0),(Inputs!$B$17+Inputs!$B$18+Inputs!$B$19)+(O587+Inputs!$B$18+Inputs!$B$19),0)</f>
        <v>0</v>
      </c>
      <c r="AZ587" s="30" t="n">
        <f aca="false">AP586*M587-AY587</f>
        <v>0</v>
      </c>
      <c r="BA587" s="32" t="n">
        <f aca="false">BA586+AI587</f>
        <v>0.0081476582830333</v>
      </c>
      <c r="BB587" s="30" t="n">
        <f aca="false">MAX(BB586,BA587)</f>
        <v>0.0108065678336457</v>
      </c>
      <c r="BC587" s="32" t="n">
        <f aca="false">BA587-BB587</f>
        <v>-0.00265890955061237</v>
      </c>
      <c r="BD587" s="30" t="n">
        <f aca="false">A588-A587</f>
        <v>1</v>
      </c>
    </row>
    <row r="588" customFormat="false" ht="15" hidden="false" customHeight="false" outlineLevel="0" collapsed="false">
      <c r="A588" s="28" t="n">
        <v>45905</v>
      </c>
      <c r="B588" s="0" t="n">
        <v>24849.6</v>
      </c>
      <c r="C588" s="0" t="n">
        <v>279.6</v>
      </c>
      <c r="D588" s="29" t="n">
        <f aca="false">LN(B588)</f>
        <v>10.1205969348157</v>
      </c>
      <c r="E588" s="29" t="n">
        <f aca="false">LN(C588)</f>
        <v>5.63336001035966</v>
      </c>
      <c r="F588" s="0" t="n">
        <v>583</v>
      </c>
      <c r="G588" s="0" t="n">
        <v>25</v>
      </c>
      <c r="H588" s="29" t="n">
        <f aca="false">D588-E588</f>
        <v>4.48723692445609</v>
      </c>
      <c r="I588" s="29" t="n">
        <f aca="false">D588-D587</f>
        <v>0.000587707274297245</v>
      </c>
      <c r="J588" s="29" t="n">
        <f aca="false">E588-E587</f>
        <v>-3.57647395476945E-005</v>
      </c>
      <c r="K588" s="0" t="n">
        <v>0</v>
      </c>
      <c r="L588" s="0" t="n">
        <v>0</v>
      </c>
      <c r="M588" s="29" t="n">
        <f aca="false">IF(L588=1,J588-Carry!$B$9/Inputs!$B$16,I588)</f>
        <v>0.000587707274297245</v>
      </c>
      <c r="N588" s="0" t="n">
        <v>0.055</v>
      </c>
      <c r="O588" s="0" t="n">
        <v>0.0002</v>
      </c>
      <c r="P588" s="29" t="n">
        <f aca="false">D588-('2 Hedge ratio'!$B$6+'2 Hedge ratio'!$B$5*E588)</f>
        <v>-0.00209499649330702</v>
      </c>
      <c r="Q588" s="29" t="n">
        <f aca="false">D588-('5 Re-specification'!$B$7+'5 Re-specification'!$B$5*E588+'5 Re-specification'!$B$6*F588)</f>
        <v>-0.000698406410618802</v>
      </c>
      <c r="R588" s="30" t="n">
        <f aca="false">MIN(F588,Inputs!$B$9)</f>
        <v>250</v>
      </c>
      <c r="S588" s="29" t="n">
        <f aca="true">IF(AND(F588&gt;=1,R588&gt;=Inputs!$B$10),INDEX(LINEST(OFFSET(D588,-R588,0,R588,1),OFFSET(E588,-R588,0,R588,2)),1,1),"")</f>
        <v>-4.12997382951159E-005</v>
      </c>
      <c r="T588" s="29" t="n">
        <f aca="true">IF(AND(F588&gt;=1,R588&gt;=Inputs!$B$10),INDEX(LINEST(OFFSET(D588,-R588,0,R588,1),OFFSET(E588,-R588,0,R588,2)),1,2),"")</f>
        <v>0.995491700283667</v>
      </c>
      <c r="U588" s="29" t="n">
        <f aca="true">IF(AND(F588&gt;=1,R588&gt;=Inputs!$B$10),INDEX(LINEST(OFFSET(D588,-R588,0,R588,1),OFFSET(E588,-R588,0,R588,2)),1,3),"")</f>
        <v>4.53779500921733</v>
      </c>
      <c r="V588" s="29" t="n">
        <f aca="true">IF(AND(F588&gt;=1,R588&gt;=Inputs!$B$10),SQRT(SUMPRODUCT((OFFSET(D588,-R588,0,R588,1)-U588-T588*OFFSET(E588,-R588,0,R588,1)-S588*OFFSET(F588,-R588,0,R588,1))^2)/(R588-3)),"")</f>
        <v>0.00256997190673106</v>
      </c>
      <c r="W588" s="31" t="n">
        <f aca="false">IF(AND(F588&gt;=1,R588&gt;=Inputs!$B$10),(D588-U588-T588*E588-S588*F588)/V588,"")</f>
        <v>-0.421585152600862</v>
      </c>
      <c r="X588" s="30" t="n">
        <f aca="false">IF(AB587&lt;&gt;0,AC587+1,0)</f>
        <v>0</v>
      </c>
      <c r="Y588" s="30" t="n">
        <f aca="false">IF(W588="",0,IF(AND(AB587&lt;&gt;0,OR(ABS(W588)&gt;Inputs!$B$7,X588&gt;=Inputs!$B$8,ABS(W588)&lt;Inputs!$B$6)),1,0))</f>
        <v>0</v>
      </c>
      <c r="Z588" s="30" t="n">
        <f aca="false">IF(Y588=1,0,AB587)</f>
        <v>0</v>
      </c>
      <c r="AA588" s="30" t="n">
        <f aca="false">IF(W588="",0,IF(AND(Z588=0,ABS(W588)&gt;Inputs!$B$5,ABS(W588)&lt;=Inputs!$B$7),1,0))</f>
        <v>0</v>
      </c>
      <c r="AB588" s="30" t="n">
        <f aca="false">IF(W588="",0,IF(AA588=1,-SIGN(W588),Z588))</f>
        <v>0</v>
      </c>
      <c r="AC588" s="30" t="n">
        <f aca="false">IF(W588="",0,IF(AA588=1,0,IF(Y588=1,0,X588)))</f>
        <v>0</v>
      </c>
      <c r="AD588" s="30" t="n">
        <f aca="false">IF(AB588=0,0,IF(AB587=AB588,AD587,T588))</f>
        <v>0</v>
      </c>
      <c r="AE588" s="30" t="n">
        <f aca="false">AB588-AB587</f>
        <v>0</v>
      </c>
      <c r="AF588" s="30" t="n">
        <f aca="false">-AD588*AB588</f>
        <v>-0</v>
      </c>
      <c r="AG588" s="30" t="n">
        <f aca="false">AF588-AF587</f>
        <v>0</v>
      </c>
      <c r="AH588" s="30" t="n">
        <f aca="false">MAX(AE588,0)*(Inputs!$B$17+Inputs!$B$18+Inputs!$B$19)+MAX(-AE588,0)*(O588+Inputs!$B$18+Inputs!$B$19)+IF(AND(K588=1,AB588&lt;&gt;0),(Inputs!$B$17+Inputs!$B$18+Inputs!$B$19)+(O588+Inputs!$B$18+Inputs!$B$19),0)+MAX(AG588,0)*(Inputs!$B$20+Inputs!$B$22+Inputs!$B$23)+MAX(-AG588,0)*(Inputs!$B$21+Inputs!$B$22+Inputs!$B$23)</f>
        <v>0</v>
      </c>
      <c r="AI588" s="30" t="n">
        <f aca="false">AB587*(M588-AD587*J588)+AB587*AD587*N588/Inputs!$B$16-AH588</f>
        <v>0</v>
      </c>
      <c r="AJ588" s="30" t="n">
        <f aca="false">MAX(AE588,0)*(Inputs!$B$17+Inputs!$B$24+Inputs!$B$25)+MAX(-AE588,0)*(O588+Inputs!$B$24+Inputs!$B$25)+IF(AND(K588=1,AB588&lt;&gt;0),(Inputs!$B$17+Inputs!$B$24+Inputs!$B$25)+(O588+Inputs!$B$24+Inputs!$B$25),0)+MAX(AG588,0)*(Inputs!$B$20+Inputs!$B$26+Inputs!$B$27)+MAX(-AG588,0)*(Inputs!$B$21+Inputs!$B$26+Inputs!$B$27)</f>
        <v>0</v>
      </c>
      <c r="AK588" s="30" t="n">
        <f aca="false">AB587*(M588-AD587*J588)+AB587*AD587*(N588+Inputs!$B$14)/Inputs!$B$16-AJ588</f>
        <v>0</v>
      </c>
      <c r="AL588" s="30" t="n">
        <f aca="false">IF(AP587&lt;&gt;0,AQ587+1,0)</f>
        <v>0</v>
      </c>
      <c r="AM588" s="30" t="n">
        <f aca="false">IF(W588="",0,IF(AND(AP587&lt;&gt;0,OR(ABS(W588)&gt;Inputs!$B$7,AL588&gt;=Inputs!$B$8,ABS(W588)&lt;Inputs!$B$6)),1,0))</f>
        <v>0</v>
      </c>
      <c r="AN588" s="30" t="n">
        <f aca="false">IF(AM588=1,0,AP587)</f>
        <v>0</v>
      </c>
      <c r="AO588" s="30" t="n">
        <f aca="false">IF(W588="",0,IF(AND(AN588=0,ABS(W588)&gt;Inputs!$B$5,ABS(W588)&lt;=Inputs!$B$7,W588&gt;0),1,0))</f>
        <v>0</v>
      </c>
      <c r="AP588" s="30" t="n">
        <f aca="false">IF(W588="",0,IF(AO588=1,-SIGN(W588),AN588))</f>
        <v>0</v>
      </c>
      <c r="AQ588" s="30" t="n">
        <f aca="false">IF(W588="",0,IF(AO588=1,0,IF(AM588=1,0,AL588)))</f>
        <v>0</v>
      </c>
      <c r="AR588" s="30" t="n">
        <f aca="false">IF(AP588=0,0,IF(AP587=AP588,AR587,T588))</f>
        <v>0</v>
      </c>
      <c r="AS588" s="30" t="n">
        <f aca="false">AP588-AP587</f>
        <v>0</v>
      </c>
      <c r="AT588" s="30" t="n">
        <f aca="false">-AR588*AP588</f>
        <v>-0</v>
      </c>
      <c r="AU588" s="30" t="n">
        <f aca="false">AT588-AT587</f>
        <v>0</v>
      </c>
      <c r="AV588" s="30" t="n">
        <f aca="false">MAX(AS588,0)*(Inputs!$B$17+Inputs!$B$18+Inputs!$B$19)+MAX(-AS588,0)*(O588+Inputs!$B$18+Inputs!$B$19)+IF(AND(K588=1,AP588&lt;&gt;0),(Inputs!$B$17+Inputs!$B$18+Inputs!$B$19)+(O588+Inputs!$B$18+Inputs!$B$19),0)+MAX(AU588,0)*(Inputs!$B$20+Inputs!$B$22+Inputs!$B$23)+MAX(-AU588,0)*(Inputs!$B$21+Inputs!$B$22+Inputs!$B$23)</f>
        <v>0</v>
      </c>
      <c r="AW588" s="30" t="n">
        <f aca="false">AP587*(M588-AR587*J588)+AP587*AR587*N588/Inputs!$B$16-AV588</f>
        <v>0</v>
      </c>
      <c r="AX588" s="30" t="n">
        <f aca="false">AW588-IF(AP587&lt;&gt;0,0.75*AR587*(Inputs!$B$13-N588)/Inputs!$B$16,0)</f>
        <v>0</v>
      </c>
      <c r="AY588" s="30" t="n">
        <f aca="false">MAX(AS588,0)*(Inputs!$B$17+Inputs!$B$18+Inputs!$B$19)+MAX(-AS588,0)*(O588+Inputs!$B$18+Inputs!$B$19)+IF(AND(K588=1,AP588&lt;&gt;0),(Inputs!$B$17+Inputs!$B$18+Inputs!$B$19)+(O588+Inputs!$B$18+Inputs!$B$19),0)</f>
        <v>0</v>
      </c>
      <c r="AZ588" s="30" t="n">
        <f aca="false">AP587*M588-AY588</f>
        <v>0</v>
      </c>
      <c r="BA588" s="32" t="n">
        <f aca="false">BA587+AI588</f>
        <v>0.0081476582830333</v>
      </c>
      <c r="BB588" s="30" t="n">
        <f aca="false">MAX(BB587,BA588)</f>
        <v>0.0108065678336457</v>
      </c>
      <c r="BC588" s="32" t="n">
        <f aca="false">BA588-BB588</f>
        <v>-0.00265890955061237</v>
      </c>
      <c r="BD588" s="30" t="n">
        <f aca="false">A589-A588</f>
        <v>3</v>
      </c>
    </row>
    <row r="589" customFormat="false" ht="15" hidden="false" customHeight="false" outlineLevel="0" collapsed="false">
      <c r="A589" s="28" t="n">
        <v>45908</v>
      </c>
      <c r="B589" s="0" t="n">
        <v>24901.1</v>
      </c>
      <c r="C589" s="0" t="n">
        <v>280.23</v>
      </c>
      <c r="D589" s="29" t="n">
        <f aca="false">LN(B589)</f>
        <v>10.1226672581839</v>
      </c>
      <c r="E589" s="29" t="n">
        <f aca="false">LN(C589)</f>
        <v>5.63561069455287</v>
      </c>
      <c r="F589" s="0" t="n">
        <v>584</v>
      </c>
      <c r="G589" s="0" t="n">
        <v>22</v>
      </c>
      <c r="H589" s="29" t="n">
        <f aca="false">D589-E589</f>
        <v>4.487056563631</v>
      </c>
      <c r="I589" s="29" t="n">
        <f aca="false">D589-D588</f>
        <v>0.00207032336811608</v>
      </c>
      <c r="J589" s="29" t="n">
        <f aca="false">E589-E588</f>
        <v>0.00225068419321239</v>
      </c>
      <c r="K589" s="0" t="n">
        <v>0</v>
      </c>
      <c r="L589" s="0" t="n">
        <v>0</v>
      </c>
      <c r="M589" s="29" t="n">
        <f aca="false">IF(L589=1,J589-Carry!$B$9/Inputs!$B$16,I589)</f>
        <v>0.00207032336811608</v>
      </c>
      <c r="N589" s="0" t="n">
        <v>0.055</v>
      </c>
      <c r="O589" s="0" t="n">
        <v>0.0002</v>
      </c>
      <c r="P589" s="29" t="n">
        <f aca="false">D589-('2 Hedge ratio'!$B$6+'2 Hedge ratio'!$B$5*E589)</f>
        <v>-0.00208658514120685</v>
      </c>
      <c r="Q589" s="29" t="n">
        <f aca="false">D589-('5 Re-specification'!$B$7+'5 Re-specification'!$B$5*E589+'5 Re-specification'!$B$6*F589)</f>
        <v>-0.00082701721912315</v>
      </c>
      <c r="R589" s="30" t="n">
        <f aca="false">MIN(F589,Inputs!$B$9)</f>
        <v>250</v>
      </c>
      <c r="S589" s="29" t="n">
        <f aca="true">IF(AND(F589&gt;=1,R589&gt;=Inputs!$B$10),INDEX(LINEST(OFFSET(D589,-R589,0,R589,1),OFFSET(E589,-R589,0,R589,2)),1,1),"")</f>
        <v>-4.13011816297434E-005</v>
      </c>
      <c r="T589" s="29" t="n">
        <f aca="true">IF(AND(F589&gt;=1,R589&gt;=Inputs!$B$10),INDEX(LINEST(OFFSET(D589,-R589,0,R589,1),OFFSET(E589,-R589,0,R589,2)),1,2),"")</f>
        <v>0.995319626184828</v>
      </c>
      <c r="U589" s="29" t="n">
        <f aca="true">IF(AND(F589&gt;=1,R589&gt;=Inputs!$B$10),INDEX(LINEST(OFFSET(D589,-R589,0,R589,1),OFFSET(E589,-R589,0,R589,2)),1,3),"")</f>
        <v>4.53875216665166</v>
      </c>
      <c r="V589" s="29" t="n">
        <f aca="true">IF(AND(F589&gt;=1,R589&gt;=Inputs!$B$10),SQRT(SUMPRODUCT((OFFSET(D589,-R589,0,R589,1)-U589-T589*OFFSET(E589,-R589,0,R589,1)-S589*OFFSET(F589,-R589,0,R589,1))^2)/(R589-3)),"")</f>
        <v>0.00257023556156421</v>
      </c>
      <c r="W589" s="31" t="n">
        <f aca="false">IF(AND(F589&gt;=1,R589&gt;=Inputs!$B$10),(D589-U589-T589*E589-S589*F589)/V589,"")</f>
        <v>-0.466474061571475</v>
      </c>
      <c r="X589" s="30" t="n">
        <f aca="false">IF(AB588&lt;&gt;0,AC588+1,0)</f>
        <v>0</v>
      </c>
      <c r="Y589" s="30" t="n">
        <f aca="false">IF(W589="",0,IF(AND(AB588&lt;&gt;0,OR(ABS(W589)&gt;Inputs!$B$7,X589&gt;=Inputs!$B$8,ABS(W589)&lt;Inputs!$B$6)),1,0))</f>
        <v>0</v>
      </c>
      <c r="Z589" s="30" t="n">
        <f aca="false">IF(Y589=1,0,AB588)</f>
        <v>0</v>
      </c>
      <c r="AA589" s="30" t="n">
        <f aca="false">IF(W589="",0,IF(AND(Z589=0,ABS(W589)&gt;Inputs!$B$5,ABS(W589)&lt;=Inputs!$B$7),1,0))</f>
        <v>0</v>
      </c>
      <c r="AB589" s="30" t="n">
        <f aca="false">IF(W589="",0,IF(AA589=1,-SIGN(W589),Z589))</f>
        <v>0</v>
      </c>
      <c r="AC589" s="30" t="n">
        <f aca="false">IF(W589="",0,IF(AA589=1,0,IF(Y589=1,0,X589)))</f>
        <v>0</v>
      </c>
      <c r="AD589" s="30" t="n">
        <f aca="false">IF(AB589=0,0,IF(AB588=AB589,AD588,T589))</f>
        <v>0</v>
      </c>
      <c r="AE589" s="30" t="n">
        <f aca="false">AB589-AB588</f>
        <v>0</v>
      </c>
      <c r="AF589" s="30" t="n">
        <f aca="false">-AD589*AB589</f>
        <v>-0</v>
      </c>
      <c r="AG589" s="30" t="n">
        <f aca="false">AF589-AF588</f>
        <v>0</v>
      </c>
      <c r="AH589" s="30" t="n">
        <f aca="false">MAX(AE589,0)*(Inputs!$B$17+Inputs!$B$18+Inputs!$B$19)+MAX(-AE589,0)*(O589+Inputs!$B$18+Inputs!$B$19)+IF(AND(K589=1,AB589&lt;&gt;0),(Inputs!$B$17+Inputs!$B$18+Inputs!$B$19)+(O589+Inputs!$B$18+Inputs!$B$19),0)+MAX(AG589,0)*(Inputs!$B$20+Inputs!$B$22+Inputs!$B$23)+MAX(-AG589,0)*(Inputs!$B$21+Inputs!$B$22+Inputs!$B$23)</f>
        <v>0</v>
      </c>
      <c r="AI589" s="30" t="n">
        <f aca="false">AB588*(M589-AD588*J589)+AB588*AD588*N589/Inputs!$B$16-AH589</f>
        <v>0</v>
      </c>
      <c r="AJ589" s="30" t="n">
        <f aca="false">MAX(AE589,0)*(Inputs!$B$17+Inputs!$B$24+Inputs!$B$25)+MAX(-AE589,0)*(O589+Inputs!$B$24+Inputs!$B$25)+IF(AND(K589=1,AB589&lt;&gt;0),(Inputs!$B$17+Inputs!$B$24+Inputs!$B$25)+(O589+Inputs!$B$24+Inputs!$B$25),0)+MAX(AG589,0)*(Inputs!$B$20+Inputs!$B$26+Inputs!$B$27)+MAX(-AG589,0)*(Inputs!$B$21+Inputs!$B$26+Inputs!$B$27)</f>
        <v>0</v>
      </c>
      <c r="AK589" s="30" t="n">
        <f aca="false">AB588*(M589-AD588*J589)+AB588*AD588*(N589+Inputs!$B$14)/Inputs!$B$16-AJ589</f>
        <v>0</v>
      </c>
      <c r="AL589" s="30" t="n">
        <f aca="false">IF(AP588&lt;&gt;0,AQ588+1,0)</f>
        <v>0</v>
      </c>
      <c r="AM589" s="30" t="n">
        <f aca="false">IF(W589="",0,IF(AND(AP588&lt;&gt;0,OR(ABS(W589)&gt;Inputs!$B$7,AL589&gt;=Inputs!$B$8,ABS(W589)&lt;Inputs!$B$6)),1,0))</f>
        <v>0</v>
      </c>
      <c r="AN589" s="30" t="n">
        <f aca="false">IF(AM589=1,0,AP588)</f>
        <v>0</v>
      </c>
      <c r="AO589" s="30" t="n">
        <f aca="false">IF(W589="",0,IF(AND(AN589=0,ABS(W589)&gt;Inputs!$B$5,ABS(W589)&lt;=Inputs!$B$7,W589&gt;0),1,0))</f>
        <v>0</v>
      </c>
      <c r="AP589" s="30" t="n">
        <f aca="false">IF(W589="",0,IF(AO589=1,-SIGN(W589),AN589))</f>
        <v>0</v>
      </c>
      <c r="AQ589" s="30" t="n">
        <f aca="false">IF(W589="",0,IF(AO589=1,0,IF(AM589=1,0,AL589)))</f>
        <v>0</v>
      </c>
      <c r="AR589" s="30" t="n">
        <f aca="false">IF(AP589=0,0,IF(AP588=AP589,AR588,T589))</f>
        <v>0</v>
      </c>
      <c r="AS589" s="30" t="n">
        <f aca="false">AP589-AP588</f>
        <v>0</v>
      </c>
      <c r="AT589" s="30" t="n">
        <f aca="false">-AR589*AP589</f>
        <v>-0</v>
      </c>
      <c r="AU589" s="30" t="n">
        <f aca="false">AT589-AT588</f>
        <v>0</v>
      </c>
      <c r="AV589" s="30" t="n">
        <f aca="false">MAX(AS589,0)*(Inputs!$B$17+Inputs!$B$18+Inputs!$B$19)+MAX(-AS589,0)*(O589+Inputs!$B$18+Inputs!$B$19)+IF(AND(K589=1,AP589&lt;&gt;0),(Inputs!$B$17+Inputs!$B$18+Inputs!$B$19)+(O589+Inputs!$B$18+Inputs!$B$19),0)+MAX(AU589,0)*(Inputs!$B$20+Inputs!$B$22+Inputs!$B$23)+MAX(-AU589,0)*(Inputs!$B$21+Inputs!$B$22+Inputs!$B$23)</f>
        <v>0</v>
      </c>
      <c r="AW589" s="30" t="n">
        <f aca="false">AP588*(M589-AR588*J589)+AP588*AR588*N589/Inputs!$B$16-AV589</f>
        <v>0</v>
      </c>
      <c r="AX589" s="30" t="n">
        <f aca="false">AW589-IF(AP588&lt;&gt;0,0.75*AR588*(Inputs!$B$13-N589)/Inputs!$B$16,0)</f>
        <v>0</v>
      </c>
      <c r="AY589" s="30" t="n">
        <f aca="false">MAX(AS589,0)*(Inputs!$B$17+Inputs!$B$18+Inputs!$B$19)+MAX(-AS589,0)*(O589+Inputs!$B$18+Inputs!$B$19)+IF(AND(K589=1,AP589&lt;&gt;0),(Inputs!$B$17+Inputs!$B$18+Inputs!$B$19)+(O589+Inputs!$B$18+Inputs!$B$19),0)</f>
        <v>0</v>
      </c>
      <c r="AZ589" s="30" t="n">
        <f aca="false">AP588*M589-AY589</f>
        <v>0</v>
      </c>
      <c r="BA589" s="32" t="n">
        <f aca="false">BA588+AI589</f>
        <v>0.0081476582830333</v>
      </c>
      <c r="BB589" s="30" t="n">
        <f aca="false">MAX(BB588,BA589)</f>
        <v>0.0108065678336457</v>
      </c>
      <c r="BC589" s="32" t="n">
        <f aca="false">BA589-BB589</f>
        <v>-0.00265890955061237</v>
      </c>
      <c r="BD589" s="30" t="n">
        <f aca="false">A590-A589</f>
        <v>1</v>
      </c>
    </row>
    <row r="590" customFormat="false" ht="15" hidden="false" customHeight="false" outlineLevel="0" collapsed="false">
      <c r="A590" s="28" t="n">
        <v>45909</v>
      </c>
      <c r="B590" s="0" t="n">
        <v>24960</v>
      </c>
      <c r="C590" s="0" t="n">
        <v>280.72</v>
      </c>
      <c r="D590" s="29" t="n">
        <f aca="false">LN(B590)</f>
        <v>10.1250298224834</v>
      </c>
      <c r="E590" s="29" t="n">
        <f aca="false">LN(C590)</f>
        <v>5.63735773127496</v>
      </c>
      <c r="F590" s="0" t="n">
        <v>585</v>
      </c>
      <c r="G590" s="0" t="n">
        <v>21</v>
      </c>
      <c r="H590" s="29" t="n">
        <f aca="false">D590-E590</f>
        <v>4.48767209120841</v>
      </c>
      <c r="I590" s="29" t="n">
        <f aca="false">D590-D589</f>
        <v>0.0023625642995011</v>
      </c>
      <c r="J590" s="29" t="n">
        <f aca="false">E590-E589</f>
        <v>0.00174703672209198</v>
      </c>
      <c r="K590" s="0" t="n">
        <v>0</v>
      </c>
      <c r="L590" s="0" t="n">
        <v>0</v>
      </c>
      <c r="M590" s="29" t="n">
        <f aca="false">IF(L590=1,J590-Carry!$B$9/Inputs!$B$16,I590)</f>
        <v>0.0023625642995011</v>
      </c>
      <c r="N590" s="0" t="n">
        <v>0.055</v>
      </c>
      <c r="O590" s="0" t="n">
        <v>0.0002</v>
      </c>
      <c r="P590" s="29" t="n">
        <f aca="false">D590-('2 Hedge ratio'!$B$6+'2 Hedge ratio'!$B$5*E590)</f>
        <v>-0.00132452793219962</v>
      </c>
      <c r="Q590" s="29" t="n">
        <f aca="false">D590-('5 Re-specification'!$B$7+'5 Re-specification'!$B$5*E590+'5 Re-specification'!$B$6*F590)</f>
        <v>-0.000161265928793952</v>
      </c>
      <c r="R590" s="30" t="n">
        <f aca="false">MIN(F590,Inputs!$B$9)</f>
        <v>250</v>
      </c>
      <c r="S590" s="29" t="n">
        <f aca="true">IF(AND(F590&gt;=1,R590&gt;=Inputs!$B$10),INDEX(LINEST(OFFSET(D590,-R590,0,R590,1),OFFSET(E590,-R590,0,R590,2)),1,1),"")</f>
        <v>-4.15818130986132E-005</v>
      </c>
      <c r="T590" s="29" t="n">
        <f aca="true">IF(AND(F590&gt;=1,R590&gt;=Inputs!$B$10),INDEX(LINEST(OFFSET(D590,-R590,0,R590,1),OFFSET(E590,-R590,0,R590,2)),1,2),"")</f>
        <v>0.995463577686362</v>
      </c>
      <c r="U590" s="29" t="n">
        <f aca="true">IF(AND(F590&gt;=1,R590&gt;=Inputs!$B$10),INDEX(LINEST(OFFSET(D590,-R590,0,R590,1),OFFSET(E590,-R590,0,R590,2)),1,3),"")</f>
        <v>4.53807582950753</v>
      </c>
      <c r="V590" s="29" t="n">
        <f aca="true">IF(AND(F590&gt;=1,R590&gt;=Inputs!$B$10),SQRT(SUMPRODUCT((OFFSET(D590,-R590,0,R590,1)-U590-T590*OFFSET(E590,-R590,0,R590,1)-S590*OFFSET(F590,-R590,0,R590,1))^2)/(R590-3)),"")</f>
        <v>0.00256932170095908</v>
      </c>
      <c r="W590" s="31" t="n">
        <f aca="false">IF(AND(F590&gt;=1,R590&gt;=Inputs!$B$10),(D590-U590-T590*E590-S590*F590)/V590,"")</f>
        <v>-0.19652744696443</v>
      </c>
      <c r="X590" s="30" t="n">
        <f aca="false">IF(AB589&lt;&gt;0,AC589+1,0)</f>
        <v>0</v>
      </c>
      <c r="Y590" s="30" t="n">
        <f aca="false">IF(W590="",0,IF(AND(AB589&lt;&gt;0,OR(ABS(W590)&gt;Inputs!$B$7,X590&gt;=Inputs!$B$8,ABS(W590)&lt;Inputs!$B$6)),1,0))</f>
        <v>0</v>
      </c>
      <c r="Z590" s="30" t="n">
        <f aca="false">IF(Y590=1,0,AB589)</f>
        <v>0</v>
      </c>
      <c r="AA590" s="30" t="n">
        <f aca="false">IF(W590="",0,IF(AND(Z590=0,ABS(W590)&gt;Inputs!$B$5,ABS(W590)&lt;=Inputs!$B$7),1,0))</f>
        <v>0</v>
      </c>
      <c r="AB590" s="30" t="n">
        <f aca="false">IF(W590="",0,IF(AA590=1,-SIGN(W590),Z590))</f>
        <v>0</v>
      </c>
      <c r="AC590" s="30" t="n">
        <f aca="false">IF(W590="",0,IF(AA590=1,0,IF(Y590=1,0,X590)))</f>
        <v>0</v>
      </c>
      <c r="AD590" s="30" t="n">
        <f aca="false">IF(AB590=0,0,IF(AB589=AB590,AD589,T590))</f>
        <v>0</v>
      </c>
      <c r="AE590" s="30" t="n">
        <f aca="false">AB590-AB589</f>
        <v>0</v>
      </c>
      <c r="AF590" s="30" t="n">
        <f aca="false">-AD590*AB590</f>
        <v>-0</v>
      </c>
      <c r="AG590" s="30" t="n">
        <f aca="false">AF590-AF589</f>
        <v>0</v>
      </c>
      <c r="AH590" s="30" t="n">
        <f aca="false">MAX(AE590,0)*(Inputs!$B$17+Inputs!$B$18+Inputs!$B$19)+MAX(-AE590,0)*(O590+Inputs!$B$18+Inputs!$B$19)+IF(AND(K590=1,AB590&lt;&gt;0),(Inputs!$B$17+Inputs!$B$18+Inputs!$B$19)+(O590+Inputs!$B$18+Inputs!$B$19),0)+MAX(AG590,0)*(Inputs!$B$20+Inputs!$B$22+Inputs!$B$23)+MAX(-AG590,0)*(Inputs!$B$21+Inputs!$B$22+Inputs!$B$23)</f>
        <v>0</v>
      </c>
      <c r="AI590" s="30" t="n">
        <f aca="false">AB589*(M590-AD589*J590)+AB589*AD589*N590/Inputs!$B$16-AH590</f>
        <v>0</v>
      </c>
      <c r="AJ590" s="30" t="n">
        <f aca="false">MAX(AE590,0)*(Inputs!$B$17+Inputs!$B$24+Inputs!$B$25)+MAX(-AE590,0)*(O590+Inputs!$B$24+Inputs!$B$25)+IF(AND(K590=1,AB590&lt;&gt;0),(Inputs!$B$17+Inputs!$B$24+Inputs!$B$25)+(O590+Inputs!$B$24+Inputs!$B$25),0)+MAX(AG590,0)*(Inputs!$B$20+Inputs!$B$26+Inputs!$B$27)+MAX(-AG590,0)*(Inputs!$B$21+Inputs!$B$26+Inputs!$B$27)</f>
        <v>0</v>
      </c>
      <c r="AK590" s="30" t="n">
        <f aca="false">AB589*(M590-AD589*J590)+AB589*AD589*(N590+Inputs!$B$14)/Inputs!$B$16-AJ590</f>
        <v>0</v>
      </c>
      <c r="AL590" s="30" t="n">
        <f aca="false">IF(AP589&lt;&gt;0,AQ589+1,0)</f>
        <v>0</v>
      </c>
      <c r="AM590" s="30" t="n">
        <f aca="false">IF(W590="",0,IF(AND(AP589&lt;&gt;0,OR(ABS(W590)&gt;Inputs!$B$7,AL590&gt;=Inputs!$B$8,ABS(W590)&lt;Inputs!$B$6)),1,0))</f>
        <v>0</v>
      </c>
      <c r="AN590" s="30" t="n">
        <f aca="false">IF(AM590=1,0,AP589)</f>
        <v>0</v>
      </c>
      <c r="AO590" s="30" t="n">
        <f aca="false">IF(W590="",0,IF(AND(AN590=0,ABS(W590)&gt;Inputs!$B$5,ABS(W590)&lt;=Inputs!$B$7,W590&gt;0),1,0))</f>
        <v>0</v>
      </c>
      <c r="AP590" s="30" t="n">
        <f aca="false">IF(W590="",0,IF(AO590=1,-SIGN(W590),AN590))</f>
        <v>0</v>
      </c>
      <c r="AQ590" s="30" t="n">
        <f aca="false">IF(W590="",0,IF(AO590=1,0,IF(AM590=1,0,AL590)))</f>
        <v>0</v>
      </c>
      <c r="AR590" s="30" t="n">
        <f aca="false">IF(AP590=0,0,IF(AP589=AP590,AR589,T590))</f>
        <v>0</v>
      </c>
      <c r="AS590" s="30" t="n">
        <f aca="false">AP590-AP589</f>
        <v>0</v>
      </c>
      <c r="AT590" s="30" t="n">
        <f aca="false">-AR590*AP590</f>
        <v>-0</v>
      </c>
      <c r="AU590" s="30" t="n">
        <f aca="false">AT590-AT589</f>
        <v>0</v>
      </c>
      <c r="AV590" s="30" t="n">
        <f aca="false">MAX(AS590,0)*(Inputs!$B$17+Inputs!$B$18+Inputs!$B$19)+MAX(-AS590,0)*(O590+Inputs!$B$18+Inputs!$B$19)+IF(AND(K590=1,AP590&lt;&gt;0),(Inputs!$B$17+Inputs!$B$18+Inputs!$B$19)+(O590+Inputs!$B$18+Inputs!$B$19),0)+MAX(AU590,0)*(Inputs!$B$20+Inputs!$B$22+Inputs!$B$23)+MAX(-AU590,0)*(Inputs!$B$21+Inputs!$B$22+Inputs!$B$23)</f>
        <v>0</v>
      </c>
      <c r="AW590" s="30" t="n">
        <f aca="false">AP589*(M590-AR589*J590)+AP589*AR589*N590/Inputs!$B$16-AV590</f>
        <v>0</v>
      </c>
      <c r="AX590" s="30" t="n">
        <f aca="false">AW590-IF(AP589&lt;&gt;0,0.75*AR589*(Inputs!$B$13-N590)/Inputs!$B$16,0)</f>
        <v>0</v>
      </c>
      <c r="AY590" s="30" t="n">
        <f aca="false">MAX(AS590,0)*(Inputs!$B$17+Inputs!$B$18+Inputs!$B$19)+MAX(-AS590,0)*(O590+Inputs!$B$18+Inputs!$B$19)+IF(AND(K590=1,AP590&lt;&gt;0),(Inputs!$B$17+Inputs!$B$18+Inputs!$B$19)+(O590+Inputs!$B$18+Inputs!$B$19),0)</f>
        <v>0</v>
      </c>
      <c r="AZ590" s="30" t="n">
        <f aca="false">AP589*M590-AY590</f>
        <v>0</v>
      </c>
      <c r="BA590" s="32" t="n">
        <f aca="false">BA589+AI590</f>
        <v>0.0081476582830333</v>
      </c>
      <c r="BB590" s="30" t="n">
        <f aca="false">MAX(BB589,BA590)</f>
        <v>0.0108065678336457</v>
      </c>
      <c r="BC590" s="32" t="n">
        <f aca="false">BA590-BB590</f>
        <v>-0.00265890955061237</v>
      </c>
      <c r="BD590" s="30" t="n">
        <f aca="false">A591-A590</f>
        <v>1</v>
      </c>
    </row>
    <row r="591" customFormat="false" ht="15" hidden="false" customHeight="false" outlineLevel="0" collapsed="false">
      <c r="A591" s="28" t="n">
        <v>45910</v>
      </c>
      <c r="B591" s="0" t="n">
        <v>25078.6</v>
      </c>
      <c r="C591" s="0" t="n">
        <v>282.1</v>
      </c>
      <c r="D591" s="29" t="n">
        <f aca="false">LN(B591)</f>
        <v>10.1297701718172</v>
      </c>
      <c r="E591" s="29" t="n">
        <f aca="false">LN(C591)</f>
        <v>5.64226161800795</v>
      </c>
      <c r="F591" s="0" t="n">
        <v>586</v>
      </c>
      <c r="G591" s="0" t="n">
        <v>20</v>
      </c>
      <c r="H591" s="29" t="n">
        <f aca="false">D591-E591</f>
        <v>4.48750855380923</v>
      </c>
      <c r="I591" s="29" t="n">
        <f aca="false">D591-D590</f>
        <v>0.00474034933381162</v>
      </c>
      <c r="J591" s="29" t="n">
        <f aca="false">E591-E590</f>
        <v>0.00490388673299158</v>
      </c>
      <c r="K591" s="0" t="n">
        <v>0</v>
      </c>
      <c r="L591" s="0" t="n">
        <v>0</v>
      </c>
      <c r="M591" s="29" t="n">
        <f aca="false">IF(L591=1,J591-Carry!$B$9/Inputs!$B$16,I591)</f>
        <v>0.00474034933381162</v>
      </c>
      <c r="N591" s="0" t="n">
        <v>0.055</v>
      </c>
      <c r="O591" s="0" t="n">
        <v>0.0002</v>
      </c>
      <c r="P591" s="29" t="n">
        <f aca="false">D591-('2 Hedge ratio'!$B$6+'2 Hedge ratio'!$B$5*E591)</f>
        <v>-0.00107676045879757</v>
      </c>
      <c r="Q591" s="29" t="n">
        <f aca="false">D591-('5 Re-specification'!$B$7+'5 Re-specification'!$B$5*E591+'5 Re-specification'!$B$6*F591)</f>
        <v>-0.000265012781026641</v>
      </c>
      <c r="R591" s="30" t="n">
        <f aca="false">MIN(F591,Inputs!$B$9)</f>
        <v>250</v>
      </c>
      <c r="S591" s="29" t="n">
        <f aca="true">IF(AND(F591&gt;=1,R591&gt;=Inputs!$B$10),INDEX(LINEST(OFFSET(D591,-R591,0,R591,1),OFFSET(E591,-R591,0,R591,2)),1,1),"")</f>
        <v>-4.15208156679812E-005</v>
      </c>
      <c r="T591" s="29" t="n">
        <f aca="true">IF(AND(F591&gt;=1,R591&gt;=Inputs!$B$10),INDEX(LINEST(OFFSET(D591,-R591,0,R591,1),OFFSET(E591,-R591,0,R591,2)),1,2),"")</f>
        <v>0.995312690851629</v>
      </c>
      <c r="U591" s="29" t="n">
        <f aca="true">IF(AND(F591&gt;=1,R591&gt;=Inputs!$B$10),INDEX(LINEST(OFFSET(D591,-R591,0,R591,1),OFFSET(E591,-R591,0,R591,2)),1,3),"")</f>
        <v>4.53888750286742</v>
      </c>
      <c r="V591" s="29" t="n">
        <f aca="true">IF(AND(F591&gt;=1,R591&gt;=Inputs!$B$10),SQRT(SUMPRODUCT((OFFSET(D591,-R591,0,R591,1)-U591-T591*OFFSET(E591,-R591,0,R591,1)-S591*OFFSET(F591,-R591,0,R591,1))^2)/(R591-3)),"")</f>
        <v>0.00256875775584583</v>
      </c>
      <c r="W591" s="31" t="n">
        <f aca="false">IF(AND(F591&gt;=1,R591&gt;=Inputs!$B$10),(D591-U591-T591*E591-S591*F591)/V591,"")</f>
        <v>-0.233858788670146</v>
      </c>
      <c r="X591" s="30" t="n">
        <f aca="false">IF(AB590&lt;&gt;0,AC590+1,0)</f>
        <v>0</v>
      </c>
      <c r="Y591" s="30" t="n">
        <f aca="false">IF(W591="",0,IF(AND(AB590&lt;&gt;0,OR(ABS(W591)&gt;Inputs!$B$7,X591&gt;=Inputs!$B$8,ABS(W591)&lt;Inputs!$B$6)),1,0))</f>
        <v>0</v>
      </c>
      <c r="Z591" s="30" t="n">
        <f aca="false">IF(Y591=1,0,AB590)</f>
        <v>0</v>
      </c>
      <c r="AA591" s="30" t="n">
        <f aca="false">IF(W591="",0,IF(AND(Z591=0,ABS(W591)&gt;Inputs!$B$5,ABS(W591)&lt;=Inputs!$B$7),1,0))</f>
        <v>0</v>
      </c>
      <c r="AB591" s="30" t="n">
        <f aca="false">IF(W591="",0,IF(AA591=1,-SIGN(W591),Z591))</f>
        <v>0</v>
      </c>
      <c r="AC591" s="30" t="n">
        <f aca="false">IF(W591="",0,IF(AA591=1,0,IF(Y591=1,0,X591)))</f>
        <v>0</v>
      </c>
      <c r="AD591" s="30" t="n">
        <f aca="false">IF(AB591=0,0,IF(AB590=AB591,AD590,T591))</f>
        <v>0</v>
      </c>
      <c r="AE591" s="30" t="n">
        <f aca="false">AB591-AB590</f>
        <v>0</v>
      </c>
      <c r="AF591" s="30" t="n">
        <f aca="false">-AD591*AB591</f>
        <v>-0</v>
      </c>
      <c r="AG591" s="30" t="n">
        <f aca="false">AF591-AF590</f>
        <v>0</v>
      </c>
      <c r="AH591" s="30" t="n">
        <f aca="false">MAX(AE591,0)*(Inputs!$B$17+Inputs!$B$18+Inputs!$B$19)+MAX(-AE591,0)*(O591+Inputs!$B$18+Inputs!$B$19)+IF(AND(K591=1,AB591&lt;&gt;0),(Inputs!$B$17+Inputs!$B$18+Inputs!$B$19)+(O591+Inputs!$B$18+Inputs!$B$19),0)+MAX(AG591,0)*(Inputs!$B$20+Inputs!$B$22+Inputs!$B$23)+MAX(-AG591,0)*(Inputs!$B$21+Inputs!$B$22+Inputs!$B$23)</f>
        <v>0</v>
      </c>
      <c r="AI591" s="30" t="n">
        <f aca="false">AB590*(M591-AD590*J591)+AB590*AD590*N591/Inputs!$B$16-AH591</f>
        <v>0</v>
      </c>
      <c r="AJ591" s="30" t="n">
        <f aca="false">MAX(AE591,0)*(Inputs!$B$17+Inputs!$B$24+Inputs!$B$25)+MAX(-AE591,0)*(O591+Inputs!$B$24+Inputs!$B$25)+IF(AND(K591=1,AB591&lt;&gt;0),(Inputs!$B$17+Inputs!$B$24+Inputs!$B$25)+(O591+Inputs!$B$24+Inputs!$B$25),0)+MAX(AG591,0)*(Inputs!$B$20+Inputs!$B$26+Inputs!$B$27)+MAX(-AG591,0)*(Inputs!$B$21+Inputs!$B$26+Inputs!$B$27)</f>
        <v>0</v>
      </c>
      <c r="AK591" s="30" t="n">
        <f aca="false">AB590*(M591-AD590*J591)+AB590*AD590*(N591+Inputs!$B$14)/Inputs!$B$16-AJ591</f>
        <v>0</v>
      </c>
      <c r="AL591" s="30" t="n">
        <f aca="false">IF(AP590&lt;&gt;0,AQ590+1,0)</f>
        <v>0</v>
      </c>
      <c r="AM591" s="30" t="n">
        <f aca="false">IF(W591="",0,IF(AND(AP590&lt;&gt;0,OR(ABS(W591)&gt;Inputs!$B$7,AL591&gt;=Inputs!$B$8,ABS(W591)&lt;Inputs!$B$6)),1,0))</f>
        <v>0</v>
      </c>
      <c r="AN591" s="30" t="n">
        <f aca="false">IF(AM591=1,0,AP590)</f>
        <v>0</v>
      </c>
      <c r="AO591" s="30" t="n">
        <f aca="false">IF(W591="",0,IF(AND(AN591=0,ABS(W591)&gt;Inputs!$B$5,ABS(W591)&lt;=Inputs!$B$7,W591&gt;0),1,0))</f>
        <v>0</v>
      </c>
      <c r="AP591" s="30" t="n">
        <f aca="false">IF(W591="",0,IF(AO591=1,-SIGN(W591),AN591))</f>
        <v>0</v>
      </c>
      <c r="AQ591" s="30" t="n">
        <f aca="false">IF(W591="",0,IF(AO591=1,0,IF(AM591=1,0,AL591)))</f>
        <v>0</v>
      </c>
      <c r="AR591" s="30" t="n">
        <f aca="false">IF(AP591=0,0,IF(AP590=AP591,AR590,T591))</f>
        <v>0</v>
      </c>
      <c r="AS591" s="30" t="n">
        <f aca="false">AP591-AP590</f>
        <v>0</v>
      </c>
      <c r="AT591" s="30" t="n">
        <f aca="false">-AR591*AP591</f>
        <v>-0</v>
      </c>
      <c r="AU591" s="30" t="n">
        <f aca="false">AT591-AT590</f>
        <v>0</v>
      </c>
      <c r="AV591" s="30" t="n">
        <f aca="false">MAX(AS591,0)*(Inputs!$B$17+Inputs!$B$18+Inputs!$B$19)+MAX(-AS591,0)*(O591+Inputs!$B$18+Inputs!$B$19)+IF(AND(K591=1,AP591&lt;&gt;0),(Inputs!$B$17+Inputs!$B$18+Inputs!$B$19)+(O591+Inputs!$B$18+Inputs!$B$19),0)+MAX(AU591,0)*(Inputs!$B$20+Inputs!$B$22+Inputs!$B$23)+MAX(-AU591,0)*(Inputs!$B$21+Inputs!$B$22+Inputs!$B$23)</f>
        <v>0</v>
      </c>
      <c r="AW591" s="30" t="n">
        <f aca="false">AP590*(M591-AR590*J591)+AP590*AR590*N591/Inputs!$B$16-AV591</f>
        <v>0</v>
      </c>
      <c r="AX591" s="30" t="n">
        <f aca="false">AW591-IF(AP590&lt;&gt;0,0.75*AR590*(Inputs!$B$13-N591)/Inputs!$B$16,0)</f>
        <v>0</v>
      </c>
      <c r="AY591" s="30" t="n">
        <f aca="false">MAX(AS591,0)*(Inputs!$B$17+Inputs!$B$18+Inputs!$B$19)+MAX(-AS591,0)*(O591+Inputs!$B$18+Inputs!$B$19)+IF(AND(K591=1,AP591&lt;&gt;0),(Inputs!$B$17+Inputs!$B$18+Inputs!$B$19)+(O591+Inputs!$B$18+Inputs!$B$19),0)</f>
        <v>0</v>
      </c>
      <c r="AZ591" s="30" t="n">
        <f aca="false">AP590*M591-AY591</f>
        <v>0</v>
      </c>
      <c r="BA591" s="32" t="n">
        <f aca="false">BA590+AI591</f>
        <v>0.0081476582830333</v>
      </c>
      <c r="BB591" s="30" t="n">
        <f aca="false">MAX(BB590,BA591)</f>
        <v>0.0108065678336457</v>
      </c>
      <c r="BC591" s="32" t="n">
        <f aca="false">BA591-BB591</f>
        <v>-0.00265890955061237</v>
      </c>
      <c r="BD591" s="30" t="n">
        <f aca="false">A592-A591</f>
        <v>1</v>
      </c>
    </row>
    <row r="592" customFormat="false" ht="15" hidden="false" customHeight="false" outlineLevel="0" collapsed="false">
      <c r="A592" s="28" t="n">
        <v>45911</v>
      </c>
      <c r="B592" s="0" t="n">
        <v>25108.9</v>
      </c>
      <c r="C592" s="0" t="n">
        <v>282.61</v>
      </c>
      <c r="D592" s="29" t="n">
        <f aca="false">LN(B592)</f>
        <v>10.130977643944</v>
      </c>
      <c r="E592" s="29" t="n">
        <f aca="false">LN(C592)</f>
        <v>5.64406785532854</v>
      </c>
      <c r="F592" s="0" t="n">
        <v>587</v>
      </c>
      <c r="G592" s="0" t="n">
        <v>19</v>
      </c>
      <c r="H592" s="29" t="n">
        <f aca="false">D592-E592</f>
        <v>4.48690978861541</v>
      </c>
      <c r="I592" s="29" t="n">
        <f aca="false">D592-D591</f>
        <v>0.00120747212678118</v>
      </c>
      <c r="J592" s="29" t="n">
        <f aca="false">E592-E591</f>
        <v>0.00180623732059271</v>
      </c>
      <c r="K592" s="0" t="n">
        <v>0</v>
      </c>
      <c r="L592" s="0" t="n">
        <v>0</v>
      </c>
      <c r="M592" s="29" t="n">
        <f aca="false">IF(L592=1,J592-Carry!$B$9/Inputs!$B$16,I592)</f>
        <v>0.00120747212678118</v>
      </c>
      <c r="N592" s="0" t="n">
        <v>0.055</v>
      </c>
      <c r="O592" s="0" t="n">
        <v>0.0002</v>
      </c>
      <c r="P592" s="29" t="n">
        <f aca="false">D592-('2 Hedge ratio'!$B$6+'2 Hedge ratio'!$B$5*E592)</f>
        <v>-0.0015240306749611</v>
      </c>
      <c r="Q592" s="29" t="n">
        <f aca="false">D592-('5 Re-specification'!$B$7+'5 Re-specification'!$B$5*E592+'5 Re-specification'!$B$6*F592)</f>
        <v>-0.000813374854503834</v>
      </c>
      <c r="R592" s="30" t="n">
        <f aca="false">MIN(F592,Inputs!$B$9)</f>
        <v>250</v>
      </c>
      <c r="S592" s="29" t="n">
        <f aca="true">IF(AND(F592&gt;=1,R592&gt;=Inputs!$B$10),INDEX(LINEST(OFFSET(D592,-R592,0,R592,1),OFFSET(E592,-R592,0,R592,2)),1,1),"")</f>
        <v>-4.1966521351015E-005</v>
      </c>
      <c r="T592" s="29" t="n">
        <f aca="true">IF(AND(F592&gt;=1,R592&gt;=Inputs!$B$10),INDEX(LINEST(OFFSET(D592,-R592,0,R592,1),OFFSET(E592,-R592,0,R592,2)),1,2),"")</f>
        <v>0.995648895824215</v>
      </c>
      <c r="U592" s="29" t="n">
        <f aca="true">IF(AND(F592&gt;=1,R592&gt;=Inputs!$B$10),INDEX(LINEST(OFFSET(D592,-R592,0,R592,1),OFFSET(E592,-R592,0,R592,2)),1,3),"")</f>
        <v>4.53722104700919</v>
      </c>
      <c r="V592" s="29" t="n">
        <f aca="true">IF(AND(F592&gt;=1,R592&gt;=Inputs!$B$10),SQRT(SUMPRODUCT((OFFSET(D592,-R592,0,R592,1)-U592-T592*OFFSET(E592,-R592,0,R592,1)-S592*OFFSET(F592,-R592,0,R592,1))^2)/(R592-3)),"")</f>
        <v>0.00255826117342097</v>
      </c>
      <c r="W592" s="31" t="n">
        <f aca="false">IF(AND(F592&gt;=1,R592&gt;=Inputs!$B$10),(D592-U592-T592*E592-S592*F592)/V592,"")</f>
        <v>-0.437399886541367</v>
      </c>
      <c r="X592" s="30" t="n">
        <f aca="false">IF(AB591&lt;&gt;0,AC591+1,0)</f>
        <v>0</v>
      </c>
      <c r="Y592" s="30" t="n">
        <f aca="false">IF(W592="",0,IF(AND(AB591&lt;&gt;0,OR(ABS(W592)&gt;Inputs!$B$7,X592&gt;=Inputs!$B$8,ABS(W592)&lt;Inputs!$B$6)),1,0))</f>
        <v>0</v>
      </c>
      <c r="Z592" s="30" t="n">
        <f aca="false">IF(Y592=1,0,AB591)</f>
        <v>0</v>
      </c>
      <c r="AA592" s="30" t="n">
        <f aca="false">IF(W592="",0,IF(AND(Z592=0,ABS(W592)&gt;Inputs!$B$5,ABS(W592)&lt;=Inputs!$B$7),1,0))</f>
        <v>0</v>
      </c>
      <c r="AB592" s="30" t="n">
        <f aca="false">IF(W592="",0,IF(AA592=1,-SIGN(W592),Z592))</f>
        <v>0</v>
      </c>
      <c r="AC592" s="30" t="n">
        <f aca="false">IF(W592="",0,IF(AA592=1,0,IF(Y592=1,0,X592)))</f>
        <v>0</v>
      </c>
      <c r="AD592" s="30" t="n">
        <f aca="false">IF(AB592=0,0,IF(AB591=AB592,AD591,T592))</f>
        <v>0</v>
      </c>
      <c r="AE592" s="30" t="n">
        <f aca="false">AB592-AB591</f>
        <v>0</v>
      </c>
      <c r="AF592" s="30" t="n">
        <f aca="false">-AD592*AB592</f>
        <v>-0</v>
      </c>
      <c r="AG592" s="30" t="n">
        <f aca="false">AF592-AF591</f>
        <v>0</v>
      </c>
      <c r="AH592" s="30" t="n">
        <f aca="false">MAX(AE592,0)*(Inputs!$B$17+Inputs!$B$18+Inputs!$B$19)+MAX(-AE592,0)*(O592+Inputs!$B$18+Inputs!$B$19)+IF(AND(K592=1,AB592&lt;&gt;0),(Inputs!$B$17+Inputs!$B$18+Inputs!$B$19)+(O592+Inputs!$B$18+Inputs!$B$19),0)+MAX(AG592,0)*(Inputs!$B$20+Inputs!$B$22+Inputs!$B$23)+MAX(-AG592,0)*(Inputs!$B$21+Inputs!$B$22+Inputs!$B$23)</f>
        <v>0</v>
      </c>
      <c r="AI592" s="30" t="n">
        <f aca="false">AB591*(M592-AD591*J592)+AB591*AD591*N592/Inputs!$B$16-AH592</f>
        <v>0</v>
      </c>
      <c r="AJ592" s="30" t="n">
        <f aca="false">MAX(AE592,0)*(Inputs!$B$17+Inputs!$B$24+Inputs!$B$25)+MAX(-AE592,0)*(O592+Inputs!$B$24+Inputs!$B$25)+IF(AND(K592=1,AB592&lt;&gt;0),(Inputs!$B$17+Inputs!$B$24+Inputs!$B$25)+(O592+Inputs!$B$24+Inputs!$B$25),0)+MAX(AG592,0)*(Inputs!$B$20+Inputs!$B$26+Inputs!$B$27)+MAX(-AG592,0)*(Inputs!$B$21+Inputs!$B$26+Inputs!$B$27)</f>
        <v>0</v>
      </c>
      <c r="AK592" s="30" t="n">
        <f aca="false">AB591*(M592-AD591*J592)+AB591*AD591*(N592+Inputs!$B$14)/Inputs!$B$16-AJ592</f>
        <v>0</v>
      </c>
      <c r="AL592" s="30" t="n">
        <f aca="false">IF(AP591&lt;&gt;0,AQ591+1,0)</f>
        <v>0</v>
      </c>
      <c r="AM592" s="30" t="n">
        <f aca="false">IF(W592="",0,IF(AND(AP591&lt;&gt;0,OR(ABS(W592)&gt;Inputs!$B$7,AL592&gt;=Inputs!$B$8,ABS(W592)&lt;Inputs!$B$6)),1,0))</f>
        <v>0</v>
      </c>
      <c r="AN592" s="30" t="n">
        <f aca="false">IF(AM592=1,0,AP591)</f>
        <v>0</v>
      </c>
      <c r="AO592" s="30" t="n">
        <f aca="false">IF(W592="",0,IF(AND(AN592=0,ABS(W592)&gt;Inputs!$B$5,ABS(W592)&lt;=Inputs!$B$7,W592&gt;0),1,0))</f>
        <v>0</v>
      </c>
      <c r="AP592" s="30" t="n">
        <f aca="false">IF(W592="",0,IF(AO592=1,-SIGN(W592),AN592))</f>
        <v>0</v>
      </c>
      <c r="AQ592" s="30" t="n">
        <f aca="false">IF(W592="",0,IF(AO592=1,0,IF(AM592=1,0,AL592)))</f>
        <v>0</v>
      </c>
      <c r="AR592" s="30" t="n">
        <f aca="false">IF(AP592=0,0,IF(AP591=AP592,AR591,T592))</f>
        <v>0</v>
      </c>
      <c r="AS592" s="30" t="n">
        <f aca="false">AP592-AP591</f>
        <v>0</v>
      </c>
      <c r="AT592" s="30" t="n">
        <f aca="false">-AR592*AP592</f>
        <v>-0</v>
      </c>
      <c r="AU592" s="30" t="n">
        <f aca="false">AT592-AT591</f>
        <v>0</v>
      </c>
      <c r="AV592" s="30" t="n">
        <f aca="false">MAX(AS592,0)*(Inputs!$B$17+Inputs!$B$18+Inputs!$B$19)+MAX(-AS592,0)*(O592+Inputs!$B$18+Inputs!$B$19)+IF(AND(K592=1,AP592&lt;&gt;0),(Inputs!$B$17+Inputs!$B$18+Inputs!$B$19)+(O592+Inputs!$B$18+Inputs!$B$19),0)+MAX(AU592,0)*(Inputs!$B$20+Inputs!$B$22+Inputs!$B$23)+MAX(-AU592,0)*(Inputs!$B$21+Inputs!$B$22+Inputs!$B$23)</f>
        <v>0</v>
      </c>
      <c r="AW592" s="30" t="n">
        <f aca="false">AP591*(M592-AR591*J592)+AP591*AR591*N592/Inputs!$B$16-AV592</f>
        <v>0</v>
      </c>
      <c r="AX592" s="30" t="n">
        <f aca="false">AW592-IF(AP591&lt;&gt;0,0.75*AR591*(Inputs!$B$13-N592)/Inputs!$B$16,0)</f>
        <v>0</v>
      </c>
      <c r="AY592" s="30" t="n">
        <f aca="false">MAX(AS592,0)*(Inputs!$B$17+Inputs!$B$18+Inputs!$B$19)+MAX(-AS592,0)*(O592+Inputs!$B$18+Inputs!$B$19)+IF(AND(K592=1,AP592&lt;&gt;0),(Inputs!$B$17+Inputs!$B$18+Inputs!$B$19)+(O592+Inputs!$B$18+Inputs!$B$19),0)</f>
        <v>0</v>
      </c>
      <c r="AZ592" s="30" t="n">
        <f aca="false">AP591*M592-AY592</f>
        <v>0</v>
      </c>
      <c r="BA592" s="32" t="n">
        <f aca="false">BA591+AI592</f>
        <v>0.0081476582830333</v>
      </c>
      <c r="BB592" s="30" t="n">
        <f aca="false">MAX(BB591,BA592)</f>
        <v>0.0108065678336457</v>
      </c>
      <c r="BC592" s="32" t="n">
        <f aca="false">BA592-BB592</f>
        <v>-0.00265890955061237</v>
      </c>
      <c r="BD592" s="30" t="n">
        <f aca="false">A593-A592</f>
        <v>1</v>
      </c>
    </row>
    <row r="593" customFormat="false" ht="15" hidden="false" customHeight="false" outlineLevel="0" collapsed="false">
      <c r="A593" s="28" t="n">
        <v>45912</v>
      </c>
      <c r="B593" s="0" t="n">
        <v>25210.1</v>
      </c>
      <c r="C593" s="0" t="n">
        <v>283.35</v>
      </c>
      <c r="D593" s="29" t="n">
        <f aca="false">LN(B593)</f>
        <v>10.134999986854</v>
      </c>
      <c r="E593" s="29" t="n">
        <f aca="false">LN(C593)</f>
        <v>5.64668288261563</v>
      </c>
      <c r="F593" s="0" t="n">
        <v>588</v>
      </c>
      <c r="G593" s="0" t="n">
        <v>18</v>
      </c>
      <c r="H593" s="29" t="n">
        <f aca="false">D593-E593</f>
        <v>4.48831710423836</v>
      </c>
      <c r="I593" s="29" t="n">
        <f aca="false">D593-D592</f>
        <v>0.00402234291003012</v>
      </c>
      <c r="J593" s="29" t="n">
        <f aca="false">E593-E592</f>
        <v>0.00261502728708418</v>
      </c>
      <c r="K593" s="0" t="n">
        <v>0</v>
      </c>
      <c r="L593" s="0" t="n">
        <v>0</v>
      </c>
      <c r="M593" s="29" t="n">
        <f aca="false">IF(L593=1,J593-Carry!$B$9/Inputs!$B$16,I593)</f>
        <v>0.00402234291003012</v>
      </c>
      <c r="N593" s="0" t="n">
        <v>0.055</v>
      </c>
      <c r="O593" s="0" t="n">
        <v>0.0002</v>
      </c>
      <c r="P593" s="29" t="n">
        <f aca="false">D593-('2 Hedge ratio'!$B$6+'2 Hedge ratio'!$B$5*E593)</f>
        <v>0.000102615761210956</v>
      </c>
      <c r="Q593" s="29" t="n">
        <f aca="false">D593-('5 Re-specification'!$B$7+'5 Re-specification'!$B$5*E593+'5 Re-specification'!$B$6*F593)</f>
        <v>0.000646794926785432</v>
      </c>
      <c r="R593" s="30" t="n">
        <f aca="false">MIN(F593,Inputs!$B$9)</f>
        <v>250</v>
      </c>
      <c r="S593" s="29" t="n">
        <f aca="true">IF(AND(F593&gt;=1,R593&gt;=Inputs!$B$10),INDEX(LINEST(OFFSET(D593,-R593,0,R593,1),OFFSET(E593,-R593,0,R593,2)),1,1),"")</f>
        <v>-4.20288991249918E-005</v>
      </c>
      <c r="T593" s="29" t="n">
        <f aca="true">IF(AND(F593&gt;=1,R593&gt;=Inputs!$B$10),INDEX(LINEST(OFFSET(D593,-R593,0,R593,1),OFFSET(E593,-R593,0,R593,2)),1,2),"")</f>
        <v>0.995534748212599</v>
      </c>
      <c r="U593" s="29" t="n">
        <f aca="true">IF(AND(F593&gt;=1,R593&gt;=Inputs!$B$10),INDEX(LINEST(OFFSET(D593,-R593,0,R593,1),OFFSET(E593,-R593,0,R593,2)),1,3),"")</f>
        <v>4.53788388788111</v>
      </c>
      <c r="V593" s="29" t="n">
        <f aca="true">IF(AND(F593&gt;=1,R593&gt;=Inputs!$B$10),SQRT(SUMPRODUCT((OFFSET(D593,-R593,0,R593,1)-U593-T593*OFFSET(E593,-R593,0,R593,1)-S593*OFFSET(F593,-R593,0,R593,1))^2)/(R593-3)),"")</f>
        <v>0.00255914999795303</v>
      </c>
      <c r="W593" s="31" t="n">
        <f aca="false">IF(AND(F593&gt;=1,R593&gt;=Inputs!$B$10),(D593-U593-T593*E593-S593*F593)/V593,"")</f>
        <v>0.140699012372827</v>
      </c>
      <c r="X593" s="30" t="n">
        <f aca="false">IF(AB592&lt;&gt;0,AC592+1,0)</f>
        <v>0</v>
      </c>
      <c r="Y593" s="30" t="n">
        <f aca="false">IF(W593="",0,IF(AND(AB592&lt;&gt;0,OR(ABS(W593)&gt;Inputs!$B$7,X593&gt;=Inputs!$B$8,ABS(W593)&lt;Inputs!$B$6)),1,0))</f>
        <v>0</v>
      </c>
      <c r="Z593" s="30" t="n">
        <f aca="false">IF(Y593=1,0,AB592)</f>
        <v>0</v>
      </c>
      <c r="AA593" s="30" t="n">
        <f aca="false">IF(W593="",0,IF(AND(Z593=0,ABS(W593)&gt;Inputs!$B$5,ABS(W593)&lt;=Inputs!$B$7),1,0))</f>
        <v>0</v>
      </c>
      <c r="AB593" s="30" t="n">
        <f aca="false">IF(W593="",0,IF(AA593=1,-SIGN(W593),Z593))</f>
        <v>0</v>
      </c>
      <c r="AC593" s="30" t="n">
        <f aca="false">IF(W593="",0,IF(AA593=1,0,IF(Y593=1,0,X593)))</f>
        <v>0</v>
      </c>
      <c r="AD593" s="30" t="n">
        <f aca="false">IF(AB593=0,0,IF(AB592=AB593,AD592,T593))</f>
        <v>0</v>
      </c>
      <c r="AE593" s="30" t="n">
        <f aca="false">AB593-AB592</f>
        <v>0</v>
      </c>
      <c r="AF593" s="30" t="n">
        <f aca="false">-AD593*AB593</f>
        <v>-0</v>
      </c>
      <c r="AG593" s="30" t="n">
        <f aca="false">AF593-AF592</f>
        <v>0</v>
      </c>
      <c r="AH593" s="30" t="n">
        <f aca="false">MAX(AE593,0)*(Inputs!$B$17+Inputs!$B$18+Inputs!$B$19)+MAX(-AE593,0)*(O593+Inputs!$B$18+Inputs!$B$19)+IF(AND(K593=1,AB593&lt;&gt;0),(Inputs!$B$17+Inputs!$B$18+Inputs!$B$19)+(O593+Inputs!$B$18+Inputs!$B$19),0)+MAX(AG593,0)*(Inputs!$B$20+Inputs!$B$22+Inputs!$B$23)+MAX(-AG593,0)*(Inputs!$B$21+Inputs!$B$22+Inputs!$B$23)</f>
        <v>0</v>
      </c>
      <c r="AI593" s="30" t="n">
        <f aca="false">AB592*(M593-AD592*J593)+AB592*AD592*N593/Inputs!$B$16-AH593</f>
        <v>0</v>
      </c>
      <c r="AJ593" s="30" t="n">
        <f aca="false">MAX(AE593,0)*(Inputs!$B$17+Inputs!$B$24+Inputs!$B$25)+MAX(-AE593,0)*(O593+Inputs!$B$24+Inputs!$B$25)+IF(AND(K593=1,AB593&lt;&gt;0),(Inputs!$B$17+Inputs!$B$24+Inputs!$B$25)+(O593+Inputs!$B$24+Inputs!$B$25),0)+MAX(AG593,0)*(Inputs!$B$20+Inputs!$B$26+Inputs!$B$27)+MAX(-AG593,0)*(Inputs!$B$21+Inputs!$B$26+Inputs!$B$27)</f>
        <v>0</v>
      </c>
      <c r="AK593" s="30" t="n">
        <f aca="false">AB592*(M593-AD592*J593)+AB592*AD592*(N593+Inputs!$B$14)/Inputs!$B$16-AJ593</f>
        <v>0</v>
      </c>
      <c r="AL593" s="30" t="n">
        <f aca="false">IF(AP592&lt;&gt;0,AQ592+1,0)</f>
        <v>0</v>
      </c>
      <c r="AM593" s="30" t="n">
        <f aca="false">IF(W593="",0,IF(AND(AP592&lt;&gt;0,OR(ABS(W593)&gt;Inputs!$B$7,AL593&gt;=Inputs!$B$8,ABS(W593)&lt;Inputs!$B$6)),1,0))</f>
        <v>0</v>
      </c>
      <c r="AN593" s="30" t="n">
        <f aca="false">IF(AM593=1,0,AP592)</f>
        <v>0</v>
      </c>
      <c r="AO593" s="30" t="n">
        <f aca="false">IF(W593="",0,IF(AND(AN593=0,ABS(W593)&gt;Inputs!$B$5,ABS(W593)&lt;=Inputs!$B$7,W593&gt;0),1,0))</f>
        <v>0</v>
      </c>
      <c r="AP593" s="30" t="n">
        <f aca="false">IF(W593="",0,IF(AO593=1,-SIGN(W593),AN593))</f>
        <v>0</v>
      </c>
      <c r="AQ593" s="30" t="n">
        <f aca="false">IF(W593="",0,IF(AO593=1,0,IF(AM593=1,0,AL593)))</f>
        <v>0</v>
      </c>
      <c r="AR593" s="30" t="n">
        <f aca="false">IF(AP593=0,0,IF(AP592=AP593,AR592,T593))</f>
        <v>0</v>
      </c>
      <c r="AS593" s="30" t="n">
        <f aca="false">AP593-AP592</f>
        <v>0</v>
      </c>
      <c r="AT593" s="30" t="n">
        <f aca="false">-AR593*AP593</f>
        <v>-0</v>
      </c>
      <c r="AU593" s="30" t="n">
        <f aca="false">AT593-AT592</f>
        <v>0</v>
      </c>
      <c r="AV593" s="30" t="n">
        <f aca="false">MAX(AS593,0)*(Inputs!$B$17+Inputs!$B$18+Inputs!$B$19)+MAX(-AS593,0)*(O593+Inputs!$B$18+Inputs!$B$19)+IF(AND(K593=1,AP593&lt;&gt;0),(Inputs!$B$17+Inputs!$B$18+Inputs!$B$19)+(O593+Inputs!$B$18+Inputs!$B$19),0)+MAX(AU593,0)*(Inputs!$B$20+Inputs!$B$22+Inputs!$B$23)+MAX(-AU593,0)*(Inputs!$B$21+Inputs!$B$22+Inputs!$B$23)</f>
        <v>0</v>
      </c>
      <c r="AW593" s="30" t="n">
        <f aca="false">AP592*(M593-AR592*J593)+AP592*AR592*N593/Inputs!$B$16-AV593</f>
        <v>0</v>
      </c>
      <c r="AX593" s="30" t="n">
        <f aca="false">AW593-IF(AP592&lt;&gt;0,0.75*AR592*(Inputs!$B$13-N593)/Inputs!$B$16,0)</f>
        <v>0</v>
      </c>
      <c r="AY593" s="30" t="n">
        <f aca="false">MAX(AS593,0)*(Inputs!$B$17+Inputs!$B$18+Inputs!$B$19)+MAX(-AS593,0)*(O593+Inputs!$B$18+Inputs!$B$19)+IF(AND(K593=1,AP593&lt;&gt;0),(Inputs!$B$17+Inputs!$B$18+Inputs!$B$19)+(O593+Inputs!$B$18+Inputs!$B$19),0)</f>
        <v>0</v>
      </c>
      <c r="AZ593" s="30" t="n">
        <f aca="false">AP592*M593-AY593</f>
        <v>0</v>
      </c>
      <c r="BA593" s="32" t="n">
        <f aca="false">BA592+AI593</f>
        <v>0.0081476582830333</v>
      </c>
      <c r="BB593" s="30" t="n">
        <f aca="false">MAX(BB592,BA593)</f>
        <v>0.0108065678336457</v>
      </c>
      <c r="BC593" s="32" t="n">
        <f aca="false">BA593-BB593</f>
        <v>-0.00265890955061237</v>
      </c>
      <c r="BD593" s="30" t="n">
        <f aca="false">A594-A593</f>
        <v>3</v>
      </c>
    </row>
    <row r="594" customFormat="false" ht="15" hidden="false" customHeight="false" outlineLevel="0" collapsed="false">
      <c r="A594" s="28" t="n">
        <v>45915</v>
      </c>
      <c r="B594" s="0" t="n">
        <v>25169</v>
      </c>
      <c r="C594" s="0" t="n">
        <v>283.3</v>
      </c>
      <c r="D594" s="29" t="n">
        <f aca="false">LN(B594)</f>
        <v>10.133368357503</v>
      </c>
      <c r="E594" s="29" t="n">
        <f aca="false">LN(C594)</f>
        <v>5.64650640683647</v>
      </c>
      <c r="F594" s="0" t="n">
        <v>589</v>
      </c>
      <c r="G594" s="0" t="n">
        <v>15</v>
      </c>
      <c r="H594" s="29" t="n">
        <f aca="false">D594-E594</f>
        <v>4.48686195066653</v>
      </c>
      <c r="I594" s="29" t="n">
        <f aca="false">D594-D593</f>
        <v>-0.00163162935098526</v>
      </c>
      <c r="J594" s="29" t="n">
        <f aca="false">E594-E593</f>
        <v>-0.000176475779157137</v>
      </c>
      <c r="K594" s="0" t="n">
        <v>0</v>
      </c>
      <c r="L594" s="0" t="n">
        <v>0</v>
      </c>
      <c r="M594" s="29" t="n">
        <f aca="false">IF(L594=1,J594-Carry!$B$9/Inputs!$B$16,I594)</f>
        <v>-0.00163162935098526</v>
      </c>
      <c r="N594" s="0" t="n">
        <v>0.055</v>
      </c>
      <c r="O594" s="0" t="n">
        <v>0.0002</v>
      </c>
      <c r="P594" s="29" t="n">
        <f aca="false">D594-('2 Hedge ratio'!$B$6+'2 Hedge ratio'!$B$5*E594)</f>
        <v>-0.00136733940612999</v>
      </c>
      <c r="Q594" s="29" t="n">
        <f aca="false">D594-('5 Re-specification'!$B$7+'5 Re-specification'!$B$5*E594+'5 Re-specification'!$B$6*F594)</f>
        <v>-0.000763964136796247</v>
      </c>
      <c r="R594" s="30" t="n">
        <f aca="false">MIN(F594,Inputs!$B$9)</f>
        <v>250</v>
      </c>
      <c r="S594" s="29" t="n">
        <f aca="true">IF(AND(F594&gt;=1,R594&gt;=Inputs!$B$10),INDEX(LINEST(OFFSET(D594,-R594,0,R594,1),OFFSET(E594,-R594,0,R594,2)),1,1),"")</f>
        <v>-4.20401843416585E-005</v>
      </c>
      <c r="T594" s="29" t="n">
        <f aca="true">IF(AND(F594&gt;=1,R594&gt;=Inputs!$B$10),INDEX(LINEST(OFFSET(D594,-R594,0,R594,1),OFFSET(E594,-R594,0,R594,2)),1,2),"")</f>
        <v>0.995608527496094</v>
      </c>
      <c r="U594" s="29" t="n">
        <f aca="true">IF(AND(F594&gt;=1,R594&gt;=Inputs!$B$10),INDEX(LINEST(OFFSET(D594,-R594,0,R594,1),OFFSET(E594,-R594,0,R594,2)),1,3),"")</f>
        <v>4.53747856158838</v>
      </c>
      <c r="V594" s="29" t="n">
        <f aca="true">IF(AND(F594&gt;=1,R594&gt;=Inputs!$B$10),SQRT(SUMPRODUCT((OFFSET(D594,-R594,0,R594,1)-U594-T594*OFFSET(E594,-R594,0,R594,1)-S594*OFFSET(F594,-R594,0,R594,1))^2)/(R594-3)),"")</f>
        <v>0.00255913343505173</v>
      </c>
      <c r="W594" s="31" t="n">
        <f aca="false">IF(AND(F594&gt;=1,R594&gt;=Inputs!$B$10),(D594-U594-T594*E594-S594*F594)/V594,"")</f>
        <v>-0.413602784974691</v>
      </c>
      <c r="X594" s="30" t="n">
        <f aca="false">IF(AB593&lt;&gt;0,AC593+1,0)</f>
        <v>0</v>
      </c>
      <c r="Y594" s="30" t="n">
        <f aca="false">IF(W594="",0,IF(AND(AB593&lt;&gt;0,OR(ABS(W594)&gt;Inputs!$B$7,X594&gt;=Inputs!$B$8,ABS(W594)&lt;Inputs!$B$6)),1,0))</f>
        <v>0</v>
      </c>
      <c r="Z594" s="30" t="n">
        <f aca="false">IF(Y594=1,0,AB593)</f>
        <v>0</v>
      </c>
      <c r="AA594" s="30" t="n">
        <f aca="false">IF(W594="",0,IF(AND(Z594=0,ABS(W594)&gt;Inputs!$B$5,ABS(W594)&lt;=Inputs!$B$7),1,0))</f>
        <v>0</v>
      </c>
      <c r="AB594" s="30" t="n">
        <f aca="false">IF(W594="",0,IF(AA594=1,-SIGN(W594),Z594))</f>
        <v>0</v>
      </c>
      <c r="AC594" s="30" t="n">
        <f aca="false">IF(W594="",0,IF(AA594=1,0,IF(Y594=1,0,X594)))</f>
        <v>0</v>
      </c>
      <c r="AD594" s="30" t="n">
        <f aca="false">IF(AB594=0,0,IF(AB593=AB594,AD593,T594))</f>
        <v>0</v>
      </c>
      <c r="AE594" s="30" t="n">
        <f aca="false">AB594-AB593</f>
        <v>0</v>
      </c>
      <c r="AF594" s="30" t="n">
        <f aca="false">-AD594*AB594</f>
        <v>-0</v>
      </c>
      <c r="AG594" s="30" t="n">
        <f aca="false">AF594-AF593</f>
        <v>0</v>
      </c>
      <c r="AH594" s="30" t="n">
        <f aca="false">MAX(AE594,0)*(Inputs!$B$17+Inputs!$B$18+Inputs!$B$19)+MAX(-AE594,0)*(O594+Inputs!$B$18+Inputs!$B$19)+IF(AND(K594=1,AB594&lt;&gt;0),(Inputs!$B$17+Inputs!$B$18+Inputs!$B$19)+(O594+Inputs!$B$18+Inputs!$B$19),0)+MAX(AG594,0)*(Inputs!$B$20+Inputs!$B$22+Inputs!$B$23)+MAX(-AG594,0)*(Inputs!$B$21+Inputs!$B$22+Inputs!$B$23)</f>
        <v>0</v>
      </c>
      <c r="AI594" s="30" t="n">
        <f aca="false">AB593*(M594-AD593*J594)+AB593*AD593*N594/Inputs!$B$16-AH594</f>
        <v>0</v>
      </c>
      <c r="AJ594" s="30" t="n">
        <f aca="false">MAX(AE594,0)*(Inputs!$B$17+Inputs!$B$24+Inputs!$B$25)+MAX(-AE594,0)*(O594+Inputs!$B$24+Inputs!$B$25)+IF(AND(K594=1,AB594&lt;&gt;0),(Inputs!$B$17+Inputs!$B$24+Inputs!$B$25)+(O594+Inputs!$B$24+Inputs!$B$25),0)+MAX(AG594,0)*(Inputs!$B$20+Inputs!$B$26+Inputs!$B$27)+MAX(-AG594,0)*(Inputs!$B$21+Inputs!$B$26+Inputs!$B$27)</f>
        <v>0</v>
      </c>
      <c r="AK594" s="30" t="n">
        <f aca="false">AB593*(M594-AD593*J594)+AB593*AD593*(N594+Inputs!$B$14)/Inputs!$B$16-AJ594</f>
        <v>0</v>
      </c>
      <c r="AL594" s="30" t="n">
        <f aca="false">IF(AP593&lt;&gt;0,AQ593+1,0)</f>
        <v>0</v>
      </c>
      <c r="AM594" s="30" t="n">
        <f aca="false">IF(W594="",0,IF(AND(AP593&lt;&gt;0,OR(ABS(W594)&gt;Inputs!$B$7,AL594&gt;=Inputs!$B$8,ABS(W594)&lt;Inputs!$B$6)),1,0))</f>
        <v>0</v>
      </c>
      <c r="AN594" s="30" t="n">
        <f aca="false">IF(AM594=1,0,AP593)</f>
        <v>0</v>
      </c>
      <c r="AO594" s="30" t="n">
        <f aca="false">IF(W594="",0,IF(AND(AN594=0,ABS(W594)&gt;Inputs!$B$5,ABS(W594)&lt;=Inputs!$B$7,W594&gt;0),1,0))</f>
        <v>0</v>
      </c>
      <c r="AP594" s="30" t="n">
        <f aca="false">IF(W594="",0,IF(AO594=1,-SIGN(W594),AN594))</f>
        <v>0</v>
      </c>
      <c r="AQ594" s="30" t="n">
        <f aca="false">IF(W594="",0,IF(AO594=1,0,IF(AM594=1,0,AL594)))</f>
        <v>0</v>
      </c>
      <c r="AR594" s="30" t="n">
        <f aca="false">IF(AP594=0,0,IF(AP593=AP594,AR593,T594))</f>
        <v>0</v>
      </c>
      <c r="AS594" s="30" t="n">
        <f aca="false">AP594-AP593</f>
        <v>0</v>
      </c>
      <c r="AT594" s="30" t="n">
        <f aca="false">-AR594*AP594</f>
        <v>-0</v>
      </c>
      <c r="AU594" s="30" t="n">
        <f aca="false">AT594-AT593</f>
        <v>0</v>
      </c>
      <c r="AV594" s="30" t="n">
        <f aca="false">MAX(AS594,0)*(Inputs!$B$17+Inputs!$B$18+Inputs!$B$19)+MAX(-AS594,0)*(O594+Inputs!$B$18+Inputs!$B$19)+IF(AND(K594=1,AP594&lt;&gt;0),(Inputs!$B$17+Inputs!$B$18+Inputs!$B$19)+(O594+Inputs!$B$18+Inputs!$B$19),0)+MAX(AU594,0)*(Inputs!$B$20+Inputs!$B$22+Inputs!$B$23)+MAX(-AU594,0)*(Inputs!$B$21+Inputs!$B$22+Inputs!$B$23)</f>
        <v>0</v>
      </c>
      <c r="AW594" s="30" t="n">
        <f aca="false">AP593*(M594-AR593*J594)+AP593*AR593*N594/Inputs!$B$16-AV594</f>
        <v>0</v>
      </c>
      <c r="AX594" s="30" t="n">
        <f aca="false">AW594-IF(AP593&lt;&gt;0,0.75*AR593*(Inputs!$B$13-N594)/Inputs!$B$16,0)</f>
        <v>0</v>
      </c>
      <c r="AY594" s="30" t="n">
        <f aca="false">MAX(AS594,0)*(Inputs!$B$17+Inputs!$B$18+Inputs!$B$19)+MAX(-AS594,0)*(O594+Inputs!$B$18+Inputs!$B$19)+IF(AND(K594=1,AP594&lt;&gt;0),(Inputs!$B$17+Inputs!$B$18+Inputs!$B$19)+(O594+Inputs!$B$18+Inputs!$B$19),0)</f>
        <v>0</v>
      </c>
      <c r="AZ594" s="30" t="n">
        <f aca="false">AP593*M594-AY594</f>
        <v>-0</v>
      </c>
      <c r="BA594" s="32" t="n">
        <f aca="false">BA593+AI594</f>
        <v>0.0081476582830333</v>
      </c>
      <c r="BB594" s="30" t="n">
        <f aca="false">MAX(BB593,BA594)</f>
        <v>0.0108065678336457</v>
      </c>
      <c r="BC594" s="32" t="n">
        <f aca="false">BA594-BB594</f>
        <v>-0.00265890955061237</v>
      </c>
      <c r="BD594" s="30" t="n">
        <f aca="false">A595-A594</f>
        <v>1</v>
      </c>
    </row>
    <row r="595" customFormat="false" ht="15" hidden="false" customHeight="false" outlineLevel="0" collapsed="false">
      <c r="A595" s="28" t="n">
        <v>45916</v>
      </c>
      <c r="B595" s="0" t="n">
        <v>25348</v>
      </c>
      <c r="C595" s="0" t="n">
        <v>285.06</v>
      </c>
      <c r="D595" s="29" t="n">
        <f aca="false">LN(B595)</f>
        <v>10.1404551104434</v>
      </c>
      <c r="E595" s="29" t="n">
        <f aca="false">LN(C595)</f>
        <v>5.65269968442689</v>
      </c>
      <c r="F595" s="0" t="n">
        <v>590</v>
      </c>
      <c r="G595" s="0" t="n">
        <v>14</v>
      </c>
      <c r="H595" s="29" t="n">
        <f aca="false">D595-E595</f>
        <v>4.48775542601652</v>
      </c>
      <c r="I595" s="29" t="n">
        <f aca="false">D595-D594</f>
        <v>0.00708675294040617</v>
      </c>
      <c r="J595" s="29" t="n">
        <f aca="false">E595-E594</f>
        <v>0.00619327759041433</v>
      </c>
      <c r="K595" s="0" t="n">
        <v>0</v>
      </c>
      <c r="L595" s="0" t="n">
        <v>0</v>
      </c>
      <c r="M595" s="29" t="n">
        <f aca="false">IF(L595=1,J595-Carry!$B$9/Inputs!$B$16,I595)</f>
        <v>0.00708675294040617</v>
      </c>
      <c r="N595" s="0" t="n">
        <v>0.055</v>
      </c>
      <c r="O595" s="0" t="n">
        <v>0.0002</v>
      </c>
      <c r="P595" s="29" t="n">
        <f aca="false">D595-('2 Hedge ratio'!$B$6+'2 Hedge ratio'!$B$5*E595)</f>
        <v>4.5586206255166E-005</v>
      </c>
      <c r="Q595" s="29" t="n">
        <f aca="false">D595-('5 Re-specification'!$B$7+'5 Re-specification'!$B$5*E595+'5 Re-specification'!$B$6*F595)</f>
        <v>0.000193209259160554</v>
      </c>
      <c r="R595" s="30" t="n">
        <f aca="false">MIN(F595,Inputs!$B$9)</f>
        <v>250</v>
      </c>
      <c r="S595" s="29" t="n">
        <f aca="true">IF(AND(F595&gt;=1,R595&gt;=Inputs!$B$10),INDEX(LINEST(OFFSET(D595,-R595,0,R595,1),OFFSET(E595,-R595,0,R595,2)),1,1),"")</f>
        <v>-4.22561179306453E-005</v>
      </c>
      <c r="T595" s="29" t="n">
        <f aca="true">IF(AND(F595&gt;=1,R595&gt;=Inputs!$B$10),INDEX(LINEST(OFFSET(D595,-R595,0,R595,1),OFFSET(E595,-R595,0,R595,2)),1,2),"")</f>
        <v>0.995652699888078</v>
      </c>
      <c r="U595" s="29" t="n">
        <f aca="true">IF(AND(F595&gt;=1,R595&gt;=Inputs!$B$10),INDEX(LINEST(OFFSET(D595,-R595,0,R595,1),OFFSET(E595,-R595,0,R595,2)),1,3),"")</f>
        <v>4.53733157266447</v>
      </c>
      <c r="V595" s="29" t="n">
        <f aca="true">IF(AND(F595&gt;=1,R595&gt;=Inputs!$B$10),SQRT(SUMPRODUCT((OFFSET(D595,-R595,0,R595,1)-U595-T595*OFFSET(E595,-R595,0,R595,1)-S595*OFFSET(F595,-R595,0,R595,1))^2)/(R595-3)),"")</f>
        <v>0.00255895870569113</v>
      </c>
      <c r="W595" s="31" t="n">
        <f aca="false">IF(AND(F595&gt;=1,R595&gt;=Inputs!$B$10),(D595-U595-T595*E595-S595*F595)/V595,"")</f>
        <v>-0.0277671921560096</v>
      </c>
      <c r="X595" s="30" t="n">
        <f aca="false">IF(AB594&lt;&gt;0,AC594+1,0)</f>
        <v>0</v>
      </c>
      <c r="Y595" s="30" t="n">
        <f aca="false">IF(W595="",0,IF(AND(AB594&lt;&gt;0,OR(ABS(W595)&gt;Inputs!$B$7,X595&gt;=Inputs!$B$8,ABS(W595)&lt;Inputs!$B$6)),1,0))</f>
        <v>0</v>
      </c>
      <c r="Z595" s="30" t="n">
        <f aca="false">IF(Y595=1,0,AB594)</f>
        <v>0</v>
      </c>
      <c r="AA595" s="30" t="n">
        <f aca="false">IF(W595="",0,IF(AND(Z595=0,ABS(W595)&gt;Inputs!$B$5,ABS(W595)&lt;=Inputs!$B$7),1,0))</f>
        <v>0</v>
      </c>
      <c r="AB595" s="30" t="n">
        <f aca="false">IF(W595="",0,IF(AA595=1,-SIGN(W595),Z595))</f>
        <v>0</v>
      </c>
      <c r="AC595" s="30" t="n">
        <f aca="false">IF(W595="",0,IF(AA595=1,0,IF(Y595=1,0,X595)))</f>
        <v>0</v>
      </c>
      <c r="AD595" s="30" t="n">
        <f aca="false">IF(AB595=0,0,IF(AB594=AB595,AD594,T595))</f>
        <v>0</v>
      </c>
      <c r="AE595" s="30" t="n">
        <f aca="false">AB595-AB594</f>
        <v>0</v>
      </c>
      <c r="AF595" s="30" t="n">
        <f aca="false">-AD595*AB595</f>
        <v>-0</v>
      </c>
      <c r="AG595" s="30" t="n">
        <f aca="false">AF595-AF594</f>
        <v>0</v>
      </c>
      <c r="AH595" s="30" t="n">
        <f aca="false">MAX(AE595,0)*(Inputs!$B$17+Inputs!$B$18+Inputs!$B$19)+MAX(-AE595,0)*(O595+Inputs!$B$18+Inputs!$B$19)+IF(AND(K595=1,AB595&lt;&gt;0),(Inputs!$B$17+Inputs!$B$18+Inputs!$B$19)+(O595+Inputs!$B$18+Inputs!$B$19),0)+MAX(AG595,0)*(Inputs!$B$20+Inputs!$B$22+Inputs!$B$23)+MAX(-AG595,0)*(Inputs!$B$21+Inputs!$B$22+Inputs!$B$23)</f>
        <v>0</v>
      </c>
      <c r="AI595" s="30" t="n">
        <f aca="false">AB594*(M595-AD594*J595)+AB594*AD594*N595/Inputs!$B$16-AH595</f>
        <v>0</v>
      </c>
      <c r="AJ595" s="30" t="n">
        <f aca="false">MAX(AE595,0)*(Inputs!$B$17+Inputs!$B$24+Inputs!$B$25)+MAX(-AE595,0)*(O595+Inputs!$B$24+Inputs!$B$25)+IF(AND(K595=1,AB595&lt;&gt;0),(Inputs!$B$17+Inputs!$B$24+Inputs!$B$25)+(O595+Inputs!$B$24+Inputs!$B$25),0)+MAX(AG595,0)*(Inputs!$B$20+Inputs!$B$26+Inputs!$B$27)+MAX(-AG595,0)*(Inputs!$B$21+Inputs!$B$26+Inputs!$B$27)</f>
        <v>0</v>
      </c>
      <c r="AK595" s="30" t="n">
        <f aca="false">AB594*(M595-AD594*J595)+AB594*AD594*(N595+Inputs!$B$14)/Inputs!$B$16-AJ595</f>
        <v>0</v>
      </c>
      <c r="AL595" s="30" t="n">
        <f aca="false">IF(AP594&lt;&gt;0,AQ594+1,0)</f>
        <v>0</v>
      </c>
      <c r="AM595" s="30" t="n">
        <f aca="false">IF(W595="",0,IF(AND(AP594&lt;&gt;0,OR(ABS(W595)&gt;Inputs!$B$7,AL595&gt;=Inputs!$B$8,ABS(W595)&lt;Inputs!$B$6)),1,0))</f>
        <v>0</v>
      </c>
      <c r="AN595" s="30" t="n">
        <f aca="false">IF(AM595=1,0,AP594)</f>
        <v>0</v>
      </c>
      <c r="AO595" s="30" t="n">
        <f aca="false">IF(W595="",0,IF(AND(AN595=0,ABS(W595)&gt;Inputs!$B$5,ABS(W595)&lt;=Inputs!$B$7,W595&gt;0),1,0))</f>
        <v>0</v>
      </c>
      <c r="AP595" s="30" t="n">
        <f aca="false">IF(W595="",0,IF(AO595=1,-SIGN(W595),AN595))</f>
        <v>0</v>
      </c>
      <c r="AQ595" s="30" t="n">
        <f aca="false">IF(W595="",0,IF(AO595=1,0,IF(AM595=1,0,AL595)))</f>
        <v>0</v>
      </c>
      <c r="AR595" s="30" t="n">
        <f aca="false">IF(AP595=0,0,IF(AP594=AP595,AR594,T595))</f>
        <v>0</v>
      </c>
      <c r="AS595" s="30" t="n">
        <f aca="false">AP595-AP594</f>
        <v>0</v>
      </c>
      <c r="AT595" s="30" t="n">
        <f aca="false">-AR595*AP595</f>
        <v>-0</v>
      </c>
      <c r="AU595" s="30" t="n">
        <f aca="false">AT595-AT594</f>
        <v>0</v>
      </c>
      <c r="AV595" s="30" t="n">
        <f aca="false">MAX(AS595,0)*(Inputs!$B$17+Inputs!$B$18+Inputs!$B$19)+MAX(-AS595,0)*(O595+Inputs!$B$18+Inputs!$B$19)+IF(AND(K595=1,AP595&lt;&gt;0),(Inputs!$B$17+Inputs!$B$18+Inputs!$B$19)+(O595+Inputs!$B$18+Inputs!$B$19),0)+MAX(AU595,0)*(Inputs!$B$20+Inputs!$B$22+Inputs!$B$23)+MAX(-AU595,0)*(Inputs!$B$21+Inputs!$B$22+Inputs!$B$23)</f>
        <v>0</v>
      </c>
      <c r="AW595" s="30" t="n">
        <f aca="false">AP594*(M595-AR594*J595)+AP594*AR594*N595/Inputs!$B$16-AV595</f>
        <v>0</v>
      </c>
      <c r="AX595" s="30" t="n">
        <f aca="false">AW595-IF(AP594&lt;&gt;0,0.75*AR594*(Inputs!$B$13-N595)/Inputs!$B$16,0)</f>
        <v>0</v>
      </c>
      <c r="AY595" s="30" t="n">
        <f aca="false">MAX(AS595,0)*(Inputs!$B$17+Inputs!$B$18+Inputs!$B$19)+MAX(-AS595,0)*(O595+Inputs!$B$18+Inputs!$B$19)+IF(AND(K595=1,AP595&lt;&gt;0),(Inputs!$B$17+Inputs!$B$18+Inputs!$B$19)+(O595+Inputs!$B$18+Inputs!$B$19),0)</f>
        <v>0</v>
      </c>
      <c r="AZ595" s="30" t="n">
        <f aca="false">AP594*M595-AY595</f>
        <v>0</v>
      </c>
      <c r="BA595" s="32" t="n">
        <f aca="false">BA594+AI595</f>
        <v>0.0081476582830333</v>
      </c>
      <c r="BB595" s="30" t="n">
        <f aca="false">MAX(BB594,BA595)</f>
        <v>0.0108065678336457</v>
      </c>
      <c r="BC595" s="32" t="n">
        <f aca="false">BA595-BB595</f>
        <v>-0.00265890955061237</v>
      </c>
      <c r="BD595" s="30" t="n">
        <f aca="false">A596-A595</f>
        <v>1</v>
      </c>
    </row>
    <row r="596" customFormat="false" ht="15" hidden="false" customHeight="false" outlineLevel="0" collapsed="false">
      <c r="A596" s="28" t="n">
        <v>45917</v>
      </c>
      <c r="B596" s="0" t="n">
        <v>25424.3</v>
      </c>
      <c r="C596" s="0" t="n">
        <v>286.05</v>
      </c>
      <c r="D596" s="29" t="n">
        <f aca="false">LN(B596)</f>
        <v>10.143460688581</v>
      </c>
      <c r="E596" s="29" t="n">
        <f aca="false">LN(C596)</f>
        <v>5.65616662071454</v>
      </c>
      <c r="F596" s="0" t="n">
        <v>591</v>
      </c>
      <c r="G596" s="0" t="n">
        <v>13</v>
      </c>
      <c r="H596" s="29" t="n">
        <f aca="false">D596-E596</f>
        <v>4.48729406786648</v>
      </c>
      <c r="I596" s="29" t="n">
        <f aca="false">D596-D595</f>
        <v>0.00300557813760527</v>
      </c>
      <c r="J596" s="29" t="n">
        <f aca="false">E596-E595</f>
        <v>0.00346693628765316</v>
      </c>
      <c r="K596" s="0" t="n">
        <v>0</v>
      </c>
      <c r="L596" s="0" t="n">
        <v>0</v>
      </c>
      <c r="M596" s="29" t="n">
        <f aca="false">IF(L596=1,J596-Carry!$B$9/Inputs!$B$16,I596)</f>
        <v>0.00300557813760527</v>
      </c>
      <c r="N596" s="0" t="n">
        <v>0.055</v>
      </c>
      <c r="O596" s="0" t="n">
        <v>0.0002</v>
      </c>
      <c r="P596" s="29" t="n">
        <f aca="false">D596-('2 Hedge ratio'!$B$6+'2 Hedge ratio'!$B$5*E596)</f>
        <v>-0.000124988761863065</v>
      </c>
      <c r="Q596" s="29" t="n">
        <f aca="false">D596-('5 Re-specification'!$B$7+'5 Re-specification'!$B$5*E596+'5 Re-specification'!$B$6*F596)</f>
        <v>-0.00021271302229664</v>
      </c>
      <c r="R596" s="30" t="n">
        <f aca="false">MIN(F596,Inputs!$B$9)</f>
        <v>250</v>
      </c>
      <c r="S596" s="29" t="n">
        <f aca="true">IF(AND(F596&gt;=1,R596&gt;=Inputs!$B$10),INDEX(LINEST(OFFSET(D596,-R596,0,R596,1),OFFSET(E596,-R596,0,R596,2)),1,1),"")</f>
        <v>-4.23510083745177E-005</v>
      </c>
      <c r="T596" s="29" t="n">
        <f aca="true">IF(AND(F596&gt;=1,R596&gt;=Inputs!$B$10),INDEX(LINEST(OFFSET(D596,-R596,0,R596,1),OFFSET(E596,-R596,0,R596,2)),1,2),"")</f>
        <v>0.995764035106852</v>
      </c>
      <c r="U596" s="29" t="n">
        <f aca="true">IF(AND(F596&gt;=1,R596&gt;=Inputs!$B$10),INDEX(LINEST(OFFSET(D596,-R596,0,R596,1),OFFSET(E596,-R596,0,R596,2)),1,3),"")</f>
        <v>4.53675445730461</v>
      </c>
      <c r="V596" s="29" t="n">
        <f aca="true">IF(AND(F596&gt;=1,R596&gt;=Inputs!$B$10),SQRT(SUMPRODUCT((OFFSET(D596,-R596,0,R596,1)-U596-T596*OFFSET(E596,-R596,0,R596,1)-S596*OFFSET(F596,-R596,0,R596,1))^2)/(R596-3)),"")</f>
        <v>0.00255849503346703</v>
      </c>
      <c r="W596" s="31" t="n">
        <f aca="false">IF(AND(F596&gt;=1,R596&gt;=Inputs!$B$10),(D596-U596-T596*E596-S596*F596)/V596,"")</f>
        <v>-0.184335028006336</v>
      </c>
      <c r="X596" s="30" t="n">
        <f aca="false">IF(AB595&lt;&gt;0,AC595+1,0)</f>
        <v>0</v>
      </c>
      <c r="Y596" s="30" t="n">
        <f aca="false">IF(W596="",0,IF(AND(AB595&lt;&gt;0,OR(ABS(W596)&gt;Inputs!$B$7,X596&gt;=Inputs!$B$8,ABS(W596)&lt;Inputs!$B$6)),1,0))</f>
        <v>0</v>
      </c>
      <c r="Z596" s="30" t="n">
        <f aca="false">IF(Y596=1,0,AB595)</f>
        <v>0</v>
      </c>
      <c r="AA596" s="30" t="n">
        <f aca="false">IF(W596="",0,IF(AND(Z596=0,ABS(W596)&gt;Inputs!$B$5,ABS(W596)&lt;=Inputs!$B$7),1,0))</f>
        <v>0</v>
      </c>
      <c r="AB596" s="30" t="n">
        <f aca="false">IF(W596="",0,IF(AA596=1,-SIGN(W596),Z596))</f>
        <v>0</v>
      </c>
      <c r="AC596" s="30" t="n">
        <f aca="false">IF(W596="",0,IF(AA596=1,0,IF(Y596=1,0,X596)))</f>
        <v>0</v>
      </c>
      <c r="AD596" s="30" t="n">
        <f aca="false">IF(AB596=0,0,IF(AB595=AB596,AD595,T596))</f>
        <v>0</v>
      </c>
      <c r="AE596" s="30" t="n">
        <f aca="false">AB596-AB595</f>
        <v>0</v>
      </c>
      <c r="AF596" s="30" t="n">
        <f aca="false">-AD596*AB596</f>
        <v>-0</v>
      </c>
      <c r="AG596" s="30" t="n">
        <f aca="false">AF596-AF595</f>
        <v>0</v>
      </c>
      <c r="AH596" s="30" t="n">
        <f aca="false">MAX(AE596,0)*(Inputs!$B$17+Inputs!$B$18+Inputs!$B$19)+MAX(-AE596,0)*(O596+Inputs!$B$18+Inputs!$B$19)+IF(AND(K596=1,AB596&lt;&gt;0),(Inputs!$B$17+Inputs!$B$18+Inputs!$B$19)+(O596+Inputs!$B$18+Inputs!$B$19),0)+MAX(AG596,0)*(Inputs!$B$20+Inputs!$B$22+Inputs!$B$23)+MAX(-AG596,0)*(Inputs!$B$21+Inputs!$B$22+Inputs!$B$23)</f>
        <v>0</v>
      </c>
      <c r="AI596" s="30" t="n">
        <f aca="false">AB595*(M596-AD595*J596)+AB595*AD595*N596/Inputs!$B$16-AH596</f>
        <v>0</v>
      </c>
      <c r="AJ596" s="30" t="n">
        <f aca="false">MAX(AE596,0)*(Inputs!$B$17+Inputs!$B$24+Inputs!$B$25)+MAX(-AE596,0)*(O596+Inputs!$B$24+Inputs!$B$25)+IF(AND(K596=1,AB596&lt;&gt;0),(Inputs!$B$17+Inputs!$B$24+Inputs!$B$25)+(O596+Inputs!$B$24+Inputs!$B$25),0)+MAX(AG596,0)*(Inputs!$B$20+Inputs!$B$26+Inputs!$B$27)+MAX(-AG596,0)*(Inputs!$B$21+Inputs!$B$26+Inputs!$B$27)</f>
        <v>0</v>
      </c>
      <c r="AK596" s="30" t="n">
        <f aca="false">AB595*(M596-AD595*J596)+AB595*AD595*(N596+Inputs!$B$14)/Inputs!$B$16-AJ596</f>
        <v>0</v>
      </c>
      <c r="AL596" s="30" t="n">
        <f aca="false">IF(AP595&lt;&gt;0,AQ595+1,0)</f>
        <v>0</v>
      </c>
      <c r="AM596" s="30" t="n">
        <f aca="false">IF(W596="",0,IF(AND(AP595&lt;&gt;0,OR(ABS(W596)&gt;Inputs!$B$7,AL596&gt;=Inputs!$B$8,ABS(W596)&lt;Inputs!$B$6)),1,0))</f>
        <v>0</v>
      </c>
      <c r="AN596" s="30" t="n">
        <f aca="false">IF(AM596=1,0,AP595)</f>
        <v>0</v>
      </c>
      <c r="AO596" s="30" t="n">
        <f aca="false">IF(W596="",0,IF(AND(AN596=0,ABS(W596)&gt;Inputs!$B$5,ABS(W596)&lt;=Inputs!$B$7,W596&gt;0),1,0))</f>
        <v>0</v>
      </c>
      <c r="AP596" s="30" t="n">
        <f aca="false">IF(W596="",0,IF(AO596=1,-SIGN(W596),AN596))</f>
        <v>0</v>
      </c>
      <c r="AQ596" s="30" t="n">
        <f aca="false">IF(W596="",0,IF(AO596=1,0,IF(AM596=1,0,AL596)))</f>
        <v>0</v>
      </c>
      <c r="AR596" s="30" t="n">
        <f aca="false">IF(AP596=0,0,IF(AP595=AP596,AR595,T596))</f>
        <v>0</v>
      </c>
      <c r="AS596" s="30" t="n">
        <f aca="false">AP596-AP595</f>
        <v>0</v>
      </c>
      <c r="AT596" s="30" t="n">
        <f aca="false">-AR596*AP596</f>
        <v>-0</v>
      </c>
      <c r="AU596" s="30" t="n">
        <f aca="false">AT596-AT595</f>
        <v>0</v>
      </c>
      <c r="AV596" s="30" t="n">
        <f aca="false">MAX(AS596,0)*(Inputs!$B$17+Inputs!$B$18+Inputs!$B$19)+MAX(-AS596,0)*(O596+Inputs!$B$18+Inputs!$B$19)+IF(AND(K596=1,AP596&lt;&gt;0),(Inputs!$B$17+Inputs!$B$18+Inputs!$B$19)+(O596+Inputs!$B$18+Inputs!$B$19),0)+MAX(AU596,0)*(Inputs!$B$20+Inputs!$B$22+Inputs!$B$23)+MAX(-AU596,0)*(Inputs!$B$21+Inputs!$B$22+Inputs!$B$23)</f>
        <v>0</v>
      </c>
      <c r="AW596" s="30" t="n">
        <f aca="false">AP595*(M596-AR595*J596)+AP595*AR595*N596/Inputs!$B$16-AV596</f>
        <v>0</v>
      </c>
      <c r="AX596" s="30" t="n">
        <f aca="false">AW596-IF(AP595&lt;&gt;0,0.75*AR595*(Inputs!$B$13-N596)/Inputs!$B$16,0)</f>
        <v>0</v>
      </c>
      <c r="AY596" s="30" t="n">
        <f aca="false">MAX(AS596,0)*(Inputs!$B$17+Inputs!$B$18+Inputs!$B$19)+MAX(-AS596,0)*(O596+Inputs!$B$18+Inputs!$B$19)+IF(AND(K596=1,AP596&lt;&gt;0),(Inputs!$B$17+Inputs!$B$18+Inputs!$B$19)+(O596+Inputs!$B$18+Inputs!$B$19),0)</f>
        <v>0</v>
      </c>
      <c r="AZ596" s="30" t="n">
        <f aca="false">AP595*M596-AY596</f>
        <v>0</v>
      </c>
      <c r="BA596" s="32" t="n">
        <f aca="false">BA595+AI596</f>
        <v>0.0081476582830333</v>
      </c>
      <c r="BB596" s="30" t="n">
        <f aca="false">MAX(BB595,BA596)</f>
        <v>0.0108065678336457</v>
      </c>
      <c r="BC596" s="32" t="n">
        <f aca="false">BA596-BB596</f>
        <v>-0.00265890955061237</v>
      </c>
      <c r="BD596" s="30" t="n">
        <f aca="false">A597-A596</f>
        <v>1</v>
      </c>
    </row>
    <row r="597" customFormat="false" ht="15" hidden="false" customHeight="false" outlineLevel="0" collapsed="false">
      <c r="A597" s="28" t="n">
        <v>45918</v>
      </c>
      <c r="B597" s="0" t="n">
        <v>25509.6</v>
      </c>
      <c r="C597" s="0" t="n">
        <v>286.6</v>
      </c>
      <c r="D597" s="29" t="n">
        <f aca="false">LN(B597)</f>
        <v>10.1468101308875</v>
      </c>
      <c r="E597" s="29" t="n">
        <f aca="false">LN(C597)</f>
        <v>5.65808751539407</v>
      </c>
      <c r="F597" s="0" t="n">
        <v>592</v>
      </c>
      <c r="G597" s="0" t="n">
        <v>12</v>
      </c>
      <c r="H597" s="29" t="n">
        <f aca="false">D597-E597</f>
        <v>4.48872261549341</v>
      </c>
      <c r="I597" s="29" t="n">
        <f aca="false">D597-D596</f>
        <v>0.00334944230646705</v>
      </c>
      <c r="J597" s="29" t="n">
        <f aca="false">E597-E596</f>
        <v>0.00192089467953327</v>
      </c>
      <c r="K597" s="0" t="n">
        <v>0</v>
      </c>
      <c r="L597" s="0" t="n">
        <v>0</v>
      </c>
      <c r="M597" s="29" t="n">
        <f aca="false">IF(L597=1,J597-Carry!$B$9/Inputs!$B$16,I597)</f>
        <v>0.00334944230646705</v>
      </c>
      <c r="N597" s="0" t="n">
        <v>0.055</v>
      </c>
      <c r="O597" s="0" t="n">
        <v>0.0002</v>
      </c>
      <c r="P597" s="29" t="n">
        <f aca="false">D597-('2 Hedge ratio'!$B$6+'2 Hedge ratio'!$B$5*E597)</f>
        <v>0.00146467052698895</v>
      </c>
      <c r="Q597" s="29" t="n">
        <f aca="false">D597-('5 Re-specification'!$B$7+'5 Re-specification'!$B$5*E597+'5 Re-specification'!$B$6*F597)</f>
        <v>0.0012665851941005</v>
      </c>
      <c r="R597" s="30" t="n">
        <f aca="false">MIN(F597,Inputs!$B$9)</f>
        <v>250</v>
      </c>
      <c r="S597" s="29" t="n">
        <f aca="true">IF(AND(F597&gt;=1,R597&gt;=Inputs!$B$10),INDEX(LINEST(OFFSET(D597,-R597,0,R597,1),OFFSET(E597,-R597,0,R597,2)),1,1),"")</f>
        <v>-4.27670440618959E-005</v>
      </c>
      <c r="T597" s="29" t="n">
        <f aca="true">IF(AND(F597&gt;=1,R597&gt;=Inputs!$B$10),INDEX(LINEST(OFFSET(D597,-R597,0,R597,1),OFFSET(E597,-R597,0,R597,2)),1,2),"")</f>
        <v>0.996248543192034</v>
      </c>
      <c r="U597" s="29" t="n">
        <f aca="true">IF(AND(F597&gt;=1,R597&gt;=Inputs!$B$10),INDEX(LINEST(OFFSET(D597,-R597,0,R597,1),OFFSET(E597,-R597,0,R597,2)),1,3),"")</f>
        <v>4.53424346163173</v>
      </c>
      <c r="V597" s="29" t="n">
        <f aca="true">IF(AND(F597&gt;=1,R597&gt;=Inputs!$B$10),SQRT(SUMPRODUCT((OFFSET(D597,-R597,0,R597,1)-U597-T597*OFFSET(E597,-R597,0,R597,1)-S597*OFFSET(F597,-R597,0,R597,1))^2)/(R597-3)),"")</f>
        <v>0.00255069147426026</v>
      </c>
      <c r="W597" s="31" t="n">
        <f aca="false">IF(AND(F597&gt;=1,R597&gt;=Inputs!$B$10),(D597-U597-T597*E597-S597*F597)/V597,"")</f>
        <v>0.401191161826175</v>
      </c>
      <c r="X597" s="30" t="n">
        <f aca="false">IF(AB596&lt;&gt;0,AC596+1,0)</f>
        <v>0</v>
      </c>
      <c r="Y597" s="30" t="n">
        <f aca="false">IF(W597="",0,IF(AND(AB596&lt;&gt;0,OR(ABS(W597)&gt;Inputs!$B$7,X597&gt;=Inputs!$B$8,ABS(W597)&lt;Inputs!$B$6)),1,0))</f>
        <v>0</v>
      </c>
      <c r="Z597" s="30" t="n">
        <f aca="false">IF(Y597=1,0,AB596)</f>
        <v>0</v>
      </c>
      <c r="AA597" s="30" t="n">
        <f aca="false">IF(W597="",0,IF(AND(Z597=0,ABS(W597)&gt;Inputs!$B$5,ABS(W597)&lt;=Inputs!$B$7),1,0))</f>
        <v>0</v>
      </c>
      <c r="AB597" s="30" t="n">
        <f aca="false">IF(W597="",0,IF(AA597=1,-SIGN(W597),Z597))</f>
        <v>0</v>
      </c>
      <c r="AC597" s="30" t="n">
        <f aca="false">IF(W597="",0,IF(AA597=1,0,IF(Y597=1,0,X597)))</f>
        <v>0</v>
      </c>
      <c r="AD597" s="30" t="n">
        <f aca="false">IF(AB597=0,0,IF(AB596=AB597,AD596,T597))</f>
        <v>0</v>
      </c>
      <c r="AE597" s="30" t="n">
        <f aca="false">AB597-AB596</f>
        <v>0</v>
      </c>
      <c r="AF597" s="30" t="n">
        <f aca="false">-AD597*AB597</f>
        <v>-0</v>
      </c>
      <c r="AG597" s="30" t="n">
        <f aca="false">AF597-AF596</f>
        <v>0</v>
      </c>
      <c r="AH597" s="30" t="n">
        <f aca="false">MAX(AE597,0)*(Inputs!$B$17+Inputs!$B$18+Inputs!$B$19)+MAX(-AE597,0)*(O597+Inputs!$B$18+Inputs!$B$19)+IF(AND(K597=1,AB597&lt;&gt;0),(Inputs!$B$17+Inputs!$B$18+Inputs!$B$19)+(O597+Inputs!$B$18+Inputs!$B$19),0)+MAX(AG597,0)*(Inputs!$B$20+Inputs!$B$22+Inputs!$B$23)+MAX(-AG597,0)*(Inputs!$B$21+Inputs!$B$22+Inputs!$B$23)</f>
        <v>0</v>
      </c>
      <c r="AI597" s="30" t="n">
        <f aca="false">AB596*(M597-AD596*J597)+AB596*AD596*N597/Inputs!$B$16-AH597</f>
        <v>0</v>
      </c>
      <c r="AJ597" s="30" t="n">
        <f aca="false">MAX(AE597,0)*(Inputs!$B$17+Inputs!$B$24+Inputs!$B$25)+MAX(-AE597,0)*(O597+Inputs!$B$24+Inputs!$B$25)+IF(AND(K597=1,AB597&lt;&gt;0),(Inputs!$B$17+Inputs!$B$24+Inputs!$B$25)+(O597+Inputs!$B$24+Inputs!$B$25),0)+MAX(AG597,0)*(Inputs!$B$20+Inputs!$B$26+Inputs!$B$27)+MAX(-AG597,0)*(Inputs!$B$21+Inputs!$B$26+Inputs!$B$27)</f>
        <v>0</v>
      </c>
      <c r="AK597" s="30" t="n">
        <f aca="false">AB596*(M597-AD596*J597)+AB596*AD596*(N597+Inputs!$B$14)/Inputs!$B$16-AJ597</f>
        <v>0</v>
      </c>
      <c r="AL597" s="30" t="n">
        <f aca="false">IF(AP596&lt;&gt;0,AQ596+1,0)</f>
        <v>0</v>
      </c>
      <c r="AM597" s="30" t="n">
        <f aca="false">IF(W597="",0,IF(AND(AP596&lt;&gt;0,OR(ABS(W597)&gt;Inputs!$B$7,AL597&gt;=Inputs!$B$8,ABS(W597)&lt;Inputs!$B$6)),1,0))</f>
        <v>0</v>
      </c>
      <c r="AN597" s="30" t="n">
        <f aca="false">IF(AM597=1,0,AP596)</f>
        <v>0</v>
      </c>
      <c r="AO597" s="30" t="n">
        <f aca="false">IF(W597="",0,IF(AND(AN597=0,ABS(W597)&gt;Inputs!$B$5,ABS(W597)&lt;=Inputs!$B$7,W597&gt;0),1,0))</f>
        <v>0</v>
      </c>
      <c r="AP597" s="30" t="n">
        <f aca="false">IF(W597="",0,IF(AO597=1,-SIGN(W597),AN597))</f>
        <v>0</v>
      </c>
      <c r="AQ597" s="30" t="n">
        <f aca="false">IF(W597="",0,IF(AO597=1,0,IF(AM597=1,0,AL597)))</f>
        <v>0</v>
      </c>
      <c r="AR597" s="30" t="n">
        <f aca="false">IF(AP597=0,0,IF(AP596=AP597,AR596,T597))</f>
        <v>0</v>
      </c>
      <c r="AS597" s="30" t="n">
        <f aca="false">AP597-AP596</f>
        <v>0</v>
      </c>
      <c r="AT597" s="30" t="n">
        <f aca="false">-AR597*AP597</f>
        <v>-0</v>
      </c>
      <c r="AU597" s="30" t="n">
        <f aca="false">AT597-AT596</f>
        <v>0</v>
      </c>
      <c r="AV597" s="30" t="n">
        <f aca="false">MAX(AS597,0)*(Inputs!$B$17+Inputs!$B$18+Inputs!$B$19)+MAX(-AS597,0)*(O597+Inputs!$B$18+Inputs!$B$19)+IF(AND(K597=1,AP597&lt;&gt;0),(Inputs!$B$17+Inputs!$B$18+Inputs!$B$19)+(O597+Inputs!$B$18+Inputs!$B$19),0)+MAX(AU597,0)*(Inputs!$B$20+Inputs!$B$22+Inputs!$B$23)+MAX(-AU597,0)*(Inputs!$B$21+Inputs!$B$22+Inputs!$B$23)</f>
        <v>0</v>
      </c>
      <c r="AW597" s="30" t="n">
        <f aca="false">AP596*(M597-AR596*J597)+AP596*AR596*N597/Inputs!$B$16-AV597</f>
        <v>0</v>
      </c>
      <c r="AX597" s="30" t="n">
        <f aca="false">AW597-IF(AP596&lt;&gt;0,0.75*AR596*(Inputs!$B$13-N597)/Inputs!$B$16,0)</f>
        <v>0</v>
      </c>
      <c r="AY597" s="30" t="n">
        <f aca="false">MAX(AS597,0)*(Inputs!$B$17+Inputs!$B$18+Inputs!$B$19)+MAX(-AS597,0)*(O597+Inputs!$B$18+Inputs!$B$19)+IF(AND(K597=1,AP597&lt;&gt;0),(Inputs!$B$17+Inputs!$B$18+Inputs!$B$19)+(O597+Inputs!$B$18+Inputs!$B$19),0)</f>
        <v>0</v>
      </c>
      <c r="AZ597" s="30" t="n">
        <f aca="false">AP596*M597-AY597</f>
        <v>0</v>
      </c>
      <c r="BA597" s="32" t="n">
        <f aca="false">BA596+AI597</f>
        <v>0.0081476582830333</v>
      </c>
      <c r="BB597" s="30" t="n">
        <f aca="false">MAX(BB596,BA597)</f>
        <v>0.0108065678336457</v>
      </c>
      <c r="BC597" s="32" t="n">
        <f aca="false">BA597-BB597</f>
        <v>-0.00265890955061237</v>
      </c>
      <c r="BD597" s="30" t="n">
        <f aca="false">A598-A597</f>
        <v>1</v>
      </c>
    </row>
    <row r="598" customFormat="false" ht="15" hidden="false" customHeight="false" outlineLevel="0" collapsed="false">
      <c r="A598" s="28" t="n">
        <v>45919</v>
      </c>
      <c r="B598" s="0" t="n">
        <v>25427.8</v>
      </c>
      <c r="C598" s="0" t="n">
        <v>285.91</v>
      </c>
      <c r="D598" s="29" t="n">
        <f aca="false">LN(B598)</f>
        <v>10.1435983426801</v>
      </c>
      <c r="E598" s="29" t="n">
        <f aca="false">LN(C598)</f>
        <v>5.65567707598135</v>
      </c>
      <c r="F598" s="0" t="n">
        <v>593</v>
      </c>
      <c r="G598" s="0" t="n">
        <v>11</v>
      </c>
      <c r="H598" s="29" t="n">
        <f aca="false">D598-E598</f>
        <v>4.48792126669873</v>
      </c>
      <c r="I598" s="29" t="n">
        <f aca="false">D598-D597</f>
        <v>-0.00321178820740187</v>
      </c>
      <c r="J598" s="29" t="n">
        <f aca="false">E598-E597</f>
        <v>-0.00241043941271801</v>
      </c>
      <c r="K598" s="0" t="n">
        <v>0</v>
      </c>
      <c r="L598" s="0" t="n">
        <v>0</v>
      </c>
      <c r="M598" s="29" t="n">
        <f aca="false">IF(L598=1,J598-Carry!$B$9/Inputs!$B$16,I598)</f>
        <v>-0.00321178820740187</v>
      </c>
      <c r="N598" s="0" t="n">
        <v>0.055</v>
      </c>
      <c r="O598" s="0" t="n">
        <v>0.0002</v>
      </c>
      <c r="P598" s="29" t="n">
        <f aca="false">D598-('2 Hedge ratio'!$B$6+'2 Hedge ratio'!$B$5*E598)</f>
        <v>0.000461150367121022</v>
      </c>
      <c r="Q598" s="29" t="n">
        <f aca="false">D598-('5 Re-specification'!$B$7+'5 Re-specification'!$B$5*E598+'5 Re-specification'!$B$6*F598)</f>
        <v>0.000502860880821743</v>
      </c>
      <c r="R598" s="30" t="n">
        <f aca="false">MIN(F598,Inputs!$B$9)</f>
        <v>250</v>
      </c>
      <c r="S598" s="29" t="n">
        <f aca="true">IF(AND(F598&gt;=1,R598&gt;=Inputs!$B$10),INDEX(LINEST(OFFSET(D598,-R598,0,R598,1),OFFSET(E598,-R598,0,R598,2)),1,1),"")</f>
        <v>-4.28342070207249E-005</v>
      </c>
      <c r="T598" s="29" t="n">
        <f aca="true">IF(AND(F598&gt;=1,R598&gt;=Inputs!$B$10),INDEX(LINEST(OFFSET(D598,-R598,0,R598,1),OFFSET(E598,-R598,0,R598,2)),1,2),"")</f>
        <v>0.99656441379637</v>
      </c>
      <c r="U598" s="29" t="n">
        <f aca="true">IF(AND(F598&gt;=1,R598&gt;=Inputs!$B$10),INDEX(LINEST(OFFSET(D598,-R598,0,R598,1),OFFSET(E598,-R598,0,R598,2)),1,3),"")</f>
        <v>4.53251331227499</v>
      </c>
      <c r="V598" s="29" t="n">
        <f aca="true">IF(AND(F598&gt;=1,R598&gt;=Inputs!$B$10),SQRT(SUMPRODUCT((OFFSET(D598,-R598,0,R598,1)-U598-T598*OFFSET(E598,-R598,0,R598,1)-S598*OFFSET(F598,-R598,0,R598,1))^2)/(R598-3)),"")</f>
        <v>0.0025503084020205</v>
      </c>
      <c r="W598" s="31" t="n">
        <f aca="false">IF(AND(F598&gt;=1,R598&gt;=Inputs!$B$10),(D598-U598-T598*E598-S598*F598)/V598,"")</f>
        <v>0.0937946647010722</v>
      </c>
      <c r="X598" s="30" t="n">
        <f aca="false">IF(AB597&lt;&gt;0,AC597+1,0)</f>
        <v>0</v>
      </c>
      <c r="Y598" s="30" t="n">
        <f aca="false">IF(W598="",0,IF(AND(AB597&lt;&gt;0,OR(ABS(W598)&gt;Inputs!$B$7,X598&gt;=Inputs!$B$8,ABS(W598)&lt;Inputs!$B$6)),1,0))</f>
        <v>0</v>
      </c>
      <c r="Z598" s="30" t="n">
        <f aca="false">IF(Y598=1,0,AB597)</f>
        <v>0</v>
      </c>
      <c r="AA598" s="30" t="n">
        <f aca="false">IF(W598="",0,IF(AND(Z598=0,ABS(W598)&gt;Inputs!$B$5,ABS(W598)&lt;=Inputs!$B$7),1,0))</f>
        <v>0</v>
      </c>
      <c r="AB598" s="30" t="n">
        <f aca="false">IF(W598="",0,IF(AA598=1,-SIGN(W598),Z598))</f>
        <v>0</v>
      </c>
      <c r="AC598" s="30" t="n">
        <f aca="false">IF(W598="",0,IF(AA598=1,0,IF(Y598=1,0,X598)))</f>
        <v>0</v>
      </c>
      <c r="AD598" s="30" t="n">
        <f aca="false">IF(AB598=0,0,IF(AB597=AB598,AD597,T598))</f>
        <v>0</v>
      </c>
      <c r="AE598" s="30" t="n">
        <f aca="false">AB598-AB597</f>
        <v>0</v>
      </c>
      <c r="AF598" s="30" t="n">
        <f aca="false">-AD598*AB598</f>
        <v>-0</v>
      </c>
      <c r="AG598" s="30" t="n">
        <f aca="false">AF598-AF597</f>
        <v>0</v>
      </c>
      <c r="AH598" s="30" t="n">
        <f aca="false">MAX(AE598,0)*(Inputs!$B$17+Inputs!$B$18+Inputs!$B$19)+MAX(-AE598,0)*(O598+Inputs!$B$18+Inputs!$B$19)+IF(AND(K598=1,AB598&lt;&gt;0),(Inputs!$B$17+Inputs!$B$18+Inputs!$B$19)+(O598+Inputs!$B$18+Inputs!$B$19),0)+MAX(AG598,0)*(Inputs!$B$20+Inputs!$B$22+Inputs!$B$23)+MAX(-AG598,0)*(Inputs!$B$21+Inputs!$B$22+Inputs!$B$23)</f>
        <v>0</v>
      </c>
      <c r="AI598" s="30" t="n">
        <f aca="false">AB597*(M598-AD597*J598)+AB597*AD597*N598/Inputs!$B$16-AH598</f>
        <v>0</v>
      </c>
      <c r="AJ598" s="30" t="n">
        <f aca="false">MAX(AE598,0)*(Inputs!$B$17+Inputs!$B$24+Inputs!$B$25)+MAX(-AE598,0)*(O598+Inputs!$B$24+Inputs!$B$25)+IF(AND(K598=1,AB598&lt;&gt;0),(Inputs!$B$17+Inputs!$B$24+Inputs!$B$25)+(O598+Inputs!$B$24+Inputs!$B$25),0)+MAX(AG598,0)*(Inputs!$B$20+Inputs!$B$26+Inputs!$B$27)+MAX(-AG598,0)*(Inputs!$B$21+Inputs!$B$26+Inputs!$B$27)</f>
        <v>0</v>
      </c>
      <c r="AK598" s="30" t="n">
        <f aca="false">AB597*(M598-AD597*J598)+AB597*AD597*(N598+Inputs!$B$14)/Inputs!$B$16-AJ598</f>
        <v>0</v>
      </c>
      <c r="AL598" s="30" t="n">
        <f aca="false">IF(AP597&lt;&gt;0,AQ597+1,0)</f>
        <v>0</v>
      </c>
      <c r="AM598" s="30" t="n">
        <f aca="false">IF(W598="",0,IF(AND(AP597&lt;&gt;0,OR(ABS(W598)&gt;Inputs!$B$7,AL598&gt;=Inputs!$B$8,ABS(W598)&lt;Inputs!$B$6)),1,0))</f>
        <v>0</v>
      </c>
      <c r="AN598" s="30" t="n">
        <f aca="false">IF(AM598=1,0,AP597)</f>
        <v>0</v>
      </c>
      <c r="AO598" s="30" t="n">
        <f aca="false">IF(W598="",0,IF(AND(AN598=0,ABS(W598)&gt;Inputs!$B$5,ABS(W598)&lt;=Inputs!$B$7,W598&gt;0),1,0))</f>
        <v>0</v>
      </c>
      <c r="AP598" s="30" t="n">
        <f aca="false">IF(W598="",0,IF(AO598=1,-SIGN(W598),AN598))</f>
        <v>0</v>
      </c>
      <c r="AQ598" s="30" t="n">
        <f aca="false">IF(W598="",0,IF(AO598=1,0,IF(AM598=1,0,AL598)))</f>
        <v>0</v>
      </c>
      <c r="AR598" s="30" t="n">
        <f aca="false">IF(AP598=0,0,IF(AP597=AP598,AR597,T598))</f>
        <v>0</v>
      </c>
      <c r="AS598" s="30" t="n">
        <f aca="false">AP598-AP597</f>
        <v>0</v>
      </c>
      <c r="AT598" s="30" t="n">
        <f aca="false">-AR598*AP598</f>
        <v>-0</v>
      </c>
      <c r="AU598" s="30" t="n">
        <f aca="false">AT598-AT597</f>
        <v>0</v>
      </c>
      <c r="AV598" s="30" t="n">
        <f aca="false">MAX(AS598,0)*(Inputs!$B$17+Inputs!$B$18+Inputs!$B$19)+MAX(-AS598,0)*(O598+Inputs!$B$18+Inputs!$B$19)+IF(AND(K598=1,AP598&lt;&gt;0),(Inputs!$B$17+Inputs!$B$18+Inputs!$B$19)+(O598+Inputs!$B$18+Inputs!$B$19),0)+MAX(AU598,0)*(Inputs!$B$20+Inputs!$B$22+Inputs!$B$23)+MAX(-AU598,0)*(Inputs!$B$21+Inputs!$B$22+Inputs!$B$23)</f>
        <v>0</v>
      </c>
      <c r="AW598" s="30" t="n">
        <f aca="false">AP597*(M598-AR597*J598)+AP597*AR597*N598/Inputs!$B$16-AV598</f>
        <v>0</v>
      </c>
      <c r="AX598" s="30" t="n">
        <f aca="false">AW598-IF(AP597&lt;&gt;0,0.75*AR597*(Inputs!$B$13-N598)/Inputs!$B$16,0)</f>
        <v>0</v>
      </c>
      <c r="AY598" s="30" t="n">
        <f aca="false">MAX(AS598,0)*(Inputs!$B$17+Inputs!$B$18+Inputs!$B$19)+MAX(-AS598,0)*(O598+Inputs!$B$18+Inputs!$B$19)+IF(AND(K598=1,AP598&lt;&gt;0),(Inputs!$B$17+Inputs!$B$18+Inputs!$B$19)+(O598+Inputs!$B$18+Inputs!$B$19),0)</f>
        <v>0</v>
      </c>
      <c r="AZ598" s="30" t="n">
        <f aca="false">AP597*M598-AY598</f>
        <v>-0</v>
      </c>
      <c r="BA598" s="32" t="n">
        <f aca="false">BA597+AI598</f>
        <v>0.0081476582830333</v>
      </c>
      <c r="BB598" s="30" t="n">
        <f aca="false">MAX(BB597,BA598)</f>
        <v>0.0108065678336457</v>
      </c>
      <c r="BC598" s="32" t="n">
        <f aca="false">BA598-BB598</f>
        <v>-0.00265890955061237</v>
      </c>
      <c r="BD598" s="30" t="n">
        <f aca="false">A599-A598</f>
        <v>3</v>
      </c>
    </row>
    <row r="599" customFormat="false" ht="15" hidden="false" customHeight="false" outlineLevel="0" collapsed="false">
      <c r="A599" s="28" t="n">
        <v>45922</v>
      </c>
      <c r="B599" s="0" t="n">
        <v>25275.1</v>
      </c>
      <c r="C599" s="0" t="n">
        <v>284.45</v>
      </c>
      <c r="D599" s="29" t="n">
        <f aca="false">LN(B599)</f>
        <v>10.1375750003596</v>
      </c>
      <c r="E599" s="29" t="n">
        <f aca="false">LN(C599)</f>
        <v>5.65055749119666</v>
      </c>
      <c r="F599" s="0" t="n">
        <v>594</v>
      </c>
      <c r="G599" s="0" t="n">
        <v>8</v>
      </c>
      <c r="H599" s="29" t="n">
        <f aca="false">D599-E599</f>
        <v>4.48701750916292</v>
      </c>
      <c r="I599" s="29" t="n">
        <f aca="false">D599-D598</f>
        <v>-0.00602334232049984</v>
      </c>
      <c r="J599" s="29" t="n">
        <f aca="false">E599-E598</f>
        <v>-0.00511958478469676</v>
      </c>
      <c r="K599" s="0" t="n">
        <v>0</v>
      </c>
      <c r="L599" s="0" t="n">
        <v>0</v>
      </c>
      <c r="M599" s="29" t="n">
        <f aca="false">IF(L599=1,J599-Carry!$B$9/Inputs!$B$16,I599)</f>
        <v>-0.00602334232049984</v>
      </c>
      <c r="N599" s="0" t="n">
        <v>0.055</v>
      </c>
      <c r="O599" s="0" t="n">
        <v>0.0002</v>
      </c>
      <c r="P599" s="29" t="n">
        <f aca="false">D599-('2 Hedge ratio'!$B$6+'2 Hedge ratio'!$B$5*E599)</f>
        <v>-0.000872003335885552</v>
      </c>
      <c r="Q599" s="29" t="n">
        <f aca="false">D599-('5 Re-specification'!$B$7+'5 Re-specification'!$B$5*E599+'5 Re-specification'!$B$6*F599)</f>
        <v>-0.000371482238683996</v>
      </c>
      <c r="R599" s="30" t="n">
        <f aca="false">MIN(F599,Inputs!$B$9)</f>
        <v>250</v>
      </c>
      <c r="S599" s="29" t="n">
        <f aca="true">IF(AND(F599&gt;=1,R599&gt;=Inputs!$B$10),INDEX(LINEST(OFFSET(D599,-R599,0,R599,1),OFFSET(E599,-R599,0,R599,2)),1,1),"")</f>
        <v>-4.3114176275752E-005</v>
      </c>
      <c r="T599" s="29" t="n">
        <f aca="true">IF(AND(F599&gt;=1,R599&gt;=Inputs!$B$10),INDEX(LINEST(OFFSET(D599,-R599,0,R599,1),OFFSET(E599,-R599,0,R599,2)),1,2),"")</f>
        <v>0.997025978989042</v>
      </c>
      <c r="U599" s="29" t="n">
        <f aca="true">IF(AND(F599&gt;=1,R599&gt;=Inputs!$B$10),INDEX(LINEST(OFFSET(D599,-R599,0,R599,1),OFFSET(E599,-R599,0,R599,2)),1,3),"")</f>
        <v>4.53006777098355</v>
      </c>
      <c r="V599" s="29" t="n">
        <f aca="true">IF(AND(F599&gt;=1,R599&gt;=Inputs!$B$10),SQRT(SUMPRODUCT((OFFSET(D599,-R599,0,R599,1)-U599-T599*OFFSET(E599,-R599,0,R599,1)-S599*OFFSET(F599,-R599,0,R599,1))^2)/(R599-3)),"")</f>
        <v>0.00254576084169576</v>
      </c>
      <c r="W599" s="31" t="n">
        <f aca="false">IF(AND(F599&gt;=1,R599&gt;=Inputs!$B$10),(D599-U599-T599*E599-S599*F599)/V599,"")</f>
        <v>-0.249655977097744</v>
      </c>
      <c r="X599" s="30" t="n">
        <f aca="false">IF(AB598&lt;&gt;0,AC598+1,0)</f>
        <v>0</v>
      </c>
      <c r="Y599" s="30" t="n">
        <f aca="false">IF(W599="",0,IF(AND(AB598&lt;&gt;0,OR(ABS(W599)&gt;Inputs!$B$7,X599&gt;=Inputs!$B$8,ABS(W599)&lt;Inputs!$B$6)),1,0))</f>
        <v>0</v>
      </c>
      <c r="Z599" s="30" t="n">
        <f aca="false">IF(Y599=1,0,AB598)</f>
        <v>0</v>
      </c>
      <c r="AA599" s="30" t="n">
        <f aca="false">IF(W599="",0,IF(AND(Z599=0,ABS(W599)&gt;Inputs!$B$5,ABS(W599)&lt;=Inputs!$B$7),1,0))</f>
        <v>0</v>
      </c>
      <c r="AB599" s="30" t="n">
        <f aca="false">IF(W599="",0,IF(AA599=1,-SIGN(W599),Z599))</f>
        <v>0</v>
      </c>
      <c r="AC599" s="30" t="n">
        <f aca="false">IF(W599="",0,IF(AA599=1,0,IF(Y599=1,0,X599)))</f>
        <v>0</v>
      </c>
      <c r="AD599" s="30" t="n">
        <f aca="false">IF(AB599=0,0,IF(AB598=AB599,AD598,T599))</f>
        <v>0</v>
      </c>
      <c r="AE599" s="30" t="n">
        <f aca="false">AB599-AB598</f>
        <v>0</v>
      </c>
      <c r="AF599" s="30" t="n">
        <f aca="false">-AD599*AB599</f>
        <v>-0</v>
      </c>
      <c r="AG599" s="30" t="n">
        <f aca="false">AF599-AF598</f>
        <v>0</v>
      </c>
      <c r="AH599" s="30" t="n">
        <f aca="false">MAX(AE599,0)*(Inputs!$B$17+Inputs!$B$18+Inputs!$B$19)+MAX(-AE599,0)*(O599+Inputs!$B$18+Inputs!$B$19)+IF(AND(K599=1,AB599&lt;&gt;0),(Inputs!$B$17+Inputs!$B$18+Inputs!$B$19)+(O599+Inputs!$B$18+Inputs!$B$19),0)+MAX(AG599,0)*(Inputs!$B$20+Inputs!$B$22+Inputs!$B$23)+MAX(-AG599,0)*(Inputs!$B$21+Inputs!$B$22+Inputs!$B$23)</f>
        <v>0</v>
      </c>
      <c r="AI599" s="30" t="n">
        <f aca="false">AB598*(M599-AD598*J599)+AB598*AD598*N599/Inputs!$B$16-AH599</f>
        <v>0</v>
      </c>
      <c r="AJ599" s="30" t="n">
        <f aca="false">MAX(AE599,0)*(Inputs!$B$17+Inputs!$B$24+Inputs!$B$25)+MAX(-AE599,0)*(O599+Inputs!$B$24+Inputs!$B$25)+IF(AND(K599=1,AB599&lt;&gt;0),(Inputs!$B$17+Inputs!$B$24+Inputs!$B$25)+(O599+Inputs!$B$24+Inputs!$B$25),0)+MAX(AG599,0)*(Inputs!$B$20+Inputs!$B$26+Inputs!$B$27)+MAX(-AG599,0)*(Inputs!$B$21+Inputs!$B$26+Inputs!$B$27)</f>
        <v>0</v>
      </c>
      <c r="AK599" s="30" t="n">
        <f aca="false">AB598*(M599-AD598*J599)+AB598*AD598*(N599+Inputs!$B$14)/Inputs!$B$16-AJ599</f>
        <v>0</v>
      </c>
      <c r="AL599" s="30" t="n">
        <f aca="false">IF(AP598&lt;&gt;0,AQ598+1,0)</f>
        <v>0</v>
      </c>
      <c r="AM599" s="30" t="n">
        <f aca="false">IF(W599="",0,IF(AND(AP598&lt;&gt;0,OR(ABS(W599)&gt;Inputs!$B$7,AL599&gt;=Inputs!$B$8,ABS(W599)&lt;Inputs!$B$6)),1,0))</f>
        <v>0</v>
      </c>
      <c r="AN599" s="30" t="n">
        <f aca="false">IF(AM599=1,0,AP598)</f>
        <v>0</v>
      </c>
      <c r="AO599" s="30" t="n">
        <f aca="false">IF(W599="",0,IF(AND(AN599=0,ABS(W599)&gt;Inputs!$B$5,ABS(W599)&lt;=Inputs!$B$7,W599&gt;0),1,0))</f>
        <v>0</v>
      </c>
      <c r="AP599" s="30" t="n">
        <f aca="false">IF(W599="",0,IF(AO599=1,-SIGN(W599),AN599))</f>
        <v>0</v>
      </c>
      <c r="AQ599" s="30" t="n">
        <f aca="false">IF(W599="",0,IF(AO599=1,0,IF(AM599=1,0,AL599)))</f>
        <v>0</v>
      </c>
      <c r="AR599" s="30" t="n">
        <f aca="false">IF(AP599=0,0,IF(AP598=AP599,AR598,T599))</f>
        <v>0</v>
      </c>
      <c r="AS599" s="30" t="n">
        <f aca="false">AP599-AP598</f>
        <v>0</v>
      </c>
      <c r="AT599" s="30" t="n">
        <f aca="false">-AR599*AP599</f>
        <v>-0</v>
      </c>
      <c r="AU599" s="30" t="n">
        <f aca="false">AT599-AT598</f>
        <v>0</v>
      </c>
      <c r="AV599" s="30" t="n">
        <f aca="false">MAX(AS599,0)*(Inputs!$B$17+Inputs!$B$18+Inputs!$B$19)+MAX(-AS599,0)*(O599+Inputs!$B$18+Inputs!$B$19)+IF(AND(K599=1,AP599&lt;&gt;0),(Inputs!$B$17+Inputs!$B$18+Inputs!$B$19)+(O599+Inputs!$B$18+Inputs!$B$19),0)+MAX(AU599,0)*(Inputs!$B$20+Inputs!$B$22+Inputs!$B$23)+MAX(-AU599,0)*(Inputs!$B$21+Inputs!$B$22+Inputs!$B$23)</f>
        <v>0</v>
      </c>
      <c r="AW599" s="30" t="n">
        <f aca="false">AP598*(M599-AR598*J599)+AP598*AR598*N599/Inputs!$B$16-AV599</f>
        <v>0</v>
      </c>
      <c r="AX599" s="30" t="n">
        <f aca="false">AW599-IF(AP598&lt;&gt;0,0.75*AR598*(Inputs!$B$13-N599)/Inputs!$B$16,0)</f>
        <v>0</v>
      </c>
      <c r="AY599" s="30" t="n">
        <f aca="false">MAX(AS599,0)*(Inputs!$B$17+Inputs!$B$18+Inputs!$B$19)+MAX(-AS599,0)*(O599+Inputs!$B$18+Inputs!$B$19)+IF(AND(K599=1,AP599&lt;&gt;0),(Inputs!$B$17+Inputs!$B$18+Inputs!$B$19)+(O599+Inputs!$B$18+Inputs!$B$19),0)</f>
        <v>0</v>
      </c>
      <c r="AZ599" s="30" t="n">
        <f aca="false">AP598*M599-AY599</f>
        <v>-0</v>
      </c>
      <c r="BA599" s="32" t="n">
        <f aca="false">BA598+AI599</f>
        <v>0.0081476582830333</v>
      </c>
      <c r="BB599" s="30" t="n">
        <f aca="false">MAX(BB598,BA599)</f>
        <v>0.0108065678336457</v>
      </c>
      <c r="BC599" s="32" t="n">
        <f aca="false">BA599-BB599</f>
        <v>-0.00265890955061237</v>
      </c>
      <c r="BD599" s="30" t="n">
        <f aca="false">A600-A599</f>
        <v>1</v>
      </c>
    </row>
    <row r="600" customFormat="false" ht="15" hidden="false" customHeight="false" outlineLevel="0" collapsed="false">
      <c r="A600" s="28" t="n">
        <v>45923</v>
      </c>
      <c r="B600" s="0" t="n">
        <v>25255</v>
      </c>
      <c r="C600" s="0" t="n">
        <v>284.55</v>
      </c>
      <c r="D600" s="29" t="n">
        <f aca="false">LN(B600)</f>
        <v>10.1367794349022</v>
      </c>
      <c r="E600" s="29" t="n">
        <f aca="false">LN(C600)</f>
        <v>5.65090898504913</v>
      </c>
      <c r="F600" s="0" t="n">
        <v>595</v>
      </c>
      <c r="G600" s="0" t="n">
        <v>7</v>
      </c>
      <c r="H600" s="29" t="n">
        <f aca="false">D600-E600</f>
        <v>4.48587044985302</v>
      </c>
      <c r="I600" s="29" t="n">
        <f aca="false">D600-D599</f>
        <v>-0.000795565457426761</v>
      </c>
      <c r="J600" s="29" t="n">
        <f aca="false">E600-E599</f>
        <v>0.000351493852476459</v>
      </c>
      <c r="K600" s="0" t="n">
        <v>0</v>
      </c>
      <c r="L600" s="0" t="n">
        <v>0</v>
      </c>
      <c r="M600" s="29" t="n">
        <f aca="false">IF(L600=1,J600-Carry!$B$9/Inputs!$B$16,I600)</f>
        <v>-0.000795565457426761</v>
      </c>
      <c r="N600" s="0" t="n">
        <v>0.055</v>
      </c>
      <c r="O600" s="0" t="n">
        <v>0.0002</v>
      </c>
      <c r="P600" s="29" t="n">
        <f aca="false">D600-('2 Hedge ratio'!$B$6+'2 Hedge ratio'!$B$5*E600)</f>
        <v>-0.00198958171727526</v>
      </c>
      <c r="Q600" s="29" t="n">
        <f aca="false">D600-('5 Re-specification'!$B$7+'5 Re-specification'!$B$5*E600+'5 Re-specification'!$B$6*F600)</f>
        <v>-0.00147254702836186</v>
      </c>
      <c r="R600" s="30" t="n">
        <f aca="false">MIN(F600,Inputs!$B$9)</f>
        <v>250</v>
      </c>
      <c r="S600" s="29" t="n">
        <f aca="true">IF(AND(F600&gt;=1,R600&gt;=Inputs!$B$10),INDEX(LINEST(OFFSET(D600,-R600,0,R600,1),OFFSET(E600,-R600,0,R600,2)),1,1),"")</f>
        <v>-4.34868106235764E-005</v>
      </c>
      <c r="T600" s="29" t="n">
        <f aca="true">IF(AND(F600&gt;=1,R600&gt;=Inputs!$B$10),INDEX(LINEST(OFFSET(D600,-R600,0,R600,1),OFFSET(E600,-R600,0,R600,2)),1,2),"")</f>
        <v>0.99743753459928</v>
      </c>
      <c r="U600" s="29" t="n">
        <f aca="true">IF(AND(F600&gt;=1,R600&gt;=Inputs!$B$10),INDEX(LINEST(OFFSET(D600,-R600,0,R600,1),OFFSET(E600,-R600,0,R600,2)),1,3),"")</f>
        <v>4.52794338835916</v>
      </c>
      <c r="V600" s="29" t="n">
        <f aca="true">IF(AND(F600&gt;=1,R600&gt;=Inputs!$B$10),SQRT(SUMPRODUCT((OFFSET(D600,-R600,0,R600,1)-U600-T600*OFFSET(E600,-R600,0,R600,1)-S600*OFFSET(F600,-R600,0,R600,1))^2)/(R600-3)),"")</f>
        <v>0.00254090035357746</v>
      </c>
      <c r="W600" s="31" t="n">
        <f aca="false">IF(AND(F600&gt;=1,R600&gt;=Inputs!$B$10),(D600-U600-T600*E600-S600*F600)/V600,"")</f>
        <v>-0.67614907679949</v>
      </c>
      <c r="X600" s="30" t="n">
        <f aca="false">IF(AB599&lt;&gt;0,AC599+1,0)</f>
        <v>0</v>
      </c>
      <c r="Y600" s="30" t="n">
        <f aca="false">IF(W600="",0,IF(AND(AB599&lt;&gt;0,OR(ABS(W600)&gt;Inputs!$B$7,X600&gt;=Inputs!$B$8,ABS(W600)&lt;Inputs!$B$6)),1,0))</f>
        <v>0</v>
      </c>
      <c r="Z600" s="30" t="n">
        <f aca="false">IF(Y600=1,0,AB599)</f>
        <v>0</v>
      </c>
      <c r="AA600" s="30" t="n">
        <f aca="false">IF(W600="",0,IF(AND(Z600=0,ABS(W600)&gt;Inputs!$B$5,ABS(W600)&lt;=Inputs!$B$7),1,0))</f>
        <v>0</v>
      </c>
      <c r="AB600" s="30" t="n">
        <f aca="false">IF(W600="",0,IF(AA600=1,-SIGN(W600),Z600))</f>
        <v>0</v>
      </c>
      <c r="AC600" s="30" t="n">
        <f aca="false">IF(W600="",0,IF(AA600=1,0,IF(Y600=1,0,X600)))</f>
        <v>0</v>
      </c>
      <c r="AD600" s="30" t="n">
        <f aca="false">IF(AB600=0,0,IF(AB599=AB600,AD599,T600))</f>
        <v>0</v>
      </c>
      <c r="AE600" s="30" t="n">
        <f aca="false">AB600-AB599</f>
        <v>0</v>
      </c>
      <c r="AF600" s="30" t="n">
        <f aca="false">-AD600*AB600</f>
        <v>-0</v>
      </c>
      <c r="AG600" s="30" t="n">
        <f aca="false">AF600-AF599</f>
        <v>0</v>
      </c>
      <c r="AH600" s="30" t="n">
        <f aca="false">MAX(AE600,0)*(Inputs!$B$17+Inputs!$B$18+Inputs!$B$19)+MAX(-AE600,0)*(O600+Inputs!$B$18+Inputs!$B$19)+IF(AND(K600=1,AB600&lt;&gt;0),(Inputs!$B$17+Inputs!$B$18+Inputs!$B$19)+(O600+Inputs!$B$18+Inputs!$B$19),0)+MAX(AG600,0)*(Inputs!$B$20+Inputs!$B$22+Inputs!$B$23)+MAX(-AG600,0)*(Inputs!$B$21+Inputs!$B$22+Inputs!$B$23)</f>
        <v>0</v>
      </c>
      <c r="AI600" s="30" t="n">
        <f aca="false">AB599*(M600-AD599*J600)+AB599*AD599*N600/Inputs!$B$16-AH600</f>
        <v>0</v>
      </c>
      <c r="AJ600" s="30" t="n">
        <f aca="false">MAX(AE600,0)*(Inputs!$B$17+Inputs!$B$24+Inputs!$B$25)+MAX(-AE600,0)*(O600+Inputs!$B$24+Inputs!$B$25)+IF(AND(K600=1,AB600&lt;&gt;0),(Inputs!$B$17+Inputs!$B$24+Inputs!$B$25)+(O600+Inputs!$B$24+Inputs!$B$25),0)+MAX(AG600,0)*(Inputs!$B$20+Inputs!$B$26+Inputs!$B$27)+MAX(-AG600,0)*(Inputs!$B$21+Inputs!$B$26+Inputs!$B$27)</f>
        <v>0</v>
      </c>
      <c r="AK600" s="30" t="n">
        <f aca="false">AB599*(M600-AD599*J600)+AB599*AD599*(N600+Inputs!$B$14)/Inputs!$B$16-AJ600</f>
        <v>0</v>
      </c>
      <c r="AL600" s="30" t="n">
        <f aca="false">IF(AP599&lt;&gt;0,AQ599+1,0)</f>
        <v>0</v>
      </c>
      <c r="AM600" s="30" t="n">
        <f aca="false">IF(W600="",0,IF(AND(AP599&lt;&gt;0,OR(ABS(W600)&gt;Inputs!$B$7,AL600&gt;=Inputs!$B$8,ABS(W600)&lt;Inputs!$B$6)),1,0))</f>
        <v>0</v>
      </c>
      <c r="AN600" s="30" t="n">
        <f aca="false">IF(AM600=1,0,AP599)</f>
        <v>0</v>
      </c>
      <c r="AO600" s="30" t="n">
        <f aca="false">IF(W600="",0,IF(AND(AN600=0,ABS(W600)&gt;Inputs!$B$5,ABS(W600)&lt;=Inputs!$B$7,W600&gt;0),1,0))</f>
        <v>0</v>
      </c>
      <c r="AP600" s="30" t="n">
        <f aca="false">IF(W600="",0,IF(AO600=1,-SIGN(W600),AN600))</f>
        <v>0</v>
      </c>
      <c r="AQ600" s="30" t="n">
        <f aca="false">IF(W600="",0,IF(AO600=1,0,IF(AM600=1,0,AL600)))</f>
        <v>0</v>
      </c>
      <c r="AR600" s="30" t="n">
        <f aca="false">IF(AP600=0,0,IF(AP599=AP600,AR599,T600))</f>
        <v>0</v>
      </c>
      <c r="AS600" s="30" t="n">
        <f aca="false">AP600-AP599</f>
        <v>0</v>
      </c>
      <c r="AT600" s="30" t="n">
        <f aca="false">-AR600*AP600</f>
        <v>-0</v>
      </c>
      <c r="AU600" s="30" t="n">
        <f aca="false">AT600-AT599</f>
        <v>0</v>
      </c>
      <c r="AV600" s="30" t="n">
        <f aca="false">MAX(AS600,0)*(Inputs!$B$17+Inputs!$B$18+Inputs!$B$19)+MAX(-AS600,0)*(O600+Inputs!$B$18+Inputs!$B$19)+IF(AND(K600=1,AP600&lt;&gt;0),(Inputs!$B$17+Inputs!$B$18+Inputs!$B$19)+(O600+Inputs!$B$18+Inputs!$B$19),0)+MAX(AU600,0)*(Inputs!$B$20+Inputs!$B$22+Inputs!$B$23)+MAX(-AU600,0)*(Inputs!$B$21+Inputs!$B$22+Inputs!$B$23)</f>
        <v>0</v>
      </c>
      <c r="AW600" s="30" t="n">
        <f aca="false">AP599*(M600-AR599*J600)+AP599*AR599*N600/Inputs!$B$16-AV600</f>
        <v>0</v>
      </c>
      <c r="AX600" s="30" t="n">
        <f aca="false">AW600-IF(AP599&lt;&gt;0,0.75*AR599*(Inputs!$B$13-N600)/Inputs!$B$16,0)</f>
        <v>0</v>
      </c>
      <c r="AY600" s="30" t="n">
        <f aca="false">MAX(AS600,0)*(Inputs!$B$17+Inputs!$B$18+Inputs!$B$19)+MAX(-AS600,0)*(O600+Inputs!$B$18+Inputs!$B$19)+IF(AND(K600=1,AP600&lt;&gt;0),(Inputs!$B$17+Inputs!$B$18+Inputs!$B$19)+(O600+Inputs!$B$18+Inputs!$B$19),0)</f>
        <v>0</v>
      </c>
      <c r="AZ600" s="30" t="n">
        <f aca="false">AP599*M600-AY600</f>
        <v>-0</v>
      </c>
      <c r="BA600" s="32" t="n">
        <f aca="false">BA599+AI600</f>
        <v>0.0081476582830333</v>
      </c>
      <c r="BB600" s="30" t="n">
        <f aca="false">MAX(BB599,BA600)</f>
        <v>0.0108065678336457</v>
      </c>
      <c r="BC600" s="32" t="n">
        <f aca="false">BA600-BB600</f>
        <v>-0.00265890955061237</v>
      </c>
      <c r="BD600" s="30" t="n">
        <f aca="false">A601-A600</f>
        <v>1</v>
      </c>
    </row>
    <row r="601" customFormat="false" ht="15" hidden="false" customHeight="false" outlineLevel="0" collapsed="false">
      <c r="A601" s="28" t="n">
        <v>45924</v>
      </c>
      <c r="B601" s="0" t="n">
        <v>25113</v>
      </c>
      <c r="C601" s="0" t="n">
        <v>282.98</v>
      </c>
      <c r="D601" s="29" t="n">
        <f aca="false">LN(B601)</f>
        <v>10.1311409193282</v>
      </c>
      <c r="E601" s="29" t="n">
        <f aca="false">LN(C601)</f>
        <v>5.64537622376781</v>
      </c>
      <c r="F601" s="0" t="n">
        <v>596</v>
      </c>
      <c r="G601" s="0" t="n">
        <v>6</v>
      </c>
      <c r="H601" s="29" t="n">
        <f aca="false">D601-E601</f>
        <v>4.48576469556036</v>
      </c>
      <c r="I601" s="29" t="n">
        <f aca="false">D601-D600</f>
        <v>-0.00563851557398642</v>
      </c>
      <c r="J601" s="29" t="n">
        <f aca="false">E601-E600</f>
        <v>-0.00553276128132652</v>
      </c>
      <c r="K601" s="0" t="n">
        <v>0</v>
      </c>
      <c r="L601" s="0" t="n">
        <v>0</v>
      </c>
      <c r="M601" s="29" t="n">
        <f aca="false">IF(L601=1,J601-Carry!$B$9/Inputs!$B$16,I601)</f>
        <v>-0.00563851557398642</v>
      </c>
      <c r="N601" s="0" t="n">
        <v>0.055</v>
      </c>
      <c r="O601" s="0" t="n">
        <v>0.0002</v>
      </c>
      <c r="P601" s="29" t="n">
        <f aca="false">D601-('2 Hedge ratio'!$B$6+'2 Hedge ratio'!$B$5*E601)</f>
        <v>-0.00255938662891531</v>
      </c>
      <c r="Q601" s="29" t="n">
        <f aca="false">D601-('5 Re-specification'!$B$7+'5 Re-specification'!$B$5*E601+'5 Re-specification'!$B$6*F601)</f>
        <v>-0.00155013903610524</v>
      </c>
      <c r="R601" s="30" t="n">
        <f aca="false">MIN(F601,Inputs!$B$9)</f>
        <v>250</v>
      </c>
      <c r="S601" s="29" t="n">
        <f aca="true">IF(AND(F601&gt;=1,R601&gt;=Inputs!$B$10),INDEX(LINEST(OFFSET(D601,-R601,0,R601,1),OFFSET(E601,-R601,0,R601,2)),1,1),"")</f>
        <v>-4.38082443429907E-005</v>
      </c>
      <c r="T601" s="29" t="n">
        <f aca="true">IF(AND(F601&gt;=1,R601&gt;=Inputs!$B$10),INDEX(LINEST(OFFSET(D601,-R601,0,R601,1),OFFSET(E601,-R601,0,R601,2)),1,2),"")</f>
        <v>0.99758704258689</v>
      </c>
      <c r="U601" s="29" t="n">
        <f aca="true">IF(AND(F601&gt;=1,R601&gt;=Inputs!$B$10),INDEX(LINEST(OFFSET(D601,-R601,0,R601,1),OFFSET(E601,-R601,0,R601,2)),1,3),"")</f>
        <v>4.52725514899925</v>
      </c>
      <c r="V601" s="29" t="n">
        <f aca="true">IF(AND(F601&gt;=1,R601&gt;=Inputs!$B$10),SQRT(SUMPRODUCT((OFFSET(D601,-R601,0,R601,1)-U601-T601*OFFSET(E601,-R601,0,R601,1)-S601*OFFSET(F601,-R601,0,R601,1))^2)/(R601-3)),"")</f>
        <v>0.0025416925709627</v>
      </c>
      <c r="W601" s="31" t="n">
        <f aca="false">IF(AND(F601&gt;=1,R601&gt;=Inputs!$B$10),(D601-U601-T601*E601-S601*F601)/V601,"")</f>
        <v>-0.691935532105859</v>
      </c>
      <c r="X601" s="30" t="n">
        <f aca="false">IF(AB600&lt;&gt;0,AC600+1,0)</f>
        <v>0</v>
      </c>
      <c r="Y601" s="30" t="n">
        <f aca="false">IF(W601="",0,IF(AND(AB600&lt;&gt;0,OR(ABS(W601)&gt;Inputs!$B$7,X601&gt;=Inputs!$B$8,ABS(W601)&lt;Inputs!$B$6)),1,0))</f>
        <v>0</v>
      </c>
      <c r="Z601" s="30" t="n">
        <f aca="false">IF(Y601=1,0,AB600)</f>
        <v>0</v>
      </c>
      <c r="AA601" s="30" t="n">
        <f aca="false">IF(W601="",0,IF(AND(Z601=0,ABS(W601)&gt;Inputs!$B$5,ABS(W601)&lt;=Inputs!$B$7),1,0))</f>
        <v>0</v>
      </c>
      <c r="AB601" s="30" t="n">
        <f aca="false">IF(W601="",0,IF(AA601=1,-SIGN(W601),Z601))</f>
        <v>0</v>
      </c>
      <c r="AC601" s="30" t="n">
        <f aca="false">IF(W601="",0,IF(AA601=1,0,IF(Y601=1,0,X601)))</f>
        <v>0</v>
      </c>
      <c r="AD601" s="30" t="n">
        <f aca="false">IF(AB601=0,0,IF(AB600=AB601,AD600,T601))</f>
        <v>0</v>
      </c>
      <c r="AE601" s="30" t="n">
        <f aca="false">AB601-AB600</f>
        <v>0</v>
      </c>
      <c r="AF601" s="30" t="n">
        <f aca="false">-AD601*AB601</f>
        <v>-0</v>
      </c>
      <c r="AG601" s="30" t="n">
        <f aca="false">AF601-AF600</f>
        <v>0</v>
      </c>
      <c r="AH601" s="30" t="n">
        <f aca="false">MAX(AE601,0)*(Inputs!$B$17+Inputs!$B$18+Inputs!$B$19)+MAX(-AE601,0)*(O601+Inputs!$B$18+Inputs!$B$19)+IF(AND(K601=1,AB601&lt;&gt;0),(Inputs!$B$17+Inputs!$B$18+Inputs!$B$19)+(O601+Inputs!$B$18+Inputs!$B$19),0)+MAX(AG601,0)*(Inputs!$B$20+Inputs!$B$22+Inputs!$B$23)+MAX(-AG601,0)*(Inputs!$B$21+Inputs!$B$22+Inputs!$B$23)</f>
        <v>0</v>
      </c>
      <c r="AI601" s="30" t="n">
        <f aca="false">AB600*(M601-AD600*J601)+AB600*AD600*N601/Inputs!$B$16-AH601</f>
        <v>0</v>
      </c>
      <c r="AJ601" s="30" t="n">
        <f aca="false">MAX(AE601,0)*(Inputs!$B$17+Inputs!$B$24+Inputs!$B$25)+MAX(-AE601,0)*(O601+Inputs!$B$24+Inputs!$B$25)+IF(AND(K601=1,AB601&lt;&gt;0),(Inputs!$B$17+Inputs!$B$24+Inputs!$B$25)+(O601+Inputs!$B$24+Inputs!$B$25),0)+MAX(AG601,0)*(Inputs!$B$20+Inputs!$B$26+Inputs!$B$27)+MAX(-AG601,0)*(Inputs!$B$21+Inputs!$B$26+Inputs!$B$27)</f>
        <v>0</v>
      </c>
      <c r="AK601" s="30" t="n">
        <f aca="false">AB600*(M601-AD600*J601)+AB600*AD600*(N601+Inputs!$B$14)/Inputs!$B$16-AJ601</f>
        <v>0</v>
      </c>
      <c r="AL601" s="30" t="n">
        <f aca="false">IF(AP600&lt;&gt;0,AQ600+1,0)</f>
        <v>0</v>
      </c>
      <c r="AM601" s="30" t="n">
        <f aca="false">IF(W601="",0,IF(AND(AP600&lt;&gt;0,OR(ABS(W601)&gt;Inputs!$B$7,AL601&gt;=Inputs!$B$8,ABS(W601)&lt;Inputs!$B$6)),1,0))</f>
        <v>0</v>
      </c>
      <c r="AN601" s="30" t="n">
        <f aca="false">IF(AM601=1,0,AP600)</f>
        <v>0</v>
      </c>
      <c r="AO601" s="30" t="n">
        <f aca="false">IF(W601="",0,IF(AND(AN601=0,ABS(W601)&gt;Inputs!$B$5,ABS(W601)&lt;=Inputs!$B$7,W601&gt;0),1,0))</f>
        <v>0</v>
      </c>
      <c r="AP601" s="30" t="n">
        <f aca="false">IF(W601="",0,IF(AO601=1,-SIGN(W601),AN601))</f>
        <v>0</v>
      </c>
      <c r="AQ601" s="30" t="n">
        <f aca="false">IF(W601="",0,IF(AO601=1,0,IF(AM601=1,0,AL601)))</f>
        <v>0</v>
      </c>
      <c r="AR601" s="30" t="n">
        <f aca="false">IF(AP601=0,0,IF(AP600=AP601,AR600,T601))</f>
        <v>0</v>
      </c>
      <c r="AS601" s="30" t="n">
        <f aca="false">AP601-AP600</f>
        <v>0</v>
      </c>
      <c r="AT601" s="30" t="n">
        <f aca="false">-AR601*AP601</f>
        <v>-0</v>
      </c>
      <c r="AU601" s="30" t="n">
        <f aca="false">AT601-AT600</f>
        <v>0</v>
      </c>
      <c r="AV601" s="30" t="n">
        <f aca="false">MAX(AS601,0)*(Inputs!$B$17+Inputs!$B$18+Inputs!$B$19)+MAX(-AS601,0)*(O601+Inputs!$B$18+Inputs!$B$19)+IF(AND(K601=1,AP601&lt;&gt;0),(Inputs!$B$17+Inputs!$B$18+Inputs!$B$19)+(O601+Inputs!$B$18+Inputs!$B$19),0)+MAX(AU601,0)*(Inputs!$B$20+Inputs!$B$22+Inputs!$B$23)+MAX(-AU601,0)*(Inputs!$B$21+Inputs!$B$22+Inputs!$B$23)</f>
        <v>0</v>
      </c>
      <c r="AW601" s="30" t="n">
        <f aca="false">AP600*(M601-AR600*J601)+AP600*AR600*N601/Inputs!$B$16-AV601</f>
        <v>0</v>
      </c>
      <c r="AX601" s="30" t="n">
        <f aca="false">AW601-IF(AP600&lt;&gt;0,0.75*AR600*(Inputs!$B$13-N601)/Inputs!$B$16,0)</f>
        <v>0</v>
      </c>
      <c r="AY601" s="30" t="n">
        <f aca="false">MAX(AS601,0)*(Inputs!$B$17+Inputs!$B$18+Inputs!$B$19)+MAX(-AS601,0)*(O601+Inputs!$B$18+Inputs!$B$19)+IF(AND(K601=1,AP601&lt;&gt;0),(Inputs!$B$17+Inputs!$B$18+Inputs!$B$19)+(O601+Inputs!$B$18+Inputs!$B$19),0)</f>
        <v>0</v>
      </c>
      <c r="AZ601" s="30" t="n">
        <f aca="false">AP600*M601-AY601</f>
        <v>-0</v>
      </c>
      <c r="BA601" s="32" t="n">
        <f aca="false">BA600+AI601</f>
        <v>0.0081476582830333</v>
      </c>
      <c r="BB601" s="30" t="n">
        <f aca="false">MAX(BB600,BA601)</f>
        <v>0.0108065678336457</v>
      </c>
      <c r="BC601" s="32" t="n">
        <f aca="false">BA601-BB601</f>
        <v>-0.00265890955061237</v>
      </c>
      <c r="BD601" s="30" t="n">
        <f aca="false">A602-A601</f>
        <v>1</v>
      </c>
    </row>
    <row r="602" customFormat="false" ht="15" hidden="false" customHeight="false" outlineLevel="0" collapsed="false">
      <c r="A602" s="28" t="n">
        <v>45925</v>
      </c>
      <c r="B602" s="0" t="n">
        <v>24962</v>
      </c>
      <c r="C602" s="0" t="n">
        <v>281.37</v>
      </c>
      <c r="D602" s="29" t="n">
        <f aca="false">LN(B602)</f>
        <v>10.1251099474784</v>
      </c>
      <c r="E602" s="29" t="n">
        <f aca="false">LN(C602)</f>
        <v>5.63967052918896</v>
      </c>
      <c r="F602" s="0" t="n">
        <v>597</v>
      </c>
      <c r="G602" s="0" t="n">
        <v>5</v>
      </c>
      <c r="H602" s="29" t="n">
        <f aca="false">D602-E602</f>
        <v>4.48543941828944</v>
      </c>
      <c r="I602" s="29" t="n">
        <f aca="false">D602-D601</f>
        <v>-0.00603097184976598</v>
      </c>
      <c r="J602" s="29" t="n">
        <f aca="false">E602-E601</f>
        <v>-0.00570569457885028</v>
      </c>
      <c r="K602" s="0" t="n">
        <v>0</v>
      </c>
      <c r="L602" s="0" t="n">
        <v>0</v>
      </c>
      <c r="M602" s="29" t="n">
        <f aca="false">IF(L602=1,J602-Carry!$B$9/Inputs!$B$16,I602)</f>
        <v>-0.00603097184976598</v>
      </c>
      <c r="N602" s="0" t="n">
        <v>0.055</v>
      </c>
      <c r="O602" s="0" t="n">
        <v>0.0002</v>
      </c>
      <c r="P602" s="29" t="n">
        <f aca="false">D602-('2 Hedge ratio'!$B$6+'2 Hedge ratio'!$B$5*E602)</f>
        <v>-0.00336321899490777</v>
      </c>
      <c r="Q602" s="29" t="n">
        <f aca="false">D602-('5 Re-specification'!$B$7+'5 Re-specification'!$B$5*E602+'5 Re-specification'!$B$6*F602)</f>
        <v>-0.00184777809646519</v>
      </c>
      <c r="R602" s="30" t="n">
        <f aca="false">MIN(F602,Inputs!$B$9)</f>
        <v>250</v>
      </c>
      <c r="S602" s="29" t="n">
        <f aca="true">IF(AND(F602&gt;=1,R602&gt;=Inputs!$B$10),INDEX(LINEST(OFFSET(D602,-R602,0,R602,1),OFFSET(E602,-R602,0,R602,2)),1,1),"")</f>
        <v>-4.41005330791592E-005</v>
      </c>
      <c r="T602" s="29" t="n">
        <f aca="true">IF(AND(F602&gt;=1,R602&gt;=Inputs!$B$10),INDEX(LINEST(OFFSET(D602,-R602,0,R602,1),OFFSET(E602,-R602,0,R602,2)),1,2),"")</f>
        <v>0.997735257273527</v>
      </c>
      <c r="U602" s="29" t="n">
        <f aca="true">IF(AND(F602&gt;=1,R602&gt;=Inputs!$B$10),INDEX(LINEST(OFFSET(D602,-R602,0,R602,1),OFFSET(E602,-R602,0,R602,2)),1,3),"")</f>
        <v>4.52655916700174</v>
      </c>
      <c r="V602" s="29" t="n">
        <f aca="true">IF(AND(F602&gt;=1,R602&gt;=Inputs!$B$10),SQRT(SUMPRODUCT((OFFSET(D602,-R602,0,R602,1)-U602-T602*OFFSET(E602,-R602,0,R602,1)-S602*OFFSET(F602,-R602,0,R602,1))^2)/(R602-3)),"")</f>
        <v>0.00254327794097947</v>
      </c>
      <c r="W602" s="31" t="n">
        <f aca="false">IF(AND(F602&gt;=1,R602&gt;=Inputs!$B$10),(D602-U602-T602*E602-S602*F602)/V602,"")</f>
        <v>-0.79398622573292</v>
      </c>
      <c r="X602" s="30" t="n">
        <f aca="false">IF(AB601&lt;&gt;0,AC601+1,0)</f>
        <v>0</v>
      </c>
      <c r="Y602" s="30" t="n">
        <f aca="false">IF(W602="",0,IF(AND(AB601&lt;&gt;0,OR(ABS(W602)&gt;Inputs!$B$7,X602&gt;=Inputs!$B$8,ABS(W602)&lt;Inputs!$B$6)),1,0))</f>
        <v>0</v>
      </c>
      <c r="Z602" s="30" t="n">
        <f aca="false">IF(Y602=1,0,AB601)</f>
        <v>0</v>
      </c>
      <c r="AA602" s="30" t="n">
        <f aca="false">IF(W602="",0,IF(AND(Z602=0,ABS(W602)&gt;Inputs!$B$5,ABS(W602)&lt;=Inputs!$B$7),1,0))</f>
        <v>0</v>
      </c>
      <c r="AB602" s="30" t="n">
        <f aca="false">IF(W602="",0,IF(AA602=1,-SIGN(W602),Z602))</f>
        <v>0</v>
      </c>
      <c r="AC602" s="30" t="n">
        <f aca="false">IF(W602="",0,IF(AA602=1,0,IF(Y602=1,0,X602)))</f>
        <v>0</v>
      </c>
      <c r="AD602" s="30" t="n">
        <f aca="false">IF(AB602=0,0,IF(AB601=AB602,AD601,T602))</f>
        <v>0</v>
      </c>
      <c r="AE602" s="30" t="n">
        <f aca="false">AB602-AB601</f>
        <v>0</v>
      </c>
      <c r="AF602" s="30" t="n">
        <f aca="false">-AD602*AB602</f>
        <v>-0</v>
      </c>
      <c r="AG602" s="30" t="n">
        <f aca="false">AF602-AF601</f>
        <v>0</v>
      </c>
      <c r="AH602" s="30" t="n">
        <f aca="false">MAX(AE602,0)*(Inputs!$B$17+Inputs!$B$18+Inputs!$B$19)+MAX(-AE602,0)*(O602+Inputs!$B$18+Inputs!$B$19)+IF(AND(K602=1,AB602&lt;&gt;0),(Inputs!$B$17+Inputs!$B$18+Inputs!$B$19)+(O602+Inputs!$B$18+Inputs!$B$19),0)+MAX(AG602,0)*(Inputs!$B$20+Inputs!$B$22+Inputs!$B$23)+MAX(-AG602,0)*(Inputs!$B$21+Inputs!$B$22+Inputs!$B$23)</f>
        <v>0</v>
      </c>
      <c r="AI602" s="30" t="n">
        <f aca="false">AB601*(M602-AD601*J602)+AB601*AD601*N602/Inputs!$B$16-AH602</f>
        <v>0</v>
      </c>
      <c r="AJ602" s="30" t="n">
        <f aca="false">MAX(AE602,0)*(Inputs!$B$17+Inputs!$B$24+Inputs!$B$25)+MAX(-AE602,0)*(O602+Inputs!$B$24+Inputs!$B$25)+IF(AND(K602=1,AB602&lt;&gt;0),(Inputs!$B$17+Inputs!$B$24+Inputs!$B$25)+(O602+Inputs!$B$24+Inputs!$B$25),0)+MAX(AG602,0)*(Inputs!$B$20+Inputs!$B$26+Inputs!$B$27)+MAX(-AG602,0)*(Inputs!$B$21+Inputs!$B$26+Inputs!$B$27)</f>
        <v>0</v>
      </c>
      <c r="AK602" s="30" t="n">
        <f aca="false">AB601*(M602-AD601*J602)+AB601*AD601*(N602+Inputs!$B$14)/Inputs!$B$16-AJ602</f>
        <v>0</v>
      </c>
      <c r="AL602" s="30" t="n">
        <f aca="false">IF(AP601&lt;&gt;0,AQ601+1,0)</f>
        <v>0</v>
      </c>
      <c r="AM602" s="30" t="n">
        <f aca="false">IF(W602="",0,IF(AND(AP601&lt;&gt;0,OR(ABS(W602)&gt;Inputs!$B$7,AL602&gt;=Inputs!$B$8,ABS(W602)&lt;Inputs!$B$6)),1,0))</f>
        <v>0</v>
      </c>
      <c r="AN602" s="30" t="n">
        <f aca="false">IF(AM602=1,0,AP601)</f>
        <v>0</v>
      </c>
      <c r="AO602" s="30" t="n">
        <f aca="false">IF(W602="",0,IF(AND(AN602=0,ABS(W602)&gt;Inputs!$B$5,ABS(W602)&lt;=Inputs!$B$7,W602&gt;0),1,0))</f>
        <v>0</v>
      </c>
      <c r="AP602" s="30" t="n">
        <f aca="false">IF(W602="",0,IF(AO602=1,-SIGN(W602),AN602))</f>
        <v>0</v>
      </c>
      <c r="AQ602" s="30" t="n">
        <f aca="false">IF(W602="",0,IF(AO602=1,0,IF(AM602=1,0,AL602)))</f>
        <v>0</v>
      </c>
      <c r="AR602" s="30" t="n">
        <f aca="false">IF(AP602=0,0,IF(AP601=AP602,AR601,T602))</f>
        <v>0</v>
      </c>
      <c r="AS602" s="30" t="n">
        <f aca="false">AP602-AP601</f>
        <v>0</v>
      </c>
      <c r="AT602" s="30" t="n">
        <f aca="false">-AR602*AP602</f>
        <v>-0</v>
      </c>
      <c r="AU602" s="30" t="n">
        <f aca="false">AT602-AT601</f>
        <v>0</v>
      </c>
      <c r="AV602" s="30" t="n">
        <f aca="false">MAX(AS602,0)*(Inputs!$B$17+Inputs!$B$18+Inputs!$B$19)+MAX(-AS602,0)*(O602+Inputs!$B$18+Inputs!$B$19)+IF(AND(K602=1,AP602&lt;&gt;0),(Inputs!$B$17+Inputs!$B$18+Inputs!$B$19)+(O602+Inputs!$B$18+Inputs!$B$19),0)+MAX(AU602,0)*(Inputs!$B$20+Inputs!$B$22+Inputs!$B$23)+MAX(-AU602,0)*(Inputs!$B$21+Inputs!$B$22+Inputs!$B$23)</f>
        <v>0</v>
      </c>
      <c r="AW602" s="30" t="n">
        <f aca="false">AP601*(M602-AR601*J602)+AP601*AR601*N602/Inputs!$B$16-AV602</f>
        <v>0</v>
      </c>
      <c r="AX602" s="30" t="n">
        <f aca="false">AW602-IF(AP601&lt;&gt;0,0.75*AR601*(Inputs!$B$13-N602)/Inputs!$B$16,0)</f>
        <v>0</v>
      </c>
      <c r="AY602" s="30" t="n">
        <f aca="false">MAX(AS602,0)*(Inputs!$B$17+Inputs!$B$18+Inputs!$B$19)+MAX(-AS602,0)*(O602+Inputs!$B$18+Inputs!$B$19)+IF(AND(K602=1,AP602&lt;&gt;0),(Inputs!$B$17+Inputs!$B$18+Inputs!$B$19)+(O602+Inputs!$B$18+Inputs!$B$19),0)</f>
        <v>0</v>
      </c>
      <c r="AZ602" s="30" t="n">
        <f aca="false">AP601*M602-AY602</f>
        <v>-0</v>
      </c>
      <c r="BA602" s="32" t="n">
        <f aca="false">BA601+AI602</f>
        <v>0.0081476582830333</v>
      </c>
      <c r="BB602" s="30" t="n">
        <f aca="false">MAX(BB601,BA602)</f>
        <v>0.0108065678336457</v>
      </c>
      <c r="BC602" s="32" t="n">
        <f aca="false">BA602-BB602</f>
        <v>-0.00265890955061237</v>
      </c>
      <c r="BD602" s="30" t="n">
        <f aca="false">A603-A602</f>
        <v>1</v>
      </c>
    </row>
    <row r="603" customFormat="false" ht="15" hidden="false" customHeight="false" outlineLevel="0" collapsed="false">
      <c r="A603" s="28" t="n">
        <v>45926</v>
      </c>
      <c r="B603" s="0" t="n">
        <v>24696.8</v>
      </c>
      <c r="C603" s="0" t="n">
        <v>278.97</v>
      </c>
      <c r="D603" s="29" t="n">
        <f aca="false">LN(B603)</f>
        <v>10.1144289595673</v>
      </c>
      <c r="E603" s="29" t="n">
        <f aca="false">LN(C603)</f>
        <v>5.63110424915822</v>
      </c>
      <c r="F603" s="0" t="n">
        <v>598</v>
      </c>
      <c r="G603" s="0" t="n">
        <v>4</v>
      </c>
      <c r="H603" s="29" t="n">
        <f aca="false">D603-E603</f>
        <v>4.48332471040905</v>
      </c>
      <c r="I603" s="29" t="n">
        <f aca="false">D603-D602</f>
        <v>-0.0106809879111314</v>
      </c>
      <c r="J603" s="29" t="n">
        <f aca="false">E603-E602</f>
        <v>-0.00856628003074089</v>
      </c>
      <c r="K603" s="0" t="n">
        <v>0</v>
      </c>
      <c r="L603" s="0" t="n">
        <v>0</v>
      </c>
      <c r="M603" s="29" t="n">
        <f aca="false">IF(L603=1,J603-Carry!$B$9/Inputs!$B$16,I603)</f>
        <v>-0.0106809879111314</v>
      </c>
      <c r="N603" s="0" t="n">
        <v>0.055</v>
      </c>
      <c r="O603" s="0" t="n">
        <v>0.0002</v>
      </c>
      <c r="P603" s="29" t="n">
        <f aca="false">D603-('2 Hedge ratio'!$B$6+'2 Hedge ratio'!$B$5*E603)</f>
        <v>-0.00619640854267622</v>
      </c>
      <c r="Q603" s="29" t="n">
        <f aca="false">D603-('5 Re-specification'!$B$7+'5 Re-specification'!$B$5*E603+'5 Re-specification'!$B$6*F603)</f>
        <v>-0.00394351677057436</v>
      </c>
      <c r="R603" s="30" t="n">
        <f aca="false">MIN(F603,Inputs!$B$9)</f>
        <v>250</v>
      </c>
      <c r="S603" s="29" t="n">
        <f aca="true">IF(AND(F603&gt;=1,R603&gt;=Inputs!$B$10),INDEX(LINEST(OFFSET(D603,-R603,0,R603,1),OFFSET(E603,-R603,0,R603,2)),1,1),"")</f>
        <v>-4.46974569252613E-005</v>
      </c>
      <c r="T603" s="29" t="n">
        <f aca="true">IF(AND(F603&gt;=1,R603&gt;=Inputs!$B$10),INDEX(LINEST(OFFSET(D603,-R603,0,R603,1),OFFSET(E603,-R603,0,R603,2)),1,2),"")</f>
        <v>0.998423357432999</v>
      </c>
      <c r="U603" s="29" t="n">
        <f aca="true">IF(AND(F603&gt;=1,R603&gt;=Inputs!$B$10),INDEX(LINEST(OFFSET(D603,-R603,0,R603,1),OFFSET(E603,-R603,0,R603,2)),1,3),"")</f>
        <v>4.52298747602297</v>
      </c>
      <c r="V603" s="29" t="n">
        <f aca="true">IF(AND(F603&gt;=1,R603&gt;=Inputs!$B$10),SQRT(SUMPRODUCT((OFFSET(D603,-R603,0,R603,1)-U603-T603*OFFSET(E603,-R603,0,R603,1)-S603*OFFSET(F603,-R603,0,R603,1))^2)/(R603-3)),"")</f>
        <v>0.0025399815529246</v>
      </c>
      <c r="W603" s="31" t="n">
        <f aca="false">IF(AND(F603&gt;=1,R603&gt;=Inputs!$B$10),(D603-U603-T603*E603-S603*F603)/V603,"")</f>
        <v>-1.59664455416784</v>
      </c>
      <c r="X603" s="30" t="n">
        <f aca="false">IF(AB602&lt;&gt;0,AC602+1,0)</f>
        <v>0</v>
      </c>
      <c r="Y603" s="30" t="n">
        <f aca="false">IF(W603="",0,IF(AND(AB602&lt;&gt;0,OR(ABS(W603)&gt;Inputs!$B$7,X603&gt;=Inputs!$B$8,ABS(W603)&lt;Inputs!$B$6)),1,0))</f>
        <v>0</v>
      </c>
      <c r="Z603" s="30" t="n">
        <f aca="false">IF(Y603=1,0,AB602)</f>
        <v>0</v>
      </c>
      <c r="AA603" s="30" t="n">
        <f aca="false">IF(W603="",0,IF(AND(Z603=0,ABS(W603)&gt;Inputs!$B$5,ABS(W603)&lt;=Inputs!$B$7),1,0))</f>
        <v>0</v>
      </c>
      <c r="AB603" s="30" t="n">
        <f aca="false">IF(W603="",0,IF(AA603=1,-SIGN(W603),Z603))</f>
        <v>0</v>
      </c>
      <c r="AC603" s="30" t="n">
        <f aca="false">IF(W603="",0,IF(AA603=1,0,IF(Y603=1,0,X603)))</f>
        <v>0</v>
      </c>
      <c r="AD603" s="30" t="n">
        <f aca="false">IF(AB603=0,0,IF(AB602=AB603,AD602,T603))</f>
        <v>0</v>
      </c>
      <c r="AE603" s="30" t="n">
        <f aca="false">AB603-AB602</f>
        <v>0</v>
      </c>
      <c r="AF603" s="30" t="n">
        <f aca="false">-AD603*AB603</f>
        <v>-0</v>
      </c>
      <c r="AG603" s="30" t="n">
        <f aca="false">AF603-AF602</f>
        <v>0</v>
      </c>
      <c r="AH603" s="30" t="n">
        <f aca="false">MAX(AE603,0)*(Inputs!$B$17+Inputs!$B$18+Inputs!$B$19)+MAX(-AE603,0)*(O603+Inputs!$B$18+Inputs!$B$19)+IF(AND(K603=1,AB603&lt;&gt;0),(Inputs!$B$17+Inputs!$B$18+Inputs!$B$19)+(O603+Inputs!$B$18+Inputs!$B$19),0)+MAX(AG603,0)*(Inputs!$B$20+Inputs!$B$22+Inputs!$B$23)+MAX(-AG603,0)*(Inputs!$B$21+Inputs!$B$22+Inputs!$B$23)</f>
        <v>0</v>
      </c>
      <c r="AI603" s="30" t="n">
        <f aca="false">AB602*(M603-AD602*J603)+AB602*AD602*N603/Inputs!$B$16-AH603</f>
        <v>0</v>
      </c>
      <c r="AJ603" s="30" t="n">
        <f aca="false">MAX(AE603,0)*(Inputs!$B$17+Inputs!$B$24+Inputs!$B$25)+MAX(-AE603,0)*(O603+Inputs!$B$24+Inputs!$B$25)+IF(AND(K603=1,AB603&lt;&gt;0),(Inputs!$B$17+Inputs!$B$24+Inputs!$B$25)+(O603+Inputs!$B$24+Inputs!$B$25),0)+MAX(AG603,0)*(Inputs!$B$20+Inputs!$B$26+Inputs!$B$27)+MAX(-AG603,0)*(Inputs!$B$21+Inputs!$B$26+Inputs!$B$27)</f>
        <v>0</v>
      </c>
      <c r="AK603" s="30" t="n">
        <f aca="false">AB602*(M603-AD602*J603)+AB602*AD602*(N603+Inputs!$B$14)/Inputs!$B$16-AJ603</f>
        <v>0</v>
      </c>
      <c r="AL603" s="30" t="n">
        <f aca="false">IF(AP602&lt;&gt;0,AQ602+1,0)</f>
        <v>0</v>
      </c>
      <c r="AM603" s="30" t="n">
        <f aca="false">IF(W603="",0,IF(AND(AP602&lt;&gt;0,OR(ABS(W603)&gt;Inputs!$B$7,AL603&gt;=Inputs!$B$8,ABS(W603)&lt;Inputs!$B$6)),1,0))</f>
        <v>0</v>
      </c>
      <c r="AN603" s="30" t="n">
        <f aca="false">IF(AM603=1,0,AP602)</f>
        <v>0</v>
      </c>
      <c r="AO603" s="30" t="n">
        <f aca="false">IF(W603="",0,IF(AND(AN603=0,ABS(W603)&gt;Inputs!$B$5,ABS(W603)&lt;=Inputs!$B$7,W603&gt;0),1,0))</f>
        <v>0</v>
      </c>
      <c r="AP603" s="30" t="n">
        <f aca="false">IF(W603="",0,IF(AO603=1,-SIGN(W603),AN603))</f>
        <v>0</v>
      </c>
      <c r="AQ603" s="30" t="n">
        <f aca="false">IF(W603="",0,IF(AO603=1,0,IF(AM603=1,0,AL603)))</f>
        <v>0</v>
      </c>
      <c r="AR603" s="30" t="n">
        <f aca="false">IF(AP603=0,0,IF(AP602=AP603,AR602,T603))</f>
        <v>0</v>
      </c>
      <c r="AS603" s="30" t="n">
        <f aca="false">AP603-AP602</f>
        <v>0</v>
      </c>
      <c r="AT603" s="30" t="n">
        <f aca="false">-AR603*AP603</f>
        <v>-0</v>
      </c>
      <c r="AU603" s="30" t="n">
        <f aca="false">AT603-AT602</f>
        <v>0</v>
      </c>
      <c r="AV603" s="30" t="n">
        <f aca="false">MAX(AS603,0)*(Inputs!$B$17+Inputs!$B$18+Inputs!$B$19)+MAX(-AS603,0)*(O603+Inputs!$B$18+Inputs!$B$19)+IF(AND(K603=1,AP603&lt;&gt;0),(Inputs!$B$17+Inputs!$B$18+Inputs!$B$19)+(O603+Inputs!$B$18+Inputs!$B$19),0)+MAX(AU603,0)*(Inputs!$B$20+Inputs!$B$22+Inputs!$B$23)+MAX(-AU603,0)*(Inputs!$B$21+Inputs!$B$22+Inputs!$B$23)</f>
        <v>0</v>
      </c>
      <c r="AW603" s="30" t="n">
        <f aca="false">AP602*(M603-AR602*J603)+AP602*AR602*N603/Inputs!$B$16-AV603</f>
        <v>0</v>
      </c>
      <c r="AX603" s="30" t="n">
        <f aca="false">AW603-IF(AP602&lt;&gt;0,0.75*AR602*(Inputs!$B$13-N603)/Inputs!$B$16,0)</f>
        <v>0</v>
      </c>
      <c r="AY603" s="30" t="n">
        <f aca="false">MAX(AS603,0)*(Inputs!$B$17+Inputs!$B$18+Inputs!$B$19)+MAX(-AS603,0)*(O603+Inputs!$B$18+Inputs!$B$19)+IF(AND(K603=1,AP603&lt;&gt;0),(Inputs!$B$17+Inputs!$B$18+Inputs!$B$19)+(O603+Inputs!$B$18+Inputs!$B$19),0)</f>
        <v>0</v>
      </c>
      <c r="AZ603" s="30" t="n">
        <f aca="false">AP602*M603-AY603</f>
        <v>-0</v>
      </c>
      <c r="BA603" s="32" t="n">
        <f aca="false">BA602+AI603</f>
        <v>0.0081476582830333</v>
      </c>
      <c r="BB603" s="30" t="n">
        <f aca="false">MAX(BB602,BA603)</f>
        <v>0.0108065678336457</v>
      </c>
      <c r="BC603" s="32" t="n">
        <f aca="false">BA603-BB603</f>
        <v>-0.00265890955061237</v>
      </c>
      <c r="BD603" s="30" t="n">
        <f aca="false">A604-A603</f>
        <v>3</v>
      </c>
    </row>
    <row r="604" customFormat="false" ht="15" hidden="false" customHeight="false" outlineLevel="0" collapsed="false">
      <c r="A604" s="28" t="n">
        <v>45929</v>
      </c>
      <c r="B604" s="0" t="n">
        <v>24698.4</v>
      </c>
      <c r="C604" s="0" t="n">
        <v>279.07</v>
      </c>
      <c r="D604" s="29" t="n">
        <f aca="false">LN(B604)</f>
        <v>10.11449374319</v>
      </c>
      <c r="E604" s="29" t="n">
        <f aca="false">LN(C604)</f>
        <v>5.63146264640956</v>
      </c>
      <c r="F604" s="0" t="n">
        <v>599</v>
      </c>
      <c r="G604" s="0" t="n">
        <v>1</v>
      </c>
      <c r="H604" s="29" t="n">
        <f aca="false">D604-E604</f>
        <v>4.48303109678043</v>
      </c>
      <c r="I604" s="29" t="n">
        <f aca="false">D604-D603</f>
        <v>6.47836227223309E-005</v>
      </c>
      <c r="J604" s="29" t="n">
        <f aca="false">E604-E603</f>
        <v>0.000358397251345899</v>
      </c>
      <c r="K604" s="0" t="n">
        <v>0</v>
      </c>
      <c r="L604" s="0" t="n">
        <v>0</v>
      </c>
      <c r="M604" s="29" t="n">
        <f aca="false">IF(L604=1,J604-Carry!$B$9/Inputs!$B$16,I604)</f>
        <v>6.47836227223309E-005</v>
      </c>
      <c r="N604" s="0" t="n">
        <v>0.055</v>
      </c>
      <c r="O604" s="0" t="n">
        <v>0.0002</v>
      </c>
      <c r="P604" s="29" t="n">
        <f aca="false">D604-('2 Hedge ratio'!$B$6+'2 Hedge ratio'!$B$5*E604)</f>
        <v>-0.00645996223235379</v>
      </c>
      <c r="Q604" s="29" t="n">
        <f aca="false">D604-('5 Re-specification'!$B$7+'5 Re-specification'!$B$5*E604+'5 Re-specification'!$B$6*F604)</f>
        <v>-0.00419111495822477</v>
      </c>
      <c r="R604" s="30" t="n">
        <f aca="false">MIN(F604,Inputs!$B$9)</f>
        <v>250</v>
      </c>
      <c r="S604" s="29" t="n">
        <f aca="true">IF(AND(F604&gt;=1,R604&gt;=Inputs!$B$10),INDEX(LINEST(OFFSET(D604,-R604,0,R604,1),OFFSET(E604,-R604,0,R604,2)),1,1),"")</f>
        <v>-4.56096570817324E-005</v>
      </c>
      <c r="T604" s="29" t="n">
        <f aca="true">IF(AND(F604&gt;=1,R604&gt;=Inputs!$B$10),INDEX(LINEST(OFFSET(D604,-R604,0,R604,1),OFFSET(E604,-R604,0,R604,2)),1,2),"")</f>
        <v>0.999387050755526</v>
      </c>
      <c r="U604" s="29" t="n">
        <f aca="true">IF(AND(F604&gt;=1,R604&gt;=Inputs!$B$10),INDEX(LINEST(OFFSET(D604,-R604,0,R604,1),OFFSET(E604,-R604,0,R604,2)),1,3),"")</f>
        <v>4.5180153751294</v>
      </c>
      <c r="V604" s="29" t="n">
        <f aca="true">IF(AND(F604&gt;=1,R604&gt;=Inputs!$B$10),SQRT(SUMPRODUCT((OFFSET(D604,-R604,0,R604,1)-U604-T604*OFFSET(E604,-R604,0,R604,1)-S604*OFFSET(F604,-R604,0,R604,1))^2)/(R604-3)),"")</f>
        <v>0.00254314363253459</v>
      </c>
      <c r="W604" s="31" t="n">
        <f aca="false">IF(AND(F604&gt;=1,R604&gt;=Inputs!$B$10),(D604-U604-T604*E604-S604*F604)/V604,"")</f>
        <v>-1.65633310235382</v>
      </c>
      <c r="X604" s="30" t="n">
        <f aca="false">IF(AB603&lt;&gt;0,AC603+1,0)</f>
        <v>0</v>
      </c>
      <c r="Y604" s="30" t="n">
        <f aca="false">IF(W604="",0,IF(AND(AB603&lt;&gt;0,OR(ABS(W604)&gt;Inputs!$B$7,X604&gt;=Inputs!$B$8,ABS(W604)&lt;Inputs!$B$6)),1,0))</f>
        <v>0</v>
      </c>
      <c r="Z604" s="30" t="n">
        <f aca="false">IF(Y604=1,0,AB603)</f>
        <v>0</v>
      </c>
      <c r="AA604" s="30" t="n">
        <f aca="false">IF(W604="",0,IF(AND(Z604=0,ABS(W604)&gt;Inputs!$B$5,ABS(W604)&lt;=Inputs!$B$7),1,0))</f>
        <v>0</v>
      </c>
      <c r="AB604" s="30" t="n">
        <f aca="false">IF(W604="",0,IF(AA604=1,-SIGN(W604),Z604))</f>
        <v>0</v>
      </c>
      <c r="AC604" s="30" t="n">
        <f aca="false">IF(W604="",0,IF(AA604=1,0,IF(Y604=1,0,X604)))</f>
        <v>0</v>
      </c>
      <c r="AD604" s="30" t="n">
        <f aca="false">IF(AB604=0,0,IF(AB603=AB604,AD603,T604))</f>
        <v>0</v>
      </c>
      <c r="AE604" s="30" t="n">
        <f aca="false">AB604-AB603</f>
        <v>0</v>
      </c>
      <c r="AF604" s="30" t="n">
        <f aca="false">-AD604*AB604</f>
        <v>-0</v>
      </c>
      <c r="AG604" s="30" t="n">
        <f aca="false">AF604-AF603</f>
        <v>0</v>
      </c>
      <c r="AH604" s="30" t="n">
        <f aca="false">MAX(AE604,0)*(Inputs!$B$17+Inputs!$B$18+Inputs!$B$19)+MAX(-AE604,0)*(O604+Inputs!$B$18+Inputs!$B$19)+IF(AND(K604=1,AB604&lt;&gt;0),(Inputs!$B$17+Inputs!$B$18+Inputs!$B$19)+(O604+Inputs!$B$18+Inputs!$B$19),0)+MAX(AG604,0)*(Inputs!$B$20+Inputs!$B$22+Inputs!$B$23)+MAX(-AG604,0)*(Inputs!$B$21+Inputs!$B$22+Inputs!$B$23)</f>
        <v>0</v>
      </c>
      <c r="AI604" s="30" t="n">
        <f aca="false">AB603*(M604-AD603*J604)+AB603*AD603*N604/Inputs!$B$16-AH604</f>
        <v>0</v>
      </c>
      <c r="AJ604" s="30" t="n">
        <f aca="false">MAX(AE604,0)*(Inputs!$B$17+Inputs!$B$24+Inputs!$B$25)+MAX(-AE604,0)*(O604+Inputs!$B$24+Inputs!$B$25)+IF(AND(K604=1,AB604&lt;&gt;0),(Inputs!$B$17+Inputs!$B$24+Inputs!$B$25)+(O604+Inputs!$B$24+Inputs!$B$25),0)+MAX(AG604,0)*(Inputs!$B$20+Inputs!$B$26+Inputs!$B$27)+MAX(-AG604,0)*(Inputs!$B$21+Inputs!$B$26+Inputs!$B$27)</f>
        <v>0</v>
      </c>
      <c r="AK604" s="30" t="n">
        <f aca="false">AB603*(M604-AD603*J604)+AB603*AD603*(N604+Inputs!$B$14)/Inputs!$B$16-AJ604</f>
        <v>0</v>
      </c>
      <c r="AL604" s="30" t="n">
        <f aca="false">IF(AP603&lt;&gt;0,AQ603+1,0)</f>
        <v>0</v>
      </c>
      <c r="AM604" s="30" t="n">
        <f aca="false">IF(W604="",0,IF(AND(AP603&lt;&gt;0,OR(ABS(W604)&gt;Inputs!$B$7,AL604&gt;=Inputs!$B$8,ABS(W604)&lt;Inputs!$B$6)),1,0))</f>
        <v>0</v>
      </c>
      <c r="AN604" s="30" t="n">
        <f aca="false">IF(AM604=1,0,AP603)</f>
        <v>0</v>
      </c>
      <c r="AO604" s="30" t="n">
        <f aca="false">IF(W604="",0,IF(AND(AN604=0,ABS(W604)&gt;Inputs!$B$5,ABS(W604)&lt;=Inputs!$B$7,W604&gt;0),1,0))</f>
        <v>0</v>
      </c>
      <c r="AP604" s="30" t="n">
        <f aca="false">IF(W604="",0,IF(AO604=1,-SIGN(W604),AN604))</f>
        <v>0</v>
      </c>
      <c r="AQ604" s="30" t="n">
        <f aca="false">IF(W604="",0,IF(AO604=1,0,IF(AM604=1,0,AL604)))</f>
        <v>0</v>
      </c>
      <c r="AR604" s="30" t="n">
        <f aca="false">IF(AP604=0,0,IF(AP603=AP604,AR603,T604))</f>
        <v>0</v>
      </c>
      <c r="AS604" s="30" t="n">
        <f aca="false">AP604-AP603</f>
        <v>0</v>
      </c>
      <c r="AT604" s="30" t="n">
        <f aca="false">-AR604*AP604</f>
        <v>-0</v>
      </c>
      <c r="AU604" s="30" t="n">
        <f aca="false">AT604-AT603</f>
        <v>0</v>
      </c>
      <c r="AV604" s="30" t="n">
        <f aca="false">MAX(AS604,0)*(Inputs!$B$17+Inputs!$B$18+Inputs!$B$19)+MAX(-AS604,0)*(O604+Inputs!$B$18+Inputs!$B$19)+IF(AND(K604=1,AP604&lt;&gt;0),(Inputs!$B$17+Inputs!$B$18+Inputs!$B$19)+(O604+Inputs!$B$18+Inputs!$B$19),0)+MAX(AU604,0)*(Inputs!$B$20+Inputs!$B$22+Inputs!$B$23)+MAX(-AU604,0)*(Inputs!$B$21+Inputs!$B$22+Inputs!$B$23)</f>
        <v>0</v>
      </c>
      <c r="AW604" s="30" t="n">
        <f aca="false">AP603*(M604-AR603*J604)+AP603*AR603*N604/Inputs!$B$16-AV604</f>
        <v>0</v>
      </c>
      <c r="AX604" s="30" t="n">
        <f aca="false">AW604-IF(AP603&lt;&gt;0,0.75*AR603*(Inputs!$B$13-N604)/Inputs!$B$16,0)</f>
        <v>0</v>
      </c>
      <c r="AY604" s="30" t="n">
        <f aca="false">MAX(AS604,0)*(Inputs!$B$17+Inputs!$B$18+Inputs!$B$19)+MAX(-AS604,0)*(O604+Inputs!$B$18+Inputs!$B$19)+IF(AND(K604=1,AP604&lt;&gt;0),(Inputs!$B$17+Inputs!$B$18+Inputs!$B$19)+(O604+Inputs!$B$18+Inputs!$B$19),0)</f>
        <v>0</v>
      </c>
      <c r="AZ604" s="30" t="n">
        <f aca="false">AP603*M604-AY604</f>
        <v>0</v>
      </c>
      <c r="BA604" s="32" t="n">
        <f aca="false">BA603+AI604</f>
        <v>0.0081476582830333</v>
      </c>
      <c r="BB604" s="30" t="n">
        <f aca="false">MAX(BB603,BA604)</f>
        <v>0.0108065678336457</v>
      </c>
      <c r="BC604" s="32" t="n">
        <f aca="false">BA604-BB604</f>
        <v>-0.00265890955061237</v>
      </c>
      <c r="BD604" s="30" t="n">
        <f aca="false">A605-A604</f>
        <v>1</v>
      </c>
    </row>
    <row r="605" customFormat="false" ht="15" hidden="false" customHeight="false" outlineLevel="0" collapsed="false">
      <c r="A605" s="28" t="n">
        <v>45930</v>
      </c>
      <c r="B605" s="0" t="n">
        <v>24609.7</v>
      </c>
      <c r="C605" s="0" t="n">
        <v>277.98</v>
      </c>
      <c r="D605" s="29" t="n">
        <f aca="false">LN(B605)</f>
        <v>10.1108959531442</v>
      </c>
      <c r="E605" s="29" t="n">
        <f aca="false">LN(C605)</f>
        <v>5.62754916865661</v>
      </c>
      <c r="F605" s="0" t="n">
        <v>600</v>
      </c>
      <c r="G605" s="0" t="n">
        <v>0</v>
      </c>
      <c r="H605" s="29" t="n">
        <f aca="false">D605-E605</f>
        <v>4.48334678448759</v>
      </c>
      <c r="I605" s="29" t="n">
        <f aca="false">D605-D604</f>
        <v>-0.00359779004578975</v>
      </c>
      <c r="J605" s="29" t="n">
        <f aca="false">E605-E604</f>
        <v>-0.00391347775294904</v>
      </c>
      <c r="K605" s="0" t="n">
        <v>1</v>
      </c>
      <c r="L605" s="0" t="n">
        <v>0</v>
      </c>
      <c r="M605" s="29" t="n">
        <f aca="false">IF(L605=1,J605-Carry!$B$9/Inputs!$B$16,I605)</f>
        <v>-0.00359779004578975</v>
      </c>
      <c r="N605" s="0" t="n">
        <v>0.055</v>
      </c>
      <c r="O605" s="0" t="n">
        <v>0.0002</v>
      </c>
      <c r="P605" s="29" t="n">
        <f aca="false">D605-('2 Hedge ratio'!$B$6+'2 Hedge ratio'!$B$5*E605)</f>
        <v>-0.0064725105869492</v>
      </c>
      <c r="Q605" s="29" t="n">
        <f aca="false">D605-('5 Re-specification'!$B$7+'5 Re-specification'!$B$5*E605+'5 Re-specification'!$B$6*F605)</f>
        <v>-0.00384235772738073</v>
      </c>
      <c r="R605" s="30" t="n">
        <f aca="false">MIN(F605,Inputs!$B$9)</f>
        <v>250</v>
      </c>
      <c r="S605" s="29" t="n">
        <f aca="true">IF(AND(F605&gt;=1,R605&gt;=Inputs!$B$10),INDEX(LINEST(OFFSET(D605,-R605,0,R605,1),OFFSET(E605,-R605,0,R605,2)),1,1),"")</f>
        <v>-4.66625698037123E-005</v>
      </c>
      <c r="T605" s="29" t="n">
        <f aca="true">IF(AND(F605&gt;=1,R605&gt;=Inputs!$B$10),INDEX(LINEST(OFFSET(D605,-R605,0,R605,1),OFFSET(E605,-R605,0,R605,2)),1,2),"")</f>
        <v>1.00061775348228</v>
      </c>
      <c r="U605" s="29" t="n">
        <f aca="true">IF(AND(F605&gt;=1,R605&gt;=Inputs!$B$10),INDEX(LINEST(OFFSET(D605,-R605,0,R605,1),OFFSET(E605,-R605,0,R605,2)),1,3),"")</f>
        <v>4.5116164603743</v>
      </c>
      <c r="V605" s="29" t="n">
        <f aca="true">IF(AND(F605&gt;=1,R605&gt;=Inputs!$B$10),SQRT(SUMPRODUCT((OFFSET(D605,-R605,0,R605,1)-U605-T605*OFFSET(E605,-R605,0,R605,1)-S605*OFFSET(F605,-R605,0,R605,1))^2)/(R605-3)),"")</f>
        <v>0.00254341053825407</v>
      </c>
      <c r="W605" s="31" t="n">
        <f aca="false">IF(AND(F605&gt;=1,R605&gt;=Inputs!$B$10),(D605-U605-T605*E605-S605*F605)/V605,"")</f>
        <v>-1.47383682018035</v>
      </c>
      <c r="X605" s="30" t="n">
        <f aca="false">IF(AB604&lt;&gt;0,AC604+1,0)</f>
        <v>0</v>
      </c>
      <c r="Y605" s="30" t="n">
        <f aca="false">IF(W605="",0,IF(AND(AB604&lt;&gt;0,OR(ABS(W605)&gt;Inputs!$B$7,X605&gt;=Inputs!$B$8,ABS(W605)&lt;Inputs!$B$6)),1,0))</f>
        <v>0</v>
      </c>
      <c r="Z605" s="30" t="n">
        <f aca="false">IF(Y605=1,0,AB604)</f>
        <v>0</v>
      </c>
      <c r="AA605" s="30" t="n">
        <f aca="false">IF(W605="",0,IF(AND(Z605=0,ABS(W605)&gt;Inputs!$B$5,ABS(W605)&lt;=Inputs!$B$7),1,0))</f>
        <v>0</v>
      </c>
      <c r="AB605" s="30" t="n">
        <f aca="false">IF(W605="",0,IF(AA605=1,-SIGN(W605),Z605))</f>
        <v>0</v>
      </c>
      <c r="AC605" s="30" t="n">
        <f aca="false">IF(W605="",0,IF(AA605=1,0,IF(Y605=1,0,X605)))</f>
        <v>0</v>
      </c>
      <c r="AD605" s="30" t="n">
        <f aca="false">IF(AB605=0,0,IF(AB604=AB605,AD604,T605))</f>
        <v>0</v>
      </c>
      <c r="AE605" s="30" t="n">
        <f aca="false">AB605-AB604</f>
        <v>0</v>
      </c>
      <c r="AF605" s="30" t="n">
        <f aca="false">-AD605*AB605</f>
        <v>-0</v>
      </c>
      <c r="AG605" s="30" t="n">
        <f aca="false">AF605-AF604</f>
        <v>0</v>
      </c>
      <c r="AH605" s="30" t="n">
        <f aca="false">MAX(AE605,0)*(Inputs!$B$17+Inputs!$B$18+Inputs!$B$19)+MAX(-AE605,0)*(O605+Inputs!$B$18+Inputs!$B$19)+IF(AND(K605=1,AB605&lt;&gt;0),(Inputs!$B$17+Inputs!$B$18+Inputs!$B$19)+(O605+Inputs!$B$18+Inputs!$B$19),0)+MAX(AG605,0)*(Inputs!$B$20+Inputs!$B$22+Inputs!$B$23)+MAX(-AG605,0)*(Inputs!$B$21+Inputs!$B$22+Inputs!$B$23)</f>
        <v>0</v>
      </c>
      <c r="AI605" s="30" t="n">
        <f aca="false">AB604*(M605-AD604*J605)+AB604*AD604*N605/Inputs!$B$16-AH605</f>
        <v>0</v>
      </c>
      <c r="AJ605" s="30" t="n">
        <f aca="false">MAX(AE605,0)*(Inputs!$B$17+Inputs!$B$24+Inputs!$B$25)+MAX(-AE605,0)*(O605+Inputs!$B$24+Inputs!$B$25)+IF(AND(K605=1,AB605&lt;&gt;0),(Inputs!$B$17+Inputs!$B$24+Inputs!$B$25)+(O605+Inputs!$B$24+Inputs!$B$25),0)+MAX(AG605,0)*(Inputs!$B$20+Inputs!$B$26+Inputs!$B$27)+MAX(-AG605,0)*(Inputs!$B$21+Inputs!$B$26+Inputs!$B$27)</f>
        <v>0</v>
      </c>
      <c r="AK605" s="30" t="n">
        <f aca="false">AB604*(M605-AD604*J605)+AB604*AD604*(N605+Inputs!$B$14)/Inputs!$B$16-AJ605</f>
        <v>0</v>
      </c>
      <c r="AL605" s="30" t="n">
        <f aca="false">IF(AP604&lt;&gt;0,AQ604+1,0)</f>
        <v>0</v>
      </c>
      <c r="AM605" s="30" t="n">
        <f aca="false">IF(W605="",0,IF(AND(AP604&lt;&gt;0,OR(ABS(W605)&gt;Inputs!$B$7,AL605&gt;=Inputs!$B$8,ABS(W605)&lt;Inputs!$B$6)),1,0))</f>
        <v>0</v>
      </c>
      <c r="AN605" s="30" t="n">
        <f aca="false">IF(AM605=1,0,AP604)</f>
        <v>0</v>
      </c>
      <c r="AO605" s="30" t="n">
        <f aca="false">IF(W605="",0,IF(AND(AN605=0,ABS(W605)&gt;Inputs!$B$5,ABS(W605)&lt;=Inputs!$B$7,W605&gt;0),1,0))</f>
        <v>0</v>
      </c>
      <c r="AP605" s="30" t="n">
        <f aca="false">IF(W605="",0,IF(AO605=1,-SIGN(W605),AN605))</f>
        <v>0</v>
      </c>
      <c r="AQ605" s="30" t="n">
        <f aca="false">IF(W605="",0,IF(AO605=1,0,IF(AM605=1,0,AL605)))</f>
        <v>0</v>
      </c>
      <c r="AR605" s="30" t="n">
        <f aca="false">IF(AP605=0,0,IF(AP604=AP605,AR604,T605))</f>
        <v>0</v>
      </c>
      <c r="AS605" s="30" t="n">
        <f aca="false">AP605-AP604</f>
        <v>0</v>
      </c>
      <c r="AT605" s="30" t="n">
        <f aca="false">-AR605*AP605</f>
        <v>-0</v>
      </c>
      <c r="AU605" s="30" t="n">
        <f aca="false">AT605-AT604</f>
        <v>0</v>
      </c>
      <c r="AV605" s="30" t="n">
        <f aca="false">MAX(AS605,0)*(Inputs!$B$17+Inputs!$B$18+Inputs!$B$19)+MAX(-AS605,0)*(O605+Inputs!$B$18+Inputs!$B$19)+IF(AND(K605=1,AP605&lt;&gt;0),(Inputs!$B$17+Inputs!$B$18+Inputs!$B$19)+(O605+Inputs!$B$18+Inputs!$B$19),0)+MAX(AU605,0)*(Inputs!$B$20+Inputs!$B$22+Inputs!$B$23)+MAX(-AU605,0)*(Inputs!$B$21+Inputs!$B$22+Inputs!$B$23)</f>
        <v>0</v>
      </c>
      <c r="AW605" s="30" t="n">
        <f aca="false">AP604*(M605-AR604*J605)+AP604*AR604*N605/Inputs!$B$16-AV605</f>
        <v>0</v>
      </c>
      <c r="AX605" s="30" t="n">
        <f aca="false">AW605-IF(AP604&lt;&gt;0,0.75*AR604*(Inputs!$B$13-N605)/Inputs!$B$16,0)</f>
        <v>0</v>
      </c>
      <c r="AY605" s="30" t="n">
        <f aca="false">MAX(AS605,0)*(Inputs!$B$17+Inputs!$B$18+Inputs!$B$19)+MAX(-AS605,0)*(O605+Inputs!$B$18+Inputs!$B$19)+IF(AND(K605=1,AP605&lt;&gt;0),(Inputs!$B$17+Inputs!$B$18+Inputs!$B$19)+(O605+Inputs!$B$18+Inputs!$B$19),0)</f>
        <v>0</v>
      </c>
      <c r="AZ605" s="30" t="n">
        <f aca="false">AP604*M605-AY605</f>
        <v>-0</v>
      </c>
      <c r="BA605" s="32" t="n">
        <f aca="false">BA604+AI605</f>
        <v>0.0081476582830333</v>
      </c>
      <c r="BB605" s="30" t="n">
        <f aca="false">MAX(BB604,BA605)</f>
        <v>0.0108065678336457</v>
      </c>
      <c r="BC605" s="32" t="n">
        <f aca="false">BA605-BB605</f>
        <v>-0.00265890955061237</v>
      </c>
      <c r="BD605" s="30" t="n">
        <f aca="false">A606-A605</f>
        <v>1</v>
      </c>
    </row>
    <row r="606" customFormat="false" ht="15" hidden="false" customHeight="false" outlineLevel="0" collapsed="false">
      <c r="A606" s="28" t="n">
        <v>45931</v>
      </c>
      <c r="B606" s="0" t="n">
        <v>24982.9</v>
      </c>
      <c r="C606" s="0" t="n">
        <v>280.58</v>
      </c>
      <c r="D606" s="29" t="n">
        <f aca="false">LN(B606)</f>
        <v>10.1259468698156</v>
      </c>
      <c r="E606" s="29" t="n">
        <f aca="false">LN(C606)</f>
        <v>5.63685888929063</v>
      </c>
      <c r="F606" s="0" t="n">
        <v>601</v>
      </c>
      <c r="G606" s="0" t="n">
        <v>27</v>
      </c>
      <c r="H606" s="29" t="n">
        <f aca="false">D606-E606</f>
        <v>4.48908798052499</v>
      </c>
      <c r="I606" s="29" t="n">
        <f aca="false">D606-D605</f>
        <v>0.0150509166714112</v>
      </c>
      <c r="J606" s="29" t="n">
        <f aca="false">E606-E605</f>
        <v>0.00930972063401381</v>
      </c>
      <c r="K606" s="0" t="n">
        <v>0</v>
      </c>
      <c r="L606" s="0" t="n">
        <v>1</v>
      </c>
      <c r="M606" s="29" t="n">
        <f aca="false">IF(L606=1,J606-Carry!$B$9/Inputs!$B$16,I606)</f>
        <v>0.00905026245229268</v>
      </c>
      <c r="N606" s="0" t="n">
        <v>0.055</v>
      </c>
      <c r="O606" s="0" t="n">
        <v>0.0002</v>
      </c>
      <c r="P606" s="29" t="n">
        <f aca="false">D606-('2 Hedge ratio'!$B$6+'2 Hedge ratio'!$B$5*E606)</f>
        <v>4.95218905296468E-005</v>
      </c>
      <c r="Q606" s="29" t="n">
        <f aca="false">D606-('5 Re-specification'!$B$7+'5 Re-specification'!$B$5*E606+'5 Re-specification'!$B$6*F606)</f>
        <v>0.00197198073669114</v>
      </c>
      <c r="R606" s="30" t="n">
        <f aca="false">MIN(F606,Inputs!$B$9)</f>
        <v>250</v>
      </c>
      <c r="S606" s="29" t="n">
        <f aca="true">IF(AND(F606&gt;=1,R606&gt;=Inputs!$B$10),INDEX(LINEST(OFFSET(D606,-R606,0,R606,1),OFFSET(E606,-R606,0,R606,2)),1,1),"")</f>
        <v>-4.68406833488425E-005</v>
      </c>
      <c r="T606" s="29" t="n">
        <f aca="true">IF(AND(F606&gt;=1,R606&gt;=Inputs!$B$10),INDEX(LINEST(OFFSET(D606,-R606,0,R606,1),OFFSET(E606,-R606,0,R606,2)),1,2),"")</f>
        <v>1.0003004388714</v>
      </c>
      <c r="U606" s="29" t="n">
        <f aca="true">IF(AND(F606&gt;=1,R606&gt;=Inputs!$B$10),INDEX(LINEST(OFFSET(D606,-R606,0,R606,1),OFFSET(E606,-R606,0,R606,2)),1,3),"")</f>
        <v>4.51346000605808</v>
      </c>
      <c r="V606" s="29" t="n">
        <f aca="true">IF(AND(F606&gt;=1,R606&gt;=Inputs!$B$10),SQRT(SUMPRODUCT((OFFSET(D606,-R606,0,R606,1)-U606-T606*OFFSET(E606,-R606,0,R606,1)-S606*OFFSET(F606,-R606,0,R606,1))^2)/(R606-3)),"")</f>
        <v>0.00255338026664859</v>
      </c>
      <c r="W606" s="31" t="n">
        <f aca="false">IF(AND(F606&gt;=1,R606&gt;=Inputs!$B$10),(D606-U606-T606*E606-S606*F606)/V606,"")</f>
        <v>0.816836279292158</v>
      </c>
      <c r="X606" s="30" t="n">
        <f aca="false">IF(AB605&lt;&gt;0,AC605+1,0)</f>
        <v>0</v>
      </c>
      <c r="Y606" s="30" t="n">
        <f aca="false">IF(W606="",0,IF(AND(AB605&lt;&gt;0,OR(ABS(W606)&gt;Inputs!$B$7,X606&gt;=Inputs!$B$8,ABS(W606)&lt;Inputs!$B$6)),1,0))</f>
        <v>0</v>
      </c>
      <c r="Z606" s="30" t="n">
        <f aca="false">IF(Y606=1,0,AB605)</f>
        <v>0</v>
      </c>
      <c r="AA606" s="30" t="n">
        <f aca="false">IF(W606="",0,IF(AND(Z606=0,ABS(W606)&gt;Inputs!$B$5,ABS(W606)&lt;=Inputs!$B$7),1,0))</f>
        <v>0</v>
      </c>
      <c r="AB606" s="30" t="n">
        <f aca="false">IF(W606="",0,IF(AA606=1,-SIGN(W606),Z606))</f>
        <v>0</v>
      </c>
      <c r="AC606" s="30" t="n">
        <f aca="false">IF(W606="",0,IF(AA606=1,0,IF(Y606=1,0,X606)))</f>
        <v>0</v>
      </c>
      <c r="AD606" s="30" t="n">
        <f aca="false">IF(AB606=0,0,IF(AB605=AB606,AD605,T606))</f>
        <v>0</v>
      </c>
      <c r="AE606" s="30" t="n">
        <f aca="false">AB606-AB605</f>
        <v>0</v>
      </c>
      <c r="AF606" s="30" t="n">
        <f aca="false">-AD606*AB606</f>
        <v>-0</v>
      </c>
      <c r="AG606" s="30" t="n">
        <f aca="false">AF606-AF605</f>
        <v>0</v>
      </c>
      <c r="AH606" s="30" t="n">
        <f aca="false">MAX(AE606,0)*(Inputs!$B$17+Inputs!$B$18+Inputs!$B$19)+MAX(-AE606,0)*(O606+Inputs!$B$18+Inputs!$B$19)+IF(AND(K606=1,AB606&lt;&gt;0),(Inputs!$B$17+Inputs!$B$18+Inputs!$B$19)+(O606+Inputs!$B$18+Inputs!$B$19),0)+MAX(AG606,0)*(Inputs!$B$20+Inputs!$B$22+Inputs!$B$23)+MAX(-AG606,0)*(Inputs!$B$21+Inputs!$B$22+Inputs!$B$23)</f>
        <v>0</v>
      </c>
      <c r="AI606" s="30" t="n">
        <f aca="false">AB605*(M606-AD605*J606)+AB605*AD605*N606/Inputs!$B$16-AH606</f>
        <v>0</v>
      </c>
      <c r="AJ606" s="30" t="n">
        <f aca="false">MAX(AE606,0)*(Inputs!$B$17+Inputs!$B$24+Inputs!$B$25)+MAX(-AE606,0)*(O606+Inputs!$B$24+Inputs!$B$25)+IF(AND(K606=1,AB606&lt;&gt;0),(Inputs!$B$17+Inputs!$B$24+Inputs!$B$25)+(O606+Inputs!$B$24+Inputs!$B$25),0)+MAX(AG606,0)*(Inputs!$B$20+Inputs!$B$26+Inputs!$B$27)+MAX(-AG606,0)*(Inputs!$B$21+Inputs!$B$26+Inputs!$B$27)</f>
        <v>0</v>
      </c>
      <c r="AK606" s="30" t="n">
        <f aca="false">AB605*(M606-AD605*J606)+AB605*AD605*(N606+Inputs!$B$14)/Inputs!$B$16-AJ606</f>
        <v>0</v>
      </c>
      <c r="AL606" s="30" t="n">
        <f aca="false">IF(AP605&lt;&gt;0,AQ605+1,0)</f>
        <v>0</v>
      </c>
      <c r="AM606" s="30" t="n">
        <f aca="false">IF(W606="",0,IF(AND(AP605&lt;&gt;0,OR(ABS(W606)&gt;Inputs!$B$7,AL606&gt;=Inputs!$B$8,ABS(W606)&lt;Inputs!$B$6)),1,0))</f>
        <v>0</v>
      </c>
      <c r="AN606" s="30" t="n">
        <f aca="false">IF(AM606=1,0,AP605)</f>
        <v>0</v>
      </c>
      <c r="AO606" s="30" t="n">
        <f aca="false">IF(W606="",0,IF(AND(AN606=0,ABS(W606)&gt;Inputs!$B$5,ABS(W606)&lt;=Inputs!$B$7,W606&gt;0),1,0))</f>
        <v>0</v>
      </c>
      <c r="AP606" s="30" t="n">
        <f aca="false">IF(W606="",0,IF(AO606=1,-SIGN(W606),AN606))</f>
        <v>0</v>
      </c>
      <c r="AQ606" s="30" t="n">
        <f aca="false">IF(W606="",0,IF(AO606=1,0,IF(AM606=1,0,AL606)))</f>
        <v>0</v>
      </c>
      <c r="AR606" s="30" t="n">
        <f aca="false">IF(AP606=0,0,IF(AP605=AP606,AR605,T606))</f>
        <v>0</v>
      </c>
      <c r="AS606" s="30" t="n">
        <f aca="false">AP606-AP605</f>
        <v>0</v>
      </c>
      <c r="AT606" s="30" t="n">
        <f aca="false">-AR606*AP606</f>
        <v>-0</v>
      </c>
      <c r="AU606" s="30" t="n">
        <f aca="false">AT606-AT605</f>
        <v>0</v>
      </c>
      <c r="AV606" s="30" t="n">
        <f aca="false">MAX(AS606,0)*(Inputs!$B$17+Inputs!$B$18+Inputs!$B$19)+MAX(-AS606,0)*(O606+Inputs!$B$18+Inputs!$B$19)+IF(AND(K606=1,AP606&lt;&gt;0),(Inputs!$B$17+Inputs!$B$18+Inputs!$B$19)+(O606+Inputs!$B$18+Inputs!$B$19),0)+MAX(AU606,0)*(Inputs!$B$20+Inputs!$B$22+Inputs!$B$23)+MAX(-AU606,0)*(Inputs!$B$21+Inputs!$B$22+Inputs!$B$23)</f>
        <v>0</v>
      </c>
      <c r="AW606" s="30" t="n">
        <f aca="false">AP605*(M606-AR605*J606)+AP605*AR605*N606/Inputs!$B$16-AV606</f>
        <v>0</v>
      </c>
      <c r="AX606" s="30" t="n">
        <f aca="false">AW606-IF(AP605&lt;&gt;0,0.75*AR605*(Inputs!$B$13-N606)/Inputs!$B$16,0)</f>
        <v>0</v>
      </c>
      <c r="AY606" s="30" t="n">
        <f aca="false">MAX(AS606,0)*(Inputs!$B$17+Inputs!$B$18+Inputs!$B$19)+MAX(-AS606,0)*(O606+Inputs!$B$18+Inputs!$B$19)+IF(AND(K606=1,AP606&lt;&gt;0),(Inputs!$B$17+Inputs!$B$18+Inputs!$B$19)+(O606+Inputs!$B$18+Inputs!$B$19),0)</f>
        <v>0</v>
      </c>
      <c r="AZ606" s="30" t="n">
        <f aca="false">AP605*M606-AY606</f>
        <v>0</v>
      </c>
      <c r="BA606" s="32" t="n">
        <f aca="false">BA605+AI606</f>
        <v>0.0081476582830333</v>
      </c>
      <c r="BB606" s="30" t="n">
        <f aca="false">MAX(BB605,BA606)</f>
        <v>0.0108065678336457</v>
      </c>
      <c r="BC606" s="32" t="n">
        <f aca="false">BA606-BB606</f>
        <v>-0.00265890955061237</v>
      </c>
      <c r="BD606" s="30" t="n">
        <f aca="false">A607-A606</f>
        <v>2</v>
      </c>
    </row>
    <row r="607" customFormat="false" ht="15" hidden="false" customHeight="false" outlineLevel="0" collapsed="false">
      <c r="A607" s="28" t="n">
        <v>45933</v>
      </c>
      <c r="B607" s="0" t="n">
        <v>25007.1</v>
      </c>
      <c r="C607" s="0" t="n">
        <v>281.3</v>
      </c>
      <c r="D607" s="29" t="n">
        <f aca="false">LN(B607)</f>
        <v>10.12691506353</v>
      </c>
      <c r="E607" s="29" t="n">
        <f aca="false">LN(C607)</f>
        <v>5.63942171549581</v>
      </c>
      <c r="F607" s="0" t="n">
        <v>602</v>
      </c>
      <c r="G607" s="0" t="n">
        <v>25</v>
      </c>
      <c r="H607" s="29" t="n">
        <f aca="false">D607-E607</f>
        <v>4.48749334803416</v>
      </c>
      <c r="I607" s="29" t="n">
        <f aca="false">D607-D606</f>
        <v>0.000968193714358634</v>
      </c>
      <c r="J607" s="29" t="n">
        <f aca="false">E607-E606</f>
        <v>0.00256282620518533</v>
      </c>
      <c r="K607" s="0" t="n">
        <v>0</v>
      </c>
      <c r="L607" s="0" t="n">
        <v>0</v>
      </c>
      <c r="M607" s="29" t="n">
        <f aca="false">IF(L607=1,J607-Carry!$B$9/Inputs!$B$16,I607)</f>
        <v>0.000968193714358634</v>
      </c>
      <c r="N607" s="0" t="n">
        <v>0.055</v>
      </c>
      <c r="O607" s="0" t="n">
        <v>0.0002</v>
      </c>
      <c r="P607" s="29" t="n">
        <f aca="false">D607-('2 Hedge ratio'!$B$6+'2 Hedge ratio'!$B$5*E607)</f>
        <v>-0.00133015806098058</v>
      </c>
      <c r="Q607" s="29" t="n">
        <f aca="false">D607-('5 Re-specification'!$B$7+'5 Re-specification'!$B$5*E607+'5 Re-specification'!$B$6*F607)</f>
        <v>0.000430044208831859</v>
      </c>
      <c r="R607" s="30" t="n">
        <f aca="false">MIN(F607,Inputs!$B$9)</f>
        <v>250</v>
      </c>
      <c r="S607" s="29" t="n">
        <f aca="true">IF(AND(F607&gt;=1,R607&gt;=Inputs!$B$10),INDEX(LINEST(OFFSET(D607,-R607,0,R607,1),OFFSET(E607,-R607,0,R607,2)),1,1),"")</f>
        <v>-4.61129969635458E-005</v>
      </c>
      <c r="T607" s="29" t="n">
        <f aca="true">IF(AND(F607&gt;=1,R607&gt;=Inputs!$B$10),INDEX(LINEST(OFFSET(D607,-R607,0,R607,1),OFFSET(E607,-R607,0,R607,2)),1,2),"")</f>
        <v>0.99926023993095</v>
      </c>
      <c r="U607" s="29" t="n">
        <f aca="true">IF(AND(F607&gt;=1,R607&gt;=Inputs!$B$10),INDEX(LINEST(OFFSET(D607,-R607,0,R607,1),OFFSET(E607,-R607,0,R607,2)),1,3),"")</f>
        <v>4.51893938534452</v>
      </c>
      <c r="V607" s="29" t="n">
        <f aca="true">IF(AND(F607&gt;=1,R607&gt;=Inputs!$B$10),SQRT(SUMPRODUCT((OFFSET(D607,-R607,0,R607,1)-U607-T607*OFFSET(E607,-R607,0,R607,1)-S607*OFFSET(F607,-R607,0,R607,1))^2)/(R607-3)),"")</f>
        <v>0.002549345592428</v>
      </c>
      <c r="W607" s="31" t="n">
        <f aca="false">IF(AND(F607&gt;=1,R607&gt;=Inputs!$B$10),(D607-U607-T607*E607-S607*F607)/V607,"")</f>
        <v>0.190561005458376</v>
      </c>
      <c r="X607" s="30" t="n">
        <f aca="false">IF(AB606&lt;&gt;0,AC606+1,0)</f>
        <v>0</v>
      </c>
      <c r="Y607" s="30" t="n">
        <f aca="false">IF(W607="",0,IF(AND(AB606&lt;&gt;0,OR(ABS(W607)&gt;Inputs!$B$7,X607&gt;=Inputs!$B$8,ABS(W607)&lt;Inputs!$B$6)),1,0))</f>
        <v>0</v>
      </c>
      <c r="Z607" s="30" t="n">
        <f aca="false">IF(Y607=1,0,AB606)</f>
        <v>0</v>
      </c>
      <c r="AA607" s="30" t="n">
        <f aca="false">IF(W607="",0,IF(AND(Z607=0,ABS(W607)&gt;Inputs!$B$5,ABS(W607)&lt;=Inputs!$B$7),1,0))</f>
        <v>0</v>
      </c>
      <c r="AB607" s="30" t="n">
        <f aca="false">IF(W607="",0,IF(AA607=1,-SIGN(W607),Z607))</f>
        <v>0</v>
      </c>
      <c r="AC607" s="30" t="n">
        <f aca="false">IF(W607="",0,IF(AA607=1,0,IF(Y607=1,0,X607)))</f>
        <v>0</v>
      </c>
      <c r="AD607" s="30" t="n">
        <f aca="false">IF(AB607=0,0,IF(AB606=AB607,AD606,T607))</f>
        <v>0</v>
      </c>
      <c r="AE607" s="30" t="n">
        <f aca="false">AB607-AB606</f>
        <v>0</v>
      </c>
      <c r="AF607" s="30" t="n">
        <f aca="false">-AD607*AB607</f>
        <v>-0</v>
      </c>
      <c r="AG607" s="30" t="n">
        <f aca="false">AF607-AF606</f>
        <v>0</v>
      </c>
      <c r="AH607" s="30" t="n">
        <f aca="false">MAX(AE607,0)*(Inputs!$B$17+Inputs!$B$18+Inputs!$B$19)+MAX(-AE607,0)*(O607+Inputs!$B$18+Inputs!$B$19)+IF(AND(K607=1,AB607&lt;&gt;0),(Inputs!$B$17+Inputs!$B$18+Inputs!$B$19)+(O607+Inputs!$B$18+Inputs!$B$19),0)+MAX(AG607,0)*(Inputs!$B$20+Inputs!$B$22+Inputs!$B$23)+MAX(-AG607,0)*(Inputs!$B$21+Inputs!$B$22+Inputs!$B$23)</f>
        <v>0</v>
      </c>
      <c r="AI607" s="30" t="n">
        <f aca="false">AB606*(M607-AD606*J607)+AB606*AD606*N607/Inputs!$B$16-AH607</f>
        <v>0</v>
      </c>
      <c r="AJ607" s="30" t="n">
        <f aca="false">MAX(AE607,0)*(Inputs!$B$17+Inputs!$B$24+Inputs!$B$25)+MAX(-AE607,0)*(O607+Inputs!$B$24+Inputs!$B$25)+IF(AND(K607=1,AB607&lt;&gt;0),(Inputs!$B$17+Inputs!$B$24+Inputs!$B$25)+(O607+Inputs!$B$24+Inputs!$B$25),0)+MAX(AG607,0)*(Inputs!$B$20+Inputs!$B$26+Inputs!$B$27)+MAX(-AG607,0)*(Inputs!$B$21+Inputs!$B$26+Inputs!$B$27)</f>
        <v>0</v>
      </c>
      <c r="AK607" s="30" t="n">
        <f aca="false">AB606*(M607-AD606*J607)+AB606*AD606*(N607+Inputs!$B$14)/Inputs!$B$16-AJ607</f>
        <v>0</v>
      </c>
      <c r="AL607" s="30" t="n">
        <f aca="false">IF(AP606&lt;&gt;0,AQ606+1,0)</f>
        <v>0</v>
      </c>
      <c r="AM607" s="30" t="n">
        <f aca="false">IF(W607="",0,IF(AND(AP606&lt;&gt;0,OR(ABS(W607)&gt;Inputs!$B$7,AL607&gt;=Inputs!$B$8,ABS(W607)&lt;Inputs!$B$6)),1,0))</f>
        <v>0</v>
      </c>
      <c r="AN607" s="30" t="n">
        <f aca="false">IF(AM607=1,0,AP606)</f>
        <v>0</v>
      </c>
      <c r="AO607" s="30" t="n">
        <f aca="false">IF(W607="",0,IF(AND(AN607=0,ABS(W607)&gt;Inputs!$B$5,ABS(W607)&lt;=Inputs!$B$7,W607&gt;0),1,0))</f>
        <v>0</v>
      </c>
      <c r="AP607" s="30" t="n">
        <f aca="false">IF(W607="",0,IF(AO607=1,-SIGN(W607),AN607))</f>
        <v>0</v>
      </c>
      <c r="AQ607" s="30" t="n">
        <f aca="false">IF(W607="",0,IF(AO607=1,0,IF(AM607=1,0,AL607)))</f>
        <v>0</v>
      </c>
      <c r="AR607" s="30" t="n">
        <f aca="false">IF(AP607=0,0,IF(AP606=AP607,AR606,T607))</f>
        <v>0</v>
      </c>
      <c r="AS607" s="30" t="n">
        <f aca="false">AP607-AP606</f>
        <v>0</v>
      </c>
      <c r="AT607" s="30" t="n">
        <f aca="false">-AR607*AP607</f>
        <v>-0</v>
      </c>
      <c r="AU607" s="30" t="n">
        <f aca="false">AT607-AT606</f>
        <v>0</v>
      </c>
      <c r="AV607" s="30" t="n">
        <f aca="false">MAX(AS607,0)*(Inputs!$B$17+Inputs!$B$18+Inputs!$B$19)+MAX(-AS607,0)*(O607+Inputs!$B$18+Inputs!$B$19)+IF(AND(K607=1,AP607&lt;&gt;0),(Inputs!$B$17+Inputs!$B$18+Inputs!$B$19)+(O607+Inputs!$B$18+Inputs!$B$19),0)+MAX(AU607,0)*(Inputs!$B$20+Inputs!$B$22+Inputs!$B$23)+MAX(-AU607,0)*(Inputs!$B$21+Inputs!$B$22+Inputs!$B$23)</f>
        <v>0</v>
      </c>
      <c r="AW607" s="30" t="n">
        <f aca="false">AP606*(M607-AR606*J607)+AP606*AR606*N607/Inputs!$B$16-AV607</f>
        <v>0</v>
      </c>
      <c r="AX607" s="30" t="n">
        <f aca="false">AW607-IF(AP606&lt;&gt;0,0.75*AR606*(Inputs!$B$13-N607)/Inputs!$B$16,0)</f>
        <v>0</v>
      </c>
      <c r="AY607" s="30" t="n">
        <f aca="false">MAX(AS607,0)*(Inputs!$B$17+Inputs!$B$18+Inputs!$B$19)+MAX(-AS607,0)*(O607+Inputs!$B$18+Inputs!$B$19)+IF(AND(K607=1,AP607&lt;&gt;0),(Inputs!$B$17+Inputs!$B$18+Inputs!$B$19)+(O607+Inputs!$B$18+Inputs!$B$19),0)</f>
        <v>0</v>
      </c>
      <c r="AZ607" s="30" t="n">
        <f aca="false">AP606*M607-AY607</f>
        <v>0</v>
      </c>
      <c r="BA607" s="32" t="n">
        <f aca="false">BA606+AI607</f>
        <v>0.0081476582830333</v>
      </c>
      <c r="BB607" s="30" t="n">
        <f aca="false">MAX(BB606,BA607)</f>
        <v>0.0108065678336457</v>
      </c>
      <c r="BC607" s="32" t="n">
        <f aca="false">BA607-BB607</f>
        <v>-0.00265890955061237</v>
      </c>
      <c r="BD607" s="30" t="n">
        <f aca="false">A608-A607</f>
        <v>3</v>
      </c>
    </row>
    <row r="608" customFormat="false" ht="15" hidden="false" customHeight="false" outlineLevel="0" collapsed="false">
      <c r="A608" s="28" t="n">
        <v>45936</v>
      </c>
      <c r="B608" s="0" t="n">
        <v>25183.5</v>
      </c>
      <c r="C608" s="0" t="n">
        <v>282.91</v>
      </c>
      <c r="D608" s="29" t="n">
        <f aca="false">LN(B608)</f>
        <v>10.1339442971446</v>
      </c>
      <c r="E608" s="29" t="n">
        <f aca="false">LN(C608)</f>
        <v>5.64512882586236</v>
      </c>
      <c r="F608" s="0" t="n">
        <v>603</v>
      </c>
      <c r="G608" s="0" t="n">
        <v>22</v>
      </c>
      <c r="H608" s="29" t="n">
        <f aca="false">D608-E608</f>
        <v>4.48881547128221</v>
      </c>
      <c r="I608" s="29" t="n">
        <f aca="false">D608-D607</f>
        <v>0.00702923361459185</v>
      </c>
      <c r="J608" s="29" t="n">
        <f aca="false">E608-E607</f>
        <v>0.00570711036654625</v>
      </c>
      <c r="K608" s="0" t="n">
        <v>0</v>
      </c>
      <c r="L608" s="0" t="n">
        <v>0</v>
      </c>
      <c r="M608" s="29" t="n">
        <f aca="false">IF(L608=1,J608-Carry!$B$9/Inputs!$B$16,I608)</f>
        <v>0.00702923361459185</v>
      </c>
      <c r="N608" s="0" t="n">
        <v>0.055</v>
      </c>
      <c r="O608" s="0" t="n">
        <v>0.0002</v>
      </c>
      <c r="P608" s="29" t="n">
        <f aca="false">D608-('2 Hedge ratio'!$B$6+'2 Hedge ratio'!$B$5*E608)</f>
        <v>0.000470639028844033</v>
      </c>
      <c r="Q608" s="29" t="n">
        <f aca="false">D608-('5 Re-specification'!$B$7+'5 Re-specification'!$B$5*E608+'5 Re-specification'!$B$6*F608)</f>
        <v>0.00181439217306156</v>
      </c>
      <c r="R608" s="30" t="n">
        <f aca="false">MIN(F608,Inputs!$B$9)</f>
        <v>250</v>
      </c>
      <c r="S608" s="29" t="n">
        <f aca="true">IF(AND(F608&gt;=1,R608&gt;=Inputs!$B$10),INDEX(LINEST(OFFSET(D608,-R608,0,R608,1),OFFSET(E608,-R608,0,R608,2)),1,1),"")</f>
        <v>-4.57759652792679E-005</v>
      </c>
      <c r="T608" s="29" t="n">
        <f aca="true">IF(AND(F608&gt;=1,R608&gt;=Inputs!$B$10),INDEX(LINEST(OFFSET(D608,-R608,0,R608,1),OFFSET(E608,-R608,0,R608,2)),1,2),"")</f>
        <v>0.998720700872274</v>
      </c>
      <c r="U608" s="29" t="n">
        <f aca="true">IF(AND(F608&gt;=1,R608&gt;=Inputs!$B$10),INDEX(LINEST(OFFSET(D608,-R608,0,R608,1),OFFSET(E608,-R608,0,R608,2)),1,3),"")</f>
        <v>4.52179747276447</v>
      </c>
      <c r="V608" s="29" t="n">
        <f aca="true">IF(AND(F608&gt;=1,R608&gt;=Inputs!$B$10),SQRT(SUMPRODUCT((OFFSET(D608,-R608,0,R608,1)-U608-T608*OFFSET(E608,-R608,0,R608,1)-S608*OFFSET(F608,-R608,0,R608,1))^2)/(R608-3)),"")</f>
        <v>0.0025472302193273</v>
      </c>
      <c r="W608" s="31" t="n">
        <f aca="false">IF(AND(F608&gt;=1,R608&gt;=Inputs!$B$10),(D608-U608-T608*E608-S608*F608)/V608,"")</f>
        <v>0.723418696111189</v>
      </c>
      <c r="X608" s="30" t="n">
        <f aca="false">IF(AB607&lt;&gt;0,AC607+1,0)</f>
        <v>0</v>
      </c>
      <c r="Y608" s="30" t="n">
        <f aca="false">IF(W608="",0,IF(AND(AB607&lt;&gt;0,OR(ABS(W608)&gt;Inputs!$B$7,X608&gt;=Inputs!$B$8,ABS(W608)&lt;Inputs!$B$6)),1,0))</f>
        <v>0</v>
      </c>
      <c r="Z608" s="30" t="n">
        <f aca="false">IF(Y608=1,0,AB607)</f>
        <v>0</v>
      </c>
      <c r="AA608" s="30" t="n">
        <f aca="false">IF(W608="",0,IF(AND(Z608=0,ABS(W608)&gt;Inputs!$B$5,ABS(W608)&lt;=Inputs!$B$7),1,0))</f>
        <v>0</v>
      </c>
      <c r="AB608" s="30" t="n">
        <f aca="false">IF(W608="",0,IF(AA608=1,-SIGN(W608),Z608))</f>
        <v>0</v>
      </c>
      <c r="AC608" s="30" t="n">
        <f aca="false">IF(W608="",0,IF(AA608=1,0,IF(Y608=1,0,X608)))</f>
        <v>0</v>
      </c>
      <c r="AD608" s="30" t="n">
        <f aca="false">IF(AB608=0,0,IF(AB607=AB608,AD607,T608))</f>
        <v>0</v>
      </c>
      <c r="AE608" s="30" t="n">
        <f aca="false">AB608-AB607</f>
        <v>0</v>
      </c>
      <c r="AF608" s="30" t="n">
        <f aca="false">-AD608*AB608</f>
        <v>-0</v>
      </c>
      <c r="AG608" s="30" t="n">
        <f aca="false">AF608-AF607</f>
        <v>0</v>
      </c>
      <c r="AH608" s="30" t="n">
        <f aca="false">MAX(AE608,0)*(Inputs!$B$17+Inputs!$B$18+Inputs!$B$19)+MAX(-AE608,0)*(O608+Inputs!$B$18+Inputs!$B$19)+IF(AND(K608=1,AB608&lt;&gt;0),(Inputs!$B$17+Inputs!$B$18+Inputs!$B$19)+(O608+Inputs!$B$18+Inputs!$B$19),0)+MAX(AG608,0)*(Inputs!$B$20+Inputs!$B$22+Inputs!$B$23)+MAX(-AG608,0)*(Inputs!$B$21+Inputs!$B$22+Inputs!$B$23)</f>
        <v>0</v>
      </c>
      <c r="AI608" s="30" t="n">
        <f aca="false">AB607*(M608-AD607*J608)+AB607*AD607*N608/Inputs!$B$16-AH608</f>
        <v>0</v>
      </c>
      <c r="AJ608" s="30" t="n">
        <f aca="false">MAX(AE608,0)*(Inputs!$B$17+Inputs!$B$24+Inputs!$B$25)+MAX(-AE608,0)*(O608+Inputs!$B$24+Inputs!$B$25)+IF(AND(K608=1,AB608&lt;&gt;0),(Inputs!$B$17+Inputs!$B$24+Inputs!$B$25)+(O608+Inputs!$B$24+Inputs!$B$25),0)+MAX(AG608,0)*(Inputs!$B$20+Inputs!$B$26+Inputs!$B$27)+MAX(-AG608,0)*(Inputs!$B$21+Inputs!$B$26+Inputs!$B$27)</f>
        <v>0</v>
      </c>
      <c r="AK608" s="30" t="n">
        <f aca="false">AB607*(M608-AD607*J608)+AB607*AD607*(N608+Inputs!$B$14)/Inputs!$B$16-AJ608</f>
        <v>0</v>
      </c>
      <c r="AL608" s="30" t="n">
        <f aca="false">IF(AP607&lt;&gt;0,AQ607+1,0)</f>
        <v>0</v>
      </c>
      <c r="AM608" s="30" t="n">
        <f aca="false">IF(W608="",0,IF(AND(AP607&lt;&gt;0,OR(ABS(W608)&gt;Inputs!$B$7,AL608&gt;=Inputs!$B$8,ABS(W608)&lt;Inputs!$B$6)),1,0))</f>
        <v>0</v>
      </c>
      <c r="AN608" s="30" t="n">
        <f aca="false">IF(AM608=1,0,AP607)</f>
        <v>0</v>
      </c>
      <c r="AO608" s="30" t="n">
        <f aca="false">IF(W608="",0,IF(AND(AN608=0,ABS(W608)&gt;Inputs!$B$5,ABS(W608)&lt;=Inputs!$B$7,W608&gt;0),1,0))</f>
        <v>0</v>
      </c>
      <c r="AP608" s="30" t="n">
        <f aca="false">IF(W608="",0,IF(AO608=1,-SIGN(W608),AN608))</f>
        <v>0</v>
      </c>
      <c r="AQ608" s="30" t="n">
        <f aca="false">IF(W608="",0,IF(AO608=1,0,IF(AM608=1,0,AL608)))</f>
        <v>0</v>
      </c>
      <c r="AR608" s="30" t="n">
        <f aca="false">IF(AP608=0,0,IF(AP607=AP608,AR607,T608))</f>
        <v>0</v>
      </c>
      <c r="AS608" s="30" t="n">
        <f aca="false">AP608-AP607</f>
        <v>0</v>
      </c>
      <c r="AT608" s="30" t="n">
        <f aca="false">-AR608*AP608</f>
        <v>-0</v>
      </c>
      <c r="AU608" s="30" t="n">
        <f aca="false">AT608-AT607</f>
        <v>0</v>
      </c>
      <c r="AV608" s="30" t="n">
        <f aca="false">MAX(AS608,0)*(Inputs!$B$17+Inputs!$B$18+Inputs!$B$19)+MAX(-AS608,0)*(O608+Inputs!$B$18+Inputs!$B$19)+IF(AND(K608=1,AP608&lt;&gt;0),(Inputs!$B$17+Inputs!$B$18+Inputs!$B$19)+(O608+Inputs!$B$18+Inputs!$B$19),0)+MAX(AU608,0)*(Inputs!$B$20+Inputs!$B$22+Inputs!$B$23)+MAX(-AU608,0)*(Inputs!$B$21+Inputs!$B$22+Inputs!$B$23)</f>
        <v>0</v>
      </c>
      <c r="AW608" s="30" t="n">
        <f aca="false">AP607*(M608-AR607*J608)+AP607*AR607*N608/Inputs!$B$16-AV608</f>
        <v>0</v>
      </c>
      <c r="AX608" s="30" t="n">
        <f aca="false">AW608-IF(AP607&lt;&gt;0,0.75*AR607*(Inputs!$B$13-N608)/Inputs!$B$16,0)</f>
        <v>0</v>
      </c>
      <c r="AY608" s="30" t="n">
        <f aca="false">MAX(AS608,0)*(Inputs!$B$17+Inputs!$B$18+Inputs!$B$19)+MAX(-AS608,0)*(O608+Inputs!$B$18+Inputs!$B$19)+IF(AND(K608=1,AP608&lt;&gt;0),(Inputs!$B$17+Inputs!$B$18+Inputs!$B$19)+(O608+Inputs!$B$18+Inputs!$B$19),0)</f>
        <v>0</v>
      </c>
      <c r="AZ608" s="30" t="n">
        <f aca="false">AP607*M608-AY608</f>
        <v>0</v>
      </c>
      <c r="BA608" s="32" t="n">
        <f aca="false">BA607+AI608</f>
        <v>0.0081476582830333</v>
      </c>
      <c r="BB608" s="30" t="n">
        <f aca="false">MAX(BB607,BA608)</f>
        <v>0.0108065678336457</v>
      </c>
      <c r="BC608" s="32" t="n">
        <f aca="false">BA608-BB608</f>
        <v>-0.00265890955061237</v>
      </c>
      <c r="BD608" s="30" t="n">
        <f aca="false">A609-A608</f>
        <v>1</v>
      </c>
    </row>
    <row r="609" customFormat="false" ht="15" hidden="false" customHeight="false" outlineLevel="0" collapsed="false">
      <c r="A609" s="28" t="n">
        <v>45937</v>
      </c>
      <c r="B609" s="0" t="n">
        <v>25230.1</v>
      </c>
      <c r="C609" s="0" t="n">
        <v>283.65</v>
      </c>
      <c r="D609" s="29" t="n">
        <f aca="false">LN(B609)</f>
        <v>10.1357930051627</v>
      </c>
      <c r="E609" s="29" t="n">
        <f aca="false">LN(C609)</f>
        <v>5.64774108377258</v>
      </c>
      <c r="F609" s="0" t="n">
        <v>604</v>
      </c>
      <c r="G609" s="0" t="n">
        <v>21</v>
      </c>
      <c r="H609" s="29" t="n">
        <f aca="false">D609-E609</f>
        <v>4.48805192139015</v>
      </c>
      <c r="I609" s="29" t="n">
        <f aca="false">D609-D608</f>
        <v>0.00184870801815862</v>
      </c>
      <c r="J609" s="29" t="n">
        <f aca="false">E609-E608</f>
        <v>0.00261225791021857</v>
      </c>
      <c r="K609" s="0" t="n">
        <v>0</v>
      </c>
      <c r="L609" s="0" t="n">
        <v>0</v>
      </c>
      <c r="M609" s="29" t="n">
        <f aca="false">IF(L609=1,J609-Carry!$B$9/Inputs!$B$16,I609)</f>
        <v>0.00184870801815862</v>
      </c>
      <c r="N609" s="0" t="n">
        <v>0.055</v>
      </c>
      <c r="O609" s="0" t="n">
        <v>0.0002</v>
      </c>
      <c r="P609" s="29" t="n">
        <f aca="false">D609-('2 Hedge ratio'!$B$6+'2 Hedge ratio'!$B$5*E609)</f>
        <v>-7.38123266010859E-005</v>
      </c>
      <c r="Q609" s="29" t="n">
        <f aca="false">D609-('5 Re-specification'!$B$7+'5 Re-specification'!$B$5*E609+'5 Re-specification'!$B$6*F609)</f>
        <v>0.00110368804674899</v>
      </c>
      <c r="R609" s="30" t="n">
        <f aca="false">MIN(F609,Inputs!$B$9)</f>
        <v>250</v>
      </c>
      <c r="S609" s="29" t="n">
        <f aca="true">IF(AND(F609&gt;=1,R609&gt;=Inputs!$B$10),INDEX(LINEST(OFFSET(D609,-R609,0,R609,1),OFFSET(E609,-R609,0,R609,2)),1,1),"")</f>
        <v>-4.51557098754109E-005</v>
      </c>
      <c r="T609" s="29" t="n">
        <f aca="true">IF(AND(F609&gt;=1,R609&gt;=Inputs!$B$10),INDEX(LINEST(OFFSET(D609,-R609,0,R609,1),OFFSET(E609,-R609,0,R609,2)),1,2),"")</f>
        <v>0.997925075736835</v>
      </c>
      <c r="U609" s="29" t="n">
        <f aca="true">IF(AND(F609&gt;=1,R609&gt;=Inputs!$B$10),INDEX(LINEST(OFFSET(D609,-R609,0,R609,1),OFFSET(E609,-R609,0,R609,2)),1,3),"")</f>
        <v>4.52595676280617</v>
      </c>
      <c r="V609" s="29" t="n">
        <f aca="true">IF(AND(F609&gt;=1,R609&gt;=Inputs!$B$10),SQRT(SUMPRODUCT((OFFSET(D609,-R609,0,R609,1)-U609-T609*OFFSET(E609,-R609,0,R609,1)-S609*OFFSET(F609,-R609,0,R609,1))^2)/(R609-3)),"")</f>
        <v>0.00254452016603989</v>
      </c>
      <c r="W609" s="31" t="n">
        <f aca="false">IF(AND(F609&gt;=1,R609&gt;=Inputs!$B$10),(D609-U609-T609*E609-S609*F609)/V609,"")</f>
        <v>0.427523574005493</v>
      </c>
      <c r="X609" s="30" t="n">
        <f aca="false">IF(AB608&lt;&gt;0,AC608+1,0)</f>
        <v>0</v>
      </c>
      <c r="Y609" s="30" t="n">
        <f aca="false">IF(W609="",0,IF(AND(AB608&lt;&gt;0,OR(ABS(W609)&gt;Inputs!$B$7,X609&gt;=Inputs!$B$8,ABS(W609)&lt;Inputs!$B$6)),1,0))</f>
        <v>0</v>
      </c>
      <c r="Z609" s="30" t="n">
        <f aca="false">IF(Y609=1,0,AB608)</f>
        <v>0</v>
      </c>
      <c r="AA609" s="30" t="n">
        <f aca="false">IF(W609="",0,IF(AND(Z609=0,ABS(W609)&gt;Inputs!$B$5,ABS(W609)&lt;=Inputs!$B$7),1,0))</f>
        <v>0</v>
      </c>
      <c r="AB609" s="30" t="n">
        <f aca="false">IF(W609="",0,IF(AA609=1,-SIGN(W609),Z609))</f>
        <v>0</v>
      </c>
      <c r="AC609" s="30" t="n">
        <f aca="false">IF(W609="",0,IF(AA609=1,0,IF(Y609=1,0,X609)))</f>
        <v>0</v>
      </c>
      <c r="AD609" s="30" t="n">
        <f aca="false">IF(AB609=0,0,IF(AB608=AB609,AD608,T609))</f>
        <v>0</v>
      </c>
      <c r="AE609" s="30" t="n">
        <f aca="false">AB609-AB608</f>
        <v>0</v>
      </c>
      <c r="AF609" s="30" t="n">
        <f aca="false">-AD609*AB609</f>
        <v>-0</v>
      </c>
      <c r="AG609" s="30" t="n">
        <f aca="false">AF609-AF608</f>
        <v>0</v>
      </c>
      <c r="AH609" s="30" t="n">
        <f aca="false">MAX(AE609,0)*(Inputs!$B$17+Inputs!$B$18+Inputs!$B$19)+MAX(-AE609,0)*(O609+Inputs!$B$18+Inputs!$B$19)+IF(AND(K609=1,AB609&lt;&gt;0),(Inputs!$B$17+Inputs!$B$18+Inputs!$B$19)+(O609+Inputs!$B$18+Inputs!$B$19),0)+MAX(AG609,0)*(Inputs!$B$20+Inputs!$B$22+Inputs!$B$23)+MAX(-AG609,0)*(Inputs!$B$21+Inputs!$B$22+Inputs!$B$23)</f>
        <v>0</v>
      </c>
      <c r="AI609" s="30" t="n">
        <f aca="false">AB608*(M609-AD608*J609)+AB608*AD608*N609/Inputs!$B$16-AH609</f>
        <v>0</v>
      </c>
      <c r="AJ609" s="30" t="n">
        <f aca="false">MAX(AE609,0)*(Inputs!$B$17+Inputs!$B$24+Inputs!$B$25)+MAX(-AE609,0)*(O609+Inputs!$B$24+Inputs!$B$25)+IF(AND(K609=1,AB609&lt;&gt;0),(Inputs!$B$17+Inputs!$B$24+Inputs!$B$25)+(O609+Inputs!$B$24+Inputs!$B$25),0)+MAX(AG609,0)*(Inputs!$B$20+Inputs!$B$26+Inputs!$B$27)+MAX(-AG609,0)*(Inputs!$B$21+Inputs!$B$26+Inputs!$B$27)</f>
        <v>0</v>
      </c>
      <c r="AK609" s="30" t="n">
        <f aca="false">AB608*(M609-AD608*J609)+AB608*AD608*(N609+Inputs!$B$14)/Inputs!$B$16-AJ609</f>
        <v>0</v>
      </c>
      <c r="AL609" s="30" t="n">
        <f aca="false">IF(AP608&lt;&gt;0,AQ608+1,0)</f>
        <v>0</v>
      </c>
      <c r="AM609" s="30" t="n">
        <f aca="false">IF(W609="",0,IF(AND(AP608&lt;&gt;0,OR(ABS(W609)&gt;Inputs!$B$7,AL609&gt;=Inputs!$B$8,ABS(W609)&lt;Inputs!$B$6)),1,0))</f>
        <v>0</v>
      </c>
      <c r="AN609" s="30" t="n">
        <f aca="false">IF(AM609=1,0,AP608)</f>
        <v>0</v>
      </c>
      <c r="AO609" s="30" t="n">
        <f aca="false">IF(W609="",0,IF(AND(AN609=0,ABS(W609)&gt;Inputs!$B$5,ABS(W609)&lt;=Inputs!$B$7,W609&gt;0),1,0))</f>
        <v>0</v>
      </c>
      <c r="AP609" s="30" t="n">
        <f aca="false">IF(W609="",0,IF(AO609=1,-SIGN(W609),AN609))</f>
        <v>0</v>
      </c>
      <c r="AQ609" s="30" t="n">
        <f aca="false">IF(W609="",0,IF(AO609=1,0,IF(AM609=1,0,AL609)))</f>
        <v>0</v>
      </c>
      <c r="AR609" s="30" t="n">
        <f aca="false">IF(AP609=0,0,IF(AP608=AP609,AR608,T609))</f>
        <v>0</v>
      </c>
      <c r="AS609" s="30" t="n">
        <f aca="false">AP609-AP608</f>
        <v>0</v>
      </c>
      <c r="AT609" s="30" t="n">
        <f aca="false">-AR609*AP609</f>
        <v>-0</v>
      </c>
      <c r="AU609" s="30" t="n">
        <f aca="false">AT609-AT608</f>
        <v>0</v>
      </c>
      <c r="AV609" s="30" t="n">
        <f aca="false">MAX(AS609,0)*(Inputs!$B$17+Inputs!$B$18+Inputs!$B$19)+MAX(-AS609,0)*(O609+Inputs!$B$18+Inputs!$B$19)+IF(AND(K609=1,AP609&lt;&gt;0),(Inputs!$B$17+Inputs!$B$18+Inputs!$B$19)+(O609+Inputs!$B$18+Inputs!$B$19),0)+MAX(AU609,0)*(Inputs!$B$20+Inputs!$B$22+Inputs!$B$23)+MAX(-AU609,0)*(Inputs!$B$21+Inputs!$B$22+Inputs!$B$23)</f>
        <v>0</v>
      </c>
      <c r="AW609" s="30" t="n">
        <f aca="false">AP608*(M609-AR608*J609)+AP608*AR608*N609/Inputs!$B$16-AV609</f>
        <v>0</v>
      </c>
      <c r="AX609" s="30" t="n">
        <f aca="false">AW609-IF(AP608&lt;&gt;0,0.75*AR608*(Inputs!$B$13-N609)/Inputs!$B$16,0)</f>
        <v>0</v>
      </c>
      <c r="AY609" s="30" t="n">
        <f aca="false">MAX(AS609,0)*(Inputs!$B$17+Inputs!$B$18+Inputs!$B$19)+MAX(-AS609,0)*(O609+Inputs!$B$18+Inputs!$B$19)+IF(AND(K609=1,AP609&lt;&gt;0),(Inputs!$B$17+Inputs!$B$18+Inputs!$B$19)+(O609+Inputs!$B$18+Inputs!$B$19),0)</f>
        <v>0</v>
      </c>
      <c r="AZ609" s="30" t="n">
        <f aca="false">AP608*M609-AY609</f>
        <v>0</v>
      </c>
      <c r="BA609" s="32" t="n">
        <f aca="false">BA608+AI609</f>
        <v>0.0081476582830333</v>
      </c>
      <c r="BB609" s="30" t="n">
        <f aca="false">MAX(BB608,BA609)</f>
        <v>0.0108065678336457</v>
      </c>
      <c r="BC609" s="32" t="n">
        <f aca="false">BA609-BB609</f>
        <v>-0.00265890955061237</v>
      </c>
      <c r="BD609" s="30" t="n">
        <f aca="false">A610-A609</f>
        <v>1</v>
      </c>
    </row>
    <row r="610" customFormat="false" ht="15" hidden="false" customHeight="false" outlineLevel="0" collapsed="false">
      <c r="A610" s="28" t="n">
        <v>45938</v>
      </c>
      <c r="B610" s="0" t="n">
        <v>25115</v>
      </c>
      <c r="C610" s="0" t="n">
        <v>282.48</v>
      </c>
      <c r="D610" s="29" t="n">
        <f aca="false">LN(B610)</f>
        <v>10.1312205561841</v>
      </c>
      <c r="E610" s="29" t="n">
        <f aca="false">LN(C610)</f>
        <v>5.64360775162013</v>
      </c>
      <c r="F610" s="0" t="n">
        <v>605</v>
      </c>
      <c r="G610" s="0" t="n">
        <v>20</v>
      </c>
      <c r="H610" s="29" t="n">
        <f aca="false">D610-E610</f>
        <v>4.48761280456401</v>
      </c>
      <c r="I610" s="29" t="n">
        <f aca="false">D610-D609</f>
        <v>-0.00457244897857656</v>
      </c>
      <c r="J610" s="29" t="n">
        <f aca="false">E610-E609</f>
        <v>-0.00413333215244549</v>
      </c>
      <c r="K610" s="0" t="n">
        <v>0</v>
      </c>
      <c r="L610" s="0" t="n">
        <v>0</v>
      </c>
      <c r="M610" s="29" t="n">
        <f aca="false">IF(L610=1,J610-Carry!$B$9/Inputs!$B$16,I610)</f>
        <v>-0.00457244897857656</v>
      </c>
      <c r="N610" s="0" t="n">
        <v>0.055</v>
      </c>
      <c r="O610" s="0" t="n">
        <v>0.0002</v>
      </c>
      <c r="P610" s="29" t="n">
        <f aca="false">D610-('2 Hedge ratio'!$B$6+'2 Hedge ratio'!$B$5*E610)</f>
        <v>-0.000859605115467232</v>
      </c>
      <c r="Q610" s="29" t="n">
        <f aca="false">D610-('5 Re-specification'!$B$7+'5 Re-specification'!$B$5*E610+'5 Re-specification'!$B$6*F610)</f>
        <v>0.000696974475539847</v>
      </c>
      <c r="R610" s="30" t="n">
        <f aca="false">MIN(F610,Inputs!$B$9)</f>
        <v>250</v>
      </c>
      <c r="S610" s="29" t="n">
        <f aca="true">IF(AND(F610&gt;=1,R610&gt;=Inputs!$B$10),INDEX(LINEST(OFFSET(D610,-R610,0,R610,1),OFFSET(E610,-R610,0,R610,2)),1,1),"")</f>
        <v>-4.46587987712211E-005</v>
      </c>
      <c r="T610" s="29" t="n">
        <f aca="true">IF(AND(F610&gt;=1,R610&gt;=Inputs!$B$10),INDEX(LINEST(OFFSET(D610,-R610,0,R610,1),OFFSET(E610,-R610,0,R610,2)),1,2),"")</f>
        <v>0.997303251615235</v>
      </c>
      <c r="U610" s="29" t="n">
        <f aca="true">IF(AND(F610&gt;=1,R610&gt;=Inputs!$B$10),INDEX(LINEST(OFFSET(D610,-R610,0,R610,1),OFFSET(E610,-R610,0,R610,2)),1,3),"")</f>
        <v>4.5291980676638</v>
      </c>
      <c r="V610" s="29" t="n">
        <f aca="true">IF(AND(F610&gt;=1,R610&gt;=Inputs!$B$10),SQRT(SUMPRODUCT((OFFSET(D610,-R610,0,R610,1)-U610-T610*OFFSET(E610,-R610,0,R610,1)-S610*OFFSET(F610,-R610,0,R610,1))^2)/(R610-3)),"")</f>
        <v>0.00254066978643903</v>
      </c>
      <c r="W610" s="31" t="n">
        <f aca="false">IF(AND(F610&gt;=1,R610&gt;=Inputs!$B$10),(D610-U610-T610*E610-S610*F610)/V610,"")</f>
        <v>0.256900856899441</v>
      </c>
      <c r="X610" s="30" t="n">
        <f aca="false">IF(AB609&lt;&gt;0,AC609+1,0)</f>
        <v>0</v>
      </c>
      <c r="Y610" s="30" t="n">
        <f aca="false">IF(W610="",0,IF(AND(AB609&lt;&gt;0,OR(ABS(W610)&gt;Inputs!$B$7,X610&gt;=Inputs!$B$8,ABS(W610)&lt;Inputs!$B$6)),1,0))</f>
        <v>0</v>
      </c>
      <c r="Z610" s="30" t="n">
        <f aca="false">IF(Y610=1,0,AB609)</f>
        <v>0</v>
      </c>
      <c r="AA610" s="30" t="n">
        <f aca="false">IF(W610="",0,IF(AND(Z610=0,ABS(W610)&gt;Inputs!$B$5,ABS(W610)&lt;=Inputs!$B$7),1,0))</f>
        <v>0</v>
      </c>
      <c r="AB610" s="30" t="n">
        <f aca="false">IF(W610="",0,IF(AA610=1,-SIGN(W610),Z610))</f>
        <v>0</v>
      </c>
      <c r="AC610" s="30" t="n">
        <f aca="false">IF(W610="",0,IF(AA610=1,0,IF(Y610=1,0,X610)))</f>
        <v>0</v>
      </c>
      <c r="AD610" s="30" t="n">
        <f aca="false">IF(AB610=0,0,IF(AB609=AB610,AD609,T610))</f>
        <v>0</v>
      </c>
      <c r="AE610" s="30" t="n">
        <f aca="false">AB610-AB609</f>
        <v>0</v>
      </c>
      <c r="AF610" s="30" t="n">
        <f aca="false">-AD610*AB610</f>
        <v>-0</v>
      </c>
      <c r="AG610" s="30" t="n">
        <f aca="false">AF610-AF609</f>
        <v>0</v>
      </c>
      <c r="AH610" s="30" t="n">
        <f aca="false">MAX(AE610,0)*(Inputs!$B$17+Inputs!$B$18+Inputs!$B$19)+MAX(-AE610,0)*(O610+Inputs!$B$18+Inputs!$B$19)+IF(AND(K610=1,AB610&lt;&gt;0),(Inputs!$B$17+Inputs!$B$18+Inputs!$B$19)+(O610+Inputs!$B$18+Inputs!$B$19),0)+MAX(AG610,0)*(Inputs!$B$20+Inputs!$B$22+Inputs!$B$23)+MAX(-AG610,0)*(Inputs!$B$21+Inputs!$B$22+Inputs!$B$23)</f>
        <v>0</v>
      </c>
      <c r="AI610" s="30" t="n">
        <f aca="false">AB609*(M610-AD609*J610)+AB609*AD609*N610/Inputs!$B$16-AH610</f>
        <v>0</v>
      </c>
      <c r="AJ610" s="30" t="n">
        <f aca="false">MAX(AE610,0)*(Inputs!$B$17+Inputs!$B$24+Inputs!$B$25)+MAX(-AE610,0)*(O610+Inputs!$B$24+Inputs!$B$25)+IF(AND(K610=1,AB610&lt;&gt;0),(Inputs!$B$17+Inputs!$B$24+Inputs!$B$25)+(O610+Inputs!$B$24+Inputs!$B$25),0)+MAX(AG610,0)*(Inputs!$B$20+Inputs!$B$26+Inputs!$B$27)+MAX(-AG610,0)*(Inputs!$B$21+Inputs!$B$26+Inputs!$B$27)</f>
        <v>0</v>
      </c>
      <c r="AK610" s="30" t="n">
        <f aca="false">AB609*(M610-AD609*J610)+AB609*AD609*(N610+Inputs!$B$14)/Inputs!$B$16-AJ610</f>
        <v>0</v>
      </c>
      <c r="AL610" s="30" t="n">
        <f aca="false">IF(AP609&lt;&gt;0,AQ609+1,0)</f>
        <v>0</v>
      </c>
      <c r="AM610" s="30" t="n">
        <f aca="false">IF(W610="",0,IF(AND(AP609&lt;&gt;0,OR(ABS(W610)&gt;Inputs!$B$7,AL610&gt;=Inputs!$B$8,ABS(W610)&lt;Inputs!$B$6)),1,0))</f>
        <v>0</v>
      </c>
      <c r="AN610" s="30" t="n">
        <f aca="false">IF(AM610=1,0,AP609)</f>
        <v>0</v>
      </c>
      <c r="AO610" s="30" t="n">
        <f aca="false">IF(W610="",0,IF(AND(AN610=0,ABS(W610)&gt;Inputs!$B$5,ABS(W610)&lt;=Inputs!$B$7,W610&gt;0),1,0))</f>
        <v>0</v>
      </c>
      <c r="AP610" s="30" t="n">
        <f aca="false">IF(W610="",0,IF(AO610=1,-SIGN(W610),AN610))</f>
        <v>0</v>
      </c>
      <c r="AQ610" s="30" t="n">
        <f aca="false">IF(W610="",0,IF(AO610=1,0,IF(AM610=1,0,AL610)))</f>
        <v>0</v>
      </c>
      <c r="AR610" s="30" t="n">
        <f aca="false">IF(AP610=0,0,IF(AP609=AP610,AR609,T610))</f>
        <v>0</v>
      </c>
      <c r="AS610" s="30" t="n">
        <f aca="false">AP610-AP609</f>
        <v>0</v>
      </c>
      <c r="AT610" s="30" t="n">
        <f aca="false">-AR610*AP610</f>
        <v>-0</v>
      </c>
      <c r="AU610" s="30" t="n">
        <f aca="false">AT610-AT609</f>
        <v>0</v>
      </c>
      <c r="AV610" s="30" t="n">
        <f aca="false">MAX(AS610,0)*(Inputs!$B$17+Inputs!$B$18+Inputs!$B$19)+MAX(-AS610,0)*(O610+Inputs!$B$18+Inputs!$B$19)+IF(AND(K610=1,AP610&lt;&gt;0),(Inputs!$B$17+Inputs!$B$18+Inputs!$B$19)+(O610+Inputs!$B$18+Inputs!$B$19),0)+MAX(AU610,0)*(Inputs!$B$20+Inputs!$B$22+Inputs!$B$23)+MAX(-AU610,0)*(Inputs!$B$21+Inputs!$B$22+Inputs!$B$23)</f>
        <v>0</v>
      </c>
      <c r="AW610" s="30" t="n">
        <f aca="false">AP609*(M610-AR609*J610)+AP609*AR609*N610/Inputs!$B$16-AV610</f>
        <v>0</v>
      </c>
      <c r="AX610" s="30" t="n">
        <f aca="false">AW610-IF(AP609&lt;&gt;0,0.75*AR609*(Inputs!$B$13-N610)/Inputs!$B$16,0)</f>
        <v>0</v>
      </c>
      <c r="AY610" s="30" t="n">
        <f aca="false">MAX(AS610,0)*(Inputs!$B$17+Inputs!$B$18+Inputs!$B$19)+MAX(-AS610,0)*(O610+Inputs!$B$18+Inputs!$B$19)+IF(AND(K610=1,AP610&lt;&gt;0),(Inputs!$B$17+Inputs!$B$18+Inputs!$B$19)+(O610+Inputs!$B$18+Inputs!$B$19),0)</f>
        <v>0</v>
      </c>
      <c r="AZ610" s="30" t="n">
        <f aca="false">AP609*M610-AY610</f>
        <v>-0</v>
      </c>
      <c r="BA610" s="32" t="n">
        <f aca="false">BA609+AI610</f>
        <v>0.0081476582830333</v>
      </c>
      <c r="BB610" s="30" t="n">
        <f aca="false">MAX(BB609,BA610)</f>
        <v>0.0108065678336457</v>
      </c>
      <c r="BC610" s="32" t="n">
        <f aca="false">BA610-BB610</f>
        <v>-0.00265890955061237</v>
      </c>
      <c r="BD610" s="30" t="n">
        <f aca="false">A611-A610</f>
        <v>1</v>
      </c>
    </row>
    <row r="611" customFormat="false" ht="15" hidden="false" customHeight="false" outlineLevel="0" collapsed="false">
      <c r="A611" s="28" t="n">
        <v>45939</v>
      </c>
      <c r="B611" s="0" t="n">
        <v>25275</v>
      </c>
      <c r="C611" s="0" t="n">
        <v>284.05</v>
      </c>
      <c r="D611" s="29" t="n">
        <f aca="false">LN(B611)</f>
        <v>10.1375710438887</v>
      </c>
      <c r="E611" s="29" t="n">
        <f aca="false">LN(C611)</f>
        <v>5.64915027900314</v>
      </c>
      <c r="F611" s="0" t="n">
        <v>606</v>
      </c>
      <c r="G611" s="0" t="n">
        <v>19</v>
      </c>
      <c r="H611" s="29" t="n">
        <f aca="false">D611-E611</f>
        <v>4.48842076488554</v>
      </c>
      <c r="I611" s="29" t="n">
        <f aca="false">D611-D610</f>
        <v>0.00635048770452684</v>
      </c>
      <c r="J611" s="29" t="n">
        <f aca="false">E611-E610</f>
        <v>0.00554252738300498</v>
      </c>
      <c r="K611" s="0" t="n">
        <v>0</v>
      </c>
      <c r="L611" s="0" t="n">
        <v>0</v>
      </c>
      <c r="M611" s="29" t="n">
        <f aca="false">IF(L611=1,J611-Carry!$B$9/Inputs!$B$16,I611)</f>
        <v>0.00635048770452684</v>
      </c>
      <c r="N611" s="0" t="n">
        <v>0.055</v>
      </c>
      <c r="O611" s="0" t="n">
        <v>0.0002</v>
      </c>
      <c r="P611" s="29" t="n">
        <f aca="false">D611-('2 Hedge ratio'!$B$6+'2 Hedge ratio'!$B$5*E611)</f>
        <v>0.000413224939629586</v>
      </c>
      <c r="Q611" s="29" t="n">
        <f aca="false">D611-('5 Re-specification'!$B$7+'5 Re-specification'!$B$5*E611+'5 Re-specification'!$B$6*F611)</f>
        <v>0.00156666074451017</v>
      </c>
      <c r="R611" s="30" t="n">
        <f aca="false">MIN(F611,Inputs!$B$9)</f>
        <v>250</v>
      </c>
      <c r="S611" s="29" t="n">
        <f aca="true">IF(AND(F611&gt;=1,R611&gt;=Inputs!$B$10),INDEX(LINEST(OFFSET(D611,-R611,0,R611,1),OFFSET(E611,-R611,0,R611,2)),1,1),"")</f>
        <v>-4.47702453274604E-005</v>
      </c>
      <c r="T611" s="29" t="n">
        <f aca="true">IF(AND(F611&gt;=1,R611&gt;=Inputs!$B$10),INDEX(LINEST(OFFSET(D611,-R611,0,R611,1),OFFSET(E611,-R611,0,R611,2)),1,2),"")</f>
        <v>0.997583132814073</v>
      </c>
      <c r="U611" s="29" t="n">
        <f aca="true">IF(AND(F611&gt;=1,R611&gt;=Inputs!$B$10),INDEX(LINEST(OFFSET(D611,-R611,0,R611,1),OFFSET(E611,-R611,0,R611,2)),1,3),"")</f>
        <v>4.52768982948281</v>
      </c>
      <c r="V611" s="29" t="n">
        <f aca="true">IF(AND(F611&gt;=1,R611&gt;=Inputs!$B$10),SQRT(SUMPRODUCT((OFFSET(D611,-R611,0,R611,1)-U611-T611*OFFSET(E611,-R611,0,R611,1)-S611*OFFSET(F611,-R611,0,R611,1))^2)/(R611-3)),"")</f>
        <v>0.00254013814465742</v>
      </c>
      <c r="W611" s="31" t="n">
        <f aca="false">IF(AND(F611&gt;=1,R611&gt;=Inputs!$B$10),(D611-U611-T611*E611-S611*F611)/V611,"")</f>
        <v>0.596404574312327</v>
      </c>
      <c r="X611" s="30" t="n">
        <f aca="false">IF(AB610&lt;&gt;0,AC610+1,0)</f>
        <v>0</v>
      </c>
      <c r="Y611" s="30" t="n">
        <f aca="false">IF(W611="",0,IF(AND(AB610&lt;&gt;0,OR(ABS(W611)&gt;Inputs!$B$7,X611&gt;=Inputs!$B$8,ABS(W611)&lt;Inputs!$B$6)),1,0))</f>
        <v>0</v>
      </c>
      <c r="Z611" s="30" t="n">
        <f aca="false">IF(Y611=1,0,AB610)</f>
        <v>0</v>
      </c>
      <c r="AA611" s="30" t="n">
        <f aca="false">IF(W611="",0,IF(AND(Z611=0,ABS(W611)&gt;Inputs!$B$5,ABS(W611)&lt;=Inputs!$B$7),1,0))</f>
        <v>0</v>
      </c>
      <c r="AB611" s="30" t="n">
        <f aca="false">IF(W611="",0,IF(AA611=1,-SIGN(W611),Z611))</f>
        <v>0</v>
      </c>
      <c r="AC611" s="30" t="n">
        <f aca="false">IF(W611="",0,IF(AA611=1,0,IF(Y611=1,0,X611)))</f>
        <v>0</v>
      </c>
      <c r="AD611" s="30" t="n">
        <f aca="false">IF(AB611=0,0,IF(AB610=AB611,AD610,T611))</f>
        <v>0</v>
      </c>
      <c r="AE611" s="30" t="n">
        <f aca="false">AB611-AB610</f>
        <v>0</v>
      </c>
      <c r="AF611" s="30" t="n">
        <f aca="false">-AD611*AB611</f>
        <v>-0</v>
      </c>
      <c r="AG611" s="30" t="n">
        <f aca="false">AF611-AF610</f>
        <v>0</v>
      </c>
      <c r="AH611" s="30" t="n">
        <f aca="false">MAX(AE611,0)*(Inputs!$B$17+Inputs!$B$18+Inputs!$B$19)+MAX(-AE611,0)*(O611+Inputs!$B$18+Inputs!$B$19)+IF(AND(K611=1,AB611&lt;&gt;0),(Inputs!$B$17+Inputs!$B$18+Inputs!$B$19)+(O611+Inputs!$B$18+Inputs!$B$19),0)+MAX(AG611,0)*(Inputs!$B$20+Inputs!$B$22+Inputs!$B$23)+MAX(-AG611,0)*(Inputs!$B$21+Inputs!$B$22+Inputs!$B$23)</f>
        <v>0</v>
      </c>
      <c r="AI611" s="30" t="n">
        <f aca="false">AB610*(M611-AD610*J611)+AB610*AD610*N611/Inputs!$B$16-AH611</f>
        <v>0</v>
      </c>
      <c r="AJ611" s="30" t="n">
        <f aca="false">MAX(AE611,0)*(Inputs!$B$17+Inputs!$B$24+Inputs!$B$25)+MAX(-AE611,0)*(O611+Inputs!$B$24+Inputs!$B$25)+IF(AND(K611=1,AB611&lt;&gt;0),(Inputs!$B$17+Inputs!$B$24+Inputs!$B$25)+(O611+Inputs!$B$24+Inputs!$B$25),0)+MAX(AG611,0)*(Inputs!$B$20+Inputs!$B$26+Inputs!$B$27)+MAX(-AG611,0)*(Inputs!$B$21+Inputs!$B$26+Inputs!$B$27)</f>
        <v>0</v>
      </c>
      <c r="AK611" s="30" t="n">
        <f aca="false">AB610*(M611-AD610*J611)+AB610*AD610*(N611+Inputs!$B$14)/Inputs!$B$16-AJ611</f>
        <v>0</v>
      </c>
      <c r="AL611" s="30" t="n">
        <f aca="false">IF(AP610&lt;&gt;0,AQ610+1,0)</f>
        <v>0</v>
      </c>
      <c r="AM611" s="30" t="n">
        <f aca="false">IF(W611="",0,IF(AND(AP610&lt;&gt;0,OR(ABS(W611)&gt;Inputs!$B$7,AL611&gt;=Inputs!$B$8,ABS(W611)&lt;Inputs!$B$6)),1,0))</f>
        <v>0</v>
      </c>
      <c r="AN611" s="30" t="n">
        <f aca="false">IF(AM611=1,0,AP610)</f>
        <v>0</v>
      </c>
      <c r="AO611" s="30" t="n">
        <f aca="false">IF(W611="",0,IF(AND(AN611=0,ABS(W611)&gt;Inputs!$B$5,ABS(W611)&lt;=Inputs!$B$7,W611&gt;0),1,0))</f>
        <v>0</v>
      </c>
      <c r="AP611" s="30" t="n">
        <f aca="false">IF(W611="",0,IF(AO611=1,-SIGN(W611),AN611))</f>
        <v>0</v>
      </c>
      <c r="AQ611" s="30" t="n">
        <f aca="false">IF(W611="",0,IF(AO611=1,0,IF(AM611=1,0,AL611)))</f>
        <v>0</v>
      </c>
      <c r="AR611" s="30" t="n">
        <f aca="false">IF(AP611=0,0,IF(AP610=AP611,AR610,T611))</f>
        <v>0</v>
      </c>
      <c r="AS611" s="30" t="n">
        <f aca="false">AP611-AP610</f>
        <v>0</v>
      </c>
      <c r="AT611" s="30" t="n">
        <f aca="false">-AR611*AP611</f>
        <v>-0</v>
      </c>
      <c r="AU611" s="30" t="n">
        <f aca="false">AT611-AT610</f>
        <v>0</v>
      </c>
      <c r="AV611" s="30" t="n">
        <f aca="false">MAX(AS611,0)*(Inputs!$B$17+Inputs!$B$18+Inputs!$B$19)+MAX(-AS611,0)*(O611+Inputs!$B$18+Inputs!$B$19)+IF(AND(K611=1,AP611&lt;&gt;0),(Inputs!$B$17+Inputs!$B$18+Inputs!$B$19)+(O611+Inputs!$B$18+Inputs!$B$19),0)+MAX(AU611,0)*(Inputs!$B$20+Inputs!$B$22+Inputs!$B$23)+MAX(-AU611,0)*(Inputs!$B$21+Inputs!$B$22+Inputs!$B$23)</f>
        <v>0</v>
      </c>
      <c r="AW611" s="30" t="n">
        <f aca="false">AP610*(M611-AR610*J611)+AP610*AR610*N611/Inputs!$B$16-AV611</f>
        <v>0</v>
      </c>
      <c r="AX611" s="30" t="n">
        <f aca="false">AW611-IF(AP610&lt;&gt;0,0.75*AR610*(Inputs!$B$13-N611)/Inputs!$B$16,0)</f>
        <v>0</v>
      </c>
      <c r="AY611" s="30" t="n">
        <f aca="false">MAX(AS611,0)*(Inputs!$B$17+Inputs!$B$18+Inputs!$B$19)+MAX(-AS611,0)*(O611+Inputs!$B$18+Inputs!$B$19)+IF(AND(K611=1,AP611&lt;&gt;0),(Inputs!$B$17+Inputs!$B$18+Inputs!$B$19)+(O611+Inputs!$B$18+Inputs!$B$19),0)</f>
        <v>0</v>
      </c>
      <c r="AZ611" s="30" t="n">
        <f aca="false">AP610*M611-AY611</f>
        <v>0</v>
      </c>
      <c r="BA611" s="32" t="n">
        <f aca="false">BA610+AI611</f>
        <v>0.0081476582830333</v>
      </c>
      <c r="BB611" s="30" t="n">
        <f aca="false">MAX(BB610,BA611)</f>
        <v>0.0108065678336457</v>
      </c>
      <c r="BC611" s="32" t="n">
        <f aca="false">BA611-BB611</f>
        <v>-0.00265890955061237</v>
      </c>
      <c r="BD611" s="30" t="n">
        <f aca="false">A612-A611</f>
        <v>1</v>
      </c>
    </row>
    <row r="612" customFormat="false" ht="15" hidden="false" customHeight="false" outlineLevel="0" collapsed="false">
      <c r="A612" s="28" t="n">
        <v>45940</v>
      </c>
      <c r="B612" s="0" t="n">
        <v>25415</v>
      </c>
      <c r="C612" s="0" t="n">
        <v>285.37</v>
      </c>
      <c r="D612" s="29" t="n">
        <f aca="false">LN(B612)</f>
        <v>10.143094829881</v>
      </c>
      <c r="E612" s="29" t="n">
        <f aca="false">LN(C612)</f>
        <v>5.65378658389051</v>
      </c>
      <c r="F612" s="0" t="n">
        <v>607</v>
      </c>
      <c r="G612" s="0" t="n">
        <v>18</v>
      </c>
      <c r="H612" s="29" t="n">
        <f aca="false">D612-E612</f>
        <v>4.48930824599049</v>
      </c>
      <c r="I612" s="29" t="n">
        <f aca="false">D612-D611</f>
        <v>0.00552378599233094</v>
      </c>
      <c r="J612" s="29" t="n">
        <f aca="false">E612-E611</f>
        <v>0.00463630488737543</v>
      </c>
      <c r="K612" s="0" t="n">
        <v>0</v>
      </c>
      <c r="L612" s="0" t="n">
        <v>0</v>
      </c>
      <c r="M612" s="29" t="n">
        <f aca="false">IF(L612=1,J612-Carry!$B$9/Inputs!$B$16,I612)</f>
        <v>0.00552378599233094</v>
      </c>
      <c r="N612" s="0" t="n">
        <v>0.055</v>
      </c>
      <c r="O612" s="0" t="n">
        <v>0.0002</v>
      </c>
      <c r="P612" s="29" t="n">
        <f aca="false">D612-('2 Hedge ratio'!$B$6+'2 Hedge ratio'!$B$5*E612)</f>
        <v>0.00168956796060904</v>
      </c>
      <c r="Q612" s="29" t="n">
        <f aca="false">D612-('5 Re-specification'!$B$7+'5 Re-specification'!$B$5*E612+'5 Re-specification'!$B$6*F612)</f>
        <v>0.00251312148962235</v>
      </c>
      <c r="R612" s="30" t="n">
        <f aca="false">MIN(F612,Inputs!$B$9)</f>
        <v>250</v>
      </c>
      <c r="S612" s="29" t="n">
        <f aca="true">IF(AND(F612&gt;=1,R612&gt;=Inputs!$B$10),INDEX(LINEST(OFFSET(D612,-R612,0,R612,1),OFFSET(E612,-R612,0,R612,2)),1,1),"")</f>
        <v>-4.5012930146968E-005</v>
      </c>
      <c r="T612" s="29" t="n">
        <f aca="true">IF(AND(F612&gt;=1,R612&gt;=Inputs!$B$10),INDEX(LINEST(OFFSET(D612,-R612,0,R612,1),OFFSET(E612,-R612,0,R612,2)),1,2),"")</f>
        <v>0.998192770652537</v>
      </c>
      <c r="U612" s="29" t="n">
        <f aca="true">IF(AND(F612&gt;=1,R612&gt;=Inputs!$B$10),INDEX(LINEST(OFFSET(D612,-R612,0,R612,1),OFFSET(E612,-R612,0,R612,2)),1,3),"")</f>
        <v>4.52440531349618</v>
      </c>
      <c r="V612" s="29" t="n">
        <f aca="true">IF(AND(F612&gt;=1,R612&gt;=Inputs!$B$10),SQRT(SUMPRODUCT((OFFSET(D612,-R612,0,R612,1)-U612-T612*OFFSET(E612,-R612,0,R612,1)-S612*OFFSET(F612,-R612,0,R612,1))^2)/(R612-3)),"")</f>
        <v>0.00253765603927504</v>
      </c>
      <c r="W612" s="31" t="n">
        <f aca="false">IF(AND(F612&gt;=1,R612&gt;=Inputs!$B$10),(D612-U612-T612*E612-S612*F612)/V612,"")</f>
        <v>0.96288468350529</v>
      </c>
      <c r="X612" s="30" t="n">
        <f aca="false">IF(AB611&lt;&gt;0,AC611+1,0)</f>
        <v>0</v>
      </c>
      <c r="Y612" s="30" t="n">
        <f aca="false">IF(W612="",0,IF(AND(AB611&lt;&gt;0,OR(ABS(W612)&gt;Inputs!$B$7,X612&gt;=Inputs!$B$8,ABS(W612)&lt;Inputs!$B$6)),1,0))</f>
        <v>0</v>
      </c>
      <c r="Z612" s="30" t="n">
        <f aca="false">IF(Y612=1,0,AB611)</f>
        <v>0</v>
      </c>
      <c r="AA612" s="30" t="n">
        <f aca="false">IF(W612="",0,IF(AND(Z612=0,ABS(W612)&gt;Inputs!$B$5,ABS(W612)&lt;=Inputs!$B$7),1,0))</f>
        <v>0</v>
      </c>
      <c r="AB612" s="30" t="n">
        <f aca="false">IF(W612="",0,IF(AA612=1,-SIGN(W612),Z612))</f>
        <v>0</v>
      </c>
      <c r="AC612" s="30" t="n">
        <f aca="false">IF(W612="",0,IF(AA612=1,0,IF(Y612=1,0,X612)))</f>
        <v>0</v>
      </c>
      <c r="AD612" s="30" t="n">
        <f aca="false">IF(AB612=0,0,IF(AB611=AB612,AD611,T612))</f>
        <v>0</v>
      </c>
      <c r="AE612" s="30" t="n">
        <f aca="false">AB612-AB611</f>
        <v>0</v>
      </c>
      <c r="AF612" s="30" t="n">
        <f aca="false">-AD612*AB612</f>
        <v>-0</v>
      </c>
      <c r="AG612" s="30" t="n">
        <f aca="false">AF612-AF611</f>
        <v>0</v>
      </c>
      <c r="AH612" s="30" t="n">
        <f aca="false">MAX(AE612,0)*(Inputs!$B$17+Inputs!$B$18+Inputs!$B$19)+MAX(-AE612,0)*(O612+Inputs!$B$18+Inputs!$B$19)+IF(AND(K612=1,AB612&lt;&gt;0),(Inputs!$B$17+Inputs!$B$18+Inputs!$B$19)+(O612+Inputs!$B$18+Inputs!$B$19),0)+MAX(AG612,0)*(Inputs!$B$20+Inputs!$B$22+Inputs!$B$23)+MAX(-AG612,0)*(Inputs!$B$21+Inputs!$B$22+Inputs!$B$23)</f>
        <v>0</v>
      </c>
      <c r="AI612" s="30" t="n">
        <f aca="false">AB611*(M612-AD611*J612)+AB611*AD611*N612/Inputs!$B$16-AH612</f>
        <v>0</v>
      </c>
      <c r="AJ612" s="30" t="n">
        <f aca="false">MAX(AE612,0)*(Inputs!$B$17+Inputs!$B$24+Inputs!$B$25)+MAX(-AE612,0)*(O612+Inputs!$B$24+Inputs!$B$25)+IF(AND(K612=1,AB612&lt;&gt;0),(Inputs!$B$17+Inputs!$B$24+Inputs!$B$25)+(O612+Inputs!$B$24+Inputs!$B$25),0)+MAX(AG612,0)*(Inputs!$B$20+Inputs!$B$26+Inputs!$B$27)+MAX(-AG612,0)*(Inputs!$B$21+Inputs!$B$26+Inputs!$B$27)</f>
        <v>0</v>
      </c>
      <c r="AK612" s="30" t="n">
        <f aca="false">AB611*(M612-AD611*J612)+AB611*AD611*(N612+Inputs!$B$14)/Inputs!$B$16-AJ612</f>
        <v>0</v>
      </c>
      <c r="AL612" s="30" t="n">
        <f aca="false">IF(AP611&lt;&gt;0,AQ611+1,0)</f>
        <v>0</v>
      </c>
      <c r="AM612" s="30" t="n">
        <f aca="false">IF(W612="",0,IF(AND(AP611&lt;&gt;0,OR(ABS(W612)&gt;Inputs!$B$7,AL612&gt;=Inputs!$B$8,ABS(W612)&lt;Inputs!$B$6)),1,0))</f>
        <v>0</v>
      </c>
      <c r="AN612" s="30" t="n">
        <f aca="false">IF(AM612=1,0,AP611)</f>
        <v>0</v>
      </c>
      <c r="AO612" s="30" t="n">
        <f aca="false">IF(W612="",0,IF(AND(AN612=0,ABS(W612)&gt;Inputs!$B$5,ABS(W612)&lt;=Inputs!$B$7,W612&gt;0),1,0))</f>
        <v>0</v>
      </c>
      <c r="AP612" s="30" t="n">
        <f aca="false">IF(W612="",0,IF(AO612=1,-SIGN(W612),AN612))</f>
        <v>0</v>
      </c>
      <c r="AQ612" s="30" t="n">
        <f aca="false">IF(W612="",0,IF(AO612=1,0,IF(AM612=1,0,AL612)))</f>
        <v>0</v>
      </c>
      <c r="AR612" s="30" t="n">
        <f aca="false">IF(AP612=0,0,IF(AP611=AP612,AR611,T612))</f>
        <v>0</v>
      </c>
      <c r="AS612" s="30" t="n">
        <f aca="false">AP612-AP611</f>
        <v>0</v>
      </c>
      <c r="AT612" s="30" t="n">
        <f aca="false">-AR612*AP612</f>
        <v>-0</v>
      </c>
      <c r="AU612" s="30" t="n">
        <f aca="false">AT612-AT611</f>
        <v>0</v>
      </c>
      <c r="AV612" s="30" t="n">
        <f aca="false">MAX(AS612,0)*(Inputs!$B$17+Inputs!$B$18+Inputs!$B$19)+MAX(-AS612,0)*(O612+Inputs!$B$18+Inputs!$B$19)+IF(AND(K612=1,AP612&lt;&gt;0),(Inputs!$B$17+Inputs!$B$18+Inputs!$B$19)+(O612+Inputs!$B$18+Inputs!$B$19),0)+MAX(AU612,0)*(Inputs!$B$20+Inputs!$B$22+Inputs!$B$23)+MAX(-AU612,0)*(Inputs!$B$21+Inputs!$B$22+Inputs!$B$23)</f>
        <v>0</v>
      </c>
      <c r="AW612" s="30" t="n">
        <f aca="false">AP611*(M612-AR611*J612)+AP611*AR611*N612/Inputs!$B$16-AV612</f>
        <v>0</v>
      </c>
      <c r="AX612" s="30" t="n">
        <f aca="false">AW612-IF(AP611&lt;&gt;0,0.75*AR611*(Inputs!$B$13-N612)/Inputs!$B$16,0)</f>
        <v>0</v>
      </c>
      <c r="AY612" s="30" t="n">
        <f aca="false">MAX(AS612,0)*(Inputs!$B$17+Inputs!$B$18+Inputs!$B$19)+MAX(-AS612,0)*(O612+Inputs!$B$18+Inputs!$B$19)+IF(AND(K612=1,AP612&lt;&gt;0),(Inputs!$B$17+Inputs!$B$18+Inputs!$B$19)+(O612+Inputs!$B$18+Inputs!$B$19),0)</f>
        <v>0</v>
      </c>
      <c r="AZ612" s="30" t="n">
        <f aca="false">AP611*M612-AY612</f>
        <v>0</v>
      </c>
      <c r="BA612" s="32" t="n">
        <f aca="false">BA611+AI612</f>
        <v>0.0081476582830333</v>
      </c>
      <c r="BB612" s="30" t="n">
        <f aca="false">MAX(BB611,BA612)</f>
        <v>0.0108065678336457</v>
      </c>
      <c r="BC612" s="32" t="n">
        <f aca="false">BA612-BB612</f>
        <v>-0.00265890955061237</v>
      </c>
      <c r="BD612" s="30" t="n">
        <f aca="false">A613-A612</f>
        <v>3</v>
      </c>
    </row>
    <row r="613" customFormat="false" ht="15" hidden="false" customHeight="false" outlineLevel="0" collapsed="false">
      <c r="A613" s="28" t="n">
        <v>45943</v>
      </c>
      <c r="B613" s="0" t="n">
        <v>25322</v>
      </c>
      <c r="C613" s="0" t="n">
        <v>284.86</v>
      </c>
      <c r="D613" s="29" t="n">
        <f aca="false">LN(B613)</f>
        <v>10.1394288620802</v>
      </c>
      <c r="E613" s="29" t="n">
        <f aca="false">LN(C613)</f>
        <v>5.65199783150644</v>
      </c>
      <c r="F613" s="0" t="n">
        <v>608</v>
      </c>
      <c r="G613" s="0" t="n">
        <v>15</v>
      </c>
      <c r="H613" s="29" t="n">
        <f aca="false">D613-E613</f>
        <v>4.48743103057376</v>
      </c>
      <c r="I613" s="29" t="n">
        <f aca="false">D613-D612</f>
        <v>-0.00366596780080464</v>
      </c>
      <c r="J613" s="29" t="n">
        <f aca="false">E613-E612</f>
        <v>-0.00178875238407095</v>
      </c>
      <c r="K613" s="0" t="n">
        <v>0</v>
      </c>
      <c r="L613" s="0" t="n">
        <v>0</v>
      </c>
      <c r="M613" s="29" t="n">
        <f aca="false">IF(L613=1,J613-Carry!$B$9/Inputs!$B$16,I613)</f>
        <v>-0.00366596780080464</v>
      </c>
      <c r="N613" s="0" t="n">
        <v>0.055</v>
      </c>
      <c r="O613" s="0" t="n">
        <v>0.0002</v>
      </c>
      <c r="P613" s="29" t="n">
        <f aca="false">D613-('2 Hedge ratio'!$B$6+'2 Hedge ratio'!$B$5*E613)</f>
        <v>-0.000337675915481839</v>
      </c>
      <c r="Q613" s="29" t="n">
        <f aca="false">D613-('5 Re-specification'!$B$7+'5 Re-specification'!$B$5*E613+'5 Re-specification'!$B$6*F613)</f>
        <v>0.000675414576846833</v>
      </c>
      <c r="R613" s="30" t="n">
        <f aca="false">MIN(F613,Inputs!$B$9)</f>
        <v>250</v>
      </c>
      <c r="S613" s="29" t="n">
        <f aca="true">IF(AND(F613&gt;=1,R613&gt;=Inputs!$B$10),INDEX(LINEST(OFFSET(D613,-R613,0,R613,1),OFFSET(E613,-R613,0,R613,2)),1,1),"")</f>
        <v>-4.45939225992525E-005</v>
      </c>
      <c r="T613" s="29" t="n">
        <f aca="true">IF(AND(F613&gt;=1,R613&gt;=Inputs!$B$10),INDEX(LINEST(OFFSET(D613,-R613,0,R613,1),OFFSET(E613,-R613,0,R613,2)),1,2),"")</f>
        <v>0.997992731525273</v>
      </c>
      <c r="U613" s="29" t="n">
        <f aca="true">IF(AND(F613&gt;=1,R613&gt;=Inputs!$B$10),INDEX(LINEST(OFFSET(D613,-R613,0,R613,1),OFFSET(E613,-R613,0,R613,2)),1,3),"")</f>
        <v>4.52532865161529</v>
      </c>
      <c r="V613" s="29" t="n">
        <f aca="true">IF(AND(F613&gt;=1,R613&gt;=Inputs!$B$10),SQRT(SUMPRODUCT((OFFSET(D613,-R613,0,R613,1)-U613-T613*OFFSET(E613,-R613,0,R613,1)-S613*OFFSET(F613,-R613,0,R613,1))^2)/(R613-3)),"")</f>
        <v>0.00254083578023031</v>
      </c>
      <c r="W613" s="31" t="n">
        <f aca="false">IF(AND(F613&gt;=1,R613&gt;=Inputs!$B$10),(D613-U613-T613*E613-S613*F613)/V613,"")</f>
        <v>0.22062069874235</v>
      </c>
      <c r="X613" s="30" t="n">
        <f aca="false">IF(AB612&lt;&gt;0,AC612+1,0)</f>
        <v>0</v>
      </c>
      <c r="Y613" s="30" t="n">
        <f aca="false">IF(W613="",0,IF(AND(AB612&lt;&gt;0,OR(ABS(W613)&gt;Inputs!$B$7,X613&gt;=Inputs!$B$8,ABS(W613)&lt;Inputs!$B$6)),1,0))</f>
        <v>0</v>
      </c>
      <c r="Z613" s="30" t="n">
        <f aca="false">IF(Y613=1,0,AB612)</f>
        <v>0</v>
      </c>
      <c r="AA613" s="30" t="n">
        <f aca="false">IF(W613="",0,IF(AND(Z613=0,ABS(W613)&gt;Inputs!$B$5,ABS(W613)&lt;=Inputs!$B$7),1,0))</f>
        <v>0</v>
      </c>
      <c r="AB613" s="30" t="n">
        <f aca="false">IF(W613="",0,IF(AA613=1,-SIGN(W613),Z613))</f>
        <v>0</v>
      </c>
      <c r="AC613" s="30" t="n">
        <f aca="false">IF(W613="",0,IF(AA613=1,0,IF(Y613=1,0,X613)))</f>
        <v>0</v>
      </c>
      <c r="AD613" s="30" t="n">
        <f aca="false">IF(AB613=0,0,IF(AB612=AB613,AD612,T613))</f>
        <v>0</v>
      </c>
      <c r="AE613" s="30" t="n">
        <f aca="false">AB613-AB612</f>
        <v>0</v>
      </c>
      <c r="AF613" s="30" t="n">
        <f aca="false">-AD613*AB613</f>
        <v>-0</v>
      </c>
      <c r="AG613" s="30" t="n">
        <f aca="false">AF613-AF612</f>
        <v>0</v>
      </c>
      <c r="AH613" s="30" t="n">
        <f aca="false">MAX(AE613,0)*(Inputs!$B$17+Inputs!$B$18+Inputs!$B$19)+MAX(-AE613,0)*(O613+Inputs!$B$18+Inputs!$B$19)+IF(AND(K613=1,AB613&lt;&gt;0),(Inputs!$B$17+Inputs!$B$18+Inputs!$B$19)+(O613+Inputs!$B$18+Inputs!$B$19),0)+MAX(AG613,0)*(Inputs!$B$20+Inputs!$B$22+Inputs!$B$23)+MAX(-AG613,0)*(Inputs!$B$21+Inputs!$B$22+Inputs!$B$23)</f>
        <v>0</v>
      </c>
      <c r="AI613" s="30" t="n">
        <f aca="false">AB612*(M613-AD612*J613)+AB612*AD612*N613/Inputs!$B$16-AH613</f>
        <v>0</v>
      </c>
      <c r="AJ613" s="30" t="n">
        <f aca="false">MAX(AE613,0)*(Inputs!$B$17+Inputs!$B$24+Inputs!$B$25)+MAX(-AE613,0)*(O613+Inputs!$B$24+Inputs!$B$25)+IF(AND(K613=1,AB613&lt;&gt;0),(Inputs!$B$17+Inputs!$B$24+Inputs!$B$25)+(O613+Inputs!$B$24+Inputs!$B$25),0)+MAX(AG613,0)*(Inputs!$B$20+Inputs!$B$26+Inputs!$B$27)+MAX(-AG613,0)*(Inputs!$B$21+Inputs!$B$26+Inputs!$B$27)</f>
        <v>0</v>
      </c>
      <c r="AK613" s="30" t="n">
        <f aca="false">AB612*(M613-AD612*J613)+AB612*AD612*(N613+Inputs!$B$14)/Inputs!$B$16-AJ613</f>
        <v>0</v>
      </c>
      <c r="AL613" s="30" t="n">
        <f aca="false">IF(AP612&lt;&gt;0,AQ612+1,0)</f>
        <v>0</v>
      </c>
      <c r="AM613" s="30" t="n">
        <f aca="false">IF(W613="",0,IF(AND(AP612&lt;&gt;0,OR(ABS(W613)&gt;Inputs!$B$7,AL613&gt;=Inputs!$B$8,ABS(W613)&lt;Inputs!$B$6)),1,0))</f>
        <v>0</v>
      </c>
      <c r="AN613" s="30" t="n">
        <f aca="false">IF(AM613=1,0,AP612)</f>
        <v>0</v>
      </c>
      <c r="AO613" s="30" t="n">
        <f aca="false">IF(W613="",0,IF(AND(AN613=0,ABS(W613)&gt;Inputs!$B$5,ABS(W613)&lt;=Inputs!$B$7,W613&gt;0),1,0))</f>
        <v>0</v>
      </c>
      <c r="AP613" s="30" t="n">
        <f aca="false">IF(W613="",0,IF(AO613=1,-SIGN(W613),AN613))</f>
        <v>0</v>
      </c>
      <c r="AQ613" s="30" t="n">
        <f aca="false">IF(W613="",0,IF(AO613=1,0,IF(AM613=1,0,AL613)))</f>
        <v>0</v>
      </c>
      <c r="AR613" s="30" t="n">
        <f aca="false">IF(AP613=0,0,IF(AP612=AP613,AR612,T613))</f>
        <v>0</v>
      </c>
      <c r="AS613" s="30" t="n">
        <f aca="false">AP613-AP612</f>
        <v>0</v>
      </c>
      <c r="AT613" s="30" t="n">
        <f aca="false">-AR613*AP613</f>
        <v>-0</v>
      </c>
      <c r="AU613" s="30" t="n">
        <f aca="false">AT613-AT612</f>
        <v>0</v>
      </c>
      <c r="AV613" s="30" t="n">
        <f aca="false">MAX(AS613,0)*(Inputs!$B$17+Inputs!$B$18+Inputs!$B$19)+MAX(-AS613,0)*(O613+Inputs!$B$18+Inputs!$B$19)+IF(AND(K613=1,AP613&lt;&gt;0),(Inputs!$B$17+Inputs!$B$18+Inputs!$B$19)+(O613+Inputs!$B$18+Inputs!$B$19),0)+MAX(AU613,0)*(Inputs!$B$20+Inputs!$B$22+Inputs!$B$23)+MAX(-AU613,0)*(Inputs!$B$21+Inputs!$B$22+Inputs!$B$23)</f>
        <v>0</v>
      </c>
      <c r="AW613" s="30" t="n">
        <f aca="false">AP612*(M613-AR612*J613)+AP612*AR612*N613/Inputs!$B$16-AV613</f>
        <v>0</v>
      </c>
      <c r="AX613" s="30" t="n">
        <f aca="false">AW613-IF(AP612&lt;&gt;0,0.75*AR612*(Inputs!$B$13-N613)/Inputs!$B$16,0)</f>
        <v>0</v>
      </c>
      <c r="AY613" s="30" t="n">
        <f aca="false">MAX(AS613,0)*(Inputs!$B$17+Inputs!$B$18+Inputs!$B$19)+MAX(-AS613,0)*(O613+Inputs!$B$18+Inputs!$B$19)+IF(AND(K613=1,AP613&lt;&gt;0),(Inputs!$B$17+Inputs!$B$18+Inputs!$B$19)+(O613+Inputs!$B$18+Inputs!$B$19),0)</f>
        <v>0</v>
      </c>
      <c r="AZ613" s="30" t="n">
        <f aca="false">AP612*M613-AY613</f>
        <v>-0</v>
      </c>
      <c r="BA613" s="32" t="n">
        <f aca="false">BA612+AI613</f>
        <v>0.0081476582830333</v>
      </c>
      <c r="BB613" s="30" t="n">
        <f aca="false">MAX(BB612,BA613)</f>
        <v>0.0108065678336457</v>
      </c>
      <c r="BC613" s="32" t="n">
        <f aca="false">BA613-BB613</f>
        <v>-0.00265890955061237</v>
      </c>
      <c r="BD613" s="30" t="n">
        <f aca="false">A614-A613</f>
        <v>1</v>
      </c>
    </row>
    <row r="614" customFormat="false" ht="15" hidden="false" customHeight="false" outlineLevel="0" collapsed="false">
      <c r="A614" s="28" t="n">
        <v>45944</v>
      </c>
      <c r="B614" s="0" t="n">
        <v>25190</v>
      </c>
      <c r="C614" s="0" t="n">
        <v>283.65</v>
      </c>
      <c r="D614" s="29" t="n">
        <f aca="false">LN(B614)</f>
        <v>10.1342023693467</v>
      </c>
      <c r="E614" s="29" t="n">
        <f aca="false">LN(C614)</f>
        <v>5.64774108377258</v>
      </c>
      <c r="F614" s="0" t="n">
        <v>609</v>
      </c>
      <c r="G614" s="0" t="n">
        <v>14</v>
      </c>
      <c r="H614" s="29" t="n">
        <f aca="false">D614-E614</f>
        <v>4.48646128557408</v>
      </c>
      <c r="I614" s="29" t="n">
        <f aca="false">D614-D613</f>
        <v>-0.00522649273354148</v>
      </c>
      <c r="J614" s="29" t="n">
        <f aca="false">E614-E613</f>
        <v>-0.00425674773386398</v>
      </c>
      <c r="K614" s="0" t="n">
        <v>0</v>
      </c>
      <c r="L614" s="0" t="n">
        <v>0</v>
      </c>
      <c r="M614" s="29" t="n">
        <f aca="false">IF(L614=1,J614-Carry!$B$9/Inputs!$B$16,I614)</f>
        <v>-0.00522649273354148</v>
      </c>
      <c r="N614" s="0" t="n">
        <v>0.055</v>
      </c>
      <c r="O614" s="0" t="n">
        <v>0.0002</v>
      </c>
      <c r="P614" s="29" t="n">
        <f aca="false">D614-('2 Hedge ratio'!$B$6+'2 Hedge ratio'!$B$5*E614)</f>
        <v>-0.00166444814266598</v>
      </c>
      <c r="Q614" s="29" t="n">
        <f aca="false">D614-('5 Re-specification'!$B$7+'5 Re-specification'!$B$5*E614+'5 Re-specification'!$B$6*F614)</f>
        <v>-0.000262301178830526</v>
      </c>
      <c r="R614" s="30" t="n">
        <f aca="false">MIN(F614,Inputs!$B$9)</f>
        <v>250</v>
      </c>
      <c r="S614" s="29" t="n">
        <f aca="true">IF(AND(F614&gt;=1,R614&gt;=Inputs!$B$10),INDEX(LINEST(OFFSET(D614,-R614,0,R614,1),OFFSET(E614,-R614,0,R614,2)),1,1),"")</f>
        <v>-4.44877762881368E-005</v>
      </c>
      <c r="T614" s="29" t="n">
        <f aca="true">IF(AND(F614&gt;=1,R614&gt;=Inputs!$B$10),INDEX(LINEST(OFFSET(D614,-R614,0,R614,1),OFFSET(E614,-R614,0,R614,2)),1,2),"")</f>
        <v>0.997927583833404</v>
      </c>
      <c r="U614" s="29" t="n">
        <f aca="true">IF(AND(F614&gt;=1,R614&gt;=Inputs!$B$10),INDEX(LINEST(OFFSET(D614,-R614,0,R614,1),OFFSET(E614,-R614,0,R614,2)),1,3),"")</f>
        <v>4.52564328833237</v>
      </c>
      <c r="V614" s="29" t="n">
        <f aca="true">IF(AND(F614&gt;=1,R614&gt;=Inputs!$B$10),SQRT(SUMPRODUCT((OFFSET(D614,-R614,0,R614,1)-U614-T614*OFFSET(E614,-R614,0,R614,1)-S614*OFFSET(F614,-R614,0,R614,1))^2)/(R614-3)),"")</f>
        <v>0.0025409794652385</v>
      </c>
      <c r="W614" s="31" t="n">
        <f aca="false">IF(AND(F614&gt;=1,R614&gt;=Inputs!$B$10),(D614-U614-T614*E614-S614*F614)/V614,"")</f>
        <v>-0.151310578190997</v>
      </c>
      <c r="X614" s="30" t="n">
        <f aca="false">IF(AB613&lt;&gt;0,AC613+1,0)</f>
        <v>0</v>
      </c>
      <c r="Y614" s="30" t="n">
        <f aca="false">IF(W614="",0,IF(AND(AB613&lt;&gt;0,OR(ABS(W614)&gt;Inputs!$B$7,X614&gt;=Inputs!$B$8,ABS(W614)&lt;Inputs!$B$6)),1,0))</f>
        <v>0</v>
      </c>
      <c r="Z614" s="30" t="n">
        <f aca="false">IF(Y614=1,0,AB613)</f>
        <v>0</v>
      </c>
      <c r="AA614" s="30" t="n">
        <f aca="false">IF(W614="",0,IF(AND(Z614=0,ABS(W614)&gt;Inputs!$B$5,ABS(W614)&lt;=Inputs!$B$7),1,0))</f>
        <v>0</v>
      </c>
      <c r="AB614" s="30" t="n">
        <f aca="false">IF(W614="",0,IF(AA614=1,-SIGN(W614),Z614))</f>
        <v>0</v>
      </c>
      <c r="AC614" s="30" t="n">
        <f aca="false">IF(W614="",0,IF(AA614=1,0,IF(Y614=1,0,X614)))</f>
        <v>0</v>
      </c>
      <c r="AD614" s="30" t="n">
        <f aca="false">IF(AB614=0,0,IF(AB613=AB614,AD613,T614))</f>
        <v>0</v>
      </c>
      <c r="AE614" s="30" t="n">
        <f aca="false">AB614-AB613</f>
        <v>0</v>
      </c>
      <c r="AF614" s="30" t="n">
        <f aca="false">-AD614*AB614</f>
        <v>-0</v>
      </c>
      <c r="AG614" s="30" t="n">
        <f aca="false">AF614-AF613</f>
        <v>0</v>
      </c>
      <c r="AH614" s="30" t="n">
        <f aca="false">MAX(AE614,0)*(Inputs!$B$17+Inputs!$B$18+Inputs!$B$19)+MAX(-AE614,0)*(O614+Inputs!$B$18+Inputs!$B$19)+IF(AND(K614=1,AB614&lt;&gt;0),(Inputs!$B$17+Inputs!$B$18+Inputs!$B$19)+(O614+Inputs!$B$18+Inputs!$B$19),0)+MAX(AG614,0)*(Inputs!$B$20+Inputs!$B$22+Inputs!$B$23)+MAX(-AG614,0)*(Inputs!$B$21+Inputs!$B$22+Inputs!$B$23)</f>
        <v>0</v>
      </c>
      <c r="AI614" s="30" t="n">
        <f aca="false">AB613*(M614-AD613*J614)+AB613*AD613*N614/Inputs!$B$16-AH614</f>
        <v>0</v>
      </c>
      <c r="AJ614" s="30" t="n">
        <f aca="false">MAX(AE614,0)*(Inputs!$B$17+Inputs!$B$24+Inputs!$B$25)+MAX(-AE614,0)*(O614+Inputs!$B$24+Inputs!$B$25)+IF(AND(K614=1,AB614&lt;&gt;0),(Inputs!$B$17+Inputs!$B$24+Inputs!$B$25)+(O614+Inputs!$B$24+Inputs!$B$25),0)+MAX(AG614,0)*(Inputs!$B$20+Inputs!$B$26+Inputs!$B$27)+MAX(-AG614,0)*(Inputs!$B$21+Inputs!$B$26+Inputs!$B$27)</f>
        <v>0</v>
      </c>
      <c r="AK614" s="30" t="n">
        <f aca="false">AB613*(M614-AD613*J614)+AB613*AD613*(N614+Inputs!$B$14)/Inputs!$B$16-AJ614</f>
        <v>0</v>
      </c>
      <c r="AL614" s="30" t="n">
        <f aca="false">IF(AP613&lt;&gt;0,AQ613+1,0)</f>
        <v>0</v>
      </c>
      <c r="AM614" s="30" t="n">
        <f aca="false">IF(W614="",0,IF(AND(AP613&lt;&gt;0,OR(ABS(W614)&gt;Inputs!$B$7,AL614&gt;=Inputs!$B$8,ABS(W614)&lt;Inputs!$B$6)),1,0))</f>
        <v>0</v>
      </c>
      <c r="AN614" s="30" t="n">
        <f aca="false">IF(AM614=1,0,AP613)</f>
        <v>0</v>
      </c>
      <c r="AO614" s="30" t="n">
        <f aca="false">IF(W614="",0,IF(AND(AN614=0,ABS(W614)&gt;Inputs!$B$5,ABS(W614)&lt;=Inputs!$B$7,W614&gt;0),1,0))</f>
        <v>0</v>
      </c>
      <c r="AP614" s="30" t="n">
        <f aca="false">IF(W614="",0,IF(AO614=1,-SIGN(W614),AN614))</f>
        <v>0</v>
      </c>
      <c r="AQ614" s="30" t="n">
        <f aca="false">IF(W614="",0,IF(AO614=1,0,IF(AM614=1,0,AL614)))</f>
        <v>0</v>
      </c>
      <c r="AR614" s="30" t="n">
        <f aca="false">IF(AP614=0,0,IF(AP613=AP614,AR613,T614))</f>
        <v>0</v>
      </c>
      <c r="AS614" s="30" t="n">
        <f aca="false">AP614-AP613</f>
        <v>0</v>
      </c>
      <c r="AT614" s="30" t="n">
        <f aca="false">-AR614*AP614</f>
        <v>-0</v>
      </c>
      <c r="AU614" s="30" t="n">
        <f aca="false">AT614-AT613</f>
        <v>0</v>
      </c>
      <c r="AV614" s="30" t="n">
        <f aca="false">MAX(AS614,0)*(Inputs!$B$17+Inputs!$B$18+Inputs!$B$19)+MAX(-AS614,0)*(O614+Inputs!$B$18+Inputs!$B$19)+IF(AND(K614=1,AP614&lt;&gt;0),(Inputs!$B$17+Inputs!$B$18+Inputs!$B$19)+(O614+Inputs!$B$18+Inputs!$B$19),0)+MAX(AU614,0)*(Inputs!$B$20+Inputs!$B$22+Inputs!$B$23)+MAX(-AU614,0)*(Inputs!$B$21+Inputs!$B$22+Inputs!$B$23)</f>
        <v>0</v>
      </c>
      <c r="AW614" s="30" t="n">
        <f aca="false">AP613*(M614-AR613*J614)+AP613*AR613*N614/Inputs!$B$16-AV614</f>
        <v>0</v>
      </c>
      <c r="AX614" s="30" t="n">
        <f aca="false">AW614-IF(AP613&lt;&gt;0,0.75*AR613*(Inputs!$B$13-N614)/Inputs!$B$16,0)</f>
        <v>0</v>
      </c>
      <c r="AY614" s="30" t="n">
        <f aca="false">MAX(AS614,0)*(Inputs!$B$17+Inputs!$B$18+Inputs!$B$19)+MAX(-AS614,0)*(O614+Inputs!$B$18+Inputs!$B$19)+IF(AND(K614=1,AP614&lt;&gt;0),(Inputs!$B$17+Inputs!$B$18+Inputs!$B$19)+(O614+Inputs!$B$18+Inputs!$B$19),0)</f>
        <v>0</v>
      </c>
      <c r="AZ614" s="30" t="n">
        <f aca="false">AP613*M614-AY614</f>
        <v>-0</v>
      </c>
      <c r="BA614" s="32" t="n">
        <f aca="false">BA613+AI614</f>
        <v>0.0081476582830333</v>
      </c>
      <c r="BB614" s="30" t="n">
        <f aca="false">MAX(BB613,BA614)</f>
        <v>0.0108065678336457</v>
      </c>
      <c r="BC614" s="32" t="n">
        <f aca="false">BA614-BB614</f>
        <v>-0.00265890955061237</v>
      </c>
      <c r="BD614" s="30" t="n">
        <f aca="false">A615-A614</f>
        <v>1</v>
      </c>
    </row>
    <row r="615" customFormat="false" ht="15" hidden="false" customHeight="false" outlineLevel="0" collapsed="false">
      <c r="A615" s="28" t="n">
        <v>45945</v>
      </c>
      <c r="B615" s="0" t="n">
        <v>25433.6</v>
      </c>
      <c r="C615" s="0" t="n">
        <v>286</v>
      </c>
      <c r="D615" s="29" t="n">
        <f aca="false">LN(B615)</f>
        <v>10.1438264134774</v>
      </c>
      <c r="E615" s="29" t="n">
        <f aca="false">LN(C615)</f>
        <v>5.65599181081985</v>
      </c>
      <c r="F615" s="0" t="n">
        <v>610</v>
      </c>
      <c r="G615" s="0" t="n">
        <v>13</v>
      </c>
      <c r="H615" s="29" t="n">
        <f aca="false">D615-E615</f>
        <v>4.48783460265754</v>
      </c>
      <c r="I615" s="29" t="n">
        <f aca="false">D615-D614</f>
        <v>0.00962404413073159</v>
      </c>
      <c r="J615" s="29" t="n">
        <f aca="false">E615-E614</f>
        <v>0.00825072704727603</v>
      </c>
      <c r="K615" s="0" t="n">
        <v>0</v>
      </c>
      <c r="L615" s="0" t="n">
        <v>0</v>
      </c>
      <c r="M615" s="29" t="n">
        <f aca="false">IF(L615=1,J615-Carry!$B$9/Inputs!$B$16,I615)</f>
        <v>0.00962404413073159</v>
      </c>
      <c r="N615" s="0" t="n">
        <v>0.055</v>
      </c>
      <c r="O615" s="0" t="n">
        <v>0.0002</v>
      </c>
      <c r="P615" s="29" t="n">
        <f aca="false">D615-('2 Hedge ratio'!$B$6+'2 Hedge ratio'!$B$5*E615)</f>
        <v>0.000400884156814385</v>
      </c>
      <c r="Q615" s="29" t="n">
        <f aca="false">D615-('5 Re-specification'!$B$7+'5 Re-specification'!$B$5*E615+'5 Re-specification'!$B$6*F615)</f>
        <v>0.00118094905121247</v>
      </c>
      <c r="R615" s="30" t="n">
        <f aca="false">MIN(F615,Inputs!$B$9)</f>
        <v>250</v>
      </c>
      <c r="S615" s="29" t="n">
        <f aca="true">IF(AND(F615&gt;=1,R615&gt;=Inputs!$B$10),INDEX(LINEST(OFFSET(D615,-R615,0,R615,1),OFFSET(E615,-R615,0,R615,2)),1,1),"")</f>
        <v>-4.43926379616188E-005</v>
      </c>
      <c r="T615" s="29" t="n">
        <f aca="true">IF(AND(F615&gt;=1,R615&gt;=Inputs!$B$10),INDEX(LINEST(OFFSET(D615,-R615,0,R615,1),OFFSET(E615,-R615,0,R615,2)),1,2),"")</f>
        <v>0.997720232355531</v>
      </c>
      <c r="U615" s="29" t="n">
        <f aca="true">IF(AND(F615&gt;=1,R615&gt;=Inputs!$B$10),INDEX(LINEST(OFFSET(D615,-R615,0,R615,1),OFFSET(E615,-R615,0,R615,2)),1,3),"")</f>
        <v>4.52675482686158</v>
      </c>
      <c r="V615" s="29" t="n">
        <f aca="true">IF(AND(F615&gt;=1,R615&gt;=Inputs!$B$10),SQRT(SUMPRODUCT((OFFSET(D615,-R615,0,R615,1)-U615-T615*OFFSET(E615,-R615,0,R615,1)-S615*OFFSET(F615,-R615,0,R615,1))^2)/(R615-3)),"")</f>
        <v>0.00254065517788683</v>
      </c>
      <c r="W615" s="31" t="n">
        <f aca="false">IF(AND(F615&gt;=1,R615&gt;=Inputs!$B$10),(D615-U615-T615*E615-S615*F615)/V615,"")</f>
        <v>0.414708807948464</v>
      </c>
      <c r="X615" s="30" t="n">
        <f aca="false">IF(AB614&lt;&gt;0,AC614+1,0)</f>
        <v>0</v>
      </c>
      <c r="Y615" s="30" t="n">
        <f aca="false">IF(W615="",0,IF(AND(AB614&lt;&gt;0,OR(ABS(W615)&gt;Inputs!$B$7,X615&gt;=Inputs!$B$8,ABS(W615)&lt;Inputs!$B$6)),1,0))</f>
        <v>0</v>
      </c>
      <c r="Z615" s="30" t="n">
        <f aca="false">IF(Y615=1,0,AB614)</f>
        <v>0</v>
      </c>
      <c r="AA615" s="30" t="n">
        <f aca="false">IF(W615="",0,IF(AND(Z615=0,ABS(W615)&gt;Inputs!$B$5,ABS(W615)&lt;=Inputs!$B$7),1,0))</f>
        <v>0</v>
      </c>
      <c r="AB615" s="30" t="n">
        <f aca="false">IF(W615="",0,IF(AA615=1,-SIGN(W615),Z615))</f>
        <v>0</v>
      </c>
      <c r="AC615" s="30" t="n">
        <f aca="false">IF(W615="",0,IF(AA615=1,0,IF(Y615=1,0,X615)))</f>
        <v>0</v>
      </c>
      <c r="AD615" s="30" t="n">
        <f aca="false">IF(AB615=0,0,IF(AB614=AB615,AD614,T615))</f>
        <v>0</v>
      </c>
      <c r="AE615" s="30" t="n">
        <f aca="false">AB615-AB614</f>
        <v>0</v>
      </c>
      <c r="AF615" s="30" t="n">
        <f aca="false">-AD615*AB615</f>
        <v>-0</v>
      </c>
      <c r="AG615" s="30" t="n">
        <f aca="false">AF615-AF614</f>
        <v>0</v>
      </c>
      <c r="AH615" s="30" t="n">
        <f aca="false">MAX(AE615,0)*(Inputs!$B$17+Inputs!$B$18+Inputs!$B$19)+MAX(-AE615,0)*(O615+Inputs!$B$18+Inputs!$B$19)+IF(AND(K615=1,AB615&lt;&gt;0),(Inputs!$B$17+Inputs!$B$18+Inputs!$B$19)+(O615+Inputs!$B$18+Inputs!$B$19),0)+MAX(AG615,0)*(Inputs!$B$20+Inputs!$B$22+Inputs!$B$23)+MAX(-AG615,0)*(Inputs!$B$21+Inputs!$B$22+Inputs!$B$23)</f>
        <v>0</v>
      </c>
      <c r="AI615" s="30" t="n">
        <f aca="false">AB614*(M615-AD614*J615)+AB614*AD614*N615/Inputs!$B$16-AH615</f>
        <v>0</v>
      </c>
      <c r="AJ615" s="30" t="n">
        <f aca="false">MAX(AE615,0)*(Inputs!$B$17+Inputs!$B$24+Inputs!$B$25)+MAX(-AE615,0)*(O615+Inputs!$B$24+Inputs!$B$25)+IF(AND(K615=1,AB615&lt;&gt;0),(Inputs!$B$17+Inputs!$B$24+Inputs!$B$25)+(O615+Inputs!$B$24+Inputs!$B$25),0)+MAX(AG615,0)*(Inputs!$B$20+Inputs!$B$26+Inputs!$B$27)+MAX(-AG615,0)*(Inputs!$B$21+Inputs!$B$26+Inputs!$B$27)</f>
        <v>0</v>
      </c>
      <c r="AK615" s="30" t="n">
        <f aca="false">AB614*(M615-AD614*J615)+AB614*AD614*(N615+Inputs!$B$14)/Inputs!$B$16-AJ615</f>
        <v>0</v>
      </c>
      <c r="AL615" s="30" t="n">
        <f aca="false">IF(AP614&lt;&gt;0,AQ614+1,0)</f>
        <v>0</v>
      </c>
      <c r="AM615" s="30" t="n">
        <f aca="false">IF(W615="",0,IF(AND(AP614&lt;&gt;0,OR(ABS(W615)&gt;Inputs!$B$7,AL615&gt;=Inputs!$B$8,ABS(W615)&lt;Inputs!$B$6)),1,0))</f>
        <v>0</v>
      </c>
      <c r="AN615" s="30" t="n">
        <f aca="false">IF(AM615=1,0,AP614)</f>
        <v>0</v>
      </c>
      <c r="AO615" s="30" t="n">
        <f aca="false">IF(W615="",0,IF(AND(AN615=0,ABS(W615)&gt;Inputs!$B$5,ABS(W615)&lt;=Inputs!$B$7,W615&gt;0),1,0))</f>
        <v>0</v>
      </c>
      <c r="AP615" s="30" t="n">
        <f aca="false">IF(W615="",0,IF(AO615=1,-SIGN(W615),AN615))</f>
        <v>0</v>
      </c>
      <c r="AQ615" s="30" t="n">
        <f aca="false">IF(W615="",0,IF(AO615=1,0,IF(AM615=1,0,AL615)))</f>
        <v>0</v>
      </c>
      <c r="AR615" s="30" t="n">
        <f aca="false">IF(AP615=0,0,IF(AP614=AP615,AR614,T615))</f>
        <v>0</v>
      </c>
      <c r="AS615" s="30" t="n">
        <f aca="false">AP615-AP614</f>
        <v>0</v>
      </c>
      <c r="AT615" s="30" t="n">
        <f aca="false">-AR615*AP615</f>
        <v>-0</v>
      </c>
      <c r="AU615" s="30" t="n">
        <f aca="false">AT615-AT614</f>
        <v>0</v>
      </c>
      <c r="AV615" s="30" t="n">
        <f aca="false">MAX(AS615,0)*(Inputs!$B$17+Inputs!$B$18+Inputs!$B$19)+MAX(-AS615,0)*(O615+Inputs!$B$18+Inputs!$B$19)+IF(AND(K615=1,AP615&lt;&gt;0),(Inputs!$B$17+Inputs!$B$18+Inputs!$B$19)+(O615+Inputs!$B$18+Inputs!$B$19),0)+MAX(AU615,0)*(Inputs!$B$20+Inputs!$B$22+Inputs!$B$23)+MAX(-AU615,0)*(Inputs!$B$21+Inputs!$B$22+Inputs!$B$23)</f>
        <v>0</v>
      </c>
      <c r="AW615" s="30" t="n">
        <f aca="false">AP614*(M615-AR614*J615)+AP614*AR614*N615/Inputs!$B$16-AV615</f>
        <v>0</v>
      </c>
      <c r="AX615" s="30" t="n">
        <f aca="false">AW615-IF(AP614&lt;&gt;0,0.75*AR614*(Inputs!$B$13-N615)/Inputs!$B$16,0)</f>
        <v>0</v>
      </c>
      <c r="AY615" s="30" t="n">
        <f aca="false">MAX(AS615,0)*(Inputs!$B$17+Inputs!$B$18+Inputs!$B$19)+MAX(-AS615,0)*(O615+Inputs!$B$18+Inputs!$B$19)+IF(AND(K615=1,AP615&lt;&gt;0),(Inputs!$B$17+Inputs!$B$18+Inputs!$B$19)+(O615+Inputs!$B$18+Inputs!$B$19),0)</f>
        <v>0</v>
      </c>
      <c r="AZ615" s="30" t="n">
        <f aca="false">AP614*M615-AY615</f>
        <v>0</v>
      </c>
      <c r="BA615" s="32" t="n">
        <f aca="false">BA614+AI615</f>
        <v>0.0081476582830333</v>
      </c>
      <c r="BB615" s="30" t="n">
        <f aca="false">MAX(BB614,BA615)</f>
        <v>0.0108065678336457</v>
      </c>
      <c r="BC615" s="32" t="n">
        <f aca="false">BA615-BB615</f>
        <v>-0.00265890955061237</v>
      </c>
      <c r="BD615" s="30" t="n">
        <f aca="false">A616-A615</f>
        <v>1</v>
      </c>
    </row>
    <row r="616" customFormat="false" ht="15" hidden="false" customHeight="false" outlineLevel="0" collapsed="false">
      <c r="A616" s="28" t="n">
        <v>45946</v>
      </c>
      <c r="B616" s="0" t="n">
        <v>25651.2</v>
      </c>
      <c r="C616" s="0" t="n">
        <v>288.51</v>
      </c>
      <c r="D616" s="29" t="n">
        <f aca="false">LN(B616)</f>
        <v>10.1523456331303</v>
      </c>
      <c r="E616" s="29" t="n">
        <f aca="false">LN(C616)</f>
        <v>5.6647297473925</v>
      </c>
      <c r="F616" s="0" t="n">
        <v>611</v>
      </c>
      <c r="G616" s="0" t="n">
        <v>12</v>
      </c>
      <c r="H616" s="29" t="n">
        <f aca="false">D616-E616</f>
        <v>4.48761588573783</v>
      </c>
      <c r="I616" s="29" t="n">
        <f aca="false">D616-D615</f>
        <v>0.00851921965293911</v>
      </c>
      <c r="J616" s="29" t="n">
        <f aca="false">E616-E615</f>
        <v>0.00873793657264788</v>
      </c>
      <c r="K616" s="0" t="n">
        <v>0</v>
      </c>
      <c r="L616" s="0" t="n">
        <v>0</v>
      </c>
      <c r="M616" s="29" t="n">
        <f aca="false">IF(L616=1,J616-Carry!$B$9/Inputs!$B$16,I616)</f>
        <v>0.00851921965293911</v>
      </c>
      <c r="N616" s="0" t="n">
        <v>0.055</v>
      </c>
      <c r="O616" s="0" t="n">
        <v>0.0002</v>
      </c>
      <c r="P616" s="29" t="n">
        <f aca="false">D616-('2 Hedge ratio'!$B$6+'2 Hedge ratio'!$B$5*E616)</f>
        <v>0.000915046294949207</v>
      </c>
      <c r="Q616" s="29" t="n">
        <f aca="false">D616-('5 Re-specification'!$B$7+'5 Re-specification'!$B$5*E616+'5 Re-specification'!$B$6*F616)</f>
        <v>0.00103364176657017</v>
      </c>
      <c r="R616" s="30" t="n">
        <f aca="false">MIN(F616,Inputs!$B$9)</f>
        <v>250</v>
      </c>
      <c r="S616" s="29" t="n">
        <f aca="true">IF(AND(F616&gt;=1,R616&gt;=Inputs!$B$10),INDEX(LINEST(OFFSET(D616,-R616,0,R616,1),OFFSET(E616,-R616,0,R616,2)),1,1),"")</f>
        <v>-4.43973652609191E-005</v>
      </c>
      <c r="T616" s="29" t="n">
        <f aca="true">IF(AND(F616&gt;=1,R616&gt;=Inputs!$B$10),INDEX(LINEST(OFFSET(D616,-R616,0,R616,1),OFFSET(E616,-R616,0,R616,2)),1,2),"")</f>
        <v>0.997912381217082</v>
      </c>
      <c r="U616" s="29" t="n">
        <f aca="true">IF(AND(F616&gt;=1,R616&gt;=Inputs!$B$10),INDEX(LINEST(OFFSET(D616,-R616,0,R616,1),OFFSET(E616,-R616,0,R616,2)),1,3),"")</f>
        <v>4.52568637950542</v>
      </c>
      <c r="V616" s="29" t="n">
        <f aca="true">IF(AND(F616&gt;=1,R616&gt;=Inputs!$B$10),SQRT(SUMPRODUCT((OFFSET(D616,-R616,0,R616,1)-U616-T616*OFFSET(E616,-R616,0,R616,1)-S616*OFFSET(F616,-R616,0,R616,1))^2)/(R616-3)),"")</f>
        <v>0.00254133001551784</v>
      </c>
      <c r="W616" s="31" t="n">
        <f aca="false">IF(AND(F616&gt;=1,R616&gt;=Inputs!$B$10),(D616-U616-T616*E616-S616*F616)/V616,"")</f>
        <v>0.34709881135056</v>
      </c>
      <c r="X616" s="30" t="n">
        <f aca="false">IF(AB615&lt;&gt;0,AC615+1,0)</f>
        <v>0</v>
      </c>
      <c r="Y616" s="30" t="n">
        <f aca="false">IF(W616="",0,IF(AND(AB615&lt;&gt;0,OR(ABS(W616)&gt;Inputs!$B$7,X616&gt;=Inputs!$B$8,ABS(W616)&lt;Inputs!$B$6)),1,0))</f>
        <v>0</v>
      </c>
      <c r="Z616" s="30" t="n">
        <f aca="false">IF(Y616=1,0,AB615)</f>
        <v>0</v>
      </c>
      <c r="AA616" s="30" t="n">
        <f aca="false">IF(W616="",0,IF(AND(Z616=0,ABS(W616)&gt;Inputs!$B$5,ABS(W616)&lt;=Inputs!$B$7),1,0))</f>
        <v>0</v>
      </c>
      <c r="AB616" s="30" t="n">
        <f aca="false">IF(W616="",0,IF(AA616=1,-SIGN(W616),Z616))</f>
        <v>0</v>
      </c>
      <c r="AC616" s="30" t="n">
        <f aca="false">IF(W616="",0,IF(AA616=1,0,IF(Y616=1,0,X616)))</f>
        <v>0</v>
      </c>
      <c r="AD616" s="30" t="n">
        <f aca="false">IF(AB616=0,0,IF(AB615=AB616,AD615,T616))</f>
        <v>0</v>
      </c>
      <c r="AE616" s="30" t="n">
        <f aca="false">AB616-AB615</f>
        <v>0</v>
      </c>
      <c r="AF616" s="30" t="n">
        <f aca="false">-AD616*AB616</f>
        <v>-0</v>
      </c>
      <c r="AG616" s="30" t="n">
        <f aca="false">AF616-AF615</f>
        <v>0</v>
      </c>
      <c r="AH616" s="30" t="n">
        <f aca="false">MAX(AE616,0)*(Inputs!$B$17+Inputs!$B$18+Inputs!$B$19)+MAX(-AE616,0)*(O616+Inputs!$B$18+Inputs!$B$19)+IF(AND(K616=1,AB616&lt;&gt;0),(Inputs!$B$17+Inputs!$B$18+Inputs!$B$19)+(O616+Inputs!$B$18+Inputs!$B$19),0)+MAX(AG616,0)*(Inputs!$B$20+Inputs!$B$22+Inputs!$B$23)+MAX(-AG616,0)*(Inputs!$B$21+Inputs!$B$22+Inputs!$B$23)</f>
        <v>0</v>
      </c>
      <c r="AI616" s="30" t="n">
        <f aca="false">AB615*(M616-AD615*J616)+AB615*AD615*N616/Inputs!$B$16-AH616</f>
        <v>0</v>
      </c>
      <c r="AJ616" s="30" t="n">
        <f aca="false">MAX(AE616,0)*(Inputs!$B$17+Inputs!$B$24+Inputs!$B$25)+MAX(-AE616,0)*(O616+Inputs!$B$24+Inputs!$B$25)+IF(AND(K616=1,AB616&lt;&gt;0),(Inputs!$B$17+Inputs!$B$24+Inputs!$B$25)+(O616+Inputs!$B$24+Inputs!$B$25),0)+MAX(AG616,0)*(Inputs!$B$20+Inputs!$B$26+Inputs!$B$27)+MAX(-AG616,0)*(Inputs!$B$21+Inputs!$B$26+Inputs!$B$27)</f>
        <v>0</v>
      </c>
      <c r="AK616" s="30" t="n">
        <f aca="false">AB615*(M616-AD615*J616)+AB615*AD615*(N616+Inputs!$B$14)/Inputs!$B$16-AJ616</f>
        <v>0</v>
      </c>
      <c r="AL616" s="30" t="n">
        <f aca="false">IF(AP615&lt;&gt;0,AQ615+1,0)</f>
        <v>0</v>
      </c>
      <c r="AM616" s="30" t="n">
        <f aca="false">IF(W616="",0,IF(AND(AP615&lt;&gt;0,OR(ABS(W616)&gt;Inputs!$B$7,AL616&gt;=Inputs!$B$8,ABS(W616)&lt;Inputs!$B$6)),1,0))</f>
        <v>0</v>
      </c>
      <c r="AN616" s="30" t="n">
        <f aca="false">IF(AM616=1,0,AP615)</f>
        <v>0</v>
      </c>
      <c r="AO616" s="30" t="n">
        <f aca="false">IF(W616="",0,IF(AND(AN616=0,ABS(W616)&gt;Inputs!$B$5,ABS(W616)&lt;=Inputs!$B$7,W616&gt;0),1,0))</f>
        <v>0</v>
      </c>
      <c r="AP616" s="30" t="n">
        <f aca="false">IF(W616="",0,IF(AO616=1,-SIGN(W616),AN616))</f>
        <v>0</v>
      </c>
      <c r="AQ616" s="30" t="n">
        <f aca="false">IF(W616="",0,IF(AO616=1,0,IF(AM616=1,0,AL616)))</f>
        <v>0</v>
      </c>
      <c r="AR616" s="30" t="n">
        <f aca="false">IF(AP616=0,0,IF(AP615=AP616,AR615,T616))</f>
        <v>0</v>
      </c>
      <c r="AS616" s="30" t="n">
        <f aca="false">AP616-AP615</f>
        <v>0</v>
      </c>
      <c r="AT616" s="30" t="n">
        <f aca="false">-AR616*AP616</f>
        <v>-0</v>
      </c>
      <c r="AU616" s="30" t="n">
        <f aca="false">AT616-AT615</f>
        <v>0</v>
      </c>
      <c r="AV616" s="30" t="n">
        <f aca="false">MAX(AS616,0)*(Inputs!$B$17+Inputs!$B$18+Inputs!$B$19)+MAX(-AS616,0)*(O616+Inputs!$B$18+Inputs!$B$19)+IF(AND(K616=1,AP616&lt;&gt;0),(Inputs!$B$17+Inputs!$B$18+Inputs!$B$19)+(O616+Inputs!$B$18+Inputs!$B$19),0)+MAX(AU616,0)*(Inputs!$B$20+Inputs!$B$22+Inputs!$B$23)+MAX(-AU616,0)*(Inputs!$B$21+Inputs!$B$22+Inputs!$B$23)</f>
        <v>0</v>
      </c>
      <c r="AW616" s="30" t="n">
        <f aca="false">AP615*(M616-AR615*J616)+AP615*AR615*N616/Inputs!$B$16-AV616</f>
        <v>0</v>
      </c>
      <c r="AX616" s="30" t="n">
        <f aca="false">AW616-IF(AP615&lt;&gt;0,0.75*AR615*(Inputs!$B$13-N616)/Inputs!$B$16,0)</f>
        <v>0</v>
      </c>
      <c r="AY616" s="30" t="n">
        <f aca="false">MAX(AS616,0)*(Inputs!$B$17+Inputs!$B$18+Inputs!$B$19)+MAX(-AS616,0)*(O616+Inputs!$B$18+Inputs!$B$19)+IF(AND(K616=1,AP616&lt;&gt;0),(Inputs!$B$17+Inputs!$B$18+Inputs!$B$19)+(O616+Inputs!$B$18+Inputs!$B$19),0)</f>
        <v>0</v>
      </c>
      <c r="AZ616" s="30" t="n">
        <f aca="false">AP615*M616-AY616</f>
        <v>0</v>
      </c>
      <c r="BA616" s="32" t="n">
        <f aca="false">BA615+AI616</f>
        <v>0.0081476582830333</v>
      </c>
      <c r="BB616" s="30" t="n">
        <f aca="false">MAX(BB615,BA616)</f>
        <v>0.0108065678336457</v>
      </c>
      <c r="BC616" s="32" t="n">
        <f aca="false">BA616-BB616</f>
        <v>-0.00265890955061237</v>
      </c>
      <c r="BD616" s="30" t="n">
        <f aca="false">A617-A616</f>
        <v>1</v>
      </c>
    </row>
    <row r="617" customFormat="false" ht="15" hidden="false" customHeight="false" outlineLevel="0" collapsed="false">
      <c r="A617" s="28" t="n">
        <v>45947</v>
      </c>
      <c r="B617" s="0" t="n">
        <v>25751.2</v>
      </c>
      <c r="C617" s="0" t="n">
        <v>290.22</v>
      </c>
      <c r="D617" s="29" t="n">
        <f aca="false">LN(B617)</f>
        <v>10.1562365069478</v>
      </c>
      <c r="E617" s="29" t="n">
        <f aca="false">LN(C617)</f>
        <v>5.67063925606295</v>
      </c>
      <c r="F617" s="0" t="n">
        <v>612</v>
      </c>
      <c r="G617" s="0" t="n">
        <v>11</v>
      </c>
      <c r="H617" s="29" t="n">
        <f aca="false">D617-E617</f>
        <v>4.48559725088485</v>
      </c>
      <c r="I617" s="29" t="n">
        <f aca="false">D617-D616</f>
        <v>0.00389087381746656</v>
      </c>
      <c r="J617" s="29" t="n">
        <f aca="false">E617-E616</f>
        <v>0.00590950867044704</v>
      </c>
      <c r="K617" s="0" t="n">
        <v>0</v>
      </c>
      <c r="L617" s="0" t="n">
        <v>0</v>
      </c>
      <c r="M617" s="29" t="n">
        <f aca="false">IF(L617=1,J617-Carry!$B$9/Inputs!$B$16,I617)</f>
        <v>0.00389087381746656</v>
      </c>
      <c r="N617" s="0" t="n">
        <v>0.055</v>
      </c>
      <c r="O617" s="0" t="n">
        <v>0.0002</v>
      </c>
      <c r="P617" s="29" t="n">
        <f aca="false">D617-('2 Hedge ratio'!$B$6+'2 Hedge ratio'!$B$5*E617)</f>
        <v>-0.00060793891458033</v>
      </c>
      <c r="Q617" s="29" t="n">
        <f aca="false">D617-('5 Re-specification'!$B$7+'5 Re-specification'!$B$5*E617+'5 Re-specification'!$B$6*F617)</f>
        <v>-0.000922155002163194</v>
      </c>
      <c r="R617" s="30" t="n">
        <f aca="false">MIN(F617,Inputs!$B$9)</f>
        <v>250</v>
      </c>
      <c r="S617" s="29" t="n">
        <f aca="true">IF(AND(F617&gt;=1,R617&gt;=Inputs!$B$10),INDEX(LINEST(OFFSET(D617,-R617,0,R617,1),OFFSET(E617,-R617,0,R617,2)),1,1),"")</f>
        <v>-4.43528596249251E-005</v>
      </c>
      <c r="T617" s="29" t="n">
        <f aca="true">IF(AND(F617&gt;=1,R617&gt;=Inputs!$B$10),INDEX(LINEST(OFFSET(D617,-R617,0,R617,1),OFFSET(E617,-R617,0,R617,2)),1,2),"")</f>
        <v>0.998016052155882</v>
      </c>
      <c r="U617" s="29" t="n">
        <f aca="true">IF(AND(F617&gt;=1,R617&gt;=Inputs!$B$10),INDEX(LINEST(OFFSET(D617,-R617,0,R617,1),OFFSET(E617,-R617,0,R617,2)),1,3),"")</f>
        <v>4.52508752151053</v>
      </c>
      <c r="V617" s="29" t="n">
        <f aca="true">IF(AND(F617&gt;=1,R617&gt;=Inputs!$B$10),SQRT(SUMPRODUCT((OFFSET(D617,-R617,0,R617,1)-U617-T617*OFFSET(E617,-R617,0,R617,1)-S617*OFFSET(F617,-R617,0,R617,1))^2)/(R617-3)),"")</f>
        <v>0.00254193380074863</v>
      </c>
      <c r="W617" s="31" t="n">
        <f aca="false">IF(AND(F617&gt;=1,R617&gt;=Inputs!$B$10),(D617-U617-T617*E617-S617*F617)/V617,"")</f>
        <v>-0.431194552774633</v>
      </c>
      <c r="X617" s="30" t="n">
        <f aca="false">IF(AB616&lt;&gt;0,AC616+1,0)</f>
        <v>0</v>
      </c>
      <c r="Y617" s="30" t="n">
        <f aca="false">IF(W617="",0,IF(AND(AB616&lt;&gt;0,OR(ABS(W617)&gt;Inputs!$B$7,X617&gt;=Inputs!$B$8,ABS(W617)&lt;Inputs!$B$6)),1,0))</f>
        <v>0</v>
      </c>
      <c r="Z617" s="30" t="n">
        <f aca="false">IF(Y617=1,0,AB616)</f>
        <v>0</v>
      </c>
      <c r="AA617" s="30" t="n">
        <f aca="false">IF(W617="",0,IF(AND(Z617=0,ABS(W617)&gt;Inputs!$B$5,ABS(W617)&lt;=Inputs!$B$7),1,0))</f>
        <v>0</v>
      </c>
      <c r="AB617" s="30" t="n">
        <f aca="false">IF(W617="",0,IF(AA617=1,-SIGN(W617),Z617))</f>
        <v>0</v>
      </c>
      <c r="AC617" s="30" t="n">
        <f aca="false">IF(W617="",0,IF(AA617=1,0,IF(Y617=1,0,X617)))</f>
        <v>0</v>
      </c>
      <c r="AD617" s="30" t="n">
        <f aca="false">IF(AB617=0,0,IF(AB616=AB617,AD616,T617))</f>
        <v>0</v>
      </c>
      <c r="AE617" s="30" t="n">
        <f aca="false">AB617-AB616</f>
        <v>0</v>
      </c>
      <c r="AF617" s="30" t="n">
        <f aca="false">-AD617*AB617</f>
        <v>-0</v>
      </c>
      <c r="AG617" s="30" t="n">
        <f aca="false">AF617-AF616</f>
        <v>0</v>
      </c>
      <c r="AH617" s="30" t="n">
        <f aca="false">MAX(AE617,0)*(Inputs!$B$17+Inputs!$B$18+Inputs!$B$19)+MAX(-AE617,0)*(O617+Inputs!$B$18+Inputs!$B$19)+IF(AND(K617=1,AB617&lt;&gt;0),(Inputs!$B$17+Inputs!$B$18+Inputs!$B$19)+(O617+Inputs!$B$18+Inputs!$B$19),0)+MAX(AG617,0)*(Inputs!$B$20+Inputs!$B$22+Inputs!$B$23)+MAX(-AG617,0)*(Inputs!$B$21+Inputs!$B$22+Inputs!$B$23)</f>
        <v>0</v>
      </c>
      <c r="AI617" s="30" t="n">
        <f aca="false">AB616*(M617-AD616*J617)+AB616*AD616*N617/Inputs!$B$16-AH617</f>
        <v>0</v>
      </c>
      <c r="AJ617" s="30" t="n">
        <f aca="false">MAX(AE617,0)*(Inputs!$B$17+Inputs!$B$24+Inputs!$B$25)+MAX(-AE617,0)*(O617+Inputs!$B$24+Inputs!$B$25)+IF(AND(K617=1,AB617&lt;&gt;0),(Inputs!$B$17+Inputs!$B$24+Inputs!$B$25)+(O617+Inputs!$B$24+Inputs!$B$25),0)+MAX(AG617,0)*(Inputs!$B$20+Inputs!$B$26+Inputs!$B$27)+MAX(-AG617,0)*(Inputs!$B$21+Inputs!$B$26+Inputs!$B$27)</f>
        <v>0</v>
      </c>
      <c r="AK617" s="30" t="n">
        <f aca="false">AB616*(M617-AD616*J617)+AB616*AD616*(N617+Inputs!$B$14)/Inputs!$B$16-AJ617</f>
        <v>0</v>
      </c>
      <c r="AL617" s="30" t="n">
        <f aca="false">IF(AP616&lt;&gt;0,AQ616+1,0)</f>
        <v>0</v>
      </c>
      <c r="AM617" s="30" t="n">
        <f aca="false">IF(W617="",0,IF(AND(AP616&lt;&gt;0,OR(ABS(W617)&gt;Inputs!$B$7,AL617&gt;=Inputs!$B$8,ABS(W617)&lt;Inputs!$B$6)),1,0))</f>
        <v>0</v>
      </c>
      <c r="AN617" s="30" t="n">
        <f aca="false">IF(AM617=1,0,AP616)</f>
        <v>0</v>
      </c>
      <c r="AO617" s="30" t="n">
        <f aca="false">IF(W617="",0,IF(AND(AN617=0,ABS(W617)&gt;Inputs!$B$5,ABS(W617)&lt;=Inputs!$B$7,W617&gt;0),1,0))</f>
        <v>0</v>
      </c>
      <c r="AP617" s="30" t="n">
        <f aca="false">IF(W617="",0,IF(AO617=1,-SIGN(W617),AN617))</f>
        <v>0</v>
      </c>
      <c r="AQ617" s="30" t="n">
        <f aca="false">IF(W617="",0,IF(AO617=1,0,IF(AM617=1,0,AL617)))</f>
        <v>0</v>
      </c>
      <c r="AR617" s="30" t="n">
        <f aca="false">IF(AP617=0,0,IF(AP616=AP617,AR616,T617))</f>
        <v>0</v>
      </c>
      <c r="AS617" s="30" t="n">
        <f aca="false">AP617-AP616</f>
        <v>0</v>
      </c>
      <c r="AT617" s="30" t="n">
        <f aca="false">-AR617*AP617</f>
        <v>-0</v>
      </c>
      <c r="AU617" s="30" t="n">
        <f aca="false">AT617-AT616</f>
        <v>0</v>
      </c>
      <c r="AV617" s="30" t="n">
        <f aca="false">MAX(AS617,0)*(Inputs!$B$17+Inputs!$B$18+Inputs!$B$19)+MAX(-AS617,0)*(O617+Inputs!$B$18+Inputs!$B$19)+IF(AND(K617=1,AP617&lt;&gt;0),(Inputs!$B$17+Inputs!$B$18+Inputs!$B$19)+(O617+Inputs!$B$18+Inputs!$B$19),0)+MAX(AU617,0)*(Inputs!$B$20+Inputs!$B$22+Inputs!$B$23)+MAX(-AU617,0)*(Inputs!$B$21+Inputs!$B$22+Inputs!$B$23)</f>
        <v>0</v>
      </c>
      <c r="AW617" s="30" t="n">
        <f aca="false">AP616*(M617-AR616*J617)+AP616*AR616*N617/Inputs!$B$16-AV617</f>
        <v>0</v>
      </c>
      <c r="AX617" s="30" t="n">
        <f aca="false">AW617-IF(AP616&lt;&gt;0,0.75*AR616*(Inputs!$B$13-N617)/Inputs!$B$16,0)</f>
        <v>0</v>
      </c>
      <c r="AY617" s="30" t="n">
        <f aca="false">MAX(AS617,0)*(Inputs!$B$17+Inputs!$B$18+Inputs!$B$19)+MAX(-AS617,0)*(O617+Inputs!$B$18+Inputs!$B$19)+IF(AND(K617=1,AP617&lt;&gt;0),(Inputs!$B$17+Inputs!$B$18+Inputs!$B$19)+(O617+Inputs!$B$18+Inputs!$B$19),0)</f>
        <v>0</v>
      </c>
      <c r="AZ617" s="30" t="n">
        <f aca="false">AP616*M617-AY617</f>
        <v>0</v>
      </c>
      <c r="BA617" s="32" t="n">
        <f aca="false">BA616+AI617</f>
        <v>0.0081476582830333</v>
      </c>
      <c r="BB617" s="30" t="n">
        <f aca="false">MAX(BB616,BA617)</f>
        <v>0.0108065678336457</v>
      </c>
      <c r="BC617" s="32" t="n">
        <f aca="false">BA617-BB617</f>
        <v>-0.00265890955061237</v>
      </c>
      <c r="BD617" s="30" t="n">
        <f aca="false">A618-A617</f>
        <v>3</v>
      </c>
    </row>
    <row r="618" customFormat="false" ht="15" hidden="false" customHeight="false" outlineLevel="0" collapsed="false">
      <c r="A618" s="28" t="n">
        <v>45950</v>
      </c>
      <c r="B618" s="0" t="n">
        <v>25932</v>
      </c>
      <c r="C618" s="0" t="n">
        <v>292</v>
      </c>
      <c r="D618" s="29" t="n">
        <f aca="false">LN(B618)</f>
        <v>10.1632330062949</v>
      </c>
      <c r="E618" s="29" t="n">
        <f aca="false">LN(C618)</f>
        <v>5.67675380226828</v>
      </c>
      <c r="F618" s="0" t="n">
        <v>613</v>
      </c>
      <c r="G618" s="0" t="n">
        <v>8</v>
      </c>
      <c r="H618" s="29" t="n">
        <f aca="false">D618-E618</f>
        <v>4.48647920402661</v>
      </c>
      <c r="I618" s="29" t="n">
        <f aca="false">D618-D617</f>
        <v>0.00699649934709257</v>
      </c>
      <c r="J618" s="29" t="n">
        <f aca="false">E618-E617</f>
        <v>0.00611454620533447</v>
      </c>
      <c r="K618" s="0" t="n">
        <v>0</v>
      </c>
      <c r="L618" s="0" t="n">
        <v>0</v>
      </c>
      <c r="M618" s="29" t="n">
        <f aca="false">IF(L618=1,J618-Carry!$B$9/Inputs!$B$16,I618)</f>
        <v>0.00699649934709257</v>
      </c>
      <c r="N618" s="0" t="n">
        <v>0.055</v>
      </c>
      <c r="O618" s="0" t="n">
        <v>0.0002</v>
      </c>
      <c r="P618" s="29" t="n">
        <f aca="false">D618-('2 Hedge ratio'!$B$6+'2 Hedge ratio'!$B$5*E618)</f>
        <v>0.000786861033153841</v>
      </c>
      <c r="Q618" s="29" t="n">
        <f aca="false">D618-('5 Re-specification'!$B$7+'5 Re-specification'!$B$5*E618+'5 Re-specification'!$B$6*F618)</f>
        <v>2.32575900973586E-005</v>
      </c>
      <c r="R618" s="30" t="n">
        <f aca="false">MIN(F618,Inputs!$B$9)</f>
        <v>250</v>
      </c>
      <c r="S618" s="29" t="n">
        <f aca="true">IF(AND(F618&gt;=1,R618&gt;=Inputs!$B$10),INDEX(LINEST(OFFSET(D618,-R618,0,R618,1),OFFSET(E618,-R618,0,R618,2)),1,1),"")</f>
        <v>-4.45685960984817E-005</v>
      </c>
      <c r="T618" s="29" t="n">
        <f aca="true">IF(AND(F618&gt;=1,R618&gt;=Inputs!$B$10),INDEX(LINEST(OFFSET(D618,-R618,0,R618,1),OFFSET(E618,-R618,0,R618,2)),1,2),"")</f>
        <v>0.998129008725034</v>
      </c>
      <c r="U618" s="29" t="n">
        <f aca="true">IF(AND(F618&gt;=1,R618&gt;=Inputs!$B$10),INDEX(LINEST(OFFSET(D618,-R618,0,R618,1),OFFSET(E618,-R618,0,R618,2)),1,3),"")</f>
        <v>4.52455830204544</v>
      </c>
      <c r="V618" s="29" t="n">
        <f aca="true">IF(AND(F618&gt;=1,R618&gt;=Inputs!$B$10),SQRT(SUMPRODUCT((OFFSET(D618,-R618,0,R618,1)-U618-T618*OFFSET(E618,-R618,0,R618,1)-S618*OFFSET(F618,-R618,0,R618,1))^2)/(R618-3)),"")</f>
        <v>0.0025423762209993</v>
      </c>
      <c r="W618" s="31" t="n">
        <f aca="false">IF(AND(F618&gt;=1,R618&gt;=Inputs!$B$10),(D618-U618-T618*E618-S618*F618)/V618,"")</f>
        <v>-0.0540406943514694</v>
      </c>
      <c r="X618" s="30" t="n">
        <f aca="false">IF(AB617&lt;&gt;0,AC617+1,0)</f>
        <v>0</v>
      </c>
      <c r="Y618" s="30" t="n">
        <f aca="false">IF(W618="",0,IF(AND(AB617&lt;&gt;0,OR(ABS(W618)&gt;Inputs!$B$7,X618&gt;=Inputs!$B$8,ABS(W618)&lt;Inputs!$B$6)),1,0))</f>
        <v>0</v>
      </c>
      <c r="Z618" s="30" t="n">
        <f aca="false">IF(Y618=1,0,AB617)</f>
        <v>0</v>
      </c>
      <c r="AA618" s="30" t="n">
        <f aca="false">IF(W618="",0,IF(AND(Z618=0,ABS(W618)&gt;Inputs!$B$5,ABS(W618)&lt;=Inputs!$B$7),1,0))</f>
        <v>0</v>
      </c>
      <c r="AB618" s="30" t="n">
        <f aca="false">IF(W618="",0,IF(AA618=1,-SIGN(W618),Z618))</f>
        <v>0</v>
      </c>
      <c r="AC618" s="30" t="n">
        <f aca="false">IF(W618="",0,IF(AA618=1,0,IF(Y618=1,0,X618)))</f>
        <v>0</v>
      </c>
      <c r="AD618" s="30" t="n">
        <f aca="false">IF(AB618=0,0,IF(AB617=AB618,AD617,T618))</f>
        <v>0</v>
      </c>
      <c r="AE618" s="30" t="n">
        <f aca="false">AB618-AB617</f>
        <v>0</v>
      </c>
      <c r="AF618" s="30" t="n">
        <f aca="false">-AD618*AB618</f>
        <v>-0</v>
      </c>
      <c r="AG618" s="30" t="n">
        <f aca="false">AF618-AF617</f>
        <v>0</v>
      </c>
      <c r="AH618" s="30" t="n">
        <f aca="false">MAX(AE618,0)*(Inputs!$B$17+Inputs!$B$18+Inputs!$B$19)+MAX(-AE618,0)*(O618+Inputs!$B$18+Inputs!$B$19)+IF(AND(K618=1,AB618&lt;&gt;0),(Inputs!$B$17+Inputs!$B$18+Inputs!$B$19)+(O618+Inputs!$B$18+Inputs!$B$19),0)+MAX(AG618,0)*(Inputs!$B$20+Inputs!$B$22+Inputs!$B$23)+MAX(-AG618,0)*(Inputs!$B$21+Inputs!$B$22+Inputs!$B$23)</f>
        <v>0</v>
      </c>
      <c r="AI618" s="30" t="n">
        <f aca="false">AB617*(M618-AD617*J618)+AB617*AD617*N618/Inputs!$B$16-AH618</f>
        <v>0</v>
      </c>
      <c r="AJ618" s="30" t="n">
        <f aca="false">MAX(AE618,0)*(Inputs!$B$17+Inputs!$B$24+Inputs!$B$25)+MAX(-AE618,0)*(O618+Inputs!$B$24+Inputs!$B$25)+IF(AND(K618=1,AB618&lt;&gt;0),(Inputs!$B$17+Inputs!$B$24+Inputs!$B$25)+(O618+Inputs!$B$24+Inputs!$B$25),0)+MAX(AG618,0)*(Inputs!$B$20+Inputs!$B$26+Inputs!$B$27)+MAX(-AG618,0)*(Inputs!$B$21+Inputs!$B$26+Inputs!$B$27)</f>
        <v>0</v>
      </c>
      <c r="AK618" s="30" t="n">
        <f aca="false">AB617*(M618-AD617*J618)+AB617*AD617*(N618+Inputs!$B$14)/Inputs!$B$16-AJ618</f>
        <v>0</v>
      </c>
      <c r="AL618" s="30" t="n">
        <f aca="false">IF(AP617&lt;&gt;0,AQ617+1,0)</f>
        <v>0</v>
      </c>
      <c r="AM618" s="30" t="n">
        <f aca="false">IF(W618="",0,IF(AND(AP617&lt;&gt;0,OR(ABS(W618)&gt;Inputs!$B$7,AL618&gt;=Inputs!$B$8,ABS(W618)&lt;Inputs!$B$6)),1,0))</f>
        <v>0</v>
      </c>
      <c r="AN618" s="30" t="n">
        <f aca="false">IF(AM618=1,0,AP617)</f>
        <v>0</v>
      </c>
      <c r="AO618" s="30" t="n">
        <f aca="false">IF(W618="",0,IF(AND(AN618=0,ABS(W618)&gt;Inputs!$B$5,ABS(W618)&lt;=Inputs!$B$7,W618&gt;0),1,0))</f>
        <v>0</v>
      </c>
      <c r="AP618" s="30" t="n">
        <f aca="false">IF(W618="",0,IF(AO618=1,-SIGN(W618),AN618))</f>
        <v>0</v>
      </c>
      <c r="AQ618" s="30" t="n">
        <f aca="false">IF(W618="",0,IF(AO618=1,0,IF(AM618=1,0,AL618)))</f>
        <v>0</v>
      </c>
      <c r="AR618" s="30" t="n">
        <f aca="false">IF(AP618=0,0,IF(AP617=AP618,AR617,T618))</f>
        <v>0</v>
      </c>
      <c r="AS618" s="30" t="n">
        <f aca="false">AP618-AP617</f>
        <v>0</v>
      </c>
      <c r="AT618" s="30" t="n">
        <f aca="false">-AR618*AP618</f>
        <v>-0</v>
      </c>
      <c r="AU618" s="30" t="n">
        <f aca="false">AT618-AT617</f>
        <v>0</v>
      </c>
      <c r="AV618" s="30" t="n">
        <f aca="false">MAX(AS618,0)*(Inputs!$B$17+Inputs!$B$18+Inputs!$B$19)+MAX(-AS618,0)*(O618+Inputs!$B$18+Inputs!$B$19)+IF(AND(K618=1,AP618&lt;&gt;0),(Inputs!$B$17+Inputs!$B$18+Inputs!$B$19)+(O618+Inputs!$B$18+Inputs!$B$19),0)+MAX(AU618,0)*(Inputs!$B$20+Inputs!$B$22+Inputs!$B$23)+MAX(-AU618,0)*(Inputs!$B$21+Inputs!$B$22+Inputs!$B$23)</f>
        <v>0</v>
      </c>
      <c r="AW618" s="30" t="n">
        <f aca="false">AP617*(M618-AR617*J618)+AP617*AR617*N618/Inputs!$B$16-AV618</f>
        <v>0</v>
      </c>
      <c r="AX618" s="30" t="n">
        <f aca="false">AW618-IF(AP617&lt;&gt;0,0.75*AR617*(Inputs!$B$13-N618)/Inputs!$B$16,0)</f>
        <v>0</v>
      </c>
      <c r="AY618" s="30" t="n">
        <f aca="false">MAX(AS618,0)*(Inputs!$B$17+Inputs!$B$18+Inputs!$B$19)+MAX(-AS618,0)*(O618+Inputs!$B$18+Inputs!$B$19)+IF(AND(K618=1,AP618&lt;&gt;0),(Inputs!$B$17+Inputs!$B$18+Inputs!$B$19)+(O618+Inputs!$B$18+Inputs!$B$19),0)</f>
        <v>0</v>
      </c>
      <c r="AZ618" s="30" t="n">
        <f aca="false">AP617*M618-AY618</f>
        <v>0</v>
      </c>
      <c r="BA618" s="32" t="n">
        <f aca="false">BA617+AI618</f>
        <v>0.0081476582830333</v>
      </c>
      <c r="BB618" s="30" t="n">
        <f aca="false">MAX(BB617,BA618)</f>
        <v>0.0108065678336457</v>
      </c>
      <c r="BC618" s="32" t="n">
        <f aca="false">BA618-BB618</f>
        <v>-0.00265890955061237</v>
      </c>
      <c r="BD618" s="30" t="n">
        <f aca="false">A619-A618</f>
        <v>1</v>
      </c>
    </row>
    <row r="619" customFormat="false" ht="15" hidden="false" customHeight="false" outlineLevel="0" collapsed="false">
      <c r="A619" s="28" t="n">
        <v>45951</v>
      </c>
      <c r="B619" s="0" t="n">
        <v>25866</v>
      </c>
      <c r="C619" s="0" t="n">
        <v>291.62</v>
      </c>
      <c r="D619" s="29" t="n">
        <f aca="false">LN(B619)</f>
        <v>10.1606846439752</v>
      </c>
      <c r="E619" s="29" t="n">
        <f aca="false">LN(C619)</f>
        <v>5.67545158488814</v>
      </c>
      <c r="F619" s="0" t="n">
        <v>614</v>
      </c>
      <c r="G619" s="0" t="n">
        <v>7</v>
      </c>
      <c r="H619" s="29" t="n">
        <f aca="false">D619-E619</f>
        <v>4.48523305908705</v>
      </c>
      <c r="I619" s="29" t="n">
        <f aca="false">D619-D618</f>
        <v>-0.00254836231969691</v>
      </c>
      <c r="J619" s="29" t="n">
        <f aca="false">E619-E618</f>
        <v>-0.00130221738014225</v>
      </c>
      <c r="K619" s="0" t="n">
        <v>0</v>
      </c>
      <c r="L619" s="0" t="n">
        <v>0</v>
      </c>
      <c r="M619" s="29" t="n">
        <f aca="false">IF(L619=1,J619-Carry!$B$9/Inputs!$B$16,I619)</f>
        <v>-0.00254836231969691</v>
      </c>
      <c r="N619" s="0" t="n">
        <v>0.055</v>
      </c>
      <c r="O619" s="0" t="n">
        <v>0.0002</v>
      </c>
      <c r="P619" s="29" t="n">
        <f aca="false">D619-('2 Hedge ratio'!$B$6+'2 Hedge ratio'!$B$5*E619)</f>
        <v>-0.000568505098238248</v>
      </c>
      <c r="Q619" s="29" t="n">
        <f aca="false">D619-('5 Re-specification'!$B$7+'5 Re-specification'!$B$5*E619+'5 Re-specification'!$B$6*F619)</f>
        <v>-0.00118190440115917</v>
      </c>
      <c r="R619" s="30" t="n">
        <f aca="false">MIN(F619,Inputs!$B$9)</f>
        <v>250</v>
      </c>
      <c r="S619" s="29" t="n">
        <f aca="true">IF(AND(F619&gt;=1,R619&gt;=Inputs!$B$10),INDEX(LINEST(OFFSET(D619,-R619,0,R619,1),OFFSET(E619,-R619,0,R619,2)),1,1),"")</f>
        <v>-4.45572110826378E-005</v>
      </c>
      <c r="T619" s="29" t="n">
        <f aca="true">IF(AND(F619&gt;=1,R619&gt;=Inputs!$B$10),INDEX(LINEST(OFFSET(D619,-R619,0,R619,1),OFFSET(E619,-R619,0,R619,2)),1,2),"")</f>
        <v>0.998082651464301</v>
      </c>
      <c r="U619" s="29" t="n">
        <f aca="true">IF(AND(F619&gt;=1,R619&gt;=Inputs!$B$10),INDEX(LINEST(OFFSET(D619,-R619,0,R619,1),OFFSET(E619,-R619,0,R619,2)),1,3),"")</f>
        <v>4.52481164326749</v>
      </c>
      <c r="V619" s="29" t="n">
        <f aca="true">IF(AND(F619&gt;=1,R619&gt;=Inputs!$B$10),SQRT(SUMPRODUCT((OFFSET(D619,-R619,0,R619,1)-U619-T619*OFFSET(E619,-R619,0,R619,1)-S619*OFFSET(F619,-R619,0,R619,1))^2)/(R619-3)),"")</f>
        <v>0.00254238339276928</v>
      </c>
      <c r="W619" s="31" t="n">
        <f aca="false">IF(AND(F619&gt;=1,R619&gt;=Inputs!$B$10),(D619-U619-T619*E619-S619*F619)/V619,"")</f>
        <v>-0.526528687131802</v>
      </c>
      <c r="X619" s="30" t="n">
        <f aca="false">IF(AB618&lt;&gt;0,AC618+1,0)</f>
        <v>0</v>
      </c>
      <c r="Y619" s="30" t="n">
        <f aca="false">IF(W619="",0,IF(AND(AB618&lt;&gt;0,OR(ABS(W619)&gt;Inputs!$B$7,X619&gt;=Inputs!$B$8,ABS(W619)&lt;Inputs!$B$6)),1,0))</f>
        <v>0</v>
      </c>
      <c r="Z619" s="30" t="n">
        <f aca="false">IF(Y619=1,0,AB618)</f>
        <v>0</v>
      </c>
      <c r="AA619" s="30" t="n">
        <f aca="false">IF(W619="",0,IF(AND(Z619=0,ABS(W619)&gt;Inputs!$B$5,ABS(W619)&lt;=Inputs!$B$7),1,0))</f>
        <v>0</v>
      </c>
      <c r="AB619" s="30" t="n">
        <f aca="false">IF(W619="",0,IF(AA619=1,-SIGN(W619),Z619))</f>
        <v>0</v>
      </c>
      <c r="AC619" s="30" t="n">
        <f aca="false">IF(W619="",0,IF(AA619=1,0,IF(Y619=1,0,X619)))</f>
        <v>0</v>
      </c>
      <c r="AD619" s="30" t="n">
        <f aca="false">IF(AB619=0,0,IF(AB618=AB619,AD618,T619))</f>
        <v>0</v>
      </c>
      <c r="AE619" s="30" t="n">
        <f aca="false">AB619-AB618</f>
        <v>0</v>
      </c>
      <c r="AF619" s="30" t="n">
        <f aca="false">-AD619*AB619</f>
        <v>-0</v>
      </c>
      <c r="AG619" s="30" t="n">
        <f aca="false">AF619-AF618</f>
        <v>0</v>
      </c>
      <c r="AH619" s="30" t="n">
        <f aca="false">MAX(AE619,0)*(Inputs!$B$17+Inputs!$B$18+Inputs!$B$19)+MAX(-AE619,0)*(O619+Inputs!$B$18+Inputs!$B$19)+IF(AND(K619=1,AB619&lt;&gt;0),(Inputs!$B$17+Inputs!$B$18+Inputs!$B$19)+(O619+Inputs!$B$18+Inputs!$B$19),0)+MAX(AG619,0)*(Inputs!$B$20+Inputs!$B$22+Inputs!$B$23)+MAX(-AG619,0)*(Inputs!$B$21+Inputs!$B$22+Inputs!$B$23)</f>
        <v>0</v>
      </c>
      <c r="AI619" s="30" t="n">
        <f aca="false">AB618*(M619-AD618*J619)+AB618*AD618*N619/Inputs!$B$16-AH619</f>
        <v>0</v>
      </c>
      <c r="AJ619" s="30" t="n">
        <f aca="false">MAX(AE619,0)*(Inputs!$B$17+Inputs!$B$24+Inputs!$B$25)+MAX(-AE619,0)*(O619+Inputs!$B$24+Inputs!$B$25)+IF(AND(K619=1,AB619&lt;&gt;0),(Inputs!$B$17+Inputs!$B$24+Inputs!$B$25)+(O619+Inputs!$B$24+Inputs!$B$25),0)+MAX(AG619,0)*(Inputs!$B$20+Inputs!$B$26+Inputs!$B$27)+MAX(-AG619,0)*(Inputs!$B$21+Inputs!$B$26+Inputs!$B$27)</f>
        <v>0</v>
      </c>
      <c r="AK619" s="30" t="n">
        <f aca="false">AB618*(M619-AD618*J619)+AB618*AD618*(N619+Inputs!$B$14)/Inputs!$B$16-AJ619</f>
        <v>0</v>
      </c>
      <c r="AL619" s="30" t="n">
        <f aca="false">IF(AP618&lt;&gt;0,AQ618+1,0)</f>
        <v>0</v>
      </c>
      <c r="AM619" s="30" t="n">
        <f aca="false">IF(W619="",0,IF(AND(AP618&lt;&gt;0,OR(ABS(W619)&gt;Inputs!$B$7,AL619&gt;=Inputs!$B$8,ABS(W619)&lt;Inputs!$B$6)),1,0))</f>
        <v>0</v>
      </c>
      <c r="AN619" s="30" t="n">
        <f aca="false">IF(AM619=1,0,AP618)</f>
        <v>0</v>
      </c>
      <c r="AO619" s="30" t="n">
        <f aca="false">IF(W619="",0,IF(AND(AN619=0,ABS(W619)&gt;Inputs!$B$5,ABS(W619)&lt;=Inputs!$B$7,W619&gt;0),1,0))</f>
        <v>0</v>
      </c>
      <c r="AP619" s="30" t="n">
        <f aca="false">IF(W619="",0,IF(AO619=1,-SIGN(W619),AN619))</f>
        <v>0</v>
      </c>
      <c r="AQ619" s="30" t="n">
        <f aca="false">IF(W619="",0,IF(AO619=1,0,IF(AM619=1,0,AL619)))</f>
        <v>0</v>
      </c>
      <c r="AR619" s="30" t="n">
        <f aca="false">IF(AP619=0,0,IF(AP618=AP619,AR618,T619))</f>
        <v>0</v>
      </c>
      <c r="AS619" s="30" t="n">
        <f aca="false">AP619-AP618</f>
        <v>0</v>
      </c>
      <c r="AT619" s="30" t="n">
        <f aca="false">-AR619*AP619</f>
        <v>-0</v>
      </c>
      <c r="AU619" s="30" t="n">
        <f aca="false">AT619-AT618</f>
        <v>0</v>
      </c>
      <c r="AV619" s="30" t="n">
        <f aca="false">MAX(AS619,0)*(Inputs!$B$17+Inputs!$B$18+Inputs!$B$19)+MAX(-AS619,0)*(O619+Inputs!$B$18+Inputs!$B$19)+IF(AND(K619=1,AP619&lt;&gt;0),(Inputs!$B$17+Inputs!$B$18+Inputs!$B$19)+(O619+Inputs!$B$18+Inputs!$B$19),0)+MAX(AU619,0)*(Inputs!$B$20+Inputs!$B$22+Inputs!$B$23)+MAX(-AU619,0)*(Inputs!$B$21+Inputs!$B$22+Inputs!$B$23)</f>
        <v>0</v>
      </c>
      <c r="AW619" s="30" t="n">
        <f aca="false">AP618*(M619-AR618*J619)+AP618*AR618*N619/Inputs!$B$16-AV619</f>
        <v>0</v>
      </c>
      <c r="AX619" s="30" t="n">
        <f aca="false">AW619-IF(AP618&lt;&gt;0,0.75*AR618*(Inputs!$B$13-N619)/Inputs!$B$16,0)</f>
        <v>0</v>
      </c>
      <c r="AY619" s="30" t="n">
        <f aca="false">MAX(AS619,0)*(Inputs!$B$17+Inputs!$B$18+Inputs!$B$19)+MAX(-AS619,0)*(O619+Inputs!$B$18+Inputs!$B$19)+IF(AND(K619=1,AP619&lt;&gt;0),(Inputs!$B$17+Inputs!$B$18+Inputs!$B$19)+(O619+Inputs!$B$18+Inputs!$B$19),0)</f>
        <v>0</v>
      </c>
      <c r="AZ619" s="30" t="n">
        <f aca="false">AP618*M619-AY619</f>
        <v>-0</v>
      </c>
      <c r="BA619" s="32" t="n">
        <f aca="false">BA618+AI619</f>
        <v>0.0081476582830333</v>
      </c>
      <c r="BB619" s="30" t="n">
        <f aca="false">MAX(BB618,BA619)</f>
        <v>0.0108065678336457</v>
      </c>
      <c r="BC619" s="32" t="n">
        <f aca="false">BA619-BB619</f>
        <v>-0.00265890955061237</v>
      </c>
      <c r="BD619" s="30" t="n">
        <f aca="false">A620-A619</f>
        <v>2</v>
      </c>
    </row>
    <row r="620" customFormat="false" ht="15" hidden="false" customHeight="false" outlineLevel="0" collapsed="false">
      <c r="A620" s="28" t="n">
        <v>45953</v>
      </c>
      <c r="B620" s="0" t="n">
        <v>25950</v>
      </c>
      <c r="C620" s="0" t="n">
        <v>292.6</v>
      </c>
      <c r="D620" s="29" t="n">
        <f aca="false">LN(B620)</f>
        <v>10.163926888594</v>
      </c>
      <c r="E620" s="29" t="n">
        <f aca="false">LN(C620)</f>
        <v>5.67880648858602</v>
      </c>
      <c r="F620" s="0" t="n">
        <v>615</v>
      </c>
      <c r="G620" s="0" t="n">
        <v>5</v>
      </c>
      <c r="H620" s="29" t="n">
        <f aca="false">D620-E620</f>
        <v>4.48512040000801</v>
      </c>
      <c r="I620" s="29" t="n">
        <f aca="false">D620-D619</f>
        <v>0.00324224461884448</v>
      </c>
      <c r="J620" s="29" t="n">
        <f aca="false">E620-E619</f>
        <v>0.00335490369788438</v>
      </c>
      <c r="K620" s="0" t="n">
        <v>0</v>
      </c>
      <c r="L620" s="0" t="n">
        <v>0</v>
      </c>
      <c r="M620" s="29" t="n">
        <f aca="false">IF(L620=1,J620-Carry!$B$9/Inputs!$B$16,I620)</f>
        <v>0.00324224461884448</v>
      </c>
      <c r="N620" s="0" t="n">
        <v>0.055</v>
      </c>
      <c r="O620" s="0" t="n">
        <v>0.0002</v>
      </c>
      <c r="P620" s="29" t="n">
        <f aca="false">D620-('2 Hedge ratio'!$B$6+'2 Hedge ratio'!$B$5*E620)</f>
        <v>-0.000399777531720602</v>
      </c>
      <c r="Q620" s="29" t="n">
        <f aca="false">D620-('5 Re-specification'!$B$7+'5 Re-specification'!$B$5*E620+'5 Re-specification'!$B$6*F620)</f>
        <v>-0.0012394671263749</v>
      </c>
      <c r="R620" s="30" t="n">
        <f aca="false">MIN(F620,Inputs!$B$9)</f>
        <v>250</v>
      </c>
      <c r="S620" s="29" t="n">
        <f aca="true">IF(AND(F620&gt;=1,R620&gt;=Inputs!$B$10),INDEX(LINEST(OFFSET(D620,-R620,0,R620,1),OFFSET(E620,-R620,0,R620,2)),1,1),"")</f>
        <v>-4.48195764847831E-005</v>
      </c>
      <c r="T620" s="29" t="n">
        <f aca="true">IF(AND(F620&gt;=1,R620&gt;=Inputs!$B$10),INDEX(LINEST(OFFSET(D620,-R620,0,R620,1),OFFSET(E620,-R620,0,R620,2)),1,2),"")</f>
        <v>0.998190566235749</v>
      </c>
      <c r="U620" s="29" t="n">
        <f aca="true">IF(AND(F620&gt;=1,R620&gt;=Inputs!$B$10),INDEX(LINEST(OFFSET(D620,-R620,0,R620,1),OFFSET(E620,-R620,0,R620,2)),1,3),"")</f>
        <v>4.52433388579024</v>
      </c>
      <c r="V620" s="29" t="n">
        <f aca="true">IF(AND(F620&gt;=1,R620&gt;=Inputs!$B$10),SQRT(SUMPRODUCT((OFFSET(D620,-R620,0,R620,1)-U620-T620*OFFSET(E620,-R620,0,R620,1)-S620*OFFSET(F620,-R620,0,R620,1))^2)/(R620-3)),"")</f>
        <v>0.00254293476834559</v>
      </c>
      <c r="W620" s="31" t="n">
        <f aca="false">IF(AND(F620&gt;=1,R620&gt;=Inputs!$B$10),(D620-U620-T620*E620-S620*F620)/V620,"")</f>
        <v>-0.540329252681798</v>
      </c>
      <c r="X620" s="30" t="n">
        <f aca="false">IF(AB619&lt;&gt;0,AC619+1,0)</f>
        <v>0</v>
      </c>
      <c r="Y620" s="30" t="n">
        <f aca="false">IF(W620="",0,IF(AND(AB619&lt;&gt;0,OR(ABS(W620)&gt;Inputs!$B$7,X620&gt;=Inputs!$B$8,ABS(W620)&lt;Inputs!$B$6)),1,0))</f>
        <v>0</v>
      </c>
      <c r="Z620" s="30" t="n">
        <f aca="false">IF(Y620=1,0,AB619)</f>
        <v>0</v>
      </c>
      <c r="AA620" s="30" t="n">
        <f aca="false">IF(W620="",0,IF(AND(Z620=0,ABS(W620)&gt;Inputs!$B$5,ABS(W620)&lt;=Inputs!$B$7),1,0))</f>
        <v>0</v>
      </c>
      <c r="AB620" s="30" t="n">
        <f aca="false">IF(W620="",0,IF(AA620=1,-SIGN(W620),Z620))</f>
        <v>0</v>
      </c>
      <c r="AC620" s="30" t="n">
        <f aca="false">IF(W620="",0,IF(AA620=1,0,IF(Y620=1,0,X620)))</f>
        <v>0</v>
      </c>
      <c r="AD620" s="30" t="n">
        <f aca="false">IF(AB620=0,0,IF(AB619=AB620,AD619,T620))</f>
        <v>0</v>
      </c>
      <c r="AE620" s="30" t="n">
        <f aca="false">AB620-AB619</f>
        <v>0</v>
      </c>
      <c r="AF620" s="30" t="n">
        <f aca="false">-AD620*AB620</f>
        <v>-0</v>
      </c>
      <c r="AG620" s="30" t="n">
        <f aca="false">AF620-AF619</f>
        <v>0</v>
      </c>
      <c r="AH620" s="30" t="n">
        <f aca="false">MAX(AE620,0)*(Inputs!$B$17+Inputs!$B$18+Inputs!$B$19)+MAX(-AE620,0)*(O620+Inputs!$B$18+Inputs!$B$19)+IF(AND(K620=1,AB620&lt;&gt;0),(Inputs!$B$17+Inputs!$B$18+Inputs!$B$19)+(O620+Inputs!$B$18+Inputs!$B$19),0)+MAX(AG620,0)*(Inputs!$B$20+Inputs!$B$22+Inputs!$B$23)+MAX(-AG620,0)*(Inputs!$B$21+Inputs!$B$22+Inputs!$B$23)</f>
        <v>0</v>
      </c>
      <c r="AI620" s="30" t="n">
        <f aca="false">AB619*(M620-AD619*J620)+AB619*AD619*N620/Inputs!$B$16-AH620</f>
        <v>0</v>
      </c>
      <c r="AJ620" s="30" t="n">
        <f aca="false">MAX(AE620,0)*(Inputs!$B$17+Inputs!$B$24+Inputs!$B$25)+MAX(-AE620,0)*(O620+Inputs!$B$24+Inputs!$B$25)+IF(AND(K620=1,AB620&lt;&gt;0),(Inputs!$B$17+Inputs!$B$24+Inputs!$B$25)+(O620+Inputs!$B$24+Inputs!$B$25),0)+MAX(AG620,0)*(Inputs!$B$20+Inputs!$B$26+Inputs!$B$27)+MAX(-AG620,0)*(Inputs!$B$21+Inputs!$B$26+Inputs!$B$27)</f>
        <v>0</v>
      </c>
      <c r="AK620" s="30" t="n">
        <f aca="false">AB619*(M620-AD619*J620)+AB619*AD619*(N620+Inputs!$B$14)/Inputs!$B$16-AJ620</f>
        <v>0</v>
      </c>
      <c r="AL620" s="30" t="n">
        <f aca="false">IF(AP619&lt;&gt;0,AQ619+1,0)</f>
        <v>0</v>
      </c>
      <c r="AM620" s="30" t="n">
        <f aca="false">IF(W620="",0,IF(AND(AP619&lt;&gt;0,OR(ABS(W620)&gt;Inputs!$B$7,AL620&gt;=Inputs!$B$8,ABS(W620)&lt;Inputs!$B$6)),1,0))</f>
        <v>0</v>
      </c>
      <c r="AN620" s="30" t="n">
        <f aca="false">IF(AM620=1,0,AP619)</f>
        <v>0</v>
      </c>
      <c r="AO620" s="30" t="n">
        <f aca="false">IF(W620="",0,IF(AND(AN620=0,ABS(W620)&gt;Inputs!$B$5,ABS(W620)&lt;=Inputs!$B$7,W620&gt;0),1,0))</f>
        <v>0</v>
      </c>
      <c r="AP620" s="30" t="n">
        <f aca="false">IF(W620="",0,IF(AO620=1,-SIGN(W620),AN620))</f>
        <v>0</v>
      </c>
      <c r="AQ620" s="30" t="n">
        <f aca="false">IF(W620="",0,IF(AO620=1,0,IF(AM620=1,0,AL620)))</f>
        <v>0</v>
      </c>
      <c r="AR620" s="30" t="n">
        <f aca="false">IF(AP620=0,0,IF(AP619=AP620,AR619,T620))</f>
        <v>0</v>
      </c>
      <c r="AS620" s="30" t="n">
        <f aca="false">AP620-AP619</f>
        <v>0</v>
      </c>
      <c r="AT620" s="30" t="n">
        <f aca="false">-AR620*AP620</f>
        <v>-0</v>
      </c>
      <c r="AU620" s="30" t="n">
        <f aca="false">AT620-AT619</f>
        <v>0</v>
      </c>
      <c r="AV620" s="30" t="n">
        <f aca="false">MAX(AS620,0)*(Inputs!$B$17+Inputs!$B$18+Inputs!$B$19)+MAX(-AS620,0)*(O620+Inputs!$B$18+Inputs!$B$19)+IF(AND(K620=1,AP620&lt;&gt;0),(Inputs!$B$17+Inputs!$B$18+Inputs!$B$19)+(O620+Inputs!$B$18+Inputs!$B$19),0)+MAX(AU620,0)*(Inputs!$B$20+Inputs!$B$22+Inputs!$B$23)+MAX(-AU620,0)*(Inputs!$B$21+Inputs!$B$22+Inputs!$B$23)</f>
        <v>0</v>
      </c>
      <c r="AW620" s="30" t="n">
        <f aca="false">AP619*(M620-AR619*J620)+AP619*AR619*N620/Inputs!$B$16-AV620</f>
        <v>0</v>
      </c>
      <c r="AX620" s="30" t="n">
        <f aca="false">AW620-IF(AP619&lt;&gt;0,0.75*AR619*(Inputs!$B$13-N620)/Inputs!$B$16,0)</f>
        <v>0</v>
      </c>
      <c r="AY620" s="30" t="n">
        <f aca="false">MAX(AS620,0)*(Inputs!$B$17+Inputs!$B$18+Inputs!$B$19)+MAX(-AS620,0)*(O620+Inputs!$B$18+Inputs!$B$19)+IF(AND(K620=1,AP620&lt;&gt;0),(Inputs!$B$17+Inputs!$B$18+Inputs!$B$19)+(O620+Inputs!$B$18+Inputs!$B$19),0)</f>
        <v>0</v>
      </c>
      <c r="AZ620" s="30" t="n">
        <f aca="false">AP619*M620-AY620</f>
        <v>0</v>
      </c>
      <c r="BA620" s="32" t="n">
        <f aca="false">BA619+AI620</f>
        <v>0.0081476582830333</v>
      </c>
      <c r="BB620" s="30" t="n">
        <f aca="false">MAX(BB619,BA620)</f>
        <v>0.0108065678336457</v>
      </c>
      <c r="BC620" s="32" t="n">
        <f aca="false">BA620-BB620</f>
        <v>-0.00265890955061237</v>
      </c>
      <c r="BD620" s="30" t="n">
        <f aca="false">A621-A620</f>
        <v>1</v>
      </c>
    </row>
    <row r="621" customFormat="false" ht="15" hidden="false" customHeight="false" outlineLevel="0" collapsed="false">
      <c r="A621" s="28" t="n">
        <v>45954</v>
      </c>
      <c r="B621" s="0" t="n">
        <v>25813.7</v>
      </c>
      <c r="C621" s="0" t="n">
        <v>291.2</v>
      </c>
      <c r="D621" s="29" t="n">
        <f aca="false">LN(B621)</f>
        <v>10.1586606377269</v>
      </c>
      <c r="E621" s="29" t="n">
        <f aca="false">LN(C621)</f>
        <v>5.67401031632253</v>
      </c>
      <c r="F621" s="0" t="n">
        <v>616</v>
      </c>
      <c r="G621" s="0" t="n">
        <v>4</v>
      </c>
      <c r="H621" s="29" t="n">
        <f aca="false">D621-E621</f>
        <v>4.48465032140439</v>
      </c>
      <c r="I621" s="29" t="n">
        <f aca="false">D621-D620</f>
        <v>-0.00526625086711441</v>
      </c>
      <c r="J621" s="29" t="n">
        <f aca="false">E621-E620</f>
        <v>-0.00479617226349305</v>
      </c>
      <c r="K621" s="0" t="n">
        <v>0</v>
      </c>
      <c r="L621" s="0" t="n">
        <v>0</v>
      </c>
      <c r="M621" s="29" t="n">
        <f aca="false">IF(L621=1,J621-Carry!$B$9/Inputs!$B$16,I621)</f>
        <v>-0.00526625086711441</v>
      </c>
      <c r="N621" s="0" t="n">
        <v>0.055</v>
      </c>
      <c r="O621" s="0" t="n">
        <v>0.0002</v>
      </c>
      <c r="P621" s="29" t="n">
        <f aca="false">D621-('2 Hedge ratio'!$B$6+'2 Hedge ratio'!$B$5*E621)</f>
        <v>-0.00127212664629184</v>
      </c>
      <c r="Q621" s="29" t="n">
        <f aca="false">D621-('5 Re-specification'!$B$7+'5 Re-specification'!$B$5*E621+'5 Re-specification'!$B$6*F621)</f>
        <v>-0.00167915121204665</v>
      </c>
      <c r="R621" s="30" t="n">
        <f aca="false">MIN(F621,Inputs!$B$9)</f>
        <v>250</v>
      </c>
      <c r="S621" s="29" t="n">
        <f aca="true">IF(AND(F621&gt;=1,R621&gt;=Inputs!$B$10),INDEX(LINEST(OFFSET(D621,-R621,0,R621,1),OFFSET(E621,-R621,0,R621,2)),1,1),"")</f>
        <v>-4.45923027481343E-005</v>
      </c>
      <c r="T621" s="29" t="n">
        <f aca="true">IF(AND(F621&gt;=1,R621&gt;=Inputs!$B$10),INDEX(LINEST(OFFSET(D621,-R621,0,R621,1),OFFSET(E621,-R621,0,R621,2)),1,2),"")</f>
        <v>0.997573173890212</v>
      </c>
      <c r="U621" s="29" t="n">
        <f aca="true">IF(AND(F621&gt;=1,R621&gt;=Inputs!$B$10),INDEX(LINEST(OFFSET(D621,-R621,0,R621,1),OFFSET(E621,-R621,0,R621,2)),1,3),"")</f>
        <v>4.52767171152007</v>
      </c>
      <c r="V621" s="29" t="n">
        <f aca="true">IF(AND(F621&gt;=1,R621&gt;=Inputs!$B$10),SQRT(SUMPRODUCT((OFFSET(D621,-R621,0,R621,1)-U621-T621*OFFSET(E621,-R621,0,R621,1)-S621*OFFSET(F621,-R621,0,R621,1))^2)/(R621-3)),"")</f>
        <v>0.00254256762046711</v>
      </c>
      <c r="W621" s="31" t="n">
        <f aca="false">IF(AND(F621&gt;=1,R621&gt;=Inputs!$B$10),(D621-U621-T621*E621-S621*F621)/V621,"")</f>
        <v>-0.701139755585755</v>
      </c>
      <c r="X621" s="30" t="n">
        <f aca="false">IF(AB620&lt;&gt;0,AC620+1,0)</f>
        <v>0</v>
      </c>
      <c r="Y621" s="30" t="n">
        <f aca="false">IF(W621="",0,IF(AND(AB620&lt;&gt;0,OR(ABS(W621)&gt;Inputs!$B$7,X621&gt;=Inputs!$B$8,ABS(W621)&lt;Inputs!$B$6)),1,0))</f>
        <v>0</v>
      </c>
      <c r="Z621" s="30" t="n">
        <f aca="false">IF(Y621=1,0,AB620)</f>
        <v>0</v>
      </c>
      <c r="AA621" s="30" t="n">
        <f aca="false">IF(W621="",0,IF(AND(Z621=0,ABS(W621)&gt;Inputs!$B$5,ABS(W621)&lt;=Inputs!$B$7),1,0))</f>
        <v>0</v>
      </c>
      <c r="AB621" s="30" t="n">
        <f aca="false">IF(W621="",0,IF(AA621=1,-SIGN(W621),Z621))</f>
        <v>0</v>
      </c>
      <c r="AC621" s="30" t="n">
        <f aca="false">IF(W621="",0,IF(AA621=1,0,IF(Y621=1,0,X621)))</f>
        <v>0</v>
      </c>
      <c r="AD621" s="30" t="n">
        <f aca="false">IF(AB621=0,0,IF(AB620=AB621,AD620,T621))</f>
        <v>0</v>
      </c>
      <c r="AE621" s="30" t="n">
        <f aca="false">AB621-AB620</f>
        <v>0</v>
      </c>
      <c r="AF621" s="30" t="n">
        <f aca="false">-AD621*AB621</f>
        <v>-0</v>
      </c>
      <c r="AG621" s="30" t="n">
        <f aca="false">AF621-AF620</f>
        <v>0</v>
      </c>
      <c r="AH621" s="30" t="n">
        <f aca="false">MAX(AE621,0)*(Inputs!$B$17+Inputs!$B$18+Inputs!$B$19)+MAX(-AE621,0)*(O621+Inputs!$B$18+Inputs!$B$19)+IF(AND(K621=1,AB621&lt;&gt;0),(Inputs!$B$17+Inputs!$B$18+Inputs!$B$19)+(O621+Inputs!$B$18+Inputs!$B$19),0)+MAX(AG621,0)*(Inputs!$B$20+Inputs!$B$22+Inputs!$B$23)+MAX(-AG621,0)*(Inputs!$B$21+Inputs!$B$22+Inputs!$B$23)</f>
        <v>0</v>
      </c>
      <c r="AI621" s="30" t="n">
        <f aca="false">AB620*(M621-AD620*J621)+AB620*AD620*N621/Inputs!$B$16-AH621</f>
        <v>0</v>
      </c>
      <c r="AJ621" s="30" t="n">
        <f aca="false">MAX(AE621,0)*(Inputs!$B$17+Inputs!$B$24+Inputs!$B$25)+MAX(-AE621,0)*(O621+Inputs!$B$24+Inputs!$B$25)+IF(AND(K621=1,AB621&lt;&gt;0),(Inputs!$B$17+Inputs!$B$24+Inputs!$B$25)+(O621+Inputs!$B$24+Inputs!$B$25),0)+MAX(AG621,0)*(Inputs!$B$20+Inputs!$B$26+Inputs!$B$27)+MAX(-AG621,0)*(Inputs!$B$21+Inputs!$B$26+Inputs!$B$27)</f>
        <v>0</v>
      </c>
      <c r="AK621" s="30" t="n">
        <f aca="false">AB620*(M621-AD620*J621)+AB620*AD620*(N621+Inputs!$B$14)/Inputs!$B$16-AJ621</f>
        <v>0</v>
      </c>
      <c r="AL621" s="30" t="n">
        <f aca="false">IF(AP620&lt;&gt;0,AQ620+1,0)</f>
        <v>0</v>
      </c>
      <c r="AM621" s="30" t="n">
        <f aca="false">IF(W621="",0,IF(AND(AP620&lt;&gt;0,OR(ABS(W621)&gt;Inputs!$B$7,AL621&gt;=Inputs!$B$8,ABS(W621)&lt;Inputs!$B$6)),1,0))</f>
        <v>0</v>
      </c>
      <c r="AN621" s="30" t="n">
        <f aca="false">IF(AM621=1,0,AP620)</f>
        <v>0</v>
      </c>
      <c r="AO621" s="30" t="n">
        <f aca="false">IF(W621="",0,IF(AND(AN621=0,ABS(W621)&gt;Inputs!$B$5,ABS(W621)&lt;=Inputs!$B$7,W621&gt;0),1,0))</f>
        <v>0</v>
      </c>
      <c r="AP621" s="30" t="n">
        <f aca="false">IF(W621="",0,IF(AO621=1,-SIGN(W621),AN621))</f>
        <v>0</v>
      </c>
      <c r="AQ621" s="30" t="n">
        <f aca="false">IF(W621="",0,IF(AO621=1,0,IF(AM621=1,0,AL621)))</f>
        <v>0</v>
      </c>
      <c r="AR621" s="30" t="n">
        <f aca="false">IF(AP621=0,0,IF(AP620=AP621,AR620,T621))</f>
        <v>0</v>
      </c>
      <c r="AS621" s="30" t="n">
        <f aca="false">AP621-AP620</f>
        <v>0</v>
      </c>
      <c r="AT621" s="30" t="n">
        <f aca="false">-AR621*AP621</f>
        <v>-0</v>
      </c>
      <c r="AU621" s="30" t="n">
        <f aca="false">AT621-AT620</f>
        <v>0</v>
      </c>
      <c r="AV621" s="30" t="n">
        <f aca="false">MAX(AS621,0)*(Inputs!$B$17+Inputs!$B$18+Inputs!$B$19)+MAX(-AS621,0)*(O621+Inputs!$B$18+Inputs!$B$19)+IF(AND(K621=1,AP621&lt;&gt;0),(Inputs!$B$17+Inputs!$B$18+Inputs!$B$19)+(O621+Inputs!$B$18+Inputs!$B$19),0)+MAX(AU621,0)*(Inputs!$B$20+Inputs!$B$22+Inputs!$B$23)+MAX(-AU621,0)*(Inputs!$B$21+Inputs!$B$22+Inputs!$B$23)</f>
        <v>0</v>
      </c>
      <c r="AW621" s="30" t="n">
        <f aca="false">AP620*(M621-AR620*J621)+AP620*AR620*N621/Inputs!$B$16-AV621</f>
        <v>0</v>
      </c>
      <c r="AX621" s="30" t="n">
        <f aca="false">AW621-IF(AP620&lt;&gt;0,0.75*AR620*(Inputs!$B$13-N621)/Inputs!$B$16,0)</f>
        <v>0</v>
      </c>
      <c r="AY621" s="30" t="n">
        <f aca="false">MAX(AS621,0)*(Inputs!$B$17+Inputs!$B$18+Inputs!$B$19)+MAX(-AS621,0)*(O621+Inputs!$B$18+Inputs!$B$19)+IF(AND(K621=1,AP621&lt;&gt;0),(Inputs!$B$17+Inputs!$B$18+Inputs!$B$19)+(O621+Inputs!$B$18+Inputs!$B$19),0)</f>
        <v>0</v>
      </c>
      <c r="AZ621" s="30" t="n">
        <f aca="false">AP620*M621-AY621</f>
        <v>-0</v>
      </c>
      <c r="BA621" s="32" t="n">
        <f aca="false">BA620+AI621</f>
        <v>0.0081476582830333</v>
      </c>
      <c r="BB621" s="30" t="n">
        <f aca="false">MAX(BB620,BA621)</f>
        <v>0.0108065678336457</v>
      </c>
      <c r="BC621" s="32" t="n">
        <f aca="false">BA621-BB621</f>
        <v>-0.00265890955061237</v>
      </c>
      <c r="BD621" s="30" t="n">
        <f aca="false">A622-A621</f>
        <v>3</v>
      </c>
    </row>
    <row r="622" customFormat="false" ht="15" hidden="false" customHeight="false" outlineLevel="0" collapsed="false">
      <c r="A622" s="28" t="n">
        <v>45957</v>
      </c>
      <c r="B622" s="0" t="n">
        <v>26036</v>
      </c>
      <c r="C622" s="0" t="n">
        <v>293.5</v>
      </c>
      <c r="D622" s="29" t="n">
        <f aca="false">LN(B622)</f>
        <v>10.1672354746923</v>
      </c>
      <c r="E622" s="29" t="n">
        <f aca="false">LN(C622)</f>
        <v>5.68187763926815</v>
      </c>
      <c r="F622" s="0" t="n">
        <v>617</v>
      </c>
      <c r="G622" s="0" t="n">
        <v>1</v>
      </c>
      <c r="H622" s="29" t="n">
        <f aca="false">D622-E622</f>
        <v>4.48535783542413</v>
      </c>
      <c r="I622" s="29" t="n">
        <f aca="false">D622-D621</f>
        <v>0.00857483696535866</v>
      </c>
      <c r="J622" s="29" t="n">
        <f aca="false">E622-E621</f>
        <v>0.00786732294562054</v>
      </c>
      <c r="K622" s="0" t="n">
        <v>0</v>
      </c>
      <c r="L622" s="0" t="n">
        <v>0</v>
      </c>
      <c r="M622" s="29" t="n">
        <f aca="false">IF(L622=1,J622-Carry!$B$9/Inputs!$B$16,I622)</f>
        <v>0.00857483696535866</v>
      </c>
      <c r="N622" s="0" t="n">
        <v>0.055</v>
      </c>
      <c r="O622" s="0" t="n">
        <v>0.0002</v>
      </c>
      <c r="P622" s="29" t="n">
        <f aca="false">D622-('2 Hedge ratio'!$B$6+'2 Hedge ratio'!$B$5*E622)</f>
        <v>9.52452449478614E-005</v>
      </c>
      <c r="Q622" s="29" t="n">
        <f aca="false">D622-('5 Re-specification'!$B$7+'5 Re-specification'!$B$5*E622+'5 Re-specification'!$B$6*F622)</f>
        <v>-0.000902865951857734</v>
      </c>
      <c r="R622" s="30" t="n">
        <f aca="false">MIN(F622,Inputs!$B$9)</f>
        <v>250</v>
      </c>
      <c r="S622" s="29" t="n">
        <f aca="true">IF(AND(F622&gt;=1,R622&gt;=Inputs!$B$10),INDEX(LINEST(OFFSET(D622,-R622,0,R622,1),OFFSET(E622,-R622,0,R622,2)),1,1),"")</f>
        <v>-4.51975951892402E-005</v>
      </c>
      <c r="T622" s="29" t="n">
        <f aca="true">IF(AND(F622&gt;=1,R622&gt;=Inputs!$B$10),INDEX(LINEST(OFFSET(D622,-R622,0,R622,1),OFFSET(E622,-R622,0,R622,2)),1,2),"")</f>
        <v>0.998095013847171</v>
      </c>
      <c r="U622" s="29" t="n">
        <f aca="true">IF(AND(F622&gt;=1,R622&gt;=Inputs!$B$10),INDEX(LINEST(OFFSET(D622,-R622,0,R622,1),OFFSET(E622,-R622,0,R622,2)),1,3),"")</f>
        <v>4.52504715386082</v>
      </c>
      <c r="V622" s="29" t="n">
        <f aca="true">IF(AND(F622&gt;=1,R622&gt;=Inputs!$B$10),SQRT(SUMPRODUCT((OFFSET(D622,-R622,0,R622,1)-U622-T622*OFFSET(E622,-R622,0,R622,1)-S622*OFFSET(F622,-R622,0,R622,1))^2)/(R622-3)),"")</f>
        <v>0.00253954419160476</v>
      </c>
      <c r="W622" s="31" t="n">
        <f aca="false">IF(AND(F622&gt;=1,R622&gt;=Inputs!$B$10),(D622-U622-T622*E622-S622*F622)/V622,"")</f>
        <v>-0.385306931570507</v>
      </c>
      <c r="X622" s="30" t="n">
        <f aca="false">IF(AB621&lt;&gt;0,AC621+1,0)</f>
        <v>0</v>
      </c>
      <c r="Y622" s="30" t="n">
        <f aca="false">IF(W622="",0,IF(AND(AB621&lt;&gt;0,OR(ABS(W622)&gt;Inputs!$B$7,X622&gt;=Inputs!$B$8,ABS(W622)&lt;Inputs!$B$6)),1,0))</f>
        <v>0</v>
      </c>
      <c r="Z622" s="30" t="n">
        <f aca="false">IF(Y622=1,0,AB621)</f>
        <v>0</v>
      </c>
      <c r="AA622" s="30" t="n">
        <f aca="false">IF(W622="",0,IF(AND(Z622=0,ABS(W622)&gt;Inputs!$B$5,ABS(W622)&lt;=Inputs!$B$7),1,0))</f>
        <v>0</v>
      </c>
      <c r="AB622" s="30" t="n">
        <f aca="false">IF(W622="",0,IF(AA622=1,-SIGN(W622),Z622))</f>
        <v>0</v>
      </c>
      <c r="AC622" s="30" t="n">
        <f aca="false">IF(W622="",0,IF(AA622=1,0,IF(Y622=1,0,X622)))</f>
        <v>0</v>
      </c>
      <c r="AD622" s="30" t="n">
        <f aca="false">IF(AB622=0,0,IF(AB621=AB622,AD621,T622))</f>
        <v>0</v>
      </c>
      <c r="AE622" s="30" t="n">
        <f aca="false">AB622-AB621</f>
        <v>0</v>
      </c>
      <c r="AF622" s="30" t="n">
        <f aca="false">-AD622*AB622</f>
        <v>-0</v>
      </c>
      <c r="AG622" s="30" t="n">
        <f aca="false">AF622-AF621</f>
        <v>0</v>
      </c>
      <c r="AH622" s="30" t="n">
        <f aca="false">MAX(AE622,0)*(Inputs!$B$17+Inputs!$B$18+Inputs!$B$19)+MAX(-AE622,0)*(O622+Inputs!$B$18+Inputs!$B$19)+IF(AND(K622=1,AB622&lt;&gt;0),(Inputs!$B$17+Inputs!$B$18+Inputs!$B$19)+(O622+Inputs!$B$18+Inputs!$B$19),0)+MAX(AG622,0)*(Inputs!$B$20+Inputs!$B$22+Inputs!$B$23)+MAX(-AG622,0)*(Inputs!$B$21+Inputs!$B$22+Inputs!$B$23)</f>
        <v>0</v>
      </c>
      <c r="AI622" s="30" t="n">
        <f aca="false">AB621*(M622-AD621*J622)+AB621*AD621*N622/Inputs!$B$16-AH622</f>
        <v>0</v>
      </c>
      <c r="AJ622" s="30" t="n">
        <f aca="false">MAX(AE622,0)*(Inputs!$B$17+Inputs!$B$24+Inputs!$B$25)+MAX(-AE622,0)*(O622+Inputs!$B$24+Inputs!$B$25)+IF(AND(K622=1,AB622&lt;&gt;0),(Inputs!$B$17+Inputs!$B$24+Inputs!$B$25)+(O622+Inputs!$B$24+Inputs!$B$25),0)+MAX(AG622,0)*(Inputs!$B$20+Inputs!$B$26+Inputs!$B$27)+MAX(-AG622,0)*(Inputs!$B$21+Inputs!$B$26+Inputs!$B$27)</f>
        <v>0</v>
      </c>
      <c r="AK622" s="30" t="n">
        <f aca="false">AB621*(M622-AD621*J622)+AB621*AD621*(N622+Inputs!$B$14)/Inputs!$B$16-AJ622</f>
        <v>0</v>
      </c>
      <c r="AL622" s="30" t="n">
        <f aca="false">IF(AP621&lt;&gt;0,AQ621+1,0)</f>
        <v>0</v>
      </c>
      <c r="AM622" s="30" t="n">
        <f aca="false">IF(W622="",0,IF(AND(AP621&lt;&gt;0,OR(ABS(W622)&gt;Inputs!$B$7,AL622&gt;=Inputs!$B$8,ABS(W622)&lt;Inputs!$B$6)),1,0))</f>
        <v>0</v>
      </c>
      <c r="AN622" s="30" t="n">
        <f aca="false">IF(AM622=1,0,AP621)</f>
        <v>0</v>
      </c>
      <c r="AO622" s="30" t="n">
        <f aca="false">IF(W622="",0,IF(AND(AN622=0,ABS(W622)&gt;Inputs!$B$5,ABS(W622)&lt;=Inputs!$B$7,W622&gt;0),1,0))</f>
        <v>0</v>
      </c>
      <c r="AP622" s="30" t="n">
        <f aca="false">IF(W622="",0,IF(AO622=1,-SIGN(W622),AN622))</f>
        <v>0</v>
      </c>
      <c r="AQ622" s="30" t="n">
        <f aca="false">IF(W622="",0,IF(AO622=1,0,IF(AM622=1,0,AL622)))</f>
        <v>0</v>
      </c>
      <c r="AR622" s="30" t="n">
        <f aca="false">IF(AP622=0,0,IF(AP621=AP622,AR621,T622))</f>
        <v>0</v>
      </c>
      <c r="AS622" s="30" t="n">
        <f aca="false">AP622-AP621</f>
        <v>0</v>
      </c>
      <c r="AT622" s="30" t="n">
        <f aca="false">-AR622*AP622</f>
        <v>-0</v>
      </c>
      <c r="AU622" s="30" t="n">
        <f aca="false">AT622-AT621</f>
        <v>0</v>
      </c>
      <c r="AV622" s="30" t="n">
        <f aca="false">MAX(AS622,0)*(Inputs!$B$17+Inputs!$B$18+Inputs!$B$19)+MAX(-AS622,0)*(O622+Inputs!$B$18+Inputs!$B$19)+IF(AND(K622=1,AP622&lt;&gt;0),(Inputs!$B$17+Inputs!$B$18+Inputs!$B$19)+(O622+Inputs!$B$18+Inputs!$B$19),0)+MAX(AU622,0)*(Inputs!$B$20+Inputs!$B$22+Inputs!$B$23)+MAX(-AU622,0)*(Inputs!$B$21+Inputs!$B$22+Inputs!$B$23)</f>
        <v>0</v>
      </c>
      <c r="AW622" s="30" t="n">
        <f aca="false">AP621*(M622-AR621*J622)+AP621*AR621*N622/Inputs!$B$16-AV622</f>
        <v>0</v>
      </c>
      <c r="AX622" s="30" t="n">
        <f aca="false">AW622-IF(AP621&lt;&gt;0,0.75*AR621*(Inputs!$B$13-N622)/Inputs!$B$16,0)</f>
        <v>0</v>
      </c>
      <c r="AY622" s="30" t="n">
        <f aca="false">MAX(AS622,0)*(Inputs!$B$17+Inputs!$B$18+Inputs!$B$19)+MAX(-AS622,0)*(O622+Inputs!$B$18+Inputs!$B$19)+IF(AND(K622=1,AP622&lt;&gt;0),(Inputs!$B$17+Inputs!$B$18+Inputs!$B$19)+(O622+Inputs!$B$18+Inputs!$B$19),0)</f>
        <v>0</v>
      </c>
      <c r="AZ622" s="30" t="n">
        <f aca="false">AP621*M622-AY622</f>
        <v>0</v>
      </c>
      <c r="BA622" s="32" t="n">
        <f aca="false">BA621+AI622</f>
        <v>0.0081476582830333</v>
      </c>
      <c r="BB622" s="30" t="n">
        <f aca="false">MAX(BB621,BA622)</f>
        <v>0.0108065678336457</v>
      </c>
      <c r="BC622" s="32" t="n">
        <f aca="false">BA622-BB622</f>
        <v>-0.00265890955061237</v>
      </c>
      <c r="BD622" s="30" t="n">
        <f aca="false">A623-A622</f>
        <v>1</v>
      </c>
    </row>
    <row r="623" customFormat="false" ht="15" hidden="false" customHeight="false" outlineLevel="0" collapsed="false">
      <c r="A623" s="28" t="n">
        <v>45958</v>
      </c>
      <c r="B623" s="0" t="n">
        <v>25934.6</v>
      </c>
      <c r="C623" s="0" t="n">
        <v>293.15</v>
      </c>
      <c r="D623" s="29" t="n">
        <f aca="false">LN(B623)</f>
        <v>10.1633332634932</v>
      </c>
      <c r="E623" s="29" t="n">
        <f aca="false">LN(C623)</f>
        <v>5.68068442341022</v>
      </c>
      <c r="F623" s="0" t="n">
        <v>618</v>
      </c>
      <c r="G623" s="0" t="n">
        <v>0</v>
      </c>
      <c r="H623" s="29" t="n">
        <f aca="false">D623-E623</f>
        <v>4.48264884008302</v>
      </c>
      <c r="I623" s="29" t="n">
        <f aca="false">D623-D622</f>
        <v>-0.00390221119903345</v>
      </c>
      <c r="J623" s="29" t="n">
        <f aca="false">E623-E622</f>
        <v>-0.00119321585792775</v>
      </c>
      <c r="K623" s="0" t="n">
        <v>1</v>
      </c>
      <c r="L623" s="0" t="n">
        <v>0</v>
      </c>
      <c r="M623" s="29" t="n">
        <f aca="false">IF(L623=1,J623-Carry!$B$9/Inputs!$B$16,I623)</f>
        <v>-0.00390221119903345</v>
      </c>
      <c r="N623" s="0" t="n">
        <v>0.055</v>
      </c>
      <c r="O623" s="0" t="n">
        <v>0.0002</v>
      </c>
      <c r="P623" s="29" t="n">
        <f aca="false">D623-('2 Hedge ratio'!$B$6+'2 Hedge ratio'!$B$5*E623)</f>
        <v>-0.00271382897708072</v>
      </c>
      <c r="Q623" s="29" t="n">
        <f aca="false">D623-('5 Re-specification'!$B$7+'5 Re-specification'!$B$5*E623+'5 Re-specification'!$B$6*F623)</f>
        <v>-0.00357054801554924</v>
      </c>
      <c r="R623" s="30" t="n">
        <f aca="false">MIN(F623,Inputs!$B$9)</f>
        <v>250</v>
      </c>
      <c r="S623" s="29" t="n">
        <f aca="true">IF(AND(F623&gt;=1,R623&gt;=Inputs!$B$10),INDEX(LINEST(OFFSET(D623,-R623,0,R623,1),OFFSET(E623,-R623,0,R623,2)),1,1),"")</f>
        <v>-4.57596059307194E-005</v>
      </c>
      <c r="T623" s="29" t="n">
        <f aca="true">IF(AND(F623&gt;=1,R623&gt;=Inputs!$B$10),INDEX(LINEST(OFFSET(D623,-R623,0,R623,1),OFFSET(E623,-R623,0,R623,2)),1,2),"")</f>
        <v>0.998635981814795</v>
      </c>
      <c r="U623" s="29" t="n">
        <f aca="true">IF(AND(F623&gt;=1,R623&gt;=Inputs!$B$10),INDEX(LINEST(OFFSET(D623,-R623,0,R623,1),OFFSET(E623,-R623,0,R623,2)),1,3),"")</f>
        <v>4.52229866054619</v>
      </c>
      <c r="V623" s="29" t="n">
        <f aca="true">IF(AND(F623&gt;=1,R623&gt;=Inputs!$B$10),SQRT(SUMPRODUCT((OFFSET(D623,-R623,0,R623,1)-U623-T623*OFFSET(E623,-R623,0,R623,1)-S623*OFFSET(F623,-R623,0,R623,1))^2)/(R623-3)),"")</f>
        <v>0.0025337691282196</v>
      </c>
      <c r="W623" s="31" t="n">
        <f aca="false">IF(AND(F623&gt;=1,R623&gt;=Inputs!$B$10),(D623-U623-T623*E623-S623*F623)/V623,"")</f>
        <v>-1.42942271247462</v>
      </c>
      <c r="X623" s="30" t="n">
        <f aca="false">IF(AB622&lt;&gt;0,AC622+1,0)</f>
        <v>0</v>
      </c>
      <c r="Y623" s="30" t="n">
        <f aca="false">IF(W623="",0,IF(AND(AB622&lt;&gt;0,OR(ABS(W623)&gt;Inputs!$B$7,X623&gt;=Inputs!$B$8,ABS(W623)&lt;Inputs!$B$6)),1,0))</f>
        <v>0</v>
      </c>
      <c r="Z623" s="30" t="n">
        <f aca="false">IF(Y623=1,0,AB622)</f>
        <v>0</v>
      </c>
      <c r="AA623" s="30" t="n">
        <f aca="false">IF(W623="",0,IF(AND(Z623=0,ABS(W623)&gt;Inputs!$B$5,ABS(W623)&lt;=Inputs!$B$7),1,0))</f>
        <v>0</v>
      </c>
      <c r="AB623" s="30" t="n">
        <f aca="false">IF(W623="",0,IF(AA623=1,-SIGN(W623),Z623))</f>
        <v>0</v>
      </c>
      <c r="AC623" s="30" t="n">
        <f aca="false">IF(W623="",0,IF(AA623=1,0,IF(Y623=1,0,X623)))</f>
        <v>0</v>
      </c>
      <c r="AD623" s="30" t="n">
        <f aca="false">IF(AB623=0,0,IF(AB622=AB623,AD622,T623))</f>
        <v>0</v>
      </c>
      <c r="AE623" s="30" t="n">
        <f aca="false">AB623-AB622</f>
        <v>0</v>
      </c>
      <c r="AF623" s="30" t="n">
        <f aca="false">-AD623*AB623</f>
        <v>-0</v>
      </c>
      <c r="AG623" s="30" t="n">
        <f aca="false">AF623-AF622</f>
        <v>0</v>
      </c>
      <c r="AH623" s="30" t="n">
        <f aca="false">MAX(AE623,0)*(Inputs!$B$17+Inputs!$B$18+Inputs!$B$19)+MAX(-AE623,0)*(O623+Inputs!$B$18+Inputs!$B$19)+IF(AND(K623=1,AB623&lt;&gt;0),(Inputs!$B$17+Inputs!$B$18+Inputs!$B$19)+(O623+Inputs!$B$18+Inputs!$B$19),0)+MAX(AG623,0)*(Inputs!$B$20+Inputs!$B$22+Inputs!$B$23)+MAX(-AG623,0)*(Inputs!$B$21+Inputs!$B$22+Inputs!$B$23)</f>
        <v>0</v>
      </c>
      <c r="AI623" s="30" t="n">
        <f aca="false">AB622*(M623-AD622*J623)+AB622*AD622*N623/Inputs!$B$16-AH623</f>
        <v>0</v>
      </c>
      <c r="AJ623" s="30" t="n">
        <f aca="false">MAX(AE623,0)*(Inputs!$B$17+Inputs!$B$24+Inputs!$B$25)+MAX(-AE623,0)*(O623+Inputs!$B$24+Inputs!$B$25)+IF(AND(K623=1,AB623&lt;&gt;0),(Inputs!$B$17+Inputs!$B$24+Inputs!$B$25)+(O623+Inputs!$B$24+Inputs!$B$25),0)+MAX(AG623,0)*(Inputs!$B$20+Inputs!$B$26+Inputs!$B$27)+MAX(-AG623,0)*(Inputs!$B$21+Inputs!$B$26+Inputs!$B$27)</f>
        <v>0</v>
      </c>
      <c r="AK623" s="30" t="n">
        <f aca="false">AB622*(M623-AD622*J623)+AB622*AD622*(N623+Inputs!$B$14)/Inputs!$B$16-AJ623</f>
        <v>0</v>
      </c>
      <c r="AL623" s="30" t="n">
        <f aca="false">IF(AP622&lt;&gt;0,AQ622+1,0)</f>
        <v>0</v>
      </c>
      <c r="AM623" s="30" t="n">
        <f aca="false">IF(W623="",0,IF(AND(AP622&lt;&gt;0,OR(ABS(W623)&gt;Inputs!$B$7,AL623&gt;=Inputs!$B$8,ABS(W623)&lt;Inputs!$B$6)),1,0))</f>
        <v>0</v>
      </c>
      <c r="AN623" s="30" t="n">
        <f aca="false">IF(AM623=1,0,AP622)</f>
        <v>0</v>
      </c>
      <c r="AO623" s="30" t="n">
        <f aca="false">IF(W623="",0,IF(AND(AN623=0,ABS(W623)&gt;Inputs!$B$5,ABS(W623)&lt;=Inputs!$B$7,W623&gt;0),1,0))</f>
        <v>0</v>
      </c>
      <c r="AP623" s="30" t="n">
        <f aca="false">IF(W623="",0,IF(AO623=1,-SIGN(W623),AN623))</f>
        <v>0</v>
      </c>
      <c r="AQ623" s="30" t="n">
        <f aca="false">IF(W623="",0,IF(AO623=1,0,IF(AM623=1,0,AL623)))</f>
        <v>0</v>
      </c>
      <c r="AR623" s="30" t="n">
        <f aca="false">IF(AP623=0,0,IF(AP622=AP623,AR622,T623))</f>
        <v>0</v>
      </c>
      <c r="AS623" s="30" t="n">
        <f aca="false">AP623-AP622</f>
        <v>0</v>
      </c>
      <c r="AT623" s="30" t="n">
        <f aca="false">-AR623*AP623</f>
        <v>-0</v>
      </c>
      <c r="AU623" s="30" t="n">
        <f aca="false">AT623-AT622</f>
        <v>0</v>
      </c>
      <c r="AV623" s="30" t="n">
        <f aca="false">MAX(AS623,0)*(Inputs!$B$17+Inputs!$B$18+Inputs!$B$19)+MAX(-AS623,0)*(O623+Inputs!$B$18+Inputs!$B$19)+IF(AND(K623=1,AP623&lt;&gt;0),(Inputs!$B$17+Inputs!$B$18+Inputs!$B$19)+(O623+Inputs!$B$18+Inputs!$B$19),0)+MAX(AU623,0)*(Inputs!$B$20+Inputs!$B$22+Inputs!$B$23)+MAX(-AU623,0)*(Inputs!$B$21+Inputs!$B$22+Inputs!$B$23)</f>
        <v>0</v>
      </c>
      <c r="AW623" s="30" t="n">
        <f aca="false">AP622*(M623-AR622*J623)+AP622*AR622*N623/Inputs!$B$16-AV623</f>
        <v>0</v>
      </c>
      <c r="AX623" s="30" t="n">
        <f aca="false">AW623-IF(AP622&lt;&gt;0,0.75*AR622*(Inputs!$B$13-N623)/Inputs!$B$16,0)</f>
        <v>0</v>
      </c>
      <c r="AY623" s="30" t="n">
        <f aca="false">MAX(AS623,0)*(Inputs!$B$17+Inputs!$B$18+Inputs!$B$19)+MAX(-AS623,0)*(O623+Inputs!$B$18+Inputs!$B$19)+IF(AND(K623=1,AP623&lt;&gt;0),(Inputs!$B$17+Inputs!$B$18+Inputs!$B$19)+(O623+Inputs!$B$18+Inputs!$B$19),0)</f>
        <v>0</v>
      </c>
      <c r="AZ623" s="30" t="n">
        <f aca="false">AP622*M623-AY623</f>
        <v>-0</v>
      </c>
      <c r="BA623" s="32" t="n">
        <f aca="false">BA622+AI623</f>
        <v>0.0081476582830333</v>
      </c>
      <c r="BB623" s="30" t="n">
        <f aca="false">MAX(BB622,BA623)</f>
        <v>0.0108065678336457</v>
      </c>
      <c r="BC623" s="32" t="n">
        <f aca="false">BA623-BB623</f>
        <v>-0.00265890955061237</v>
      </c>
      <c r="BD623" s="30" t="n">
        <f aca="false">A624-A623</f>
        <v>1</v>
      </c>
    </row>
    <row r="624" customFormat="false" ht="15" hidden="false" customHeight="false" outlineLevel="0" collapsed="false">
      <c r="A624" s="28" t="n">
        <v>45959</v>
      </c>
      <c r="B624" s="0" t="n">
        <v>26260</v>
      </c>
      <c r="C624" s="0" t="n">
        <v>294.5</v>
      </c>
      <c r="D624" s="29" t="n">
        <f aca="false">LN(B624)</f>
        <v>10.1758021478568</v>
      </c>
      <c r="E624" s="29" t="n">
        <f aca="false">LN(C624)</f>
        <v>5.68527900309164</v>
      </c>
      <c r="F624" s="0" t="n">
        <v>619</v>
      </c>
      <c r="G624" s="0" t="n">
        <v>27</v>
      </c>
      <c r="H624" s="29" t="n">
        <f aca="false">D624-E624</f>
        <v>4.49052314476515</v>
      </c>
      <c r="I624" s="29" t="n">
        <f aca="false">D624-D623</f>
        <v>0.0124688843635425</v>
      </c>
      <c r="J624" s="29" t="n">
        <f aca="false">E624-E623</f>
        <v>0.00459457968141752</v>
      </c>
      <c r="K624" s="0" t="n">
        <v>0</v>
      </c>
      <c r="L624" s="0" t="n">
        <v>1</v>
      </c>
      <c r="M624" s="29" t="n">
        <f aca="false">IF(L624=1,J624-Carry!$B$9/Inputs!$B$16,I624)</f>
        <v>0.00433512149969639</v>
      </c>
      <c r="N624" s="0" t="n">
        <v>0.055</v>
      </c>
      <c r="O624" s="0" t="n">
        <v>0.0002</v>
      </c>
      <c r="P624" s="29" t="n">
        <f aca="false">D624-('2 Hedge ratio'!$B$6+'2 Hedge ratio'!$B$5*E624)</f>
        <v>0.00554583799282504</v>
      </c>
      <c r="Q624" s="29" t="n">
        <f aca="false">D624-('5 Re-specification'!$B$7+'5 Re-specification'!$B$5*E624+'5 Re-specification'!$B$6*F624)</f>
        <v>0.00436260985849479</v>
      </c>
      <c r="R624" s="30" t="n">
        <f aca="false">MIN(F624,Inputs!$B$9)</f>
        <v>250</v>
      </c>
      <c r="S624" s="29" t="n">
        <f aca="true">IF(AND(F624&gt;=1,R624&gt;=Inputs!$B$10),INDEX(LINEST(OFFSET(D624,-R624,0,R624,1),OFFSET(E624,-R624,0,R624,2)),1,1),"")</f>
        <v>-4.63838955131537E-005</v>
      </c>
      <c r="T624" s="29" t="n">
        <f aca="true">IF(AND(F624&gt;=1,R624&gt;=Inputs!$B$10),INDEX(LINEST(OFFSET(D624,-R624,0,R624,1),OFFSET(E624,-R624,0,R624,2)),1,2),"")</f>
        <v>0.998742878463153</v>
      </c>
      <c r="U624" s="29" t="n">
        <f aca="true">IF(AND(F624&gt;=1,R624&gt;=Inputs!$B$10),INDEX(LINEST(OFFSET(D624,-R624,0,R624,1),OFFSET(E624,-R624,0,R624,2)),1,3),"")</f>
        <v>4.52200286080004</v>
      </c>
      <c r="V624" s="29" t="n">
        <f aca="true">IF(AND(F624&gt;=1,R624&gt;=Inputs!$B$10),SQRT(SUMPRODUCT((OFFSET(D624,-R624,0,R624,1)-U624-T624*OFFSET(E624,-R624,0,R624,1)-S624*OFFSET(F624,-R624,0,R624,1))^2)/(R624-3)),"")</f>
        <v>0.00253899919082343</v>
      </c>
      <c r="W624" s="31" t="n">
        <f aca="false">IF(AND(F624&gt;=1,R624&gt;=Inputs!$B$10),(D624-U624-T624*E624-S624*F624)/V624,"")</f>
        <v>1.72469608550787</v>
      </c>
      <c r="X624" s="30" t="n">
        <f aca="false">IF(AB623&lt;&gt;0,AC623+1,0)</f>
        <v>0</v>
      </c>
      <c r="Y624" s="30" t="n">
        <f aca="false">IF(W624="",0,IF(AND(AB623&lt;&gt;0,OR(ABS(W624)&gt;Inputs!$B$7,X624&gt;=Inputs!$B$8,ABS(W624)&lt;Inputs!$B$6)),1,0))</f>
        <v>0</v>
      </c>
      <c r="Z624" s="30" t="n">
        <f aca="false">IF(Y624=1,0,AB623)</f>
        <v>0</v>
      </c>
      <c r="AA624" s="30" t="n">
        <f aca="false">IF(W624="",0,IF(AND(Z624=0,ABS(W624)&gt;Inputs!$B$5,ABS(W624)&lt;=Inputs!$B$7),1,0))</f>
        <v>0</v>
      </c>
      <c r="AB624" s="30" t="n">
        <f aca="false">IF(W624="",0,IF(AA624=1,-SIGN(W624),Z624))</f>
        <v>0</v>
      </c>
      <c r="AC624" s="30" t="n">
        <f aca="false">IF(W624="",0,IF(AA624=1,0,IF(Y624=1,0,X624)))</f>
        <v>0</v>
      </c>
      <c r="AD624" s="30" t="n">
        <f aca="false">IF(AB624=0,0,IF(AB623=AB624,AD623,T624))</f>
        <v>0</v>
      </c>
      <c r="AE624" s="30" t="n">
        <f aca="false">AB624-AB623</f>
        <v>0</v>
      </c>
      <c r="AF624" s="30" t="n">
        <f aca="false">-AD624*AB624</f>
        <v>-0</v>
      </c>
      <c r="AG624" s="30" t="n">
        <f aca="false">AF624-AF623</f>
        <v>0</v>
      </c>
      <c r="AH624" s="30" t="n">
        <f aca="false">MAX(AE624,0)*(Inputs!$B$17+Inputs!$B$18+Inputs!$B$19)+MAX(-AE624,0)*(O624+Inputs!$B$18+Inputs!$B$19)+IF(AND(K624=1,AB624&lt;&gt;0),(Inputs!$B$17+Inputs!$B$18+Inputs!$B$19)+(O624+Inputs!$B$18+Inputs!$B$19),0)+MAX(AG624,0)*(Inputs!$B$20+Inputs!$B$22+Inputs!$B$23)+MAX(-AG624,0)*(Inputs!$B$21+Inputs!$B$22+Inputs!$B$23)</f>
        <v>0</v>
      </c>
      <c r="AI624" s="30" t="n">
        <f aca="false">AB623*(M624-AD623*J624)+AB623*AD623*N624/Inputs!$B$16-AH624</f>
        <v>0</v>
      </c>
      <c r="AJ624" s="30" t="n">
        <f aca="false">MAX(AE624,0)*(Inputs!$B$17+Inputs!$B$24+Inputs!$B$25)+MAX(-AE624,0)*(O624+Inputs!$B$24+Inputs!$B$25)+IF(AND(K624=1,AB624&lt;&gt;0),(Inputs!$B$17+Inputs!$B$24+Inputs!$B$25)+(O624+Inputs!$B$24+Inputs!$B$25),0)+MAX(AG624,0)*(Inputs!$B$20+Inputs!$B$26+Inputs!$B$27)+MAX(-AG624,0)*(Inputs!$B$21+Inputs!$B$26+Inputs!$B$27)</f>
        <v>0</v>
      </c>
      <c r="AK624" s="30" t="n">
        <f aca="false">AB623*(M624-AD623*J624)+AB623*AD623*(N624+Inputs!$B$14)/Inputs!$B$16-AJ624</f>
        <v>0</v>
      </c>
      <c r="AL624" s="30" t="n">
        <f aca="false">IF(AP623&lt;&gt;0,AQ623+1,0)</f>
        <v>0</v>
      </c>
      <c r="AM624" s="30" t="n">
        <f aca="false">IF(W624="",0,IF(AND(AP623&lt;&gt;0,OR(ABS(W624)&gt;Inputs!$B$7,AL624&gt;=Inputs!$B$8,ABS(W624)&lt;Inputs!$B$6)),1,0))</f>
        <v>0</v>
      </c>
      <c r="AN624" s="30" t="n">
        <f aca="false">IF(AM624=1,0,AP623)</f>
        <v>0</v>
      </c>
      <c r="AO624" s="30" t="n">
        <f aca="false">IF(W624="",0,IF(AND(AN624=0,ABS(W624)&gt;Inputs!$B$5,ABS(W624)&lt;=Inputs!$B$7,W624&gt;0),1,0))</f>
        <v>0</v>
      </c>
      <c r="AP624" s="30" t="n">
        <f aca="false">IF(W624="",0,IF(AO624=1,-SIGN(W624),AN624))</f>
        <v>0</v>
      </c>
      <c r="AQ624" s="30" t="n">
        <f aca="false">IF(W624="",0,IF(AO624=1,0,IF(AM624=1,0,AL624)))</f>
        <v>0</v>
      </c>
      <c r="AR624" s="30" t="n">
        <f aca="false">IF(AP624=0,0,IF(AP623=AP624,AR623,T624))</f>
        <v>0</v>
      </c>
      <c r="AS624" s="30" t="n">
        <f aca="false">AP624-AP623</f>
        <v>0</v>
      </c>
      <c r="AT624" s="30" t="n">
        <f aca="false">-AR624*AP624</f>
        <v>-0</v>
      </c>
      <c r="AU624" s="30" t="n">
        <f aca="false">AT624-AT623</f>
        <v>0</v>
      </c>
      <c r="AV624" s="30" t="n">
        <f aca="false">MAX(AS624,0)*(Inputs!$B$17+Inputs!$B$18+Inputs!$B$19)+MAX(-AS624,0)*(O624+Inputs!$B$18+Inputs!$B$19)+IF(AND(K624=1,AP624&lt;&gt;0),(Inputs!$B$17+Inputs!$B$18+Inputs!$B$19)+(O624+Inputs!$B$18+Inputs!$B$19),0)+MAX(AU624,0)*(Inputs!$B$20+Inputs!$B$22+Inputs!$B$23)+MAX(-AU624,0)*(Inputs!$B$21+Inputs!$B$22+Inputs!$B$23)</f>
        <v>0</v>
      </c>
      <c r="AW624" s="30" t="n">
        <f aca="false">AP623*(M624-AR623*J624)+AP623*AR623*N624/Inputs!$B$16-AV624</f>
        <v>0</v>
      </c>
      <c r="AX624" s="30" t="n">
        <f aca="false">AW624-IF(AP623&lt;&gt;0,0.75*AR623*(Inputs!$B$13-N624)/Inputs!$B$16,0)</f>
        <v>0</v>
      </c>
      <c r="AY624" s="30" t="n">
        <f aca="false">MAX(AS624,0)*(Inputs!$B$17+Inputs!$B$18+Inputs!$B$19)+MAX(-AS624,0)*(O624+Inputs!$B$18+Inputs!$B$19)+IF(AND(K624=1,AP624&lt;&gt;0),(Inputs!$B$17+Inputs!$B$18+Inputs!$B$19)+(O624+Inputs!$B$18+Inputs!$B$19),0)</f>
        <v>0</v>
      </c>
      <c r="AZ624" s="30" t="n">
        <f aca="false">AP623*M624-AY624</f>
        <v>0</v>
      </c>
      <c r="BA624" s="32" t="n">
        <f aca="false">BA623+AI624</f>
        <v>0.0081476582830333</v>
      </c>
      <c r="BB624" s="30" t="n">
        <f aca="false">MAX(BB623,BA624)</f>
        <v>0.0108065678336457</v>
      </c>
      <c r="BC624" s="32" t="n">
        <f aca="false">BA624-BB624</f>
        <v>-0.00265890955061237</v>
      </c>
      <c r="BD624" s="30" t="n">
        <f aca="false">A625-A624</f>
        <v>1</v>
      </c>
    </row>
    <row r="625" customFormat="false" ht="15" hidden="false" customHeight="false" outlineLevel="0" collapsed="false">
      <c r="A625" s="28" t="n">
        <v>45960</v>
      </c>
      <c r="B625" s="0" t="n">
        <v>26037.4</v>
      </c>
      <c r="C625" s="0" t="n">
        <v>292.75</v>
      </c>
      <c r="D625" s="29" t="n">
        <f aca="false">LN(B625)</f>
        <v>10.1672892449474</v>
      </c>
      <c r="E625" s="29" t="n">
        <f aca="false">LN(C625)</f>
        <v>5.67931900247783</v>
      </c>
      <c r="F625" s="0" t="n">
        <v>620</v>
      </c>
      <c r="G625" s="0" t="n">
        <v>26</v>
      </c>
      <c r="H625" s="29" t="n">
        <f aca="false">D625-E625</f>
        <v>4.48797024246953</v>
      </c>
      <c r="I625" s="29" t="n">
        <f aca="false">D625-D624</f>
        <v>-0.00851290290943396</v>
      </c>
      <c r="J625" s="29" t="n">
        <f aca="false">E625-E624</f>
        <v>-0.00596000061381474</v>
      </c>
      <c r="K625" s="0" t="n">
        <v>0</v>
      </c>
      <c r="L625" s="0" t="n">
        <v>0</v>
      </c>
      <c r="M625" s="29" t="n">
        <f aca="false">IF(L625=1,J625-Carry!$B$9/Inputs!$B$16,I625)</f>
        <v>-0.00851290290943396</v>
      </c>
      <c r="N625" s="0" t="n">
        <v>0.055</v>
      </c>
      <c r="O625" s="0" t="n">
        <v>0.0002</v>
      </c>
      <c r="P625" s="29" t="n">
        <f aca="false">D625-('2 Hedge ratio'!$B$6+'2 Hedge ratio'!$B$5*E625)</f>
        <v>0.00249305113083231</v>
      </c>
      <c r="Q625" s="29" t="n">
        <f aca="false">D625-('5 Re-specification'!$B$7+'5 Re-specification'!$B$5*E625+'5 Re-specification'!$B$6*F625)</f>
        <v>0.00183657509898616</v>
      </c>
      <c r="R625" s="30" t="n">
        <f aca="false">MIN(F625,Inputs!$B$9)</f>
        <v>250</v>
      </c>
      <c r="S625" s="29" t="n">
        <f aca="true">IF(AND(F625&gt;=1,R625&gt;=Inputs!$B$10),INDEX(LINEST(OFFSET(D625,-R625,0,R625,1),OFFSET(E625,-R625,0,R625,2)),1,1),"")</f>
        <v>-4.59006653680188E-005</v>
      </c>
      <c r="T625" s="29" t="n">
        <f aca="true">IF(AND(F625&gt;=1,R625&gt;=Inputs!$B$10),INDEX(LINEST(OFFSET(D625,-R625,0,R625,1),OFFSET(E625,-R625,0,R625,2)),1,2),"")</f>
        <v>0.999011311111083</v>
      </c>
      <c r="U625" s="29" t="n">
        <f aca="true">IF(AND(F625&gt;=1,R625&gt;=Inputs!$B$10),INDEX(LINEST(OFFSET(D625,-R625,0,R625,1),OFFSET(E625,-R625,0,R625,2)),1,3),"")</f>
        <v>4.52026953856138</v>
      </c>
      <c r="V625" s="29" t="n">
        <f aca="true">IF(AND(F625&gt;=1,R625&gt;=Inputs!$B$10),SQRT(SUMPRODUCT((OFFSET(D625,-R625,0,R625,1)-U625-T625*OFFSET(E625,-R625,0,R625,1)-S625*OFFSET(F625,-R625,0,R625,1))^2)/(R625-3)),"")</f>
        <v>0.00255149577458903</v>
      </c>
      <c r="W625" s="31" t="n">
        <f aca="false">IF(AND(F625&gt;=1,R625&gt;=Inputs!$B$10),(D625-U625-T625*E625-S625*F625)/V625,"")</f>
        <v>0.695355268995159</v>
      </c>
      <c r="X625" s="30" t="n">
        <f aca="false">IF(AB624&lt;&gt;0,AC624+1,0)</f>
        <v>0</v>
      </c>
      <c r="Y625" s="30" t="n">
        <f aca="false">IF(W625="",0,IF(AND(AB624&lt;&gt;0,OR(ABS(W625)&gt;Inputs!$B$7,X625&gt;=Inputs!$B$8,ABS(W625)&lt;Inputs!$B$6)),1,0))</f>
        <v>0</v>
      </c>
      <c r="Z625" s="30" t="n">
        <f aca="false">IF(Y625=1,0,AB624)</f>
        <v>0</v>
      </c>
      <c r="AA625" s="30" t="n">
        <f aca="false">IF(W625="",0,IF(AND(Z625=0,ABS(W625)&gt;Inputs!$B$5,ABS(W625)&lt;=Inputs!$B$7),1,0))</f>
        <v>0</v>
      </c>
      <c r="AB625" s="30" t="n">
        <f aca="false">IF(W625="",0,IF(AA625=1,-SIGN(W625),Z625))</f>
        <v>0</v>
      </c>
      <c r="AC625" s="30" t="n">
        <f aca="false">IF(W625="",0,IF(AA625=1,0,IF(Y625=1,0,X625)))</f>
        <v>0</v>
      </c>
      <c r="AD625" s="30" t="n">
        <f aca="false">IF(AB625=0,0,IF(AB624=AB625,AD624,T625))</f>
        <v>0</v>
      </c>
      <c r="AE625" s="30" t="n">
        <f aca="false">AB625-AB624</f>
        <v>0</v>
      </c>
      <c r="AF625" s="30" t="n">
        <f aca="false">-AD625*AB625</f>
        <v>-0</v>
      </c>
      <c r="AG625" s="30" t="n">
        <f aca="false">AF625-AF624</f>
        <v>0</v>
      </c>
      <c r="AH625" s="30" t="n">
        <f aca="false">MAX(AE625,0)*(Inputs!$B$17+Inputs!$B$18+Inputs!$B$19)+MAX(-AE625,0)*(O625+Inputs!$B$18+Inputs!$B$19)+IF(AND(K625=1,AB625&lt;&gt;0),(Inputs!$B$17+Inputs!$B$18+Inputs!$B$19)+(O625+Inputs!$B$18+Inputs!$B$19),0)+MAX(AG625,0)*(Inputs!$B$20+Inputs!$B$22+Inputs!$B$23)+MAX(-AG625,0)*(Inputs!$B$21+Inputs!$B$22+Inputs!$B$23)</f>
        <v>0</v>
      </c>
      <c r="AI625" s="30" t="n">
        <f aca="false">AB624*(M625-AD624*J625)+AB624*AD624*N625/Inputs!$B$16-AH625</f>
        <v>0</v>
      </c>
      <c r="AJ625" s="30" t="n">
        <f aca="false">MAX(AE625,0)*(Inputs!$B$17+Inputs!$B$24+Inputs!$B$25)+MAX(-AE625,0)*(O625+Inputs!$B$24+Inputs!$B$25)+IF(AND(K625=1,AB625&lt;&gt;0),(Inputs!$B$17+Inputs!$B$24+Inputs!$B$25)+(O625+Inputs!$B$24+Inputs!$B$25),0)+MAX(AG625,0)*(Inputs!$B$20+Inputs!$B$26+Inputs!$B$27)+MAX(-AG625,0)*(Inputs!$B$21+Inputs!$B$26+Inputs!$B$27)</f>
        <v>0</v>
      </c>
      <c r="AK625" s="30" t="n">
        <f aca="false">AB624*(M625-AD624*J625)+AB624*AD624*(N625+Inputs!$B$14)/Inputs!$B$16-AJ625</f>
        <v>0</v>
      </c>
      <c r="AL625" s="30" t="n">
        <f aca="false">IF(AP624&lt;&gt;0,AQ624+1,0)</f>
        <v>0</v>
      </c>
      <c r="AM625" s="30" t="n">
        <f aca="false">IF(W625="",0,IF(AND(AP624&lt;&gt;0,OR(ABS(W625)&gt;Inputs!$B$7,AL625&gt;=Inputs!$B$8,ABS(W625)&lt;Inputs!$B$6)),1,0))</f>
        <v>0</v>
      </c>
      <c r="AN625" s="30" t="n">
        <f aca="false">IF(AM625=1,0,AP624)</f>
        <v>0</v>
      </c>
      <c r="AO625" s="30" t="n">
        <f aca="false">IF(W625="",0,IF(AND(AN625=0,ABS(W625)&gt;Inputs!$B$5,ABS(W625)&lt;=Inputs!$B$7,W625&gt;0),1,0))</f>
        <v>0</v>
      </c>
      <c r="AP625" s="30" t="n">
        <f aca="false">IF(W625="",0,IF(AO625=1,-SIGN(W625),AN625))</f>
        <v>0</v>
      </c>
      <c r="AQ625" s="30" t="n">
        <f aca="false">IF(W625="",0,IF(AO625=1,0,IF(AM625=1,0,AL625)))</f>
        <v>0</v>
      </c>
      <c r="AR625" s="30" t="n">
        <f aca="false">IF(AP625=0,0,IF(AP624=AP625,AR624,T625))</f>
        <v>0</v>
      </c>
      <c r="AS625" s="30" t="n">
        <f aca="false">AP625-AP624</f>
        <v>0</v>
      </c>
      <c r="AT625" s="30" t="n">
        <f aca="false">-AR625*AP625</f>
        <v>-0</v>
      </c>
      <c r="AU625" s="30" t="n">
        <f aca="false">AT625-AT624</f>
        <v>0</v>
      </c>
      <c r="AV625" s="30" t="n">
        <f aca="false">MAX(AS625,0)*(Inputs!$B$17+Inputs!$B$18+Inputs!$B$19)+MAX(-AS625,0)*(O625+Inputs!$B$18+Inputs!$B$19)+IF(AND(K625=1,AP625&lt;&gt;0),(Inputs!$B$17+Inputs!$B$18+Inputs!$B$19)+(O625+Inputs!$B$18+Inputs!$B$19),0)+MAX(AU625,0)*(Inputs!$B$20+Inputs!$B$22+Inputs!$B$23)+MAX(-AU625,0)*(Inputs!$B$21+Inputs!$B$22+Inputs!$B$23)</f>
        <v>0</v>
      </c>
      <c r="AW625" s="30" t="n">
        <f aca="false">AP624*(M625-AR624*J625)+AP624*AR624*N625/Inputs!$B$16-AV625</f>
        <v>0</v>
      </c>
      <c r="AX625" s="30" t="n">
        <f aca="false">AW625-IF(AP624&lt;&gt;0,0.75*AR624*(Inputs!$B$13-N625)/Inputs!$B$16,0)</f>
        <v>0</v>
      </c>
      <c r="AY625" s="30" t="n">
        <f aca="false">MAX(AS625,0)*(Inputs!$B$17+Inputs!$B$18+Inputs!$B$19)+MAX(-AS625,0)*(O625+Inputs!$B$18+Inputs!$B$19)+IF(AND(K625=1,AP625&lt;&gt;0),(Inputs!$B$17+Inputs!$B$18+Inputs!$B$19)+(O625+Inputs!$B$18+Inputs!$B$19),0)</f>
        <v>0</v>
      </c>
      <c r="AZ625" s="30" t="n">
        <f aca="false">AP624*M625-AY625</f>
        <v>-0</v>
      </c>
      <c r="BA625" s="32" t="n">
        <f aca="false">BA624+AI625</f>
        <v>0.0081476582830333</v>
      </c>
      <c r="BB625" s="30" t="n">
        <f aca="false">MAX(BB624,BA625)</f>
        <v>0.0108065678336457</v>
      </c>
      <c r="BC625" s="32" t="n">
        <f aca="false">BA625-BB625</f>
        <v>-0.00265890955061237</v>
      </c>
      <c r="BD625" s="30" t="n">
        <f aca="false">A626-A625</f>
        <v>1</v>
      </c>
    </row>
    <row r="626" customFormat="false" ht="15" hidden="false" customHeight="false" outlineLevel="0" collapsed="false">
      <c r="A626" s="28" t="n">
        <v>45961</v>
      </c>
      <c r="B626" s="0" t="n">
        <v>25907.1</v>
      </c>
      <c r="C626" s="0" t="n">
        <v>291.2</v>
      </c>
      <c r="D626" s="29" t="n">
        <f aca="false">LN(B626)</f>
        <v>10.1622723413946</v>
      </c>
      <c r="E626" s="29" t="n">
        <f aca="false">LN(C626)</f>
        <v>5.67401031632253</v>
      </c>
      <c r="F626" s="0" t="n">
        <v>621</v>
      </c>
      <c r="G626" s="0" t="n">
        <v>25</v>
      </c>
      <c r="H626" s="29" t="n">
        <f aca="false">D626-E626</f>
        <v>4.48826202507212</v>
      </c>
      <c r="I626" s="29" t="n">
        <f aca="false">D626-D625</f>
        <v>-0.0050169035527059</v>
      </c>
      <c r="J626" s="29" t="n">
        <f aca="false">E626-E625</f>
        <v>-0.00530868615529556</v>
      </c>
      <c r="K626" s="0" t="n">
        <v>0</v>
      </c>
      <c r="L626" s="0" t="n">
        <v>0</v>
      </c>
      <c r="M626" s="29" t="n">
        <f aca="false">IF(L626=1,J626-Carry!$B$9/Inputs!$B$16,I626)</f>
        <v>-0.0050169035527059</v>
      </c>
      <c r="N626" s="0" t="n">
        <v>0.055</v>
      </c>
      <c r="O626" s="0" t="n">
        <v>0.0002</v>
      </c>
      <c r="P626" s="29" t="n">
        <f aca="false">D626-('2 Hedge ratio'!$B$6+'2 Hedge ratio'!$B$5*E626)</f>
        <v>0.00233957702143606</v>
      </c>
      <c r="Q626" s="29" t="n">
        <f aca="false">D626-('5 Re-specification'!$B$7+'5 Re-specification'!$B$5*E626+'5 Re-specification'!$B$6*F626)</f>
        <v>0.00215719904616485</v>
      </c>
      <c r="R626" s="30" t="n">
        <f aca="false">MIN(F626,Inputs!$B$9)</f>
        <v>250</v>
      </c>
      <c r="S626" s="29" t="n">
        <f aca="true">IF(AND(F626&gt;=1,R626&gt;=Inputs!$B$10),INDEX(LINEST(OFFSET(D626,-R626,0,R626,1),OFFSET(E626,-R626,0,R626,2)),1,1),"")</f>
        <v>-4.65485381816694E-005</v>
      </c>
      <c r="T626" s="29" t="n">
        <f aca="true">IF(AND(F626&gt;=1,R626&gt;=Inputs!$B$10),INDEX(LINEST(OFFSET(D626,-R626,0,R626,1),OFFSET(E626,-R626,0,R626,2)),1,2),"")</f>
        <v>1.00006784025077</v>
      </c>
      <c r="U626" s="29" t="n">
        <f aca="true">IF(AND(F626&gt;=1,R626&gt;=Inputs!$B$10),INDEX(LINEST(OFFSET(D626,-R626,0,R626,1),OFFSET(E626,-R626,0,R626,2)),1,3),"")</f>
        <v>4.51469086879047</v>
      </c>
      <c r="V626" s="29" t="n">
        <f aca="true">IF(AND(F626&gt;=1,R626&gt;=Inputs!$B$10),SQRT(SUMPRODUCT((OFFSET(D626,-R626,0,R626,1)-U626-T626*OFFSET(E626,-R626,0,R626,1)-S626*OFFSET(F626,-R626,0,R626,1))^2)/(R626-3)),"")</f>
        <v>0.0025392128605279</v>
      </c>
      <c r="W626" s="31" t="n">
        <f aca="false">IF(AND(F626&gt;=1,R626&gt;=Inputs!$B$10),(D626-U626-T626*E626-S626*F626)/V626,"")</f>
        <v>0.824220860828083</v>
      </c>
      <c r="X626" s="30" t="n">
        <f aca="false">IF(AB625&lt;&gt;0,AC625+1,0)</f>
        <v>0</v>
      </c>
      <c r="Y626" s="30" t="n">
        <f aca="false">IF(W626="",0,IF(AND(AB625&lt;&gt;0,OR(ABS(W626)&gt;Inputs!$B$7,X626&gt;=Inputs!$B$8,ABS(W626)&lt;Inputs!$B$6)),1,0))</f>
        <v>0</v>
      </c>
      <c r="Z626" s="30" t="n">
        <f aca="false">IF(Y626=1,0,AB625)</f>
        <v>0</v>
      </c>
      <c r="AA626" s="30" t="n">
        <f aca="false">IF(W626="",0,IF(AND(Z626=0,ABS(W626)&gt;Inputs!$B$5,ABS(W626)&lt;=Inputs!$B$7),1,0))</f>
        <v>0</v>
      </c>
      <c r="AB626" s="30" t="n">
        <f aca="false">IF(W626="",0,IF(AA626=1,-SIGN(W626),Z626))</f>
        <v>0</v>
      </c>
      <c r="AC626" s="30" t="n">
        <f aca="false">IF(W626="",0,IF(AA626=1,0,IF(Y626=1,0,X626)))</f>
        <v>0</v>
      </c>
      <c r="AD626" s="30" t="n">
        <f aca="false">IF(AB626=0,0,IF(AB625=AB626,AD625,T626))</f>
        <v>0</v>
      </c>
      <c r="AE626" s="30" t="n">
        <f aca="false">AB626-AB625</f>
        <v>0</v>
      </c>
      <c r="AF626" s="30" t="n">
        <f aca="false">-AD626*AB626</f>
        <v>-0</v>
      </c>
      <c r="AG626" s="30" t="n">
        <f aca="false">AF626-AF625</f>
        <v>0</v>
      </c>
      <c r="AH626" s="30" t="n">
        <f aca="false">MAX(AE626,0)*(Inputs!$B$17+Inputs!$B$18+Inputs!$B$19)+MAX(-AE626,0)*(O626+Inputs!$B$18+Inputs!$B$19)+IF(AND(K626=1,AB626&lt;&gt;0),(Inputs!$B$17+Inputs!$B$18+Inputs!$B$19)+(O626+Inputs!$B$18+Inputs!$B$19),0)+MAX(AG626,0)*(Inputs!$B$20+Inputs!$B$22+Inputs!$B$23)+MAX(-AG626,0)*(Inputs!$B$21+Inputs!$B$22+Inputs!$B$23)</f>
        <v>0</v>
      </c>
      <c r="AI626" s="30" t="n">
        <f aca="false">AB625*(M626-AD625*J626)+AB625*AD625*N626/Inputs!$B$16-AH626</f>
        <v>0</v>
      </c>
      <c r="AJ626" s="30" t="n">
        <f aca="false">MAX(AE626,0)*(Inputs!$B$17+Inputs!$B$24+Inputs!$B$25)+MAX(-AE626,0)*(O626+Inputs!$B$24+Inputs!$B$25)+IF(AND(K626=1,AB626&lt;&gt;0),(Inputs!$B$17+Inputs!$B$24+Inputs!$B$25)+(O626+Inputs!$B$24+Inputs!$B$25),0)+MAX(AG626,0)*(Inputs!$B$20+Inputs!$B$26+Inputs!$B$27)+MAX(-AG626,0)*(Inputs!$B$21+Inputs!$B$26+Inputs!$B$27)</f>
        <v>0</v>
      </c>
      <c r="AK626" s="30" t="n">
        <f aca="false">AB625*(M626-AD625*J626)+AB625*AD625*(N626+Inputs!$B$14)/Inputs!$B$16-AJ626</f>
        <v>0</v>
      </c>
      <c r="AL626" s="30" t="n">
        <f aca="false">IF(AP625&lt;&gt;0,AQ625+1,0)</f>
        <v>0</v>
      </c>
      <c r="AM626" s="30" t="n">
        <f aca="false">IF(W626="",0,IF(AND(AP625&lt;&gt;0,OR(ABS(W626)&gt;Inputs!$B$7,AL626&gt;=Inputs!$B$8,ABS(W626)&lt;Inputs!$B$6)),1,0))</f>
        <v>0</v>
      </c>
      <c r="AN626" s="30" t="n">
        <f aca="false">IF(AM626=1,0,AP625)</f>
        <v>0</v>
      </c>
      <c r="AO626" s="30" t="n">
        <f aca="false">IF(W626="",0,IF(AND(AN626=0,ABS(W626)&gt;Inputs!$B$5,ABS(W626)&lt;=Inputs!$B$7,W626&gt;0),1,0))</f>
        <v>0</v>
      </c>
      <c r="AP626" s="30" t="n">
        <f aca="false">IF(W626="",0,IF(AO626=1,-SIGN(W626),AN626))</f>
        <v>0</v>
      </c>
      <c r="AQ626" s="30" t="n">
        <f aca="false">IF(W626="",0,IF(AO626=1,0,IF(AM626=1,0,AL626)))</f>
        <v>0</v>
      </c>
      <c r="AR626" s="30" t="n">
        <f aca="false">IF(AP626=0,0,IF(AP625=AP626,AR625,T626))</f>
        <v>0</v>
      </c>
      <c r="AS626" s="30" t="n">
        <f aca="false">AP626-AP625</f>
        <v>0</v>
      </c>
      <c r="AT626" s="30" t="n">
        <f aca="false">-AR626*AP626</f>
        <v>-0</v>
      </c>
      <c r="AU626" s="30" t="n">
        <f aca="false">AT626-AT625</f>
        <v>0</v>
      </c>
      <c r="AV626" s="30" t="n">
        <f aca="false">MAX(AS626,0)*(Inputs!$B$17+Inputs!$B$18+Inputs!$B$19)+MAX(-AS626,0)*(O626+Inputs!$B$18+Inputs!$B$19)+IF(AND(K626=1,AP626&lt;&gt;0),(Inputs!$B$17+Inputs!$B$18+Inputs!$B$19)+(O626+Inputs!$B$18+Inputs!$B$19),0)+MAX(AU626,0)*(Inputs!$B$20+Inputs!$B$22+Inputs!$B$23)+MAX(-AU626,0)*(Inputs!$B$21+Inputs!$B$22+Inputs!$B$23)</f>
        <v>0</v>
      </c>
      <c r="AW626" s="30" t="n">
        <f aca="false">AP625*(M626-AR625*J626)+AP625*AR625*N626/Inputs!$B$16-AV626</f>
        <v>0</v>
      </c>
      <c r="AX626" s="30" t="n">
        <f aca="false">AW626-IF(AP625&lt;&gt;0,0.75*AR625*(Inputs!$B$13-N626)/Inputs!$B$16,0)</f>
        <v>0</v>
      </c>
      <c r="AY626" s="30" t="n">
        <f aca="false">MAX(AS626,0)*(Inputs!$B$17+Inputs!$B$18+Inputs!$B$19)+MAX(-AS626,0)*(O626+Inputs!$B$18+Inputs!$B$19)+IF(AND(K626=1,AP626&lt;&gt;0),(Inputs!$B$17+Inputs!$B$18+Inputs!$B$19)+(O626+Inputs!$B$18+Inputs!$B$19),0)</f>
        <v>0</v>
      </c>
      <c r="AZ626" s="30" t="n">
        <f aca="false">AP625*M626-AY626</f>
        <v>-0</v>
      </c>
      <c r="BA626" s="32" t="n">
        <f aca="false">BA625+AI626</f>
        <v>0.0081476582830333</v>
      </c>
      <c r="BB626" s="30" t="n">
        <f aca="false">MAX(BB625,BA626)</f>
        <v>0.0108065678336457</v>
      </c>
      <c r="BC626" s="32" t="n">
        <f aca="false">BA626-BB626</f>
        <v>-0.00265890955061237</v>
      </c>
      <c r="BD626" s="30" t="n">
        <f aca="false">A627-A626</f>
        <v>3</v>
      </c>
    </row>
    <row r="627" customFormat="false" ht="15" hidden="false" customHeight="false" outlineLevel="0" collapsed="false">
      <c r="A627" s="28" t="n">
        <v>45964</v>
      </c>
      <c r="B627" s="0" t="n">
        <v>25904.4</v>
      </c>
      <c r="C627" s="0" t="n">
        <v>291.3</v>
      </c>
      <c r="D627" s="29" t="n">
        <f aca="false">LN(B627)</f>
        <v>10.1621681174288</v>
      </c>
      <c r="E627" s="29" t="n">
        <f aca="false">LN(C627)</f>
        <v>5.67435366396539</v>
      </c>
      <c r="F627" s="0" t="n">
        <v>622</v>
      </c>
      <c r="G627" s="0" t="n">
        <v>22</v>
      </c>
      <c r="H627" s="29" t="n">
        <f aca="false">D627-E627</f>
        <v>4.48781445346344</v>
      </c>
      <c r="I627" s="29" t="n">
        <f aca="false">D627-D626</f>
        <v>-0.000104223965815109</v>
      </c>
      <c r="J627" s="29" t="n">
        <f aca="false">E627-E626</f>
        <v>0.000343347642858483</v>
      </c>
      <c r="K627" s="0" t="n">
        <v>0</v>
      </c>
      <c r="L627" s="0" t="n">
        <v>0</v>
      </c>
      <c r="M627" s="29" t="n">
        <f aca="false">IF(L627=1,J627-Carry!$B$9/Inputs!$B$16,I627)</f>
        <v>-0.000104223965815109</v>
      </c>
      <c r="N627" s="0" t="n">
        <v>0.055</v>
      </c>
      <c r="O627" s="0" t="n">
        <v>0.0002</v>
      </c>
      <c r="P627" s="29" t="n">
        <f aca="false">D627-('2 Hedge ratio'!$B$6+'2 Hedge ratio'!$B$5*E627)</f>
        <v>0.00192080309227372</v>
      </c>
      <c r="Q627" s="29" t="n">
        <f aca="false">D627-('5 Re-specification'!$B$7+'5 Re-specification'!$B$5*E627+'5 Re-specification'!$B$6*F627)</f>
        <v>0.00175559727062691</v>
      </c>
      <c r="R627" s="30" t="n">
        <f aca="false">MIN(F627,Inputs!$B$9)</f>
        <v>250</v>
      </c>
      <c r="S627" s="29" t="n">
        <f aca="true">IF(AND(F627&gt;=1,R627&gt;=Inputs!$B$10),INDEX(LINEST(OFFSET(D627,-R627,0,R627,1),OFFSET(E627,-R627,0,R627,2)),1,1),"")</f>
        <v>-4.70046664402205E-005</v>
      </c>
      <c r="T627" s="29" t="n">
        <f aca="true">IF(AND(F627&gt;=1,R627&gt;=Inputs!$B$10),INDEX(LINEST(OFFSET(D627,-R627,0,R627,1),OFFSET(E627,-R627,0,R627,2)),1,2),"")</f>
        <v>1.00096705574342</v>
      </c>
      <c r="U627" s="29" t="n">
        <f aca="true">IF(AND(F627&gt;=1,R627&gt;=Inputs!$B$10),INDEX(LINEST(OFFSET(D627,-R627,0,R627,1),OFFSET(E627,-R627,0,R627,2)),1,3),"")</f>
        <v>4.50989629897793</v>
      </c>
      <c r="V627" s="29" t="n">
        <f aca="true">IF(AND(F627&gt;=1,R627&gt;=Inputs!$B$10),SQRT(SUMPRODUCT((OFFSET(D627,-R627,0,R627,1)-U627-T627*OFFSET(E627,-R627,0,R627,1)-S627*OFFSET(F627,-R627,0,R627,1))^2)/(R627-3)),"")</f>
        <v>0.00253453110172871</v>
      </c>
      <c r="W627" s="31" t="n">
        <f aca="false">IF(AND(F627&gt;=1,R627&gt;=Inputs!$B$10),(D627-U627-T627*E627-S627*F627)/V627,"")</f>
        <v>0.65796813827148</v>
      </c>
      <c r="X627" s="30" t="n">
        <f aca="false">IF(AB626&lt;&gt;0,AC626+1,0)</f>
        <v>0</v>
      </c>
      <c r="Y627" s="30" t="n">
        <f aca="false">IF(W627="",0,IF(AND(AB626&lt;&gt;0,OR(ABS(W627)&gt;Inputs!$B$7,X627&gt;=Inputs!$B$8,ABS(W627)&lt;Inputs!$B$6)),1,0))</f>
        <v>0</v>
      </c>
      <c r="Z627" s="30" t="n">
        <f aca="false">IF(Y627=1,0,AB626)</f>
        <v>0</v>
      </c>
      <c r="AA627" s="30" t="n">
        <f aca="false">IF(W627="",0,IF(AND(Z627=0,ABS(W627)&gt;Inputs!$B$5,ABS(W627)&lt;=Inputs!$B$7),1,0))</f>
        <v>0</v>
      </c>
      <c r="AB627" s="30" t="n">
        <f aca="false">IF(W627="",0,IF(AA627=1,-SIGN(W627),Z627))</f>
        <v>0</v>
      </c>
      <c r="AC627" s="30" t="n">
        <f aca="false">IF(W627="",0,IF(AA627=1,0,IF(Y627=1,0,X627)))</f>
        <v>0</v>
      </c>
      <c r="AD627" s="30" t="n">
        <f aca="false">IF(AB627=0,0,IF(AB626=AB627,AD626,T627))</f>
        <v>0</v>
      </c>
      <c r="AE627" s="30" t="n">
        <f aca="false">AB627-AB626</f>
        <v>0</v>
      </c>
      <c r="AF627" s="30" t="n">
        <f aca="false">-AD627*AB627</f>
        <v>-0</v>
      </c>
      <c r="AG627" s="30" t="n">
        <f aca="false">AF627-AF626</f>
        <v>0</v>
      </c>
      <c r="AH627" s="30" t="n">
        <f aca="false">MAX(AE627,0)*(Inputs!$B$17+Inputs!$B$18+Inputs!$B$19)+MAX(-AE627,0)*(O627+Inputs!$B$18+Inputs!$B$19)+IF(AND(K627=1,AB627&lt;&gt;0),(Inputs!$B$17+Inputs!$B$18+Inputs!$B$19)+(O627+Inputs!$B$18+Inputs!$B$19),0)+MAX(AG627,0)*(Inputs!$B$20+Inputs!$B$22+Inputs!$B$23)+MAX(-AG627,0)*(Inputs!$B$21+Inputs!$B$22+Inputs!$B$23)</f>
        <v>0</v>
      </c>
      <c r="AI627" s="30" t="n">
        <f aca="false">AB626*(M627-AD626*J627)+AB626*AD626*N627/Inputs!$B$16-AH627</f>
        <v>0</v>
      </c>
      <c r="AJ627" s="30" t="n">
        <f aca="false">MAX(AE627,0)*(Inputs!$B$17+Inputs!$B$24+Inputs!$B$25)+MAX(-AE627,0)*(O627+Inputs!$B$24+Inputs!$B$25)+IF(AND(K627=1,AB627&lt;&gt;0),(Inputs!$B$17+Inputs!$B$24+Inputs!$B$25)+(O627+Inputs!$B$24+Inputs!$B$25),0)+MAX(AG627,0)*(Inputs!$B$20+Inputs!$B$26+Inputs!$B$27)+MAX(-AG627,0)*(Inputs!$B$21+Inputs!$B$26+Inputs!$B$27)</f>
        <v>0</v>
      </c>
      <c r="AK627" s="30" t="n">
        <f aca="false">AB626*(M627-AD626*J627)+AB626*AD626*(N627+Inputs!$B$14)/Inputs!$B$16-AJ627</f>
        <v>0</v>
      </c>
      <c r="AL627" s="30" t="n">
        <f aca="false">IF(AP626&lt;&gt;0,AQ626+1,0)</f>
        <v>0</v>
      </c>
      <c r="AM627" s="30" t="n">
        <f aca="false">IF(W627="",0,IF(AND(AP626&lt;&gt;0,OR(ABS(W627)&gt;Inputs!$B$7,AL627&gt;=Inputs!$B$8,ABS(W627)&lt;Inputs!$B$6)),1,0))</f>
        <v>0</v>
      </c>
      <c r="AN627" s="30" t="n">
        <f aca="false">IF(AM627=1,0,AP626)</f>
        <v>0</v>
      </c>
      <c r="AO627" s="30" t="n">
        <f aca="false">IF(W627="",0,IF(AND(AN627=0,ABS(W627)&gt;Inputs!$B$5,ABS(W627)&lt;=Inputs!$B$7,W627&gt;0),1,0))</f>
        <v>0</v>
      </c>
      <c r="AP627" s="30" t="n">
        <f aca="false">IF(W627="",0,IF(AO627=1,-SIGN(W627),AN627))</f>
        <v>0</v>
      </c>
      <c r="AQ627" s="30" t="n">
        <f aca="false">IF(W627="",0,IF(AO627=1,0,IF(AM627=1,0,AL627)))</f>
        <v>0</v>
      </c>
      <c r="AR627" s="30" t="n">
        <f aca="false">IF(AP627=0,0,IF(AP626=AP627,AR626,T627))</f>
        <v>0</v>
      </c>
      <c r="AS627" s="30" t="n">
        <f aca="false">AP627-AP626</f>
        <v>0</v>
      </c>
      <c r="AT627" s="30" t="n">
        <f aca="false">-AR627*AP627</f>
        <v>-0</v>
      </c>
      <c r="AU627" s="30" t="n">
        <f aca="false">AT627-AT626</f>
        <v>0</v>
      </c>
      <c r="AV627" s="30" t="n">
        <f aca="false">MAX(AS627,0)*(Inputs!$B$17+Inputs!$B$18+Inputs!$B$19)+MAX(-AS627,0)*(O627+Inputs!$B$18+Inputs!$B$19)+IF(AND(K627=1,AP627&lt;&gt;0),(Inputs!$B$17+Inputs!$B$18+Inputs!$B$19)+(O627+Inputs!$B$18+Inputs!$B$19),0)+MAX(AU627,0)*(Inputs!$B$20+Inputs!$B$22+Inputs!$B$23)+MAX(-AU627,0)*(Inputs!$B$21+Inputs!$B$22+Inputs!$B$23)</f>
        <v>0</v>
      </c>
      <c r="AW627" s="30" t="n">
        <f aca="false">AP626*(M627-AR626*J627)+AP626*AR626*N627/Inputs!$B$16-AV627</f>
        <v>0</v>
      </c>
      <c r="AX627" s="30" t="n">
        <f aca="false">AW627-IF(AP626&lt;&gt;0,0.75*AR626*(Inputs!$B$13-N627)/Inputs!$B$16,0)</f>
        <v>0</v>
      </c>
      <c r="AY627" s="30" t="n">
        <f aca="false">MAX(AS627,0)*(Inputs!$B$17+Inputs!$B$18+Inputs!$B$19)+MAX(-AS627,0)*(O627+Inputs!$B$18+Inputs!$B$19)+IF(AND(K627=1,AP627&lt;&gt;0),(Inputs!$B$17+Inputs!$B$18+Inputs!$B$19)+(O627+Inputs!$B$18+Inputs!$B$19),0)</f>
        <v>0</v>
      </c>
      <c r="AZ627" s="30" t="n">
        <f aca="false">AP626*M627-AY627</f>
        <v>-0</v>
      </c>
      <c r="BA627" s="32" t="n">
        <f aca="false">BA626+AI627</f>
        <v>0.0081476582830333</v>
      </c>
      <c r="BB627" s="30" t="n">
        <f aca="false">MAX(BB626,BA627)</f>
        <v>0.0108065678336457</v>
      </c>
      <c r="BC627" s="32" t="n">
        <f aca="false">BA627-BB627</f>
        <v>-0.00265890955061237</v>
      </c>
      <c r="BD627" s="30" t="n">
        <f aca="false">A628-A627</f>
        <v>1</v>
      </c>
    </row>
    <row r="628" customFormat="false" ht="15" hidden="false" customHeight="false" outlineLevel="0" collapsed="false">
      <c r="A628" s="28" t="n">
        <v>45965</v>
      </c>
      <c r="B628" s="0" t="n">
        <v>25695.3</v>
      </c>
      <c r="C628" s="0" t="n">
        <v>289.59</v>
      </c>
      <c r="D628" s="29" t="n">
        <f aca="false">LN(B628)</f>
        <v>10.1540633747814</v>
      </c>
      <c r="E628" s="29" t="n">
        <f aca="false">LN(C628)</f>
        <v>5.66846612952863</v>
      </c>
      <c r="F628" s="0" t="n">
        <v>623</v>
      </c>
      <c r="G628" s="0" t="n">
        <v>21</v>
      </c>
      <c r="H628" s="29" t="n">
        <f aca="false">D628-E628</f>
        <v>4.48559724525277</v>
      </c>
      <c r="I628" s="29" t="n">
        <f aca="false">D628-D627</f>
        <v>-0.00810474264742567</v>
      </c>
      <c r="J628" s="29" t="n">
        <f aca="false">E628-E627</f>
        <v>-0.00588753443675572</v>
      </c>
      <c r="K628" s="0" t="n">
        <v>0</v>
      </c>
      <c r="L628" s="0" t="n">
        <v>0</v>
      </c>
      <c r="M628" s="29" t="n">
        <f aca="false">IF(L628=1,J628-Carry!$B$9/Inputs!$B$16,I628)</f>
        <v>-0.00810474264742567</v>
      </c>
      <c r="N628" s="0" t="n">
        <v>0.055</v>
      </c>
      <c r="O628" s="0" t="n">
        <v>0.0002</v>
      </c>
      <c r="P628" s="29" t="n">
        <f aca="false">D628-('2 Hedge ratio'!$B$6+'2 Hedge ratio'!$B$5*E628)</f>
        <v>-0.00079021171165472</v>
      </c>
      <c r="Q628" s="29" t="n">
        <f aca="false">D628-('5 Re-specification'!$B$7+'5 Re-specification'!$B$5*E628+'5 Re-specification'!$B$6*F628)</f>
        <v>-0.000434523795181718</v>
      </c>
      <c r="R628" s="30" t="n">
        <f aca="false">MIN(F628,Inputs!$B$9)</f>
        <v>250</v>
      </c>
      <c r="S628" s="29" t="n">
        <f aca="true">IF(AND(F628&gt;=1,R628&gt;=Inputs!$B$10),INDEX(LINEST(OFFSET(D628,-R628,0,R628,1),OFFSET(E628,-R628,0,R628,2)),1,1),"")</f>
        <v>-4.77293078510153E-005</v>
      </c>
      <c r="T628" s="29" t="n">
        <f aca="true">IF(AND(F628&gt;=1,R628&gt;=Inputs!$B$10),INDEX(LINEST(OFFSET(D628,-R628,0,R628,1),OFFSET(E628,-R628,0,R628,2)),1,2),"")</f>
        <v>1.00218373340932</v>
      </c>
      <c r="U628" s="29" t="n">
        <f aca="true">IF(AND(F628&gt;=1,R628&gt;=Inputs!$B$10),INDEX(LINEST(OFFSET(D628,-R628,0,R628,1),OFFSET(E628,-R628,0,R628,2)),1,3),"")</f>
        <v>4.50345765907129</v>
      </c>
      <c r="V628" s="29" t="n">
        <f aca="true">IF(AND(F628&gt;=1,R628&gt;=Inputs!$B$10),SQRT(SUMPRODUCT((OFFSET(D628,-R628,0,R628,1)-U628-T628*OFFSET(E628,-R628,0,R628,1)-S628*OFFSET(F628,-R628,0,R628,1))^2)/(R628-3)),"")</f>
        <v>0.00252260633968491</v>
      </c>
      <c r="W628" s="31" t="n">
        <f aca="false">IF(AND(F628&gt;=1,R628&gt;=Inputs!$B$10),(D628-U628-T628*E628-S628*F628)/V628,"")</f>
        <v>-0.199584804845942</v>
      </c>
      <c r="X628" s="30" t="n">
        <f aca="false">IF(AB627&lt;&gt;0,AC627+1,0)</f>
        <v>0</v>
      </c>
      <c r="Y628" s="30" t="n">
        <f aca="false">IF(W628="",0,IF(AND(AB627&lt;&gt;0,OR(ABS(W628)&gt;Inputs!$B$7,X628&gt;=Inputs!$B$8,ABS(W628)&lt;Inputs!$B$6)),1,0))</f>
        <v>0</v>
      </c>
      <c r="Z628" s="30" t="n">
        <f aca="false">IF(Y628=1,0,AB627)</f>
        <v>0</v>
      </c>
      <c r="AA628" s="30" t="n">
        <f aca="false">IF(W628="",0,IF(AND(Z628=0,ABS(W628)&gt;Inputs!$B$5,ABS(W628)&lt;=Inputs!$B$7),1,0))</f>
        <v>0</v>
      </c>
      <c r="AB628" s="30" t="n">
        <f aca="false">IF(W628="",0,IF(AA628=1,-SIGN(W628),Z628))</f>
        <v>0</v>
      </c>
      <c r="AC628" s="30" t="n">
        <f aca="false">IF(W628="",0,IF(AA628=1,0,IF(Y628=1,0,X628)))</f>
        <v>0</v>
      </c>
      <c r="AD628" s="30" t="n">
        <f aca="false">IF(AB628=0,0,IF(AB627=AB628,AD627,T628))</f>
        <v>0</v>
      </c>
      <c r="AE628" s="30" t="n">
        <f aca="false">AB628-AB627</f>
        <v>0</v>
      </c>
      <c r="AF628" s="30" t="n">
        <f aca="false">-AD628*AB628</f>
        <v>-0</v>
      </c>
      <c r="AG628" s="30" t="n">
        <f aca="false">AF628-AF627</f>
        <v>0</v>
      </c>
      <c r="AH628" s="30" t="n">
        <f aca="false">MAX(AE628,0)*(Inputs!$B$17+Inputs!$B$18+Inputs!$B$19)+MAX(-AE628,0)*(O628+Inputs!$B$18+Inputs!$B$19)+IF(AND(K628=1,AB628&lt;&gt;0),(Inputs!$B$17+Inputs!$B$18+Inputs!$B$19)+(O628+Inputs!$B$18+Inputs!$B$19),0)+MAX(AG628,0)*(Inputs!$B$20+Inputs!$B$22+Inputs!$B$23)+MAX(-AG628,0)*(Inputs!$B$21+Inputs!$B$22+Inputs!$B$23)</f>
        <v>0</v>
      </c>
      <c r="AI628" s="30" t="n">
        <f aca="false">AB627*(M628-AD627*J628)+AB627*AD627*N628/Inputs!$B$16-AH628</f>
        <v>0</v>
      </c>
      <c r="AJ628" s="30" t="n">
        <f aca="false">MAX(AE628,0)*(Inputs!$B$17+Inputs!$B$24+Inputs!$B$25)+MAX(-AE628,0)*(O628+Inputs!$B$24+Inputs!$B$25)+IF(AND(K628=1,AB628&lt;&gt;0),(Inputs!$B$17+Inputs!$B$24+Inputs!$B$25)+(O628+Inputs!$B$24+Inputs!$B$25),0)+MAX(AG628,0)*(Inputs!$B$20+Inputs!$B$26+Inputs!$B$27)+MAX(-AG628,0)*(Inputs!$B$21+Inputs!$B$26+Inputs!$B$27)</f>
        <v>0</v>
      </c>
      <c r="AK628" s="30" t="n">
        <f aca="false">AB627*(M628-AD627*J628)+AB627*AD627*(N628+Inputs!$B$14)/Inputs!$B$16-AJ628</f>
        <v>0</v>
      </c>
      <c r="AL628" s="30" t="n">
        <f aca="false">IF(AP627&lt;&gt;0,AQ627+1,0)</f>
        <v>0</v>
      </c>
      <c r="AM628" s="30" t="n">
        <f aca="false">IF(W628="",0,IF(AND(AP627&lt;&gt;0,OR(ABS(W628)&gt;Inputs!$B$7,AL628&gt;=Inputs!$B$8,ABS(W628)&lt;Inputs!$B$6)),1,0))</f>
        <v>0</v>
      </c>
      <c r="AN628" s="30" t="n">
        <f aca="false">IF(AM628=1,0,AP627)</f>
        <v>0</v>
      </c>
      <c r="AO628" s="30" t="n">
        <f aca="false">IF(W628="",0,IF(AND(AN628=0,ABS(W628)&gt;Inputs!$B$5,ABS(W628)&lt;=Inputs!$B$7,W628&gt;0),1,0))</f>
        <v>0</v>
      </c>
      <c r="AP628" s="30" t="n">
        <f aca="false">IF(W628="",0,IF(AO628=1,-SIGN(W628),AN628))</f>
        <v>0</v>
      </c>
      <c r="AQ628" s="30" t="n">
        <f aca="false">IF(W628="",0,IF(AO628=1,0,IF(AM628=1,0,AL628)))</f>
        <v>0</v>
      </c>
      <c r="AR628" s="30" t="n">
        <f aca="false">IF(AP628=0,0,IF(AP627=AP628,AR627,T628))</f>
        <v>0</v>
      </c>
      <c r="AS628" s="30" t="n">
        <f aca="false">AP628-AP627</f>
        <v>0</v>
      </c>
      <c r="AT628" s="30" t="n">
        <f aca="false">-AR628*AP628</f>
        <v>-0</v>
      </c>
      <c r="AU628" s="30" t="n">
        <f aca="false">AT628-AT627</f>
        <v>0</v>
      </c>
      <c r="AV628" s="30" t="n">
        <f aca="false">MAX(AS628,0)*(Inputs!$B$17+Inputs!$B$18+Inputs!$B$19)+MAX(-AS628,0)*(O628+Inputs!$B$18+Inputs!$B$19)+IF(AND(K628=1,AP628&lt;&gt;0),(Inputs!$B$17+Inputs!$B$18+Inputs!$B$19)+(O628+Inputs!$B$18+Inputs!$B$19),0)+MAX(AU628,0)*(Inputs!$B$20+Inputs!$B$22+Inputs!$B$23)+MAX(-AU628,0)*(Inputs!$B$21+Inputs!$B$22+Inputs!$B$23)</f>
        <v>0</v>
      </c>
      <c r="AW628" s="30" t="n">
        <f aca="false">AP627*(M628-AR627*J628)+AP627*AR627*N628/Inputs!$B$16-AV628</f>
        <v>0</v>
      </c>
      <c r="AX628" s="30" t="n">
        <f aca="false">AW628-IF(AP627&lt;&gt;0,0.75*AR627*(Inputs!$B$13-N628)/Inputs!$B$16,0)</f>
        <v>0</v>
      </c>
      <c r="AY628" s="30" t="n">
        <f aca="false">MAX(AS628,0)*(Inputs!$B$17+Inputs!$B$18+Inputs!$B$19)+MAX(-AS628,0)*(O628+Inputs!$B$18+Inputs!$B$19)+IF(AND(K628=1,AP628&lt;&gt;0),(Inputs!$B$17+Inputs!$B$18+Inputs!$B$19)+(O628+Inputs!$B$18+Inputs!$B$19),0)</f>
        <v>0</v>
      </c>
      <c r="AZ628" s="30" t="n">
        <f aca="false">AP627*M628-AY628</f>
        <v>-0</v>
      </c>
      <c r="BA628" s="32" t="n">
        <f aca="false">BA627+AI628</f>
        <v>0.0081476582830333</v>
      </c>
      <c r="BB628" s="30" t="n">
        <f aca="false">MAX(BB627,BA628)</f>
        <v>0.0108065678336457</v>
      </c>
      <c r="BC628" s="32" t="n">
        <f aca="false">BA628-BB628</f>
        <v>-0.00265890955061237</v>
      </c>
      <c r="BD628" s="30" t="n">
        <f aca="false">A629-A628</f>
        <v>2</v>
      </c>
    </row>
    <row r="629" customFormat="false" ht="15" hidden="false" customHeight="false" outlineLevel="0" collapsed="false">
      <c r="A629" s="28" t="n">
        <v>45967</v>
      </c>
      <c r="B629" s="0" t="n">
        <v>25637.8</v>
      </c>
      <c r="C629" s="0" t="n">
        <v>288.45</v>
      </c>
      <c r="D629" s="29" t="n">
        <f aca="false">LN(B629)</f>
        <v>10.1518231039211</v>
      </c>
      <c r="E629" s="29" t="n">
        <f aca="false">LN(C629)</f>
        <v>5.6645217607029</v>
      </c>
      <c r="F629" s="0" t="n">
        <v>624</v>
      </c>
      <c r="G629" s="0" t="n">
        <v>19</v>
      </c>
      <c r="H629" s="29" t="n">
        <f aca="false">D629-E629</f>
        <v>4.48730134321825</v>
      </c>
      <c r="I629" s="29" t="n">
        <f aca="false">D629-D628</f>
        <v>-0.00224027086026268</v>
      </c>
      <c r="J629" s="29" t="n">
        <f aca="false">E629-E628</f>
        <v>-0.00394436882573501</v>
      </c>
      <c r="K629" s="0" t="n">
        <v>0</v>
      </c>
      <c r="L629" s="0" t="n">
        <v>0</v>
      </c>
      <c r="M629" s="29" t="n">
        <f aca="false">IF(L629=1,J629-Carry!$B$9/Inputs!$B$16,I629)</f>
        <v>-0.00224027086026268</v>
      </c>
      <c r="N629" s="0" t="n">
        <v>0.055</v>
      </c>
      <c r="O629" s="0" t="n">
        <v>0.0002</v>
      </c>
      <c r="P629" s="29" t="n">
        <f aca="false">D629-('2 Hedge ratio'!$B$6+'2 Hedge ratio'!$B$5*E629)</f>
        <v>0.000583059257678542</v>
      </c>
      <c r="Q629" s="29" t="n">
        <f aca="false">D629-('5 Re-specification'!$B$7+'5 Re-specification'!$B$5*E629+'5 Re-specification'!$B$6*F629)</f>
        <v>0.00130255007857727</v>
      </c>
      <c r="R629" s="30" t="n">
        <f aca="false">MIN(F629,Inputs!$B$9)</f>
        <v>250</v>
      </c>
      <c r="S629" s="29" t="n">
        <f aca="true">IF(AND(F629&gt;=1,R629&gt;=Inputs!$B$10),INDEX(LINEST(OFFSET(D629,-R629,0,R629,1),OFFSET(E629,-R629,0,R629,2)),1,1),"")</f>
        <v>-4.86226309101124E-005</v>
      </c>
      <c r="T629" s="29" t="n">
        <f aca="true">IF(AND(F629&gt;=1,R629&gt;=Inputs!$B$10),INDEX(LINEST(OFFSET(D629,-R629,0,R629,1),OFFSET(E629,-R629,0,R629,2)),1,2),"")</f>
        <v>1.00323132881529</v>
      </c>
      <c r="U629" s="29" t="n">
        <f aca="true">IF(AND(F629&gt;=1,R629&gt;=Inputs!$B$10),INDEX(LINEST(OFFSET(D629,-R629,0,R629,1),OFFSET(E629,-R629,0,R629,2)),1,3),"")</f>
        <v>4.49804392910333</v>
      </c>
      <c r="V629" s="29" t="n">
        <f aca="true">IF(AND(F629&gt;=1,R629&gt;=Inputs!$B$10),SQRT(SUMPRODUCT((OFFSET(D629,-R629,0,R629,1)-U629-T629*OFFSET(E629,-R629,0,R629,1)-S629*OFFSET(F629,-R629,0,R629,1))^2)/(R629-3)),"")</f>
        <v>0.00250694852204699</v>
      </c>
      <c r="W629" s="31" t="n">
        <f aca="false">IF(AND(F629&gt;=1,R629&gt;=Inputs!$B$10),(D629-U629-T629*E629-S629*F629)/V629,"")</f>
        <v>0.516166726695769</v>
      </c>
      <c r="X629" s="30" t="n">
        <f aca="false">IF(AB628&lt;&gt;0,AC628+1,0)</f>
        <v>0</v>
      </c>
      <c r="Y629" s="30" t="n">
        <f aca="false">IF(W629="",0,IF(AND(AB628&lt;&gt;0,OR(ABS(W629)&gt;Inputs!$B$7,X629&gt;=Inputs!$B$8,ABS(W629)&lt;Inputs!$B$6)),1,0))</f>
        <v>0</v>
      </c>
      <c r="Z629" s="30" t="n">
        <f aca="false">IF(Y629=1,0,AB628)</f>
        <v>0</v>
      </c>
      <c r="AA629" s="30" t="n">
        <f aca="false">IF(W629="",0,IF(AND(Z629=0,ABS(W629)&gt;Inputs!$B$5,ABS(W629)&lt;=Inputs!$B$7),1,0))</f>
        <v>0</v>
      </c>
      <c r="AB629" s="30" t="n">
        <f aca="false">IF(W629="",0,IF(AA629=1,-SIGN(W629),Z629))</f>
        <v>0</v>
      </c>
      <c r="AC629" s="30" t="n">
        <f aca="false">IF(W629="",0,IF(AA629=1,0,IF(Y629=1,0,X629)))</f>
        <v>0</v>
      </c>
      <c r="AD629" s="30" t="n">
        <f aca="false">IF(AB629=0,0,IF(AB628=AB629,AD628,T629))</f>
        <v>0</v>
      </c>
      <c r="AE629" s="30" t="n">
        <f aca="false">AB629-AB628</f>
        <v>0</v>
      </c>
      <c r="AF629" s="30" t="n">
        <f aca="false">-AD629*AB629</f>
        <v>-0</v>
      </c>
      <c r="AG629" s="30" t="n">
        <f aca="false">AF629-AF628</f>
        <v>0</v>
      </c>
      <c r="AH629" s="30" t="n">
        <f aca="false">MAX(AE629,0)*(Inputs!$B$17+Inputs!$B$18+Inputs!$B$19)+MAX(-AE629,0)*(O629+Inputs!$B$18+Inputs!$B$19)+IF(AND(K629=1,AB629&lt;&gt;0),(Inputs!$B$17+Inputs!$B$18+Inputs!$B$19)+(O629+Inputs!$B$18+Inputs!$B$19),0)+MAX(AG629,0)*(Inputs!$B$20+Inputs!$B$22+Inputs!$B$23)+MAX(-AG629,0)*(Inputs!$B$21+Inputs!$B$22+Inputs!$B$23)</f>
        <v>0</v>
      </c>
      <c r="AI629" s="30" t="n">
        <f aca="false">AB628*(M629-AD628*J629)+AB628*AD628*N629/Inputs!$B$16-AH629</f>
        <v>0</v>
      </c>
      <c r="AJ629" s="30" t="n">
        <f aca="false">MAX(AE629,0)*(Inputs!$B$17+Inputs!$B$24+Inputs!$B$25)+MAX(-AE629,0)*(O629+Inputs!$B$24+Inputs!$B$25)+IF(AND(K629=1,AB629&lt;&gt;0),(Inputs!$B$17+Inputs!$B$24+Inputs!$B$25)+(O629+Inputs!$B$24+Inputs!$B$25),0)+MAX(AG629,0)*(Inputs!$B$20+Inputs!$B$26+Inputs!$B$27)+MAX(-AG629,0)*(Inputs!$B$21+Inputs!$B$26+Inputs!$B$27)</f>
        <v>0</v>
      </c>
      <c r="AK629" s="30" t="n">
        <f aca="false">AB628*(M629-AD628*J629)+AB628*AD628*(N629+Inputs!$B$14)/Inputs!$B$16-AJ629</f>
        <v>0</v>
      </c>
      <c r="AL629" s="30" t="n">
        <f aca="false">IF(AP628&lt;&gt;0,AQ628+1,0)</f>
        <v>0</v>
      </c>
      <c r="AM629" s="30" t="n">
        <f aca="false">IF(W629="",0,IF(AND(AP628&lt;&gt;0,OR(ABS(W629)&gt;Inputs!$B$7,AL629&gt;=Inputs!$B$8,ABS(W629)&lt;Inputs!$B$6)),1,0))</f>
        <v>0</v>
      </c>
      <c r="AN629" s="30" t="n">
        <f aca="false">IF(AM629=1,0,AP628)</f>
        <v>0</v>
      </c>
      <c r="AO629" s="30" t="n">
        <f aca="false">IF(W629="",0,IF(AND(AN629=0,ABS(W629)&gt;Inputs!$B$5,ABS(W629)&lt;=Inputs!$B$7,W629&gt;0),1,0))</f>
        <v>0</v>
      </c>
      <c r="AP629" s="30" t="n">
        <f aca="false">IF(W629="",0,IF(AO629=1,-SIGN(W629),AN629))</f>
        <v>0</v>
      </c>
      <c r="AQ629" s="30" t="n">
        <f aca="false">IF(W629="",0,IF(AO629=1,0,IF(AM629=1,0,AL629)))</f>
        <v>0</v>
      </c>
      <c r="AR629" s="30" t="n">
        <f aca="false">IF(AP629=0,0,IF(AP628=AP629,AR628,T629))</f>
        <v>0</v>
      </c>
      <c r="AS629" s="30" t="n">
        <f aca="false">AP629-AP628</f>
        <v>0</v>
      </c>
      <c r="AT629" s="30" t="n">
        <f aca="false">-AR629*AP629</f>
        <v>-0</v>
      </c>
      <c r="AU629" s="30" t="n">
        <f aca="false">AT629-AT628</f>
        <v>0</v>
      </c>
      <c r="AV629" s="30" t="n">
        <f aca="false">MAX(AS629,0)*(Inputs!$B$17+Inputs!$B$18+Inputs!$B$19)+MAX(-AS629,0)*(O629+Inputs!$B$18+Inputs!$B$19)+IF(AND(K629=1,AP629&lt;&gt;0),(Inputs!$B$17+Inputs!$B$18+Inputs!$B$19)+(O629+Inputs!$B$18+Inputs!$B$19),0)+MAX(AU629,0)*(Inputs!$B$20+Inputs!$B$22+Inputs!$B$23)+MAX(-AU629,0)*(Inputs!$B$21+Inputs!$B$22+Inputs!$B$23)</f>
        <v>0</v>
      </c>
      <c r="AW629" s="30" t="n">
        <f aca="false">AP628*(M629-AR628*J629)+AP628*AR628*N629/Inputs!$B$16-AV629</f>
        <v>0</v>
      </c>
      <c r="AX629" s="30" t="n">
        <f aca="false">AW629-IF(AP628&lt;&gt;0,0.75*AR628*(Inputs!$B$13-N629)/Inputs!$B$16,0)</f>
        <v>0</v>
      </c>
      <c r="AY629" s="30" t="n">
        <f aca="false">MAX(AS629,0)*(Inputs!$B$17+Inputs!$B$18+Inputs!$B$19)+MAX(-AS629,0)*(O629+Inputs!$B$18+Inputs!$B$19)+IF(AND(K629=1,AP629&lt;&gt;0),(Inputs!$B$17+Inputs!$B$18+Inputs!$B$19)+(O629+Inputs!$B$18+Inputs!$B$19),0)</f>
        <v>0</v>
      </c>
      <c r="AZ629" s="30" t="n">
        <f aca="false">AP628*M629-AY629</f>
        <v>-0</v>
      </c>
      <c r="BA629" s="32" t="n">
        <f aca="false">BA628+AI629</f>
        <v>0.0081476582830333</v>
      </c>
      <c r="BB629" s="30" t="n">
        <f aca="false">MAX(BB628,BA629)</f>
        <v>0.0108065678336457</v>
      </c>
      <c r="BC629" s="32" t="n">
        <f aca="false">BA629-BB629</f>
        <v>-0.00265890955061237</v>
      </c>
      <c r="BD629" s="30" t="n">
        <f aca="false">A630-A629</f>
        <v>1</v>
      </c>
    </row>
    <row r="630" customFormat="false" ht="15" hidden="false" customHeight="false" outlineLevel="0" collapsed="false">
      <c r="A630" s="28" t="n">
        <v>45968</v>
      </c>
      <c r="B630" s="0" t="n">
        <v>25607.4</v>
      </c>
      <c r="C630" s="0" t="n">
        <v>288.7</v>
      </c>
      <c r="D630" s="29" t="n">
        <f aca="false">LN(B630)</f>
        <v>10.1506366511971</v>
      </c>
      <c r="E630" s="29" t="n">
        <f aca="false">LN(C630)</f>
        <v>5.66538808666889</v>
      </c>
      <c r="F630" s="0" t="n">
        <v>625</v>
      </c>
      <c r="G630" s="0" t="n">
        <v>18</v>
      </c>
      <c r="H630" s="29" t="n">
        <f aca="false">D630-E630</f>
        <v>4.48524856452825</v>
      </c>
      <c r="I630" s="29" t="n">
        <f aca="false">D630-D629</f>
        <v>-0.00118645272400464</v>
      </c>
      <c r="J630" s="29" t="n">
        <f aca="false">E630-E629</f>
        <v>0.000866325965990455</v>
      </c>
      <c r="K630" s="0" t="n">
        <v>0</v>
      </c>
      <c r="L630" s="0" t="n">
        <v>0</v>
      </c>
      <c r="M630" s="29" t="n">
        <f aca="false">IF(L630=1,J630-Carry!$B$9/Inputs!$B$16,I630)</f>
        <v>-0.00118645272400464</v>
      </c>
      <c r="N630" s="0" t="n">
        <v>0.055</v>
      </c>
      <c r="O630" s="0" t="n">
        <v>0.0002</v>
      </c>
      <c r="P630" s="29" t="n">
        <f aca="false">D630-('2 Hedge ratio'!$B$6+'2 Hedge ratio'!$B$5*E630)</f>
        <v>-0.00139705786600075</v>
      </c>
      <c r="Q630" s="29" t="n">
        <f aca="false">D630-('5 Re-specification'!$B$7+'5 Re-specification'!$B$5*E630+'5 Re-specification'!$B$6*F630)</f>
        <v>-0.000702673892460481</v>
      </c>
      <c r="R630" s="30" t="n">
        <f aca="false">MIN(F630,Inputs!$B$9)</f>
        <v>250</v>
      </c>
      <c r="S630" s="29" t="n">
        <f aca="true">IF(AND(F630&gt;=1,R630&gt;=Inputs!$B$10),INDEX(LINEST(OFFSET(D630,-R630,0,R630,1),OFFSET(E630,-R630,0,R630,2)),1,1),"")</f>
        <v>-4.95309734446555E-005</v>
      </c>
      <c r="T630" s="29" t="n">
        <f aca="true">IF(AND(F630&gt;=1,R630&gt;=Inputs!$B$10),INDEX(LINEST(OFFSET(D630,-R630,0,R630,1),OFFSET(E630,-R630,0,R630,2)),1,2),"")</f>
        <v>1.00447235376384</v>
      </c>
      <c r="U630" s="29" t="n">
        <f aca="true">IF(AND(F630&gt;=1,R630&gt;=Inputs!$B$10),INDEX(LINEST(OFFSET(D630,-R630,0,R630,1),OFFSET(E630,-R630,0,R630,2)),1,3),"")</f>
        <v>4.49156504972678</v>
      </c>
      <c r="V630" s="29" t="n">
        <f aca="true">IF(AND(F630&gt;=1,R630&gt;=Inputs!$B$10),SQRT(SUMPRODUCT((OFFSET(D630,-R630,0,R630,1)-U630-T630*OFFSET(E630,-R630,0,R630,1)-S630*OFFSET(F630,-R630,0,R630,1))^2)/(R630-3)),"")</f>
        <v>0.0024837389120336</v>
      </c>
      <c r="W630" s="31" t="n">
        <f aca="false">IF(AND(F630&gt;=1,R630&gt;=Inputs!$B$10),(D630-U630-T630*E630-S630*F630)/V630,"")</f>
        <v>-0.280724566204475</v>
      </c>
      <c r="X630" s="30" t="n">
        <f aca="false">IF(AB629&lt;&gt;0,AC629+1,0)</f>
        <v>0</v>
      </c>
      <c r="Y630" s="30" t="n">
        <f aca="false">IF(W630="",0,IF(AND(AB629&lt;&gt;0,OR(ABS(W630)&gt;Inputs!$B$7,X630&gt;=Inputs!$B$8,ABS(W630)&lt;Inputs!$B$6)),1,0))</f>
        <v>0</v>
      </c>
      <c r="Z630" s="30" t="n">
        <f aca="false">IF(Y630=1,0,AB629)</f>
        <v>0</v>
      </c>
      <c r="AA630" s="30" t="n">
        <f aca="false">IF(W630="",0,IF(AND(Z630=0,ABS(W630)&gt;Inputs!$B$5,ABS(W630)&lt;=Inputs!$B$7),1,0))</f>
        <v>0</v>
      </c>
      <c r="AB630" s="30" t="n">
        <f aca="false">IF(W630="",0,IF(AA630=1,-SIGN(W630),Z630))</f>
        <v>0</v>
      </c>
      <c r="AC630" s="30" t="n">
        <f aca="false">IF(W630="",0,IF(AA630=1,0,IF(Y630=1,0,X630)))</f>
        <v>0</v>
      </c>
      <c r="AD630" s="30" t="n">
        <f aca="false">IF(AB630=0,0,IF(AB629=AB630,AD629,T630))</f>
        <v>0</v>
      </c>
      <c r="AE630" s="30" t="n">
        <f aca="false">AB630-AB629</f>
        <v>0</v>
      </c>
      <c r="AF630" s="30" t="n">
        <f aca="false">-AD630*AB630</f>
        <v>-0</v>
      </c>
      <c r="AG630" s="30" t="n">
        <f aca="false">AF630-AF629</f>
        <v>0</v>
      </c>
      <c r="AH630" s="30" t="n">
        <f aca="false">MAX(AE630,0)*(Inputs!$B$17+Inputs!$B$18+Inputs!$B$19)+MAX(-AE630,0)*(O630+Inputs!$B$18+Inputs!$B$19)+IF(AND(K630=1,AB630&lt;&gt;0),(Inputs!$B$17+Inputs!$B$18+Inputs!$B$19)+(O630+Inputs!$B$18+Inputs!$B$19),0)+MAX(AG630,0)*(Inputs!$B$20+Inputs!$B$22+Inputs!$B$23)+MAX(-AG630,0)*(Inputs!$B$21+Inputs!$B$22+Inputs!$B$23)</f>
        <v>0</v>
      </c>
      <c r="AI630" s="30" t="n">
        <f aca="false">AB629*(M630-AD629*J630)+AB629*AD629*N630/Inputs!$B$16-AH630</f>
        <v>0</v>
      </c>
      <c r="AJ630" s="30" t="n">
        <f aca="false">MAX(AE630,0)*(Inputs!$B$17+Inputs!$B$24+Inputs!$B$25)+MAX(-AE630,0)*(O630+Inputs!$B$24+Inputs!$B$25)+IF(AND(K630=1,AB630&lt;&gt;0),(Inputs!$B$17+Inputs!$B$24+Inputs!$B$25)+(O630+Inputs!$B$24+Inputs!$B$25),0)+MAX(AG630,0)*(Inputs!$B$20+Inputs!$B$26+Inputs!$B$27)+MAX(-AG630,0)*(Inputs!$B$21+Inputs!$B$26+Inputs!$B$27)</f>
        <v>0</v>
      </c>
      <c r="AK630" s="30" t="n">
        <f aca="false">AB629*(M630-AD629*J630)+AB629*AD629*(N630+Inputs!$B$14)/Inputs!$B$16-AJ630</f>
        <v>0</v>
      </c>
      <c r="AL630" s="30" t="n">
        <f aca="false">IF(AP629&lt;&gt;0,AQ629+1,0)</f>
        <v>0</v>
      </c>
      <c r="AM630" s="30" t="n">
        <f aca="false">IF(W630="",0,IF(AND(AP629&lt;&gt;0,OR(ABS(W630)&gt;Inputs!$B$7,AL630&gt;=Inputs!$B$8,ABS(W630)&lt;Inputs!$B$6)),1,0))</f>
        <v>0</v>
      </c>
      <c r="AN630" s="30" t="n">
        <f aca="false">IF(AM630=1,0,AP629)</f>
        <v>0</v>
      </c>
      <c r="AO630" s="30" t="n">
        <f aca="false">IF(W630="",0,IF(AND(AN630=0,ABS(W630)&gt;Inputs!$B$5,ABS(W630)&lt;=Inputs!$B$7,W630&gt;0),1,0))</f>
        <v>0</v>
      </c>
      <c r="AP630" s="30" t="n">
        <f aca="false">IF(W630="",0,IF(AO630=1,-SIGN(W630),AN630))</f>
        <v>0</v>
      </c>
      <c r="AQ630" s="30" t="n">
        <f aca="false">IF(W630="",0,IF(AO630=1,0,IF(AM630=1,0,AL630)))</f>
        <v>0</v>
      </c>
      <c r="AR630" s="30" t="n">
        <f aca="false">IF(AP630=0,0,IF(AP629=AP630,AR629,T630))</f>
        <v>0</v>
      </c>
      <c r="AS630" s="30" t="n">
        <f aca="false">AP630-AP629</f>
        <v>0</v>
      </c>
      <c r="AT630" s="30" t="n">
        <f aca="false">-AR630*AP630</f>
        <v>-0</v>
      </c>
      <c r="AU630" s="30" t="n">
        <f aca="false">AT630-AT629</f>
        <v>0</v>
      </c>
      <c r="AV630" s="30" t="n">
        <f aca="false">MAX(AS630,0)*(Inputs!$B$17+Inputs!$B$18+Inputs!$B$19)+MAX(-AS630,0)*(O630+Inputs!$B$18+Inputs!$B$19)+IF(AND(K630=1,AP630&lt;&gt;0),(Inputs!$B$17+Inputs!$B$18+Inputs!$B$19)+(O630+Inputs!$B$18+Inputs!$B$19),0)+MAX(AU630,0)*(Inputs!$B$20+Inputs!$B$22+Inputs!$B$23)+MAX(-AU630,0)*(Inputs!$B$21+Inputs!$B$22+Inputs!$B$23)</f>
        <v>0</v>
      </c>
      <c r="AW630" s="30" t="n">
        <f aca="false">AP629*(M630-AR629*J630)+AP629*AR629*N630/Inputs!$B$16-AV630</f>
        <v>0</v>
      </c>
      <c r="AX630" s="30" t="n">
        <f aca="false">AW630-IF(AP629&lt;&gt;0,0.75*AR629*(Inputs!$B$13-N630)/Inputs!$B$16,0)</f>
        <v>0</v>
      </c>
      <c r="AY630" s="30" t="n">
        <f aca="false">MAX(AS630,0)*(Inputs!$B$17+Inputs!$B$18+Inputs!$B$19)+MAX(-AS630,0)*(O630+Inputs!$B$18+Inputs!$B$19)+IF(AND(K630=1,AP630&lt;&gt;0),(Inputs!$B$17+Inputs!$B$18+Inputs!$B$19)+(O630+Inputs!$B$18+Inputs!$B$19),0)</f>
        <v>0</v>
      </c>
      <c r="AZ630" s="30" t="n">
        <f aca="false">AP629*M630-AY630</f>
        <v>-0</v>
      </c>
      <c r="BA630" s="32" t="n">
        <f aca="false">BA629+AI630</f>
        <v>0.0081476582830333</v>
      </c>
      <c r="BB630" s="30" t="n">
        <f aca="false">MAX(BB629,BA630)</f>
        <v>0.0108065678336457</v>
      </c>
      <c r="BC630" s="32" t="n">
        <f aca="false">BA630-BB630</f>
        <v>-0.00265890955061237</v>
      </c>
      <c r="BD630" s="30" t="n">
        <f aca="false">A631-A630</f>
        <v>3</v>
      </c>
    </row>
    <row r="631" customFormat="false" ht="15" hidden="false" customHeight="false" outlineLevel="0" collapsed="false">
      <c r="A631" s="28" t="n">
        <v>45971</v>
      </c>
      <c r="B631" s="0" t="n">
        <v>25696.9</v>
      </c>
      <c r="C631" s="0" t="n">
        <v>289.77</v>
      </c>
      <c r="D631" s="29" t="n">
        <f aca="false">LN(B631)</f>
        <v>10.1541256410397</v>
      </c>
      <c r="E631" s="29" t="n">
        <f aca="false">LN(C631)</f>
        <v>5.66908750485932</v>
      </c>
      <c r="F631" s="0" t="n">
        <v>626</v>
      </c>
      <c r="G631" s="0" t="n">
        <v>15</v>
      </c>
      <c r="H631" s="29" t="n">
        <f aca="false">D631-E631</f>
        <v>4.48503813618042</v>
      </c>
      <c r="I631" s="29" t="n">
        <f aca="false">D631-D630</f>
        <v>0.00348898984259094</v>
      </c>
      <c r="J631" s="29" t="n">
        <f aca="false">E631-E630</f>
        <v>0.00369941819042552</v>
      </c>
      <c r="K631" s="0" t="n">
        <v>0</v>
      </c>
      <c r="L631" s="0" t="n">
        <v>0</v>
      </c>
      <c r="M631" s="29" t="n">
        <f aca="false">IF(L631=1,J631-Carry!$B$9/Inputs!$B$16,I631)</f>
        <v>0.00348898984259094</v>
      </c>
      <c r="N631" s="0" t="n">
        <v>0.055</v>
      </c>
      <c r="O631" s="0" t="n">
        <v>0.0002</v>
      </c>
      <c r="P631" s="29" t="n">
        <f aca="false">D631-('2 Hedge ratio'!$B$6+'2 Hedge ratio'!$B$5*E631)</f>
        <v>-0.00129720402130218</v>
      </c>
      <c r="Q631" s="29" t="n">
        <f aca="false">D631-('5 Re-specification'!$B$7+'5 Re-specification'!$B$5*E631+'5 Re-specification'!$B$6*F631)</f>
        <v>-0.000856961835296488</v>
      </c>
      <c r="R631" s="30" t="n">
        <f aca="false">MIN(F631,Inputs!$B$9)</f>
        <v>250</v>
      </c>
      <c r="S631" s="29" t="n">
        <f aca="true">IF(AND(F631&gt;=1,R631&gt;=Inputs!$B$10),INDEX(LINEST(OFFSET(D631,-R631,0,R631,1),OFFSET(E631,-R631,0,R631,2)),1,1),"")</f>
        <v>-4.97670410436421E-005</v>
      </c>
      <c r="T631" s="29" t="n">
        <f aca="true">IF(AND(F631&gt;=1,R631&gt;=Inputs!$B$10),INDEX(LINEST(OFFSET(D631,-R631,0,R631,1),OFFSET(E631,-R631,0,R631,2)),1,2),"")</f>
        <v>1.00464025840154</v>
      </c>
      <c r="U631" s="29" t="n">
        <f aca="true">IF(AND(F631&gt;=1,R631&gt;=Inputs!$B$10),INDEX(LINEST(OFFSET(D631,-R631,0,R631,1),OFFSET(E631,-R631,0,R631,2)),1,3),"")</f>
        <v>4.49074292399861</v>
      </c>
      <c r="V631" s="29" t="n">
        <f aca="true">IF(AND(F631&gt;=1,R631&gt;=Inputs!$B$10),SQRT(SUMPRODUCT((OFFSET(D631,-R631,0,R631,1)-U631-T631*OFFSET(E631,-R631,0,R631,1)-S631*OFFSET(F631,-R631,0,R631,1))^2)/(R631-3)),"")</f>
        <v>0.00248322315774418</v>
      </c>
      <c r="W631" s="31" t="n">
        <f aca="false">IF(AND(F631&gt;=1,R631&gt;=Inputs!$B$10),(D631-U631-T631*E631-S631*F631)/V631,"")</f>
        <v>-0.3449754588797</v>
      </c>
      <c r="X631" s="30" t="n">
        <f aca="false">IF(AB630&lt;&gt;0,AC630+1,0)</f>
        <v>0</v>
      </c>
      <c r="Y631" s="30" t="n">
        <f aca="false">IF(W631="",0,IF(AND(AB630&lt;&gt;0,OR(ABS(W631)&gt;Inputs!$B$7,X631&gt;=Inputs!$B$8,ABS(W631)&lt;Inputs!$B$6)),1,0))</f>
        <v>0</v>
      </c>
      <c r="Z631" s="30" t="n">
        <f aca="false">IF(Y631=1,0,AB630)</f>
        <v>0</v>
      </c>
      <c r="AA631" s="30" t="n">
        <f aca="false">IF(W631="",0,IF(AND(Z631=0,ABS(W631)&gt;Inputs!$B$5,ABS(W631)&lt;=Inputs!$B$7),1,0))</f>
        <v>0</v>
      </c>
      <c r="AB631" s="30" t="n">
        <f aca="false">IF(W631="",0,IF(AA631=1,-SIGN(W631),Z631))</f>
        <v>0</v>
      </c>
      <c r="AC631" s="30" t="n">
        <f aca="false">IF(W631="",0,IF(AA631=1,0,IF(Y631=1,0,X631)))</f>
        <v>0</v>
      </c>
      <c r="AD631" s="30" t="n">
        <f aca="false">IF(AB631=0,0,IF(AB630=AB631,AD630,T631))</f>
        <v>0</v>
      </c>
      <c r="AE631" s="30" t="n">
        <f aca="false">AB631-AB630</f>
        <v>0</v>
      </c>
      <c r="AF631" s="30" t="n">
        <f aca="false">-AD631*AB631</f>
        <v>-0</v>
      </c>
      <c r="AG631" s="30" t="n">
        <f aca="false">AF631-AF630</f>
        <v>0</v>
      </c>
      <c r="AH631" s="30" t="n">
        <f aca="false">MAX(AE631,0)*(Inputs!$B$17+Inputs!$B$18+Inputs!$B$19)+MAX(-AE631,0)*(O631+Inputs!$B$18+Inputs!$B$19)+IF(AND(K631=1,AB631&lt;&gt;0),(Inputs!$B$17+Inputs!$B$18+Inputs!$B$19)+(O631+Inputs!$B$18+Inputs!$B$19),0)+MAX(AG631,0)*(Inputs!$B$20+Inputs!$B$22+Inputs!$B$23)+MAX(-AG631,0)*(Inputs!$B$21+Inputs!$B$22+Inputs!$B$23)</f>
        <v>0</v>
      </c>
      <c r="AI631" s="30" t="n">
        <f aca="false">AB630*(M631-AD630*J631)+AB630*AD630*N631/Inputs!$B$16-AH631</f>
        <v>0</v>
      </c>
      <c r="AJ631" s="30" t="n">
        <f aca="false">MAX(AE631,0)*(Inputs!$B$17+Inputs!$B$24+Inputs!$B$25)+MAX(-AE631,0)*(O631+Inputs!$B$24+Inputs!$B$25)+IF(AND(K631=1,AB631&lt;&gt;0),(Inputs!$B$17+Inputs!$B$24+Inputs!$B$25)+(O631+Inputs!$B$24+Inputs!$B$25),0)+MAX(AG631,0)*(Inputs!$B$20+Inputs!$B$26+Inputs!$B$27)+MAX(-AG631,0)*(Inputs!$B$21+Inputs!$B$26+Inputs!$B$27)</f>
        <v>0</v>
      </c>
      <c r="AK631" s="30" t="n">
        <f aca="false">AB630*(M631-AD630*J631)+AB630*AD630*(N631+Inputs!$B$14)/Inputs!$B$16-AJ631</f>
        <v>0</v>
      </c>
      <c r="AL631" s="30" t="n">
        <f aca="false">IF(AP630&lt;&gt;0,AQ630+1,0)</f>
        <v>0</v>
      </c>
      <c r="AM631" s="30" t="n">
        <f aca="false">IF(W631="",0,IF(AND(AP630&lt;&gt;0,OR(ABS(W631)&gt;Inputs!$B$7,AL631&gt;=Inputs!$B$8,ABS(W631)&lt;Inputs!$B$6)),1,0))</f>
        <v>0</v>
      </c>
      <c r="AN631" s="30" t="n">
        <f aca="false">IF(AM631=1,0,AP630)</f>
        <v>0</v>
      </c>
      <c r="AO631" s="30" t="n">
        <f aca="false">IF(W631="",0,IF(AND(AN631=0,ABS(W631)&gt;Inputs!$B$5,ABS(W631)&lt;=Inputs!$B$7,W631&gt;0),1,0))</f>
        <v>0</v>
      </c>
      <c r="AP631" s="30" t="n">
        <f aca="false">IF(W631="",0,IF(AO631=1,-SIGN(W631),AN631))</f>
        <v>0</v>
      </c>
      <c r="AQ631" s="30" t="n">
        <f aca="false">IF(W631="",0,IF(AO631=1,0,IF(AM631=1,0,AL631)))</f>
        <v>0</v>
      </c>
      <c r="AR631" s="30" t="n">
        <f aca="false">IF(AP631=0,0,IF(AP630=AP631,AR630,T631))</f>
        <v>0</v>
      </c>
      <c r="AS631" s="30" t="n">
        <f aca="false">AP631-AP630</f>
        <v>0</v>
      </c>
      <c r="AT631" s="30" t="n">
        <f aca="false">-AR631*AP631</f>
        <v>-0</v>
      </c>
      <c r="AU631" s="30" t="n">
        <f aca="false">AT631-AT630</f>
        <v>0</v>
      </c>
      <c r="AV631" s="30" t="n">
        <f aca="false">MAX(AS631,0)*(Inputs!$B$17+Inputs!$B$18+Inputs!$B$19)+MAX(-AS631,0)*(O631+Inputs!$B$18+Inputs!$B$19)+IF(AND(K631=1,AP631&lt;&gt;0),(Inputs!$B$17+Inputs!$B$18+Inputs!$B$19)+(O631+Inputs!$B$18+Inputs!$B$19),0)+MAX(AU631,0)*(Inputs!$B$20+Inputs!$B$22+Inputs!$B$23)+MAX(-AU631,0)*(Inputs!$B$21+Inputs!$B$22+Inputs!$B$23)</f>
        <v>0</v>
      </c>
      <c r="AW631" s="30" t="n">
        <f aca="false">AP630*(M631-AR630*J631)+AP630*AR630*N631/Inputs!$B$16-AV631</f>
        <v>0</v>
      </c>
      <c r="AX631" s="30" t="n">
        <f aca="false">AW631-IF(AP630&lt;&gt;0,0.75*AR630*(Inputs!$B$13-N631)/Inputs!$B$16,0)</f>
        <v>0</v>
      </c>
      <c r="AY631" s="30" t="n">
        <f aca="false">MAX(AS631,0)*(Inputs!$B$17+Inputs!$B$18+Inputs!$B$19)+MAX(-AS631,0)*(O631+Inputs!$B$18+Inputs!$B$19)+IF(AND(K631=1,AP631&lt;&gt;0),(Inputs!$B$17+Inputs!$B$18+Inputs!$B$19)+(O631+Inputs!$B$18+Inputs!$B$19),0)</f>
        <v>0</v>
      </c>
      <c r="AZ631" s="30" t="n">
        <f aca="false">AP630*M631-AY631</f>
        <v>0</v>
      </c>
      <c r="BA631" s="32" t="n">
        <f aca="false">BA630+AI631</f>
        <v>0.0081476582830333</v>
      </c>
      <c r="BB631" s="30" t="n">
        <f aca="false">MAX(BB630,BA631)</f>
        <v>0.0108065678336457</v>
      </c>
      <c r="BC631" s="32" t="n">
        <f aca="false">BA631-BB631</f>
        <v>-0.00265890955061237</v>
      </c>
      <c r="BD631" s="30" t="n">
        <f aca="false">A632-A631</f>
        <v>1</v>
      </c>
    </row>
    <row r="632" customFormat="false" ht="15" hidden="false" customHeight="false" outlineLevel="0" collapsed="false">
      <c r="A632" s="28" t="n">
        <v>45972</v>
      </c>
      <c r="B632" s="0" t="n">
        <v>25831.9</v>
      </c>
      <c r="C632" s="0" t="n">
        <v>291.05</v>
      </c>
      <c r="D632" s="29" t="n">
        <f aca="false">LN(B632)</f>
        <v>10.1593654412631</v>
      </c>
      <c r="E632" s="29" t="n">
        <f aca="false">LN(C632)</f>
        <v>5.67349507371775</v>
      </c>
      <c r="F632" s="0" t="n">
        <v>627</v>
      </c>
      <c r="G632" s="0" t="n">
        <v>14</v>
      </c>
      <c r="H632" s="29" t="n">
        <f aca="false">D632-E632</f>
        <v>4.48587036754533</v>
      </c>
      <c r="I632" s="29" t="n">
        <f aca="false">D632-D631</f>
        <v>0.00523980022334314</v>
      </c>
      <c r="J632" s="29" t="n">
        <f aca="false">E632-E631</f>
        <v>0.00440756885843019</v>
      </c>
      <c r="K632" s="0" t="n">
        <v>0</v>
      </c>
      <c r="L632" s="0" t="n">
        <v>0</v>
      </c>
      <c r="M632" s="29" t="n">
        <f aca="false">IF(L632=1,J632-Carry!$B$9/Inputs!$B$16,I632)</f>
        <v>0.00523980022334314</v>
      </c>
      <c r="N632" s="0" t="n">
        <v>0.055</v>
      </c>
      <c r="O632" s="0" t="n">
        <v>0.0002</v>
      </c>
      <c r="P632" s="29" t="n">
        <f aca="false">D632-('2 Hedge ratio'!$B$6+'2 Hedge ratio'!$B$5*E632)</f>
        <v>-9.52955723896309E-005</v>
      </c>
      <c r="Q632" s="29" t="n">
        <f aca="false">D632-('5 Re-specification'!$B$7+'5 Re-specification'!$B$5*E632+'5 Re-specification'!$B$6*F632)</f>
        <v>3.35559852331357E-005</v>
      </c>
      <c r="R632" s="30" t="n">
        <f aca="false">MIN(F632,Inputs!$B$9)</f>
        <v>250</v>
      </c>
      <c r="S632" s="29" t="n">
        <f aca="true">IF(AND(F632&gt;=1,R632&gt;=Inputs!$B$10),INDEX(LINEST(OFFSET(D632,-R632,0,R632,1),OFFSET(E632,-R632,0,R632,2)),1,1),"")</f>
        <v>-5.01388144250378E-005</v>
      </c>
      <c r="T632" s="29" t="n">
        <f aca="true">IF(AND(F632&gt;=1,R632&gt;=Inputs!$B$10),INDEX(LINEST(OFFSET(D632,-R632,0,R632,1),OFFSET(E632,-R632,0,R632,2)),1,2),"")</f>
        <v>1.00496635636402</v>
      </c>
      <c r="U632" s="29" t="n">
        <f aca="true">IF(AND(F632&gt;=1,R632&gt;=Inputs!$B$10),INDEX(LINEST(OFFSET(D632,-R632,0,R632,1),OFFSET(E632,-R632,0,R632,2)),1,3),"")</f>
        <v>4.48910340485223</v>
      </c>
      <c r="V632" s="29" t="n">
        <f aca="true">IF(AND(F632&gt;=1,R632&gt;=Inputs!$B$10),SQRT(SUMPRODUCT((OFFSET(D632,-R632,0,R632,1)-U632-T632*OFFSET(E632,-R632,0,R632,1)-S632*OFFSET(F632,-R632,0,R632,1))^2)/(R632-3)),"")</f>
        <v>0.00248167821269475</v>
      </c>
      <c r="W632" s="31" t="n">
        <f aca="false">IF(AND(F632&gt;=1,R632&gt;=Inputs!$B$10),(D632-U632-T632*E632-S632*F632)/V632,"")</f>
        <v>0.0110413073878338</v>
      </c>
      <c r="X632" s="30" t="n">
        <f aca="false">IF(AB631&lt;&gt;0,AC631+1,0)</f>
        <v>0</v>
      </c>
      <c r="Y632" s="30" t="n">
        <f aca="false">IF(W632="",0,IF(AND(AB631&lt;&gt;0,OR(ABS(W632)&gt;Inputs!$B$7,X632&gt;=Inputs!$B$8,ABS(W632)&lt;Inputs!$B$6)),1,0))</f>
        <v>0</v>
      </c>
      <c r="Z632" s="30" t="n">
        <f aca="false">IF(Y632=1,0,AB631)</f>
        <v>0</v>
      </c>
      <c r="AA632" s="30" t="n">
        <f aca="false">IF(W632="",0,IF(AND(Z632=0,ABS(W632)&gt;Inputs!$B$5,ABS(W632)&lt;=Inputs!$B$7),1,0))</f>
        <v>0</v>
      </c>
      <c r="AB632" s="30" t="n">
        <f aca="false">IF(W632="",0,IF(AA632=1,-SIGN(W632),Z632))</f>
        <v>0</v>
      </c>
      <c r="AC632" s="30" t="n">
        <f aca="false">IF(W632="",0,IF(AA632=1,0,IF(Y632=1,0,X632)))</f>
        <v>0</v>
      </c>
      <c r="AD632" s="30" t="n">
        <f aca="false">IF(AB632=0,0,IF(AB631=AB632,AD631,T632))</f>
        <v>0</v>
      </c>
      <c r="AE632" s="30" t="n">
        <f aca="false">AB632-AB631</f>
        <v>0</v>
      </c>
      <c r="AF632" s="30" t="n">
        <f aca="false">-AD632*AB632</f>
        <v>-0</v>
      </c>
      <c r="AG632" s="30" t="n">
        <f aca="false">AF632-AF631</f>
        <v>0</v>
      </c>
      <c r="AH632" s="30" t="n">
        <f aca="false">MAX(AE632,0)*(Inputs!$B$17+Inputs!$B$18+Inputs!$B$19)+MAX(-AE632,0)*(O632+Inputs!$B$18+Inputs!$B$19)+IF(AND(K632=1,AB632&lt;&gt;0),(Inputs!$B$17+Inputs!$B$18+Inputs!$B$19)+(O632+Inputs!$B$18+Inputs!$B$19),0)+MAX(AG632,0)*(Inputs!$B$20+Inputs!$B$22+Inputs!$B$23)+MAX(-AG632,0)*(Inputs!$B$21+Inputs!$B$22+Inputs!$B$23)</f>
        <v>0</v>
      </c>
      <c r="AI632" s="30" t="n">
        <f aca="false">AB631*(M632-AD631*J632)+AB631*AD631*N632/Inputs!$B$16-AH632</f>
        <v>0</v>
      </c>
      <c r="AJ632" s="30" t="n">
        <f aca="false">MAX(AE632,0)*(Inputs!$B$17+Inputs!$B$24+Inputs!$B$25)+MAX(-AE632,0)*(O632+Inputs!$B$24+Inputs!$B$25)+IF(AND(K632=1,AB632&lt;&gt;0),(Inputs!$B$17+Inputs!$B$24+Inputs!$B$25)+(O632+Inputs!$B$24+Inputs!$B$25),0)+MAX(AG632,0)*(Inputs!$B$20+Inputs!$B$26+Inputs!$B$27)+MAX(-AG632,0)*(Inputs!$B$21+Inputs!$B$26+Inputs!$B$27)</f>
        <v>0</v>
      </c>
      <c r="AK632" s="30" t="n">
        <f aca="false">AB631*(M632-AD631*J632)+AB631*AD631*(N632+Inputs!$B$14)/Inputs!$B$16-AJ632</f>
        <v>0</v>
      </c>
      <c r="AL632" s="30" t="n">
        <f aca="false">IF(AP631&lt;&gt;0,AQ631+1,0)</f>
        <v>0</v>
      </c>
      <c r="AM632" s="30" t="n">
        <f aca="false">IF(W632="",0,IF(AND(AP631&lt;&gt;0,OR(ABS(W632)&gt;Inputs!$B$7,AL632&gt;=Inputs!$B$8,ABS(W632)&lt;Inputs!$B$6)),1,0))</f>
        <v>0</v>
      </c>
      <c r="AN632" s="30" t="n">
        <f aca="false">IF(AM632=1,0,AP631)</f>
        <v>0</v>
      </c>
      <c r="AO632" s="30" t="n">
        <f aca="false">IF(W632="",0,IF(AND(AN632=0,ABS(W632)&gt;Inputs!$B$5,ABS(W632)&lt;=Inputs!$B$7,W632&gt;0),1,0))</f>
        <v>0</v>
      </c>
      <c r="AP632" s="30" t="n">
        <f aca="false">IF(W632="",0,IF(AO632=1,-SIGN(W632),AN632))</f>
        <v>0</v>
      </c>
      <c r="AQ632" s="30" t="n">
        <f aca="false">IF(W632="",0,IF(AO632=1,0,IF(AM632=1,0,AL632)))</f>
        <v>0</v>
      </c>
      <c r="AR632" s="30" t="n">
        <f aca="false">IF(AP632=0,0,IF(AP631=AP632,AR631,T632))</f>
        <v>0</v>
      </c>
      <c r="AS632" s="30" t="n">
        <f aca="false">AP632-AP631</f>
        <v>0</v>
      </c>
      <c r="AT632" s="30" t="n">
        <f aca="false">-AR632*AP632</f>
        <v>-0</v>
      </c>
      <c r="AU632" s="30" t="n">
        <f aca="false">AT632-AT631</f>
        <v>0</v>
      </c>
      <c r="AV632" s="30" t="n">
        <f aca="false">MAX(AS632,0)*(Inputs!$B$17+Inputs!$B$18+Inputs!$B$19)+MAX(-AS632,0)*(O632+Inputs!$B$18+Inputs!$B$19)+IF(AND(K632=1,AP632&lt;&gt;0),(Inputs!$B$17+Inputs!$B$18+Inputs!$B$19)+(O632+Inputs!$B$18+Inputs!$B$19),0)+MAX(AU632,0)*(Inputs!$B$20+Inputs!$B$22+Inputs!$B$23)+MAX(-AU632,0)*(Inputs!$B$21+Inputs!$B$22+Inputs!$B$23)</f>
        <v>0</v>
      </c>
      <c r="AW632" s="30" t="n">
        <f aca="false">AP631*(M632-AR631*J632)+AP631*AR631*N632/Inputs!$B$16-AV632</f>
        <v>0</v>
      </c>
      <c r="AX632" s="30" t="n">
        <f aca="false">AW632-IF(AP631&lt;&gt;0,0.75*AR631*(Inputs!$B$13-N632)/Inputs!$B$16,0)</f>
        <v>0</v>
      </c>
      <c r="AY632" s="30" t="n">
        <f aca="false">MAX(AS632,0)*(Inputs!$B$17+Inputs!$B$18+Inputs!$B$19)+MAX(-AS632,0)*(O632+Inputs!$B$18+Inputs!$B$19)+IF(AND(K632=1,AP632&lt;&gt;0),(Inputs!$B$17+Inputs!$B$18+Inputs!$B$19)+(O632+Inputs!$B$18+Inputs!$B$19),0)</f>
        <v>0</v>
      </c>
      <c r="AZ632" s="30" t="n">
        <f aca="false">AP631*M632-AY632</f>
        <v>0</v>
      </c>
      <c r="BA632" s="32" t="n">
        <f aca="false">BA631+AI632</f>
        <v>0.0081476582830333</v>
      </c>
      <c r="BB632" s="30" t="n">
        <f aca="false">MAX(BB631,BA632)</f>
        <v>0.0108065678336457</v>
      </c>
      <c r="BC632" s="32" t="n">
        <f aca="false">BA632-BB632</f>
        <v>-0.00265890955061237</v>
      </c>
      <c r="BD632" s="30" t="n">
        <f aca="false">A633-A632</f>
        <v>1</v>
      </c>
    </row>
    <row r="633" customFormat="false" ht="15" hidden="false" customHeight="false" outlineLevel="0" collapsed="false">
      <c r="A633" s="28" t="n">
        <v>45973</v>
      </c>
      <c r="B633" s="0" t="n">
        <v>25979.1</v>
      </c>
      <c r="C633" s="0" t="n">
        <v>292.75</v>
      </c>
      <c r="D633" s="29" t="n">
        <f aca="false">LN(B633)</f>
        <v>10.1650476475922</v>
      </c>
      <c r="E633" s="29" t="n">
        <f aca="false">LN(C633)</f>
        <v>5.67931900247783</v>
      </c>
      <c r="F633" s="0" t="n">
        <v>628</v>
      </c>
      <c r="G633" s="0" t="n">
        <v>13</v>
      </c>
      <c r="H633" s="29" t="n">
        <f aca="false">D633-E633</f>
        <v>4.48572864511438</v>
      </c>
      <c r="I633" s="29" t="n">
        <f aca="false">D633-D632</f>
        <v>0.0056822063291353</v>
      </c>
      <c r="J633" s="29" t="n">
        <f aca="false">E633-E632</f>
        <v>0.00582392876008164</v>
      </c>
      <c r="K633" s="0" t="n">
        <v>0</v>
      </c>
      <c r="L633" s="0" t="n">
        <v>0</v>
      </c>
      <c r="M633" s="29" t="n">
        <f aca="false">IF(L633=1,J633-Carry!$B$9/Inputs!$B$16,I633)</f>
        <v>0.0056822063291353</v>
      </c>
      <c r="N633" s="0" t="n">
        <v>0.055</v>
      </c>
      <c r="O633" s="0" t="n">
        <v>0.0002</v>
      </c>
      <c r="P633" s="29" t="n">
        <f aca="false">D633-('2 Hedge ratio'!$B$6+'2 Hedge ratio'!$B$5*E633)</f>
        <v>0.000251453775687693</v>
      </c>
      <c r="Q633" s="29" t="n">
        <f aca="false">D633-('5 Re-specification'!$B$7+'5 Re-specification'!$B$5*E633+'5 Re-specification'!$B$6*F633)</f>
        <v>-4.55877113854086E-005</v>
      </c>
      <c r="R633" s="30" t="n">
        <f aca="false">MIN(F633,Inputs!$B$9)</f>
        <v>250</v>
      </c>
      <c r="S633" s="29" t="n">
        <f aca="true">IF(AND(F633&gt;=1,R633&gt;=Inputs!$B$10),INDEX(LINEST(OFFSET(D633,-R633,0,R633,1),OFFSET(E633,-R633,0,R633,2)),1,1),"")</f>
        <v>-5.05401405248719E-005</v>
      </c>
      <c r="T633" s="29" t="n">
        <f aca="true">IF(AND(F633&gt;=1,R633&gt;=Inputs!$B$10),INDEX(LINEST(OFFSET(D633,-R633,0,R633,1),OFFSET(E633,-R633,0,R633,2)),1,2),"")</f>
        <v>1.00550522633912</v>
      </c>
      <c r="U633" s="29" t="n">
        <f aca="true">IF(AND(F633&gt;=1,R633&gt;=Inputs!$B$10),INDEX(LINEST(OFFSET(D633,-R633,0,R633,1),OFFSET(E633,-R633,0,R633,2)),1,3),"")</f>
        <v>4.48629008351645</v>
      </c>
      <c r="V633" s="29" t="n">
        <f aca="true">IF(AND(F633&gt;=1,R633&gt;=Inputs!$B$10),SQRT(SUMPRODUCT((OFFSET(D633,-R633,0,R633,1)-U633-T633*OFFSET(E633,-R633,0,R633,1)-S633*OFFSET(F633,-R633,0,R633,1))^2)/(R633-3)),"")</f>
        <v>0.00247890491535299</v>
      </c>
      <c r="W633" s="31" t="n">
        <f aca="false">IF(AND(F633&gt;=1,R633&gt;=Inputs!$B$10),(D633-U633-T633*E633-S633*F633)/V633,"")</f>
        <v>-0.0355667991046127</v>
      </c>
      <c r="X633" s="30" t="n">
        <f aca="false">IF(AB632&lt;&gt;0,AC632+1,0)</f>
        <v>0</v>
      </c>
      <c r="Y633" s="30" t="n">
        <f aca="false">IF(W633="",0,IF(AND(AB632&lt;&gt;0,OR(ABS(W633)&gt;Inputs!$B$7,X633&gt;=Inputs!$B$8,ABS(W633)&lt;Inputs!$B$6)),1,0))</f>
        <v>0</v>
      </c>
      <c r="Z633" s="30" t="n">
        <f aca="false">IF(Y633=1,0,AB632)</f>
        <v>0</v>
      </c>
      <c r="AA633" s="30" t="n">
        <f aca="false">IF(W633="",0,IF(AND(Z633=0,ABS(W633)&gt;Inputs!$B$5,ABS(W633)&lt;=Inputs!$B$7),1,0))</f>
        <v>0</v>
      </c>
      <c r="AB633" s="30" t="n">
        <f aca="false">IF(W633="",0,IF(AA633=1,-SIGN(W633),Z633))</f>
        <v>0</v>
      </c>
      <c r="AC633" s="30" t="n">
        <f aca="false">IF(W633="",0,IF(AA633=1,0,IF(Y633=1,0,X633)))</f>
        <v>0</v>
      </c>
      <c r="AD633" s="30" t="n">
        <f aca="false">IF(AB633=0,0,IF(AB632=AB633,AD632,T633))</f>
        <v>0</v>
      </c>
      <c r="AE633" s="30" t="n">
        <f aca="false">AB633-AB632</f>
        <v>0</v>
      </c>
      <c r="AF633" s="30" t="n">
        <f aca="false">-AD633*AB633</f>
        <v>-0</v>
      </c>
      <c r="AG633" s="30" t="n">
        <f aca="false">AF633-AF632</f>
        <v>0</v>
      </c>
      <c r="AH633" s="30" t="n">
        <f aca="false">MAX(AE633,0)*(Inputs!$B$17+Inputs!$B$18+Inputs!$B$19)+MAX(-AE633,0)*(O633+Inputs!$B$18+Inputs!$B$19)+IF(AND(K633=1,AB633&lt;&gt;0),(Inputs!$B$17+Inputs!$B$18+Inputs!$B$19)+(O633+Inputs!$B$18+Inputs!$B$19),0)+MAX(AG633,0)*(Inputs!$B$20+Inputs!$B$22+Inputs!$B$23)+MAX(-AG633,0)*(Inputs!$B$21+Inputs!$B$22+Inputs!$B$23)</f>
        <v>0</v>
      </c>
      <c r="AI633" s="30" t="n">
        <f aca="false">AB632*(M633-AD632*J633)+AB632*AD632*N633/Inputs!$B$16-AH633</f>
        <v>0</v>
      </c>
      <c r="AJ633" s="30" t="n">
        <f aca="false">MAX(AE633,0)*(Inputs!$B$17+Inputs!$B$24+Inputs!$B$25)+MAX(-AE633,0)*(O633+Inputs!$B$24+Inputs!$B$25)+IF(AND(K633=1,AB633&lt;&gt;0),(Inputs!$B$17+Inputs!$B$24+Inputs!$B$25)+(O633+Inputs!$B$24+Inputs!$B$25),0)+MAX(AG633,0)*(Inputs!$B$20+Inputs!$B$26+Inputs!$B$27)+MAX(-AG633,0)*(Inputs!$B$21+Inputs!$B$26+Inputs!$B$27)</f>
        <v>0</v>
      </c>
      <c r="AK633" s="30" t="n">
        <f aca="false">AB632*(M633-AD632*J633)+AB632*AD632*(N633+Inputs!$B$14)/Inputs!$B$16-AJ633</f>
        <v>0</v>
      </c>
      <c r="AL633" s="30" t="n">
        <f aca="false">IF(AP632&lt;&gt;0,AQ632+1,0)</f>
        <v>0</v>
      </c>
      <c r="AM633" s="30" t="n">
        <f aca="false">IF(W633="",0,IF(AND(AP632&lt;&gt;0,OR(ABS(W633)&gt;Inputs!$B$7,AL633&gt;=Inputs!$B$8,ABS(W633)&lt;Inputs!$B$6)),1,0))</f>
        <v>0</v>
      </c>
      <c r="AN633" s="30" t="n">
        <f aca="false">IF(AM633=1,0,AP632)</f>
        <v>0</v>
      </c>
      <c r="AO633" s="30" t="n">
        <f aca="false">IF(W633="",0,IF(AND(AN633=0,ABS(W633)&gt;Inputs!$B$5,ABS(W633)&lt;=Inputs!$B$7,W633&gt;0),1,0))</f>
        <v>0</v>
      </c>
      <c r="AP633" s="30" t="n">
        <f aca="false">IF(W633="",0,IF(AO633=1,-SIGN(W633),AN633))</f>
        <v>0</v>
      </c>
      <c r="AQ633" s="30" t="n">
        <f aca="false">IF(W633="",0,IF(AO633=1,0,IF(AM633=1,0,AL633)))</f>
        <v>0</v>
      </c>
      <c r="AR633" s="30" t="n">
        <f aca="false">IF(AP633=0,0,IF(AP632=AP633,AR632,T633))</f>
        <v>0</v>
      </c>
      <c r="AS633" s="30" t="n">
        <f aca="false">AP633-AP632</f>
        <v>0</v>
      </c>
      <c r="AT633" s="30" t="n">
        <f aca="false">-AR633*AP633</f>
        <v>-0</v>
      </c>
      <c r="AU633" s="30" t="n">
        <f aca="false">AT633-AT632</f>
        <v>0</v>
      </c>
      <c r="AV633" s="30" t="n">
        <f aca="false">MAX(AS633,0)*(Inputs!$B$17+Inputs!$B$18+Inputs!$B$19)+MAX(-AS633,0)*(O633+Inputs!$B$18+Inputs!$B$19)+IF(AND(K633=1,AP633&lt;&gt;0),(Inputs!$B$17+Inputs!$B$18+Inputs!$B$19)+(O633+Inputs!$B$18+Inputs!$B$19),0)+MAX(AU633,0)*(Inputs!$B$20+Inputs!$B$22+Inputs!$B$23)+MAX(-AU633,0)*(Inputs!$B$21+Inputs!$B$22+Inputs!$B$23)</f>
        <v>0</v>
      </c>
      <c r="AW633" s="30" t="n">
        <f aca="false">AP632*(M633-AR632*J633)+AP632*AR632*N633/Inputs!$B$16-AV633</f>
        <v>0</v>
      </c>
      <c r="AX633" s="30" t="n">
        <f aca="false">AW633-IF(AP632&lt;&gt;0,0.75*AR632*(Inputs!$B$13-N633)/Inputs!$B$16,0)</f>
        <v>0</v>
      </c>
      <c r="AY633" s="30" t="n">
        <f aca="false">MAX(AS633,0)*(Inputs!$B$17+Inputs!$B$18+Inputs!$B$19)+MAX(-AS633,0)*(O633+Inputs!$B$18+Inputs!$B$19)+IF(AND(K633=1,AP633&lt;&gt;0),(Inputs!$B$17+Inputs!$B$18+Inputs!$B$19)+(O633+Inputs!$B$18+Inputs!$B$19),0)</f>
        <v>0</v>
      </c>
      <c r="AZ633" s="30" t="n">
        <f aca="false">AP632*M633-AY633</f>
        <v>0</v>
      </c>
      <c r="BA633" s="32" t="n">
        <f aca="false">BA632+AI633</f>
        <v>0.0081476582830333</v>
      </c>
      <c r="BB633" s="30" t="n">
        <f aca="false">MAX(BB632,BA633)</f>
        <v>0.0108065678336457</v>
      </c>
      <c r="BC633" s="32" t="n">
        <f aca="false">BA633-BB633</f>
        <v>-0.00265890955061237</v>
      </c>
      <c r="BD633" s="30" t="n">
        <f aca="false">A634-A633</f>
        <v>1</v>
      </c>
    </row>
    <row r="634" customFormat="false" ht="15" hidden="false" customHeight="false" outlineLevel="0" collapsed="false">
      <c r="A634" s="28" t="n">
        <v>45974</v>
      </c>
      <c r="B634" s="0" t="n">
        <v>25951</v>
      </c>
      <c r="C634" s="0" t="n">
        <v>292.91</v>
      </c>
      <c r="D634" s="29" t="n">
        <f aca="false">LN(B634)</f>
        <v>10.163965423497</v>
      </c>
      <c r="E634" s="29" t="n">
        <f aca="false">LN(C634)</f>
        <v>5.67986539459605</v>
      </c>
      <c r="F634" s="0" t="n">
        <v>629</v>
      </c>
      <c r="G634" s="0" t="n">
        <v>12</v>
      </c>
      <c r="H634" s="29" t="n">
        <f aca="false">D634-E634</f>
        <v>4.48410002890098</v>
      </c>
      <c r="I634" s="29" t="n">
        <f aca="false">D634-D633</f>
        <v>-0.00108222409518</v>
      </c>
      <c r="J634" s="29" t="n">
        <f aca="false">E634-E633</f>
        <v>0.000546392118227601</v>
      </c>
      <c r="K634" s="0" t="n">
        <v>0</v>
      </c>
      <c r="L634" s="0" t="n">
        <v>0</v>
      </c>
      <c r="M634" s="29" t="n">
        <f aca="false">IF(L634=1,J634-Carry!$B$9/Inputs!$B$16,I634)</f>
        <v>-0.00108222409518</v>
      </c>
      <c r="N634" s="0" t="n">
        <v>0.055</v>
      </c>
      <c r="O634" s="0" t="n">
        <v>0.0002</v>
      </c>
      <c r="P634" s="29" t="n">
        <f aca="false">D634-('2 Hedge ratio'!$B$6+'2 Hedge ratio'!$B$5*E634)</f>
        <v>-0.00133133476004232</v>
      </c>
      <c r="Q634" s="29" t="n">
        <f aca="false">D634-('5 Re-specification'!$B$7+'5 Re-specification'!$B$5*E634+'5 Re-specification'!$B$6*F634)</f>
        <v>-0.00162761876536877</v>
      </c>
      <c r="R634" s="30" t="n">
        <f aca="false">MIN(F634,Inputs!$B$9)</f>
        <v>250</v>
      </c>
      <c r="S634" s="29" t="n">
        <f aca="true">IF(AND(F634&gt;=1,R634&gt;=Inputs!$B$10),INDEX(LINEST(OFFSET(D634,-R634,0,R634,1),OFFSET(E634,-R634,0,R634,2)),1,1),"")</f>
        <v>-5.0876966950314E-005</v>
      </c>
      <c r="T634" s="29" t="n">
        <f aca="true">IF(AND(F634&gt;=1,R634&gt;=Inputs!$B$10),INDEX(LINEST(OFFSET(D634,-R634,0,R634,1),OFFSET(E634,-R634,0,R634,2)),1,2),"")</f>
        <v>1.00589315041175</v>
      </c>
      <c r="U634" s="29" t="n">
        <f aca="true">IF(AND(F634&gt;=1,R634&gt;=Inputs!$B$10),INDEX(LINEST(OFFSET(D634,-R634,0,R634,1),OFFSET(E634,-R634,0,R634,2)),1,3),"")</f>
        <v>4.4842901436663</v>
      </c>
      <c r="V634" s="29" t="n">
        <f aca="true">IF(AND(F634&gt;=1,R634&gt;=Inputs!$B$10),SQRT(SUMPRODUCT((OFFSET(D634,-R634,0,R634,1)-U634-T634*OFFSET(E634,-R634,0,R634,1)-S634*OFFSET(F634,-R634,0,R634,1))^2)/(R634-3)),"")</f>
        <v>0.00247656599031118</v>
      </c>
      <c r="W634" s="31" t="n">
        <f aca="false">IF(AND(F634&gt;=1,R634&gt;=Inputs!$B$10),(D634-U634-T634*E634-S634*F634)/V634,"")</f>
        <v>-0.670607465703984</v>
      </c>
      <c r="X634" s="30" t="n">
        <f aca="false">IF(AB633&lt;&gt;0,AC633+1,0)</f>
        <v>0</v>
      </c>
      <c r="Y634" s="30" t="n">
        <f aca="false">IF(W634="",0,IF(AND(AB633&lt;&gt;0,OR(ABS(W634)&gt;Inputs!$B$7,X634&gt;=Inputs!$B$8,ABS(W634)&lt;Inputs!$B$6)),1,0))</f>
        <v>0</v>
      </c>
      <c r="Z634" s="30" t="n">
        <f aca="false">IF(Y634=1,0,AB633)</f>
        <v>0</v>
      </c>
      <c r="AA634" s="30" t="n">
        <f aca="false">IF(W634="",0,IF(AND(Z634=0,ABS(W634)&gt;Inputs!$B$5,ABS(W634)&lt;=Inputs!$B$7),1,0))</f>
        <v>0</v>
      </c>
      <c r="AB634" s="30" t="n">
        <f aca="false">IF(W634="",0,IF(AA634=1,-SIGN(W634),Z634))</f>
        <v>0</v>
      </c>
      <c r="AC634" s="30" t="n">
        <f aca="false">IF(W634="",0,IF(AA634=1,0,IF(Y634=1,0,X634)))</f>
        <v>0</v>
      </c>
      <c r="AD634" s="30" t="n">
        <f aca="false">IF(AB634=0,0,IF(AB633=AB634,AD633,T634))</f>
        <v>0</v>
      </c>
      <c r="AE634" s="30" t="n">
        <f aca="false">AB634-AB633</f>
        <v>0</v>
      </c>
      <c r="AF634" s="30" t="n">
        <f aca="false">-AD634*AB634</f>
        <v>-0</v>
      </c>
      <c r="AG634" s="30" t="n">
        <f aca="false">AF634-AF633</f>
        <v>0</v>
      </c>
      <c r="AH634" s="30" t="n">
        <f aca="false">MAX(AE634,0)*(Inputs!$B$17+Inputs!$B$18+Inputs!$B$19)+MAX(-AE634,0)*(O634+Inputs!$B$18+Inputs!$B$19)+IF(AND(K634=1,AB634&lt;&gt;0),(Inputs!$B$17+Inputs!$B$18+Inputs!$B$19)+(O634+Inputs!$B$18+Inputs!$B$19),0)+MAX(AG634,0)*(Inputs!$B$20+Inputs!$B$22+Inputs!$B$23)+MAX(-AG634,0)*(Inputs!$B$21+Inputs!$B$22+Inputs!$B$23)</f>
        <v>0</v>
      </c>
      <c r="AI634" s="30" t="n">
        <f aca="false">AB633*(M634-AD633*J634)+AB633*AD633*N634/Inputs!$B$16-AH634</f>
        <v>0</v>
      </c>
      <c r="AJ634" s="30" t="n">
        <f aca="false">MAX(AE634,0)*(Inputs!$B$17+Inputs!$B$24+Inputs!$B$25)+MAX(-AE634,0)*(O634+Inputs!$B$24+Inputs!$B$25)+IF(AND(K634=1,AB634&lt;&gt;0),(Inputs!$B$17+Inputs!$B$24+Inputs!$B$25)+(O634+Inputs!$B$24+Inputs!$B$25),0)+MAX(AG634,0)*(Inputs!$B$20+Inputs!$B$26+Inputs!$B$27)+MAX(-AG634,0)*(Inputs!$B$21+Inputs!$B$26+Inputs!$B$27)</f>
        <v>0</v>
      </c>
      <c r="AK634" s="30" t="n">
        <f aca="false">AB633*(M634-AD633*J634)+AB633*AD633*(N634+Inputs!$B$14)/Inputs!$B$16-AJ634</f>
        <v>0</v>
      </c>
      <c r="AL634" s="30" t="n">
        <f aca="false">IF(AP633&lt;&gt;0,AQ633+1,0)</f>
        <v>0</v>
      </c>
      <c r="AM634" s="30" t="n">
        <f aca="false">IF(W634="",0,IF(AND(AP633&lt;&gt;0,OR(ABS(W634)&gt;Inputs!$B$7,AL634&gt;=Inputs!$B$8,ABS(W634)&lt;Inputs!$B$6)),1,0))</f>
        <v>0</v>
      </c>
      <c r="AN634" s="30" t="n">
        <f aca="false">IF(AM634=1,0,AP633)</f>
        <v>0</v>
      </c>
      <c r="AO634" s="30" t="n">
        <f aca="false">IF(W634="",0,IF(AND(AN634=0,ABS(W634)&gt;Inputs!$B$5,ABS(W634)&lt;=Inputs!$B$7,W634&gt;0),1,0))</f>
        <v>0</v>
      </c>
      <c r="AP634" s="30" t="n">
        <f aca="false">IF(W634="",0,IF(AO634=1,-SIGN(W634),AN634))</f>
        <v>0</v>
      </c>
      <c r="AQ634" s="30" t="n">
        <f aca="false">IF(W634="",0,IF(AO634=1,0,IF(AM634=1,0,AL634)))</f>
        <v>0</v>
      </c>
      <c r="AR634" s="30" t="n">
        <f aca="false">IF(AP634=0,0,IF(AP633=AP634,AR633,T634))</f>
        <v>0</v>
      </c>
      <c r="AS634" s="30" t="n">
        <f aca="false">AP634-AP633</f>
        <v>0</v>
      </c>
      <c r="AT634" s="30" t="n">
        <f aca="false">-AR634*AP634</f>
        <v>-0</v>
      </c>
      <c r="AU634" s="30" t="n">
        <f aca="false">AT634-AT633</f>
        <v>0</v>
      </c>
      <c r="AV634" s="30" t="n">
        <f aca="false">MAX(AS634,0)*(Inputs!$B$17+Inputs!$B$18+Inputs!$B$19)+MAX(-AS634,0)*(O634+Inputs!$B$18+Inputs!$B$19)+IF(AND(K634=1,AP634&lt;&gt;0),(Inputs!$B$17+Inputs!$B$18+Inputs!$B$19)+(O634+Inputs!$B$18+Inputs!$B$19),0)+MAX(AU634,0)*(Inputs!$B$20+Inputs!$B$22+Inputs!$B$23)+MAX(-AU634,0)*(Inputs!$B$21+Inputs!$B$22+Inputs!$B$23)</f>
        <v>0</v>
      </c>
      <c r="AW634" s="30" t="n">
        <f aca="false">AP633*(M634-AR633*J634)+AP633*AR633*N634/Inputs!$B$16-AV634</f>
        <v>0</v>
      </c>
      <c r="AX634" s="30" t="n">
        <f aca="false">AW634-IF(AP633&lt;&gt;0,0.75*AR633*(Inputs!$B$13-N634)/Inputs!$B$16,0)</f>
        <v>0</v>
      </c>
      <c r="AY634" s="30" t="n">
        <f aca="false">MAX(AS634,0)*(Inputs!$B$17+Inputs!$B$18+Inputs!$B$19)+MAX(-AS634,0)*(O634+Inputs!$B$18+Inputs!$B$19)+IF(AND(K634=1,AP634&lt;&gt;0),(Inputs!$B$17+Inputs!$B$18+Inputs!$B$19)+(O634+Inputs!$B$18+Inputs!$B$19),0)</f>
        <v>0</v>
      </c>
      <c r="AZ634" s="30" t="n">
        <f aca="false">AP633*M634-AY634</f>
        <v>-0</v>
      </c>
      <c r="BA634" s="32" t="n">
        <f aca="false">BA633+AI634</f>
        <v>0.0081476582830333</v>
      </c>
      <c r="BB634" s="30" t="n">
        <f aca="false">MAX(BB633,BA634)</f>
        <v>0.0108065678336457</v>
      </c>
      <c r="BC634" s="32" t="n">
        <f aca="false">BA634-BB634</f>
        <v>-0.00265890955061237</v>
      </c>
      <c r="BD634" s="30" t="n">
        <f aca="false">A635-A634</f>
        <v>1</v>
      </c>
    </row>
    <row r="635" customFormat="false" ht="15" hidden="false" customHeight="false" outlineLevel="0" collapsed="false">
      <c r="A635" s="28" t="n">
        <v>45975</v>
      </c>
      <c r="B635" s="0" t="n">
        <v>25972</v>
      </c>
      <c r="C635" s="0" t="n">
        <v>293</v>
      </c>
      <c r="D635" s="29" t="n">
        <f aca="false">LN(B635)</f>
        <v>10.1647743136284</v>
      </c>
      <c r="E635" s="29" t="n">
        <f aca="false">LN(C635)</f>
        <v>5.68017260901707</v>
      </c>
      <c r="F635" s="0" t="n">
        <v>630</v>
      </c>
      <c r="G635" s="0" t="n">
        <v>11</v>
      </c>
      <c r="H635" s="29" t="n">
        <f aca="false">D635-E635</f>
        <v>4.48460170461131</v>
      </c>
      <c r="I635" s="29" t="n">
        <f aca="false">D635-D634</f>
        <v>0.000808890131349216</v>
      </c>
      <c r="J635" s="29" t="n">
        <f aca="false">E635-E634</f>
        <v>0.000307214421013668</v>
      </c>
      <c r="K635" s="0" t="n">
        <v>0</v>
      </c>
      <c r="L635" s="0" t="n">
        <v>0</v>
      </c>
      <c r="M635" s="29" t="n">
        <f aca="false">IF(L635=1,J635-Carry!$B$9/Inputs!$B$16,I635)</f>
        <v>0.000808890131349216</v>
      </c>
      <c r="N635" s="0" t="n">
        <v>0.055</v>
      </c>
      <c r="O635" s="0" t="n">
        <v>0.0002</v>
      </c>
      <c r="P635" s="29" t="n">
        <f aca="false">D635-('2 Hedge ratio'!$B$6+'2 Hedge ratio'!$B$5*E635)</f>
        <v>-0.000803891980609706</v>
      </c>
      <c r="Q635" s="29" t="n">
        <f aca="false">D635-('5 Re-specification'!$B$7+'5 Re-specification'!$B$5*E635+'5 Re-specification'!$B$6*F635)</f>
        <v>-0.00108008272362881</v>
      </c>
      <c r="R635" s="30" t="n">
        <f aca="false">MIN(F635,Inputs!$B$9)</f>
        <v>250</v>
      </c>
      <c r="S635" s="29" t="n">
        <f aca="true">IF(AND(F635&gt;=1,R635&gt;=Inputs!$B$10),INDEX(LINEST(OFFSET(D635,-R635,0,R635,1),OFFSET(E635,-R635,0,R635,2)),1,1),"")</f>
        <v>-5.11744386470537E-005</v>
      </c>
      <c r="T635" s="29" t="n">
        <f aca="true">IF(AND(F635&gt;=1,R635&gt;=Inputs!$B$10),INDEX(LINEST(OFFSET(D635,-R635,0,R635,1),OFFSET(E635,-R635,0,R635,2)),1,2),"")</f>
        <v>1.00598272411694</v>
      </c>
      <c r="U635" s="29" t="n">
        <f aca="true">IF(AND(F635&gt;=1,R635&gt;=Inputs!$B$10),INDEX(LINEST(OFFSET(D635,-R635,0,R635,1),OFFSET(E635,-R635,0,R635,2)),1,3),"")</f>
        <v>4.48393525737101</v>
      </c>
      <c r="V635" s="29" t="n">
        <f aca="true">IF(AND(F635&gt;=1,R635&gt;=Inputs!$B$10),SQRT(SUMPRODUCT((OFFSET(D635,-R635,0,R635,1)-U635-T635*OFFSET(E635,-R635,0,R635,1)-S635*OFFSET(F635,-R635,0,R635,1))^2)/(R635-3)),"")</f>
        <v>0.00247787493954138</v>
      </c>
      <c r="W635" s="31" t="n">
        <f aca="false">IF(AND(F635&gt;=1,R635&gt;=Inputs!$B$10),(D635-U635-T635*E635-S635*F635)/V635,"")</f>
        <v>-0.434469896452754</v>
      </c>
      <c r="X635" s="30" t="n">
        <f aca="false">IF(AB634&lt;&gt;0,AC634+1,0)</f>
        <v>0</v>
      </c>
      <c r="Y635" s="30" t="n">
        <f aca="false">IF(W635="",0,IF(AND(AB634&lt;&gt;0,OR(ABS(W635)&gt;Inputs!$B$7,X635&gt;=Inputs!$B$8,ABS(W635)&lt;Inputs!$B$6)),1,0))</f>
        <v>0</v>
      </c>
      <c r="Z635" s="30" t="n">
        <f aca="false">IF(Y635=1,0,AB634)</f>
        <v>0</v>
      </c>
      <c r="AA635" s="30" t="n">
        <f aca="false">IF(W635="",0,IF(AND(Z635=0,ABS(W635)&gt;Inputs!$B$5,ABS(W635)&lt;=Inputs!$B$7),1,0))</f>
        <v>0</v>
      </c>
      <c r="AB635" s="30" t="n">
        <f aca="false">IF(W635="",0,IF(AA635=1,-SIGN(W635),Z635))</f>
        <v>0</v>
      </c>
      <c r="AC635" s="30" t="n">
        <f aca="false">IF(W635="",0,IF(AA635=1,0,IF(Y635=1,0,X635)))</f>
        <v>0</v>
      </c>
      <c r="AD635" s="30" t="n">
        <f aca="false">IF(AB635=0,0,IF(AB634=AB635,AD634,T635))</f>
        <v>0</v>
      </c>
      <c r="AE635" s="30" t="n">
        <f aca="false">AB635-AB634</f>
        <v>0</v>
      </c>
      <c r="AF635" s="30" t="n">
        <f aca="false">-AD635*AB635</f>
        <v>-0</v>
      </c>
      <c r="AG635" s="30" t="n">
        <f aca="false">AF635-AF634</f>
        <v>0</v>
      </c>
      <c r="AH635" s="30" t="n">
        <f aca="false">MAX(AE635,0)*(Inputs!$B$17+Inputs!$B$18+Inputs!$B$19)+MAX(-AE635,0)*(O635+Inputs!$B$18+Inputs!$B$19)+IF(AND(K635=1,AB635&lt;&gt;0),(Inputs!$B$17+Inputs!$B$18+Inputs!$B$19)+(O635+Inputs!$B$18+Inputs!$B$19),0)+MAX(AG635,0)*(Inputs!$B$20+Inputs!$B$22+Inputs!$B$23)+MAX(-AG635,0)*(Inputs!$B$21+Inputs!$B$22+Inputs!$B$23)</f>
        <v>0</v>
      </c>
      <c r="AI635" s="30" t="n">
        <f aca="false">AB634*(M635-AD634*J635)+AB634*AD634*N635/Inputs!$B$16-AH635</f>
        <v>0</v>
      </c>
      <c r="AJ635" s="30" t="n">
        <f aca="false">MAX(AE635,0)*(Inputs!$B$17+Inputs!$B$24+Inputs!$B$25)+MAX(-AE635,0)*(O635+Inputs!$B$24+Inputs!$B$25)+IF(AND(K635=1,AB635&lt;&gt;0),(Inputs!$B$17+Inputs!$B$24+Inputs!$B$25)+(O635+Inputs!$B$24+Inputs!$B$25),0)+MAX(AG635,0)*(Inputs!$B$20+Inputs!$B$26+Inputs!$B$27)+MAX(-AG635,0)*(Inputs!$B$21+Inputs!$B$26+Inputs!$B$27)</f>
        <v>0</v>
      </c>
      <c r="AK635" s="30" t="n">
        <f aca="false">AB634*(M635-AD634*J635)+AB634*AD634*(N635+Inputs!$B$14)/Inputs!$B$16-AJ635</f>
        <v>0</v>
      </c>
      <c r="AL635" s="30" t="n">
        <f aca="false">IF(AP634&lt;&gt;0,AQ634+1,0)</f>
        <v>0</v>
      </c>
      <c r="AM635" s="30" t="n">
        <f aca="false">IF(W635="",0,IF(AND(AP634&lt;&gt;0,OR(ABS(W635)&gt;Inputs!$B$7,AL635&gt;=Inputs!$B$8,ABS(W635)&lt;Inputs!$B$6)),1,0))</f>
        <v>0</v>
      </c>
      <c r="AN635" s="30" t="n">
        <f aca="false">IF(AM635=1,0,AP634)</f>
        <v>0</v>
      </c>
      <c r="AO635" s="30" t="n">
        <f aca="false">IF(W635="",0,IF(AND(AN635=0,ABS(W635)&gt;Inputs!$B$5,ABS(W635)&lt;=Inputs!$B$7,W635&gt;0),1,0))</f>
        <v>0</v>
      </c>
      <c r="AP635" s="30" t="n">
        <f aca="false">IF(W635="",0,IF(AO635=1,-SIGN(W635),AN635))</f>
        <v>0</v>
      </c>
      <c r="AQ635" s="30" t="n">
        <f aca="false">IF(W635="",0,IF(AO635=1,0,IF(AM635=1,0,AL635)))</f>
        <v>0</v>
      </c>
      <c r="AR635" s="30" t="n">
        <f aca="false">IF(AP635=0,0,IF(AP634=AP635,AR634,T635))</f>
        <v>0</v>
      </c>
      <c r="AS635" s="30" t="n">
        <f aca="false">AP635-AP634</f>
        <v>0</v>
      </c>
      <c r="AT635" s="30" t="n">
        <f aca="false">-AR635*AP635</f>
        <v>-0</v>
      </c>
      <c r="AU635" s="30" t="n">
        <f aca="false">AT635-AT634</f>
        <v>0</v>
      </c>
      <c r="AV635" s="30" t="n">
        <f aca="false">MAX(AS635,0)*(Inputs!$B$17+Inputs!$B$18+Inputs!$B$19)+MAX(-AS635,0)*(O635+Inputs!$B$18+Inputs!$B$19)+IF(AND(K635=1,AP635&lt;&gt;0),(Inputs!$B$17+Inputs!$B$18+Inputs!$B$19)+(O635+Inputs!$B$18+Inputs!$B$19),0)+MAX(AU635,0)*(Inputs!$B$20+Inputs!$B$22+Inputs!$B$23)+MAX(-AU635,0)*(Inputs!$B$21+Inputs!$B$22+Inputs!$B$23)</f>
        <v>0</v>
      </c>
      <c r="AW635" s="30" t="n">
        <f aca="false">AP634*(M635-AR634*J635)+AP634*AR634*N635/Inputs!$B$16-AV635</f>
        <v>0</v>
      </c>
      <c r="AX635" s="30" t="n">
        <f aca="false">AW635-IF(AP634&lt;&gt;0,0.75*AR634*(Inputs!$B$13-N635)/Inputs!$B$16,0)</f>
        <v>0</v>
      </c>
      <c r="AY635" s="30" t="n">
        <f aca="false">MAX(AS635,0)*(Inputs!$B$17+Inputs!$B$18+Inputs!$B$19)+MAX(-AS635,0)*(O635+Inputs!$B$18+Inputs!$B$19)+IF(AND(K635=1,AP635&lt;&gt;0),(Inputs!$B$17+Inputs!$B$18+Inputs!$B$19)+(O635+Inputs!$B$18+Inputs!$B$19),0)</f>
        <v>0</v>
      </c>
      <c r="AZ635" s="30" t="n">
        <f aca="false">AP634*M635-AY635</f>
        <v>0</v>
      </c>
      <c r="BA635" s="32" t="n">
        <f aca="false">BA634+AI635</f>
        <v>0.0081476582830333</v>
      </c>
      <c r="BB635" s="30" t="n">
        <f aca="false">MAX(BB634,BA635)</f>
        <v>0.0108065678336457</v>
      </c>
      <c r="BC635" s="32" t="n">
        <f aca="false">BA635-BB635</f>
        <v>-0.00265890955061237</v>
      </c>
      <c r="BD635" s="30" t="n">
        <f aca="false">A636-A635</f>
        <v>3</v>
      </c>
    </row>
    <row r="636" customFormat="false" ht="15" hidden="false" customHeight="false" outlineLevel="0" collapsed="false">
      <c r="A636" s="28" t="n">
        <v>45978</v>
      </c>
      <c r="B636" s="0" t="n">
        <v>26061.9</v>
      </c>
      <c r="C636" s="0" t="n">
        <v>293.9</v>
      </c>
      <c r="D636" s="29" t="n">
        <f aca="false">LN(B636)</f>
        <v>10.1682297566934</v>
      </c>
      <c r="E636" s="29" t="n">
        <f aca="false">LN(C636)</f>
        <v>5.68323957342487</v>
      </c>
      <c r="F636" s="0" t="n">
        <v>631</v>
      </c>
      <c r="G636" s="0" t="n">
        <v>8</v>
      </c>
      <c r="H636" s="29" t="n">
        <f aca="false">D636-E636</f>
        <v>4.48499018326855</v>
      </c>
      <c r="I636" s="29" t="n">
        <f aca="false">D636-D635</f>
        <v>0.00345544306504486</v>
      </c>
      <c r="J636" s="29" t="n">
        <f aca="false">E636-E635</f>
        <v>0.00306696440780385</v>
      </c>
      <c r="K636" s="0" t="n">
        <v>0</v>
      </c>
      <c r="L636" s="0" t="n">
        <v>0</v>
      </c>
      <c r="M636" s="29" t="n">
        <f aca="false">IF(L636=1,J636-Carry!$B$9/Inputs!$B$16,I636)</f>
        <v>0.00345544306504486</v>
      </c>
      <c r="N636" s="0" t="n">
        <v>0.055</v>
      </c>
      <c r="O636" s="0" t="n">
        <v>0.0002</v>
      </c>
      <c r="P636" s="29" t="n">
        <f aca="false">D636-('2 Hedge ratio'!$B$6+'2 Hedge ratio'!$B$5*E636)</f>
        <v>-0.000158177079210731</v>
      </c>
      <c r="Q636" s="29" t="n">
        <f aca="false">D636-('5 Re-specification'!$B$7+'5 Re-specification'!$B$5*E636+'5 Re-specification'!$B$6*F636)</f>
        <v>-0.000637380312587865</v>
      </c>
      <c r="R636" s="30" t="n">
        <f aca="false">MIN(F636,Inputs!$B$9)</f>
        <v>250</v>
      </c>
      <c r="S636" s="29" t="n">
        <f aca="true">IF(AND(F636&gt;=1,R636&gt;=Inputs!$B$10),INDEX(LINEST(OFFSET(D636,-R636,0,R636,1),OFFSET(E636,-R636,0,R636,2)),1,1),"")</f>
        <v>-5.14912470285482E-005</v>
      </c>
      <c r="T636" s="29" t="n">
        <f aca="true">IF(AND(F636&gt;=1,R636&gt;=Inputs!$B$10),INDEX(LINEST(OFFSET(D636,-R636,0,R636,1),OFFSET(E636,-R636,0,R636,2)),1,2),"")</f>
        <v>1.00618884724365</v>
      </c>
      <c r="U636" s="29" t="n">
        <f aca="true">IF(AND(F636&gt;=1,R636&gt;=Inputs!$B$10),INDEX(LINEST(OFFSET(D636,-R636,0,R636,1),OFFSET(E636,-R636,0,R636,2)),1,3),"")</f>
        <v>4.48293990758601</v>
      </c>
      <c r="V636" s="29" t="n">
        <f aca="true">IF(AND(F636&gt;=1,R636&gt;=Inputs!$B$10),SQRT(SUMPRODUCT((OFFSET(D636,-R636,0,R636,1)-U636-T636*OFFSET(E636,-R636,0,R636,1)-S636*OFFSET(F636,-R636,0,R636,1))^2)/(R636-3)),"")</f>
        <v>0.00247743826097159</v>
      </c>
      <c r="W636" s="31" t="n">
        <f aca="false">IF(AND(F636&gt;=1,R636&gt;=Inputs!$B$10),(D636-U636-T636*E636-S636*F636)/V636,"")</f>
        <v>-0.254879817351052</v>
      </c>
      <c r="X636" s="30" t="n">
        <f aca="false">IF(AB635&lt;&gt;0,AC635+1,0)</f>
        <v>0</v>
      </c>
      <c r="Y636" s="30" t="n">
        <f aca="false">IF(W636="",0,IF(AND(AB635&lt;&gt;0,OR(ABS(W636)&gt;Inputs!$B$7,X636&gt;=Inputs!$B$8,ABS(W636)&lt;Inputs!$B$6)),1,0))</f>
        <v>0</v>
      </c>
      <c r="Z636" s="30" t="n">
        <f aca="false">IF(Y636=1,0,AB635)</f>
        <v>0</v>
      </c>
      <c r="AA636" s="30" t="n">
        <f aca="false">IF(W636="",0,IF(AND(Z636=0,ABS(W636)&gt;Inputs!$B$5,ABS(W636)&lt;=Inputs!$B$7),1,0))</f>
        <v>0</v>
      </c>
      <c r="AB636" s="30" t="n">
        <f aca="false">IF(W636="",0,IF(AA636=1,-SIGN(W636),Z636))</f>
        <v>0</v>
      </c>
      <c r="AC636" s="30" t="n">
        <f aca="false">IF(W636="",0,IF(AA636=1,0,IF(Y636=1,0,X636)))</f>
        <v>0</v>
      </c>
      <c r="AD636" s="30" t="n">
        <f aca="false">IF(AB636=0,0,IF(AB635=AB636,AD635,T636))</f>
        <v>0</v>
      </c>
      <c r="AE636" s="30" t="n">
        <f aca="false">AB636-AB635</f>
        <v>0</v>
      </c>
      <c r="AF636" s="30" t="n">
        <f aca="false">-AD636*AB636</f>
        <v>-0</v>
      </c>
      <c r="AG636" s="30" t="n">
        <f aca="false">AF636-AF635</f>
        <v>0</v>
      </c>
      <c r="AH636" s="30" t="n">
        <f aca="false">MAX(AE636,0)*(Inputs!$B$17+Inputs!$B$18+Inputs!$B$19)+MAX(-AE636,0)*(O636+Inputs!$B$18+Inputs!$B$19)+IF(AND(K636=1,AB636&lt;&gt;0),(Inputs!$B$17+Inputs!$B$18+Inputs!$B$19)+(O636+Inputs!$B$18+Inputs!$B$19),0)+MAX(AG636,0)*(Inputs!$B$20+Inputs!$B$22+Inputs!$B$23)+MAX(-AG636,0)*(Inputs!$B$21+Inputs!$B$22+Inputs!$B$23)</f>
        <v>0</v>
      </c>
      <c r="AI636" s="30" t="n">
        <f aca="false">AB635*(M636-AD635*J636)+AB635*AD635*N636/Inputs!$B$16-AH636</f>
        <v>0</v>
      </c>
      <c r="AJ636" s="30" t="n">
        <f aca="false">MAX(AE636,0)*(Inputs!$B$17+Inputs!$B$24+Inputs!$B$25)+MAX(-AE636,0)*(O636+Inputs!$B$24+Inputs!$B$25)+IF(AND(K636=1,AB636&lt;&gt;0),(Inputs!$B$17+Inputs!$B$24+Inputs!$B$25)+(O636+Inputs!$B$24+Inputs!$B$25),0)+MAX(AG636,0)*(Inputs!$B$20+Inputs!$B$26+Inputs!$B$27)+MAX(-AG636,0)*(Inputs!$B$21+Inputs!$B$26+Inputs!$B$27)</f>
        <v>0</v>
      </c>
      <c r="AK636" s="30" t="n">
        <f aca="false">AB635*(M636-AD635*J636)+AB635*AD635*(N636+Inputs!$B$14)/Inputs!$B$16-AJ636</f>
        <v>0</v>
      </c>
      <c r="AL636" s="30" t="n">
        <f aca="false">IF(AP635&lt;&gt;0,AQ635+1,0)</f>
        <v>0</v>
      </c>
      <c r="AM636" s="30" t="n">
        <f aca="false">IF(W636="",0,IF(AND(AP635&lt;&gt;0,OR(ABS(W636)&gt;Inputs!$B$7,AL636&gt;=Inputs!$B$8,ABS(W636)&lt;Inputs!$B$6)),1,0))</f>
        <v>0</v>
      </c>
      <c r="AN636" s="30" t="n">
        <f aca="false">IF(AM636=1,0,AP635)</f>
        <v>0</v>
      </c>
      <c r="AO636" s="30" t="n">
        <f aca="false">IF(W636="",0,IF(AND(AN636=0,ABS(W636)&gt;Inputs!$B$5,ABS(W636)&lt;=Inputs!$B$7,W636&gt;0),1,0))</f>
        <v>0</v>
      </c>
      <c r="AP636" s="30" t="n">
        <f aca="false">IF(W636="",0,IF(AO636=1,-SIGN(W636),AN636))</f>
        <v>0</v>
      </c>
      <c r="AQ636" s="30" t="n">
        <f aca="false">IF(W636="",0,IF(AO636=1,0,IF(AM636=1,0,AL636)))</f>
        <v>0</v>
      </c>
      <c r="AR636" s="30" t="n">
        <f aca="false">IF(AP636=0,0,IF(AP635=AP636,AR635,T636))</f>
        <v>0</v>
      </c>
      <c r="AS636" s="30" t="n">
        <f aca="false">AP636-AP635</f>
        <v>0</v>
      </c>
      <c r="AT636" s="30" t="n">
        <f aca="false">-AR636*AP636</f>
        <v>-0</v>
      </c>
      <c r="AU636" s="30" t="n">
        <f aca="false">AT636-AT635</f>
        <v>0</v>
      </c>
      <c r="AV636" s="30" t="n">
        <f aca="false">MAX(AS636,0)*(Inputs!$B$17+Inputs!$B$18+Inputs!$B$19)+MAX(-AS636,0)*(O636+Inputs!$B$18+Inputs!$B$19)+IF(AND(K636=1,AP636&lt;&gt;0),(Inputs!$B$17+Inputs!$B$18+Inputs!$B$19)+(O636+Inputs!$B$18+Inputs!$B$19),0)+MAX(AU636,0)*(Inputs!$B$20+Inputs!$B$22+Inputs!$B$23)+MAX(-AU636,0)*(Inputs!$B$21+Inputs!$B$22+Inputs!$B$23)</f>
        <v>0</v>
      </c>
      <c r="AW636" s="30" t="n">
        <f aca="false">AP635*(M636-AR635*J636)+AP635*AR635*N636/Inputs!$B$16-AV636</f>
        <v>0</v>
      </c>
      <c r="AX636" s="30" t="n">
        <f aca="false">AW636-IF(AP635&lt;&gt;0,0.75*AR635*(Inputs!$B$13-N636)/Inputs!$B$16,0)</f>
        <v>0</v>
      </c>
      <c r="AY636" s="30" t="n">
        <f aca="false">MAX(AS636,0)*(Inputs!$B$17+Inputs!$B$18+Inputs!$B$19)+MAX(-AS636,0)*(O636+Inputs!$B$18+Inputs!$B$19)+IF(AND(K636=1,AP636&lt;&gt;0),(Inputs!$B$17+Inputs!$B$18+Inputs!$B$19)+(O636+Inputs!$B$18+Inputs!$B$19),0)</f>
        <v>0</v>
      </c>
      <c r="AZ636" s="30" t="n">
        <f aca="false">AP635*M636-AY636</f>
        <v>0</v>
      </c>
      <c r="BA636" s="32" t="n">
        <f aca="false">BA635+AI636</f>
        <v>0.0081476582830333</v>
      </c>
      <c r="BB636" s="30" t="n">
        <f aca="false">MAX(BB635,BA636)</f>
        <v>0.0108065678336457</v>
      </c>
      <c r="BC636" s="32" t="n">
        <f aca="false">BA636-BB636</f>
        <v>-0.00265890955061237</v>
      </c>
      <c r="BD636" s="30" t="n">
        <f aca="false">A637-A636</f>
        <v>1</v>
      </c>
    </row>
    <row r="637" customFormat="false" ht="15" hidden="false" customHeight="false" outlineLevel="0" collapsed="false">
      <c r="A637" s="28" t="n">
        <v>45979</v>
      </c>
      <c r="B637" s="0" t="n">
        <v>25933.9</v>
      </c>
      <c r="C637" s="0" t="n">
        <v>292.85</v>
      </c>
      <c r="D637" s="29" t="n">
        <f aca="false">LN(B637)</f>
        <v>10.1633062721594</v>
      </c>
      <c r="E637" s="29" t="n">
        <f aca="false">LN(C637)</f>
        <v>5.67966053253579</v>
      </c>
      <c r="F637" s="0" t="n">
        <v>632</v>
      </c>
      <c r="G637" s="0" t="n">
        <v>7</v>
      </c>
      <c r="H637" s="29" t="n">
        <f aca="false">D637-E637</f>
        <v>4.4836457396236</v>
      </c>
      <c r="I637" s="29" t="n">
        <f aca="false">D637-D636</f>
        <v>-0.00492348453403402</v>
      </c>
      <c r="J637" s="29" t="n">
        <f aca="false">E637-E636</f>
        <v>-0.0035790408890799</v>
      </c>
      <c r="K637" s="0" t="n">
        <v>0</v>
      </c>
      <c r="L637" s="0" t="n">
        <v>0</v>
      </c>
      <c r="M637" s="29" t="n">
        <f aca="false">IF(L637=1,J637-Carry!$B$9/Inputs!$B$16,I637)</f>
        <v>-0.00492348453403402</v>
      </c>
      <c r="N637" s="0" t="n">
        <v>0.055</v>
      </c>
      <c r="O637" s="0" t="n">
        <v>0.0002</v>
      </c>
      <c r="P637" s="29" t="n">
        <f aca="false">D637-('2 Hedge ratio'!$B$6+'2 Hedge ratio'!$B$5*E637)</f>
        <v>-0.00180280648232056</v>
      </c>
      <c r="Q637" s="29" t="n">
        <f aca="false">D637-('5 Re-specification'!$B$7+'5 Re-specification'!$B$5*E637+'5 Re-specification'!$B$6*F637)</f>
        <v>-0.00194774092293493</v>
      </c>
      <c r="R637" s="30" t="n">
        <f aca="false">MIN(F637,Inputs!$B$9)</f>
        <v>250</v>
      </c>
      <c r="S637" s="29" t="n">
        <f aca="true">IF(AND(F637&gt;=1,R637&gt;=Inputs!$B$10),INDEX(LINEST(OFFSET(D637,-R637,0,R637,1),OFFSET(E637,-R637,0,R637,2)),1,1),"")</f>
        <v>-5.20140521590251E-005</v>
      </c>
      <c r="T637" s="29" t="n">
        <f aca="true">IF(AND(F637&gt;=1,R637&gt;=Inputs!$B$10),INDEX(LINEST(OFFSET(D637,-R637,0,R637,1),OFFSET(E637,-R637,0,R637,2)),1,2),"")</f>
        <v>1.00662423523437</v>
      </c>
      <c r="U637" s="29" t="n">
        <f aca="true">IF(AND(F637&gt;=1,R637&gt;=Inputs!$B$10),INDEX(LINEST(OFFSET(D637,-R637,0,R637,1),OFFSET(E637,-R637,0,R637,2)),1,3),"")</f>
        <v>4.4807707442374</v>
      </c>
      <c r="V637" s="29" t="n">
        <f aca="true">IF(AND(F637&gt;=1,R637&gt;=Inputs!$B$10),SQRT(SUMPRODUCT((OFFSET(D637,-R637,0,R637,1)-U637-T637*OFFSET(E637,-R637,0,R637,1)-S637*OFFSET(F637,-R637,0,R637,1))^2)/(R637-3)),"")</f>
        <v>0.00247130071371358</v>
      </c>
      <c r="W637" s="31" t="n">
        <f aca="false">IF(AND(F637&gt;=1,R637&gt;=Inputs!$B$10),(D637-U637-T637*E637-S637*F637)/V637,"")</f>
        <v>-0.75892466578216</v>
      </c>
      <c r="X637" s="30" t="n">
        <f aca="false">IF(AB636&lt;&gt;0,AC636+1,0)</f>
        <v>0</v>
      </c>
      <c r="Y637" s="30" t="n">
        <f aca="false">IF(W637="",0,IF(AND(AB636&lt;&gt;0,OR(ABS(W637)&gt;Inputs!$B$7,X637&gt;=Inputs!$B$8,ABS(W637)&lt;Inputs!$B$6)),1,0))</f>
        <v>0</v>
      </c>
      <c r="Z637" s="30" t="n">
        <f aca="false">IF(Y637=1,0,AB636)</f>
        <v>0</v>
      </c>
      <c r="AA637" s="30" t="n">
        <f aca="false">IF(W637="",0,IF(AND(Z637=0,ABS(W637)&gt;Inputs!$B$5,ABS(W637)&lt;=Inputs!$B$7),1,0))</f>
        <v>0</v>
      </c>
      <c r="AB637" s="30" t="n">
        <f aca="false">IF(W637="",0,IF(AA637=1,-SIGN(W637),Z637))</f>
        <v>0</v>
      </c>
      <c r="AC637" s="30" t="n">
        <f aca="false">IF(W637="",0,IF(AA637=1,0,IF(Y637=1,0,X637)))</f>
        <v>0</v>
      </c>
      <c r="AD637" s="30" t="n">
        <f aca="false">IF(AB637=0,0,IF(AB636=AB637,AD636,T637))</f>
        <v>0</v>
      </c>
      <c r="AE637" s="30" t="n">
        <f aca="false">AB637-AB636</f>
        <v>0</v>
      </c>
      <c r="AF637" s="30" t="n">
        <f aca="false">-AD637*AB637</f>
        <v>-0</v>
      </c>
      <c r="AG637" s="30" t="n">
        <f aca="false">AF637-AF636</f>
        <v>0</v>
      </c>
      <c r="AH637" s="30" t="n">
        <f aca="false">MAX(AE637,0)*(Inputs!$B$17+Inputs!$B$18+Inputs!$B$19)+MAX(-AE637,0)*(O637+Inputs!$B$18+Inputs!$B$19)+IF(AND(K637=1,AB637&lt;&gt;0),(Inputs!$B$17+Inputs!$B$18+Inputs!$B$19)+(O637+Inputs!$B$18+Inputs!$B$19),0)+MAX(AG637,0)*(Inputs!$B$20+Inputs!$B$22+Inputs!$B$23)+MAX(-AG637,0)*(Inputs!$B$21+Inputs!$B$22+Inputs!$B$23)</f>
        <v>0</v>
      </c>
      <c r="AI637" s="30" t="n">
        <f aca="false">AB636*(M637-AD636*J637)+AB636*AD636*N637/Inputs!$B$16-AH637</f>
        <v>0</v>
      </c>
      <c r="AJ637" s="30" t="n">
        <f aca="false">MAX(AE637,0)*(Inputs!$B$17+Inputs!$B$24+Inputs!$B$25)+MAX(-AE637,0)*(O637+Inputs!$B$24+Inputs!$B$25)+IF(AND(K637=1,AB637&lt;&gt;0),(Inputs!$B$17+Inputs!$B$24+Inputs!$B$25)+(O637+Inputs!$B$24+Inputs!$B$25),0)+MAX(AG637,0)*(Inputs!$B$20+Inputs!$B$26+Inputs!$B$27)+MAX(-AG637,0)*(Inputs!$B$21+Inputs!$B$26+Inputs!$B$27)</f>
        <v>0</v>
      </c>
      <c r="AK637" s="30" t="n">
        <f aca="false">AB636*(M637-AD636*J637)+AB636*AD636*(N637+Inputs!$B$14)/Inputs!$B$16-AJ637</f>
        <v>0</v>
      </c>
      <c r="AL637" s="30" t="n">
        <f aca="false">IF(AP636&lt;&gt;0,AQ636+1,0)</f>
        <v>0</v>
      </c>
      <c r="AM637" s="30" t="n">
        <f aca="false">IF(W637="",0,IF(AND(AP636&lt;&gt;0,OR(ABS(W637)&gt;Inputs!$B$7,AL637&gt;=Inputs!$B$8,ABS(W637)&lt;Inputs!$B$6)),1,0))</f>
        <v>0</v>
      </c>
      <c r="AN637" s="30" t="n">
        <f aca="false">IF(AM637=1,0,AP636)</f>
        <v>0</v>
      </c>
      <c r="AO637" s="30" t="n">
        <f aca="false">IF(W637="",0,IF(AND(AN637=0,ABS(W637)&gt;Inputs!$B$5,ABS(W637)&lt;=Inputs!$B$7,W637&gt;0),1,0))</f>
        <v>0</v>
      </c>
      <c r="AP637" s="30" t="n">
        <f aca="false">IF(W637="",0,IF(AO637=1,-SIGN(W637),AN637))</f>
        <v>0</v>
      </c>
      <c r="AQ637" s="30" t="n">
        <f aca="false">IF(W637="",0,IF(AO637=1,0,IF(AM637=1,0,AL637)))</f>
        <v>0</v>
      </c>
      <c r="AR637" s="30" t="n">
        <f aca="false">IF(AP637=0,0,IF(AP636=AP637,AR636,T637))</f>
        <v>0</v>
      </c>
      <c r="AS637" s="30" t="n">
        <f aca="false">AP637-AP636</f>
        <v>0</v>
      </c>
      <c r="AT637" s="30" t="n">
        <f aca="false">-AR637*AP637</f>
        <v>-0</v>
      </c>
      <c r="AU637" s="30" t="n">
        <f aca="false">AT637-AT636</f>
        <v>0</v>
      </c>
      <c r="AV637" s="30" t="n">
        <f aca="false">MAX(AS637,0)*(Inputs!$B$17+Inputs!$B$18+Inputs!$B$19)+MAX(-AS637,0)*(O637+Inputs!$B$18+Inputs!$B$19)+IF(AND(K637=1,AP637&lt;&gt;0),(Inputs!$B$17+Inputs!$B$18+Inputs!$B$19)+(O637+Inputs!$B$18+Inputs!$B$19),0)+MAX(AU637,0)*(Inputs!$B$20+Inputs!$B$22+Inputs!$B$23)+MAX(-AU637,0)*(Inputs!$B$21+Inputs!$B$22+Inputs!$B$23)</f>
        <v>0</v>
      </c>
      <c r="AW637" s="30" t="n">
        <f aca="false">AP636*(M637-AR636*J637)+AP636*AR636*N637/Inputs!$B$16-AV637</f>
        <v>0</v>
      </c>
      <c r="AX637" s="30" t="n">
        <f aca="false">AW637-IF(AP636&lt;&gt;0,0.75*AR636*(Inputs!$B$13-N637)/Inputs!$B$16,0)</f>
        <v>0</v>
      </c>
      <c r="AY637" s="30" t="n">
        <f aca="false">MAX(AS637,0)*(Inputs!$B$17+Inputs!$B$18+Inputs!$B$19)+MAX(-AS637,0)*(O637+Inputs!$B$18+Inputs!$B$19)+IF(AND(K637=1,AP637&lt;&gt;0),(Inputs!$B$17+Inputs!$B$18+Inputs!$B$19)+(O637+Inputs!$B$18+Inputs!$B$19),0)</f>
        <v>0</v>
      </c>
      <c r="AZ637" s="30" t="n">
        <f aca="false">AP636*M637-AY637</f>
        <v>-0</v>
      </c>
      <c r="BA637" s="32" t="n">
        <f aca="false">BA636+AI637</f>
        <v>0.0081476582830333</v>
      </c>
      <c r="BB637" s="30" t="n">
        <f aca="false">MAX(BB636,BA637)</f>
        <v>0.0108065678336457</v>
      </c>
      <c r="BC637" s="32" t="n">
        <f aca="false">BA637-BB637</f>
        <v>-0.00265890955061237</v>
      </c>
      <c r="BD637" s="30" t="n">
        <f aca="false">A638-A637</f>
        <v>1</v>
      </c>
    </row>
    <row r="638" customFormat="false" ht="15" hidden="false" customHeight="false" outlineLevel="0" collapsed="false">
      <c r="A638" s="28" t="n">
        <v>45980</v>
      </c>
      <c r="B638" s="0" t="n">
        <v>26078</v>
      </c>
      <c r="C638" s="0" t="n">
        <v>294.38</v>
      </c>
      <c r="D638" s="29" t="n">
        <f aca="false">LN(B638)</f>
        <v>10.1688473259834</v>
      </c>
      <c r="E638" s="29" t="n">
        <f aca="false">LN(C638)</f>
        <v>5.68487144976444</v>
      </c>
      <c r="F638" s="0" t="n">
        <v>633</v>
      </c>
      <c r="G638" s="0" t="n">
        <v>6</v>
      </c>
      <c r="H638" s="29" t="n">
        <f aca="false">D638-E638</f>
        <v>4.48397587621898</v>
      </c>
      <c r="I638" s="29" t="n">
        <f aca="false">D638-D637</f>
        <v>0.00554105382402881</v>
      </c>
      <c r="J638" s="29" t="n">
        <f aca="false">E638-E637</f>
        <v>0.00521091722864941</v>
      </c>
      <c r="K638" s="0" t="n">
        <v>0</v>
      </c>
      <c r="L638" s="0" t="n">
        <v>0</v>
      </c>
      <c r="M638" s="29" t="n">
        <f aca="false">IF(L638=1,J638-Carry!$B$9/Inputs!$B$16,I638)</f>
        <v>0.00554105382402881</v>
      </c>
      <c r="N638" s="0" t="n">
        <v>0.055</v>
      </c>
      <c r="O638" s="0" t="n">
        <v>0.0002</v>
      </c>
      <c r="P638" s="29" t="n">
        <f aca="false">D638-('2 Hedge ratio'!$B$6+'2 Hedge ratio'!$B$5*E638)</f>
        <v>-0.0010356133716769</v>
      </c>
      <c r="Q638" s="29" t="n">
        <f aca="false">D638-('5 Re-specification'!$B$7+'5 Re-specification'!$B$5*E638+'5 Re-specification'!$B$6*F638)</f>
        <v>-0.00155688332468706</v>
      </c>
      <c r="R638" s="30" t="n">
        <f aca="false">MIN(F638,Inputs!$B$9)</f>
        <v>250</v>
      </c>
      <c r="S638" s="29" t="n">
        <f aca="true">IF(AND(F638&gt;=1,R638&gt;=Inputs!$B$10),INDEX(LINEST(OFFSET(D638,-R638,0,R638,1),OFFSET(E638,-R638,0,R638,2)),1,1),"")</f>
        <v>-5.24975812037736E-005</v>
      </c>
      <c r="T638" s="29" t="n">
        <f aca="true">IF(AND(F638&gt;=1,R638&gt;=Inputs!$B$10),INDEX(LINEST(OFFSET(D638,-R638,0,R638,1),OFFSET(E638,-R638,0,R638,2)),1,2),"")</f>
        <v>1.00678916797037</v>
      </c>
      <c r="U638" s="29" t="n">
        <f aca="true">IF(AND(F638&gt;=1,R638&gt;=Inputs!$B$10),INDEX(LINEST(OFFSET(D638,-R638,0,R638,1),OFFSET(E638,-R638,0,R638,2)),1,3),"")</f>
        <v>4.48009282370385</v>
      </c>
      <c r="V638" s="29" t="n">
        <f aca="true">IF(AND(F638&gt;=1,R638&gt;=Inputs!$B$10),SQRT(SUMPRODUCT((OFFSET(D638,-R638,0,R638,1)-U638-T638*OFFSET(E638,-R638,0,R638,1)-S638*OFFSET(F638,-R638,0,R638,1))^2)/(R638-3)),"")</f>
        <v>0.00246934154528898</v>
      </c>
      <c r="W638" s="31" t="n">
        <f aca="false">IF(AND(F638&gt;=1,R638&gt;=Inputs!$B$10),(D638-U638-T638*E638-S638*F638)/V638,"")</f>
        <v>-0.599967934006928</v>
      </c>
      <c r="X638" s="30" t="n">
        <f aca="false">IF(AB637&lt;&gt;0,AC637+1,0)</f>
        <v>0</v>
      </c>
      <c r="Y638" s="30" t="n">
        <f aca="false">IF(W638="",0,IF(AND(AB637&lt;&gt;0,OR(ABS(W638)&gt;Inputs!$B$7,X638&gt;=Inputs!$B$8,ABS(W638)&lt;Inputs!$B$6)),1,0))</f>
        <v>0</v>
      </c>
      <c r="Z638" s="30" t="n">
        <f aca="false">IF(Y638=1,0,AB637)</f>
        <v>0</v>
      </c>
      <c r="AA638" s="30" t="n">
        <f aca="false">IF(W638="",0,IF(AND(Z638=0,ABS(W638)&gt;Inputs!$B$5,ABS(W638)&lt;=Inputs!$B$7),1,0))</f>
        <v>0</v>
      </c>
      <c r="AB638" s="30" t="n">
        <f aca="false">IF(W638="",0,IF(AA638=1,-SIGN(W638),Z638))</f>
        <v>0</v>
      </c>
      <c r="AC638" s="30" t="n">
        <f aca="false">IF(W638="",0,IF(AA638=1,0,IF(Y638=1,0,X638)))</f>
        <v>0</v>
      </c>
      <c r="AD638" s="30" t="n">
        <f aca="false">IF(AB638=0,0,IF(AB637=AB638,AD637,T638))</f>
        <v>0</v>
      </c>
      <c r="AE638" s="30" t="n">
        <f aca="false">AB638-AB637</f>
        <v>0</v>
      </c>
      <c r="AF638" s="30" t="n">
        <f aca="false">-AD638*AB638</f>
        <v>-0</v>
      </c>
      <c r="AG638" s="30" t="n">
        <f aca="false">AF638-AF637</f>
        <v>0</v>
      </c>
      <c r="AH638" s="30" t="n">
        <f aca="false">MAX(AE638,0)*(Inputs!$B$17+Inputs!$B$18+Inputs!$B$19)+MAX(-AE638,0)*(O638+Inputs!$B$18+Inputs!$B$19)+IF(AND(K638=1,AB638&lt;&gt;0),(Inputs!$B$17+Inputs!$B$18+Inputs!$B$19)+(O638+Inputs!$B$18+Inputs!$B$19),0)+MAX(AG638,0)*(Inputs!$B$20+Inputs!$B$22+Inputs!$B$23)+MAX(-AG638,0)*(Inputs!$B$21+Inputs!$B$22+Inputs!$B$23)</f>
        <v>0</v>
      </c>
      <c r="AI638" s="30" t="n">
        <f aca="false">AB637*(M638-AD637*J638)+AB637*AD637*N638/Inputs!$B$16-AH638</f>
        <v>0</v>
      </c>
      <c r="AJ638" s="30" t="n">
        <f aca="false">MAX(AE638,0)*(Inputs!$B$17+Inputs!$B$24+Inputs!$B$25)+MAX(-AE638,0)*(O638+Inputs!$B$24+Inputs!$B$25)+IF(AND(K638=1,AB638&lt;&gt;0),(Inputs!$B$17+Inputs!$B$24+Inputs!$B$25)+(O638+Inputs!$B$24+Inputs!$B$25),0)+MAX(AG638,0)*(Inputs!$B$20+Inputs!$B$26+Inputs!$B$27)+MAX(-AG638,0)*(Inputs!$B$21+Inputs!$B$26+Inputs!$B$27)</f>
        <v>0</v>
      </c>
      <c r="AK638" s="30" t="n">
        <f aca="false">AB637*(M638-AD637*J638)+AB637*AD637*(N638+Inputs!$B$14)/Inputs!$B$16-AJ638</f>
        <v>0</v>
      </c>
      <c r="AL638" s="30" t="n">
        <f aca="false">IF(AP637&lt;&gt;0,AQ637+1,0)</f>
        <v>0</v>
      </c>
      <c r="AM638" s="30" t="n">
        <f aca="false">IF(W638="",0,IF(AND(AP637&lt;&gt;0,OR(ABS(W638)&gt;Inputs!$B$7,AL638&gt;=Inputs!$B$8,ABS(W638)&lt;Inputs!$B$6)),1,0))</f>
        <v>0</v>
      </c>
      <c r="AN638" s="30" t="n">
        <f aca="false">IF(AM638=1,0,AP637)</f>
        <v>0</v>
      </c>
      <c r="AO638" s="30" t="n">
        <f aca="false">IF(W638="",0,IF(AND(AN638=0,ABS(W638)&gt;Inputs!$B$5,ABS(W638)&lt;=Inputs!$B$7,W638&gt;0),1,0))</f>
        <v>0</v>
      </c>
      <c r="AP638" s="30" t="n">
        <f aca="false">IF(W638="",0,IF(AO638=1,-SIGN(W638),AN638))</f>
        <v>0</v>
      </c>
      <c r="AQ638" s="30" t="n">
        <f aca="false">IF(W638="",0,IF(AO638=1,0,IF(AM638=1,0,AL638)))</f>
        <v>0</v>
      </c>
      <c r="AR638" s="30" t="n">
        <f aca="false">IF(AP638=0,0,IF(AP637=AP638,AR637,T638))</f>
        <v>0</v>
      </c>
      <c r="AS638" s="30" t="n">
        <f aca="false">AP638-AP637</f>
        <v>0</v>
      </c>
      <c r="AT638" s="30" t="n">
        <f aca="false">-AR638*AP638</f>
        <v>-0</v>
      </c>
      <c r="AU638" s="30" t="n">
        <f aca="false">AT638-AT637</f>
        <v>0</v>
      </c>
      <c r="AV638" s="30" t="n">
        <f aca="false">MAX(AS638,0)*(Inputs!$B$17+Inputs!$B$18+Inputs!$B$19)+MAX(-AS638,0)*(O638+Inputs!$B$18+Inputs!$B$19)+IF(AND(K638=1,AP638&lt;&gt;0),(Inputs!$B$17+Inputs!$B$18+Inputs!$B$19)+(O638+Inputs!$B$18+Inputs!$B$19),0)+MAX(AU638,0)*(Inputs!$B$20+Inputs!$B$22+Inputs!$B$23)+MAX(-AU638,0)*(Inputs!$B$21+Inputs!$B$22+Inputs!$B$23)</f>
        <v>0</v>
      </c>
      <c r="AW638" s="30" t="n">
        <f aca="false">AP637*(M638-AR637*J638)+AP637*AR637*N638/Inputs!$B$16-AV638</f>
        <v>0</v>
      </c>
      <c r="AX638" s="30" t="n">
        <f aca="false">AW638-IF(AP637&lt;&gt;0,0.75*AR637*(Inputs!$B$13-N638)/Inputs!$B$16,0)</f>
        <v>0</v>
      </c>
      <c r="AY638" s="30" t="n">
        <f aca="false">MAX(AS638,0)*(Inputs!$B$17+Inputs!$B$18+Inputs!$B$19)+MAX(-AS638,0)*(O638+Inputs!$B$18+Inputs!$B$19)+IF(AND(K638=1,AP638&lt;&gt;0),(Inputs!$B$17+Inputs!$B$18+Inputs!$B$19)+(O638+Inputs!$B$18+Inputs!$B$19),0)</f>
        <v>0</v>
      </c>
      <c r="AZ638" s="30" t="n">
        <f aca="false">AP637*M638-AY638</f>
        <v>0</v>
      </c>
      <c r="BA638" s="32" t="n">
        <f aca="false">BA637+AI638</f>
        <v>0.0081476582830333</v>
      </c>
      <c r="BB638" s="30" t="n">
        <f aca="false">MAX(BB637,BA638)</f>
        <v>0.0108065678336457</v>
      </c>
      <c r="BC638" s="32" t="n">
        <f aca="false">BA638-BB638</f>
        <v>-0.00265890955061237</v>
      </c>
      <c r="BD638" s="30" t="n">
        <f aca="false">A639-A638</f>
        <v>1</v>
      </c>
    </row>
    <row r="639" customFormat="false" ht="15" hidden="false" customHeight="false" outlineLevel="0" collapsed="false">
      <c r="A639" s="28" t="n">
        <v>45981</v>
      </c>
      <c r="B639" s="0" t="n">
        <v>26239</v>
      </c>
      <c r="C639" s="0" t="n">
        <v>295.95</v>
      </c>
      <c r="D639" s="29" t="n">
        <f aca="false">LN(B639)</f>
        <v>10.1750021325757</v>
      </c>
      <c r="E639" s="29" t="n">
        <f aca="false">LN(C639)</f>
        <v>5.69019052113673</v>
      </c>
      <c r="F639" s="0" t="n">
        <v>634</v>
      </c>
      <c r="G639" s="0" t="n">
        <v>5</v>
      </c>
      <c r="H639" s="29" t="n">
        <f aca="false">D639-E639</f>
        <v>4.484811611439</v>
      </c>
      <c r="I639" s="29" t="n">
        <f aca="false">D639-D638</f>
        <v>0.00615480659231515</v>
      </c>
      <c r="J639" s="29" t="n">
        <f aca="false">E639-E638</f>
        <v>0.00531907137229304</v>
      </c>
      <c r="K639" s="0" t="n">
        <v>0</v>
      </c>
      <c r="L639" s="0" t="n">
        <v>0</v>
      </c>
      <c r="M639" s="29" t="n">
        <f aca="false">IF(L639=1,J639-Carry!$B$9/Inputs!$B$16,I639)</f>
        <v>0.00615480659231515</v>
      </c>
      <c r="N639" s="0" t="n">
        <v>0.055</v>
      </c>
      <c r="O639" s="0" t="n">
        <v>0.0002</v>
      </c>
      <c r="P639" s="29" t="n">
        <f aca="false">D639-('2 Hedge ratio'!$B$6+'2 Hedge ratio'!$B$5*E639)</f>
        <v>0.000246249602136928</v>
      </c>
      <c r="Q639" s="29" t="n">
        <f aca="false">D639-('5 Re-specification'!$B$7+'5 Re-specification'!$B$5*E639+'5 Re-specification'!$B$6*F639)</f>
        <v>-0.000660099340661802</v>
      </c>
      <c r="R639" s="30" t="n">
        <f aca="false">MIN(F639,Inputs!$B$9)</f>
        <v>250</v>
      </c>
      <c r="S639" s="29" t="n">
        <f aca="true">IF(AND(F639&gt;=1,R639&gt;=Inputs!$B$10),INDEX(LINEST(OFFSET(D639,-R639,0,R639,1),OFFSET(E639,-R639,0,R639,2)),1,1),"")</f>
        <v>-5.31603498661917E-005</v>
      </c>
      <c r="T639" s="29" t="n">
        <f aca="true">IF(AND(F639&gt;=1,R639&gt;=Inputs!$B$10),INDEX(LINEST(OFFSET(D639,-R639,0,R639,1),OFFSET(E639,-R639,0,R639,2)),1,2),"")</f>
        <v>1.00711321627719</v>
      </c>
      <c r="U639" s="29" t="n">
        <f aca="true">IF(AND(F639&gt;=1,R639&gt;=Inputs!$B$10),INDEX(LINEST(OFFSET(D639,-R639,0,R639,1),OFFSET(E639,-R639,0,R639,2)),1,3),"")</f>
        <v>4.47862122807231</v>
      </c>
      <c r="V639" s="29" t="n">
        <f aca="true">IF(AND(F639&gt;=1,R639&gt;=Inputs!$B$10),SQRT(SUMPRODUCT((OFFSET(D639,-R639,0,R639,1)-U639-T639*OFFSET(E639,-R639,0,R639,1)-S639*OFFSET(F639,-R639,0,R639,1))^2)/(R639-3)),"")</f>
        <v>0.00245847536132166</v>
      </c>
      <c r="W639" s="31" t="n">
        <f aca="false">IF(AND(F639&gt;=1,R639&gt;=Inputs!$B$10),(D639-U639-T639*E639-S639*F639)/V639,"")</f>
        <v>-0.236533040990652</v>
      </c>
      <c r="X639" s="30" t="n">
        <f aca="false">IF(AB638&lt;&gt;0,AC638+1,0)</f>
        <v>0</v>
      </c>
      <c r="Y639" s="30" t="n">
        <f aca="false">IF(W639="",0,IF(AND(AB638&lt;&gt;0,OR(ABS(W639)&gt;Inputs!$B$7,X639&gt;=Inputs!$B$8,ABS(W639)&lt;Inputs!$B$6)),1,0))</f>
        <v>0</v>
      </c>
      <c r="Z639" s="30" t="n">
        <f aca="false">IF(Y639=1,0,AB638)</f>
        <v>0</v>
      </c>
      <c r="AA639" s="30" t="n">
        <f aca="false">IF(W639="",0,IF(AND(Z639=0,ABS(W639)&gt;Inputs!$B$5,ABS(W639)&lt;=Inputs!$B$7),1,0))</f>
        <v>0</v>
      </c>
      <c r="AB639" s="30" t="n">
        <f aca="false">IF(W639="",0,IF(AA639=1,-SIGN(W639),Z639))</f>
        <v>0</v>
      </c>
      <c r="AC639" s="30" t="n">
        <f aca="false">IF(W639="",0,IF(AA639=1,0,IF(Y639=1,0,X639)))</f>
        <v>0</v>
      </c>
      <c r="AD639" s="30" t="n">
        <f aca="false">IF(AB639=0,0,IF(AB638=AB639,AD638,T639))</f>
        <v>0</v>
      </c>
      <c r="AE639" s="30" t="n">
        <f aca="false">AB639-AB638</f>
        <v>0</v>
      </c>
      <c r="AF639" s="30" t="n">
        <f aca="false">-AD639*AB639</f>
        <v>-0</v>
      </c>
      <c r="AG639" s="30" t="n">
        <f aca="false">AF639-AF638</f>
        <v>0</v>
      </c>
      <c r="AH639" s="30" t="n">
        <f aca="false">MAX(AE639,0)*(Inputs!$B$17+Inputs!$B$18+Inputs!$B$19)+MAX(-AE639,0)*(O639+Inputs!$B$18+Inputs!$B$19)+IF(AND(K639=1,AB639&lt;&gt;0),(Inputs!$B$17+Inputs!$B$18+Inputs!$B$19)+(O639+Inputs!$B$18+Inputs!$B$19),0)+MAX(AG639,0)*(Inputs!$B$20+Inputs!$B$22+Inputs!$B$23)+MAX(-AG639,0)*(Inputs!$B$21+Inputs!$B$22+Inputs!$B$23)</f>
        <v>0</v>
      </c>
      <c r="AI639" s="30" t="n">
        <f aca="false">AB638*(M639-AD638*J639)+AB638*AD638*N639/Inputs!$B$16-AH639</f>
        <v>0</v>
      </c>
      <c r="AJ639" s="30" t="n">
        <f aca="false">MAX(AE639,0)*(Inputs!$B$17+Inputs!$B$24+Inputs!$B$25)+MAX(-AE639,0)*(O639+Inputs!$B$24+Inputs!$B$25)+IF(AND(K639=1,AB639&lt;&gt;0),(Inputs!$B$17+Inputs!$B$24+Inputs!$B$25)+(O639+Inputs!$B$24+Inputs!$B$25),0)+MAX(AG639,0)*(Inputs!$B$20+Inputs!$B$26+Inputs!$B$27)+MAX(-AG639,0)*(Inputs!$B$21+Inputs!$B$26+Inputs!$B$27)</f>
        <v>0</v>
      </c>
      <c r="AK639" s="30" t="n">
        <f aca="false">AB638*(M639-AD638*J639)+AB638*AD638*(N639+Inputs!$B$14)/Inputs!$B$16-AJ639</f>
        <v>0</v>
      </c>
      <c r="AL639" s="30" t="n">
        <f aca="false">IF(AP638&lt;&gt;0,AQ638+1,0)</f>
        <v>0</v>
      </c>
      <c r="AM639" s="30" t="n">
        <f aca="false">IF(W639="",0,IF(AND(AP638&lt;&gt;0,OR(ABS(W639)&gt;Inputs!$B$7,AL639&gt;=Inputs!$B$8,ABS(W639)&lt;Inputs!$B$6)),1,0))</f>
        <v>0</v>
      </c>
      <c r="AN639" s="30" t="n">
        <f aca="false">IF(AM639=1,0,AP638)</f>
        <v>0</v>
      </c>
      <c r="AO639" s="30" t="n">
        <f aca="false">IF(W639="",0,IF(AND(AN639=0,ABS(W639)&gt;Inputs!$B$5,ABS(W639)&lt;=Inputs!$B$7,W639&gt;0),1,0))</f>
        <v>0</v>
      </c>
      <c r="AP639" s="30" t="n">
        <f aca="false">IF(W639="",0,IF(AO639=1,-SIGN(W639),AN639))</f>
        <v>0</v>
      </c>
      <c r="AQ639" s="30" t="n">
        <f aca="false">IF(W639="",0,IF(AO639=1,0,IF(AM639=1,0,AL639)))</f>
        <v>0</v>
      </c>
      <c r="AR639" s="30" t="n">
        <f aca="false">IF(AP639=0,0,IF(AP638=AP639,AR638,T639))</f>
        <v>0</v>
      </c>
      <c r="AS639" s="30" t="n">
        <f aca="false">AP639-AP638</f>
        <v>0</v>
      </c>
      <c r="AT639" s="30" t="n">
        <f aca="false">-AR639*AP639</f>
        <v>-0</v>
      </c>
      <c r="AU639" s="30" t="n">
        <f aca="false">AT639-AT638</f>
        <v>0</v>
      </c>
      <c r="AV639" s="30" t="n">
        <f aca="false">MAX(AS639,0)*(Inputs!$B$17+Inputs!$B$18+Inputs!$B$19)+MAX(-AS639,0)*(O639+Inputs!$B$18+Inputs!$B$19)+IF(AND(K639=1,AP639&lt;&gt;0),(Inputs!$B$17+Inputs!$B$18+Inputs!$B$19)+(O639+Inputs!$B$18+Inputs!$B$19),0)+MAX(AU639,0)*(Inputs!$B$20+Inputs!$B$22+Inputs!$B$23)+MAX(-AU639,0)*(Inputs!$B$21+Inputs!$B$22+Inputs!$B$23)</f>
        <v>0</v>
      </c>
      <c r="AW639" s="30" t="n">
        <f aca="false">AP638*(M639-AR638*J639)+AP638*AR638*N639/Inputs!$B$16-AV639</f>
        <v>0</v>
      </c>
      <c r="AX639" s="30" t="n">
        <f aca="false">AW639-IF(AP638&lt;&gt;0,0.75*AR638*(Inputs!$B$13-N639)/Inputs!$B$16,0)</f>
        <v>0</v>
      </c>
      <c r="AY639" s="30" t="n">
        <f aca="false">MAX(AS639,0)*(Inputs!$B$17+Inputs!$B$18+Inputs!$B$19)+MAX(-AS639,0)*(O639+Inputs!$B$18+Inputs!$B$19)+IF(AND(K639=1,AP639&lt;&gt;0),(Inputs!$B$17+Inputs!$B$18+Inputs!$B$19)+(O639+Inputs!$B$18+Inputs!$B$19),0)</f>
        <v>0</v>
      </c>
      <c r="AZ639" s="30" t="n">
        <f aca="false">AP638*M639-AY639</f>
        <v>0</v>
      </c>
      <c r="BA639" s="32" t="n">
        <f aca="false">BA638+AI639</f>
        <v>0.0081476582830333</v>
      </c>
      <c r="BB639" s="30" t="n">
        <f aca="false">MAX(BB638,BA639)</f>
        <v>0.0108065678336457</v>
      </c>
      <c r="BC639" s="32" t="n">
        <f aca="false">BA639-BB639</f>
        <v>-0.00265890955061237</v>
      </c>
      <c r="BD639" s="30" t="n">
        <f aca="false">A640-A639</f>
        <v>1</v>
      </c>
    </row>
    <row r="640" customFormat="false" ht="15" hidden="false" customHeight="false" outlineLevel="0" collapsed="false">
      <c r="A640" s="28" t="n">
        <v>45982</v>
      </c>
      <c r="B640" s="0" t="n">
        <v>26070</v>
      </c>
      <c r="C640" s="0" t="n">
        <v>294.33</v>
      </c>
      <c r="D640" s="29" t="n">
        <f aca="false">LN(B640)</f>
        <v>10.1685405069275</v>
      </c>
      <c r="E640" s="29" t="n">
        <f aca="false">LN(C640)</f>
        <v>5.68470158684341</v>
      </c>
      <c r="F640" s="0" t="n">
        <v>635</v>
      </c>
      <c r="G640" s="0" t="n">
        <v>4</v>
      </c>
      <c r="H640" s="29" t="n">
        <f aca="false">D640-E640</f>
        <v>4.48383892008414</v>
      </c>
      <c r="I640" s="29" t="n">
        <f aca="false">D640-D639</f>
        <v>-0.00646162564818553</v>
      </c>
      <c r="J640" s="29" t="n">
        <f aca="false">E640-E639</f>
        <v>-0.00548893429332509</v>
      </c>
      <c r="K640" s="0" t="n">
        <v>0</v>
      </c>
      <c r="L640" s="0" t="n">
        <v>0</v>
      </c>
      <c r="M640" s="29" t="n">
        <f aca="false">IF(L640=1,J640-Carry!$B$9/Inputs!$B$16,I640)</f>
        <v>-0.00646162564818553</v>
      </c>
      <c r="N640" s="0" t="n">
        <v>0.055</v>
      </c>
      <c r="O640" s="0" t="n">
        <v>0.0002</v>
      </c>
      <c r="P640" s="29" t="n">
        <f aca="false">D640-('2 Hedge ratio'!$B$6+'2 Hedge ratio'!$B$5*E640)</f>
        <v>-0.00118681646018537</v>
      </c>
      <c r="Q640" s="29" t="n">
        <f aca="false">D640-('5 Re-specification'!$B$7+'5 Re-specification'!$B$5*E640+'5 Re-specification'!$B$6*F640)</f>
        <v>-0.0016044955929182</v>
      </c>
      <c r="R640" s="30" t="n">
        <f aca="false">MIN(F640,Inputs!$B$9)</f>
        <v>250</v>
      </c>
      <c r="S640" s="29" t="n">
        <f aca="true">IF(AND(F640&gt;=1,R640&gt;=Inputs!$B$10),INDEX(LINEST(OFFSET(D640,-R640,0,R640,1),OFFSET(E640,-R640,0,R640,2)),1,1),"")</f>
        <v>-5.37287407373978E-005</v>
      </c>
      <c r="T640" s="29" t="n">
        <f aca="true">IF(AND(F640&gt;=1,R640&gt;=Inputs!$B$10),INDEX(LINEST(OFFSET(D640,-R640,0,R640,1),OFFSET(E640,-R640,0,R640,2)),1,2),"")</f>
        <v>1.0074103860701</v>
      </c>
      <c r="U640" s="29" t="n">
        <f aca="true">IF(AND(F640&gt;=1,R640&gt;=Inputs!$B$10),INDEX(LINEST(OFFSET(D640,-R640,0,R640,1),OFFSET(E640,-R640,0,R640,2)),1,3),"")</f>
        <v>4.47725659619835</v>
      </c>
      <c r="V640" s="29" t="n">
        <f aca="true">IF(AND(F640&gt;=1,R640&gt;=Inputs!$B$10),SQRT(SUMPRODUCT((OFFSET(D640,-R640,0,R640,1)-U640-T640*OFFSET(E640,-R640,0,R640,1)-S640*OFFSET(F640,-R640,0,R640,1))^2)/(R640-3)),"")</f>
        <v>0.00244590917436855</v>
      </c>
      <c r="W640" s="31" t="n">
        <f aca="false">IF(AND(F640&gt;=1,R640&gt;=Inputs!$B$10),(D640-U640-T640*E640-S640*F640)/V640,"")</f>
        <v>-0.582915838702146</v>
      </c>
      <c r="X640" s="30" t="n">
        <f aca="false">IF(AB639&lt;&gt;0,AC639+1,0)</f>
        <v>0</v>
      </c>
      <c r="Y640" s="30" t="n">
        <f aca="false">IF(W640="",0,IF(AND(AB639&lt;&gt;0,OR(ABS(W640)&gt;Inputs!$B$7,X640&gt;=Inputs!$B$8,ABS(W640)&lt;Inputs!$B$6)),1,0))</f>
        <v>0</v>
      </c>
      <c r="Z640" s="30" t="n">
        <f aca="false">IF(Y640=1,0,AB639)</f>
        <v>0</v>
      </c>
      <c r="AA640" s="30" t="n">
        <f aca="false">IF(W640="",0,IF(AND(Z640=0,ABS(W640)&gt;Inputs!$B$5,ABS(W640)&lt;=Inputs!$B$7),1,0))</f>
        <v>0</v>
      </c>
      <c r="AB640" s="30" t="n">
        <f aca="false">IF(W640="",0,IF(AA640=1,-SIGN(W640),Z640))</f>
        <v>0</v>
      </c>
      <c r="AC640" s="30" t="n">
        <f aca="false">IF(W640="",0,IF(AA640=1,0,IF(Y640=1,0,X640)))</f>
        <v>0</v>
      </c>
      <c r="AD640" s="30" t="n">
        <f aca="false">IF(AB640=0,0,IF(AB639=AB640,AD639,T640))</f>
        <v>0</v>
      </c>
      <c r="AE640" s="30" t="n">
        <f aca="false">AB640-AB639</f>
        <v>0</v>
      </c>
      <c r="AF640" s="30" t="n">
        <f aca="false">-AD640*AB640</f>
        <v>-0</v>
      </c>
      <c r="AG640" s="30" t="n">
        <f aca="false">AF640-AF639</f>
        <v>0</v>
      </c>
      <c r="AH640" s="30" t="n">
        <f aca="false">MAX(AE640,0)*(Inputs!$B$17+Inputs!$B$18+Inputs!$B$19)+MAX(-AE640,0)*(O640+Inputs!$B$18+Inputs!$B$19)+IF(AND(K640=1,AB640&lt;&gt;0),(Inputs!$B$17+Inputs!$B$18+Inputs!$B$19)+(O640+Inputs!$B$18+Inputs!$B$19),0)+MAX(AG640,0)*(Inputs!$B$20+Inputs!$B$22+Inputs!$B$23)+MAX(-AG640,0)*(Inputs!$B$21+Inputs!$B$22+Inputs!$B$23)</f>
        <v>0</v>
      </c>
      <c r="AI640" s="30" t="n">
        <f aca="false">AB639*(M640-AD639*J640)+AB639*AD639*N640/Inputs!$B$16-AH640</f>
        <v>0</v>
      </c>
      <c r="AJ640" s="30" t="n">
        <f aca="false">MAX(AE640,0)*(Inputs!$B$17+Inputs!$B$24+Inputs!$B$25)+MAX(-AE640,0)*(O640+Inputs!$B$24+Inputs!$B$25)+IF(AND(K640=1,AB640&lt;&gt;0),(Inputs!$B$17+Inputs!$B$24+Inputs!$B$25)+(O640+Inputs!$B$24+Inputs!$B$25),0)+MAX(AG640,0)*(Inputs!$B$20+Inputs!$B$26+Inputs!$B$27)+MAX(-AG640,0)*(Inputs!$B$21+Inputs!$B$26+Inputs!$B$27)</f>
        <v>0</v>
      </c>
      <c r="AK640" s="30" t="n">
        <f aca="false">AB639*(M640-AD639*J640)+AB639*AD639*(N640+Inputs!$B$14)/Inputs!$B$16-AJ640</f>
        <v>0</v>
      </c>
      <c r="AL640" s="30" t="n">
        <f aca="false">IF(AP639&lt;&gt;0,AQ639+1,0)</f>
        <v>0</v>
      </c>
      <c r="AM640" s="30" t="n">
        <f aca="false">IF(W640="",0,IF(AND(AP639&lt;&gt;0,OR(ABS(W640)&gt;Inputs!$B$7,AL640&gt;=Inputs!$B$8,ABS(W640)&lt;Inputs!$B$6)),1,0))</f>
        <v>0</v>
      </c>
      <c r="AN640" s="30" t="n">
        <f aca="false">IF(AM640=1,0,AP639)</f>
        <v>0</v>
      </c>
      <c r="AO640" s="30" t="n">
        <f aca="false">IF(W640="",0,IF(AND(AN640=0,ABS(W640)&gt;Inputs!$B$5,ABS(W640)&lt;=Inputs!$B$7,W640&gt;0),1,0))</f>
        <v>0</v>
      </c>
      <c r="AP640" s="30" t="n">
        <f aca="false">IF(W640="",0,IF(AO640=1,-SIGN(W640),AN640))</f>
        <v>0</v>
      </c>
      <c r="AQ640" s="30" t="n">
        <f aca="false">IF(W640="",0,IF(AO640=1,0,IF(AM640=1,0,AL640)))</f>
        <v>0</v>
      </c>
      <c r="AR640" s="30" t="n">
        <f aca="false">IF(AP640=0,0,IF(AP639=AP640,AR639,T640))</f>
        <v>0</v>
      </c>
      <c r="AS640" s="30" t="n">
        <f aca="false">AP640-AP639</f>
        <v>0</v>
      </c>
      <c r="AT640" s="30" t="n">
        <f aca="false">-AR640*AP640</f>
        <v>-0</v>
      </c>
      <c r="AU640" s="30" t="n">
        <f aca="false">AT640-AT639</f>
        <v>0</v>
      </c>
      <c r="AV640" s="30" t="n">
        <f aca="false">MAX(AS640,0)*(Inputs!$B$17+Inputs!$B$18+Inputs!$B$19)+MAX(-AS640,0)*(O640+Inputs!$B$18+Inputs!$B$19)+IF(AND(K640=1,AP640&lt;&gt;0),(Inputs!$B$17+Inputs!$B$18+Inputs!$B$19)+(O640+Inputs!$B$18+Inputs!$B$19),0)+MAX(AU640,0)*(Inputs!$B$20+Inputs!$B$22+Inputs!$B$23)+MAX(-AU640,0)*(Inputs!$B$21+Inputs!$B$22+Inputs!$B$23)</f>
        <v>0</v>
      </c>
      <c r="AW640" s="30" t="n">
        <f aca="false">AP639*(M640-AR639*J640)+AP639*AR639*N640/Inputs!$B$16-AV640</f>
        <v>0</v>
      </c>
      <c r="AX640" s="30" t="n">
        <f aca="false">AW640-IF(AP639&lt;&gt;0,0.75*AR639*(Inputs!$B$13-N640)/Inputs!$B$16,0)</f>
        <v>0</v>
      </c>
      <c r="AY640" s="30" t="n">
        <f aca="false">MAX(AS640,0)*(Inputs!$B$17+Inputs!$B$18+Inputs!$B$19)+MAX(-AS640,0)*(O640+Inputs!$B$18+Inputs!$B$19)+IF(AND(K640=1,AP640&lt;&gt;0),(Inputs!$B$17+Inputs!$B$18+Inputs!$B$19)+(O640+Inputs!$B$18+Inputs!$B$19),0)</f>
        <v>0</v>
      </c>
      <c r="AZ640" s="30" t="n">
        <f aca="false">AP639*M640-AY640</f>
        <v>-0</v>
      </c>
      <c r="BA640" s="32" t="n">
        <f aca="false">BA639+AI640</f>
        <v>0.0081476582830333</v>
      </c>
      <c r="BB640" s="30" t="n">
        <f aca="false">MAX(BB639,BA640)</f>
        <v>0.0108065678336457</v>
      </c>
      <c r="BC640" s="32" t="n">
        <f aca="false">BA640-BB640</f>
        <v>-0.00265890955061237</v>
      </c>
      <c r="BD640" s="30" t="n">
        <f aca="false">A641-A640</f>
        <v>3</v>
      </c>
    </row>
    <row r="641" customFormat="false" ht="15" hidden="false" customHeight="false" outlineLevel="0" collapsed="false">
      <c r="A641" s="28" t="n">
        <v>45985</v>
      </c>
      <c r="B641" s="0" t="n">
        <v>25967.6</v>
      </c>
      <c r="C641" s="0" t="n">
        <v>293.12</v>
      </c>
      <c r="D641" s="29" t="n">
        <f aca="false">LN(B641)</f>
        <v>10.1646048860621</v>
      </c>
      <c r="E641" s="29" t="n">
        <f aca="false">LN(C641)</f>
        <v>5.68058208148577</v>
      </c>
      <c r="F641" s="0" t="n">
        <v>636</v>
      </c>
      <c r="G641" s="0" t="n">
        <v>1</v>
      </c>
      <c r="H641" s="29" t="n">
        <f aca="false">D641-E641</f>
        <v>4.48402280457634</v>
      </c>
      <c r="I641" s="29" t="n">
        <f aca="false">D641-D640</f>
        <v>-0.0039356208654393</v>
      </c>
      <c r="J641" s="29" t="n">
        <f aca="false">E641-E640</f>
        <v>-0.00411950535764394</v>
      </c>
      <c r="K641" s="0" t="n">
        <v>0</v>
      </c>
      <c r="L641" s="0" t="n">
        <v>0</v>
      </c>
      <c r="M641" s="29" t="n">
        <f aca="false">IF(L641=1,J641-Carry!$B$9/Inputs!$B$16,I641)</f>
        <v>-0.0039356208654393</v>
      </c>
      <c r="N641" s="0" t="n">
        <v>0.055</v>
      </c>
      <c r="O641" s="0" t="n">
        <v>0.0002</v>
      </c>
      <c r="P641" s="29" t="n">
        <f aca="false">D641-('2 Hedge ratio'!$B$6+'2 Hedge ratio'!$B$5*E641)</f>
        <v>-0.00134844823262803</v>
      </c>
      <c r="Q641" s="29" t="n">
        <f aca="false">D641-('5 Re-specification'!$B$7+'5 Re-specification'!$B$5*E641+'5 Re-specification'!$B$6*F641)</f>
        <v>-0.0013881659436894</v>
      </c>
      <c r="R641" s="30" t="n">
        <f aca="false">MIN(F641,Inputs!$B$9)</f>
        <v>250</v>
      </c>
      <c r="S641" s="29" t="n">
        <f aca="true">IF(AND(F641&gt;=1,R641&gt;=Inputs!$B$10),INDEX(LINEST(OFFSET(D641,-R641,0,R641,1),OFFSET(E641,-R641,0,R641,2)),1,1),"")</f>
        <v>-5.45178594240496E-005</v>
      </c>
      <c r="T641" s="29" t="n">
        <f aca="true">IF(AND(F641&gt;=1,R641&gt;=Inputs!$B$10),INDEX(LINEST(OFFSET(D641,-R641,0,R641,1),OFFSET(E641,-R641,0,R641,2)),1,2),"")</f>
        <v>1.007765814932</v>
      </c>
      <c r="U641" s="29" t="n">
        <f aca="true">IF(AND(F641&gt;=1,R641&gt;=Inputs!$B$10),INDEX(LINEST(OFFSET(D641,-R641,0,R641,1),OFFSET(E641,-R641,0,R641,2)),1,3),"")</f>
        <v>4.47567941840759</v>
      </c>
      <c r="V641" s="29" t="n">
        <f aca="true">IF(AND(F641&gt;=1,R641&gt;=Inputs!$B$10),SQRT(SUMPRODUCT((OFFSET(D641,-R641,0,R641,1)-U641-T641*OFFSET(E641,-R641,0,R641,1)-S641*OFFSET(F641,-R641,0,R641,1))^2)/(R641-3)),"")</f>
        <v>0.0024257539370679</v>
      </c>
      <c r="W641" s="31" t="n">
        <f aca="false">IF(AND(F641&gt;=1,R641&gt;=Inputs!$B$10),(D641-U641-T641*E641-S641*F641)/V641,"")</f>
        <v>-0.452479689566623</v>
      </c>
      <c r="X641" s="30" t="n">
        <f aca="false">IF(AB640&lt;&gt;0,AC640+1,0)</f>
        <v>0</v>
      </c>
      <c r="Y641" s="30" t="n">
        <f aca="false">IF(W641="",0,IF(AND(AB640&lt;&gt;0,OR(ABS(W641)&gt;Inputs!$B$7,X641&gt;=Inputs!$B$8,ABS(W641)&lt;Inputs!$B$6)),1,0))</f>
        <v>0</v>
      </c>
      <c r="Z641" s="30" t="n">
        <f aca="false">IF(Y641=1,0,AB640)</f>
        <v>0</v>
      </c>
      <c r="AA641" s="30" t="n">
        <f aca="false">IF(W641="",0,IF(AND(Z641=0,ABS(W641)&gt;Inputs!$B$5,ABS(W641)&lt;=Inputs!$B$7),1,0))</f>
        <v>0</v>
      </c>
      <c r="AB641" s="30" t="n">
        <f aca="false">IF(W641="",0,IF(AA641=1,-SIGN(W641),Z641))</f>
        <v>0</v>
      </c>
      <c r="AC641" s="30" t="n">
        <f aca="false">IF(W641="",0,IF(AA641=1,0,IF(Y641=1,0,X641)))</f>
        <v>0</v>
      </c>
      <c r="AD641" s="30" t="n">
        <f aca="false">IF(AB641=0,0,IF(AB640=AB641,AD640,T641))</f>
        <v>0</v>
      </c>
      <c r="AE641" s="30" t="n">
        <f aca="false">AB641-AB640</f>
        <v>0</v>
      </c>
      <c r="AF641" s="30" t="n">
        <f aca="false">-AD641*AB641</f>
        <v>-0</v>
      </c>
      <c r="AG641" s="30" t="n">
        <f aca="false">AF641-AF640</f>
        <v>0</v>
      </c>
      <c r="AH641" s="30" t="n">
        <f aca="false">MAX(AE641,0)*(Inputs!$B$17+Inputs!$B$18+Inputs!$B$19)+MAX(-AE641,0)*(O641+Inputs!$B$18+Inputs!$B$19)+IF(AND(K641=1,AB641&lt;&gt;0),(Inputs!$B$17+Inputs!$B$18+Inputs!$B$19)+(O641+Inputs!$B$18+Inputs!$B$19),0)+MAX(AG641,0)*(Inputs!$B$20+Inputs!$B$22+Inputs!$B$23)+MAX(-AG641,0)*(Inputs!$B$21+Inputs!$B$22+Inputs!$B$23)</f>
        <v>0</v>
      </c>
      <c r="AI641" s="30" t="n">
        <f aca="false">AB640*(M641-AD640*J641)+AB640*AD640*N641/Inputs!$B$16-AH641</f>
        <v>0</v>
      </c>
      <c r="AJ641" s="30" t="n">
        <f aca="false">MAX(AE641,0)*(Inputs!$B$17+Inputs!$B$24+Inputs!$B$25)+MAX(-AE641,0)*(O641+Inputs!$B$24+Inputs!$B$25)+IF(AND(K641=1,AB641&lt;&gt;0),(Inputs!$B$17+Inputs!$B$24+Inputs!$B$25)+(O641+Inputs!$B$24+Inputs!$B$25),0)+MAX(AG641,0)*(Inputs!$B$20+Inputs!$B$26+Inputs!$B$27)+MAX(-AG641,0)*(Inputs!$B$21+Inputs!$B$26+Inputs!$B$27)</f>
        <v>0</v>
      </c>
      <c r="AK641" s="30" t="n">
        <f aca="false">AB640*(M641-AD640*J641)+AB640*AD640*(N641+Inputs!$B$14)/Inputs!$B$16-AJ641</f>
        <v>0</v>
      </c>
      <c r="AL641" s="30" t="n">
        <f aca="false">IF(AP640&lt;&gt;0,AQ640+1,0)</f>
        <v>0</v>
      </c>
      <c r="AM641" s="30" t="n">
        <f aca="false">IF(W641="",0,IF(AND(AP640&lt;&gt;0,OR(ABS(W641)&gt;Inputs!$B$7,AL641&gt;=Inputs!$B$8,ABS(W641)&lt;Inputs!$B$6)),1,0))</f>
        <v>0</v>
      </c>
      <c r="AN641" s="30" t="n">
        <f aca="false">IF(AM641=1,0,AP640)</f>
        <v>0</v>
      </c>
      <c r="AO641" s="30" t="n">
        <f aca="false">IF(W641="",0,IF(AND(AN641=0,ABS(W641)&gt;Inputs!$B$5,ABS(W641)&lt;=Inputs!$B$7,W641&gt;0),1,0))</f>
        <v>0</v>
      </c>
      <c r="AP641" s="30" t="n">
        <f aca="false">IF(W641="",0,IF(AO641=1,-SIGN(W641),AN641))</f>
        <v>0</v>
      </c>
      <c r="AQ641" s="30" t="n">
        <f aca="false">IF(W641="",0,IF(AO641=1,0,IF(AM641=1,0,AL641)))</f>
        <v>0</v>
      </c>
      <c r="AR641" s="30" t="n">
        <f aca="false">IF(AP641=0,0,IF(AP640=AP641,AR640,T641))</f>
        <v>0</v>
      </c>
      <c r="AS641" s="30" t="n">
        <f aca="false">AP641-AP640</f>
        <v>0</v>
      </c>
      <c r="AT641" s="30" t="n">
        <f aca="false">-AR641*AP641</f>
        <v>-0</v>
      </c>
      <c r="AU641" s="30" t="n">
        <f aca="false">AT641-AT640</f>
        <v>0</v>
      </c>
      <c r="AV641" s="30" t="n">
        <f aca="false">MAX(AS641,0)*(Inputs!$B$17+Inputs!$B$18+Inputs!$B$19)+MAX(-AS641,0)*(O641+Inputs!$B$18+Inputs!$B$19)+IF(AND(K641=1,AP641&lt;&gt;0),(Inputs!$B$17+Inputs!$B$18+Inputs!$B$19)+(O641+Inputs!$B$18+Inputs!$B$19),0)+MAX(AU641,0)*(Inputs!$B$20+Inputs!$B$22+Inputs!$B$23)+MAX(-AU641,0)*(Inputs!$B$21+Inputs!$B$22+Inputs!$B$23)</f>
        <v>0</v>
      </c>
      <c r="AW641" s="30" t="n">
        <f aca="false">AP640*(M641-AR640*J641)+AP640*AR640*N641/Inputs!$B$16-AV641</f>
        <v>0</v>
      </c>
      <c r="AX641" s="30" t="n">
        <f aca="false">AW641-IF(AP640&lt;&gt;0,0.75*AR640*(Inputs!$B$13-N641)/Inputs!$B$16,0)</f>
        <v>0</v>
      </c>
      <c r="AY641" s="30" t="n">
        <f aca="false">MAX(AS641,0)*(Inputs!$B$17+Inputs!$B$18+Inputs!$B$19)+MAX(-AS641,0)*(O641+Inputs!$B$18+Inputs!$B$19)+IF(AND(K641=1,AP641&lt;&gt;0),(Inputs!$B$17+Inputs!$B$18+Inputs!$B$19)+(O641+Inputs!$B$18+Inputs!$B$19),0)</f>
        <v>0</v>
      </c>
      <c r="AZ641" s="30" t="n">
        <f aca="false">AP640*M641-AY641</f>
        <v>-0</v>
      </c>
      <c r="BA641" s="32" t="n">
        <f aca="false">BA640+AI641</f>
        <v>0.0081476582830333</v>
      </c>
      <c r="BB641" s="30" t="n">
        <f aca="false">MAX(BB640,BA641)</f>
        <v>0.0108065678336457</v>
      </c>
      <c r="BC641" s="32" t="n">
        <f aca="false">BA641-BB641</f>
        <v>-0.00265890955061237</v>
      </c>
      <c r="BD641" s="30" t="n">
        <f aca="false">A642-A641</f>
        <v>1</v>
      </c>
    </row>
    <row r="642" customFormat="false" ht="15" hidden="false" customHeight="false" outlineLevel="0" collapsed="false">
      <c r="A642" s="28" t="n">
        <v>45986</v>
      </c>
      <c r="B642" s="0" t="n">
        <v>25884</v>
      </c>
      <c r="C642" s="0" t="n">
        <v>292.8</v>
      </c>
      <c r="D642" s="29" t="n">
        <f aca="false">LN(B642)</f>
        <v>10.1613802961772</v>
      </c>
      <c r="E642" s="29" t="n">
        <f aca="false">LN(C642)</f>
        <v>5.67948978208716</v>
      </c>
      <c r="F642" s="0" t="n">
        <v>637</v>
      </c>
      <c r="G642" s="0" t="n">
        <v>0</v>
      </c>
      <c r="H642" s="29" t="n">
        <f aca="false">D642-E642</f>
        <v>4.48189051409</v>
      </c>
      <c r="I642" s="29" t="n">
        <f aca="false">D642-D641</f>
        <v>-0.003224589884951</v>
      </c>
      <c r="J642" s="29" t="n">
        <f aca="false">E642-E641</f>
        <v>-0.00109229939860889</v>
      </c>
      <c r="K642" s="0" t="n">
        <v>1</v>
      </c>
      <c r="L642" s="0" t="n">
        <v>0</v>
      </c>
      <c r="M642" s="29" t="n">
        <f aca="false">IF(L642=1,J642-Carry!$B$9/Inputs!$B$16,I642)</f>
        <v>-0.003224589884951</v>
      </c>
      <c r="N642" s="0" t="n">
        <v>0.055</v>
      </c>
      <c r="O642" s="0" t="n">
        <v>0.0002</v>
      </c>
      <c r="P642" s="29" t="n">
        <f aca="false">D642-('2 Hedge ratio'!$B$6+'2 Hedge ratio'!$B$5*E642)</f>
        <v>-0.00357235340940321</v>
      </c>
      <c r="Q642" s="29" t="n">
        <f aca="false">D642-('5 Re-specification'!$B$7+'5 Re-specification'!$B$5*E642+'5 Re-specification'!$B$6*F642)</f>
        <v>-0.00347883732528587</v>
      </c>
      <c r="R642" s="30" t="n">
        <f aca="false">MIN(F642,Inputs!$B$9)</f>
        <v>250</v>
      </c>
      <c r="S642" s="29" t="n">
        <f aca="true">IF(AND(F642&gt;=1,R642&gt;=Inputs!$B$10),INDEX(LINEST(OFFSET(D642,-R642,0,R642,1),OFFSET(E642,-R642,0,R642,2)),1,1),"")</f>
        <v>-5.53631664187576E-005</v>
      </c>
      <c r="T642" s="29" t="n">
        <f aca="true">IF(AND(F642&gt;=1,R642&gt;=Inputs!$B$10),INDEX(LINEST(OFFSET(D642,-R642,0,R642,1),OFFSET(E642,-R642,0,R642,2)),1,2),"")</f>
        <v>1.0081014084052</v>
      </c>
      <c r="U642" s="29" t="n">
        <f aca="true">IF(AND(F642&gt;=1,R642&gt;=Inputs!$B$10),INDEX(LINEST(OFFSET(D642,-R642,0,R642,1),OFFSET(E642,-R642,0,R642,2)),1,3),"")</f>
        <v>4.47424822529624</v>
      </c>
      <c r="V642" s="29" t="n">
        <f aca="true">IF(AND(F642&gt;=1,R642&gt;=Inputs!$B$10),SQRT(SUMPRODUCT((OFFSET(D642,-R642,0,R642,1)-U642-T642*OFFSET(E642,-R642,0,R642,1)-S642*OFFSET(F642,-R642,0,R642,1))^2)/(R642-3)),"")</f>
        <v>0.00239525057326237</v>
      </c>
      <c r="W642" s="31" t="n">
        <f aca="false">IF(AND(F642&gt;=1,R642&gt;=Inputs!$B$10),(D642-U642-T642*E642-S642*F642)/V642,"")</f>
        <v>-1.29558071709971</v>
      </c>
      <c r="X642" s="30" t="n">
        <f aca="false">IF(AB641&lt;&gt;0,AC641+1,0)</f>
        <v>0</v>
      </c>
      <c r="Y642" s="30" t="n">
        <f aca="false">IF(W642="",0,IF(AND(AB641&lt;&gt;0,OR(ABS(W642)&gt;Inputs!$B$7,X642&gt;=Inputs!$B$8,ABS(W642)&lt;Inputs!$B$6)),1,0))</f>
        <v>0</v>
      </c>
      <c r="Z642" s="30" t="n">
        <f aca="false">IF(Y642=1,0,AB641)</f>
        <v>0</v>
      </c>
      <c r="AA642" s="30" t="n">
        <f aca="false">IF(W642="",0,IF(AND(Z642=0,ABS(W642)&gt;Inputs!$B$5,ABS(W642)&lt;=Inputs!$B$7),1,0))</f>
        <v>0</v>
      </c>
      <c r="AB642" s="30" t="n">
        <f aca="false">IF(W642="",0,IF(AA642=1,-SIGN(W642),Z642))</f>
        <v>0</v>
      </c>
      <c r="AC642" s="30" t="n">
        <f aca="false">IF(W642="",0,IF(AA642=1,0,IF(Y642=1,0,X642)))</f>
        <v>0</v>
      </c>
      <c r="AD642" s="30" t="n">
        <f aca="false">IF(AB642=0,0,IF(AB641=AB642,AD641,T642))</f>
        <v>0</v>
      </c>
      <c r="AE642" s="30" t="n">
        <f aca="false">AB642-AB641</f>
        <v>0</v>
      </c>
      <c r="AF642" s="30" t="n">
        <f aca="false">-AD642*AB642</f>
        <v>-0</v>
      </c>
      <c r="AG642" s="30" t="n">
        <f aca="false">AF642-AF641</f>
        <v>0</v>
      </c>
      <c r="AH642" s="30" t="n">
        <f aca="false">MAX(AE642,0)*(Inputs!$B$17+Inputs!$B$18+Inputs!$B$19)+MAX(-AE642,0)*(O642+Inputs!$B$18+Inputs!$B$19)+IF(AND(K642=1,AB642&lt;&gt;0),(Inputs!$B$17+Inputs!$B$18+Inputs!$B$19)+(O642+Inputs!$B$18+Inputs!$B$19),0)+MAX(AG642,0)*(Inputs!$B$20+Inputs!$B$22+Inputs!$B$23)+MAX(-AG642,0)*(Inputs!$B$21+Inputs!$B$22+Inputs!$B$23)</f>
        <v>0</v>
      </c>
      <c r="AI642" s="30" t="n">
        <f aca="false">AB641*(M642-AD641*J642)+AB641*AD641*N642/Inputs!$B$16-AH642</f>
        <v>0</v>
      </c>
      <c r="AJ642" s="30" t="n">
        <f aca="false">MAX(AE642,0)*(Inputs!$B$17+Inputs!$B$24+Inputs!$B$25)+MAX(-AE642,0)*(O642+Inputs!$B$24+Inputs!$B$25)+IF(AND(K642=1,AB642&lt;&gt;0),(Inputs!$B$17+Inputs!$B$24+Inputs!$B$25)+(O642+Inputs!$B$24+Inputs!$B$25),0)+MAX(AG642,0)*(Inputs!$B$20+Inputs!$B$26+Inputs!$B$27)+MAX(-AG642,0)*(Inputs!$B$21+Inputs!$B$26+Inputs!$B$27)</f>
        <v>0</v>
      </c>
      <c r="AK642" s="30" t="n">
        <f aca="false">AB641*(M642-AD641*J642)+AB641*AD641*(N642+Inputs!$B$14)/Inputs!$B$16-AJ642</f>
        <v>0</v>
      </c>
      <c r="AL642" s="30" t="n">
        <f aca="false">IF(AP641&lt;&gt;0,AQ641+1,0)</f>
        <v>0</v>
      </c>
      <c r="AM642" s="30" t="n">
        <f aca="false">IF(W642="",0,IF(AND(AP641&lt;&gt;0,OR(ABS(W642)&gt;Inputs!$B$7,AL642&gt;=Inputs!$B$8,ABS(W642)&lt;Inputs!$B$6)),1,0))</f>
        <v>0</v>
      </c>
      <c r="AN642" s="30" t="n">
        <f aca="false">IF(AM642=1,0,AP641)</f>
        <v>0</v>
      </c>
      <c r="AO642" s="30" t="n">
        <f aca="false">IF(W642="",0,IF(AND(AN642=0,ABS(W642)&gt;Inputs!$B$5,ABS(W642)&lt;=Inputs!$B$7,W642&gt;0),1,0))</f>
        <v>0</v>
      </c>
      <c r="AP642" s="30" t="n">
        <f aca="false">IF(W642="",0,IF(AO642=1,-SIGN(W642),AN642))</f>
        <v>0</v>
      </c>
      <c r="AQ642" s="30" t="n">
        <f aca="false">IF(W642="",0,IF(AO642=1,0,IF(AM642=1,0,AL642)))</f>
        <v>0</v>
      </c>
      <c r="AR642" s="30" t="n">
        <f aca="false">IF(AP642=0,0,IF(AP641=AP642,AR641,T642))</f>
        <v>0</v>
      </c>
      <c r="AS642" s="30" t="n">
        <f aca="false">AP642-AP641</f>
        <v>0</v>
      </c>
      <c r="AT642" s="30" t="n">
        <f aca="false">-AR642*AP642</f>
        <v>-0</v>
      </c>
      <c r="AU642" s="30" t="n">
        <f aca="false">AT642-AT641</f>
        <v>0</v>
      </c>
      <c r="AV642" s="30" t="n">
        <f aca="false">MAX(AS642,0)*(Inputs!$B$17+Inputs!$B$18+Inputs!$B$19)+MAX(-AS642,0)*(O642+Inputs!$B$18+Inputs!$B$19)+IF(AND(K642=1,AP642&lt;&gt;0),(Inputs!$B$17+Inputs!$B$18+Inputs!$B$19)+(O642+Inputs!$B$18+Inputs!$B$19),0)+MAX(AU642,0)*(Inputs!$B$20+Inputs!$B$22+Inputs!$B$23)+MAX(-AU642,0)*(Inputs!$B$21+Inputs!$B$22+Inputs!$B$23)</f>
        <v>0</v>
      </c>
      <c r="AW642" s="30" t="n">
        <f aca="false">AP641*(M642-AR641*J642)+AP641*AR641*N642/Inputs!$B$16-AV642</f>
        <v>0</v>
      </c>
      <c r="AX642" s="30" t="n">
        <f aca="false">AW642-IF(AP641&lt;&gt;0,0.75*AR641*(Inputs!$B$13-N642)/Inputs!$B$16,0)</f>
        <v>0</v>
      </c>
      <c r="AY642" s="30" t="n">
        <f aca="false">MAX(AS642,0)*(Inputs!$B$17+Inputs!$B$18+Inputs!$B$19)+MAX(-AS642,0)*(O642+Inputs!$B$18+Inputs!$B$19)+IF(AND(K642=1,AP642&lt;&gt;0),(Inputs!$B$17+Inputs!$B$18+Inputs!$B$19)+(O642+Inputs!$B$18+Inputs!$B$19),0)</f>
        <v>0</v>
      </c>
      <c r="AZ642" s="30" t="n">
        <f aca="false">AP641*M642-AY642</f>
        <v>-0</v>
      </c>
      <c r="BA642" s="32" t="n">
        <f aca="false">BA641+AI642</f>
        <v>0.0081476582830333</v>
      </c>
      <c r="BB642" s="30" t="n">
        <f aca="false">MAX(BB641,BA642)</f>
        <v>0.0108065678336457</v>
      </c>
      <c r="BC642" s="32" t="n">
        <f aca="false">BA642-BB642</f>
        <v>-0.00265890955061237</v>
      </c>
      <c r="BD642" s="30" t="n">
        <f aca="false">A643-A642</f>
        <v>1</v>
      </c>
    </row>
    <row r="643" customFormat="false" ht="15" hidden="false" customHeight="false" outlineLevel="0" collapsed="false">
      <c r="A643" s="28" t="n">
        <v>45987</v>
      </c>
      <c r="B643" s="0" t="n">
        <v>26390</v>
      </c>
      <c r="C643" s="0" t="n">
        <v>296.17</v>
      </c>
      <c r="D643" s="29" t="n">
        <f aca="false">LN(B643)</f>
        <v>10.1807404294974</v>
      </c>
      <c r="E643" s="29" t="n">
        <f aca="false">LN(C643)</f>
        <v>5.69093361378729</v>
      </c>
      <c r="F643" s="0" t="n">
        <v>638</v>
      </c>
      <c r="G643" s="0" t="n">
        <v>34</v>
      </c>
      <c r="H643" s="29" t="n">
        <f aca="false">D643-E643</f>
        <v>4.48980681571008</v>
      </c>
      <c r="I643" s="29" t="n">
        <f aca="false">D643-D642</f>
        <v>0.0193601333202125</v>
      </c>
      <c r="J643" s="29" t="n">
        <f aca="false">E643-E642</f>
        <v>0.0114438317001335</v>
      </c>
      <c r="K643" s="0" t="n">
        <v>0</v>
      </c>
      <c r="L643" s="0" t="n">
        <v>1</v>
      </c>
      <c r="M643" s="29" t="n">
        <f aca="false">IF(L643=1,J643-Carry!$B$9/Inputs!$B$16,I643)</f>
        <v>0.0111843735184124</v>
      </c>
      <c r="N643" s="0" t="n">
        <v>0.055</v>
      </c>
      <c r="O643" s="0" t="n">
        <v>0.0002</v>
      </c>
      <c r="P643" s="29" t="n">
        <f aca="false">D643-('2 Hedge ratio'!$B$6+'2 Hedge ratio'!$B$5*E643)</f>
        <v>0.00530377946200034</v>
      </c>
      <c r="Q643" s="29" t="n">
        <f aca="false">D643-('5 Re-specification'!$B$7+'5 Re-specification'!$B$5*E643+'5 Re-specification'!$B$6*F643)</f>
        <v>0.00451707414509883</v>
      </c>
      <c r="R643" s="30" t="n">
        <f aca="false">MIN(F643,Inputs!$B$9)</f>
        <v>250</v>
      </c>
      <c r="S643" s="29" t="n">
        <f aca="true">IF(AND(F643&gt;=1,R643&gt;=Inputs!$B$10),INDEX(LINEST(OFFSET(D643,-R643,0,R643,1),OFFSET(E643,-R643,0,R643,2)),1,1),"")</f>
        <v>-5.6006319801104E-005</v>
      </c>
      <c r="T643" s="29" t="n">
        <f aca="true">IF(AND(F643&gt;=1,R643&gt;=Inputs!$B$10),INDEX(LINEST(OFFSET(D643,-R643,0,R643,1),OFFSET(E643,-R643,0,R643,2)),1,2),"")</f>
        <v>1.00835980732837</v>
      </c>
      <c r="U643" s="29" t="n">
        <f aca="true">IF(AND(F643&gt;=1,R643&gt;=Inputs!$B$10),INDEX(LINEST(OFFSET(D643,-R643,0,R643,1),OFFSET(E643,-R643,0,R643,2)),1,3),"")</f>
        <v>4.47312448761523</v>
      </c>
      <c r="V643" s="29" t="n">
        <f aca="true">IF(AND(F643&gt;=1,R643&gt;=Inputs!$B$10),SQRT(SUMPRODUCT((OFFSET(D643,-R643,0,R643,1)-U643-T643*OFFSET(E643,-R643,0,R643,1)-S643*OFFSET(F643,-R643,0,R643,1))^2)/(R643-3)),"")</f>
        <v>0.00239844867584106</v>
      </c>
      <c r="W643" s="31" t="n">
        <f aca="false">IF(AND(F643&gt;=1,R643&gt;=Inputs!$B$10),(D643-U643-T643*E643-S643*F643)/V643,"")</f>
        <v>2.01765901722949</v>
      </c>
      <c r="X643" s="30" t="n">
        <f aca="false">IF(AB642&lt;&gt;0,AC642+1,0)</f>
        <v>0</v>
      </c>
      <c r="Y643" s="30" t="n">
        <f aca="false">IF(W643="",0,IF(AND(AB642&lt;&gt;0,OR(ABS(W643)&gt;Inputs!$B$7,X643&gt;=Inputs!$B$8,ABS(W643)&lt;Inputs!$B$6)),1,0))</f>
        <v>0</v>
      </c>
      <c r="Z643" s="30" t="n">
        <f aca="false">IF(Y643=1,0,AB642)</f>
        <v>0</v>
      </c>
      <c r="AA643" s="30" t="n">
        <f aca="false">IF(W643="",0,IF(AND(Z643=0,ABS(W643)&gt;Inputs!$B$5,ABS(W643)&lt;=Inputs!$B$7),1,0))</f>
        <v>1</v>
      </c>
      <c r="AB643" s="30" t="n">
        <f aca="false">IF(W643="",0,IF(AA643=1,-SIGN(W643),Z643))</f>
        <v>-1</v>
      </c>
      <c r="AC643" s="30" t="n">
        <f aca="false">IF(W643="",0,IF(AA643=1,0,IF(Y643=1,0,X643)))</f>
        <v>0</v>
      </c>
      <c r="AD643" s="29" t="n">
        <f aca="false">IF(AB643=0,0,IF(AB642=AB643,AD642,T643))</f>
        <v>1.00835980732837</v>
      </c>
      <c r="AE643" s="30" t="n">
        <f aca="false">AB643-AB642</f>
        <v>-1</v>
      </c>
      <c r="AF643" s="30" t="n">
        <f aca="false">-AD643*AB643</f>
        <v>1.00835980732837</v>
      </c>
      <c r="AG643" s="30" t="n">
        <f aca="false">AF643-AF642</f>
        <v>1.00835980732837</v>
      </c>
      <c r="AH643" s="30" t="n">
        <f aca="false">MAX(AE643,0)*(Inputs!$B$17+Inputs!$B$18+Inputs!$B$19)+MAX(-AE643,0)*(O643+Inputs!$B$18+Inputs!$B$19)+IF(AND(K643=1,AB643&lt;&gt;0),(Inputs!$B$17+Inputs!$B$18+Inputs!$B$19)+(O643+Inputs!$B$18+Inputs!$B$19),0)+MAX(AG643,0)*(Inputs!$B$20+Inputs!$B$22+Inputs!$B$23)+MAX(-AG643,0)*(Inputs!$B$21+Inputs!$B$22+Inputs!$B$23)</f>
        <v>0.000687925932564928</v>
      </c>
      <c r="AI643" s="30" t="n">
        <f aca="false">AB642*(M643-AD642*J643)+AB642*AD642*N643/Inputs!$B$16-AH643</f>
        <v>-0.000687925932564928</v>
      </c>
      <c r="AJ643" s="30" t="n">
        <f aca="false">MAX(AE643,0)*(Inputs!$B$17+Inputs!$B$24+Inputs!$B$25)+MAX(-AE643,0)*(O643+Inputs!$B$24+Inputs!$B$25)+IF(AND(K643=1,AB643&lt;&gt;0),(Inputs!$B$17+Inputs!$B$24+Inputs!$B$25)+(O643+Inputs!$B$24+Inputs!$B$25),0)+MAX(AG643,0)*(Inputs!$B$20+Inputs!$B$26+Inputs!$B$27)+MAX(-AG643,0)*(Inputs!$B$21+Inputs!$B$26+Inputs!$B$27)</f>
        <v>0.000527131750868733</v>
      </c>
      <c r="AK643" s="30" t="n">
        <f aca="false">AB642*(M643-AD642*J643)+AB642*AD642*(N643+Inputs!$B$14)/Inputs!$B$16-AJ643</f>
        <v>-0.000527131750868733</v>
      </c>
      <c r="AL643" s="30" t="n">
        <f aca="false">IF(AP642&lt;&gt;0,AQ642+1,0)</f>
        <v>0</v>
      </c>
      <c r="AM643" s="30" t="n">
        <f aca="false">IF(W643="",0,IF(AND(AP642&lt;&gt;0,OR(ABS(W643)&gt;Inputs!$B$7,AL643&gt;=Inputs!$B$8,ABS(W643)&lt;Inputs!$B$6)),1,0))</f>
        <v>0</v>
      </c>
      <c r="AN643" s="30" t="n">
        <f aca="false">IF(AM643=1,0,AP642)</f>
        <v>0</v>
      </c>
      <c r="AO643" s="30" t="n">
        <f aca="false">IF(W643="",0,IF(AND(AN643=0,ABS(W643)&gt;Inputs!$B$5,ABS(W643)&lt;=Inputs!$B$7,W643&gt;0),1,0))</f>
        <v>1</v>
      </c>
      <c r="AP643" s="30" t="n">
        <f aca="false">IF(W643="",0,IF(AO643=1,-SIGN(W643),AN643))</f>
        <v>-1</v>
      </c>
      <c r="AQ643" s="30" t="n">
        <f aca="false">IF(W643="",0,IF(AO643=1,0,IF(AM643=1,0,AL643)))</f>
        <v>0</v>
      </c>
      <c r="AR643" s="29" t="n">
        <f aca="false">IF(AP643=0,0,IF(AP642=AP643,AR642,T643))</f>
        <v>1.00835980732837</v>
      </c>
      <c r="AS643" s="30" t="n">
        <f aca="false">AP643-AP642</f>
        <v>-1</v>
      </c>
      <c r="AT643" s="30" t="n">
        <f aca="false">-AR643*AP643</f>
        <v>1.00835980732837</v>
      </c>
      <c r="AU643" s="30" t="n">
        <f aca="false">AT643-AT642</f>
        <v>1.00835980732837</v>
      </c>
      <c r="AV643" s="30" t="n">
        <f aca="false">MAX(AS643,0)*(Inputs!$B$17+Inputs!$B$18+Inputs!$B$19)+MAX(-AS643,0)*(O643+Inputs!$B$18+Inputs!$B$19)+IF(AND(K643=1,AP643&lt;&gt;0),(Inputs!$B$17+Inputs!$B$18+Inputs!$B$19)+(O643+Inputs!$B$18+Inputs!$B$19),0)+MAX(AU643,0)*(Inputs!$B$20+Inputs!$B$22+Inputs!$B$23)+MAX(-AU643,0)*(Inputs!$B$21+Inputs!$B$22+Inputs!$B$23)</f>
        <v>0.000687925932564928</v>
      </c>
      <c r="AW643" s="30" t="n">
        <f aca="false">AP642*(M643-AR642*J643)+AP642*AR642*N643/Inputs!$B$16-AV643</f>
        <v>-0.000687925932564928</v>
      </c>
      <c r="AX643" s="30" t="n">
        <f aca="false">AW643-IF(AP642&lt;&gt;0,0.75*AR642*(Inputs!$B$13-N643)/Inputs!$B$16,0)</f>
        <v>-0.000687925932564928</v>
      </c>
      <c r="AY643" s="30" t="n">
        <f aca="false">MAX(AS643,0)*(Inputs!$B$17+Inputs!$B$18+Inputs!$B$19)+MAX(-AS643,0)*(O643+Inputs!$B$18+Inputs!$B$19)+IF(AND(K643=1,AP643&lt;&gt;0),(Inputs!$B$17+Inputs!$B$18+Inputs!$B$19)+(O643+Inputs!$B$18+Inputs!$B$19),0)</f>
        <v>0.000335</v>
      </c>
      <c r="AZ643" s="30" t="n">
        <f aca="false">AP642*M643-AY643</f>
        <v>-0.000335</v>
      </c>
      <c r="BA643" s="32" t="n">
        <f aca="false">BA642+AI643</f>
        <v>0.00745973235046837</v>
      </c>
      <c r="BB643" s="30" t="n">
        <f aca="false">MAX(BB642,BA643)</f>
        <v>0.0108065678336457</v>
      </c>
      <c r="BC643" s="32" t="n">
        <f aca="false">BA643-BB643</f>
        <v>-0.0033468354831773</v>
      </c>
      <c r="BD643" s="30" t="n">
        <f aca="false">A644-A643</f>
        <v>1</v>
      </c>
    </row>
    <row r="644" customFormat="false" ht="15" hidden="false" customHeight="false" outlineLevel="0" collapsed="false">
      <c r="A644" s="28" t="n">
        <v>45988</v>
      </c>
      <c r="B644" s="0" t="n">
        <v>26395</v>
      </c>
      <c r="C644" s="0" t="n">
        <v>296.6</v>
      </c>
      <c r="D644" s="29" t="n">
        <f aca="false">LN(B644)</f>
        <v>10.1809298772577</v>
      </c>
      <c r="E644" s="29" t="n">
        <f aca="false">LN(C644)</f>
        <v>5.69238442970383</v>
      </c>
      <c r="F644" s="0" t="n">
        <v>639</v>
      </c>
      <c r="G644" s="0" t="n">
        <v>33</v>
      </c>
      <c r="H644" s="29" t="n">
        <f aca="false">D644-E644</f>
        <v>4.48854544755388</v>
      </c>
      <c r="I644" s="29" t="n">
        <f aca="false">D644-D643</f>
        <v>0.000189447760346795</v>
      </c>
      <c r="J644" s="29" t="n">
        <f aca="false">E644-E643</f>
        <v>0.0014508159165425</v>
      </c>
      <c r="K644" s="0" t="n">
        <v>0</v>
      </c>
      <c r="L644" s="0" t="n">
        <v>0</v>
      </c>
      <c r="M644" s="29" t="n">
        <f aca="false">IF(L644=1,J644-Carry!$B$9/Inputs!$B$16,I644)</f>
        <v>0.000189447760346795</v>
      </c>
      <c r="N644" s="0" t="n">
        <v>0.055</v>
      </c>
      <c r="O644" s="0" t="n">
        <v>0.0002</v>
      </c>
      <c r="P644" s="29" t="n">
        <f aca="false">D644-('2 Hedge ratio'!$B$6+'2 Hedge ratio'!$B$5*E644)</f>
        <v>0.0041640959384619</v>
      </c>
      <c r="Q644" s="29" t="n">
        <f aca="false">D644-('5 Re-specification'!$B$7+'5 Re-specification'!$B$5*E644+'5 Re-specification'!$B$6*F644)</f>
        <v>0.00330503200466659</v>
      </c>
      <c r="R644" s="30" t="n">
        <f aca="false">MIN(F644,Inputs!$B$9)</f>
        <v>250</v>
      </c>
      <c r="S644" s="29" t="n">
        <f aca="true">IF(AND(F644&gt;=1,R644&gt;=Inputs!$B$10),INDEX(LINEST(OFFSET(D644,-R644,0,R644,1),OFFSET(E644,-R644,0,R644,2)),1,1),"")</f>
        <v>-5.65192107165095E-005</v>
      </c>
      <c r="T644" s="29" t="n">
        <f aca="true">IF(AND(F644&gt;=1,R644&gt;=Inputs!$B$10),INDEX(LINEST(OFFSET(D644,-R644,0,R644,1),OFFSET(E644,-R644,0,R644,2)),1,2),"")</f>
        <v>1.00973437024105</v>
      </c>
      <c r="U644" s="29" t="n">
        <f aca="true">IF(AND(F644&gt;=1,R644&gt;=Inputs!$B$10),INDEX(LINEST(OFFSET(D644,-R644,0,R644,1),OFFSET(E644,-R644,0,R644,2)),1,3),"")</f>
        <v>4.46570522665987</v>
      </c>
      <c r="V644" s="29" t="n">
        <f aca="true">IF(AND(F644&gt;=1,R644&gt;=Inputs!$B$10),SQRT(SUMPRODUCT((OFFSET(D644,-R644,0,R644,1)-U644-T644*OFFSET(E644,-R644,0,R644,1)-S644*OFFSET(F644,-R644,0,R644,1))^2)/(R644-3)),"")</f>
        <v>0.00240815447148094</v>
      </c>
      <c r="W644" s="31" t="n">
        <f aca="false">IF(AND(F644&gt;=1,R644&gt;=Inputs!$B$10),(D644-U644-T644*E644-S644*F644)/V644,"")</f>
        <v>1.47175731070707</v>
      </c>
      <c r="X644" s="30" t="n">
        <f aca="false">IF(AB643&lt;&gt;0,AC643+1,0)</f>
        <v>1</v>
      </c>
      <c r="Y644" s="30" t="n">
        <f aca="false">IF(W644="",0,IF(AND(AB643&lt;&gt;0,OR(ABS(W644)&gt;Inputs!$B$7,X644&gt;=Inputs!$B$8,ABS(W644)&lt;Inputs!$B$6)),1,0))</f>
        <v>0</v>
      </c>
      <c r="Z644" s="30" t="n">
        <f aca="false">IF(Y644=1,0,AB643)</f>
        <v>-1</v>
      </c>
      <c r="AA644" s="30" t="n">
        <f aca="false">IF(W644="",0,IF(AND(Z644=0,ABS(W644)&gt;Inputs!$B$5,ABS(W644)&lt;=Inputs!$B$7),1,0))</f>
        <v>0</v>
      </c>
      <c r="AB644" s="30" t="n">
        <f aca="false">IF(W644="",0,IF(AA644=1,-SIGN(W644),Z644))</f>
        <v>-1</v>
      </c>
      <c r="AC644" s="30" t="n">
        <f aca="false">IF(W644="",0,IF(AA644=1,0,IF(Y644=1,0,X644)))</f>
        <v>1</v>
      </c>
      <c r="AD644" s="29" t="n">
        <f aca="false">IF(AB644=0,0,IF(AB643=AB644,AD643,T644))</f>
        <v>1.00835980732837</v>
      </c>
      <c r="AE644" s="30" t="n">
        <f aca="false">AB644-AB643</f>
        <v>0</v>
      </c>
      <c r="AF644" s="30" t="n">
        <f aca="false">-AD644*AB644</f>
        <v>1.00835980732837</v>
      </c>
      <c r="AG644" s="30" t="n">
        <f aca="false">AF644-AF643</f>
        <v>0</v>
      </c>
      <c r="AH644" s="30" t="n">
        <f aca="false">MAX(AE644,0)*(Inputs!$B$17+Inputs!$B$18+Inputs!$B$19)+MAX(-AE644,0)*(O644+Inputs!$B$18+Inputs!$B$19)+IF(AND(K644=1,AB644&lt;&gt;0),(Inputs!$B$17+Inputs!$B$18+Inputs!$B$19)+(O644+Inputs!$B$18+Inputs!$B$19),0)+MAX(AG644,0)*(Inputs!$B$20+Inputs!$B$22+Inputs!$B$23)+MAX(-AG644,0)*(Inputs!$B$21+Inputs!$B$22+Inputs!$B$23)</f>
        <v>0</v>
      </c>
      <c r="AI644" s="30" t="n">
        <f aca="false">AB643*(M644-AD643*J644)+AB643*AD643*N644/Inputs!$B$16-AH644</f>
        <v>0.00105341816834971</v>
      </c>
      <c r="AJ644" s="30" t="n">
        <f aca="false">MAX(AE644,0)*(Inputs!$B$17+Inputs!$B$24+Inputs!$B$25)+MAX(-AE644,0)*(O644+Inputs!$B$24+Inputs!$B$25)+IF(AND(K644=1,AB644&lt;&gt;0),(Inputs!$B$17+Inputs!$B$24+Inputs!$B$25)+(O644+Inputs!$B$24+Inputs!$B$25),0)+MAX(AG644,0)*(Inputs!$B$20+Inputs!$B$26+Inputs!$B$27)+MAX(-AG644,0)*(Inputs!$B$21+Inputs!$B$26+Inputs!$B$27)</f>
        <v>0</v>
      </c>
      <c r="AK644" s="30" t="n">
        <f aca="false">AB643*(M644-AD643*J644)+AB643*AD643*(N644+Inputs!$B$14)/Inputs!$B$16-AJ644</f>
        <v>0.00102340745979827</v>
      </c>
      <c r="AL644" s="30" t="n">
        <f aca="false">IF(AP643&lt;&gt;0,AQ643+1,0)</f>
        <v>1</v>
      </c>
      <c r="AM644" s="30" t="n">
        <f aca="false">IF(W644="",0,IF(AND(AP643&lt;&gt;0,OR(ABS(W644)&gt;Inputs!$B$7,AL644&gt;=Inputs!$B$8,ABS(W644)&lt;Inputs!$B$6)),1,0))</f>
        <v>0</v>
      </c>
      <c r="AN644" s="30" t="n">
        <f aca="false">IF(AM644=1,0,AP643)</f>
        <v>-1</v>
      </c>
      <c r="AO644" s="30" t="n">
        <f aca="false">IF(W644="",0,IF(AND(AN644=0,ABS(W644)&gt;Inputs!$B$5,ABS(W644)&lt;=Inputs!$B$7,W644&gt;0),1,0))</f>
        <v>0</v>
      </c>
      <c r="AP644" s="30" t="n">
        <f aca="false">IF(W644="",0,IF(AO644=1,-SIGN(W644),AN644))</f>
        <v>-1</v>
      </c>
      <c r="AQ644" s="30" t="n">
        <f aca="false">IF(W644="",0,IF(AO644=1,0,IF(AM644=1,0,AL644)))</f>
        <v>1</v>
      </c>
      <c r="AR644" s="29" t="n">
        <f aca="false">IF(AP644=0,0,IF(AP643=AP644,AR643,T644))</f>
        <v>1.00835980732837</v>
      </c>
      <c r="AS644" s="30" t="n">
        <f aca="false">AP644-AP643</f>
        <v>0</v>
      </c>
      <c r="AT644" s="30" t="n">
        <f aca="false">-AR644*AP644</f>
        <v>1.00835980732837</v>
      </c>
      <c r="AU644" s="30" t="n">
        <f aca="false">AT644-AT643</f>
        <v>0</v>
      </c>
      <c r="AV644" s="30" t="n">
        <f aca="false">MAX(AS644,0)*(Inputs!$B$17+Inputs!$B$18+Inputs!$B$19)+MAX(-AS644,0)*(O644+Inputs!$B$18+Inputs!$B$19)+IF(AND(K644=1,AP644&lt;&gt;0),(Inputs!$B$17+Inputs!$B$18+Inputs!$B$19)+(O644+Inputs!$B$18+Inputs!$B$19),0)+MAX(AU644,0)*(Inputs!$B$20+Inputs!$B$22+Inputs!$B$23)+MAX(-AU644,0)*(Inputs!$B$21+Inputs!$B$22+Inputs!$B$23)</f>
        <v>0</v>
      </c>
      <c r="AW644" s="30" t="n">
        <f aca="false">AP643*(M644-AR643*J644)+AP643*AR643*N644/Inputs!$B$16-AV644</f>
        <v>0.00105341816834971</v>
      </c>
      <c r="AX644" s="30" t="n">
        <f aca="false">AW644-IF(AP643&lt;&gt;0,0.75*AR643*(Inputs!$B$13-N644)/Inputs!$B$16,0)</f>
        <v>0.000798327145662472</v>
      </c>
      <c r="AY644" s="30" t="n">
        <f aca="false">MAX(AS644,0)*(Inputs!$B$17+Inputs!$B$18+Inputs!$B$19)+MAX(-AS644,0)*(O644+Inputs!$B$18+Inputs!$B$19)+IF(AND(K644=1,AP644&lt;&gt;0),(Inputs!$B$17+Inputs!$B$18+Inputs!$B$19)+(O644+Inputs!$B$18+Inputs!$B$19),0)</f>
        <v>0</v>
      </c>
      <c r="AZ644" s="30" t="n">
        <f aca="false">AP643*M644-AY644</f>
        <v>-0.000189447760346795</v>
      </c>
      <c r="BA644" s="32" t="n">
        <f aca="false">BA643+AI644</f>
        <v>0.00851315051881808</v>
      </c>
      <c r="BB644" s="30" t="n">
        <f aca="false">MAX(BB643,BA644)</f>
        <v>0.0108065678336457</v>
      </c>
      <c r="BC644" s="32" t="n">
        <f aca="false">BA644-BB644</f>
        <v>-0.00229341731482759</v>
      </c>
      <c r="BD644" s="30" t="n">
        <f aca="false">A645-A644</f>
        <v>1</v>
      </c>
    </row>
    <row r="645" customFormat="false" ht="15" hidden="false" customHeight="false" outlineLevel="0" collapsed="false">
      <c r="A645" s="28" t="n">
        <v>45989</v>
      </c>
      <c r="B645" s="0" t="n">
        <v>26396</v>
      </c>
      <c r="C645" s="0" t="n">
        <v>296.46</v>
      </c>
      <c r="D645" s="29" t="n">
        <f aca="false">LN(B645)</f>
        <v>10.1809677625033</v>
      </c>
      <c r="E645" s="29" t="n">
        <f aca="false">LN(C645)</f>
        <v>5.69191230208571</v>
      </c>
      <c r="F645" s="0" t="n">
        <v>640</v>
      </c>
      <c r="G645" s="0" t="n">
        <v>32</v>
      </c>
      <c r="H645" s="29" t="n">
        <f aca="false">D645-E645</f>
        <v>4.4890554604176</v>
      </c>
      <c r="I645" s="29" t="n">
        <f aca="false">D645-D644</f>
        <v>3.78852455966694E-005</v>
      </c>
      <c r="J645" s="29" t="n">
        <f aca="false">E645-E644</f>
        <v>-0.000472127618118989</v>
      </c>
      <c r="K645" s="0" t="n">
        <v>0</v>
      </c>
      <c r="L645" s="0" t="n">
        <v>0</v>
      </c>
      <c r="M645" s="29" t="n">
        <f aca="false">IF(L645=1,J645-Carry!$B$9/Inputs!$B$16,I645)</f>
        <v>3.78852455966694E-005</v>
      </c>
      <c r="N645" s="0" t="n">
        <v>0.055</v>
      </c>
      <c r="O645" s="0" t="n">
        <v>0.0002</v>
      </c>
      <c r="P645" s="29" t="n">
        <f aca="false">D645-('2 Hedge ratio'!$B$6+'2 Hedge ratio'!$B$5*E645)</f>
        <v>0.00463450992879722</v>
      </c>
      <c r="Q645" s="29" t="n">
        <f aca="false">D645-('5 Re-specification'!$B$7+'5 Re-specification'!$B$5*E645+'5 Re-specification'!$B$6*F645)</f>
        <v>0.00385854340372127</v>
      </c>
      <c r="R645" s="30" t="n">
        <f aca="false">MIN(F645,Inputs!$B$9)</f>
        <v>250</v>
      </c>
      <c r="S645" s="29" t="n">
        <f aca="true">IF(AND(F645&gt;=1,R645&gt;=Inputs!$B$10),INDEX(LINEST(OFFSET(D645,-R645,0,R645,1),OFFSET(E645,-R645,0,R645,2)),1,1),"")</f>
        <v>-5.73559900165584E-005</v>
      </c>
      <c r="T645" s="29" t="n">
        <f aca="true">IF(AND(F645&gt;=1,R645&gt;=Inputs!$B$10),INDEX(LINEST(OFFSET(D645,-R645,0,R645,1),OFFSET(E645,-R645,0,R645,2)),1,2),"")</f>
        <v>1.01126533043847</v>
      </c>
      <c r="U645" s="29" t="n">
        <f aca="true">IF(AND(F645&gt;=1,R645&gt;=Inputs!$B$10),INDEX(LINEST(OFFSET(D645,-R645,0,R645,1),OFFSET(E645,-R645,0,R645,2)),1,3),"")</f>
        <v>4.457574336867</v>
      </c>
      <c r="V645" s="29" t="n">
        <f aca="true">IF(AND(F645&gt;=1,R645&gt;=Inputs!$B$10),SQRT(SUMPRODUCT((OFFSET(D645,-R645,0,R645,1)-U645-T645*OFFSET(E645,-R645,0,R645,1)-S645*OFFSET(F645,-R645,0,R645,1))^2)/(R645-3)),"")</f>
        <v>0.00240064543418002</v>
      </c>
      <c r="W645" s="31" t="n">
        <f aca="false">IF(AND(F645&gt;=1,R645&gt;=Inputs!$B$10),(D645-U645-T645*E645-S645*F645)/V645,"")</f>
        <v>1.69441275811772</v>
      </c>
      <c r="X645" s="30" t="n">
        <f aca="false">IF(AB644&lt;&gt;0,AC644+1,0)</f>
        <v>2</v>
      </c>
      <c r="Y645" s="30" t="n">
        <f aca="false">IF(W645="",0,IF(AND(AB644&lt;&gt;0,OR(ABS(W645)&gt;Inputs!$B$7,X645&gt;=Inputs!$B$8,ABS(W645)&lt;Inputs!$B$6)),1,0))</f>
        <v>0</v>
      </c>
      <c r="Z645" s="30" t="n">
        <f aca="false">IF(Y645=1,0,AB644)</f>
        <v>-1</v>
      </c>
      <c r="AA645" s="30" t="n">
        <f aca="false">IF(W645="",0,IF(AND(Z645=0,ABS(W645)&gt;Inputs!$B$5,ABS(W645)&lt;=Inputs!$B$7),1,0))</f>
        <v>0</v>
      </c>
      <c r="AB645" s="30" t="n">
        <f aca="false">IF(W645="",0,IF(AA645=1,-SIGN(W645),Z645))</f>
        <v>-1</v>
      </c>
      <c r="AC645" s="30" t="n">
        <f aca="false">IF(W645="",0,IF(AA645=1,0,IF(Y645=1,0,X645)))</f>
        <v>2</v>
      </c>
      <c r="AD645" s="29" t="n">
        <f aca="false">IF(AB645=0,0,IF(AB644=AB645,AD644,T645))</f>
        <v>1.00835980732837</v>
      </c>
      <c r="AE645" s="30" t="n">
        <f aca="false">AB645-AB644</f>
        <v>0</v>
      </c>
      <c r="AF645" s="30" t="n">
        <f aca="false">-AD645*AB645</f>
        <v>1.00835980732837</v>
      </c>
      <c r="AG645" s="30" t="n">
        <f aca="false">AF645-AF644</f>
        <v>0</v>
      </c>
      <c r="AH645" s="30" t="n">
        <f aca="false">MAX(AE645,0)*(Inputs!$B$17+Inputs!$B$18+Inputs!$B$19)+MAX(-AE645,0)*(O645+Inputs!$B$18+Inputs!$B$19)+IF(AND(K645=1,AB645&lt;&gt;0),(Inputs!$B$17+Inputs!$B$18+Inputs!$B$19)+(O645+Inputs!$B$18+Inputs!$B$19),0)+MAX(AG645,0)*(Inputs!$B$20+Inputs!$B$22+Inputs!$B$23)+MAX(-AG645,0)*(Inputs!$B$21+Inputs!$B$22+Inputs!$B$23)</f>
        <v>0</v>
      </c>
      <c r="AI645" s="30" t="n">
        <f aca="false">AB644*(M645-AD644*J645)+AB644*AD644*N645/Inputs!$B$16-AH645</f>
        <v>-0.000734038289014757</v>
      </c>
      <c r="AJ645" s="30" t="n">
        <f aca="false">MAX(AE645,0)*(Inputs!$B$17+Inputs!$B$24+Inputs!$B$25)+MAX(-AE645,0)*(O645+Inputs!$B$24+Inputs!$B$25)+IF(AND(K645=1,AB645&lt;&gt;0),(Inputs!$B$17+Inputs!$B$24+Inputs!$B$25)+(O645+Inputs!$B$24+Inputs!$B$25),0)+MAX(AG645,0)*(Inputs!$B$20+Inputs!$B$26+Inputs!$B$27)+MAX(-AG645,0)*(Inputs!$B$21+Inputs!$B$26+Inputs!$B$27)</f>
        <v>0</v>
      </c>
      <c r="AK645" s="30" t="n">
        <f aca="false">AB644*(M645-AD644*J645)+AB644*AD644*(N645+Inputs!$B$14)/Inputs!$B$16-AJ645</f>
        <v>-0.000764048997566196</v>
      </c>
      <c r="AL645" s="30" t="n">
        <f aca="false">IF(AP644&lt;&gt;0,AQ644+1,0)</f>
        <v>2</v>
      </c>
      <c r="AM645" s="30" t="n">
        <f aca="false">IF(W645="",0,IF(AND(AP644&lt;&gt;0,OR(ABS(W645)&gt;Inputs!$B$7,AL645&gt;=Inputs!$B$8,ABS(W645)&lt;Inputs!$B$6)),1,0))</f>
        <v>0</v>
      </c>
      <c r="AN645" s="30" t="n">
        <f aca="false">IF(AM645=1,0,AP644)</f>
        <v>-1</v>
      </c>
      <c r="AO645" s="30" t="n">
        <f aca="false">IF(W645="",0,IF(AND(AN645=0,ABS(W645)&gt;Inputs!$B$5,ABS(W645)&lt;=Inputs!$B$7,W645&gt;0),1,0))</f>
        <v>0</v>
      </c>
      <c r="AP645" s="30" t="n">
        <f aca="false">IF(W645="",0,IF(AO645=1,-SIGN(W645),AN645))</f>
        <v>-1</v>
      </c>
      <c r="AQ645" s="30" t="n">
        <f aca="false">IF(W645="",0,IF(AO645=1,0,IF(AM645=1,0,AL645)))</f>
        <v>2</v>
      </c>
      <c r="AR645" s="29" t="n">
        <f aca="false">IF(AP645=0,0,IF(AP644=AP645,AR644,T645))</f>
        <v>1.00835980732837</v>
      </c>
      <c r="AS645" s="30" t="n">
        <f aca="false">AP645-AP644</f>
        <v>0</v>
      </c>
      <c r="AT645" s="30" t="n">
        <f aca="false">-AR645*AP645</f>
        <v>1.00835980732837</v>
      </c>
      <c r="AU645" s="30" t="n">
        <f aca="false">AT645-AT644</f>
        <v>0</v>
      </c>
      <c r="AV645" s="30" t="n">
        <f aca="false">MAX(AS645,0)*(Inputs!$B$17+Inputs!$B$18+Inputs!$B$19)+MAX(-AS645,0)*(O645+Inputs!$B$18+Inputs!$B$19)+IF(AND(K645=1,AP645&lt;&gt;0),(Inputs!$B$17+Inputs!$B$18+Inputs!$B$19)+(O645+Inputs!$B$18+Inputs!$B$19),0)+MAX(AU645,0)*(Inputs!$B$20+Inputs!$B$22+Inputs!$B$23)+MAX(-AU645,0)*(Inputs!$B$21+Inputs!$B$22+Inputs!$B$23)</f>
        <v>0</v>
      </c>
      <c r="AW645" s="30" t="n">
        <f aca="false">AP644*(M645-AR644*J645)+AP644*AR644*N645/Inputs!$B$16-AV645</f>
        <v>-0.000734038289014757</v>
      </c>
      <c r="AX645" s="30" t="n">
        <f aca="false">AW645-IF(AP644&lt;&gt;0,0.75*AR644*(Inputs!$B$13-N645)/Inputs!$B$16,0)</f>
        <v>-0.000989129311701992</v>
      </c>
      <c r="AY645" s="30" t="n">
        <f aca="false">MAX(AS645,0)*(Inputs!$B$17+Inputs!$B$18+Inputs!$B$19)+MAX(-AS645,0)*(O645+Inputs!$B$18+Inputs!$B$19)+IF(AND(K645=1,AP645&lt;&gt;0),(Inputs!$B$17+Inputs!$B$18+Inputs!$B$19)+(O645+Inputs!$B$18+Inputs!$B$19),0)</f>
        <v>0</v>
      </c>
      <c r="AZ645" s="30" t="n">
        <f aca="false">AP644*M645-AY645</f>
        <v>-3.78852455966694E-005</v>
      </c>
      <c r="BA645" s="32" t="n">
        <f aca="false">BA644+AI645</f>
        <v>0.00777911222980332</v>
      </c>
      <c r="BB645" s="30" t="n">
        <f aca="false">MAX(BB644,BA645)</f>
        <v>0.0108065678336457</v>
      </c>
      <c r="BC645" s="32" t="n">
        <f aca="false">BA645-BB645</f>
        <v>-0.00302745560384235</v>
      </c>
      <c r="BD645" s="30" t="n">
        <f aca="false">A646-A645</f>
        <v>3</v>
      </c>
    </row>
    <row r="646" customFormat="false" ht="15" hidden="false" customHeight="false" outlineLevel="0" collapsed="false">
      <c r="A646" s="28" t="n">
        <v>45992</v>
      </c>
      <c r="B646" s="0" t="n">
        <v>26335</v>
      </c>
      <c r="C646" s="0" t="n">
        <v>296.29</v>
      </c>
      <c r="D646" s="29" t="n">
        <f aca="false">LN(B646)</f>
        <v>10.1786541319175</v>
      </c>
      <c r="E646" s="29" t="n">
        <f aca="false">LN(C646)</f>
        <v>5.69133870443186</v>
      </c>
      <c r="F646" s="0" t="n">
        <v>641</v>
      </c>
      <c r="G646" s="0" t="n">
        <v>29</v>
      </c>
      <c r="H646" s="29" t="n">
        <f aca="false">D646-E646</f>
        <v>4.48731542748563</v>
      </c>
      <c r="I646" s="29" t="n">
        <f aca="false">D646-D645</f>
        <v>-0.00231363058582268</v>
      </c>
      <c r="J646" s="29" t="n">
        <f aca="false">E646-E645</f>
        <v>-0.000573597653853675</v>
      </c>
      <c r="K646" s="0" t="n">
        <v>0</v>
      </c>
      <c r="L646" s="0" t="n">
        <v>0</v>
      </c>
      <c r="M646" s="29" t="n">
        <f aca="false">IF(L646=1,J646-Carry!$B$9/Inputs!$B$16,I646)</f>
        <v>-0.00231363058582268</v>
      </c>
      <c r="N646" s="0" t="n">
        <v>0.055</v>
      </c>
      <c r="O646" s="0" t="n">
        <v>0.0002</v>
      </c>
      <c r="P646" s="29" t="n">
        <f aca="false">D646-('2 Hedge ratio'!$B$6+'2 Hedge ratio'!$B$5*E646)</f>
        <v>0.00284636750270906</v>
      </c>
      <c r="Q646" s="29" t="n">
        <f aca="false">D646-('5 Re-specification'!$B$7+'5 Re-specification'!$B$5*E646+'5 Re-specification'!$B$6*F646)</f>
        <v>0.00216170150214801</v>
      </c>
      <c r="R646" s="30" t="n">
        <f aca="false">MIN(F646,Inputs!$B$9)</f>
        <v>250</v>
      </c>
      <c r="S646" s="29" t="n">
        <f aca="true">IF(AND(F646&gt;=1,R646&gt;=Inputs!$B$10),INDEX(LINEST(OFFSET(D646,-R646,0,R646,1),OFFSET(E646,-R646,0,R646,2)),1,1),"")</f>
        <v>-5.84673485915859E-005</v>
      </c>
      <c r="T646" s="29" t="n">
        <f aca="true">IF(AND(F646&gt;=1,R646&gt;=Inputs!$B$10),INDEX(LINEST(OFFSET(D646,-R646,0,R646,1),OFFSET(E646,-R646,0,R646,2)),1,2),"")</f>
        <v>1.01325110058922</v>
      </c>
      <c r="U646" s="29" t="n">
        <f aca="true">IF(AND(F646&gt;=1,R646&gt;=Inputs!$B$10),INDEX(LINEST(OFFSET(D646,-R646,0,R646,1),OFFSET(E646,-R646,0,R646,2)),1,3),"")</f>
        <v>4.44703806511337</v>
      </c>
      <c r="V646" s="29" t="n">
        <f aca="true">IF(AND(F646&gt;=1,R646&gt;=Inputs!$B$10),SQRT(SUMPRODUCT((OFFSET(D646,-R646,0,R646,1)-U646-T646*OFFSET(E646,-R646,0,R646,1)-S646*OFFSET(F646,-R646,0,R646,1))^2)/(R646-3)),"")</f>
        <v>0.00238796673647888</v>
      </c>
      <c r="W646" s="31" t="n">
        <f aca="false">IF(AND(F646&gt;=1,R646&gt;=Inputs!$B$10),(D646-U646-T646*E646-S646*F646)/V646,"")</f>
        <v>0.979256169697344</v>
      </c>
      <c r="X646" s="30" t="n">
        <f aca="false">IF(AB645&lt;&gt;0,AC645+1,0)</f>
        <v>3</v>
      </c>
      <c r="Y646" s="30" t="n">
        <f aca="false">IF(W646="",0,IF(AND(AB645&lt;&gt;0,OR(ABS(W646)&gt;Inputs!$B$7,X646&gt;=Inputs!$B$8,ABS(W646)&lt;Inputs!$B$6)),1,0))</f>
        <v>0</v>
      </c>
      <c r="Z646" s="30" t="n">
        <f aca="false">IF(Y646=1,0,AB645)</f>
        <v>-1</v>
      </c>
      <c r="AA646" s="30" t="n">
        <f aca="false">IF(W646="",0,IF(AND(Z646=0,ABS(W646)&gt;Inputs!$B$5,ABS(W646)&lt;=Inputs!$B$7),1,0))</f>
        <v>0</v>
      </c>
      <c r="AB646" s="30" t="n">
        <f aca="false">IF(W646="",0,IF(AA646=1,-SIGN(W646),Z646))</f>
        <v>-1</v>
      </c>
      <c r="AC646" s="30" t="n">
        <f aca="false">IF(W646="",0,IF(AA646=1,0,IF(Y646=1,0,X646)))</f>
        <v>3</v>
      </c>
      <c r="AD646" s="29" t="n">
        <f aca="false">IF(AB646=0,0,IF(AB645=AB646,AD645,T646))</f>
        <v>1.00835980732837</v>
      </c>
      <c r="AE646" s="30" t="n">
        <f aca="false">AB646-AB645</f>
        <v>0</v>
      </c>
      <c r="AF646" s="30" t="n">
        <f aca="false">-AD646*AB646</f>
        <v>1.00835980732837</v>
      </c>
      <c r="AG646" s="30" t="n">
        <f aca="false">AF646-AF645</f>
        <v>0</v>
      </c>
      <c r="AH646" s="30" t="n">
        <f aca="false">MAX(AE646,0)*(Inputs!$B$17+Inputs!$B$18+Inputs!$B$19)+MAX(-AE646,0)*(O646+Inputs!$B$18+Inputs!$B$19)+IF(AND(K646=1,AB646&lt;&gt;0),(Inputs!$B$17+Inputs!$B$18+Inputs!$B$19)+(O646+Inputs!$B$18+Inputs!$B$19),0)+MAX(AG646,0)*(Inputs!$B$20+Inputs!$B$22+Inputs!$B$23)+MAX(-AG646,0)*(Inputs!$B$21+Inputs!$B$22+Inputs!$B$23)</f>
        <v>0</v>
      </c>
      <c r="AI646" s="30" t="n">
        <f aca="false">AB645*(M646-AD645*J646)+AB645*AD645*N646/Inputs!$B$16-AH646</f>
        <v>0.00151515923672156</v>
      </c>
      <c r="AJ646" s="30" t="n">
        <f aca="false">MAX(AE646,0)*(Inputs!$B$17+Inputs!$B$24+Inputs!$B$25)+MAX(-AE646,0)*(O646+Inputs!$B$24+Inputs!$B$25)+IF(AND(K646=1,AB646&lt;&gt;0),(Inputs!$B$17+Inputs!$B$24+Inputs!$B$25)+(O646+Inputs!$B$24+Inputs!$B$25),0)+MAX(AG646,0)*(Inputs!$B$20+Inputs!$B$26+Inputs!$B$27)+MAX(-AG646,0)*(Inputs!$B$21+Inputs!$B$26+Inputs!$B$27)</f>
        <v>0</v>
      </c>
      <c r="AK646" s="30" t="n">
        <f aca="false">AB645*(M646-AD645*J646)+AB645*AD645*(N646+Inputs!$B$14)/Inputs!$B$16-AJ646</f>
        <v>0.00148514852817012</v>
      </c>
      <c r="AL646" s="30" t="n">
        <f aca="false">IF(AP645&lt;&gt;0,AQ645+1,0)</f>
        <v>3</v>
      </c>
      <c r="AM646" s="30" t="n">
        <f aca="false">IF(W646="",0,IF(AND(AP645&lt;&gt;0,OR(ABS(W646)&gt;Inputs!$B$7,AL646&gt;=Inputs!$B$8,ABS(W646)&lt;Inputs!$B$6)),1,0))</f>
        <v>0</v>
      </c>
      <c r="AN646" s="30" t="n">
        <f aca="false">IF(AM646=1,0,AP645)</f>
        <v>-1</v>
      </c>
      <c r="AO646" s="30" t="n">
        <f aca="false">IF(W646="",0,IF(AND(AN646=0,ABS(W646)&gt;Inputs!$B$5,ABS(W646)&lt;=Inputs!$B$7,W646&gt;0),1,0))</f>
        <v>0</v>
      </c>
      <c r="AP646" s="30" t="n">
        <f aca="false">IF(W646="",0,IF(AO646=1,-SIGN(W646),AN646))</f>
        <v>-1</v>
      </c>
      <c r="AQ646" s="30" t="n">
        <f aca="false">IF(W646="",0,IF(AO646=1,0,IF(AM646=1,0,AL646)))</f>
        <v>3</v>
      </c>
      <c r="AR646" s="29" t="n">
        <f aca="false">IF(AP646=0,0,IF(AP645=AP646,AR645,T646))</f>
        <v>1.00835980732837</v>
      </c>
      <c r="AS646" s="30" t="n">
        <f aca="false">AP646-AP645</f>
        <v>0</v>
      </c>
      <c r="AT646" s="30" t="n">
        <f aca="false">-AR646*AP646</f>
        <v>1.00835980732837</v>
      </c>
      <c r="AU646" s="30" t="n">
        <f aca="false">AT646-AT645</f>
        <v>0</v>
      </c>
      <c r="AV646" s="30" t="n">
        <f aca="false">MAX(AS646,0)*(Inputs!$B$17+Inputs!$B$18+Inputs!$B$19)+MAX(-AS646,0)*(O646+Inputs!$B$18+Inputs!$B$19)+IF(AND(K646=1,AP646&lt;&gt;0),(Inputs!$B$17+Inputs!$B$18+Inputs!$B$19)+(O646+Inputs!$B$18+Inputs!$B$19),0)+MAX(AU646,0)*(Inputs!$B$20+Inputs!$B$22+Inputs!$B$23)+MAX(-AU646,0)*(Inputs!$B$21+Inputs!$B$22+Inputs!$B$23)</f>
        <v>0</v>
      </c>
      <c r="AW646" s="30" t="n">
        <f aca="false">AP645*(M646-AR645*J646)+AP645*AR645*N646/Inputs!$B$16-AV646</f>
        <v>0.00151515923672156</v>
      </c>
      <c r="AX646" s="30" t="n">
        <f aca="false">AW646-IF(AP645&lt;&gt;0,0.75*AR645*(Inputs!$B$13-N646)/Inputs!$B$16,0)</f>
        <v>0.00126006821403433</v>
      </c>
      <c r="AY646" s="30" t="n">
        <f aca="false">MAX(AS646,0)*(Inputs!$B$17+Inputs!$B$18+Inputs!$B$19)+MAX(-AS646,0)*(O646+Inputs!$B$18+Inputs!$B$19)+IF(AND(K646=1,AP646&lt;&gt;0),(Inputs!$B$17+Inputs!$B$18+Inputs!$B$19)+(O646+Inputs!$B$18+Inputs!$B$19),0)</f>
        <v>0</v>
      </c>
      <c r="AZ646" s="30" t="n">
        <f aca="false">AP645*M646-AY646</f>
        <v>0.00231363058582268</v>
      </c>
      <c r="BA646" s="32" t="n">
        <f aca="false">BA645+AI646</f>
        <v>0.00929427146652488</v>
      </c>
      <c r="BB646" s="30" t="n">
        <f aca="false">MAX(BB645,BA646)</f>
        <v>0.0108065678336457</v>
      </c>
      <c r="BC646" s="32" t="n">
        <f aca="false">BA646-BB646</f>
        <v>-0.00151229636712079</v>
      </c>
      <c r="BD646" s="30" t="n">
        <f aca="false">A647-A646</f>
        <v>1</v>
      </c>
    </row>
    <row r="647" customFormat="false" ht="15" hidden="false" customHeight="false" outlineLevel="0" collapsed="false">
      <c r="A647" s="28" t="n">
        <v>45993</v>
      </c>
      <c r="B647" s="0" t="n">
        <v>26228</v>
      </c>
      <c r="C647" s="0" t="n">
        <v>294.96</v>
      </c>
      <c r="D647" s="29" t="n">
        <f aca="false">LN(B647)</f>
        <v>10.1745828213835</v>
      </c>
      <c r="E647" s="29" t="n">
        <f aca="false">LN(C647)</f>
        <v>5.68683975392589</v>
      </c>
      <c r="F647" s="0" t="n">
        <v>642</v>
      </c>
      <c r="G647" s="0" t="n">
        <v>28</v>
      </c>
      <c r="H647" s="29" t="n">
        <f aca="false">D647-E647</f>
        <v>4.48774306745762</v>
      </c>
      <c r="I647" s="29" t="n">
        <f aca="false">D647-D646</f>
        <v>-0.00407131053398047</v>
      </c>
      <c r="J647" s="29" t="n">
        <f aca="false">E647-E646</f>
        <v>-0.00449895050597071</v>
      </c>
      <c r="K647" s="0" t="n">
        <v>0</v>
      </c>
      <c r="L647" s="0" t="n">
        <v>0</v>
      </c>
      <c r="M647" s="29" t="n">
        <f aca="false">IF(L647=1,J647-Carry!$B$9/Inputs!$B$16,I647)</f>
        <v>-0.00407131053398047</v>
      </c>
      <c r="N647" s="0" t="n">
        <v>0.055</v>
      </c>
      <c r="O647" s="0" t="n">
        <v>0.0002</v>
      </c>
      <c r="P647" s="29" t="n">
        <f aca="false">D647-('2 Hedge ratio'!$B$6+'2 Hedge ratio'!$B$5*E647)</f>
        <v>0.00289666591577564</v>
      </c>
      <c r="Q647" s="29" t="n">
        <f aca="false">D647-('5 Re-specification'!$B$7+'5 Re-specification'!$B$5*E647+'5 Re-specification'!$B$6*F647)</f>
        <v>0.00262063672263224</v>
      </c>
      <c r="R647" s="30" t="n">
        <f aca="false">MIN(F647,Inputs!$B$9)</f>
        <v>250</v>
      </c>
      <c r="S647" s="29" t="n">
        <f aca="true">IF(AND(F647&gt;=1,R647&gt;=Inputs!$B$10),INDEX(LINEST(OFFSET(D647,-R647,0,R647,1),OFFSET(E647,-R647,0,R647,2)),1,1),"")</f>
        <v>-6.01091008721331E-005</v>
      </c>
      <c r="T647" s="29" t="n">
        <f aca="true">IF(AND(F647&gt;=1,R647&gt;=Inputs!$B$10),INDEX(LINEST(OFFSET(D647,-R647,0,R647,1),OFFSET(E647,-R647,0,R647,2)),1,2),"")</f>
        <v>1.01535192963164</v>
      </c>
      <c r="U647" s="29" t="n">
        <f aca="true">IF(AND(F647&gt;=1,R647&gt;=Inputs!$B$10),INDEX(LINEST(OFFSET(D647,-R647,0,R647,1),OFFSET(E647,-R647,0,R647,2)),1,3),"")</f>
        <v>4.43613555087287</v>
      </c>
      <c r="V647" s="29" t="n">
        <f aca="true">IF(AND(F647&gt;=1,R647&gt;=Inputs!$B$10),SQRT(SUMPRODUCT((OFFSET(D647,-R647,0,R647,1)-U647-T647*OFFSET(E647,-R647,0,R647,1)-S647*OFFSET(F647,-R647,0,R647,1))^2)/(R647-3)),"")</f>
        <v>0.00232759740297391</v>
      </c>
      <c r="W647" s="31" t="n">
        <f aca="false">IF(AND(F647&gt;=1,R647&gt;=Inputs!$B$10),(D647-U647-T647*E647-S647*F647)/V647,"")</f>
        <v>1.24316843295747</v>
      </c>
      <c r="X647" s="30" t="n">
        <f aca="false">IF(AB646&lt;&gt;0,AC646+1,0)</f>
        <v>4</v>
      </c>
      <c r="Y647" s="30" t="n">
        <f aca="false">IF(W647="",0,IF(AND(AB646&lt;&gt;0,OR(ABS(W647)&gt;Inputs!$B$7,X647&gt;=Inputs!$B$8,ABS(W647)&lt;Inputs!$B$6)),1,0))</f>
        <v>0</v>
      </c>
      <c r="Z647" s="30" t="n">
        <f aca="false">IF(Y647=1,0,AB646)</f>
        <v>-1</v>
      </c>
      <c r="AA647" s="30" t="n">
        <f aca="false">IF(W647="",0,IF(AND(Z647=0,ABS(W647)&gt;Inputs!$B$5,ABS(W647)&lt;=Inputs!$B$7),1,0))</f>
        <v>0</v>
      </c>
      <c r="AB647" s="30" t="n">
        <f aca="false">IF(W647="",0,IF(AA647=1,-SIGN(W647),Z647))</f>
        <v>-1</v>
      </c>
      <c r="AC647" s="30" t="n">
        <f aca="false">IF(W647="",0,IF(AA647=1,0,IF(Y647=1,0,X647)))</f>
        <v>4</v>
      </c>
      <c r="AD647" s="29" t="n">
        <f aca="false">IF(AB647=0,0,IF(AB646=AB647,AD646,T647))</f>
        <v>1.00835980732837</v>
      </c>
      <c r="AE647" s="30" t="n">
        <f aca="false">AB647-AB646</f>
        <v>0</v>
      </c>
      <c r="AF647" s="30" t="n">
        <f aca="false">-AD647*AB647</f>
        <v>1.00835980732837</v>
      </c>
      <c r="AG647" s="30" t="n">
        <f aca="false">AF647-AF646</f>
        <v>0</v>
      </c>
      <c r="AH647" s="30" t="n">
        <f aca="false">MAX(AE647,0)*(Inputs!$B$17+Inputs!$B$18+Inputs!$B$19)+MAX(-AE647,0)*(O647+Inputs!$B$18+Inputs!$B$19)+IF(AND(K647=1,AB647&lt;&gt;0),(Inputs!$B$17+Inputs!$B$18+Inputs!$B$19)+(O647+Inputs!$B$18+Inputs!$B$19),0)+MAX(AG647,0)*(Inputs!$B$20+Inputs!$B$22+Inputs!$B$23)+MAX(-AG647,0)*(Inputs!$B$21+Inputs!$B$22+Inputs!$B$23)</f>
        <v>0</v>
      </c>
      <c r="AI647" s="30" t="n">
        <f aca="false">AB646*(M647-AD646*J647)+AB646*AD646*N647/Inputs!$B$16-AH647</f>
        <v>-0.000685328860777239</v>
      </c>
      <c r="AJ647" s="30" t="n">
        <f aca="false">MAX(AE647,0)*(Inputs!$B$17+Inputs!$B$24+Inputs!$B$25)+MAX(-AE647,0)*(O647+Inputs!$B$24+Inputs!$B$25)+IF(AND(K647=1,AB647&lt;&gt;0),(Inputs!$B$17+Inputs!$B$24+Inputs!$B$25)+(O647+Inputs!$B$24+Inputs!$B$25),0)+MAX(AG647,0)*(Inputs!$B$20+Inputs!$B$26+Inputs!$B$27)+MAX(-AG647,0)*(Inputs!$B$21+Inputs!$B$26+Inputs!$B$27)</f>
        <v>0</v>
      </c>
      <c r="AK647" s="30" t="n">
        <f aca="false">AB646*(M647-AD646*J647)+AB646*AD646*(N647+Inputs!$B$14)/Inputs!$B$16-AJ647</f>
        <v>-0.000715339569328679</v>
      </c>
      <c r="AL647" s="30" t="n">
        <f aca="false">IF(AP646&lt;&gt;0,AQ646+1,0)</f>
        <v>4</v>
      </c>
      <c r="AM647" s="30" t="n">
        <f aca="false">IF(W647="",0,IF(AND(AP646&lt;&gt;0,OR(ABS(W647)&gt;Inputs!$B$7,AL647&gt;=Inputs!$B$8,ABS(W647)&lt;Inputs!$B$6)),1,0))</f>
        <v>0</v>
      </c>
      <c r="AN647" s="30" t="n">
        <f aca="false">IF(AM647=1,0,AP646)</f>
        <v>-1</v>
      </c>
      <c r="AO647" s="30" t="n">
        <f aca="false">IF(W647="",0,IF(AND(AN647=0,ABS(W647)&gt;Inputs!$B$5,ABS(W647)&lt;=Inputs!$B$7,W647&gt;0),1,0))</f>
        <v>0</v>
      </c>
      <c r="AP647" s="30" t="n">
        <f aca="false">IF(W647="",0,IF(AO647=1,-SIGN(W647),AN647))</f>
        <v>-1</v>
      </c>
      <c r="AQ647" s="30" t="n">
        <f aca="false">IF(W647="",0,IF(AO647=1,0,IF(AM647=1,0,AL647)))</f>
        <v>4</v>
      </c>
      <c r="AR647" s="29" t="n">
        <f aca="false">IF(AP647=0,0,IF(AP646=AP647,AR646,T647))</f>
        <v>1.00835980732837</v>
      </c>
      <c r="AS647" s="30" t="n">
        <f aca="false">AP647-AP646</f>
        <v>0</v>
      </c>
      <c r="AT647" s="30" t="n">
        <f aca="false">-AR647*AP647</f>
        <v>1.00835980732837</v>
      </c>
      <c r="AU647" s="30" t="n">
        <f aca="false">AT647-AT646</f>
        <v>0</v>
      </c>
      <c r="AV647" s="30" t="n">
        <f aca="false">MAX(AS647,0)*(Inputs!$B$17+Inputs!$B$18+Inputs!$B$19)+MAX(-AS647,0)*(O647+Inputs!$B$18+Inputs!$B$19)+IF(AND(K647=1,AP647&lt;&gt;0),(Inputs!$B$17+Inputs!$B$18+Inputs!$B$19)+(O647+Inputs!$B$18+Inputs!$B$19),0)+MAX(AU647,0)*(Inputs!$B$20+Inputs!$B$22+Inputs!$B$23)+MAX(-AU647,0)*(Inputs!$B$21+Inputs!$B$22+Inputs!$B$23)</f>
        <v>0</v>
      </c>
      <c r="AW647" s="30" t="n">
        <f aca="false">AP646*(M647-AR646*J647)+AP646*AR646*N647/Inputs!$B$16-AV647</f>
        <v>-0.000685328860777239</v>
      </c>
      <c r="AX647" s="30" t="n">
        <f aca="false">AW647-IF(AP646&lt;&gt;0,0.75*AR646*(Inputs!$B$13-N647)/Inputs!$B$16,0)</f>
        <v>-0.000940419883464475</v>
      </c>
      <c r="AY647" s="30" t="n">
        <f aca="false">MAX(AS647,0)*(Inputs!$B$17+Inputs!$B$18+Inputs!$B$19)+MAX(-AS647,0)*(O647+Inputs!$B$18+Inputs!$B$19)+IF(AND(K647=1,AP647&lt;&gt;0),(Inputs!$B$17+Inputs!$B$18+Inputs!$B$19)+(O647+Inputs!$B$18+Inputs!$B$19),0)</f>
        <v>0</v>
      </c>
      <c r="AZ647" s="30" t="n">
        <f aca="false">AP646*M647-AY647</f>
        <v>0.00407131053398047</v>
      </c>
      <c r="BA647" s="32" t="n">
        <f aca="false">BA646+AI647</f>
        <v>0.00860894260574765</v>
      </c>
      <c r="BB647" s="30" t="n">
        <f aca="false">MAX(BB646,BA647)</f>
        <v>0.0108065678336457</v>
      </c>
      <c r="BC647" s="32" t="n">
        <f aca="false">BA647-BB647</f>
        <v>-0.00219762522789802</v>
      </c>
      <c r="BD647" s="30" t="n">
        <f aca="false">A648-A647</f>
        <v>1</v>
      </c>
    </row>
    <row r="648" customFormat="false" ht="15" hidden="false" customHeight="false" outlineLevel="0" collapsed="false">
      <c r="A648" s="28" t="n">
        <v>45994</v>
      </c>
      <c r="B648" s="0" t="n">
        <v>26142.7</v>
      </c>
      <c r="C648" s="0" t="n">
        <v>294.06</v>
      </c>
      <c r="D648" s="29" t="n">
        <f aca="false">LN(B648)</f>
        <v>10.1713252718212</v>
      </c>
      <c r="E648" s="29" t="n">
        <f aca="false">LN(C648)</f>
        <v>5.68378382814951</v>
      </c>
      <c r="F648" s="0" t="n">
        <v>643</v>
      </c>
      <c r="G648" s="0" t="n">
        <v>27</v>
      </c>
      <c r="H648" s="29" t="n">
        <f aca="false">D648-E648</f>
        <v>4.48754144367171</v>
      </c>
      <c r="I648" s="29" t="n">
        <f aca="false">D648-D647</f>
        <v>-0.00325754956229218</v>
      </c>
      <c r="J648" s="29" t="n">
        <f aca="false">E648-E647</f>
        <v>-0.00305592577637803</v>
      </c>
      <c r="K648" s="0" t="n">
        <v>0</v>
      </c>
      <c r="L648" s="0" t="n">
        <v>0</v>
      </c>
      <c r="M648" s="29" t="n">
        <f aca="false">IF(L648=1,J648-Carry!$B$9/Inputs!$B$16,I648)</f>
        <v>-0.00325754956229218</v>
      </c>
      <c r="N648" s="0" t="n">
        <v>0.055</v>
      </c>
      <c r="O648" s="0" t="n">
        <v>0.0002</v>
      </c>
      <c r="P648" s="29" t="n">
        <f aca="false">D648-('2 Hedge ratio'!$B$6+'2 Hedge ratio'!$B$5*E648)</f>
        <v>0.00243873173149467</v>
      </c>
      <c r="Q648" s="29" t="n">
        <f aca="false">D648-('5 Re-specification'!$B$7+'5 Re-specification'!$B$5*E648+'5 Re-specification'!$B$6*F648)</f>
        <v>0.0024546812716828</v>
      </c>
      <c r="R648" s="30" t="n">
        <f aca="false">MIN(F648,Inputs!$B$9)</f>
        <v>250</v>
      </c>
      <c r="S648" s="29" t="n">
        <f aca="true">IF(AND(F648&gt;=1,R648&gt;=Inputs!$B$10),INDEX(LINEST(OFFSET(D648,-R648,0,R648,1),OFFSET(E648,-R648,0,R648,2)),1,1),"")</f>
        <v>-5.93735543192046E-005</v>
      </c>
      <c r="T648" s="29" t="n">
        <f aca="true">IF(AND(F648&gt;=1,R648&gt;=Inputs!$B$10),INDEX(LINEST(OFFSET(D648,-R648,0,R648,1),OFFSET(E648,-R648,0,R648,2)),1,2),"")</f>
        <v>1.01490036398471</v>
      </c>
      <c r="U648" s="29" t="n">
        <f aca="true">IF(AND(F648&gt;=1,R648&gt;=Inputs!$B$10),INDEX(LINEST(OFFSET(D648,-R648,0,R648,1),OFFSET(E648,-R648,0,R648,2)),1,3),"")</f>
        <v>4.43829207186986</v>
      </c>
      <c r="V648" s="29" t="n">
        <f aca="true">IF(AND(F648&gt;=1,R648&gt;=Inputs!$B$10),SQRT(SUMPRODUCT((OFFSET(D648,-R648,0,R648,1)-U648-T648*OFFSET(E648,-R648,0,R648,1)-S648*OFFSET(F648,-R648,0,R648,1))^2)/(R648-3)),"")</f>
        <v>0.00232943656489771</v>
      </c>
      <c r="W648" s="31" t="n">
        <f aca="false">IF(AND(F648&gt;=1,R648&gt;=Inputs!$B$10),(D648-U648-T648*E648-S648*F648)/V648,"")</f>
        <v>1.17458419794673</v>
      </c>
      <c r="X648" s="30" t="n">
        <f aca="false">IF(AB647&lt;&gt;0,AC647+1,0)</f>
        <v>5</v>
      </c>
      <c r="Y648" s="30" t="n">
        <f aca="false">IF(W648="",0,IF(AND(AB647&lt;&gt;0,OR(ABS(W648)&gt;Inputs!$B$7,X648&gt;=Inputs!$B$8,ABS(W648)&lt;Inputs!$B$6)),1,0))</f>
        <v>0</v>
      </c>
      <c r="Z648" s="30" t="n">
        <f aca="false">IF(Y648=1,0,AB647)</f>
        <v>-1</v>
      </c>
      <c r="AA648" s="30" t="n">
        <f aca="false">IF(W648="",0,IF(AND(Z648=0,ABS(W648)&gt;Inputs!$B$5,ABS(W648)&lt;=Inputs!$B$7),1,0))</f>
        <v>0</v>
      </c>
      <c r="AB648" s="30" t="n">
        <f aca="false">IF(W648="",0,IF(AA648=1,-SIGN(W648),Z648))</f>
        <v>-1</v>
      </c>
      <c r="AC648" s="30" t="n">
        <f aca="false">IF(W648="",0,IF(AA648=1,0,IF(Y648=1,0,X648)))</f>
        <v>5</v>
      </c>
      <c r="AD648" s="29" t="n">
        <f aca="false">IF(AB648=0,0,IF(AB647=AB648,AD647,T648))</f>
        <v>1.00835980732837</v>
      </c>
      <c r="AE648" s="30" t="n">
        <f aca="false">AB648-AB647</f>
        <v>0</v>
      </c>
      <c r="AF648" s="30" t="n">
        <f aca="false">-AD648*AB648</f>
        <v>1.00835980732837</v>
      </c>
      <c r="AG648" s="30" t="n">
        <f aca="false">AF648-AF647</f>
        <v>0</v>
      </c>
      <c r="AH648" s="30" t="n">
        <f aca="false">MAX(AE648,0)*(Inputs!$B$17+Inputs!$B$18+Inputs!$B$19)+MAX(-AE648,0)*(O648+Inputs!$B$18+Inputs!$B$19)+IF(AND(K648=1,AB648&lt;&gt;0),(Inputs!$B$17+Inputs!$B$18+Inputs!$B$19)+(O648+Inputs!$B$18+Inputs!$B$19),0)+MAX(AG648,0)*(Inputs!$B$20+Inputs!$B$22+Inputs!$B$23)+MAX(-AG648,0)*(Inputs!$B$21+Inputs!$B$22+Inputs!$B$23)</f>
        <v>0</v>
      </c>
      <c r="AI648" s="30" t="n">
        <f aca="false">AB647*(M648-AD647*J648)+AB647*AD647*N648/Inputs!$B$16-AH648</f>
        <v>-4.40016941633795E-005</v>
      </c>
      <c r="AJ648" s="30" t="n">
        <f aca="false">MAX(AE648,0)*(Inputs!$B$17+Inputs!$B$24+Inputs!$B$25)+MAX(-AE648,0)*(O648+Inputs!$B$24+Inputs!$B$25)+IF(AND(K648=1,AB648&lt;&gt;0),(Inputs!$B$17+Inputs!$B$24+Inputs!$B$25)+(O648+Inputs!$B$24+Inputs!$B$25),0)+MAX(AG648,0)*(Inputs!$B$20+Inputs!$B$26+Inputs!$B$27)+MAX(-AG648,0)*(Inputs!$B$21+Inputs!$B$26+Inputs!$B$27)</f>
        <v>0</v>
      </c>
      <c r="AK648" s="30" t="n">
        <f aca="false">AB647*(M648-AD647*J648)+AB647*AD647*(N648+Inputs!$B$14)/Inputs!$B$16-AJ648</f>
        <v>-7.4012402714819E-005</v>
      </c>
      <c r="AL648" s="30" t="n">
        <f aca="false">IF(AP647&lt;&gt;0,AQ647+1,0)</f>
        <v>5</v>
      </c>
      <c r="AM648" s="30" t="n">
        <f aca="false">IF(W648="",0,IF(AND(AP647&lt;&gt;0,OR(ABS(W648)&gt;Inputs!$B$7,AL648&gt;=Inputs!$B$8,ABS(W648)&lt;Inputs!$B$6)),1,0))</f>
        <v>0</v>
      </c>
      <c r="AN648" s="30" t="n">
        <f aca="false">IF(AM648=1,0,AP647)</f>
        <v>-1</v>
      </c>
      <c r="AO648" s="30" t="n">
        <f aca="false">IF(W648="",0,IF(AND(AN648=0,ABS(W648)&gt;Inputs!$B$5,ABS(W648)&lt;=Inputs!$B$7,W648&gt;0),1,0))</f>
        <v>0</v>
      </c>
      <c r="AP648" s="30" t="n">
        <f aca="false">IF(W648="",0,IF(AO648=1,-SIGN(W648),AN648))</f>
        <v>-1</v>
      </c>
      <c r="AQ648" s="30" t="n">
        <f aca="false">IF(W648="",0,IF(AO648=1,0,IF(AM648=1,0,AL648)))</f>
        <v>5</v>
      </c>
      <c r="AR648" s="29" t="n">
        <f aca="false">IF(AP648=0,0,IF(AP647=AP648,AR647,T648))</f>
        <v>1.00835980732837</v>
      </c>
      <c r="AS648" s="30" t="n">
        <f aca="false">AP648-AP647</f>
        <v>0</v>
      </c>
      <c r="AT648" s="30" t="n">
        <f aca="false">-AR648*AP648</f>
        <v>1.00835980732837</v>
      </c>
      <c r="AU648" s="30" t="n">
        <f aca="false">AT648-AT647</f>
        <v>0</v>
      </c>
      <c r="AV648" s="30" t="n">
        <f aca="false">MAX(AS648,0)*(Inputs!$B$17+Inputs!$B$18+Inputs!$B$19)+MAX(-AS648,0)*(O648+Inputs!$B$18+Inputs!$B$19)+IF(AND(K648=1,AP648&lt;&gt;0),(Inputs!$B$17+Inputs!$B$18+Inputs!$B$19)+(O648+Inputs!$B$18+Inputs!$B$19),0)+MAX(AU648,0)*(Inputs!$B$20+Inputs!$B$22+Inputs!$B$23)+MAX(-AU648,0)*(Inputs!$B$21+Inputs!$B$22+Inputs!$B$23)</f>
        <v>0</v>
      </c>
      <c r="AW648" s="30" t="n">
        <f aca="false">AP647*(M648-AR647*J648)+AP647*AR647*N648/Inputs!$B$16-AV648</f>
        <v>-4.40016941633795E-005</v>
      </c>
      <c r="AX648" s="30" t="n">
        <f aca="false">AW648-IF(AP647&lt;&gt;0,0.75*AR647*(Inputs!$B$13-N648)/Inputs!$B$16,0)</f>
        <v>-0.000299092716850615</v>
      </c>
      <c r="AY648" s="30" t="n">
        <f aca="false">MAX(AS648,0)*(Inputs!$B$17+Inputs!$B$18+Inputs!$B$19)+MAX(-AS648,0)*(O648+Inputs!$B$18+Inputs!$B$19)+IF(AND(K648=1,AP648&lt;&gt;0),(Inputs!$B$17+Inputs!$B$18+Inputs!$B$19)+(O648+Inputs!$B$18+Inputs!$B$19),0)</f>
        <v>0</v>
      </c>
      <c r="AZ648" s="30" t="n">
        <f aca="false">AP647*M648-AY648</f>
        <v>0.00325754956229218</v>
      </c>
      <c r="BA648" s="32" t="n">
        <f aca="false">BA647+AI648</f>
        <v>0.00856494091158427</v>
      </c>
      <c r="BB648" s="30" t="n">
        <f aca="false">MAX(BB647,BA648)</f>
        <v>0.0108065678336457</v>
      </c>
      <c r="BC648" s="32" t="n">
        <f aca="false">BA648-BB648</f>
        <v>-0.0022416269220614</v>
      </c>
      <c r="BD648" s="30" t="n">
        <f aca="false">A649-A648</f>
        <v>1</v>
      </c>
    </row>
    <row r="649" customFormat="false" ht="15" hidden="false" customHeight="false" outlineLevel="0" collapsed="false">
      <c r="A649" s="28" t="n">
        <v>45995</v>
      </c>
      <c r="B649" s="0" t="n">
        <v>26185.1</v>
      </c>
      <c r="C649" s="0" t="n">
        <v>294.39</v>
      </c>
      <c r="D649" s="29" t="n">
        <f aca="false">LN(B649)</f>
        <v>10.1729458256866</v>
      </c>
      <c r="E649" s="29" t="n">
        <f aca="false">LN(C649)</f>
        <v>5.68490541888651</v>
      </c>
      <c r="F649" s="0" t="n">
        <v>644</v>
      </c>
      <c r="G649" s="0" t="n">
        <v>26</v>
      </c>
      <c r="H649" s="29" t="n">
        <f aca="false">D649-E649</f>
        <v>4.48804040680012</v>
      </c>
      <c r="I649" s="29" t="n">
        <f aca="false">D649-D648</f>
        <v>0.00162055386541127</v>
      </c>
      <c r="J649" s="29" t="n">
        <f aca="false">E649-E648</f>
        <v>0.00112159073700102</v>
      </c>
      <c r="K649" s="0" t="n">
        <v>0</v>
      </c>
      <c r="L649" s="0" t="n">
        <v>0</v>
      </c>
      <c r="M649" s="29" t="n">
        <f aca="false">IF(L649=1,J649-Carry!$B$9/Inputs!$B$16,I649)</f>
        <v>0.00162055386541127</v>
      </c>
      <c r="N649" s="0" t="n">
        <v>0.055</v>
      </c>
      <c r="O649" s="0" t="n">
        <v>0.0002</v>
      </c>
      <c r="P649" s="29" t="n">
        <f aca="false">D649-('2 Hedge ratio'!$B$6+'2 Hedge ratio'!$B$5*E649)</f>
        <v>0.00303176630981739</v>
      </c>
      <c r="Q649" s="29" t="n">
        <f aca="false">D649-('5 Re-specification'!$B$7+'5 Re-specification'!$B$5*E649+'5 Re-specification'!$B$6*F649)</f>
        <v>0.0030019726989412</v>
      </c>
      <c r="R649" s="30" t="n">
        <f aca="false">MIN(F649,Inputs!$B$9)</f>
        <v>250</v>
      </c>
      <c r="S649" s="29" t="n">
        <f aca="true">IF(AND(F649&gt;=1,R649&gt;=Inputs!$B$10),INDEX(LINEST(OFFSET(D649,-R649,0,R649,1),OFFSET(E649,-R649,0,R649,2)),1,1),"")</f>
        <v>-5.883063959602E-005</v>
      </c>
      <c r="T649" s="29" t="n">
        <f aca="true">IF(AND(F649&gt;=1,R649&gt;=Inputs!$B$10),INDEX(LINEST(OFFSET(D649,-R649,0,R649,1),OFFSET(E649,-R649,0,R649,2)),1,2),"")</f>
        <v>1.01460094146828</v>
      </c>
      <c r="U649" s="29" t="n">
        <f aca="true">IF(AND(F649&gt;=1,R649&gt;=Inputs!$B$10),INDEX(LINEST(OFFSET(D649,-R649,0,R649,1),OFFSET(E649,-R649,0,R649,2)),1,3),"")</f>
        <v>4.43969729416001</v>
      </c>
      <c r="V649" s="29" t="n">
        <f aca="true">IF(AND(F649&gt;=1,R649&gt;=Inputs!$B$10),SQRT(SUMPRODUCT((OFFSET(D649,-R649,0,R649,1)-U649-T649*OFFSET(E649,-R649,0,R649,1)-S649*OFFSET(F649,-R649,0,R649,1))^2)/(R649-3)),"")</f>
        <v>0.0023341539993644</v>
      </c>
      <c r="W649" s="31" t="n">
        <f aca="false">IF(AND(F649&gt;=1,R649&gt;=Inputs!$B$10),(D649-U649-T649*E649-S649*F649)/V649,"")</f>
        <v>1.38168829776273</v>
      </c>
      <c r="X649" s="30" t="n">
        <f aca="false">IF(AB648&lt;&gt;0,AC648+1,0)</f>
        <v>6</v>
      </c>
      <c r="Y649" s="30" t="n">
        <f aca="false">IF(W649="",0,IF(AND(AB648&lt;&gt;0,OR(ABS(W649)&gt;Inputs!$B$7,X649&gt;=Inputs!$B$8,ABS(W649)&lt;Inputs!$B$6)),1,0))</f>
        <v>0</v>
      </c>
      <c r="Z649" s="30" t="n">
        <f aca="false">IF(Y649=1,0,AB648)</f>
        <v>-1</v>
      </c>
      <c r="AA649" s="30" t="n">
        <f aca="false">IF(W649="",0,IF(AND(Z649=0,ABS(W649)&gt;Inputs!$B$5,ABS(W649)&lt;=Inputs!$B$7),1,0))</f>
        <v>0</v>
      </c>
      <c r="AB649" s="30" t="n">
        <f aca="false">IF(W649="",0,IF(AA649=1,-SIGN(W649),Z649))</f>
        <v>-1</v>
      </c>
      <c r="AC649" s="30" t="n">
        <f aca="false">IF(W649="",0,IF(AA649=1,0,IF(Y649=1,0,X649)))</f>
        <v>6</v>
      </c>
      <c r="AD649" s="29" t="n">
        <f aca="false">IF(AB649=0,0,IF(AB648=AB649,AD648,T649))</f>
        <v>1.00835980732837</v>
      </c>
      <c r="AE649" s="30" t="n">
        <f aca="false">AB649-AB648</f>
        <v>0</v>
      </c>
      <c r="AF649" s="30" t="n">
        <f aca="false">-AD649*AB649</f>
        <v>1.00835980732837</v>
      </c>
      <c r="AG649" s="30" t="n">
        <f aca="false">AF649-AF648</f>
        <v>0</v>
      </c>
      <c r="AH649" s="30" t="n">
        <f aca="false">MAX(AE649,0)*(Inputs!$B$17+Inputs!$B$18+Inputs!$B$19)+MAX(-AE649,0)*(O649+Inputs!$B$18+Inputs!$B$19)+IF(AND(K649=1,AB649&lt;&gt;0),(Inputs!$B$17+Inputs!$B$18+Inputs!$B$19)+(O649+Inputs!$B$18+Inputs!$B$19),0)+MAX(AG649,0)*(Inputs!$B$20+Inputs!$B$22+Inputs!$B$23)+MAX(-AG649,0)*(Inputs!$B$21+Inputs!$B$22+Inputs!$B$23)</f>
        <v>0</v>
      </c>
      <c r="AI649" s="30" t="n">
        <f aca="false">AB648*(M649-AD648*J649)+AB648*AD648*N649/Inputs!$B$16-AH649</f>
        <v>-0.00070966537532486</v>
      </c>
      <c r="AJ649" s="30" t="n">
        <f aca="false">MAX(AE649,0)*(Inputs!$B$17+Inputs!$B$24+Inputs!$B$25)+MAX(-AE649,0)*(O649+Inputs!$B$24+Inputs!$B$25)+IF(AND(K649=1,AB649&lt;&gt;0),(Inputs!$B$17+Inputs!$B$24+Inputs!$B$25)+(O649+Inputs!$B$24+Inputs!$B$25),0)+MAX(AG649,0)*(Inputs!$B$20+Inputs!$B$26+Inputs!$B$27)+MAX(-AG649,0)*(Inputs!$B$21+Inputs!$B$26+Inputs!$B$27)</f>
        <v>0</v>
      </c>
      <c r="AK649" s="30" t="n">
        <f aca="false">AB648*(M649-AD648*J649)+AB648*AD648*(N649+Inputs!$B$14)/Inputs!$B$16-AJ649</f>
        <v>-0.000739676083876299</v>
      </c>
      <c r="AL649" s="30" t="n">
        <f aca="false">IF(AP648&lt;&gt;0,AQ648+1,0)</f>
        <v>6</v>
      </c>
      <c r="AM649" s="30" t="n">
        <f aca="false">IF(W649="",0,IF(AND(AP648&lt;&gt;0,OR(ABS(W649)&gt;Inputs!$B$7,AL649&gt;=Inputs!$B$8,ABS(W649)&lt;Inputs!$B$6)),1,0))</f>
        <v>0</v>
      </c>
      <c r="AN649" s="30" t="n">
        <f aca="false">IF(AM649=1,0,AP648)</f>
        <v>-1</v>
      </c>
      <c r="AO649" s="30" t="n">
        <f aca="false">IF(W649="",0,IF(AND(AN649=0,ABS(W649)&gt;Inputs!$B$5,ABS(W649)&lt;=Inputs!$B$7,W649&gt;0),1,0))</f>
        <v>0</v>
      </c>
      <c r="AP649" s="30" t="n">
        <f aca="false">IF(W649="",0,IF(AO649=1,-SIGN(W649),AN649))</f>
        <v>-1</v>
      </c>
      <c r="AQ649" s="30" t="n">
        <f aca="false">IF(W649="",0,IF(AO649=1,0,IF(AM649=1,0,AL649)))</f>
        <v>6</v>
      </c>
      <c r="AR649" s="29" t="n">
        <f aca="false">IF(AP649=0,0,IF(AP648=AP649,AR648,T649))</f>
        <v>1.00835980732837</v>
      </c>
      <c r="AS649" s="30" t="n">
        <f aca="false">AP649-AP648</f>
        <v>0</v>
      </c>
      <c r="AT649" s="30" t="n">
        <f aca="false">-AR649*AP649</f>
        <v>1.00835980732837</v>
      </c>
      <c r="AU649" s="30" t="n">
        <f aca="false">AT649-AT648</f>
        <v>0</v>
      </c>
      <c r="AV649" s="30" t="n">
        <f aca="false">MAX(AS649,0)*(Inputs!$B$17+Inputs!$B$18+Inputs!$B$19)+MAX(-AS649,0)*(O649+Inputs!$B$18+Inputs!$B$19)+IF(AND(K649=1,AP649&lt;&gt;0),(Inputs!$B$17+Inputs!$B$18+Inputs!$B$19)+(O649+Inputs!$B$18+Inputs!$B$19),0)+MAX(AU649,0)*(Inputs!$B$20+Inputs!$B$22+Inputs!$B$23)+MAX(-AU649,0)*(Inputs!$B$21+Inputs!$B$22+Inputs!$B$23)</f>
        <v>0</v>
      </c>
      <c r="AW649" s="30" t="n">
        <f aca="false">AP648*(M649-AR648*J649)+AP648*AR648*N649/Inputs!$B$16-AV649</f>
        <v>-0.00070966537532486</v>
      </c>
      <c r="AX649" s="30" t="n">
        <f aca="false">AW649-IF(AP648&lt;&gt;0,0.75*AR648*(Inputs!$B$13-N649)/Inputs!$B$16,0)</f>
        <v>-0.000964756398012095</v>
      </c>
      <c r="AY649" s="30" t="n">
        <f aca="false">MAX(AS649,0)*(Inputs!$B$17+Inputs!$B$18+Inputs!$B$19)+MAX(-AS649,0)*(O649+Inputs!$B$18+Inputs!$B$19)+IF(AND(K649=1,AP649&lt;&gt;0),(Inputs!$B$17+Inputs!$B$18+Inputs!$B$19)+(O649+Inputs!$B$18+Inputs!$B$19),0)</f>
        <v>0</v>
      </c>
      <c r="AZ649" s="30" t="n">
        <f aca="false">AP648*M649-AY649</f>
        <v>-0.00162055386541127</v>
      </c>
      <c r="BA649" s="32" t="n">
        <f aca="false">BA648+AI649</f>
        <v>0.00785527553625941</v>
      </c>
      <c r="BB649" s="30" t="n">
        <f aca="false">MAX(BB648,BA649)</f>
        <v>0.0108065678336457</v>
      </c>
      <c r="BC649" s="32" t="n">
        <f aca="false">BA649-BB649</f>
        <v>-0.00295129229738626</v>
      </c>
      <c r="BD649" s="30" t="n">
        <f aca="false">A650-A649</f>
        <v>1</v>
      </c>
    </row>
    <row r="650" customFormat="false" ht="15" hidden="false" customHeight="false" outlineLevel="0" collapsed="false">
      <c r="A650" s="28" t="n">
        <v>45996</v>
      </c>
      <c r="B650" s="0" t="n">
        <v>26336</v>
      </c>
      <c r="C650" s="0" t="n">
        <v>296</v>
      </c>
      <c r="D650" s="29" t="n">
        <f aca="false">LN(B650)</f>
        <v>10.1786921034768</v>
      </c>
      <c r="E650" s="29" t="n">
        <f aca="false">LN(C650)</f>
        <v>5.69035945432406</v>
      </c>
      <c r="F650" s="0" t="n">
        <v>645</v>
      </c>
      <c r="G650" s="0" t="n">
        <v>25</v>
      </c>
      <c r="H650" s="29" t="n">
        <f aca="false">D650-E650</f>
        <v>4.48833264915274</v>
      </c>
      <c r="I650" s="29" t="n">
        <f aca="false">D650-D649</f>
        <v>0.00574627779016801</v>
      </c>
      <c r="J650" s="29" t="n">
        <f aca="false">E650-E649</f>
        <v>0.0054540354375483</v>
      </c>
      <c r="K650" s="0" t="n">
        <v>0</v>
      </c>
      <c r="L650" s="0" t="n">
        <v>0</v>
      </c>
      <c r="M650" s="29" t="n">
        <f aca="false">IF(L650=1,J650-Carry!$B$9/Inputs!$B$16,I650)</f>
        <v>0.00574627779016801</v>
      </c>
      <c r="N650" s="0" t="n">
        <v>0.0525</v>
      </c>
      <c r="O650" s="0" t="n">
        <v>0.0002</v>
      </c>
      <c r="P650" s="29" t="n">
        <f aca="false">D650-('2 Hedge ratio'!$B$6+'2 Hedge ratio'!$B$5*E650)</f>
        <v>0.00378145628976689</v>
      </c>
      <c r="Q650" s="29" t="n">
        <f aca="false">D650-('5 Re-specification'!$B$7+'5 Re-specification'!$B$5*E650+'5 Re-specification'!$B$6*F650)</f>
        <v>0.00335567282416704</v>
      </c>
      <c r="R650" s="30" t="n">
        <f aca="false">MIN(F650,Inputs!$B$9)</f>
        <v>250</v>
      </c>
      <c r="S650" s="29" t="n">
        <f aca="true">IF(AND(F650&gt;=1,R650&gt;=Inputs!$B$10),INDEX(LINEST(OFFSET(D650,-R650,0,R650,1),OFFSET(E650,-R650,0,R650,2)),1,1),"")</f>
        <v>-5.85529004522975E-005</v>
      </c>
      <c r="T650" s="29" t="n">
        <f aca="true">IF(AND(F650&gt;=1,R650&gt;=Inputs!$B$10),INDEX(LINEST(OFFSET(D650,-R650,0,R650,1),OFFSET(E650,-R650,0,R650,2)),1,2),"")</f>
        <v>1.0146813009089</v>
      </c>
      <c r="U650" s="29" t="n">
        <f aca="true">IF(AND(F650&gt;=1,R650&gt;=Inputs!$B$10),INDEX(LINEST(OFFSET(D650,-R650,0,R650,1),OFFSET(E650,-R650,0,R650,2)),1,3),"")</f>
        <v>4.43911425440795</v>
      </c>
      <c r="V650" s="29" t="n">
        <f aca="true">IF(AND(F650&gt;=1,R650&gt;=Inputs!$B$10),SQRT(SUMPRODUCT((OFFSET(D650,-R650,0,R650,1)-U650-T650*OFFSET(E650,-R650,0,R650,1)-S650*OFFSET(F650,-R650,0,R650,1))^2)/(R650-3)),"")</f>
        <v>0.00234299811082059</v>
      </c>
      <c r="W650" s="31" t="n">
        <f aca="false">IF(AND(F650&gt;=1,R650&gt;=Inputs!$B$10),(D650-U650-T650*E650-S650*F650)/V650,"")</f>
        <v>1.4695428442354</v>
      </c>
      <c r="X650" s="30" t="n">
        <f aca="false">IF(AB649&lt;&gt;0,AC649+1,0)</f>
        <v>7</v>
      </c>
      <c r="Y650" s="30" t="n">
        <f aca="false">IF(W650="",0,IF(AND(AB649&lt;&gt;0,OR(ABS(W650)&gt;Inputs!$B$7,X650&gt;=Inputs!$B$8,ABS(W650)&lt;Inputs!$B$6)),1,0))</f>
        <v>0</v>
      </c>
      <c r="Z650" s="30" t="n">
        <f aca="false">IF(Y650=1,0,AB649)</f>
        <v>-1</v>
      </c>
      <c r="AA650" s="30" t="n">
        <f aca="false">IF(W650="",0,IF(AND(Z650=0,ABS(W650)&gt;Inputs!$B$5,ABS(W650)&lt;=Inputs!$B$7),1,0))</f>
        <v>0</v>
      </c>
      <c r="AB650" s="30" t="n">
        <f aca="false">IF(W650="",0,IF(AA650=1,-SIGN(W650),Z650))</f>
        <v>-1</v>
      </c>
      <c r="AC650" s="30" t="n">
        <f aca="false">IF(W650="",0,IF(AA650=1,0,IF(Y650=1,0,X650)))</f>
        <v>7</v>
      </c>
      <c r="AD650" s="29" t="n">
        <f aca="false">IF(AB650=0,0,IF(AB649=AB650,AD649,T650))</f>
        <v>1.00835980732837</v>
      </c>
      <c r="AE650" s="30" t="n">
        <f aca="false">AB650-AB649</f>
        <v>0</v>
      </c>
      <c r="AF650" s="30" t="n">
        <f aca="false">-AD650*AB650</f>
        <v>1.00835980732837</v>
      </c>
      <c r="AG650" s="30" t="n">
        <f aca="false">AF650-AF649</f>
        <v>0</v>
      </c>
      <c r="AH650" s="30" t="n">
        <f aca="false">MAX(AE650,0)*(Inputs!$B$17+Inputs!$B$18+Inputs!$B$19)+MAX(-AE650,0)*(O650+Inputs!$B$18+Inputs!$B$19)+IF(AND(K650=1,AB650&lt;&gt;0),(Inputs!$B$17+Inputs!$B$18+Inputs!$B$19)+(O650+Inputs!$B$18+Inputs!$B$19),0)+MAX(AG650,0)*(Inputs!$B$20+Inputs!$B$22+Inputs!$B$23)+MAX(-AG650,0)*(Inputs!$B$21+Inputs!$B$22+Inputs!$B$23)</f>
        <v>0</v>
      </c>
      <c r="AI650" s="30" t="n">
        <f aca="false">AB649*(M650-AD649*J650)+AB649*AD649*N650/Inputs!$B$16-AH650</f>
        <v>-0.000456722627059801</v>
      </c>
      <c r="AJ650" s="30" t="n">
        <f aca="false">MAX(AE650,0)*(Inputs!$B$17+Inputs!$B$24+Inputs!$B$25)+MAX(-AE650,0)*(O650+Inputs!$B$24+Inputs!$B$25)+IF(AND(K650=1,AB650&lt;&gt;0),(Inputs!$B$17+Inputs!$B$24+Inputs!$B$25)+(O650+Inputs!$B$24+Inputs!$B$25),0)+MAX(AG650,0)*(Inputs!$B$20+Inputs!$B$26+Inputs!$B$27)+MAX(-AG650,0)*(Inputs!$B$21+Inputs!$B$26+Inputs!$B$27)</f>
        <v>0</v>
      </c>
      <c r="AK650" s="30" t="n">
        <f aca="false">AB649*(M650-AD649*J650)+AB649*AD649*(N650+Inputs!$B$14)/Inputs!$B$16-AJ650</f>
        <v>-0.00048673333561124</v>
      </c>
      <c r="AL650" s="30" t="n">
        <f aca="false">IF(AP649&lt;&gt;0,AQ649+1,0)</f>
        <v>7</v>
      </c>
      <c r="AM650" s="30" t="n">
        <f aca="false">IF(W650="",0,IF(AND(AP649&lt;&gt;0,OR(ABS(W650)&gt;Inputs!$B$7,AL650&gt;=Inputs!$B$8,ABS(W650)&lt;Inputs!$B$6)),1,0))</f>
        <v>0</v>
      </c>
      <c r="AN650" s="30" t="n">
        <f aca="false">IF(AM650=1,0,AP649)</f>
        <v>-1</v>
      </c>
      <c r="AO650" s="30" t="n">
        <f aca="false">IF(W650="",0,IF(AND(AN650=0,ABS(W650)&gt;Inputs!$B$5,ABS(W650)&lt;=Inputs!$B$7,W650&gt;0),1,0))</f>
        <v>0</v>
      </c>
      <c r="AP650" s="30" t="n">
        <f aca="false">IF(W650="",0,IF(AO650=1,-SIGN(W650),AN650))</f>
        <v>-1</v>
      </c>
      <c r="AQ650" s="30" t="n">
        <f aca="false">IF(W650="",0,IF(AO650=1,0,IF(AM650=1,0,AL650)))</f>
        <v>7</v>
      </c>
      <c r="AR650" s="29" t="n">
        <f aca="false">IF(AP650=0,0,IF(AP649=AP650,AR649,T650))</f>
        <v>1.00835980732837</v>
      </c>
      <c r="AS650" s="30" t="n">
        <f aca="false">AP650-AP649</f>
        <v>0</v>
      </c>
      <c r="AT650" s="30" t="n">
        <f aca="false">-AR650*AP650</f>
        <v>1.00835980732837</v>
      </c>
      <c r="AU650" s="30" t="n">
        <f aca="false">AT650-AT649</f>
        <v>0</v>
      </c>
      <c r="AV650" s="30" t="n">
        <f aca="false">MAX(AS650,0)*(Inputs!$B$17+Inputs!$B$18+Inputs!$B$19)+MAX(-AS650,0)*(O650+Inputs!$B$18+Inputs!$B$19)+IF(AND(K650=1,AP650&lt;&gt;0),(Inputs!$B$17+Inputs!$B$18+Inputs!$B$19)+(O650+Inputs!$B$18+Inputs!$B$19),0)+MAX(AU650,0)*(Inputs!$B$20+Inputs!$B$22+Inputs!$B$23)+MAX(-AU650,0)*(Inputs!$B$21+Inputs!$B$22+Inputs!$B$23)</f>
        <v>0</v>
      </c>
      <c r="AW650" s="30" t="n">
        <f aca="false">AP649*(M650-AR649*J650)+AP649*AR649*N650/Inputs!$B$16-AV650</f>
        <v>-0.000456722627059801</v>
      </c>
      <c r="AX650" s="30" t="n">
        <f aca="false">AW650-IF(AP649&lt;&gt;0,0.75*AR649*(Inputs!$B$13-N650)/Inputs!$B$16,0)</f>
        <v>-0.000719316326884896</v>
      </c>
      <c r="AY650" s="30" t="n">
        <f aca="false">MAX(AS650,0)*(Inputs!$B$17+Inputs!$B$18+Inputs!$B$19)+MAX(-AS650,0)*(O650+Inputs!$B$18+Inputs!$B$19)+IF(AND(K650=1,AP650&lt;&gt;0),(Inputs!$B$17+Inputs!$B$18+Inputs!$B$19)+(O650+Inputs!$B$18+Inputs!$B$19),0)</f>
        <v>0</v>
      </c>
      <c r="AZ650" s="30" t="n">
        <f aca="false">AP649*M650-AY650</f>
        <v>-0.00574627779016801</v>
      </c>
      <c r="BA650" s="32" t="n">
        <f aca="false">BA649+AI650</f>
        <v>0.00739855290919961</v>
      </c>
      <c r="BB650" s="30" t="n">
        <f aca="false">MAX(BB649,BA650)</f>
        <v>0.0108065678336457</v>
      </c>
      <c r="BC650" s="32" t="n">
        <f aca="false">BA650-BB650</f>
        <v>-0.00340801492444606</v>
      </c>
      <c r="BD650" s="30" t="n">
        <f aca="false">A651-A650</f>
        <v>3</v>
      </c>
    </row>
    <row r="651" customFormat="false" ht="15" hidden="false" customHeight="false" outlineLevel="0" collapsed="false">
      <c r="A651" s="28" t="n">
        <v>45999</v>
      </c>
      <c r="B651" s="0" t="n">
        <v>26050</v>
      </c>
      <c r="C651" s="0" t="n">
        <v>293.25</v>
      </c>
      <c r="D651" s="29" t="n">
        <f aca="false">LN(B651)</f>
        <v>10.1677730471815</v>
      </c>
      <c r="E651" s="29" t="n">
        <f aca="false">LN(C651)</f>
        <v>5.68102548753359</v>
      </c>
      <c r="F651" s="0" t="n">
        <v>646</v>
      </c>
      <c r="G651" s="0" t="n">
        <v>22</v>
      </c>
      <c r="H651" s="29" t="n">
        <f aca="false">D651-E651</f>
        <v>4.48674755964793</v>
      </c>
      <c r="I651" s="29" t="n">
        <f aca="false">D651-D650</f>
        <v>-0.0109190562952843</v>
      </c>
      <c r="J651" s="29" t="n">
        <f aca="false">E651-E650</f>
        <v>-0.00933396679047505</v>
      </c>
      <c r="K651" s="0" t="n">
        <v>0</v>
      </c>
      <c r="L651" s="0" t="n">
        <v>0</v>
      </c>
      <c r="M651" s="29" t="n">
        <f aca="false">IF(L651=1,J651-Carry!$B$9/Inputs!$B$16,I651)</f>
        <v>-0.0109190562952843</v>
      </c>
      <c r="N651" s="0" t="n">
        <v>0.0525</v>
      </c>
      <c r="O651" s="0" t="n">
        <v>0.0002</v>
      </c>
      <c r="P651" s="29" t="n">
        <f aca="false">D651-('2 Hedge ratio'!$B$6+'2 Hedge ratio'!$B$5*E651)</f>
        <v>0.00141349674115787</v>
      </c>
      <c r="Q651" s="29" t="n">
        <f aca="false">D651-('5 Re-specification'!$B$7+'5 Re-specification'!$B$5*E651+'5 Re-specification'!$B$6*F651)</f>
        <v>0.00178722605089909</v>
      </c>
      <c r="R651" s="30" t="n">
        <f aca="false">MIN(F651,Inputs!$B$9)</f>
        <v>250</v>
      </c>
      <c r="S651" s="29" t="n">
        <f aca="true">IF(AND(F651&gt;=1,R651&gt;=Inputs!$B$10),INDEX(LINEST(OFFSET(D651,-R651,0,R651,1),OFFSET(E651,-R651,0,R651,2)),1,1),"")</f>
        <v>-5.82567082351609E-005</v>
      </c>
      <c r="T651" s="29" t="n">
        <f aca="true">IF(AND(F651&gt;=1,R651&gt;=Inputs!$B$10),INDEX(LINEST(OFFSET(D651,-R651,0,R651,1),OFFSET(E651,-R651,0,R651,2)),1,2),"")</f>
        <v>1.014797116329</v>
      </c>
      <c r="U651" s="29" t="n">
        <f aca="true">IF(AND(F651&gt;=1,R651&gt;=Inputs!$B$10),INDEX(LINEST(OFFSET(D651,-R651,0,R651,1),OFFSET(E651,-R651,0,R651,2)),1,3),"")</f>
        <v>4.43832239560359</v>
      </c>
      <c r="V651" s="29" t="n">
        <f aca="true">IF(AND(F651&gt;=1,R651&gt;=Inputs!$B$10),SQRT(SUMPRODUCT((OFFSET(D651,-R651,0,R651,1)-U651-T651*OFFSET(E651,-R651,0,R651,1)-S651*OFFSET(F651,-R651,0,R651,1))^2)/(R651-3)),"")</f>
        <v>0.00235297318153015</v>
      </c>
      <c r="W651" s="31" t="n">
        <f aca="false">IF(AND(F651&gt;=1,R651&gt;=Inputs!$B$10),(D651-U651-T651*E651-S651*F651)/V651,"")</f>
        <v>0.848374547099597</v>
      </c>
      <c r="X651" s="30" t="n">
        <f aca="false">IF(AB650&lt;&gt;0,AC650+1,0)</f>
        <v>8</v>
      </c>
      <c r="Y651" s="30" t="n">
        <f aca="false">IF(W651="",0,IF(AND(AB650&lt;&gt;0,OR(ABS(W651)&gt;Inputs!$B$7,X651&gt;=Inputs!$B$8,ABS(W651)&lt;Inputs!$B$6)),1,0))</f>
        <v>0</v>
      </c>
      <c r="Z651" s="30" t="n">
        <f aca="false">IF(Y651=1,0,AB650)</f>
        <v>-1</v>
      </c>
      <c r="AA651" s="30" t="n">
        <f aca="false">IF(W651="",0,IF(AND(Z651=0,ABS(W651)&gt;Inputs!$B$5,ABS(W651)&lt;=Inputs!$B$7),1,0))</f>
        <v>0</v>
      </c>
      <c r="AB651" s="30" t="n">
        <f aca="false">IF(W651="",0,IF(AA651=1,-SIGN(W651),Z651))</f>
        <v>-1</v>
      </c>
      <c r="AC651" s="30" t="n">
        <f aca="false">IF(W651="",0,IF(AA651=1,0,IF(Y651=1,0,X651)))</f>
        <v>8</v>
      </c>
      <c r="AD651" s="29" t="n">
        <f aca="false">IF(AB651=0,0,IF(AB650=AB651,AD650,T651))</f>
        <v>1.00835980732837</v>
      </c>
      <c r="AE651" s="30" t="n">
        <f aca="false">AB651-AB650</f>
        <v>0</v>
      </c>
      <c r="AF651" s="30" t="n">
        <f aca="false">-AD651*AB651</f>
        <v>1.00835980732837</v>
      </c>
      <c r="AG651" s="30" t="n">
        <f aca="false">AF651-AF650</f>
        <v>0</v>
      </c>
      <c r="AH651" s="30" t="n">
        <f aca="false">MAX(AE651,0)*(Inputs!$B$17+Inputs!$B$18+Inputs!$B$19)+MAX(-AE651,0)*(O651+Inputs!$B$18+Inputs!$B$19)+IF(AND(K651=1,AB651&lt;&gt;0),(Inputs!$B$17+Inputs!$B$18+Inputs!$B$19)+(O651+Inputs!$B$18+Inputs!$B$19),0)+MAX(AG651,0)*(Inputs!$B$20+Inputs!$B$22+Inputs!$B$23)+MAX(-AG651,0)*(Inputs!$B$21+Inputs!$B$22+Inputs!$B$23)</f>
        <v>0</v>
      </c>
      <c r="AI651" s="30" t="n">
        <f aca="false">AB650*(M651-AD650*J651)+AB650*AD650*N651/Inputs!$B$16-AH651</f>
        <v>0.00129698438097147</v>
      </c>
      <c r="AJ651" s="30" t="n">
        <f aca="false">MAX(AE651,0)*(Inputs!$B$17+Inputs!$B$24+Inputs!$B$25)+MAX(-AE651,0)*(O651+Inputs!$B$24+Inputs!$B$25)+IF(AND(K651=1,AB651&lt;&gt;0),(Inputs!$B$17+Inputs!$B$24+Inputs!$B$25)+(O651+Inputs!$B$24+Inputs!$B$25),0)+MAX(AG651,0)*(Inputs!$B$20+Inputs!$B$26+Inputs!$B$27)+MAX(-AG651,0)*(Inputs!$B$21+Inputs!$B$26+Inputs!$B$27)</f>
        <v>0</v>
      </c>
      <c r="AK651" s="30" t="n">
        <f aca="false">AB650*(M651-AD650*J651)+AB650*AD650*(N651+Inputs!$B$14)/Inputs!$B$16-AJ651</f>
        <v>0.00126697367242003</v>
      </c>
      <c r="AL651" s="30" t="n">
        <f aca="false">IF(AP650&lt;&gt;0,AQ650+1,0)</f>
        <v>8</v>
      </c>
      <c r="AM651" s="30" t="n">
        <f aca="false">IF(W651="",0,IF(AND(AP650&lt;&gt;0,OR(ABS(W651)&gt;Inputs!$B$7,AL651&gt;=Inputs!$B$8,ABS(W651)&lt;Inputs!$B$6)),1,0))</f>
        <v>0</v>
      </c>
      <c r="AN651" s="30" t="n">
        <f aca="false">IF(AM651=1,0,AP650)</f>
        <v>-1</v>
      </c>
      <c r="AO651" s="30" t="n">
        <f aca="false">IF(W651="",0,IF(AND(AN651=0,ABS(W651)&gt;Inputs!$B$5,ABS(W651)&lt;=Inputs!$B$7,W651&gt;0),1,0))</f>
        <v>0</v>
      </c>
      <c r="AP651" s="30" t="n">
        <f aca="false">IF(W651="",0,IF(AO651=1,-SIGN(W651),AN651))</f>
        <v>-1</v>
      </c>
      <c r="AQ651" s="30" t="n">
        <f aca="false">IF(W651="",0,IF(AO651=1,0,IF(AM651=1,0,AL651)))</f>
        <v>8</v>
      </c>
      <c r="AR651" s="29" t="n">
        <f aca="false">IF(AP651=0,0,IF(AP650=AP651,AR650,T651))</f>
        <v>1.00835980732837</v>
      </c>
      <c r="AS651" s="30" t="n">
        <f aca="false">AP651-AP650</f>
        <v>0</v>
      </c>
      <c r="AT651" s="30" t="n">
        <f aca="false">-AR651*AP651</f>
        <v>1.00835980732837</v>
      </c>
      <c r="AU651" s="30" t="n">
        <f aca="false">AT651-AT650</f>
        <v>0</v>
      </c>
      <c r="AV651" s="30" t="n">
        <f aca="false">MAX(AS651,0)*(Inputs!$B$17+Inputs!$B$18+Inputs!$B$19)+MAX(-AS651,0)*(O651+Inputs!$B$18+Inputs!$B$19)+IF(AND(K651=1,AP651&lt;&gt;0),(Inputs!$B$17+Inputs!$B$18+Inputs!$B$19)+(O651+Inputs!$B$18+Inputs!$B$19),0)+MAX(AU651,0)*(Inputs!$B$20+Inputs!$B$22+Inputs!$B$23)+MAX(-AU651,0)*(Inputs!$B$21+Inputs!$B$22+Inputs!$B$23)</f>
        <v>0</v>
      </c>
      <c r="AW651" s="30" t="n">
        <f aca="false">AP650*(M651-AR650*J651)+AP650*AR650*N651/Inputs!$B$16-AV651</f>
        <v>0.00129698438097147</v>
      </c>
      <c r="AX651" s="30" t="n">
        <f aca="false">AW651-IF(AP650&lt;&gt;0,0.75*AR650*(Inputs!$B$13-N651)/Inputs!$B$16,0)</f>
        <v>0.00103439068114638</v>
      </c>
      <c r="AY651" s="30" t="n">
        <f aca="false">MAX(AS651,0)*(Inputs!$B$17+Inputs!$B$18+Inputs!$B$19)+MAX(-AS651,0)*(O651+Inputs!$B$18+Inputs!$B$19)+IF(AND(K651=1,AP651&lt;&gt;0),(Inputs!$B$17+Inputs!$B$18+Inputs!$B$19)+(O651+Inputs!$B$18+Inputs!$B$19),0)</f>
        <v>0</v>
      </c>
      <c r="AZ651" s="30" t="n">
        <f aca="false">AP650*M651-AY651</f>
        <v>0.0109190562952843</v>
      </c>
      <c r="BA651" s="32" t="n">
        <f aca="false">BA650+AI651</f>
        <v>0.00869553729017108</v>
      </c>
      <c r="BB651" s="30" t="n">
        <f aca="false">MAX(BB650,BA651)</f>
        <v>0.0108065678336457</v>
      </c>
      <c r="BC651" s="32" t="n">
        <f aca="false">BA651-BB651</f>
        <v>-0.00211103054347459</v>
      </c>
      <c r="BD651" s="30" t="n">
        <f aca="false">A652-A651</f>
        <v>1</v>
      </c>
    </row>
    <row r="652" customFormat="false" ht="15" hidden="false" customHeight="false" outlineLevel="0" collapsed="false">
      <c r="A652" s="28" t="n">
        <v>46000</v>
      </c>
      <c r="B652" s="0" t="n">
        <v>25959.1</v>
      </c>
      <c r="C652" s="0" t="n">
        <v>292.4</v>
      </c>
      <c r="D652" s="29" t="n">
        <f aca="false">LN(B652)</f>
        <v>10.1642775014959</v>
      </c>
      <c r="E652" s="29" t="n">
        <f aca="false">LN(C652)</f>
        <v>5.67812272787562</v>
      </c>
      <c r="F652" s="0" t="n">
        <v>647</v>
      </c>
      <c r="G652" s="0" t="n">
        <v>21</v>
      </c>
      <c r="H652" s="29" t="n">
        <f aca="false">D652-E652</f>
        <v>4.48615477362032</v>
      </c>
      <c r="I652" s="29" t="n">
        <f aca="false">D652-D651</f>
        <v>-0.00349554568556876</v>
      </c>
      <c r="J652" s="29" t="n">
        <f aca="false">E652-E651</f>
        <v>-0.00290275965796205</v>
      </c>
      <c r="K652" s="0" t="n">
        <v>0</v>
      </c>
      <c r="L652" s="0" t="n">
        <v>0</v>
      </c>
      <c r="M652" s="29" t="n">
        <f aca="false">IF(L652=1,J652-Carry!$B$9/Inputs!$B$16,I652)</f>
        <v>-0.00349554568556876</v>
      </c>
      <c r="N652" s="0" t="n">
        <v>0.0525</v>
      </c>
      <c r="O652" s="0" t="n">
        <v>0.0002</v>
      </c>
      <c r="P652" s="29" t="n">
        <f aca="false">D652-('2 Hedge ratio'!$B$6+'2 Hedge ratio'!$B$5*E652)</f>
        <v>0.000577246853909585</v>
      </c>
      <c r="Q652" s="29" t="n">
        <f aca="false">D652-('5 Re-specification'!$B$7+'5 Re-specification'!$B$5*E652+'5 Re-specification'!$B$6*F652)</f>
        <v>0.00123057252818448</v>
      </c>
      <c r="R652" s="30" t="n">
        <f aca="false">MIN(F652,Inputs!$B$9)</f>
        <v>250</v>
      </c>
      <c r="S652" s="29" t="n">
        <f aca="true">IF(AND(F652&gt;=1,R652&gt;=Inputs!$B$10),INDEX(LINEST(OFFSET(D652,-R652,0,R652,1),OFFSET(E652,-R652,0,R652,2)),1,1),"")</f>
        <v>-5.82843337584474E-005</v>
      </c>
      <c r="T652" s="29" t="n">
        <f aca="true">IF(AND(F652&gt;=1,R652&gt;=Inputs!$B$10),INDEX(LINEST(OFFSET(D652,-R652,0,R652,1),OFFSET(E652,-R652,0,R652,2)),1,2),"")</f>
        <v>1.01508809565915</v>
      </c>
      <c r="U652" s="29" t="n">
        <f aca="true">IF(AND(F652&gt;=1,R652&gt;=Inputs!$B$10),INDEX(LINEST(OFFSET(D652,-R652,0,R652,1),OFFSET(E652,-R652,0,R652,2)),1,3),"")</f>
        <v>4.43671349581975</v>
      </c>
      <c r="V652" s="29" t="n">
        <f aca="true">IF(AND(F652&gt;=1,R652&gt;=Inputs!$B$10),SQRT(SUMPRODUCT((OFFSET(D652,-R652,0,R652,1)-U652-T652*OFFSET(E652,-R652,0,R652,1)-S652*OFFSET(F652,-R652,0,R652,1))^2)/(R652-3)),"")</f>
        <v>0.00235594072450893</v>
      </c>
      <c r="W652" s="31" t="n">
        <f aca="false">IF(AND(F652&gt;=1,R652&gt;=Inputs!$B$10),(D652-U652-T652*E652-S652*F652)/V652,"")</f>
        <v>0.627852324255019</v>
      </c>
      <c r="X652" s="30" t="n">
        <f aca="false">IF(AB651&lt;&gt;0,AC651+1,0)</f>
        <v>9</v>
      </c>
      <c r="Y652" s="30" t="n">
        <f aca="false">IF(W652="",0,IF(AND(AB651&lt;&gt;0,OR(ABS(W652)&gt;Inputs!$B$7,X652&gt;=Inputs!$B$8,ABS(W652)&lt;Inputs!$B$6)),1,0))</f>
        <v>0</v>
      </c>
      <c r="Z652" s="30" t="n">
        <f aca="false">IF(Y652=1,0,AB651)</f>
        <v>-1</v>
      </c>
      <c r="AA652" s="30" t="n">
        <f aca="false">IF(W652="",0,IF(AND(Z652=0,ABS(W652)&gt;Inputs!$B$5,ABS(W652)&lt;=Inputs!$B$7),1,0))</f>
        <v>0</v>
      </c>
      <c r="AB652" s="30" t="n">
        <f aca="false">IF(W652="",0,IF(AA652=1,-SIGN(W652),Z652))</f>
        <v>-1</v>
      </c>
      <c r="AC652" s="30" t="n">
        <f aca="false">IF(W652="",0,IF(AA652=1,0,IF(Y652=1,0,X652)))</f>
        <v>9</v>
      </c>
      <c r="AD652" s="29" t="n">
        <f aca="false">IF(AB652=0,0,IF(AB651=AB652,AD651,T652))</f>
        <v>1.00835980732837</v>
      </c>
      <c r="AE652" s="30" t="n">
        <f aca="false">AB652-AB651</f>
        <v>0</v>
      </c>
      <c r="AF652" s="30" t="n">
        <f aca="false">-AD652*AB652</f>
        <v>1.00835980732837</v>
      </c>
      <c r="AG652" s="30" t="n">
        <f aca="false">AF652-AF651</f>
        <v>0</v>
      </c>
      <c r="AH652" s="30" t="n">
        <f aca="false">MAX(AE652,0)*(Inputs!$B$17+Inputs!$B$18+Inputs!$B$19)+MAX(-AE652,0)*(O652+Inputs!$B$18+Inputs!$B$19)+IF(AND(K652=1,AB652&lt;&gt;0),(Inputs!$B$17+Inputs!$B$18+Inputs!$B$19)+(O652+Inputs!$B$18+Inputs!$B$19),0)+MAX(AG652,0)*(Inputs!$B$20+Inputs!$B$22+Inputs!$B$23)+MAX(-AG652,0)*(Inputs!$B$21+Inputs!$B$22+Inputs!$B$23)</f>
        <v>0</v>
      </c>
      <c r="AI652" s="30" t="n">
        <f aca="false">AB651*(M652-AD651*J652)+AB651*AD651*N652/Inputs!$B$16-AH652</f>
        <v>0.000358444556285514</v>
      </c>
      <c r="AJ652" s="30" t="n">
        <f aca="false">MAX(AE652,0)*(Inputs!$B$17+Inputs!$B$24+Inputs!$B$25)+MAX(-AE652,0)*(O652+Inputs!$B$24+Inputs!$B$25)+IF(AND(K652=1,AB652&lt;&gt;0),(Inputs!$B$17+Inputs!$B$24+Inputs!$B$25)+(O652+Inputs!$B$24+Inputs!$B$25),0)+MAX(AG652,0)*(Inputs!$B$20+Inputs!$B$26+Inputs!$B$27)+MAX(-AG652,0)*(Inputs!$B$21+Inputs!$B$26+Inputs!$B$27)</f>
        <v>0</v>
      </c>
      <c r="AK652" s="30" t="n">
        <f aca="false">AB651*(M652-AD651*J652)+AB651*AD651*(N652+Inputs!$B$14)/Inputs!$B$16-AJ652</f>
        <v>0.000328433847734074</v>
      </c>
      <c r="AL652" s="30" t="n">
        <f aca="false">IF(AP651&lt;&gt;0,AQ651+1,0)</f>
        <v>9</v>
      </c>
      <c r="AM652" s="30" t="n">
        <f aca="false">IF(W652="",0,IF(AND(AP651&lt;&gt;0,OR(ABS(W652)&gt;Inputs!$B$7,AL652&gt;=Inputs!$B$8,ABS(W652)&lt;Inputs!$B$6)),1,0))</f>
        <v>0</v>
      </c>
      <c r="AN652" s="30" t="n">
        <f aca="false">IF(AM652=1,0,AP651)</f>
        <v>-1</v>
      </c>
      <c r="AO652" s="30" t="n">
        <f aca="false">IF(W652="",0,IF(AND(AN652=0,ABS(W652)&gt;Inputs!$B$5,ABS(W652)&lt;=Inputs!$B$7,W652&gt;0),1,0))</f>
        <v>0</v>
      </c>
      <c r="AP652" s="30" t="n">
        <f aca="false">IF(W652="",0,IF(AO652=1,-SIGN(W652),AN652))</f>
        <v>-1</v>
      </c>
      <c r="AQ652" s="30" t="n">
        <f aca="false">IF(W652="",0,IF(AO652=1,0,IF(AM652=1,0,AL652)))</f>
        <v>9</v>
      </c>
      <c r="AR652" s="29" t="n">
        <f aca="false">IF(AP652=0,0,IF(AP651=AP652,AR651,T652))</f>
        <v>1.00835980732837</v>
      </c>
      <c r="AS652" s="30" t="n">
        <f aca="false">AP652-AP651</f>
        <v>0</v>
      </c>
      <c r="AT652" s="30" t="n">
        <f aca="false">-AR652*AP652</f>
        <v>1.00835980732837</v>
      </c>
      <c r="AU652" s="30" t="n">
        <f aca="false">AT652-AT651</f>
        <v>0</v>
      </c>
      <c r="AV652" s="30" t="n">
        <f aca="false">MAX(AS652,0)*(Inputs!$B$17+Inputs!$B$18+Inputs!$B$19)+MAX(-AS652,0)*(O652+Inputs!$B$18+Inputs!$B$19)+IF(AND(K652=1,AP652&lt;&gt;0),(Inputs!$B$17+Inputs!$B$18+Inputs!$B$19)+(O652+Inputs!$B$18+Inputs!$B$19),0)+MAX(AU652,0)*(Inputs!$B$20+Inputs!$B$22+Inputs!$B$23)+MAX(-AU652,0)*(Inputs!$B$21+Inputs!$B$22+Inputs!$B$23)</f>
        <v>0</v>
      </c>
      <c r="AW652" s="30" t="n">
        <f aca="false">AP651*(M652-AR651*J652)+AP651*AR651*N652/Inputs!$B$16-AV652</f>
        <v>0.000358444556285514</v>
      </c>
      <c r="AX652" s="30" t="n">
        <f aca="false">AW652-IF(AP651&lt;&gt;0,0.75*AR651*(Inputs!$B$13-N652)/Inputs!$B$16,0)</f>
        <v>9.58508564604181E-005</v>
      </c>
      <c r="AY652" s="30" t="n">
        <f aca="false">MAX(AS652,0)*(Inputs!$B$17+Inputs!$B$18+Inputs!$B$19)+MAX(-AS652,0)*(O652+Inputs!$B$18+Inputs!$B$19)+IF(AND(K652=1,AP652&lt;&gt;0),(Inputs!$B$17+Inputs!$B$18+Inputs!$B$19)+(O652+Inputs!$B$18+Inputs!$B$19),0)</f>
        <v>0</v>
      </c>
      <c r="AZ652" s="30" t="n">
        <f aca="false">AP651*M652-AY652</f>
        <v>0.00349554568556876</v>
      </c>
      <c r="BA652" s="32" t="n">
        <f aca="false">BA651+AI652</f>
        <v>0.0090539818464566</v>
      </c>
      <c r="BB652" s="30" t="n">
        <f aca="false">MAX(BB651,BA652)</f>
        <v>0.0108065678336457</v>
      </c>
      <c r="BC652" s="32" t="n">
        <f aca="false">BA652-BB652</f>
        <v>-0.00175258598718907</v>
      </c>
      <c r="BD652" s="30" t="n">
        <f aca="false">A653-A652</f>
        <v>1</v>
      </c>
    </row>
    <row r="653" customFormat="false" ht="15" hidden="false" customHeight="false" outlineLevel="0" collapsed="false">
      <c r="A653" s="28" t="n">
        <v>46001</v>
      </c>
      <c r="B653" s="0" t="n">
        <v>25855</v>
      </c>
      <c r="C653" s="0" t="n">
        <v>291.6</v>
      </c>
      <c r="D653" s="29" t="n">
        <f aca="false">LN(B653)</f>
        <v>10.1602592848303</v>
      </c>
      <c r="E653" s="29" t="n">
        <f aca="false">LN(C653)</f>
        <v>5.6753830001345</v>
      </c>
      <c r="F653" s="0" t="n">
        <v>648</v>
      </c>
      <c r="G653" s="0" t="n">
        <v>20</v>
      </c>
      <c r="H653" s="29" t="n">
        <f aca="false">D653-E653</f>
        <v>4.48487628469582</v>
      </c>
      <c r="I653" s="29" t="n">
        <f aca="false">D653-D652</f>
        <v>-0.00401821666562263</v>
      </c>
      <c r="J653" s="29" t="n">
        <f aca="false">E653-E652</f>
        <v>-0.00273972774111986</v>
      </c>
      <c r="K653" s="0" t="n">
        <v>0</v>
      </c>
      <c r="L653" s="0" t="n">
        <v>0</v>
      </c>
      <c r="M653" s="29" t="n">
        <f aca="false">IF(L653=1,J653-Carry!$B$9/Inputs!$B$16,I653)</f>
        <v>-0.00401821666562263</v>
      </c>
      <c r="N653" s="0" t="n">
        <v>0.0525</v>
      </c>
      <c r="O653" s="0" t="n">
        <v>0.0002</v>
      </c>
      <c r="P653" s="29" t="n">
        <f aca="false">D653-('2 Hedge ratio'!$B$6+'2 Hedge ratio'!$B$5*E653)</f>
        <v>-0.000931031915023084</v>
      </c>
      <c r="Q653" s="29" t="n">
        <f aca="false">D653-('5 Re-specification'!$B$7+'5 Re-specification'!$B$5*E653+'5 Re-specification'!$B$6*F653)</f>
        <v>-1.12898231989789E-005</v>
      </c>
      <c r="R653" s="30" t="n">
        <f aca="false">MIN(F653,Inputs!$B$9)</f>
        <v>250</v>
      </c>
      <c r="S653" s="29" t="n">
        <f aca="true">IF(AND(F653&gt;=1,R653&gt;=Inputs!$B$10),INDEX(LINEST(OFFSET(D653,-R653,0,R653,1),OFFSET(E653,-R653,0,R653,2)),1,1),"")</f>
        <v>-5.83553116081713E-005</v>
      </c>
      <c r="T653" s="29" t="n">
        <f aca="true">IF(AND(F653&gt;=1,R653&gt;=Inputs!$B$10),INDEX(LINEST(OFFSET(D653,-R653,0,R653,1),OFFSET(E653,-R653,0,R653,2)),1,2),"")</f>
        <v>1.01536125044683</v>
      </c>
      <c r="U653" s="29" t="n">
        <f aca="true">IF(AND(F653&gt;=1,R653&gt;=Inputs!$B$10),INDEX(LINEST(OFFSET(D653,-R653,0,R653,1),OFFSET(E653,-R653,0,R653,2)),1,3),"")</f>
        <v>4.4352253022801</v>
      </c>
      <c r="V653" s="29" t="n">
        <f aca="true">IF(AND(F653&gt;=1,R653&gt;=Inputs!$B$10),SQRT(SUMPRODUCT((OFFSET(D653,-R653,0,R653,1)-U653-T653*OFFSET(E653,-R653,0,R653,1)-S653*OFFSET(F653,-R653,0,R653,1))^2)/(R653-3)),"")</f>
        <v>0.00235736497113917</v>
      </c>
      <c r="W653" s="31" t="n">
        <f aca="false">IF(AND(F653&gt;=1,R653&gt;=Inputs!$B$10),(D653-U653-T653*E653-S653*F653)/V653,"")</f>
        <v>0.12057729479094</v>
      </c>
      <c r="X653" s="30" t="n">
        <f aca="false">IF(AB652&lt;&gt;0,AC652+1,0)</f>
        <v>10</v>
      </c>
      <c r="Y653" s="30" t="n">
        <f aca="false">IF(W653="",0,IF(AND(AB652&lt;&gt;0,OR(ABS(W653)&gt;Inputs!$B$7,X653&gt;=Inputs!$B$8,ABS(W653)&lt;Inputs!$B$6)),1,0))</f>
        <v>1</v>
      </c>
      <c r="Z653" s="30" t="n">
        <f aca="false">IF(Y653=1,0,AB652)</f>
        <v>0</v>
      </c>
      <c r="AA653" s="30" t="n">
        <f aca="false">IF(W653="",0,IF(AND(Z653=0,ABS(W653)&gt;Inputs!$B$5,ABS(W653)&lt;=Inputs!$B$7),1,0))</f>
        <v>0</v>
      </c>
      <c r="AB653" s="30" t="n">
        <f aca="false">IF(W653="",0,IF(AA653=1,-SIGN(W653),Z653))</f>
        <v>0</v>
      </c>
      <c r="AC653" s="30" t="n">
        <f aca="false">IF(W653="",0,IF(AA653=1,0,IF(Y653=1,0,X653)))</f>
        <v>0</v>
      </c>
      <c r="AD653" s="30" t="n">
        <f aca="false">IF(AB653=0,0,IF(AB652=AB653,AD652,T653))</f>
        <v>0</v>
      </c>
      <c r="AE653" s="30" t="n">
        <f aca="false">AB653-AB652</f>
        <v>1</v>
      </c>
      <c r="AF653" s="30" t="n">
        <f aca="false">-AD653*AB653</f>
        <v>-0</v>
      </c>
      <c r="AG653" s="30" t="n">
        <f aca="false">AF653-AF652</f>
        <v>-1.00835980732837</v>
      </c>
      <c r="AH653" s="30" t="n">
        <f aca="false">MAX(AE653,0)*(Inputs!$B$17+Inputs!$B$18+Inputs!$B$19)+MAX(-AE653,0)*(O653+Inputs!$B$18+Inputs!$B$19)+IF(AND(K653=1,AB653&lt;&gt;0),(Inputs!$B$17+Inputs!$B$18+Inputs!$B$19)+(O653+Inputs!$B$18+Inputs!$B$19),0)+MAX(AG653,0)*(Inputs!$B$20+Inputs!$B$22+Inputs!$B$23)+MAX(-AG653,0)*(Inputs!$B$21+Inputs!$B$22+Inputs!$B$23)</f>
        <v>0.000366755559538957</v>
      </c>
      <c r="AI653" s="30" t="n">
        <f aca="false">AB652*(M653-AD652*J653)+AB652*AD652*N653/Inputs!$B$16-AH653</f>
        <v>0.000678754809055799</v>
      </c>
      <c r="AJ653" s="30" t="n">
        <f aca="false">MAX(AE653,0)*(Inputs!$B$17+Inputs!$B$24+Inputs!$B$25)+MAX(-AE653,0)*(O653+Inputs!$B$24+Inputs!$B$25)+IF(AND(K653=1,AB653&lt;&gt;0),(Inputs!$B$17+Inputs!$B$24+Inputs!$B$25)+(O653+Inputs!$B$24+Inputs!$B$25),0)+MAX(AG653,0)*(Inputs!$B$20+Inputs!$B$26+Inputs!$B$27)+MAX(-AG653,0)*(Inputs!$B$21+Inputs!$B$26+Inputs!$B$27)</f>
        <v>0.000205961377842762</v>
      </c>
      <c r="AK653" s="30" t="n">
        <f aca="false">AB652*(M653-AD652*J653)+AB652*AD652*(N653+Inputs!$B$14)/Inputs!$B$16-AJ653</f>
        <v>0.000809538282200555</v>
      </c>
      <c r="AL653" s="30" t="n">
        <f aca="false">IF(AP652&lt;&gt;0,AQ652+1,0)</f>
        <v>10</v>
      </c>
      <c r="AM653" s="30" t="n">
        <f aca="false">IF(W653="",0,IF(AND(AP652&lt;&gt;0,OR(ABS(W653)&gt;Inputs!$B$7,AL653&gt;=Inputs!$B$8,ABS(W653)&lt;Inputs!$B$6)),1,0))</f>
        <v>1</v>
      </c>
      <c r="AN653" s="30" t="n">
        <f aca="false">IF(AM653=1,0,AP652)</f>
        <v>0</v>
      </c>
      <c r="AO653" s="30" t="n">
        <f aca="false">IF(W653="",0,IF(AND(AN653=0,ABS(W653)&gt;Inputs!$B$5,ABS(W653)&lt;=Inputs!$B$7,W653&gt;0),1,0))</f>
        <v>0</v>
      </c>
      <c r="AP653" s="30" t="n">
        <f aca="false">IF(W653="",0,IF(AO653=1,-SIGN(W653),AN653))</f>
        <v>0</v>
      </c>
      <c r="AQ653" s="30" t="n">
        <f aca="false">IF(W653="",0,IF(AO653=1,0,IF(AM653=1,0,AL653)))</f>
        <v>0</v>
      </c>
      <c r="AR653" s="30" t="n">
        <f aca="false">IF(AP653=0,0,IF(AP652=AP653,AR652,T653))</f>
        <v>0</v>
      </c>
      <c r="AS653" s="30" t="n">
        <f aca="false">AP653-AP652</f>
        <v>1</v>
      </c>
      <c r="AT653" s="30" t="n">
        <f aca="false">-AR653*AP653</f>
        <v>-0</v>
      </c>
      <c r="AU653" s="30" t="n">
        <f aca="false">AT653-AT652</f>
        <v>-1.00835980732837</v>
      </c>
      <c r="AV653" s="30" t="n">
        <f aca="false">MAX(AS653,0)*(Inputs!$B$17+Inputs!$B$18+Inputs!$B$19)+MAX(-AS653,0)*(O653+Inputs!$B$18+Inputs!$B$19)+IF(AND(K653=1,AP653&lt;&gt;0),(Inputs!$B$17+Inputs!$B$18+Inputs!$B$19)+(O653+Inputs!$B$18+Inputs!$B$19),0)+MAX(AU653,0)*(Inputs!$B$20+Inputs!$B$22+Inputs!$B$23)+MAX(-AU653,0)*(Inputs!$B$21+Inputs!$B$22+Inputs!$B$23)</f>
        <v>0.000366755559538957</v>
      </c>
      <c r="AW653" s="30" t="n">
        <f aca="false">AP652*(M653-AR652*J653)+AP652*AR652*N653/Inputs!$B$16-AV653</f>
        <v>0.000678754809055799</v>
      </c>
      <c r="AX653" s="30" t="n">
        <f aca="false">AW653-IF(AP652&lt;&gt;0,0.75*AR652*(Inputs!$B$13-N653)/Inputs!$B$16,0)</f>
        <v>0.000416161109230704</v>
      </c>
      <c r="AY653" s="30" t="n">
        <f aca="false">MAX(AS653,0)*(Inputs!$B$17+Inputs!$B$18+Inputs!$B$19)+MAX(-AS653,0)*(O653+Inputs!$B$18+Inputs!$B$19)+IF(AND(K653=1,AP653&lt;&gt;0),(Inputs!$B$17+Inputs!$B$18+Inputs!$B$19)+(O653+Inputs!$B$18+Inputs!$B$19),0)</f>
        <v>0.000155</v>
      </c>
      <c r="AZ653" s="30" t="n">
        <f aca="false">AP652*M653-AY653</f>
        <v>0.00386321666562263</v>
      </c>
      <c r="BA653" s="32" t="n">
        <f aca="false">BA652+AI653</f>
        <v>0.0097327366555124</v>
      </c>
      <c r="BB653" s="30" t="n">
        <f aca="false">MAX(BB652,BA653)</f>
        <v>0.0108065678336457</v>
      </c>
      <c r="BC653" s="32" t="n">
        <f aca="false">BA653-BB653</f>
        <v>-0.00107383117813327</v>
      </c>
      <c r="BD653" s="30" t="n">
        <f aca="false">A654-A653</f>
        <v>1</v>
      </c>
    </row>
    <row r="654" customFormat="false" ht="15" hidden="false" customHeight="false" outlineLevel="0" collapsed="false">
      <c r="A654" s="28" t="n">
        <v>46002</v>
      </c>
      <c r="B654" s="0" t="n">
        <v>26008.4</v>
      </c>
      <c r="C654" s="0" t="n">
        <v>293.03</v>
      </c>
      <c r="D654" s="29" t="n">
        <f aca="false">LN(B654)</f>
        <v>10.1661748417486</v>
      </c>
      <c r="E654" s="29" t="n">
        <f aca="false">LN(C654)</f>
        <v>5.68027499285416</v>
      </c>
      <c r="F654" s="0" t="n">
        <v>649</v>
      </c>
      <c r="G654" s="0" t="n">
        <v>19</v>
      </c>
      <c r="H654" s="29" t="n">
        <f aca="false">D654-E654</f>
        <v>4.48589984889442</v>
      </c>
      <c r="I654" s="29" t="n">
        <f aca="false">D654-D653</f>
        <v>0.00591555691826429</v>
      </c>
      <c r="J654" s="29" t="n">
        <f aca="false">E654-E653</f>
        <v>0.00489199271965823</v>
      </c>
      <c r="K654" s="0" t="n">
        <v>0</v>
      </c>
      <c r="L654" s="0" t="n">
        <v>0</v>
      </c>
      <c r="M654" s="29" t="n">
        <f aca="false">IF(L654=1,J654-Carry!$B$9/Inputs!$B$16,I654)</f>
        <v>0.00591555691826429</v>
      </c>
      <c r="N654" s="0" t="n">
        <v>0.0525</v>
      </c>
      <c r="O654" s="0" t="n">
        <v>0.0002</v>
      </c>
      <c r="P654" s="29" t="n">
        <f aca="false">D654-('2 Hedge ratio'!$B$6+'2 Hedge ratio'!$B$5*E654)</f>
        <v>0.000502839566721036</v>
      </c>
      <c r="Q654" s="29" t="n">
        <f aca="false">D654-('5 Re-specification'!$B$7+'5 Re-specification'!$B$5*E654+'5 Re-specification'!$B$6*F654)</f>
        <v>0.00107202887754454</v>
      </c>
      <c r="R654" s="30" t="n">
        <f aca="false">MIN(F654,Inputs!$B$9)</f>
        <v>250</v>
      </c>
      <c r="S654" s="29" t="n">
        <f aca="true">IF(AND(F654&gt;=1,R654&gt;=Inputs!$B$10),INDEX(LINEST(OFFSET(D654,-R654,0,R654,1),OFFSET(E654,-R654,0,R654,2)),1,1),"")</f>
        <v>-5.873469282381E-005</v>
      </c>
      <c r="T654" s="29" t="n">
        <f aca="true">IF(AND(F654&gt;=1,R654&gt;=Inputs!$B$10),INDEX(LINEST(OFFSET(D654,-R654,0,R654,1),OFFSET(E654,-R654,0,R654,2)),1,2),"")</f>
        <v>1.01589474923712</v>
      </c>
      <c r="U654" s="29" t="n">
        <f aca="true">IF(AND(F654&gt;=1,R654&gt;=Inputs!$B$10),INDEX(LINEST(OFFSET(D654,-R654,0,R654,1),OFFSET(E654,-R654,0,R654,2)),1,3),"")</f>
        <v>4.43243386738585</v>
      </c>
      <c r="V654" s="29" t="n">
        <f aca="true">IF(AND(F654&gt;=1,R654&gt;=Inputs!$B$10),SQRT(SUMPRODUCT((OFFSET(D654,-R654,0,R654,1)-U654-T654*OFFSET(E654,-R654,0,R654,1)-S654*OFFSET(F654,-R654,0,R654,1))^2)/(R654-3)),"")</f>
        <v>0.00235603376258175</v>
      </c>
      <c r="W654" s="31" t="n">
        <f aca="false">IF(AND(F654&gt;=1,R654&gt;=Inputs!$B$10),(D654-U654-T654*E654-S654*F654)/V654,"")</f>
        <v>0.551032231594466</v>
      </c>
      <c r="X654" s="30" t="n">
        <f aca="false">IF(AB653&lt;&gt;0,AC653+1,0)</f>
        <v>0</v>
      </c>
      <c r="Y654" s="30" t="n">
        <f aca="false">IF(W654="",0,IF(AND(AB653&lt;&gt;0,OR(ABS(W654)&gt;Inputs!$B$7,X654&gt;=Inputs!$B$8,ABS(W654)&lt;Inputs!$B$6)),1,0))</f>
        <v>0</v>
      </c>
      <c r="Z654" s="30" t="n">
        <f aca="false">IF(Y654=1,0,AB653)</f>
        <v>0</v>
      </c>
      <c r="AA654" s="30" t="n">
        <f aca="false">IF(W654="",0,IF(AND(Z654=0,ABS(W654)&gt;Inputs!$B$5,ABS(W654)&lt;=Inputs!$B$7),1,0))</f>
        <v>0</v>
      </c>
      <c r="AB654" s="30" t="n">
        <f aca="false">IF(W654="",0,IF(AA654=1,-SIGN(W654),Z654))</f>
        <v>0</v>
      </c>
      <c r="AC654" s="30" t="n">
        <f aca="false">IF(W654="",0,IF(AA654=1,0,IF(Y654=1,0,X654)))</f>
        <v>0</v>
      </c>
      <c r="AD654" s="30" t="n">
        <f aca="false">IF(AB654=0,0,IF(AB653=AB654,AD653,T654))</f>
        <v>0</v>
      </c>
      <c r="AE654" s="30" t="n">
        <f aca="false">AB654-AB653</f>
        <v>0</v>
      </c>
      <c r="AF654" s="30" t="n">
        <f aca="false">-AD654*AB654</f>
        <v>-0</v>
      </c>
      <c r="AG654" s="30" t="n">
        <f aca="false">AF654-AF653</f>
        <v>0</v>
      </c>
      <c r="AH654" s="30" t="n">
        <f aca="false">MAX(AE654,0)*(Inputs!$B$17+Inputs!$B$18+Inputs!$B$19)+MAX(-AE654,0)*(O654+Inputs!$B$18+Inputs!$B$19)+IF(AND(K654=1,AB654&lt;&gt;0),(Inputs!$B$17+Inputs!$B$18+Inputs!$B$19)+(O654+Inputs!$B$18+Inputs!$B$19),0)+MAX(AG654,0)*(Inputs!$B$20+Inputs!$B$22+Inputs!$B$23)+MAX(-AG654,0)*(Inputs!$B$21+Inputs!$B$22+Inputs!$B$23)</f>
        <v>0</v>
      </c>
      <c r="AI654" s="30" t="n">
        <f aca="false">AB653*(M654-AD653*J654)+AB653*AD653*N654/Inputs!$B$16-AH654</f>
        <v>0</v>
      </c>
      <c r="AJ654" s="30" t="n">
        <f aca="false">MAX(AE654,0)*(Inputs!$B$17+Inputs!$B$24+Inputs!$B$25)+MAX(-AE654,0)*(O654+Inputs!$B$24+Inputs!$B$25)+IF(AND(K654=1,AB654&lt;&gt;0),(Inputs!$B$17+Inputs!$B$24+Inputs!$B$25)+(O654+Inputs!$B$24+Inputs!$B$25),0)+MAX(AG654,0)*(Inputs!$B$20+Inputs!$B$26+Inputs!$B$27)+MAX(-AG654,0)*(Inputs!$B$21+Inputs!$B$26+Inputs!$B$27)</f>
        <v>0</v>
      </c>
      <c r="AK654" s="30" t="n">
        <f aca="false">AB653*(M654-AD653*J654)+AB653*AD653*(N654+Inputs!$B$14)/Inputs!$B$16-AJ654</f>
        <v>0</v>
      </c>
      <c r="AL654" s="30" t="n">
        <f aca="false">IF(AP653&lt;&gt;0,AQ653+1,0)</f>
        <v>0</v>
      </c>
      <c r="AM654" s="30" t="n">
        <f aca="false">IF(W654="",0,IF(AND(AP653&lt;&gt;0,OR(ABS(W654)&gt;Inputs!$B$7,AL654&gt;=Inputs!$B$8,ABS(W654)&lt;Inputs!$B$6)),1,0))</f>
        <v>0</v>
      </c>
      <c r="AN654" s="30" t="n">
        <f aca="false">IF(AM654=1,0,AP653)</f>
        <v>0</v>
      </c>
      <c r="AO654" s="30" t="n">
        <f aca="false">IF(W654="",0,IF(AND(AN654=0,ABS(W654)&gt;Inputs!$B$5,ABS(W654)&lt;=Inputs!$B$7,W654&gt;0),1,0))</f>
        <v>0</v>
      </c>
      <c r="AP654" s="30" t="n">
        <f aca="false">IF(W654="",0,IF(AO654=1,-SIGN(W654),AN654))</f>
        <v>0</v>
      </c>
      <c r="AQ654" s="30" t="n">
        <f aca="false">IF(W654="",0,IF(AO654=1,0,IF(AM654=1,0,AL654)))</f>
        <v>0</v>
      </c>
      <c r="AR654" s="30" t="n">
        <f aca="false">IF(AP654=0,0,IF(AP653=AP654,AR653,T654))</f>
        <v>0</v>
      </c>
      <c r="AS654" s="30" t="n">
        <f aca="false">AP654-AP653</f>
        <v>0</v>
      </c>
      <c r="AT654" s="30" t="n">
        <f aca="false">-AR654*AP654</f>
        <v>-0</v>
      </c>
      <c r="AU654" s="30" t="n">
        <f aca="false">AT654-AT653</f>
        <v>0</v>
      </c>
      <c r="AV654" s="30" t="n">
        <f aca="false">MAX(AS654,0)*(Inputs!$B$17+Inputs!$B$18+Inputs!$B$19)+MAX(-AS654,0)*(O654+Inputs!$B$18+Inputs!$B$19)+IF(AND(K654=1,AP654&lt;&gt;0),(Inputs!$B$17+Inputs!$B$18+Inputs!$B$19)+(O654+Inputs!$B$18+Inputs!$B$19),0)+MAX(AU654,0)*(Inputs!$B$20+Inputs!$B$22+Inputs!$B$23)+MAX(-AU654,0)*(Inputs!$B$21+Inputs!$B$22+Inputs!$B$23)</f>
        <v>0</v>
      </c>
      <c r="AW654" s="30" t="n">
        <f aca="false">AP653*(M654-AR653*J654)+AP653*AR653*N654/Inputs!$B$16-AV654</f>
        <v>0</v>
      </c>
      <c r="AX654" s="30" t="n">
        <f aca="false">AW654-IF(AP653&lt;&gt;0,0.75*AR653*(Inputs!$B$13-N654)/Inputs!$B$16,0)</f>
        <v>0</v>
      </c>
      <c r="AY654" s="30" t="n">
        <f aca="false">MAX(AS654,0)*(Inputs!$B$17+Inputs!$B$18+Inputs!$B$19)+MAX(-AS654,0)*(O654+Inputs!$B$18+Inputs!$B$19)+IF(AND(K654=1,AP654&lt;&gt;0),(Inputs!$B$17+Inputs!$B$18+Inputs!$B$19)+(O654+Inputs!$B$18+Inputs!$B$19),0)</f>
        <v>0</v>
      </c>
      <c r="AZ654" s="30" t="n">
        <f aca="false">AP653*M654-AY654</f>
        <v>0</v>
      </c>
      <c r="BA654" s="32" t="n">
        <f aca="false">BA653+AI654</f>
        <v>0.0097327366555124</v>
      </c>
      <c r="BB654" s="30" t="n">
        <f aca="false">MAX(BB653,BA654)</f>
        <v>0.0108065678336457</v>
      </c>
      <c r="BC654" s="32" t="n">
        <f aca="false">BA654-BB654</f>
        <v>-0.00107383117813327</v>
      </c>
      <c r="BD654" s="30" t="n">
        <f aca="false">A655-A654</f>
        <v>1</v>
      </c>
    </row>
    <row r="655" customFormat="false" ht="15" hidden="false" customHeight="false" outlineLevel="0" collapsed="false">
      <c r="A655" s="28" t="n">
        <v>46003</v>
      </c>
      <c r="B655" s="0" t="n">
        <v>26148</v>
      </c>
      <c r="C655" s="0" t="n">
        <v>294.85</v>
      </c>
      <c r="D655" s="29" t="n">
        <f aca="false">LN(B655)</f>
        <v>10.1715279847326</v>
      </c>
      <c r="E655" s="29" t="n">
        <f aca="false">LN(C655)</f>
        <v>5.68646675244651</v>
      </c>
      <c r="F655" s="0" t="n">
        <v>650</v>
      </c>
      <c r="G655" s="0" t="n">
        <v>18</v>
      </c>
      <c r="H655" s="29" t="n">
        <f aca="false">D655-E655</f>
        <v>4.48506123228611</v>
      </c>
      <c r="I655" s="29" t="n">
        <f aca="false">D655-D654</f>
        <v>0.00535314298403478</v>
      </c>
      <c r="J655" s="29" t="n">
        <f aca="false">E655-E654</f>
        <v>0.00619175959235196</v>
      </c>
      <c r="K655" s="0" t="n">
        <v>0</v>
      </c>
      <c r="L655" s="0" t="n">
        <v>0</v>
      </c>
      <c r="M655" s="29" t="n">
        <f aca="false">IF(L655=1,J655-Carry!$B$9/Inputs!$B$16,I655)</f>
        <v>0.00535314298403478</v>
      </c>
      <c r="N655" s="0" t="n">
        <v>0.0525</v>
      </c>
      <c r="O655" s="0" t="n">
        <v>0.0002</v>
      </c>
      <c r="P655" s="29" t="n">
        <f aca="false">D655-('2 Hedge ratio'!$B$6+'2 Hedge ratio'!$B$5*E655)</f>
        <v>0.000183545901380811</v>
      </c>
      <c r="Q655" s="29" t="n">
        <f aca="false">D655-('5 Re-specification'!$B$7+'5 Re-specification'!$B$5*E655+'5 Re-specification'!$B$6*F655)</f>
        <v>0.000297105714899715</v>
      </c>
      <c r="R655" s="30" t="n">
        <f aca="false">MIN(F655,Inputs!$B$9)</f>
        <v>250</v>
      </c>
      <c r="S655" s="29" t="n">
        <f aca="true">IF(AND(F655&gt;=1,R655&gt;=Inputs!$B$10),INDEX(LINEST(OFFSET(D655,-R655,0,R655,1),OFFSET(E655,-R655,0,R655,2)),1,1),"")</f>
        <v>-5.87597631589661E-005</v>
      </c>
      <c r="T655" s="29" t="n">
        <f aca="true">IF(AND(F655&gt;=1,R655&gt;=Inputs!$B$10),INDEX(LINEST(OFFSET(D655,-R655,0,R655,1),OFFSET(E655,-R655,0,R655,2)),1,2),"")</f>
        <v>1.01608291624526</v>
      </c>
      <c r="U655" s="29" t="n">
        <f aca="true">IF(AND(F655&gt;=1,R655&gt;=Inputs!$B$10),INDEX(LINEST(OFFSET(D655,-R655,0,R655,1),OFFSET(E655,-R655,0,R655,2)),1,3),"")</f>
        <v>4.43139735511106</v>
      </c>
      <c r="V655" s="29" t="n">
        <f aca="true">IF(AND(F655&gt;=1,R655&gt;=Inputs!$B$10),SQRT(SUMPRODUCT((OFFSET(D655,-R655,0,R655,1)-U655-T655*OFFSET(E655,-R655,0,R655,1)-S655*OFFSET(F655,-R655,0,R655,1))^2)/(R655-3)),"")</f>
        <v>0.00235725346334534</v>
      </c>
      <c r="W655" s="31" t="n">
        <f aca="false">IF(AND(F655&gt;=1,R655&gt;=Inputs!$B$10),(D655-U655-T655*E655-S655*F655)/V655,"")</f>
        <v>0.170857620357489</v>
      </c>
      <c r="X655" s="30" t="n">
        <f aca="false">IF(AB654&lt;&gt;0,AC654+1,0)</f>
        <v>0</v>
      </c>
      <c r="Y655" s="30" t="n">
        <f aca="false">IF(W655="",0,IF(AND(AB654&lt;&gt;0,OR(ABS(W655)&gt;Inputs!$B$7,X655&gt;=Inputs!$B$8,ABS(W655)&lt;Inputs!$B$6)),1,0))</f>
        <v>0</v>
      </c>
      <c r="Z655" s="30" t="n">
        <f aca="false">IF(Y655=1,0,AB654)</f>
        <v>0</v>
      </c>
      <c r="AA655" s="30" t="n">
        <f aca="false">IF(W655="",0,IF(AND(Z655=0,ABS(W655)&gt;Inputs!$B$5,ABS(W655)&lt;=Inputs!$B$7),1,0))</f>
        <v>0</v>
      </c>
      <c r="AB655" s="30" t="n">
        <f aca="false">IF(W655="",0,IF(AA655=1,-SIGN(W655),Z655))</f>
        <v>0</v>
      </c>
      <c r="AC655" s="30" t="n">
        <f aca="false">IF(W655="",0,IF(AA655=1,0,IF(Y655=1,0,X655)))</f>
        <v>0</v>
      </c>
      <c r="AD655" s="30" t="n">
        <f aca="false">IF(AB655=0,0,IF(AB654=AB655,AD654,T655))</f>
        <v>0</v>
      </c>
      <c r="AE655" s="30" t="n">
        <f aca="false">AB655-AB654</f>
        <v>0</v>
      </c>
      <c r="AF655" s="30" t="n">
        <f aca="false">-AD655*AB655</f>
        <v>-0</v>
      </c>
      <c r="AG655" s="30" t="n">
        <f aca="false">AF655-AF654</f>
        <v>0</v>
      </c>
      <c r="AH655" s="30" t="n">
        <f aca="false">MAX(AE655,0)*(Inputs!$B$17+Inputs!$B$18+Inputs!$B$19)+MAX(-AE655,0)*(O655+Inputs!$B$18+Inputs!$B$19)+IF(AND(K655=1,AB655&lt;&gt;0),(Inputs!$B$17+Inputs!$B$18+Inputs!$B$19)+(O655+Inputs!$B$18+Inputs!$B$19),0)+MAX(AG655,0)*(Inputs!$B$20+Inputs!$B$22+Inputs!$B$23)+MAX(-AG655,0)*(Inputs!$B$21+Inputs!$B$22+Inputs!$B$23)</f>
        <v>0</v>
      </c>
      <c r="AI655" s="30" t="n">
        <f aca="false">AB654*(M655-AD654*J655)+AB654*AD654*N655/Inputs!$B$16-AH655</f>
        <v>0</v>
      </c>
      <c r="AJ655" s="30" t="n">
        <f aca="false">MAX(AE655,0)*(Inputs!$B$17+Inputs!$B$24+Inputs!$B$25)+MAX(-AE655,0)*(O655+Inputs!$B$24+Inputs!$B$25)+IF(AND(K655=1,AB655&lt;&gt;0),(Inputs!$B$17+Inputs!$B$24+Inputs!$B$25)+(O655+Inputs!$B$24+Inputs!$B$25),0)+MAX(AG655,0)*(Inputs!$B$20+Inputs!$B$26+Inputs!$B$27)+MAX(-AG655,0)*(Inputs!$B$21+Inputs!$B$26+Inputs!$B$27)</f>
        <v>0</v>
      </c>
      <c r="AK655" s="30" t="n">
        <f aca="false">AB654*(M655-AD654*J655)+AB654*AD654*(N655+Inputs!$B$14)/Inputs!$B$16-AJ655</f>
        <v>0</v>
      </c>
      <c r="AL655" s="30" t="n">
        <f aca="false">IF(AP654&lt;&gt;0,AQ654+1,0)</f>
        <v>0</v>
      </c>
      <c r="AM655" s="30" t="n">
        <f aca="false">IF(W655="",0,IF(AND(AP654&lt;&gt;0,OR(ABS(W655)&gt;Inputs!$B$7,AL655&gt;=Inputs!$B$8,ABS(W655)&lt;Inputs!$B$6)),1,0))</f>
        <v>0</v>
      </c>
      <c r="AN655" s="30" t="n">
        <f aca="false">IF(AM655=1,0,AP654)</f>
        <v>0</v>
      </c>
      <c r="AO655" s="30" t="n">
        <f aca="false">IF(W655="",0,IF(AND(AN655=0,ABS(W655)&gt;Inputs!$B$5,ABS(W655)&lt;=Inputs!$B$7,W655&gt;0),1,0))</f>
        <v>0</v>
      </c>
      <c r="AP655" s="30" t="n">
        <f aca="false">IF(W655="",0,IF(AO655=1,-SIGN(W655),AN655))</f>
        <v>0</v>
      </c>
      <c r="AQ655" s="30" t="n">
        <f aca="false">IF(W655="",0,IF(AO655=1,0,IF(AM655=1,0,AL655)))</f>
        <v>0</v>
      </c>
      <c r="AR655" s="30" t="n">
        <f aca="false">IF(AP655=0,0,IF(AP654=AP655,AR654,T655))</f>
        <v>0</v>
      </c>
      <c r="AS655" s="30" t="n">
        <f aca="false">AP655-AP654</f>
        <v>0</v>
      </c>
      <c r="AT655" s="30" t="n">
        <f aca="false">-AR655*AP655</f>
        <v>-0</v>
      </c>
      <c r="AU655" s="30" t="n">
        <f aca="false">AT655-AT654</f>
        <v>0</v>
      </c>
      <c r="AV655" s="30" t="n">
        <f aca="false">MAX(AS655,0)*(Inputs!$B$17+Inputs!$B$18+Inputs!$B$19)+MAX(-AS655,0)*(O655+Inputs!$B$18+Inputs!$B$19)+IF(AND(K655=1,AP655&lt;&gt;0),(Inputs!$B$17+Inputs!$B$18+Inputs!$B$19)+(O655+Inputs!$B$18+Inputs!$B$19),0)+MAX(AU655,0)*(Inputs!$B$20+Inputs!$B$22+Inputs!$B$23)+MAX(-AU655,0)*(Inputs!$B$21+Inputs!$B$22+Inputs!$B$23)</f>
        <v>0</v>
      </c>
      <c r="AW655" s="30" t="n">
        <f aca="false">AP654*(M655-AR654*J655)+AP654*AR654*N655/Inputs!$B$16-AV655</f>
        <v>0</v>
      </c>
      <c r="AX655" s="30" t="n">
        <f aca="false">AW655-IF(AP654&lt;&gt;0,0.75*AR654*(Inputs!$B$13-N655)/Inputs!$B$16,0)</f>
        <v>0</v>
      </c>
      <c r="AY655" s="30" t="n">
        <f aca="false">MAX(AS655,0)*(Inputs!$B$17+Inputs!$B$18+Inputs!$B$19)+MAX(-AS655,0)*(O655+Inputs!$B$18+Inputs!$B$19)+IF(AND(K655=1,AP655&lt;&gt;0),(Inputs!$B$17+Inputs!$B$18+Inputs!$B$19)+(O655+Inputs!$B$18+Inputs!$B$19),0)</f>
        <v>0</v>
      </c>
      <c r="AZ655" s="30" t="n">
        <f aca="false">AP654*M655-AY655</f>
        <v>0</v>
      </c>
      <c r="BA655" s="32" t="n">
        <f aca="false">BA654+AI655</f>
        <v>0.0097327366555124</v>
      </c>
      <c r="BB655" s="30" t="n">
        <f aca="false">MAX(BB654,BA655)</f>
        <v>0.0108065678336457</v>
      </c>
      <c r="BC655" s="32" t="n">
        <f aca="false">BA655-BB655</f>
        <v>-0.00107383117813327</v>
      </c>
      <c r="BD655" s="30" t="n">
        <f aca="false">A656-A655</f>
        <v>3</v>
      </c>
    </row>
    <row r="656" customFormat="false" ht="15" hidden="false" customHeight="false" outlineLevel="0" collapsed="false">
      <c r="A656" s="28" t="n">
        <v>46006</v>
      </c>
      <c r="B656" s="0" t="n">
        <v>26103.3</v>
      </c>
      <c r="C656" s="0" t="n">
        <v>294.52</v>
      </c>
      <c r="D656" s="29" t="n">
        <f aca="false">LN(B656)</f>
        <v>10.1698170220999</v>
      </c>
      <c r="E656" s="29" t="n">
        <f aca="false">LN(C656)</f>
        <v>5.68534691250052</v>
      </c>
      <c r="F656" s="0" t="n">
        <v>651</v>
      </c>
      <c r="G656" s="0" t="n">
        <v>15</v>
      </c>
      <c r="H656" s="29" t="n">
        <f aca="false">D656-E656</f>
        <v>4.48447010959942</v>
      </c>
      <c r="I656" s="29" t="n">
        <f aca="false">D656-D655</f>
        <v>-0.00171096263268211</v>
      </c>
      <c r="J656" s="29" t="n">
        <f aca="false">E656-E655</f>
        <v>-0.00111983994599729</v>
      </c>
      <c r="K656" s="0" t="n">
        <v>0</v>
      </c>
      <c r="L656" s="0" t="n">
        <v>0</v>
      </c>
      <c r="M656" s="29" t="n">
        <f aca="false">IF(L656=1,J656-Carry!$B$9/Inputs!$B$16,I656)</f>
        <v>-0.00171096263268211</v>
      </c>
      <c r="N656" s="0" t="n">
        <v>0.0525</v>
      </c>
      <c r="O656" s="0" t="n">
        <v>0.0002</v>
      </c>
      <c r="P656" s="29" t="n">
        <f aca="false">D656-('2 Hedge ratio'!$B$6+'2 Hedge ratio'!$B$5*E656)</f>
        <v>-0.000501501390701264</v>
      </c>
      <c r="Q656" s="29" t="n">
        <f aca="false">D656-('5 Re-specification'!$B$7+'5 Re-specification'!$B$5*E656+'5 Re-specification'!$B$6*F656)</f>
        <v>-0.000252481328669063</v>
      </c>
      <c r="R656" s="30" t="n">
        <f aca="false">MIN(F656,Inputs!$B$9)</f>
        <v>250</v>
      </c>
      <c r="S656" s="29" t="n">
        <f aca="true">IF(AND(F656&gt;=1,R656&gt;=Inputs!$B$10),INDEX(LINEST(OFFSET(D656,-R656,0,R656,1),OFFSET(E656,-R656,0,R656,2)),1,1),"")</f>
        <v>-5.8323429854014E-005</v>
      </c>
      <c r="T656" s="29" t="n">
        <f aca="true">IF(AND(F656&gt;=1,R656&gt;=Inputs!$B$10),INDEX(LINEST(OFFSET(D656,-R656,0,R656,1),OFFSET(E656,-R656,0,R656,2)),1,2),"")</f>
        <v>1.01555734989523</v>
      </c>
      <c r="U656" s="29" t="n">
        <f aca="true">IF(AND(F656&gt;=1,R656&gt;=Inputs!$B$10),INDEX(LINEST(OFFSET(D656,-R656,0,R656,1),OFFSET(E656,-R656,0,R656,2)),1,3),"")</f>
        <v>4.43411705004081</v>
      </c>
      <c r="V656" s="29" t="n">
        <f aca="true">IF(AND(F656&gt;=1,R656&gt;=Inputs!$B$10),SQRT(SUMPRODUCT((OFFSET(D656,-R656,0,R656,1)-U656-T656*OFFSET(E656,-R656,0,R656,1)-S656*OFFSET(F656,-R656,0,R656,1))^2)/(R656-3)),"")</f>
        <v>0.00235622662555458</v>
      </c>
      <c r="W656" s="31" t="n">
        <f aca="false">IF(AND(F656&gt;=1,R656&gt;=Inputs!$B$10),(D656-U656-T656*E656-S656*F656)/V656,"")</f>
        <v>-0.0540350399884961</v>
      </c>
      <c r="X656" s="30" t="n">
        <f aca="false">IF(AB655&lt;&gt;0,AC655+1,0)</f>
        <v>0</v>
      </c>
      <c r="Y656" s="30" t="n">
        <f aca="false">IF(W656="",0,IF(AND(AB655&lt;&gt;0,OR(ABS(W656)&gt;Inputs!$B$7,X656&gt;=Inputs!$B$8,ABS(W656)&lt;Inputs!$B$6)),1,0))</f>
        <v>0</v>
      </c>
      <c r="Z656" s="30" t="n">
        <f aca="false">IF(Y656=1,0,AB655)</f>
        <v>0</v>
      </c>
      <c r="AA656" s="30" t="n">
        <f aca="false">IF(W656="",0,IF(AND(Z656=0,ABS(W656)&gt;Inputs!$B$5,ABS(W656)&lt;=Inputs!$B$7),1,0))</f>
        <v>0</v>
      </c>
      <c r="AB656" s="30" t="n">
        <f aca="false">IF(W656="",0,IF(AA656=1,-SIGN(W656),Z656))</f>
        <v>0</v>
      </c>
      <c r="AC656" s="30" t="n">
        <f aca="false">IF(W656="",0,IF(AA656=1,0,IF(Y656=1,0,X656)))</f>
        <v>0</v>
      </c>
      <c r="AD656" s="30" t="n">
        <f aca="false">IF(AB656=0,0,IF(AB655=AB656,AD655,T656))</f>
        <v>0</v>
      </c>
      <c r="AE656" s="30" t="n">
        <f aca="false">AB656-AB655</f>
        <v>0</v>
      </c>
      <c r="AF656" s="30" t="n">
        <f aca="false">-AD656*AB656</f>
        <v>-0</v>
      </c>
      <c r="AG656" s="30" t="n">
        <f aca="false">AF656-AF655</f>
        <v>0</v>
      </c>
      <c r="AH656" s="30" t="n">
        <f aca="false">MAX(AE656,0)*(Inputs!$B$17+Inputs!$B$18+Inputs!$B$19)+MAX(-AE656,0)*(O656+Inputs!$B$18+Inputs!$B$19)+IF(AND(K656=1,AB656&lt;&gt;0),(Inputs!$B$17+Inputs!$B$18+Inputs!$B$19)+(O656+Inputs!$B$18+Inputs!$B$19),0)+MAX(AG656,0)*(Inputs!$B$20+Inputs!$B$22+Inputs!$B$23)+MAX(-AG656,0)*(Inputs!$B$21+Inputs!$B$22+Inputs!$B$23)</f>
        <v>0</v>
      </c>
      <c r="AI656" s="30" t="n">
        <f aca="false">AB655*(M656-AD655*J656)+AB655*AD655*N656/Inputs!$B$16-AH656</f>
        <v>0</v>
      </c>
      <c r="AJ656" s="30" t="n">
        <f aca="false">MAX(AE656,0)*(Inputs!$B$17+Inputs!$B$24+Inputs!$B$25)+MAX(-AE656,0)*(O656+Inputs!$B$24+Inputs!$B$25)+IF(AND(K656=1,AB656&lt;&gt;0),(Inputs!$B$17+Inputs!$B$24+Inputs!$B$25)+(O656+Inputs!$B$24+Inputs!$B$25),0)+MAX(AG656,0)*(Inputs!$B$20+Inputs!$B$26+Inputs!$B$27)+MAX(-AG656,0)*(Inputs!$B$21+Inputs!$B$26+Inputs!$B$27)</f>
        <v>0</v>
      </c>
      <c r="AK656" s="30" t="n">
        <f aca="false">AB655*(M656-AD655*J656)+AB655*AD655*(N656+Inputs!$B$14)/Inputs!$B$16-AJ656</f>
        <v>0</v>
      </c>
      <c r="AL656" s="30" t="n">
        <f aca="false">IF(AP655&lt;&gt;0,AQ655+1,0)</f>
        <v>0</v>
      </c>
      <c r="AM656" s="30" t="n">
        <f aca="false">IF(W656="",0,IF(AND(AP655&lt;&gt;0,OR(ABS(W656)&gt;Inputs!$B$7,AL656&gt;=Inputs!$B$8,ABS(W656)&lt;Inputs!$B$6)),1,0))</f>
        <v>0</v>
      </c>
      <c r="AN656" s="30" t="n">
        <f aca="false">IF(AM656=1,0,AP655)</f>
        <v>0</v>
      </c>
      <c r="AO656" s="30" t="n">
        <f aca="false">IF(W656="",0,IF(AND(AN656=0,ABS(W656)&gt;Inputs!$B$5,ABS(W656)&lt;=Inputs!$B$7,W656&gt;0),1,0))</f>
        <v>0</v>
      </c>
      <c r="AP656" s="30" t="n">
        <f aca="false">IF(W656="",0,IF(AO656=1,-SIGN(W656),AN656))</f>
        <v>0</v>
      </c>
      <c r="AQ656" s="30" t="n">
        <f aca="false">IF(W656="",0,IF(AO656=1,0,IF(AM656=1,0,AL656)))</f>
        <v>0</v>
      </c>
      <c r="AR656" s="30" t="n">
        <f aca="false">IF(AP656=0,0,IF(AP655=AP656,AR655,T656))</f>
        <v>0</v>
      </c>
      <c r="AS656" s="30" t="n">
        <f aca="false">AP656-AP655</f>
        <v>0</v>
      </c>
      <c r="AT656" s="30" t="n">
        <f aca="false">-AR656*AP656</f>
        <v>-0</v>
      </c>
      <c r="AU656" s="30" t="n">
        <f aca="false">AT656-AT655</f>
        <v>0</v>
      </c>
      <c r="AV656" s="30" t="n">
        <f aca="false">MAX(AS656,0)*(Inputs!$B$17+Inputs!$B$18+Inputs!$B$19)+MAX(-AS656,0)*(O656+Inputs!$B$18+Inputs!$B$19)+IF(AND(K656=1,AP656&lt;&gt;0),(Inputs!$B$17+Inputs!$B$18+Inputs!$B$19)+(O656+Inputs!$B$18+Inputs!$B$19),0)+MAX(AU656,0)*(Inputs!$B$20+Inputs!$B$22+Inputs!$B$23)+MAX(-AU656,0)*(Inputs!$B$21+Inputs!$B$22+Inputs!$B$23)</f>
        <v>0</v>
      </c>
      <c r="AW656" s="30" t="n">
        <f aca="false">AP655*(M656-AR655*J656)+AP655*AR655*N656/Inputs!$B$16-AV656</f>
        <v>0</v>
      </c>
      <c r="AX656" s="30" t="n">
        <f aca="false">AW656-IF(AP655&lt;&gt;0,0.75*AR655*(Inputs!$B$13-N656)/Inputs!$B$16,0)</f>
        <v>0</v>
      </c>
      <c r="AY656" s="30" t="n">
        <f aca="false">MAX(AS656,0)*(Inputs!$B$17+Inputs!$B$18+Inputs!$B$19)+MAX(-AS656,0)*(O656+Inputs!$B$18+Inputs!$B$19)+IF(AND(K656=1,AP656&lt;&gt;0),(Inputs!$B$17+Inputs!$B$18+Inputs!$B$19)+(O656+Inputs!$B$18+Inputs!$B$19),0)</f>
        <v>0</v>
      </c>
      <c r="AZ656" s="30" t="n">
        <f aca="false">AP655*M656-AY656</f>
        <v>-0</v>
      </c>
      <c r="BA656" s="32" t="n">
        <f aca="false">BA655+AI656</f>
        <v>0.0097327366555124</v>
      </c>
      <c r="BB656" s="30" t="n">
        <f aca="false">MAX(BB655,BA656)</f>
        <v>0.0108065678336457</v>
      </c>
      <c r="BC656" s="32" t="n">
        <f aca="false">BA656-BB656</f>
        <v>-0.00107383117813327</v>
      </c>
      <c r="BD656" s="30" t="n">
        <f aca="false">A657-A656</f>
        <v>1</v>
      </c>
    </row>
    <row r="657" customFormat="false" ht="15" hidden="false" customHeight="false" outlineLevel="0" collapsed="false">
      <c r="A657" s="28" t="n">
        <v>46007</v>
      </c>
      <c r="B657" s="0" t="n">
        <v>25932.1</v>
      </c>
      <c r="C657" s="0" t="n">
        <v>292.64</v>
      </c>
      <c r="D657" s="29" t="n">
        <f aca="false">LN(B657)</f>
        <v>10.1632368625268</v>
      </c>
      <c r="E657" s="29" t="n">
        <f aca="false">LN(C657)</f>
        <v>5.67894318464256</v>
      </c>
      <c r="F657" s="0" t="n">
        <v>652</v>
      </c>
      <c r="G657" s="0" t="n">
        <v>14</v>
      </c>
      <c r="H657" s="29" t="n">
        <f aca="false">D657-E657</f>
        <v>4.48429367788429</v>
      </c>
      <c r="I657" s="29" t="n">
        <f aca="false">D657-D656</f>
        <v>-0.0065801595730921</v>
      </c>
      <c r="J657" s="29" t="n">
        <f aca="false">E657-E656</f>
        <v>-0.00640372785796028</v>
      </c>
      <c r="K657" s="0" t="n">
        <v>0</v>
      </c>
      <c r="L657" s="0" t="n">
        <v>0</v>
      </c>
      <c r="M657" s="29" t="n">
        <f aca="false">IF(L657=1,J657-Carry!$B$9/Inputs!$B$16,I657)</f>
        <v>-0.0065801595730921</v>
      </c>
      <c r="N657" s="0" t="n">
        <v>0.0525</v>
      </c>
      <c r="O657" s="0" t="n">
        <v>0.0002</v>
      </c>
      <c r="P657" s="29" t="n">
        <f aca="false">D657-('2 Hedge ratio'!$B$6+'2 Hedge ratio'!$B$5*E657)</f>
        <v>-0.00121503451418015</v>
      </c>
      <c r="Q657" s="29" t="n">
        <f aca="false">D657-('5 Re-specification'!$B$7+'5 Re-specification'!$B$5*E657+'5 Re-specification'!$B$6*F657)</f>
        <v>-0.000403390223112865</v>
      </c>
      <c r="R657" s="30" t="n">
        <f aca="false">MIN(F657,Inputs!$B$9)</f>
        <v>250</v>
      </c>
      <c r="S657" s="29" t="n">
        <f aca="true">IF(AND(F657&gt;=1,R657&gt;=Inputs!$B$10),INDEX(LINEST(OFFSET(D657,-R657,0,R657,1),OFFSET(E657,-R657,0,R657,2)),1,1),"")</f>
        <v>-5.82157947308501E-005</v>
      </c>
      <c r="T657" s="29" t="n">
        <f aca="true">IF(AND(F657&gt;=1,R657&gt;=Inputs!$B$10),INDEX(LINEST(OFFSET(D657,-R657,0,R657,1),OFFSET(E657,-R657,0,R657,2)),1,2),"")</f>
        <v>1.015400331629</v>
      </c>
      <c r="U657" s="29" t="n">
        <f aca="true">IF(AND(F657&gt;=1,R657&gt;=Inputs!$B$10),INDEX(LINEST(OFFSET(D657,-R657,0,R657,1),OFFSET(E657,-R657,0,R657,2)),1,3),"")</f>
        <v>4.43494047592081</v>
      </c>
      <c r="V657" s="29" t="n">
        <f aca="true">IF(AND(F657&gt;=1,R657&gt;=Inputs!$B$10),SQRT(SUMPRODUCT((OFFSET(D657,-R657,0,R657,1)-U657-T657*OFFSET(E657,-R657,0,R657,1)-S657*OFFSET(F657,-R657,0,R657,1))^2)/(R657-3)),"")</f>
        <v>0.00235613788385598</v>
      </c>
      <c r="W657" s="31" t="n">
        <f aca="false">IF(AND(F657&gt;=1,R657&gt;=Inputs!$B$10),(D657-U657-T657*E657-S657*F657)/V657,"")</f>
        <v>-0.0626908207482779</v>
      </c>
      <c r="X657" s="30" t="n">
        <f aca="false">IF(AB656&lt;&gt;0,AC656+1,0)</f>
        <v>0</v>
      </c>
      <c r="Y657" s="30" t="n">
        <f aca="false">IF(W657="",0,IF(AND(AB656&lt;&gt;0,OR(ABS(W657)&gt;Inputs!$B$7,X657&gt;=Inputs!$B$8,ABS(W657)&lt;Inputs!$B$6)),1,0))</f>
        <v>0</v>
      </c>
      <c r="Z657" s="30" t="n">
        <f aca="false">IF(Y657=1,0,AB656)</f>
        <v>0</v>
      </c>
      <c r="AA657" s="30" t="n">
        <f aca="false">IF(W657="",0,IF(AND(Z657=0,ABS(W657)&gt;Inputs!$B$5,ABS(W657)&lt;=Inputs!$B$7),1,0))</f>
        <v>0</v>
      </c>
      <c r="AB657" s="30" t="n">
        <f aca="false">IF(W657="",0,IF(AA657=1,-SIGN(W657),Z657))</f>
        <v>0</v>
      </c>
      <c r="AC657" s="30" t="n">
        <f aca="false">IF(W657="",0,IF(AA657=1,0,IF(Y657=1,0,X657)))</f>
        <v>0</v>
      </c>
      <c r="AD657" s="30" t="n">
        <f aca="false">IF(AB657=0,0,IF(AB656=AB657,AD656,T657))</f>
        <v>0</v>
      </c>
      <c r="AE657" s="30" t="n">
        <f aca="false">AB657-AB656</f>
        <v>0</v>
      </c>
      <c r="AF657" s="30" t="n">
        <f aca="false">-AD657*AB657</f>
        <v>-0</v>
      </c>
      <c r="AG657" s="30" t="n">
        <f aca="false">AF657-AF656</f>
        <v>0</v>
      </c>
      <c r="AH657" s="30" t="n">
        <f aca="false">MAX(AE657,0)*(Inputs!$B$17+Inputs!$B$18+Inputs!$B$19)+MAX(-AE657,0)*(O657+Inputs!$B$18+Inputs!$B$19)+IF(AND(K657=1,AB657&lt;&gt;0),(Inputs!$B$17+Inputs!$B$18+Inputs!$B$19)+(O657+Inputs!$B$18+Inputs!$B$19),0)+MAX(AG657,0)*(Inputs!$B$20+Inputs!$B$22+Inputs!$B$23)+MAX(-AG657,0)*(Inputs!$B$21+Inputs!$B$22+Inputs!$B$23)</f>
        <v>0</v>
      </c>
      <c r="AI657" s="30" t="n">
        <f aca="false">AB656*(M657-AD656*J657)+AB656*AD656*N657/Inputs!$B$16-AH657</f>
        <v>0</v>
      </c>
      <c r="AJ657" s="30" t="n">
        <f aca="false">MAX(AE657,0)*(Inputs!$B$17+Inputs!$B$24+Inputs!$B$25)+MAX(-AE657,0)*(O657+Inputs!$B$24+Inputs!$B$25)+IF(AND(K657=1,AB657&lt;&gt;0),(Inputs!$B$17+Inputs!$B$24+Inputs!$B$25)+(O657+Inputs!$B$24+Inputs!$B$25),0)+MAX(AG657,0)*(Inputs!$B$20+Inputs!$B$26+Inputs!$B$27)+MAX(-AG657,0)*(Inputs!$B$21+Inputs!$B$26+Inputs!$B$27)</f>
        <v>0</v>
      </c>
      <c r="AK657" s="30" t="n">
        <f aca="false">AB656*(M657-AD656*J657)+AB656*AD656*(N657+Inputs!$B$14)/Inputs!$B$16-AJ657</f>
        <v>0</v>
      </c>
      <c r="AL657" s="30" t="n">
        <f aca="false">IF(AP656&lt;&gt;0,AQ656+1,0)</f>
        <v>0</v>
      </c>
      <c r="AM657" s="30" t="n">
        <f aca="false">IF(W657="",0,IF(AND(AP656&lt;&gt;0,OR(ABS(W657)&gt;Inputs!$B$7,AL657&gt;=Inputs!$B$8,ABS(W657)&lt;Inputs!$B$6)),1,0))</f>
        <v>0</v>
      </c>
      <c r="AN657" s="30" t="n">
        <f aca="false">IF(AM657=1,0,AP656)</f>
        <v>0</v>
      </c>
      <c r="AO657" s="30" t="n">
        <f aca="false">IF(W657="",0,IF(AND(AN657=0,ABS(W657)&gt;Inputs!$B$5,ABS(W657)&lt;=Inputs!$B$7,W657&gt;0),1,0))</f>
        <v>0</v>
      </c>
      <c r="AP657" s="30" t="n">
        <f aca="false">IF(W657="",0,IF(AO657=1,-SIGN(W657),AN657))</f>
        <v>0</v>
      </c>
      <c r="AQ657" s="30" t="n">
        <f aca="false">IF(W657="",0,IF(AO657=1,0,IF(AM657=1,0,AL657)))</f>
        <v>0</v>
      </c>
      <c r="AR657" s="30" t="n">
        <f aca="false">IF(AP657=0,0,IF(AP656=AP657,AR656,T657))</f>
        <v>0</v>
      </c>
      <c r="AS657" s="30" t="n">
        <f aca="false">AP657-AP656</f>
        <v>0</v>
      </c>
      <c r="AT657" s="30" t="n">
        <f aca="false">-AR657*AP657</f>
        <v>-0</v>
      </c>
      <c r="AU657" s="30" t="n">
        <f aca="false">AT657-AT656</f>
        <v>0</v>
      </c>
      <c r="AV657" s="30" t="n">
        <f aca="false">MAX(AS657,0)*(Inputs!$B$17+Inputs!$B$18+Inputs!$B$19)+MAX(-AS657,0)*(O657+Inputs!$B$18+Inputs!$B$19)+IF(AND(K657=1,AP657&lt;&gt;0),(Inputs!$B$17+Inputs!$B$18+Inputs!$B$19)+(O657+Inputs!$B$18+Inputs!$B$19),0)+MAX(AU657,0)*(Inputs!$B$20+Inputs!$B$22+Inputs!$B$23)+MAX(-AU657,0)*(Inputs!$B$21+Inputs!$B$22+Inputs!$B$23)</f>
        <v>0</v>
      </c>
      <c r="AW657" s="30" t="n">
        <f aca="false">AP656*(M657-AR656*J657)+AP656*AR656*N657/Inputs!$B$16-AV657</f>
        <v>0</v>
      </c>
      <c r="AX657" s="30" t="n">
        <f aca="false">AW657-IF(AP656&lt;&gt;0,0.75*AR656*(Inputs!$B$13-N657)/Inputs!$B$16,0)</f>
        <v>0</v>
      </c>
      <c r="AY657" s="30" t="n">
        <f aca="false">MAX(AS657,0)*(Inputs!$B$17+Inputs!$B$18+Inputs!$B$19)+MAX(-AS657,0)*(O657+Inputs!$B$18+Inputs!$B$19)+IF(AND(K657=1,AP657&lt;&gt;0),(Inputs!$B$17+Inputs!$B$18+Inputs!$B$19)+(O657+Inputs!$B$18+Inputs!$B$19),0)</f>
        <v>0</v>
      </c>
      <c r="AZ657" s="30" t="n">
        <f aca="false">AP656*M657-AY657</f>
        <v>-0</v>
      </c>
      <c r="BA657" s="32" t="n">
        <f aca="false">BA656+AI657</f>
        <v>0.0097327366555124</v>
      </c>
      <c r="BB657" s="30" t="n">
        <f aca="false">MAX(BB656,BA657)</f>
        <v>0.0108065678336457</v>
      </c>
      <c r="BC657" s="32" t="n">
        <f aca="false">BA657-BB657</f>
        <v>-0.00107383117813327</v>
      </c>
      <c r="BD657" s="30" t="n">
        <f aca="false">A658-A657</f>
        <v>1</v>
      </c>
    </row>
    <row r="658" customFormat="false" ht="15" hidden="false" customHeight="false" outlineLevel="0" collapsed="false">
      <c r="A658" s="28" t="n">
        <v>46008</v>
      </c>
      <c r="B658" s="0" t="n">
        <v>25912.9</v>
      </c>
      <c r="C658" s="0" t="n">
        <v>291.9</v>
      </c>
      <c r="D658" s="29" t="n">
        <f aca="false">LN(B658)</f>
        <v>10.1624961931903</v>
      </c>
      <c r="E658" s="29" t="n">
        <f aca="false">LN(C658)</f>
        <v>5.67641127786007</v>
      </c>
      <c r="F658" s="0" t="n">
        <v>653</v>
      </c>
      <c r="G658" s="0" t="n">
        <v>13</v>
      </c>
      <c r="H658" s="29" t="n">
        <f aca="false">D658-E658</f>
        <v>4.48608491533019</v>
      </c>
      <c r="I658" s="29" t="n">
        <f aca="false">D658-D657</f>
        <v>-0.00074066933658834</v>
      </c>
      <c r="J658" s="29" t="n">
        <f aca="false">E658-E657</f>
        <v>-0.00253190678248671</v>
      </c>
      <c r="K658" s="0" t="n">
        <v>0</v>
      </c>
      <c r="L658" s="0" t="n">
        <v>0</v>
      </c>
      <c r="M658" s="29" t="n">
        <f aca="false">IF(L658=1,J658-Carry!$B$9/Inputs!$B$16,I658)</f>
        <v>-0.00074066933658834</v>
      </c>
      <c r="N658" s="0" t="n">
        <v>0.0525</v>
      </c>
      <c r="O658" s="0" t="n">
        <v>0.0002</v>
      </c>
      <c r="P658" s="29" t="n">
        <f aca="false">D658-('2 Hedge ratio'!$B$6+'2 Hedge ratio'!$B$5*E658)</f>
        <v>0.00036384370458542</v>
      </c>
      <c r="Q658" s="29" t="n">
        <f aca="false">D658-('5 Re-specification'!$B$7+'5 Re-specification'!$B$5*E658+'5 Re-specification'!$B$6*F658)</f>
        <v>0.00142510359732384</v>
      </c>
      <c r="R658" s="30" t="n">
        <f aca="false">MIN(F658,Inputs!$B$9)</f>
        <v>250</v>
      </c>
      <c r="S658" s="29" t="n">
        <f aca="true">IF(AND(F658&gt;=1,R658&gt;=Inputs!$B$10),INDEX(LINEST(OFFSET(D658,-R658,0,R658,1),OFFSET(E658,-R658,0,R658,2)),1,1),"")</f>
        <v>-5.77534353183769E-005</v>
      </c>
      <c r="T658" s="29" t="n">
        <f aca="true">IF(AND(F658&gt;=1,R658&gt;=Inputs!$B$10),INDEX(LINEST(OFFSET(D658,-R658,0,R658,1),OFFSET(E658,-R658,0,R658,2)),1,2),"")</f>
        <v>1.01475742151209</v>
      </c>
      <c r="U658" s="29" t="n">
        <f aca="true">IF(AND(F658&gt;=1,R658&gt;=Inputs!$B$10),INDEX(LINEST(OFFSET(D658,-R658,0,R658,1),OFFSET(E658,-R658,0,R658,2)),1,3),"")</f>
        <v>4.43830252309935</v>
      </c>
      <c r="V658" s="29" t="n">
        <f aca="true">IF(AND(F658&gt;=1,R658&gt;=Inputs!$B$10),SQRT(SUMPRODUCT((OFFSET(D658,-R658,0,R658,1)-U658-T658*OFFSET(E658,-R658,0,R658,1)-S658*OFFSET(F658,-R658,0,R658,1))^2)/(R658-3)),"")</f>
        <v>0.00235485828936683</v>
      </c>
      <c r="W658" s="31" t="n">
        <f aca="false">IF(AND(F658&gt;=1,R658&gt;=Inputs!$B$10),(D658-U658-T658*E658-S658*F658)/V658,"")</f>
        <v>0.73303416946383</v>
      </c>
      <c r="X658" s="30" t="n">
        <f aca="false">IF(AB657&lt;&gt;0,AC657+1,0)</f>
        <v>0</v>
      </c>
      <c r="Y658" s="30" t="n">
        <f aca="false">IF(W658="",0,IF(AND(AB657&lt;&gt;0,OR(ABS(W658)&gt;Inputs!$B$7,X658&gt;=Inputs!$B$8,ABS(W658)&lt;Inputs!$B$6)),1,0))</f>
        <v>0</v>
      </c>
      <c r="Z658" s="30" t="n">
        <f aca="false">IF(Y658=1,0,AB657)</f>
        <v>0</v>
      </c>
      <c r="AA658" s="30" t="n">
        <f aca="false">IF(W658="",0,IF(AND(Z658=0,ABS(W658)&gt;Inputs!$B$5,ABS(W658)&lt;=Inputs!$B$7),1,0))</f>
        <v>0</v>
      </c>
      <c r="AB658" s="30" t="n">
        <f aca="false">IF(W658="",0,IF(AA658=1,-SIGN(W658),Z658))</f>
        <v>0</v>
      </c>
      <c r="AC658" s="30" t="n">
        <f aca="false">IF(W658="",0,IF(AA658=1,0,IF(Y658=1,0,X658)))</f>
        <v>0</v>
      </c>
      <c r="AD658" s="30" t="n">
        <f aca="false">IF(AB658=0,0,IF(AB657=AB658,AD657,T658))</f>
        <v>0</v>
      </c>
      <c r="AE658" s="30" t="n">
        <f aca="false">AB658-AB657</f>
        <v>0</v>
      </c>
      <c r="AF658" s="30" t="n">
        <f aca="false">-AD658*AB658</f>
        <v>-0</v>
      </c>
      <c r="AG658" s="30" t="n">
        <f aca="false">AF658-AF657</f>
        <v>0</v>
      </c>
      <c r="AH658" s="30" t="n">
        <f aca="false">MAX(AE658,0)*(Inputs!$B$17+Inputs!$B$18+Inputs!$B$19)+MAX(-AE658,0)*(O658+Inputs!$B$18+Inputs!$B$19)+IF(AND(K658=1,AB658&lt;&gt;0),(Inputs!$B$17+Inputs!$B$18+Inputs!$B$19)+(O658+Inputs!$B$18+Inputs!$B$19),0)+MAX(AG658,0)*(Inputs!$B$20+Inputs!$B$22+Inputs!$B$23)+MAX(-AG658,0)*(Inputs!$B$21+Inputs!$B$22+Inputs!$B$23)</f>
        <v>0</v>
      </c>
      <c r="AI658" s="30" t="n">
        <f aca="false">AB657*(M658-AD657*J658)+AB657*AD657*N658/Inputs!$B$16-AH658</f>
        <v>0</v>
      </c>
      <c r="AJ658" s="30" t="n">
        <f aca="false">MAX(AE658,0)*(Inputs!$B$17+Inputs!$B$24+Inputs!$B$25)+MAX(-AE658,0)*(O658+Inputs!$B$24+Inputs!$B$25)+IF(AND(K658=1,AB658&lt;&gt;0),(Inputs!$B$17+Inputs!$B$24+Inputs!$B$25)+(O658+Inputs!$B$24+Inputs!$B$25),0)+MAX(AG658,0)*(Inputs!$B$20+Inputs!$B$26+Inputs!$B$27)+MAX(-AG658,0)*(Inputs!$B$21+Inputs!$B$26+Inputs!$B$27)</f>
        <v>0</v>
      </c>
      <c r="AK658" s="30" t="n">
        <f aca="false">AB657*(M658-AD657*J658)+AB657*AD657*(N658+Inputs!$B$14)/Inputs!$B$16-AJ658</f>
        <v>0</v>
      </c>
      <c r="AL658" s="30" t="n">
        <f aca="false">IF(AP657&lt;&gt;0,AQ657+1,0)</f>
        <v>0</v>
      </c>
      <c r="AM658" s="30" t="n">
        <f aca="false">IF(W658="",0,IF(AND(AP657&lt;&gt;0,OR(ABS(W658)&gt;Inputs!$B$7,AL658&gt;=Inputs!$B$8,ABS(W658)&lt;Inputs!$B$6)),1,0))</f>
        <v>0</v>
      </c>
      <c r="AN658" s="30" t="n">
        <f aca="false">IF(AM658=1,0,AP657)</f>
        <v>0</v>
      </c>
      <c r="AO658" s="30" t="n">
        <f aca="false">IF(W658="",0,IF(AND(AN658=0,ABS(W658)&gt;Inputs!$B$5,ABS(W658)&lt;=Inputs!$B$7,W658&gt;0),1,0))</f>
        <v>0</v>
      </c>
      <c r="AP658" s="30" t="n">
        <f aca="false">IF(W658="",0,IF(AO658=1,-SIGN(W658),AN658))</f>
        <v>0</v>
      </c>
      <c r="AQ658" s="30" t="n">
        <f aca="false">IF(W658="",0,IF(AO658=1,0,IF(AM658=1,0,AL658)))</f>
        <v>0</v>
      </c>
      <c r="AR658" s="30" t="n">
        <f aca="false">IF(AP658=0,0,IF(AP657=AP658,AR657,T658))</f>
        <v>0</v>
      </c>
      <c r="AS658" s="30" t="n">
        <f aca="false">AP658-AP657</f>
        <v>0</v>
      </c>
      <c r="AT658" s="30" t="n">
        <f aca="false">-AR658*AP658</f>
        <v>-0</v>
      </c>
      <c r="AU658" s="30" t="n">
        <f aca="false">AT658-AT657</f>
        <v>0</v>
      </c>
      <c r="AV658" s="30" t="n">
        <f aca="false">MAX(AS658,0)*(Inputs!$B$17+Inputs!$B$18+Inputs!$B$19)+MAX(-AS658,0)*(O658+Inputs!$B$18+Inputs!$B$19)+IF(AND(K658=1,AP658&lt;&gt;0),(Inputs!$B$17+Inputs!$B$18+Inputs!$B$19)+(O658+Inputs!$B$18+Inputs!$B$19),0)+MAX(AU658,0)*(Inputs!$B$20+Inputs!$B$22+Inputs!$B$23)+MAX(-AU658,0)*(Inputs!$B$21+Inputs!$B$22+Inputs!$B$23)</f>
        <v>0</v>
      </c>
      <c r="AW658" s="30" t="n">
        <f aca="false">AP657*(M658-AR657*J658)+AP657*AR657*N658/Inputs!$B$16-AV658</f>
        <v>0</v>
      </c>
      <c r="AX658" s="30" t="n">
        <f aca="false">AW658-IF(AP657&lt;&gt;0,0.75*AR657*(Inputs!$B$13-N658)/Inputs!$B$16,0)</f>
        <v>0</v>
      </c>
      <c r="AY658" s="30" t="n">
        <f aca="false">MAX(AS658,0)*(Inputs!$B$17+Inputs!$B$18+Inputs!$B$19)+MAX(-AS658,0)*(O658+Inputs!$B$18+Inputs!$B$19)+IF(AND(K658=1,AP658&lt;&gt;0),(Inputs!$B$17+Inputs!$B$18+Inputs!$B$19)+(O658+Inputs!$B$18+Inputs!$B$19),0)</f>
        <v>0</v>
      </c>
      <c r="AZ658" s="30" t="n">
        <f aca="false">AP657*M658-AY658</f>
        <v>-0</v>
      </c>
      <c r="BA658" s="32" t="n">
        <f aca="false">BA657+AI658</f>
        <v>0.0097327366555124</v>
      </c>
      <c r="BB658" s="30" t="n">
        <f aca="false">MAX(BB657,BA658)</f>
        <v>0.0108065678336457</v>
      </c>
      <c r="BC658" s="32" t="n">
        <f aca="false">BA658-BB658</f>
        <v>-0.00107383117813327</v>
      </c>
      <c r="BD658" s="30" t="n">
        <f aca="false">A659-A658</f>
        <v>1</v>
      </c>
    </row>
    <row r="659" customFormat="false" ht="15" hidden="false" customHeight="false" outlineLevel="0" collapsed="false">
      <c r="A659" s="28" t="n">
        <v>46009</v>
      </c>
      <c r="B659" s="0" t="n">
        <v>25882</v>
      </c>
      <c r="C659" s="0" t="n">
        <v>291.96</v>
      </c>
      <c r="D659" s="29" t="n">
        <f aca="false">LN(B659)</f>
        <v>10.1613030253816</v>
      </c>
      <c r="E659" s="29" t="n">
        <f aca="false">LN(C659)</f>
        <v>5.67661680658343</v>
      </c>
      <c r="F659" s="0" t="n">
        <v>654</v>
      </c>
      <c r="G659" s="0" t="n">
        <v>12</v>
      </c>
      <c r="H659" s="29" t="n">
        <f aca="false">D659-E659</f>
        <v>4.48468621879818</v>
      </c>
      <c r="I659" s="29" t="n">
        <f aca="false">D659-D658</f>
        <v>-0.00119316780864231</v>
      </c>
      <c r="J659" s="29" t="n">
        <f aca="false">E659-E658</f>
        <v>0.000205528723362214</v>
      </c>
      <c r="K659" s="0" t="n">
        <v>0</v>
      </c>
      <c r="L659" s="0" t="n">
        <v>0</v>
      </c>
      <c r="M659" s="29" t="n">
        <f aca="false">IF(L659=1,J659-Carry!$B$9/Inputs!$B$16,I659)</f>
        <v>-0.00119316780864231</v>
      </c>
      <c r="N659" s="0" t="n">
        <v>0.0525</v>
      </c>
      <c r="O659" s="0" t="n">
        <v>0.0002</v>
      </c>
      <c r="P659" s="29" t="n">
        <f aca="false">D659-('2 Hedge ratio'!$B$6+'2 Hedge ratio'!$B$5*E659)</f>
        <v>-0.00101761446732418</v>
      </c>
      <c r="Q659" s="29" t="n">
        <f aca="false">D659-('5 Re-specification'!$B$7+'5 Re-specification'!$B$5*E659+'5 Re-specification'!$B$6*F659)</f>
        <v>7.19592382161238E-005</v>
      </c>
      <c r="R659" s="30" t="n">
        <f aca="false">MIN(F659,Inputs!$B$9)</f>
        <v>250</v>
      </c>
      <c r="S659" s="29" t="n">
        <f aca="true">IF(AND(F659&gt;=1,R659&gt;=Inputs!$B$10),INDEX(LINEST(OFFSET(D659,-R659,0,R659,1),OFFSET(E659,-R659,0,R659,2)),1,1),"")</f>
        <v>-5.7941295397971E-005</v>
      </c>
      <c r="T659" s="29" t="n">
        <f aca="true">IF(AND(F659&gt;=1,R659&gt;=Inputs!$B$10),INDEX(LINEST(OFFSET(D659,-R659,0,R659,1),OFFSET(E659,-R659,0,R659,2)),1,2),"")</f>
        <v>1.0151956123981</v>
      </c>
      <c r="U659" s="29" t="n">
        <f aca="true">IF(AND(F659&gt;=1,R659&gt;=Inputs!$B$10),INDEX(LINEST(OFFSET(D659,-R659,0,R659,1),OFFSET(E659,-R659,0,R659,2)),1,3),"")</f>
        <v>4.4359515542424</v>
      </c>
      <c r="V659" s="29" t="n">
        <f aca="true">IF(AND(F659&gt;=1,R659&gt;=Inputs!$B$10),SQRT(SUMPRODUCT((OFFSET(D659,-R659,0,R659,1)-U659-T659*OFFSET(E659,-R659,0,R659,1)-S659*OFFSET(F659,-R659,0,R659,1))^2)/(R659-3)),"")</f>
        <v>0.00235636024324134</v>
      </c>
      <c r="W659" s="31" t="n">
        <f aca="false">IF(AND(F659&gt;=1,R659&gt;=Inputs!$B$10),(D659-U659-T659*E659-S659*F659)/V659,"")</f>
        <v>0.156428976309846</v>
      </c>
      <c r="X659" s="30" t="n">
        <f aca="false">IF(AB658&lt;&gt;0,AC658+1,0)</f>
        <v>0</v>
      </c>
      <c r="Y659" s="30" t="n">
        <f aca="false">IF(W659="",0,IF(AND(AB658&lt;&gt;0,OR(ABS(W659)&gt;Inputs!$B$7,X659&gt;=Inputs!$B$8,ABS(W659)&lt;Inputs!$B$6)),1,0))</f>
        <v>0</v>
      </c>
      <c r="Z659" s="30" t="n">
        <f aca="false">IF(Y659=1,0,AB658)</f>
        <v>0</v>
      </c>
      <c r="AA659" s="30" t="n">
        <f aca="false">IF(W659="",0,IF(AND(Z659=0,ABS(W659)&gt;Inputs!$B$5,ABS(W659)&lt;=Inputs!$B$7),1,0))</f>
        <v>0</v>
      </c>
      <c r="AB659" s="30" t="n">
        <f aca="false">IF(W659="",0,IF(AA659=1,-SIGN(W659),Z659))</f>
        <v>0</v>
      </c>
      <c r="AC659" s="30" t="n">
        <f aca="false">IF(W659="",0,IF(AA659=1,0,IF(Y659=1,0,X659)))</f>
        <v>0</v>
      </c>
      <c r="AD659" s="30" t="n">
        <f aca="false">IF(AB659=0,0,IF(AB658=AB659,AD658,T659))</f>
        <v>0</v>
      </c>
      <c r="AE659" s="30" t="n">
        <f aca="false">AB659-AB658</f>
        <v>0</v>
      </c>
      <c r="AF659" s="30" t="n">
        <f aca="false">-AD659*AB659</f>
        <v>-0</v>
      </c>
      <c r="AG659" s="30" t="n">
        <f aca="false">AF659-AF658</f>
        <v>0</v>
      </c>
      <c r="AH659" s="30" t="n">
        <f aca="false">MAX(AE659,0)*(Inputs!$B$17+Inputs!$B$18+Inputs!$B$19)+MAX(-AE659,0)*(O659+Inputs!$B$18+Inputs!$B$19)+IF(AND(K659=1,AB659&lt;&gt;0),(Inputs!$B$17+Inputs!$B$18+Inputs!$B$19)+(O659+Inputs!$B$18+Inputs!$B$19),0)+MAX(AG659,0)*(Inputs!$B$20+Inputs!$B$22+Inputs!$B$23)+MAX(-AG659,0)*(Inputs!$B$21+Inputs!$B$22+Inputs!$B$23)</f>
        <v>0</v>
      </c>
      <c r="AI659" s="30" t="n">
        <f aca="false">AB658*(M659-AD658*J659)+AB658*AD658*N659/Inputs!$B$16-AH659</f>
        <v>0</v>
      </c>
      <c r="AJ659" s="30" t="n">
        <f aca="false">MAX(AE659,0)*(Inputs!$B$17+Inputs!$B$24+Inputs!$B$25)+MAX(-AE659,0)*(O659+Inputs!$B$24+Inputs!$B$25)+IF(AND(K659=1,AB659&lt;&gt;0),(Inputs!$B$17+Inputs!$B$24+Inputs!$B$25)+(O659+Inputs!$B$24+Inputs!$B$25),0)+MAX(AG659,0)*(Inputs!$B$20+Inputs!$B$26+Inputs!$B$27)+MAX(-AG659,0)*(Inputs!$B$21+Inputs!$B$26+Inputs!$B$27)</f>
        <v>0</v>
      </c>
      <c r="AK659" s="30" t="n">
        <f aca="false">AB658*(M659-AD658*J659)+AB658*AD658*(N659+Inputs!$B$14)/Inputs!$B$16-AJ659</f>
        <v>0</v>
      </c>
      <c r="AL659" s="30" t="n">
        <f aca="false">IF(AP658&lt;&gt;0,AQ658+1,0)</f>
        <v>0</v>
      </c>
      <c r="AM659" s="30" t="n">
        <f aca="false">IF(W659="",0,IF(AND(AP658&lt;&gt;0,OR(ABS(W659)&gt;Inputs!$B$7,AL659&gt;=Inputs!$B$8,ABS(W659)&lt;Inputs!$B$6)),1,0))</f>
        <v>0</v>
      </c>
      <c r="AN659" s="30" t="n">
        <f aca="false">IF(AM659=1,0,AP658)</f>
        <v>0</v>
      </c>
      <c r="AO659" s="30" t="n">
        <f aca="false">IF(W659="",0,IF(AND(AN659=0,ABS(W659)&gt;Inputs!$B$5,ABS(W659)&lt;=Inputs!$B$7,W659&gt;0),1,0))</f>
        <v>0</v>
      </c>
      <c r="AP659" s="30" t="n">
        <f aca="false">IF(W659="",0,IF(AO659=1,-SIGN(W659),AN659))</f>
        <v>0</v>
      </c>
      <c r="AQ659" s="30" t="n">
        <f aca="false">IF(W659="",0,IF(AO659=1,0,IF(AM659=1,0,AL659)))</f>
        <v>0</v>
      </c>
      <c r="AR659" s="30" t="n">
        <f aca="false">IF(AP659=0,0,IF(AP658=AP659,AR658,T659))</f>
        <v>0</v>
      </c>
      <c r="AS659" s="30" t="n">
        <f aca="false">AP659-AP658</f>
        <v>0</v>
      </c>
      <c r="AT659" s="30" t="n">
        <f aca="false">-AR659*AP659</f>
        <v>-0</v>
      </c>
      <c r="AU659" s="30" t="n">
        <f aca="false">AT659-AT658</f>
        <v>0</v>
      </c>
      <c r="AV659" s="30" t="n">
        <f aca="false">MAX(AS659,0)*(Inputs!$B$17+Inputs!$B$18+Inputs!$B$19)+MAX(-AS659,0)*(O659+Inputs!$B$18+Inputs!$B$19)+IF(AND(K659=1,AP659&lt;&gt;0),(Inputs!$B$17+Inputs!$B$18+Inputs!$B$19)+(O659+Inputs!$B$18+Inputs!$B$19),0)+MAX(AU659,0)*(Inputs!$B$20+Inputs!$B$22+Inputs!$B$23)+MAX(-AU659,0)*(Inputs!$B$21+Inputs!$B$22+Inputs!$B$23)</f>
        <v>0</v>
      </c>
      <c r="AW659" s="30" t="n">
        <f aca="false">AP658*(M659-AR658*J659)+AP658*AR658*N659/Inputs!$B$16-AV659</f>
        <v>0</v>
      </c>
      <c r="AX659" s="30" t="n">
        <f aca="false">AW659-IF(AP658&lt;&gt;0,0.75*AR658*(Inputs!$B$13-N659)/Inputs!$B$16,0)</f>
        <v>0</v>
      </c>
      <c r="AY659" s="30" t="n">
        <f aca="false">MAX(AS659,0)*(Inputs!$B$17+Inputs!$B$18+Inputs!$B$19)+MAX(-AS659,0)*(O659+Inputs!$B$18+Inputs!$B$19)+IF(AND(K659=1,AP659&lt;&gt;0),(Inputs!$B$17+Inputs!$B$18+Inputs!$B$19)+(O659+Inputs!$B$18+Inputs!$B$19),0)</f>
        <v>0</v>
      </c>
      <c r="AZ659" s="30" t="n">
        <f aca="false">AP658*M659-AY659</f>
        <v>-0</v>
      </c>
      <c r="BA659" s="32" t="n">
        <f aca="false">BA658+AI659</f>
        <v>0.0097327366555124</v>
      </c>
      <c r="BB659" s="30" t="n">
        <f aca="false">MAX(BB658,BA659)</f>
        <v>0.0108065678336457</v>
      </c>
      <c r="BC659" s="32" t="n">
        <f aca="false">BA659-BB659</f>
        <v>-0.00107383117813327</v>
      </c>
      <c r="BD659" s="30" t="n">
        <f aca="false">A660-A659</f>
        <v>1</v>
      </c>
    </row>
    <row r="660" customFormat="false" ht="15" hidden="false" customHeight="false" outlineLevel="0" collapsed="false">
      <c r="A660" s="28" t="n">
        <v>46010</v>
      </c>
      <c r="B660" s="0" t="n">
        <v>26040</v>
      </c>
      <c r="C660" s="0" t="n">
        <v>293.5</v>
      </c>
      <c r="D660" s="29" t="n">
        <f aca="false">LN(B660)</f>
        <v>10.1673890963225</v>
      </c>
      <c r="E660" s="29" t="n">
        <f aca="false">LN(C660)</f>
        <v>5.68187763926815</v>
      </c>
      <c r="F660" s="0" t="n">
        <v>655</v>
      </c>
      <c r="G660" s="0" t="n">
        <v>11</v>
      </c>
      <c r="H660" s="29" t="n">
        <f aca="false">D660-E660</f>
        <v>4.48551145705435</v>
      </c>
      <c r="I660" s="29" t="n">
        <f aca="false">D660-D659</f>
        <v>0.00608607094089031</v>
      </c>
      <c r="J660" s="29" t="n">
        <f aca="false">E660-E659</f>
        <v>0.00526083268472011</v>
      </c>
      <c r="K660" s="0" t="n">
        <v>0</v>
      </c>
      <c r="L660" s="0" t="n">
        <v>0</v>
      </c>
      <c r="M660" s="29" t="n">
        <f aca="false">IF(L660=1,J660-Carry!$B$9/Inputs!$B$16,I660)</f>
        <v>0.00608607094089031</v>
      </c>
      <c r="N660" s="0" t="n">
        <v>0.0525</v>
      </c>
      <c r="O660" s="0" t="n">
        <v>0.0002</v>
      </c>
      <c r="P660" s="29" t="n">
        <f aca="false">D660-('2 Hedge ratio'!$B$6+'2 Hedge ratio'!$B$5*E660)</f>
        <v>0.000248866875175224</v>
      </c>
      <c r="Q660" s="29" t="n">
        <f aca="false">D660-('5 Re-specification'!$B$7+'5 Re-specification'!$B$5*E660+'5 Re-specification'!$B$6*F660)</f>
        <v>0.000958069766046066</v>
      </c>
      <c r="R660" s="30" t="n">
        <f aca="false">MIN(F660,Inputs!$B$9)</f>
        <v>250</v>
      </c>
      <c r="S660" s="29" t="n">
        <f aca="true">IF(AND(F660&gt;=1,R660&gt;=Inputs!$B$10),INDEX(LINEST(OFFSET(D660,-R660,0,R660,1),OFFSET(E660,-R660,0,R660,2)),1,1),"")</f>
        <v>-5.84937419287928E-005</v>
      </c>
      <c r="T660" s="29" t="n">
        <f aca="true">IF(AND(F660&gt;=1,R660&gt;=Inputs!$B$10),INDEX(LINEST(OFFSET(D660,-R660,0,R660,1),OFFSET(E660,-R660,0,R660,2)),1,2),"")</f>
        <v>1.01594151732303</v>
      </c>
      <c r="U660" s="29" t="n">
        <f aca="true">IF(AND(F660&gt;=1,R660&gt;=Inputs!$B$10),INDEX(LINEST(OFFSET(D660,-R660,0,R660,1),OFFSET(E660,-R660,0,R660,2)),1,3),"")</f>
        <v>4.43206198959165</v>
      </c>
      <c r="V660" s="29" t="n">
        <f aca="true">IF(AND(F660&gt;=1,R660&gt;=Inputs!$B$10),SQRT(SUMPRODUCT((OFFSET(D660,-R660,0,R660,1)-U660-T660*OFFSET(E660,-R660,0,R660,1)-S660*OFFSET(F660,-R660,0,R660,1))^2)/(R660-3)),"")</f>
        <v>0.00235398520874117</v>
      </c>
      <c r="W660" s="31" t="n">
        <f aca="false">IF(AND(F660&gt;=1,R660&gt;=Inputs!$B$10),(D660-U660-T660*E660-S660*F660)/V660,"")</f>
        <v>0.503451596857883</v>
      </c>
      <c r="X660" s="30" t="n">
        <f aca="false">IF(AB659&lt;&gt;0,AC659+1,0)</f>
        <v>0</v>
      </c>
      <c r="Y660" s="30" t="n">
        <f aca="false">IF(W660="",0,IF(AND(AB659&lt;&gt;0,OR(ABS(W660)&gt;Inputs!$B$7,X660&gt;=Inputs!$B$8,ABS(W660)&lt;Inputs!$B$6)),1,0))</f>
        <v>0</v>
      </c>
      <c r="Z660" s="30" t="n">
        <f aca="false">IF(Y660=1,0,AB659)</f>
        <v>0</v>
      </c>
      <c r="AA660" s="30" t="n">
        <f aca="false">IF(W660="",0,IF(AND(Z660=0,ABS(W660)&gt;Inputs!$B$5,ABS(W660)&lt;=Inputs!$B$7),1,0))</f>
        <v>0</v>
      </c>
      <c r="AB660" s="30" t="n">
        <f aca="false">IF(W660="",0,IF(AA660=1,-SIGN(W660),Z660))</f>
        <v>0</v>
      </c>
      <c r="AC660" s="30" t="n">
        <f aca="false">IF(W660="",0,IF(AA660=1,0,IF(Y660=1,0,X660)))</f>
        <v>0</v>
      </c>
      <c r="AD660" s="30" t="n">
        <f aca="false">IF(AB660=0,0,IF(AB659=AB660,AD659,T660))</f>
        <v>0</v>
      </c>
      <c r="AE660" s="30" t="n">
        <f aca="false">AB660-AB659</f>
        <v>0</v>
      </c>
      <c r="AF660" s="30" t="n">
        <f aca="false">-AD660*AB660</f>
        <v>-0</v>
      </c>
      <c r="AG660" s="30" t="n">
        <f aca="false">AF660-AF659</f>
        <v>0</v>
      </c>
      <c r="AH660" s="30" t="n">
        <f aca="false">MAX(AE660,0)*(Inputs!$B$17+Inputs!$B$18+Inputs!$B$19)+MAX(-AE660,0)*(O660+Inputs!$B$18+Inputs!$B$19)+IF(AND(K660=1,AB660&lt;&gt;0),(Inputs!$B$17+Inputs!$B$18+Inputs!$B$19)+(O660+Inputs!$B$18+Inputs!$B$19),0)+MAX(AG660,0)*(Inputs!$B$20+Inputs!$B$22+Inputs!$B$23)+MAX(-AG660,0)*(Inputs!$B$21+Inputs!$B$22+Inputs!$B$23)</f>
        <v>0</v>
      </c>
      <c r="AI660" s="30" t="n">
        <f aca="false">AB659*(M660-AD659*J660)+AB659*AD659*N660/Inputs!$B$16-AH660</f>
        <v>0</v>
      </c>
      <c r="AJ660" s="30" t="n">
        <f aca="false">MAX(AE660,0)*(Inputs!$B$17+Inputs!$B$24+Inputs!$B$25)+MAX(-AE660,0)*(O660+Inputs!$B$24+Inputs!$B$25)+IF(AND(K660=1,AB660&lt;&gt;0),(Inputs!$B$17+Inputs!$B$24+Inputs!$B$25)+(O660+Inputs!$B$24+Inputs!$B$25),0)+MAX(AG660,0)*(Inputs!$B$20+Inputs!$B$26+Inputs!$B$27)+MAX(-AG660,0)*(Inputs!$B$21+Inputs!$B$26+Inputs!$B$27)</f>
        <v>0</v>
      </c>
      <c r="AK660" s="30" t="n">
        <f aca="false">AB659*(M660-AD659*J660)+AB659*AD659*(N660+Inputs!$B$14)/Inputs!$B$16-AJ660</f>
        <v>0</v>
      </c>
      <c r="AL660" s="30" t="n">
        <f aca="false">IF(AP659&lt;&gt;0,AQ659+1,0)</f>
        <v>0</v>
      </c>
      <c r="AM660" s="30" t="n">
        <f aca="false">IF(W660="",0,IF(AND(AP659&lt;&gt;0,OR(ABS(W660)&gt;Inputs!$B$7,AL660&gt;=Inputs!$B$8,ABS(W660)&lt;Inputs!$B$6)),1,0))</f>
        <v>0</v>
      </c>
      <c r="AN660" s="30" t="n">
        <f aca="false">IF(AM660=1,0,AP659)</f>
        <v>0</v>
      </c>
      <c r="AO660" s="30" t="n">
        <f aca="false">IF(W660="",0,IF(AND(AN660=0,ABS(W660)&gt;Inputs!$B$5,ABS(W660)&lt;=Inputs!$B$7,W660&gt;0),1,0))</f>
        <v>0</v>
      </c>
      <c r="AP660" s="30" t="n">
        <f aca="false">IF(W660="",0,IF(AO660=1,-SIGN(W660),AN660))</f>
        <v>0</v>
      </c>
      <c r="AQ660" s="30" t="n">
        <f aca="false">IF(W660="",0,IF(AO660=1,0,IF(AM660=1,0,AL660)))</f>
        <v>0</v>
      </c>
      <c r="AR660" s="30" t="n">
        <f aca="false">IF(AP660=0,0,IF(AP659=AP660,AR659,T660))</f>
        <v>0</v>
      </c>
      <c r="AS660" s="30" t="n">
        <f aca="false">AP660-AP659</f>
        <v>0</v>
      </c>
      <c r="AT660" s="30" t="n">
        <f aca="false">-AR660*AP660</f>
        <v>-0</v>
      </c>
      <c r="AU660" s="30" t="n">
        <f aca="false">AT660-AT659</f>
        <v>0</v>
      </c>
      <c r="AV660" s="30" t="n">
        <f aca="false">MAX(AS660,0)*(Inputs!$B$17+Inputs!$B$18+Inputs!$B$19)+MAX(-AS660,0)*(O660+Inputs!$B$18+Inputs!$B$19)+IF(AND(K660=1,AP660&lt;&gt;0),(Inputs!$B$17+Inputs!$B$18+Inputs!$B$19)+(O660+Inputs!$B$18+Inputs!$B$19),0)+MAX(AU660,0)*(Inputs!$B$20+Inputs!$B$22+Inputs!$B$23)+MAX(-AU660,0)*(Inputs!$B$21+Inputs!$B$22+Inputs!$B$23)</f>
        <v>0</v>
      </c>
      <c r="AW660" s="30" t="n">
        <f aca="false">AP659*(M660-AR659*J660)+AP659*AR659*N660/Inputs!$B$16-AV660</f>
        <v>0</v>
      </c>
      <c r="AX660" s="30" t="n">
        <f aca="false">AW660-IF(AP659&lt;&gt;0,0.75*AR659*(Inputs!$B$13-N660)/Inputs!$B$16,0)</f>
        <v>0</v>
      </c>
      <c r="AY660" s="30" t="n">
        <f aca="false">MAX(AS660,0)*(Inputs!$B$17+Inputs!$B$18+Inputs!$B$19)+MAX(-AS660,0)*(O660+Inputs!$B$18+Inputs!$B$19)+IF(AND(K660=1,AP660&lt;&gt;0),(Inputs!$B$17+Inputs!$B$18+Inputs!$B$19)+(O660+Inputs!$B$18+Inputs!$B$19),0)</f>
        <v>0</v>
      </c>
      <c r="AZ660" s="30" t="n">
        <f aca="false">AP659*M660-AY660</f>
        <v>0</v>
      </c>
      <c r="BA660" s="32" t="n">
        <f aca="false">BA659+AI660</f>
        <v>0.0097327366555124</v>
      </c>
      <c r="BB660" s="30" t="n">
        <f aca="false">MAX(BB659,BA660)</f>
        <v>0.0108065678336457</v>
      </c>
      <c r="BC660" s="32" t="n">
        <f aca="false">BA660-BB660</f>
        <v>-0.00107383117813327</v>
      </c>
      <c r="BD660" s="30" t="n">
        <f aca="false">A661-A660</f>
        <v>3</v>
      </c>
    </row>
    <row r="661" customFormat="false" ht="15" hidden="false" customHeight="false" outlineLevel="0" collapsed="false">
      <c r="A661" s="28" t="n">
        <v>46013</v>
      </c>
      <c r="B661" s="0" t="n">
        <v>26202</v>
      </c>
      <c r="C661" s="0" t="n">
        <v>295.68</v>
      </c>
      <c r="D661" s="29" t="n">
        <f aca="false">LN(B661)</f>
        <v>10.1735910227136</v>
      </c>
      <c r="E661" s="29" t="n">
        <f aca="false">LN(C661)</f>
        <v>5.68927778845332</v>
      </c>
      <c r="F661" s="0" t="n">
        <v>656</v>
      </c>
      <c r="G661" s="0" t="n">
        <v>8</v>
      </c>
      <c r="H661" s="29" t="n">
        <f aca="false">D661-E661</f>
        <v>4.4843132342603</v>
      </c>
      <c r="I661" s="29" t="n">
        <f aca="false">D661-D660</f>
        <v>0.00620192639111039</v>
      </c>
      <c r="J661" s="29" t="n">
        <f aca="false">E661-E660</f>
        <v>0.00740014918516785</v>
      </c>
      <c r="K661" s="0" t="n">
        <v>0</v>
      </c>
      <c r="L661" s="0" t="n">
        <v>0</v>
      </c>
      <c r="M661" s="29" t="n">
        <f aca="false">IF(L661=1,J661-Carry!$B$9/Inputs!$B$16,I661)</f>
        <v>0.00620192639111039</v>
      </c>
      <c r="N661" s="0" t="n">
        <v>0.0525</v>
      </c>
      <c r="O661" s="0" t="n">
        <v>0.0002</v>
      </c>
      <c r="P661" s="29" t="n">
        <f aca="false">D661-('2 Hedge ratio'!$B$6+'2 Hedge ratio'!$B$5*E661)</f>
        <v>-0.000328681424665689</v>
      </c>
      <c r="Q661" s="29" t="n">
        <f aca="false">D661-('5 Re-specification'!$B$7+'5 Re-specification'!$B$5*E661+'5 Re-specification'!$B$6*F661)</f>
        <v>-0.000172797557651094</v>
      </c>
      <c r="R661" s="30" t="n">
        <f aca="false">MIN(F661,Inputs!$B$9)</f>
        <v>250</v>
      </c>
      <c r="S661" s="29" t="n">
        <f aca="true">IF(AND(F661&gt;=1,R661&gt;=Inputs!$B$10),INDEX(LINEST(OFFSET(D661,-R661,0,R661,1),OFFSET(E661,-R661,0,R661,2)),1,1),"")</f>
        <v>-5.90992757226859E-005</v>
      </c>
      <c r="T661" s="29" t="n">
        <f aca="true">IF(AND(F661&gt;=1,R661&gt;=Inputs!$B$10),INDEX(LINEST(OFFSET(D661,-R661,0,R661,1),OFFSET(E661,-R661,0,R661,2)),1,2),"")</f>
        <v>1.01682585692465</v>
      </c>
      <c r="U661" s="29" t="n">
        <f aca="true">IF(AND(F661&gt;=1,R661&gt;=Inputs!$B$10),INDEX(LINEST(OFFSET(D661,-R661,0,R661,1),OFFSET(E661,-R661,0,R661,2)),1,3),"")</f>
        <v>4.42742843138084</v>
      </c>
      <c r="V661" s="29" t="n">
        <f aca="true">IF(AND(F661&gt;=1,R661&gt;=Inputs!$B$10),SQRT(SUMPRODUCT((OFFSET(D661,-R661,0,R661,1)-U661-T661*OFFSET(E661,-R661,0,R661,1)-S661*OFFSET(F661,-R661,0,R661,1))^2)/(R661-3)),"")</f>
        <v>0.00235101743875625</v>
      </c>
      <c r="W661" s="31" t="n">
        <f aca="false">IF(AND(F661&gt;=1,R661&gt;=Inputs!$B$10),(D661-U661-T661*E661-S661*F661)/V661,"")</f>
        <v>-0.0310700883726424</v>
      </c>
      <c r="X661" s="30" t="n">
        <f aca="false">IF(AB660&lt;&gt;0,AC660+1,0)</f>
        <v>0</v>
      </c>
      <c r="Y661" s="30" t="n">
        <f aca="false">IF(W661="",0,IF(AND(AB660&lt;&gt;0,OR(ABS(W661)&gt;Inputs!$B$7,X661&gt;=Inputs!$B$8,ABS(W661)&lt;Inputs!$B$6)),1,0))</f>
        <v>0</v>
      </c>
      <c r="Z661" s="30" t="n">
        <f aca="false">IF(Y661=1,0,AB660)</f>
        <v>0</v>
      </c>
      <c r="AA661" s="30" t="n">
        <f aca="false">IF(W661="",0,IF(AND(Z661=0,ABS(W661)&gt;Inputs!$B$5,ABS(W661)&lt;=Inputs!$B$7),1,0))</f>
        <v>0</v>
      </c>
      <c r="AB661" s="30" t="n">
        <f aca="false">IF(W661="",0,IF(AA661=1,-SIGN(W661),Z661))</f>
        <v>0</v>
      </c>
      <c r="AC661" s="30" t="n">
        <f aca="false">IF(W661="",0,IF(AA661=1,0,IF(Y661=1,0,X661)))</f>
        <v>0</v>
      </c>
      <c r="AD661" s="30" t="n">
        <f aca="false">IF(AB661=0,0,IF(AB660=AB661,AD660,T661))</f>
        <v>0</v>
      </c>
      <c r="AE661" s="30" t="n">
        <f aca="false">AB661-AB660</f>
        <v>0</v>
      </c>
      <c r="AF661" s="30" t="n">
        <f aca="false">-AD661*AB661</f>
        <v>-0</v>
      </c>
      <c r="AG661" s="30" t="n">
        <f aca="false">AF661-AF660</f>
        <v>0</v>
      </c>
      <c r="AH661" s="30" t="n">
        <f aca="false">MAX(AE661,0)*(Inputs!$B$17+Inputs!$B$18+Inputs!$B$19)+MAX(-AE661,0)*(O661+Inputs!$B$18+Inputs!$B$19)+IF(AND(K661=1,AB661&lt;&gt;0),(Inputs!$B$17+Inputs!$B$18+Inputs!$B$19)+(O661+Inputs!$B$18+Inputs!$B$19),0)+MAX(AG661,0)*(Inputs!$B$20+Inputs!$B$22+Inputs!$B$23)+MAX(-AG661,0)*(Inputs!$B$21+Inputs!$B$22+Inputs!$B$23)</f>
        <v>0</v>
      </c>
      <c r="AI661" s="30" t="n">
        <f aca="false">AB660*(M661-AD660*J661)+AB660*AD660*N661/Inputs!$B$16-AH661</f>
        <v>0</v>
      </c>
      <c r="AJ661" s="30" t="n">
        <f aca="false">MAX(AE661,0)*(Inputs!$B$17+Inputs!$B$24+Inputs!$B$25)+MAX(-AE661,0)*(O661+Inputs!$B$24+Inputs!$B$25)+IF(AND(K661=1,AB661&lt;&gt;0),(Inputs!$B$17+Inputs!$B$24+Inputs!$B$25)+(O661+Inputs!$B$24+Inputs!$B$25),0)+MAX(AG661,0)*(Inputs!$B$20+Inputs!$B$26+Inputs!$B$27)+MAX(-AG661,0)*(Inputs!$B$21+Inputs!$B$26+Inputs!$B$27)</f>
        <v>0</v>
      </c>
      <c r="AK661" s="30" t="n">
        <f aca="false">AB660*(M661-AD660*J661)+AB660*AD660*(N661+Inputs!$B$14)/Inputs!$B$16-AJ661</f>
        <v>0</v>
      </c>
      <c r="AL661" s="30" t="n">
        <f aca="false">IF(AP660&lt;&gt;0,AQ660+1,0)</f>
        <v>0</v>
      </c>
      <c r="AM661" s="30" t="n">
        <f aca="false">IF(W661="",0,IF(AND(AP660&lt;&gt;0,OR(ABS(W661)&gt;Inputs!$B$7,AL661&gt;=Inputs!$B$8,ABS(W661)&lt;Inputs!$B$6)),1,0))</f>
        <v>0</v>
      </c>
      <c r="AN661" s="30" t="n">
        <f aca="false">IF(AM661=1,0,AP660)</f>
        <v>0</v>
      </c>
      <c r="AO661" s="30" t="n">
        <f aca="false">IF(W661="",0,IF(AND(AN661=0,ABS(W661)&gt;Inputs!$B$5,ABS(W661)&lt;=Inputs!$B$7,W661&gt;0),1,0))</f>
        <v>0</v>
      </c>
      <c r="AP661" s="30" t="n">
        <f aca="false">IF(W661="",0,IF(AO661=1,-SIGN(W661),AN661))</f>
        <v>0</v>
      </c>
      <c r="AQ661" s="30" t="n">
        <f aca="false">IF(W661="",0,IF(AO661=1,0,IF(AM661=1,0,AL661)))</f>
        <v>0</v>
      </c>
      <c r="AR661" s="30" t="n">
        <f aca="false">IF(AP661=0,0,IF(AP660=AP661,AR660,T661))</f>
        <v>0</v>
      </c>
      <c r="AS661" s="30" t="n">
        <f aca="false">AP661-AP660</f>
        <v>0</v>
      </c>
      <c r="AT661" s="30" t="n">
        <f aca="false">-AR661*AP661</f>
        <v>-0</v>
      </c>
      <c r="AU661" s="30" t="n">
        <f aca="false">AT661-AT660</f>
        <v>0</v>
      </c>
      <c r="AV661" s="30" t="n">
        <f aca="false">MAX(AS661,0)*(Inputs!$B$17+Inputs!$B$18+Inputs!$B$19)+MAX(-AS661,0)*(O661+Inputs!$B$18+Inputs!$B$19)+IF(AND(K661=1,AP661&lt;&gt;0),(Inputs!$B$17+Inputs!$B$18+Inputs!$B$19)+(O661+Inputs!$B$18+Inputs!$B$19),0)+MAX(AU661,0)*(Inputs!$B$20+Inputs!$B$22+Inputs!$B$23)+MAX(-AU661,0)*(Inputs!$B$21+Inputs!$B$22+Inputs!$B$23)</f>
        <v>0</v>
      </c>
      <c r="AW661" s="30" t="n">
        <f aca="false">AP660*(M661-AR660*J661)+AP660*AR660*N661/Inputs!$B$16-AV661</f>
        <v>0</v>
      </c>
      <c r="AX661" s="30" t="n">
        <f aca="false">AW661-IF(AP660&lt;&gt;0,0.75*AR660*(Inputs!$B$13-N661)/Inputs!$B$16,0)</f>
        <v>0</v>
      </c>
      <c r="AY661" s="30" t="n">
        <f aca="false">MAX(AS661,0)*(Inputs!$B$17+Inputs!$B$18+Inputs!$B$19)+MAX(-AS661,0)*(O661+Inputs!$B$18+Inputs!$B$19)+IF(AND(K661=1,AP661&lt;&gt;0),(Inputs!$B$17+Inputs!$B$18+Inputs!$B$19)+(O661+Inputs!$B$18+Inputs!$B$19),0)</f>
        <v>0</v>
      </c>
      <c r="AZ661" s="30" t="n">
        <f aca="false">AP660*M661-AY661</f>
        <v>0</v>
      </c>
      <c r="BA661" s="32" t="n">
        <f aca="false">BA660+AI661</f>
        <v>0.0097327366555124</v>
      </c>
      <c r="BB661" s="30" t="n">
        <f aca="false">MAX(BB660,BA661)</f>
        <v>0.0108065678336457</v>
      </c>
      <c r="BC661" s="32" t="n">
        <f aca="false">BA661-BB661</f>
        <v>-0.00107383117813327</v>
      </c>
      <c r="BD661" s="30" t="n">
        <f aca="false">A662-A661</f>
        <v>1</v>
      </c>
    </row>
    <row r="662" customFormat="false" ht="15" hidden="false" customHeight="false" outlineLevel="0" collapsed="false">
      <c r="A662" s="28" t="n">
        <v>46014</v>
      </c>
      <c r="B662" s="0" t="n">
        <v>26196.1</v>
      </c>
      <c r="C662" s="0" t="n">
        <v>295.65</v>
      </c>
      <c r="D662" s="29" t="n">
        <f aca="false">LN(B662)</f>
        <v>10.1733658237074</v>
      </c>
      <c r="E662" s="29" t="n">
        <f aca="false">LN(C662)</f>
        <v>5.68917632226684</v>
      </c>
      <c r="F662" s="0" t="n">
        <v>657</v>
      </c>
      <c r="G662" s="0" t="n">
        <v>7</v>
      </c>
      <c r="H662" s="29" t="n">
        <f aca="false">D662-E662</f>
        <v>4.48418950144052</v>
      </c>
      <c r="I662" s="29" t="n">
        <f aca="false">D662-D661</f>
        <v>-0.000225199006258947</v>
      </c>
      <c r="J662" s="29" t="n">
        <f aca="false">E662-E661</f>
        <v>-0.000101466186480437</v>
      </c>
      <c r="K662" s="0" t="n">
        <v>0</v>
      </c>
      <c r="L662" s="0" t="n">
        <v>0</v>
      </c>
      <c r="M662" s="29" t="n">
        <f aca="false">IF(L662=1,J662-Carry!$B$9/Inputs!$B$16,I662)</f>
        <v>-0.000225199006258947</v>
      </c>
      <c r="N662" s="0" t="n">
        <v>0.0525</v>
      </c>
      <c r="O662" s="0" t="n">
        <v>0.0002</v>
      </c>
      <c r="P662" s="29" t="n">
        <f aca="false">D662-('2 Hedge ratio'!$B$6+'2 Hedge ratio'!$B$5*E662)</f>
        <v>-0.000460924542331043</v>
      </c>
      <c r="Q662" s="29" t="n">
        <f aca="false">D662-('5 Re-specification'!$B$7+'5 Re-specification'!$B$5*E662+'5 Re-specification'!$B$6*F662)</f>
        <v>-0.000251908552613145</v>
      </c>
      <c r="R662" s="30" t="n">
        <f aca="false">MIN(F662,Inputs!$B$9)</f>
        <v>250</v>
      </c>
      <c r="S662" s="29" t="n">
        <f aca="true">IF(AND(F662&gt;=1,R662&gt;=Inputs!$B$10),INDEX(LINEST(OFFSET(D662,-R662,0,R662,1),OFFSET(E662,-R662,0,R662,2)),1,1),"")</f>
        <v>-6.02793859244705E-005</v>
      </c>
      <c r="T662" s="29" t="n">
        <f aca="true">IF(AND(F662&gt;=1,R662&gt;=Inputs!$B$10),INDEX(LINEST(OFFSET(D662,-R662,0,R662,1),OFFSET(E662,-R662,0,R662,2)),1,2),"")</f>
        <v>1.01823360257127</v>
      </c>
      <c r="U662" s="29" t="n">
        <f aca="true">IF(AND(F662&gt;=1,R662&gt;=Inputs!$B$10),INDEX(LINEST(OFFSET(D662,-R662,0,R662,1),OFFSET(E662,-R662,0,R662,2)),1,3),"")</f>
        <v>4.42016087490356</v>
      </c>
      <c r="V662" s="29" t="n">
        <f aca="true">IF(AND(F662&gt;=1,R662&gt;=Inputs!$B$10),SQRT(SUMPRODUCT((OFFSET(D662,-R662,0,R662,1)-U662-T662*OFFSET(E662,-R662,0,R662,1)-S662*OFFSET(F662,-R662,0,R662,1))^2)/(R662-3)),"")</f>
        <v>0.0023388948051219</v>
      </c>
      <c r="W662" s="31" t="n">
        <f aca="false">IF(AND(F662&gt;=1,R662&gt;=Inputs!$B$10),(D662-U662-T662*E662-S662*F662)/V662,"")</f>
        <v>-0.0436090278850489</v>
      </c>
      <c r="X662" s="30" t="n">
        <f aca="false">IF(AB661&lt;&gt;0,AC661+1,0)</f>
        <v>0</v>
      </c>
      <c r="Y662" s="30" t="n">
        <f aca="false">IF(W662="",0,IF(AND(AB661&lt;&gt;0,OR(ABS(W662)&gt;Inputs!$B$7,X662&gt;=Inputs!$B$8,ABS(W662)&lt;Inputs!$B$6)),1,0))</f>
        <v>0</v>
      </c>
      <c r="Z662" s="30" t="n">
        <f aca="false">IF(Y662=1,0,AB661)</f>
        <v>0</v>
      </c>
      <c r="AA662" s="30" t="n">
        <f aca="false">IF(W662="",0,IF(AND(Z662=0,ABS(W662)&gt;Inputs!$B$5,ABS(W662)&lt;=Inputs!$B$7),1,0))</f>
        <v>0</v>
      </c>
      <c r="AB662" s="30" t="n">
        <f aca="false">IF(W662="",0,IF(AA662=1,-SIGN(W662),Z662))</f>
        <v>0</v>
      </c>
      <c r="AC662" s="30" t="n">
        <f aca="false">IF(W662="",0,IF(AA662=1,0,IF(Y662=1,0,X662)))</f>
        <v>0</v>
      </c>
      <c r="AD662" s="30" t="n">
        <f aca="false">IF(AB662=0,0,IF(AB661=AB662,AD661,T662))</f>
        <v>0</v>
      </c>
      <c r="AE662" s="30" t="n">
        <f aca="false">AB662-AB661</f>
        <v>0</v>
      </c>
      <c r="AF662" s="30" t="n">
        <f aca="false">-AD662*AB662</f>
        <v>-0</v>
      </c>
      <c r="AG662" s="30" t="n">
        <f aca="false">AF662-AF661</f>
        <v>0</v>
      </c>
      <c r="AH662" s="30" t="n">
        <f aca="false">MAX(AE662,0)*(Inputs!$B$17+Inputs!$B$18+Inputs!$B$19)+MAX(-AE662,0)*(O662+Inputs!$B$18+Inputs!$B$19)+IF(AND(K662=1,AB662&lt;&gt;0),(Inputs!$B$17+Inputs!$B$18+Inputs!$B$19)+(O662+Inputs!$B$18+Inputs!$B$19),0)+MAX(AG662,0)*(Inputs!$B$20+Inputs!$B$22+Inputs!$B$23)+MAX(-AG662,0)*(Inputs!$B$21+Inputs!$B$22+Inputs!$B$23)</f>
        <v>0</v>
      </c>
      <c r="AI662" s="30" t="n">
        <f aca="false">AB661*(M662-AD661*J662)+AB661*AD661*N662/Inputs!$B$16-AH662</f>
        <v>0</v>
      </c>
      <c r="AJ662" s="30" t="n">
        <f aca="false">MAX(AE662,0)*(Inputs!$B$17+Inputs!$B$24+Inputs!$B$25)+MAX(-AE662,0)*(O662+Inputs!$B$24+Inputs!$B$25)+IF(AND(K662=1,AB662&lt;&gt;0),(Inputs!$B$17+Inputs!$B$24+Inputs!$B$25)+(O662+Inputs!$B$24+Inputs!$B$25),0)+MAX(AG662,0)*(Inputs!$B$20+Inputs!$B$26+Inputs!$B$27)+MAX(-AG662,0)*(Inputs!$B$21+Inputs!$B$26+Inputs!$B$27)</f>
        <v>0</v>
      </c>
      <c r="AK662" s="30" t="n">
        <f aca="false">AB661*(M662-AD661*J662)+AB661*AD661*(N662+Inputs!$B$14)/Inputs!$B$16-AJ662</f>
        <v>0</v>
      </c>
      <c r="AL662" s="30" t="n">
        <f aca="false">IF(AP661&lt;&gt;0,AQ661+1,0)</f>
        <v>0</v>
      </c>
      <c r="AM662" s="30" t="n">
        <f aca="false">IF(W662="",0,IF(AND(AP661&lt;&gt;0,OR(ABS(W662)&gt;Inputs!$B$7,AL662&gt;=Inputs!$B$8,ABS(W662)&lt;Inputs!$B$6)),1,0))</f>
        <v>0</v>
      </c>
      <c r="AN662" s="30" t="n">
        <f aca="false">IF(AM662=1,0,AP661)</f>
        <v>0</v>
      </c>
      <c r="AO662" s="30" t="n">
        <f aca="false">IF(W662="",0,IF(AND(AN662=0,ABS(W662)&gt;Inputs!$B$5,ABS(W662)&lt;=Inputs!$B$7,W662&gt;0),1,0))</f>
        <v>0</v>
      </c>
      <c r="AP662" s="30" t="n">
        <f aca="false">IF(W662="",0,IF(AO662=1,-SIGN(W662),AN662))</f>
        <v>0</v>
      </c>
      <c r="AQ662" s="30" t="n">
        <f aca="false">IF(W662="",0,IF(AO662=1,0,IF(AM662=1,0,AL662)))</f>
        <v>0</v>
      </c>
      <c r="AR662" s="30" t="n">
        <f aca="false">IF(AP662=0,0,IF(AP661=AP662,AR661,T662))</f>
        <v>0</v>
      </c>
      <c r="AS662" s="30" t="n">
        <f aca="false">AP662-AP661</f>
        <v>0</v>
      </c>
      <c r="AT662" s="30" t="n">
        <f aca="false">-AR662*AP662</f>
        <v>-0</v>
      </c>
      <c r="AU662" s="30" t="n">
        <f aca="false">AT662-AT661</f>
        <v>0</v>
      </c>
      <c r="AV662" s="30" t="n">
        <f aca="false">MAX(AS662,0)*(Inputs!$B$17+Inputs!$B$18+Inputs!$B$19)+MAX(-AS662,0)*(O662+Inputs!$B$18+Inputs!$B$19)+IF(AND(K662=1,AP662&lt;&gt;0),(Inputs!$B$17+Inputs!$B$18+Inputs!$B$19)+(O662+Inputs!$B$18+Inputs!$B$19),0)+MAX(AU662,0)*(Inputs!$B$20+Inputs!$B$22+Inputs!$B$23)+MAX(-AU662,0)*(Inputs!$B$21+Inputs!$B$22+Inputs!$B$23)</f>
        <v>0</v>
      </c>
      <c r="AW662" s="30" t="n">
        <f aca="false">AP661*(M662-AR661*J662)+AP661*AR661*N662/Inputs!$B$16-AV662</f>
        <v>0</v>
      </c>
      <c r="AX662" s="30" t="n">
        <f aca="false">AW662-IF(AP661&lt;&gt;0,0.75*AR661*(Inputs!$B$13-N662)/Inputs!$B$16,0)</f>
        <v>0</v>
      </c>
      <c r="AY662" s="30" t="n">
        <f aca="false">MAX(AS662,0)*(Inputs!$B$17+Inputs!$B$18+Inputs!$B$19)+MAX(-AS662,0)*(O662+Inputs!$B$18+Inputs!$B$19)+IF(AND(K662=1,AP662&lt;&gt;0),(Inputs!$B$17+Inputs!$B$18+Inputs!$B$19)+(O662+Inputs!$B$18+Inputs!$B$19),0)</f>
        <v>0</v>
      </c>
      <c r="AZ662" s="30" t="n">
        <f aca="false">AP661*M662-AY662</f>
        <v>-0</v>
      </c>
      <c r="BA662" s="32" t="n">
        <f aca="false">BA661+AI662</f>
        <v>0.0097327366555124</v>
      </c>
      <c r="BB662" s="30" t="n">
        <f aca="false">MAX(BB661,BA662)</f>
        <v>0.0108065678336457</v>
      </c>
      <c r="BC662" s="32" t="n">
        <f aca="false">BA662-BB662</f>
        <v>-0.00107383117813327</v>
      </c>
      <c r="BD662" s="30" t="n">
        <f aca="false">A663-A662</f>
        <v>1</v>
      </c>
    </row>
    <row r="663" customFormat="false" ht="15" hidden="false" customHeight="false" outlineLevel="0" collapsed="false">
      <c r="A663" s="28" t="n">
        <v>46015</v>
      </c>
      <c r="B663" s="0" t="n">
        <v>26164.1</v>
      </c>
      <c r="C663" s="0" t="n">
        <v>295.54</v>
      </c>
      <c r="D663" s="29" t="n">
        <f aca="false">LN(B663)</f>
        <v>10.1721435211194</v>
      </c>
      <c r="E663" s="29" t="n">
        <f aca="false">LN(C663)</f>
        <v>5.68880419147549</v>
      </c>
      <c r="F663" s="0" t="n">
        <v>658</v>
      </c>
      <c r="G663" s="0" t="n">
        <v>6</v>
      </c>
      <c r="H663" s="29" t="n">
        <f aca="false">D663-E663</f>
        <v>4.48333932964387</v>
      </c>
      <c r="I663" s="29" t="n">
        <f aca="false">D663-D662</f>
        <v>-0.00122230258799938</v>
      </c>
      <c r="J663" s="29" t="n">
        <f aca="false">E663-E662</f>
        <v>-0.000372130791350678</v>
      </c>
      <c r="K663" s="0" t="n">
        <v>0</v>
      </c>
      <c r="L663" s="0" t="n">
        <v>0</v>
      </c>
      <c r="M663" s="29" t="n">
        <f aca="false">IF(L663=1,J663-Carry!$B$9/Inputs!$B$16,I663)</f>
        <v>-0.00122230258799938</v>
      </c>
      <c r="N663" s="0" t="n">
        <v>0.0525</v>
      </c>
      <c r="O663" s="0" t="n">
        <v>0.0002</v>
      </c>
      <c r="P663" s="29" t="n">
        <f aca="false">D663-('2 Hedge ratio'!$B$6+'2 Hedge ratio'!$B$5*E663)</f>
        <v>-0.00134230815443281</v>
      </c>
      <c r="Q663" s="29" t="n">
        <f aca="false">D663-('5 Re-specification'!$B$7+'5 Re-specification'!$B$5*E663+'5 Re-specification'!$B$6*F663)</f>
        <v>-0.00105827877353626</v>
      </c>
      <c r="R663" s="30" t="n">
        <f aca="false">MIN(F663,Inputs!$B$9)</f>
        <v>250</v>
      </c>
      <c r="S663" s="29" t="n">
        <f aca="true">IF(AND(F663&gt;=1,R663&gt;=Inputs!$B$10),INDEX(LINEST(OFFSET(D663,-R663,0,R663,1),OFFSET(E663,-R663,0,R663,2)),1,1),"")</f>
        <v>-6.30419804173975E-005</v>
      </c>
      <c r="T663" s="29" t="n">
        <f aca="true">IF(AND(F663&gt;=1,R663&gt;=Inputs!$B$10),INDEX(LINEST(OFFSET(D663,-R663,0,R663,1),OFFSET(E663,-R663,0,R663,2)),1,2),"")</f>
        <v>1.02130353522879</v>
      </c>
      <c r="U663" s="29" t="n">
        <f aca="true">IF(AND(F663&gt;=1,R663&gt;=Inputs!$B$10),INDEX(LINEST(OFFSET(D663,-R663,0,R663,1),OFFSET(E663,-R663,0,R663,2)),1,3),"")</f>
        <v>4.40442202369136</v>
      </c>
      <c r="V663" s="29" t="n">
        <f aca="true">IF(AND(F663&gt;=1,R663&gt;=Inputs!$B$10),SQRT(SUMPRODUCT((OFFSET(D663,-R663,0,R663,1)-U663-T663*OFFSET(E663,-R663,0,R663,1)-S663*OFFSET(F663,-R663,0,R663,1))^2)/(R663-3)),"")</f>
        <v>0.00224916242800981</v>
      </c>
      <c r="W663" s="31" t="n">
        <f aca="false">IF(AND(F663&gt;=1,R663&gt;=Inputs!$B$10),(D663-U663-T663*E663-S663*F663)/V663,"")</f>
        <v>-0.352447393640445</v>
      </c>
      <c r="X663" s="30" t="n">
        <f aca="false">IF(AB662&lt;&gt;0,AC662+1,0)</f>
        <v>0</v>
      </c>
      <c r="Y663" s="30" t="n">
        <f aca="false">IF(W663="",0,IF(AND(AB662&lt;&gt;0,OR(ABS(W663)&gt;Inputs!$B$7,X663&gt;=Inputs!$B$8,ABS(W663)&lt;Inputs!$B$6)),1,0))</f>
        <v>0</v>
      </c>
      <c r="Z663" s="30" t="n">
        <f aca="false">IF(Y663=1,0,AB662)</f>
        <v>0</v>
      </c>
      <c r="AA663" s="30" t="n">
        <f aca="false">IF(W663="",0,IF(AND(Z663=0,ABS(W663)&gt;Inputs!$B$5,ABS(W663)&lt;=Inputs!$B$7),1,0))</f>
        <v>0</v>
      </c>
      <c r="AB663" s="30" t="n">
        <f aca="false">IF(W663="",0,IF(AA663=1,-SIGN(W663),Z663))</f>
        <v>0</v>
      </c>
      <c r="AC663" s="30" t="n">
        <f aca="false">IF(W663="",0,IF(AA663=1,0,IF(Y663=1,0,X663)))</f>
        <v>0</v>
      </c>
      <c r="AD663" s="30" t="n">
        <f aca="false">IF(AB663=0,0,IF(AB662=AB663,AD662,T663))</f>
        <v>0</v>
      </c>
      <c r="AE663" s="30" t="n">
        <f aca="false">AB663-AB662</f>
        <v>0</v>
      </c>
      <c r="AF663" s="30" t="n">
        <f aca="false">-AD663*AB663</f>
        <v>-0</v>
      </c>
      <c r="AG663" s="30" t="n">
        <f aca="false">AF663-AF662</f>
        <v>0</v>
      </c>
      <c r="AH663" s="30" t="n">
        <f aca="false">MAX(AE663,0)*(Inputs!$B$17+Inputs!$B$18+Inputs!$B$19)+MAX(-AE663,0)*(O663+Inputs!$B$18+Inputs!$B$19)+IF(AND(K663=1,AB663&lt;&gt;0),(Inputs!$B$17+Inputs!$B$18+Inputs!$B$19)+(O663+Inputs!$B$18+Inputs!$B$19),0)+MAX(AG663,0)*(Inputs!$B$20+Inputs!$B$22+Inputs!$B$23)+MAX(-AG663,0)*(Inputs!$B$21+Inputs!$B$22+Inputs!$B$23)</f>
        <v>0</v>
      </c>
      <c r="AI663" s="30" t="n">
        <f aca="false">AB662*(M663-AD662*J663)+AB662*AD662*N663/Inputs!$B$16-AH663</f>
        <v>0</v>
      </c>
      <c r="AJ663" s="30" t="n">
        <f aca="false">MAX(AE663,0)*(Inputs!$B$17+Inputs!$B$24+Inputs!$B$25)+MAX(-AE663,0)*(O663+Inputs!$B$24+Inputs!$B$25)+IF(AND(K663=1,AB663&lt;&gt;0),(Inputs!$B$17+Inputs!$B$24+Inputs!$B$25)+(O663+Inputs!$B$24+Inputs!$B$25),0)+MAX(AG663,0)*(Inputs!$B$20+Inputs!$B$26+Inputs!$B$27)+MAX(-AG663,0)*(Inputs!$B$21+Inputs!$B$26+Inputs!$B$27)</f>
        <v>0</v>
      </c>
      <c r="AK663" s="30" t="n">
        <f aca="false">AB662*(M663-AD662*J663)+AB662*AD662*(N663+Inputs!$B$14)/Inputs!$B$16-AJ663</f>
        <v>0</v>
      </c>
      <c r="AL663" s="30" t="n">
        <f aca="false">IF(AP662&lt;&gt;0,AQ662+1,0)</f>
        <v>0</v>
      </c>
      <c r="AM663" s="30" t="n">
        <f aca="false">IF(W663="",0,IF(AND(AP662&lt;&gt;0,OR(ABS(W663)&gt;Inputs!$B$7,AL663&gt;=Inputs!$B$8,ABS(W663)&lt;Inputs!$B$6)),1,0))</f>
        <v>0</v>
      </c>
      <c r="AN663" s="30" t="n">
        <f aca="false">IF(AM663=1,0,AP662)</f>
        <v>0</v>
      </c>
      <c r="AO663" s="30" t="n">
        <f aca="false">IF(W663="",0,IF(AND(AN663=0,ABS(W663)&gt;Inputs!$B$5,ABS(W663)&lt;=Inputs!$B$7,W663&gt;0),1,0))</f>
        <v>0</v>
      </c>
      <c r="AP663" s="30" t="n">
        <f aca="false">IF(W663="",0,IF(AO663=1,-SIGN(W663),AN663))</f>
        <v>0</v>
      </c>
      <c r="AQ663" s="30" t="n">
        <f aca="false">IF(W663="",0,IF(AO663=1,0,IF(AM663=1,0,AL663)))</f>
        <v>0</v>
      </c>
      <c r="AR663" s="30" t="n">
        <f aca="false">IF(AP663=0,0,IF(AP662=AP663,AR662,T663))</f>
        <v>0</v>
      </c>
      <c r="AS663" s="30" t="n">
        <f aca="false">AP663-AP662</f>
        <v>0</v>
      </c>
      <c r="AT663" s="30" t="n">
        <f aca="false">-AR663*AP663</f>
        <v>-0</v>
      </c>
      <c r="AU663" s="30" t="n">
        <f aca="false">AT663-AT662</f>
        <v>0</v>
      </c>
      <c r="AV663" s="30" t="n">
        <f aca="false">MAX(AS663,0)*(Inputs!$B$17+Inputs!$B$18+Inputs!$B$19)+MAX(-AS663,0)*(O663+Inputs!$B$18+Inputs!$B$19)+IF(AND(K663=1,AP663&lt;&gt;0),(Inputs!$B$17+Inputs!$B$18+Inputs!$B$19)+(O663+Inputs!$B$18+Inputs!$B$19),0)+MAX(AU663,0)*(Inputs!$B$20+Inputs!$B$22+Inputs!$B$23)+MAX(-AU663,0)*(Inputs!$B$21+Inputs!$B$22+Inputs!$B$23)</f>
        <v>0</v>
      </c>
      <c r="AW663" s="30" t="n">
        <f aca="false">AP662*(M663-AR662*J663)+AP662*AR662*N663/Inputs!$B$16-AV663</f>
        <v>0</v>
      </c>
      <c r="AX663" s="30" t="n">
        <f aca="false">AW663-IF(AP662&lt;&gt;0,0.75*AR662*(Inputs!$B$13-N663)/Inputs!$B$16,0)</f>
        <v>0</v>
      </c>
      <c r="AY663" s="30" t="n">
        <f aca="false">MAX(AS663,0)*(Inputs!$B$17+Inputs!$B$18+Inputs!$B$19)+MAX(-AS663,0)*(O663+Inputs!$B$18+Inputs!$B$19)+IF(AND(K663=1,AP663&lt;&gt;0),(Inputs!$B$17+Inputs!$B$18+Inputs!$B$19)+(O663+Inputs!$B$18+Inputs!$B$19),0)</f>
        <v>0</v>
      </c>
      <c r="AZ663" s="30" t="n">
        <f aca="false">AP662*M663-AY663</f>
        <v>-0</v>
      </c>
      <c r="BA663" s="32" t="n">
        <f aca="false">BA662+AI663</f>
        <v>0.0097327366555124</v>
      </c>
      <c r="BB663" s="30" t="n">
        <f aca="false">MAX(BB662,BA663)</f>
        <v>0.0108065678336457</v>
      </c>
      <c r="BC663" s="32" t="n">
        <f aca="false">BA663-BB663</f>
        <v>-0.00107383117813327</v>
      </c>
      <c r="BD663" s="30" t="n">
        <f aca="false">A664-A663</f>
        <v>2</v>
      </c>
    </row>
    <row r="664" customFormat="false" ht="15" hidden="false" customHeight="false" outlineLevel="0" collapsed="false">
      <c r="A664" s="28" t="n">
        <v>46017</v>
      </c>
      <c r="B664" s="0" t="n">
        <v>26058</v>
      </c>
      <c r="C664" s="0" t="n">
        <v>294.45</v>
      </c>
      <c r="D664" s="29" t="n">
        <f aca="false">LN(B664)</f>
        <v>10.1680801017629</v>
      </c>
      <c r="E664" s="29" t="n">
        <f aca="false">LN(C664)</f>
        <v>5.68510920939058</v>
      </c>
      <c r="F664" s="0" t="n">
        <v>659</v>
      </c>
      <c r="G664" s="0" t="n">
        <v>4</v>
      </c>
      <c r="H664" s="29" t="n">
        <f aca="false">D664-E664</f>
        <v>4.4829708923723</v>
      </c>
      <c r="I664" s="29" t="n">
        <f aca="false">D664-D663</f>
        <v>-0.00406341935648058</v>
      </c>
      <c r="J664" s="29" t="n">
        <f aca="false">E664-E663</f>
        <v>-0.00369498208490882</v>
      </c>
      <c r="K664" s="0" t="n">
        <v>0</v>
      </c>
      <c r="L664" s="0" t="n">
        <v>0</v>
      </c>
      <c r="M664" s="29" t="n">
        <f aca="false">IF(L664=1,J664-Carry!$B$9/Inputs!$B$16,I664)</f>
        <v>-0.00406341935648058</v>
      </c>
      <c r="N664" s="0" t="n">
        <v>0.0525</v>
      </c>
      <c r="O664" s="0" t="n">
        <v>0.0002</v>
      </c>
      <c r="P664" s="29" t="n">
        <f aca="false">D664-('2 Hedge ratio'!$B$6+'2 Hedge ratio'!$B$5*E664)</f>
        <v>-0.00202065554799269</v>
      </c>
      <c r="Q664" s="29" t="n">
        <f aca="false">D664-('5 Re-specification'!$B$7+'5 Re-specification'!$B$5*E664+'5 Re-specification'!$B$6*F664)</f>
        <v>-0.0013929843703</v>
      </c>
      <c r="R664" s="30" t="n">
        <f aca="false">MIN(F664,Inputs!$B$9)</f>
        <v>250</v>
      </c>
      <c r="S664" s="29" t="n">
        <f aca="true">IF(AND(F664&gt;=1,R664&gt;=Inputs!$B$10),INDEX(LINEST(OFFSET(D664,-R664,0,R664,1),OFFSET(E664,-R664,0,R664,2)),1,1),"")</f>
        <v>-6.44902652898379E-005</v>
      </c>
      <c r="T664" s="29" t="n">
        <f aca="true">IF(AND(F664&gt;=1,R664&gt;=Inputs!$B$10),INDEX(LINEST(OFFSET(D664,-R664,0,R664,1),OFFSET(E664,-R664,0,R664,2)),1,2),"")</f>
        <v>1.02284216189087</v>
      </c>
      <c r="U664" s="29" t="n">
        <f aca="true">IF(AND(F664&gt;=1,R664&gt;=Inputs!$B$10),INDEX(LINEST(OFFSET(D664,-R664,0,R664,1),OFFSET(E664,-R664,0,R664,2)),1,3),"")</f>
        <v>4.39656507342294</v>
      </c>
      <c r="V664" s="29" t="n">
        <f aca="true">IF(AND(F664&gt;=1,R664&gt;=Inputs!$B$10),SQRT(SUMPRODUCT((OFFSET(D664,-R664,0,R664,1)-U664-T664*OFFSET(E664,-R664,0,R664,1)-S664*OFFSET(F664,-R664,0,R664,1))^2)/(R664-3)),"")</f>
        <v>0.00222772020302535</v>
      </c>
      <c r="W664" s="31" t="n">
        <f aca="false">IF(AND(F664&gt;=1,R664&gt;=Inputs!$B$10),(D664-U664-T664*E664-S664*F664)/V664,"")</f>
        <v>-0.428815589815673</v>
      </c>
      <c r="X664" s="30" t="n">
        <f aca="false">IF(AB663&lt;&gt;0,AC663+1,0)</f>
        <v>0</v>
      </c>
      <c r="Y664" s="30" t="n">
        <f aca="false">IF(W664="",0,IF(AND(AB663&lt;&gt;0,OR(ABS(W664)&gt;Inputs!$B$7,X664&gt;=Inputs!$B$8,ABS(W664)&lt;Inputs!$B$6)),1,0))</f>
        <v>0</v>
      </c>
      <c r="Z664" s="30" t="n">
        <f aca="false">IF(Y664=1,0,AB663)</f>
        <v>0</v>
      </c>
      <c r="AA664" s="30" t="n">
        <f aca="false">IF(W664="",0,IF(AND(Z664=0,ABS(W664)&gt;Inputs!$B$5,ABS(W664)&lt;=Inputs!$B$7),1,0))</f>
        <v>0</v>
      </c>
      <c r="AB664" s="30" t="n">
        <f aca="false">IF(W664="",0,IF(AA664=1,-SIGN(W664),Z664))</f>
        <v>0</v>
      </c>
      <c r="AC664" s="30" t="n">
        <f aca="false">IF(W664="",0,IF(AA664=1,0,IF(Y664=1,0,X664)))</f>
        <v>0</v>
      </c>
      <c r="AD664" s="30" t="n">
        <f aca="false">IF(AB664=0,0,IF(AB663=AB664,AD663,T664))</f>
        <v>0</v>
      </c>
      <c r="AE664" s="30" t="n">
        <f aca="false">AB664-AB663</f>
        <v>0</v>
      </c>
      <c r="AF664" s="30" t="n">
        <f aca="false">-AD664*AB664</f>
        <v>-0</v>
      </c>
      <c r="AG664" s="30" t="n">
        <f aca="false">AF664-AF663</f>
        <v>0</v>
      </c>
      <c r="AH664" s="30" t="n">
        <f aca="false">MAX(AE664,0)*(Inputs!$B$17+Inputs!$B$18+Inputs!$B$19)+MAX(-AE664,0)*(O664+Inputs!$B$18+Inputs!$B$19)+IF(AND(K664=1,AB664&lt;&gt;0),(Inputs!$B$17+Inputs!$B$18+Inputs!$B$19)+(O664+Inputs!$B$18+Inputs!$B$19),0)+MAX(AG664,0)*(Inputs!$B$20+Inputs!$B$22+Inputs!$B$23)+MAX(-AG664,0)*(Inputs!$B$21+Inputs!$B$22+Inputs!$B$23)</f>
        <v>0</v>
      </c>
      <c r="AI664" s="30" t="n">
        <f aca="false">AB663*(M664-AD663*J664)+AB663*AD663*N664/Inputs!$B$16-AH664</f>
        <v>0</v>
      </c>
      <c r="AJ664" s="30" t="n">
        <f aca="false">MAX(AE664,0)*(Inputs!$B$17+Inputs!$B$24+Inputs!$B$25)+MAX(-AE664,0)*(O664+Inputs!$B$24+Inputs!$B$25)+IF(AND(K664=1,AB664&lt;&gt;0),(Inputs!$B$17+Inputs!$B$24+Inputs!$B$25)+(O664+Inputs!$B$24+Inputs!$B$25),0)+MAX(AG664,0)*(Inputs!$B$20+Inputs!$B$26+Inputs!$B$27)+MAX(-AG664,0)*(Inputs!$B$21+Inputs!$B$26+Inputs!$B$27)</f>
        <v>0</v>
      </c>
      <c r="AK664" s="30" t="n">
        <f aca="false">AB663*(M664-AD663*J664)+AB663*AD663*(N664+Inputs!$B$14)/Inputs!$B$16-AJ664</f>
        <v>0</v>
      </c>
      <c r="AL664" s="30" t="n">
        <f aca="false">IF(AP663&lt;&gt;0,AQ663+1,0)</f>
        <v>0</v>
      </c>
      <c r="AM664" s="30" t="n">
        <f aca="false">IF(W664="",0,IF(AND(AP663&lt;&gt;0,OR(ABS(W664)&gt;Inputs!$B$7,AL664&gt;=Inputs!$B$8,ABS(W664)&lt;Inputs!$B$6)),1,0))</f>
        <v>0</v>
      </c>
      <c r="AN664" s="30" t="n">
        <f aca="false">IF(AM664=1,0,AP663)</f>
        <v>0</v>
      </c>
      <c r="AO664" s="30" t="n">
        <f aca="false">IF(W664="",0,IF(AND(AN664=0,ABS(W664)&gt;Inputs!$B$5,ABS(W664)&lt;=Inputs!$B$7,W664&gt;0),1,0))</f>
        <v>0</v>
      </c>
      <c r="AP664" s="30" t="n">
        <f aca="false">IF(W664="",0,IF(AO664=1,-SIGN(W664),AN664))</f>
        <v>0</v>
      </c>
      <c r="AQ664" s="30" t="n">
        <f aca="false">IF(W664="",0,IF(AO664=1,0,IF(AM664=1,0,AL664)))</f>
        <v>0</v>
      </c>
      <c r="AR664" s="30" t="n">
        <f aca="false">IF(AP664=0,0,IF(AP663=AP664,AR663,T664))</f>
        <v>0</v>
      </c>
      <c r="AS664" s="30" t="n">
        <f aca="false">AP664-AP663</f>
        <v>0</v>
      </c>
      <c r="AT664" s="30" t="n">
        <f aca="false">-AR664*AP664</f>
        <v>-0</v>
      </c>
      <c r="AU664" s="30" t="n">
        <f aca="false">AT664-AT663</f>
        <v>0</v>
      </c>
      <c r="AV664" s="30" t="n">
        <f aca="false">MAX(AS664,0)*(Inputs!$B$17+Inputs!$B$18+Inputs!$B$19)+MAX(-AS664,0)*(O664+Inputs!$B$18+Inputs!$B$19)+IF(AND(K664=1,AP664&lt;&gt;0),(Inputs!$B$17+Inputs!$B$18+Inputs!$B$19)+(O664+Inputs!$B$18+Inputs!$B$19),0)+MAX(AU664,0)*(Inputs!$B$20+Inputs!$B$22+Inputs!$B$23)+MAX(-AU664,0)*(Inputs!$B$21+Inputs!$B$22+Inputs!$B$23)</f>
        <v>0</v>
      </c>
      <c r="AW664" s="30" t="n">
        <f aca="false">AP663*(M664-AR663*J664)+AP663*AR663*N664/Inputs!$B$16-AV664</f>
        <v>0</v>
      </c>
      <c r="AX664" s="30" t="n">
        <f aca="false">AW664-IF(AP663&lt;&gt;0,0.75*AR663*(Inputs!$B$13-N664)/Inputs!$B$16,0)</f>
        <v>0</v>
      </c>
      <c r="AY664" s="30" t="n">
        <f aca="false">MAX(AS664,0)*(Inputs!$B$17+Inputs!$B$18+Inputs!$B$19)+MAX(-AS664,0)*(O664+Inputs!$B$18+Inputs!$B$19)+IF(AND(K664=1,AP664&lt;&gt;0),(Inputs!$B$17+Inputs!$B$18+Inputs!$B$19)+(O664+Inputs!$B$18+Inputs!$B$19),0)</f>
        <v>0</v>
      </c>
      <c r="AZ664" s="30" t="n">
        <f aca="false">AP663*M664-AY664</f>
        <v>-0</v>
      </c>
      <c r="BA664" s="32" t="n">
        <f aca="false">BA663+AI664</f>
        <v>0.0097327366555124</v>
      </c>
      <c r="BB664" s="30" t="n">
        <f aca="false">MAX(BB663,BA664)</f>
        <v>0.0108065678336457</v>
      </c>
      <c r="BC664" s="32" t="n">
        <f aca="false">BA664-BB664</f>
        <v>-0.00107383117813327</v>
      </c>
      <c r="BD664" s="30" t="n">
        <f aca="false">A665-A664</f>
        <v>3</v>
      </c>
    </row>
    <row r="665" customFormat="false" ht="15" hidden="false" customHeight="false" outlineLevel="0" collapsed="false">
      <c r="A665" s="28" t="n">
        <v>46020</v>
      </c>
      <c r="B665" s="0" t="n">
        <v>25955.6</v>
      </c>
      <c r="C665" s="0" t="n">
        <v>293.36</v>
      </c>
      <c r="D665" s="29" t="n">
        <f aca="false">LN(B665)</f>
        <v>10.1641426649273</v>
      </c>
      <c r="E665" s="29" t="n">
        <f aca="false">LN(C665)</f>
        <v>5.68140052376307</v>
      </c>
      <c r="F665" s="0" t="n">
        <v>660</v>
      </c>
      <c r="G665" s="0" t="n">
        <v>1</v>
      </c>
      <c r="H665" s="29" t="n">
        <f aca="false">D665-E665</f>
        <v>4.48274214116422</v>
      </c>
      <c r="I665" s="29" t="n">
        <f aca="false">D665-D664</f>
        <v>-0.00393743683558689</v>
      </c>
      <c r="J665" s="29" t="n">
        <f aca="false">E665-E664</f>
        <v>-0.00370868562750903</v>
      </c>
      <c r="K665" s="0" t="n">
        <v>0</v>
      </c>
      <c r="L665" s="0" t="n">
        <v>0</v>
      </c>
      <c r="M665" s="29" t="n">
        <f aca="false">IF(L665=1,J665-Carry!$B$9/Inputs!$B$16,I665)</f>
        <v>-0.00393743683558689</v>
      </c>
      <c r="N665" s="0" t="n">
        <v>0.0525</v>
      </c>
      <c r="O665" s="0" t="n">
        <v>0.0002</v>
      </c>
      <c r="P665" s="29" t="n">
        <f aca="false">D665-('2 Hedge ratio'!$B$6+'2 Hedge ratio'!$B$5*E665)</f>
        <v>-0.00256046623858452</v>
      </c>
      <c r="Q665" s="29" t="n">
        <f aca="false">D665-('5 Re-specification'!$B$7+'5 Re-specification'!$B$5*E665+'5 Re-specification'!$B$6*F665)</f>
        <v>-0.00158804543215396</v>
      </c>
      <c r="R665" s="30" t="n">
        <f aca="false">MIN(F665,Inputs!$B$9)</f>
        <v>250</v>
      </c>
      <c r="S665" s="29" t="n">
        <f aca="true">IF(AND(F665&gt;=1,R665&gt;=Inputs!$B$10),INDEX(LINEST(OFFSET(D665,-R665,0,R665,1),OFFSET(E665,-R665,0,R665,2)),1,1),"")</f>
        <v>-6.56631284473183E-005</v>
      </c>
      <c r="T665" s="29" t="n">
        <f aca="true">IF(AND(F665&gt;=1,R665&gt;=Inputs!$B$10),INDEX(LINEST(OFFSET(D665,-R665,0,R665,1),OFFSET(E665,-R665,0,R665,2)),1,2),"")</f>
        <v>1.0240595333513</v>
      </c>
      <c r="U665" s="29" t="n">
        <f aca="true">IF(AND(F665&gt;=1,R665&gt;=Inputs!$B$10),INDEX(LINEST(OFFSET(D665,-R665,0,R665,1),OFFSET(E665,-R665,0,R665,2)),1,3),"")</f>
        <v>4.3903620306898</v>
      </c>
      <c r="V665" s="29" t="n">
        <f aca="true">IF(AND(F665&gt;=1,R665&gt;=Inputs!$B$10),SQRT(SUMPRODUCT((OFFSET(D665,-R665,0,R665,1)-U665-T665*OFFSET(E665,-R665,0,R665,1)-S665*OFFSET(F665,-R665,0,R665,1))^2)/(R665-3)),"")</f>
        <v>0.00221521043809054</v>
      </c>
      <c r="W665" s="31" t="n">
        <f aca="false">IF(AND(F665&gt;=1,R665&gt;=Inputs!$B$10),(D665-U665-T665*E665-S665*F665)/V665,"")</f>
        <v>-0.439719006899685</v>
      </c>
      <c r="X665" s="30" t="n">
        <f aca="false">IF(AB664&lt;&gt;0,AC664+1,0)</f>
        <v>0</v>
      </c>
      <c r="Y665" s="30" t="n">
        <f aca="false">IF(W665="",0,IF(AND(AB664&lt;&gt;0,OR(ABS(W665)&gt;Inputs!$B$7,X665&gt;=Inputs!$B$8,ABS(W665)&lt;Inputs!$B$6)),1,0))</f>
        <v>0</v>
      </c>
      <c r="Z665" s="30" t="n">
        <f aca="false">IF(Y665=1,0,AB664)</f>
        <v>0</v>
      </c>
      <c r="AA665" s="30" t="n">
        <f aca="false">IF(W665="",0,IF(AND(Z665=0,ABS(W665)&gt;Inputs!$B$5,ABS(W665)&lt;=Inputs!$B$7),1,0))</f>
        <v>0</v>
      </c>
      <c r="AB665" s="30" t="n">
        <f aca="false">IF(W665="",0,IF(AA665=1,-SIGN(W665),Z665))</f>
        <v>0</v>
      </c>
      <c r="AC665" s="30" t="n">
        <f aca="false">IF(W665="",0,IF(AA665=1,0,IF(Y665=1,0,X665)))</f>
        <v>0</v>
      </c>
      <c r="AD665" s="30" t="n">
        <f aca="false">IF(AB665=0,0,IF(AB664=AB665,AD664,T665))</f>
        <v>0</v>
      </c>
      <c r="AE665" s="30" t="n">
        <f aca="false">AB665-AB664</f>
        <v>0</v>
      </c>
      <c r="AF665" s="30" t="n">
        <f aca="false">-AD665*AB665</f>
        <v>-0</v>
      </c>
      <c r="AG665" s="30" t="n">
        <f aca="false">AF665-AF664</f>
        <v>0</v>
      </c>
      <c r="AH665" s="30" t="n">
        <f aca="false">MAX(AE665,0)*(Inputs!$B$17+Inputs!$B$18+Inputs!$B$19)+MAX(-AE665,0)*(O665+Inputs!$B$18+Inputs!$B$19)+IF(AND(K665=1,AB665&lt;&gt;0),(Inputs!$B$17+Inputs!$B$18+Inputs!$B$19)+(O665+Inputs!$B$18+Inputs!$B$19),0)+MAX(AG665,0)*(Inputs!$B$20+Inputs!$B$22+Inputs!$B$23)+MAX(-AG665,0)*(Inputs!$B$21+Inputs!$B$22+Inputs!$B$23)</f>
        <v>0</v>
      </c>
      <c r="AI665" s="30" t="n">
        <f aca="false">AB664*(M665-AD664*J665)+AB664*AD664*N665/Inputs!$B$16-AH665</f>
        <v>0</v>
      </c>
      <c r="AJ665" s="30" t="n">
        <f aca="false">MAX(AE665,0)*(Inputs!$B$17+Inputs!$B$24+Inputs!$B$25)+MAX(-AE665,0)*(O665+Inputs!$B$24+Inputs!$B$25)+IF(AND(K665=1,AB665&lt;&gt;0),(Inputs!$B$17+Inputs!$B$24+Inputs!$B$25)+(O665+Inputs!$B$24+Inputs!$B$25),0)+MAX(AG665,0)*(Inputs!$B$20+Inputs!$B$26+Inputs!$B$27)+MAX(-AG665,0)*(Inputs!$B$21+Inputs!$B$26+Inputs!$B$27)</f>
        <v>0</v>
      </c>
      <c r="AK665" s="30" t="n">
        <f aca="false">AB664*(M665-AD664*J665)+AB664*AD664*(N665+Inputs!$B$14)/Inputs!$B$16-AJ665</f>
        <v>0</v>
      </c>
      <c r="AL665" s="30" t="n">
        <f aca="false">IF(AP664&lt;&gt;0,AQ664+1,0)</f>
        <v>0</v>
      </c>
      <c r="AM665" s="30" t="n">
        <f aca="false">IF(W665="",0,IF(AND(AP664&lt;&gt;0,OR(ABS(W665)&gt;Inputs!$B$7,AL665&gt;=Inputs!$B$8,ABS(W665)&lt;Inputs!$B$6)),1,0))</f>
        <v>0</v>
      </c>
      <c r="AN665" s="30" t="n">
        <f aca="false">IF(AM665=1,0,AP664)</f>
        <v>0</v>
      </c>
      <c r="AO665" s="30" t="n">
        <f aca="false">IF(W665="",0,IF(AND(AN665=0,ABS(W665)&gt;Inputs!$B$5,ABS(W665)&lt;=Inputs!$B$7,W665&gt;0),1,0))</f>
        <v>0</v>
      </c>
      <c r="AP665" s="30" t="n">
        <f aca="false">IF(W665="",0,IF(AO665=1,-SIGN(W665),AN665))</f>
        <v>0</v>
      </c>
      <c r="AQ665" s="30" t="n">
        <f aca="false">IF(W665="",0,IF(AO665=1,0,IF(AM665=1,0,AL665)))</f>
        <v>0</v>
      </c>
      <c r="AR665" s="30" t="n">
        <f aca="false">IF(AP665=0,0,IF(AP664=AP665,AR664,T665))</f>
        <v>0</v>
      </c>
      <c r="AS665" s="30" t="n">
        <f aca="false">AP665-AP664</f>
        <v>0</v>
      </c>
      <c r="AT665" s="30" t="n">
        <f aca="false">-AR665*AP665</f>
        <v>-0</v>
      </c>
      <c r="AU665" s="30" t="n">
        <f aca="false">AT665-AT664</f>
        <v>0</v>
      </c>
      <c r="AV665" s="30" t="n">
        <f aca="false">MAX(AS665,0)*(Inputs!$B$17+Inputs!$B$18+Inputs!$B$19)+MAX(-AS665,0)*(O665+Inputs!$B$18+Inputs!$B$19)+IF(AND(K665=1,AP665&lt;&gt;0),(Inputs!$B$17+Inputs!$B$18+Inputs!$B$19)+(O665+Inputs!$B$18+Inputs!$B$19),0)+MAX(AU665,0)*(Inputs!$B$20+Inputs!$B$22+Inputs!$B$23)+MAX(-AU665,0)*(Inputs!$B$21+Inputs!$B$22+Inputs!$B$23)</f>
        <v>0</v>
      </c>
      <c r="AW665" s="30" t="n">
        <f aca="false">AP664*(M665-AR664*J665)+AP664*AR664*N665/Inputs!$B$16-AV665</f>
        <v>0</v>
      </c>
      <c r="AX665" s="30" t="n">
        <f aca="false">AW665-IF(AP664&lt;&gt;0,0.75*AR664*(Inputs!$B$13-N665)/Inputs!$B$16,0)</f>
        <v>0</v>
      </c>
      <c r="AY665" s="30" t="n">
        <f aca="false">MAX(AS665,0)*(Inputs!$B$17+Inputs!$B$18+Inputs!$B$19)+MAX(-AS665,0)*(O665+Inputs!$B$18+Inputs!$B$19)+IF(AND(K665=1,AP665&lt;&gt;0),(Inputs!$B$17+Inputs!$B$18+Inputs!$B$19)+(O665+Inputs!$B$18+Inputs!$B$19),0)</f>
        <v>0</v>
      </c>
      <c r="AZ665" s="30" t="n">
        <f aca="false">AP664*M665-AY665</f>
        <v>-0</v>
      </c>
      <c r="BA665" s="32" t="n">
        <f aca="false">BA664+AI665</f>
        <v>0.0097327366555124</v>
      </c>
      <c r="BB665" s="30" t="n">
        <f aca="false">MAX(BB664,BA665)</f>
        <v>0.0108065678336457</v>
      </c>
      <c r="BC665" s="32" t="n">
        <f aca="false">BA665-BB665</f>
        <v>-0.00107383117813327</v>
      </c>
      <c r="BD665" s="30" t="n">
        <f aca="false">A666-A665</f>
        <v>1</v>
      </c>
    </row>
    <row r="666" customFormat="false" ht="15" hidden="false" customHeight="false" outlineLevel="0" collapsed="false">
      <c r="A666" s="28" t="n">
        <v>46021</v>
      </c>
      <c r="B666" s="0" t="n">
        <v>25937.4</v>
      </c>
      <c r="C666" s="0" t="n">
        <v>293.5</v>
      </c>
      <c r="D666" s="29" t="n">
        <f aca="false">LN(B666)</f>
        <v>10.1634412215439</v>
      </c>
      <c r="E666" s="29" t="n">
        <f aca="false">LN(C666)</f>
        <v>5.68187763926815</v>
      </c>
      <c r="F666" s="0" t="n">
        <v>661</v>
      </c>
      <c r="G666" s="0" t="n">
        <v>0</v>
      </c>
      <c r="H666" s="29" t="n">
        <f aca="false">D666-E666</f>
        <v>4.48156358227578</v>
      </c>
      <c r="I666" s="29" t="n">
        <f aca="false">D666-D665</f>
        <v>-0.000701443383354317</v>
      </c>
      <c r="J666" s="29" t="n">
        <f aca="false">E666-E665</f>
        <v>0.000477115505081116</v>
      </c>
      <c r="K666" s="0" t="n">
        <v>1</v>
      </c>
      <c r="L666" s="0" t="n">
        <v>0</v>
      </c>
      <c r="M666" s="29" t="n">
        <f aca="false">IF(L666=1,J666-Carry!$B$9/Inputs!$B$16,I666)</f>
        <v>-0.000701443383354317</v>
      </c>
      <c r="N666" s="0" t="n">
        <v>0.0525</v>
      </c>
      <c r="O666" s="0" t="n">
        <v>0.0002</v>
      </c>
      <c r="P666" s="29" t="n">
        <f aca="false">D666-('2 Hedge ratio'!$B$6+'2 Hedge ratio'!$B$5*E666)</f>
        <v>-0.0036990079033945</v>
      </c>
      <c r="Q666" s="29" t="n">
        <f aca="false">D666-('5 Re-specification'!$B$7+'5 Re-specification'!$B$5*E666+'5 Re-specification'!$B$6*F666)</f>
        <v>-0.00272022910394298</v>
      </c>
      <c r="R666" s="30" t="n">
        <f aca="false">MIN(F666,Inputs!$B$9)</f>
        <v>250</v>
      </c>
      <c r="S666" s="29" t="n">
        <f aca="true">IF(AND(F666&gt;=1,R666&gt;=Inputs!$B$10),INDEX(LINEST(OFFSET(D666,-R666,0,R666,1),OFFSET(E666,-R666,0,R666,2)),1,1),"")</f>
        <v>-6.7309052073797E-005</v>
      </c>
      <c r="T666" s="29" t="n">
        <f aca="true">IF(AND(F666&gt;=1,R666&gt;=Inputs!$B$10),INDEX(LINEST(OFFSET(D666,-R666,0,R666,1),OFFSET(E666,-R666,0,R666,2)),1,2),"")</f>
        <v>1.02581810117254</v>
      </c>
      <c r="U666" s="29" t="n">
        <f aca="true">IF(AND(F666&gt;=1,R666&gt;=Inputs!$B$10),INDEX(LINEST(OFFSET(D666,-R666,0,R666,1),OFFSET(E666,-R666,0,R666,2)),1,3),"")</f>
        <v>4.38137751993189</v>
      </c>
      <c r="V666" s="29" t="n">
        <f aca="true">IF(AND(F666&gt;=1,R666&gt;=Inputs!$B$10),SQRT(SUMPRODUCT((OFFSET(D666,-R666,0,R666,1)-U666-T666*OFFSET(E666,-R666,0,R666,1)-S666*OFFSET(F666,-R666,0,R666,1))^2)/(R666-3)),"")</f>
        <v>0.00218947584829475</v>
      </c>
      <c r="W666" s="31" t="n">
        <f aca="false">IF(AND(F666&gt;=1,R666&gt;=Inputs!$B$10),(D666-U666-T666*E666-S666*F666)/V666,"")</f>
        <v>-0.921657106888164</v>
      </c>
      <c r="X666" s="30" t="n">
        <f aca="false">IF(AB665&lt;&gt;0,AC665+1,0)</f>
        <v>0</v>
      </c>
      <c r="Y666" s="30" t="n">
        <f aca="false">IF(W666="",0,IF(AND(AB665&lt;&gt;0,OR(ABS(W666)&gt;Inputs!$B$7,X666&gt;=Inputs!$B$8,ABS(W666)&lt;Inputs!$B$6)),1,0))</f>
        <v>0</v>
      </c>
      <c r="Z666" s="30" t="n">
        <f aca="false">IF(Y666=1,0,AB665)</f>
        <v>0</v>
      </c>
      <c r="AA666" s="30" t="n">
        <f aca="false">IF(W666="",0,IF(AND(Z666=0,ABS(W666)&gt;Inputs!$B$5,ABS(W666)&lt;=Inputs!$B$7),1,0))</f>
        <v>0</v>
      </c>
      <c r="AB666" s="30" t="n">
        <f aca="false">IF(W666="",0,IF(AA666=1,-SIGN(W666),Z666))</f>
        <v>0</v>
      </c>
      <c r="AC666" s="30" t="n">
        <f aca="false">IF(W666="",0,IF(AA666=1,0,IF(Y666=1,0,X666)))</f>
        <v>0</v>
      </c>
      <c r="AD666" s="30" t="n">
        <f aca="false">IF(AB666=0,0,IF(AB665=AB666,AD665,T666))</f>
        <v>0</v>
      </c>
      <c r="AE666" s="30" t="n">
        <f aca="false">AB666-AB665</f>
        <v>0</v>
      </c>
      <c r="AF666" s="30" t="n">
        <f aca="false">-AD666*AB666</f>
        <v>-0</v>
      </c>
      <c r="AG666" s="30" t="n">
        <f aca="false">AF666-AF665</f>
        <v>0</v>
      </c>
      <c r="AH666" s="30" t="n">
        <f aca="false">MAX(AE666,0)*(Inputs!$B$17+Inputs!$B$18+Inputs!$B$19)+MAX(-AE666,0)*(O666+Inputs!$B$18+Inputs!$B$19)+IF(AND(K666=1,AB666&lt;&gt;0),(Inputs!$B$17+Inputs!$B$18+Inputs!$B$19)+(O666+Inputs!$B$18+Inputs!$B$19),0)+MAX(AG666,0)*(Inputs!$B$20+Inputs!$B$22+Inputs!$B$23)+MAX(-AG666,0)*(Inputs!$B$21+Inputs!$B$22+Inputs!$B$23)</f>
        <v>0</v>
      </c>
      <c r="AI666" s="30" t="n">
        <f aca="false">AB665*(M666-AD665*J666)+AB665*AD665*N666/Inputs!$B$16-AH666</f>
        <v>0</v>
      </c>
      <c r="AJ666" s="30" t="n">
        <f aca="false">MAX(AE666,0)*(Inputs!$B$17+Inputs!$B$24+Inputs!$B$25)+MAX(-AE666,0)*(O666+Inputs!$B$24+Inputs!$B$25)+IF(AND(K666=1,AB666&lt;&gt;0),(Inputs!$B$17+Inputs!$B$24+Inputs!$B$25)+(O666+Inputs!$B$24+Inputs!$B$25),0)+MAX(AG666,0)*(Inputs!$B$20+Inputs!$B$26+Inputs!$B$27)+MAX(-AG666,0)*(Inputs!$B$21+Inputs!$B$26+Inputs!$B$27)</f>
        <v>0</v>
      </c>
      <c r="AK666" s="30" t="n">
        <f aca="false">AB665*(M666-AD665*J666)+AB665*AD665*(N666+Inputs!$B$14)/Inputs!$B$16-AJ666</f>
        <v>0</v>
      </c>
      <c r="AL666" s="30" t="n">
        <f aca="false">IF(AP665&lt;&gt;0,AQ665+1,0)</f>
        <v>0</v>
      </c>
      <c r="AM666" s="30" t="n">
        <f aca="false">IF(W666="",0,IF(AND(AP665&lt;&gt;0,OR(ABS(W666)&gt;Inputs!$B$7,AL666&gt;=Inputs!$B$8,ABS(W666)&lt;Inputs!$B$6)),1,0))</f>
        <v>0</v>
      </c>
      <c r="AN666" s="30" t="n">
        <f aca="false">IF(AM666=1,0,AP665)</f>
        <v>0</v>
      </c>
      <c r="AO666" s="30" t="n">
        <f aca="false">IF(W666="",0,IF(AND(AN666=0,ABS(W666)&gt;Inputs!$B$5,ABS(W666)&lt;=Inputs!$B$7,W666&gt;0),1,0))</f>
        <v>0</v>
      </c>
      <c r="AP666" s="30" t="n">
        <f aca="false">IF(W666="",0,IF(AO666=1,-SIGN(W666),AN666))</f>
        <v>0</v>
      </c>
      <c r="AQ666" s="30" t="n">
        <f aca="false">IF(W666="",0,IF(AO666=1,0,IF(AM666=1,0,AL666)))</f>
        <v>0</v>
      </c>
      <c r="AR666" s="30" t="n">
        <f aca="false">IF(AP666=0,0,IF(AP665=AP666,AR665,T666))</f>
        <v>0</v>
      </c>
      <c r="AS666" s="30" t="n">
        <f aca="false">AP666-AP665</f>
        <v>0</v>
      </c>
      <c r="AT666" s="30" t="n">
        <f aca="false">-AR666*AP666</f>
        <v>-0</v>
      </c>
      <c r="AU666" s="30" t="n">
        <f aca="false">AT666-AT665</f>
        <v>0</v>
      </c>
      <c r="AV666" s="30" t="n">
        <f aca="false">MAX(AS666,0)*(Inputs!$B$17+Inputs!$B$18+Inputs!$B$19)+MAX(-AS666,0)*(O666+Inputs!$B$18+Inputs!$B$19)+IF(AND(K666=1,AP666&lt;&gt;0),(Inputs!$B$17+Inputs!$B$18+Inputs!$B$19)+(O666+Inputs!$B$18+Inputs!$B$19),0)+MAX(AU666,0)*(Inputs!$B$20+Inputs!$B$22+Inputs!$B$23)+MAX(-AU666,0)*(Inputs!$B$21+Inputs!$B$22+Inputs!$B$23)</f>
        <v>0</v>
      </c>
      <c r="AW666" s="30" t="n">
        <f aca="false">AP665*(M666-AR665*J666)+AP665*AR665*N666/Inputs!$B$16-AV666</f>
        <v>0</v>
      </c>
      <c r="AX666" s="30" t="n">
        <f aca="false">AW666-IF(AP665&lt;&gt;0,0.75*AR665*(Inputs!$B$13-N666)/Inputs!$B$16,0)</f>
        <v>0</v>
      </c>
      <c r="AY666" s="30" t="n">
        <f aca="false">MAX(AS666,0)*(Inputs!$B$17+Inputs!$B$18+Inputs!$B$19)+MAX(-AS666,0)*(O666+Inputs!$B$18+Inputs!$B$19)+IF(AND(K666=1,AP666&lt;&gt;0),(Inputs!$B$17+Inputs!$B$18+Inputs!$B$19)+(O666+Inputs!$B$18+Inputs!$B$19),0)</f>
        <v>0</v>
      </c>
      <c r="AZ666" s="30" t="n">
        <f aca="false">AP665*M666-AY666</f>
        <v>-0</v>
      </c>
      <c r="BA666" s="32" t="n">
        <f aca="false">BA665+AI666</f>
        <v>0.0097327366555124</v>
      </c>
      <c r="BB666" s="30" t="n">
        <f aca="false">MAX(BB665,BA666)</f>
        <v>0.0108065678336457</v>
      </c>
      <c r="BC666" s="32" t="n">
        <f aca="false">BA666-BB666</f>
        <v>-0.00107383117813327</v>
      </c>
      <c r="BD666" s="30" t="n">
        <f aca="false">A667-A666</f>
        <v>1</v>
      </c>
    </row>
    <row r="667" customFormat="false" ht="15" hidden="false" customHeight="false" outlineLevel="0" collapsed="false">
      <c r="A667" s="28" t="n">
        <v>46022</v>
      </c>
      <c r="B667" s="0" t="n">
        <v>26300</v>
      </c>
      <c r="C667" s="0" t="n">
        <v>295.28</v>
      </c>
      <c r="D667" s="29" t="n">
        <f aca="false">LN(B667)</f>
        <v>10.1773242181659</v>
      </c>
      <c r="E667" s="29" t="n">
        <f aca="false">LN(C667)</f>
        <v>5.68792405872174</v>
      </c>
      <c r="F667" s="0" t="n">
        <v>662</v>
      </c>
      <c r="G667" s="0" t="n">
        <v>27</v>
      </c>
      <c r="H667" s="29" t="n">
        <f aca="false">D667-E667</f>
        <v>4.48940015944411</v>
      </c>
      <c r="I667" s="29" t="n">
        <f aca="false">D667-D666</f>
        <v>0.0138829966219198</v>
      </c>
      <c r="J667" s="29" t="n">
        <f aca="false">E667-E666</f>
        <v>0.00604641945359141</v>
      </c>
      <c r="K667" s="0" t="n">
        <v>0</v>
      </c>
      <c r="L667" s="0" t="n">
        <v>1</v>
      </c>
      <c r="M667" s="29" t="n">
        <f aca="false">IF(L667=1,J667-Carry!$B$9/Inputs!$B$16,I667)</f>
        <v>0.00578696127187028</v>
      </c>
      <c r="N667" s="0" t="n">
        <v>0.0525</v>
      </c>
      <c r="O667" s="0" t="n">
        <v>0.0002</v>
      </c>
      <c r="P667" s="29" t="n">
        <f aca="false">D667-('2 Hedge ratio'!$B$6+'2 Hedge ratio'!$B$5*E667)</f>
        <v>0.00464470205946022</v>
      </c>
      <c r="Q667" s="29" t="n">
        <f aca="false">D667-('5 Re-specification'!$B$7+'5 Re-specification'!$B$5*E667+'5 Re-specification'!$B$6*F667)</f>
        <v>0.00517960105676529</v>
      </c>
      <c r="R667" s="30" t="n">
        <f aca="false">MIN(F667,Inputs!$B$9)</f>
        <v>250</v>
      </c>
      <c r="S667" s="29" t="n">
        <f aca="true">IF(AND(F667&gt;=1,R667&gt;=Inputs!$B$10),INDEX(LINEST(OFFSET(D667,-R667,0,R667,1),OFFSET(E667,-R667,0,R667,2)),1,1),"")</f>
        <v>-6.69933936231152E-005</v>
      </c>
      <c r="T667" s="29" t="n">
        <f aca="true">IF(AND(F667&gt;=1,R667&gt;=Inputs!$B$10),INDEX(LINEST(OFFSET(D667,-R667,0,R667,1),OFFSET(E667,-R667,0,R667,2)),1,2),"")</f>
        <v>1.02530673257918</v>
      </c>
      <c r="U667" s="29" t="n">
        <f aca="true">IF(AND(F667&gt;=1,R667&gt;=Inputs!$B$10),INDEX(LINEST(OFFSET(D667,-R667,0,R667,1),OFFSET(E667,-R667,0,R667,2)),1,3),"")</f>
        <v>4.38406572356269</v>
      </c>
      <c r="V667" s="29" t="n">
        <f aca="true">IF(AND(F667&gt;=1,R667&gt;=Inputs!$B$10),SQRT(SUMPRODUCT((OFFSET(D667,-R667,0,R667,1)-U667-T667*OFFSET(E667,-R667,0,R667,1)-S667*OFFSET(F667,-R667,0,R667,1))^2)/(R667-3)),"")</f>
        <v>0.00218900253623979</v>
      </c>
      <c r="W667" s="31" t="n">
        <f aca="false">IF(AND(F667&gt;=1,R667&gt;=Inputs!$B$10),(D667-U667-T667*E667-S667*F667)/V667,"")</f>
        <v>2.62278790459013</v>
      </c>
      <c r="X667" s="30" t="n">
        <f aca="false">IF(AB666&lt;&gt;0,AC666+1,0)</f>
        <v>0</v>
      </c>
      <c r="Y667" s="30" t="n">
        <f aca="false">IF(W667="",0,IF(AND(AB666&lt;&gt;0,OR(ABS(W667)&gt;Inputs!$B$7,X667&gt;=Inputs!$B$8,ABS(W667)&lt;Inputs!$B$6)),1,0))</f>
        <v>0</v>
      </c>
      <c r="Z667" s="30" t="n">
        <f aca="false">IF(Y667=1,0,AB666)</f>
        <v>0</v>
      </c>
      <c r="AA667" s="30" t="n">
        <f aca="false">IF(W667="",0,IF(AND(Z667=0,ABS(W667)&gt;Inputs!$B$5,ABS(W667)&lt;=Inputs!$B$7),1,0))</f>
        <v>1</v>
      </c>
      <c r="AB667" s="30" t="n">
        <f aca="false">IF(W667="",0,IF(AA667=1,-SIGN(W667),Z667))</f>
        <v>-1</v>
      </c>
      <c r="AC667" s="30" t="n">
        <f aca="false">IF(W667="",0,IF(AA667=1,0,IF(Y667=1,0,X667)))</f>
        <v>0</v>
      </c>
      <c r="AD667" s="29" t="n">
        <f aca="false">IF(AB667=0,0,IF(AB666=AB667,AD666,T667))</f>
        <v>1.02530673257918</v>
      </c>
      <c r="AE667" s="30" t="n">
        <f aca="false">AB667-AB666</f>
        <v>-1</v>
      </c>
      <c r="AF667" s="30" t="n">
        <f aca="false">-AD667*AB667</f>
        <v>1.02530673257918</v>
      </c>
      <c r="AG667" s="30" t="n">
        <f aca="false">AF667-AF666</f>
        <v>1.02530673257918</v>
      </c>
      <c r="AH667" s="30" t="n">
        <f aca="false">MAX(AE667,0)*(Inputs!$B$17+Inputs!$B$18+Inputs!$B$19)+MAX(-AE667,0)*(O667+Inputs!$B$18+Inputs!$B$19)+IF(AND(K667=1,AB667&lt;&gt;0),(Inputs!$B$17+Inputs!$B$18+Inputs!$B$19)+(O667+Inputs!$B$18+Inputs!$B$19),0)+MAX(AG667,0)*(Inputs!$B$20+Inputs!$B$22+Inputs!$B$23)+MAX(-AG667,0)*(Inputs!$B$21+Inputs!$B$22+Inputs!$B$23)</f>
        <v>0.000693857356402713</v>
      </c>
      <c r="AI667" s="30" t="n">
        <f aca="false">AB666*(M667-AD666*J667)+AB666*AD666*N667/Inputs!$B$16-AH667</f>
        <v>-0.000693857356402713</v>
      </c>
      <c r="AJ667" s="30" t="n">
        <f aca="false">MAX(AE667,0)*(Inputs!$B$17+Inputs!$B$24+Inputs!$B$25)+MAX(-AE667,0)*(O667+Inputs!$B$24+Inputs!$B$25)+IF(AND(K667=1,AB667&lt;&gt;0),(Inputs!$B$17+Inputs!$B$24+Inputs!$B$25)+(O667+Inputs!$B$24+Inputs!$B$25),0)+MAX(AG667,0)*(Inputs!$B$20+Inputs!$B$26+Inputs!$B$27)+MAX(-AG667,0)*(Inputs!$B$21+Inputs!$B$26+Inputs!$B$27)</f>
        <v>0.000531453216807691</v>
      </c>
      <c r="AK667" s="30" t="n">
        <f aca="false">AB666*(M667-AD666*J667)+AB666*AD666*(N667+Inputs!$B$14)/Inputs!$B$16-AJ667</f>
        <v>-0.000531453216807691</v>
      </c>
      <c r="AL667" s="30" t="n">
        <f aca="false">IF(AP666&lt;&gt;0,AQ666+1,0)</f>
        <v>0</v>
      </c>
      <c r="AM667" s="30" t="n">
        <f aca="false">IF(W667="",0,IF(AND(AP666&lt;&gt;0,OR(ABS(W667)&gt;Inputs!$B$7,AL667&gt;=Inputs!$B$8,ABS(W667)&lt;Inputs!$B$6)),1,0))</f>
        <v>0</v>
      </c>
      <c r="AN667" s="30" t="n">
        <f aca="false">IF(AM667=1,0,AP666)</f>
        <v>0</v>
      </c>
      <c r="AO667" s="30" t="n">
        <f aca="false">IF(W667="",0,IF(AND(AN667=0,ABS(W667)&gt;Inputs!$B$5,ABS(W667)&lt;=Inputs!$B$7,W667&gt;0),1,0))</f>
        <v>1</v>
      </c>
      <c r="AP667" s="30" t="n">
        <f aca="false">IF(W667="",0,IF(AO667=1,-SIGN(W667),AN667))</f>
        <v>-1</v>
      </c>
      <c r="AQ667" s="30" t="n">
        <f aca="false">IF(W667="",0,IF(AO667=1,0,IF(AM667=1,0,AL667)))</f>
        <v>0</v>
      </c>
      <c r="AR667" s="29" t="n">
        <f aca="false">IF(AP667=0,0,IF(AP666=AP667,AR666,T667))</f>
        <v>1.02530673257918</v>
      </c>
      <c r="AS667" s="30" t="n">
        <f aca="false">AP667-AP666</f>
        <v>-1</v>
      </c>
      <c r="AT667" s="30" t="n">
        <f aca="false">-AR667*AP667</f>
        <v>1.02530673257918</v>
      </c>
      <c r="AU667" s="30" t="n">
        <f aca="false">AT667-AT666</f>
        <v>1.02530673257918</v>
      </c>
      <c r="AV667" s="30" t="n">
        <f aca="false">MAX(AS667,0)*(Inputs!$B$17+Inputs!$B$18+Inputs!$B$19)+MAX(-AS667,0)*(O667+Inputs!$B$18+Inputs!$B$19)+IF(AND(K667=1,AP667&lt;&gt;0),(Inputs!$B$17+Inputs!$B$18+Inputs!$B$19)+(O667+Inputs!$B$18+Inputs!$B$19),0)+MAX(AU667,0)*(Inputs!$B$20+Inputs!$B$22+Inputs!$B$23)+MAX(-AU667,0)*(Inputs!$B$21+Inputs!$B$22+Inputs!$B$23)</f>
        <v>0.000693857356402713</v>
      </c>
      <c r="AW667" s="30" t="n">
        <f aca="false">AP666*(M667-AR666*J667)+AP666*AR666*N667/Inputs!$B$16-AV667</f>
        <v>-0.000693857356402713</v>
      </c>
      <c r="AX667" s="30" t="n">
        <f aca="false">AW667-IF(AP666&lt;&gt;0,0.75*AR666*(Inputs!$B$13-N667)/Inputs!$B$16,0)</f>
        <v>-0.000693857356402713</v>
      </c>
      <c r="AY667" s="30" t="n">
        <f aca="false">MAX(AS667,0)*(Inputs!$B$17+Inputs!$B$18+Inputs!$B$19)+MAX(-AS667,0)*(O667+Inputs!$B$18+Inputs!$B$19)+IF(AND(K667=1,AP667&lt;&gt;0),(Inputs!$B$17+Inputs!$B$18+Inputs!$B$19)+(O667+Inputs!$B$18+Inputs!$B$19),0)</f>
        <v>0.000335</v>
      </c>
      <c r="AZ667" s="30" t="n">
        <f aca="false">AP666*M667-AY667</f>
        <v>-0.000335</v>
      </c>
      <c r="BA667" s="32" t="n">
        <f aca="false">BA666+AI667</f>
        <v>0.00903887929910968</v>
      </c>
      <c r="BB667" s="30" t="n">
        <f aca="false">MAX(BB666,BA667)</f>
        <v>0.0108065678336457</v>
      </c>
      <c r="BC667" s="32" t="n">
        <f aca="false">BA667-BB667</f>
        <v>-0.00176768853453599</v>
      </c>
      <c r="BD667" s="30" t="n">
        <f aca="false">A668-A667</f>
        <v>1</v>
      </c>
    </row>
    <row r="668" customFormat="false" ht="15" hidden="false" customHeight="false" outlineLevel="0" collapsed="false">
      <c r="A668" s="28" t="n">
        <v>46023</v>
      </c>
      <c r="B668" s="0" t="n">
        <v>26294</v>
      </c>
      <c r="C668" s="0" t="n">
        <v>295.38</v>
      </c>
      <c r="D668" s="29" t="n">
        <f aca="false">LN(B668)</f>
        <v>10.1770960552566</v>
      </c>
      <c r="E668" s="29" t="n">
        <f aca="false">LN(C668)</f>
        <v>5.68826266299816</v>
      </c>
      <c r="F668" s="0" t="n">
        <v>663</v>
      </c>
      <c r="G668" s="0" t="n">
        <v>26</v>
      </c>
      <c r="H668" s="29" t="n">
        <f aca="false">D668-E668</f>
        <v>4.48883339225839</v>
      </c>
      <c r="I668" s="29" t="n">
        <f aca="false">D668-D667</f>
        <v>-0.000228162909305496</v>
      </c>
      <c r="J668" s="29" t="n">
        <f aca="false">E668-E667</f>
        <v>0.000338604276421073</v>
      </c>
      <c r="K668" s="0" t="n">
        <v>0</v>
      </c>
      <c r="L668" s="0" t="n">
        <v>0</v>
      </c>
      <c r="M668" s="29" t="n">
        <f aca="false">IF(L668=1,J668-Carry!$B$9/Inputs!$B$16,I668)</f>
        <v>-0.000228162909305496</v>
      </c>
      <c r="N668" s="0" t="n">
        <v>0.0525</v>
      </c>
      <c r="O668" s="0" t="n">
        <v>0.0002</v>
      </c>
      <c r="P668" s="29" t="n">
        <f aca="false">D668-('2 Hedge ratio'!$B$6+'2 Hedge ratio'!$B$5*E668)</f>
        <v>0.0041063347117305</v>
      </c>
      <c r="Q668" s="29" t="n">
        <f aca="false">D668-('5 Re-specification'!$B$7+'5 Re-specification'!$B$5*E668+'5 Re-specification'!$B$6*F668)</f>
        <v>0.00465878932940278</v>
      </c>
      <c r="R668" s="30" t="n">
        <f aca="false">MIN(F668,Inputs!$B$9)</f>
        <v>250</v>
      </c>
      <c r="S668" s="29" t="n">
        <f aca="true">IF(AND(F668&gt;=1,R668&gt;=Inputs!$B$10),INDEX(LINEST(OFFSET(D668,-R668,0,R668,1),OFFSET(E668,-R668,0,R668,2)),1,1),"")</f>
        <v>-6.57758996437985E-005</v>
      </c>
      <c r="T668" s="29" t="n">
        <f aca="true">IF(AND(F668&gt;=1,R668&gt;=Inputs!$B$10),INDEX(LINEST(OFFSET(D668,-R668,0,R668,1),OFFSET(E668,-R668,0,R668,2)),1,2),"")</f>
        <v>1.02445981911539</v>
      </c>
      <c r="U668" s="29" t="n">
        <f aca="true">IF(AND(F668&gt;=1,R668&gt;=Inputs!$B$10),INDEX(LINEST(OFFSET(D668,-R668,0,R668,1),OFFSET(E668,-R668,0,R668,2)),1,3),"")</f>
        <v>4.38818791969286</v>
      </c>
      <c r="V668" s="29" t="n">
        <f aca="true">IF(AND(F668&gt;=1,R668&gt;=Inputs!$B$10),SQRT(SUMPRODUCT((OFFSET(D668,-R668,0,R668,1)-U668-T668*OFFSET(E668,-R668,0,R668,1)-S668*OFFSET(F668,-R668,0,R668,1))^2)/(R668-3)),"")</f>
        <v>0.00221595542859535</v>
      </c>
      <c r="W668" s="31" t="n">
        <f aca="false">IF(AND(F668&gt;=1,R668&gt;=Inputs!$B$10),(D668-U668-T668*E668-S668*F668)/V668,"")</f>
        <v>2.31097527753774</v>
      </c>
      <c r="X668" s="30" t="n">
        <f aca="false">IF(AB667&lt;&gt;0,AC667+1,0)</f>
        <v>1</v>
      </c>
      <c r="Y668" s="30" t="n">
        <f aca="false">IF(W668="",0,IF(AND(AB667&lt;&gt;0,OR(ABS(W668)&gt;Inputs!$B$7,X668&gt;=Inputs!$B$8,ABS(W668)&lt;Inputs!$B$6)),1,0))</f>
        <v>0</v>
      </c>
      <c r="Z668" s="30" t="n">
        <f aca="false">IF(Y668=1,0,AB667)</f>
        <v>-1</v>
      </c>
      <c r="AA668" s="30" t="n">
        <f aca="false">IF(W668="",0,IF(AND(Z668=0,ABS(W668)&gt;Inputs!$B$5,ABS(W668)&lt;=Inputs!$B$7),1,0))</f>
        <v>0</v>
      </c>
      <c r="AB668" s="30" t="n">
        <f aca="false">IF(W668="",0,IF(AA668=1,-SIGN(W668),Z668))</f>
        <v>-1</v>
      </c>
      <c r="AC668" s="30" t="n">
        <f aca="false">IF(W668="",0,IF(AA668=1,0,IF(Y668=1,0,X668)))</f>
        <v>1</v>
      </c>
      <c r="AD668" s="29" t="n">
        <f aca="false">IF(AB668=0,0,IF(AB667=AB668,AD667,T668))</f>
        <v>1.02530673257918</v>
      </c>
      <c r="AE668" s="30" t="n">
        <f aca="false">AB668-AB667</f>
        <v>0</v>
      </c>
      <c r="AF668" s="30" t="n">
        <f aca="false">-AD668*AB668</f>
        <v>1.02530673257918</v>
      </c>
      <c r="AG668" s="30" t="n">
        <f aca="false">AF668-AF667</f>
        <v>0</v>
      </c>
      <c r="AH668" s="30" t="n">
        <f aca="false">MAX(AE668,0)*(Inputs!$B$17+Inputs!$B$18+Inputs!$B$19)+MAX(-AE668,0)*(O668+Inputs!$B$18+Inputs!$B$19)+IF(AND(K668=1,AB668&lt;&gt;0),(Inputs!$B$17+Inputs!$B$18+Inputs!$B$19)+(O668+Inputs!$B$18+Inputs!$B$19),0)+MAX(AG668,0)*(Inputs!$B$20+Inputs!$B$22+Inputs!$B$23)+MAX(-AG668,0)*(Inputs!$B$21+Inputs!$B$22+Inputs!$B$23)</f>
        <v>0</v>
      </c>
      <c r="AI668" s="30" t="n">
        <f aca="false">AB667*(M668-AD667*J668)+AB667*AD667*N668/Inputs!$B$16-AH668</f>
        <v>0.000361730584312794</v>
      </c>
      <c r="AJ668" s="30" t="n">
        <f aca="false">MAX(AE668,0)*(Inputs!$B$17+Inputs!$B$24+Inputs!$B$25)+MAX(-AE668,0)*(O668+Inputs!$B$24+Inputs!$B$25)+IF(AND(K668=1,AB668&lt;&gt;0),(Inputs!$B$17+Inputs!$B$24+Inputs!$B$25)+(O668+Inputs!$B$24+Inputs!$B$25),0)+MAX(AG668,0)*(Inputs!$B$20+Inputs!$B$26+Inputs!$B$27)+MAX(-AG668,0)*(Inputs!$B$21+Inputs!$B$26+Inputs!$B$27)</f>
        <v>0</v>
      </c>
      <c r="AK668" s="30" t="n">
        <f aca="false">AB667*(M668-AD667*J668)+AB667*AD667*(N668+Inputs!$B$14)/Inputs!$B$16-AJ668</f>
        <v>0.000331215502986033</v>
      </c>
      <c r="AL668" s="30" t="n">
        <f aca="false">IF(AP667&lt;&gt;0,AQ667+1,0)</f>
        <v>1</v>
      </c>
      <c r="AM668" s="30" t="n">
        <f aca="false">IF(W668="",0,IF(AND(AP667&lt;&gt;0,OR(ABS(W668)&gt;Inputs!$B$7,AL668&gt;=Inputs!$B$8,ABS(W668)&lt;Inputs!$B$6)),1,0))</f>
        <v>0</v>
      </c>
      <c r="AN668" s="30" t="n">
        <f aca="false">IF(AM668=1,0,AP667)</f>
        <v>-1</v>
      </c>
      <c r="AO668" s="30" t="n">
        <f aca="false">IF(W668="",0,IF(AND(AN668=0,ABS(W668)&gt;Inputs!$B$5,ABS(W668)&lt;=Inputs!$B$7,W668&gt;0),1,0))</f>
        <v>0</v>
      </c>
      <c r="AP668" s="30" t="n">
        <f aca="false">IF(W668="",0,IF(AO668=1,-SIGN(W668),AN668))</f>
        <v>-1</v>
      </c>
      <c r="AQ668" s="30" t="n">
        <f aca="false">IF(W668="",0,IF(AO668=1,0,IF(AM668=1,0,AL668)))</f>
        <v>1</v>
      </c>
      <c r="AR668" s="29" t="n">
        <f aca="false">IF(AP668=0,0,IF(AP667=AP668,AR667,T668))</f>
        <v>1.02530673257918</v>
      </c>
      <c r="AS668" s="30" t="n">
        <f aca="false">AP668-AP667</f>
        <v>0</v>
      </c>
      <c r="AT668" s="30" t="n">
        <f aca="false">-AR668*AP668</f>
        <v>1.02530673257918</v>
      </c>
      <c r="AU668" s="30" t="n">
        <f aca="false">AT668-AT667</f>
        <v>0</v>
      </c>
      <c r="AV668" s="30" t="n">
        <f aca="false">MAX(AS668,0)*(Inputs!$B$17+Inputs!$B$18+Inputs!$B$19)+MAX(-AS668,0)*(O668+Inputs!$B$18+Inputs!$B$19)+IF(AND(K668=1,AP668&lt;&gt;0),(Inputs!$B$17+Inputs!$B$18+Inputs!$B$19)+(O668+Inputs!$B$18+Inputs!$B$19),0)+MAX(AU668,0)*(Inputs!$B$20+Inputs!$B$22+Inputs!$B$23)+MAX(-AU668,0)*(Inputs!$B$21+Inputs!$B$22+Inputs!$B$23)</f>
        <v>0</v>
      </c>
      <c r="AW668" s="30" t="n">
        <f aca="false">AP667*(M668-AR667*J668)+AP667*AR667*N668/Inputs!$B$16-AV668</f>
        <v>0.000361730584312794</v>
      </c>
      <c r="AX668" s="30" t="n">
        <f aca="false">AW668-IF(AP667&lt;&gt;0,0.75*AR667*(Inputs!$B$13-N668)/Inputs!$B$16,0)</f>
        <v>9.47236227036329E-005</v>
      </c>
      <c r="AY668" s="30" t="n">
        <f aca="false">MAX(AS668,0)*(Inputs!$B$17+Inputs!$B$18+Inputs!$B$19)+MAX(-AS668,0)*(O668+Inputs!$B$18+Inputs!$B$19)+IF(AND(K668=1,AP668&lt;&gt;0),(Inputs!$B$17+Inputs!$B$18+Inputs!$B$19)+(O668+Inputs!$B$18+Inputs!$B$19),0)</f>
        <v>0</v>
      </c>
      <c r="AZ668" s="30" t="n">
        <f aca="false">AP667*M668-AY668</f>
        <v>0.000228162909305496</v>
      </c>
      <c r="BA668" s="32" t="n">
        <f aca="false">BA667+AI668</f>
        <v>0.00940060988342248</v>
      </c>
      <c r="BB668" s="30" t="n">
        <f aca="false">MAX(BB667,BA668)</f>
        <v>0.0108065678336457</v>
      </c>
      <c r="BC668" s="32" t="n">
        <f aca="false">BA668-BB668</f>
        <v>-0.00140595795022319</v>
      </c>
      <c r="BD668" s="30" t="n">
        <f aca="false">A669-A668</f>
        <v>1</v>
      </c>
    </row>
    <row r="669" customFormat="false" ht="15" hidden="false" customHeight="false" outlineLevel="0" collapsed="false">
      <c r="A669" s="28" t="n">
        <v>46024</v>
      </c>
      <c r="B669" s="0" t="n">
        <v>26478</v>
      </c>
      <c r="C669" s="0" t="n">
        <v>297.79</v>
      </c>
      <c r="D669" s="29" t="n">
        <f aca="false">LN(B669)</f>
        <v>10.1840694784976</v>
      </c>
      <c r="E669" s="29" t="n">
        <f aca="false">LN(C669)</f>
        <v>5.69638854010249</v>
      </c>
      <c r="F669" s="0" t="n">
        <v>664</v>
      </c>
      <c r="G669" s="0" t="n">
        <v>25</v>
      </c>
      <c r="H669" s="29" t="n">
        <f aca="false">D669-E669</f>
        <v>4.48768093839511</v>
      </c>
      <c r="I669" s="29" t="n">
        <f aca="false">D669-D668</f>
        <v>0.00697342324105144</v>
      </c>
      <c r="J669" s="29" t="n">
        <f aca="false">E669-E668</f>
        <v>0.00812587710432489</v>
      </c>
      <c r="K669" s="0" t="n">
        <v>0</v>
      </c>
      <c r="L669" s="0" t="n">
        <v>0</v>
      </c>
      <c r="M669" s="29" t="n">
        <f aca="false">IF(L669=1,J669-Carry!$B$9/Inputs!$B$16,I669)</f>
        <v>0.00697342324105144</v>
      </c>
      <c r="N669" s="0" t="n">
        <v>0.0525</v>
      </c>
      <c r="O669" s="0" t="n">
        <v>0.0002</v>
      </c>
      <c r="P669" s="29" t="n">
        <f aca="false">D669-('2 Hedge ratio'!$B$6+'2 Hedge ratio'!$B$5*E669)</f>
        <v>0.00363542449515819</v>
      </c>
      <c r="Q669" s="29" t="n">
        <f aca="false">D669-('5 Re-specification'!$B$7+'5 Re-specification'!$B$5*E669+'5 Re-specification'!$B$6*F669)</f>
        <v>0.00357589025496274</v>
      </c>
      <c r="R669" s="30" t="n">
        <f aca="false">MIN(F669,Inputs!$B$9)</f>
        <v>250</v>
      </c>
      <c r="S669" s="29" t="n">
        <f aca="true">IF(AND(F669&gt;=1,R669&gt;=Inputs!$B$10),INDEX(LINEST(OFFSET(D669,-R669,0,R669,1),OFFSET(E669,-R669,0,R669,2)),1,1),"")</f>
        <v>-6.45788106442205E-005</v>
      </c>
      <c r="T669" s="29" t="n">
        <f aca="true">IF(AND(F669&gt;=1,R669&gt;=Inputs!$B$10),INDEX(LINEST(OFFSET(D669,-R669,0,R669,1),OFFSET(E669,-R669,0,R669,2)),1,2),"")</f>
        <v>1.02358146922555</v>
      </c>
      <c r="U669" s="29" t="n">
        <f aca="true">IF(AND(F669&gt;=1,R669&gt;=Inputs!$B$10),INDEX(LINEST(OFFSET(D669,-R669,0,R669,1),OFFSET(E669,-R669,0,R669,2)),1,3),"")</f>
        <v>4.39249374180923</v>
      </c>
      <c r="V669" s="29" t="n">
        <f aca="true">IF(AND(F669&gt;=1,R669&gt;=Inputs!$B$10),SQRT(SUMPRODUCT((OFFSET(D669,-R669,0,R669,1)-U669-T669*OFFSET(E669,-R669,0,R669,1)-S669*OFFSET(F669,-R669,0,R669,1))^2)/(R669-3)),"")</f>
        <v>0.00223597792870482</v>
      </c>
      <c r="W669" s="31" t="n">
        <f aca="false">IF(AND(F669&gt;=1,R669&gt;=Inputs!$B$10),(D669-U669-T669*E669-S669*F669)/V669,"")</f>
        <v>1.67189297820061</v>
      </c>
      <c r="X669" s="30" t="n">
        <f aca="false">IF(AB668&lt;&gt;0,AC668+1,0)</f>
        <v>2</v>
      </c>
      <c r="Y669" s="30" t="n">
        <f aca="false">IF(W669="",0,IF(AND(AB668&lt;&gt;0,OR(ABS(W669)&gt;Inputs!$B$7,X669&gt;=Inputs!$B$8,ABS(W669)&lt;Inputs!$B$6)),1,0))</f>
        <v>0</v>
      </c>
      <c r="Z669" s="30" t="n">
        <f aca="false">IF(Y669=1,0,AB668)</f>
        <v>-1</v>
      </c>
      <c r="AA669" s="30" t="n">
        <f aca="false">IF(W669="",0,IF(AND(Z669=0,ABS(W669)&gt;Inputs!$B$5,ABS(W669)&lt;=Inputs!$B$7),1,0))</f>
        <v>0</v>
      </c>
      <c r="AB669" s="30" t="n">
        <f aca="false">IF(W669="",0,IF(AA669=1,-SIGN(W669),Z669))</f>
        <v>-1</v>
      </c>
      <c r="AC669" s="30" t="n">
        <f aca="false">IF(W669="",0,IF(AA669=1,0,IF(Y669=1,0,X669)))</f>
        <v>2</v>
      </c>
      <c r="AD669" s="29" t="n">
        <f aca="false">IF(AB669=0,0,IF(AB668=AB669,AD668,T669))</f>
        <v>1.02530673257918</v>
      </c>
      <c r="AE669" s="30" t="n">
        <f aca="false">AB669-AB668</f>
        <v>0</v>
      </c>
      <c r="AF669" s="30" t="n">
        <f aca="false">-AD669*AB669</f>
        <v>1.02530673257918</v>
      </c>
      <c r="AG669" s="30" t="n">
        <f aca="false">AF669-AF668</f>
        <v>0</v>
      </c>
      <c r="AH669" s="30" t="n">
        <f aca="false">MAX(AE669,0)*(Inputs!$B$17+Inputs!$B$18+Inputs!$B$19)+MAX(-AE669,0)*(O669+Inputs!$B$18+Inputs!$B$19)+IF(AND(K669=1,AB669&lt;&gt;0),(Inputs!$B$17+Inputs!$B$18+Inputs!$B$19)+(O669+Inputs!$B$18+Inputs!$B$19),0)+MAX(AG669,0)*(Inputs!$B$20+Inputs!$B$22+Inputs!$B$23)+MAX(-AG669,0)*(Inputs!$B$21+Inputs!$B$22+Inputs!$B$23)</f>
        <v>0</v>
      </c>
      <c r="AI669" s="30" t="n">
        <f aca="false">AB668*(M669-AD668*J669)+AB668*AD668*N669/Inputs!$B$16-AH669</f>
        <v>0.00114448769283655</v>
      </c>
      <c r="AJ669" s="30" t="n">
        <f aca="false">MAX(AE669,0)*(Inputs!$B$17+Inputs!$B$24+Inputs!$B$25)+MAX(-AE669,0)*(O669+Inputs!$B$24+Inputs!$B$25)+IF(AND(K669=1,AB669&lt;&gt;0),(Inputs!$B$17+Inputs!$B$24+Inputs!$B$25)+(O669+Inputs!$B$24+Inputs!$B$25),0)+MAX(AG669,0)*(Inputs!$B$20+Inputs!$B$26+Inputs!$B$27)+MAX(-AG669,0)*(Inputs!$B$21+Inputs!$B$26+Inputs!$B$27)</f>
        <v>0</v>
      </c>
      <c r="AK669" s="30" t="n">
        <f aca="false">AB668*(M669-AD668*J669)+AB668*AD668*(N669+Inputs!$B$14)/Inputs!$B$16-AJ669</f>
        <v>0.00111397261150979</v>
      </c>
      <c r="AL669" s="30" t="n">
        <f aca="false">IF(AP668&lt;&gt;0,AQ668+1,0)</f>
        <v>2</v>
      </c>
      <c r="AM669" s="30" t="n">
        <f aca="false">IF(W669="",0,IF(AND(AP668&lt;&gt;0,OR(ABS(W669)&gt;Inputs!$B$7,AL669&gt;=Inputs!$B$8,ABS(W669)&lt;Inputs!$B$6)),1,0))</f>
        <v>0</v>
      </c>
      <c r="AN669" s="30" t="n">
        <f aca="false">IF(AM669=1,0,AP668)</f>
        <v>-1</v>
      </c>
      <c r="AO669" s="30" t="n">
        <f aca="false">IF(W669="",0,IF(AND(AN669=0,ABS(W669)&gt;Inputs!$B$5,ABS(W669)&lt;=Inputs!$B$7,W669&gt;0),1,0))</f>
        <v>0</v>
      </c>
      <c r="AP669" s="30" t="n">
        <f aca="false">IF(W669="",0,IF(AO669=1,-SIGN(W669),AN669))</f>
        <v>-1</v>
      </c>
      <c r="AQ669" s="30" t="n">
        <f aca="false">IF(W669="",0,IF(AO669=1,0,IF(AM669=1,0,AL669)))</f>
        <v>2</v>
      </c>
      <c r="AR669" s="29" t="n">
        <f aca="false">IF(AP669=0,0,IF(AP668=AP669,AR668,T669))</f>
        <v>1.02530673257918</v>
      </c>
      <c r="AS669" s="30" t="n">
        <f aca="false">AP669-AP668</f>
        <v>0</v>
      </c>
      <c r="AT669" s="30" t="n">
        <f aca="false">-AR669*AP669</f>
        <v>1.02530673257918</v>
      </c>
      <c r="AU669" s="30" t="n">
        <f aca="false">AT669-AT668</f>
        <v>0</v>
      </c>
      <c r="AV669" s="30" t="n">
        <f aca="false">MAX(AS669,0)*(Inputs!$B$17+Inputs!$B$18+Inputs!$B$19)+MAX(-AS669,0)*(O669+Inputs!$B$18+Inputs!$B$19)+IF(AND(K669=1,AP669&lt;&gt;0),(Inputs!$B$17+Inputs!$B$18+Inputs!$B$19)+(O669+Inputs!$B$18+Inputs!$B$19),0)+MAX(AU669,0)*(Inputs!$B$20+Inputs!$B$22+Inputs!$B$23)+MAX(-AU669,0)*(Inputs!$B$21+Inputs!$B$22+Inputs!$B$23)</f>
        <v>0</v>
      </c>
      <c r="AW669" s="30" t="n">
        <f aca="false">AP668*(M669-AR668*J669)+AP668*AR668*N669/Inputs!$B$16-AV669</f>
        <v>0.00114448769283655</v>
      </c>
      <c r="AX669" s="30" t="n">
        <f aca="false">AW669-IF(AP668&lt;&gt;0,0.75*AR668*(Inputs!$B$13-N669)/Inputs!$B$16,0)</f>
        <v>0.000877480731227392</v>
      </c>
      <c r="AY669" s="30" t="n">
        <f aca="false">MAX(AS669,0)*(Inputs!$B$17+Inputs!$B$18+Inputs!$B$19)+MAX(-AS669,0)*(O669+Inputs!$B$18+Inputs!$B$19)+IF(AND(K669=1,AP669&lt;&gt;0),(Inputs!$B$17+Inputs!$B$18+Inputs!$B$19)+(O669+Inputs!$B$18+Inputs!$B$19),0)</f>
        <v>0</v>
      </c>
      <c r="AZ669" s="30" t="n">
        <f aca="false">AP668*M669-AY669</f>
        <v>-0.00697342324105144</v>
      </c>
      <c r="BA669" s="32" t="n">
        <f aca="false">BA668+AI669</f>
        <v>0.010545097576259</v>
      </c>
      <c r="BB669" s="30" t="n">
        <f aca="false">MAX(BB668,BA669)</f>
        <v>0.0108065678336457</v>
      </c>
      <c r="BC669" s="32" t="n">
        <f aca="false">BA669-BB669</f>
        <v>-0.000261470257386641</v>
      </c>
      <c r="BD669" s="30" t="n">
        <f aca="false">A670-A669</f>
        <v>3</v>
      </c>
    </row>
    <row r="670" customFormat="false" ht="15" hidden="false" customHeight="false" outlineLevel="0" collapsed="false">
      <c r="A670" s="28" t="n">
        <v>46027</v>
      </c>
      <c r="B670" s="0" t="n">
        <v>26329</v>
      </c>
      <c r="C670" s="0" t="n">
        <v>296.4</v>
      </c>
      <c r="D670" s="29" t="n">
        <f aca="false">LN(B670)</f>
        <v>10.178426272278</v>
      </c>
      <c r="E670" s="29" t="n">
        <f aca="false">LN(C670)</f>
        <v>5.69170989342193</v>
      </c>
      <c r="F670" s="0" t="n">
        <v>665</v>
      </c>
      <c r="G670" s="0" t="n">
        <v>22</v>
      </c>
      <c r="H670" s="29" t="n">
        <f aca="false">D670-E670</f>
        <v>4.48671637885611</v>
      </c>
      <c r="I670" s="29" t="n">
        <f aca="false">D670-D669</f>
        <v>-0.00564320621955972</v>
      </c>
      <c r="J670" s="29" t="n">
        <f aca="false">E670-E669</f>
        <v>-0.00467864668055729</v>
      </c>
      <c r="K670" s="0" t="n">
        <v>0</v>
      </c>
      <c r="L670" s="0" t="n">
        <v>0</v>
      </c>
      <c r="M670" s="29" t="n">
        <f aca="false">IF(L670=1,J670-Carry!$B$9/Inputs!$B$16,I670)</f>
        <v>-0.00564320621955972</v>
      </c>
      <c r="N670" s="0" t="n">
        <v>0.0525</v>
      </c>
      <c r="O670" s="0" t="n">
        <v>0.0002</v>
      </c>
      <c r="P670" s="29" t="n">
        <f aca="false">D670-('2 Hedge ratio'!$B$6+'2 Hedge ratio'!$B$5*E670)</f>
        <v>0.00227845169671781</v>
      </c>
      <c r="Q670" s="29" t="n">
        <f aca="false">D670-('5 Re-specification'!$B$7+'5 Re-specification'!$B$5*E670+'5 Re-specification'!$B$6*F670)</f>
        <v>0.00264208139519084</v>
      </c>
      <c r="R670" s="30" t="n">
        <f aca="false">MIN(F670,Inputs!$B$9)</f>
        <v>250</v>
      </c>
      <c r="S670" s="29" t="n">
        <f aca="true">IF(AND(F670&gt;=1,R670&gt;=Inputs!$B$10),INDEX(LINEST(OFFSET(D670,-R670,0,R670,1),OFFSET(E670,-R670,0,R670,2)),1,1),"")</f>
        <v>-6.39393329733212E-005</v>
      </c>
      <c r="T670" s="29" t="n">
        <f aca="true">IF(AND(F670&gt;=1,R670&gt;=Inputs!$B$10),INDEX(LINEST(OFFSET(D670,-R670,0,R670,1),OFFSET(E670,-R670,0,R670,2)),1,2),"")</f>
        <v>1.0232602090734</v>
      </c>
      <c r="U670" s="29" t="n">
        <f aca="true">IF(AND(F670&gt;=1,R670&gt;=Inputs!$B$10),INDEX(LINEST(OFFSET(D670,-R670,0,R670,1),OFFSET(E670,-R670,0,R670,2)),1,3),"")</f>
        <v>4.39396608023078</v>
      </c>
      <c r="V670" s="29" t="n">
        <f aca="true">IF(AND(F670&gt;=1,R670&gt;=Inputs!$B$10),SQRT(SUMPRODUCT((OFFSET(D670,-R670,0,R670,1)-U670-T670*OFFSET(E670,-R670,0,R670,1)-S670*OFFSET(F670,-R670,0,R670,1))^2)/(R670-3)),"")</f>
        <v>0.00224757147755222</v>
      </c>
      <c r="W670" s="31" t="n">
        <f aca="false">IF(AND(F670&gt;=1,R670&gt;=Inputs!$B$10),(D670-U670-T670*E670-S670*F670)/V670,"")</f>
        <v>1.28120194407144</v>
      </c>
      <c r="X670" s="30" t="n">
        <f aca="false">IF(AB669&lt;&gt;0,AC669+1,0)</f>
        <v>3</v>
      </c>
      <c r="Y670" s="30" t="n">
        <f aca="false">IF(W670="",0,IF(AND(AB669&lt;&gt;0,OR(ABS(W670)&gt;Inputs!$B$7,X670&gt;=Inputs!$B$8,ABS(W670)&lt;Inputs!$B$6)),1,0))</f>
        <v>0</v>
      </c>
      <c r="Z670" s="30" t="n">
        <f aca="false">IF(Y670=1,0,AB669)</f>
        <v>-1</v>
      </c>
      <c r="AA670" s="30" t="n">
        <f aca="false">IF(W670="",0,IF(AND(Z670=0,ABS(W670)&gt;Inputs!$B$5,ABS(W670)&lt;=Inputs!$B$7),1,0))</f>
        <v>0</v>
      </c>
      <c r="AB670" s="30" t="n">
        <f aca="false">IF(W670="",0,IF(AA670=1,-SIGN(W670),Z670))</f>
        <v>-1</v>
      </c>
      <c r="AC670" s="30" t="n">
        <f aca="false">IF(W670="",0,IF(AA670=1,0,IF(Y670=1,0,X670)))</f>
        <v>3</v>
      </c>
      <c r="AD670" s="29" t="n">
        <f aca="false">IF(AB670=0,0,IF(AB669=AB670,AD669,T670))</f>
        <v>1.02530673257918</v>
      </c>
      <c r="AE670" s="30" t="n">
        <f aca="false">AB670-AB669</f>
        <v>0</v>
      </c>
      <c r="AF670" s="30" t="n">
        <f aca="false">-AD670*AB670</f>
        <v>1.02530673257918</v>
      </c>
      <c r="AG670" s="30" t="n">
        <f aca="false">AF670-AF669</f>
        <v>0</v>
      </c>
      <c r="AH670" s="30" t="n">
        <f aca="false">MAX(AE670,0)*(Inputs!$B$17+Inputs!$B$18+Inputs!$B$19)+MAX(-AE670,0)*(O670+Inputs!$B$18+Inputs!$B$19)+IF(AND(K670=1,AB670&lt;&gt;0),(Inputs!$B$17+Inputs!$B$18+Inputs!$B$19)+(O670+Inputs!$B$18+Inputs!$B$19),0)+MAX(AG670,0)*(Inputs!$B$20+Inputs!$B$22+Inputs!$B$23)+MAX(-AG670,0)*(Inputs!$B$21+Inputs!$B$22+Inputs!$B$23)</f>
        <v>0</v>
      </c>
      <c r="AI670" s="30" t="n">
        <f aca="false">AB669*(M670-AD669*J670)+AB669*AD669*N670/Inputs!$B$16-AH670</f>
        <v>0.000632552709337769</v>
      </c>
      <c r="AJ670" s="30" t="n">
        <f aca="false">MAX(AE670,0)*(Inputs!$B$17+Inputs!$B$24+Inputs!$B$25)+MAX(-AE670,0)*(O670+Inputs!$B$24+Inputs!$B$25)+IF(AND(K670=1,AB670&lt;&gt;0),(Inputs!$B$17+Inputs!$B$24+Inputs!$B$25)+(O670+Inputs!$B$24+Inputs!$B$25),0)+MAX(AG670,0)*(Inputs!$B$20+Inputs!$B$26+Inputs!$B$27)+MAX(-AG670,0)*(Inputs!$B$21+Inputs!$B$26+Inputs!$B$27)</f>
        <v>0</v>
      </c>
      <c r="AK670" s="30" t="n">
        <f aca="false">AB669*(M670-AD669*J670)+AB669*AD669*(N670+Inputs!$B$14)/Inputs!$B$16-AJ670</f>
        <v>0.000602037628011008</v>
      </c>
      <c r="AL670" s="30" t="n">
        <f aca="false">IF(AP669&lt;&gt;0,AQ669+1,0)</f>
        <v>3</v>
      </c>
      <c r="AM670" s="30" t="n">
        <f aca="false">IF(W670="",0,IF(AND(AP669&lt;&gt;0,OR(ABS(W670)&gt;Inputs!$B$7,AL670&gt;=Inputs!$B$8,ABS(W670)&lt;Inputs!$B$6)),1,0))</f>
        <v>0</v>
      </c>
      <c r="AN670" s="30" t="n">
        <f aca="false">IF(AM670=1,0,AP669)</f>
        <v>-1</v>
      </c>
      <c r="AO670" s="30" t="n">
        <f aca="false">IF(W670="",0,IF(AND(AN670=0,ABS(W670)&gt;Inputs!$B$5,ABS(W670)&lt;=Inputs!$B$7,W670&gt;0),1,0))</f>
        <v>0</v>
      </c>
      <c r="AP670" s="30" t="n">
        <f aca="false">IF(W670="",0,IF(AO670=1,-SIGN(W670),AN670))</f>
        <v>-1</v>
      </c>
      <c r="AQ670" s="30" t="n">
        <f aca="false">IF(W670="",0,IF(AO670=1,0,IF(AM670=1,0,AL670)))</f>
        <v>3</v>
      </c>
      <c r="AR670" s="29" t="n">
        <f aca="false">IF(AP670=0,0,IF(AP669=AP670,AR669,T670))</f>
        <v>1.02530673257918</v>
      </c>
      <c r="AS670" s="30" t="n">
        <f aca="false">AP670-AP669</f>
        <v>0</v>
      </c>
      <c r="AT670" s="30" t="n">
        <f aca="false">-AR670*AP670</f>
        <v>1.02530673257918</v>
      </c>
      <c r="AU670" s="30" t="n">
        <f aca="false">AT670-AT669</f>
        <v>0</v>
      </c>
      <c r="AV670" s="30" t="n">
        <f aca="false">MAX(AS670,0)*(Inputs!$B$17+Inputs!$B$18+Inputs!$B$19)+MAX(-AS670,0)*(O670+Inputs!$B$18+Inputs!$B$19)+IF(AND(K670=1,AP670&lt;&gt;0),(Inputs!$B$17+Inputs!$B$18+Inputs!$B$19)+(O670+Inputs!$B$18+Inputs!$B$19),0)+MAX(AU670,0)*(Inputs!$B$20+Inputs!$B$22+Inputs!$B$23)+MAX(-AU670,0)*(Inputs!$B$21+Inputs!$B$22+Inputs!$B$23)</f>
        <v>0</v>
      </c>
      <c r="AW670" s="30" t="n">
        <f aca="false">AP669*(M670-AR669*J670)+AP669*AR669*N670/Inputs!$B$16-AV670</f>
        <v>0.000632552709337769</v>
      </c>
      <c r="AX670" s="30" t="n">
        <f aca="false">AW670-IF(AP669&lt;&gt;0,0.75*AR669*(Inputs!$B$13-N670)/Inputs!$B$16,0)</f>
        <v>0.000365545747728608</v>
      </c>
      <c r="AY670" s="30" t="n">
        <f aca="false">MAX(AS670,0)*(Inputs!$B$17+Inputs!$B$18+Inputs!$B$19)+MAX(-AS670,0)*(O670+Inputs!$B$18+Inputs!$B$19)+IF(AND(K670=1,AP670&lt;&gt;0),(Inputs!$B$17+Inputs!$B$18+Inputs!$B$19)+(O670+Inputs!$B$18+Inputs!$B$19),0)</f>
        <v>0</v>
      </c>
      <c r="AZ670" s="30" t="n">
        <f aca="false">AP669*M670-AY670</f>
        <v>0.00564320621955972</v>
      </c>
      <c r="BA670" s="32" t="n">
        <f aca="false">BA669+AI670</f>
        <v>0.0111776502855968</v>
      </c>
      <c r="BB670" s="30" t="n">
        <f aca="false">MAX(BB669,BA670)</f>
        <v>0.0111776502855968</v>
      </c>
      <c r="BC670" s="32" t="n">
        <f aca="false">BA670-BB670</f>
        <v>0</v>
      </c>
      <c r="BD670" s="30" t="n">
        <f aca="false">A671-A670</f>
        <v>1</v>
      </c>
    </row>
    <row r="671" customFormat="false" ht="15" hidden="false" customHeight="false" outlineLevel="0" collapsed="false">
      <c r="A671" s="28" t="n">
        <v>46028</v>
      </c>
      <c r="B671" s="0" t="n">
        <v>26284.8</v>
      </c>
      <c r="C671" s="0" t="n">
        <v>296.09</v>
      </c>
      <c r="D671" s="29" t="n">
        <f aca="false">LN(B671)</f>
        <v>10.1767461043222</v>
      </c>
      <c r="E671" s="29" t="n">
        <f aca="false">LN(C671)</f>
        <v>5.69066346216305</v>
      </c>
      <c r="F671" s="0" t="n">
        <v>666</v>
      </c>
      <c r="G671" s="0" t="n">
        <v>21</v>
      </c>
      <c r="H671" s="29" t="n">
        <f aca="false">D671-E671</f>
        <v>4.48608264215914</v>
      </c>
      <c r="I671" s="29" t="n">
        <f aca="false">D671-D670</f>
        <v>-0.00168016795585757</v>
      </c>
      <c r="J671" s="29" t="n">
        <f aca="false">E671-E670</f>
        <v>-0.00104643125888337</v>
      </c>
      <c r="K671" s="0" t="n">
        <v>0</v>
      </c>
      <c r="L671" s="0" t="n">
        <v>0</v>
      </c>
      <c r="M671" s="29" t="n">
        <f aca="false">IF(L671=1,J671-Carry!$B$9/Inputs!$B$16,I671)</f>
        <v>-0.00168016795585757</v>
      </c>
      <c r="N671" s="0" t="n">
        <v>0.0525</v>
      </c>
      <c r="O671" s="0" t="n">
        <v>0.0002</v>
      </c>
      <c r="P671" s="29" t="n">
        <f aca="false">D671-('2 Hedge ratio'!$B$6+'2 Hedge ratio'!$B$5*E671)</f>
        <v>0.0015569474188375</v>
      </c>
      <c r="Q671" s="29" t="n">
        <f aca="false">D671-('5 Re-specification'!$B$7+'5 Re-specification'!$B$5*E671+'5 Re-specification'!$B$6*F671)</f>
        <v>0.00205010280636309</v>
      </c>
      <c r="R671" s="30" t="n">
        <f aca="false">MIN(F671,Inputs!$B$9)</f>
        <v>250</v>
      </c>
      <c r="S671" s="29" t="n">
        <f aca="true">IF(AND(F671&gt;=1,R671&gt;=Inputs!$B$10),INDEX(LINEST(OFFSET(D671,-R671,0,R671,1),OFFSET(E671,-R671,0,R671,2)),1,1),"")</f>
        <v>-6.30730797186841E-005</v>
      </c>
      <c r="T671" s="29" t="n">
        <f aca="true">IF(AND(F671&gt;=1,R671&gt;=Inputs!$B$10),INDEX(LINEST(OFFSET(D671,-R671,0,R671,1),OFFSET(E671,-R671,0,R671,2)),1,2),"")</f>
        <v>1.02249377560677</v>
      </c>
      <c r="U671" s="29" t="n">
        <f aca="true">IF(AND(F671&gt;=1,R671&gt;=Inputs!$B$10),INDEX(LINEST(OFFSET(D671,-R671,0,R671,1),OFFSET(E671,-R671,0,R671,2)),1,3),"")</f>
        <v>4.39781317955313</v>
      </c>
      <c r="V671" s="29" t="n">
        <f aca="true">IF(AND(F671&gt;=1,R671&gt;=Inputs!$B$10),SQRT(SUMPRODUCT((OFFSET(D671,-R671,0,R671,1)-U671-T671*OFFSET(E671,-R671,0,R671,1)-S671*OFFSET(F671,-R671,0,R671,1))^2)/(R671-3)),"")</f>
        <v>0.00225327020625095</v>
      </c>
      <c r="W671" s="31" t="n">
        <f aca="false">IF(AND(F671&gt;=1,R671&gt;=Inputs!$B$10),(D671-U671-T671*E671-S671*F671)/V671,"")</f>
        <v>1.00814661322335</v>
      </c>
      <c r="X671" s="30" t="n">
        <f aca="false">IF(AB670&lt;&gt;0,AC670+1,0)</f>
        <v>4</v>
      </c>
      <c r="Y671" s="30" t="n">
        <f aca="false">IF(W671="",0,IF(AND(AB670&lt;&gt;0,OR(ABS(W671)&gt;Inputs!$B$7,X671&gt;=Inputs!$B$8,ABS(W671)&lt;Inputs!$B$6)),1,0))</f>
        <v>0</v>
      </c>
      <c r="Z671" s="30" t="n">
        <f aca="false">IF(Y671=1,0,AB670)</f>
        <v>-1</v>
      </c>
      <c r="AA671" s="30" t="n">
        <f aca="false">IF(W671="",0,IF(AND(Z671=0,ABS(W671)&gt;Inputs!$B$5,ABS(W671)&lt;=Inputs!$B$7),1,0))</f>
        <v>0</v>
      </c>
      <c r="AB671" s="30" t="n">
        <f aca="false">IF(W671="",0,IF(AA671=1,-SIGN(W671),Z671))</f>
        <v>-1</v>
      </c>
      <c r="AC671" s="30" t="n">
        <f aca="false">IF(W671="",0,IF(AA671=1,0,IF(Y671=1,0,X671)))</f>
        <v>4</v>
      </c>
      <c r="AD671" s="29" t="n">
        <f aca="false">IF(AB671=0,0,IF(AB670=AB671,AD670,T671))</f>
        <v>1.02530673257918</v>
      </c>
      <c r="AE671" s="30" t="n">
        <f aca="false">AB671-AB670</f>
        <v>0</v>
      </c>
      <c r="AF671" s="30" t="n">
        <f aca="false">-AD671*AB671</f>
        <v>1.02530673257918</v>
      </c>
      <c r="AG671" s="30" t="n">
        <f aca="false">AF671-AF670</f>
        <v>0</v>
      </c>
      <c r="AH671" s="30" t="n">
        <f aca="false">MAX(AE671,0)*(Inputs!$B$17+Inputs!$B$18+Inputs!$B$19)+MAX(-AE671,0)*(O671+Inputs!$B$18+Inputs!$B$19)+IF(AND(K671=1,AB671&lt;&gt;0),(Inputs!$B$17+Inputs!$B$18+Inputs!$B$19)+(O671+Inputs!$B$18+Inputs!$B$19),0)+MAX(AG671,0)*(Inputs!$B$20+Inputs!$B$22+Inputs!$B$23)+MAX(-AG671,0)*(Inputs!$B$21+Inputs!$B$22+Inputs!$B$23)</f>
        <v>0</v>
      </c>
      <c r="AI671" s="30" t="n">
        <f aca="false">AB670*(M671-AD670*J671)+AB670*AD670*N671/Inputs!$B$16-AH671</f>
        <v>0.000393649371655811</v>
      </c>
      <c r="AJ671" s="30" t="n">
        <f aca="false">MAX(AE671,0)*(Inputs!$B$17+Inputs!$B$24+Inputs!$B$25)+MAX(-AE671,0)*(O671+Inputs!$B$24+Inputs!$B$25)+IF(AND(K671=1,AB671&lt;&gt;0),(Inputs!$B$17+Inputs!$B$24+Inputs!$B$25)+(O671+Inputs!$B$24+Inputs!$B$25),0)+MAX(AG671,0)*(Inputs!$B$20+Inputs!$B$26+Inputs!$B$27)+MAX(-AG671,0)*(Inputs!$B$21+Inputs!$B$26+Inputs!$B$27)</f>
        <v>0</v>
      </c>
      <c r="AK671" s="30" t="n">
        <f aca="false">AB670*(M671-AD670*J671)+AB670*AD670*(N671+Inputs!$B$14)/Inputs!$B$16-AJ671</f>
        <v>0.00036313429032905</v>
      </c>
      <c r="AL671" s="30" t="n">
        <f aca="false">IF(AP670&lt;&gt;0,AQ670+1,0)</f>
        <v>4</v>
      </c>
      <c r="AM671" s="30" t="n">
        <f aca="false">IF(W671="",0,IF(AND(AP670&lt;&gt;0,OR(ABS(W671)&gt;Inputs!$B$7,AL671&gt;=Inputs!$B$8,ABS(W671)&lt;Inputs!$B$6)),1,0))</f>
        <v>0</v>
      </c>
      <c r="AN671" s="30" t="n">
        <f aca="false">IF(AM671=1,0,AP670)</f>
        <v>-1</v>
      </c>
      <c r="AO671" s="30" t="n">
        <f aca="false">IF(W671="",0,IF(AND(AN671=0,ABS(W671)&gt;Inputs!$B$5,ABS(W671)&lt;=Inputs!$B$7,W671&gt;0),1,0))</f>
        <v>0</v>
      </c>
      <c r="AP671" s="30" t="n">
        <f aca="false">IF(W671="",0,IF(AO671=1,-SIGN(W671),AN671))</f>
        <v>-1</v>
      </c>
      <c r="AQ671" s="30" t="n">
        <f aca="false">IF(W671="",0,IF(AO671=1,0,IF(AM671=1,0,AL671)))</f>
        <v>4</v>
      </c>
      <c r="AR671" s="29" t="n">
        <f aca="false">IF(AP671=0,0,IF(AP670=AP671,AR670,T671))</f>
        <v>1.02530673257918</v>
      </c>
      <c r="AS671" s="30" t="n">
        <f aca="false">AP671-AP670</f>
        <v>0</v>
      </c>
      <c r="AT671" s="30" t="n">
        <f aca="false">-AR671*AP671</f>
        <v>1.02530673257918</v>
      </c>
      <c r="AU671" s="30" t="n">
        <f aca="false">AT671-AT670</f>
        <v>0</v>
      </c>
      <c r="AV671" s="30" t="n">
        <f aca="false">MAX(AS671,0)*(Inputs!$B$17+Inputs!$B$18+Inputs!$B$19)+MAX(-AS671,0)*(O671+Inputs!$B$18+Inputs!$B$19)+IF(AND(K671=1,AP671&lt;&gt;0),(Inputs!$B$17+Inputs!$B$18+Inputs!$B$19)+(O671+Inputs!$B$18+Inputs!$B$19),0)+MAX(AU671,0)*(Inputs!$B$20+Inputs!$B$22+Inputs!$B$23)+MAX(-AU671,0)*(Inputs!$B$21+Inputs!$B$22+Inputs!$B$23)</f>
        <v>0</v>
      </c>
      <c r="AW671" s="30" t="n">
        <f aca="false">AP670*(M671-AR670*J671)+AP670*AR670*N671/Inputs!$B$16-AV671</f>
        <v>0.000393649371655811</v>
      </c>
      <c r="AX671" s="30" t="n">
        <f aca="false">AW671-IF(AP670&lt;&gt;0,0.75*AR670*(Inputs!$B$13-N671)/Inputs!$B$16,0)</f>
        <v>0.00012664241004665</v>
      </c>
      <c r="AY671" s="30" t="n">
        <f aca="false">MAX(AS671,0)*(Inputs!$B$17+Inputs!$B$18+Inputs!$B$19)+MAX(-AS671,0)*(O671+Inputs!$B$18+Inputs!$B$19)+IF(AND(K671=1,AP671&lt;&gt;0),(Inputs!$B$17+Inputs!$B$18+Inputs!$B$19)+(O671+Inputs!$B$18+Inputs!$B$19),0)</f>
        <v>0</v>
      </c>
      <c r="AZ671" s="30" t="n">
        <f aca="false">AP670*M671-AY671</f>
        <v>0.00168016795585757</v>
      </c>
      <c r="BA671" s="32" t="n">
        <f aca="false">BA670+AI671</f>
        <v>0.0115712996572526</v>
      </c>
      <c r="BB671" s="30" t="n">
        <f aca="false">MAX(BB670,BA671)</f>
        <v>0.0115712996572526</v>
      </c>
      <c r="BC671" s="32" t="n">
        <f aca="false">BA671-BB671</f>
        <v>0</v>
      </c>
      <c r="BD671" s="30" t="n">
        <f aca="false">A672-A671</f>
        <v>1</v>
      </c>
    </row>
    <row r="672" customFormat="false" ht="15" hidden="false" customHeight="false" outlineLevel="0" collapsed="false">
      <c r="A672" s="28" t="n">
        <v>46029</v>
      </c>
      <c r="B672" s="0" t="n">
        <v>26235.1</v>
      </c>
      <c r="C672" s="0" t="n">
        <v>295.75</v>
      </c>
      <c r="D672" s="29" t="n">
        <f aca="false">LN(B672)</f>
        <v>10.1748534878155</v>
      </c>
      <c r="E672" s="29" t="n">
        <f aca="false">LN(C672)</f>
        <v>5.6895145028585</v>
      </c>
      <c r="F672" s="0" t="n">
        <v>667</v>
      </c>
      <c r="G672" s="0" t="n">
        <v>20</v>
      </c>
      <c r="H672" s="29" t="n">
        <f aca="false">D672-E672</f>
        <v>4.48533898495698</v>
      </c>
      <c r="I672" s="29" t="n">
        <f aca="false">D672-D671</f>
        <v>-0.00189261650671213</v>
      </c>
      <c r="J672" s="29" t="n">
        <f aca="false">E672-E671</f>
        <v>-0.00114895930455194</v>
      </c>
      <c r="K672" s="0" t="n">
        <v>0</v>
      </c>
      <c r="L672" s="0" t="n">
        <v>0</v>
      </c>
      <c r="M672" s="29" t="n">
        <f aca="false">IF(L672=1,J672-Carry!$B$9/Inputs!$B$16,I672)</f>
        <v>-0.00189261650671213</v>
      </c>
      <c r="N672" s="0" t="n">
        <v>0.0525</v>
      </c>
      <c r="O672" s="0" t="n">
        <v>0.0002</v>
      </c>
      <c r="P672" s="29" t="n">
        <f aca="false">D672-('2 Hedge ratio'!$B$6+'2 Hedge ratio'!$B$5*E672)</f>
        <v>0.000716923276311121</v>
      </c>
      <c r="Q672" s="29" t="n">
        <f aca="false">D672-('5 Re-specification'!$B$7+'5 Re-specification'!$B$5*E672+'5 Re-specification'!$B$6*F672)</f>
        <v>0.0013478930011015</v>
      </c>
      <c r="R672" s="30" t="n">
        <f aca="false">MIN(F672,Inputs!$B$9)</f>
        <v>250</v>
      </c>
      <c r="S672" s="29" t="n">
        <f aca="true">IF(AND(F672&gt;=1,R672&gt;=Inputs!$B$10),INDEX(LINEST(OFFSET(D672,-R672,0,R672,1),OFFSET(E672,-R672,0,R672,2)),1,1),"")</f>
        <v>-6.35901165415216E-005</v>
      </c>
      <c r="T672" s="29" t="n">
        <f aca="true">IF(AND(F672&gt;=1,R672&gt;=Inputs!$B$10),INDEX(LINEST(OFFSET(D672,-R672,0,R672,1),OFFSET(E672,-R672,0,R672,2)),1,2),"")</f>
        <v>1.02333584035178</v>
      </c>
      <c r="U672" s="29" t="n">
        <f aca="true">IF(AND(F672&gt;=1,R672&gt;=Inputs!$B$10),INDEX(LINEST(OFFSET(D672,-R672,0,R672,1),OFFSET(E672,-R672,0,R672,2)),1,3),"")</f>
        <v>4.39337682295441</v>
      </c>
      <c r="V672" s="29" t="n">
        <f aca="true">IF(AND(F672&gt;=1,R672&gt;=Inputs!$B$10),SQRT(SUMPRODUCT((OFFSET(D672,-R672,0,R672,1)-U672-T672*OFFSET(E672,-R672,0,R672,1)-S672*OFFSET(F672,-R672,0,R672,1))^2)/(R672-3)),"")</f>
        <v>0.00225313573736605</v>
      </c>
      <c r="W672" s="31" t="n">
        <f aca="false">IF(AND(F672&gt;=1,R672&gt;=Inputs!$B$10),(D672-U672-T672*E672-S672*F672)/V672,"")</f>
        <v>0.713302617010112</v>
      </c>
      <c r="X672" s="30" t="n">
        <f aca="false">IF(AB671&lt;&gt;0,AC671+1,0)</f>
        <v>5</v>
      </c>
      <c r="Y672" s="30" t="n">
        <f aca="false">IF(W672="",0,IF(AND(AB671&lt;&gt;0,OR(ABS(W672)&gt;Inputs!$B$7,X672&gt;=Inputs!$B$8,ABS(W672)&lt;Inputs!$B$6)),1,0))</f>
        <v>0</v>
      </c>
      <c r="Z672" s="30" t="n">
        <f aca="false">IF(Y672=1,0,AB671)</f>
        <v>-1</v>
      </c>
      <c r="AA672" s="30" t="n">
        <f aca="false">IF(W672="",0,IF(AND(Z672=0,ABS(W672)&gt;Inputs!$B$5,ABS(W672)&lt;=Inputs!$B$7),1,0))</f>
        <v>0</v>
      </c>
      <c r="AB672" s="30" t="n">
        <f aca="false">IF(W672="",0,IF(AA672=1,-SIGN(W672),Z672))</f>
        <v>-1</v>
      </c>
      <c r="AC672" s="30" t="n">
        <f aca="false">IF(W672="",0,IF(AA672=1,0,IF(Y672=1,0,X672)))</f>
        <v>5</v>
      </c>
      <c r="AD672" s="29" t="n">
        <f aca="false">IF(AB672=0,0,IF(AB671=AB672,AD671,T672))</f>
        <v>1.02530673257918</v>
      </c>
      <c r="AE672" s="30" t="n">
        <f aca="false">AB672-AB671</f>
        <v>0</v>
      </c>
      <c r="AF672" s="30" t="n">
        <f aca="false">-AD672*AB672</f>
        <v>1.02530673257918</v>
      </c>
      <c r="AG672" s="30" t="n">
        <f aca="false">AF672-AF671</f>
        <v>0</v>
      </c>
      <c r="AH672" s="30" t="n">
        <f aca="false">MAX(AE672,0)*(Inputs!$B$17+Inputs!$B$18+Inputs!$B$19)+MAX(-AE672,0)*(O672+Inputs!$B$18+Inputs!$B$19)+IF(AND(K672=1,AB672&lt;&gt;0),(Inputs!$B$17+Inputs!$B$18+Inputs!$B$19)+(O672+Inputs!$B$18+Inputs!$B$19),0)+MAX(AG672,0)*(Inputs!$B$20+Inputs!$B$22+Inputs!$B$23)+MAX(-AG672,0)*(Inputs!$B$21+Inputs!$B$22+Inputs!$B$23)</f>
        <v>0</v>
      </c>
      <c r="AI672" s="30" t="n">
        <f aca="false">AB671*(M672-AD671*J672)+AB671*AD671*N672/Inputs!$B$16-AH672</f>
        <v>0.0005009752270082</v>
      </c>
      <c r="AJ672" s="30" t="n">
        <f aca="false">MAX(AE672,0)*(Inputs!$B$17+Inputs!$B$24+Inputs!$B$25)+MAX(-AE672,0)*(O672+Inputs!$B$24+Inputs!$B$25)+IF(AND(K672=1,AB672&lt;&gt;0),(Inputs!$B$17+Inputs!$B$24+Inputs!$B$25)+(O672+Inputs!$B$24+Inputs!$B$25),0)+MAX(AG672,0)*(Inputs!$B$20+Inputs!$B$26+Inputs!$B$27)+MAX(-AG672,0)*(Inputs!$B$21+Inputs!$B$26+Inputs!$B$27)</f>
        <v>0</v>
      </c>
      <c r="AK672" s="30" t="n">
        <f aca="false">AB671*(M672-AD671*J672)+AB671*AD671*(N672+Inputs!$B$14)/Inputs!$B$16-AJ672</f>
        <v>0.000470460145681439</v>
      </c>
      <c r="AL672" s="30" t="n">
        <f aca="false">IF(AP671&lt;&gt;0,AQ671+1,0)</f>
        <v>5</v>
      </c>
      <c r="AM672" s="30" t="n">
        <f aca="false">IF(W672="",0,IF(AND(AP671&lt;&gt;0,OR(ABS(W672)&gt;Inputs!$B$7,AL672&gt;=Inputs!$B$8,ABS(W672)&lt;Inputs!$B$6)),1,0))</f>
        <v>0</v>
      </c>
      <c r="AN672" s="30" t="n">
        <f aca="false">IF(AM672=1,0,AP671)</f>
        <v>-1</v>
      </c>
      <c r="AO672" s="30" t="n">
        <f aca="false">IF(W672="",0,IF(AND(AN672=0,ABS(W672)&gt;Inputs!$B$5,ABS(W672)&lt;=Inputs!$B$7,W672&gt;0),1,0))</f>
        <v>0</v>
      </c>
      <c r="AP672" s="30" t="n">
        <f aca="false">IF(W672="",0,IF(AO672=1,-SIGN(W672),AN672))</f>
        <v>-1</v>
      </c>
      <c r="AQ672" s="30" t="n">
        <f aca="false">IF(W672="",0,IF(AO672=1,0,IF(AM672=1,0,AL672)))</f>
        <v>5</v>
      </c>
      <c r="AR672" s="29" t="n">
        <f aca="false">IF(AP672=0,0,IF(AP671=AP672,AR671,T672))</f>
        <v>1.02530673257918</v>
      </c>
      <c r="AS672" s="30" t="n">
        <f aca="false">AP672-AP671</f>
        <v>0</v>
      </c>
      <c r="AT672" s="30" t="n">
        <f aca="false">-AR672*AP672</f>
        <v>1.02530673257918</v>
      </c>
      <c r="AU672" s="30" t="n">
        <f aca="false">AT672-AT671</f>
        <v>0</v>
      </c>
      <c r="AV672" s="30" t="n">
        <f aca="false">MAX(AS672,0)*(Inputs!$B$17+Inputs!$B$18+Inputs!$B$19)+MAX(-AS672,0)*(O672+Inputs!$B$18+Inputs!$B$19)+IF(AND(K672=1,AP672&lt;&gt;0),(Inputs!$B$17+Inputs!$B$18+Inputs!$B$19)+(O672+Inputs!$B$18+Inputs!$B$19),0)+MAX(AU672,0)*(Inputs!$B$20+Inputs!$B$22+Inputs!$B$23)+MAX(-AU672,0)*(Inputs!$B$21+Inputs!$B$22+Inputs!$B$23)</f>
        <v>0</v>
      </c>
      <c r="AW672" s="30" t="n">
        <f aca="false">AP671*(M672-AR671*J672)+AP671*AR671*N672/Inputs!$B$16-AV672</f>
        <v>0.0005009752270082</v>
      </c>
      <c r="AX672" s="30" t="n">
        <f aca="false">AW672-IF(AP671&lt;&gt;0,0.75*AR671*(Inputs!$B$13-N672)/Inputs!$B$16,0)</f>
        <v>0.000233968265399039</v>
      </c>
      <c r="AY672" s="30" t="n">
        <f aca="false">MAX(AS672,0)*(Inputs!$B$17+Inputs!$B$18+Inputs!$B$19)+MAX(-AS672,0)*(O672+Inputs!$B$18+Inputs!$B$19)+IF(AND(K672=1,AP672&lt;&gt;0),(Inputs!$B$17+Inputs!$B$18+Inputs!$B$19)+(O672+Inputs!$B$18+Inputs!$B$19),0)</f>
        <v>0</v>
      </c>
      <c r="AZ672" s="30" t="n">
        <f aca="false">AP671*M672-AY672</f>
        <v>0.00189261650671213</v>
      </c>
      <c r="BA672" s="32" t="n">
        <f aca="false">BA671+AI672</f>
        <v>0.0120722748842608</v>
      </c>
      <c r="BB672" s="30" t="n">
        <f aca="false">MAX(BB671,BA672)</f>
        <v>0.0120722748842608</v>
      </c>
      <c r="BC672" s="32" t="n">
        <f aca="false">BA672-BB672</f>
        <v>0</v>
      </c>
      <c r="BD672" s="30" t="n">
        <f aca="false">A673-A672</f>
        <v>1</v>
      </c>
    </row>
    <row r="673" customFormat="false" ht="15" hidden="false" customHeight="false" outlineLevel="0" collapsed="false">
      <c r="A673" s="28" t="n">
        <v>46030</v>
      </c>
      <c r="B673" s="0" t="n">
        <v>25965.1</v>
      </c>
      <c r="C673" s="0" t="n">
        <v>293</v>
      </c>
      <c r="D673" s="29" t="n">
        <f aca="false">LN(B673)</f>
        <v>10.1645086076093</v>
      </c>
      <c r="E673" s="29" t="n">
        <f aca="false">LN(C673)</f>
        <v>5.68017260901707</v>
      </c>
      <c r="F673" s="0" t="n">
        <v>668</v>
      </c>
      <c r="G673" s="0" t="n">
        <v>19</v>
      </c>
      <c r="H673" s="29" t="n">
        <f aca="false">D673-E673</f>
        <v>4.48433599859228</v>
      </c>
      <c r="I673" s="29" t="n">
        <f aca="false">D673-D672</f>
        <v>-0.0103448802061283</v>
      </c>
      <c r="J673" s="29" t="n">
        <f aca="false">E673-E672</f>
        <v>-0.00934189384142847</v>
      </c>
      <c r="K673" s="0" t="n">
        <v>0</v>
      </c>
      <c r="L673" s="0" t="n">
        <v>0</v>
      </c>
      <c r="M673" s="29" t="n">
        <f aca="false">IF(L673=1,J673-Carry!$B$9/Inputs!$B$16,I673)</f>
        <v>-0.0103448802061283</v>
      </c>
      <c r="N673" s="0" t="n">
        <v>0.0525</v>
      </c>
      <c r="O673" s="0" t="n">
        <v>0.0002</v>
      </c>
      <c r="P673" s="29" t="n">
        <f aca="false">D673-('2 Hedge ratio'!$B$6+'2 Hedge ratio'!$B$5*E673)</f>
        <v>-0.00106959799964379</v>
      </c>
      <c r="Q673" s="29" t="n">
        <f aca="false">D673-('5 Re-specification'!$B$7+'5 Re-specification'!$B$5*E673+'5 Re-specification'!$B$6*F673)</f>
        <v>0.000361525345013547</v>
      </c>
      <c r="R673" s="30" t="n">
        <f aca="false">MIN(F673,Inputs!$B$9)</f>
        <v>250</v>
      </c>
      <c r="S673" s="29" t="n">
        <f aca="true">IF(AND(F673&gt;=1,R673&gt;=Inputs!$B$10),INDEX(LINEST(OFFSET(D673,-R673,0,R673,1),OFFSET(E673,-R673,0,R673,2)),1,1),"")</f>
        <v>-6.34581821587781E-005</v>
      </c>
      <c r="T673" s="29" t="n">
        <f aca="true">IF(AND(F673&gt;=1,R673&gt;=Inputs!$B$10),INDEX(LINEST(OFFSET(D673,-R673,0,R673,1),OFFSET(E673,-R673,0,R673,2)),1,2),"")</f>
        <v>1.02330800103961</v>
      </c>
      <c r="U673" s="29" t="n">
        <f aca="true">IF(AND(F673&gt;=1,R673&gt;=Inputs!$B$10),INDEX(LINEST(OFFSET(D673,-R673,0,R673,1),OFFSET(E673,-R673,0,R673,2)),1,3),"")</f>
        <v>4.39346982765384</v>
      </c>
      <c r="V673" s="29" t="n">
        <f aca="true">IF(AND(F673&gt;=1,R673&gt;=Inputs!$B$10),SQRT(SUMPRODUCT((OFFSET(D673,-R673,0,R673,1)-U673-T673*OFFSET(E673,-R673,0,R673,1)-S673*OFFSET(F673,-R673,0,R673,1))^2)/(R673-3)),"")</f>
        <v>0.00225527944326019</v>
      </c>
      <c r="W673" s="31" t="n">
        <f aca="false">IF(AND(F673&gt;=1,R673&gt;=Inputs!$B$10),(D673-U673-T673*E673-S673*F673)/V673,"")</f>
        <v>0.382554608445893</v>
      </c>
      <c r="X673" s="30" t="n">
        <f aca="false">IF(AB672&lt;&gt;0,AC672+1,0)</f>
        <v>6</v>
      </c>
      <c r="Y673" s="30" t="n">
        <f aca="false">IF(W673="",0,IF(AND(AB672&lt;&gt;0,OR(ABS(W673)&gt;Inputs!$B$7,X673&gt;=Inputs!$B$8,ABS(W673)&lt;Inputs!$B$6)),1,0))</f>
        <v>1</v>
      </c>
      <c r="Z673" s="30" t="n">
        <f aca="false">IF(Y673=1,0,AB672)</f>
        <v>0</v>
      </c>
      <c r="AA673" s="30" t="n">
        <f aca="false">IF(W673="",0,IF(AND(Z673=0,ABS(W673)&gt;Inputs!$B$5,ABS(W673)&lt;=Inputs!$B$7),1,0))</f>
        <v>0</v>
      </c>
      <c r="AB673" s="30" t="n">
        <f aca="false">IF(W673="",0,IF(AA673=1,-SIGN(W673),Z673))</f>
        <v>0</v>
      </c>
      <c r="AC673" s="30" t="n">
        <f aca="false">IF(W673="",0,IF(AA673=1,0,IF(Y673=1,0,X673)))</f>
        <v>0</v>
      </c>
      <c r="AD673" s="30" t="n">
        <f aca="false">IF(AB673=0,0,IF(AB672=AB673,AD672,T673))</f>
        <v>0</v>
      </c>
      <c r="AE673" s="30" t="n">
        <f aca="false">AB673-AB672</f>
        <v>1</v>
      </c>
      <c r="AF673" s="30" t="n">
        <f aca="false">-AD673*AB673</f>
        <v>-0</v>
      </c>
      <c r="AG673" s="30" t="n">
        <f aca="false">AF673-AF672</f>
        <v>-1.02530673257918</v>
      </c>
      <c r="AH673" s="30" t="n">
        <f aca="false">MAX(AE673,0)*(Inputs!$B$17+Inputs!$B$18+Inputs!$B$19)+MAX(-AE673,0)*(O673+Inputs!$B$18+Inputs!$B$19)+IF(AND(K673=1,AB673&lt;&gt;0),(Inputs!$B$17+Inputs!$B$18+Inputs!$B$19)+(O673+Inputs!$B$18+Inputs!$B$19),0)+MAX(AG673,0)*(Inputs!$B$20+Inputs!$B$22+Inputs!$B$23)+MAX(-AG673,0)*(Inputs!$B$21+Inputs!$B$22+Inputs!$B$23)</f>
        <v>0.000370314413841628</v>
      </c>
      <c r="AI673" s="30" t="n">
        <f aca="false">AB672*(M673-AD672*J673)+AB672*AD672*N673/Inputs!$B$16-AH673</f>
        <v>0.000182653572342789</v>
      </c>
      <c r="AJ673" s="30" t="n">
        <f aca="false">MAX(AE673,0)*(Inputs!$B$17+Inputs!$B$24+Inputs!$B$25)+MAX(-AE673,0)*(O673+Inputs!$B$24+Inputs!$B$25)+IF(AND(K673=1,AB673&lt;&gt;0),(Inputs!$B$17+Inputs!$B$24+Inputs!$B$25)+(O673+Inputs!$B$24+Inputs!$B$25),0)+MAX(AG673,0)*(Inputs!$B$20+Inputs!$B$26+Inputs!$B$27)+MAX(-AG673,0)*(Inputs!$B$21+Inputs!$B$26+Inputs!$B$27)</f>
        <v>0.000207910274246606</v>
      </c>
      <c r="AK673" s="30" t="n">
        <f aca="false">AB672*(M673-AD672*J673)+AB672*AD672*(N673+Inputs!$B$14)/Inputs!$B$16-AJ673</f>
        <v>0.00031454263061105</v>
      </c>
      <c r="AL673" s="30" t="n">
        <f aca="false">IF(AP672&lt;&gt;0,AQ672+1,0)</f>
        <v>6</v>
      </c>
      <c r="AM673" s="30" t="n">
        <f aca="false">IF(W673="",0,IF(AND(AP672&lt;&gt;0,OR(ABS(W673)&gt;Inputs!$B$7,AL673&gt;=Inputs!$B$8,ABS(W673)&lt;Inputs!$B$6)),1,0))</f>
        <v>1</v>
      </c>
      <c r="AN673" s="30" t="n">
        <f aca="false">IF(AM673=1,0,AP672)</f>
        <v>0</v>
      </c>
      <c r="AO673" s="30" t="n">
        <f aca="false">IF(W673="",0,IF(AND(AN673=0,ABS(W673)&gt;Inputs!$B$5,ABS(W673)&lt;=Inputs!$B$7,W673&gt;0),1,0))</f>
        <v>0</v>
      </c>
      <c r="AP673" s="30" t="n">
        <f aca="false">IF(W673="",0,IF(AO673=1,-SIGN(W673),AN673))</f>
        <v>0</v>
      </c>
      <c r="AQ673" s="30" t="n">
        <f aca="false">IF(W673="",0,IF(AO673=1,0,IF(AM673=1,0,AL673)))</f>
        <v>0</v>
      </c>
      <c r="AR673" s="30" t="n">
        <f aca="false">IF(AP673=0,0,IF(AP672=AP673,AR672,T673))</f>
        <v>0</v>
      </c>
      <c r="AS673" s="30" t="n">
        <f aca="false">AP673-AP672</f>
        <v>1</v>
      </c>
      <c r="AT673" s="30" t="n">
        <f aca="false">-AR673*AP673</f>
        <v>-0</v>
      </c>
      <c r="AU673" s="30" t="n">
        <f aca="false">AT673-AT672</f>
        <v>-1.02530673257918</v>
      </c>
      <c r="AV673" s="30" t="n">
        <f aca="false">MAX(AS673,0)*(Inputs!$B$17+Inputs!$B$18+Inputs!$B$19)+MAX(-AS673,0)*(O673+Inputs!$B$18+Inputs!$B$19)+IF(AND(K673=1,AP673&lt;&gt;0),(Inputs!$B$17+Inputs!$B$18+Inputs!$B$19)+(O673+Inputs!$B$18+Inputs!$B$19),0)+MAX(AU673,0)*(Inputs!$B$20+Inputs!$B$22+Inputs!$B$23)+MAX(-AU673,0)*(Inputs!$B$21+Inputs!$B$22+Inputs!$B$23)</f>
        <v>0.000370314413841628</v>
      </c>
      <c r="AW673" s="30" t="n">
        <f aca="false">AP672*(M673-AR672*J673)+AP672*AR672*N673/Inputs!$B$16-AV673</f>
        <v>0.000182653572342789</v>
      </c>
      <c r="AX673" s="30" t="n">
        <f aca="false">AW673-IF(AP672&lt;&gt;0,0.75*AR672*(Inputs!$B$13-N673)/Inputs!$B$16,0)</f>
        <v>-8.43533892663722E-005</v>
      </c>
      <c r="AY673" s="30" t="n">
        <f aca="false">MAX(AS673,0)*(Inputs!$B$17+Inputs!$B$18+Inputs!$B$19)+MAX(-AS673,0)*(O673+Inputs!$B$18+Inputs!$B$19)+IF(AND(K673=1,AP673&lt;&gt;0),(Inputs!$B$17+Inputs!$B$18+Inputs!$B$19)+(O673+Inputs!$B$18+Inputs!$B$19),0)</f>
        <v>0.000155</v>
      </c>
      <c r="AZ673" s="30" t="n">
        <f aca="false">AP672*M673-AY673</f>
        <v>0.0101898802061283</v>
      </c>
      <c r="BA673" s="32" t="n">
        <f aca="false">BA672+AI673</f>
        <v>0.0122549284566036</v>
      </c>
      <c r="BB673" s="30" t="n">
        <f aca="false">MAX(BB672,BA673)</f>
        <v>0.0122549284566036</v>
      </c>
      <c r="BC673" s="32" t="n">
        <f aca="false">BA673-BB673</f>
        <v>0</v>
      </c>
      <c r="BD673" s="30" t="n">
        <f aca="false">A674-A673</f>
        <v>1</v>
      </c>
    </row>
    <row r="674" customFormat="false" ht="15" hidden="false" customHeight="false" outlineLevel="0" collapsed="false">
      <c r="A674" s="28" t="n">
        <v>46031</v>
      </c>
      <c r="B674" s="0" t="n">
        <v>25814</v>
      </c>
      <c r="C674" s="0" t="n">
        <v>291.14</v>
      </c>
      <c r="D674" s="29" t="n">
        <f aca="false">LN(B674)</f>
        <v>10.1586722593951</v>
      </c>
      <c r="E674" s="29" t="n">
        <f aca="false">LN(C674)</f>
        <v>5.67380425113652</v>
      </c>
      <c r="F674" s="0" t="n">
        <v>669</v>
      </c>
      <c r="G674" s="0" t="n">
        <v>18</v>
      </c>
      <c r="H674" s="29" t="n">
        <f aca="false">D674-E674</f>
        <v>4.48486800825862</v>
      </c>
      <c r="I674" s="29" t="n">
        <f aca="false">D674-D673</f>
        <v>-0.00583634821421164</v>
      </c>
      <c r="J674" s="29" t="n">
        <f aca="false">E674-E673</f>
        <v>-0.0063683578805529</v>
      </c>
      <c r="K674" s="0" t="n">
        <v>0</v>
      </c>
      <c r="L674" s="0" t="n">
        <v>0</v>
      </c>
      <c r="M674" s="29" t="n">
        <f aca="false">IF(L674=1,J674-Carry!$B$9/Inputs!$B$16,I674)</f>
        <v>-0.00583634821421164</v>
      </c>
      <c r="N674" s="0" t="n">
        <v>0.0525</v>
      </c>
      <c r="O674" s="0" t="n">
        <v>0.0002</v>
      </c>
      <c r="P674" s="29" t="n">
        <f aca="false">D674-('2 Hedge ratio'!$B$6+'2 Hedge ratio'!$B$5*E674)</f>
        <v>-0.00107172314702098</v>
      </c>
      <c r="Q674" s="29" t="n">
        <f aca="false">D674-('5 Re-specification'!$B$7+'5 Re-specification'!$B$5*E674+'5 Re-specification'!$B$6*F674)</f>
        <v>0.000919165020759394</v>
      </c>
      <c r="R674" s="30" t="n">
        <f aca="false">MIN(F674,Inputs!$B$9)</f>
        <v>250</v>
      </c>
      <c r="S674" s="29" t="n">
        <f aca="true">IF(AND(F674&gt;=1,R674&gt;=Inputs!$B$10),INDEX(LINEST(OFFSET(D674,-R674,0,R674,1),OFFSET(E674,-R674,0,R674,2)),1,1),"")</f>
        <v>-6.39472794834312E-005</v>
      </c>
      <c r="T674" s="29" t="n">
        <f aca="true">IF(AND(F674&gt;=1,R674&gt;=Inputs!$B$10),INDEX(LINEST(OFFSET(D674,-R674,0,R674,1),OFFSET(E674,-R674,0,R674,2)),1,2),"")</f>
        <v>1.02389004790162</v>
      </c>
      <c r="U674" s="29" t="n">
        <f aca="true">IF(AND(F674&gt;=1,R674&gt;=Inputs!$B$10),INDEX(LINEST(OFFSET(D674,-R674,0,R674,1),OFFSET(E674,-R674,0,R674,2)),1,3),"")</f>
        <v>4.39047491079987</v>
      </c>
      <c r="V674" s="29" t="n">
        <f aca="true">IF(AND(F674&gt;=1,R674&gt;=Inputs!$B$10),SQRT(SUMPRODUCT((OFFSET(D674,-R674,0,R674,1)-U674-T674*OFFSET(E674,-R674,0,R674,1)-S674*OFFSET(F674,-R674,0,R674,1))^2)/(R674-3)),"")</f>
        <v>0.00225146821026587</v>
      </c>
      <c r="W674" s="31" t="n">
        <f aca="false">IF(AND(F674&gt;=1,R674&gt;=Inputs!$B$10),(D674-U674-T674*E674-S674*F674)/V674,"")</f>
        <v>0.722360671876688</v>
      </c>
      <c r="X674" s="30" t="n">
        <f aca="false">IF(AB673&lt;&gt;0,AC673+1,0)</f>
        <v>0</v>
      </c>
      <c r="Y674" s="30" t="n">
        <f aca="false">IF(W674="",0,IF(AND(AB673&lt;&gt;0,OR(ABS(W674)&gt;Inputs!$B$7,X674&gt;=Inputs!$B$8,ABS(W674)&lt;Inputs!$B$6)),1,0))</f>
        <v>0</v>
      </c>
      <c r="Z674" s="30" t="n">
        <f aca="false">IF(Y674=1,0,AB673)</f>
        <v>0</v>
      </c>
      <c r="AA674" s="30" t="n">
        <f aca="false">IF(W674="",0,IF(AND(Z674=0,ABS(W674)&gt;Inputs!$B$5,ABS(W674)&lt;=Inputs!$B$7),1,0))</f>
        <v>0</v>
      </c>
      <c r="AB674" s="30" t="n">
        <f aca="false">IF(W674="",0,IF(AA674=1,-SIGN(W674),Z674))</f>
        <v>0</v>
      </c>
      <c r="AC674" s="30" t="n">
        <f aca="false">IF(W674="",0,IF(AA674=1,0,IF(Y674=1,0,X674)))</f>
        <v>0</v>
      </c>
      <c r="AD674" s="30" t="n">
        <f aca="false">IF(AB674=0,0,IF(AB673=AB674,AD673,T674))</f>
        <v>0</v>
      </c>
      <c r="AE674" s="30" t="n">
        <f aca="false">AB674-AB673</f>
        <v>0</v>
      </c>
      <c r="AF674" s="30" t="n">
        <f aca="false">-AD674*AB674</f>
        <v>-0</v>
      </c>
      <c r="AG674" s="30" t="n">
        <f aca="false">AF674-AF673</f>
        <v>0</v>
      </c>
      <c r="AH674" s="30" t="n">
        <f aca="false">MAX(AE674,0)*(Inputs!$B$17+Inputs!$B$18+Inputs!$B$19)+MAX(-AE674,0)*(O674+Inputs!$B$18+Inputs!$B$19)+IF(AND(K674=1,AB674&lt;&gt;0),(Inputs!$B$17+Inputs!$B$18+Inputs!$B$19)+(O674+Inputs!$B$18+Inputs!$B$19),0)+MAX(AG674,0)*(Inputs!$B$20+Inputs!$B$22+Inputs!$B$23)+MAX(-AG674,0)*(Inputs!$B$21+Inputs!$B$22+Inputs!$B$23)</f>
        <v>0</v>
      </c>
      <c r="AI674" s="30" t="n">
        <f aca="false">AB673*(M674-AD673*J674)+AB673*AD673*N674/Inputs!$B$16-AH674</f>
        <v>0</v>
      </c>
      <c r="AJ674" s="30" t="n">
        <f aca="false">MAX(AE674,0)*(Inputs!$B$17+Inputs!$B$24+Inputs!$B$25)+MAX(-AE674,0)*(O674+Inputs!$B$24+Inputs!$B$25)+IF(AND(K674=1,AB674&lt;&gt;0),(Inputs!$B$17+Inputs!$B$24+Inputs!$B$25)+(O674+Inputs!$B$24+Inputs!$B$25),0)+MAX(AG674,0)*(Inputs!$B$20+Inputs!$B$26+Inputs!$B$27)+MAX(-AG674,0)*(Inputs!$B$21+Inputs!$B$26+Inputs!$B$27)</f>
        <v>0</v>
      </c>
      <c r="AK674" s="30" t="n">
        <f aca="false">AB673*(M674-AD673*J674)+AB673*AD673*(N674+Inputs!$B$14)/Inputs!$B$16-AJ674</f>
        <v>0</v>
      </c>
      <c r="AL674" s="30" t="n">
        <f aca="false">IF(AP673&lt;&gt;0,AQ673+1,0)</f>
        <v>0</v>
      </c>
      <c r="AM674" s="30" t="n">
        <f aca="false">IF(W674="",0,IF(AND(AP673&lt;&gt;0,OR(ABS(W674)&gt;Inputs!$B$7,AL674&gt;=Inputs!$B$8,ABS(W674)&lt;Inputs!$B$6)),1,0))</f>
        <v>0</v>
      </c>
      <c r="AN674" s="30" t="n">
        <f aca="false">IF(AM674=1,0,AP673)</f>
        <v>0</v>
      </c>
      <c r="AO674" s="30" t="n">
        <f aca="false">IF(W674="",0,IF(AND(AN674=0,ABS(W674)&gt;Inputs!$B$5,ABS(W674)&lt;=Inputs!$B$7,W674&gt;0),1,0))</f>
        <v>0</v>
      </c>
      <c r="AP674" s="30" t="n">
        <f aca="false">IF(W674="",0,IF(AO674=1,-SIGN(W674),AN674))</f>
        <v>0</v>
      </c>
      <c r="AQ674" s="30" t="n">
        <f aca="false">IF(W674="",0,IF(AO674=1,0,IF(AM674=1,0,AL674)))</f>
        <v>0</v>
      </c>
      <c r="AR674" s="30" t="n">
        <f aca="false">IF(AP674=0,0,IF(AP673=AP674,AR673,T674))</f>
        <v>0</v>
      </c>
      <c r="AS674" s="30" t="n">
        <f aca="false">AP674-AP673</f>
        <v>0</v>
      </c>
      <c r="AT674" s="30" t="n">
        <f aca="false">-AR674*AP674</f>
        <v>-0</v>
      </c>
      <c r="AU674" s="30" t="n">
        <f aca="false">AT674-AT673</f>
        <v>0</v>
      </c>
      <c r="AV674" s="30" t="n">
        <f aca="false">MAX(AS674,0)*(Inputs!$B$17+Inputs!$B$18+Inputs!$B$19)+MAX(-AS674,0)*(O674+Inputs!$B$18+Inputs!$B$19)+IF(AND(K674=1,AP674&lt;&gt;0),(Inputs!$B$17+Inputs!$B$18+Inputs!$B$19)+(O674+Inputs!$B$18+Inputs!$B$19),0)+MAX(AU674,0)*(Inputs!$B$20+Inputs!$B$22+Inputs!$B$23)+MAX(-AU674,0)*(Inputs!$B$21+Inputs!$B$22+Inputs!$B$23)</f>
        <v>0</v>
      </c>
      <c r="AW674" s="30" t="n">
        <f aca="false">AP673*(M674-AR673*J674)+AP673*AR673*N674/Inputs!$B$16-AV674</f>
        <v>0</v>
      </c>
      <c r="AX674" s="30" t="n">
        <f aca="false">AW674-IF(AP673&lt;&gt;0,0.75*AR673*(Inputs!$B$13-N674)/Inputs!$B$16,0)</f>
        <v>0</v>
      </c>
      <c r="AY674" s="30" t="n">
        <f aca="false">MAX(AS674,0)*(Inputs!$B$17+Inputs!$B$18+Inputs!$B$19)+MAX(-AS674,0)*(O674+Inputs!$B$18+Inputs!$B$19)+IF(AND(K674=1,AP674&lt;&gt;0),(Inputs!$B$17+Inputs!$B$18+Inputs!$B$19)+(O674+Inputs!$B$18+Inputs!$B$19),0)</f>
        <v>0</v>
      </c>
      <c r="AZ674" s="30" t="n">
        <f aca="false">AP673*M674-AY674</f>
        <v>-0</v>
      </c>
      <c r="BA674" s="32" t="n">
        <f aca="false">BA673+AI674</f>
        <v>0.0122549284566036</v>
      </c>
      <c r="BB674" s="30" t="n">
        <f aca="false">MAX(BB673,BA674)</f>
        <v>0.0122549284566036</v>
      </c>
      <c r="BC674" s="32" t="n">
        <f aca="false">BA674-BB674</f>
        <v>0</v>
      </c>
      <c r="BD674" s="30" t="n">
        <f aca="false">A675-A674</f>
        <v>3</v>
      </c>
    </row>
    <row r="675" customFormat="false" ht="15" hidden="false" customHeight="false" outlineLevel="0" collapsed="false">
      <c r="A675" s="28" t="n">
        <v>46034</v>
      </c>
      <c r="B675" s="0" t="n">
        <v>25878</v>
      </c>
      <c r="C675" s="0" t="n">
        <v>292</v>
      </c>
      <c r="D675" s="29" t="n">
        <f aca="false">LN(B675)</f>
        <v>10.1611484658759</v>
      </c>
      <c r="E675" s="29" t="n">
        <f aca="false">LN(C675)</f>
        <v>5.67675380226828</v>
      </c>
      <c r="F675" s="0" t="n">
        <v>670</v>
      </c>
      <c r="G675" s="0" t="n">
        <v>15</v>
      </c>
      <c r="H675" s="29" t="n">
        <f aca="false">D675-E675</f>
        <v>4.48439466360762</v>
      </c>
      <c r="I675" s="29" t="n">
        <f aca="false">D675-D674</f>
        <v>0.00247620648076641</v>
      </c>
      <c r="J675" s="29" t="n">
        <f aca="false">E675-E674</f>
        <v>0.00294955113176698</v>
      </c>
      <c r="K675" s="0" t="n">
        <v>0</v>
      </c>
      <c r="L675" s="0" t="n">
        <v>0</v>
      </c>
      <c r="M675" s="29" t="n">
        <f aca="false">IF(L675=1,J675-Carry!$B$9/Inputs!$B$16,I675)</f>
        <v>0.00247620648076641</v>
      </c>
      <c r="N675" s="0" t="n">
        <v>0.0525</v>
      </c>
      <c r="O675" s="0" t="n">
        <v>0.0002</v>
      </c>
      <c r="P675" s="29" t="n">
        <f aca="false">D675-('2 Hedge ratio'!$B$6+'2 Hedge ratio'!$B$5*E675)</f>
        <v>-0.00129767938583392</v>
      </c>
      <c r="Q675" s="29" t="n">
        <f aca="false">D675-('5 Re-specification'!$B$7+'5 Re-specification'!$B$5*E675+'5 Re-specification'!$B$6*F675)</f>
        <v>0.000499688302623369</v>
      </c>
      <c r="R675" s="30" t="n">
        <f aca="false">MIN(F675,Inputs!$B$9)</f>
        <v>250</v>
      </c>
      <c r="S675" s="29" t="n">
        <f aca="true">IF(AND(F675&gt;=1,R675&gt;=Inputs!$B$10),INDEX(LINEST(OFFSET(D675,-R675,0,R675,1),OFFSET(E675,-R675,0,R675,2)),1,1),"")</f>
        <v>-6.35749279026142E-005</v>
      </c>
      <c r="T675" s="29" t="n">
        <f aca="true">IF(AND(F675&gt;=1,R675&gt;=Inputs!$B$10),INDEX(LINEST(OFFSET(D675,-R675,0,R675,1),OFFSET(E675,-R675,0,R675,2)),1,2),"")</f>
        <v>1.02352032887444</v>
      </c>
      <c r="U675" s="29" t="n">
        <f aca="true">IF(AND(F675&gt;=1,R675&gt;=Inputs!$B$10),INDEX(LINEST(OFFSET(D675,-R675,0,R675,1),OFFSET(E675,-R675,0,R675,2)),1,3),"")</f>
        <v>4.39235831939596</v>
      </c>
      <c r="V675" s="29" t="n">
        <f aca="true">IF(AND(F675&gt;=1,R675&gt;=Inputs!$B$10),SQRT(SUMPRODUCT((OFFSET(D675,-R675,0,R675,1)-U675-T675*OFFSET(E675,-R675,0,R675,1)-S675*OFFSET(F675,-R675,0,R675,1))^2)/(R675-3)),"")</f>
        <v>0.00225378488992201</v>
      </c>
      <c r="W675" s="31" t="n">
        <f aca="false">IF(AND(F675&gt;=1,R675&gt;=Inputs!$B$10),(D675-U675-T675*E675-S675*F675)/V675,"")</f>
        <v>0.493582836054065</v>
      </c>
      <c r="X675" s="30" t="n">
        <f aca="false">IF(AB674&lt;&gt;0,AC674+1,0)</f>
        <v>0</v>
      </c>
      <c r="Y675" s="30" t="n">
        <f aca="false">IF(W675="",0,IF(AND(AB674&lt;&gt;0,OR(ABS(W675)&gt;Inputs!$B$7,X675&gt;=Inputs!$B$8,ABS(W675)&lt;Inputs!$B$6)),1,0))</f>
        <v>0</v>
      </c>
      <c r="Z675" s="30" t="n">
        <f aca="false">IF(Y675=1,0,AB674)</f>
        <v>0</v>
      </c>
      <c r="AA675" s="30" t="n">
        <f aca="false">IF(W675="",0,IF(AND(Z675=0,ABS(W675)&gt;Inputs!$B$5,ABS(W675)&lt;=Inputs!$B$7),1,0))</f>
        <v>0</v>
      </c>
      <c r="AB675" s="30" t="n">
        <f aca="false">IF(W675="",0,IF(AA675=1,-SIGN(W675),Z675))</f>
        <v>0</v>
      </c>
      <c r="AC675" s="30" t="n">
        <f aca="false">IF(W675="",0,IF(AA675=1,0,IF(Y675=1,0,X675)))</f>
        <v>0</v>
      </c>
      <c r="AD675" s="30" t="n">
        <f aca="false">IF(AB675=0,0,IF(AB674=AB675,AD674,T675))</f>
        <v>0</v>
      </c>
      <c r="AE675" s="30" t="n">
        <f aca="false">AB675-AB674</f>
        <v>0</v>
      </c>
      <c r="AF675" s="30" t="n">
        <f aca="false">-AD675*AB675</f>
        <v>-0</v>
      </c>
      <c r="AG675" s="30" t="n">
        <f aca="false">AF675-AF674</f>
        <v>0</v>
      </c>
      <c r="AH675" s="30" t="n">
        <f aca="false">MAX(AE675,0)*(Inputs!$B$17+Inputs!$B$18+Inputs!$B$19)+MAX(-AE675,0)*(O675+Inputs!$B$18+Inputs!$B$19)+IF(AND(K675=1,AB675&lt;&gt;0),(Inputs!$B$17+Inputs!$B$18+Inputs!$B$19)+(O675+Inputs!$B$18+Inputs!$B$19),0)+MAX(AG675,0)*(Inputs!$B$20+Inputs!$B$22+Inputs!$B$23)+MAX(-AG675,0)*(Inputs!$B$21+Inputs!$B$22+Inputs!$B$23)</f>
        <v>0</v>
      </c>
      <c r="AI675" s="30" t="n">
        <f aca="false">AB674*(M675-AD674*J675)+AB674*AD674*N675/Inputs!$B$16-AH675</f>
        <v>0</v>
      </c>
      <c r="AJ675" s="30" t="n">
        <f aca="false">MAX(AE675,0)*(Inputs!$B$17+Inputs!$B$24+Inputs!$B$25)+MAX(-AE675,0)*(O675+Inputs!$B$24+Inputs!$B$25)+IF(AND(K675=1,AB675&lt;&gt;0),(Inputs!$B$17+Inputs!$B$24+Inputs!$B$25)+(O675+Inputs!$B$24+Inputs!$B$25),0)+MAX(AG675,0)*(Inputs!$B$20+Inputs!$B$26+Inputs!$B$27)+MAX(-AG675,0)*(Inputs!$B$21+Inputs!$B$26+Inputs!$B$27)</f>
        <v>0</v>
      </c>
      <c r="AK675" s="30" t="n">
        <f aca="false">AB674*(M675-AD674*J675)+AB674*AD674*(N675+Inputs!$B$14)/Inputs!$B$16-AJ675</f>
        <v>0</v>
      </c>
      <c r="AL675" s="30" t="n">
        <f aca="false">IF(AP674&lt;&gt;0,AQ674+1,0)</f>
        <v>0</v>
      </c>
      <c r="AM675" s="30" t="n">
        <f aca="false">IF(W675="",0,IF(AND(AP674&lt;&gt;0,OR(ABS(W675)&gt;Inputs!$B$7,AL675&gt;=Inputs!$B$8,ABS(W675)&lt;Inputs!$B$6)),1,0))</f>
        <v>0</v>
      </c>
      <c r="AN675" s="30" t="n">
        <f aca="false">IF(AM675=1,0,AP674)</f>
        <v>0</v>
      </c>
      <c r="AO675" s="30" t="n">
        <f aca="false">IF(W675="",0,IF(AND(AN675=0,ABS(W675)&gt;Inputs!$B$5,ABS(W675)&lt;=Inputs!$B$7,W675&gt;0),1,0))</f>
        <v>0</v>
      </c>
      <c r="AP675" s="30" t="n">
        <f aca="false">IF(W675="",0,IF(AO675=1,-SIGN(W675),AN675))</f>
        <v>0</v>
      </c>
      <c r="AQ675" s="30" t="n">
        <f aca="false">IF(W675="",0,IF(AO675=1,0,IF(AM675=1,0,AL675)))</f>
        <v>0</v>
      </c>
      <c r="AR675" s="30" t="n">
        <f aca="false">IF(AP675=0,0,IF(AP674=AP675,AR674,T675))</f>
        <v>0</v>
      </c>
      <c r="AS675" s="30" t="n">
        <f aca="false">AP675-AP674</f>
        <v>0</v>
      </c>
      <c r="AT675" s="30" t="n">
        <f aca="false">-AR675*AP675</f>
        <v>-0</v>
      </c>
      <c r="AU675" s="30" t="n">
        <f aca="false">AT675-AT674</f>
        <v>0</v>
      </c>
      <c r="AV675" s="30" t="n">
        <f aca="false">MAX(AS675,0)*(Inputs!$B$17+Inputs!$B$18+Inputs!$B$19)+MAX(-AS675,0)*(O675+Inputs!$B$18+Inputs!$B$19)+IF(AND(K675=1,AP675&lt;&gt;0),(Inputs!$B$17+Inputs!$B$18+Inputs!$B$19)+(O675+Inputs!$B$18+Inputs!$B$19),0)+MAX(AU675,0)*(Inputs!$B$20+Inputs!$B$22+Inputs!$B$23)+MAX(-AU675,0)*(Inputs!$B$21+Inputs!$B$22+Inputs!$B$23)</f>
        <v>0</v>
      </c>
      <c r="AW675" s="30" t="n">
        <f aca="false">AP674*(M675-AR674*J675)+AP674*AR674*N675/Inputs!$B$16-AV675</f>
        <v>0</v>
      </c>
      <c r="AX675" s="30" t="n">
        <f aca="false">AW675-IF(AP674&lt;&gt;0,0.75*AR674*(Inputs!$B$13-N675)/Inputs!$B$16,0)</f>
        <v>0</v>
      </c>
      <c r="AY675" s="30" t="n">
        <f aca="false">MAX(AS675,0)*(Inputs!$B$17+Inputs!$B$18+Inputs!$B$19)+MAX(-AS675,0)*(O675+Inputs!$B$18+Inputs!$B$19)+IF(AND(K675=1,AP675&lt;&gt;0),(Inputs!$B$17+Inputs!$B$18+Inputs!$B$19)+(O675+Inputs!$B$18+Inputs!$B$19),0)</f>
        <v>0</v>
      </c>
      <c r="AZ675" s="30" t="n">
        <f aca="false">AP674*M675-AY675</f>
        <v>0</v>
      </c>
      <c r="BA675" s="32" t="n">
        <f aca="false">BA674+AI675</f>
        <v>0.0122549284566036</v>
      </c>
      <c r="BB675" s="30" t="n">
        <f aca="false">MAX(BB674,BA675)</f>
        <v>0.0122549284566036</v>
      </c>
      <c r="BC675" s="32" t="n">
        <f aca="false">BA675-BB675</f>
        <v>0</v>
      </c>
      <c r="BD675" s="30" t="n">
        <f aca="false">A676-A675</f>
        <v>1</v>
      </c>
    </row>
    <row r="676" customFormat="false" ht="15" hidden="false" customHeight="false" outlineLevel="0" collapsed="false">
      <c r="A676" s="28" t="n">
        <v>46035</v>
      </c>
      <c r="B676" s="0" t="n">
        <v>25780</v>
      </c>
      <c r="C676" s="0" t="n">
        <v>291.24</v>
      </c>
      <c r="D676" s="29" t="n">
        <f aca="false">LN(B676)</f>
        <v>10.1573542764932</v>
      </c>
      <c r="E676" s="29" t="n">
        <f aca="false">LN(C676)</f>
        <v>5.67414766952651</v>
      </c>
      <c r="F676" s="0" t="n">
        <v>671</v>
      </c>
      <c r="G676" s="0" t="n">
        <v>14</v>
      </c>
      <c r="H676" s="29" t="n">
        <f aca="false">D676-E676</f>
        <v>4.48320660696667</v>
      </c>
      <c r="I676" s="29" t="n">
        <f aca="false">D676-D675</f>
        <v>-0.00379418938272025</v>
      </c>
      <c r="J676" s="29" t="n">
        <f aca="false">E676-E675</f>
        <v>-0.00260613274177146</v>
      </c>
      <c r="K676" s="0" t="n">
        <v>0</v>
      </c>
      <c r="L676" s="0" t="n">
        <v>0</v>
      </c>
      <c r="M676" s="29" t="n">
        <f aca="false">IF(L676=1,J676-Carry!$B$9/Inputs!$B$16,I676)</f>
        <v>-0.00379418938272025</v>
      </c>
      <c r="N676" s="0" t="n">
        <v>0.0525</v>
      </c>
      <c r="O676" s="0" t="n">
        <v>0.0002</v>
      </c>
      <c r="P676" s="29" t="n">
        <f aca="false">D676-('2 Hedge ratio'!$B$6+'2 Hedge ratio'!$B$5*E676)</f>
        <v>-0.00270432082566607</v>
      </c>
      <c r="Q676" s="29" t="n">
        <f aca="false">D676-('5 Re-specification'!$B$7+'5 Re-specification'!$B$5*E676+'5 Re-specification'!$B$6*F676)</f>
        <v>-0.000651336905557187</v>
      </c>
      <c r="R676" s="30" t="n">
        <f aca="false">MIN(F676,Inputs!$B$9)</f>
        <v>250</v>
      </c>
      <c r="S676" s="29" t="n">
        <f aca="true">IF(AND(F676&gt;=1,R676&gt;=Inputs!$B$10),INDEX(LINEST(OFFSET(D676,-R676,0,R676,1),OFFSET(E676,-R676,0,R676,2)),1,1),"")</f>
        <v>-6.30631523574169E-005</v>
      </c>
      <c r="T676" s="29" t="n">
        <f aca="true">IF(AND(F676&gt;=1,R676&gt;=Inputs!$B$10),INDEX(LINEST(OFFSET(D676,-R676,0,R676,1),OFFSET(E676,-R676,0,R676,2)),1,2),"")</f>
        <v>1.02301661825335</v>
      </c>
      <c r="U676" s="29" t="n">
        <f aca="true">IF(AND(F676&gt;=1,R676&gt;=Inputs!$B$10),INDEX(LINEST(OFFSET(D676,-R676,0,R676,1),OFFSET(E676,-R676,0,R676,2)),1,3),"")</f>
        <v>4.39491258800831</v>
      </c>
      <c r="V676" s="29" t="n">
        <f aca="true">IF(AND(F676&gt;=1,R676&gt;=Inputs!$B$10),SQRT(SUMPRODUCT((OFFSET(D676,-R676,0,R676,1)-U676-T676*OFFSET(E676,-R676,0,R676,1)-S676*OFFSET(F676,-R676,0,R676,1))^2)/(R676-3)),"")</f>
        <v>0.002253956760154</v>
      </c>
      <c r="W676" s="31" t="n">
        <f aca="false">IF(AND(F676&gt;=1,R676&gt;=Inputs!$B$10),(D676-U676-T676*E676-S676*F676)/V676,"")</f>
        <v>0.0043050371414096</v>
      </c>
      <c r="X676" s="30" t="n">
        <f aca="false">IF(AB675&lt;&gt;0,AC675+1,0)</f>
        <v>0</v>
      </c>
      <c r="Y676" s="30" t="n">
        <f aca="false">IF(W676="",0,IF(AND(AB675&lt;&gt;0,OR(ABS(W676)&gt;Inputs!$B$7,X676&gt;=Inputs!$B$8,ABS(W676)&lt;Inputs!$B$6)),1,0))</f>
        <v>0</v>
      </c>
      <c r="Z676" s="30" t="n">
        <f aca="false">IF(Y676=1,0,AB675)</f>
        <v>0</v>
      </c>
      <c r="AA676" s="30" t="n">
        <f aca="false">IF(W676="",0,IF(AND(Z676=0,ABS(W676)&gt;Inputs!$B$5,ABS(W676)&lt;=Inputs!$B$7),1,0))</f>
        <v>0</v>
      </c>
      <c r="AB676" s="30" t="n">
        <f aca="false">IF(W676="",0,IF(AA676=1,-SIGN(W676),Z676))</f>
        <v>0</v>
      </c>
      <c r="AC676" s="30" t="n">
        <f aca="false">IF(W676="",0,IF(AA676=1,0,IF(Y676=1,0,X676)))</f>
        <v>0</v>
      </c>
      <c r="AD676" s="30" t="n">
        <f aca="false">IF(AB676=0,0,IF(AB675=AB676,AD675,T676))</f>
        <v>0</v>
      </c>
      <c r="AE676" s="30" t="n">
        <f aca="false">AB676-AB675</f>
        <v>0</v>
      </c>
      <c r="AF676" s="30" t="n">
        <f aca="false">-AD676*AB676</f>
        <v>-0</v>
      </c>
      <c r="AG676" s="30" t="n">
        <f aca="false">AF676-AF675</f>
        <v>0</v>
      </c>
      <c r="AH676" s="30" t="n">
        <f aca="false">MAX(AE676,0)*(Inputs!$B$17+Inputs!$B$18+Inputs!$B$19)+MAX(-AE676,0)*(O676+Inputs!$B$18+Inputs!$B$19)+IF(AND(K676=1,AB676&lt;&gt;0),(Inputs!$B$17+Inputs!$B$18+Inputs!$B$19)+(O676+Inputs!$B$18+Inputs!$B$19),0)+MAX(AG676,0)*(Inputs!$B$20+Inputs!$B$22+Inputs!$B$23)+MAX(-AG676,0)*(Inputs!$B$21+Inputs!$B$22+Inputs!$B$23)</f>
        <v>0</v>
      </c>
      <c r="AI676" s="30" t="n">
        <f aca="false">AB675*(M676-AD675*J676)+AB675*AD675*N676/Inputs!$B$16-AH676</f>
        <v>0</v>
      </c>
      <c r="AJ676" s="30" t="n">
        <f aca="false">MAX(AE676,0)*(Inputs!$B$17+Inputs!$B$24+Inputs!$B$25)+MAX(-AE676,0)*(O676+Inputs!$B$24+Inputs!$B$25)+IF(AND(K676=1,AB676&lt;&gt;0),(Inputs!$B$17+Inputs!$B$24+Inputs!$B$25)+(O676+Inputs!$B$24+Inputs!$B$25),0)+MAX(AG676,0)*(Inputs!$B$20+Inputs!$B$26+Inputs!$B$27)+MAX(-AG676,0)*(Inputs!$B$21+Inputs!$B$26+Inputs!$B$27)</f>
        <v>0</v>
      </c>
      <c r="AK676" s="30" t="n">
        <f aca="false">AB675*(M676-AD675*J676)+AB675*AD675*(N676+Inputs!$B$14)/Inputs!$B$16-AJ676</f>
        <v>0</v>
      </c>
      <c r="AL676" s="30" t="n">
        <f aca="false">IF(AP675&lt;&gt;0,AQ675+1,0)</f>
        <v>0</v>
      </c>
      <c r="AM676" s="30" t="n">
        <f aca="false">IF(W676="",0,IF(AND(AP675&lt;&gt;0,OR(ABS(W676)&gt;Inputs!$B$7,AL676&gt;=Inputs!$B$8,ABS(W676)&lt;Inputs!$B$6)),1,0))</f>
        <v>0</v>
      </c>
      <c r="AN676" s="30" t="n">
        <f aca="false">IF(AM676=1,0,AP675)</f>
        <v>0</v>
      </c>
      <c r="AO676" s="30" t="n">
        <f aca="false">IF(W676="",0,IF(AND(AN676=0,ABS(W676)&gt;Inputs!$B$5,ABS(W676)&lt;=Inputs!$B$7,W676&gt;0),1,0))</f>
        <v>0</v>
      </c>
      <c r="AP676" s="30" t="n">
        <f aca="false">IF(W676="",0,IF(AO676=1,-SIGN(W676),AN676))</f>
        <v>0</v>
      </c>
      <c r="AQ676" s="30" t="n">
        <f aca="false">IF(W676="",0,IF(AO676=1,0,IF(AM676=1,0,AL676)))</f>
        <v>0</v>
      </c>
      <c r="AR676" s="30" t="n">
        <f aca="false">IF(AP676=0,0,IF(AP675=AP676,AR675,T676))</f>
        <v>0</v>
      </c>
      <c r="AS676" s="30" t="n">
        <f aca="false">AP676-AP675</f>
        <v>0</v>
      </c>
      <c r="AT676" s="30" t="n">
        <f aca="false">-AR676*AP676</f>
        <v>-0</v>
      </c>
      <c r="AU676" s="30" t="n">
        <f aca="false">AT676-AT675</f>
        <v>0</v>
      </c>
      <c r="AV676" s="30" t="n">
        <f aca="false">MAX(AS676,0)*(Inputs!$B$17+Inputs!$B$18+Inputs!$B$19)+MAX(-AS676,0)*(O676+Inputs!$B$18+Inputs!$B$19)+IF(AND(K676=1,AP676&lt;&gt;0),(Inputs!$B$17+Inputs!$B$18+Inputs!$B$19)+(O676+Inputs!$B$18+Inputs!$B$19),0)+MAX(AU676,0)*(Inputs!$B$20+Inputs!$B$22+Inputs!$B$23)+MAX(-AU676,0)*(Inputs!$B$21+Inputs!$B$22+Inputs!$B$23)</f>
        <v>0</v>
      </c>
      <c r="AW676" s="30" t="n">
        <f aca="false">AP675*(M676-AR675*J676)+AP675*AR675*N676/Inputs!$B$16-AV676</f>
        <v>0</v>
      </c>
      <c r="AX676" s="30" t="n">
        <f aca="false">AW676-IF(AP675&lt;&gt;0,0.75*AR675*(Inputs!$B$13-N676)/Inputs!$B$16,0)</f>
        <v>0</v>
      </c>
      <c r="AY676" s="30" t="n">
        <f aca="false">MAX(AS676,0)*(Inputs!$B$17+Inputs!$B$18+Inputs!$B$19)+MAX(-AS676,0)*(O676+Inputs!$B$18+Inputs!$B$19)+IF(AND(K676=1,AP676&lt;&gt;0),(Inputs!$B$17+Inputs!$B$18+Inputs!$B$19)+(O676+Inputs!$B$18+Inputs!$B$19),0)</f>
        <v>0</v>
      </c>
      <c r="AZ676" s="30" t="n">
        <f aca="false">AP675*M676-AY676</f>
        <v>-0</v>
      </c>
      <c r="BA676" s="32" t="n">
        <f aca="false">BA675+AI676</f>
        <v>0.0122549284566036</v>
      </c>
      <c r="BB676" s="30" t="n">
        <f aca="false">MAX(BB675,BA676)</f>
        <v>0.0122549284566036</v>
      </c>
      <c r="BC676" s="32" t="n">
        <f aca="false">BA676-BB676</f>
        <v>0</v>
      </c>
      <c r="BD676" s="30" t="n">
        <f aca="false">A677-A676</f>
        <v>1</v>
      </c>
    </row>
    <row r="677" customFormat="false" ht="15" hidden="false" customHeight="false" outlineLevel="0" collapsed="false">
      <c r="A677" s="28" t="n">
        <v>46036</v>
      </c>
      <c r="B677" s="0" t="n">
        <v>25725.3</v>
      </c>
      <c r="C677" s="0" t="n">
        <v>291.1</v>
      </c>
      <c r="D677" s="29" t="n">
        <f aca="false">LN(B677)</f>
        <v>10.1552302224418</v>
      </c>
      <c r="E677" s="29" t="n">
        <f aca="false">LN(C677)</f>
        <v>5.67366685075158</v>
      </c>
      <c r="F677" s="0" t="n">
        <v>672</v>
      </c>
      <c r="G677" s="0" t="n">
        <v>13</v>
      </c>
      <c r="H677" s="29" t="n">
        <f aca="false">D677-E677</f>
        <v>4.48156337169025</v>
      </c>
      <c r="I677" s="29" t="n">
        <f aca="false">D677-D676</f>
        <v>-0.00212405405134675</v>
      </c>
      <c r="J677" s="29" t="n">
        <f aca="false">E677-E676</f>
        <v>-0.000480818774932779</v>
      </c>
      <c r="K677" s="0" t="n">
        <v>0</v>
      </c>
      <c r="L677" s="0" t="n">
        <v>0</v>
      </c>
      <c r="M677" s="29" t="n">
        <f aca="false">IF(L677=1,J677-Carry!$B$9/Inputs!$B$16,I677)</f>
        <v>-0.00212405405134675</v>
      </c>
      <c r="N677" s="0" t="n">
        <v>0.0525</v>
      </c>
      <c r="O677" s="0" t="n">
        <v>0.0002</v>
      </c>
      <c r="P677" s="29" t="n">
        <f aca="false">D677-('2 Hedge ratio'!$B$6+'2 Hedge ratio'!$B$5*E677)</f>
        <v>-0.00438788393095102</v>
      </c>
      <c r="Q677" s="29" t="n">
        <f aca="false">D677-('5 Re-specification'!$B$7+'5 Re-specification'!$B$5*E677+'5 Re-specification'!$B$6*F677)</f>
        <v>-0.00225109998518214</v>
      </c>
      <c r="R677" s="30" t="n">
        <f aca="false">MIN(F677,Inputs!$B$9)</f>
        <v>250</v>
      </c>
      <c r="S677" s="29" t="n">
        <f aca="true">IF(AND(F677&gt;=1,R677&gt;=Inputs!$B$10),INDEX(LINEST(OFFSET(D677,-R677,0,R677,1),OFFSET(E677,-R677,0,R677,2)),1,1),"")</f>
        <v>-6.41221966879922E-005</v>
      </c>
      <c r="T677" s="29" t="n">
        <f aca="true">IF(AND(F677&gt;=1,R677&gt;=Inputs!$B$10),INDEX(LINEST(OFFSET(D677,-R677,0,R677,1),OFFSET(E677,-R677,0,R677,2)),1,2),"")</f>
        <v>1.0240641076095</v>
      </c>
      <c r="U677" s="29" t="n">
        <f aca="true">IF(AND(F677&gt;=1,R677&gt;=Inputs!$B$10),INDEX(LINEST(OFFSET(D677,-R677,0,R677,1),OFFSET(E677,-R677,0,R677,2)),1,3),"")</f>
        <v>4.38961695894705</v>
      </c>
      <c r="V677" s="29" t="n">
        <f aca="true">IF(AND(F677&gt;=1,R677&gt;=Inputs!$B$10),SQRT(SUMPRODUCT((OFFSET(D677,-R677,0,R677,1)-U677-T677*OFFSET(E677,-R677,0,R677,1)-S677*OFFSET(F677,-R677,0,R677,1))^2)/(R677-3)),"")</f>
        <v>0.00223694632060408</v>
      </c>
      <c r="W677" s="31" t="n">
        <f aca="false">IF(AND(F677&gt;=1,R677&gt;=Inputs!$B$10),(D677-U677-T677*E677-S677*F677)/V677,"")</f>
        <v>-0.668411533003087</v>
      </c>
      <c r="X677" s="30" t="n">
        <f aca="false">IF(AB676&lt;&gt;0,AC676+1,0)</f>
        <v>0</v>
      </c>
      <c r="Y677" s="30" t="n">
        <f aca="false">IF(W677="",0,IF(AND(AB676&lt;&gt;0,OR(ABS(W677)&gt;Inputs!$B$7,X677&gt;=Inputs!$B$8,ABS(W677)&lt;Inputs!$B$6)),1,0))</f>
        <v>0</v>
      </c>
      <c r="Z677" s="30" t="n">
        <f aca="false">IF(Y677=1,0,AB676)</f>
        <v>0</v>
      </c>
      <c r="AA677" s="30" t="n">
        <f aca="false">IF(W677="",0,IF(AND(Z677=0,ABS(W677)&gt;Inputs!$B$5,ABS(W677)&lt;=Inputs!$B$7),1,0))</f>
        <v>0</v>
      </c>
      <c r="AB677" s="30" t="n">
        <f aca="false">IF(W677="",0,IF(AA677=1,-SIGN(W677),Z677))</f>
        <v>0</v>
      </c>
      <c r="AC677" s="30" t="n">
        <f aca="false">IF(W677="",0,IF(AA677=1,0,IF(Y677=1,0,X677)))</f>
        <v>0</v>
      </c>
      <c r="AD677" s="30" t="n">
        <f aca="false">IF(AB677=0,0,IF(AB676=AB677,AD676,T677))</f>
        <v>0</v>
      </c>
      <c r="AE677" s="30" t="n">
        <f aca="false">AB677-AB676</f>
        <v>0</v>
      </c>
      <c r="AF677" s="30" t="n">
        <f aca="false">-AD677*AB677</f>
        <v>-0</v>
      </c>
      <c r="AG677" s="30" t="n">
        <f aca="false">AF677-AF676</f>
        <v>0</v>
      </c>
      <c r="AH677" s="30" t="n">
        <f aca="false">MAX(AE677,0)*(Inputs!$B$17+Inputs!$B$18+Inputs!$B$19)+MAX(-AE677,0)*(O677+Inputs!$B$18+Inputs!$B$19)+IF(AND(K677=1,AB677&lt;&gt;0),(Inputs!$B$17+Inputs!$B$18+Inputs!$B$19)+(O677+Inputs!$B$18+Inputs!$B$19),0)+MAX(AG677,0)*(Inputs!$B$20+Inputs!$B$22+Inputs!$B$23)+MAX(-AG677,0)*(Inputs!$B$21+Inputs!$B$22+Inputs!$B$23)</f>
        <v>0</v>
      </c>
      <c r="AI677" s="30" t="n">
        <f aca="false">AB676*(M677-AD676*J677)+AB676*AD676*N677/Inputs!$B$16-AH677</f>
        <v>0</v>
      </c>
      <c r="AJ677" s="30" t="n">
        <f aca="false">MAX(AE677,0)*(Inputs!$B$17+Inputs!$B$24+Inputs!$B$25)+MAX(-AE677,0)*(O677+Inputs!$B$24+Inputs!$B$25)+IF(AND(K677=1,AB677&lt;&gt;0),(Inputs!$B$17+Inputs!$B$24+Inputs!$B$25)+(O677+Inputs!$B$24+Inputs!$B$25),0)+MAX(AG677,0)*(Inputs!$B$20+Inputs!$B$26+Inputs!$B$27)+MAX(-AG677,0)*(Inputs!$B$21+Inputs!$B$26+Inputs!$B$27)</f>
        <v>0</v>
      </c>
      <c r="AK677" s="30" t="n">
        <f aca="false">AB676*(M677-AD676*J677)+AB676*AD676*(N677+Inputs!$B$14)/Inputs!$B$16-AJ677</f>
        <v>0</v>
      </c>
      <c r="AL677" s="30" t="n">
        <f aca="false">IF(AP676&lt;&gt;0,AQ676+1,0)</f>
        <v>0</v>
      </c>
      <c r="AM677" s="30" t="n">
        <f aca="false">IF(W677="",0,IF(AND(AP676&lt;&gt;0,OR(ABS(W677)&gt;Inputs!$B$7,AL677&gt;=Inputs!$B$8,ABS(W677)&lt;Inputs!$B$6)),1,0))</f>
        <v>0</v>
      </c>
      <c r="AN677" s="30" t="n">
        <f aca="false">IF(AM677=1,0,AP676)</f>
        <v>0</v>
      </c>
      <c r="AO677" s="30" t="n">
        <f aca="false">IF(W677="",0,IF(AND(AN677=0,ABS(W677)&gt;Inputs!$B$5,ABS(W677)&lt;=Inputs!$B$7,W677&gt;0),1,0))</f>
        <v>0</v>
      </c>
      <c r="AP677" s="30" t="n">
        <f aca="false">IF(W677="",0,IF(AO677=1,-SIGN(W677),AN677))</f>
        <v>0</v>
      </c>
      <c r="AQ677" s="30" t="n">
        <f aca="false">IF(W677="",0,IF(AO677=1,0,IF(AM677=1,0,AL677)))</f>
        <v>0</v>
      </c>
      <c r="AR677" s="30" t="n">
        <f aca="false">IF(AP677=0,0,IF(AP676=AP677,AR676,T677))</f>
        <v>0</v>
      </c>
      <c r="AS677" s="30" t="n">
        <f aca="false">AP677-AP676</f>
        <v>0</v>
      </c>
      <c r="AT677" s="30" t="n">
        <f aca="false">-AR677*AP677</f>
        <v>-0</v>
      </c>
      <c r="AU677" s="30" t="n">
        <f aca="false">AT677-AT676</f>
        <v>0</v>
      </c>
      <c r="AV677" s="30" t="n">
        <f aca="false">MAX(AS677,0)*(Inputs!$B$17+Inputs!$B$18+Inputs!$B$19)+MAX(-AS677,0)*(O677+Inputs!$B$18+Inputs!$B$19)+IF(AND(K677=1,AP677&lt;&gt;0),(Inputs!$B$17+Inputs!$B$18+Inputs!$B$19)+(O677+Inputs!$B$18+Inputs!$B$19),0)+MAX(AU677,0)*(Inputs!$B$20+Inputs!$B$22+Inputs!$B$23)+MAX(-AU677,0)*(Inputs!$B$21+Inputs!$B$22+Inputs!$B$23)</f>
        <v>0</v>
      </c>
      <c r="AW677" s="30" t="n">
        <f aca="false">AP676*(M677-AR676*J677)+AP676*AR676*N677/Inputs!$B$16-AV677</f>
        <v>0</v>
      </c>
      <c r="AX677" s="30" t="n">
        <f aca="false">AW677-IF(AP676&lt;&gt;0,0.75*AR676*(Inputs!$B$13-N677)/Inputs!$B$16,0)</f>
        <v>0</v>
      </c>
      <c r="AY677" s="30" t="n">
        <f aca="false">MAX(AS677,0)*(Inputs!$B$17+Inputs!$B$18+Inputs!$B$19)+MAX(-AS677,0)*(O677+Inputs!$B$18+Inputs!$B$19)+IF(AND(K677=1,AP677&lt;&gt;0),(Inputs!$B$17+Inputs!$B$18+Inputs!$B$19)+(O677+Inputs!$B$18+Inputs!$B$19),0)</f>
        <v>0</v>
      </c>
      <c r="AZ677" s="30" t="n">
        <f aca="false">AP676*M677-AY677</f>
        <v>-0</v>
      </c>
      <c r="BA677" s="32" t="n">
        <f aca="false">BA676+AI677</f>
        <v>0.0122549284566036</v>
      </c>
      <c r="BB677" s="30" t="n">
        <f aca="false">MAX(BB676,BA677)</f>
        <v>0.0122549284566036</v>
      </c>
      <c r="BC677" s="32" t="n">
        <f aca="false">BA677-BB677</f>
        <v>0</v>
      </c>
      <c r="BD677" s="30" t="n">
        <f aca="false">A678-A677</f>
        <v>2</v>
      </c>
    </row>
    <row r="678" customFormat="false" ht="15" hidden="false" customHeight="false" outlineLevel="0" collapsed="false">
      <c r="A678" s="28" t="n">
        <v>46038</v>
      </c>
      <c r="B678" s="0" t="n">
        <v>25750.1</v>
      </c>
      <c r="C678" s="0" t="n">
        <v>290.9</v>
      </c>
      <c r="D678" s="29" t="n">
        <f aca="false">LN(B678)</f>
        <v>10.1561937895795</v>
      </c>
      <c r="E678" s="29" t="n">
        <f aca="false">LN(C678)</f>
        <v>5.67297956550116</v>
      </c>
      <c r="F678" s="0" t="n">
        <v>673</v>
      </c>
      <c r="G678" s="0" t="n">
        <v>11</v>
      </c>
      <c r="H678" s="29" t="n">
        <f aca="false">D678-E678</f>
        <v>4.48321422407833</v>
      </c>
      <c r="I678" s="29" t="n">
        <f aca="false">D678-D677</f>
        <v>0.000963567137654664</v>
      </c>
      <c r="J678" s="29" t="n">
        <f aca="false">E678-E677</f>
        <v>-0.00068728525042161</v>
      </c>
      <c r="K678" s="0" t="n">
        <v>0</v>
      </c>
      <c r="L678" s="0" t="n">
        <v>0</v>
      </c>
      <c r="M678" s="29" t="n">
        <f aca="false">IF(L678=1,J678-Carry!$B$9/Inputs!$B$16,I678)</f>
        <v>0.000963567137654664</v>
      </c>
      <c r="N678" s="0" t="n">
        <v>0.0525</v>
      </c>
      <c r="O678" s="0" t="n">
        <v>0.0002</v>
      </c>
      <c r="P678" s="29" t="n">
        <f aca="false">D678-('2 Hedge ratio'!$B$6+'2 Hedge ratio'!$B$5*E678)</f>
        <v>-0.00279467638414843</v>
      </c>
      <c r="Q678" s="29" t="n">
        <f aca="false">D678-('5 Re-specification'!$B$7+'5 Re-specification'!$B$5*E678+'5 Re-specification'!$B$6*F678)</f>
        <v>-0.000557401096974886</v>
      </c>
      <c r="R678" s="30" t="n">
        <f aca="false">MIN(F678,Inputs!$B$9)</f>
        <v>250</v>
      </c>
      <c r="S678" s="29" t="n">
        <f aca="true">IF(AND(F678&gt;=1,R678&gt;=Inputs!$B$10),INDEX(LINEST(OFFSET(D678,-R678,0,R678,1),OFFSET(E678,-R678,0,R678,2)),1,1),"")</f>
        <v>-6.47118211335715E-005</v>
      </c>
      <c r="T678" s="29" t="n">
        <f aca="true">IF(AND(F678&gt;=1,R678&gt;=Inputs!$B$10),INDEX(LINEST(OFFSET(D678,-R678,0,R678,1),OFFSET(E678,-R678,0,R678,2)),1,2),"")</f>
        <v>1.02456059459029</v>
      </c>
      <c r="U678" s="29" t="n">
        <f aca="true">IF(AND(F678&gt;=1,R678&gt;=Inputs!$B$10),INDEX(LINEST(OFFSET(D678,-R678,0,R678,1),OFFSET(E678,-R678,0,R678,2)),1,3),"")</f>
        <v>4.38714693596563</v>
      </c>
      <c r="V678" s="29" t="n">
        <f aca="true">IF(AND(F678&gt;=1,R678&gt;=Inputs!$B$10),SQRT(SUMPRODUCT((OFFSET(D678,-R678,0,R678,1)-U678-T678*OFFSET(E678,-R678,0,R678,1)-S678*OFFSET(F678,-R678,0,R678,1))^2)/(R678-3)),"")</f>
        <v>0.00223690068458719</v>
      </c>
      <c r="W678" s="31" t="n">
        <f aca="false">IF(AND(F678&gt;=1,R678&gt;=Inputs!$B$10),(D678-U678-T678*E678-S678*F678)/V678,"")</f>
        <v>0.128120354346464</v>
      </c>
      <c r="X678" s="30" t="n">
        <f aca="false">IF(AB677&lt;&gt;0,AC677+1,0)</f>
        <v>0</v>
      </c>
      <c r="Y678" s="30" t="n">
        <f aca="false">IF(W678="",0,IF(AND(AB677&lt;&gt;0,OR(ABS(W678)&gt;Inputs!$B$7,X678&gt;=Inputs!$B$8,ABS(W678)&lt;Inputs!$B$6)),1,0))</f>
        <v>0</v>
      </c>
      <c r="Z678" s="30" t="n">
        <f aca="false">IF(Y678=1,0,AB677)</f>
        <v>0</v>
      </c>
      <c r="AA678" s="30" t="n">
        <f aca="false">IF(W678="",0,IF(AND(Z678=0,ABS(W678)&gt;Inputs!$B$5,ABS(W678)&lt;=Inputs!$B$7),1,0))</f>
        <v>0</v>
      </c>
      <c r="AB678" s="30" t="n">
        <f aca="false">IF(W678="",0,IF(AA678=1,-SIGN(W678),Z678))</f>
        <v>0</v>
      </c>
      <c r="AC678" s="30" t="n">
        <f aca="false">IF(W678="",0,IF(AA678=1,0,IF(Y678=1,0,X678)))</f>
        <v>0</v>
      </c>
      <c r="AD678" s="30" t="n">
        <f aca="false">IF(AB678=0,0,IF(AB677=AB678,AD677,T678))</f>
        <v>0</v>
      </c>
      <c r="AE678" s="30" t="n">
        <f aca="false">AB678-AB677</f>
        <v>0</v>
      </c>
      <c r="AF678" s="30" t="n">
        <f aca="false">-AD678*AB678</f>
        <v>-0</v>
      </c>
      <c r="AG678" s="30" t="n">
        <f aca="false">AF678-AF677</f>
        <v>0</v>
      </c>
      <c r="AH678" s="30" t="n">
        <f aca="false">MAX(AE678,0)*(Inputs!$B$17+Inputs!$B$18+Inputs!$B$19)+MAX(-AE678,0)*(O678+Inputs!$B$18+Inputs!$B$19)+IF(AND(K678=1,AB678&lt;&gt;0),(Inputs!$B$17+Inputs!$B$18+Inputs!$B$19)+(O678+Inputs!$B$18+Inputs!$B$19),0)+MAX(AG678,0)*(Inputs!$B$20+Inputs!$B$22+Inputs!$B$23)+MAX(-AG678,0)*(Inputs!$B$21+Inputs!$B$22+Inputs!$B$23)</f>
        <v>0</v>
      </c>
      <c r="AI678" s="30" t="n">
        <f aca="false">AB677*(M678-AD677*J678)+AB677*AD677*N678/Inputs!$B$16-AH678</f>
        <v>0</v>
      </c>
      <c r="AJ678" s="30" t="n">
        <f aca="false">MAX(AE678,0)*(Inputs!$B$17+Inputs!$B$24+Inputs!$B$25)+MAX(-AE678,0)*(O678+Inputs!$B$24+Inputs!$B$25)+IF(AND(K678=1,AB678&lt;&gt;0),(Inputs!$B$17+Inputs!$B$24+Inputs!$B$25)+(O678+Inputs!$B$24+Inputs!$B$25),0)+MAX(AG678,0)*(Inputs!$B$20+Inputs!$B$26+Inputs!$B$27)+MAX(-AG678,0)*(Inputs!$B$21+Inputs!$B$26+Inputs!$B$27)</f>
        <v>0</v>
      </c>
      <c r="AK678" s="30" t="n">
        <f aca="false">AB677*(M678-AD677*J678)+AB677*AD677*(N678+Inputs!$B$14)/Inputs!$B$16-AJ678</f>
        <v>0</v>
      </c>
      <c r="AL678" s="30" t="n">
        <f aca="false">IF(AP677&lt;&gt;0,AQ677+1,0)</f>
        <v>0</v>
      </c>
      <c r="AM678" s="30" t="n">
        <f aca="false">IF(W678="",0,IF(AND(AP677&lt;&gt;0,OR(ABS(W678)&gt;Inputs!$B$7,AL678&gt;=Inputs!$B$8,ABS(W678)&lt;Inputs!$B$6)),1,0))</f>
        <v>0</v>
      </c>
      <c r="AN678" s="30" t="n">
        <f aca="false">IF(AM678=1,0,AP677)</f>
        <v>0</v>
      </c>
      <c r="AO678" s="30" t="n">
        <f aca="false">IF(W678="",0,IF(AND(AN678=0,ABS(W678)&gt;Inputs!$B$5,ABS(W678)&lt;=Inputs!$B$7,W678&gt;0),1,0))</f>
        <v>0</v>
      </c>
      <c r="AP678" s="30" t="n">
        <f aca="false">IF(W678="",0,IF(AO678=1,-SIGN(W678),AN678))</f>
        <v>0</v>
      </c>
      <c r="AQ678" s="30" t="n">
        <f aca="false">IF(W678="",0,IF(AO678=1,0,IF(AM678=1,0,AL678)))</f>
        <v>0</v>
      </c>
      <c r="AR678" s="30" t="n">
        <f aca="false">IF(AP678=0,0,IF(AP677=AP678,AR677,T678))</f>
        <v>0</v>
      </c>
      <c r="AS678" s="30" t="n">
        <f aca="false">AP678-AP677</f>
        <v>0</v>
      </c>
      <c r="AT678" s="30" t="n">
        <f aca="false">-AR678*AP678</f>
        <v>-0</v>
      </c>
      <c r="AU678" s="30" t="n">
        <f aca="false">AT678-AT677</f>
        <v>0</v>
      </c>
      <c r="AV678" s="30" t="n">
        <f aca="false">MAX(AS678,0)*(Inputs!$B$17+Inputs!$B$18+Inputs!$B$19)+MAX(-AS678,0)*(O678+Inputs!$B$18+Inputs!$B$19)+IF(AND(K678=1,AP678&lt;&gt;0),(Inputs!$B$17+Inputs!$B$18+Inputs!$B$19)+(O678+Inputs!$B$18+Inputs!$B$19),0)+MAX(AU678,0)*(Inputs!$B$20+Inputs!$B$22+Inputs!$B$23)+MAX(-AU678,0)*(Inputs!$B$21+Inputs!$B$22+Inputs!$B$23)</f>
        <v>0</v>
      </c>
      <c r="AW678" s="30" t="n">
        <f aca="false">AP677*(M678-AR677*J678)+AP677*AR677*N678/Inputs!$B$16-AV678</f>
        <v>0</v>
      </c>
      <c r="AX678" s="30" t="n">
        <f aca="false">AW678-IF(AP677&lt;&gt;0,0.75*AR677*(Inputs!$B$13-N678)/Inputs!$B$16,0)</f>
        <v>0</v>
      </c>
      <c r="AY678" s="30" t="n">
        <f aca="false">MAX(AS678,0)*(Inputs!$B$17+Inputs!$B$18+Inputs!$B$19)+MAX(-AS678,0)*(O678+Inputs!$B$18+Inputs!$B$19)+IF(AND(K678=1,AP678&lt;&gt;0),(Inputs!$B$17+Inputs!$B$18+Inputs!$B$19)+(O678+Inputs!$B$18+Inputs!$B$19),0)</f>
        <v>0</v>
      </c>
      <c r="AZ678" s="30" t="n">
        <f aca="false">AP677*M678-AY678</f>
        <v>0</v>
      </c>
      <c r="BA678" s="32" t="n">
        <f aca="false">BA677+AI678</f>
        <v>0.0122549284566036</v>
      </c>
      <c r="BB678" s="30" t="n">
        <f aca="false">MAX(BB677,BA678)</f>
        <v>0.0122549284566036</v>
      </c>
      <c r="BC678" s="32" t="n">
        <f aca="false">BA678-BB678</f>
        <v>0</v>
      </c>
      <c r="BD678" s="30" t="n">
        <f aca="false">A679-A678</f>
        <v>3</v>
      </c>
    </row>
    <row r="679" customFormat="false" ht="15" hidden="false" customHeight="false" outlineLevel="0" collapsed="false">
      <c r="A679" s="28" t="n">
        <v>46041</v>
      </c>
      <c r="B679" s="0" t="n">
        <v>25574.4</v>
      </c>
      <c r="C679" s="0" t="n">
        <v>289.34</v>
      </c>
      <c r="D679" s="29" t="n">
        <f aca="false">LN(B679)</f>
        <v>10.1493471301341</v>
      </c>
      <c r="E679" s="29" t="n">
        <f aca="false">LN(C679)</f>
        <v>5.66760246720144</v>
      </c>
      <c r="F679" s="0" t="n">
        <v>674</v>
      </c>
      <c r="G679" s="0" t="n">
        <v>8</v>
      </c>
      <c r="H679" s="29" t="n">
        <f aca="false">D679-E679</f>
        <v>4.48174466293263</v>
      </c>
      <c r="I679" s="29" t="n">
        <f aca="false">D679-D678</f>
        <v>-0.00684665944541507</v>
      </c>
      <c r="J679" s="29" t="n">
        <f aca="false">E679-E678</f>
        <v>-0.00537709829971167</v>
      </c>
      <c r="K679" s="0" t="n">
        <v>0</v>
      </c>
      <c r="L679" s="0" t="n">
        <v>0</v>
      </c>
      <c r="M679" s="29" t="n">
        <f aca="false">IF(L679=1,J679-Carry!$B$9/Inputs!$B$16,I679)</f>
        <v>-0.00684665944541507</v>
      </c>
      <c r="N679" s="0" t="n">
        <v>0.0525</v>
      </c>
      <c r="O679" s="0" t="n">
        <v>0.0002</v>
      </c>
      <c r="P679" s="29" t="n">
        <f aca="false">D679-('2 Hedge ratio'!$B$6+'2 Hedge ratio'!$B$5*E679)</f>
        <v>-0.0047152321900974</v>
      </c>
      <c r="Q679" s="29" t="n">
        <f aca="false">D679-('5 Re-specification'!$B$7+'5 Re-specification'!$B$5*E679+'5 Re-specification'!$B$6*F679)</f>
        <v>-0.00199832822109336</v>
      </c>
      <c r="R679" s="30" t="n">
        <f aca="false">MIN(F679,Inputs!$B$9)</f>
        <v>250</v>
      </c>
      <c r="S679" s="29" t="n">
        <f aca="true">IF(AND(F679&gt;=1,R679&gt;=Inputs!$B$10),INDEX(LINEST(OFFSET(D679,-R679,0,R679,1),OFFSET(E679,-R679,0,R679,2)),1,1),"")</f>
        <v>-6.47044756595729E-005</v>
      </c>
      <c r="T679" s="29" t="n">
        <f aca="true">IF(AND(F679&gt;=1,R679&gt;=Inputs!$B$10),INDEX(LINEST(OFFSET(D679,-R679,0,R679,1),OFFSET(E679,-R679,0,R679,2)),1,2),"")</f>
        <v>1.02452700209714</v>
      </c>
      <c r="U679" s="29" t="n">
        <f aca="true">IF(AND(F679&gt;=1,R679&gt;=Inputs!$B$10),INDEX(LINEST(OFFSET(D679,-R679,0,R679,1),OFFSET(E679,-R679,0,R679,2)),1,3),"")</f>
        <v>4.38733471284496</v>
      </c>
      <c r="V679" s="29" t="n">
        <f aca="true">IF(AND(F679&gt;=1,R679&gt;=Inputs!$B$10),SQRT(SUMPRODUCT((OFFSET(D679,-R679,0,R679,1)-U679-T679*OFFSET(E679,-R679,0,R679,1)-S679*OFFSET(F679,-R679,0,R679,1))^2)/(R679-3)),"")</f>
        <v>0.00223681192398991</v>
      </c>
      <c r="W679" s="31" t="n">
        <f aca="false">IF(AND(F679&gt;=1,R679&gt;=Inputs!$B$10),(D679-U679-T679*E679-S679*F679)/V679,"")</f>
        <v>-0.441937431559128</v>
      </c>
      <c r="X679" s="30" t="n">
        <f aca="false">IF(AB678&lt;&gt;0,AC678+1,0)</f>
        <v>0</v>
      </c>
      <c r="Y679" s="30" t="n">
        <f aca="false">IF(W679="",0,IF(AND(AB678&lt;&gt;0,OR(ABS(W679)&gt;Inputs!$B$7,X679&gt;=Inputs!$B$8,ABS(W679)&lt;Inputs!$B$6)),1,0))</f>
        <v>0</v>
      </c>
      <c r="Z679" s="30" t="n">
        <f aca="false">IF(Y679=1,0,AB678)</f>
        <v>0</v>
      </c>
      <c r="AA679" s="30" t="n">
        <f aca="false">IF(W679="",0,IF(AND(Z679=0,ABS(W679)&gt;Inputs!$B$5,ABS(W679)&lt;=Inputs!$B$7),1,0))</f>
        <v>0</v>
      </c>
      <c r="AB679" s="30" t="n">
        <f aca="false">IF(W679="",0,IF(AA679=1,-SIGN(W679),Z679))</f>
        <v>0</v>
      </c>
      <c r="AC679" s="30" t="n">
        <f aca="false">IF(W679="",0,IF(AA679=1,0,IF(Y679=1,0,X679)))</f>
        <v>0</v>
      </c>
      <c r="AD679" s="30" t="n">
        <f aca="false">IF(AB679=0,0,IF(AB678=AB679,AD678,T679))</f>
        <v>0</v>
      </c>
      <c r="AE679" s="30" t="n">
        <f aca="false">AB679-AB678</f>
        <v>0</v>
      </c>
      <c r="AF679" s="30" t="n">
        <f aca="false">-AD679*AB679</f>
        <v>-0</v>
      </c>
      <c r="AG679" s="30" t="n">
        <f aca="false">AF679-AF678</f>
        <v>0</v>
      </c>
      <c r="AH679" s="30" t="n">
        <f aca="false">MAX(AE679,0)*(Inputs!$B$17+Inputs!$B$18+Inputs!$B$19)+MAX(-AE679,0)*(O679+Inputs!$B$18+Inputs!$B$19)+IF(AND(K679=1,AB679&lt;&gt;0),(Inputs!$B$17+Inputs!$B$18+Inputs!$B$19)+(O679+Inputs!$B$18+Inputs!$B$19),0)+MAX(AG679,0)*(Inputs!$B$20+Inputs!$B$22+Inputs!$B$23)+MAX(-AG679,0)*(Inputs!$B$21+Inputs!$B$22+Inputs!$B$23)</f>
        <v>0</v>
      </c>
      <c r="AI679" s="30" t="n">
        <f aca="false">AB678*(M679-AD678*J679)+AB678*AD678*N679/Inputs!$B$16-AH679</f>
        <v>0</v>
      </c>
      <c r="AJ679" s="30" t="n">
        <f aca="false">MAX(AE679,0)*(Inputs!$B$17+Inputs!$B$24+Inputs!$B$25)+MAX(-AE679,0)*(O679+Inputs!$B$24+Inputs!$B$25)+IF(AND(K679=1,AB679&lt;&gt;0),(Inputs!$B$17+Inputs!$B$24+Inputs!$B$25)+(O679+Inputs!$B$24+Inputs!$B$25),0)+MAX(AG679,0)*(Inputs!$B$20+Inputs!$B$26+Inputs!$B$27)+MAX(-AG679,0)*(Inputs!$B$21+Inputs!$B$26+Inputs!$B$27)</f>
        <v>0</v>
      </c>
      <c r="AK679" s="30" t="n">
        <f aca="false">AB678*(M679-AD678*J679)+AB678*AD678*(N679+Inputs!$B$14)/Inputs!$B$16-AJ679</f>
        <v>0</v>
      </c>
      <c r="AL679" s="30" t="n">
        <f aca="false">IF(AP678&lt;&gt;0,AQ678+1,0)</f>
        <v>0</v>
      </c>
      <c r="AM679" s="30" t="n">
        <f aca="false">IF(W679="",0,IF(AND(AP678&lt;&gt;0,OR(ABS(W679)&gt;Inputs!$B$7,AL679&gt;=Inputs!$B$8,ABS(W679)&lt;Inputs!$B$6)),1,0))</f>
        <v>0</v>
      </c>
      <c r="AN679" s="30" t="n">
        <f aca="false">IF(AM679=1,0,AP678)</f>
        <v>0</v>
      </c>
      <c r="AO679" s="30" t="n">
        <f aca="false">IF(W679="",0,IF(AND(AN679=0,ABS(W679)&gt;Inputs!$B$5,ABS(W679)&lt;=Inputs!$B$7,W679&gt;0),1,0))</f>
        <v>0</v>
      </c>
      <c r="AP679" s="30" t="n">
        <f aca="false">IF(W679="",0,IF(AO679=1,-SIGN(W679),AN679))</f>
        <v>0</v>
      </c>
      <c r="AQ679" s="30" t="n">
        <f aca="false">IF(W679="",0,IF(AO679=1,0,IF(AM679=1,0,AL679)))</f>
        <v>0</v>
      </c>
      <c r="AR679" s="30" t="n">
        <f aca="false">IF(AP679=0,0,IF(AP678=AP679,AR678,T679))</f>
        <v>0</v>
      </c>
      <c r="AS679" s="30" t="n">
        <f aca="false">AP679-AP678</f>
        <v>0</v>
      </c>
      <c r="AT679" s="30" t="n">
        <f aca="false">-AR679*AP679</f>
        <v>-0</v>
      </c>
      <c r="AU679" s="30" t="n">
        <f aca="false">AT679-AT678</f>
        <v>0</v>
      </c>
      <c r="AV679" s="30" t="n">
        <f aca="false">MAX(AS679,0)*(Inputs!$B$17+Inputs!$B$18+Inputs!$B$19)+MAX(-AS679,0)*(O679+Inputs!$B$18+Inputs!$B$19)+IF(AND(K679=1,AP679&lt;&gt;0),(Inputs!$B$17+Inputs!$B$18+Inputs!$B$19)+(O679+Inputs!$B$18+Inputs!$B$19),0)+MAX(AU679,0)*(Inputs!$B$20+Inputs!$B$22+Inputs!$B$23)+MAX(-AU679,0)*(Inputs!$B$21+Inputs!$B$22+Inputs!$B$23)</f>
        <v>0</v>
      </c>
      <c r="AW679" s="30" t="n">
        <f aca="false">AP678*(M679-AR678*J679)+AP678*AR678*N679/Inputs!$B$16-AV679</f>
        <v>0</v>
      </c>
      <c r="AX679" s="30" t="n">
        <f aca="false">AW679-IF(AP678&lt;&gt;0,0.75*AR678*(Inputs!$B$13-N679)/Inputs!$B$16,0)</f>
        <v>0</v>
      </c>
      <c r="AY679" s="30" t="n">
        <f aca="false">MAX(AS679,0)*(Inputs!$B$17+Inputs!$B$18+Inputs!$B$19)+MAX(-AS679,0)*(O679+Inputs!$B$18+Inputs!$B$19)+IF(AND(K679=1,AP679&lt;&gt;0),(Inputs!$B$17+Inputs!$B$18+Inputs!$B$19)+(O679+Inputs!$B$18+Inputs!$B$19),0)</f>
        <v>0</v>
      </c>
      <c r="AZ679" s="30" t="n">
        <f aca="false">AP678*M679-AY679</f>
        <v>-0</v>
      </c>
      <c r="BA679" s="32" t="n">
        <f aca="false">BA678+AI679</f>
        <v>0.0122549284566036</v>
      </c>
      <c r="BB679" s="30" t="n">
        <f aca="false">MAX(BB678,BA679)</f>
        <v>0.0122549284566036</v>
      </c>
      <c r="BC679" s="32" t="n">
        <f aca="false">BA679-BB679</f>
        <v>0</v>
      </c>
      <c r="BD679" s="30" t="n">
        <f aca="false">A680-A679</f>
        <v>1</v>
      </c>
    </row>
    <row r="680" customFormat="false" ht="15" hidden="false" customHeight="false" outlineLevel="0" collapsed="false">
      <c r="A680" s="28" t="n">
        <v>46042</v>
      </c>
      <c r="B680" s="0" t="n">
        <v>25267.6</v>
      </c>
      <c r="C680" s="0" t="n">
        <v>287</v>
      </c>
      <c r="D680" s="29" t="n">
        <f aca="false">LN(B680)</f>
        <v>10.1372782215941</v>
      </c>
      <c r="E680" s="29" t="n">
        <f aca="false">LN(C680)</f>
        <v>5.65948221575962</v>
      </c>
      <c r="F680" s="0" t="n">
        <v>675</v>
      </c>
      <c r="G680" s="0" t="n">
        <v>7</v>
      </c>
      <c r="H680" s="29" t="n">
        <f aca="false">D680-E680</f>
        <v>4.47779600583448</v>
      </c>
      <c r="I680" s="29" t="n">
        <f aca="false">D680-D679</f>
        <v>-0.0120689085399732</v>
      </c>
      <c r="J680" s="29" t="n">
        <f aca="false">E680-E679</f>
        <v>-0.00812025144182282</v>
      </c>
      <c r="K680" s="0" t="n">
        <v>0</v>
      </c>
      <c r="L680" s="0" t="n">
        <v>0</v>
      </c>
      <c r="M680" s="29" t="n">
        <f aca="false">IF(L680=1,J680-Carry!$B$9/Inputs!$B$16,I680)</f>
        <v>-0.0120689085399732</v>
      </c>
      <c r="N680" s="0" t="n">
        <v>0.0525</v>
      </c>
      <c r="O680" s="0" t="n">
        <v>0.0002</v>
      </c>
      <c r="P680" s="29" t="n">
        <f aca="false">D680-('2 Hedge ratio'!$B$6+'2 Hedge ratio'!$B$5*E680)</f>
        <v>-0.00934496109240612</v>
      </c>
      <c r="Q680" s="29" t="n">
        <f aca="false">D680-('5 Re-specification'!$B$7+'5 Re-specification'!$B$5*E680+'5 Re-specification'!$B$6*F680)</f>
        <v>-0.00592666442331336</v>
      </c>
      <c r="R680" s="30" t="n">
        <f aca="false">MIN(F680,Inputs!$B$9)</f>
        <v>250</v>
      </c>
      <c r="S680" s="29" t="n">
        <f aca="true">IF(AND(F680&gt;=1,R680&gt;=Inputs!$B$10),INDEX(LINEST(OFFSET(D680,-R680,0,R680,1),OFFSET(E680,-R680,0,R680,2)),1,1),"")</f>
        <v>-6.50914932551054E-005</v>
      </c>
      <c r="T680" s="29" t="n">
        <f aca="true">IF(AND(F680&gt;=1,R680&gt;=Inputs!$B$10),INDEX(LINEST(OFFSET(D680,-R680,0,R680,1),OFFSET(E680,-R680,0,R680,2)),1,2),"")</f>
        <v>1.02490047142749</v>
      </c>
      <c r="U680" s="29" t="n">
        <f aca="true">IF(AND(F680&gt;=1,R680&gt;=Inputs!$B$10),INDEX(LINEST(OFFSET(D680,-R680,0,R680,1),OFFSET(E680,-R680,0,R680,2)),1,3),"")</f>
        <v>4.38544500815899</v>
      </c>
      <c r="V680" s="29" t="n">
        <f aca="true">IF(AND(F680&gt;=1,R680&gt;=Inputs!$B$10),SQRT(SUMPRODUCT((OFFSET(D680,-R680,0,R680,1)-U680-T680*OFFSET(E680,-R680,0,R680,1)-S680*OFFSET(F680,-R680,0,R680,1))^2)/(R680-3)),"")</f>
        <v>0.00223724782148393</v>
      </c>
      <c r="W680" s="31" t="n">
        <f aca="false">IF(AND(F680&gt;=1,R680&gt;=Inputs!$B$10),(D680-U680-T680*E680-S680*F680)/V680,"")</f>
        <v>-2.07219760847227</v>
      </c>
      <c r="X680" s="30" t="n">
        <f aca="false">IF(AB679&lt;&gt;0,AC679+1,0)</f>
        <v>0</v>
      </c>
      <c r="Y680" s="30" t="n">
        <f aca="false">IF(W680="",0,IF(AND(AB679&lt;&gt;0,OR(ABS(W680)&gt;Inputs!$B$7,X680&gt;=Inputs!$B$8,ABS(W680)&lt;Inputs!$B$6)),1,0))</f>
        <v>0</v>
      </c>
      <c r="Z680" s="30" t="n">
        <f aca="false">IF(Y680=1,0,AB679)</f>
        <v>0</v>
      </c>
      <c r="AA680" s="30" t="n">
        <f aca="false">IF(W680="",0,IF(AND(Z680=0,ABS(W680)&gt;Inputs!$B$5,ABS(W680)&lt;=Inputs!$B$7),1,0))</f>
        <v>1</v>
      </c>
      <c r="AB680" s="30" t="n">
        <f aca="false">IF(W680="",0,IF(AA680=1,-SIGN(W680),Z680))</f>
        <v>1</v>
      </c>
      <c r="AC680" s="30" t="n">
        <f aca="false">IF(W680="",0,IF(AA680=1,0,IF(Y680=1,0,X680)))</f>
        <v>0</v>
      </c>
      <c r="AD680" s="29" t="n">
        <f aca="false">IF(AB680=0,0,IF(AB679=AB680,AD679,T680))</f>
        <v>1.02490047142749</v>
      </c>
      <c r="AE680" s="30" t="n">
        <f aca="false">AB680-AB679</f>
        <v>1</v>
      </c>
      <c r="AF680" s="30" t="n">
        <f aca="false">-AD680*AB680</f>
        <v>-1.02490047142749</v>
      </c>
      <c r="AG680" s="30" t="n">
        <f aca="false">AF680-AF679</f>
        <v>-1.02490047142749</v>
      </c>
      <c r="AH680" s="30" t="n">
        <f aca="false">MAX(AE680,0)*(Inputs!$B$17+Inputs!$B$18+Inputs!$B$19)+MAX(-AE680,0)*(O680+Inputs!$B$18+Inputs!$B$19)+IF(AND(K680=1,AB680&lt;&gt;0),(Inputs!$B$17+Inputs!$B$18+Inputs!$B$19)+(O680+Inputs!$B$18+Inputs!$B$19),0)+MAX(AG680,0)*(Inputs!$B$20+Inputs!$B$22+Inputs!$B$23)+MAX(-AG680,0)*(Inputs!$B$21+Inputs!$B$22+Inputs!$B$23)</f>
        <v>0.000370229098999773</v>
      </c>
      <c r="AI680" s="30" t="n">
        <f aca="false">AB679*(M680-AD679*J680)+AB679*AD679*N680/Inputs!$B$16-AH680</f>
        <v>-0.000370229098999773</v>
      </c>
      <c r="AJ680" s="30" t="n">
        <f aca="false">MAX(AE680,0)*(Inputs!$B$17+Inputs!$B$24+Inputs!$B$25)+MAX(-AE680,0)*(O680+Inputs!$B$24+Inputs!$B$25)+IF(AND(K680=1,AB680&lt;&gt;0),(Inputs!$B$17+Inputs!$B$24+Inputs!$B$25)+(O680+Inputs!$B$24+Inputs!$B$25),0)+MAX(AG680,0)*(Inputs!$B$20+Inputs!$B$26+Inputs!$B$27)+MAX(-AG680,0)*(Inputs!$B$21+Inputs!$B$26+Inputs!$B$27)</f>
        <v>0.000207863554214162</v>
      </c>
      <c r="AK680" s="30" t="n">
        <f aca="false">AB679*(M680-AD679*J680)+AB679*AD679*(N680+Inputs!$B$14)/Inputs!$B$16-AJ680</f>
        <v>-0.000207863554214162</v>
      </c>
      <c r="AL680" s="30" t="n">
        <f aca="false">IF(AP679&lt;&gt;0,AQ679+1,0)</f>
        <v>0</v>
      </c>
      <c r="AM680" s="30" t="n">
        <f aca="false">IF(W680="",0,IF(AND(AP679&lt;&gt;0,OR(ABS(W680)&gt;Inputs!$B$7,AL680&gt;=Inputs!$B$8,ABS(W680)&lt;Inputs!$B$6)),1,0))</f>
        <v>0</v>
      </c>
      <c r="AN680" s="30" t="n">
        <f aca="false">IF(AM680=1,0,AP679)</f>
        <v>0</v>
      </c>
      <c r="AO680" s="30" t="n">
        <f aca="false">IF(W680="",0,IF(AND(AN680=0,ABS(W680)&gt;Inputs!$B$5,ABS(W680)&lt;=Inputs!$B$7,W680&gt;0),1,0))</f>
        <v>0</v>
      </c>
      <c r="AP680" s="30" t="n">
        <f aca="false">IF(W680="",0,IF(AO680=1,-SIGN(W680),AN680))</f>
        <v>0</v>
      </c>
      <c r="AQ680" s="30" t="n">
        <f aca="false">IF(W680="",0,IF(AO680=1,0,IF(AM680=1,0,AL680)))</f>
        <v>0</v>
      </c>
      <c r="AR680" s="30" t="n">
        <f aca="false">IF(AP680=0,0,IF(AP679=AP680,AR679,T680))</f>
        <v>0</v>
      </c>
      <c r="AS680" s="30" t="n">
        <f aca="false">AP680-AP679</f>
        <v>0</v>
      </c>
      <c r="AT680" s="30" t="n">
        <f aca="false">-AR680*AP680</f>
        <v>-0</v>
      </c>
      <c r="AU680" s="30" t="n">
        <f aca="false">AT680-AT679</f>
        <v>0</v>
      </c>
      <c r="AV680" s="30" t="n">
        <f aca="false">MAX(AS680,0)*(Inputs!$B$17+Inputs!$B$18+Inputs!$B$19)+MAX(-AS680,0)*(O680+Inputs!$B$18+Inputs!$B$19)+IF(AND(K680=1,AP680&lt;&gt;0),(Inputs!$B$17+Inputs!$B$18+Inputs!$B$19)+(O680+Inputs!$B$18+Inputs!$B$19),0)+MAX(AU680,0)*(Inputs!$B$20+Inputs!$B$22+Inputs!$B$23)+MAX(-AU680,0)*(Inputs!$B$21+Inputs!$B$22+Inputs!$B$23)</f>
        <v>0</v>
      </c>
      <c r="AW680" s="30" t="n">
        <f aca="false">AP679*(M680-AR679*J680)+AP679*AR679*N680/Inputs!$B$16-AV680</f>
        <v>0</v>
      </c>
      <c r="AX680" s="30" t="n">
        <f aca="false">AW680-IF(AP679&lt;&gt;0,0.75*AR679*(Inputs!$B$13-N680)/Inputs!$B$16,0)</f>
        <v>0</v>
      </c>
      <c r="AY680" s="30" t="n">
        <f aca="false">MAX(AS680,0)*(Inputs!$B$17+Inputs!$B$18+Inputs!$B$19)+MAX(-AS680,0)*(O680+Inputs!$B$18+Inputs!$B$19)+IF(AND(K680=1,AP680&lt;&gt;0),(Inputs!$B$17+Inputs!$B$18+Inputs!$B$19)+(O680+Inputs!$B$18+Inputs!$B$19),0)</f>
        <v>0</v>
      </c>
      <c r="AZ680" s="30" t="n">
        <f aca="false">AP679*M680-AY680</f>
        <v>-0</v>
      </c>
      <c r="BA680" s="32" t="n">
        <f aca="false">BA679+AI680</f>
        <v>0.0118846993576038</v>
      </c>
      <c r="BB680" s="30" t="n">
        <f aca="false">MAX(BB679,BA680)</f>
        <v>0.0122549284566036</v>
      </c>
      <c r="BC680" s="32" t="n">
        <f aca="false">BA680-BB680</f>
        <v>-0.000370229098999773</v>
      </c>
      <c r="BD680" s="30" t="n">
        <f aca="false">A681-A680</f>
        <v>1</v>
      </c>
    </row>
    <row r="681" customFormat="false" ht="15" hidden="false" customHeight="false" outlineLevel="0" collapsed="false">
      <c r="A681" s="28" t="n">
        <v>46043</v>
      </c>
      <c r="B681" s="0" t="n">
        <v>25188</v>
      </c>
      <c r="C681" s="0" t="n">
        <v>285.31</v>
      </c>
      <c r="D681" s="29" t="n">
        <f aca="false">LN(B681)</f>
        <v>10.1341229696086</v>
      </c>
      <c r="E681" s="29" t="n">
        <f aca="false">LN(C681)</f>
        <v>5.65357630842888</v>
      </c>
      <c r="F681" s="0" t="n">
        <v>676</v>
      </c>
      <c r="G681" s="0" t="n">
        <v>6</v>
      </c>
      <c r="H681" s="29" t="n">
        <f aca="false">D681-E681</f>
        <v>4.48054666117975</v>
      </c>
      <c r="I681" s="29" t="n">
        <f aca="false">D681-D680</f>
        <v>-0.00315525198546496</v>
      </c>
      <c r="J681" s="29" t="n">
        <f aca="false">E681-E680</f>
        <v>-0.00590590733073881</v>
      </c>
      <c r="K681" s="0" t="n">
        <v>0</v>
      </c>
      <c r="L681" s="0" t="n">
        <v>0</v>
      </c>
      <c r="M681" s="29" t="n">
        <f aca="false">IF(L681=1,J681-Carry!$B$9/Inputs!$B$16,I681)</f>
        <v>-0.00315525198546496</v>
      </c>
      <c r="N681" s="0" t="n">
        <v>0.0525</v>
      </c>
      <c r="O681" s="0" t="n">
        <v>0.0002</v>
      </c>
      <c r="P681" s="29" t="n">
        <f aca="false">D681-('2 Hedge ratio'!$B$6+'2 Hedge ratio'!$B$5*E681)</f>
        <v>-0.0070896533345497</v>
      </c>
      <c r="Q681" s="29" t="n">
        <f aca="false">D681-('5 Re-specification'!$B$7+'5 Re-specification'!$B$5*E681+'5 Re-specification'!$B$6*F681)</f>
        <v>-0.00314897761223598</v>
      </c>
      <c r="R681" s="30" t="n">
        <f aca="false">MIN(F681,Inputs!$B$9)</f>
        <v>250</v>
      </c>
      <c r="S681" s="29" t="n">
        <f aca="true">IF(AND(F681&gt;=1,R681&gt;=Inputs!$B$10),INDEX(LINEST(OFFSET(D681,-R681,0,R681,1),OFFSET(E681,-R681,0,R681,2)),1,1),"")</f>
        <v>-6.65675293788099E-005</v>
      </c>
      <c r="T681" s="29" t="n">
        <f aca="true">IF(AND(F681&gt;=1,R681&gt;=Inputs!$B$10),INDEX(LINEST(OFFSET(D681,-R681,0,R681,1),OFFSET(E681,-R681,0,R681,2)),1,2),"")</f>
        <v>1.02664125732962</v>
      </c>
      <c r="U681" s="29" t="n">
        <f aca="true">IF(AND(F681&gt;=1,R681&gt;=Inputs!$B$10),INDEX(LINEST(OFFSET(D681,-R681,0,R681,1),OFFSET(E681,-R681,0,R681,2)),1,3),"")</f>
        <v>4.37644386019385</v>
      </c>
      <c r="V681" s="29" t="n">
        <f aca="true">IF(AND(F681&gt;=1,R681&gt;=Inputs!$B$10),SQRT(SUMPRODUCT((OFFSET(D681,-R681,0,R681,1)-U681-T681*OFFSET(E681,-R681,0,R681,1)-S681*OFFSET(F681,-R681,0,R681,1))^2)/(R681-3)),"")</f>
        <v>0.00225595639395241</v>
      </c>
      <c r="W681" s="31" t="n">
        <f aca="false">IF(AND(F681&gt;=1,R681&gt;=Inputs!$B$10),(D681-U681-T681*E681-S681*F681)/V681,"")</f>
        <v>-0.67196796160878</v>
      </c>
      <c r="X681" s="30" t="n">
        <f aca="false">IF(AB680&lt;&gt;0,AC680+1,0)</f>
        <v>1</v>
      </c>
      <c r="Y681" s="30" t="n">
        <f aca="false">IF(W681="",0,IF(AND(AB680&lt;&gt;0,OR(ABS(W681)&gt;Inputs!$B$7,X681&gt;=Inputs!$B$8,ABS(W681)&lt;Inputs!$B$6)),1,0))</f>
        <v>0</v>
      </c>
      <c r="Z681" s="30" t="n">
        <f aca="false">IF(Y681=1,0,AB680)</f>
        <v>1</v>
      </c>
      <c r="AA681" s="30" t="n">
        <f aca="false">IF(W681="",0,IF(AND(Z681=0,ABS(W681)&gt;Inputs!$B$5,ABS(W681)&lt;=Inputs!$B$7),1,0))</f>
        <v>0</v>
      </c>
      <c r="AB681" s="30" t="n">
        <f aca="false">IF(W681="",0,IF(AA681=1,-SIGN(W681),Z681))</f>
        <v>1</v>
      </c>
      <c r="AC681" s="30" t="n">
        <f aca="false">IF(W681="",0,IF(AA681=1,0,IF(Y681=1,0,X681)))</f>
        <v>1</v>
      </c>
      <c r="AD681" s="29" t="n">
        <f aca="false">IF(AB681=0,0,IF(AB680=AB681,AD680,T681))</f>
        <v>1.02490047142749</v>
      </c>
      <c r="AE681" s="30" t="n">
        <f aca="false">AB681-AB680</f>
        <v>0</v>
      </c>
      <c r="AF681" s="30" t="n">
        <f aca="false">-AD681*AB681</f>
        <v>-1.02490047142749</v>
      </c>
      <c r="AG681" s="30" t="n">
        <f aca="false">AF681-AF680</f>
        <v>0</v>
      </c>
      <c r="AH681" s="30" t="n">
        <f aca="false">MAX(AE681,0)*(Inputs!$B$17+Inputs!$B$18+Inputs!$B$19)+MAX(-AE681,0)*(O681+Inputs!$B$18+Inputs!$B$19)+IF(AND(K681=1,AB681&lt;&gt;0),(Inputs!$B$17+Inputs!$B$18+Inputs!$B$19)+(O681+Inputs!$B$18+Inputs!$B$19),0)+MAX(AG681,0)*(Inputs!$B$20+Inputs!$B$22+Inputs!$B$23)+MAX(-AG681,0)*(Inputs!$B$21+Inputs!$B$22+Inputs!$B$23)</f>
        <v>0</v>
      </c>
      <c r="AI681" s="30" t="n">
        <f aca="false">AB680*(M681-AD680*J681)+AB680*AD680*N681/Inputs!$B$16-AH681</f>
        <v>0.00311123615356372</v>
      </c>
      <c r="AJ681" s="30" t="n">
        <f aca="false">MAX(AE681,0)*(Inputs!$B$17+Inputs!$B$24+Inputs!$B$25)+MAX(-AE681,0)*(O681+Inputs!$B$24+Inputs!$B$25)+IF(AND(K681=1,AB681&lt;&gt;0),(Inputs!$B$17+Inputs!$B$24+Inputs!$B$25)+(O681+Inputs!$B$24+Inputs!$B$25),0)+MAX(AG681,0)*(Inputs!$B$20+Inputs!$B$26+Inputs!$B$27)+MAX(-AG681,0)*(Inputs!$B$21+Inputs!$B$26+Inputs!$B$27)</f>
        <v>0</v>
      </c>
      <c r="AK681" s="30" t="n">
        <f aca="false">AB680*(M681-AD680*J681)+AB680*AD680*(N681+Inputs!$B$14)/Inputs!$B$16-AJ681</f>
        <v>0.00314173914378478</v>
      </c>
      <c r="AL681" s="30" t="n">
        <f aca="false">IF(AP680&lt;&gt;0,AQ680+1,0)</f>
        <v>0</v>
      </c>
      <c r="AM681" s="30" t="n">
        <f aca="false">IF(W681="",0,IF(AND(AP680&lt;&gt;0,OR(ABS(W681)&gt;Inputs!$B$7,AL681&gt;=Inputs!$B$8,ABS(W681)&lt;Inputs!$B$6)),1,0))</f>
        <v>0</v>
      </c>
      <c r="AN681" s="30" t="n">
        <f aca="false">IF(AM681=1,0,AP680)</f>
        <v>0</v>
      </c>
      <c r="AO681" s="30" t="n">
        <f aca="false">IF(W681="",0,IF(AND(AN681=0,ABS(W681)&gt;Inputs!$B$5,ABS(W681)&lt;=Inputs!$B$7,W681&gt;0),1,0))</f>
        <v>0</v>
      </c>
      <c r="AP681" s="30" t="n">
        <f aca="false">IF(W681="",0,IF(AO681=1,-SIGN(W681),AN681))</f>
        <v>0</v>
      </c>
      <c r="AQ681" s="30" t="n">
        <f aca="false">IF(W681="",0,IF(AO681=1,0,IF(AM681=1,0,AL681)))</f>
        <v>0</v>
      </c>
      <c r="AR681" s="30" t="n">
        <f aca="false">IF(AP681=0,0,IF(AP680=AP681,AR680,T681))</f>
        <v>0</v>
      </c>
      <c r="AS681" s="30" t="n">
        <f aca="false">AP681-AP680</f>
        <v>0</v>
      </c>
      <c r="AT681" s="30" t="n">
        <f aca="false">-AR681*AP681</f>
        <v>-0</v>
      </c>
      <c r="AU681" s="30" t="n">
        <f aca="false">AT681-AT680</f>
        <v>0</v>
      </c>
      <c r="AV681" s="30" t="n">
        <f aca="false">MAX(AS681,0)*(Inputs!$B$17+Inputs!$B$18+Inputs!$B$19)+MAX(-AS681,0)*(O681+Inputs!$B$18+Inputs!$B$19)+IF(AND(K681=1,AP681&lt;&gt;0),(Inputs!$B$17+Inputs!$B$18+Inputs!$B$19)+(O681+Inputs!$B$18+Inputs!$B$19),0)+MAX(AU681,0)*(Inputs!$B$20+Inputs!$B$22+Inputs!$B$23)+MAX(-AU681,0)*(Inputs!$B$21+Inputs!$B$22+Inputs!$B$23)</f>
        <v>0</v>
      </c>
      <c r="AW681" s="30" t="n">
        <f aca="false">AP680*(M681-AR680*J681)+AP680*AR680*N681/Inputs!$B$16-AV681</f>
        <v>0</v>
      </c>
      <c r="AX681" s="30" t="n">
        <f aca="false">AW681-IF(AP680&lt;&gt;0,0.75*AR680*(Inputs!$B$13-N681)/Inputs!$B$16,0)</f>
        <v>0</v>
      </c>
      <c r="AY681" s="30" t="n">
        <f aca="false">MAX(AS681,0)*(Inputs!$B$17+Inputs!$B$18+Inputs!$B$19)+MAX(-AS681,0)*(O681+Inputs!$B$18+Inputs!$B$19)+IF(AND(K681=1,AP681&lt;&gt;0),(Inputs!$B$17+Inputs!$B$18+Inputs!$B$19)+(O681+Inputs!$B$18+Inputs!$B$19),0)</f>
        <v>0</v>
      </c>
      <c r="AZ681" s="30" t="n">
        <f aca="false">AP680*M681-AY681</f>
        <v>-0</v>
      </c>
      <c r="BA681" s="32" t="n">
        <f aca="false">BA680+AI681</f>
        <v>0.0149959355111675</v>
      </c>
      <c r="BB681" s="30" t="n">
        <f aca="false">MAX(BB680,BA681)</f>
        <v>0.0149959355111675</v>
      </c>
      <c r="BC681" s="32" t="n">
        <f aca="false">BA681-BB681</f>
        <v>0</v>
      </c>
      <c r="BD681" s="30" t="n">
        <f aca="false">A682-A681</f>
        <v>1</v>
      </c>
    </row>
    <row r="682" customFormat="false" ht="15" hidden="false" customHeight="false" outlineLevel="0" collapsed="false">
      <c r="A682" s="28" t="n">
        <v>46044</v>
      </c>
      <c r="B682" s="0" t="n">
        <v>25373.5</v>
      </c>
      <c r="C682" s="0" t="n">
        <v>286.82</v>
      </c>
      <c r="D682" s="29" t="n">
        <f aca="false">LN(B682)</f>
        <v>10.1414606012963</v>
      </c>
      <c r="E682" s="29" t="n">
        <f aca="false">LN(C682)</f>
        <v>5.65885484130107</v>
      </c>
      <c r="F682" s="0" t="n">
        <v>677</v>
      </c>
      <c r="G682" s="0" t="n">
        <v>5</v>
      </c>
      <c r="H682" s="29" t="n">
        <f aca="false">D682-E682</f>
        <v>4.48260575999527</v>
      </c>
      <c r="I682" s="29" t="n">
        <f aca="false">D682-D681</f>
        <v>0.00733763168770274</v>
      </c>
      <c r="J682" s="29" t="n">
        <f aca="false">E682-E681</f>
        <v>0.00527853287218338</v>
      </c>
      <c r="K682" s="0" t="n">
        <v>0</v>
      </c>
      <c r="L682" s="0" t="n">
        <v>0</v>
      </c>
      <c r="M682" s="29" t="n">
        <f aca="false">IF(L682=1,J682-Carry!$B$9/Inputs!$B$16,I682)</f>
        <v>0.00733763168770274</v>
      </c>
      <c r="N682" s="0" t="n">
        <v>0.0525</v>
      </c>
      <c r="O682" s="0" t="n">
        <v>0.0002</v>
      </c>
      <c r="P682" s="29" t="n">
        <f aca="false">D682-('2 Hedge ratio'!$B$6+'2 Hedge ratio'!$B$5*E682)</f>
        <v>-0.00458782686061632</v>
      </c>
      <c r="Q682" s="29" t="n">
        <f aca="false">D682-('5 Re-specification'!$B$7+'5 Re-specification'!$B$5*E682+'5 Re-specification'!$B$6*F682)</f>
        <v>-0.00102895288463856</v>
      </c>
      <c r="R682" s="30" t="n">
        <f aca="false">MIN(F682,Inputs!$B$9)</f>
        <v>250</v>
      </c>
      <c r="S682" s="29" t="n">
        <f aca="true">IF(AND(F682&gt;=1,R682&gt;=Inputs!$B$10),INDEX(LINEST(OFFSET(D682,-R682,0,R682,1),OFFSET(E682,-R682,0,R682,2)),1,1),"")</f>
        <v>-6.73844145322782E-005</v>
      </c>
      <c r="T682" s="29" t="n">
        <f aca="true">IF(AND(F682&gt;=1,R682&gt;=Inputs!$B$10),INDEX(LINEST(OFFSET(D682,-R682,0,R682,1),OFFSET(E682,-R682,0,R682,2)),1,2),"")</f>
        <v>1.02744967868689</v>
      </c>
      <c r="U682" s="29" t="n">
        <f aca="true">IF(AND(F682&gt;=1,R682&gt;=Inputs!$B$10),INDEX(LINEST(OFFSET(D682,-R682,0,R682,1),OFFSET(E682,-R682,0,R682,2)),1,3),"")</f>
        <v>4.37234723885466</v>
      </c>
      <c r="V682" s="29" t="n">
        <f aca="true">IF(AND(F682&gt;=1,R682&gt;=Inputs!$B$10),SQRT(SUMPRODUCT((OFFSET(D682,-R682,0,R682,1)-U682-T682*OFFSET(E682,-R682,0,R682,1)-S682*OFFSET(F682,-R682,0,R682,1))^2)/(R682-3)),"")</f>
        <v>0.00225457325143569</v>
      </c>
      <c r="W682" s="31" t="n">
        <f aca="false">IF(AND(F682&gt;=1,R682&gt;=Inputs!$B$10),(D682-U682-T682*E682-S682*F682)/V682,"")</f>
        <v>0.241297393720004</v>
      </c>
      <c r="X682" s="30" t="n">
        <f aca="false">IF(AB681&lt;&gt;0,AC681+1,0)</f>
        <v>2</v>
      </c>
      <c r="Y682" s="30" t="n">
        <f aca="false">IF(W682="",0,IF(AND(AB681&lt;&gt;0,OR(ABS(W682)&gt;Inputs!$B$7,X682&gt;=Inputs!$B$8,ABS(W682)&lt;Inputs!$B$6)),1,0))</f>
        <v>1</v>
      </c>
      <c r="Z682" s="30" t="n">
        <f aca="false">IF(Y682=1,0,AB681)</f>
        <v>0</v>
      </c>
      <c r="AA682" s="30" t="n">
        <f aca="false">IF(W682="",0,IF(AND(Z682=0,ABS(W682)&gt;Inputs!$B$5,ABS(W682)&lt;=Inputs!$B$7),1,0))</f>
        <v>0</v>
      </c>
      <c r="AB682" s="30" t="n">
        <f aca="false">IF(W682="",0,IF(AA682=1,-SIGN(W682),Z682))</f>
        <v>0</v>
      </c>
      <c r="AC682" s="30" t="n">
        <f aca="false">IF(W682="",0,IF(AA682=1,0,IF(Y682=1,0,X682)))</f>
        <v>0</v>
      </c>
      <c r="AD682" s="30" t="n">
        <f aca="false">IF(AB682=0,0,IF(AB681=AB682,AD681,T682))</f>
        <v>0</v>
      </c>
      <c r="AE682" s="30" t="n">
        <f aca="false">AB682-AB681</f>
        <v>-1</v>
      </c>
      <c r="AF682" s="30" t="n">
        <f aca="false">-AD682*AB682</f>
        <v>-0</v>
      </c>
      <c r="AG682" s="30" t="n">
        <f aca="false">AF682-AF681</f>
        <v>1.02490047142749</v>
      </c>
      <c r="AH682" s="30" t="n">
        <f aca="false">MAX(AE682,0)*(Inputs!$B$17+Inputs!$B$18+Inputs!$B$19)+MAX(-AE682,0)*(O682+Inputs!$B$18+Inputs!$B$19)+IF(AND(K682=1,AB682&lt;&gt;0),(Inputs!$B$17+Inputs!$B$18+Inputs!$B$19)+(O682+Inputs!$B$18+Inputs!$B$19),0)+MAX(AG682,0)*(Inputs!$B$20+Inputs!$B$22+Inputs!$B$23)+MAX(-AG682,0)*(Inputs!$B$21+Inputs!$B$22+Inputs!$B$23)</f>
        <v>0.000693715164999622</v>
      </c>
      <c r="AI682" s="30" t="n">
        <f aca="false">AB681*(M682-AD681*J682)+AB681*AD681*N682/Inputs!$B$16-AH682</f>
        <v>0.00144746662510425</v>
      </c>
      <c r="AJ682" s="30" t="n">
        <f aca="false">MAX(AE682,0)*(Inputs!$B$17+Inputs!$B$24+Inputs!$B$25)+MAX(-AE682,0)*(O682+Inputs!$B$24+Inputs!$B$25)+IF(AND(K682=1,AB682&lt;&gt;0),(Inputs!$B$17+Inputs!$B$24+Inputs!$B$25)+(O682+Inputs!$B$24+Inputs!$B$25),0)+MAX(AG682,0)*(Inputs!$B$20+Inputs!$B$26+Inputs!$B$27)+MAX(-AG682,0)*(Inputs!$B$21+Inputs!$B$26+Inputs!$B$27)</f>
        <v>0.00053134962021401</v>
      </c>
      <c r="AK682" s="30" t="n">
        <f aca="false">AB681*(M682-AD681*J682)+AB681*AD681*(N682+Inputs!$B$14)/Inputs!$B$16-AJ682</f>
        <v>0.00164033516011092</v>
      </c>
      <c r="AL682" s="30" t="n">
        <f aca="false">IF(AP681&lt;&gt;0,AQ681+1,0)</f>
        <v>0</v>
      </c>
      <c r="AM682" s="30" t="n">
        <f aca="false">IF(W682="",0,IF(AND(AP681&lt;&gt;0,OR(ABS(W682)&gt;Inputs!$B$7,AL682&gt;=Inputs!$B$8,ABS(W682)&lt;Inputs!$B$6)),1,0))</f>
        <v>0</v>
      </c>
      <c r="AN682" s="30" t="n">
        <f aca="false">IF(AM682=1,0,AP681)</f>
        <v>0</v>
      </c>
      <c r="AO682" s="30" t="n">
        <f aca="false">IF(W682="",0,IF(AND(AN682=0,ABS(W682)&gt;Inputs!$B$5,ABS(W682)&lt;=Inputs!$B$7,W682&gt;0),1,0))</f>
        <v>0</v>
      </c>
      <c r="AP682" s="30" t="n">
        <f aca="false">IF(W682="",0,IF(AO682=1,-SIGN(W682),AN682))</f>
        <v>0</v>
      </c>
      <c r="AQ682" s="30" t="n">
        <f aca="false">IF(W682="",0,IF(AO682=1,0,IF(AM682=1,0,AL682)))</f>
        <v>0</v>
      </c>
      <c r="AR682" s="30" t="n">
        <f aca="false">IF(AP682=0,0,IF(AP681=AP682,AR681,T682))</f>
        <v>0</v>
      </c>
      <c r="AS682" s="30" t="n">
        <f aca="false">AP682-AP681</f>
        <v>0</v>
      </c>
      <c r="AT682" s="30" t="n">
        <f aca="false">-AR682*AP682</f>
        <v>-0</v>
      </c>
      <c r="AU682" s="30" t="n">
        <f aca="false">AT682-AT681</f>
        <v>0</v>
      </c>
      <c r="AV682" s="30" t="n">
        <f aca="false">MAX(AS682,0)*(Inputs!$B$17+Inputs!$B$18+Inputs!$B$19)+MAX(-AS682,0)*(O682+Inputs!$B$18+Inputs!$B$19)+IF(AND(K682=1,AP682&lt;&gt;0),(Inputs!$B$17+Inputs!$B$18+Inputs!$B$19)+(O682+Inputs!$B$18+Inputs!$B$19),0)+MAX(AU682,0)*(Inputs!$B$20+Inputs!$B$22+Inputs!$B$23)+MAX(-AU682,0)*(Inputs!$B$21+Inputs!$B$22+Inputs!$B$23)</f>
        <v>0</v>
      </c>
      <c r="AW682" s="30" t="n">
        <f aca="false">AP681*(M682-AR681*J682)+AP681*AR681*N682/Inputs!$B$16-AV682</f>
        <v>0</v>
      </c>
      <c r="AX682" s="30" t="n">
        <f aca="false">AW682-IF(AP681&lt;&gt;0,0.75*AR681*(Inputs!$B$13-N682)/Inputs!$B$16,0)</f>
        <v>0</v>
      </c>
      <c r="AY682" s="30" t="n">
        <f aca="false">MAX(AS682,0)*(Inputs!$B$17+Inputs!$B$18+Inputs!$B$19)+MAX(-AS682,0)*(O682+Inputs!$B$18+Inputs!$B$19)+IF(AND(K682=1,AP682&lt;&gt;0),(Inputs!$B$17+Inputs!$B$18+Inputs!$B$19)+(O682+Inputs!$B$18+Inputs!$B$19),0)</f>
        <v>0</v>
      </c>
      <c r="AZ682" s="30" t="n">
        <f aca="false">AP681*M682-AY682</f>
        <v>0</v>
      </c>
      <c r="BA682" s="32" t="n">
        <f aca="false">BA681+AI682</f>
        <v>0.0164434021362718</v>
      </c>
      <c r="BB682" s="30" t="n">
        <f aca="false">MAX(BB681,BA682)</f>
        <v>0.0164434021362718</v>
      </c>
      <c r="BC682" s="32" t="n">
        <f aca="false">BA682-BB682</f>
        <v>0</v>
      </c>
      <c r="BD682" s="30" t="n">
        <f aca="false">A683-A682</f>
        <v>1</v>
      </c>
    </row>
    <row r="683" customFormat="false" ht="15" hidden="false" customHeight="false" outlineLevel="0" collapsed="false">
      <c r="A683" s="28" t="n">
        <v>46045</v>
      </c>
      <c r="B683" s="0" t="n">
        <v>25080</v>
      </c>
      <c r="C683" s="0" t="n">
        <v>284</v>
      </c>
      <c r="D683" s="29" t="n">
        <f aca="false">LN(B683)</f>
        <v>10.1298259947469</v>
      </c>
      <c r="E683" s="29" t="n">
        <f aca="false">LN(C683)</f>
        <v>5.64897423816121</v>
      </c>
      <c r="F683" s="0" t="n">
        <v>678</v>
      </c>
      <c r="G683" s="0" t="n">
        <v>4</v>
      </c>
      <c r="H683" s="29" t="n">
        <f aca="false">D683-E683</f>
        <v>4.48085175658565</v>
      </c>
      <c r="I683" s="29" t="n">
        <f aca="false">D683-D682</f>
        <v>-0.0116346065494781</v>
      </c>
      <c r="J683" s="29" t="n">
        <f aca="false">E683-E682</f>
        <v>-0.00988060313985972</v>
      </c>
      <c r="K683" s="0" t="n">
        <v>0</v>
      </c>
      <c r="L683" s="0" t="n">
        <v>0</v>
      </c>
      <c r="M683" s="29" t="n">
        <f aca="false">IF(L683=1,J683-Carry!$B$9/Inputs!$B$16,I683)</f>
        <v>-0.0116346065494781</v>
      </c>
      <c r="N683" s="0" t="n">
        <v>0.0525</v>
      </c>
      <c r="O683" s="0" t="n">
        <v>0.0002</v>
      </c>
      <c r="P683" s="29" t="n">
        <f aca="false">D683-('2 Hedge ratio'!$B$6+'2 Hedge ratio'!$B$5*E683)</f>
        <v>-0.00717054847617327</v>
      </c>
      <c r="Q683" s="29" t="n">
        <f aca="false">D683-('5 Re-specification'!$B$7+'5 Re-specification'!$B$5*E683+'5 Re-specification'!$B$6*F683)</f>
        <v>-0.00276797014418406</v>
      </c>
      <c r="R683" s="30" t="n">
        <f aca="false">MIN(F683,Inputs!$B$9)</f>
        <v>250</v>
      </c>
      <c r="S683" s="29" t="n">
        <f aca="true">IF(AND(F683&gt;=1,R683&gt;=Inputs!$B$10),INDEX(LINEST(OFFSET(D683,-R683,0,R683,1),OFFSET(E683,-R683,0,R683,2)),1,1),"")</f>
        <v>-6.75478874829032E-005</v>
      </c>
      <c r="T683" s="29" t="n">
        <f aca="true">IF(AND(F683&gt;=1,R683&gt;=Inputs!$B$10),INDEX(LINEST(OFFSET(D683,-R683,0,R683,1),OFFSET(E683,-R683,0,R683,2)),1,2),"")</f>
        <v>1.0274894192624</v>
      </c>
      <c r="U683" s="29" t="n">
        <f aca="true">IF(AND(F683&gt;=1,R683&gt;=Inputs!$B$10),INDEX(LINEST(OFFSET(D683,-R683,0,R683,1),OFFSET(E683,-R683,0,R683,2)),1,3),"")</f>
        <v>4.37222406460689</v>
      </c>
      <c r="V683" s="29" t="n">
        <f aca="true">IF(AND(F683&gt;=1,R683&gt;=Inputs!$B$10),SQRT(SUMPRODUCT((OFFSET(D683,-R683,0,R683,1)-U683-T683*OFFSET(E683,-R683,0,R683,1)-S683*OFFSET(F683,-R683,0,R683,1))^2)/(R683-3)),"")</f>
        <v>0.00225124295763948</v>
      </c>
      <c r="W683" s="31" t="n">
        <f aca="false">IF(AND(F683&gt;=1,R683&gt;=Inputs!$B$10),(D683-U683-T683*E683-S683*F683)/V683,"")</f>
        <v>-0.382838085160475</v>
      </c>
      <c r="X683" s="30" t="n">
        <f aca="false">IF(AB682&lt;&gt;0,AC682+1,0)</f>
        <v>0</v>
      </c>
      <c r="Y683" s="30" t="n">
        <f aca="false">IF(W683="",0,IF(AND(AB682&lt;&gt;0,OR(ABS(W683)&gt;Inputs!$B$7,X683&gt;=Inputs!$B$8,ABS(W683)&lt;Inputs!$B$6)),1,0))</f>
        <v>0</v>
      </c>
      <c r="Z683" s="30" t="n">
        <f aca="false">IF(Y683=1,0,AB682)</f>
        <v>0</v>
      </c>
      <c r="AA683" s="30" t="n">
        <f aca="false">IF(W683="",0,IF(AND(Z683=0,ABS(W683)&gt;Inputs!$B$5,ABS(W683)&lt;=Inputs!$B$7),1,0))</f>
        <v>0</v>
      </c>
      <c r="AB683" s="30" t="n">
        <f aca="false">IF(W683="",0,IF(AA683=1,-SIGN(W683),Z683))</f>
        <v>0</v>
      </c>
      <c r="AC683" s="30" t="n">
        <f aca="false">IF(W683="",0,IF(AA683=1,0,IF(Y683=1,0,X683)))</f>
        <v>0</v>
      </c>
      <c r="AD683" s="30" t="n">
        <f aca="false">IF(AB683=0,0,IF(AB682=AB683,AD682,T683))</f>
        <v>0</v>
      </c>
      <c r="AE683" s="30" t="n">
        <f aca="false">AB683-AB682</f>
        <v>0</v>
      </c>
      <c r="AF683" s="30" t="n">
        <f aca="false">-AD683*AB683</f>
        <v>-0</v>
      </c>
      <c r="AG683" s="30" t="n">
        <f aca="false">AF683-AF682</f>
        <v>0</v>
      </c>
      <c r="AH683" s="30" t="n">
        <f aca="false">MAX(AE683,0)*(Inputs!$B$17+Inputs!$B$18+Inputs!$B$19)+MAX(-AE683,0)*(O683+Inputs!$B$18+Inputs!$B$19)+IF(AND(K683=1,AB683&lt;&gt;0),(Inputs!$B$17+Inputs!$B$18+Inputs!$B$19)+(O683+Inputs!$B$18+Inputs!$B$19),0)+MAX(AG683,0)*(Inputs!$B$20+Inputs!$B$22+Inputs!$B$23)+MAX(-AG683,0)*(Inputs!$B$21+Inputs!$B$22+Inputs!$B$23)</f>
        <v>0</v>
      </c>
      <c r="AI683" s="30" t="n">
        <f aca="false">AB682*(M683-AD682*J683)+AB682*AD682*N683/Inputs!$B$16-AH683</f>
        <v>0</v>
      </c>
      <c r="AJ683" s="30" t="n">
        <f aca="false">MAX(AE683,0)*(Inputs!$B$17+Inputs!$B$24+Inputs!$B$25)+MAX(-AE683,0)*(O683+Inputs!$B$24+Inputs!$B$25)+IF(AND(K683=1,AB683&lt;&gt;0),(Inputs!$B$17+Inputs!$B$24+Inputs!$B$25)+(O683+Inputs!$B$24+Inputs!$B$25),0)+MAX(AG683,0)*(Inputs!$B$20+Inputs!$B$26+Inputs!$B$27)+MAX(-AG683,0)*(Inputs!$B$21+Inputs!$B$26+Inputs!$B$27)</f>
        <v>0</v>
      </c>
      <c r="AK683" s="30" t="n">
        <f aca="false">AB682*(M683-AD682*J683)+AB682*AD682*(N683+Inputs!$B$14)/Inputs!$B$16-AJ683</f>
        <v>0</v>
      </c>
      <c r="AL683" s="30" t="n">
        <f aca="false">IF(AP682&lt;&gt;0,AQ682+1,0)</f>
        <v>0</v>
      </c>
      <c r="AM683" s="30" t="n">
        <f aca="false">IF(W683="",0,IF(AND(AP682&lt;&gt;0,OR(ABS(W683)&gt;Inputs!$B$7,AL683&gt;=Inputs!$B$8,ABS(W683)&lt;Inputs!$B$6)),1,0))</f>
        <v>0</v>
      </c>
      <c r="AN683" s="30" t="n">
        <f aca="false">IF(AM683=1,0,AP682)</f>
        <v>0</v>
      </c>
      <c r="AO683" s="30" t="n">
        <f aca="false">IF(W683="",0,IF(AND(AN683=0,ABS(W683)&gt;Inputs!$B$5,ABS(W683)&lt;=Inputs!$B$7,W683&gt;0),1,0))</f>
        <v>0</v>
      </c>
      <c r="AP683" s="30" t="n">
        <f aca="false">IF(W683="",0,IF(AO683=1,-SIGN(W683),AN683))</f>
        <v>0</v>
      </c>
      <c r="AQ683" s="30" t="n">
        <f aca="false">IF(W683="",0,IF(AO683=1,0,IF(AM683=1,0,AL683)))</f>
        <v>0</v>
      </c>
      <c r="AR683" s="30" t="n">
        <f aca="false">IF(AP683=0,0,IF(AP682=AP683,AR682,T683))</f>
        <v>0</v>
      </c>
      <c r="AS683" s="30" t="n">
        <f aca="false">AP683-AP682</f>
        <v>0</v>
      </c>
      <c r="AT683" s="30" t="n">
        <f aca="false">-AR683*AP683</f>
        <v>-0</v>
      </c>
      <c r="AU683" s="30" t="n">
        <f aca="false">AT683-AT682</f>
        <v>0</v>
      </c>
      <c r="AV683" s="30" t="n">
        <f aca="false">MAX(AS683,0)*(Inputs!$B$17+Inputs!$B$18+Inputs!$B$19)+MAX(-AS683,0)*(O683+Inputs!$B$18+Inputs!$B$19)+IF(AND(K683=1,AP683&lt;&gt;0),(Inputs!$B$17+Inputs!$B$18+Inputs!$B$19)+(O683+Inputs!$B$18+Inputs!$B$19),0)+MAX(AU683,0)*(Inputs!$B$20+Inputs!$B$22+Inputs!$B$23)+MAX(-AU683,0)*(Inputs!$B$21+Inputs!$B$22+Inputs!$B$23)</f>
        <v>0</v>
      </c>
      <c r="AW683" s="30" t="n">
        <f aca="false">AP682*(M683-AR682*J683)+AP682*AR682*N683/Inputs!$B$16-AV683</f>
        <v>0</v>
      </c>
      <c r="AX683" s="30" t="n">
        <f aca="false">AW683-IF(AP682&lt;&gt;0,0.75*AR682*(Inputs!$B$13-N683)/Inputs!$B$16,0)</f>
        <v>0</v>
      </c>
      <c r="AY683" s="30" t="n">
        <f aca="false">MAX(AS683,0)*(Inputs!$B$17+Inputs!$B$18+Inputs!$B$19)+MAX(-AS683,0)*(O683+Inputs!$B$18+Inputs!$B$19)+IF(AND(K683=1,AP683&lt;&gt;0),(Inputs!$B$17+Inputs!$B$18+Inputs!$B$19)+(O683+Inputs!$B$18+Inputs!$B$19),0)</f>
        <v>0</v>
      </c>
      <c r="AZ683" s="30" t="n">
        <f aca="false">AP682*M683-AY683</f>
        <v>-0</v>
      </c>
      <c r="BA683" s="32" t="n">
        <f aca="false">BA682+AI683</f>
        <v>0.0164434021362718</v>
      </c>
      <c r="BB683" s="30" t="n">
        <f aca="false">MAX(BB682,BA683)</f>
        <v>0.0164434021362718</v>
      </c>
      <c r="BC683" s="32" t="n">
        <f aca="false">BA683-BB683</f>
        <v>0</v>
      </c>
      <c r="BD683" s="30" t="n">
        <f aca="false">A684-A683</f>
        <v>4</v>
      </c>
    </row>
    <row r="684" customFormat="false" ht="15" hidden="false" customHeight="false" outlineLevel="0" collapsed="false">
      <c r="A684" s="28" t="n">
        <v>46049</v>
      </c>
      <c r="B684" s="0" t="n">
        <v>25174</v>
      </c>
      <c r="C684" s="0" t="n">
        <v>285.89</v>
      </c>
      <c r="D684" s="29" t="n">
        <f aca="false">LN(B684)</f>
        <v>10.1335669948515</v>
      </c>
      <c r="E684" s="29" t="n">
        <f aca="false">LN(C684)</f>
        <v>5.65560712145177</v>
      </c>
      <c r="F684" s="0" t="n">
        <v>679</v>
      </c>
      <c r="G684" s="0" t="n">
        <v>0</v>
      </c>
      <c r="H684" s="29" t="n">
        <f aca="false">D684-E684</f>
        <v>4.47795987339968</v>
      </c>
      <c r="I684" s="29" t="n">
        <f aca="false">D684-D683</f>
        <v>0.00374100010459344</v>
      </c>
      <c r="J684" s="29" t="n">
        <f aca="false">E684-E683</f>
        <v>0.00663288329056311</v>
      </c>
      <c r="K684" s="0" t="n">
        <v>1</v>
      </c>
      <c r="L684" s="0" t="n">
        <v>0</v>
      </c>
      <c r="M684" s="29" t="n">
        <f aca="false">IF(L684=1,J684-Carry!$B$9/Inputs!$B$16,I684)</f>
        <v>0.00374100010459344</v>
      </c>
      <c r="N684" s="0" t="n">
        <v>0.0525</v>
      </c>
      <c r="O684" s="0" t="n">
        <v>0.0002</v>
      </c>
      <c r="P684" s="29" t="n">
        <f aca="false">D684-('2 Hedge ratio'!$B$6+'2 Hedge ratio'!$B$5*E684)</f>
        <v>-0.00950611024502379</v>
      </c>
      <c r="Q684" s="29" t="n">
        <f aca="false">D684-('5 Re-specification'!$B$7+'5 Re-specification'!$B$5*E684+'5 Re-specification'!$B$6*F684)</f>
        <v>-0.00559482305910386</v>
      </c>
      <c r="R684" s="30" t="n">
        <f aca="false">MIN(F684,Inputs!$B$9)</f>
        <v>250</v>
      </c>
      <c r="S684" s="29" t="n">
        <f aca="true">IF(AND(F684&gt;=1,R684&gt;=Inputs!$B$10),INDEX(LINEST(OFFSET(D684,-R684,0,R684,1),OFFSET(E684,-R684,0,R684,2)),1,1),"")</f>
        <v>-6.81002141713842E-005</v>
      </c>
      <c r="T684" s="29" t="n">
        <f aca="true">IF(AND(F684&gt;=1,R684&gt;=Inputs!$B$10),INDEX(LINEST(OFFSET(D684,-R684,0,R684,1),OFFSET(E684,-R684,0,R684,2)),1,2),"")</f>
        <v>1.02790927977616</v>
      </c>
      <c r="U684" s="29" t="n">
        <f aca="true">IF(AND(F684&gt;=1,R684&gt;=Inputs!$B$10),INDEX(LINEST(OFFSET(D684,-R684,0,R684,1),OFFSET(E684,-R684,0,R684,2)),1,3),"")</f>
        <v>4.37017272449336</v>
      </c>
      <c r="V684" s="29" t="n">
        <f aca="true">IF(AND(F684&gt;=1,R684&gt;=Inputs!$B$10),SQRT(SUMPRODUCT((OFFSET(D684,-R684,0,R684,1)-U684-T684*OFFSET(E684,-R684,0,R684,1)-S684*OFFSET(F684,-R684,0,R684,1))^2)/(R684-3)),"")</f>
        <v>0.00224711229216045</v>
      </c>
      <c r="W684" s="31" t="n">
        <f aca="false">IF(AND(F684&gt;=1,R684&gt;=Inputs!$B$10),(D684-U684-T684*E684-S684*F684)/V684,"")</f>
        <v>-1.69850307047479</v>
      </c>
      <c r="X684" s="30" t="n">
        <f aca="false">IF(AB683&lt;&gt;0,AC683+1,0)</f>
        <v>0</v>
      </c>
      <c r="Y684" s="30" t="n">
        <f aca="false">IF(W684="",0,IF(AND(AB683&lt;&gt;0,OR(ABS(W684)&gt;Inputs!$B$7,X684&gt;=Inputs!$B$8,ABS(W684)&lt;Inputs!$B$6)),1,0))</f>
        <v>0</v>
      </c>
      <c r="Z684" s="30" t="n">
        <f aca="false">IF(Y684=1,0,AB683)</f>
        <v>0</v>
      </c>
      <c r="AA684" s="30" t="n">
        <f aca="false">IF(W684="",0,IF(AND(Z684=0,ABS(W684)&gt;Inputs!$B$5,ABS(W684)&lt;=Inputs!$B$7),1,0))</f>
        <v>0</v>
      </c>
      <c r="AB684" s="30" t="n">
        <f aca="false">IF(W684="",0,IF(AA684=1,-SIGN(W684),Z684))</f>
        <v>0</v>
      </c>
      <c r="AC684" s="30" t="n">
        <f aca="false">IF(W684="",0,IF(AA684=1,0,IF(Y684=1,0,X684)))</f>
        <v>0</v>
      </c>
      <c r="AD684" s="30" t="n">
        <f aca="false">IF(AB684=0,0,IF(AB683=AB684,AD683,T684))</f>
        <v>0</v>
      </c>
      <c r="AE684" s="30" t="n">
        <f aca="false">AB684-AB683</f>
        <v>0</v>
      </c>
      <c r="AF684" s="30" t="n">
        <f aca="false">-AD684*AB684</f>
        <v>-0</v>
      </c>
      <c r="AG684" s="30" t="n">
        <f aca="false">AF684-AF683</f>
        <v>0</v>
      </c>
      <c r="AH684" s="30" t="n">
        <f aca="false">MAX(AE684,0)*(Inputs!$B$17+Inputs!$B$18+Inputs!$B$19)+MAX(-AE684,0)*(O684+Inputs!$B$18+Inputs!$B$19)+IF(AND(K684=1,AB684&lt;&gt;0),(Inputs!$B$17+Inputs!$B$18+Inputs!$B$19)+(O684+Inputs!$B$18+Inputs!$B$19),0)+MAX(AG684,0)*(Inputs!$B$20+Inputs!$B$22+Inputs!$B$23)+MAX(-AG684,0)*(Inputs!$B$21+Inputs!$B$22+Inputs!$B$23)</f>
        <v>0</v>
      </c>
      <c r="AI684" s="30" t="n">
        <f aca="false">AB683*(M684-AD683*J684)+AB683*AD683*N684/Inputs!$B$16-AH684</f>
        <v>0</v>
      </c>
      <c r="AJ684" s="30" t="n">
        <f aca="false">MAX(AE684,0)*(Inputs!$B$17+Inputs!$B$24+Inputs!$B$25)+MAX(-AE684,0)*(O684+Inputs!$B$24+Inputs!$B$25)+IF(AND(K684=1,AB684&lt;&gt;0),(Inputs!$B$17+Inputs!$B$24+Inputs!$B$25)+(O684+Inputs!$B$24+Inputs!$B$25),0)+MAX(AG684,0)*(Inputs!$B$20+Inputs!$B$26+Inputs!$B$27)+MAX(-AG684,0)*(Inputs!$B$21+Inputs!$B$26+Inputs!$B$27)</f>
        <v>0</v>
      </c>
      <c r="AK684" s="30" t="n">
        <f aca="false">AB683*(M684-AD683*J684)+AB683*AD683*(N684+Inputs!$B$14)/Inputs!$B$16-AJ684</f>
        <v>0</v>
      </c>
      <c r="AL684" s="30" t="n">
        <f aca="false">IF(AP683&lt;&gt;0,AQ683+1,0)</f>
        <v>0</v>
      </c>
      <c r="AM684" s="30" t="n">
        <f aca="false">IF(W684="",0,IF(AND(AP683&lt;&gt;0,OR(ABS(W684)&gt;Inputs!$B$7,AL684&gt;=Inputs!$B$8,ABS(W684)&lt;Inputs!$B$6)),1,0))</f>
        <v>0</v>
      </c>
      <c r="AN684" s="30" t="n">
        <f aca="false">IF(AM684=1,0,AP683)</f>
        <v>0</v>
      </c>
      <c r="AO684" s="30" t="n">
        <f aca="false">IF(W684="",0,IF(AND(AN684=0,ABS(W684)&gt;Inputs!$B$5,ABS(W684)&lt;=Inputs!$B$7,W684&gt;0),1,0))</f>
        <v>0</v>
      </c>
      <c r="AP684" s="30" t="n">
        <f aca="false">IF(W684="",0,IF(AO684=1,-SIGN(W684),AN684))</f>
        <v>0</v>
      </c>
      <c r="AQ684" s="30" t="n">
        <f aca="false">IF(W684="",0,IF(AO684=1,0,IF(AM684=1,0,AL684)))</f>
        <v>0</v>
      </c>
      <c r="AR684" s="30" t="n">
        <f aca="false">IF(AP684=0,0,IF(AP683=AP684,AR683,T684))</f>
        <v>0</v>
      </c>
      <c r="AS684" s="30" t="n">
        <f aca="false">AP684-AP683</f>
        <v>0</v>
      </c>
      <c r="AT684" s="30" t="n">
        <f aca="false">-AR684*AP684</f>
        <v>-0</v>
      </c>
      <c r="AU684" s="30" t="n">
        <f aca="false">AT684-AT683</f>
        <v>0</v>
      </c>
      <c r="AV684" s="30" t="n">
        <f aca="false">MAX(AS684,0)*(Inputs!$B$17+Inputs!$B$18+Inputs!$B$19)+MAX(-AS684,0)*(O684+Inputs!$B$18+Inputs!$B$19)+IF(AND(K684=1,AP684&lt;&gt;0),(Inputs!$B$17+Inputs!$B$18+Inputs!$B$19)+(O684+Inputs!$B$18+Inputs!$B$19),0)+MAX(AU684,0)*(Inputs!$B$20+Inputs!$B$22+Inputs!$B$23)+MAX(-AU684,0)*(Inputs!$B$21+Inputs!$B$22+Inputs!$B$23)</f>
        <v>0</v>
      </c>
      <c r="AW684" s="30" t="n">
        <f aca="false">AP683*(M684-AR683*J684)+AP683*AR683*N684/Inputs!$B$16-AV684</f>
        <v>0</v>
      </c>
      <c r="AX684" s="30" t="n">
        <f aca="false">AW684-IF(AP683&lt;&gt;0,0.75*AR683*(Inputs!$B$13-N684)/Inputs!$B$16,0)</f>
        <v>0</v>
      </c>
      <c r="AY684" s="30" t="n">
        <f aca="false">MAX(AS684,0)*(Inputs!$B$17+Inputs!$B$18+Inputs!$B$19)+MAX(-AS684,0)*(O684+Inputs!$B$18+Inputs!$B$19)+IF(AND(K684=1,AP684&lt;&gt;0),(Inputs!$B$17+Inputs!$B$18+Inputs!$B$19)+(O684+Inputs!$B$18+Inputs!$B$19),0)</f>
        <v>0</v>
      </c>
      <c r="AZ684" s="30" t="n">
        <f aca="false">AP683*M684-AY684</f>
        <v>0</v>
      </c>
      <c r="BA684" s="32" t="n">
        <f aca="false">BA683+AI684</f>
        <v>0.0164434021362718</v>
      </c>
      <c r="BB684" s="30" t="n">
        <f aca="false">MAX(BB683,BA684)</f>
        <v>0.0164434021362718</v>
      </c>
      <c r="BC684" s="32" t="n">
        <f aca="false">BA684-BB684</f>
        <v>0</v>
      </c>
      <c r="BD684" s="30" t="n">
        <f aca="false">A685-A684</f>
        <v>1</v>
      </c>
    </row>
    <row r="685" customFormat="false" ht="15" hidden="false" customHeight="false" outlineLevel="0" collapsed="false">
      <c r="A685" s="28" t="n">
        <v>46050</v>
      </c>
      <c r="B685" s="0" t="n">
        <v>25450</v>
      </c>
      <c r="C685" s="0" t="n">
        <v>286.74</v>
      </c>
      <c r="D685" s="29" t="n">
        <f aca="false">LN(B685)</f>
        <v>10.1444710219787</v>
      </c>
      <c r="E685" s="29" t="n">
        <f aca="false">LN(C685)</f>
        <v>5.65857588181812</v>
      </c>
      <c r="F685" s="0" t="n">
        <v>680</v>
      </c>
      <c r="G685" s="0" t="n">
        <v>27</v>
      </c>
      <c r="H685" s="29" t="n">
        <f aca="false">D685-E685</f>
        <v>4.48589514016055</v>
      </c>
      <c r="I685" s="29" t="n">
        <f aca="false">D685-D684</f>
        <v>0.0109040271272178</v>
      </c>
      <c r="J685" s="29" t="n">
        <f aca="false">E685-E684</f>
        <v>0.00296876036635219</v>
      </c>
      <c r="K685" s="0" t="n">
        <v>0</v>
      </c>
      <c r="L685" s="0" t="n">
        <v>1</v>
      </c>
      <c r="M685" s="29" t="n">
        <f aca="false">IF(L685=1,J685-Carry!$B$9/Inputs!$B$16,I685)</f>
        <v>0.00270930218463105</v>
      </c>
      <c r="N685" s="0" t="n">
        <v>0.0525</v>
      </c>
      <c r="O685" s="0" t="n">
        <v>0.0002</v>
      </c>
      <c r="P685" s="29" t="n">
        <f aca="false">D685-('2 Hedge ratio'!$B$6+'2 Hedge ratio'!$B$5*E685)</f>
        <v>-0.00132184393121371</v>
      </c>
      <c r="Q685" s="29" t="n">
        <f aca="false">D685-('5 Re-specification'!$B$7+'5 Re-specification'!$B$5*E685+'5 Re-specification'!$B$6*F685)</f>
        <v>0.0023943698482114</v>
      </c>
      <c r="R685" s="30" t="n">
        <f aca="false">MIN(F685,Inputs!$B$9)</f>
        <v>250</v>
      </c>
      <c r="S685" s="29" t="n">
        <f aca="true">IF(AND(F685&gt;=1,R685&gt;=Inputs!$B$10),INDEX(LINEST(OFFSET(D685,-R685,0,R685,1),OFFSET(E685,-R685,0,R685,2)),1,1),"")</f>
        <v>-6.94509868994231E-005</v>
      </c>
      <c r="T685" s="29" t="n">
        <f aca="true">IF(AND(F685&gt;=1,R685&gt;=Inputs!$B$10),INDEX(LINEST(OFFSET(D685,-R685,0,R685,1),OFFSET(E685,-R685,0,R685,2)),1,2),"")</f>
        <v>1.02940234208399</v>
      </c>
      <c r="U685" s="29" t="n">
        <f aca="true">IF(AND(F685&gt;=1,R685&gt;=Inputs!$B$10),INDEX(LINEST(OFFSET(D685,-R685,0,R685,1),OFFSET(E685,-R685,0,R685,2)),1,3),"")</f>
        <v>4.36250805169018</v>
      </c>
      <c r="V685" s="29" t="n">
        <f aca="true">IF(AND(F685&gt;=1,R685&gt;=Inputs!$B$10),SQRT(SUMPRODUCT((OFFSET(D685,-R685,0,R685,1)-U685-T685*OFFSET(E685,-R685,0,R685,1)-S685*OFFSET(F685,-R685,0,R685,1))^2)/(R685-3)),"")</f>
        <v>0.00225868623483478</v>
      </c>
      <c r="W685" s="31" t="n">
        <f aca="false">IF(AND(F685&gt;=1,R685&gt;=Inputs!$B$10),(D685-U685-T685*E685-S685*F685)/V685,"")</f>
        <v>1.87647833116</v>
      </c>
      <c r="X685" s="30" t="n">
        <f aca="false">IF(AB684&lt;&gt;0,AC684+1,0)</f>
        <v>0</v>
      </c>
      <c r="Y685" s="30" t="n">
        <f aca="false">IF(W685="",0,IF(AND(AB684&lt;&gt;0,OR(ABS(W685)&gt;Inputs!$B$7,X685&gt;=Inputs!$B$8,ABS(W685)&lt;Inputs!$B$6)),1,0))</f>
        <v>0</v>
      </c>
      <c r="Z685" s="30" t="n">
        <f aca="false">IF(Y685=1,0,AB684)</f>
        <v>0</v>
      </c>
      <c r="AA685" s="30" t="n">
        <f aca="false">IF(W685="",0,IF(AND(Z685=0,ABS(W685)&gt;Inputs!$B$5,ABS(W685)&lt;=Inputs!$B$7),1,0))</f>
        <v>0</v>
      </c>
      <c r="AB685" s="30" t="n">
        <f aca="false">IF(W685="",0,IF(AA685=1,-SIGN(W685),Z685))</f>
        <v>0</v>
      </c>
      <c r="AC685" s="30" t="n">
        <f aca="false">IF(W685="",0,IF(AA685=1,0,IF(Y685=1,0,X685)))</f>
        <v>0</v>
      </c>
      <c r="AD685" s="30" t="n">
        <f aca="false">IF(AB685=0,0,IF(AB684=AB685,AD684,T685))</f>
        <v>0</v>
      </c>
      <c r="AE685" s="30" t="n">
        <f aca="false">AB685-AB684</f>
        <v>0</v>
      </c>
      <c r="AF685" s="30" t="n">
        <f aca="false">-AD685*AB685</f>
        <v>-0</v>
      </c>
      <c r="AG685" s="30" t="n">
        <f aca="false">AF685-AF684</f>
        <v>0</v>
      </c>
      <c r="AH685" s="30" t="n">
        <f aca="false">MAX(AE685,0)*(Inputs!$B$17+Inputs!$B$18+Inputs!$B$19)+MAX(-AE685,0)*(O685+Inputs!$B$18+Inputs!$B$19)+IF(AND(K685=1,AB685&lt;&gt;0),(Inputs!$B$17+Inputs!$B$18+Inputs!$B$19)+(O685+Inputs!$B$18+Inputs!$B$19),0)+MAX(AG685,0)*(Inputs!$B$20+Inputs!$B$22+Inputs!$B$23)+MAX(-AG685,0)*(Inputs!$B$21+Inputs!$B$22+Inputs!$B$23)</f>
        <v>0</v>
      </c>
      <c r="AI685" s="30" t="n">
        <f aca="false">AB684*(M685-AD684*J685)+AB684*AD684*N685/Inputs!$B$16-AH685</f>
        <v>0</v>
      </c>
      <c r="AJ685" s="30" t="n">
        <f aca="false">MAX(AE685,0)*(Inputs!$B$17+Inputs!$B$24+Inputs!$B$25)+MAX(-AE685,0)*(O685+Inputs!$B$24+Inputs!$B$25)+IF(AND(K685=1,AB685&lt;&gt;0),(Inputs!$B$17+Inputs!$B$24+Inputs!$B$25)+(O685+Inputs!$B$24+Inputs!$B$25),0)+MAX(AG685,0)*(Inputs!$B$20+Inputs!$B$26+Inputs!$B$27)+MAX(-AG685,0)*(Inputs!$B$21+Inputs!$B$26+Inputs!$B$27)</f>
        <v>0</v>
      </c>
      <c r="AK685" s="30" t="n">
        <f aca="false">AB684*(M685-AD684*J685)+AB684*AD684*(N685+Inputs!$B$14)/Inputs!$B$16-AJ685</f>
        <v>0</v>
      </c>
      <c r="AL685" s="30" t="n">
        <f aca="false">IF(AP684&lt;&gt;0,AQ684+1,0)</f>
        <v>0</v>
      </c>
      <c r="AM685" s="30" t="n">
        <f aca="false">IF(W685="",0,IF(AND(AP684&lt;&gt;0,OR(ABS(W685)&gt;Inputs!$B$7,AL685&gt;=Inputs!$B$8,ABS(W685)&lt;Inputs!$B$6)),1,0))</f>
        <v>0</v>
      </c>
      <c r="AN685" s="30" t="n">
        <f aca="false">IF(AM685=1,0,AP684)</f>
        <v>0</v>
      </c>
      <c r="AO685" s="30" t="n">
        <f aca="false">IF(W685="",0,IF(AND(AN685=0,ABS(W685)&gt;Inputs!$B$5,ABS(W685)&lt;=Inputs!$B$7,W685&gt;0),1,0))</f>
        <v>0</v>
      </c>
      <c r="AP685" s="30" t="n">
        <f aca="false">IF(W685="",0,IF(AO685=1,-SIGN(W685),AN685))</f>
        <v>0</v>
      </c>
      <c r="AQ685" s="30" t="n">
        <f aca="false">IF(W685="",0,IF(AO685=1,0,IF(AM685=1,0,AL685)))</f>
        <v>0</v>
      </c>
      <c r="AR685" s="30" t="n">
        <f aca="false">IF(AP685=0,0,IF(AP684=AP685,AR684,T685))</f>
        <v>0</v>
      </c>
      <c r="AS685" s="30" t="n">
        <f aca="false">AP685-AP684</f>
        <v>0</v>
      </c>
      <c r="AT685" s="30" t="n">
        <f aca="false">-AR685*AP685</f>
        <v>-0</v>
      </c>
      <c r="AU685" s="30" t="n">
        <f aca="false">AT685-AT684</f>
        <v>0</v>
      </c>
      <c r="AV685" s="30" t="n">
        <f aca="false">MAX(AS685,0)*(Inputs!$B$17+Inputs!$B$18+Inputs!$B$19)+MAX(-AS685,0)*(O685+Inputs!$B$18+Inputs!$B$19)+IF(AND(K685=1,AP685&lt;&gt;0),(Inputs!$B$17+Inputs!$B$18+Inputs!$B$19)+(O685+Inputs!$B$18+Inputs!$B$19),0)+MAX(AU685,0)*(Inputs!$B$20+Inputs!$B$22+Inputs!$B$23)+MAX(-AU685,0)*(Inputs!$B$21+Inputs!$B$22+Inputs!$B$23)</f>
        <v>0</v>
      </c>
      <c r="AW685" s="30" t="n">
        <f aca="false">AP684*(M685-AR684*J685)+AP684*AR684*N685/Inputs!$B$16-AV685</f>
        <v>0</v>
      </c>
      <c r="AX685" s="30" t="n">
        <f aca="false">AW685-IF(AP684&lt;&gt;0,0.75*AR684*(Inputs!$B$13-N685)/Inputs!$B$16,0)</f>
        <v>0</v>
      </c>
      <c r="AY685" s="30" t="n">
        <f aca="false">MAX(AS685,0)*(Inputs!$B$17+Inputs!$B$18+Inputs!$B$19)+MAX(-AS685,0)*(O685+Inputs!$B$18+Inputs!$B$19)+IF(AND(K685=1,AP685&lt;&gt;0),(Inputs!$B$17+Inputs!$B$18+Inputs!$B$19)+(O685+Inputs!$B$18+Inputs!$B$19),0)</f>
        <v>0</v>
      </c>
      <c r="AZ685" s="30" t="n">
        <f aca="false">AP684*M685-AY685</f>
        <v>0</v>
      </c>
      <c r="BA685" s="32" t="n">
        <f aca="false">BA684+AI685</f>
        <v>0.0164434021362718</v>
      </c>
      <c r="BB685" s="30" t="n">
        <f aca="false">MAX(BB684,BA685)</f>
        <v>0.0164434021362718</v>
      </c>
      <c r="BC685" s="32" t="n">
        <f aca="false">BA685-BB685</f>
        <v>0</v>
      </c>
      <c r="BD685" s="30" t="n">
        <f aca="false">A686-A685</f>
        <v>1</v>
      </c>
    </row>
    <row r="686" customFormat="false" ht="15" hidden="false" customHeight="false" outlineLevel="0" collapsed="false">
      <c r="A686" s="28" t="n">
        <v>46051</v>
      </c>
      <c r="B686" s="0" t="n">
        <v>25538</v>
      </c>
      <c r="C686" s="0" t="n">
        <v>287.49</v>
      </c>
      <c r="D686" s="29" t="n">
        <f aca="false">LN(B686)</f>
        <v>10.1479228179846</v>
      </c>
      <c r="E686" s="29" t="n">
        <f aca="false">LN(C686)</f>
        <v>5.66118807702378</v>
      </c>
      <c r="F686" s="0" t="n">
        <v>681</v>
      </c>
      <c r="G686" s="0" t="n">
        <v>26</v>
      </c>
      <c r="H686" s="29" t="n">
        <f aca="false">D686-E686</f>
        <v>4.48673474096085</v>
      </c>
      <c r="I686" s="29" t="n">
        <f aca="false">D686-D685</f>
        <v>0.00345179600595813</v>
      </c>
      <c r="J686" s="29" t="n">
        <f aca="false">E686-E685</f>
        <v>0.00261219520565881</v>
      </c>
      <c r="K686" s="0" t="n">
        <v>0</v>
      </c>
      <c r="L686" s="0" t="n">
        <v>0</v>
      </c>
      <c r="M686" s="29" t="n">
        <f aca="false">IF(L686=1,J686-Carry!$B$9/Inputs!$B$16,I686)</f>
        <v>0.00345179600595813</v>
      </c>
      <c r="N686" s="0" t="n">
        <v>0.0525</v>
      </c>
      <c r="O686" s="0" t="n">
        <v>0.0002</v>
      </c>
      <c r="P686" s="29" t="n">
        <f aca="false">D686-('2 Hedge ratio'!$B$6+'2 Hedge ratio'!$B$5*E686)</f>
        <v>-0.000263149853534372</v>
      </c>
      <c r="Q686" s="29" t="n">
        <f aca="false">D686-('5 Re-specification'!$B$7+'5 Re-specification'!$B$5*E686+'5 Re-specification'!$B$6*F686)</f>
        <v>0.0032868162242341</v>
      </c>
      <c r="R686" s="30" t="n">
        <f aca="false">MIN(F686,Inputs!$B$9)</f>
        <v>250</v>
      </c>
      <c r="S686" s="29" t="n">
        <f aca="true">IF(AND(F686&gt;=1,R686&gt;=Inputs!$B$10),INDEX(LINEST(OFFSET(D686,-R686,0,R686,1),OFFSET(E686,-R686,0,R686,2)),1,1),"")</f>
        <v>-6.82144768409378E-005</v>
      </c>
      <c r="T686" s="29" t="n">
        <f aca="true">IF(AND(F686&gt;=1,R686&gt;=Inputs!$B$10),INDEX(LINEST(OFFSET(D686,-R686,0,R686,1),OFFSET(E686,-R686,0,R686,2)),1,2),"")</f>
        <v>1.02792375584962</v>
      </c>
      <c r="U686" s="29" t="n">
        <f aca="true">IF(AND(F686&gt;=1,R686&gt;=Inputs!$B$10),INDEX(LINEST(OFFSET(D686,-R686,0,R686,1),OFFSET(E686,-R686,0,R686,2)),1,3),"")</f>
        <v>4.37016148725796</v>
      </c>
      <c r="V686" s="29" t="n">
        <f aca="true">IF(AND(F686&gt;=1,R686&gt;=Inputs!$B$10),SQRT(SUMPRODUCT((OFFSET(D686,-R686,0,R686,1)-U686-T686*OFFSET(E686,-R686,0,R686,1)-S686*OFFSET(F686,-R686,0,R686,1))^2)/(R686-3)),"")</f>
        <v>0.0022741127805138</v>
      </c>
      <c r="W686" s="31" t="n">
        <f aca="false">IF(AND(F686&gt;=1,R686&gt;=Inputs!$B$10),(D686-U686-T686*E686-S686*F686)/V686,"")</f>
        <v>2.17477285750659</v>
      </c>
      <c r="X686" s="30" t="n">
        <f aca="false">IF(AB685&lt;&gt;0,AC685+1,0)</f>
        <v>0</v>
      </c>
      <c r="Y686" s="30" t="n">
        <f aca="false">IF(W686="",0,IF(AND(AB685&lt;&gt;0,OR(ABS(W686)&gt;Inputs!$B$7,X686&gt;=Inputs!$B$8,ABS(W686)&lt;Inputs!$B$6)),1,0))</f>
        <v>0</v>
      </c>
      <c r="Z686" s="30" t="n">
        <f aca="false">IF(Y686=1,0,AB685)</f>
        <v>0</v>
      </c>
      <c r="AA686" s="30" t="n">
        <f aca="false">IF(W686="",0,IF(AND(Z686=0,ABS(W686)&gt;Inputs!$B$5,ABS(W686)&lt;=Inputs!$B$7),1,0))</f>
        <v>1</v>
      </c>
      <c r="AB686" s="30" t="n">
        <f aca="false">IF(W686="",0,IF(AA686=1,-SIGN(W686),Z686))</f>
        <v>-1</v>
      </c>
      <c r="AC686" s="30" t="n">
        <f aca="false">IF(W686="",0,IF(AA686=1,0,IF(Y686=1,0,X686)))</f>
        <v>0</v>
      </c>
      <c r="AD686" s="29" t="n">
        <f aca="false">IF(AB686=0,0,IF(AB685=AB686,AD685,T686))</f>
        <v>1.02792375584962</v>
      </c>
      <c r="AE686" s="30" t="n">
        <f aca="false">AB686-AB685</f>
        <v>-1</v>
      </c>
      <c r="AF686" s="30" t="n">
        <f aca="false">-AD686*AB686</f>
        <v>1.02792375584962</v>
      </c>
      <c r="AG686" s="30" t="n">
        <f aca="false">AF686-AF685</f>
        <v>1.02792375584962</v>
      </c>
      <c r="AH686" s="30" t="n">
        <f aca="false">MAX(AE686,0)*(Inputs!$B$17+Inputs!$B$18+Inputs!$B$19)+MAX(-AE686,0)*(O686+Inputs!$B$18+Inputs!$B$19)+IF(AND(K686=1,AB686&lt;&gt;0),(Inputs!$B$17+Inputs!$B$18+Inputs!$B$19)+(O686+Inputs!$B$18+Inputs!$B$19),0)+MAX(AG686,0)*(Inputs!$B$20+Inputs!$B$22+Inputs!$B$23)+MAX(-AG686,0)*(Inputs!$B$21+Inputs!$B$22+Inputs!$B$23)</f>
        <v>0.000694773314547367</v>
      </c>
      <c r="AI686" s="30" t="n">
        <f aca="false">AB685*(M686-AD685*J686)+AB685*AD685*N686/Inputs!$B$16-AH686</f>
        <v>-0.000694773314547367</v>
      </c>
      <c r="AJ686" s="30" t="n">
        <f aca="false">MAX(AE686,0)*(Inputs!$B$17+Inputs!$B$24+Inputs!$B$25)+MAX(-AE686,0)*(O686+Inputs!$B$24+Inputs!$B$25)+IF(AND(K686=1,AB686&lt;&gt;0),(Inputs!$B$17+Inputs!$B$24+Inputs!$B$25)+(O686+Inputs!$B$24+Inputs!$B$25),0)+MAX(AG686,0)*(Inputs!$B$20+Inputs!$B$26+Inputs!$B$27)+MAX(-AG686,0)*(Inputs!$B$21+Inputs!$B$26+Inputs!$B$27)</f>
        <v>0.000532120557741653</v>
      </c>
      <c r="AK686" s="30" t="n">
        <f aca="false">AB685*(M686-AD685*J686)+AB685*AD685*(N686+Inputs!$B$14)/Inputs!$B$16-AJ686</f>
        <v>-0.000532120557741653</v>
      </c>
      <c r="AL686" s="30" t="n">
        <f aca="false">IF(AP685&lt;&gt;0,AQ685+1,0)</f>
        <v>0</v>
      </c>
      <c r="AM686" s="30" t="n">
        <f aca="false">IF(W686="",0,IF(AND(AP685&lt;&gt;0,OR(ABS(W686)&gt;Inputs!$B$7,AL686&gt;=Inputs!$B$8,ABS(W686)&lt;Inputs!$B$6)),1,0))</f>
        <v>0</v>
      </c>
      <c r="AN686" s="30" t="n">
        <f aca="false">IF(AM686=1,0,AP685)</f>
        <v>0</v>
      </c>
      <c r="AO686" s="30" t="n">
        <f aca="false">IF(W686="",0,IF(AND(AN686=0,ABS(W686)&gt;Inputs!$B$5,ABS(W686)&lt;=Inputs!$B$7,W686&gt;0),1,0))</f>
        <v>1</v>
      </c>
      <c r="AP686" s="30" t="n">
        <f aca="false">IF(W686="",0,IF(AO686=1,-SIGN(W686),AN686))</f>
        <v>-1</v>
      </c>
      <c r="AQ686" s="30" t="n">
        <f aca="false">IF(W686="",0,IF(AO686=1,0,IF(AM686=1,0,AL686)))</f>
        <v>0</v>
      </c>
      <c r="AR686" s="29" t="n">
        <f aca="false">IF(AP686=0,0,IF(AP685=AP686,AR685,T686))</f>
        <v>1.02792375584962</v>
      </c>
      <c r="AS686" s="30" t="n">
        <f aca="false">AP686-AP685</f>
        <v>-1</v>
      </c>
      <c r="AT686" s="30" t="n">
        <f aca="false">-AR686*AP686</f>
        <v>1.02792375584962</v>
      </c>
      <c r="AU686" s="30" t="n">
        <f aca="false">AT686-AT685</f>
        <v>1.02792375584962</v>
      </c>
      <c r="AV686" s="30" t="n">
        <f aca="false">MAX(AS686,0)*(Inputs!$B$17+Inputs!$B$18+Inputs!$B$19)+MAX(-AS686,0)*(O686+Inputs!$B$18+Inputs!$B$19)+IF(AND(K686=1,AP686&lt;&gt;0),(Inputs!$B$17+Inputs!$B$18+Inputs!$B$19)+(O686+Inputs!$B$18+Inputs!$B$19),0)+MAX(AU686,0)*(Inputs!$B$20+Inputs!$B$22+Inputs!$B$23)+MAX(-AU686,0)*(Inputs!$B$21+Inputs!$B$22+Inputs!$B$23)</f>
        <v>0.000694773314547367</v>
      </c>
      <c r="AW686" s="30" t="n">
        <f aca="false">AP685*(M686-AR685*J686)+AP685*AR685*N686/Inputs!$B$16-AV686</f>
        <v>-0.000694773314547367</v>
      </c>
      <c r="AX686" s="30" t="n">
        <f aca="false">AW686-IF(AP685&lt;&gt;0,0.75*AR685*(Inputs!$B$13-N686)/Inputs!$B$16,0)</f>
        <v>-0.000694773314547367</v>
      </c>
      <c r="AY686" s="30" t="n">
        <f aca="false">MAX(AS686,0)*(Inputs!$B$17+Inputs!$B$18+Inputs!$B$19)+MAX(-AS686,0)*(O686+Inputs!$B$18+Inputs!$B$19)+IF(AND(K686=1,AP686&lt;&gt;0),(Inputs!$B$17+Inputs!$B$18+Inputs!$B$19)+(O686+Inputs!$B$18+Inputs!$B$19),0)</f>
        <v>0.000335</v>
      </c>
      <c r="AZ686" s="30" t="n">
        <f aca="false">AP685*M686-AY686</f>
        <v>-0.000335</v>
      </c>
      <c r="BA686" s="32" t="n">
        <f aca="false">BA685+AI686</f>
        <v>0.0157486288217244</v>
      </c>
      <c r="BB686" s="30" t="n">
        <f aca="false">MAX(BB685,BA686)</f>
        <v>0.0164434021362718</v>
      </c>
      <c r="BC686" s="32" t="n">
        <f aca="false">BA686-BB686</f>
        <v>-0.000694773314547367</v>
      </c>
      <c r="BD686" s="30" t="n">
        <f aca="false">A687-A686</f>
        <v>1</v>
      </c>
    </row>
    <row r="687" customFormat="false" ht="15" hidden="false" customHeight="false" outlineLevel="0" collapsed="false">
      <c r="A687" s="28" t="n">
        <v>46052</v>
      </c>
      <c r="B687" s="0" t="n">
        <v>25424.5</v>
      </c>
      <c r="C687" s="0" t="n">
        <v>286.75</v>
      </c>
      <c r="D687" s="29" t="n">
        <f aca="false">LN(B687)</f>
        <v>10.14346855504</v>
      </c>
      <c r="E687" s="29" t="n">
        <f aca="false">LN(C687)</f>
        <v>5.65861075600948</v>
      </c>
      <c r="F687" s="0" t="n">
        <v>682</v>
      </c>
      <c r="G687" s="0" t="n">
        <v>25</v>
      </c>
      <c r="H687" s="29" t="n">
        <f aca="false">D687-E687</f>
        <v>4.48485779903053</v>
      </c>
      <c r="I687" s="29" t="n">
        <f aca="false">D687-D686</f>
        <v>-0.00445426294462159</v>
      </c>
      <c r="J687" s="29" t="n">
        <f aca="false">E687-E686</f>
        <v>-0.00257732101430008</v>
      </c>
      <c r="K687" s="0" t="n">
        <v>0</v>
      </c>
      <c r="L687" s="0" t="n">
        <v>0</v>
      </c>
      <c r="M687" s="29" t="n">
        <f aca="false">IF(L687=1,J687-Carry!$B$9/Inputs!$B$16,I687)</f>
        <v>-0.00445426294462159</v>
      </c>
      <c r="N687" s="0" t="n">
        <v>0.0525</v>
      </c>
      <c r="O687" s="0" t="n">
        <v>0.0002</v>
      </c>
      <c r="P687" s="29" t="n">
        <f aca="false">D687-('2 Hedge ratio'!$B$6+'2 Hedge ratio'!$B$5*E687)</f>
        <v>-0.00235626004978684</v>
      </c>
      <c r="Q687" s="29" t="n">
        <f aca="false">D687-('5 Re-specification'!$B$7+'5 Re-specification'!$B$5*E687+'5 Re-specification'!$B$6*F687)</f>
        <v>0.00144699304062001</v>
      </c>
      <c r="R687" s="30" t="n">
        <f aca="false">MIN(F687,Inputs!$B$9)</f>
        <v>250</v>
      </c>
      <c r="S687" s="29" t="n">
        <f aca="true">IF(AND(F687&gt;=1,R687&gt;=Inputs!$B$10),INDEX(LINEST(OFFSET(D687,-R687,0,R687,1),OFFSET(E687,-R687,0,R687,2)),1,1),"")</f>
        <v>-6.69725102333988E-005</v>
      </c>
      <c r="T687" s="29" t="n">
        <f aca="true">IF(AND(F687&gt;=1,R687&gt;=Inputs!$B$10),INDEX(LINEST(OFFSET(D687,-R687,0,R687,1),OFFSET(E687,-R687,0,R687,2)),1,2),"")</f>
        <v>1.02629530414565</v>
      </c>
      <c r="U687" s="29" t="n">
        <f aca="true">IF(AND(F687&gt;=1,R687&gt;=Inputs!$B$10),INDEX(LINEST(OFFSET(D687,-R687,0,R687,1),OFFSET(E687,-R687,0,R687,2)),1,3),"")</f>
        <v>4.37866361752268</v>
      </c>
      <c r="V687" s="29" t="n">
        <f aca="true">IF(AND(F687&gt;=1,R687&gt;=Inputs!$B$10),SQRT(SUMPRODUCT((OFFSET(D687,-R687,0,R687,1)-U687-T687*OFFSET(E687,-R687,0,R687,1)-S687*OFFSET(F687,-R687,0,R687,1))^2)/(R687-3)),"")</f>
        <v>0.00229204525635375</v>
      </c>
      <c r="W687" s="31" t="n">
        <f aca="false">IF(AND(F687&gt;=1,R687&gt;=Inputs!$B$10),(D687-U687-T687*E687-S687*F687)/V687,"")</f>
        <v>1.34139699352372</v>
      </c>
      <c r="X687" s="30" t="n">
        <f aca="false">IF(AB686&lt;&gt;0,AC686+1,0)</f>
        <v>1</v>
      </c>
      <c r="Y687" s="30" t="n">
        <f aca="false">IF(W687="",0,IF(AND(AB686&lt;&gt;0,OR(ABS(W687)&gt;Inputs!$B$7,X687&gt;=Inputs!$B$8,ABS(W687)&lt;Inputs!$B$6)),1,0))</f>
        <v>0</v>
      </c>
      <c r="Z687" s="30" t="n">
        <f aca="false">IF(Y687=1,0,AB686)</f>
        <v>-1</v>
      </c>
      <c r="AA687" s="30" t="n">
        <f aca="false">IF(W687="",0,IF(AND(Z687=0,ABS(W687)&gt;Inputs!$B$5,ABS(W687)&lt;=Inputs!$B$7),1,0))</f>
        <v>0</v>
      </c>
      <c r="AB687" s="30" t="n">
        <f aca="false">IF(W687="",0,IF(AA687=1,-SIGN(W687),Z687))</f>
        <v>-1</v>
      </c>
      <c r="AC687" s="30" t="n">
        <f aca="false">IF(W687="",0,IF(AA687=1,0,IF(Y687=1,0,X687)))</f>
        <v>1</v>
      </c>
      <c r="AD687" s="29" t="n">
        <f aca="false">IF(AB687=0,0,IF(AB686=AB687,AD686,T687))</f>
        <v>1.02792375584962</v>
      </c>
      <c r="AE687" s="30" t="n">
        <f aca="false">AB687-AB686</f>
        <v>0</v>
      </c>
      <c r="AF687" s="30" t="n">
        <f aca="false">-AD687*AB687</f>
        <v>1.02792375584962</v>
      </c>
      <c r="AG687" s="30" t="n">
        <f aca="false">AF687-AF686</f>
        <v>0</v>
      </c>
      <c r="AH687" s="30" t="n">
        <f aca="false">MAX(AE687,0)*(Inputs!$B$17+Inputs!$B$18+Inputs!$B$19)+MAX(-AE687,0)*(O687+Inputs!$B$18+Inputs!$B$19)+IF(AND(K687=1,AB687&lt;&gt;0),(Inputs!$B$17+Inputs!$B$18+Inputs!$B$19)+(O687+Inputs!$B$18+Inputs!$B$19),0)+MAX(AG687,0)*(Inputs!$B$20+Inputs!$B$22+Inputs!$B$23)+MAX(-AG687,0)*(Inputs!$B$21+Inputs!$B$22+Inputs!$B$23)</f>
        <v>0</v>
      </c>
      <c r="AI687" s="30" t="n">
        <f aca="false">AB686*(M687-AD686*J687)+AB686*AD686*N687/Inputs!$B$16-AH687</f>
        <v>0.00159082266510343</v>
      </c>
      <c r="AJ687" s="30" t="n">
        <f aca="false">MAX(AE687,0)*(Inputs!$B$17+Inputs!$B$24+Inputs!$B$25)+MAX(-AE687,0)*(O687+Inputs!$B$24+Inputs!$B$25)+IF(AND(K687=1,AB687&lt;&gt;0),(Inputs!$B$17+Inputs!$B$24+Inputs!$B$25)+(O687+Inputs!$B$24+Inputs!$B$25),0)+MAX(AG687,0)*(Inputs!$B$20+Inputs!$B$26+Inputs!$B$27)+MAX(-AG687,0)*(Inputs!$B$21+Inputs!$B$26+Inputs!$B$27)</f>
        <v>0</v>
      </c>
      <c r="AK687" s="30" t="n">
        <f aca="false">AB686*(M687-AD686*J687)+AB686*AD686*(N687+Inputs!$B$14)/Inputs!$B$16-AJ687</f>
        <v>0.00156022969617933</v>
      </c>
      <c r="AL687" s="30" t="n">
        <f aca="false">IF(AP686&lt;&gt;0,AQ686+1,0)</f>
        <v>1</v>
      </c>
      <c r="AM687" s="30" t="n">
        <f aca="false">IF(W687="",0,IF(AND(AP686&lt;&gt;0,OR(ABS(W687)&gt;Inputs!$B$7,AL687&gt;=Inputs!$B$8,ABS(W687)&lt;Inputs!$B$6)),1,0))</f>
        <v>0</v>
      </c>
      <c r="AN687" s="30" t="n">
        <f aca="false">IF(AM687=1,0,AP686)</f>
        <v>-1</v>
      </c>
      <c r="AO687" s="30" t="n">
        <f aca="false">IF(W687="",0,IF(AND(AN687=0,ABS(W687)&gt;Inputs!$B$5,ABS(W687)&lt;=Inputs!$B$7,W687&gt;0),1,0))</f>
        <v>0</v>
      </c>
      <c r="AP687" s="30" t="n">
        <f aca="false">IF(W687="",0,IF(AO687=1,-SIGN(W687),AN687))</f>
        <v>-1</v>
      </c>
      <c r="AQ687" s="30" t="n">
        <f aca="false">IF(W687="",0,IF(AO687=1,0,IF(AM687=1,0,AL687)))</f>
        <v>1</v>
      </c>
      <c r="AR687" s="29" t="n">
        <f aca="false">IF(AP687=0,0,IF(AP686=AP687,AR686,T687))</f>
        <v>1.02792375584962</v>
      </c>
      <c r="AS687" s="30" t="n">
        <f aca="false">AP687-AP686</f>
        <v>0</v>
      </c>
      <c r="AT687" s="30" t="n">
        <f aca="false">-AR687*AP687</f>
        <v>1.02792375584962</v>
      </c>
      <c r="AU687" s="30" t="n">
        <f aca="false">AT687-AT686</f>
        <v>0</v>
      </c>
      <c r="AV687" s="30" t="n">
        <f aca="false">MAX(AS687,0)*(Inputs!$B$17+Inputs!$B$18+Inputs!$B$19)+MAX(-AS687,0)*(O687+Inputs!$B$18+Inputs!$B$19)+IF(AND(K687=1,AP687&lt;&gt;0),(Inputs!$B$17+Inputs!$B$18+Inputs!$B$19)+(O687+Inputs!$B$18+Inputs!$B$19),0)+MAX(AU687,0)*(Inputs!$B$20+Inputs!$B$22+Inputs!$B$23)+MAX(-AU687,0)*(Inputs!$B$21+Inputs!$B$22+Inputs!$B$23)</f>
        <v>0</v>
      </c>
      <c r="AW687" s="30" t="n">
        <f aca="false">AP686*(M687-AR686*J687)+AP686*AR686*N687/Inputs!$B$16-AV687</f>
        <v>0.00159082266510343</v>
      </c>
      <c r="AX687" s="30" t="n">
        <f aca="false">AW687-IF(AP686&lt;&gt;0,0.75*AR686*(Inputs!$B$13-N687)/Inputs!$B$16,0)</f>
        <v>0.00132313418701759</v>
      </c>
      <c r="AY687" s="30" t="n">
        <f aca="false">MAX(AS687,0)*(Inputs!$B$17+Inputs!$B$18+Inputs!$B$19)+MAX(-AS687,0)*(O687+Inputs!$B$18+Inputs!$B$19)+IF(AND(K687=1,AP687&lt;&gt;0),(Inputs!$B$17+Inputs!$B$18+Inputs!$B$19)+(O687+Inputs!$B$18+Inputs!$B$19),0)</f>
        <v>0</v>
      </c>
      <c r="AZ687" s="30" t="n">
        <f aca="false">AP686*M687-AY687</f>
        <v>0.00445426294462159</v>
      </c>
      <c r="BA687" s="32" t="n">
        <f aca="false">BA686+AI687</f>
        <v>0.0173394514868279</v>
      </c>
      <c r="BB687" s="30" t="n">
        <f aca="false">MAX(BB686,BA687)</f>
        <v>0.0173394514868279</v>
      </c>
      <c r="BC687" s="32" t="n">
        <f aca="false">BA687-BB687</f>
        <v>0</v>
      </c>
      <c r="BD687" s="30" t="n">
        <f aca="false">A688-A687</f>
        <v>2</v>
      </c>
    </row>
    <row r="688" customFormat="false" ht="15" hidden="false" customHeight="false" outlineLevel="0" collapsed="false">
      <c r="A688" s="28" t="n">
        <v>46054</v>
      </c>
      <c r="B688" s="0" t="n">
        <v>24800</v>
      </c>
      <c r="C688" s="0" t="n">
        <v>282.37</v>
      </c>
      <c r="D688" s="29" t="n">
        <f aca="false">LN(B688)</f>
        <v>10.1185989321531</v>
      </c>
      <c r="E688" s="29" t="n">
        <f aca="false">LN(C688)</f>
        <v>5.64321826768142</v>
      </c>
      <c r="F688" s="0" t="n">
        <v>683</v>
      </c>
      <c r="G688" s="0" t="n">
        <v>23</v>
      </c>
      <c r="H688" s="29" t="n">
        <f aca="false">D688-E688</f>
        <v>4.47538066447165</v>
      </c>
      <c r="I688" s="29" t="n">
        <f aca="false">D688-D687</f>
        <v>-0.0248696228869321</v>
      </c>
      <c r="J688" s="29" t="n">
        <f aca="false">E688-E687</f>
        <v>-0.015392488328061</v>
      </c>
      <c r="K688" s="0" t="n">
        <v>0</v>
      </c>
      <c r="L688" s="0" t="n">
        <v>0</v>
      </c>
      <c r="M688" s="29" t="n">
        <f aca="false">IF(L688=1,J688-Carry!$B$9/Inputs!$B$16,I688)</f>
        <v>-0.0248696228869321</v>
      </c>
      <c r="N688" s="0" t="n">
        <v>0.0525</v>
      </c>
      <c r="O688" s="0" t="n">
        <v>0.0002</v>
      </c>
      <c r="P688" s="29" t="n">
        <f aca="false">D688-('2 Hedge ratio'!$B$6+'2 Hedge ratio'!$B$5*E688)</f>
        <v>-0.0131244124879899</v>
      </c>
      <c r="Q688" s="29" t="n">
        <f aca="false">D688-('5 Re-specification'!$B$7+'5 Re-specification'!$B$5*E688+'5 Re-specification'!$B$6*F688)</f>
        <v>-0.00803185913635929</v>
      </c>
      <c r="R688" s="30" t="n">
        <f aca="false">MIN(F688,Inputs!$B$9)</f>
        <v>250</v>
      </c>
      <c r="S688" s="29" t="n">
        <f aca="true">IF(AND(F688&gt;=1,R688&gt;=Inputs!$B$10),INDEX(LINEST(OFFSET(D688,-R688,0,R688,1),OFFSET(E688,-R688,0,R688,2)),1,1),"")</f>
        <v>-6.63577144910889E-005</v>
      </c>
      <c r="T688" s="29" t="n">
        <f aca="true">IF(AND(F688&gt;=1,R688&gt;=Inputs!$B$10),INDEX(LINEST(OFFSET(D688,-R688,0,R688,1),OFFSET(E688,-R688,0,R688,2)),1,2),"")</f>
        <v>1.02477598499936</v>
      </c>
      <c r="U688" s="29" t="n">
        <f aca="true">IF(AND(F688&gt;=1,R688&gt;=Inputs!$B$10),INDEX(LINEST(OFFSET(D688,-R688,0,R688,1),OFFSET(E688,-R688,0,R688,2)),1,3),"")</f>
        <v>4.38690872337724</v>
      </c>
      <c r="V688" s="29" t="n">
        <f aca="true">IF(AND(F688&gt;=1,R688&gt;=Inputs!$B$10),SQRT(SUMPRODUCT((OFFSET(D688,-R688,0,R688,1)-U688-T688*OFFSET(E688,-R688,0,R688,1)-S688*OFFSET(F688,-R688,0,R688,1))^2)/(R688-3)),"")</f>
        <v>0.00226987055020817</v>
      </c>
      <c r="W688" s="31" t="n">
        <f aca="false">IF(AND(F688&gt;=1,R688&gt;=Inputs!$B$10),(D688-U688-T688*E688-S688*F688)/V688,"")</f>
        <v>-2.65302840982766</v>
      </c>
      <c r="X688" s="30" t="n">
        <f aca="false">IF(AB687&lt;&gt;0,AC687+1,0)</f>
        <v>2</v>
      </c>
      <c r="Y688" s="30" t="n">
        <f aca="false">IF(W688="",0,IF(AND(AB687&lt;&gt;0,OR(ABS(W688)&gt;Inputs!$B$7,X688&gt;=Inputs!$B$8,ABS(W688)&lt;Inputs!$B$6)),1,0))</f>
        <v>0</v>
      </c>
      <c r="Z688" s="30" t="n">
        <f aca="false">IF(Y688=1,0,AB687)</f>
        <v>-1</v>
      </c>
      <c r="AA688" s="30" t="n">
        <f aca="false">IF(W688="",0,IF(AND(Z688=0,ABS(W688)&gt;Inputs!$B$5,ABS(W688)&lt;=Inputs!$B$7),1,0))</f>
        <v>0</v>
      </c>
      <c r="AB688" s="30" t="n">
        <f aca="false">IF(W688="",0,IF(AA688=1,-SIGN(W688),Z688))</f>
        <v>-1</v>
      </c>
      <c r="AC688" s="30" t="n">
        <f aca="false">IF(W688="",0,IF(AA688=1,0,IF(Y688=1,0,X688)))</f>
        <v>2</v>
      </c>
      <c r="AD688" s="29" t="n">
        <f aca="false">IF(AB688=0,0,IF(AB687=AB688,AD687,T688))</f>
        <v>1.02792375584962</v>
      </c>
      <c r="AE688" s="30" t="n">
        <f aca="false">AB688-AB687</f>
        <v>0</v>
      </c>
      <c r="AF688" s="30" t="n">
        <f aca="false">-AD688*AB688</f>
        <v>1.02792375584962</v>
      </c>
      <c r="AG688" s="30" t="n">
        <f aca="false">AF688-AF687</f>
        <v>0</v>
      </c>
      <c r="AH688" s="30" t="n">
        <f aca="false">MAX(AE688,0)*(Inputs!$B$17+Inputs!$B$18+Inputs!$B$19)+MAX(-AE688,0)*(O688+Inputs!$B$18+Inputs!$B$19)+IF(AND(K688=1,AB688&lt;&gt;0),(Inputs!$B$17+Inputs!$B$18+Inputs!$B$19)+(O688+Inputs!$B$18+Inputs!$B$19),0)+MAX(AG688,0)*(Inputs!$B$20+Inputs!$B$22+Inputs!$B$23)+MAX(-AG688,0)*(Inputs!$B$21+Inputs!$B$22+Inputs!$B$23)</f>
        <v>0</v>
      </c>
      <c r="AI688" s="30" t="n">
        <f aca="false">AB687*(M688-AD687*J688)+AB687*AD687*N688/Inputs!$B$16-AH688</f>
        <v>0.00883316769041155</v>
      </c>
      <c r="AJ688" s="30" t="n">
        <f aca="false">MAX(AE688,0)*(Inputs!$B$17+Inputs!$B$24+Inputs!$B$25)+MAX(-AE688,0)*(O688+Inputs!$B$24+Inputs!$B$25)+IF(AND(K688=1,AB688&lt;&gt;0),(Inputs!$B$17+Inputs!$B$24+Inputs!$B$25)+(O688+Inputs!$B$24+Inputs!$B$25),0)+MAX(AG688,0)*(Inputs!$B$20+Inputs!$B$26+Inputs!$B$27)+MAX(-AG688,0)*(Inputs!$B$21+Inputs!$B$26+Inputs!$B$27)</f>
        <v>0</v>
      </c>
      <c r="AK688" s="30" t="n">
        <f aca="false">AB687*(M688-AD687*J688)+AB687*AD687*(N688+Inputs!$B$14)/Inputs!$B$16-AJ688</f>
        <v>0.00880257472148745</v>
      </c>
      <c r="AL688" s="30" t="n">
        <f aca="false">IF(AP687&lt;&gt;0,AQ687+1,0)</f>
        <v>2</v>
      </c>
      <c r="AM688" s="30" t="n">
        <f aca="false">IF(W688="",0,IF(AND(AP687&lt;&gt;0,OR(ABS(W688)&gt;Inputs!$B$7,AL688&gt;=Inputs!$B$8,ABS(W688)&lt;Inputs!$B$6)),1,0))</f>
        <v>0</v>
      </c>
      <c r="AN688" s="30" t="n">
        <f aca="false">IF(AM688=1,0,AP687)</f>
        <v>-1</v>
      </c>
      <c r="AO688" s="30" t="n">
        <f aca="false">IF(W688="",0,IF(AND(AN688=0,ABS(W688)&gt;Inputs!$B$5,ABS(W688)&lt;=Inputs!$B$7,W688&gt;0),1,0))</f>
        <v>0</v>
      </c>
      <c r="AP688" s="30" t="n">
        <f aca="false">IF(W688="",0,IF(AO688=1,-SIGN(W688),AN688))</f>
        <v>-1</v>
      </c>
      <c r="AQ688" s="30" t="n">
        <f aca="false">IF(W688="",0,IF(AO688=1,0,IF(AM688=1,0,AL688)))</f>
        <v>2</v>
      </c>
      <c r="AR688" s="29" t="n">
        <f aca="false">IF(AP688=0,0,IF(AP687=AP688,AR687,T688))</f>
        <v>1.02792375584962</v>
      </c>
      <c r="AS688" s="30" t="n">
        <f aca="false">AP688-AP687</f>
        <v>0</v>
      </c>
      <c r="AT688" s="30" t="n">
        <f aca="false">-AR688*AP688</f>
        <v>1.02792375584962</v>
      </c>
      <c r="AU688" s="30" t="n">
        <f aca="false">AT688-AT687</f>
        <v>0</v>
      </c>
      <c r="AV688" s="30" t="n">
        <f aca="false">MAX(AS688,0)*(Inputs!$B$17+Inputs!$B$18+Inputs!$B$19)+MAX(-AS688,0)*(O688+Inputs!$B$18+Inputs!$B$19)+IF(AND(K688=1,AP688&lt;&gt;0),(Inputs!$B$17+Inputs!$B$18+Inputs!$B$19)+(O688+Inputs!$B$18+Inputs!$B$19),0)+MAX(AU688,0)*(Inputs!$B$20+Inputs!$B$22+Inputs!$B$23)+MAX(-AU688,0)*(Inputs!$B$21+Inputs!$B$22+Inputs!$B$23)</f>
        <v>0</v>
      </c>
      <c r="AW688" s="30" t="n">
        <f aca="false">AP687*(M688-AR687*J688)+AP687*AR687*N688/Inputs!$B$16-AV688</f>
        <v>0.00883316769041155</v>
      </c>
      <c r="AX688" s="30" t="n">
        <f aca="false">AW688-IF(AP687&lt;&gt;0,0.75*AR687*(Inputs!$B$13-N688)/Inputs!$B$16,0)</f>
        <v>0.00856547921232571</v>
      </c>
      <c r="AY688" s="30" t="n">
        <f aca="false">MAX(AS688,0)*(Inputs!$B$17+Inputs!$B$18+Inputs!$B$19)+MAX(-AS688,0)*(O688+Inputs!$B$18+Inputs!$B$19)+IF(AND(K688=1,AP688&lt;&gt;0),(Inputs!$B$17+Inputs!$B$18+Inputs!$B$19)+(O688+Inputs!$B$18+Inputs!$B$19),0)</f>
        <v>0</v>
      </c>
      <c r="AZ688" s="30" t="n">
        <f aca="false">AP687*M688-AY688</f>
        <v>0.0248696228869321</v>
      </c>
      <c r="BA688" s="32" t="n">
        <f aca="false">BA687+AI688</f>
        <v>0.0261726191772394</v>
      </c>
      <c r="BB688" s="30" t="n">
        <f aca="false">MAX(BB687,BA688)</f>
        <v>0.0261726191772394</v>
      </c>
      <c r="BC688" s="32" t="n">
        <f aca="false">BA688-BB688</f>
        <v>0</v>
      </c>
      <c r="BD688" s="30" t="n">
        <f aca="false">A689-A688</f>
        <v>1</v>
      </c>
    </row>
    <row r="689" customFormat="false" ht="15" hidden="false" customHeight="false" outlineLevel="0" collapsed="false">
      <c r="A689" s="28" t="n">
        <v>46055</v>
      </c>
      <c r="B689" s="0" t="n">
        <v>25149.2</v>
      </c>
      <c r="C689" s="0" t="n">
        <v>284.5</v>
      </c>
      <c r="D689" s="29" t="n">
        <f aca="false">LN(B689)</f>
        <v>10.1325813658768</v>
      </c>
      <c r="E689" s="29" t="n">
        <f aca="false">LN(C689)</f>
        <v>5.65073325356639</v>
      </c>
      <c r="F689" s="0" t="n">
        <v>684</v>
      </c>
      <c r="G689" s="0" t="n">
        <v>22</v>
      </c>
      <c r="H689" s="29" t="n">
        <f aca="false">D689-E689</f>
        <v>4.48184811231045</v>
      </c>
      <c r="I689" s="29" t="n">
        <f aca="false">D689-D688</f>
        <v>0.0139824337237613</v>
      </c>
      <c r="J689" s="29" t="n">
        <f aca="false">E689-E688</f>
        <v>0.00751498588496613</v>
      </c>
      <c r="K689" s="0" t="n">
        <v>0</v>
      </c>
      <c r="L689" s="0" t="n">
        <v>0</v>
      </c>
      <c r="M689" s="29" t="n">
        <f aca="false">IF(L689=1,J689-Carry!$B$9/Inputs!$B$16,I689)</f>
        <v>0.0139824337237613</v>
      </c>
      <c r="N689" s="0" t="n">
        <v>0.0525</v>
      </c>
      <c r="O689" s="0" t="n">
        <v>0.0002</v>
      </c>
      <c r="P689" s="29" t="n">
        <f aca="false">D689-('2 Hedge ratio'!$B$6+'2 Hedge ratio'!$B$5*E689)</f>
        <v>-0.0060266584288069</v>
      </c>
      <c r="Q689" s="29" t="n">
        <f aca="false">D689-('5 Re-specification'!$B$7+'5 Re-specification'!$B$5*E689+'5 Re-specification'!$B$6*F689)</f>
        <v>-0.00149670781458155</v>
      </c>
      <c r="R689" s="30" t="n">
        <f aca="false">MIN(F689,Inputs!$B$9)</f>
        <v>250</v>
      </c>
      <c r="S689" s="29" t="n">
        <f aca="true">IF(AND(F689&gt;=1,R689&gt;=Inputs!$B$10),INDEX(LINEST(OFFSET(D689,-R689,0,R689,1),OFFSET(E689,-R689,0,R689,2)),1,1),"")</f>
        <v>-6.86142889361492E-005</v>
      </c>
      <c r="T689" s="29" t="n">
        <f aca="true">IF(AND(F689&gt;=1,R689&gt;=Inputs!$B$10),INDEX(LINEST(OFFSET(D689,-R689,0,R689,1),OFFSET(E689,-R689,0,R689,2)),1,2),"")</f>
        <v>1.02733235555069</v>
      </c>
      <c r="U689" s="29" t="n">
        <f aca="true">IF(AND(F689&gt;=1,R689&gt;=Inputs!$B$10),INDEX(LINEST(OFFSET(D689,-R689,0,R689,1),OFFSET(E689,-R689,0,R689,2)),1,3),"")</f>
        <v>4.37376296480394</v>
      </c>
      <c r="V689" s="29" t="n">
        <f aca="true">IF(AND(F689&gt;=1,R689&gt;=Inputs!$B$10),SQRT(SUMPRODUCT((OFFSET(D689,-R689,0,R689,1)-U689-T689*OFFSET(E689,-R689,0,R689,1)-S689*OFFSET(F689,-R689,0,R689,1))^2)/(R689-3)),"")</f>
        <v>0.00229609134132115</v>
      </c>
      <c r="W689" s="31" t="n">
        <f aca="false">IF(AND(F689&gt;=1,R689&gt;=Inputs!$B$10),(D689-U689-T689*E689-S689*F689)/V689,"")</f>
        <v>0.248017454701396</v>
      </c>
      <c r="X689" s="30" t="n">
        <f aca="false">IF(AB688&lt;&gt;0,AC688+1,0)</f>
        <v>3</v>
      </c>
      <c r="Y689" s="30" t="n">
        <f aca="false">IF(W689="",0,IF(AND(AB688&lt;&gt;0,OR(ABS(W689)&gt;Inputs!$B$7,X689&gt;=Inputs!$B$8,ABS(W689)&lt;Inputs!$B$6)),1,0))</f>
        <v>1</v>
      </c>
      <c r="Z689" s="30" t="n">
        <f aca="false">IF(Y689=1,0,AB688)</f>
        <v>0</v>
      </c>
      <c r="AA689" s="30" t="n">
        <f aca="false">IF(W689="",0,IF(AND(Z689=0,ABS(W689)&gt;Inputs!$B$5,ABS(W689)&lt;=Inputs!$B$7),1,0))</f>
        <v>0</v>
      </c>
      <c r="AB689" s="30" t="n">
        <f aca="false">IF(W689="",0,IF(AA689=1,-SIGN(W689),Z689))</f>
        <v>0</v>
      </c>
      <c r="AC689" s="30" t="n">
        <f aca="false">IF(W689="",0,IF(AA689=1,0,IF(Y689=1,0,X689)))</f>
        <v>0</v>
      </c>
      <c r="AD689" s="30" t="n">
        <f aca="false">IF(AB689=0,0,IF(AB688=AB689,AD688,T689))</f>
        <v>0</v>
      </c>
      <c r="AE689" s="30" t="n">
        <f aca="false">AB689-AB688</f>
        <v>1</v>
      </c>
      <c r="AF689" s="30" t="n">
        <f aca="false">-AD689*AB689</f>
        <v>-0</v>
      </c>
      <c r="AG689" s="30" t="n">
        <f aca="false">AF689-AF688</f>
        <v>-1.02792375584962</v>
      </c>
      <c r="AH689" s="30" t="n">
        <f aca="false">MAX(AE689,0)*(Inputs!$B$17+Inputs!$B$18+Inputs!$B$19)+MAX(-AE689,0)*(O689+Inputs!$B$18+Inputs!$B$19)+IF(AND(K689=1,AB689&lt;&gt;0),(Inputs!$B$17+Inputs!$B$18+Inputs!$B$19)+(O689+Inputs!$B$18+Inputs!$B$19),0)+MAX(AG689,0)*(Inputs!$B$20+Inputs!$B$22+Inputs!$B$23)+MAX(-AG689,0)*(Inputs!$B$21+Inputs!$B$22+Inputs!$B$23)</f>
        <v>0.00037086398872842</v>
      </c>
      <c r="AI689" s="30" t="n">
        <f aca="false">AB688*(M689-AD688*J689)+AB688*AD688*N689/Inputs!$B$16-AH689</f>
        <v>-0.00684261597892712</v>
      </c>
      <c r="AJ689" s="30" t="n">
        <f aca="false">MAX(AE689,0)*(Inputs!$B$17+Inputs!$B$24+Inputs!$B$25)+MAX(-AE689,0)*(O689+Inputs!$B$24+Inputs!$B$25)+IF(AND(K689=1,AB689&lt;&gt;0),(Inputs!$B$17+Inputs!$B$24+Inputs!$B$25)+(O689+Inputs!$B$24+Inputs!$B$25),0)+MAX(AG689,0)*(Inputs!$B$20+Inputs!$B$26+Inputs!$B$27)+MAX(-AG689,0)*(Inputs!$B$21+Inputs!$B$26+Inputs!$B$27)</f>
        <v>0.000208211231922706</v>
      </c>
      <c r="AK689" s="30" t="n">
        <f aca="false">AB688*(M689-AD688*J689)+AB688*AD688*(N689+Inputs!$B$14)/Inputs!$B$16-AJ689</f>
        <v>-0.0067105561910455</v>
      </c>
      <c r="AL689" s="30" t="n">
        <f aca="false">IF(AP688&lt;&gt;0,AQ688+1,0)</f>
        <v>3</v>
      </c>
      <c r="AM689" s="30" t="n">
        <f aca="false">IF(W689="",0,IF(AND(AP688&lt;&gt;0,OR(ABS(W689)&gt;Inputs!$B$7,AL689&gt;=Inputs!$B$8,ABS(W689)&lt;Inputs!$B$6)),1,0))</f>
        <v>1</v>
      </c>
      <c r="AN689" s="30" t="n">
        <f aca="false">IF(AM689=1,0,AP688)</f>
        <v>0</v>
      </c>
      <c r="AO689" s="30" t="n">
        <f aca="false">IF(W689="",0,IF(AND(AN689=0,ABS(W689)&gt;Inputs!$B$5,ABS(W689)&lt;=Inputs!$B$7,W689&gt;0),1,0))</f>
        <v>0</v>
      </c>
      <c r="AP689" s="30" t="n">
        <f aca="false">IF(W689="",0,IF(AO689=1,-SIGN(W689),AN689))</f>
        <v>0</v>
      </c>
      <c r="AQ689" s="30" t="n">
        <f aca="false">IF(W689="",0,IF(AO689=1,0,IF(AM689=1,0,AL689)))</f>
        <v>0</v>
      </c>
      <c r="AR689" s="30" t="n">
        <f aca="false">IF(AP689=0,0,IF(AP688=AP689,AR688,T689))</f>
        <v>0</v>
      </c>
      <c r="AS689" s="30" t="n">
        <f aca="false">AP689-AP688</f>
        <v>1</v>
      </c>
      <c r="AT689" s="30" t="n">
        <f aca="false">-AR689*AP689</f>
        <v>-0</v>
      </c>
      <c r="AU689" s="30" t="n">
        <f aca="false">AT689-AT688</f>
        <v>-1.02792375584962</v>
      </c>
      <c r="AV689" s="30" t="n">
        <f aca="false">MAX(AS689,0)*(Inputs!$B$17+Inputs!$B$18+Inputs!$B$19)+MAX(-AS689,0)*(O689+Inputs!$B$18+Inputs!$B$19)+IF(AND(K689=1,AP689&lt;&gt;0),(Inputs!$B$17+Inputs!$B$18+Inputs!$B$19)+(O689+Inputs!$B$18+Inputs!$B$19),0)+MAX(AU689,0)*(Inputs!$B$20+Inputs!$B$22+Inputs!$B$23)+MAX(-AU689,0)*(Inputs!$B$21+Inputs!$B$22+Inputs!$B$23)</f>
        <v>0.00037086398872842</v>
      </c>
      <c r="AW689" s="30" t="n">
        <f aca="false">AP688*(M689-AR688*J689)+AP688*AR688*N689/Inputs!$B$16-AV689</f>
        <v>-0.00684261597892712</v>
      </c>
      <c r="AX689" s="30" t="n">
        <f aca="false">AW689-IF(AP688&lt;&gt;0,0.75*AR688*(Inputs!$B$13-N689)/Inputs!$B$16,0)</f>
        <v>-0.00711030445701296</v>
      </c>
      <c r="AY689" s="30" t="n">
        <f aca="false">MAX(AS689,0)*(Inputs!$B$17+Inputs!$B$18+Inputs!$B$19)+MAX(-AS689,0)*(O689+Inputs!$B$18+Inputs!$B$19)+IF(AND(K689=1,AP689&lt;&gt;0),(Inputs!$B$17+Inputs!$B$18+Inputs!$B$19)+(O689+Inputs!$B$18+Inputs!$B$19),0)</f>
        <v>0.000155</v>
      </c>
      <c r="AZ689" s="30" t="n">
        <f aca="false">AP688*M689-AY689</f>
        <v>-0.0141374337237613</v>
      </c>
      <c r="BA689" s="32" t="n">
        <f aca="false">BA688+AI689</f>
        <v>0.0193300031983123</v>
      </c>
      <c r="BB689" s="30" t="n">
        <f aca="false">MAX(BB688,BA689)</f>
        <v>0.0261726191772394</v>
      </c>
      <c r="BC689" s="32" t="n">
        <f aca="false">BA689-BB689</f>
        <v>-0.00684261597892712</v>
      </c>
      <c r="BD689" s="30" t="n">
        <f aca="false">A690-A689</f>
        <v>1</v>
      </c>
    </row>
    <row r="690" customFormat="false" ht="15" hidden="false" customHeight="false" outlineLevel="0" collapsed="false">
      <c r="A690" s="28" t="n">
        <v>46056</v>
      </c>
      <c r="B690" s="0" t="n">
        <v>25823.1</v>
      </c>
      <c r="C690" s="0" t="n">
        <v>291.2</v>
      </c>
      <c r="D690" s="29" t="n">
        <f aca="false">LN(B690)</f>
        <v>10.1590247191612</v>
      </c>
      <c r="E690" s="29" t="n">
        <f aca="false">LN(C690)</f>
        <v>5.67401031632253</v>
      </c>
      <c r="F690" s="0" t="n">
        <v>685</v>
      </c>
      <c r="G690" s="0" t="n">
        <v>21</v>
      </c>
      <c r="H690" s="29" t="n">
        <f aca="false">D690-E690</f>
        <v>4.48501440283871</v>
      </c>
      <c r="I690" s="29" t="n">
        <f aca="false">D690-D689</f>
        <v>0.0264433532844048</v>
      </c>
      <c r="J690" s="29" t="n">
        <f aca="false">E690-E689</f>
        <v>0.0232770627561454</v>
      </c>
      <c r="K690" s="0" t="n">
        <v>0</v>
      </c>
      <c r="L690" s="0" t="n">
        <v>0</v>
      </c>
      <c r="M690" s="29" t="n">
        <f aca="false">IF(L690=1,J690-Carry!$B$9/Inputs!$B$16,I690)</f>
        <v>0.0264433532844048</v>
      </c>
      <c r="N690" s="0" t="n">
        <v>0.0525</v>
      </c>
      <c r="O690" s="0" t="n">
        <v>0.0002</v>
      </c>
      <c r="P690" s="29" t="n">
        <f aca="false">D690-('2 Hedge ratio'!$B$6+'2 Hedge ratio'!$B$5*E690)</f>
        <v>-0.000908045211971853</v>
      </c>
      <c r="Q690" s="29" t="n">
        <f aca="false">D690-('5 Re-specification'!$B$7+'5 Re-specification'!$B$5*E690+'5 Re-specification'!$B$6*F690)</f>
        <v>0.00178505317095023</v>
      </c>
      <c r="R690" s="30" t="n">
        <f aca="false">MIN(F690,Inputs!$B$9)</f>
        <v>250</v>
      </c>
      <c r="S690" s="29" t="n">
        <f aca="true">IF(AND(F690&gt;=1,R690&gt;=Inputs!$B$10),INDEX(LINEST(OFFSET(D690,-R690,0,R690,1),OFFSET(E690,-R690,0,R690,2)),1,1),"")</f>
        <v>-6.88040079419703E-005</v>
      </c>
      <c r="T690" s="29" t="n">
        <f aca="true">IF(AND(F690&gt;=1,R690&gt;=Inputs!$B$10),INDEX(LINEST(OFFSET(D690,-R690,0,R690,1),OFFSET(E690,-R690,0,R690,2)),1,2),"")</f>
        <v>1.02712450670043</v>
      </c>
      <c r="U690" s="29" t="n">
        <f aca="true">IF(AND(F690&gt;=1,R690&gt;=Inputs!$B$10),INDEX(LINEST(OFFSET(D690,-R690,0,R690,1),OFFSET(E690,-R690,0,R690,2)),1,3),"")</f>
        <v>4.37505657360529</v>
      </c>
      <c r="V690" s="29" t="n">
        <f aca="true">IF(AND(F690&gt;=1,R690&gt;=Inputs!$B$10),SQRT(SUMPRODUCT((OFFSET(D690,-R690,0,R690,1)-U690-T690*OFFSET(E690,-R690,0,R690,1)-S690*OFFSET(F690,-R690,0,R690,1))^2)/(R690-3)),"")</f>
        <v>0.00228370457322659</v>
      </c>
      <c r="W690" s="31" t="n">
        <f aca="false">IF(AND(F690&gt;=1,R690&gt;=Inputs!$B$10),(D690-U690-T690*E690-S690*F690)/V690,"")</f>
        <v>1.39415748762365</v>
      </c>
      <c r="X690" s="30" t="n">
        <f aca="false">IF(AB689&lt;&gt;0,AC689+1,0)</f>
        <v>0</v>
      </c>
      <c r="Y690" s="30" t="n">
        <f aca="false">IF(W690="",0,IF(AND(AB689&lt;&gt;0,OR(ABS(W690)&gt;Inputs!$B$7,X690&gt;=Inputs!$B$8,ABS(W690)&lt;Inputs!$B$6)),1,0))</f>
        <v>0</v>
      </c>
      <c r="Z690" s="30" t="n">
        <f aca="false">IF(Y690=1,0,AB689)</f>
        <v>0</v>
      </c>
      <c r="AA690" s="30" t="n">
        <f aca="false">IF(W690="",0,IF(AND(Z690=0,ABS(W690)&gt;Inputs!$B$5,ABS(W690)&lt;=Inputs!$B$7),1,0))</f>
        <v>0</v>
      </c>
      <c r="AB690" s="30" t="n">
        <f aca="false">IF(W690="",0,IF(AA690=1,-SIGN(W690),Z690))</f>
        <v>0</v>
      </c>
      <c r="AC690" s="30" t="n">
        <f aca="false">IF(W690="",0,IF(AA690=1,0,IF(Y690=1,0,X690)))</f>
        <v>0</v>
      </c>
      <c r="AD690" s="30" t="n">
        <f aca="false">IF(AB690=0,0,IF(AB689=AB690,AD689,T690))</f>
        <v>0</v>
      </c>
      <c r="AE690" s="30" t="n">
        <f aca="false">AB690-AB689</f>
        <v>0</v>
      </c>
      <c r="AF690" s="30" t="n">
        <f aca="false">-AD690*AB690</f>
        <v>-0</v>
      </c>
      <c r="AG690" s="30" t="n">
        <f aca="false">AF690-AF689</f>
        <v>0</v>
      </c>
      <c r="AH690" s="30" t="n">
        <f aca="false">MAX(AE690,0)*(Inputs!$B$17+Inputs!$B$18+Inputs!$B$19)+MAX(-AE690,0)*(O690+Inputs!$B$18+Inputs!$B$19)+IF(AND(K690=1,AB690&lt;&gt;0),(Inputs!$B$17+Inputs!$B$18+Inputs!$B$19)+(O690+Inputs!$B$18+Inputs!$B$19),0)+MAX(AG690,0)*(Inputs!$B$20+Inputs!$B$22+Inputs!$B$23)+MAX(-AG690,0)*(Inputs!$B$21+Inputs!$B$22+Inputs!$B$23)</f>
        <v>0</v>
      </c>
      <c r="AI690" s="30" t="n">
        <f aca="false">AB689*(M690-AD689*J690)+AB689*AD689*N690/Inputs!$B$16-AH690</f>
        <v>0</v>
      </c>
      <c r="AJ690" s="30" t="n">
        <f aca="false">MAX(AE690,0)*(Inputs!$B$17+Inputs!$B$24+Inputs!$B$25)+MAX(-AE690,0)*(O690+Inputs!$B$24+Inputs!$B$25)+IF(AND(K690=1,AB690&lt;&gt;0),(Inputs!$B$17+Inputs!$B$24+Inputs!$B$25)+(O690+Inputs!$B$24+Inputs!$B$25),0)+MAX(AG690,0)*(Inputs!$B$20+Inputs!$B$26+Inputs!$B$27)+MAX(-AG690,0)*(Inputs!$B$21+Inputs!$B$26+Inputs!$B$27)</f>
        <v>0</v>
      </c>
      <c r="AK690" s="30" t="n">
        <f aca="false">AB689*(M690-AD689*J690)+AB689*AD689*(N690+Inputs!$B$14)/Inputs!$B$16-AJ690</f>
        <v>0</v>
      </c>
      <c r="AL690" s="30" t="n">
        <f aca="false">IF(AP689&lt;&gt;0,AQ689+1,0)</f>
        <v>0</v>
      </c>
      <c r="AM690" s="30" t="n">
        <f aca="false">IF(W690="",0,IF(AND(AP689&lt;&gt;0,OR(ABS(W690)&gt;Inputs!$B$7,AL690&gt;=Inputs!$B$8,ABS(W690)&lt;Inputs!$B$6)),1,0))</f>
        <v>0</v>
      </c>
      <c r="AN690" s="30" t="n">
        <f aca="false">IF(AM690=1,0,AP689)</f>
        <v>0</v>
      </c>
      <c r="AO690" s="30" t="n">
        <f aca="false">IF(W690="",0,IF(AND(AN690=0,ABS(W690)&gt;Inputs!$B$5,ABS(W690)&lt;=Inputs!$B$7,W690&gt;0),1,0))</f>
        <v>0</v>
      </c>
      <c r="AP690" s="30" t="n">
        <f aca="false">IF(W690="",0,IF(AO690=1,-SIGN(W690),AN690))</f>
        <v>0</v>
      </c>
      <c r="AQ690" s="30" t="n">
        <f aca="false">IF(W690="",0,IF(AO690=1,0,IF(AM690=1,0,AL690)))</f>
        <v>0</v>
      </c>
      <c r="AR690" s="30" t="n">
        <f aca="false">IF(AP690=0,0,IF(AP689=AP690,AR689,T690))</f>
        <v>0</v>
      </c>
      <c r="AS690" s="30" t="n">
        <f aca="false">AP690-AP689</f>
        <v>0</v>
      </c>
      <c r="AT690" s="30" t="n">
        <f aca="false">-AR690*AP690</f>
        <v>-0</v>
      </c>
      <c r="AU690" s="30" t="n">
        <f aca="false">AT690-AT689</f>
        <v>0</v>
      </c>
      <c r="AV690" s="30" t="n">
        <f aca="false">MAX(AS690,0)*(Inputs!$B$17+Inputs!$B$18+Inputs!$B$19)+MAX(-AS690,0)*(O690+Inputs!$B$18+Inputs!$B$19)+IF(AND(K690=1,AP690&lt;&gt;0),(Inputs!$B$17+Inputs!$B$18+Inputs!$B$19)+(O690+Inputs!$B$18+Inputs!$B$19),0)+MAX(AU690,0)*(Inputs!$B$20+Inputs!$B$22+Inputs!$B$23)+MAX(-AU690,0)*(Inputs!$B$21+Inputs!$B$22+Inputs!$B$23)</f>
        <v>0</v>
      </c>
      <c r="AW690" s="30" t="n">
        <f aca="false">AP689*(M690-AR689*J690)+AP689*AR689*N690/Inputs!$B$16-AV690</f>
        <v>0</v>
      </c>
      <c r="AX690" s="30" t="n">
        <f aca="false">AW690-IF(AP689&lt;&gt;0,0.75*AR689*(Inputs!$B$13-N690)/Inputs!$B$16,0)</f>
        <v>0</v>
      </c>
      <c r="AY690" s="30" t="n">
        <f aca="false">MAX(AS690,0)*(Inputs!$B$17+Inputs!$B$18+Inputs!$B$19)+MAX(-AS690,0)*(O690+Inputs!$B$18+Inputs!$B$19)+IF(AND(K690=1,AP690&lt;&gt;0),(Inputs!$B$17+Inputs!$B$18+Inputs!$B$19)+(O690+Inputs!$B$18+Inputs!$B$19),0)</f>
        <v>0</v>
      </c>
      <c r="AZ690" s="30" t="n">
        <f aca="false">AP689*M690-AY690</f>
        <v>0</v>
      </c>
      <c r="BA690" s="32" t="n">
        <f aca="false">BA689+AI690</f>
        <v>0.0193300031983123</v>
      </c>
      <c r="BB690" s="30" t="n">
        <f aca="false">MAX(BB689,BA690)</f>
        <v>0.0261726191772394</v>
      </c>
      <c r="BC690" s="32" t="n">
        <f aca="false">BA690-BB690</f>
        <v>-0.00684261597892712</v>
      </c>
      <c r="BD690" s="30" t="n">
        <f aca="false">A691-A690</f>
        <v>1</v>
      </c>
    </row>
    <row r="691" customFormat="false" ht="15" hidden="false" customHeight="false" outlineLevel="0" collapsed="false">
      <c r="A691" s="28" t="n">
        <v>46057</v>
      </c>
      <c r="B691" s="0" t="n">
        <v>25831.9</v>
      </c>
      <c r="C691" s="0" t="n">
        <v>291.3</v>
      </c>
      <c r="D691" s="29" t="n">
        <f aca="false">LN(B691)</f>
        <v>10.1593654412631</v>
      </c>
      <c r="E691" s="29" t="n">
        <f aca="false">LN(C691)</f>
        <v>5.67435366396539</v>
      </c>
      <c r="F691" s="0" t="n">
        <v>686</v>
      </c>
      <c r="G691" s="0" t="n">
        <v>20</v>
      </c>
      <c r="H691" s="29" t="n">
        <f aca="false">D691-E691</f>
        <v>4.48501177729768</v>
      </c>
      <c r="I691" s="29" t="n">
        <f aca="false">D691-D690</f>
        <v>0.00034072210183389</v>
      </c>
      <c r="J691" s="29" t="n">
        <f aca="false">E691-E690</f>
        <v>0.000343347642858483</v>
      </c>
      <c r="K691" s="0" t="n">
        <v>0</v>
      </c>
      <c r="L691" s="0" t="n">
        <v>0</v>
      </c>
      <c r="M691" s="29" t="n">
        <f aca="false">IF(L691=1,J691-Carry!$B$9/Inputs!$B$16,I691)</f>
        <v>0.00034072210183389</v>
      </c>
      <c r="N691" s="0" t="n">
        <v>0.0525</v>
      </c>
      <c r="O691" s="0" t="n">
        <v>0.0002</v>
      </c>
      <c r="P691" s="29" t="n">
        <f aca="false">D691-('2 Hedge ratio'!$B$6+'2 Hedge ratio'!$B$5*E691)</f>
        <v>-0.000881873073485195</v>
      </c>
      <c r="Q691" s="29" t="n">
        <f aca="false">D691-('5 Re-specification'!$B$7+'5 Re-specification'!$B$5*E691+'5 Re-specification'!$B$6*F691)</f>
        <v>0.00182839746306129</v>
      </c>
      <c r="R691" s="30" t="n">
        <f aca="false">MIN(F691,Inputs!$B$9)</f>
        <v>250</v>
      </c>
      <c r="S691" s="29" t="n">
        <f aca="true">IF(AND(F691&gt;=1,R691&gt;=Inputs!$B$10),INDEX(LINEST(OFFSET(D691,-R691,0,R691,1),OFFSET(E691,-R691,0,R691,2)),1,1),"")</f>
        <v>-6.87496272509583E-005</v>
      </c>
      <c r="T691" s="29" t="n">
        <f aca="true">IF(AND(F691&gt;=1,R691&gt;=Inputs!$B$10),INDEX(LINEST(OFFSET(D691,-R691,0,R691,1),OFFSET(E691,-R691,0,R691,2)),1,2),"")</f>
        <v>1.0266498450961</v>
      </c>
      <c r="U691" s="29" t="n">
        <f aca="true">IF(AND(F691&gt;=1,R691&gt;=Inputs!$B$10),INDEX(LINEST(OFFSET(D691,-R691,0,R691,1),OFFSET(E691,-R691,0,R691,2)),1,3),"")</f>
        <v>4.3777328188563</v>
      </c>
      <c r="V691" s="29" t="n">
        <f aca="true">IF(AND(F691&gt;=1,R691&gt;=Inputs!$B$10),SQRT(SUMPRODUCT((OFFSET(D691,-R691,0,R691,1)-U691-T691*OFFSET(E691,-R691,0,R691,1)-S691*OFFSET(F691,-R691,0,R691,1))^2)/(R691-3)),"")</f>
        <v>0.00226659707057981</v>
      </c>
      <c r="W691" s="31" t="n">
        <f aca="false">IF(AND(F691&gt;=1,R691&gt;=Inputs!$B$10),(D691-U691-T691*E691-S691*F691)/V691,"")</f>
        <v>1.42087740787769</v>
      </c>
      <c r="X691" s="30" t="n">
        <f aca="false">IF(AB690&lt;&gt;0,AC690+1,0)</f>
        <v>0</v>
      </c>
      <c r="Y691" s="30" t="n">
        <f aca="false">IF(W691="",0,IF(AND(AB690&lt;&gt;0,OR(ABS(W691)&gt;Inputs!$B$7,X691&gt;=Inputs!$B$8,ABS(W691)&lt;Inputs!$B$6)),1,0))</f>
        <v>0</v>
      </c>
      <c r="Z691" s="30" t="n">
        <f aca="false">IF(Y691=1,0,AB690)</f>
        <v>0</v>
      </c>
      <c r="AA691" s="30" t="n">
        <f aca="false">IF(W691="",0,IF(AND(Z691=0,ABS(W691)&gt;Inputs!$B$5,ABS(W691)&lt;=Inputs!$B$7),1,0))</f>
        <v>0</v>
      </c>
      <c r="AB691" s="30" t="n">
        <f aca="false">IF(W691="",0,IF(AA691=1,-SIGN(W691),Z691))</f>
        <v>0</v>
      </c>
      <c r="AC691" s="30" t="n">
        <f aca="false">IF(W691="",0,IF(AA691=1,0,IF(Y691=1,0,X691)))</f>
        <v>0</v>
      </c>
      <c r="AD691" s="30" t="n">
        <f aca="false">IF(AB691=0,0,IF(AB690=AB691,AD690,T691))</f>
        <v>0</v>
      </c>
      <c r="AE691" s="30" t="n">
        <f aca="false">AB691-AB690</f>
        <v>0</v>
      </c>
      <c r="AF691" s="30" t="n">
        <f aca="false">-AD691*AB691</f>
        <v>-0</v>
      </c>
      <c r="AG691" s="30" t="n">
        <f aca="false">AF691-AF690</f>
        <v>0</v>
      </c>
      <c r="AH691" s="30" t="n">
        <f aca="false">MAX(AE691,0)*(Inputs!$B$17+Inputs!$B$18+Inputs!$B$19)+MAX(-AE691,0)*(O691+Inputs!$B$18+Inputs!$B$19)+IF(AND(K691=1,AB691&lt;&gt;0),(Inputs!$B$17+Inputs!$B$18+Inputs!$B$19)+(O691+Inputs!$B$18+Inputs!$B$19),0)+MAX(AG691,0)*(Inputs!$B$20+Inputs!$B$22+Inputs!$B$23)+MAX(-AG691,0)*(Inputs!$B$21+Inputs!$B$22+Inputs!$B$23)</f>
        <v>0</v>
      </c>
      <c r="AI691" s="30" t="n">
        <f aca="false">AB690*(M691-AD690*J691)+AB690*AD690*N691/Inputs!$B$16-AH691</f>
        <v>0</v>
      </c>
      <c r="AJ691" s="30" t="n">
        <f aca="false">MAX(AE691,0)*(Inputs!$B$17+Inputs!$B$24+Inputs!$B$25)+MAX(-AE691,0)*(O691+Inputs!$B$24+Inputs!$B$25)+IF(AND(K691=1,AB691&lt;&gt;0),(Inputs!$B$17+Inputs!$B$24+Inputs!$B$25)+(O691+Inputs!$B$24+Inputs!$B$25),0)+MAX(AG691,0)*(Inputs!$B$20+Inputs!$B$26+Inputs!$B$27)+MAX(-AG691,0)*(Inputs!$B$21+Inputs!$B$26+Inputs!$B$27)</f>
        <v>0</v>
      </c>
      <c r="AK691" s="30" t="n">
        <f aca="false">AB690*(M691-AD690*J691)+AB690*AD690*(N691+Inputs!$B$14)/Inputs!$B$16-AJ691</f>
        <v>0</v>
      </c>
      <c r="AL691" s="30" t="n">
        <f aca="false">IF(AP690&lt;&gt;0,AQ690+1,0)</f>
        <v>0</v>
      </c>
      <c r="AM691" s="30" t="n">
        <f aca="false">IF(W691="",0,IF(AND(AP690&lt;&gt;0,OR(ABS(W691)&gt;Inputs!$B$7,AL691&gt;=Inputs!$B$8,ABS(W691)&lt;Inputs!$B$6)),1,0))</f>
        <v>0</v>
      </c>
      <c r="AN691" s="30" t="n">
        <f aca="false">IF(AM691=1,0,AP690)</f>
        <v>0</v>
      </c>
      <c r="AO691" s="30" t="n">
        <f aca="false">IF(W691="",0,IF(AND(AN691=0,ABS(W691)&gt;Inputs!$B$5,ABS(W691)&lt;=Inputs!$B$7,W691&gt;0),1,0))</f>
        <v>0</v>
      </c>
      <c r="AP691" s="30" t="n">
        <f aca="false">IF(W691="",0,IF(AO691=1,-SIGN(W691),AN691))</f>
        <v>0</v>
      </c>
      <c r="AQ691" s="30" t="n">
        <f aca="false">IF(W691="",0,IF(AO691=1,0,IF(AM691=1,0,AL691)))</f>
        <v>0</v>
      </c>
      <c r="AR691" s="30" t="n">
        <f aca="false">IF(AP691=0,0,IF(AP690=AP691,AR690,T691))</f>
        <v>0</v>
      </c>
      <c r="AS691" s="30" t="n">
        <f aca="false">AP691-AP690</f>
        <v>0</v>
      </c>
      <c r="AT691" s="30" t="n">
        <f aca="false">-AR691*AP691</f>
        <v>-0</v>
      </c>
      <c r="AU691" s="30" t="n">
        <f aca="false">AT691-AT690</f>
        <v>0</v>
      </c>
      <c r="AV691" s="30" t="n">
        <f aca="false">MAX(AS691,0)*(Inputs!$B$17+Inputs!$B$18+Inputs!$B$19)+MAX(-AS691,0)*(O691+Inputs!$B$18+Inputs!$B$19)+IF(AND(K691=1,AP691&lt;&gt;0),(Inputs!$B$17+Inputs!$B$18+Inputs!$B$19)+(O691+Inputs!$B$18+Inputs!$B$19),0)+MAX(AU691,0)*(Inputs!$B$20+Inputs!$B$22+Inputs!$B$23)+MAX(-AU691,0)*(Inputs!$B$21+Inputs!$B$22+Inputs!$B$23)</f>
        <v>0</v>
      </c>
      <c r="AW691" s="30" t="n">
        <f aca="false">AP690*(M691-AR690*J691)+AP690*AR690*N691/Inputs!$B$16-AV691</f>
        <v>0</v>
      </c>
      <c r="AX691" s="30" t="n">
        <f aca="false">AW691-IF(AP690&lt;&gt;0,0.75*AR690*(Inputs!$B$13-N691)/Inputs!$B$16,0)</f>
        <v>0</v>
      </c>
      <c r="AY691" s="30" t="n">
        <f aca="false">MAX(AS691,0)*(Inputs!$B$17+Inputs!$B$18+Inputs!$B$19)+MAX(-AS691,0)*(O691+Inputs!$B$18+Inputs!$B$19)+IF(AND(K691=1,AP691&lt;&gt;0),(Inputs!$B$17+Inputs!$B$18+Inputs!$B$19)+(O691+Inputs!$B$18+Inputs!$B$19),0)</f>
        <v>0</v>
      </c>
      <c r="AZ691" s="30" t="n">
        <f aca="false">AP690*M691-AY691</f>
        <v>0</v>
      </c>
      <c r="BA691" s="32" t="n">
        <f aca="false">BA690+AI691</f>
        <v>0.0193300031983123</v>
      </c>
      <c r="BB691" s="30" t="n">
        <f aca="false">MAX(BB690,BA691)</f>
        <v>0.0261726191772394</v>
      </c>
      <c r="BC691" s="32" t="n">
        <f aca="false">BA691-BB691</f>
        <v>-0.00684261597892712</v>
      </c>
      <c r="BD691" s="30" t="n">
        <f aca="false">A692-A691</f>
        <v>1</v>
      </c>
    </row>
    <row r="692" customFormat="false" ht="15" hidden="false" customHeight="false" outlineLevel="0" collapsed="false">
      <c r="A692" s="28" t="n">
        <v>46058</v>
      </c>
      <c r="B692" s="0" t="n">
        <v>25717.9</v>
      </c>
      <c r="C692" s="0" t="n">
        <v>290.4</v>
      </c>
      <c r="D692" s="29" t="n">
        <f aca="false">LN(B692)</f>
        <v>10.1549425264956</v>
      </c>
      <c r="E692" s="29" t="n">
        <f aca="false">LN(C692)</f>
        <v>5.67125928295064</v>
      </c>
      <c r="F692" s="0" t="n">
        <v>687</v>
      </c>
      <c r="G692" s="0" t="n">
        <v>19</v>
      </c>
      <c r="H692" s="29" t="n">
        <f aca="false">D692-E692</f>
        <v>4.48368324354494</v>
      </c>
      <c r="I692" s="29" t="n">
        <f aca="false">D692-D691</f>
        <v>-0.00442291476749013</v>
      </c>
      <c r="J692" s="29" t="n">
        <f aca="false">E692-E691</f>
        <v>-0.00309438101474857</v>
      </c>
      <c r="K692" s="0" t="n">
        <v>0</v>
      </c>
      <c r="L692" s="0" t="n">
        <v>0</v>
      </c>
      <c r="M692" s="29" t="n">
        <f aca="false">IF(L692=1,J692-Carry!$B$9/Inputs!$B$16,I692)</f>
        <v>-0.00442291476749013</v>
      </c>
      <c r="N692" s="0" t="n">
        <v>0.0525</v>
      </c>
      <c r="O692" s="0" t="n">
        <v>0.0002</v>
      </c>
      <c r="P692" s="29" t="n">
        <f aca="false">D692-('2 Hedge ratio'!$B$6+'2 Hedge ratio'!$B$5*E692)</f>
        <v>-0.00246994259005895</v>
      </c>
      <c r="Q692" s="29" t="n">
        <f aca="false">D692-('5 Re-specification'!$B$7+'5 Re-specification'!$B$5*E692+'5 Re-specification'!$B$6*F692)</f>
        <v>0.000535415506684345</v>
      </c>
      <c r="R692" s="30" t="n">
        <f aca="false">MIN(F692,Inputs!$B$9)</f>
        <v>250</v>
      </c>
      <c r="S692" s="29" t="n">
        <f aca="true">IF(AND(F692&gt;=1,R692&gt;=Inputs!$B$10),INDEX(LINEST(OFFSET(D692,-R692,0,R692,1),OFFSET(E692,-R692,0,R692,2)),1,1),"")</f>
        <v>-6.76934610493163E-005</v>
      </c>
      <c r="T692" s="29" t="n">
        <f aca="true">IF(AND(F692&gt;=1,R692&gt;=Inputs!$B$10),INDEX(LINEST(OFFSET(D692,-R692,0,R692,1),OFFSET(E692,-R692,0,R692,2)),1,2),"")</f>
        <v>1.02576328988192</v>
      </c>
      <c r="U692" s="29" t="n">
        <f aca="true">IF(AND(F692&gt;=1,R692&gt;=Inputs!$B$10),INDEX(LINEST(OFFSET(D692,-R692,0,R692,1),OFFSET(E692,-R692,0,R692,2)),1,3),"")</f>
        <v>4.38213427650713</v>
      </c>
      <c r="V692" s="29" t="n">
        <f aca="true">IF(AND(F692&gt;=1,R692&gt;=Inputs!$B$10),SQRT(SUMPRODUCT((OFFSET(D692,-R692,0,R692,1)-U692-T692*OFFSET(E692,-R692,0,R692,1)-S692*OFFSET(F692,-R692,0,R692,1))^2)/(R692-3)),"")</f>
        <v>0.00226952408465112</v>
      </c>
      <c r="W692" s="31" t="n">
        <f aca="false">IF(AND(F692&gt;=1,R692&gt;=Inputs!$B$10),(D692-U692-T692*E692-S692*F692)/V692,"")</f>
        <v>0.856601562272336</v>
      </c>
      <c r="X692" s="30" t="n">
        <f aca="false">IF(AB691&lt;&gt;0,AC691+1,0)</f>
        <v>0</v>
      </c>
      <c r="Y692" s="30" t="n">
        <f aca="false">IF(W692="",0,IF(AND(AB691&lt;&gt;0,OR(ABS(W692)&gt;Inputs!$B$7,X692&gt;=Inputs!$B$8,ABS(W692)&lt;Inputs!$B$6)),1,0))</f>
        <v>0</v>
      </c>
      <c r="Z692" s="30" t="n">
        <f aca="false">IF(Y692=1,0,AB691)</f>
        <v>0</v>
      </c>
      <c r="AA692" s="30" t="n">
        <f aca="false">IF(W692="",0,IF(AND(Z692=0,ABS(W692)&gt;Inputs!$B$5,ABS(W692)&lt;=Inputs!$B$7),1,0))</f>
        <v>0</v>
      </c>
      <c r="AB692" s="30" t="n">
        <f aca="false">IF(W692="",0,IF(AA692=1,-SIGN(W692),Z692))</f>
        <v>0</v>
      </c>
      <c r="AC692" s="30" t="n">
        <f aca="false">IF(W692="",0,IF(AA692=1,0,IF(Y692=1,0,X692)))</f>
        <v>0</v>
      </c>
      <c r="AD692" s="30" t="n">
        <f aca="false">IF(AB692=0,0,IF(AB691=AB692,AD691,T692))</f>
        <v>0</v>
      </c>
      <c r="AE692" s="30" t="n">
        <f aca="false">AB692-AB691</f>
        <v>0</v>
      </c>
      <c r="AF692" s="30" t="n">
        <f aca="false">-AD692*AB692</f>
        <v>-0</v>
      </c>
      <c r="AG692" s="30" t="n">
        <f aca="false">AF692-AF691</f>
        <v>0</v>
      </c>
      <c r="AH692" s="30" t="n">
        <f aca="false">MAX(AE692,0)*(Inputs!$B$17+Inputs!$B$18+Inputs!$B$19)+MAX(-AE692,0)*(O692+Inputs!$B$18+Inputs!$B$19)+IF(AND(K692=1,AB692&lt;&gt;0),(Inputs!$B$17+Inputs!$B$18+Inputs!$B$19)+(O692+Inputs!$B$18+Inputs!$B$19),0)+MAX(AG692,0)*(Inputs!$B$20+Inputs!$B$22+Inputs!$B$23)+MAX(-AG692,0)*(Inputs!$B$21+Inputs!$B$22+Inputs!$B$23)</f>
        <v>0</v>
      </c>
      <c r="AI692" s="30" t="n">
        <f aca="false">AB691*(M692-AD691*J692)+AB691*AD691*N692/Inputs!$B$16-AH692</f>
        <v>0</v>
      </c>
      <c r="AJ692" s="30" t="n">
        <f aca="false">MAX(AE692,0)*(Inputs!$B$17+Inputs!$B$24+Inputs!$B$25)+MAX(-AE692,0)*(O692+Inputs!$B$24+Inputs!$B$25)+IF(AND(K692=1,AB692&lt;&gt;0),(Inputs!$B$17+Inputs!$B$24+Inputs!$B$25)+(O692+Inputs!$B$24+Inputs!$B$25),0)+MAX(AG692,0)*(Inputs!$B$20+Inputs!$B$26+Inputs!$B$27)+MAX(-AG692,0)*(Inputs!$B$21+Inputs!$B$26+Inputs!$B$27)</f>
        <v>0</v>
      </c>
      <c r="AK692" s="30" t="n">
        <f aca="false">AB691*(M692-AD691*J692)+AB691*AD691*(N692+Inputs!$B$14)/Inputs!$B$16-AJ692</f>
        <v>0</v>
      </c>
      <c r="AL692" s="30" t="n">
        <f aca="false">IF(AP691&lt;&gt;0,AQ691+1,0)</f>
        <v>0</v>
      </c>
      <c r="AM692" s="30" t="n">
        <f aca="false">IF(W692="",0,IF(AND(AP691&lt;&gt;0,OR(ABS(W692)&gt;Inputs!$B$7,AL692&gt;=Inputs!$B$8,ABS(W692)&lt;Inputs!$B$6)),1,0))</f>
        <v>0</v>
      </c>
      <c r="AN692" s="30" t="n">
        <f aca="false">IF(AM692=1,0,AP691)</f>
        <v>0</v>
      </c>
      <c r="AO692" s="30" t="n">
        <f aca="false">IF(W692="",0,IF(AND(AN692=0,ABS(W692)&gt;Inputs!$B$5,ABS(W692)&lt;=Inputs!$B$7,W692&gt;0),1,0))</f>
        <v>0</v>
      </c>
      <c r="AP692" s="30" t="n">
        <f aca="false">IF(W692="",0,IF(AO692=1,-SIGN(W692),AN692))</f>
        <v>0</v>
      </c>
      <c r="AQ692" s="30" t="n">
        <f aca="false">IF(W692="",0,IF(AO692=1,0,IF(AM692=1,0,AL692)))</f>
        <v>0</v>
      </c>
      <c r="AR692" s="30" t="n">
        <f aca="false">IF(AP692=0,0,IF(AP691=AP692,AR691,T692))</f>
        <v>0</v>
      </c>
      <c r="AS692" s="30" t="n">
        <f aca="false">AP692-AP691</f>
        <v>0</v>
      </c>
      <c r="AT692" s="30" t="n">
        <f aca="false">-AR692*AP692</f>
        <v>-0</v>
      </c>
      <c r="AU692" s="30" t="n">
        <f aca="false">AT692-AT691</f>
        <v>0</v>
      </c>
      <c r="AV692" s="30" t="n">
        <f aca="false">MAX(AS692,0)*(Inputs!$B$17+Inputs!$B$18+Inputs!$B$19)+MAX(-AS692,0)*(O692+Inputs!$B$18+Inputs!$B$19)+IF(AND(K692=1,AP692&lt;&gt;0),(Inputs!$B$17+Inputs!$B$18+Inputs!$B$19)+(O692+Inputs!$B$18+Inputs!$B$19),0)+MAX(AU692,0)*(Inputs!$B$20+Inputs!$B$22+Inputs!$B$23)+MAX(-AU692,0)*(Inputs!$B$21+Inputs!$B$22+Inputs!$B$23)</f>
        <v>0</v>
      </c>
      <c r="AW692" s="30" t="n">
        <f aca="false">AP691*(M692-AR691*J692)+AP691*AR691*N692/Inputs!$B$16-AV692</f>
        <v>0</v>
      </c>
      <c r="AX692" s="30" t="n">
        <f aca="false">AW692-IF(AP691&lt;&gt;0,0.75*AR691*(Inputs!$B$13-N692)/Inputs!$B$16,0)</f>
        <v>0</v>
      </c>
      <c r="AY692" s="30" t="n">
        <f aca="false">MAX(AS692,0)*(Inputs!$B$17+Inputs!$B$18+Inputs!$B$19)+MAX(-AS692,0)*(O692+Inputs!$B$18+Inputs!$B$19)+IF(AND(K692=1,AP692&lt;&gt;0),(Inputs!$B$17+Inputs!$B$18+Inputs!$B$19)+(O692+Inputs!$B$18+Inputs!$B$19),0)</f>
        <v>0</v>
      </c>
      <c r="AZ692" s="30" t="n">
        <f aca="false">AP691*M692-AY692</f>
        <v>-0</v>
      </c>
      <c r="BA692" s="32" t="n">
        <f aca="false">BA691+AI692</f>
        <v>0.0193300031983123</v>
      </c>
      <c r="BB692" s="30" t="n">
        <f aca="false">MAX(BB691,BA692)</f>
        <v>0.0261726191772394</v>
      </c>
      <c r="BC692" s="32" t="n">
        <f aca="false">BA692-BB692</f>
        <v>-0.00684261597892712</v>
      </c>
      <c r="BD692" s="30" t="n">
        <f aca="false">A693-A692</f>
        <v>1</v>
      </c>
    </row>
    <row r="693" customFormat="false" ht="15" hidden="false" customHeight="false" outlineLevel="0" collapsed="false">
      <c r="A693" s="28" t="n">
        <v>46059</v>
      </c>
      <c r="B693" s="0" t="n">
        <v>25728.2</v>
      </c>
      <c r="C693" s="0" t="n">
        <v>290.8</v>
      </c>
      <c r="D693" s="29" t="n">
        <f aca="false">LN(B693)</f>
        <v>10.1553429455803</v>
      </c>
      <c r="E693" s="29" t="n">
        <f aca="false">LN(C693)</f>
        <v>5.67263574565936</v>
      </c>
      <c r="F693" s="0" t="n">
        <v>688</v>
      </c>
      <c r="G693" s="0" t="n">
        <v>18</v>
      </c>
      <c r="H693" s="29" t="n">
        <f aca="false">D693-E693</f>
        <v>4.48270719992096</v>
      </c>
      <c r="I693" s="29" t="n">
        <f aca="false">D693-D692</f>
        <v>0.000400419084735759</v>
      </c>
      <c r="J693" s="29" t="n">
        <f aca="false">E693-E692</f>
        <v>0.00137646270872338</v>
      </c>
      <c r="K693" s="0" t="n">
        <v>0</v>
      </c>
      <c r="L693" s="0" t="n">
        <v>0</v>
      </c>
      <c r="M693" s="29" t="n">
        <f aca="false">IF(L693=1,J693-Carry!$B$9/Inputs!$B$16,I693)</f>
        <v>0.000400419084735759</v>
      </c>
      <c r="N693" s="0" t="n">
        <v>0.0525</v>
      </c>
      <c r="O693" s="0" t="n">
        <v>0.0002</v>
      </c>
      <c r="P693" s="29" t="n">
        <f aca="false">D693-('2 Hedge ratio'!$B$6+'2 Hedge ratio'!$B$5*E693)</f>
        <v>-0.00333053782588877</v>
      </c>
      <c r="Q693" s="29" t="n">
        <f aca="false">D693-('5 Re-specification'!$B$7+'5 Re-specification'!$B$5*E693+'5 Re-specification'!$B$6*F693)</f>
        <v>-0.000391527428936556</v>
      </c>
      <c r="R693" s="30" t="n">
        <f aca="false">MIN(F693,Inputs!$B$9)</f>
        <v>250</v>
      </c>
      <c r="S693" s="29" t="n">
        <f aca="true">IF(AND(F693&gt;=1,R693&gt;=Inputs!$B$10),INDEX(LINEST(OFFSET(D693,-R693,0,R693,1),OFFSET(E693,-R693,0,R693,2)),1,1),"")</f>
        <v>-6.70724205930968E-005</v>
      </c>
      <c r="T693" s="29" t="n">
        <f aca="true">IF(AND(F693&gt;=1,R693&gt;=Inputs!$B$10),INDEX(LINEST(OFFSET(D693,-R693,0,R693,1),OFFSET(E693,-R693,0,R693,2)),1,2),"")</f>
        <v>1.02522751079638</v>
      </c>
      <c r="U693" s="29" t="n">
        <f aca="true">IF(AND(F693&gt;=1,R693&gt;=Inputs!$B$10),INDEX(LINEST(OFFSET(D693,-R693,0,R693,1),OFFSET(E693,-R693,0,R693,2)),1,3),"")</f>
        <v>4.38480417595201</v>
      </c>
      <c r="V693" s="29" t="n">
        <f aca="true">IF(AND(F693&gt;=1,R693&gt;=Inputs!$B$10),SQRT(SUMPRODUCT((OFFSET(D693,-R693,0,R693,1)-U693-T693*OFFSET(E693,-R693,0,R693,1)-S693*OFFSET(F693,-R693,0,R693,1))^2)/(R693-3)),"")</f>
        <v>0.00227102963851557</v>
      </c>
      <c r="W693" s="31" t="n">
        <f aca="false">IF(AND(F693&gt;=1,R693&gt;=Inputs!$B$10),(D693-U693-T693*E693-S693*F693)/V693,"")</f>
        <v>0.414952673221353</v>
      </c>
      <c r="X693" s="30" t="n">
        <f aca="false">IF(AB692&lt;&gt;0,AC692+1,0)</f>
        <v>0</v>
      </c>
      <c r="Y693" s="30" t="n">
        <f aca="false">IF(W693="",0,IF(AND(AB692&lt;&gt;0,OR(ABS(W693)&gt;Inputs!$B$7,X693&gt;=Inputs!$B$8,ABS(W693)&lt;Inputs!$B$6)),1,0))</f>
        <v>0</v>
      </c>
      <c r="Z693" s="30" t="n">
        <f aca="false">IF(Y693=1,0,AB692)</f>
        <v>0</v>
      </c>
      <c r="AA693" s="30" t="n">
        <f aca="false">IF(W693="",0,IF(AND(Z693=0,ABS(W693)&gt;Inputs!$B$5,ABS(W693)&lt;=Inputs!$B$7),1,0))</f>
        <v>0</v>
      </c>
      <c r="AB693" s="30" t="n">
        <f aca="false">IF(W693="",0,IF(AA693=1,-SIGN(W693),Z693))</f>
        <v>0</v>
      </c>
      <c r="AC693" s="30" t="n">
        <f aca="false">IF(W693="",0,IF(AA693=1,0,IF(Y693=1,0,X693)))</f>
        <v>0</v>
      </c>
      <c r="AD693" s="30" t="n">
        <f aca="false">IF(AB693=0,0,IF(AB692=AB693,AD692,T693))</f>
        <v>0</v>
      </c>
      <c r="AE693" s="30" t="n">
        <f aca="false">AB693-AB692</f>
        <v>0</v>
      </c>
      <c r="AF693" s="30" t="n">
        <f aca="false">-AD693*AB693</f>
        <v>-0</v>
      </c>
      <c r="AG693" s="30" t="n">
        <f aca="false">AF693-AF692</f>
        <v>0</v>
      </c>
      <c r="AH693" s="30" t="n">
        <f aca="false">MAX(AE693,0)*(Inputs!$B$17+Inputs!$B$18+Inputs!$B$19)+MAX(-AE693,0)*(O693+Inputs!$B$18+Inputs!$B$19)+IF(AND(K693=1,AB693&lt;&gt;0),(Inputs!$B$17+Inputs!$B$18+Inputs!$B$19)+(O693+Inputs!$B$18+Inputs!$B$19),0)+MAX(AG693,0)*(Inputs!$B$20+Inputs!$B$22+Inputs!$B$23)+MAX(-AG693,0)*(Inputs!$B$21+Inputs!$B$22+Inputs!$B$23)</f>
        <v>0</v>
      </c>
      <c r="AI693" s="30" t="n">
        <f aca="false">AB692*(M693-AD692*J693)+AB692*AD692*N693/Inputs!$B$16-AH693</f>
        <v>0</v>
      </c>
      <c r="AJ693" s="30" t="n">
        <f aca="false">MAX(AE693,0)*(Inputs!$B$17+Inputs!$B$24+Inputs!$B$25)+MAX(-AE693,0)*(O693+Inputs!$B$24+Inputs!$B$25)+IF(AND(K693=1,AB693&lt;&gt;0),(Inputs!$B$17+Inputs!$B$24+Inputs!$B$25)+(O693+Inputs!$B$24+Inputs!$B$25),0)+MAX(AG693,0)*(Inputs!$B$20+Inputs!$B$26+Inputs!$B$27)+MAX(-AG693,0)*(Inputs!$B$21+Inputs!$B$26+Inputs!$B$27)</f>
        <v>0</v>
      </c>
      <c r="AK693" s="30" t="n">
        <f aca="false">AB692*(M693-AD692*J693)+AB692*AD692*(N693+Inputs!$B$14)/Inputs!$B$16-AJ693</f>
        <v>0</v>
      </c>
      <c r="AL693" s="30" t="n">
        <f aca="false">IF(AP692&lt;&gt;0,AQ692+1,0)</f>
        <v>0</v>
      </c>
      <c r="AM693" s="30" t="n">
        <f aca="false">IF(W693="",0,IF(AND(AP692&lt;&gt;0,OR(ABS(W693)&gt;Inputs!$B$7,AL693&gt;=Inputs!$B$8,ABS(W693)&lt;Inputs!$B$6)),1,0))</f>
        <v>0</v>
      </c>
      <c r="AN693" s="30" t="n">
        <f aca="false">IF(AM693=1,0,AP692)</f>
        <v>0</v>
      </c>
      <c r="AO693" s="30" t="n">
        <f aca="false">IF(W693="",0,IF(AND(AN693=0,ABS(W693)&gt;Inputs!$B$5,ABS(W693)&lt;=Inputs!$B$7,W693&gt;0),1,0))</f>
        <v>0</v>
      </c>
      <c r="AP693" s="30" t="n">
        <f aca="false">IF(W693="",0,IF(AO693=1,-SIGN(W693),AN693))</f>
        <v>0</v>
      </c>
      <c r="AQ693" s="30" t="n">
        <f aca="false">IF(W693="",0,IF(AO693=1,0,IF(AM693=1,0,AL693)))</f>
        <v>0</v>
      </c>
      <c r="AR693" s="30" t="n">
        <f aca="false">IF(AP693=0,0,IF(AP692=AP693,AR692,T693))</f>
        <v>0</v>
      </c>
      <c r="AS693" s="30" t="n">
        <f aca="false">AP693-AP692</f>
        <v>0</v>
      </c>
      <c r="AT693" s="30" t="n">
        <f aca="false">-AR693*AP693</f>
        <v>-0</v>
      </c>
      <c r="AU693" s="30" t="n">
        <f aca="false">AT693-AT692</f>
        <v>0</v>
      </c>
      <c r="AV693" s="30" t="n">
        <f aca="false">MAX(AS693,0)*(Inputs!$B$17+Inputs!$B$18+Inputs!$B$19)+MAX(-AS693,0)*(O693+Inputs!$B$18+Inputs!$B$19)+IF(AND(K693=1,AP693&lt;&gt;0),(Inputs!$B$17+Inputs!$B$18+Inputs!$B$19)+(O693+Inputs!$B$18+Inputs!$B$19),0)+MAX(AU693,0)*(Inputs!$B$20+Inputs!$B$22+Inputs!$B$23)+MAX(-AU693,0)*(Inputs!$B$21+Inputs!$B$22+Inputs!$B$23)</f>
        <v>0</v>
      </c>
      <c r="AW693" s="30" t="n">
        <f aca="false">AP692*(M693-AR692*J693)+AP692*AR692*N693/Inputs!$B$16-AV693</f>
        <v>0</v>
      </c>
      <c r="AX693" s="30" t="n">
        <f aca="false">AW693-IF(AP692&lt;&gt;0,0.75*AR692*(Inputs!$B$13-N693)/Inputs!$B$16,0)</f>
        <v>0</v>
      </c>
      <c r="AY693" s="30" t="n">
        <f aca="false">MAX(AS693,0)*(Inputs!$B$17+Inputs!$B$18+Inputs!$B$19)+MAX(-AS693,0)*(O693+Inputs!$B$18+Inputs!$B$19)+IF(AND(K693=1,AP693&lt;&gt;0),(Inputs!$B$17+Inputs!$B$18+Inputs!$B$19)+(O693+Inputs!$B$18+Inputs!$B$19),0)</f>
        <v>0</v>
      </c>
      <c r="AZ693" s="30" t="n">
        <f aca="false">AP692*M693-AY693</f>
        <v>0</v>
      </c>
      <c r="BA693" s="32" t="n">
        <f aca="false">BA692+AI693</f>
        <v>0.0193300031983123</v>
      </c>
      <c r="BB693" s="30" t="n">
        <f aca="false">MAX(BB692,BA693)</f>
        <v>0.0261726191772394</v>
      </c>
      <c r="BC693" s="32" t="n">
        <f aca="false">BA693-BB693</f>
        <v>-0.00684261597892712</v>
      </c>
      <c r="BD693" s="30" t="n">
        <f aca="false">A694-A693</f>
        <v>3</v>
      </c>
    </row>
    <row r="694" customFormat="false" ht="15" hidden="false" customHeight="false" outlineLevel="0" collapsed="false">
      <c r="A694" s="28" t="n">
        <v>46062</v>
      </c>
      <c r="B694" s="0" t="n">
        <v>25909</v>
      </c>
      <c r="C694" s="0" t="n">
        <v>292.4</v>
      </c>
      <c r="D694" s="29" t="n">
        <f aca="false">LN(B694)</f>
        <v>10.1623456776743</v>
      </c>
      <c r="E694" s="29" t="n">
        <f aca="false">LN(C694)</f>
        <v>5.67812272787562</v>
      </c>
      <c r="F694" s="0" t="n">
        <v>689</v>
      </c>
      <c r="G694" s="0" t="n">
        <v>15</v>
      </c>
      <c r="H694" s="29" t="n">
        <f aca="false">D694-E694</f>
        <v>4.48422294979871</v>
      </c>
      <c r="I694" s="29" t="n">
        <f aca="false">D694-D693</f>
        <v>0.00700273209401203</v>
      </c>
      <c r="J694" s="29" t="n">
        <f aca="false">E694-E693</f>
        <v>0.00548698221625887</v>
      </c>
      <c r="K694" s="0" t="n">
        <v>0</v>
      </c>
      <c r="L694" s="0" t="n">
        <v>0</v>
      </c>
      <c r="M694" s="29" t="n">
        <f aca="false">IF(L694=1,J694-Carry!$B$9/Inputs!$B$16,I694)</f>
        <v>0.00700273209401203</v>
      </c>
      <c r="N694" s="0" t="n">
        <v>0.0525</v>
      </c>
      <c r="O694" s="0" t="n">
        <v>0.0002</v>
      </c>
      <c r="P694" s="29" t="n">
        <f aca="false">D694-('2 Hedge ratio'!$B$6+'2 Hedge ratio'!$B$5*E694)</f>
        <v>-0.00135457696770303</v>
      </c>
      <c r="Q694" s="29" t="n">
        <f aca="false">D694-('5 Re-specification'!$B$7+'5 Re-specification'!$B$5*E694+'5 Re-specification'!$B$6*F694)</f>
        <v>0.00118578006663483</v>
      </c>
      <c r="R694" s="30" t="n">
        <f aca="false">MIN(F694,Inputs!$B$9)</f>
        <v>250</v>
      </c>
      <c r="S694" s="29" t="n">
        <f aca="true">IF(AND(F694&gt;=1,R694&gt;=Inputs!$B$10),INDEX(LINEST(OFFSET(D694,-R694,0,R694,1),OFFSET(E694,-R694,0,R694,2)),1,1),"")</f>
        <v>-6.68796426427329E-005</v>
      </c>
      <c r="T694" s="29" t="n">
        <f aca="true">IF(AND(F694&gt;=1,R694&gt;=Inputs!$B$10),INDEX(LINEST(OFFSET(D694,-R694,0,R694,1),OFFSET(E694,-R694,0,R694,2)),1,2),"")</f>
        <v>1.02502915406925</v>
      </c>
      <c r="U694" s="29" t="n">
        <f aca="true">IF(AND(F694&gt;=1,R694&gt;=Inputs!$B$10),INDEX(LINEST(OFFSET(D694,-R694,0,R694,1),OFFSET(E694,-R694,0,R694,2)),1,3),"")</f>
        <v>4.38581671116615</v>
      </c>
      <c r="V694" s="29" t="n">
        <f aca="true">IF(AND(F694&gt;=1,R694&gt;=Inputs!$B$10),SQRT(SUMPRODUCT((OFFSET(D694,-R694,0,R694,1)-U694-T694*OFFSET(E694,-R694,0,R694,1)-S694*OFFSET(F694,-R694,0,R694,1))^2)/(R694-3)),"")</f>
        <v>0.00227179786051167</v>
      </c>
      <c r="W694" s="31" t="n">
        <f aca="false">IF(AND(F694&gt;=1,R694&gt;=Inputs!$B$10),(D694-U694-T694*E694-S694*F694)/V694,"")</f>
        <v>1.04221589185914</v>
      </c>
      <c r="X694" s="30" t="n">
        <f aca="false">IF(AB693&lt;&gt;0,AC693+1,0)</f>
        <v>0</v>
      </c>
      <c r="Y694" s="30" t="n">
        <f aca="false">IF(W694="",0,IF(AND(AB693&lt;&gt;0,OR(ABS(W694)&gt;Inputs!$B$7,X694&gt;=Inputs!$B$8,ABS(W694)&lt;Inputs!$B$6)),1,0))</f>
        <v>0</v>
      </c>
      <c r="Z694" s="30" t="n">
        <f aca="false">IF(Y694=1,0,AB693)</f>
        <v>0</v>
      </c>
      <c r="AA694" s="30" t="n">
        <f aca="false">IF(W694="",0,IF(AND(Z694=0,ABS(W694)&gt;Inputs!$B$5,ABS(W694)&lt;=Inputs!$B$7),1,0))</f>
        <v>0</v>
      </c>
      <c r="AB694" s="30" t="n">
        <f aca="false">IF(W694="",0,IF(AA694=1,-SIGN(W694),Z694))</f>
        <v>0</v>
      </c>
      <c r="AC694" s="30" t="n">
        <f aca="false">IF(W694="",0,IF(AA694=1,0,IF(Y694=1,0,X694)))</f>
        <v>0</v>
      </c>
      <c r="AD694" s="30" t="n">
        <f aca="false">IF(AB694=0,0,IF(AB693=AB694,AD693,T694))</f>
        <v>0</v>
      </c>
      <c r="AE694" s="30" t="n">
        <f aca="false">AB694-AB693</f>
        <v>0</v>
      </c>
      <c r="AF694" s="30" t="n">
        <f aca="false">-AD694*AB694</f>
        <v>-0</v>
      </c>
      <c r="AG694" s="30" t="n">
        <f aca="false">AF694-AF693</f>
        <v>0</v>
      </c>
      <c r="AH694" s="30" t="n">
        <f aca="false">MAX(AE694,0)*(Inputs!$B$17+Inputs!$B$18+Inputs!$B$19)+MAX(-AE694,0)*(O694+Inputs!$B$18+Inputs!$B$19)+IF(AND(K694=1,AB694&lt;&gt;0),(Inputs!$B$17+Inputs!$B$18+Inputs!$B$19)+(O694+Inputs!$B$18+Inputs!$B$19),0)+MAX(AG694,0)*(Inputs!$B$20+Inputs!$B$22+Inputs!$B$23)+MAX(-AG694,0)*(Inputs!$B$21+Inputs!$B$22+Inputs!$B$23)</f>
        <v>0</v>
      </c>
      <c r="AI694" s="30" t="n">
        <f aca="false">AB693*(M694-AD693*J694)+AB693*AD693*N694/Inputs!$B$16-AH694</f>
        <v>0</v>
      </c>
      <c r="AJ694" s="30" t="n">
        <f aca="false">MAX(AE694,0)*(Inputs!$B$17+Inputs!$B$24+Inputs!$B$25)+MAX(-AE694,0)*(O694+Inputs!$B$24+Inputs!$B$25)+IF(AND(K694=1,AB694&lt;&gt;0),(Inputs!$B$17+Inputs!$B$24+Inputs!$B$25)+(O694+Inputs!$B$24+Inputs!$B$25),0)+MAX(AG694,0)*(Inputs!$B$20+Inputs!$B$26+Inputs!$B$27)+MAX(-AG694,0)*(Inputs!$B$21+Inputs!$B$26+Inputs!$B$27)</f>
        <v>0</v>
      </c>
      <c r="AK694" s="30" t="n">
        <f aca="false">AB693*(M694-AD693*J694)+AB693*AD693*(N694+Inputs!$B$14)/Inputs!$B$16-AJ694</f>
        <v>0</v>
      </c>
      <c r="AL694" s="30" t="n">
        <f aca="false">IF(AP693&lt;&gt;0,AQ693+1,0)</f>
        <v>0</v>
      </c>
      <c r="AM694" s="30" t="n">
        <f aca="false">IF(W694="",0,IF(AND(AP693&lt;&gt;0,OR(ABS(W694)&gt;Inputs!$B$7,AL694&gt;=Inputs!$B$8,ABS(W694)&lt;Inputs!$B$6)),1,0))</f>
        <v>0</v>
      </c>
      <c r="AN694" s="30" t="n">
        <f aca="false">IF(AM694=1,0,AP693)</f>
        <v>0</v>
      </c>
      <c r="AO694" s="30" t="n">
        <f aca="false">IF(W694="",0,IF(AND(AN694=0,ABS(W694)&gt;Inputs!$B$5,ABS(W694)&lt;=Inputs!$B$7,W694&gt;0),1,0))</f>
        <v>0</v>
      </c>
      <c r="AP694" s="30" t="n">
        <f aca="false">IF(W694="",0,IF(AO694=1,-SIGN(W694),AN694))</f>
        <v>0</v>
      </c>
      <c r="AQ694" s="30" t="n">
        <f aca="false">IF(W694="",0,IF(AO694=1,0,IF(AM694=1,0,AL694)))</f>
        <v>0</v>
      </c>
      <c r="AR694" s="30" t="n">
        <f aca="false">IF(AP694=0,0,IF(AP693=AP694,AR693,T694))</f>
        <v>0</v>
      </c>
      <c r="AS694" s="30" t="n">
        <f aca="false">AP694-AP693</f>
        <v>0</v>
      </c>
      <c r="AT694" s="30" t="n">
        <f aca="false">-AR694*AP694</f>
        <v>-0</v>
      </c>
      <c r="AU694" s="30" t="n">
        <f aca="false">AT694-AT693</f>
        <v>0</v>
      </c>
      <c r="AV694" s="30" t="n">
        <f aca="false">MAX(AS694,0)*(Inputs!$B$17+Inputs!$B$18+Inputs!$B$19)+MAX(-AS694,0)*(O694+Inputs!$B$18+Inputs!$B$19)+IF(AND(K694=1,AP694&lt;&gt;0),(Inputs!$B$17+Inputs!$B$18+Inputs!$B$19)+(O694+Inputs!$B$18+Inputs!$B$19),0)+MAX(AU694,0)*(Inputs!$B$20+Inputs!$B$22+Inputs!$B$23)+MAX(-AU694,0)*(Inputs!$B$21+Inputs!$B$22+Inputs!$B$23)</f>
        <v>0</v>
      </c>
      <c r="AW694" s="30" t="n">
        <f aca="false">AP693*(M694-AR693*J694)+AP693*AR693*N694/Inputs!$B$16-AV694</f>
        <v>0</v>
      </c>
      <c r="AX694" s="30" t="n">
        <f aca="false">AW694-IF(AP693&lt;&gt;0,0.75*AR693*(Inputs!$B$13-N694)/Inputs!$B$16,0)</f>
        <v>0</v>
      </c>
      <c r="AY694" s="30" t="n">
        <f aca="false">MAX(AS694,0)*(Inputs!$B$17+Inputs!$B$18+Inputs!$B$19)+MAX(-AS694,0)*(O694+Inputs!$B$18+Inputs!$B$19)+IF(AND(K694=1,AP694&lt;&gt;0),(Inputs!$B$17+Inputs!$B$18+Inputs!$B$19)+(O694+Inputs!$B$18+Inputs!$B$19),0)</f>
        <v>0</v>
      </c>
      <c r="AZ694" s="30" t="n">
        <f aca="false">AP693*M694-AY694</f>
        <v>0</v>
      </c>
      <c r="BA694" s="32" t="n">
        <f aca="false">BA693+AI694</f>
        <v>0.0193300031983123</v>
      </c>
      <c r="BB694" s="30" t="n">
        <f aca="false">MAX(BB693,BA694)</f>
        <v>0.0261726191772394</v>
      </c>
      <c r="BC694" s="32" t="n">
        <f aca="false">BA694-BB694</f>
        <v>-0.00684261597892712</v>
      </c>
      <c r="BD694" s="30" t="n">
        <f aca="false">A695-A694</f>
        <v>1</v>
      </c>
    </row>
    <row r="695" customFormat="false" ht="15" hidden="false" customHeight="false" outlineLevel="0" collapsed="false">
      <c r="A695" s="28" t="n">
        <v>46063</v>
      </c>
      <c r="B695" s="0" t="n">
        <v>25969.9</v>
      </c>
      <c r="C695" s="0" t="n">
        <v>293.3</v>
      </c>
      <c r="D695" s="29" t="n">
        <f aca="false">LN(B695)</f>
        <v>10.1646934540525</v>
      </c>
      <c r="E695" s="29" t="n">
        <f aca="false">LN(C695)</f>
        <v>5.68119597598341</v>
      </c>
      <c r="F695" s="0" t="n">
        <v>690</v>
      </c>
      <c r="G695" s="0" t="n">
        <v>14</v>
      </c>
      <c r="H695" s="29" t="n">
        <f aca="false">D695-E695</f>
        <v>4.48349747806913</v>
      </c>
      <c r="I695" s="29" t="n">
        <f aca="false">D695-D694</f>
        <v>0.00234777637820649</v>
      </c>
      <c r="J695" s="29" t="n">
        <f aca="false">E695-E694</f>
        <v>0.00307324810778198</v>
      </c>
      <c r="K695" s="0" t="n">
        <v>0</v>
      </c>
      <c r="L695" s="0" t="n">
        <v>0</v>
      </c>
      <c r="M695" s="29" t="n">
        <f aca="false">IF(L695=1,J695-Carry!$B$9/Inputs!$B$16,I695)</f>
        <v>0.00234777637820649</v>
      </c>
      <c r="N695" s="0" t="n">
        <v>0.0525</v>
      </c>
      <c r="O695" s="0" t="n">
        <v>0.0002</v>
      </c>
      <c r="P695" s="29" t="n">
        <f aca="false">D695-('2 Hedge ratio'!$B$6+'2 Hedge ratio'!$B$5*E695)</f>
        <v>-0.00182228541884122</v>
      </c>
      <c r="Q695" s="29" t="n">
        <f aca="false">D695-('5 Re-specification'!$B$7+'5 Re-specification'!$B$5*E695+'5 Re-specification'!$B$6*F695)</f>
        <v>0.000514551133612429</v>
      </c>
      <c r="R695" s="30" t="n">
        <f aca="false">MIN(F695,Inputs!$B$9)</f>
        <v>250</v>
      </c>
      <c r="S695" s="29" t="n">
        <f aca="true">IF(AND(F695&gt;=1,R695&gt;=Inputs!$B$10),INDEX(LINEST(OFFSET(D695,-R695,0,R695,1),OFFSET(E695,-R695,0,R695,2)),1,1),"")</f>
        <v>-6.63034737427639E-005</v>
      </c>
      <c r="T695" s="29" t="n">
        <f aca="true">IF(AND(F695&gt;=1,R695&gt;=Inputs!$B$10),INDEX(LINEST(OFFSET(D695,-R695,0,R695,1),OFFSET(E695,-R695,0,R695,2)),1,2),"")</f>
        <v>1.02452007548281</v>
      </c>
      <c r="U695" s="29" t="n">
        <f aca="true">IF(AND(F695&gt;=1,R695&gt;=Inputs!$B$10),INDEX(LINEST(OFFSET(D695,-R695,0,R695,1),OFFSET(E695,-R695,0,R695,2)),1,3),"")</f>
        <v>4.38836531840762</v>
      </c>
      <c r="V695" s="29" t="n">
        <f aca="true">IF(AND(F695&gt;=1,R695&gt;=Inputs!$B$10),SQRT(SUMPRODUCT((OFFSET(D695,-R695,0,R695,1)-U695-T695*OFFSET(E695,-R695,0,R695,1)-S695*OFFSET(F695,-R695,0,R695,1))^2)/(R695-3)),"")</f>
        <v>0.00227624967294047</v>
      </c>
      <c r="W695" s="31" t="n">
        <f aca="false">IF(AND(F695&gt;=1,R695&gt;=Inputs!$B$10),(D695-U695-T695*E695-S695*F695)/V695,"")</f>
        <v>0.693334478654405</v>
      </c>
      <c r="X695" s="30" t="n">
        <f aca="false">IF(AB694&lt;&gt;0,AC694+1,0)</f>
        <v>0</v>
      </c>
      <c r="Y695" s="30" t="n">
        <f aca="false">IF(W695="",0,IF(AND(AB694&lt;&gt;0,OR(ABS(W695)&gt;Inputs!$B$7,X695&gt;=Inputs!$B$8,ABS(W695)&lt;Inputs!$B$6)),1,0))</f>
        <v>0</v>
      </c>
      <c r="Z695" s="30" t="n">
        <f aca="false">IF(Y695=1,0,AB694)</f>
        <v>0</v>
      </c>
      <c r="AA695" s="30" t="n">
        <f aca="false">IF(W695="",0,IF(AND(Z695=0,ABS(W695)&gt;Inputs!$B$5,ABS(W695)&lt;=Inputs!$B$7),1,0))</f>
        <v>0</v>
      </c>
      <c r="AB695" s="30" t="n">
        <f aca="false">IF(W695="",0,IF(AA695=1,-SIGN(W695),Z695))</f>
        <v>0</v>
      </c>
      <c r="AC695" s="30" t="n">
        <f aca="false">IF(W695="",0,IF(AA695=1,0,IF(Y695=1,0,X695)))</f>
        <v>0</v>
      </c>
      <c r="AD695" s="30" t="n">
        <f aca="false">IF(AB695=0,0,IF(AB694=AB695,AD694,T695))</f>
        <v>0</v>
      </c>
      <c r="AE695" s="30" t="n">
        <f aca="false">AB695-AB694</f>
        <v>0</v>
      </c>
      <c r="AF695" s="30" t="n">
        <f aca="false">-AD695*AB695</f>
        <v>-0</v>
      </c>
      <c r="AG695" s="30" t="n">
        <f aca="false">AF695-AF694</f>
        <v>0</v>
      </c>
      <c r="AH695" s="30" t="n">
        <f aca="false">MAX(AE695,0)*(Inputs!$B$17+Inputs!$B$18+Inputs!$B$19)+MAX(-AE695,0)*(O695+Inputs!$B$18+Inputs!$B$19)+IF(AND(K695=1,AB695&lt;&gt;0),(Inputs!$B$17+Inputs!$B$18+Inputs!$B$19)+(O695+Inputs!$B$18+Inputs!$B$19),0)+MAX(AG695,0)*(Inputs!$B$20+Inputs!$B$22+Inputs!$B$23)+MAX(-AG695,0)*(Inputs!$B$21+Inputs!$B$22+Inputs!$B$23)</f>
        <v>0</v>
      </c>
      <c r="AI695" s="30" t="n">
        <f aca="false">AB694*(M695-AD694*J695)+AB694*AD694*N695/Inputs!$B$16-AH695</f>
        <v>0</v>
      </c>
      <c r="AJ695" s="30" t="n">
        <f aca="false">MAX(AE695,0)*(Inputs!$B$17+Inputs!$B$24+Inputs!$B$25)+MAX(-AE695,0)*(O695+Inputs!$B$24+Inputs!$B$25)+IF(AND(K695=1,AB695&lt;&gt;0),(Inputs!$B$17+Inputs!$B$24+Inputs!$B$25)+(O695+Inputs!$B$24+Inputs!$B$25),0)+MAX(AG695,0)*(Inputs!$B$20+Inputs!$B$26+Inputs!$B$27)+MAX(-AG695,0)*(Inputs!$B$21+Inputs!$B$26+Inputs!$B$27)</f>
        <v>0</v>
      </c>
      <c r="AK695" s="30" t="n">
        <f aca="false">AB694*(M695-AD694*J695)+AB694*AD694*(N695+Inputs!$B$14)/Inputs!$B$16-AJ695</f>
        <v>0</v>
      </c>
      <c r="AL695" s="30" t="n">
        <f aca="false">IF(AP694&lt;&gt;0,AQ694+1,0)</f>
        <v>0</v>
      </c>
      <c r="AM695" s="30" t="n">
        <f aca="false">IF(W695="",0,IF(AND(AP694&lt;&gt;0,OR(ABS(W695)&gt;Inputs!$B$7,AL695&gt;=Inputs!$B$8,ABS(W695)&lt;Inputs!$B$6)),1,0))</f>
        <v>0</v>
      </c>
      <c r="AN695" s="30" t="n">
        <f aca="false">IF(AM695=1,0,AP694)</f>
        <v>0</v>
      </c>
      <c r="AO695" s="30" t="n">
        <f aca="false">IF(W695="",0,IF(AND(AN695=0,ABS(W695)&gt;Inputs!$B$5,ABS(W695)&lt;=Inputs!$B$7,W695&gt;0),1,0))</f>
        <v>0</v>
      </c>
      <c r="AP695" s="30" t="n">
        <f aca="false">IF(W695="",0,IF(AO695=1,-SIGN(W695),AN695))</f>
        <v>0</v>
      </c>
      <c r="AQ695" s="30" t="n">
        <f aca="false">IF(W695="",0,IF(AO695=1,0,IF(AM695=1,0,AL695)))</f>
        <v>0</v>
      </c>
      <c r="AR695" s="30" t="n">
        <f aca="false">IF(AP695=0,0,IF(AP694=AP695,AR694,T695))</f>
        <v>0</v>
      </c>
      <c r="AS695" s="30" t="n">
        <f aca="false">AP695-AP694</f>
        <v>0</v>
      </c>
      <c r="AT695" s="30" t="n">
        <f aca="false">-AR695*AP695</f>
        <v>-0</v>
      </c>
      <c r="AU695" s="30" t="n">
        <f aca="false">AT695-AT694</f>
        <v>0</v>
      </c>
      <c r="AV695" s="30" t="n">
        <f aca="false">MAX(AS695,0)*(Inputs!$B$17+Inputs!$B$18+Inputs!$B$19)+MAX(-AS695,0)*(O695+Inputs!$B$18+Inputs!$B$19)+IF(AND(K695=1,AP695&lt;&gt;0),(Inputs!$B$17+Inputs!$B$18+Inputs!$B$19)+(O695+Inputs!$B$18+Inputs!$B$19),0)+MAX(AU695,0)*(Inputs!$B$20+Inputs!$B$22+Inputs!$B$23)+MAX(-AU695,0)*(Inputs!$B$21+Inputs!$B$22+Inputs!$B$23)</f>
        <v>0</v>
      </c>
      <c r="AW695" s="30" t="n">
        <f aca="false">AP694*(M695-AR694*J695)+AP694*AR694*N695/Inputs!$B$16-AV695</f>
        <v>0</v>
      </c>
      <c r="AX695" s="30" t="n">
        <f aca="false">AW695-IF(AP694&lt;&gt;0,0.75*AR694*(Inputs!$B$13-N695)/Inputs!$B$16,0)</f>
        <v>0</v>
      </c>
      <c r="AY695" s="30" t="n">
        <f aca="false">MAX(AS695,0)*(Inputs!$B$17+Inputs!$B$18+Inputs!$B$19)+MAX(-AS695,0)*(O695+Inputs!$B$18+Inputs!$B$19)+IF(AND(K695=1,AP695&lt;&gt;0),(Inputs!$B$17+Inputs!$B$18+Inputs!$B$19)+(O695+Inputs!$B$18+Inputs!$B$19),0)</f>
        <v>0</v>
      </c>
      <c r="AZ695" s="30" t="n">
        <f aca="false">AP694*M695-AY695</f>
        <v>0</v>
      </c>
      <c r="BA695" s="32" t="n">
        <f aca="false">BA694+AI695</f>
        <v>0.0193300031983123</v>
      </c>
      <c r="BB695" s="30" t="n">
        <f aca="false">MAX(BB694,BA695)</f>
        <v>0.0261726191772394</v>
      </c>
      <c r="BC695" s="32" t="n">
        <f aca="false">BA695-BB695</f>
        <v>-0.00684261597892712</v>
      </c>
      <c r="BD695" s="30" t="n">
        <f aca="false">A696-A695</f>
        <v>1</v>
      </c>
    </row>
    <row r="696" customFormat="false" ht="15" hidden="false" customHeight="false" outlineLevel="0" collapsed="false">
      <c r="A696" s="28" t="n">
        <v>46064</v>
      </c>
      <c r="B696" s="0" t="n">
        <v>25989.7</v>
      </c>
      <c r="C696" s="0" t="n">
        <v>293.89</v>
      </c>
      <c r="D696" s="29" t="n">
        <f aca="false">LN(B696)</f>
        <v>10.1654555846678</v>
      </c>
      <c r="E696" s="29" t="n">
        <f aca="false">LN(C696)</f>
        <v>5.68320554766737</v>
      </c>
      <c r="F696" s="0" t="n">
        <v>691</v>
      </c>
      <c r="G696" s="0" t="n">
        <v>13</v>
      </c>
      <c r="H696" s="29" t="n">
        <f aca="false">D696-E696</f>
        <v>4.48225003700043</v>
      </c>
      <c r="I696" s="29" t="n">
        <f aca="false">D696-D695</f>
        <v>0.000762130615262535</v>
      </c>
      <c r="J696" s="29" t="n">
        <f aca="false">E696-E695</f>
        <v>0.00200957168396521</v>
      </c>
      <c r="K696" s="0" t="n">
        <v>0</v>
      </c>
      <c r="L696" s="0" t="n">
        <v>0</v>
      </c>
      <c r="M696" s="29" t="n">
        <f aca="false">IF(L696=1,J696-Carry!$B$9/Inputs!$B$16,I696)</f>
        <v>0.000762130615262535</v>
      </c>
      <c r="N696" s="0" t="n">
        <v>0.0525</v>
      </c>
      <c r="O696" s="0" t="n">
        <v>0.0002</v>
      </c>
      <c r="P696" s="29" t="n">
        <f aca="false">D696-('2 Hedge ratio'!$B$6+'2 Hedge ratio'!$B$5*E696)</f>
        <v>-0.00290117719788441</v>
      </c>
      <c r="Q696" s="29" t="n">
        <f aca="false">D696-('5 Re-specification'!$B$7+'5 Re-specification'!$B$5*E696+'5 Re-specification'!$B$6*F696)</f>
        <v>-0.000681870609961166</v>
      </c>
      <c r="R696" s="30" t="n">
        <f aca="false">MIN(F696,Inputs!$B$9)</f>
        <v>250</v>
      </c>
      <c r="S696" s="29" t="n">
        <f aca="true">IF(AND(F696&gt;=1,R696&gt;=Inputs!$B$10),INDEX(LINEST(OFFSET(D696,-R696,0,R696,1),OFFSET(E696,-R696,0,R696,2)),1,1),"")</f>
        <v>-6.62022094243599E-005</v>
      </c>
      <c r="T696" s="29" t="n">
        <f aca="true">IF(AND(F696&gt;=1,R696&gt;=Inputs!$B$10),INDEX(LINEST(OFFSET(D696,-R696,0,R696,1),OFFSET(E696,-R696,0,R696,2)),1,2),"")</f>
        <v>1.02442446141873</v>
      </c>
      <c r="U696" s="29" t="n">
        <f aca="true">IF(AND(F696&gt;=1,R696&gt;=Inputs!$B$10),INDEX(LINEST(OFFSET(D696,-R696,0,R696,1),OFFSET(E696,-R696,0,R696,2)),1,3),"")</f>
        <v>4.38885717267213</v>
      </c>
      <c r="V696" s="29" t="n">
        <f aca="true">IF(AND(F696&gt;=1,R696&gt;=Inputs!$B$10),SQRT(SUMPRODUCT((OFFSET(D696,-R696,0,R696,1)-U696-T696*OFFSET(E696,-R696,0,R696,1)-S696*OFFSET(F696,-R696,0,R696,1))^2)/(R696-3)),"")</f>
        <v>0.00227741643509805</v>
      </c>
      <c r="W696" s="31" t="n">
        <f aca="false">IF(AND(F696&gt;=1,R696&gt;=Inputs!$B$10),(D696-U696-T696*E696-S696*F696)/V696,"")</f>
        <v>0.144618437686747</v>
      </c>
      <c r="X696" s="30" t="n">
        <f aca="false">IF(AB695&lt;&gt;0,AC695+1,0)</f>
        <v>0</v>
      </c>
      <c r="Y696" s="30" t="n">
        <f aca="false">IF(W696="",0,IF(AND(AB695&lt;&gt;0,OR(ABS(W696)&gt;Inputs!$B$7,X696&gt;=Inputs!$B$8,ABS(W696)&lt;Inputs!$B$6)),1,0))</f>
        <v>0</v>
      </c>
      <c r="Z696" s="30" t="n">
        <f aca="false">IF(Y696=1,0,AB695)</f>
        <v>0</v>
      </c>
      <c r="AA696" s="30" t="n">
        <f aca="false">IF(W696="",0,IF(AND(Z696=0,ABS(W696)&gt;Inputs!$B$5,ABS(W696)&lt;=Inputs!$B$7),1,0))</f>
        <v>0</v>
      </c>
      <c r="AB696" s="30" t="n">
        <f aca="false">IF(W696="",0,IF(AA696=1,-SIGN(W696),Z696))</f>
        <v>0</v>
      </c>
      <c r="AC696" s="30" t="n">
        <f aca="false">IF(W696="",0,IF(AA696=1,0,IF(Y696=1,0,X696)))</f>
        <v>0</v>
      </c>
      <c r="AD696" s="30" t="n">
        <f aca="false">IF(AB696=0,0,IF(AB695=AB696,AD695,T696))</f>
        <v>0</v>
      </c>
      <c r="AE696" s="30" t="n">
        <f aca="false">AB696-AB695</f>
        <v>0</v>
      </c>
      <c r="AF696" s="30" t="n">
        <f aca="false">-AD696*AB696</f>
        <v>-0</v>
      </c>
      <c r="AG696" s="30" t="n">
        <f aca="false">AF696-AF695</f>
        <v>0</v>
      </c>
      <c r="AH696" s="30" t="n">
        <f aca="false">MAX(AE696,0)*(Inputs!$B$17+Inputs!$B$18+Inputs!$B$19)+MAX(-AE696,0)*(O696+Inputs!$B$18+Inputs!$B$19)+IF(AND(K696=1,AB696&lt;&gt;0),(Inputs!$B$17+Inputs!$B$18+Inputs!$B$19)+(O696+Inputs!$B$18+Inputs!$B$19),0)+MAX(AG696,0)*(Inputs!$B$20+Inputs!$B$22+Inputs!$B$23)+MAX(-AG696,0)*(Inputs!$B$21+Inputs!$B$22+Inputs!$B$23)</f>
        <v>0</v>
      </c>
      <c r="AI696" s="30" t="n">
        <f aca="false">AB695*(M696-AD695*J696)+AB695*AD695*N696/Inputs!$B$16-AH696</f>
        <v>0</v>
      </c>
      <c r="AJ696" s="30" t="n">
        <f aca="false">MAX(AE696,0)*(Inputs!$B$17+Inputs!$B$24+Inputs!$B$25)+MAX(-AE696,0)*(O696+Inputs!$B$24+Inputs!$B$25)+IF(AND(K696=1,AB696&lt;&gt;0),(Inputs!$B$17+Inputs!$B$24+Inputs!$B$25)+(O696+Inputs!$B$24+Inputs!$B$25),0)+MAX(AG696,0)*(Inputs!$B$20+Inputs!$B$26+Inputs!$B$27)+MAX(-AG696,0)*(Inputs!$B$21+Inputs!$B$26+Inputs!$B$27)</f>
        <v>0</v>
      </c>
      <c r="AK696" s="30" t="n">
        <f aca="false">AB695*(M696-AD695*J696)+AB695*AD695*(N696+Inputs!$B$14)/Inputs!$B$16-AJ696</f>
        <v>0</v>
      </c>
      <c r="AL696" s="30" t="n">
        <f aca="false">IF(AP695&lt;&gt;0,AQ695+1,0)</f>
        <v>0</v>
      </c>
      <c r="AM696" s="30" t="n">
        <f aca="false">IF(W696="",0,IF(AND(AP695&lt;&gt;0,OR(ABS(W696)&gt;Inputs!$B$7,AL696&gt;=Inputs!$B$8,ABS(W696)&lt;Inputs!$B$6)),1,0))</f>
        <v>0</v>
      </c>
      <c r="AN696" s="30" t="n">
        <f aca="false">IF(AM696=1,0,AP695)</f>
        <v>0</v>
      </c>
      <c r="AO696" s="30" t="n">
        <f aca="false">IF(W696="",0,IF(AND(AN696=0,ABS(W696)&gt;Inputs!$B$5,ABS(W696)&lt;=Inputs!$B$7,W696&gt;0),1,0))</f>
        <v>0</v>
      </c>
      <c r="AP696" s="30" t="n">
        <f aca="false">IF(W696="",0,IF(AO696=1,-SIGN(W696),AN696))</f>
        <v>0</v>
      </c>
      <c r="AQ696" s="30" t="n">
        <f aca="false">IF(W696="",0,IF(AO696=1,0,IF(AM696=1,0,AL696)))</f>
        <v>0</v>
      </c>
      <c r="AR696" s="30" t="n">
        <f aca="false">IF(AP696=0,0,IF(AP695=AP696,AR695,T696))</f>
        <v>0</v>
      </c>
      <c r="AS696" s="30" t="n">
        <f aca="false">AP696-AP695</f>
        <v>0</v>
      </c>
      <c r="AT696" s="30" t="n">
        <f aca="false">-AR696*AP696</f>
        <v>-0</v>
      </c>
      <c r="AU696" s="30" t="n">
        <f aca="false">AT696-AT695</f>
        <v>0</v>
      </c>
      <c r="AV696" s="30" t="n">
        <f aca="false">MAX(AS696,0)*(Inputs!$B$17+Inputs!$B$18+Inputs!$B$19)+MAX(-AS696,0)*(O696+Inputs!$B$18+Inputs!$B$19)+IF(AND(K696=1,AP696&lt;&gt;0),(Inputs!$B$17+Inputs!$B$18+Inputs!$B$19)+(O696+Inputs!$B$18+Inputs!$B$19),0)+MAX(AU696,0)*(Inputs!$B$20+Inputs!$B$22+Inputs!$B$23)+MAX(-AU696,0)*(Inputs!$B$21+Inputs!$B$22+Inputs!$B$23)</f>
        <v>0</v>
      </c>
      <c r="AW696" s="30" t="n">
        <f aca="false">AP695*(M696-AR695*J696)+AP695*AR695*N696/Inputs!$B$16-AV696</f>
        <v>0</v>
      </c>
      <c r="AX696" s="30" t="n">
        <f aca="false">AW696-IF(AP695&lt;&gt;0,0.75*AR695*(Inputs!$B$13-N696)/Inputs!$B$16,0)</f>
        <v>0</v>
      </c>
      <c r="AY696" s="30" t="n">
        <f aca="false">MAX(AS696,0)*(Inputs!$B$17+Inputs!$B$18+Inputs!$B$19)+MAX(-AS696,0)*(O696+Inputs!$B$18+Inputs!$B$19)+IF(AND(K696=1,AP696&lt;&gt;0),(Inputs!$B$17+Inputs!$B$18+Inputs!$B$19)+(O696+Inputs!$B$18+Inputs!$B$19),0)</f>
        <v>0</v>
      </c>
      <c r="AZ696" s="30" t="n">
        <f aca="false">AP695*M696-AY696</f>
        <v>0</v>
      </c>
      <c r="BA696" s="32" t="n">
        <f aca="false">BA695+AI696</f>
        <v>0.0193300031983123</v>
      </c>
      <c r="BB696" s="30" t="n">
        <f aca="false">MAX(BB695,BA696)</f>
        <v>0.0261726191772394</v>
      </c>
      <c r="BC696" s="32" t="n">
        <f aca="false">BA696-BB696</f>
        <v>-0.00684261597892712</v>
      </c>
      <c r="BD696" s="30" t="n">
        <f aca="false">A697-A696</f>
        <v>1</v>
      </c>
    </row>
    <row r="697" customFormat="false" ht="15" hidden="false" customHeight="false" outlineLevel="0" collapsed="false">
      <c r="A697" s="28" t="n">
        <v>46065</v>
      </c>
      <c r="B697" s="0" t="n">
        <v>25850</v>
      </c>
      <c r="C697" s="0" t="n">
        <v>292.4</v>
      </c>
      <c r="D697" s="29" t="n">
        <f aca="false">LN(B697)</f>
        <v>10.1600658799366</v>
      </c>
      <c r="E697" s="29" t="n">
        <f aca="false">LN(C697)</f>
        <v>5.67812272787562</v>
      </c>
      <c r="F697" s="0" t="n">
        <v>692</v>
      </c>
      <c r="G697" s="0" t="n">
        <v>12</v>
      </c>
      <c r="H697" s="29" t="n">
        <f aca="false">D697-E697</f>
        <v>4.48194315206095</v>
      </c>
      <c r="I697" s="29" t="n">
        <f aca="false">D697-D696</f>
        <v>-0.00538970473122546</v>
      </c>
      <c r="J697" s="29" t="n">
        <f aca="false">E697-E696</f>
        <v>-0.00508281979174718</v>
      </c>
      <c r="K697" s="0" t="n">
        <v>0</v>
      </c>
      <c r="L697" s="0" t="n">
        <v>0</v>
      </c>
      <c r="M697" s="29" t="n">
        <f aca="false">IF(L697=1,J697-Carry!$B$9/Inputs!$B$16,I697)</f>
        <v>-0.00538970473122546</v>
      </c>
      <c r="N697" s="0" t="n">
        <v>0.0525</v>
      </c>
      <c r="O697" s="0" t="n">
        <v>0.0002</v>
      </c>
      <c r="P697" s="29" t="n">
        <f aca="false">D697-('2 Hedge ratio'!$B$6+'2 Hedge ratio'!$B$5*E697)</f>
        <v>-0.00363437470545946</v>
      </c>
      <c r="Q697" s="29" t="n">
        <f aca="false">D697-('5 Re-specification'!$B$7+'5 Re-specification'!$B$5*E697+'5 Re-specification'!$B$6*F697)</f>
        <v>-0.000959229716832155</v>
      </c>
      <c r="R697" s="30" t="n">
        <f aca="false">MIN(F697,Inputs!$B$9)</f>
        <v>250</v>
      </c>
      <c r="S697" s="29" t="n">
        <f aca="true">IF(AND(F697&gt;=1,R697&gt;=Inputs!$B$10),INDEX(LINEST(OFFSET(D697,-R697,0,R697,1),OFFSET(E697,-R697,0,R697,2)),1,1),"")</f>
        <v>-6.62598005401498E-005</v>
      </c>
      <c r="T697" s="29" t="n">
        <f aca="true">IF(AND(F697&gt;=1,R697&gt;=Inputs!$B$10),INDEX(LINEST(OFFSET(D697,-R697,0,R697,1),OFFSET(E697,-R697,0,R697,2)),1,2),"")</f>
        <v>1.02446083671988</v>
      </c>
      <c r="U697" s="29" t="n">
        <f aca="true">IF(AND(F697&gt;=1,R697&gt;=Inputs!$B$10),INDEX(LINEST(OFFSET(D697,-R697,0,R697,1),OFFSET(E697,-R697,0,R697,2)),1,3),"")</f>
        <v>4.38868907674607</v>
      </c>
      <c r="V697" s="29" t="n">
        <f aca="true">IF(AND(F697&gt;=1,R697&gt;=Inputs!$B$10),SQRT(SUMPRODUCT((OFFSET(D697,-R697,0,R697,1)-U697-T697*OFFSET(E697,-R697,0,R697,1)-S697*OFFSET(F697,-R697,0,R697,1))^2)/(R697-3)),"")</f>
        <v>0.00227705532266662</v>
      </c>
      <c r="W697" s="31" t="n">
        <f aca="false">IF(AND(F697&gt;=1,R697&gt;=Inputs!$B$10),(D697-U697-T697*E697-S697*F697)/V697,"")</f>
        <v>0.0940795616619186</v>
      </c>
      <c r="X697" s="30" t="n">
        <f aca="false">IF(AB696&lt;&gt;0,AC696+1,0)</f>
        <v>0</v>
      </c>
      <c r="Y697" s="30" t="n">
        <f aca="false">IF(W697="",0,IF(AND(AB696&lt;&gt;0,OR(ABS(W697)&gt;Inputs!$B$7,X697&gt;=Inputs!$B$8,ABS(W697)&lt;Inputs!$B$6)),1,0))</f>
        <v>0</v>
      </c>
      <c r="Z697" s="30" t="n">
        <f aca="false">IF(Y697=1,0,AB696)</f>
        <v>0</v>
      </c>
      <c r="AA697" s="30" t="n">
        <f aca="false">IF(W697="",0,IF(AND(Z697=0,ABS(W697)&gt;Inputs!$B$5,ABS(W697)&lt;=Inputs!$B$7),1,0))</f>
        <v>0</v>
      </c>
      <c r="AB697" s="30" t="n">
        <f aca="false">IF(W697="",0,IF(AA697=1,-SIGN(W697),Z697))</f>
        <v>0</v>
      </c>
      <c r="AC697" s="30" t="n">
        <f aca="false">IF(W697="",0,IF(AA697=1,0,IF(Y697=1,0,X697)))</f>
        <v>0</v>
      </c>
      <c r="AD697" s="30" t="n">
        <f aca="false">IF(AB697=0,0,IF(AB696=AB697,AD696,T697))</f>
        <v>0</v>
      </c>
      <c r="AE697" s="30" t="n">
        <f aca="false">AB697-AB696</f>
        <v>0</v>
      </c>
      <c r="AF697" s="30" t="n">
        <f aca="false">-AD697*AB697</f>
        <v>-0</v>
      </c>
      <c r="AG697" s="30" t="n">
        <f aca="false">AF697-AF696</f>
        <v>0</v>
      </c>
      <c r="AH697" s="30" t="n">
        <f aca="false">MAX(AE697,0)*(Inputs!$B$17+Inputs!$B$18+Inputs!$B$19)+MAX(-AE697,0)*(O697+Inputs!$B$18+Inputs!$B$19)+IF(AND(K697=1,AB697&lt;&gt;0),(Inputs!$B$17+Inputs!$B$18+Inputs!$B$19)+(O697+Inputs!$B$18+Inputs!$B$19),0)+MAX(AG697,0)*(Inputs!$B$20+Inputs!$B$22+Inputs!$B$23)+MAX(-AG697,0)*(Inputs!$B$21+Inputs!$B$22+Inputs!$B$23)</f>
        <v>0</v>
      </c>
      <c r="AI697" s="30" t="n">
        <f aca="false">AB696*(M697-AD696*J697)+AB696*AD696*N697/Inputs!$B$16-AH697</f>
        <v>0</v>
      </c>
      <c r="AJ697" s="30" t="n">
        <f aca="false">MAX(AE697,0)*(Inputs!$B$17+Inputs!$B$24+Inputs!$B$25)+MAX(-AE697,0)*(O697+Inputs!$B$24+Inputs!$B$25)+IF(AND(K697=1,AB697&lt;&gt;0),(Inputs!$B$17+Inputs!$B$24+Inputs!$B$25)+(O697+Inputs!$B$24+Inputs!$B$25),0)+MAX(AG697,0)*(Inputs!$B$20+Inputs!$B$26+Inputs!$B$27)+MAX(-AG697,0)*(Inputs!$B$21+Inputs!$B$26+Inputs!$B$27)</f>
        <v>0</v>
      </c>
      <c r="AK697" s="30" t="n">
        <f aca="false">AB696*(M697-AD696*J697)+AB696*AD696*(N697+Inputs!$B$14)/Inputs!$B$16-AJ697</f>
        <v>0</v>
      </c>
      <c r="AL697" s="30" t="n">
        <f aca="false">IF(AP696&lt;&gt;0,AQ696+1,0)</f>
        <v>0</v>
      </c>
      <c r="AM697" s="30" t="n">
        <f aca="false">IF(W697="",0,IF(AND(AP696&lt;&gt;0,OR(ABS(W697)&gt;Inputs!$B$7,AL697&gt;=Inputs!$B$8,ABS(W697)&lt;Inputs!$B$6)),1,0))</f>
        <v>0</v>
      </c>
      <c r="AN697" s="30" t="n">
        <f aca="false">IF(AM697=1,0,AP696)</f>
        <v>0</v>
      </c>
      <c r="AO697" s="30" t="n">
        <f aca="false">IF(W697="",0,IF(AND(AN697=0,ABS(W697)&gt;Inputs!$B$5,ABS(W697)&lt;=Inputs!$B$7,W697&gt;0),1,0))</f>
        <v>0</v>
      </c>
      <c r="AP697" s="30" t="n">
        <f aca="false">IF(W697="",0,IF(AO697=1,-SIGN(W697),AN697))</f>
        <v>0</v>
      </c>
      <c r="AQ697" s="30" t="n">
        <f aca="false">IF(W697="",0,IF(AO697=1,0,IF(AM697=1,0,AL697)))</f>
        <v>0</v>
      </c>
      <c r="AR697" s="30" t="n">
        <f aca="false">IF(AP697=0,0,IF(AP696=AP697,AR696,T697))</f>
        <v>0</v>
      </c>
      <c r="AS697" s="30" t="n">
        <f aca="false">AP697-AP696</f>
        <v>0</v>
      </c>
      <c r="AT697" s="30" t="n">
        <f aca="false">-AR697*AP697</f>
        <v>-0</v>
      </c>
      <c r="AU697" s="30" t="n">
        <f aca="false">AT697-AT696</f>
        <v>0</v>
      </c>
      <c r="AV697" s="30" t="n">
        <f aca="false">MAX(AS697,0)*(Inputs!$B$17+Inputs!$B$18+Inputs!$B$19)+MAX(-AS697,0)*(O697+Inputs!$B$18+Inputs!$B$19)+IF(AND(K697=1,AP697&lt;&gt;0),(Inputs!$B$17+Inputs!$B$18+Inputs!$B$19)+(O697+Inputs!$B$18+Inputs!$B$19),0)+MAX(AU697,0)*(Inputs!$B$20+Inputs!$B$22+Inputs!$B$23)+MAX(-AU697,0)*(Inputs!$B$21+Inputs!$B$22+Inputs!$B$23)</f>
        <v>0</v>
      </c>
      <c r="AW697" s="30" t="n">
        <f aca="false">AP696*(M697-AR696*J697)+AP696*AR696*N697/Inputs!$B$16-AV697</f>
        <v>0</v>
      </c>
      <c r="AX697" s="30" t="n">
        <f aca="false">AW697-IF(AP696&lt;&gt;0,0.75*AR696*(Inputs!$B$13-N697)/Inputs!$B$16,0)</f>
        <v>0</v>
      </c>
      <c r="AY697" s="30" t="n">
        <f aca="false">MAX(AS697,0)*(Inputs!$B$17+Inputs!$B$18+Inputs!$B$19)+MAX(-AS697,0)*(O697+Inputs!$B$18+Inputs!$B$19)+IF(AND(K697=1,AP697&lt;&gt;0),(Inputs!$B$17+Inputs!$B$18+Inputs!$B$19)+(O697+Inputs!$B$18+Inputs!$B$19),0)</f>
        <v>0</v>
      </c>
      <c r="AZ697" s="30" t="n">
        <f aca="false">AP696*M697-AY697</f>
        <v>-0</v>
      </c>
      <c r="BA697" s="32" t="n">
        <f aca="false">BA696+AI697</f>
        <v>0.0193300031983123</v>
      </c>
      <c r="BB697" s="30" t="n">
        <f aca="false">MAX(BB696,BA697)</f>
        <v>0.0261726191772394</v>
      </c>
      <c r="BC697" s="32" t="n">
        <f aca="false">BA697-BB697</f>
        <v>-0.00684261597892712</v>
      </c>
      <c r="BD697" s="30" t="n">
        <f aca="false">A698-A697</f>
        <v>1</v>
      </c>
    </row>
    <row r="698" customFormat="false" ht="15" hidden="false" customHeight="false" outlineLevel="0" collapsed="false">
      <c r="A698" s="28" t="n">
        <v>46066</v>
      </c>
      <c r="B698" s="0" t="n">
        <v>25485.8</v>
      </c>
      <c r="C698" s="0" t="n">
        <v>288.84</v>
      </c>
      <c r="D698" s="29" t="n">
        <f aca="false">LN(B698)</f>
        <v>10.1458767132958</v>
      </c>
      <c r="E698" s="29" t="n">
        <f aca="false">LN(C698)</f>
        <v>5.66587290158298</v>
      </c>
      <c r="F698" s="0" t="n">
        <v>693</v>
      </c>
      <c r="G698" s="0" t="n">
        <v>11</v>
      </c>
      <c r="H698" s="29" t="n">
        <f aca="false">D698-E698</f>
        <v>4.4800038117128</v>
      </c>
      <c r="I698" s="29" t="n">
        <f aca="false">D698-D697</f>
        <v>-0.0141891666407972</v>
      </c>
      <c r="J698" s="29" t="n">
        <f aca="false">E698-E697</f>
        <v>-0.012249826292642</v>
      </c>
      <c r="K698" s="0" t="n">
        <v>0</v>
      </c>
      <c r="L698" s="0" t="n">
        <v>0</v>
      </c>
      <c r="M698" s="29" t="n">
        <f aca="false">IF(L698=1,J698-Carry!$B$9/Inputs!$B$16,I698)</f>
        <v>-0.0141891666407972</v>
      </c>
      <c r="N698" s="0" t="n">
        <v>0.0525</v>
      </c>
      <c r="O698" s="0" t="n">
        <v>0.0002</v>
      </c>
      <c r="P698" s="29" t="n">
        <f aca="false">D698-('2 Hedge ratio'!$B$6+'2 Hedge ratio'!$B$5*E698)</f>
        <v>-0.006601147683444</v>
      </c>
      <c r="Q698" s="29" t="n">
        <f aca="false">D698-('5 Re-specification'!$B$7+'5 Re-specification'!$B$5*E698+'5 Re-specification'!$B$6*F698)</f>
        <v>-0.0028907638457305</v>
      </c>
      <c r="R698" s="30" t="n">
        <f aca="false">MIN(F698,Inputs!$B$9)</f>
        <v>250</v>
      </c>
      <c r="S698" s="29" t="n">
        <f aca="true">IF(AND(F698&gt;=1,R698&gt;=Inputs!$B$10),INDEX(LINEST(OFFSET(D698,-R698,0,R698,1),OFFSET(E698,-R698,0,R698,2)),1,1),"")</f>
        <v>-6.64489481494163E-005</v>
      </c>
      <c r="T698" s="29" t="n">
        <f aca="true">IF(AND(F698&gt;=1,R698&gt;=Inputs!$B$10),INDEX(LINEST(OFFSET(D698,-R698,0,R698,1),OFFSET(E698,-R698,0,R698,2)),1,2),"")</f>
        <v>1.02456584156686</v>
      </c>
      <c r="U698" s="29" t="n">
        <f aca="true">IF(AND(F698&gt;=1,R698&gt;=Inputs!$B$10),INDEX(LINEST(OFFSET(D698,-R698,0,R698,1),OFFSET(E698,-R698,0,R698,2)),1,3),"")</f>
        <v>4.38821203791091</v>
      </c>
      <c r="V698" s="29" t="n">
        <f aca="true">IF(AND(F698&gt;=1,R698&gt;=Inputs!$B$10),SQRT(SUMPRODUCT((OFFSET(D698,-R698,0,R698,1)-U698-T698*OFFSET(E698,-R698,0,R698,1)-S698*OFFSET(F698,-R698,0,R698,1))^2)/(R698-3)),"")</f>
        <v>0.00227488139547458</v>
      </c>
      <c r="W698" s="31" t="n">
        <f aca="false">IF(AND(F698&gt;=1,R698&gt;=Inputs!$B$10),(D698-U698-T698*E698-S698*F698)/V698,"")</f>
        <v>-0.591697295296134</v>
      </c>
      <c r="X698" s="30" t="n">
        <f aca="false">IF(AB697&lt;&gt;0,AC697+1,0)</f>
        <v>0</v>
      </c>
      <c r="Y698" s="30" t="n">
        <f aca="false">IF(W698="",0,IF(AND(AB697&lt;&gt;0,OR(ABS(W698)&gt;Inputs!$B$7,X698&gt;=Inputs!$B$8,ABS(W698)&lt;Inputs!$B$6)),1,0))</f>
        <v>0</v>
      </c>
      <c r="Z698" s="30" t="n">
        <f aca="false">IF(Y698=1,0,AB697)</f>
        <v>0</v>
      </c>
      <c r="AA698" s="30" t="n">
        <f aca="false">IF(W698="",0,IF(AND(Z698=0,ABS(W698)&gt;Inputs!$B$5,ABS(W698)&lt;=Inputs!$B$7),1,0))</f>
        <v>0</v>
      </c>
      <c r="AB698" s="30" t="n">
        <f aca="false">IF(W698="",0,IF(AA698=1,-SIGN(W698),Z698))</f>
        <v>0</v>
      </c>
      <c r="AC698" s="30" t="n">
        <f aca="false">IF(W698="",0,IF(AA698=1,0,IF(Y698=1,0,X698)))</f>
        <v>0</v>
      </c>
      <c r="AD698" s="30" t="n">
        <f aca="false">IF(AB698=0,0,IF(AB697=AB698,AD697,T698))</f>
        <v>0</v>
      </c>
      <c r="AE698" s="30" t="n">
        <f aca="false">AB698-AB697</f>
        <v>0</v>
      </c>
      <c r="AF698" s="30" t="n">
        <f aca="false">-AD698*AB698</f>
        <v>-0</v>
      </c>
      <c r="AG698" s="30" t="n">
        <f aca="false">AF698-AF697</f>
        <v>0</v>
      </c>
      <c r="AH698" s="30" t="n">
        <f aca="false">MAX(AE698,0)*(Inputs!$B$17+Inputs!$B$18+Inputs!$B$19)+MAX(-AE698,0)*(O698+Inputs!$B$18+Inputs!$B$19)+IF(AND(K698=1,AB698&lt;&gt;0),(Inputs!$B$17+Inputs!$B$18+Inputs!$B$19)+(O698+Inputs!$B$18+Inputs!$B$19),0)+MAX(AG698,0)*(Inputs!$B$20+Inputs!$B$22+Inputs!$B$23)+MAX(-AG698,0)*(Inputs!$B$21+Inputs!$B$22+Inputs!$B$23)</f>
        <v>0</v>
      </c>
      <c r="AI698" s="30" t="n">
        <f aca="false">AB697*(M698-AD697*J698)+AB697*AD697*N698/Inputs!$B$16-AH698</f>
        <v>0</v>
      </c>
      <c r="AJ698" s="30" t="n">
        <f aca="false">MAX(AE698,0)*(Inputs!$B$17+Inputs!$B$24+Inputs!$B$25)+MAX(-AE698,0)*(O698+Inputs!$B$24+Inputs!$B$25)+IF(AND(K698=1,AB698&lt;&gt;0),(Inputs!$B$17+Inputs!$B$24+Inputs!$B$25)+(O698+Inputs!$B$24+Inputs!$B$25),0)+MAX(AG698,0)*(Inputs!$B$20+Inputs!$B$26+Inputs!$B$27)+MAX(-AG698,0)*(Inputs!$B$21+Inputs!$B$26+Inputs!$B$27)</f>
        <v>0</v>
      </c>
      <c r="AK698" s="30" t="n">
        <f aca="false">AB697*(M698-AD697*J698)+AB697*AD697*(N698+Inputs!$B$14)/Inputs!$B$16-AJ698</f>
        <v>0</v>
      </c>
      <c r="AL698" s="30" t="n">
        <f aca="false">IF(AP697&lt;&gt;0,AQ697+1,0)</f>
        <v>0</v>
      </c>
      <c r="AM698" s="30" t="n">
        <f aca="false">IF(W698="",0,IF(AND(AP697&lt;&gt;0,OR(ABS(W698)&gt;Inputs!$B$7,AL698&gt;=Inputs!$B$8,ABS(W698)&lt;Inputs!$B$6)),1,0))</f>
        <v>0</v>
      </c>
      <c r="AN698" s="30" t="n">
        <f aca="false">IF(AM698=1,0,AP697)</f>
        <v>0</v>
      </c>
      <c r="AO698" s="30" t="n">
        <f aca="false">IF(W698="",0,IF(AND(AN698=0,ABS(W698)&gt;Inputs!$B$5,ABS(W698)&lt;=Inputs!$B$7,W698&gt;0),1,0))</f>
        <v>0</v>
      </c>
      <c r="AP698" s="30" t="n">
        <f aca="false">IF(W698="",0,IF(AO698=1,-SIGN(W698),AN698))</f>
        <v>0</v>
      </c>
      <c r="AQ698" s="30" t="n">
        <f aca="false">IF(W698="",0,IF(AO698=1,0,IF(AM698=1,0,AL698)))</f>
        <v>0</v>
      </c>
      <c r="AR698" s="30" t="n">
        <f aca="false">IF(AP698=0,0,IF(AP697=AP698,AR697,T698))</f>
        <v>0</v>
      </c>
      <c r="AS698" s="30" t="n">
        <f aca="false">AP698-AP697</f>
        <v>0</v>
      </c>
      <c r="AT698" s="30" t="n">
        <f aca="false">-AR698*AP698</f>
        <v>-0</v>
      </c>
      <c r="AU698" s="30" t="n">
        <f aca="false">AT698-AT697</f>
        <v>0</v>
      </c>
      <c r="AV698" s="30" t="n">
        <f aca="false">MAX(AS698,0)*(Inputs!$B$17+Inputs!$B$18+Inputs!$B$19)+MAX(-AS698,0)*(O698+Inputs!$B$18+Inputs!$B$19)+IF(AND(K698=1,AP698&lt;&gt;0),(Inputs!$B$17+Inputs!$B$18+Inputs!$B$19)+(O698+Inputs!$B$18+Inputs!$B$19),0)+MAX(AU698,0)*(Inputs!$B$20+Inputs!$B$22+Inputs!$B$23)+MAX(-AU698,0)*(Inputs!$B$21+Inputs!$B$22+Inputs!$B$23)</f>
        <v>0</v>
      </c>
      <c r="AW698" s="30" t="n">
        <f aca="false">AP697*(M698-AR697*J698)+AP697*AR697*N698/Inputs!$B$16-AV698</f>
        <v>0</v>
      </c>
      <c r="AX698" s="30" t="n">
        <f aca="false">AW698-IF(AP697&lt;&gt;0,0.75*AR697*(Inputs!$B$13-N698)/Inputs!$B$16,0)</f>
        <v>0</v>
      </c>
      <c r="AY698" s="30" t="n">
        <f aca="false">MAX(AS698,0)*(Inputs!$B$17+Inputs!$B$18+Inputs!$B$19)+MAX(-AS698,0)*(O698+Inputs!$B$18+Inputs!$B$19)+IF(AND(K698=1,AP698&lt;&gt;0),(Inputs!$B$17+Inputs!$B$18+Inputs!$B$19)+(O698+Inputs!$B$18+Inputs!$B$19),0)</f>
        <v>0</v>
      </c>
      <c r="AZ698" s="30" t="n">
        <f aca="false">AP697*M698-AY698</f>
        <v>-0</v>
      </c>
      <c r="BA698" s="32" t="n">
        <f aca="false">BA697+AI698</f>
        <v>0.0193300031983123</v>
      </c>
      <c r="BB698" s="30" t="n">
        <f aca="false">MAX(BB697,BA698)</f>
        <v>0.0261726191772394</v>
      </c>
      <c r="BC698" s="32" t="n">
        <f aca="false">BA698-BB698</f>
        <v>-0.00684261597892712</v>
      </c>
      <c r="BD698" s="30" t="n">
        <f aca="false">A699-A698</f>
        <v>3</v>
      </c>
    </row>
    <row r="699" customFormat="false" ht="15" hidden="false" customHeight="false" outlineLevel="0" collapsed="false">
      <c r="A699" s="28" t="n">
        <v>46069</v>
      </c>
      <c r="B699" s="0" t="n">
        <v>25728</v>
      </c>
      <c r="C699" s="0" t="n">
        <v>290.89</v>
      </c>
      <c r="D699" s="29" t="n">
        <f aca="false">LN(B699)</f>
        <v>10.1553351719787</v>
      </c>
      <c r="E699" s="29" t="n">
        <f aca="false">LN(C699)</f>
        <v>5.67294518883603</v>
      </c>
      <c r="F699" s="0" t="n">
        <v>694</v>
      </c>
      <c r="G699" s="0" t="n">
        <v>8</v>
      </c>
      <c r="H699" s="29" t="n">
        <f aca="false">D699-E699</f>
        <v>4.48238998314266</v>
      </c>
      <c r="I699" s="29" t="n">
        <f aca="false">D699-D698</f>
        <v>0.00945845868291606</v>
      </c>
      <c r="J699" s="29" t="n">
        <f aca="false">E699-E698</f>
        <v>0.00707228725305154</v>
      </c>
      <c r="K699" s="0" t="n">
        <v>0</v>
      </c>
      <c r="L699" s="0" t="n">
        <v>0</v>
      </c>
      <c r="M699" s="29" t="n">
        <f aca="false">IF(L699=1,J699-Carry!$B$9/Inputs!$B$16,I699)</f>
        <v>0.00945845868291606</v>
      </c>
      <c r="N699" s="0" t="n">
        <v>0.0525</v>
      </c>
      <c r="O699" s="0" t="n">
        <v>0.0002</v>
      </c>
      <c r="P699" s="29" t="n">
        <f aca="false">D699-('2 Hedge ratio'!$B$6+'2 Hedge ratio'!$B$5*E699)</f>
        <v>-0.00362180060212758</v>
      </c>
      <c r="Q699" s="29" t="n">
        <f aca="false">D699-('5 Re-specification'!$B$7+'5 Re-specification'!$B$5*E699+'5 Re-specification'!$B$6*F699)</f>
        <v>-0.000438230531097261</v>
      </c>
      <c r="R699" s="30" t="n">
        <f aca="false">MIN(F699,Inputs!$B$9)</f>
        <v>250</v>
      </c>
      <c r="S699" s="29" t="n">
        <f aca="true">IF(AND(F699&gt;=1,R699&gt;=Inputs!$B$10),INDEX(LINEST(OFFSET(D699,-R699,0,R699,1),OFFSET(E699,-R699,0,R699,2)),1,1),"")</f>
        <v>-6.6950656571171E-005</v>
      </c>
      <c r="T699" s="29" t="n">
        <f aca="true">IF(AND(F699&gt;=1,R699&gt;=Inputs!$B$10),INDEX(LINEST(OFFSET(D699,-R699,0,R699,1),OFFSET(E699,-R699,0,R699,2)),1,2),"")</f>
        <v>1.02498317456619</v>
      </c>
      <c r="U699" s="29" t="n">
        <f aca="true">IF(AND(F699&gt;=1,R699&gt;=Inputs!$B$10),INDEX(LINEST(OFFSET(D699,-R699,0,R699,1),OFFSET(E699,-R699,0,R699,2)),1,3),"")</f>
        <v>4.38614669381624</v>
      </c>
      <c r="V699" s="29" t="n">
        <f aca="true">IF(AND(F699&gt;=1,R699&gt;=Inputs!$B$10),SQRT(SUMPRODUCT((OFFSET(D699,-R699,0,R699,1)-U699-T699*OFFSET(E699,-R699,0,R699,1)-S699*OFFSET(F699,-R699,0,R699,1))^2)/(R699-3)),"")</f>
        <v>0.00227447861791216</v>
      </c>
      <c r="W699" s="31" t="n">
        <f aca="false">IF(AND(F699&gt;=1,R699&gt;=Inputs!$B$10),(D699-U699-T699*E699-S699*F699)/V699,"")</f>
        <v>0.430368974228464</v>
      </c>
      <c r="X699" s="30" t="n">
        <f aca="false">IF(AB698&lt;&gt;0,AC698+1,0)</f>
        <v>0</v>
      </c>
      <c r="Y699" s="30" t="n">
        <f aca="false">IF(W699="",0,IF(AND(AB698&lt;&gt;0,OR(ABS(W699)&gt;Inputs!$B$7,X699&gt;=Inputs!$B$8,ABS(W699)&lt;Inputs!$B$6)),1,0))</f>
        <v>0</v>
      </c>
      <c r="Z699" s="30" t="n">
        <f aca="false">IF(Y699=1,0,AB698)</f>
        <v>0</v>
      </c>
      <c r="AA699" s="30" t="n">
        <f aca="false">IF(W699="",0,IF(AND(Z699=0,ABS(W699)&gt;Inputs!$B$5,ABS(W699)&lt;=Inputs!$B$7),1,0))</f>
        <v>0</v>
      </c>
      <c r="AB699" s="30" t="n">
        <f aca="false">IF(W699="",0,IF(AA699=1,-SIGN(W699),Z699))</f>
        <v>0</v>
      </c>
      <c r="AC699" s="30" t="n">
        <f aca="false">IF(W699="",0,IF(AA699=1,0,IF(Y699=1,0,X699)))</f>
        <v>0</v>
      </c>
      <c r="AD699" s="30" t="n">
        <f aca="false">IF(AB699=0,0,IF(AB698=AB699,AD698,T699))</f>
        <v>0</v>
      </c>
      <c r="AE699" s="30" t="n">
        <f aca="false">AB699-AB698</f>
        <v>0</v>
      </c>
      <c r="AF699" s="30" t="n">
        <f aca="false">-AD699*AB699</f>
        <v>-0</v>
      </c>
      <c r="AG699" s="30" t="n">
        <f aca="false">AF699-AF698</f>
        <v>0</v>
      </c>
      <c r="AH699" s="30" t="n">
        <f aca="false">MAX(AE699,0)*(Inputs!$B$17+Inputs!$B$18+Inputs!$B$19)+MAX(-AE699,0)*(O699+Inputs!$B$18+Inputs!$B$19)+IF(AND(K699=1,AB699&lt;&gt;0),(Inputs!$B$17+Inputs!$B$18+Inputs!$B$19)+(O699+Inputs!$B$18+Inputs!$B$19),0)+MAX(AG699,0)*(Inputs!$B$20+Inputs!$B$22+Inputs!$B$23)+MAX(-AG699,0)*(Inputs!$B$21+Inputs!$B$22+Inputs!$B$23)</f>
        <v>0</v>
      </c>
      <c r="AI699" s="30" t="n">
        <f aca="false">AB698*(M699-AD698*J699)+AB698*AD698*N699/Inputs!$B$16-AH699</f>
        <v>0</v>
      </c>
      <c r="AJ699" s="30" t="n">
        <f aca="false">MAX(AE699,0)*(Inputs!$B$17+Inputs!$B$24+Inputs!$B$25)+MAX(-AE699,0)*(O699+Inputs!$B$24+Inputs!$B$25)+IF(AND(K699=1,AB699&lt;&gt;0),(Inputs!$B$17+Inputs!$B$24+Inputs!$B$25)+(O699+Inputs!$B$24+Inputs!$B$25),0)+MAX(AG699,0)*(Inputs!$B$20+Inputs!$B$26+Inputs!$B$27)+MAX(-AG699,0)*(Inputs!$B$21+Inputs!$B$26+Inputs!$B$27)</f>
        <v>0</v>
      </c>
      <c r="AK699" s="30" t="n">
        <f aca="false">AB698*(M699-AD698*J699)+AB698*AD698*(N699+Inputs!$B$14)/Inputs!$B$16-AJ699</f>
        <v>0</v>
      </c>
      <c r="AL699" s="30" t="n">
        <f aca="false">IF(AP698&lt;&gt;0,AQ698+1,0)</f>
        <v>0</v>
      </c>
      <c r="AM699" s="30" t="n">
        <f aca="false">IF(W699="",0,IF(AND(AP698&lt;&gt;0,OR(ABS(W699)&gt;Inputs!$B$7,AL699&gt;=Inputs!$B$8,ABS(W699)&lt;Inputs!$B$6)),1,0))</f>
        <v>0</v>
      </c>
      <c r="AN699" s="30" t="n">
        <f aca="false">IF(AM699=1,0,AP698)</f>
        <v>0</v>
      </c>
      <c r="AO699" s="30" t="n">
        <f aca="false">IF(W699="",0,IF(AND(AN699=0,ABS(W699)&gt;Inputs!$B$5,ABS(W699)&lt;=Inputs!$B$7,W699&gt;0),1,0))</f>
        <v>0</v>
      </c>
      <c r="AP699" s="30" t="n">
        <f aca="false">IF(W699="",0,IF(AO699=1,-SIGN(W699),AN699))</f>
        <v>0</v>
      </c>
      <c r="AQ699" s="30" t="n">
        <f aca="false">IF(W699="",0,IF(AO699=1,0,IF(AM699=1,0,AL699)))</f>
        <v>0</v>
      </c>
      <c r="AR699" s="30" t="n">
        <f aca="false">IF(AP699=0,0,IF(AP698=AP699,AR698,T699))</f>
        <v>0</v>
      </c>
      <c r="AS699" s="30" t="n">
        <f aca="false">AP699-AP698</f>
        <v>0</v>
      </c>
      <c r="AT699" s="30" t="n">
        <f aca="false">-AR699*AP699</f>
        <v>-0</v>
      </c>
      <c r="AU699" s="30" t="n">
        <f aca="false">AT699-AT698</f>
        <v>0</v>
      </c>
      <c r="AV699" s="30" t="n">
        <f aca="false">MAX(AS699,0)*(Inputs!$B$17+Inputs!$B$18+Inputs!$B$19)+MAX(-AS699,0)*(O699+Inputs!$B$18+Inputs!$B$19)+IF(AND(K699=1,AP699&lt;&gt;0),(Inputs!$B$17+Inputs!$B$18+Inputs!$B$19)+(O699+Inputs!$B$18+Inputs!$B$19),0)+MAX(AU699,0)*(Inputs!$B$20+Inputs!$B$22+Inputs!$B$23)+MAX(-AU699,0)*(Inputs!$B$21+Inputs!$B$22+Inputs!$B$23)</f>
        <v>0</v>
      </c>
      <c r="AW699" s="30" t="n">
        <f aca="false">AP698*(M699-AR698*J699)+AP698*AR698*N699/Inputs!$B$16-AV699</f>
        <v>0</v>
      </c>
      <c r="AX699" s="30" t="n">
        <f aca="false">AW699-IF(AP698&lt;&gt;0,0.75*AR698*(Inputs!$B$13-N699)/Inputs!$B$16,0)</f>
        <v>0</v>
      </c>
      <c r="AY699" s="30" t="n">
        <f aca="false">MAX(AS699,0)*(Inputs!$B$17+Inputs!$B$18+Inputs!$B$19)+MAX(-AS699,0)*(O699+Inputs!$B$18+Inputs!$B$19)+IF(AND(K699=1,AP699&lt;&gt;0),(Inputs!$B$17+Inputs!$B$18+Inputs!$B$19)+(O699+Inputs!$B$18+Inputs!$B$19),0)</f>
        <v>0</v>
      </c>
      <c r="AZ699" s="30" t="n">
        <f aca="false">AP698*M699-AY699</f>
        <v>0</v>
      </c>
      <c r="BA699" s="32" t="n">
        <f aca="false">BA698+AI699</f>
        <v>0.0193300031983123</v>
      </c>
      <c r="BB699" s="30" t="n">
        <f aca="false">MAX(BB698,BA699)</f>
        <v>0.0261726191772394</v>
      </c>
      <c r="BC699" s="32" t="n">
        <f aca="false">BA699-BB699</f>
        <v>-0.00684261597892712</v>
      </c>
      <c r="BD699" s="30" t="n">
        <f aca="false">A700-A699</f>
        <v>1</v>
      </c>
    </row>
    <row r="700" customFormat="false" ht="15" hidden="false" customHeight="false" outlineLevel="0" collapsed="false">
      <c r="A700" s="28" t="n">
        <v>46070</v>
      </c>
      <c r="B700" s="0" t="n">
        <v>25736.5</v>
      </c>
      <c r="C700" s="0" t="n">
        <v>291.69</v>
      </c>
      <c r="D700" s="29" t="n">
        <f aca="false">LN(B700)</f>
        <v>10.1556654967687</v>
      </c>
      <c r="E700" s="29" t="n">
        <f aca="false">LN(C700)</f>
        <v>5.67569159448968</v>
      </c>
      <c r="F700" s="0" t="n">
        <v>695</v>
      </c>
      <c r="G700" s="0" t="n">
        <v>7</v>
      </c>
      <c r="H700" s="29" t="n">
        <f aca="false">D700-E700</f>
        <v>4.47997390227901</v>
      </c>
      <c r="I700" s="29" t="n">
        <f aca="false">D700-D699</f>
        <v>0.000330324789992176</v>
      </c>
      <c r="J700" s="29" t="n">
        <f aca="false">E700-E699</f>
        <v>0.00274640565364326</v>
      </c>
      <c r="K700" s="0" t="n">
        <v>0</v>
      </c>
      <c r="L700" s="0" t="n">
        <v>0</v>
      </c>
      <c r="M700" s="29" t="n">
        <f aca="false">IF(L700=1,J700-Carry!$B$9/Inputs!$B$16,I700)</f>
        <v>0.000330324789992176</v>
      </c>
      <c r="N700" s="0" t="n">
        <v>0.0525</v>
      </c>
      <c r="O700" s="0" t="n">
        <v>0.0002</v>
      </c>
      <c r="P700" s="29" t="n">
        <f aca="false">D700-('2 Hedge ratio'!$B$6+'2 Hedge ratio'!$B$5*E700)</f>
        <v>-0.00580753152318358</v>
      </c>
      <c r="Q700" s="29" t="n">
        <f aca="false">D700-('5 Re-specification'!$B$7+'5 Re-specification'!$B$5*E700+'5 Re-specification'!$B$6*F700)</f>
        <v>-0.00280105909425998</v>
      </c>
      <c r="R700" s="30" t="n">
        <f aca="false">MIN(F700,Inputs!$B$9)</f>
        <v>250</v>
      </c>
      <c r="S700" s="29" t="n">
        <f aca="true">IF(AND(F700&gt;=1,R700&gt;=Inputs!$B$10),INDEX(LINEST(OFFSET(D700,-R700,0,R700,1),OFFSET(E700,-R700,0,R700,2)),1,1),"")</f>
        <v>-6.68605083773689E-005</v>
      </c>
      <c r="T700" s="29" t="n">
        <f aca="true">IF(AND(F700&gt;=1,R700&gt;=Inputs!$B$10),INDEX(LINEST(OFFSET(D700,-R700,0,R700,1),OFFSET(E700,-R700,0,R700,2)),1,2),"")</f>
        <v>1.02464635894016</v>
      </c>
      <c r="U700" s="29" t="n">
        <f aca="true">IF(AND(F700&gt;=1,R700&gt;=Inputs!$B$10),INDEX(LINEST(OFFSET(D700,-R700,0,R700,1),OFFSET(E700,-R700,0,R700,2)),1,3),"")</f>
        <v>4.38800472994618</v>
      </c>
      <c r="V700" s="29" t="n">
        <f aca="true">IF(AND(F700&gt;=1,R700&gt;=Inputs!$B$10),SQRT(SUMPRODUCT((OFFSET(D700,-R700,0,R700,1)-U700-T700*OFFSET(E700,-R700,0,R700,1)-S700*OFFSET(F700,-R700,0,R700,1))^2)/(R700-3)),"")</f>
        <v>0.00227184193017736</v>
      </c>
      <c r="W700" s="31" t="n">
        <f aca="false">IF(AND(F700&gt;=1,R700&gt;=Inputs!$B$10),(D700-U700-T700*E700-S700*F700)/V700,"")</f>
        <v>-0.637327182458952</v>
      </c>
      <c r="X700" s="30" t="n">
        <f aca="false">IF(AB699&lt;&gt;0,AC699+1,0)</f>
        <v>0</v>
      </c>
      <c r="Y700" s="30" t="n">
        <f aca="false">IF(W700="",0,IF(AND(AB699&lt;&gt;0,OR(ABS(W700)&gt;Inputs!$B$7,X700&gt;=Inputs!$B$8,ABS(W700)&lt;Inputs!$B$6)),1,0))</f>
        <v>0</v>
      </c>
      <c r="Z700" s="30" t="n">
        <f aca="false">IF(Y700=1,0,AB699)</f>
        <v>0</v>
      </c>
      <c r="AA700" s="30" t="n">
        <f aca="false">IF(W700="",0,IF(AND(Z700=0,ABS(W700)&gt;Inputs!$B$5,ABS(W700)&lt;=Inputs!$B$7),1,0))</f>
        <v>0</v>
      </c>
      <c r="AB700" s="30" t="n">
        <f aca="false">IF(W700="",0,IF(AA700=1,-SIGN(W700),Z700))</f>
        <v>0</v>
      </c>
      <c r="AC700" s="30" t="n">
        <f aca="false">IF(W700="",0,IF(AA700=1,0,IF(Y700=1,0,X700)))</f>
        <v>0</v>
      </c>
      <c r="AD700" s="30" t="n">
        <f aca="false">IF(AB700=0,0,IF(AB699=AB700,AD699,T700))</f>
        <v>0</v>
      </c>
      <c r="AE700" s="30" t="n">
        <f aca="false">AB700-AB699</f>
        <v>0</v>
      </c>
      <c r="AF700" s="30" t="n">
        <f aca="false">-AD700*AB700</f>
        <v>-0</v>
      </c>
      <c r="AG700" s="30" t="n">
        <f aca="false">AF700-AF699</f>
        <v>0</v>
      </c>
      <c r="AH700" s="30" t="n">
        <f aca="false">MAX(AE700,0)*(Inputs!$B$17+Inputs!$B$18+Inputs!$B$19)+MAX(-AE700,0)*(O700+Inputs!$B$18+Inputs!$B$19)+IF(AND(K700=1,AB700&lt;&gt;0),(Inputs!$B$17+Inputs!$B$18+Inputs!$B$19)+(O700+Inputs!$B$18+Inputs!$B$19),0)+MAX(AG700,0)*(Inputs!$B$20+Inputs!$B$22+Inputs!$B$23)+MAX(-AG700,0)*(Inputs!$B$21+Inputs!$B$22+Inputs!$B$23)</f>
        <v>0</v>
      </c>
      <c r="AI700" s="30" t="n">
        <f aca="false">AB699*(M700-AD699*J700)+AB699*AD699*N700/Inputs!$B$16-AH700</f>
        <v>0</v>
      </c>
      <c r="AJ700" s="30" t="n">
        <f aca="false">MAX(AE700,0)*(Inputs!$B$17+Inputs!$B$24+Inputs!$B$25)+MAX(-AE700,0)*(O700+Inputs!$B$24+Inputs!$B$25)+IF(AND(K700=1,AB700&lt;&gt;0),(Inputs!$B$17+Inputs!$B$24+Inputs!$B$25)+(O700+Inputs!$B$24+Inputs!$B$25),0)+MAX(AG700,0)*(Inputs!$B$20+Inputs!$B$26+Inputs!$B$27)+MAX(-AG700,0)*(Inputs!$B$21+Inputs!$B$26+Inputs!$B$27)</f>
        <v>0</v>
      </c>
      <c r="AK700" s="30" t="n">
        <f aca="false">AB699*(M700-AD699*J700)+AB699*AD699*(N700+Inputs!$B$14)/Inputs!$B$16-AJ700</f>
        <v>0</v>
      </c>
      <c r="AL700" s="30" t="n">
        <f aca="false">IF(AP699&lt;&gt;0,AQ699+1,0)</f>
        <v>0</v>
      </c>
      <c r="AM700" s="30" t="n">
        <f aca="false">IF(W700="",0,IF(AND(AP699&lt;&gt;0,OR(ABS(W700)&gt;Inputs!$B$7,AL700&gt;=Inputs!$B$8,ABS(W700)&lt;Inputs!$B$6)),1,0))</f>
        <v>0</v>
      </c>
      <c r="AN700" s="30" t="n">
        <f aca="false">IF(AM700=1,0,AP699)</f>
        <v>0</v>
      </c>
      <c r="AO700" s="30" t="n">
        <f aca="false">IF(W700="",0,IF(AND(AN700=0,ABS(W700)&gt;Inputs!$B$5,ABS(W700)&lt;=Inputs!$B$7,W700&gt;0),1,0))</f>
        <v>0</v>
      </c>
      <c r="AP700" s="30" t="n">
        <f aca="false">IF(W700="",0,IF(AO700=1,-SIGN(W700),AN700))</f>
        <v>0</v>
      </c>
      <c r="AQ700" s="30" t="n">
        <f aca="false">IF(W700="",0,IF(AO700=1,0,IF(AM700=1,0,AL700)))</f>
        <v>0</v>
      </c>
      <c r="AR700" s="30" t="n">
        <f aca="false">IF(AP700=0,0,IF(AP699=AP700,AR699,T700))</f>
        <v>0</v>
      </c>
      <c r="AS700" s="30" t="n">
        <f aca="false">AP700-AP699</f>
        <v>0</v>
      </c>
      <c r="AT700" s="30" t="n">
        <f aca="false">-AR700*AP700</f>
        <v>-0</v>
      </c>
      <c r="AU700" s="30" t="n">
        <f aca="false">AT700-AT699</f>
        <v>0</v>
      </c>
      <c r="AV700" s="30" t="n">
        <f aca="false">MAX(AS700,0)*(Inputs!$B$17+Inputs!$B$18+Inputs!$B$19)+MAX(-AS700,0)*(O700+Inputs!$B$18+Inputs!$B$19)+IF(AND(K700=1,AP700&lt;&gt;0),(Inputs!$B$17+Inputs!$B$18+Inputs!$B$19)+(O700+Inputs!$B$18+Inputs!$B$19),0)+MAX(AU700,0)*(Inputs!$B$20+Inputs!$B$22+Inputs!$B$23)+MAX(-AU700,0)*(Inputs!$B$21+Inputs!$B$22+Inputs!$B$23)</f>
        <v>0</v>
      </c>
      <c r="AW700" s="30" t="n">
        <f aca="false">AP699*(M700-AR699*J700)+AP699*AR699*N700/Inputs!$B$16-AV700</f>
        <v>0</v>
      </c>
      <c r="AX700" s="30" t="n">
        <f aca="false">AW700-IF(AP699&lt;&gt;0,0.75*AR699*(Inputs!$B$13-N700)/Inputs!$B$16,0)</f>
        <v>0</v>
      </c>
      <c r="AY700" s="30" t="n">
        <f aca="false">MAX(AS700,0)*(Inputs!$B$17+Inputs!$B$18+Inputs!$B$19)+MAX(-AS700,0)*(O700+Inputs!$B$18+Inputs!$B$19)+IF(AND(K700=1,AP700&lt;&gt;0),(Inputs!$B$17+Inputs!$B$18+Inputs!$B$19)+(O700+Inputs!$B$18+Inputs!$B$19),0)</f>
        <v>0</v>
      </c>
      <c r="AZ700" s="30" t="n">
        <f aca="false">AP699*M700-AY700</f>
        <v>0</v>
      </c>
      <c r="BA700" s="32" t="n">
        <f aca="false">BA699+AI700</f>
        <v>0.0193300031983123</v>
      </c>
      <c r="BB700" s="30" t="n">
        <f aca="false">MAX(BB699,BA700)</f>
        <v>0.0261726191772394</v>
      </c>
      <c r="BC700" s="32" t="n">
        <f aca="false">BA700-BB700</f>
        <v>-0.00684261597892712</v>
      </c>
      <c r="BD700" s="30" t="n">
        <f aca="false">A701-A700</f>
        <v>1</v>
      </c>
    </row>
    <row r="701" customFormat="false" ht="15" hidden="false" customHeight="false" outlineLevel="0" collapsed="false">
      <c r="A701" s="28" t="n">
        <v>46071</v>
      </c>
      <c r="B701" s="0" t="n">
        <v>25825</v>
      </c>
      <c r="C701" s="0" t="n">
        <v>292.06</v>
      </c>
      <c r="D701" s="29" t="n">
        <f aca="false">LN(B701)</f>
        <v>10.1590982939878</v>
      </c>
      <c r="E701" s="29" t="n">
        <f aca="false">LN(C701)</f>
        <v>5.67695926061233</v>
      </c>
      <c r="F701" s="0" t="n">
        <v>696</v>
      </c>
      <c r="G701" s="0" t="n">
        <v>6</v>
      </c>
      <c r="H701" s="29" t="n">
        <f aca="false">D701-E701</f>
        <v>4.48213903337551</v>
      </c>
      <c r="I701" s="29" t="n">
        <f aca="false">D701-D700</f>
        <v>0.00343279721915302</v>
      </c>
      <c r="J701" s="29" t="n">
        <f aca="false">E701-E700</f>
        <v>0.00126766612264984</v>
      </c>
      <c r="K701" s="0" t="n">
        <v>0</v>
      </c>
      <c r="L701" s="0" t="n">
        <v>0</v>
      </c>
      <c r="M701" s="29" t="n">
        <f aca="false">IF(L701=1,J701-Carry!$B$9/Inputs!$B$16,I701)</f>
        <v>0.00343279721915302</v>
      </c>
      <c r="N701" s="0" t="n">
        <v>0.0525</v>
      </c>
      <c r="O701" s="0" t="n">
        <v>0.0002</v>
      </c>
      <c r="P701" s="29" t="n">
        <f aca="false">D701-('2 Hedge ratio'!$B$6+'2 Hedge ratio'!$B$5*E701)</f>
        <v>-0.0035360771607813</v>
      </c>
      <c r="Q701" s="29" t="n">
        <f aca="false">D701-('5 Re-specification'!$B$7+'5 Re-specification'!$B$5*E701+'5 Re-specification'!$B$6*F701)</f>
        <v>-0.000587157017449158</v>
      </c>
      <c r="R701" s="30" t="n">
        <f aca="false">MIN(F701,Inputs!$B$9)</f>
        <v>250</v>
      </c>
      <c r="S701" s="29" t="n">
        <f aca="true">IF(AND(F701&gt;=1,R701&gt;=Inputs!$B$10),INDEX(LINEST(OFFSET(D701,-R701,0,R701,1),OFFSET(E701,-R701,0,R701,2)),1,1),"")</f>
        <v>-6.72244006985405E-005</v>
      </c>
      <c r="T701" s="29" t="n">
        <f aca="true">IF(AND(F701&gt;=1,R701&gt;=Inputs!$B$10),INDEX(LINEST(OFFSET(D701,-R701,0,R701,1),OFFSET(E701,-R701,0,R701,2)),1,2),"")</f>
        <v>1.02483232457492</v>
      </c>
      <c r="U701" s="29" t="n">
        <f aca="true">IF(AND(F701&gt;=1,R701&gt;=Inputs!$B$10),INDEX(LINEST(OFFSET(D701,-R701,0,R701,1),OFFSET(E701,-R701,0,R701,2)),1,3),"")</f>
        <v>4.38716385257995</v>
      </c>
      <c r="V701" s="29" t="n">
        <f aca="true">IF(AND(F701&gt;=1,R701&gt;=Inputs!$B$10),SQRT(SUMPRODUCT((OFFSET(D701,-R701,0,R701,1)-U701-T701*OFFSET(E701,-R701,0,R701,1)-S701*OFFSET(F701,-R701,0,R701,1))^2)/(R701-3)),"")</f>
        <v>0.00227216288395198</v>
      </c>
      <c r="W701" s="31" t="n">
        <f aca="false">IF(AND(F701&gt;=1,R701&gt;=Inputs!$B$10),(D701-U701-T701*E701-S701*F701)/V701,"")</f>
        <v>0.348244718383872</v>
      </c>
      <c r="X701" s="30" t="n">
        <f aca="false">IF(AB700&lt;&gt;0,AC700+1,0)</f>
        <v>0</v>
      </c>
      <c r="Y701" s="30" t="n">
        <f aca="false">IF(W701="",0,IF(AND(AB700&lt;&gt;0,OR(ABS(W701)&gt;Inputs!$B$7,X701&gt;=Inputs!$B$8,ABS(W701)&lt;Inputs!$B$6)),1,0))</f>
        <v>0</v>
      </c>
      <c r="Z701" s="30" t="n">
        <f aca="false">IF(Y701=1,0,AB700)</f>
        <v>0</v>
      </c>
      <c r="AA701" s="30" t="n">
        <f aca="false">IF(W701="",0,IF(AND(Z701=0,ABS(W701)&gt;Inputs!$B$5,ABS(W701)&lt;=Inputs!$B$7),1,0))</f>
        <v>0</v>
      </c>
      <c r="AB701" s="30" t="n">
        <f aca="false">IF(W701="",0,IF(AA701=1,-SIGN(W701),Z701))</f>
        <v>0</v>
      </c>
      <c r="AC701" s="30" t="n">
        <f aca="false">IF(W701="",0,IF(AA701=1,0,IF(Y701=1,0,X701)))</f>
        <v>0</v>
      </c>
      <c r="AD701" s="30" t="n">
        <f aca="false">IF(AB701=0,0,IF(AB700=AB701,AD700,T701))</f>
        <v>0</v>
      </c>
      <c r="AE701" s="30" t="n">
        <f aca="false">AB701-AB700</f>
        <v>0</v>
      </c>
      <c r="AF701" s="30" t="n">
        <f aca="false">-AD701*AB701</f>
        <v>-0</v>
      </c>
      <c r="AG701" s="30" t="n">
        <f aca="false">AF701-AF700</f>
        <v>0</v>
      </c>
      <c r="AH701" s="30" t="n">
        <f aca="false">MAX(AE701,0)*(Inputs!$B$17+Inputs!$B$18+Inputs!$B$19)+MAX(-AE701,0)*(O701+Inputs!$B$18+Inputs!$B$19)+IF(AND(K701=1,AB701&lt;&gt;0),(Inputs!$B$17+Inputs!$B$18+Inputs!$B$19)+(O701+Inputs!$B$18+Inputs!$B$19),0)+MAX(AG701,0)*(Inputs!$B$20+Inputs!$B$22+Inputs!$B$23)+MAX(-AG701,0)*(Inputs!$B$21+Inputs!$B$22+Inputs!$B$23)</f>
        <v>0</v>
      </c>
      <c r="AI701" s="30" t="n">
        <f aca="false">AB700*(M701-AD700*J701)+AB700*AD700*N701/Inputs!$B$16-AH701</f>
        <v>0</v>
      </c>
      <c r="AJ701" s="30" t="n">
        <f aca="false">MAX(AE701,0)*(Inputs!$B$17+Inputs!$B$24+Inputs!$B$25)+MAX(-AE701,0)*(O701+Inputs!$B$24+Inputs!$B$25)+IF(AND(K701=1,AB701&lt;&gt;0),(Inputs!$B$17+Inputs!$B$24+Inputs!$B$25)+(O701+Inputs!$B$24+Inputs!$B$25),0)+MAX(AG701,0)*(Inputs!$B$20+Inputs!$B$26+Inputs!$B$27)+MAX(-AG701,0)*(Inputs!$B$21+Inputs!$B$26+Inputs!$B$27)</f>
        <v>0</v>
      </c>
      <c r="AK701" s="30" t="n">
        <f aca="false">AB700*(M701-AD700*J701)+AB700*AD700*(N701+Inputs!$B$14)/Inputs!$B$16-AJ701</f>
        <v>0</v>
      </c>
      <c r="AL701" s="30" t="n">
        <f aca="false">IF(AP700&lt;&gt;0,AQ700+1,0)</f>
        <v>0</v>
      </c>
      <c r="AM701" s="30" t="n">
        <f aca="false">IF(W701="",0,IF(AND(AP700&lt;&gt;0,OR(ABS(W701)&gt;Inputs!$B$7,AL701&gt;=Inputs!$B$8,ABS(W701)&lt;Inputs!$B$6)),1,0))</f>
        <v>0</v>
      </c>
      <c r="AN701" s="30" t="n">
        <f aca="false">IF(AM701=1,0,AP700)</f>
        <v>0</v>
      </c>
      <c r="AO701" s="30" t="n">
        <f aca="false">IF(W701="",0,IF(AND(AN701=0,ABS(W701)&gt;Inputs!$B$5,ABS(W701)&lt;=Inputs!$B$7,W701&gt;0),1,0))</f>
        <v>0</v>
      </c>
      <c r="AP701" s="30" t="n">
        <f aca="false">IF(W701="",0,IF(AO701=1,-SIGN(W701),AN701))</f>
        <v>0</v>
      </c>
      <c r="AQ701" s="30" t="n">
        <f aca="false">IF(W701="",0,IF(AO701=1,0,IF(AM701=1,0,AL701)))</f>
        <v>0</v>
      </c>
      <c r="AR701" s="30" t="n">
        <f aca="false">IF(AP701=0,0,IF(AP700=AP701,AR700,T701))</f>
        <v>0</v>
      </c>
      <c r="AS701" s="30" t="n">
        <f aca="false">AP701-AP700</f>
        <v>0</v>
      </c>
      <c r="AT701" s="30" t="n">
        <f aca="false">-AR701*AP701</f>
        <v>-0</v>
      </c>
      <c r="AU701" s="30" t="n">
        <f aca="false">AT701-AT700</f>
        <v>0</v>
      </c>
      <c r="AV701" s="30" t="n">
        <f aca="false">MAX(AS701,0)*(Inputs!$B$17+Inputs!$B$18+Inputs!$B$19)+MAX(-AS701,0)*(O701+Inputs!$B$18+Inputs!$B$19)+IF(AND(K701=1,AP701&lt;&gt;0),(Inputs!$B$17+Inputs!$B$18+Inputs!$B$19)+(O701+Inputs!$B$18+Inputs!$B$19),0)+MAX(AU701,0)*(Inputs!$B$20+Inputs!$B$22+Inputs!$B$23)+MAX(-AU701,0)*(Inputs!$B$21+Inputs!$B$22+Inputs!$B$23)</f>
        <v>0</v>
      </c>
      <c r="AW701" s="30" t="n">
        <f aca="false">AP700*(M701-AR700*J701)+AP700*AR700*N701/Inputs!$B$16-AV701</f>
        <v>0</v>
      </c>
      <c r="AX701" s="30" t="n">
        <f aca="false">AW701-IF(AP700&lt;&gt;0,0.75*AR700*(Inputs!$B$13-N701)/Inputs!$B$16,0)</f>
        <v>0</v>
      </c>
      <c r="AY701" s="30" t="n">
        <f aca="false">MAX(AS701,0)*(Inputs!$B$17+Inputs!$B$18+Inputs!$B$19)+MAX(-AS701,0)*(O701+Inputs!$B$18+Inputs!$B$19)+IF(AND(K701=1,AP701&lt;&gt;0),(Inputs!$B$17+Inputs!$B$18+Inputs!$B$19)+(O701+Inputs!$B$18+Inputs!$B$19),0)</f>
        <v>0</v>
      </c>
      <c r="AZ701" s="30" t="n">
        <f aca="false">AP700*M701-AY701</f>
        <v>0</v>
      </c>
      <c r="BA701" s="32" t="n">
        <f aca="false">BA700+AI701</f>
        <v>0.0193300031983123</v>
      </c>
      <c r="BB701" s="30" t="n">
        <f aca="false">MAX(BB700,BA701)</f>
        <v>0.0261726191772394</v>
      </c>
      <c r="BC701" s="32" t="n">
        <f aca="false">BA701-BB701</f>
        <v>-0.00684261597892712</v>
      </c>
      <c r="BD701" s="30" t="n">
        <f aca="false">A702-A701</f>
        <v>1</v>
      </c>
    </row>
    <row r="702" customFormat="false" ht="15" hidden="false" customHeight="false" outlineLevel="0" collapsed="false">
      <c r="A702" s="28" t="n">
        <v>46072</v>
      </c>
      <c r="B702" s="0" t="n">
        <v>25410</v>
      </c>
      <c r="C702" s="0" t="n">
        <v>288.1</v>
      </c>
      <c r="D702" s="29" t="n">
        <f aca="false">LN(B702)</f>
        <v>10.1428980763142</v>
      </c>
      <c r="E702" s="29" t="n">
        <f aca="false">LN(C702)</f>
        <v>5.66330764209048</v>
      </c>
      <c r="F702" s="0" t="n">
        <v>697</v>
      </c>
      <c r="G702" s="0" t="n">
        <v>5</v>
      </c>
      <c r="H702" s="29" t="n">
        <f aca="false">D702-E702</f>
        <v>4.47959043422373</v>
      </c>
      <c r="I702" s="29" t="n">
        <f aca="false">D702-D701</f>
        <v>-0.0162002176736298</v>
      </c>
      <c r="J702" s="29" t="n">
        <f aca="false">E702-E701</f>
        <v>-0.0136516185218429</v>
      </c>
      <c r="K702" s="0" t="n">
        <v>0</v>
      </c>
      <c r="L702" s="0" t="n">
        <v>0</v>
      </c>
      <c r="M702" s="29" t="n">
        <f aca="false">IF(L702=1,J702-Carry!$B$9/Inputs!$B$16,I702)</f>
        <v>-0.0162002176736298</v>
      </c>
      <c r="N702" s="0" t="n">
        <v>0.0525</v>
      </c>
      <c r="O702" s="0" t="n">
        <v>0.0002</v>
      </c>
      <c r="P702" s="29" t="n">
        <f aca="false">D702-('2 Hedge ratio'!$B$6+'2 Hedge ratio'!$B$5*E702)</f>
        <v>-0.0072296817995241</v>
      </c>
      <c r="Q702" s="29" t="n">
        <f aca="false">D702-('5 Re-specification'!$B$7+'5 Re-specification'!$B$5*E702+'5 Re-specification'!$B$6*F702)</f>
        <v>-0.00313219808135834</v>
      </c>
      <c r="R702" s="30" t="n">
        <f aca="false">MIN(F702,Inputs!$B$9)</f>
        <v>250</v>
      </c>
      <c r="S702" s="29" t="n">
        <f aca="true">IF(AND(F702&gt;=1,R702&gt;=Inputs!$B$10),INDEX(LINEST(OFFSET(D702,-R702,0,R702,1),OFFSET(E702,-R702,0,R702,2)),1,1),"")</f>
        <v>-6.71300910264662E-005</v>
      </c>
      <c r="T702" s="29" t="n">
        <f aca="true">IF(AND(F702&gt;=1,R702&gt;=Inputs!$B$10),INDEX(LINEST(OFFSET(D702,-R702,0,R702,1),OFFSET(E702,-R702,0,R702,2)),1,2),"")</f>
        <v>1.02455315800318</v>
      </c>
      <c r="U702" s="29" t="n">
        <f aca="true">IF(AND(F702&gt;=1,R702&gt;=Inputs!$B$10),INDEX(LINEST(OFFSET(D702,-R702,0,R702,1),OFFSET(E702,-R702,0,R702,2)),1,3),"")</f>
        <v>4.38869173775261</v>
      </c>
      <c r="V702" s="29" t="n">
        <f aca="true">IF(AND(F702&gt;=1,R702&gt;=Inputs!$B$10),SQRT(SUMPRODUCT((OFFSET(D702,-R702,0,R702,1)-U702-T702*OFFSET(E702,-R702,0,R702,1)-S702*OFFSET(F702,-R702,0,R702,1))^2)/(R702-3)),"")</f>
        <v>0.00227098522960261</v>
      </c>
      <c r="W702" s="31" t="n">
        <f aca="false">IF(AND(F702&gt;=1,R702&gt;=Inputs!$B$10),(D702-U702-T702*E702-S702*F702)/V702,"")</f>
        <v>-0.600495953270478</v>
      </c>
      <c r="X702" s="30" t="n">
        <f aca="false">IF(AB701&lt;&gt;0,AC701+1,0)</f>
        <v>0</v>
      </c>
      <c r="Y702" s="30" t="n">
        <f aca="false">IF(W702="",0,IF(AND(AB701&lt;&gt;0,OR(ABS(W702)&gt;Inputs!$B$7,X702&gt;=Inputs!$B$8,ABS(W702)&lt;Inputs!$B$6)),1,0))</f>
        <v>0</v>
      </c>
      <c r="Z702" s="30" t="n">
        <f aca="false">IF(Y702=1,0,AB701)</f>
        <v>0</v>
      </c>
      <c r="AA702" s="30" t="n">
        <f aca="false">IF(W702="",0,IF(AND(Z702=0,ABS(W702)&gt;Inputs!$B$5,ABS(W702)&lt;=Inputs!$B$7),1,0))</f>
        <v>0</v>
      </c>
      <c r="AB702" s="30" t="n">
        <f aca="false">IF(W702="",0,IF(AA702=1,-SIGN(W702),Z702))</f>
        <v>0</v>
      </c>
      <c r="AC702" s="30" t="n">
        <f aca="false">IF(W702="",0,IF(AA702=1,0,IF(Y702=1,0,X702)))</f>
        <v>0</v>
      </c>
      <c r="AD702" s="30" t="n">
        <f aca="false">IF(AB702=0,0,IF(AB701=AB702,AD701,T702))</f>
        <v>0</v>
      </c>
      <c r="AE702" s="30" t="n">
        <f aca="false">AB702-AB701</f>
        <v>0</v>
      </c>
      <c r="AF702" s="30" t="n">
        <f aca="false">-AD702*AB702</f>
        <v>-0</v>
      </c>
      <c r="AG702" s="30" t="n">
        <f aca="false">AF702-AF701</f>
        <v>0</v>
      </c>
      <c r="AH702" s="30" t="n">
        <f aca="false">MAX(AE702,0)*(Inputs!$B$17+Inputs!$B$18+Inputs!$B$19)+MAX(-AE702,0)*(O702+Inputs!$B$18+Inputs!$B$19)+IF(AND(K702=1,AB702&lt;&gt;0),(Inputs!$B$17+Inputs!$B$18+Inputs!$B$19)+(O702+Inputs!$B$18+Inputs!$B$19),0)+MAX(AG702,0)*(Inputs!$B$20+Inputs!$B$22+Inputs!$B$23)+MAX(-AG702,0)*(Inputs!$B$21+Inputs!$B$22+Inputs!$B$23)</f>
        <v>0</v>
      </c>
      <c r="AI702" s="30" t="n">
        <f aca="false">AB701*(M702-AD701*J702)+AB701*AD701*N702/Inputs!$B$16-AH702</f>
        <v>0</v>
      </c>
      <c r="AJ702" s="30" t="n">
        <f aca="false">MAX(AE702,0)*(Inputs!$B$17+Inputs!$B$24+Inputs!$B$25)+MAX(-AE702,0)*(O702+Inputs!$B$24+Inputs!$B$25)+IF(AND(K702=1,AB702&lt;&gt;0),(Inputs!$B$17+Inputs!$B$24+Inputs!$B$25)+(O702+Inputs!$B$24+Inputs!$B$25),0)+MAX(AG702,0)*(Inputs!$B$20+Inputs!$B$26+Inputs!$B$27)+MAX(-AG702,0)*(Inputs!$B$21+Inputs!$B$26+Inputs!$B$27)</f>
        <v>0</v>
      </c>
      <c r="AK702" s="30" t="n">
        <f aca="false">AB701*(M702-AD701*J702)+AB701*AD701*(N702+Inputs!$B$14)/Inputs!$B$16-AJ702</f>
        <v>0</v>
      </c>
      <c r="AL702" s="30" t="n">
        <f aca="false">IF(AP701&lt;&gt;0,AQ701+1,0)</f>
        <v>0</v>
      </c>
      <c r="AM702" s="30" t="n">
        <f aca="false">IF(W702="",0,IF(AND(AP701&lt;&gt;0,OR(ABS(W702)&gt;Inputs!$B$7,AL702&gt;=Inputs!$B$8,ABS(W702)&lt;Inputs!$B$6)),1,0))</f>
        <v>0</v>
      </c>
      <c r="AN702" s="30" t="n">
        <f aca="false">IF(AM702=1,0,AP701)</f>
        <v>0</v>
      </c>
      <c r="AO702" s="30" t="n">
        <f aca="false">IF(W702="",0,IF(AND(AN702=0,ABS(W702)&gt;Inputs!$B$5,ABS(W702)&lt;=Inputs!$B$7,W702&gt;0),1,0))</f>
        <v>0</v>
      </c>
      <c r="AP702" s="30" t="n">
        <f aca="false">IF(W702="",0,IF(AO702=1,-SIGN(W702),AN702))</f>
        <v>0</v>
      </c>
      <c r="AQ702" s="30" t="n">
        <f aca="false">IF(W702="",0,IF(AO702=1,0,IF(AM702=1,0,AL702)))</f>
        <v>0</v>
      </c>
      <c r="AR702" s="30" t="n">
        <f aca="false">IF(AP702=0,0,IF(AP701=AP702,AR701,T702))</f>
        <v>0</v>
      </c>
      <c r="AS702" s="30" t="n">
        <f aca="false">AP702-AP701</f>
        <v>0</v>
      </c>
      <c r="AT702" s="30" t="n">
        <f aca="false">-AR702*AP702</f>
        <v>-0</v>
      </c>
      <c r="AU702" s="30" t="n">
        <f aca="false">AT702-AT701</f>
        <v>0</v>
      </c>
      <c r="AV702" s="30" t="n">
        <f aca="false">MAX(AS702,0)*(Inputs!$B$17+Inputs!$B$18+Inputs!$B$19)+MAX(-AS702,0)*(O702+Inputs!$B$18+Inputs!$B$19)+IF(AND(K702=1,AP702&lt;&gt;0),(Inputs!$B$17+Inputs!$B$18+Inputs!$B$19)+(O702+Inputs!$B$18+Inputs!$B$19),0)+MAX(AU702,0)*(Inputs!$B$20+Inputs!$B$22+Inputs!$B$23)+MAX(-AU702,0)*(Inputs!$B$21+Inputs!$B$22+Inputs!$B$23)</f>
        <v>0</v>
      </c>
      <c r="AW702" s="30" t="n">
        <f aca="false">AP701*(M702-AR701*J702)+AP701*AR701*N702/Inputs!$B$16-AV702</f>
        <v>0</v>
      </c>
      <c r="AX702" s="30" t="n">
        <f aca="false">AW702-IF(AP701&lt;&gt;0,0.75*AR701*(Inputs!$B$13-N702)/Inputs!$B$16,0)</f>
        <v>0</v>
      </c>
      <c r="AY702" s="30" t="n">
        <f aca="false">MAX(AS702,0)*(Inputs!$B$17+Inputs!$B$18+Inputs!$B$19)+MAX(-AS702,0)*(O702+Inputs!$B$18+Inputs!$B$19)+IF(AND(K702=1,AP702&lt;&gt;0),(Inputs!$B$17+Inputs!$B$18+Inputs!$B$19)+(O702+Inputs!$B$18+Inputs!$B$19),0)</f>
        <v>0</v>
      </c>
      <c r="AZ702" s="30" t="n">
        <f aca="false">AP701*M702-AY702</f>
        <v>-0</v>
      </c>
      <c r="BA702" s="32" t="n">
        <f aca="false">BA701+AI702</f>
        <v>0.0193300031983123</v>
      </c>
      <c r="BB702" s="30" t="n">
        <f aca="false">MAX(BB701,BA702)</f>
        <v>0.0261726191772394</v>
      </c>
      <c r="BC702" s="32" t="n">
        <f aca="false">BA702-BB702</f>
        <v>-0.00684261597892712</v>
      </c>
      <c r="BD702" s="30" t="n">
        <f aca="false">A703-A702</f>
        <v>1</v>
      </c>
    </row>
    <row r="703" customFormat="false" ht="15" hidden="false" customHeight="false" outlineLevel="0" collapsed="false">
      <c r="A703" s="28" t="n">
        <v>46073</v>
      </c>
      <c r="B703" s="0" t="n">
        <v>25578.1</v>
      </c>
      <c r="C703" s="0" t="n">
        <v>289.08</v>
      </c>
      <c r="D703" s="29" t="n">
        <f aca="false">LN(B703)</f>
        <v>10.1494917955954</v>
      </c>
      <c r="E703" s="29" t="n">
        <f aca="false">LN(C703)</f>
        <v>5.66670346641478</v>
      </c>
      <c r="F703" s="0" t="n">
        <v>698</v>
      </c>
      <c r="G703" s="0" t="n">
        <v>4</v>
      </c>
      <c r="H703" s="29" t="n">
        <f aca="false">D703-E703</f>
        <v>4.48278832918066</v>
      </c>
      <c r="I703" s="29" t="n">
        <f aca="false">D703-D702</f>
        <v>0.0065937192812342</v>
      </c>
      <c r="J703" s="29" t="n">
        <f aca="false">E703-E702</f>
        <v>0.00339582432429797</v>
      </c>
      <c r="K703" s="0" t="n">
        <v>0</v>
      </c>
      <c r="L703" s="0" t="n">
        <v>0</v>
      </c>
      <c r="M703" s="29" t="n">
        <f aca="false">IF(L703=1,J703-Carry!$B$9/Inputs!$B$16,I703)</f>
        <v>0.0065937192812342</v>
      </c>
      <c r="N703" s="0" t="n">
        <v>0.0525</v>
      </c>
      <c r="O703" s="0" t="n">
        <v>0.0002</v>
      </c>
      <c r="P703" s="29" t="n">
        <f aca="false">D703-('2 Hedge ratio'!$B$6+'2 Hedge ratio'!$B$5*E703)</f>
        <v>-0.00374696805147856</v>
      </c>
      <c r="Q703" s="29" t="n">
        <f aca="false">D703-('5 Re-specification'!$B$7+'5 Re-specification'!$B$5*E703+'5 Re-specification'!$B$6*F703)</f>
        <v>0.000120917239360807</v>
      </c>
      <c r="R703" s="30" t="n">
        <f aca="false">MIN(F703,Inputs!$B$9)</f>
        <v>250</v>
      </c>
      <c r="S703" s="29" t="n">
        <f aca="true">IF(AND(F703&gt;=1,R703&gt;=Inputs!$B$10),INDEX(LINEST(OFFSET(D703,-R703,0,R703,1),OFFSET(E703,-R703,0,R703,2)),1,1),"")</f>
        <v>-6.74990755644749E-005</v>
      </c>
      <c r="T703" s="29" t="n">
        <f aca="true">IF(AND(F703&gt;=1,R703&gt;=Inputs!$B$10),INDEX(LINEST(OFFSET(D703,-R703,0,R703,1),OFFSET(E703,-R703,0,R703,2)),1,2),"")</f>
        <v>1.02474510134857</v>
      </c>
      <c r="U703" s="29" t="n">
        <f aca="true">IF(AND(F703&gt;=1,R703&gt;=Inputs!$B$10),INDEX(LINEST(OFFSET(D703,-R703,0,R703,1),OFFSET(E703,-R703,0,R703,2)),1,3),"")</f>
        <v>4.38782146016498</v>
      </c>
      <c r="V703" s="29" t="n">
        <f aca="true">IF(AND(F703&gt;=1,R703&gt;=Inputs!$B$10),SQRT(SUMPRODUCT((OFFSET(D703,-R703,0,R703,1)-U703-T703*OFFSET(E703,-R703,0,R703,1)-S703*OFFSET(F703,-R703,0,R703,1))^2)/(R703-3)),"")</f>
        <v>0.00227080357136605</v>
      </c>
      <c r="W703" s="31" t="n">
        <f aca="false">IF(AND(F703&gt;=1,R703&gt;=Inputs!$B$10),(D703-U703-T703*E703-S703*F703)/V703,"")</f>
        <v>0.818244340639934</v>
      </c>
      <c r="X703" s="30" t="n">
        <f aca="false">IF(AB702&lt;&gt;0,AC702+1,0)</f>
        <v>0</v>
      </c>
      <c r="Y703" s="30" t="n">
        <f aca="false">IF(W703="",0,IF(AND(AB702&lt;&gt;0,OR(ABS(W703)&gt;Inputs!$B$7,X703&gt;=Inputs!$B$8,ABS(W703)&lt;Inputs!$B$6)),1,0))</f>
        <v>0</v>
      </c>
      <c r="Z703" s="30" t="n">
        <f aca="false">IF(Y703=1,0,AB702)</f>
        <v>0</v>
      </c>
      <c r="AA703" s="30" t="n">
        <f aca="false">IF(W703="",0,IF(AND(Z703=0,ABS(W703)&gt;Inputs!$B$5,ABS(W703)&lt;=Inputs!$B$7),1,0))</f>
        <v>0</v>
      </c>
      <c r="AB703" s="30" t="n">
        <f aca="false">IF(W703="",0,IF(AA703=1,-SIGN(W703),Z703))</f>
        <v>0</v>
      </c>
      <c r="AC703" s="30" t="n">
        <f aca="false">IF(W703="",0,IF(AA703=1,0,IF(Y703=1,0,X703)))</f>
        <v>0</v>
      </c>
      <c r="AD703" s="30" t="n">
        <f aca="false">IF(AB703=0,0,IF(AB702=AB703,AD702,T703))</f>
        <v>0</v>
      </c>
      <c r="AE703" s="30" t="n">
        <f aca="false">AB703-AB702</f>
        <v>0</v>
      </c>
      <c r="AF703" s="30" t="n">
        <f aca="false">-AD703*AB703</f>
        <v>-0</v>
      </c>
      <c r="AG703" s="30" t="n">
        <f aca="false">AF703-AF702</f>
        <v>0</v>
      </c>
      <c r="AH703" s="30" t="n">
        <f aca="false">MAX(AE703,0)*(Inputs!$B$17+Inputs!$B$18+Inputs!$B$19)+MAX(-AE703,0)*(O703+Inputs!$B$18+Inputs!$B$19)+IF(AND(K703=1,AB703&lt;&gt;0),(Inputs!$B$17+Inputs!$B$18+Inputs!$B$19)+(O703+Inputs!$B$18+Inputs!$B$19),0)+MAX(AG703,0)*(Inputs!$B$20+Inputs!$B$22+Inputs!$B$23)+MAX(-AG703,0)*(Inputs!$B$21+Inputs!$B$22+Inputs!$B$23)</f>
        <v>0</v>
      </c>
      <c r="AI703" s="30" t="n">
        <f aca="false">AB702*(M703-AD702*J703)+AB702*AD702*N703/Inputs!$B$16-AH703</f>
        <v>0</v>
      </c>
      <c r="AJ703" s="30" t="n">
        <f aca="false">MAX(AE703,0)*(Inputs!$B$17+Inputs!$B$24+Inputs!$B$25)+MAX(-AE703,0)*(O703+Inputs!$B$24+Inputs!$B$25)+IF(AND(K703=1,AB703&lt;&gt;0),(Inputs!$B$17+Inputs!$B$24+Inputs!$B$25)+(O703+Inputs!$B$24+Inputs!$B$25),0)+MAX(AG703,0)*(Inputs!$B$20+Inputs!$B$26+Inputs!$B$27)+MAX(-AG703,0)*(Inputs!$B$21+Inputs!$B$26+Inputs!$B$27)</f>
        <v>0</v>
      </c>
      <c r="AK703" s="30" t="n">
        <f aca="false">AB702*(M703-AD702*J703)+AB702*AD702*(N703+Inputs!$B$14)/Inputs!$B$16-AJ703</f>
        <v>0</v>
      </c>
      <c r="AL703" s="30" t="n">
        <f aca="false">IF(AP702&lt;&gt;0,AQ702+1,0)</f>
        <v>0</v>
      </c>
      <c r="AM703" s="30" t="n">
        <f aca="false">IF(W703="",0,IF(AND(AP702&lt;&gt;0,OR(ABS(W703)&gt;Inputs!$B$7,AL703&gt;=Inputs!$B$8,ABS(W703)&lt;Inputs!$B$6)),1,0))</f>
        <v>0</v>
      </c>
      <c r="AN703" s="30" t="n">
        <f aca="false">IF(AM703=1,0,AP702)</f>
        <v>0</v>
      </c>
      <c r="AO703" s="30" t="n">
        <f aca="false">IF(W703="",0,IF(AND(AN703=0,ABS(W703)&gt;Inputs!$B$5,ABS(W703)&lt;=Inputs!$B$7,W703&gt;0),1,0))</f>
        <v>0</v>
      </c>
      <c r="AP703" s="30" t="n">
        <f aca="false">IF(W703="",0,IF(AO703=1,-SIGN(W703),AN703))</f>
        <v>0</v>
      </c>
      <c r="AQ703" s="30" t="n">
        <f aca="false">IF(W703="",0,IF(AO703=1,0,IF(AM703=1,0,AL703)))</f>
        <v>0</v>
      </c>
      <c r="AR703" s="30" t="n">
        <f aca="false">IF(AP703=0,0,IF(AP702=AP703,AR702,T703))</f>
        <v>0</v>
      </c>
      <c r="AS703" s="30" t="n">
        <f aca="false">AP703-AP702</f>
        <v>0</v>
      </c>
      <c r="AT703" s="30" t="n">
        <f aca="false">-AR703*AP703</f>
        <v>-0</v>
      </c>
      <c r="AU703" s="30" t="n">
        <f aca="false">AT703-AT702</f>
        <v>0</v>
      </c>
      <c r="AV703" s="30" t="n">
        <f aca="false">MAX(AS703,0)*(Inputs!$B$17+Inputs!$B$18+Inputs!$B$19)+MAX(-AS703,0)*(O703+Inputs!$B$18+Inputs!$B$19)+IF(AND(K703=1,AP703&lt;&gt;0),(Inputs!$B$17+Inputs!$B$18+Inputs!$B$19)+(O703+Inputs!$B$18+Inputs!$B$19),0)+MAX(AU703,0)*(Inputs!$B$20+Inputs!$B$22+Inputs!$B$23)+MAX(-AU703,0)*(Inputs!$B$21+Inputs!$B$22+Inputs!$B$23)</f>
        <v>0</v>
      </c>
      <c r="AW703" s="30" t="n">
        <f aca="false">AP702*(M703-AR702*J703)+AP702*AR702*N703/Inputs!$B$16-AV703</f>
        <v>0</v>
      </c>
      <c r="AX703" s="30" t="n">
        <f aca="false">AW703-IF(AP702&lt;&gt;0,0.75*AR702*(Inputs!$B$13-N703)/Inputs!$B$16,0)</f>
        <v>0</v>
      </c>
      <c r="AY703" s="30" t="n">
        <f aca="false">MAX(AS703,0)*(Inputs!$B$17+Inputs!$B$18+Inputs!$B$19)+MAX(-AS703,0)*(O703+Inputs!$B$18+Inputs!$B$19)+IF(AND(K703=1,AP703&lt;&gt;0),(Inputs!$B$17+Inputs!$B$18+Inputs!$B$19)+(O703+Inputs!$B$18+Inputs!$B$19),0)</f>
        <v>0</v>
      </c>
      <c r="AZ703" s="30" t="n">
        <f aca="false">AP702*M703-AY703</f>
        <v>0</v>
      </c>
      <c r="BA703" s="32" t="n">
        <f aca="false">BA702+AI703</f>
        <v>0.0193300031983123</v>
      </c>
      <c r="BB703" s="30" t="n">
        <f aca="false">MAX(BB702,BA703)</f>
        <v>0.0261726191772394</v>
      </c>
      <c r="BC703" s="32" t="n">
        <f aca="false">BA703-BB703</f>
        <v>-0.00684261597892712</v>
      </c>
      <c r="BD703" s="30" t="n">
        <f aca="false">A704-A703</f>
        <v>3</v>
      </c>
    </row>
    <row r="704" customFormat="false" ht="15" hidden="false" customHeight="false" outlineLevel="0" collapsed="false">
      <c r="A704" s="28" t="n">
        <v>46076</v>
      </c>
      <c r="B704" s="0" t="n">
        <v>25701</v>
      </c>
      <c r="C704" s="0" t="n">
        <v>290.4</v>
      </c>
      <c r="D704" s="29" t="n">
        <f aca="false">LN(B704)</f>
        <v>10.1542851806322</v>
      </c>
      <c r="E704" s="29" t="n">
        <f aca="false">LN(C704)</f>
        <v>5.67125928295064</v>
      </c>
      <c r="F704" s="0" t="n">
        <v>699</v>
      </c>
      <c r="G704" s="0" t="n">
        <v>1</v>
      </c>
      <c r="H704" s="29" t="n">
        <f aca="false">D704-E704</f>
        <v>4.48302589768151</v>
      </c>
      <c r="I704" s="29" t="n">
        <f aca="false">D704-D703</f>
        <v>0.00479338503671123</v>
      </c>
      <c r="J704" s="29" t="n">
        <f aca="false">E704-E703</f>
        <v>0.00455581653586012</v>
      </c>
      <c r="K704" s="0" t="n">
        <v>0</v>
      </c>
      <c r="L704" s="0" t="n">
        <v>0</v>
      </c>
      <c r="M704" s="29" t="n">
        <f aca="false">IF(L704=1,J704-Carry!$B$9/Inputs!$B$16,I704)</f>
        <v>0.00479338503671123</v>
      </c>
      <c r="N704" s="0" t="n">
        <v>0.0525</v>
      </c>
      <c r="O704" s="0" t="n">
        <v>0.0002</v>
      </c>
      <c r="P704" s="29" t="n">
        <f aca="false">D704-('2 Hedge ratio'!$B$6+'2 Hedge ratio'!$B$5*E704)</f>
        <v>-0.00312728845348786</v>
      </c>
      <c r="Q704" s="29" t="n">
        <f aca="false">D704-('5 Re-specification'!$B$7+'5 Re-specification'!$B$5*E704+'5 Re-specification'!$B$6*F704)</f>
        <v>0.000417221460416783</v>
      </c>
      <c r="R704" s="30" t="n">
        <f aca="false">MIN(F704,Inputs!$B$9)</f>
        <v>250</v>
      </c>
      <c r="S704" s="29" t="n">
        <f aca="true">IF(AND(F704&gt;=1,R704&gt;=Inputs!$B$10),INDEX(LINEST(OFFSET(D704,-R704,0,R704,1),OFFSET(E704,-R704,0,R704,2)),1,1),"")</f>
        <v>-6.70702470164966E-005</v>
      </c>
      <c r="T704" s="29" t="n">
        <f aca="true">IF(AND(F704&gt;=1,R704&gt;=Inputs!$B$10),INDEX(LINEST(OFFSET(D704,-R704,0,R704,1),OFFSET(E704,-R704,0,R704,2)),1,2),"")</f>
        <v>1.02426955604565</v>
      </c>
      <c r="U704" s="29" t="n">
        <f aca="true">IF(AND(F704&gt;=1,R704&gt;=Inputs!$B$10),INDEX(LINEST(OFFSET(D704,-R704,0,R704,1),OFFSET(E704,-R704,0,R704,2)),1,3),"")</f>
        <v>4.39026317193731</v>
      </c>
      <c r="V704" s="29" t="n">
        <f aca="true">IF(AND(F704&gt;=1,R704&gt;=Inputs!$B$10),SQRT(SUMPRODUCT((OFFSET(D704,-R704,0,R704,1)-U704-T704*OFFSET(E704,-R704,0,R704,1)-S704*OFFSET(F704,-R704,0,R704,1))^2)/(R704-3)),"")</f>
        <v>0.00227380210262484</v>
      </c>
      <c r="W704" s="31" t="n">
        <f aca="false">IF(AND(F704&gt;=1,R704&gt;=Inputs!$B$10),(D704-U704-T704*E704-S704*F704)/V704,"")</f>
        <v>0.882171491270819</v>
      </c>
      <c r="X704" s="30" t="n">
        <f aca="false">IF(AB703&lt;&gt;0,AC703+1,0)</f>
        <v>0</v>
      </c>
      <c r="Y704" s="30" t="n">
        <f aca="false">IF(W704="",0,IF(AND(AB703&lt;&gt;0,OR(ABS(W704)&gt;Inputs!$B$7,X704&gt;=Inputs!$B$8,ABS(W704)&lt;Inputs!$B$6)),1,0))</f>
        <v>0</v>
      </c>
      <c r="Z704" s="30" t="n">
        <f aca="false">IF(Y704=1,0,AB703)</f>
        <v>0</v>
      </c>
      <c r="AA704" s="30" t="n">
        <f aca="false">IF(W704="",0,IF(AND(Z704=0,ABS(W704)&gt;Inputs!$B$5,ABS(W704)&lt;=Inputs!$B$7),1,0))</f>
        <v>0</v>
      </c>
      <c r="AB704" s="30" t="n">
        <f aca="false">IF(W704="",0,IF(AA704=1,-SIGN(W704),Z704))</f>
        <v>0</v>
      </c>
      <c r="AC704" s="30" t="n">
        <f aca="false">IF(W704="",0,IF(AA704=1,0,IF(Y704=1,0,X704)))</f>
        <v>0</v>
      </c>
      <c r="AD704" s="30" t="n">
        <f aca="false">IF(AB704=0,0,IF(AB703=AB704,AD703,T704))</f>
        <v>0</v>
      </c>
      <c r="AE704" s="30" t="n">
        <f aca="false">AB704-AB703</f>
        <v>0</v>
      </c>
      <c r="AF704" s="30" t="n">
        <f aca="false">-AD704*AB704</f>
        <v>-0</v>
      </c>
      <c r="AG704" s="30" t="n">
        <f aca="false">AF704-AF703</f>
        <v>0</v>
      </c>
      <c r="AH704" s="30" t="n">
        <f aca="false">MAX(AE704,0)*(Inputs!$B$17+Inputs!$B$18+Inputs!$B$19)+MAX(-AE704,0)*(O704+Inputs!$B$18+Inputs!$B$19)+IF(AND(K704=1,AB704&lt;&gt;0),(Inputs!$B$17+Inputs!$B$18+Inputs!$B$19)+(O704+Inputs!$B$18+Inputs!$B$19),0)+MAX(AG704,0)*(Inputs!$B$20+Inputs!$B$22+Inputs!$B$23)+MAX(-AG704,0)*(Inputs!$B$21+Inputs!$B$22+Inputs!$B$23)</f>
        <v>0</v>
      </c>
      <c r="AI704" s="30" t="n">
        <f aca="false">AB703*(M704-AD703*J704)+AB703*AD703*N704/Inputs!$B$16-AH704</f>
        <v>0</v>
      </c>
      <c r="AJ704" s="30" t="n">
        <f aca="false">MAX(AE704,0)*(Inputs!$B$17+Inputs!$B$24+Inputs!$B$25)+MAX(-AE704,0)*(O704+Inputs!$B$24+Inputs!$B$25)+IF(AND(K704=1,AB704&lt;&gt;0),(Inputs!$B$17+Inputs!$B$24+Inputs!$B$25)+(O704+Inputs!$B$24+Inputs!$B$25),0)+MAX(AG704,0)*(Inputs!$B$20+Inputs!$B$26+Inputs!$B$27)+MAX(-AG704,0)*(Inputs!$B$21+Inputs!$B$26+Inputs!$B$27)</f>
        <v>0</v>
      </c>
      <c r="AK704" s="30" t="n">
        <f aca="false">AB703*(M704-AD703*J704)+AB703*AD703*(N704+Inputs!$B$14)/Inputs!$B$16-AJ704</f>
        <v>0</v>
      </c>
      <c r="AL704" s="30" t="n">
        <f aca="false">IF(AP703&lt;&gt;0,AQ703+1,0)</f>
        <v>0</v>
      </c>
      <c r="AM704" s="30" t="n">
        <f aca="false">IF(W704="",0,IF(AND(AP703&lt;&gt;0,OR(ABS(W704)&gt;Inputs!$B$7,AL704&gt;=Inputs!$B$8,ABS(W704)&lt;Inputs!$B$6)),1,0))</f>
        <v>0</v>
      </c>
      <c r="AN704" s="30" t="n">
        <f aca="false">IF(AM704=1,0,AP703)</f>
        <v>0</v>
      </c>
      <c r="AO704" s="30" t="n">
        <f aca="false">IF(W704="",0,IF(AND(AN704=0,ABS(W704)&gt;Inputs!$B$5,ABS(W704)&lt;=Inputs!$B$7,W704&gt;0),1,0))</f>
        <v>0</v>
      </c>
      <c r="AP704" s="30" t="n">
        <f aca="false">IF(W704="",0,IF(AO704=1,-SIGN(W704),AN704))</f>
        <v>0</v>
      </c>
      <c r="AQ704" s="30" t="n">
        <f aca="false">IF(W704="",0,IF(AO704=1,0,IF(AM704=1,0,AL704)))</f>
        <v>0</v>
      </c>
      <c r="AR704" s="30" t="n">
        <f aca="false">IF(AP704=0,0,IF(AP703=AP704,AR703,T704))</f>
        <v>0</v>
      </c>
      <c r="AS704" s="30" t="n">
        <f aca="false">AP704-AP703</f>
        <v>0</v>
      </c>
      <c r="AT704" s="30" t="n">
        <f aca="false">-AR704*AP704</f>
        <v>-0</v>
      </c>
      <c r="AU704" s="30" t="n">
        <f aca="false">AT704-AT703</f>
        <v>0</v>
      </c>
      <c r="AV704" s="30" t="n">
        <f aca="false">MAX(AS704,0)*(Inputs!$B$17+Inputs!$B$18+Inputs!$B$19)+MAX(-AS704,0)*(O704+Inputs!$B$18+Inputs!$B$19)+IF(AND(K704=1,AP704&lt;&gt;0),(Inputs!$B$17+Inputs!$B$18+Inputs!$B$19)+(O704+Inputs!$B$18+Inputs!$B$19),0)+MAX(AU704,0)*(Inputs!$B$20+Inputs!$B$22+Inputs!$B$23)+MAX(-AU704,0)*(Inputs!$B$21+Inputs!$B$22+Inputs!$B$23)</f>
        <v>0</v>
      </c>
      <c r="AW704" s="30" t="n">
        <f aca="false">AP703*(M704-AR703*J704)+AP703*AR703*N704/Inputs!$B$16-AV704</f>
        <v>0</v>
      </c>
      <c r="AX704" s="30" t="n">
        <f aca="false">AW704-IF(AP703&lt;&gt;0,0.75*AR703*(Inputs!$B$13-N704)/Inputs!$B$16,0)</f>
        <v>0</v>
      </c>
      <c r="AY704" s="30" t="n">
        <f aca="false">MAX(AS704,0)*(Inputs!$B$17+Inputs!$B$18+Inputs!$B$19)+MAX(-AS704,0)*(O704+Inputs!$B$18+Inputs!$B$19)+IF(AND(K704=1,AP704&lt;&gt;0),(Inputs!$B$17+Inputs!$B$18+Inputs!$B$19)+(O704+Inputs!$B$18+Inputs!$B$19),0)</f>
        <v>0</v>
      </c>
      <c r="AZ704" s="30" t="n">
        <f aca="false">AP703*M704-AY704</f>
        <v>0</v>
      </c>
      <c r="BA704" s="32" t="n">
        <f aca="false">BA703+AI704</f>
        <v>0.0193300031983123</v>
      </c>
      <c r="BB704" s="30" t="n">
        <f aca="false">MAX(BB703,BA704)</f>
        <v>0.0261726191772394</v>
      </c>
      <c r="BC704" s="32" t="n">
        <f aca="false">BA704-BB704</f>
        <v>-0.00684261597892712</v>
      </c>
      <c r="BD704" s="30" t="n">
        <f aca="false">A705-A704</f>
        <v>1</v>
      </c>
    </row>
    <row r="705" customFormat="false" ht="15" hidden="false" customHeight="false" outlineLevel="0" collapsed="false">
      <c r="A705" s="28" t="n">
        <v>46077</v>
      </c>
      <c r="B705" s="0" t="n">
        <v>25423.4</v>
      </c>
      <c r="C705" s="0" t="n">
        <v>288</v>
      </c>
      <c r="D705" s="29" t="n">
        <f aca="false">LN(B705)</f>
        <v>10.1434252887498</v>
      </c>
      <c r="E705" s="29" t="n">
        <f aca="false">LN(C705)</f>
        <v>5.66296048013595</v>
      </c>
      <c r="F705" s="0" t="n">
        <v>700</v>
      </c>
      <c r="G705" s="0" t="n">
        <v>0</v>
      </c>
      <c r="H705" s="29" t="n">
        <f aca="false">D705-E705</f>
        <v>4.4804648086138</v>
      </c>
      <c r="I705" s="29" t="n">
        <f aca="false">D705-D704</f>
        <v>-0.0108598918824043</v>
      </c>
      <c r="J705" s="29" t="n">
        <f aca="false">E705-E704</f>
        <v>-0.00829880281469464</v>
      </c>
      <c r="K705" s="0" t="n">
        <v>1</v>
      </c>
      <c r="L705" s="0" t="n">
        <v>0</v>
      </c>
      <c r="M705" s="29" t="n">
        <f aca="false">IF(L705=1,J705-Carry!$B$9/Inputs!$B$16,I705)</f>
        <v>-0.0108598918824043</v>
      </c>
      <c r="N705" s="0" t="n">
        <v>0.0525</v>
      </c>
      <c r="O705" s="0" t="n">
        <v>0.0002</v>
      </c>
      <c r="P705" s="29" t="n">
        <f aca="false">D705-('2 Hedge ratio'!$B$6+'2 Hedge ratio'!$B$5*E705)</f>
        <v>-0.00638442500763858</v>
      </c>
      <c r="Q705" s="29" t="n">
        <f aca="false">D705-('5 Re-specification'!$B$7+'5 Re-specification'!$B$5*E705+'5 Re-specification'!$B$6*F705)</f>
        <v>-0.00212408781130158</v>
      </c>
      <c r="R705" s="30" t="n">
        <f aca="false">MIN(F705,Inputs!$B$9)</f>
        <v>250</v>
      </c>
      <c r="S705" s="29" t="n">
        <f aca="true">IF(AND(F705&gt;=1,R705&gt;=Inputs!$B$10),INDEX(LINEST(OFFSET(D705,-R705,0,R705,1),OFFSET(E705,-R705,0,R705,2)),1,1),"")</f>
        <v>-6.66695044895311E-005</v>
      </c>
      <c r="T705" s="29" t="n">
        <f aca="true">IF(AND(F705&gt;=1,R705&gt;=Inputs!$B$10),INDEX(LINEST(OFFSET(D705,-R705,0,R705,1),OFFSET(E705,-R705,0,R705,2)),1,2),"")</f>
        <v>1.02355536691891</v>
      </c>
      <c r="U705" s="29" t="n">
        <f aca="true">IF(AND(F705&gt;=1,R705&gt;=Inputs!$B$10),INDEX(LINEST(OFFSET(D705,-R705,0,R705,1),OFFSET(E705,-R705,0,R705,2)),1,3),"")</f>
        <v>4.39407338219856</v>
      </c>
      <c r="V705" s="29" t="n">
        <f aca="true">IF(AND(F705&gt;=1,R705&gt;=Inputs!$B$10),SQRT(SUMPRODUCT((OFFSET(D705,-R705,0,R705,1)-U705-T705*OFFSET(E705,-R705,0,R705,1)-S705*OFFSET(F705,-R705,0,R705,1))^2)/(R705-3)),"")</f>
        <v>0.0022745476911258</v>
      </c>
      <c r="W705" s="31" t="n">
        <f aca="false">IF(AND(F705&gt;=1,R705&gt;=Inputs!$B$10),(D705-U705-T705*E705-S705*F705)/V705,"")</f>
        <v>-0.146416977888819</v>
      </c>
      <c r="X705" s="30" t="n">
        <f aca="false">IF(AB704&lt;&gt;0,AC704+1,0)</f>
        <v>0</v>
      </c>
      <c r="Y705" s="30" t="n">
        <f aca="false">IF(W705="",0,IF(AND(AB704&lt;&gt;0,OR(ABS(W705)&gt;Inputs!$B$7,X705&gt;=Inputs!$B$8,ABS(W705)&lt;Inputs!$B$6)),1,0))</f>
        <v>0</v>
      </c>
      <c r="Z705" s="30" t="n">
        <f aca="false">IF(Y705=1,0,AB704)</f>
        <v>0</v>
      </c>
      <c r="AA705" s="30" t="n">
        <f aca="false">IF(W705="",0,IF(AND(Z705=0,ABS(W705)&gt;Inputs!$B$5,ABS(W705)&lt;=Inputs!$B$7),1,0))</f>
        <v>0</v>
      </c>
      <c r="AB705" s="30" t="n">
        <f aca="false">IF(W705="",0,IF(AA705=1,-SIGN(W705),Z705))</f>
        <v>0</v>
      </c>
      <c r="AC705" s="30" t="n">
        <f aca="false">IF(W705="",0,IF(AA705=1,0,IF(Y705=1,0,X705)))</f>
        <v>0</v>
      </c>
      <c r="AD705" s="30" t="n">
        <f aca="false">IF(AB705=0,0,IF(AB704=AB705,AD704,T705))</f>
        <v>0</v>
      </c>
      <c r="AE705" s="30" t="n">
        <f aca="false">AB705-AB704</f>
        <v>0</v>
      </c>
      <c r="AF705" s="30" t="n">
        <f aca="false">-AD705*AB705</f>
        <v>-0</v>
      </c>
      <c r="AG705" s="30" t="n">
        <f aca="false">AF705-AF704</f>
        <v>0</v>
      </c>
      <c r="AH705" s="30" t="n">
        <f aca="false">MAX(AE705,0)*(Inputs!$B$17+Inputs!$B$18+Inputs!$B$19)+MAX(-AE705,0)*(O705+Inputs!$B$18+Inputs!$B$19)+IF(AND(K705=1,AB705&lt;&gt;0),(Inputs!$B$17+Inputs!$B$18+Inputs!$B$19)+(O705+Inputs!$B$18+Inputs!$B$19),0)+MAX(AG705,0)*(Inputs!$B$20+Inputs!$B$22+Inputs!$B$23)+MAX(-AG705,0)*(Inputs!$B$21+Inputs!$B$22+Inputs!$B$23)</f>
        <v>0</v>
      </c>
      <c r="AI705" s="30" t="n">
        <f aca="false">AB704*(M705-AD704*J705)+AB704*AD704*N705/Inputs!$B$16-AH705</f>
        <v>0</v>
      </c>
      <c r="AJ705" s="30" t="n">
        <f aca="false">MAX(AE705,0)*(Inputs!$B$17+Inputs!$B$24+Inputs!$B$25)+MAX(-AE705,0)*(O705+Inputs!$B$24+Inputs!$B$25)+IF(AND(K705=1,AB705&lt;&gt;0),(Inputs!$B$17+Inputs!$B$24+Inputs!$B$25)+(O705+Inputs!$B$24+Inputs!$B$25),0)+MAX(AG705,0)*(Inputs!$B$20+Inputs!$B$26+Inputs!$B$27)+MAX(-AG705,0)*(Inputs!$B$21+Inputs!$B$26+Inputs!$B$27)</f>
        <v>0</v>
      </c>
      <c r="AK705" s="30" t="n">
        <f aca="false">AB704*(M705-AD704*J705)+AB704*AD704*(N705+Inputs!$B$14)/Inputs!$B$16-AJ705</f>
        <v>0</v>
      </c>
      <c r="AL705" s="30" t="n">
        <f aca="false">IF(AP704&lt;&gt;0,AQ704+1,0)</f>
        <v>0</v>
      </c>
      <c r="AM705" s="30" t="n">
        <f aca="false">IF(W705="",0,IF(AND(AP704&lt;&gt;0,OR(ABS(W705)&gt;Inputs!$B$7,AL705&gt;=Inputs!$B$8,ABS(W705)&lt;Inputs!$B$6)),1,0))</f>
        <v>0</v>
      </c>
      <c r="AN705" s="30" t="n">
        <f aca="false">IF(AM705=1,0,AP704)</f>
        <v>0</v>
      </c>
      <c r="AO705" s="30" t="n">
        <f aca="false">IF(W705="",0,IF(AND(AN705=0,ABS(W705)&gt;Inputs!$B$5,ABS(W705)&lt;=Inputs!$B$7,W705&gt;0),1,0))</f>
        <v>0</v>
      </c>
      <c r="AP705" s="30" t="n">
        <f aca="false">IF(W705="",0,IF(AO705=1,-SIGN(W705),AN705))</f>
        <v>0</v>
      </c>
      <c r="AQ705" s="30" t="n">
        <f aca="false">IF(W705="",0,IF(AO705=1,0,IF(AM705=1,0,AL705)))</f>
        <v>0</v>
      </c>
      <c r="AR705" s="30" t="n">
        <f aca="false">IF(AP705=0,0,IF(AP704=AP705,AR704,T705))</f>
        <v>0</v>
      </c>
      <c r="AS705" s="30" t="n">
        <f aca="false">AP705-AP704</f>
        <v>0</v>
      </c>
      <c r="AT705" s="30" t="n">
        <f aca="false">-AR705*AP705</f>
        <v>-0</v>
      </c>
      <c r="AU705" s="30" t="n">
        <f aca="false">AT705-AT704</f>
        <v>0</v>
      </c>
      <c r="AV705" s="30" t="n">
        <f aca="false">MAX(AS705,0)*(Inputs!$B$17+Inputs!$B$18+Inputs!$B$19)+MAX(-AS705,0)*(O705+Inputs!$B$18+Inputs!$B$19)+IF(AND(K705=1,AP705&lt;&gt;0),(Inputs!$B$17+Inputs!$B$18+Inputs!$B$19)+(O705+Inputs!$B$18+Inputs!$B$19),0)+MAX(AU705,0)*(Inputs!$B$20+Inputs!$B$22+Inputs!$B$23)+MAX(-AU705,0)*(Inputs!$B$21+Inputs!$B$22+Inputs!$B$23)</f>
        <v>0</v>
      </c>
      <c r="AW705" s="30" t="n">
        <f aca="false">AP704*(M705-AR704*J705)+AP704*AR704*N705/Inputs!$B$16-AV705</f>
        <v>0</v>
      </c>
      <c r="AX705" s="30" t="n">
        <f aca="false">AW705-IF(AP704&lt;&gt;0,0.75*AR704*(Inputs!$B$13-N705)/Inputs!$B$16,0)</f>
        <v>0</v>
      </c>
      <c r="AY705" s="30" t="n">
        <f aca="false">MAX(AS705,0)*(Inputs!$B$17+Inputs!$B$18+Inputs!$B$19)+MAX(-AS705,0)*(O705+Inputs!$B$18+Inputs!$B$19)+IF(AND(K705=1,AP705&lt;&gt;0),(Inputs!$B$17+Inputs!$B$18+Inputs!$B$19)+(O705+Inputs!$B$18+Inputs!$B$19),0)</f>
        <v>0</v>
      </c>
      <c r="AZ705" s="30" t="n">
        <f aca="false">AP704*M705-AY705</f>
        <v>-0</v>
      </c>
      <c r="BA705" s="32" t="n">
        <f aca="false">BA704+AI705</f>
        <v>0.0193300031983123</v>
      </c>
      <c r="BB705" s="30" t="n">
        <f aca="false">MAX(BB704,BA705)</f>
        <v>0.0261726191772394</v>
      </c>
      <c r="BC705" s="32" t="n">
        <f aca="false">BA705-BB705</f>
        <v>-0.00684261597892712</v>
      </c>
      <c r="BD705" s="30" t="n">
        <f aca="false">A706-A705</f>
        <v>1</v>
      </c>
    </row>
    <row r="706" customFormat="false" ht="15" hidden="false" customHeight="false" outlineLevel="0" collapsed="false">
      <c r="A706" s="28" t="n">
        <v>46078</v>
      </c>
      <c r="B706" s="0" t="n">
        <v>25625.7</v>
      </c>
      <c r="C706" s="0" t="n">
        <v>288.6</v>
      </c>
      <c r="D706" s="29" t="n">
        <f aca="false">LN(B706)</f>
        <v>10.1513510331408</v>
      </c>
      <c r="E706" s="29" t="n">
        <f aca="false">LN(C706)</f>
        <v>5.66504164633977</v>
      </c>
      <c r="F706" s="0" t="n">
        <v>701</v>
      </c>
      <c r="G706" s="0" t="n">
        <v>33</v>
      </c>
      <c r="H706" s="29" t="n">
        <f aca="false">D706-E706</f>
        <v>4.48630938680101</v>
      </c>
      <c r="I706" s="29" t="n">
        <f aca="false">D706-D705</f>
        <v>0.00792574439102545</v>
      </c>
      <c r="J706" s="29" t="n">
        <f aca="false">E706-E705</f>
        <v>0.00208116620382448</v>
      </c>
      <c r="K706" s="0" t="n">
        <v>0</v>
      </c>
      <c r="L706" s="0" t="n">
        <v>1</v>
      </c>
      <c r="M706" s="29" t="n">
        <f aca="false">IF(L706=1,J706-Carry!$B$9/Inputs!$B$16,I706)</f>
        <v>0.00182170802210335</v>
      </c>
      <c r="N706" s="0" t="n">
        <v>0.0525</v>
      </c>
      <c r="O706" s="0" t="n">
        <v>0.0002</v>
      </c>
      <c r="P706" s="29" t="n">
        <f aca="false">D706-('2 Hedge ratio'!$B$6+'2 Hedge ratio'!$B$5*E706)</f>
        <v>-0.00036529266637686</v>
      </c>
      <c r="Q706" s="29" t="n">
        <f aca="false">D706-('5 Re-specification'!$B$7+'5 Re-specification'!$B$5*E706+'5 Re-specification'!$B$6*F706)</f>
        <v>0.00377172666822112</v>
      </c>
      <c r="R706" s="30" t="n">
        <f aca="false">MIN(F706,Inputs!$B$9)</f>
        <v>250</v>
      </c>
      <c r="S706" s="29" t="n">
        <f aca="true">IF(AND(F706&gt;=1,R706&gt;=Inputs!$B$10),INDEX(LINEST(OFFSET(D706,-R706,0,R706,1),OFFSET(E706,-R706,0,R706,2)),1,1),"")</f>
        <v>-6.67856989980723E-005</v>
      </c>
      <c r="T706" s="29" t="n">
        <f aca="true">IF(AND(F706&gt;=1,R706&gt;=Inputs!$B$10),INDEX(LINEST(OFFSET(D706,-R706,0,R706,1),OFFSET(E706,-R706,0,R706,2)),1,2),"")</f>
        <v>1.0232593132565</v>
      </c>
      <c r="U706" s="29" t="n">
        <f aca="true">IF(AND(F706&gt;=1,R706&gt;=Inputs!$B$10),INDEX(LINEST(OFFSET(D706,-R706,0,R706,1),OFFSET(E706,-R706,0,R706,2)),1,3),"")</f>
        <v>4.39581763888251</v>
      </c>
      <c r="V706" s="29" t="n">
        <f aca="true">IF(AND(F706&gt;=1,R706&gt;=Inputs!$B$10),SQRT(SUMPRODUCT((OFFSET(D706,-R706,0,R706,1)-U706-T706*OFFSET(E706,-R706,0,R706,1)-S706*OFFSET(F706,-R706,0,R706,1))^2)/(R706-3)),"")</f>
        <v>0.00226905116822374</v>
      </c>
      <c r="W706" s="31" t="n">
        <f aca="false">IF(AND(F706&gt;=1,R706&gt;=Inputs!$B$10),(D706-U706-T706*E706-S706*F706)/V706,"")</f>
        <v>2.44311134559986</v>
      </c>
      <c r="X706" s="30" t="n">
        <f aca="false">IF(AB705&lt;&gt;0,AC705+1,0)</f>
        <v>0</v>
      </c>
      <c r="Y706" s="30" t="n">
        <f aca="false">IF(W706="",0,IF(AND(AB705&lt;&gt;0,OR(ABS(W706)&gt;Inputs!$B$7,X706&gt;=Inputs!$B$8,ABS(W706)&lt;Inputs!$B$6)),1,0))</f>
        <v>0</v>
      </c>
      <c r="Z706" s="30" t="n">
        <f aca="false">IF(Y706=1,0,AB705)</f>
        <v>0</v>
      </c>
      <c r="AA706" s="30" t="n">
        <f aca="false">IF(W706="",0,IF(AND(Z706=0,ABS(W706)&gt;Inputs!$B$5,ABS(W706)&lt;=Inputs!$B$7),1,0))</f>
        <v>1</v>
      </c>
      <c r="AB706" s="30" t="n">
        <f aca="false">IF(W706="",0,IF(AA706=1,-SIGN(W706),Z706))</f>
        <v>-1</v>
      </c>
      <c r="AC706" s="30" t="n">
        <f aca="false">IF(W706="",0,IF(AA706=1,0,IF(Y706=1,0,X706)))</f>
        <v>0</v>
      </c>
      <c r="AD706" s="29" t="n">
        <f aca="false">IF(AB706=0,0,IF(AB705=AB706,AD705,T706))</f>
        <v>1.0232593132565</v>
      </c>
      <c r="AE706" s="30" t="n">
        <f aca="false">AB706-AB705</f>
        <v>-1</v>
      </c>
      <c r="AF706" s="30" t="n">
        <f aca="false">-AD706*AB706</f>
        <v>1.0232593132565</v>
      </c>
      <c r="AG706" s="30" t="n">
        <f aca="false">AF706-AF705</f>
        <v>1.0232593132565</v>
      </c>
      <c r="AH706" s="30" t="n">
        <f aca="false">MAX(AE706,0)*(Inputs!$B$17+Inputs!$B$18+Inputs!$B$19)+MAX(-AE706,0)*(O706+Inputs!$B$18+Inputs!$B$19)+IF(AND(K706=1,AB706&lt;&gt;0),(Inputs!$B$17+Inputs!$B$18+Inputs!$B$19)+(O706+Inputs!$B$18+Inputs!$B$19),0)+MAX(AG706,0)*(Inputs!$B$20+Inputs!$B$22+Inputs!$B$23)+MAX(-AG706,0)*(Inputs!$B$21+Inputs!$B$22+Inputs!$B$23)</f>
        <v>0.000693140759639774</v>
      </c>
      <c r="AI706" s="30" t="n">
        <f aca="false">AB705*(M706-AD705*J706)+AB705*AD705*N706/Inputs!$B$16-AH706</f>
        <v>-0.000693140759639774</v>
      </c>
      <c r="AJ706" s="30" t="n">
        <f aca="false">MAX(AE706,0)*(Inputs!$B$17+Inputs!$B$24+Inputs!$B$25)+MAX(-AE706,0)*(O706+Inputs!$B$24+Inputs!$B$25)+IF(AND(K706=1,AB706&lt;&gt;0),(Inputs!$B$17+Inputs!$B$24+Inputs!$B$25)+(O706+Inputs!$B$24+Inputs!$B$25),0)+MAX(AG706,0)*(Inputs!$B$20+Inputs!$B$26+Inputs!$B$27)+MAX(-AG706,0)*(Inputs!$B$21+Inputs!$B$26+Inputs!$B$27)</f>
        <v>0.000530931124880406</v>
      </c>
      <c r="AK706" s="30" t="n">
        <f aca="false">AB705*(M706-AD705*J706)+AB705*AD705*(N706+Inputs!$B$14)/Inputs!$B$16-AJ706</f>
        <v>-0.000530931124880406</v>
      </c>
      <c r="AL706" s="30" t="n">
        <f aca="false">IF(AP705&lt;&gt;0,AQ705+1,0)</f>
        <v>0</v>
      </c>
      <c r="AM706" s="30" t="n">
        <f aca="false">IF(W706="",0,IF(AND(AP705&lt;&gt;0,OR(ABS(W706)&gt;Inputs!$B$7,AL706&gt;=Inputs!$B$8,ABS(W706)&lt;Inputs!$B$6)),1,0))</f>
        <v>0</v>
      </c>
      <c r="AN706" s="30" t="n">
        <f aca="false">IF(AM706=1,0,AP705)</f>
        <v>0</v>
      </c>
      <c r="AO706" s="30" t="n">
        <f aca="false">IF(W706="",0,IF(AND(AN706=0,ABS(W706)&gt;Inputs!$B$5,ABS(W706)&lt;=Inputs!$B$7,W706&gt;0),1,0))</f>
        <v>1</v>
      </c>
      <c r="AP706" s="30" t="n">
        <f aca="false">IF(W706="",0,IF(AO706=1,-SIGN(W706),AN706))</f>
        <v>-1</v>
      </c>
      <c r="AQ706" s="30" t="n">
        <f aca="false">IF(W706="",0,IF(AO706=1,0,IF(AM706=1,0,AL706)))</f>
        <v>0</v>
      </c>
      <c r="AR706" s="29" t="n">
        <f aca="false">IF(AP706=0,0,IF(AP705=AP706,AR705,T706))</f>
        <v>1.0232593132565</v>
      </c>
      <c r="AS706" s="30" t="n">
        <f aca="false">AP706-AP705</f>
        <v>-1</v>
      </c>
      <c r="AT706" s="30" t="n">
        <f aca="false">-AR706*AP706</f>
        <v>1.0232593132565</v>
      </c>
      <c r="AU706" s="30" t="n">
        <f aca="false">AT706-AT705</f>
        <v>1.0232593132565</v>
      </c>
      <c r="AV706" s="30" t="n">
        <f aca="false">MAX(AS706,0)*(Inputs!$B$17+Inputs!$B$18+Inputs!$B$19)+MAX(-AS706,0)*(O706+Inputs!$B$18+Inputs!$B$19)+IF(AND(K706=1,AP706&lt;&gt;0),(Inputs!$B$17+Inputs!$B$18+Inputs!$B$19)+(O706+Inputs!$B$18+Inputs!$B$19),0)+MAX(AU706,0)*(Inputs!$B$20+Inputs!$B$22+Inputs!$B$23)+MAX(-AU706,0)*(Inputs!$B$21+Inputs!$B$22+Inputs!$B$23)</f>
        <v>0.000693140759639774</v>
      </c>
      <c r="AW706" s="30" t="n">
        <f aca="false">AP705*(M706-AR705*J706)+AP705*AR705*N706/Inputs!$B$16-AV706</f>
        <v>-0.000693140759639774</v>
      </c>
      <c r="AX706" s="30" t="n">
        <f aca="false">AW706-IF(AP705&lt;&gt;0,0.75*AR705*(Inputs!$B$13-N706)/Inputs!$B$16,0)</f>
        <v>-0.000693140759639774</v>
      </c>
      <c r="AY706" s="30" t="n">
        <f aca="false">MAX(AS706,0)*(Inputs!$B$17+Inputs!$B$18+Inputs!$B$19)+MAX(-AS706,0)*(O706+Inputs!$B$18+Inputs!$B$19)+IF(AND(K706=1,AP706&lt;&gt;0),(Inputs!$B$17+Inputs!$B$18+Inputs!$B$19)+(O706+Inputs!$B$18+Inputs!$B$19),0)</f>
        <v>0.000335</v>
      </c>
      <c r="AZ706" s="30" t="n">
        <f aca="false">AP705*M706-AY706</f>
        <v>-0.000335</v>
      </c>
      <c r="BA706" s="32" t="n">
        <f aca="false">BA705+AI706</f>
        <v>0.0186368624386725</v>
      </c>
      <c r="BB706" s="30" t="n">
        <f aca="false">MAX(BB705,BA706)</f>
        <v>0.0261726191772394</v>
      </c>
      <c r="BC706" s="32" t="n">
        <f aca="false">BA706-BB706</f>
        <v>-0.00753575673856689</v>
      </c>
      <c r="BD706" s="30" t="n">
        <f aca="false">A707-A706</f>
        <v>1</v>
      </c>
    </row>
    <row r="707" customFormat="false" ht="15" hidden="false" customHeight="false" outlineLevel="0" collapsed="false">
      <c r="A707" s="28" t="n">
        <v>46079</v>
      </c>
      <c r="B707" s="0" t="n">
        <v>25635</v>
      </c>
      <c r="C707" s="0" t="n">
        <v>288.65</v>
      </c>
      <c r="D707" s="29" t="n">
        <f aca="false">LN(B707)</f>
        <v>10.1517138842178</v>
      </c>
      <c r="E707" s="29" t="n">
        <f aca="false">LN(C707)</f>
        <v>5.66521488150694</v>
      </c>
      <c r="F707" s="0" t="n">
        <v>702</v>
      </c>
      <c r="G707" s="0" t="n">
        <v>32</v>
      </c>
      <c r="H707" s="29" t="n">
        <f aca="false">D707-E707</f>
        <v>4.48649900271086</v>
      </c>
      <c r="I707" s="29" t="n">
        <f aca="false">D707-D706</f>
        <v>0.000362851077024828</v>
      </c>
      <c r="J707" s="29" t="n">
        <f aca="false">E707-E706</f>
        <v>0.000173235167172159</v>
      </c>
      <c r="K707" s="0" t="n">
        <v>0</v>
      </c>
      <c r="L707" s="0" t="n">
        <v>0</v>
      </c>
      <c r="M707" s="29" t="n">
        <f aca="false">IF(L707=1,J707-Carry!$B$9/Inputs!$B$16,I707)</f>
        <v>0.000362851077024828</v>
      </c>
      <c r="N707" s="0" t="n">
        <v>0.0525</v>
      </c>
      <c r="O707" s="0" t="n">
        <v>0.0002</v>
      </c>
      <c r="P707" s="29" t="n">
        <f aca="false">D707-('2 Hedge ratio'!$B$6+'2 Hedge ratio'!$B$5*E707)</f>
        <v>-0.000161146961639602</v>
      </c>
      <c r="Q707" s="29" t="n">
        <f aca="false">D707-('5 Re-specification'!$B$7+'5 Re-specification'!$B$5*E707+'5 Re-specification'!$B$6*F707)</f>
        <v>0.00400679688534922</v>
      </c>
      <c r="R707" s="30" t="n">
        <f aca="false">MIN(F707,Inputs!$B$9)</f>
        <v>250</v>
      </c>
      <c r="S707" s="29" t="n">
        <f aca="true">IF(AND(F707&gt;=1,R707&gt;=Inputs!$B$10),INDEX(LINEST(OFFSET(D707,-R707,0,R707,1),OFFSET(E707,-R707,0,R707,2)),1,1),"")</f>
        <v>-6.55515044286885E-005</v>
      </c>
      <c r="T707" s="29" t="n">
        <f aca="true">IF(AND(F707&gt;=1,R707&gt;=Inputs!$B$10),INDEX(LINEST(OFFSET(D707,-R707,0,R707,1),OFFSET(E707,-R707,0,R707,2)),1,2),"")</f>
        <v>1.02133239257666</v>
      </c>
      <c r="U707" s="29" t="n">
        <f aca="true">IF(AND(F707&gt;=1,R707&gt;=Inputs!$B$10),INDEX(LINEST(OFFSET(D707,-R707,0,R707,1),OFFSET(E707,-R707,0,R707,2)),1,3),"")</f>
        <v>4.40600298385173</v>
      </c>
      <c r="V707" s="29" t="n">
        <f aca="true">IF(AND(F707&gt;=1,R707&gt;=Inputs!$B$10),SQRT(SUMPRODUCT((OFFSET(D707,-R707,0,R707,1)-U707-T707*OFFSET(E707,-R707,0,R707,1)-S707*OFFSET(F707,-R707,0,R707,1))^2)/(R707-3)),"")</f>
        <v>0.00228741408590926</v>
      </c>
      <c r="W707" s="31" t="n">
        <f aca="false">IF(AND(F707&gt;=1,R707&gt;=Inputs!$B$10),(D707-U707-T707*E707-S707*F707)/V707,"")</f>
        <v>2.47466653259976</v>
      </c>
      <c r="X707" s="30" t="n">
        <f aca="false">IF(AB706&lt;&gt;0,AC706+1,0)</f>
        <v>1</v>
      </c>
      <c r="Y707" s="30" t="n">
        <f aca="false">IF(W707="",0,IF(AND(AB706&lt;&gt;0,OR(ABS(W707)&gt;Inputs!$B$7,X707&gt;=Inputs!$B$8,ABS(W707)&lt;Inputs!$B$6)),1,0))</f>
        <v>0</v>
      </c>
      <c r="Z707" s="30" t="n">
        <f aca="false">IF(Y707=1,0,AB706)</f>
        <v>-1</v>
      </c>
      <c r="AA707" s="30" t="n">
        <f aca="false">IF(W707="",0,IF(AND(Z707=0,ABS(W707)&gt;Inputs!$B$5,ABS(W707)&lt;=Inputs!$B$7),1,0))</f>
        <v>0</v>
      </c>
      <c r="AB707" s="30" t="n">
        <f aca="false">IF(W707="",0,IF(AA707=1,-SIGN(W707),Z707))</f>
        <v>-1</v>
      </c>
      <c r="AC707" s="30" t="n">
        <f aca="false">IF(W707="",0,IF(AA707=1,0,IF(Y707=1,0,X707)))</f>
        <v>1</v>
      </c>
      <c r="AD707" s="29" t="n">
        <f aca="false">IF(AB707=0,0,IF(AB706=AB707,AD706,T707))</f>
        <v>1.0232593132565</v>
      </c>
      <c r="AE707" s="30" t="n">
        <f aca="false">AB707-AB706</f>
        <v>0</v>
      </c>
      <c r="AF707" s="30" t="n">
        <f aca="false">-AD707*AB707</f>
        <v>1.0232593132565</v>
      </c>
      <c r="AG707" s="30" t="n">
        <f aca="false">AF707-AF706</f>
        <v>0</v>
      </c>
      <c r="AH707" s="30" t="n">
        <f aca="false">MAX(AE707,0)*(Inputs!$B$17+Inputs!$B$18+Inputs!$B$19)+MAX(-AE707,0)*(O707+Inputs!$B$18+Inputs!$B$19)+IF(AND(K707=1,AB707&lt;&gt;0),(Inputs!$B$17+Inputs!$B$18+Inputs!$B$19)+(O707+Inputs!$B$18+Inputs!$B$19),0)+MAX(AG707,0)*(Inputs!$B$20+Inputs!$B$22+Inputs!$B$23)+MAX(-AG707,0)*(Inputs!$B$21+Inputs!$B$22+Inputs!$B$23)</f>
        <v>0</v>
      </c>
      <c r="AI707" s="30" t="n">
        <f aca="false">AB706*(M707-AD706*J707)+AB706*AD706*N707/Inputs!$B$16-AH707</f>
        <v>-0.000398765602427474</v>
      </c>
      <c r="AJ707" s="30" t="n">
        <f aca="false">MAX(AE707,0)*(Inputs!$B$17+Inputs!$B$24+Inputs!$B$25)+MAX(-AE707,0)*(O707+Inputs!$B$24+Inputs!$B$25)+IF(AND(K707=1,AB707&lt;&gt;0),(Inputs!$B$17+Inputs!$B$24+Inputs!$B$25)+(O707+Inputs!$B$24+Inputs!$B$25),0)+MAX(AG707,0)*(Inputs!$B$20+Inputs!$B$26+Inputs!$B$27)+MAX(-AG707,0)*(Inputs!$B$21+Inputs!$B$26+Inputs!$B$27)</f>
        <v>0</v>
      </c>
      <c r="AK707" s="30" t="n">
        <f aca="false">AB706*(M707-AD706*J707)+AB706*AD706*(N707+Inputs!$B$14)/Inputs!$B$16-AJ707</f>
        <v>-0.000429219748655346</v>
      </c>
      <c r="AL707" s="30" t="n">
        <f aca="false">IF(AP706&lt;&gt;0,AQ706+1,0)</f>
        <v>1</v>
      </c>
      <c r="AM707" s="30" t="n">
        <f aca="false">IF(W707="",0,IF(AND(AP706&lt;&gt;0,OR(ABS(W707)&gt;Inputs!$B$7,AL707&gt;=Inputs!$B$8,ABS(W707)&lt;Inputs!$B$6)),1,0))</f>
        <v>0</v>
      </c>
      <c r="AN707" s="30" t="n">
        <f aca="false">IF(AM707=1,0,AP706)</f>
        <v>-1</v>
      </c>
      <c r="AO707" s="30" t="n">
        <f aca="false">IF(W707="",0,IF(AND(AN707=0,ABS(W707)&gt;Inputs!$B$5,ABS(W707)&lt;=Inputs!$B$7,W707&gt;0),1,0))</f>
        <v>0</v>
      </c>
      <c r="AP707" s="30" t="n">
        <f aca="false">IF(W707="",0,IF(AO707=1,-SIGN(W707),AN707))</f>
        <v>-1</v>
      </c>
      <c r="AQ707" s="30" t="n">
        <f aca="false">IF(W707="",0,IF(AO707=1,0,IF(AM707=1,0,AL707)))</f>
        <v>1</v>
      </c>
      <c r="AR707" s="29" t="n">
        <f aca="false">IF(AP707=0,0,IF(AP706=AP707,AR706,T707))</f>
        <v>1.0232593132565</v>
      </c>
      <c r="AS707" s="30" t="n">
        <f aca="false">AP707-AP706</f>
        <v>0</v>
      </c>
      <c r="AT707" s="30" t="n">
        <f aca="false">-AR707*AP707</f>
        <v>1.0232593132565</v>
      </c>
      <c r="AU707" s="30" t="n">
        <f aca="false">AT707-AT706</f>
        <v>0</v>
      </c>
      <c r="AV707" s="30" t="n">
        <f aca="false">MAX(AS707,0)*(Inputs!$B$17+Inputs!$B$18+Inputs!$B$19)+MAX(-AS707,0)*(O707+Inputs!$B$18+Inputs!$B$19)+IF(AND(K707=1,AP707&lt;&gt;0),(Inputs!$B$17+Inputs!$B$18+Inputs!$B$19)+(O707+Inputs!$B$18+Inputs!$B$19),0)+MAX(AU707,0)*(Inputs!$B$20+Inputs!$B$22+Inputs!$B$23)+MAX(-AU707,0)*(Inputs!$B$21+Inputs!$B$22+Inputs!$B$23)</f>
        <v>0</v>
      </c>
      <c r="AW707" s="30" t="n">
        <f aca="false">AP706*(M707-AR706*J707)+AP706*AR706*N707/Inputs!$B$16-AV707</f>
        <v>-0.000398765602427474</v>
      </c>
      <c r="AX707" s="30" t="n">
        <f aca="false">AW707-IF(AP706&lt;&gt;0,0.75*AR706*(Inputs!$B$13-N707)/Inputs!$B$16,0)</f>
        <v>-0.000665239381921353</v>
      </c>
      <c r="AY707" s="30" t="n">
        <f aca="false">MAX(AS707,0)*(Inputs!$B$17+Inputs!$B$18+Inputs!$B$19)+MAX(-AS707,0)*(O707+Inputs!$B$18+Inputs!$B$19)+IF(AND(K707=1,AP707&lt;&gt;0),(Inputs!$B$17+Inputs!$B$18+Inputs!$B$19)+(O707+Inputs!$B$18+Inputs!$B$19),0)</f>
        <v>0</v>
      </c>
      <c r="AZ707" s="30" t="n">
        <f aca="false">AP706*M707-AY707</f>
        <v>-0.000362851077024828</v>
      </c>
      <c r="BA707" s="32" t="n">
        <f aca="false">BA706+AI707</f>
        <v>0.018238096836245</v>
      </c>
      <c r="BB707" s="30" t="n">
        <f aca="false">MAX(BB706,BA707)</f>
        <v>0.0261726191772394</v>
      </c>
      <c r="BC707" s="32" t="n">
        <f aca="false">BA707-BB707</f>
        <v>-0.00793452234099436</v>
      </c>
      <c r="BD707" s="30" t="n">
        <f aca="false">A708-A707</f>
        <v>1</v>
      </c>
    </row>
    <row r="708" customFormat="false" ht="15" hidden="false" customHeight="false" outlineLevel="0" collapsed="false">
      <c r="A708" s="28" t="n">
        <v>46080</v>
      </c>
      <c r="B708" s="0" t="n">
        <v>25335.5</v>
      </c>
      <c r="C708" s="0" t="n">
        <v>285.97</v>
      </c>
      <c r="D708" s="29" t="n">
        <f aca="false">LN(B708)</f>
        <v>10.139961853259</v>
      </c>
      <c r="E708" s="29" t="n">
        <f aca="false">LN(C708)</f>
        <v>5.65588691021308</v>
      </c>
      <c r="F708" s="0" t="n">
        <v>703</v>
      </c>
      <c r="G708" s="0" t="n">
        <v>31</v>
      </c>
      <c r="H708" s="29" t="n">
        <f aca="false">D708-E708</f>
        <v>4.4840749430459</v>
      </c>
      <c r="I708" s="29" t="n">
        <f aca="false">D708-D707</f>
        <v>-0.011752030958819</v>
      </c>
      <c r="J708" s="29" t="n">
        <f aca="false">E708-E707</f>
        <v>-0.0093279712938612</v>
      </c>
      <c r="K708" s="0" t="n">
        <v>0</v>
      </c>
      <c r="L708" s="0" t="n">
        <v>0</v>
      </c>
      <c r="M708" s="29" t="n">
        <f aca="false">IF(L708=1,J708-Carry!$B$9/Inputs!$B$16,I708)</f>
        <v>-0.011752030958819</v>
      </c>
      <c r="N708" s="0" t="n">
        <v>0.0525</v>
      </c>
      <c r="O708" s="0" t="n">
        <v>0.0002</v>
      </c>
      <c r="P708" s="29" t="n">
        <f aca="false">D708-('2 Hedge ratio'!$B$6+'2 Hedge ratio'!$B$5*E708)</f>
        <v>-0.00336757380866715</v>
      </c>
      <c r="Q708" s="29" t="n">
        <f aca="false">D708-('5 Re-specification'!$B$7+'5 Re-specification'!$B$5*E708+'5 Re-specification'!$B$6*F708)</f>
        <v>0.00159939812128229</v>
      </c>
      <c r="R708" s="30" t="n">
        <f aca="false">MIN(F708,Inputs!$B$9)</f>
        <v>250</v>
      </c>
      <c r="S708" s="29" t="n">
        <f aca="true">IF(AND(F708&gt;=1,R708&gt;=Inputs!$B$10),INDEX(LINEST(OFFSET(D708,-R708,0,R708,1),OFFSET(E708,-R708,0,R708,2)),1,1),"")</f>
        <v>-6.42390509474041E-005</v>
      </c>
      <c r="T708" s="29" t="n">
        <f aca="true">IF(AND(F708&gt;=1,R708&gt;=Inputs!$B$10),INDEX(LINEST(OFFSET(D708,-R708,0,R708,1),OFFSET(E708,-R708,0,R708,2)),1,2),"")</f>
        <v>1.01925232492909</v>
      </c>
      <c r="U708" s="29" t="n">
        <f aca="true">IF(AND(F708&gt;=1,R708&gt;=Inputs!$B$10),INDEX(LINEST(OFFSET(D708,-R708,0,R708,1),OFFSET(E708,-R708,0,R708,2)),1,3),"")</f>
        <v>4.41700666401372</v>
      </c>
      <c r="V708" s="29" t="n">
        <f aca="true">IF(AND(F708&gt;=1,R708&gt;=Inputs!$B$10),SQRT(SUMPRODUCT((OFFSET(D708,-R708,0,R708,1)-U708-T708*OFFSET(E708,-R708,0,R708,1)-S708*OFFSET(F708,-R708,0,R708,1))^2)/(R708-3)),"")</f>
        <v>0.00230676062312568</v>
      </c>
      <c r="W708" s="31" t="n">
        <f aca="false">IF(AND(F708&gt;=1,R708&gt;=Inputs!$B$10),(D708-U708-T708*E708-S708*F708)/V708,"")</f>
        <v>1.44764014832139</v>
      </c>
      <c r="X708" s="30" t="n">
        <f aca="false">IF(AB707&lt;&gt;0,AC707+1,0)</f>
        <v>2</v>
      </c>
      <c r="Y708" s="30" t="n">
        <f aca="false">IF(W708="",0,IF(AND(AB707&lt;&gt;0,OR(ABS(W708)&gt;Inputs!$B$7,X708&gt;=Inputs!$B$8,ABS(W708)&lt;Inputs!$B$6)),1,0))</f>
        <v>0</v>
      </c>
      <c r="Z708" s="30" t="n">
        <f aca="false">IF(Y708=1,0,AB707)</f>
        <v>-1</v>
      </c>
      <c r="AA708" s="30" t="n">
        <f aca="false">IF(W708="",0,IF(AND(Z708=0,ABS(W708)&gt;Inputs!$B$5,ABS(W708)&lt;=Inputs!$B$7),1,0))</f>
        <v>0</v>
      </c>
      <c r="AB708" s="30" t="n">
        <f aca="false">IF(W708="",0,IF(AA708=1,-SIGN(W708),Z708))</f>
        <v>-1</v>
      </c>
      <c r="AC708" s="30" t="n">
        <f aca="false">IF(W708="",0,IF(AA708=1,0,IF(Y708=1,0,X708)))</f>
        <v>2</v>
      </c>
      <c r="AD708" s="29" t="n">
        <f aca="false">IF(AB708=0,0,IF(AB707=AB708,AD707,T708))</f>
        <v>1.0232593132565</v>
      </c>
      <c r="AE708" s="30" t="n">
        <f aca="false">AB708-AB707</f>
        <v>0</v>
      </c>
      <c r="AF708" s="30" t="n">
        <f aca="false">-AD708*AB708</f>
        <v>1.0232593132565</v>
      </c>
      <c r="AG708" s="30" t="n">
        <f aca="false">AF708-AF707</f>
        <v>0</v>
      </c>
      <c r="AH708" s="30" t="n">
        <f aca="false">MAX(AE708,0)*(Inputs!$B$17+Inputs!$B$18+Inputs!$B$19)+MAX(-AE708,0)*(O708+Inputs!$B$18+Inputs!$B$19)+IF(AND(K708=1,AB708&lt;&gt;0),(Inputs!$B$17+Inputs!$B$18+Inputs!$B$19)+(O708+Inputs!$B$18+Inputs!$B$19),0)+MAX(AG708,0)*(Inputs!$B$20+Inputs!$B$22+Inputs!$B$23)+MAX(-AG708,0)*(Inputs!$B$21+Inputs!$B$22+Inputs!$B$23)</f>
        <v>0</v>
      </c>
      <c r="AI708" s="30" t="n">
        <f aca="false">AB707*(M708-AD707*J708)+AB707*AD707*N708/Inputs!$B$16-AH708</f>
        <v>0.00199391843499123</v>
      </c>
      <c r="AJ708" s="30" t="n">
        <f aca="false">MAX(AE708,0)*(Inputs!$B$17+Inputs!$B$24+Inputs!$B$25)+MAX(-AE708,0)*(O708+Inputs!$B$24+Inputs!$B$25)+IF(AND(K708=1,AB708&lt;&gt;0),(Inputs!$B$17+Inputs!$B$24+Inputs!$B$25)+(O708+Inputs!$B$24+Inputs!$B$25),0)+MAX(AG708,0)*(Inputs!$B$20+Inputs!$B$26+Inputs!$B$27)+MAX(-AG708,0)*(Inputs!$B$21+Inputs!$B$26+Inputs!$B$27)</f>
        <v>0</v>
      </c>
      <c r="AK708" s="30" t="n">
        <f aca="false">AB707*(M708-AD707*J708)+AB707*AD707*(N708+Inputs!$B$14)/Inputs!$B$16-AJ708</f>
        <v>0.00196346428876335</v>
      </c>
      <c r="AL708" s="30" t="n">
        <f aca="false">IF(AP707&lt;&gt;0,AQ707+1,0)</f>
        <v>2</v>
      </c>
      <c r="AM708" s="30" t="n">
        <f aca="false">IF(W708="",0,IF(AND(AP707&lt;&gt;0,OR(ABS(W708)&gt;Inputs!$B$7,AL708&gt;=Inputs!$B$8,ABS(W708)&lt;Inputs!$B$6)),1,0))</f>
        <v>0</v>
      </c>
      <c r="AN708" s="30" t="n">
        <f aca="false">IF(AM708=1,0,AP707)</f>
        <v>-1</v>
      </c>
      <c r="AO708" s="30" t="n">
        <f aca="false">IF(W708="",0,IF(AND(AN708=0,ABS(W708)&gt;Inputs!$B$5,ABS(W708)&lt;=Inputs!$B$7,W708&gt;0),1,0))</f>
        <v>0</v>
      </c>
      <c r="AP708" s="30" t="n">
        <f aca="false">IF(W708="",0,IF(AO708=1,-SIGN(W708),AN708))</f>
        <v>-1</v>
      </c>
      <c r="AQ708" s="30" t="n">
        <f aca="false">IF(W708="",0,IF(AO708=1,0,IF(AM708=1,0,AL708)))</f>
        <v>2</v>
      </c>
      <c r="AR708" s="29" t="n">
        <f aca="false">IF(AP708=0,0,IF(AP707=AP708,AR707,T708))</f>
        <v>1.0232593132565</v>
      </c>
      <c r="AS708" s="30" t="n">
        <f aca="false">AP708-AP707</f>
        <v>0</v>
      </c>
      <c r="AT708" s="30" t="n">
        <f aca="false">-AR708*AP708</f>
        <v>1.0232593132565</v>
      </c>
      <c r="AU708" s="30" t="n">
        <f aca="false">AT708-AT707</f>
        <v>0</v>
      </c>
      <c r="AV708" s="30" t="n">
        <f aca="false">MAX(AS708,0)*(Inputs!$B$17+Inputs!$B$18+Inputs!$B$19)+MAX(-AS708,0)*(O708+Inputs!$B$18+Inputs!$B$19)+IF(AND(K708=1,AP708&lt;&gt;0),(Inputs!$B$17+Inputs!$B$18+Inputs!$B$19)+(O708+Inputs!$B$18+Inputs!$B$19),0)+MAX(AU708,0)*(Inputs!$B$20+Inputs!$B$22+Inputs!$B$23)+MAX(-AU708,0)*(Inputs!$B$21+Inputs!$B$22+Inputs!$B$23)</f>
        <v>0</v>
      </c>
      <c r="AW708" s="30" t="n">
        <f aca="false">AP707*(M708-AR707*J708)+AP707*AR707*N708/Inputs!$B$16-AV708</f>
        <v>0.00199391843499123</v>
      </c>
      <c r="AX708" s="30" t="n">
        <f aca="false">AW708-IF(AP707&lt;&gt;0,0.75*AR707*(Inputs!$B$13-N708)/Inputs!$B$16,0)</f>
        <v>0.00172744465549735</v>
      </c>
      <c r="AY708" s="30" t="n">
        <f aca="false">MAX(AS708,0)*(Inputs!$B$17+Inputs!$B$18+Inputs!$B$19)+MAX(-AS708,0)*(O708+Inputs!$B$18+Inputs!$B$19)+IF(AND(K708=1,AP708&lt;&gt;0),(Inputs!$B$17+Inputs!$B$18+Inputs!$B$19)+(O708+Inputs!$B$18+Inputs!$B$19),0)</f>
        <v>0</v>
      </c>
      <c r="AZ708" s="30" t="n">
        <f aca="false">AP707*M708-AY708</f>
        <v>0.011752030958819</v>
      </c>
      <c r="BA708" s="32" t="n">
        <f aca="false">BA707+AI708</f>
        <v>0.0202320152712363</v>
      </c>
      <c r="BB708" s="30" t="n">
        <f aca="false">MAX(BB707,BA708)</f>
        <v>0.0261726191772394</v>
      </c>
      <c r="BC708" s="32" t="n">
        <f aca="false">BA708-BB708</f>
        <v>-0.00594060390600314</v>
      </c>
      <c r="BD708" s="30" t="n">
        <f aca="false">A709-A708</f>
        <v>3</v>
      </c>
    </row>
    <row r="709" customFormat="false" ht="15" hidden="false" customHeight="false" outlineLevel="0" collapsed="false">
      <c r="A709" s="28" t="n">
        <v>46083</v>
      </c>
      <c r="B709" s="0" t="n">
        <v>24988</v>
      </c>
      <c r="C709" s="0" t="n">
        <v>282</v>
      </c>
      <c r="D709" s="29" t="n">
        <f aca="false">LN(B709)</f>
        <v>10.1261509886135</v>
      </c>
      <c r="E709" s="29" t="n">
        <f aca="false">LN(C709)</f>
        <v>5.64190707093811</v>
      </c>
      <c r="F709" s="0" t="n">
        <v>704</v>
      </c>
      <c r="G709" s="0" t="n">
        <v>28</v>
      </c>
      <c r="H709" s="29" t="n">
        <f aca="false">D709-E709</f>
        <v>4.48424391767535</v>
      </c>
      <c r="I709" s="29" t="n">
        <f aca="false">D709-D708</f>
        <v>-0.0138108646455208</v>
      </c>
      <c r="J709" s="29" t="n">
        <f aca="false">E709-E708</f>
        <v>-0.0139798392749677</v>
      </c>
      <c r="K709" s="0" t="n">
        <v>0</v>
      </c>
      <c r="L709" s="0" t="n">
        <v>0</v>
      </c>
      <c r="M709" s="29" t="n">
        <f aca="false">IF(L709=1,J709-Carry!$B$9/Inputs!$B$16,I709)</f>
        <v>-0.0138108646455208</v>
      </c>
      <c r="N709" s="0" t="n">
        <v>0.0525</v>
      </c>
      <c r="O709" s="0" t="n">
        <v>0.0002</v>
      </c>
      <c r="P709" s="29" t="n">
        <f aca="false">D709-('2 Hedge ratio'!$B$6+'2 Hedge ratio'!$B$5*E709)</f>
        <v>-0.00437113360442254</v>
      </c>
      <c r="Q709" s="29" t="n">
        <f aca="false">D709-('5 Re-specification'!$B$7+'5 Re-specification'!$B$5*E709+'5 Re-specification'!$B$6*F709)</f>
        <v>0.00177093616560597</v>
      </c>
      <c r="R709" s="30" t="n">
        <f aca="false">MIN(F709,Inputs!$B$9)</f>
        <v>250</v>
      </c>
      <c r="S709" s="29" t="n">
        <f aca="true">IF(AND(F709&gt;=1,R709&gt;=Inputs!$B$10),INDEX(LINEST(OFFSET(D709,-R709,0,R709,1),OFFSET(E709,-R709,0,R709,2)),1,1),"")</f>
        <v>-6.33171922779825E-005</v>
      </c>
      <c r="T709" s="29" t="n">
        <f aca="true">IF(AND(F709&gt;=1,R709&gt;=Inputs!$B$10),INDEX(LINEST(OFFSET(D709,-R709,0,R709,1),OFFSET(E709,-R709,0,R709,2)),1,2),"")</f>
        <v>1.017766151018</v>
      </c>
      <c r="U709" s="29" t="n">
        <f aca="true">IF(AND(F709&gt;=1,R709&gt;=Inputs!$B$10),INDEX(LINEST(OFFSET(D709,-R709,0,R709,1),OFFSET(E709,-R709,0,R709,2)),1,3),"")</f>
        <v>4.42487210843118</v>
      </c>
      <c r="V709" s="29" t="n">
        <f aca="true">IF(AND(F709&gt;=1,R709&gt;=Inputs!$B$10),SQRT(SUMPRODUCT((OFFSET(D709,-R709,0,R709,1)-U709-T709*OFFSET(E709,-R709,0,R709,1)-S709*OFFSET(F709,-R709,0,R709,1))^2)/(R709-3)),"")</f>
        <v>0.00231419147354122</v>
      </c>
      <c r="W709" s="31" t="n">
        <f aca="false">IF(AND(F709&gt;=1,R709&gt;=Inputs!$B$10),(D709-U709-T709*E709-S709*F709)/V709,"")</f>
        <v>1.60407623937202</v>
      </c>
      <c r="X709" s="30" t="n">
        <f aca="false">IF(AB708&lt;&gt;0,AC708+1,0)</f>
        <v>3</v>
      </c>
      <c r="Y709" s="30" t="n">
        <f aca="false">IF(W709="",0,IF(AND(AB708&lt;&gt;0,OR(ABS(W709)&gt;Inputs!$B$7,X709&gt;=Inputs!$B$8,ABS(W709)&lt;Inputs!$B$6)),1,0))</f>
        <v>0</v>
      </c>
      <c r="Z709" s="30" t="n">
        <f aca="false">IF(Y709=1,0,AB708)</f>
        <v>-1</v>
      </c>
      <c r="AA709" s="30" t="n">
        <f aca="false">IF(W709="",0,IF(AND(Z709=0,ABS(W709)&gt;Inputs!$B$5,ABS(W709)&lt;=Inputs!$B$7),1,0))</f>
        <v>0</v>
      </c>
      <c r="AB709" s="30" t="n">
        <f aca="false">IF(W709="",0,IF(AA709=1,-SIGN(W709),Z709))</f>
        <v>-1</v>
      </c>
      <c r="AC709" s="30" t="n">
        <f aca="false">IF(W709="",0,IF(AA709=1,0,IF(Y709=1,0,X709)))</f>
        <v>3</v>
      </c>
      <c r="AD709" s="29" t="n">
        <f aca="false">IF(AB709=0,0,IF(AB708=AB709,AD708,T709))</f>
        <v>1.0232593132565</v>
      </c>
      <c r="AE709" s="30" t="n">
        <f aca="false">AB709-AB708</f>
        <v>0</v>
      </c>
      <c r="AF709" s="30" t="n">
        <f aca="false">-AD709*AB709</f>
        <v>1.0232593132565</v>
      </c>
      <c r="AG709" s="30" t="n">
        <f aca="false">AF709-AF708</f>
        <v>0</v>
      </c>
      <c r="AH709" s="30" t="n">
        <f aca="false">MAX(AE709,0)*(Inputs!$B$17+Inputs!$B$18+Inputs!$B$19)+MAX(-AE709,0)*(O709+Inputs!$B$18+Inputs!$B$19)+IF(AND(K709=1,AB709&lt;&gt;0),(Inputs!$B$17+Inputs!$B$18+Inputs!$B$19)+(O709+Inputs!$B$18+Inputs!$B$19),0)+MAX(AG709,0)*(Inputs!$B$20+Inputs!$B$22+Inputs!$B$23)+MAX(-AG709,0)*(Inputs!$B$21+Inputs!$B$22+Inputs!$B$23)</f>
        <v>0</v>
      </c>
      <c r="AI709" s="30" t="n">
        <f aca="false">AB708*(M709-AD708*J709)+AB708*AD708*N709/Inputs!$B$16-AH709</f>
        <v>-0.000707315114013909</v>
      </c>
      <c r="AJ709" s="30" t="n">
        <f aca="false">MAX(AE709,0)*(Inputs!$B$17+Inputs!$B$24+Inputs!$B$25)+MAX(-AE709,0)*(O709+Inputs!$B$24+Inputs!$B$25)+IF(AND(K709=1,AB709&lt;&gt;0),(Inputs!$B$17+Inputs!$B$24+Inputs!$B$25)+(O709+Inputs!$B$24+Inputs!$B$25),0)+MAX(AG709,0)*(Inputs!$B$20+Inputs!$B$26+Inputs!$B$27)+MAX(-AG709,0)*(Inputs!$B$21+Inputs!$B$26+Inputs!$B$27)</f>
        <v>0</v>
      </c>
      <c r="AK709" s="30" t="n">
        <f aca="false">AB708*(M709-AD708*J709)+AB708*AD708*(N709+Inputs!$B$14)/Inputs!$B$16-AJ709</f>
        <v>-0.000737769260241781</v>
      </c>
      <c r="AL709" s="30" t="n">
        <f aca="false">IF(AP708&lt;&gt;0,AQ708+1,0)</f>
        <v>3</v>
      </c>
      <c r="AM709" s="30" t="n">
        <f aca="false">IF(W709="",0,IF(AND(AP708&lt;&gt;0,OR(ABS(W709)&gt;Inputs!$B$7,AL709&gt;=Inputs!$B$8,ABS(W709)&lt;Inputs!$B$6)),1,0))</f>
        <v>0</v>
      </c>
      <c r="AN709" s="30" t="n">
        <f aca="false">IF(AM709=1,0,AP708)</f>
        <v>-1</v>
      </c>
      <c r="AO709" s="30" t="n">
        <f aca="false">IF(W709="",0,IF(AND(AN709=0,ABS(W709)&gt;Inputs!$B$5,ABS(W709)&lt;=Inputs!$B$7,W709&gt;0),1,0))</f>
        <v>0</v>
      </c>
      <c r="AP709" s="30" t="n">
        <f aca="false">IF(W709="",0,IF(AO709=1,-SIGN(W709),AN709))</f>
        <v>-1</v>
      </c>
      <c r="AQ709" s="30" t="n">
        <f aca="false">IF(W709="",0,IF(AO709=1,0,IF(AM709=1,0,AL709)))</f>
        <v>3</v>
      </c>
      <c r="AR709" s="29" t="n">
        <f aca="false">IF(AP709=0,0,IF(AP708=AP709,AR708,T709))</f>
        <v>1.0232593132565</v>
      </c>
      <c r="AS709" s="30" t="n">
        <f aca="false">AP709-AP708</f>
        <v>0</v>
      </c>
      <c r="AT709" s="30" t="n">
        <f aca="false">-AR709*AP709</f>
        <v>1.0232593132565</v>
      </c>
      <c r="AU709" s="30" t="n">
        <f aca="false">AT709-AT708</f>
        <v>0</v>
      </c>
      <c r="AV709" s="30" t="n">
        <f aca="false">MAX(AS709,0)*(Inputs!$B$17+Inputs!$B$18+Inputs!$B$19)+MAX(-AS709,0)*(O709+Inputs!$B$18+Inputs!$B$19)+IF(AND(K709=1,AP709&lt;&gt;0),(Inputs!$B$17+Inputs!$B$18+Inputs!$B$19)+(O709+Inputs!$B$18+Inputs!$B$19),0)+MAX(AU709,0)*(Inputs!$B$20+Inputs!$B$22+Inputs!$B$23)+MAX(-AU709,0)*(Inputs!$B$21+Inputs!$B$22+Inputs!$B$23)</f>
        <v>0</v>
      </c>
      <c r="AW709" s="30" t="n">
        <f aca="false">AP708*(M709-AR708*J709)+AP708*AR708*N709/Inputs!$B$16-AV709</f>
        <v>-0.000707315114013909</v>
      </c>
      <c r="AX709" s="30" t="n">
        <f aca="false">AW709-IF(AP708&lt;&gt;0,0.75*AR708*(Inputs!$B$13-N709)/Inputs!$B$16,0)</f>
        <v>-0.000973788893507788</v>
      </c>
      <c r="AY709" s="30" t="n">
        <f aca="false">MAX(AS709,0)*(Inputs!$B$17+Inputs!$B$18+Inputs!$B$19)+MAX(-AS709,0)*(O709+Inputs!$B$18+Inputs!$B$19)+IF(AND(K709=1,AP709&lt;&gt;0),(Inputs!$B$17+Inputs!$B$18+Inputs!$B$19)+(O709+Inputs!$B$18+Inputs!$B$19),0)</f>
        <v>0</v>
      </c>
      <c r="AZ709" s="30" t="n">
        <f aca="false">AP708*M709-AY709</f>
        <v>0.0138108646455208</v>
      </c>
      <c r="BA709" s="32" t="n">
        <f aca="false">BA708+AI709</f>
        <v>0.0195247001572224</v>
      </c>
      <c r="BB709" s="30" t="n">
        <f aca="false">MAX(BB708,BA709)</f>
        <v>0.0261726191772394</v>
      </c>
      <c r="BC709" s="32" t="n">
        <f aca="false">BA709-BB709</f>
        <v>-0.00664791902001705</v>
      </c>
      <c r="BD709" s="30" t="n">
        <f aca="false">A710-A709</f>
        <v>2</v>
      </c>
    </row>
    <row r="710" customFormat="false" ht="15" hidden="false" customHeight="false" outlineLevel="0" collapsed="false">
      <c r="A710" s="28" t="n">
        <v>46085</v>
      </c>
      <c r="B710" s="0" t="n">
        <v>24578.3</v>
      </c>
      <c r="C710" s="0" t="n">
        <v>277.7</v>
      </c>
      <c r="D710" s="29" t="n">
        <f aca="false">LN(B710)</f>
        <v>10.109619218808</v>
      </c>
      <c r="E710" s="29" t="n">
        <f aca="false">LN(C710)</f>
        <v>5.62654139431275</v>
      </c>
      <c r="F710" s="0" t="n">
        <v>705</v>
      </c>
      <c r="G710" s="0" t="n">
        <v>26</v>
      </c>
      <c r="H710" s="29" t="n">
        <f aca="false">D710-E710</f>
        <v>4.48307782449522</v>
      </c>
      <c r="I710" s="29" t="n">
        <f aca="false">D710-D709</f>
        <v>-0.016531769805491</v>
      </c>
      <c r="J710" s="29" t="n">
        <f aca="false">E710-E709</f>
        <v>-0.0153656766253603</v>
      </c>
      <c r="K710" s="0" t="n">
        <v>0</v>
      </c>
      <c r="L710" s="0" t="n">
        <v>0</v>
      </c>
      <c r="M710" s="29" t="n">
        <f aca="false">IF(L710=1,J710-Carry!$B$9/Inputs!$B$16,I710)</f>
        <v>-0.016531769805491</v>
      </c>
      <c r="N710" s="0" t="n">
        <v>0.0525</v>
      </c>
      <c r="O710" s="0" t="n">
        <v>0.0002</v>
      </c>
      <c r="P710" s="29" t="n">
        <f aca="false">D710-('2 Hedge ratio'!$B$6+'2 Hedge ratio'!$B$5*E710)</f>
        <v>-0.00682599587949007</v>
      </c>
      <c r="Q710" s="29" t="n">
        <f aca="false">D710-('5 Re-specification'!$B$7+'5 Re-specification'!$B$5*E710+'5 Re-specification'!$B$6*F710)</f>
        <v>0.000603206620235497</v>
      </c>
      <c r="R710" s="30" t="n">
        <f aca="false">MIN(F710,Inputs!$B$9)</f>
        <v>250</v>
      </c>
      <c r="S710" s="29" t="n">
        <f aca="true">IF(AND(F710&gt;=1,R710&gt;=Inputs!$B$10),INDEX(LINEST(OFFSET(D710,-R710,0,R710,1),OFFSET(E710,-R710,0,R710,2)),1,1),"")</f>
        <v>-6.21068076305172E-005</v>
      </c>
      <c r="T710" s="29" t="n">
        <f aca="true">IF(AND(F710&gt;=1,R710&gt;=Inputs!$B$10),INDEX(LINEST(OFFSET(D710,-R710,0,R710,1),OFFSET(E710,-R710,0,R710,2)),1,2),"")</f>
        <v>1.01560320431446</v>
      </c>
      <c r="U710" s="29" t="n">
        <f aca="true">IF(AND(F710&gt;=1,R710&gt;=Inputs!$B$10),INDEX(LINEST(OFFSET(D710,-R710,0,R710,1),OFFSET(E710,-R710,0,R710,2)),1,3),"")</f>
        <v>4.43639040623954</v>
      </c>
      <c r="V710" s="29" t="n">
        <f aca="true">IF(AND(F710&gt;=1,R710&gt;=Inputs!$B$10),SQRT(SUMPRODUCT((OFFSET(D710,-R710,0,R710,1)-U710-T710*OFFSET(E710,-R710,0,R710,1)-S710*OFFSET(F710,-R710,0,R710,1))^2)/(R710-3)),"")</f>
        <v>0.0023213786331486</v>
      </c>
      <c r="W710" s="31" t="n">
        <f aca="false">IF(AND(F710&gt;=1,R710&gt;=Inputs!$B$10),(D710-U710-T710*E710-S710*F710)/V710,"")</f>
        <v>1.1547632246109</v>
      </c>
      <c r="X710" s="30" t="n">
        <f aca="false">IF(AB709&lt;&gt;0,AC709+1,0)</f>
        <v>4</v>
      </c>
      <c r="Y710" s="30" t="n">
        <f aca="false">IF(W710="",0,IF(AND(AB709&lt;&gt;0,OR(ABS(W710)&gt;Inputs!$B$7,X710&gt;=Inputs!$B$8,ABS(W710)&lt;Inputs!$B$6)),1,0))</f>
        <v>0</v>
      </c>
      <c r="Z710" s="30" t="n">
        <f aca="false">IF(Y710=1,0,AB709)</f>
        <v>-1</v>
      </c>
      <c r="AA710" s="30" t="n">
        <f aca="false">IF(W710="",0,IF(AND(Z710=0,ABS(W710)&gt;Inputs!$B$5,ABS(W710)&lt;=Inputs!$B$7),1,0))</f>
        <v>0</v>
      </c>
      <c r="AB710" s="30" t="n">
        <f aca="false">IF(W710="",0,IF(AA710=1,-SIGN(W710),Z710))</f>
        <v>-1</v>
      </c>
      <c r="AC710" s="30" t="n">
        <f aca="false">IF(W710="",0,IF(AA710=1,0,IF(Y710=1,0,X710)))</f>
        <v>4</v>
      </c>
      <c r="AD710" s="29" t="n">
        <f aca="false">IF(AB710=0,0,IF(AB709=AB710,AD709,T710))</f>
        <v>1.0232593132565</v>
      </c>
      <c r="AE710" s="30" t="n">
        <f aca="false">AB710-AB709</f>
        <v>0</v>
      </c>
      <c r="AF710" s="30" t="n">
        <f aca="false">-AD710*AB710</f>
        <v>1.0232593132565</v>
      </c>
      <c r="AG710" s="30" t="n">
        <f aca="false">AF710-AF709</f>
        <v>0</v>
      </c>
      <c r="AH710" s="30" t="n">
        <f aca="false">MAX(AE710,0)*(Inputs!$B$17+Inputs!$B$18+Inputs!$B$19)+MAX(-AE710,0)*(O710+Inputs!$B$18+Inputs!$B$19)+IF(AND(K710=1,AB710&lt;&gt;0),(Inputs!$B$17+Inputs!$B$18+Inputs!$B$19)+(O710+Inputs!$B$18+Inputs!$B$19),0)+MAX(AG710,0)*(Inputs!$B$20+Inputs!$B$22+Inputs!$B$23)+MAX(-AG710,0)*(Inputs!$B$21+Inputs!$B$22+Inputs!$B$23)</f>
        <v>0</v>
      </c>
      <c r="AI710" s="30" t="n">
        <f aca="false">AB709*(M710-AD709*J710)+AB709*AD709*N710/Inputs!$B$16-AH710</f>
        <v>0.000595519070508354</v>
      </c>
      <c r="AJ710" s="30" t="n">
        <f aca="false">MAX(AE710,0)*(Inputs!$B$17+Inputs!$B$24+Inputs!$B$25)+MAX(-AE710,0)*(O710+Inputs!$B$24+Inputs!$B$25)+IF(AND(K710=1,AB710&lt;&gt;0),(Inputs!$B$17+Inputs!$B$24+Inputs!$B$25)+(O710+Inputs!$B$24+Inputs!$B$25),0)+MAX(AG710,0)*(Inputs!$B$20+Inputs!$B$26+Inputs!$B$27)+MAX(-AG710,0)*(Inputs!$B$21+Inputs!$B$26+Inputs!$B$27)</f>
        <v>0</v>
      </c>
      <c r="AK710" s="30" t="n">
        <f aca="false">AB709*(M710-AD709*J710)+AB709*AD709*(N710+Inputs!$B$14)/Inputs!$B$16-AJ710</f>
        <v>0.000565064924280483</v>
      </c>
      <c r="AL710" s="30" t="n">
        <f aca="false">IF(AP709&lt;&gt;0,AQ709+1,0)</f>
        <v>4</v>
      </c>
      <c r="AM710" s="30" t="n">
        <f aca="false">IF(W710="",0,IF(AND(AP709&lt;&gt;0,OR(ABS(W710)&gt;Inputs!$B$7,AL710&gt;=Inputs!$B$8,ABS(W710)&lt;Inputs!$B$6)),1,0))</f>
        <v>0</v>
      </c>
      <c r="AN710" s="30" t="n">
        <f aca="false">IF(AM710=1,0,AP709)</f>
        <v>-1</v>
      </c>
      <c r="AO710" s="30" t="n">
        <f aca="false">IF(W710="",0,IF(AND(AN710=0,ABS(W710)&gt;Inputs!$B$5,ABS(W710)&lt;=Inputs!$B$7,W710&gt;0),1,0))</f>
        <v>0</v>
      </c>
      <c r="AP710" s="30" t="n">
        <f aca="false">IF(W710="",0,IF(AO710=1,-SIGN(W710),AN710))</f>
        <v>-1</v>
      </c>
      <c r="AQ710" s="30" t="n">
        <f aca="false">IF(W710="",0,IF(AO710=1,0,IF(AM710=1,0,AL710)))</f>
        <v>4</v>
      </c>
      <c r="AR710" s="29" t="n">
        <f aca="false">IF(AP710=0,0,IF(AP709=AP710,AR709,T710))</f>
        <v>1.0232593132565</v>
      </c>
      <c r="AS710" s="30" t="n">
        <f aca="false">AP710-AP709</f>
        <v>0</v>
      </c>
      <c r="AT710" s="30" t="n">
        <f aca="false">-AR710*AP710</f>
        <v>1.0232593132565</v>
      </c>
      <c r="AU710" s="30" t="n">
        <f aca="false">AT710-AT709</f>
        <v>0</v>
      </c>
      <c r="AV710" s="30" t="n">
        <f aca="false">MAX(AS710,0)*(Inputs!$B$17+Inputs!$B$18+Inputs!$B$19)+MAX(-AS710,0)*(O710+Inputs!$B$18+Inputs!$B$19)+IF(AND(K710=1,AP710&lt;&gt;0),(Inputs!$B$17+Inputs!$B$18+Inputs!$B$19)+(O710+Inputs!$B$18+Inputs!$B$19),0)+MAX(AU710,0)*(Inputs!$B$20+Inputs!$B$22+Inputs!$B$23)+MAX(-AU710,0)*(Inputs!$B$21+Inputs!$B$22+Inputs!$B$23)</f>
        <v>0</v>
      </c>
      <c r="AW710" s="30" t="n">
        <f aca="false">AP709*(M710-AR709*J710)+AP709*AR709*N710/Inputs!$B$16-AV710</f>
        <v>0.000595519070508354</v>
      </c>
      <c r="AX710" s="30" t="n">
        <f aca="false">AW710-IF(AP709&lt;&gt;0,0.75*AR709*(Inputs!$B$13-N710)/Inputs!$B$16,0)</f>
        <v>0.000329045291014475</v>
      </c>
      <c r="AY710" s="30" t="n">
        <f aca="false">MAX(AS710,0)*(Inputs!$B$17+Inputs!$B$18+Inputs!$B$19)+MAX(-AS710,0)*(O710+Inputs!$B$18+Inputs!$B$19)+IF(AND(K710=1,AP710&lt;&gt;0),(Inputs!$B$17+Inputs!$B$18+Inputs!$B$19)+(O710+Inputs!$B$18+Inputs!$B$19),0)</f>
        <v>0</v>
      </c>
      <c r="AZ710" s="30" t="n">
        <f aca="false">AP709*M710-AY710</f>
        <v>0.016531769805491</v>
      </c>
      <c r="BA710" s="32" t="n">
        <f aca="false">BA709+AI710</f>
        <v>0.0201202192277307</v>
      </c>
      <c r="BB710" s="30" t="n">
        <f aca="false">MAX(BB709,BA710)</f>
        <v>0.0261726191772394</v>
      </c>
      <c r="BC710" s="32" t="n">
        <f aca="false">BA710-BB710</f>
        <v>-0.00605239994950869</v>
      </c>
      <c r="BD710" s="30" t="n">
        <f aca="false">A711-A710</f>
        <v>1</v>
      </c>
    </row>
    <row r="711" customFormat="false" ht="15" hidden="false" customHeight="false" outlineLevel="0" collapsed="false">
      <c r="A711" s="28" t="n">
        <v>46086</v>
      </c>
      <c r="B711" s="0" t="n">
        <v>24831</v>
      </c>
      <c r="C711" s="0" t="n">
        <v>280.39</v>
      </c>
      <c r="D711" s="29" t="n">
        <f aca="false">LN(B711)</f>
        <v>10.1198481515535</v>
      </c>
      <c r="E711" s="29" t="n">
        <f aca="false">LN(C711)</f>
        <v>5.63618149118639</v>
      </c>
      <c r="F711" s="0" t="n">
        <v>706</v>
      </c>
      <c r="G711" s="0" t="n">
        <v>25</v>
      </c>
      <c r="H711" s="29" t="n">
        <f aca="false">D711-E711</f>
        <v>4.48366666036711</v>
      </c>
      <c r="I711" s="29" t="n">
        <f aca="false">D711-D710</f>
        <v>0.0102289327455356</v>
      </c>
      <c r="J711" s="29" t="n">
        <f aca="false">E711-E710</f>
        <v>0.00964009687364076</v>
      </c>
      <c r="K711" s="0" t="n">
        <v>0</v>
      </c>
      <c r="L711" s="0" t="n">
        <v>0</v>
      </c>
      <c r="M711" s="29" t="n">
        <f aca="false">IF(L711=1,J711-Carry!$B$9/Inputs!$B$16,I711)</f>
        <v>0.0102289327455356</v>
      </c>
      <c r="N711" s="0" t="n">
        <v>0.0525</v>
      </c>
      <c r="O711" s="0" t="n">
        <v>0.0002</v>
      </c>
      <c r="P711" s="29" t="n">
        <f aca="false">D711-('2 Hedge ratio'!$B$6+'2 Hedge ratio'!$B$5*E711)</f>
        <v>-0.00542861384162663</v>
      </c>
      <c r="Q711" s="29" t="n">
        <f aca="false">D711-('5 Re-specification'!$B$7+'5 Re-specification'!$B$5*E711+'5 Re-specification'!$B$6*F711)</f>
        <v>0.0012661861240062</v>
      </c>
      <c r="R711" s="30" t="n">
        <f aca="false">MIN(F711,Inputs!$B$9)</f>
        <v>250</v>
      </c>
      <c r="S711" s="29" t="n">
        <f aca="true">IF(AND(F711&gt;=1,R711&gt;=Inputs!$B$10),INDEX(LINEST(OFFSET(D711,-R711,0,R711,1),OFFSET(E711,-R711,0,R711,2)),1,1),"")</f>
        <v>-6.10522146142584E-005</v>
      </c>
      <c r="T711" s="29" t="n">
        <f aca="true">IF(AND(F711&gt;=1,R711&gt;=Inputs!$B$10),INDEX(LINEST(OFFSET(D711,-R711,0,R711,1),OFFSET(E711,-R711,0,R711,2)),1,2),"")</f>
        <v>1.01334655818133</v>
      </c>
      <c r="U711" s="29" t="n">
        <f aca="true">IF(AND(F711&gt;=1,R711&gt;=Inputs!$B$10),INDEX(LINEST(OFFSET(D711,-R711,0,R711,1),OFFSET(E711,-R711,0,R711,2)),1,3),"")</f>
        <v>4.44852621450275</v>
      </c>
      <c r="V711" s="29" t="n">
        <f aca="true">IF(AND(F711&gt;=1,R711&gt;=Inputs!$B$10),SQRT(SUMPRODUCT((OFFSET(D711,-R711,0,R711,1)-U711-T711*OFFSET(E711,-R711,0,R711,1)-S711*OFFSET(F711,-R711,0,R711,1))^2)/(R711-3)),"")</f>
        <v>0.00231916853839116</v>
      </c>
      <c r="W711" s="31" t="n">
        <f aca="false">IF(AND(F711&gt;=1,R711&gt;=Inputs!$B$10),(D711-U711-T711*E711-S711*F711)/V711,"")</f>
        <v>1.30205508543817</v>
      </c>
      <c r="X711" s="30" t="n">
        <f aca="false">IF(AB710&lt;&gt;0,AC710+1,0)</f>
        <v>5</v>
      </c>
      <c r="Y711" s="30" t="n">
        <f aca="false">IF(W711="",0,IF(AND(AB710&lt;&gt;0,OR(ABS(W711)&gt;Inputs!$B$7,X711&gt;=Inputs!$B$8,ABS(W711)&lt;Inputs!$B$6)),1,0))</f>
        <v>0</v>
      </c>
      <c r="Z711" s="30" t="n">
        <f aca="false">IF(Y711=1,0,AB710)</f>
        <v>-1</v>
      </c>
      <c r="AA711" s="30" t="n">
        <f aca="false">IF(W711="",0,IF(AND(Z711=0,ABS(W711)&gt;Inputs!$B$5,ABS(W711)&lt;=Inputs!$B$7),1,0))</f>
        <v>0</v>
      </c>
      <c r="AB711" s="30" t="n">
        <f aca="false">IF(W711="",0,IF(AA711=1,-SIGN(W711),Z711))</f>
        <v>-1</v>
      </c>
      <c r="AC711" s="30" t="n">
        <f aca="false">IF(W711="",0,IF(AA711=1,0,IF(Y711=1,0,X711)))</f>
        <v>5</v>
      </c>
      <c r="AD711" s="29" t="n">
        <f aca="false">IF(AB711=0,0,IF(AB710=AB711,AD710,T711))</f>
        <v>1.0232593132565</v>
      </c>
      <c r="AE711" s="30" t="n">
        <f aca="false">AB711-AB710</f>
        <v>0</v>
      </c>
      <c r="AF711" s="30" t="n">
        <f aca="false">-AD711*AB711</f>
        <v>1.0232593132565</v>
      </c>
      <c r="AG711" s="30" t="n">
        <f aca="false">AF711-AF710</f>
        <v>0</v>
      </c>
      <c r="AH711" s="30" t="n">
        <f aca="false">MAX(AE711,0)*(Inputs!$B$17+Inputs!$B$18+Inputs!$B$19)+MAX(-AE711,0)*(O711+Inputs!$B$18+Inputs!$B$19)+IF(AND(K711=1,AB711&lt;&gt;0),(Inputs!$B$17+Inputs!$B$18+Inputs!$B$19)+(O711+Inputs!$B$18+Inputs!$B$19),0)+MAX(AG711,0)*(Inputs!$B$20+Inputs!$B$22+Inputs!$B$23)+MAX(-AG711,0)*(Inputs!$B$21+Inputs!$B$22+Inputs!$B$23)</f>
        <v>0</v>
      </c>
      <c r="AI711" s="30" t="n">
        <f aca="false">AB710*(M711-AD710*J711)+AB710*AD710*N711/Inputs!$B$16-AH711</f>
        <v>-0.000577792862482974</v>
      </c>
      <c r="AJ711" s="30" t="n">
        <f aca="false">MAX(AE711,0)*(Inputs!$B$17+Inputs!$B$24+Inputs!$B$25)+MAX(-AE711,0)*(O711+Inputs!$B$24+Inputs!$B$25)+IF(AND(K711=1,AB711&lt;&gt;0),(Inputs!$B$17+Inputs!$B$24+Inputs!$B$25)+(O711+Inputs!$B$24+Inputs!$B$25),0)+MAX(AG711,0)*(Inputs!$B$20+Inputs!$B$26+Inputs!$B$27)+MAX(-AG711,0)*(Inputs!$B$21+Inputs!$B$26+Inputs!$B$27)</f>
        <v>0</v>
      </c>
      <c r="AK711" s="30" t="n">
        <f aca="false">AB710*(M711-AD710*J711)+AB710*AD710*(N711+Inputs!$B$14)/Inputs!$B$16-AJ711</f>
        <v>-0.000608247008710846</v>
      </c>
      <c r="AL711" s="30" t="n">
        <f aca="false">IF(AP710&lt;&gt;0,AQ710+1,0)</f>
        <v>5</v>
      </c>
      <c r="AM711" s="30" t="n">
        <f aca="false">IF(W711="",0,IF(AND(AP710&lt;&gt;0,OR(ABS(W711)&gt;Inputs!$B$7,AL711&gt;=Inputs!$B$8,ABS(W711)&lt;Inputs!$B$6)),1,0))</f>
        <v>0</v>
      </c>
      <c r="AN711" s="30" t="n">
        <f aca="false">IF(AM711=1,0,AP710)</f>
        <v>-1</v>
      </c>
      <c r="AO711" s="30" t="n">
        <f aca="false">IF(W711="",0,IF(AND(AN711=0,ABS(W711)&gt;Inputs!$B$5,ABS(W711)&lt;=Inputs!$B$7,W711&gt;0),1,0))</f>
        <v>0</v>
      </c>
      <c r="AP711" s="30" t="n">
        <f aca="false">IF(W711="",0,IF(AO711=1,-SIGN(W711),AN711))</f>
        <v>-1</v>
      </c>
      <c r="AQ711" s="30" t="n">
        <f aca="false">IF(W711="",0,IF(AO711=1,0,IF(AM711=1,0,AL711)))</f>
        <v>5</v>
      </c>
      <c r="AR711" s="29" t="n">
        <f aca="false">IF(AP711=0,0,IF(AP710=AP711,AR710,T711))</f>
        <v>1.0232593132565</v>
      </c>
      <c r="AS711" s="30" t="n">
        <f aca="false">AP711-AP710</f>
        <v>0</v>
      </c>
      <c r="AT711" s="30" t="n">
        <f aca="false">-AR711*AP711</f>
        <v>1.0232593132565</v>
      </c>
      <c r="AU711" s="30" t="n">
        <f aca="false">AT711-AT710</f>
        <v>0</v>
      </c>
      <c r="AV711" s="30" t="n">
        <f aca="false">MAX(AS711,0)*(Inputs!$B$17+Inputs!$B$18+Inputs!$B$19)+MAX(-AS711,0)*(O711+Inputs!$B$18+Inputs!$B$19)+IF(AND(K711=1,AP711&lt;&gt;0),(Inputs!$B$17+Inputs!$B$18+Inputs!$B$19)+(O711+Inputs!$B$18+Inputs!$B$19),0)+MAX(AU711,0)*(Inputs!$B$20+Inputs!$B$22+Inputs!$B$23)+MAX(-AU711,0)*(Inputs!$B$21+Inputs!$B$22+Inputs!$B$23)</f>
        <v>0</v>
      </c>
      <c r="AW711" s="30" t="n">
        <f aca="false">AP710*(M711-AR710*J711)+AP710*AR710*N711/Inputs!$B$16-AV711</f>
        <v>-0.000577792862482974</v>
      </c>
      <c r="AX711" s="30" t="n">
        <f aca="false">AW711-IF(AP710&lt;&gt;0,0.75*AR710*(Inputs!$B$13-N711)/Inputs!$B$16,0)</f>
        <v>-0.000844266641976853</v>
      </c>
      <c r="AY711" s="30" t="n">
        <f aca="false">MAX(AS711,0)*(Inputs!$B$17+Inputs!$B$18+Inputs!$B$19)+MAX(-AS711,0)*(O711+Inputs!$B$18+Inputs!$B$19)+IF(AND(K711=1,AP711&lt;&gt;0),(Inputs!$B$17+Inputs!$B$18+Inputs!$B$19)+(O711+Inputs!$B$18+Inputs!$B$19),0)</f>
        <v>0</v>
      </c>
      <c r="AZ711" s="30" t="n">
        <f aca="false">AP710*M711-AY711</f>
        <v>-0.0102289327455356</v>
      </c>
      <c r="BA711" s="32" t="n">
        <f aca="false">BA710+AI711</f>
        <v>0.0195424263652477</v>
      </c>
      <c r="BB711" s="30" t="n">
        <f aca="false">MAX(BB710,BA711)</f>
        <v>0.0261726191772394</v>
      </c>
      <c r="BC711" s="32" t="n">
        <f aca="false">BA711-BB711</f>
        <v>-0.00663019281199167</v>
      </c>
      <c r="BD711" s="30" t="n">
        <f aca="false">A712-A711</f>
        <v>1</v>
      </c>
    </row>
    <row r="712" customFormat="false" ht="15" hidden="false" customHeight="false" outlineLevel="0" collapsed="false">
      <c r="A712" s="28" t="n">
        <v>46087</v>
      </c>
      <c r="B712" s="0" t="n">
        <v>24560.2</v>
      </c>
      <c r="C712" s="0" t="n">
        <v>278.2</v>
      </c>
      <c r="D712" s="29" t="n">
        <f aca="false">LN(B712)</f>
        <v>10.1088825255504</v>
      </c>
      <c r="E712" s="29" t="n">
        <f aca="false">LN(C712)</f>
        <v>5.62834027948934</v>
      </c>
      <c r="F712" s="0" t="n">
        <v>707</v>
      </c>
      <c r="G712" s="0" t="n">
        <v>24</v>
      </c>
      <c r="H712" s="29" t="n">
        <f aca="false">D712-E712</f>
        <v>4.48054224606106</v>
      </c>
      <c r="I712" s="29" t="n">
        <f aca="false">D712-D711</f>
        <v>-0.0109656260031077</v>
      </c>
      <c r="J712" s="29" t="n">
        <f aca="false">E712-E711</f>
        <v>-0.00784121169705188</v>
      </c>
      <c r="K712" s="0" t="n">
        <v>0</v>
      </c>
      <c r="L712" s="0" t="n">
        <v>0</v>
      </c>
      <c r="M712" s="29" t="n">
        <f aca="false">IF(L712=1,J712-Carry!$B$9/Inputs!$B$16,I712)</f>
        <v>-0.0109656260031077</v>
      </c>
      <c r="N712" s="0" t="n">
        <v>0.0525</v>
      </c>
      <c r="O712" s="0" t="n">
        <v>0.0002</v>
      </c>
      <c r="P712" s="29" t="n">
        <f aca="false">D712-('2 Hedge ratio'!$B$6+'2 Hedge ratio'!$B$5*E712)</f>
        <v>-0.00921069598414626</v>
      </c>
      <c r="Q712" s="29" t="n">
        <f aca="false">D712-('5 Re-specification'!$B$7+'5 Re-specification'!$B$5*E712+'5 Re-specification'!$B$6*F712)</f>
        <v>-0.00183706165616648</v>
      </c>
      <c r="R712" s="30" t="n">
        <f aca="false">MIN(F712,Inputs!$B$9)</f>
        <v>250</v>
      </c>
      <c r="S712" s="29" t="n">
        <f aca="true">IF(AND(F712&gt;=1,R712&gt;=Inputs!$B$10),INDEX(LINEST(OFFSET(D712,-R712,0,R712,1),OFFSET(E712,-R712,0,R712,2)),1,1),"")</f>
        <v>-6.00525359557623E-005</v>
      </c>
      <c r="T712" s="29" t="n">
        <f aca="true">IF(AND(F712&gt;=1,R712&gt;=Inputs!$B$10),INDEX(LINEST(OFFSET(D712,-R712,0,R712,1),OFFSET(E712,-R712,0,R712,2)),1,2),"")</f>
        <v>1.01158796698828</v>
      </c>
      <c r="U712" s="29" t="n">
        <f aca="true">IF(AND(F712&gt;=1,R712&gt;=Inputs!$B$10),INDEX(LINEST(OFFSET(D712,-R712,0,R712,1),OFFSET(E712,-R712,0,R712,2)),1,3),"")</f>
        <v>4.45787933804521</v>
      </c>
      <c r="V712" s="29" t="n">
        <f aca="true">IF(AND(F712&gt;=1,R712&gt;=Inputs!$B$10),SQRT(SUMPRODUCT((OFFSET(D712,-R712,0,R712,1)-U712-T712*OFFSET(E712,-R712,0,R712,1)-S712*OFFSET(F712,-R712,0,R712,1))^2)/(R712-3)),"")</f>
        <v>0.00232541468964196</v>
      </c>
      <c r="W712" s="31" t="n">
        <f aca="false">IF(AND(F712&gt;=1,R712&gt;=Inputs!$B$10),(D712-U712-T712*E712-S712*F712)/V712,"")</f>
        <v>-0.0434203935435313</v>
      </c>
      <c r="X712" s="30" t="n">
        <f aca="false">IF(AB711&lt;&gt;0,AC711+1,0)</f>
        <v>6</v>
      </c>
      <c r="Y712" s="30" t="n">
        <f aca="false">IF(W712="",0,IF(AND(AB711&lt;&gt;0,OR(ABS(W712)&gt;Inputs!$B$7,X712&gt;=Inputs!$B$8,ABS(W712)&lt;Inputs!$B$6)),1,0))</f>
        <v>1</v>
      </c>
      <c r="Z712" s="30" t="n">
        <f aca="false">IF(Y712=1,0,AB711)</f>
        <v>0</v>
      </c>
      <c r="AA712" s="30" t="n">
        <f aca="false">IF(W712="",0,IF(AND(Z712=0,ABS(W712)&gt;Inputs!$B$5,ABS(W712)&lt;=Inputs!$B$7),1,0))</f>
        <v>0</v>
      </c>
      <c r="AB712" s="30" t="n">
        <f aca="false">IF(W712="",0,IF(AA712=1,-SIGN(W712),Z712))</f>
        <v>0</v>
      </c>
      <c r="AC712" s="30" t="n">
        <f aca="false">IF(W712="",0,IF(AA712=1,0,IF(Y712=1,0,X712)))</f>
        <v>0</v>
      </c>
      <c r="AD712" s="30" t="n">
        <f aca="false">IF(AB712=0,0,IF(AB711=AB712,AD711,T712))</f>
        <v>0</v>
      </c>
      <c r="AE712" s="30" t="n">
        <f aca="false">AB712-AB711</f>
        <v>1</v>
      </c>
      <c r="AF712" s="30" t="n">
        <f aca="false">-AD712*AB712</f>
        <v>-0</v>
      </c>
      <c r="AG712" s="30" t="n">
        <f aca="false">AF712-AF711</f>
        <v>-1.0232593132565</v>
      </c>
      <c r="AH712" s="30" t="n">
        <f aca="false">MAX(AE712,0)*(Inputs!$B$17+Inputs!$B$18+Inputs!$B$19)+MAX(-AE712,0)*(O712+Inputs!$B$18+Inputs!$B$19)+IF(AND(K712=1,AB712&lt;&gt;0),(Inputs!$B$17+Inputs!$B$18+Inputs!$B$19)+(O712+Inputs!$B$18+Inputs!$B$19),0)+MAX(AG712,0)*(Inputs!$B$20+Inputs!$B$22+Inputs!$B$23)+MAX(-AG712,0)*(Inputs!$B$21+Inputs!$B$22+Inputs!$B$23)</f>
        <v>0.000369884455783864</v>
      </c>
      <c r="AI712" s="30" t="n">
        <f aca="false">AB711*(M712-AD711*J712)+AB711*AD711*N712/Inputs!$B$16-AH712</f>
        <v>0.00235896962750462</v>
      </c>
      <c r="AJ712" s="30" t="n">
        <f aca="false">MAX(AE712,0)*(Inputs!$B$17+Inputs!$B$24+Inputs!$B$25)+MAX(-AE712,0)*(O712+Inputs!$B$24+Inputs!$B$25)+IF(AND(K712=1,AB712&lt;&gt;0),(Inputs!$B$17+Inputs!$B$24+Inputs!$B$25)+(O712+Inputs!$B$24+Inputs!$B$25),0)+MAX(AG712,0)*(Inputs!$B$20+Inputs!$B$26+Inputs!$B$27)+MAX(-AG712,0)*(Inputs!$B$21+Inputs!$B$26+Inputs!$B$27)</f>
        <v>0.000207674821024497</v>
      </c>
      <c r="AK712" s="30" t="n">
        <f aca="false">AB711*(M712-AD711*J712)+AB711*AD711*(N712+Inputs!$B$14)/Inputs!$B$16-AJ712</f>
        <v>0.00249072511603611</v>
      </c>
      <c r="AL712" s="30" t="n">
        <f aca="false">IF(AP711&lt;&gt;0,AQ711+1,0)</f>
        <v>6</v>
      </c>
      <c r="AM712" s="30" t="n">
        <f aca="false">IF(W712="",0,IF(AND(AP711&lt;&gt;0,OR(ABS(W712)&gt;Inputs!$B$7,AL712&gt;=Inputs!$B$8,ABS(W712)&lt;Inputs!$B$6)),1,0))</f>
        <v>1</v>
      </c>
      <c r="AN712" s="30" t="n">
        <f aca="false">IF(AM712=1,0,AP711)</f>
        <v>0</v>
      </c>
      <c r="AO712" s="30" t="n">
        <f aca="false">IF(W712="",0,IF(AND(AN712=0,ABS(W712)&gt;Inputs!$B$5,ABS(W712)&lt;=Inputs!$B$7,W712&gt;0),1,0))</f>
        <v>0</v>
      </c>
      <c r="AP712" s="30" t="n">
        <f aca="false">IF(W712="",0,IF(AO712=1,-SIGN(W712),AN712))</f>
        <v>0</v>
      </c>
      <c r="AQ712" s="30" t="n">
        <f aca="false">IF(W712="",0,IF(AO712=1,0,IF(AM712=1,0,AL712)))</f>
        <v>0</v>
      </c>
      <c r="AR712" s="30" t="n">
        <f aca="false">IF(AP712=0,0,IF(AP711=AP712,AR711,T712))</f>
        <v>0</v>
      </c>
      <c r="AS712" s="30" t="n">
        <f aca="false">AP712-AP711</f>
        <v>1</v>
      </c>
      <c r="AT712" s="30" t="n">
        <f aca="false">-AR712*AP712</f>
        <v>-0</v>
      </c>
      <c r="AU712" s="30" t="n">
        <f aca="false">AT712-AT711</f>
        <v>-1.0232593132565</v>
      </c>
      <c r="AV712" s="30" t="n">
        <f aca="false">MAX(AS712,0)*(Inputs!$B$17+Inputs!$B$18+Inputs!$B$19)+MAX(-AS712,0)*(O712+Inputs!$B$18+Inputs!$B$19)+IF(AND(K712=1,AP712&lt;&gt;0),(Inputs!$B$17+Inputs!$B$18+Inputs!$B$19)+(O712+Inputs!$B$18+Inputs!$B$19),0)+MAX(AU712,0)*(Inputs!$B$20+Inputs!$B$22+Inputs!$B$23)+MAX(-AU712,0)*(Inputs!$B$21+Inputs!$B$22+Inputs!$B$23)</f>
        <v>0.000369884455783864</v>
      </c>
      <c r="AW712" s="30" t="n">
        <f aca="false">AP711*(M712-AR711*J712)+AP711*AR711*N712/Inputs!$B$16-AV712</f>
        <v>0.00235896962750462</v>
      </c>
      <c r="AX712" s="30" t="n">
        <f aca="false">AW712-IF(AP711&lt;&gt;0,0.75*AR711*(Inputs!$B$13-N712)/Inputs!$B$16,0)</f>
        <v>0.00209249584801074</v>
      </c>
      <c r="AY712" s="30" t="n">
        <f aca="false">MAX(AS712,0)*(Inputs!$B$17+Inputs!$B$18+Inputs!$B$19)+MAX(-AS712,0)*(O712+Inputs!$B$18+Inputs!$B$19)+IF(AND(K712=1,AP712&lt;&gt;0),(Inputs!$B$17+Inputs!$B$18+Inputs!$B$19)+(O712+Inputs!$B$18+Inputs!$B$19),0)</f>
        <v>0.000155</v>
      </c>
      <c r="AZ712" s="30" t="n">
        <f aca="false">AP711*M712-AY712</f>
        <v>0.0108106260031077</v>
      </c>
      <c r="BA712" s="32" t="n">
        <f aca="false">BA711+AI712</f>
        <v>0.0219013959927524</v>
      </c>
      <c r="BB712" s="30" t="n">
        <f aca="false">MAX(BB711,BA712)</f>
        <v>0.0261726191772394</v>
      </c>
      <c r="BC712" s="32" t="n">
        <f aca="false">BA712-BB712</f>
        <v>-0.00427122318448705</v>
      </c>
      <c r="BD712" s="30" t="n">
        <f aca="false">A713-A712</f>
        <v>3</v>
      </c>
    </row>
    <row r="713" customFormat="false" ht="15" hidden="false" customHeight="false" outlineLevel="0" collapsed="false">
      <c r="A713" s="28" t="n">
        <v>46090</v>
      </c>
      <c r="B713" s="0" t="n">
        <v>24092</v>
      </c>
      <c r="C713" s="0" t="n">
        <v>272.7</v>
      </c>
      <c r="D713" s="29" t="n">
        <f aca="false">LN(B713)</f>
        <v>10.0896351141636</v>
      </c>
      <c r="E713" s="29" t="n">
        <f aca="false">LN(C713)</f>
        <v>5.60837228985154</v>
      </c>
      <c r="F713" s="0" t="n">
        <v>708</v>
      </c>
      <c r="G713" s="0" t="n">
        <v>21</v>
      </c>
      <c r="H713" s="29" t="n">
        <f aca="false">D713-E713</f>
        <v>4.48126282431207</v>
      </c>
      <c r="I713" s="29" t="n">
        <f aca="false">D713-D712</f>
        <v>-0.019247411386786</v>
      </c>
      <c r="J713" s="29" t="n">
        <f aca="false">E713-E712</f>
        <v>-0.0199679896377996</v>
      </c>
      <c r="K713" s="0" t="n">
        <v>0</v>
      </c>
      <c r="L713" s="0" t="n">
        <v>0</v>
      </c>
      <c r="M713" s="29" t="n">
        <f aca="false">IF(L713=1,J713-Carry!$B$9/Inputs!$B$16,I713)</f>
        <v>-0.019247411386786</v>
      </c>
      <c r="N713" s="0" t="n">
        <v>0.0525</v>
      </c>
      <c r="O713" s="0" t="n">
        <v>0.0002</v>
      </c>
      <c r="P713" s="29" t="n">
        <f aca="false">D713-('2 Hedge ratio'!$B$6+'2 Hedge ratio'!$B$5*E713)</f>
        <v>-0.0101648977353843</v>
      </c>
      <c r="Q713" s="29" t="n">
        <f aca="false">D713-('5 Re-specification'!$B$7+'5 Re-specification'!$B$5*E713+'5 Re-specification'!$B$6*F713)</f>
        <v>-0.00113206708007674</v>
      </c>
      <c r="R713" s="30" t="n">
        <f aca="false">MIN(F713,Inputs!$B$9)</f>
        <v>250</v>
      </c>
      <c r="S713" s="29" t="n">
        <f aca="true">IF(AND(F713&gt;=1,R713&gt;=Inputs!$B$10),INDEX(LINEST(OFFSET(D713,-R713,0,R713,1),OFFSET(E713,-R713,0,R713,2)),1,1),"")</f>
        <v>-6.02822198852132E-005</v>
      </c>
      <c r="T713" s="29" t="n">
        <f aca="true">IF(AND(F713&gt;=1,R713&gt;=Inputs!$B$10),INDEX(LINEST(OFFSET(D713,-R713,0,R713,1),OFFSET(E713,-R713,0,R713,2)),1,2),"")</f>
        <v>1.01244362702953</v>
      </c>
      <c r="U713" s="29" t="n">
        <f aca="true">IF(AND(F713&gt;=1,R713&gt;=Inputs!$B$10),INDEX(LINEST(OFFSET(D713,-R713,0,R713,1),OFFSET(E713,-R713,0,R713,2)),1,3),"")</f>
        <v>4.45317975513212</v>
      </c>
      <c r="V713" s="29" t="n">
        <f aca="true">IF(AND(F713&gt;=1,R713&gt;=Inputs!$B$10),SQRT(SUMPRODUCT((OFFSET(D713,-R713,0,R713,1)-U713-T713*OFFSET(E713,-R713,0,R713,1)-S713*OFFSET(F713,-R713,0,R713,1))^2)/(R713-3)),"")</f>
        <v>0.0023225824419476</v>
      </c>
      <c r="W713" s="31" t="n">
        <f aca="false">IF(AND(F713&gt;=1,R713&gt;=Inputs!$B$10),(D713-U713-T713*E713-S713*F713)/V713,"")</f>
        <v>0.419527773666801</v>
      </c>
      <c r="X713" s="30" t="n">
        <f aca="false">IF(AB712&lt;&gt;0,AC712+1,0)</f>
        <v>0</v>
      </c>
      <c r="Y713" s="30" t="n">
        <f aca="false">IF(W713="",0,IF(AND(AB712&lt;&gt;0,OR(ABS(W713)&gt;Inputs!$B$7,X713&gt;=Inputs!$B$8,ABS(W713)&lt;Inputs!$B$6)),1,0))</f>
        <v>0</v>
      </c>
      <c r="Z713" s="30" t="n">
        <f aca="false">IF(Y713=1,0,AB712)</f>
        <v>0</v>
      </c>
      <c r="AA713" s="30" t="n">
        <f aca="false">IF(W713="",0,IF(AND(Z713=0,ABS(W713)&gt;Inputs!$B$5,ABS(W713)&lt;=Inputs!$B$7),1,0))</f>
        <v>0</v>
      </c>
      <c r="AB713" s="30" t="n">
        <f aca="false">IF(W713="",0,IF(AA713=1,-SIGN(W713),Z713))</f>
        <v>0</v>
      </c>
      <c r="AC713" s="30" t="n">
        <f aca="false">IF(W713="",0,IF(AA713=1,0,IF(Y713=1,0,X713)))</f>
        <v>0</v>
      </c>
      <c r="AD713" s="30" t="n">
        <f aca="false">IF(AB713=0,0,IF(AB712=AB713,AD712,T713))</f>
        <v>0</v>
      </c>
      <c r="AE713" s="30" t="n">
        <f aca="false">AB713-AB712</f>
        <v>0</v>
      </c>
      <c r="AF713" s="30" t="n">
        <f aca="false">-AD713*AB713</f>
        <v>-0</v>
      </c>
      <c r="AG713" s="30" t="n">
        <f aca="false">AF713-AF712</f>
        <v>0</v>
      </c>
      <c r="AH713" s="30" t="n">
        <f aca="false">MAX(AE713,0)*(Inputs!$B$17+Inputs!$B$18+Inputs!$B$19)+MAX(-AE713,0)*(O713+Inputs!$B$18+Inputs!$B$19)+IF(AND(K713=1,AB713&lt;&gt;0),(Inputs!$B$17+Inputs!$B$18+Inputs!$B$19)+(O713+Inputs!$B$18+Inputs!$B$19),0)+MAX(AG713,0)*(Inputs!$B$20+Inputs!$B$22+Inputs!$B$23)+MAX(-AG713,0)*(Inputs!$B$21+Inputs!$B$22+Inputs!$B$23)</f>
        <v>0</v>
      </c>
      <c r="AI713" s="30" t="n">
        <f aca="false">AB712*(M713-AD712*J713)+AB712*AD712*N713/Inputs!$B$16-AH713</f>
        <v>0</v>
      </c>
      <c r="AJ713" s="30" t="n">
        <f aca="false">MAX(AE713,0)*(Inputs!$B$17+Inputs!$B$24+Inputs!$B$25)+MAX(-AE713,0)*(O713+Inputs!$B$24+Inputs!$B$25)+IF(AND(K713=1,AB713&lt;&gt;0),(Inputs!$B$17+Inputs!$B$24+Inputs!$B$25)+(O713+Inputs!$B$24+Inputs!$B$25),0)+MAX(AG713,0)*(Inputs!$B$20+Inputs!$B$26+Inputs!$B$27)+MAX(-AG713,0)*(Inputs!$B$21+Inputs!$B$26+Inputs!$B$27)</f>
        <v>0</v>
      </c>
      <c r="AK713" s="30" t="n">
        <f aca="false">AB712*(M713-AD712*J713)+AB712*AD712*(N713+Inputs!$B$14)/Inputs!$B$16-AJ713</f>
        <v>0</v>
      </c>
      <c r="AL713" s="30" t="n">
        <f aca="false">IF(AP712&lt;&gt;0,AQ712+1,0)</f>
        <v>0</v>
      </c>
      <c r="AM713" s="30" t="n">
        <f aca="false">IF(W713="",0,IF(AND(AP712&lt;&gt;0,OR(ABS(W713)&gt;Inputs!$B$7,AL713&gt;=Inputs!$B$8,ABS(W713)&lt;Inputs!$B$6)),1,0))</f>
        <v>0</v>
      </c>
      <c r="AN713" s="30" t="n">
        <f aca="false">IF(AM713=1,0,AP712)</f>
        <v>0</v>
      </c>
      <c r="AO713" s="30" t="n">
        <f aca="false">IF(W713="",0,IF(AND(AN713=0,ABS(W713)&gt;Inputs!$B$5,ABS(W713)&lt;=Inputs!$B$7,W713&gt;0),1,0))</f>
        <v>0</v>
      </c>
      <c r="AP713" s="30" t="n">
        <f aca="false">IF(W713="",0,IF(AO713=1,-SIGN(W713),AN713))</f>
        <v>0</v>
      </c>
      <c r="AQ713" s="30" t="n">
        <f aca="false">IF(W713="",0,IF(AO713=1,0,IF(AM713=1,0,AL713)))</f>
        <v>0</v>
      </c>
      <c r="AR713" s="30" t="n">
        <f aca="false">IF(AP713=0,0,IF(AP712=AP713,AR712,T713))</f>
        <v>0</v>
      </c>
      <c r="AS713" s="30" t="n">
        <f aca="false">AP713-AP712</f>
        <v>0</v>
      </c>
      <c r="AT713" s="30" t="n">
        <f aca="false">-AR713*AP713</f>
        <v>-0</v>
      </c>
      <c r="AU713" s="30" t="n">
        <f aca="false">AT713-AT712</f>
        <v>0</v>
      </c>
      <c r="AV713" s="30" t="n">
        <f aca="false">MAX(AS713,0)*(Inputs!$B$17+Inputs!$B$18+Inputs!$B$19)+MAX(-AS713,0)*(O713+Inputs!$B$18+Inputs!$B$19)+IF(AND(K713=1,AP713&lt;&gt;0),(Inputs!$B$17+Inputs!$B$18+Inputs!$B$19)+(O713+Inputs!$B$18+Inputs!$B$19),0)+MAX(AU713,0)*(Inputs!$B$20+Inputs!$B$22+Inputs!$B$23)+MAX(-AU713,0)*(Inputs!$B$21+Inputs!$B$22+Inputs!$B$23)</f>
        <v>0</v>
      </c>
      <c r="AW713" s="30" t="n">
        <f aca="false">AP712*(M713-AR712*J713)+AP712*AR712*N713/Inputs!$B$16-AV713</f>
        <v>0</v>
      </c>
      <c r="AX713" s="30" t="n">
        <f aca="false">AW713-IF(AP712&lt;&gt;0,0.75*AR712*(Inputs!$B$13-N713)/Inputs!$B$16,0)</f>
        <v>0</v>
      </c>
      <c r="AY713" s="30" t="n">
        <f aca="false">MAX(AS713,0)*(Inputs!$B$17+Inputs!$B$18+Inputs!$B$19)+MAX(-AS713,0)*(O713+Inputs!$B$18+Inputs!$B$19)+IF(AND(K713=1,AP713&lt;&gt;0),(Inputs!$B$17+Inputs!$B$18+Inputs!$B$19)+(O713+Inputs!$B$18+Inputs!$B$19),0)</f>
        <v>0</v>
      </c>
      <c r="AZ713" s="30" t="n">
        <f aca="false">AP712*M713-AY713</f>
        <v>-0</v>
      </c>
      <c r="BA713" s="32" t="n">
        <f aca="false">BA712+AI713</f>
        <v>0.0219013959927524</v>
      </c>
      <c r="BB713" s="30" t="n">
        <f aca="false">MAX(BB712,BA713)</f>
        <v>0.0261726191772394</v>
      </c>
      <c r="BC713" s="32" t="n">
        <f aca="false">BA713-BB713</f>
        <v>-0.00427122318448705</v>
      </c>
      <c r="BD713" s="30" t="n">
        <f aca="false">A714-A713</f>
        <v>1</v>
      </c>
    </row>
    <row r="714" customFormat="false" ht="15" hidden="false" customHeight="false" outlineLevel="0" collapsed="false">
      <c r="A714" s="28" t="n">
        <v>46091</v>
      </c>
      <c r="B714" s="0" t="n">
        <v>24405.1</v>
      </c>
      <c r="C714" s="0" t="n">
        <v>275.3</v>
      </c>
      <c r="D714" s="29" t="n">
        <f aca="false">LN(B714)</f>
        <v>10.1025474058339</v>
      </c>
      <c r="E714" s="29" t="n">
        <f aca="false">LN(C714)</f>
        <v>5.61786141214856</v>
      </c>
      <c r="F714" s="0" t="n">
        <v>709</v>
      </c>
      <c r="G714" s="0" t="n">
        <v>20</v>
      </c>
      <c r="H714" s="29" t="n">
        <f aca="false">D714-E714</f>
        <v>4.48468599368529</v>
      </c>
      <c r="I714" s="29" t="n">
        <f aca="false">D714-D713</f>
        <v>0.0129122916702418</v>
      </c>
      <c r="J714" s="29" t="n">
        <f aca="false">E714-E713</f>
        <v>0.00948912229701904</v>
      </c>
      <c r="K714" s="0" t="n">
        <v>0</v>
      </c>
      <c r="L714" s="0" t="n">
        <v>0</v>
      </c>
      <c r="M714" s="29" t="n">
        <f aca="false">IF(L714=1,J714-Carry!$B$9/Inputs!$B$16,I714)</f>
        <v>0.0129122916702418</v>
      </c>
      <c r="N714" s="0" t="n">
        <v>0.0525</v>
      </c>
      <c r="O714" s="0" t="n">
        <v>0.0002</v>
      </c>
      <c r="P714" s="29" t="n">
        <f aca="false">D714-('2 Hedge ratio'!$B$6+'2 Hedge ratio'!$B$5*E714)</f>
        <v>-0.00594584492320571</v>
      </c>
      <c r="Q714" s="29" t="n">
        <f aca="false">D714-('5 Re-specification'!$B$7+'5 Re-specification'!$B$5*E714+'5 Re-specification'!$B$6*F714)</f>
        <v>0.00236478839656407</v>
      </c>
      <c r="R714" s="30" t="n">
        <f aca="false">MIN(F714,Inputs!$B$9)</f>
        <v>250</v>
      </c>
      <c r="S714" s="29" t="n">
        <f aca="true">IF(AND(F714&gt;=1,R714&gt;=Inputs!$B$10),INDEX(LINEST(OFFSET(D714,-R714,0,R714,1),OFFSET(E714,-R714,0,R714,2)),1,1),"")</f>
        <v>-6.01577356636437E-005</v>
      </c>
      <c r="T714" s="29" t="n">
        <f aca="true">IF(AND(F714&gt;=1,R714&gt;=Inputs!$B$10),INDEX(LINEST(OFFSET(D714,-R714,0,R714,1),OFFSET(E714,-R714,0,R714,2)),1,2),"")</f>
        <v>1.01276750740453</v>
      </c>
      <c r="U714" s="29" t="n">
        <f aca="true">IF(AND(F714&gt;=1,R714&gt;=Inputs!$B$10),INDEX(LINEST(OFFSET(D714,-R714,0,R714,1),OFFSET(E714,-R714,0,R714,2)),1,3),"")</f>
        <v>4.45127698902914</v>
      </c>
      <c r="V714" s="29" t="n">
        <f aca="true">IF(AND(F714&gt;=1,R714&gt;=Inputs!$B$10),SQRT(SUMPRODUCT((OFFSET(D714,-R714,0,R714,1)-U714-T714*OFFSET(E714,-R714,0,R714,1)-S714*OFFSET(F714,-R714,0,R714,1))^2)/(R714-3)),"")</f>
        <v>0.00232047483704083</v>
      </c>
      <c r="W714" s="31" t="n">
        <f aca="false">IF(AND(F714&gt;=1,R714&gt;=Inputs!$B$10),(D714-U714-T714*E714-S714*F714)/V714,"")</f>
        <v>1.8680452790268</v>
      </c>
      <c r="X714" s="30" t="n">
        <f aca="false">IF(AB713&lt;&gt;0,AC713+1,0)</f>
        <v>0</v>
      </c>
      <c r="Y714" s="30" t="n">
        <f aca="false">IF(W714="",0,IF(AND(AB713&lt;&gt;0,OR(ABS(W714)&gt;Inputs!$B$7,X714&gt;=Inputs!$B$8,ABS(W714)&lt;Inputs!$B$6)),1,0))</f>
        <v>0</v>
      </c>
      <c r="Z714" s="30" t="n">
        <f aca="false">IF(Y714=1,0,AB713)</f>
        <v>0</v>
      </c>
      <c r="AA714" s="30" t="n">
        <f aca="false">IF(W714="",0,IF(AND(Z714=0,ABS(W714)&gt;Inputs!$B$5,ABS(W714)&lt;=Inputs!$B$7),1,0))</f>
        <v>0</v>
      </c>
      <c r="AB714" s="30" t="n">
        <f aca="false">IF(W714="",0,IF(AA714=1,-SIGN(W714),Z714))</f>
        <v>0</v>
      </c>
      <c r="AC714" s="30" t="n">
        <f aca="false">IF(W714="",0,IF(AA714=1,0,IF(Y714=1,0,X714)))</f>
        <v>0</v>
      </c>
      <c r="AD714" s="30" t="n">
        <f aca="false">IF(AB714=0,0,IF(AB713=AB714,AD713,T714))</f>
        <v>0</v>
      </c>
      <c r="AE714" s="30" t="n">
        <f aca="false">AB714-AB713</f>
        <v>0</v>
      </c>
      <c r="AF714" s="30" t="n">
        <f aca="false">-AD714*AB714</f>
        <v>-0</v>
      </c>
      <c r="AG714" s="30" t="n">
        <f aca="false">AF714-AF713</f>
        <v>0</v>
      </c>
      <c r="AH714" s="30" t="n">
        <f aca="false">MAX(AE714,0)*(Inputs!$B$17+Inputs!$B$18+Inputs!$B$19)+MAX(-AE714,0)*(O714+Inputs!$B$18+Inputs!$B$19)+IF(AND(K714=1,AB714&lt;&gt;0),(Inputs!$B$17+Inputs!$B$18+Inputs!$B$19)+(O714+Inputs!$B$18+Inputs!$B$19),0)+MAX(AG714,0)*(Inputs!$B$20+Inputs!$B$22+Inputs!$B$23)+MAX(-AG714,0)*(Inputs!$B$21+Inputs!$B$22+Inputs!$B$23)</f>
        <v>0</v>
      </c>
      <c r="AI714" s="30" t="n">
        <f aca="false">AB713*(M714-AD713*J714)+AB713*AD713*N714/Inputs!$B$16-AH714</f>
        <v>0</v>
      </c>
      <c r="AJ714" s="30" t="n">
        <f aca="false">MAX(AE714,0)*(Inputs!$B$17+Inputs!$B$24+Inputs!$B$25)+MAX(-AE714,0)*(O714+Inputs!$B$24+Inputs!$B$25)+IF(AND(K714=1,AB714&lt;&gt;0),(Inputs!$B$17+Inputs!$B$24+Inputs!$B$25)+(O714+Inputs!$B$24+Inputs!$B$25),0)+MAX(AG714,0)*(Inputs!$B$20+Inputs!$B$26+Inputs!$B$27)+MAX(-AG714,0)*(Inputs!$B$21+Inputs!$B$26+Inputs!$B$27)</f>
        <v>0</v>
      </c>
      <c r="AK714" s="30" t="n">
        <f aca="false">AB713*(M714-AD713*J714)+AB713*AD713*(N714+Inputs!$B$14)/Inputs!$B$16-AJ714</f>
        <v>0</v>
      </c>
      <c r="AL714" s="30" t="n">
        <f aca="false">IF(AP713&lt;&gt;0,AQ713+1,0)</f>
        <v>0</v>
      </c>
      <c r="AM714" s="30" t="n">
        <f aca="false">IF(W714="",0,IF(AND(AP713&lt;&gt;0,OR(ABS(W714)&gt;Inputs!$B$7,AL714&gt;=Inputs!$B$8,ABS(W714)&lt;Inputs!$B$6)),1,0))</f>
        <v>0</v>
      </c>
      <c r="AN714" s="30" t="n">
        <f aca="false">IF(AM714=1,0,AP713)</f>
        <v>0</v>
      </c>
      <c r="AO714" s="30" t="n">
        <f aca="false">IF(W714="",0,IF(AND(AN714=0,ABS(W714)&gt;Inputs!$B$5,ABS(W714)&lt;=Inputs!$B$7,W714&gt;0),1,0))</f>
        <v>0</v>
      </c>
      <c r="AP714" s="30" t="n">
        <f aca="false">IF(W714="",0,IF(AO714=1,-SIGN(W714),AN714))</f>
        <v>0</v>
      </c>
      <c r="AQ714" s="30" t="n">
        <f aca="false">IF(W714="",0,IF(AO714=1,0,IF(AM714=1,0,AL714)))</f>
        <v>0</v>
      </c>
      <c r="AR714" s="30" t="n">
        <f aca="false">IF(AP714=0,0,IF(AP713=AP714,AR713,T714))</f>
        <v>0</v>
      </c>
      <c r="AS714" s="30" t="n">
        <f aca="false">AP714-AP713</f>
        <v>0</v>
      </c>
      <c r="AT714" s="30" t="n">
        <f aca="false">-AR714*AP714</f>
        <v>-0</v>
      </c>
      <c r="AU714" s="30" t="n">
        <f aca="false">AT714-AT713</f>
        <v>0</v>
      </c>
      <c r="AV714" s="30" t="n">
        <f aca="false">MAX(AS714,0)*(Inputs!$B$17+Inputs!$B$18+Inputs!$B$19)+MAX(-AS714,0)*(O714+Inputs!$B$18+Inputs!$B$19)+IF(AND(K714=1,AP714&lt;&gt;0),(Inputs!$B$17+Inputs!$B$18+Inputs!$B$19)+(O714+Inputs!$B$18+Inputs!$B$19),0)+MAX(AU714,0)*(Inputs!$B$20+Inputs!$B$22+Inputs!$B$23)+MAX(-AU714,0)*(Inputs!$B$21+Inputs!$B$22+Inputs!$B$23)</f>
        <v>0</v>
      </c>
      <c r="AW714" s="30" t="n">
        <f aca="false">AP713*(M714-AR713*J714)+AP713*AR713*N714/Inputs!$B$16-AV714</f>
        <v>0</v>
      </c>
      <c r="AX714" s="30" t="n">
        <f aca="false">AW714-IF(AP713&lt;&gt;0,0.75*AR713*(Inputs!$B$13-N714)/Inputs!$B$16,0)</f>
        <v>0</v>
      </c>
      <c r="AY714" s="30" t="n">
        <f aca="false">MAX(AS714,0)*(Inputs!$B$17+Inputs!$B$18+Inputs!$B$19)+MAX(-AS714,0)*(O714+Inputs!$B$18+Inputs!$B$19)+IF(AND(K714=1,AP714&lt;&gt;0),(Inputs!$B$17+Inputs!$B$18+Inputs!$B$19)+(O714+Inputs!$B$18+Inputs!$B$19),0)</f>
        <v>0</v>
      </c>
      <c r="AZ714" s="30" t="n">
        <f aca="false">AP713*M714-AY714</f>
        <v>0</v>
      </c>
      <c r="BA714" s="32" t="n">
        <f aca="false">BA713+AI714</f>
        <v>0.0219013959927524</v>
      </c>
      <c r="BB714" s="30" t="n">
        <f aca="false">MAX(BB713,BA714)</f>
        <v>0.0261726191772394</v>
      </c>
      <c r="BC714" s="32" t="n">
        <f aca="false">BA714-BB714</f>
        <v>-0.00427122318448705</v>
      </c>
      <c r="BD714" s="30" t="n">
        <f aca="false">A715-A714</f>
        <v>1</v>
      </c>
    </row>
    <row r="715" customFormat="false" ht="15" hidden="false" customHeight="false" outlineLevel="0" collapsed="false">
      <c r="A715" s="28" t="n">
        <v>46092</v>
      </c>
      <c r="B715" s="0" t="n">
        <v>23918</v>
      </c>
      <c r="C715" s="0" t="n">
        <v>270.42</v>
      </c>
      <c r="D715" s="29" t="n">
        <f aca="false">LN(B715)</f>
        <v>10.0823865925288</v>
      </c>
      <c r="E715" s="29" t="n">
        <f aca="false">LN(C715)</f>
        <v>5.59997630593061</v>
      </c>
      <c r="F715" s="0" t="n">
        <v>710</v>
      </c>
      <c r="G715" s="0" t="n">
        <v>19</v>
      </c>
      <c r="H715" s="29" t="n">
        <f aca="false">D715-E715</f>
        <v>4.48241028659814</v>
      </c>
      <c r="I715" s="29" t="n">
        <f aca="false">D715-D714</f>
        <v>-0.0201608133051003</v>
      </c>
      <c r="J715" s="29" t="n">
        <f aca="false">E715-E714</f>
        <v>-0.0178851062179497</v>
      </c>
      <c r="K715" s="0" t="n">
        <v>0</v>
      </c>
      <c r="L715" s="0" t="n">
        <v>0</v>
      </c>
      <c r="M715" s="29" t="n">
        <f aca="false">IF(L715=1,J715-Carry!$B$9/Inputs!$B$16,I715)</f>
        <v>-0.0201608133051003</v>
      </c>
      <c r="N715" s="0" t="n">
        <v>0.0525</v>
      </c>
      <c r="O715" s="0" t="n">
        <v>0.0002</v>
      </c>
      <c r="P715" s="29" t="n">
        <f aca="false">D715-('2 Hedge ratio'!$B$6+'2 Hedge ratio'!$B$5*E715)</f>
        <v>-0.00972163383007185</v>
      </c>
      <c r="Q715" s="29" t="n">
        <f aca="false">D715-('5 Re-specification'!$B$7+'5 Re-specification'!$B$5*E715+'5 Re-specification'!$B$6*F715)</f>
        <v>7.98098127372526E-005</v>
      </c>
      <c r="R715" s="30" t="n">
        <f aca="false">MIN(F715,Inputs!$B$9)</f>
        <v>250</v>
      </c>
      <c r="S715" s="29" t="n">
        <f aca="true">IF(AND(F715&gt;=1,R715&gt;=Inputs!$B$10),INDEX(LINEST(OFFSET(D715,-R715,0,R715,1),OFFSET(E715,-R715,0,R715,2)),1,1),"")</f>
        <v>-5.87615643490354E-005</v>
      </c>
      <c r="T715" s="29" t="n">
        <f aca="true">IF(AND(F715&gt;=1,R715&gt;=Inputs!$B$10),INDEX(LINEST(OFFSET(D715,-R715,0,R715,1),OFFSET(E715,-R715,0,R715,2)),1,2),"")</f>
        <v>1.01028875017392</v>
      </c>
      <c r="U715" s="29" t="n">
        <f aca="true">IF(AND(F715&gt;=1,R715&gt;=Inputs!$B$10),INDEX(LINEST(OFFSET(D715,-R715,0,R715,1),OFFSET(E715,-R715,0,R715,2)),1,3),"")</f>
        <v>4.46446351434245</v>
      </c>
      <c r="V715" s="29" t="n">
        <f aca="true">IF(AND(F715&gt;=1,R715&gt;=Inputs!$B$10),SQRT(SUMPRODUCT((OFFSET(D715,-R715,0,R715,1)-U715-T715*OFFSET(E715,-R715,0,R715,1)-S715*OFFSET(F715,-R715,0,R715,1))^2)/(R715-3)),"")</f>
        <v>0.00233522625026998</v>
      </c>
      <c r="W715" s="31" t="n">
        <f aca="false">IF(AND(F715&gt;=1,R715&gt;=Inputs!$B$10),(D715-U715-T715*E715-S715*F715)/V715,"")</f>
        <v>0.878170049544997</v>
      </c>
      <c r="X715" s="30" t="n">
        <f aca="false">IF(AB714&lt;&gt;0,AC714+1,0)</f>
        <v>0</v>
      </c>
      <c r="Y715" s="30" t="n">
        <f aca="false">IF(W715="",0,IF(AND(AB714&lt;&gt;0,OR(ABS(W715)&gt;Inputs!$B$7,X715&gt;=Inputs!$B$8,ABS(W715)&lt;Inputs!$B$6)),1,0))</f>
        <v>0</v>
      </c>
      <c r="Z715" s="30" t="n">
        <f aca="false">IF(Y715=1,0,AB714)</f>
        <v>0</v>
      </c>
      <c r="AA715" s="30" t="n">
        <f aca="false">IF(W715="",0,IF(AND(Z715=0,ABS(W715)&gt;Inputs!$B$5,ABS(W715)&lt;=Inputs!$B$7),1,0))</f>
        <v>0</v>
      </c>
      <c r="AB715" s="30" t="n">
        <f aca="false">IF(W715="",0,IF(AA715=1,-SIGN(W715),Z715))</f>
        <v>0</v>
      </c>
      <c r="AC715" s="30" t="n">
        <f aca="false">IF(W715="",0,IF(AA715=1,0,IF(Y715=1,0,X715)))</f>
        <v>0</v>
      </c>
      <c r="AD715" s="30" t="n">
        <f aca="false">IF(AB715=0,0,IF(AB714=AB715,AD714,T715))</f>
        <v>0</v>
      </c>
      <c r="AE715" s="30" t="n">
        <f aca="false">AB715-AB714</f>
        <v>0</v>
      </c>
      <c r="AF715" s="30" t="n">
        <f aca="false">-AD715*AB715</f>
        <v>-0</v>
      </c>
      <c r="AG715" s="30" t="n">
        <f aca="false">AF715-AF714</f>
        <v>0</v>
      </c>
      <c r="AH715" s="30" t="n">
        <f aca="false">MAX(AE715,0)*(Inputs!$B$17+Inputs!$B$18+Inputs!$B$19)+MAX(-AE715,0)*(O715+Inputs!$B$18+Inputs!$B$19)+IF(AND(K715=1,AB715&lt;&gt;0),(Inputs!$B$17+Inputs!$B$18+Inputs!$B$19)+(O715+Inputs!$B$18+Inputs!$B$19),0)+MAX(AG715,0)*(Inputs!$B$20+Inputs!$B$22+Inputs!$B$23)+MAX(-AG715,0)*(Inputs!$B$21+Inputs!$B$22+Inputs!$B$23)</f>
        <v>0</v>
      </c>
      <c r="AI715" s="30" t="n">
        <f aca="false">AB714*(M715-AD714*J715)+AB714*AD714*N715/Inputs!$B$16-AH715</f>
        <v>0</v>
      </c>
      <c r="AJ715" s="30" t="n">
        <f aca="false">MAX(AE715,0)*(Inputs!$B$17+Inputs!$B$24+Inputs!$B$25)+MAX(-AE715,0)*(O715+Inputs!$B$24+Inputs!$B$25)+IF(AND(K715=1,AB715&lt;&gt;0),(Inputs!$B$17+Inputs!$B$24+Inputs!$B$25)+(O715+Inputs!$B$24+Inputs!$B$25),0)+MAX(AG715,0)*(Inputs!$B$20+Inputs!$B$26+Inputs!$B$27)+MAX(-AG715,0)*(Inputs!$B$21+Inputs!$B$26+Inputs!$B$27)</f>
        <v>0</v>
      </c>
      <c r="AK715" s="30" t="n">
        <f aca="false">AB714*(M715-AD714*J715)+AB714*AD714*(N715+Inputs!$B$14)/Inputs!$B$16-AJ715</f>
        <v>0</v>
      </c>
      <c r="AL715" s="30" t="n">
        <f aca="false">IF(AP714&lt;&gt;0,AQ714+1,0)</f>
        <v>0</v>
      </c>
      <c r="AM715" s="30" t="n">
        <f aca="false">IF(W715="",0,IF(AND(AP714&lt;&gt;0,OR(ABS(W715)&gt;Inputs!$B$7,AL715&gt;=Inputs!$B$8,ABS(W715)&lt;Inputs!$B$6)),1,0))</f>
        <v>0</v>
      </c>
      <c r="AN715" s="30" t="n">
        <f aca="false">IF(AM715=1,0,AP714)</f>
        <v>0</v>
      </c>
      <c r="AO715" s="30" t="n">
        <f aca="false">IF(W715="",0,IF(AND(AN715=0,ABS(W715)&gt;Inputs!$B$5,ABS(W715)&lt;=Inputs!$B$7,W715&gt;0),1,0))</f>
        <v>0</v>
      </c>
      <c r="AP715" s="30" t="n">
        <f aca="false">IF(W715="",0,IF(AO715=1,-SIGN(W715),AN715))</f>
        <v>0</v>
      </c>
      <c r="AQ715" s="30" t="n">
        <f aca="false">IF(W715="",0,IF(AO715=1,0,IF(AM715=1,0,AL715)))</f>
        <v>0</v>
      </c>
      <c r="AR715" s="30" t="n">
        <f aca="false">IF(AP715=0,0,IF(AP714=AP715,AR714,T715))</f>
        <v>0</v>
      </c>
      <c r="AS715" s="30" t="n">
        <f aca="false">AP715-AP714</f>
        <v>0</v>
      </c>
      <c r="AT715" s="30" t="n">
        <f aca="false">-AR715*AP715</f>
        <v>-0</v>
      </c>
      <c r="AU715" s="30" t="n">
        <f aca="false">AT715-AT714</f>
        <v>0</v>
      </c>
      <c r="AV715" s="30" t="n">
        <f aca="false">MAX(AS715,0)*(Inputs!$B$17+Inputs!$B$18+Inputs!$B$19)+MAX(-AS715,0)*(O715+Inputs!$B$18+Inputs!$B$19)+IF(AND(K715=1,AP715&lt;&gt;0),(Inputs!$B$17+Inputs!$B$18+Inputs!$B$19)+(O715+Inputs!$B$18+Inputs!$B$19),0)+MAX(AU715,0)*(Inputs!$B$20+Inputs!$B$22+Inputs!$B$23)+MAX(-AU715,0)*(Inputs!$B$21+Inputs!$B$22+Inputs!$B$23)</f>
        <v>0</v>
      </c>
      <c r="AW715" s="30" t="n">
        <f aca="false">AP714*(M715-AR714*J715)+AP714*AR714*N715/Inputs!$B$16-AV715</f>
        <v>0</v>
      </c>
      <c r="AX715" s="30" t="n">
        <f aca="false">AW715-IF(AP714&lt;&gt;0,0.75*AR714*(Inputs!$B$13-N715)/Inputs!$B$16,0)</f>
        <v>0</v>
      </c>
      <c r="AY715" s="30" t="n">
        <f aca="false">MAX(AS715,0)*(Inputs!$B$17+Inputs!$B$18+Inputs!$B$19)+MAX(-AS715,0)*(O715+Inputs!$B$18+Inputs!$B$19)+IF(AND(K715=1,AP715&lt;&gt;0),(Inputs!$B$17+Inputs!$B$18+Inputs!$B$19)+(O715+Inputs!$B$18+Inputs!$B$19),0)</f>
        <v>0</v>
      </c>
      <c r="AZ715" s="30" t="n">
        <f aca="false">AP714*M715-AY715</f>
        <v>-0</v>
      </c>
      <c r="BA715" s="32" t="n">
        <f aca="false">BA714+AI715</f>
        <v>0.0219013959927524</v>
      </c>
      <c r="BB715" s="30" t="n">
        <f aca="false">MAX(BB714,BA715)</f>
        <v>0.0261726191772394</v>
      </c>
      <c r="BC715" s="32" t="n">
        <f aca="false">BA715-BB715</f>
        <v>-0.00427122318448705</v>
      </c>
      <c r="BD715" s="30" t="n">
        <f aca="false">A716-A715</f>
        <v>1</v>
      </c>
    </row>
    <row r="716" customFormat="false" ht="15" hidden="false" customHeight="false" outlineLevel="0" collapsed="false">
      <c r="A716" s="28" t="n">
        <v>46093</v>
      </c>
      <c r="B716" s="0" t="n">
        <v>23725</v>
      </c>
      <c r="C716" s="0" t="n">
        <v>268.07</v>
      </c>
      <c r="D716" s="29" t="n">
        <f aca="false">LN(B716)</f>
        <v>10.0742846234781</v>
      </c>
      <c r="E716" s="29" t="n">
        <f aca="false">LN(C716)</f>
        <v>5.59124814043549</v>
      </c>
      <c r="F716" s="0" t="n">
        <v>711</v>
      </c>
      <c r="G716" s="0" t="n">
        <v>18</v>
      </c>
      <c r="H716" s="29" t="n">
        <f aca="false">D716-E716</f>
        <v>4.48303648304264</v>
      </c>
      <c r="I716" s="29" t="n">
        <f aca="false">D716-D715</f>
        <v>-0.00810196905062455</v>
      </c>
      <c r="J716" s="29" t="n">
        <f aca="false">E716-E715</f>
        <v>-0.00872816549512656</v>
      </c>
      <c r="K716" s="0" t="n">
        <v>0</v>
      </c>
      <c r="L716" s="0" t="n">
        <v>0</v>
      </c>
      <c r="M716" s="29" t="n">
        <f aca="false">IF(L716=1,J716-Carry!$B$9/Inputs!$B$16,I716)</f>
        <v>-0.00810196905062455</v>
      </c>
      <c r="N716" s="0" t="n">
        <v>0.0525</v>
      </c>
      <c r="O716" s="0" t="n">
        <v>0.0002</v>
      </c>
      <c r="P716" s="29" t="n">
        <f aca="false">D716-('2 Hedge ratio'!$B$6+'2 Hedge ratio'!$B$5*E716)</f>
        <v>-0.00982749691147689</v>
      </c>
      <c r="Q716" s="29" t="n">
        <f aca="false">D716-('5 Re-specification'!$B$7+'5 Re-specification'!$B$5*E716+'5 Re-specification'!$B$6*F716)</f>
        <v>0.000724484869618181</v>
      </c>
      <c r="R716" s="30" t="n">
        <f aca="false">MIN(F716,Inputs!$B$9)</f>
        <v>250</v>
      </c>
      <c r="S716" s="29" t="n">
        <f aca="true">IF(AND(F716&gt;=1,R716&gt;=Inputs!$B$10),INDEX(LINEST(OFFSET(D716,-R716,0,R716,1),OFFSET(E716,-R716,0,R716,2)),1,1),"")</f>
        <v>-5.80908833187627E-005</v>
      </c>
      <c r="T716" s="29" t="n">
        <f aca="true">IF(AND(F716&gt;=1,R716&gt;=Inputs!$B$10),INDEX(LINEST(OFFSET(D716,-R716,0,R716,1),OFFSET(E716,-R716,0,R716,2)),1,2),"")</f>
        <v>1.00922326332828</v>
      </c>
      <c r="U716" s="29" t="n">
        <f aca="true">IF(AND(F716&gt;=1,R716&gt;=Inputs!$B$10),INDEX(LINEST(OFFSET(D716,-R716,0,R716,1),OFFSET(E716,-R716,0,R716,2)),1,3),"")</f>
        <v>4.47008802348217</v>
      </c>
      <c r="V716" s="29" t="n">
        <f aca="true">IF(AND(F716&gt;=1,R716&gt;=Inputs!$B$10),SQRT(SUMPRODUCT((OFFSET(D716,-R716,0,R716,1)-U716-T716*OFFSET(E716,-R716,0,R716,1)-S716*OFFSET(F716,-R716,0,R716,1))^2)/(R716-3)),"")</f>
        <v>0.00233852935575484</v>
      </c>
      <c r="W716" s="31" t="n">
        <f aca="false">IF(AND(F716&gt;=1,R716&gt;=Inputs!$B$10),(D716-U716-T716*E716-S716*F716)/V716,"")</f>
        <v>1.14667094535463</v>
      </c>
      <c r="X716" s="30" t="n">
        <f aca="false">IF(AB715&lt;&gt;0,AC715+1,0)</f>
        <v>0</v>
      </c>
      <c r="Y716" s="30" t="n">
        <f aca="false">IF(W716="",0,IF(AND(AB715&lt;&gt;0,OR(ABS(W716)&gt;Inputs!$B$7,X716&gt;=Inputs!$B$8,ABS(W716)&lt;Inputs!$B$6)),1,0))</f>
        <v>0</v>
      </c>
      <c r="Z716" s="30" t="n">
        <f aca="false">IF(Y716=1,0,AB715)</f>
        <v>0</v>
      </c>
      <c r="AA716" s="30" t="n">
        <f aca="false">IF(W716="",0,IF(AND(Z716=0,ABS(W716)&gt;Inputs!$B$5,ABS(W716)&lt;=Inputs!$B$7),1,0))</f>
        <v>0</v>
      </c>
      <c r="AB716" s="30" t="n">
        <f aca="false">IF(W716="",0,IF(AA716=1,-SIGN(W716),Z716))</f>
        <v>0</v>
      </c>
      <c r="AC716" s="30" t="n">
        <f aca="false">IF(W716="",0,IF(AA716=1,0,IF(Y716=1,0,X716)))</f>
        <v>0</v>
      </c>
      <c r="AD716" s="30" t="n">
        <f aca="false">IF(AB716=0,0,IF(AB715=AB716,AD715,T716))</f>
        <v>0</v>
      </c>
      <c r="AE716" s="30" t="n">
        <f aca="false">AB716-AB715</f>
        <v>0</v>
      </c>
      <c r="AF716" s="30" t="n">
        <f aca="false">-AD716*AB716</f>
        <v>-0</v>
      </c>
      <c r="AG716" s="30" t="n">
        <f aca="false">AF716-AF715</f>
        <v>0</v>
      </c>
      <c r="AH716" s="30" t="n">
        <f aca="false">MAX(AE716,0)*(Inputs!$B$17+Inputs!$B$18+Inputs!$B$19)+MAX(-AE716,0)*(O716+Inputs!$B$18+Inputs!$B$19)+IF(AND(K716=1,AB716&lt;&gt;0),(Inputs!$B$17+Inputs!$B$18+Inputs!$B$19)+(O716+Inputs!$B$18+Inputs!$B$19),0)+MAX(AG716,0)*(Inputs!$B$20+Inputs!$B$22+Inputs!$B$23)+MAX(-AG716,0)*(Inputs!$B$21+Inputs!$B$22+Inputs!$B$23)</f>
        <v>0</v>
      </c>
      <c r="AI716" s="30" t="n">
        <f aca="false">AB715*(M716-AD715*J716)+AB715*AD715*N716/Inputs!$B$16-AH716</f>
        <v>0</v>
      </c>
      <c r="AJ716" s="30" t="n">
        <f aca="false">MAX(AE716,0)*(Inputs!$B$17+Inputs!$B$24+Inputs!$B$25)+MAX(-AE716,0)*(O716+Inputs!$B$24+Inputs!$B$25)+IF(AND(K716=1,AB716&lt;&gt;0),(Inputs!$B$17+Inputs!$B$24+Inputs!$B$25)+(O716+Inputs!$B$24+Inputs!$B$25),0)+MAX(AG716,0)*(Inputs!$B$20+Inputs!$B$26+Inputs!$B$27)+MAX(-AG716,0)*(Inputs!$B$21+Inputs!$B$26+Inputs!$B$27)</f>
        <v>0</v>
      </c>
      <c r="AK716" s="30" t="n">
        <f aca="false">AB715*(M716-AD715*J716)+AB715*AD715*(N716+Inputs!$B$14)/Inputs!$B$16-AJ716</f>
        <v>0</v>
      </c>
      <c r="AL716" s="30" t="n">
        <f aca="false">IF(AP715&lt;&gt;0,AQ715+1,0)</f>
        <v>0</v>
      </c>
      <c r="AM716" s="30" t="n">
        <f aca="false">IF(W716="",0,IF(AND(AP715&lt;&gt;0,OR(ABS(W716)&gt;Inputs!$B$7,AL716&gt;=Inputs!$B$8,ABS(W716)&lt;Inputs!$B$6)),1,0))</f>
        <v>0</v>
      </c>
      <c r="AN716" s="30" t="n">
        <f aca="false">IF(AM716=1,0,AP715)</f>
        <v>0</v>
      </c>
      <c r="AO716" s="30" t="n">
        <f aca="false">IF(W716="",0,IF(AND(AN716=0,ABS(W716)&gt;Inputs!$B$5,ABS(W716)&lt;=Inputs!$B$7,W716&gt;0),1,0))</f>
        <v>0</v>
      </c>
      <c r="AP716" s="30" t="n">
        <f aca="false">IF(W716="",0,IF(AO716=1,-SIGN(W716),AN716))</f>
        <v>0</v>
      </c>
      <c r="AQ716" s="30" t="n">
        <f aca="false">IF(W716="",0,IF(AO716=1,0,IF(AM716=1,0,AL716)))</f>
        <v>0</v>
      </c>
      <c r="AR716" s="30" t="n">
        <f aca="false">IF(AP716=0,0,IF(AP715=AP716,AR715,T716))</f>
        <v>0</v>
      </c>
      <c r="AS716" s="30" t="n">
        <f aca="false">AP716-AP715</f>
        <v>0</v>
      </c>
      <c r="AT716" s="30" t="n">
        <f aca="false">-AR716*AP716</f>
        <v>-0</v>
      </c>
      <c r="AU716" s="30" t="n">
        <f aca="false">AT716-AT715</f>
        <v>0</v>
      </c>
      <c r="AV716" s="30" t="n">
        <f aca="false">MAX(AS716,0)*(Inputs!$B$17+Inputs!$B$18+Inputs!$B$19)+MAX(-AS716,0)*(O716+Inputs!$B$18+Inputs!$B$19)+IF(AND(K716=1,AP716&lt;&gt;0),(Inputs!$B$17+Inputs!$B$18+Inputs!$B$19)+(O716+Inputs!$B$18+Inputs!$B$19),0)+MAX(AU716,0)*(Inputs!$B$20+Inputs!$B$22+Inputs!$B$23)+MAX(-AU716,0)*(Inputs!$B$21+Inputs!$B$22+Inputs!$B$23)</f>
        <v>0</v>
      </c>
      <c r="AW716" s="30" t="n">
        <f aca="false">AP715*(M716-AR715*J716)+AP715*AR715*N716/Inputs!$B$16-AV716</f>
        <v>0</v>
      </c>
      <c r="AX716" s="30" t="n">
        <f aca="false">AW716-IF(AP715&lt;&gt;0,0.75*AR715*(Inputs!$B$13-N716)/Inputs!$B$16,0)</f>
        <v>0</v>
      </c>
      <c r="AY716" s="30" t="n">
        <f aca="false">MAX(AS716,0)*(Inputs!$B$17+Inputs!$B$18+Inputs!$B$19)+MAX(-AS716,0)*(O716+Inputs!$B$18+Inputs!$B$19)+IF(AND(K716=1,AP716&lt;&gt;0),(Inputs!$B$17+Inputs!$B$18+Inputs!$B$19)+(O716+Inputs!$B$18+Inputs!$B$19),0)</f>
        <v>0</v>
      </c>
      <c r="AZ716" s="30" t="n">
        <f aca="false">AP715*M716-AY716</f>
        <v>-0</v>
      </c>
      <c r="BA716" s="32" t="n">
        <f aca="false">BA715+AI716</f>
        <v>0.0219013959927524</v>
      </c>
      <c r="BB716" s="30" t="n">
        <f aca="false">MAX(BB715,BA716)</f>
        <v>0.0261726191772394</v>
      </c>
      <c r="BC716" s="32" t="n">
        <f aca="false">BA716-BB716</f>
        <v>-0.00427122318448705</v>
      </c>
      <c r="BD716" s="30" t="n">
        <f aca="false">A717-A716</f>
        <v>1</v>
      </c>
    </row>
    <row r="717" customFormat="false" ht="15" hidden="false" customHeight="false" outlineLevel="0" collapsed="false">
      <c r="A717" s="28" t="n">
        <v>46094</v>
      </c>
      <c r="B717" s="0" t="n">
        <v>23225</v>
      </c>
      <c r="C717" s="0" t="n">
        <v>264</v>
      </c>
      <c r="D717" s="29" t="n">
        <f aca="false">LN(B717)</f>
        <v>10.052984563682</v>
      </c>
      <c r="E717" s="29" t="n">
        <f aca="false">LN(C717)</f>
        <v>5.57594910314632</v>
      </c>
      <c r="F717" s="0" t="n">
        <v>712</v>
      </c>
      <c r="G717" s="0" t="n">
        <v>17</v>
      </c>
      <c r="H717" s="29" t="n">
        <f aca="false">D717-E717</f>
        <v>4.47703546053572</v>
      </c>
      <c r="I717" s="29" t="n">
        <f aca="false">D717-D716</f>
        <v>-0.0213000597960882</v>
      </c>
      <c r="J717" s="29" t="n">
        <f aca="false">E717-E716</f>
        <v>-0.0152990372891697</v>
      </c>
      <c r="K717" s="0" t="n">
        <v>0</v>
      </c>
      <c r="L717" s="0" t="n">
        <v>0</v>
      </c>
      <c r="M717" s="29" t="n">
        <f aca="false">IF(L717=1,J717-Carry!$B$9/Inputs!$B$16,I717)</f>
        <v>-0.0213000597960882</v>
      </c>
      <c r="N717" s="0" t="n">
        <v>0.0525</v>
      </c>
      <c r="O717" s="0" t="n">
        <v>0.0002</v>
      </c>
      <c r="P717" s="29" t="n">
        <f aca="false">D717-('2 Hedge ratio'!$B$6+'2 Hedge ratio'!$B$5*E717)</f>
        <v>-0.0171116992562439</v>
      </c>
      <c r="Q717" s="29" t="n">
        <f aca="false">D717-('5 Re-specification'!$B$7+'5 Re-specification'!$B$5*E717+'5 Re-specification'!$B$6*F717)</f>
        <v>-0.00527797205203306</v>
      </c>
      <c r="R717" s="30" t="n">
        <f aca="false">MIN(F717,Inputs!$B$9)</f>
        <v>250</v>
      </c>
      <c r="S717" s="29" t="n">
        <f aca="true">IF(AND(F717&gt;=1,R717&gt;=Inputs!$B$10),INDEX(LINEST(OFFSET(D717,-R717,0,R717,1),OFFSET(E717,-R717,0,R717,2)),1,1),"")</f>
        <v>-5.72356859162966E-005</v>
      </c>
      <c r="T717" s="29" t="n">
        <f aca="true">IF(AND(F717&gt;=1,R717&gt;=Inputs!$B$10),INDEX(LINEST(OFFSET(D717,-R717,0,R717,1),OFFSET(E717,-R717,0,R717,2)),1,2),"")</f>
        <v>1.00794577766889</v>
      </c>
      <c r="U717" s="29" t="n">
        <f aca="true">IF(AND(F717&gt;=1,R717&gt;=Inputs!$B$10),INDEX(LINEST(OFFSET(D717,-R717,0,R717,1),OFFSET(E717,-R717,0,R717,2)),1,3),"")</f>
        <v>4.47680002656649</v>
      </c>
      <c r="V717" s="29" t="n">
        <f aca="true">IF(AND(F717&gt;=1,R717&gt;=Inputs!$B$10),SQRT(SUMPRODUCT((OFFSET(D717,-R717,0,R717,1)-U717-T717*OFFSET(E717,-R717,0,R717,1)-S717*OFFSET(F717,-R717,0,R717,1))^2)/(R717-3)),"")</f>
        <v>0.00234359396303826</v>
      </c>
      <c r="W717" s="31" t="n">
        <f aca="false">IF(AND(F717&gt;=1,R717&gt;=Inputs!$B$10),(D717-U717-T717*E717-S717*F717)/V717,"")</f>
        <v>-1.41577832054193</v>
      </c>
      <c r="X717" s="30" t="n">
        <f aca="false">IF(AB716&lt;&gt;0,AC716+1,0)</f>
        <v>0</v>
      </c>
      <c r="Y717" s="30" t="n">
        <f aca="false">IF(W717="",0,IF(AND(AB716&lt;&gt;0,OR(ABS(W717)&gt;Inputs!$B$7,X717&gt;=Inputs!$B$8,ABS(W717)&lt;Inputs!$B$6)),1,0))</f>
        <v>0</v>
      </c>
      <c r="Z717" s="30" t="n">
        <f aca="false">IF(Y717=1,0,AB716)</f>
        <v>0</v>
      </c>
      <c r="AA717" s="30" t="n">
        <f aca="false">IF(W717="",0,IF(AND(Z717=0,ABS(W717)&gt;Inputs!$B$5,ABS(W717)&lt;=Inputs!$B$7),1,0))</f>
        <v>0</v>
      </c>
      <c r="AB717" s="30" t="n">
        <f aca="false">IF(W717="",0,IF(AA717=1,-SIGN(W717),Z717))</f>
        <v>0</v>
      </c>
      <c r="AC717" s="30" t="n">
        <f aca="false">IF(W717="",0,IF(AA717=1,0,IF(Y717=1,0,X717)))</f>
        <v>0</v>
      </c>
      <c r="AD717" s="30" t="n">
        <f aca="false">IF(AB717=0,0,IF(AB716=AB717,AD716,T717))</f>
        <v>0</v>
      </c>
      <c r="AE717" s="30" t="n">
        <f aca="false">AB717-AB716</f>
        <v>0</v>
      </c>
      <c r="AF717" s="30" t="n">
        <f aca="false">-AD717*AB717</f>
        <v>-0</v>
      </c>
      <c r="AG717" s="30" t="n">
        <f aca="false">AF717-AF716</f>
        <v>0</v>
      </c>
      <c r="AH717" s="30" t="n">
        <f aca="false">MAX(AE717,0)*(Inputs!$B$17+Inputs!$B$18+Inputs!$B$19)+MAX(-AE717,0)*(O717+Inputs!$B$18+Inputs!$B$19)+IF(AND(K717=1,AB717&lt;&gt;0),(Inputs!$B$17+Inputs!$B$18+Inputs!$B$19)+(O717+Inputs!$B$18+Inputs!$B$19),0)+MAX(AG717,0)*(Inputs!$B$20+Inputs!$B$22+Inputs!$B$23)+MAX(-AG717,0)*(Inputs!$B$21+Inputs!$B$22+Inputs!$B$23)</f>
        <v>0</v>
      </c>
      <c r="AI717" s="30" t="n">
        <f aca="false">AB716*(M717-AD716*J717)+AB716*AD716*N717/Inputs!$B$16-AH717</f>
        <v>0</v>
      </c>
      <c r="AJ717" s="30" t="n">
        <f aca="false">MAX(AE717,0)*(Inputs!$B$17+Inputs!$B$24+Inputs!$B$25)+MAX(-AE717,0)*(O717+Inputs!$B$24+Inputs!$B$25)+IF(AND(K717=1,AB717&lt;&gt;0),(Inputs!$B$17+Inputs!$B$24+Inputs!$B$25)+(O717+Inputs!$B$24+Inputs!$B$25),0)+MAX(AG717,0)*(Inputs!$B$20+Inputs!$B$26+Inputs!$B$27)+MAX(-AG717,0)*(Inputs!$B$21+Inputs!$B$26+Inputs!$B$27)</f>
        <v>0</v>
      </c>
      <c r="AK717" s="30" t="n">
        <f aca="false">AB716*(M717-AD716*J717)+AB716*AD716*(N717+Inputs!$B$14)/Inputs!$B$16-AJ717</f>
        <v>0</v>
      </c>
      <c r="AL717" s="30" t="n">
        <f aca="false">IF(AP716&lt;&gt;0,AQ716+1,0)</f>
        <v>0</v>
      </c>
      <c r="AM717" s="30" t="n">
        <f aca="false">IF(W717="",0,IF(AND(AP716&lt;&gt;0,OR(ABS(W717)&gt;Inputs!$B$7,AL717&gt;=Inputs!$B$8,ABS(W717)&lt;Inputs!$B$6)),1,0))</f>
        <v>0</v>
      </c>
      <c r="AN717" s="30" t="n">
        <f aca="false">IF(AM717=1,0,AP716)</f>
        <v>0</v>
      </c>
      <c r="AO717" s="30" t="n">
        <f aca="false">IF(W717="",0,IF(AND(AN717=0,ABS(W717)&gt;Inputs!$B$5,ABS(W717)&lt;=Inputs!$B$7,W717&gt;0),1,0))</f>
        <v>0</v>
      </c>
      <c r="AP717" s="30" t="n">
        <f aca="false">IF(W717="",0,IF(AO717=1,-SIGN(W717),AN717))</f>
        <v>0</v>
      </c>
      <c r="AQ717" s="30" t="n">
        <f aca="false">IF(W717="",0,IF(AO717=1,0,IF(AM717=1,0,AL717)))</f>
        <v>0</v>
      </c>
      <c r="AR717" s="30" t="n">
        <f aca="false">IF(AP717=0,0,IF(AP716=AP717,AR716,T717))</f>
        <v>0</v>
      </c>
      <c r="AS717" s="30" t="n">
        <f aca="false">AP717-AP716</f>
        <v>0</v>
      </c>
      <c r="AT717" s="30" t="n">
        <f aca="false">-AR717*AP717</f>
        <v>-0</v>
      </c>
      <c r="AU717" s="30" t="n">
        <f aca="false">AT717-AT716</f>
        <v>0</v>
      </c>
      <c r="AV717" s="30" t="n">
        <f aca="false">MAX(AS717,0)*(Inputs!$B$17+Inputs!$B$18+Inputs!$B$19)+MAX(-AS717,0)*(O717+Inputs!$B$18+Inputs!$B$19)+IF(AND(K717=1,AP717&lt;&gt;0),(Inputs!$B$17+Inputs!$B$18+Inputs!$B$19)+(O717+Inputs!$B$18+Inputs!$B$19),0)+MAX(AU717,0)*(Inputs!$B$20+Inputs!$B$22+Inputs!$B$23)+MAX(-AU717,0)*(Inputs!$B$21+Inputs!$B$22+Inputs!$B$23)</f>
        <v>0</v>
      </c>
      <c r="AW717" s="30" t="n">
        <f aca="false">AP716*(M717-AR716*J717)+AP716*AR716*N717/Inputs!$B$16-AV717</f>
        <v>0</v>
      </c>
      <c r="AX717" s="30" t="n">
        <f aca="false">AW717-IF(AP716&lt;&gt;0,0.75*AR716*(Inputs!$B$13-N717)/Inputs!$B$16,0)</f>
        <v>0</v>
      </c>
      <c r="AY717" s="30" t="n">
        <f aca="false">MAX(AS717,0)*(Inputs!$B$17+Inputs!$B$18+Inputs!$B$19)+MAX(-AS717,0)*(O717+Inputs!$B$18+Inputs!$B$19)+IF(AND(K717=1,AP717&lt;&gt;0),(Inputs!$B$17+Inputs!$B$18+Inputs!$B$19)+(O717+Inputs!$B$18+Inputs!$B$19),0)</f>
        <v>0</v>
      </c>
      <c r="AZ717" s="30" t="n">
        <f aca="false">AP716*M717-AY717</f>
        <v>-0</v>
      </c>
      <c r="BA717" s="32" t="n">
        <f aca="false">BA716+AI717</f>
        <v>0.0219013959927524</v>
      </c>
      <c r="BB717" s="30" t="n">
        <f aca="false">MAX(BB716,BA717)</f>
        <v>0.0261726191772394</v>
      </c>
      <c r="BC717" s="32" t="n">
        <f aca="false">BA717-BB717</f>
        <v>-0.00427122318448705</v>
      </c>
      <c r="BD717" s="30" t="n">
        <f aca="false">A718-A717</f>
        <v>3</v>
      </c>
    </row>
    <row r="718" customFormat="false" ht="15" hidden="false" customHeight="false" outlineLevel="0" collapsed="false">
      <c r="A718" s="28" t="n">
        <v>46097</v>
      </c>
      <c r="B718" s="0" t="n">
        <v>23390</v>
      </c>
      <c r="C718" s="0" t="n">
        <v>264.99</v>
      </c>
      <c r="D718" s="29" t="n">
        <f aca="false">LN(B718)</f>
        <v>10.0600638595782</v>
      </c>
      <c r="E718" s="29" t="n">
        <f aca="false">LN(C718)</f>
        <v>5.57969208942515</v>
      </c>
      <c r="F718" s="0" t="n">
        <v>713</v>
      </c>
      <c r="G718" s="0" t="n">
        <v>14</v>
      </c>
      <c r="H718" s="29" t="n">
        <f aca="false">D718-E718</f>
        <v>4.48037177015307</v>
      </c>
      <c r="I718" s="29" t="n">
        <f aca="false">D718-D717</f>
        <v>0.00707929589618495</v>
      </c>
      <c r="J718" s="29" t="n">
        <f aca="false">E718-E717</f>
        <v>0.00374298627883451</v>
      </c>
      <c r="K718" s="0" t="n">
        <v>0</v>
      </c>
      <c r="L718" s="0" t="n">
        <v>0</v>
      </c>
      <c r="M718" s="29" t="n">
        <f aca="false">IF(L718=1,J718-Carry!$B$9/Inputs!$B$16,I718)</f>
        <v>0.00707929589618495</v>
      </c>
      <c r="N718" s="0" t="n">
        <v>0.0525</v>
      </c>
      <c r="O718" s="0" t="n">
        <v>0.0002</v>
      </c>
      <c r="P718" s="29" t="n">
        <f aca="false">D718-('2 Hedge ratio'!$B$6+'2 Hedge ratio'!$B$5*E718)</f>
        <v>-0.013461453249592</v>
      </c>
      <c r="Q718" s="29" t="n">
        <f aca="false">D718-('5 Re-specification'!$B$7+'5 Re-specification'!$B$5*E718+'5 Re-specification'!$B$6*F718)</f>
        <v>-0.00188538999658761</v>
      </c>
      <c r="R718" s="30" t="n">
        <f aca="false">MIN(F718,Inputs!$B$9)</f>
        <v>250</v>
      </c>
      <c r="S718" s="29" t="n">
        <f aca="true">IF(AND(F718&gt;=1,R718&gt;=Inputs!$B$10),INDEX(LINEST(OFFSET(D718,-R718,0,R718,1),OFFSET(E718,-R718,0,R718,2)),1,1),"")</f>
        <v>-5.83240367993907E-005</v>
      </c>
      <c r="T718" s="29" t="n">
        <f aca="true">IF(AND(F718&gt;=1,R718&gt;=Inputs!$B$10),INDEX(LINEST(OFFSET(D718,-R718,0,R718,1),OFFSET(E718,-R718,0,R718,2)),1,2),"")</f>
        <v>1.00971889234701</v>
      </c>
      <c r="U718" s="29" t="n">
        <f aca="true">IF(AND(F718&gt;=1,R718&gt;=Inputs!$B$10),INDEX(LINEST(OFFSET(D718,-R718,0,R718,1),OFFSET(E718,-R718,0,R718,2)),1,3),"")</f>
        <v>4.46742723606635</v>
      </c>
      <c r="V718" s="29" t="n">
        <f aca="true">IF(AND(F718&gt;=1,R718&gt;=Inputs!$B$10),SQRT(SUMPRODUCT((OFFSET(D718,-R718,0,R718,1)-U718-T718*OFFSET(E718,-R718,0,R718,1)-S718*OFFSET(F718,-R718,0,R718,1))^2)/(R718-3)),"")</f>
        <v>0.00235153228158083</v>
      </c>
      <c r="W718" s="31" t="n">
        <f aca="false">IF(AND(F718&gt;=1,R718&gt;=Inputs!$B$10),(D718-U718-T718*E718-S718*F718)/V718,"")</f>
        <v>0.128063552634059</v>
      </c>
      <c r="X718" s="30" t="n">
        <f aca="false">IF(AB717&lt;&gt;0,AC717+1,0)</f>
        <v>0</v>
      </c>
      <c r="Y718" s="30" t="n">
        <f aca="false">IF(W718="",0,IF(AND(AB717&lt;&gt;0,OR(ABS(W718)&gt;Inputs!$B$7,X718&gt;=Inputs!$B$8,ABS(W718)&lt;Inputs!$B$6)),1,0))</f>
        <v>0</v>
      </c>
      <c r="Z718" s="30" t="n">
        <f aca="false">IF(Y718=1,0,AB717)</f>
        <v>0</v>
      </c>
      <c r="AA718" s="30" t="n">
        <f aca="false">IF(W718="",0,IF(AND(Z718=0,ABS(W718)&gt;Inputs!$B$5,ABS(W718)&lt;=Inputs!$B$7),1,0))</f>
        <v>0</v>
      </c>
      <c r="AB718" s="30" t="n">
        <f aca="false">IF(W718="",0,IF(AA718=1,-SIGN(W718),Z718))</f>
        <v>0</v>
      </c>
      <c r="AC718" s="30" t="n">
        <f aca="false">IF(W718="",0,IF(AA718=1,0,IF(Y718=1,0,X718)))</f>
        <v>0</v>
      </c>
      <c r="AD718" s="30" t="n">
        <f aca="false">IF(AB718=0,0,IF(AB717=AB718,AD717,T718))</f>
        <v>0</v>
      </c>
      <c r="AE718" s="30" t="n">
        <f aca="false">AB718-AB717</f>
        <v>0</v>
      </c>
      <c r="AF718" s="30" t="n">
        <f aca="false">-AD718*AB718</f>
        <v>-0</v>
      </c>
      <c r="AG718" s="30" t="n">
        <f aca="false">AF718-AF717</f>
        <v>0</v>
      </c>
      <c r="AH718" s="30" t="n">
        <f aca="false">MAX(AE718,0)*(Inputs!$B$17+Inputs!$B$18+Inputs!$B$19)+MAX(-AE718,0)*(O718+Inputs!$B$18+Inputs!$B$19)+IF(AND(K718=1,AB718&lt;&gt;0),(Inputs!$B$17+Inputs!$B$18+Inputs!$B$19)+(O718+Inputs!$B$18+Inputs!$B$19),0)+MAX(AG718,0)*(Inputs!$B$20+Inputs!$B$22+Inputs!$B$23)+MAX(-AG718,0)*(Inputs!$B$21+Inputs!$B$22+Inputs!$B$23)</f>
        <v>0</v>
      </c>
      <c r="AI718" s="30" t="n">
        <f aca="false">AB717*(M718-AD717*J718)+AB717*AD717*N718/Inputs!$B$16-AH718</f>
        <v>0</v>
      </c>
      <c r="AJ718" s="30" t="n">
        <f aca="false">MAX(AE718,0)*(Inputs!$B$17+Inputs!$B$24+Inputs!$B$25)+MAX(-AE718,0)*(O718+Inputs!$B$24+Inputs!$B$25)+IF(AND(K718=1,AB718&lt;&gt;0),(Inputs!$B$17+Inputs!$B$24+Inputs!$B$25)+(O718+Inputs!$B$24+Inputs!$B$25),0)+MAX(AG718,0)*(Inputs!$B$20+Inputs!$B$26+Inputs!$B$27)+MAX(-AG718,0)*(Inputs!$B$21+Inputs!$B$26+Inputs!$B$27)</f>
        <v>0</v>
      </c>
      <c r="AK718" s="30" t="n">
        <f aca="false">AB717*(M718-AD717*J718)+AB717*AD717*(N718+Inputs!$B$14)/Inputs!$B$16-AJ718</f>
        <v>0</v>
      </c>
      <c r="AL718" s="30" t="n">
        <f aca="false">IF(AP717&lt;&gt;0,AQ717+1,0)</f>
        <v>0</v>
      </c>
      <c r="AM718" s="30" t="n">
        <f aca="false">IF(W718="",0,IF(AND(AP717&lt;&gt;0,OR(ABS(W718)&gt;Inputs!$B$7,AL718&gt;=Inputs!$B$8,ABS(W718)&lt;Inputs!$B$6)),1,0))</f>
        <v>0</v>
      </c>
      <c r="AN718" s="30" t="n">
        <f aca="false">IF(AM718=1,0,AP717)</f>
        <v>0</v>
      </c>
      <c r="AO718" s="30" t="n">
        <f aca="false">IF(W718="",0,IF(AND(AN718=0,ABS(W718)&gt;Inputs!$B$5,ABS(W718)&lt;=Inputs!$B$7,W718&gt;0),1,0))</f>
        <v>0</v>
      </c>
      <c r="AP718" s="30" t="n">
        <f aca="false">IF(W718="",0,IF(AO718=1,-SIGN(W718),AN718))</f>
        <v>0</v>
      </c>
      <c r="AQ718" s="30" t="n">
        <f aca="false">IF(W718="",0,IF(AO718=1,0,IF(AM718=1,0,AL718)))</f>
        <v>0</v>
      </c>
      <c r="AR718" s="30" t="n">
        <f aca="false">IF(AP718=0,0,IF(AP717=AP718,AR717,T718))</f>
        <v>0</v>
      </c>
      <c r="AS718" s="30" t="n">
        <f aca="false">AP718-AP717</f>
        <v>0</v>
      </c>
      <c r="AT718" s="30" t="n">
        <f aca="false">-AR718*AP718</f>
        <v>-0</v>
      </c>
      <c r="AU718" s="30" t="n">
        <f aca="false">AT718-AT717</f>
        <v>0</v>
      </c>
      <c r="AV718" s="30" t="n">
        <f aca="false">MAX(AS718,0)*(Inputs!$B$17+Inputs!$B$18+Inputs!$B$19)+MAX(-AS718,0)*(O718+Inputs!$B$18+Inputs!$B$19)+IF(AND(K718=1,AP718&lt;&gt;0),(Inputs!$B$17+Inputs!$B$18+Inputs!$B$19)+(O718+Inputs!$B$18+Inputs!$B$19),0)+MAX(AU718,0)*(Inputs!$B$20+Inputs!$B$22+Inputs!$B$23)+MAX(-AU718,0)*(Inputs!$B$21+Inputs!$B$22+Inputs!$B$23)</f>
        <v>0</v>
      </c>
      <c r="AW718" s="30" t="n">
        <f aca="false">AP717*(M718-AR717*J718)+AP717*AR717*N718/Inputs!$B$16-AV718</f>
        <v>0</v>
      </c>
      <c r="AX718" s="30" t="n">
        <f aca="false">AW718-IF(AP717&lt;&gt;0,0.75*AR717*(Inputs!$B$13-N718)/Inputs!$B$16,0)</f>
        <v>0</v>
      </c>
      <c r="AY718" s="30" t="n">
        <f aca="false">MAX(AS718,0)*(Inputs!$B$17+Inputs!$B$18+Inputs!$B$19)+MAX(-AS718,0)*(O718+Inputs!$B$18+Inputs!$B$19)+IF(AND(K718=1,AP718&lt;&gt;0),(Inputs!$B$17+Inputs!$B$18+Inputs!$B$19)+(O718+Inputs!$B$18+Inputs!$B$19),0)</f>
        <v>0</v>
      </c>
      <c r="AZ718" s="30" t="n">
        <f aca="false">AP717*M718-AY718</f>
        <v>0</v>
      </c>
      <c r="BA718" s="32" t="n">
        <f aca="false">BA717+AI718</f>
        <v>0.0219013959927524</v>
      </c>
      <c r="BB718" s="30" t="n">
        <f aca="false">MAX(BB717,BA718)</f>
        <v>0.0261726191772394</v>
      </c>
      <c r="BC718" s="32" t="n">
        <f aca="false">BA718-BB718</f>
        <v>-0.00427122318448705</v>
      </c>
      <c r="BD718" s="30" t="n">
        <f aca="false">A719-A718</f>
        <v>1</v>
      </c>
    </row>
    <row r="719" customFormat="false" ht="15" hidden="false" customHeight="false" outlineLevel="0" collapsed="false">
      <c r="A719" s="28" t="n">
        <v>46098</v>
      </c>
      <c r="B719" s="0" t="n">
        <v>23613.5</v>
      </c>
      <c r="C719" s="0" t="n">
        <v>267.2</v>
      </c>
      <c r="D719" s="29" t="n">
        <f aca="false">LN(B719)</f>
        <v>10.069573861363</v>
      </c>
      <c r="E719" s="29" t="n">
        <f aca="false">LN(C719)</f>
        <v>5.58799744166249</v>
      </c>
      <c r="F719" s="0" t="n">
        <v>714</v>
      </c>
      <c r="G719" s="0" t="n">
        <v>13</v>
      </c>
      <c r="H719" s="29" t="n">
        <f aca="false">D719-E719</f>
        <v>4.48157641970049</v>
      </c>
      <c r="I719" s="29" t="n">
        <f aca="false">D719-D718</f>
        <v>0.0095100017847578</v>
      </c>
      <c r="J719" s="29" t="n">
        <f aca="false">E719-E718</f>
        <v>0.00830535223733975</v>
      </c>
      <c r="K719" s="0" t="n">
        <v>0</v>
      </c>
      <c r="L719" s="0" t="n">
        <v>0</v>
      </c>
      <c r="M719" s="29" t="n">
        <f aca="false">IF(L719=1,J719-Carry!$B$9/Inputs!$B$16,I719)</f>
        <v>0.0095100017847578</v>
      </c>
      <c r="N719" s="0" t="n">
        <v>0.0525</v>
      </c>
      <c r="O719" s="0" t="n">
        <v>0.0002</v>
      </c>
      <c r="P719" s="29" t="n">
        <f aca="false">D719-('2 Hedge ratio'!$B$6+'2 Hedge ratio'!$B$5*E719)</f>
        <v>-0.0115602068944298</v>
      </c>
      <c r="Q719" s="29" t="n">
        <f aca="false">D719-('5 Re-specification'!$B$7+'5 Re-specification'!$B$5*E719+'5 Re-specification'!$B$6*F719)</f>
        <v>-0.000610641760943054</v>
      </c>
      <c r="R719" s="30" t="n">
        <f aca="false">MIN(F719,Inputs!$B$9)</f>
        <v>250</v>
      </c>
      <c r="S719" s="29" t="n">
        <f aca="true">IF(AND(F719&gt;=1,R719&gt;=Inputs!$B$10),INDEX(LINEST(OFFSET(D719,-R719,0,R719,1),OFFSET(E719,-R719,0,R719,2)),1,1),"")</f>
        <v>-5.82467943308815E-005</v>
      </c>
      <c r="T719" s="29" t="n">
        <f aca="true">IF(AND(F719&gt;=1,R719&gt;=Inputs!$B$10),INDEX(LINEST(OFFSET(D719,-R719,0,R719,1),OFFSET(E719,-R719,0,R719,2)),1,2),"")</f>
        <v>1.0097099891697</v>
      </c>
      <c r="U719" s="29" t="n">
        <f aca="true">IF(AND(F719&gt;=1,R719&gt;=Inputs!$B$10),INDEX(LINEST(OFFSET(D719,-R719,0,R719,1),OFFSET(E719,-R719,0,R719,2)),1,3),"")</f>
        <v>4.46743133585449</v>
      </c>
      <c r="V719" s="29" t="n">
        <f aca="true">IF(AND(F719&gt;=1,R719&gt;=Inputs!$B$10),SQRT(SUMPRODUCT((OFFSET(D719,-R719,0,R719,1)-U719-T719*OFFSET(E719,-R719,0,R719,1)-S719*OFFSET(F719,-R719,0,R719,1))^2)/(R719-3)),"")</f>
        <v>0.00235141470129262</v>
      </c>
      <c r="W719" s="31" t="n">
        <f aca="false">IF(AND(F719&gt;=1,R719&gt;=Inputs!$B$10),(D719-U719-T719*E719-S719*F719)/V719,"")</f>
        <v>0.626814299734141</v>
      </c>
      <c r="X719" s="30" t="n">
        <f aca="false">IF(AB718&lt;&gt;0,AC718+1,0)</f>
        <v>0</v>
      </c>
      <c r="Y719" s="30" t="n">
        <f aca="false">IF(W719="",0,IF(AND(AB718&lt;&gt;0,OR(ABS(W719)&gt;Inputs!$B$7,X719&gt;=Inputs!$B$8,ABS(W719)&lt;Inputs!$B$6)),1,0))</f>
        <v>0</v>
      </c>
      <c r="Z719" s="30" t="n">
        <f aca="false">IF(Y719=1,0,AB718)</f>
        <v>0</v>
      </c>
      <c r="AA719" s="30" t="n">
        <f aca="false">IF(W719="",0,IF(AND(Z719=0,ABS(W719)&gt;Inputs!$B$5,ABS(W719)&lt;=Inputs!$B$7),1,0))</f>
        <v>0</v>
      </c>
      <c r="AB719" s="30" t="n">
        <f aca="false">IF(W719="",0,IF(AA719=1,-SIGN(W719),Z719))</f>
        <v>0</v>
      </c>
      <c r="AC719" s="30" t="n">
        <f aca="false">IF(W719="",0,IF(AA719=1,0,IF(Y719=1,0,X719)))</f>
        <v>0</v>
      </c>
      <c r="AD719" s="30" t="n">
        <f aca="false">IF(AB719=0,0,IF(AB718=AB719,AD718,T719))</f>
        <v>0</v>
      </c>
      <c r="AE719" s="30" t="n">
        <f aca="false">AB719-AB718</f>
        <v>0</v>
      </c>
      <c r="AF719" s="30" t="n">
        <f aca="false">-AD719*AB719</f>
        <v>-0</v>
      </c>
      <c r="AG719" s="30" t="n">
        <f aca="false">AF719-AF718</f>
        <v>0</v>
      </c>
      <c r="AH719" s="30" t="n">
        <f aca="false">MAX(AE719,0)*(Inputs!$B$17+Inputs!$B$18+Inputs!$B$19)+MAX(-AE719,0)*(O719+Inputs!$B$18+Inputs!$B$19)+IF(AND(K719=1,AB719&lt;&gt;0),(Inputs!$B$17+Inputs!$B$18+Inputs!$B$19)+(O719+Inputs!$B$18+Inputs!$B$19),0)+MAX(AG719,0)*(Inputs!$B$20+Inputs!$B$22+Inputs!$B$23)+MAX(-AG719,0)*(Inputs!$B$21+Inputs!$B$22+Inputs!$B$23)</f>
        <v>0</v>
      </c>
      <c r="AI719" s="30" t="n">
        <f aca="false">AB718*(M719-AD718*J719)+AB718*AD718*N719/Inputs!$B$16-AH719</f>
        <v>0</v>
      </c>
      <c r="AJ719" s="30" t="n">
        <f aca="false">MAX(AE719,0)*(Inputs!$B$17+Inputs!$B$24+Inputs!$B$25)+MAX(-AE719,0)*(O719+Inputs!$B$24+Inputs!$B$25)+IF(AND(K719=1,AB719&lt;&gt;0),(Inputs!$B$17+Inputs!$B$24+Inputs!$B$25)+(O719+Inputs!$B$24+Inputs!$B$25),0)+MAX(AG719,0)*(Inputs!$B$20+Inputs!$B$26+Inputs!$B$27)+MAX(-AG719,0)*(Inputs!$B$21+Inputs!$B$26+Inputs!$B$27)</f>
        <v>0</v>
      </c>
      <c r="AK719" s="30" t="n">
        <f aca="false">AB718*(M719-AD718*J719)+AB718*AD718*(N719+Inputs!$B$14)/Inputs!$B$16-AJ719</f>
        <v>0</v>
      </c>
      <c r="AL719" s="30" t="n">
        <f aca="false">IF(AP718&lt;&gt;0,AQ718+1,0)</f>
        <v>0</v>
      </c>
      <c r="AM719" s="30" t="n">
        <f aca="false">IF(W719="",0,IF(AND(AP718&lt;&gt;0,OR(ABS(W719)&gt;Inputs!$B$7,AL719&gt;=Inputs!$B$8,ABS(W719)&lt;Inputs!$B$6)),1,0))</f>
        <v>0</v>
      </c>
      <c r="AN719" s="30" t="n">
        <f aca="false">IF(AM719=1,0,AP718)</f>
        <v>0</v>
      </c>
      <c r="AO719" s="30" t="n">
        <f aca="false">IF(W719="",0,IF(AND(AN719=0,ABS(W719)&gt;Inputs!$B$5,ABS(W719)&lt;=Inputs!$B$7,W719&gt;0),1,0))</f>
        <v>0</v>
      </c>
      <c r="AP719" s="30" t="n">
        <f aca="false">IF(W719="",0,IF(AO719=1,-SIGN(W719),AN719))</f>
        <v>0</v>
      </c>
      <c r="AQ719" s="30" t="n">
        <f aca="false">IF(W719="",0,IF(AO719=1,0,IF(AM719=1,0,AL719)))</f>
        <v>0</v>
      </c>
      <c r="AR719" s="30" t="n">
        <f aca="false">IF(AP719=0,0,IF(AP718=AP719,AR718,T719))</f>
        <v>0</v>
      </c>
      <c r="AS719" s="30" t="n">
        <f aca="false">AP719-AP718</f>
        <v>0</v>
      </c>
      <c r="AT719" s="30" t="n">
        <f aca="false">-AR719*AP719</f>
        <v>-0</v>
      </c>
      <c r="AU719" s="30" t="n">
        <f aca="false">AT719-AT718</f>
        <v>0</v>
      </c>
      <c r="AV719" s="30" t="n">
        <f aca="false">MAX(AS719,0)*(Inputs!$B$17+Inputs!$B$18+Inputs!$B$19)+MAX(-AS719,0)*(O719+Inputs!$B$18+Inputs!$B$19)+IF(AND(K719=1,AP719&lt;&gt;0),(Inputs!$B$17+Inputs!$B$18+Inputs!$B$19)+(O719+Inputs!$B$18+Inputs!$B$19),0)+MAX(AU719,0)*(Inputs!$B$20+Inputs!$B$22+Inputs!$B$23)+MAX(-AU719,0)*(Inputs!$B$21+Inputs!$B$22+Inputs!$B$23)</f>
        <v>0</v>
      </c>
      <c r="AW719" s="30" t="n">
        <f aca="false">AP718*(M719-AR718*J719)+AP718*AR718*N719/Inputs!$B$16-AV719</f>
        <v>0</v>
      </c>
      <c r="AX719" s="30" t="n">
        <f aca="false">AW719-IF(AP718&lt;&gt;0,0.75*AR718*(Inputs!$B$13-N719)/Inputs!$B$16,0)</f>
        <v>0</v>
      </c>
      <c r="AY719" s="30" t="n">
        <f aca="false">MAX(AS719,0)*(Inputs!$B$17+Inputs!$B$18+Inputs!$B$19)+MAX(-AS719,0)*(O719+Inputs!$B$18+Inputs!$B$19)+IF(AND(K719=1,AP719&lt;&gt;0),(Inputs!$B$17+Inputs!$B$18+Inputs!$B$19)+(O719+Inputs!$B$18+Inputs!$B$19),0)</f>
        <v>0</v>
      </c>
      <c r="AZ719" s="30" t="n">
        <f aca="false">AP718*M719-AY719</f>
        <v>0</v>
      </c>
      <c r="BA719" s="32" t="n">
        <f aca="false">BA718+AI719</f>
        <v>0.0219013959927524</v>
      </c>
      <c r="BB719" s="30" t="n">
        <f aca="false">MAX(BB718,BA719)</f>
        <v>0.0261726191772394</v>
      </c>
      <c r="BC719" s="32" t="n">
        <f aca="false">BA719-BB719</f>
        <v>-0.00427122318448705</v>
      </c>
      <c r="BD719" s="30" t="n">
        <f aca="false">A720-A719</f>
        <v>1</v>
      </c>
    </row>
    <row r="720" customFormat="false" ht="15" hidden="false" customHeight="false" outlineLevel="0" collapsed="false">
      <c r="A720" s="28" t="n">
        <v>46099</v>
      </c>
      <c r="B720" s="0" t="n">
        <v>23775</v>
      </c>
      <c r="C720" s="0" t="n">
        <v>269.1</v>
      </c>
      <c r="D720" s="29" t="n">
        <f aca="false">LN(B720)</f>
        <v>10.0763898874136</v>
      </c>
      <c r="E720" s="29" t="n">
        <f aca="false">LN(C720)</f>
        <v>5.59508305773286</v>
      </c>
      <c r="F720" s="0" t="n">
        <v>715</v>
      </c>
      <c r="G720" s="0" t="n">
        <v>12</v>
      </c>
      <c r="H720" s="29" t="n">
        <f aca="false">D720-E720</f>
        <v>4.48130682968073</v>
      </c>
      <c r="I720" s="29" t="n">
        <f aca="false">D720-D719</f>
        <v>0.0068160260506076</v>
      </c>
      <c r="J720" s="29" t="n">
        <f aca="false">E720-E719</f>
        <v>0.00708561607036984</v>
      </c>
      <c r="K720" s="0" t="n">
        <v>0</v>
      </c>
      <c r="L720" s="0" t="n">
        <v>0</v>
      </c>
      <c r="M720" s="29" t="n">
        <f aca="false">IF(L720=1,J720-Carry!$B$9/Inputs!$B$16,I720)</f>
        <v>0.0068160260506076</v>
      </c>
      <c r="N720" s="0" t="n">
        <v>0.0525</v>
      </c>
      <c r="O720" s="0" t="n">
        <v>0.0002</v>
      </c>
      <c r="P720" s="29" t="n">
        <f aca="false">D720-('2 Hedge ratio'!$B$6+'2 Hedge ratio'!$B$5*E720)</f>
        <v>-0.0112355033316369</v>
      </c>
      <c r="Q720" s="29" t="n">
        <f aca="false">D720-('5 Re-specification'!$B$7+'5 Re-specification'!$B$5*E720+'5 Re-specification'!$B$6*F720)</f>
        <v>-0.000813829502956054</v>
      </c>
      <c r="R720" s="30" t="n">
        <f aca="false">MIN(F720,Inputs!$B$9)</f>
        <v>250</v>
      </c>
      <c r="S720" s="29" t="n">
        <f aca="true">IF(AND(F720&gt;=1,R720&gt;=Inputs!$B$10),INDEX(LINEST(OFFSET(D720,-R720,0,R720,1),OFFSET(E720,-R720,0,R720,2)),1,1),"")</f>
        <v>-5.78710245136046E-005</v>
      </c>
      <c r="T720" s="29" t="n">
        <f aca="true">IF(AND(F720&gt;=1,R720&gt;=Inputs!$B$10),INDEX(LINEST(OFFSET(D720,-R720,0,R720,1),OFFSET(E720,-R720,0,R720,2)),1,2),"")</f>
        <v>1.00928491195151</v>
      </c>
      <c r="U720" s="29" t="n">
        <f aca="true">IF(AND(F720&gt;=1,R720&gt;=Inputs!$B$10),INDEX(LINEST(OFFSET(D720,-R720,0,R720,1),OFFSET(E720,-R720,0,R720,2)),1,3),"")</f>
        <v>4.46961033974484</v>
      </c>
      <c r="V720" s="29" t="n">
        <f aca="true">IF(AND(F720&gt;=1,R720&gt;=Inputs!$B$10),SQRT(SUMPRODUCT((OFFSET(D720,-R720,0,R720,1)-U720-T720*OFFSET(E720,-R720,0,R720,1)-S720*OFFSET(F720,-R720,0,R720,1))^2)/(R720-3)),"")</f>
        <v>0.00235249265368334</v>
      </c>
      <c r="W720" s="31" t="n">
        <f aca="false">IF(AND(F720&gt;=1,R720&gt;=Inputs!$B$10),(D720-U720-T720*E720-S720*F720)/V720,"")</f>
        <v>0.477969148571281</v>
      </c>
      <c r="X720" s="30" t="n">
        <f aca="false">IF(AB719&lt;&gt;0,AC719+1,0)</f>
        <v>0</v>
      </c>
      <c r="Y720" s="30" t="n">
        <f aca="false">IF(W720="",0,IF(AND(AB719&lt;&gt;0,OR(ABS(W720)&gt;Inputs!$B$7,X720&gt;=Inputs!$B$8,ABS(W720)&lt;Inputs!$B$6)),1,0))</f>
        <v>0</v>
      </c>
      <c r="Z720" s="30" t="n">
        <f aca="false">IF(Y720=1,0,AB719)</f>
        <v>0</v>
      </c>
      <c r="AA720" s="30" t="n">
        <f aca="false">IF(W720="",0,IF(AND(Z720=0,ABS(W720)&gt;Inputs!$B$5,ABS(W720)&lt;=Inputs!$B$7),1,0))</f>
        <v>0</v>
      </c>
      <c r="AB720" s="30" t="n">
        <f aca="false">IF(W720="",0,IF(AA720=1,-SIGN(W720),Z720))</f>
        <v>0</v>
      </c>
      <c r="AC720" s="30" t="n">
        <f aca="false">IF(W720="",0,IF(AA720=1,0,IF(Y720=1,0,X720)))</f>
        <v>0</v>
      </c>
      <c r="AD720" s="30" t="n">
        <f aca="false">IF(AB720=0,0,IF(AB719=AB720,AD719,T720))</f>
        <v>0</v>
      </c>
      <c r="AE720" s="30" t="n">
        <f aca="false">AB720-AB719</f>
        <v>0</v>
      </c>
      <c r="AF720" s="30" t="n">
        <f aca="false">-AD720*AB720</f>
        <v>-0</v>
      </c>
      <c r="AG720" s="30" t="n">
        <f aca="false">AF720-AF719</f>
        <v>0</v>
      </c>
      <c r="AH720" s="30" t="n">
        <f aca="false">MAX(AE720,0)*(Inputs!$B$17+Inputs!$B$18+Inputs!$B$19)+MAX(-AE720,0)*(O720+Inputs!$B$18+Inputs!$B$19)+IF(AND(K720=1,AB720&lt;&gt;0),(Inputs!$B$17+Inputs!$B$18+Inputs!$B$19)+(O720+Inputs!$B$18+Inputs!$B$19),0)+MAX(AG720,0)*(Inputs!$B$20+Inputs!$B$22+Inputs!$B$23)+MAX(-AG720,0)*(Inputs!$B$21+Inputs!$B$22+Inputs!$B$23)</f>
        <v>0</v>
      </c>
      <c r="AI720" s="30" t="n">
        <f aca="false">AB719*(M720-AD719*J720)+AB719*AD719*N720/Inputs!$B$16-AH720</f>
        <v>0</v>
      </c>
      <c r="AJ720" s="30" t="n">
        <f aca="false">MAX(AE720,0)*(Inputs!$B$17+Inputs!$B$24+Inputs!$B$25)+MAX(-AE720,0)*(O720+Inputs!$B$24+Inputs!$B$25)+IF(AND(K720=1,AB720&lt;&gt;0),(Inputs!$B$17+Inputs!$B$24+Inputs!$B$25)+(O720+Inputs!$B$24+Inputs!$B$25),0)+MAX(AG720,0)*(Inputs!$B$20+Inputs!$B$26+Inputs!$B$27)+MAX(-AG720,0)*(Inputs!$B$21+Inputs!$B$26+Inputs!$B$27)</f>
        <v>0</v>
      </c>
      <c r="AK720" s="30" t="n">
        <f aca="false">AB719*(M720-AD719*J720)+AB719*AD719*(N720+Inputs!$B$14)/Inputs!$B$16-AJ720</f>
        <v>0</v>
      </c>
      <c r="AL720" s="30" t="n">
        <f aca="false">IF(AP719&lt;&gt;0,AQ719+1,0)</f>
        <v>0</v>
      </c>
      <c r="AM720" s="30" t="n">
        <f aca="false">IF(W720="",0,IF(AND(AP719&lt;&gt;0,OR(ABS(W720)&gt;Inputs!$B$7,AL720&gt;=Inputs!$B$8,ABS(W720)&lt;Inputs!$B$6)),1,0))</f>
        <v>0</v>
      </c>
      <c r="AN720" s="30" t="n">
        <f aca="false">IF(AM720=1,0,AP719)</f>
        <v>0</v>
      </c>
      <c r="AO720" s="30" t="n">
        <f aca="false">IF(W720="",0,IF(AND(AN720=0,ABS(W720)&gt;Inputs!$B$5,ABS(W720)&lt;=Inputs!$B$7,W720&gt;0),1,0))</f>
        <v>0</v>
      </c>
      <c r="AP720" s="30" t="n">
        <f aca="false">IF(W720="",0,IF(AO720=1,-SIGN(W720),AN720))</f>
        <v>0</v>
      </c>
      <c r="AQ720" s="30" t="n">
        <f aca="false">IF(W720="",0,IF(AO720=1,0,IF(AM720=1,0,AL720)))</f>
        <v>0</v>
      </c>
      <c r="AR720" s="30" t="n">
        <f aca="false">IF(AP720=0,0,IF(AP719=AP720,AR719,T720))</f>
        <v>0</v>
      </c>
      <c r="AS720" s="30" t="n">
        <f aca="false">AP720-AP719</f>
        <v>0</v>
      </c>
      <c r="AT720" s="30" t="n">
        <f aca="false">-AR720*AP720</f>
        <v>-0</v>
      </c>
      <c r="AU720" s="30" t="n">
        <f aca="false">AT720-AT719</f>
        <v>0</v>
      </c>
      <c r="AV720" s="30" t="n">
        <f aca="false">MAX(AS720,0)*(Inputs!$B$17+Inputs!$B$18+Inputs!$B$19)+MAX(-AS720,0)*(O720+Inputs!$B$18+Inputs!$B$19)+IF(AND(K720=1,AP720&lt;&gt;0),(Inputs!$B$17+Inputs!$B$18+Inputs!$B$19)+(O720+Inputs!$B$18+Inputs!$B$19),0)+MAX(AU720,0)*(Inputs!$B$20+Inputs!$B$22+Inputs!$B$23)+MAX(-AU720,0)*(Inputs!$B$21+Inputs!$B$22+Inputs!$B$23)</f>
        <v>0</v>
      </c>
      <c r="AW720" s="30" t="n">
        <f aca="false">AP719*(M720-AR719*J720)+AP719*AR719*N720/Inputs!$B$16-AV720</f>
        <v>0</v>
      </c>
      <c r="AX720" s="30" t="n">
        <f aca="false">AW720-IF(AP719&lt;&gt;0,0.75*AR719*(Inputs!$B$13-N720)/Inputs!$B$16,0)</f>
        <v>0</v>
      </c>
      <c r="AY720" s="30" t="n">
        <f aca="false">MAX(AS720,0)*(Inputs!$B$17+Inputs!$B$18+Inputs!$B$19)+MAX(-AS720,0)*(O720+Inputs!$B$18+Inputs!$B$19)+IF(AND(K720=1,AP720&lt;&gt;0),(Inputs!$B$17+Inputs!$B$18+Inputs!$B$19)+(O720+Inputs!$B$18+Inputs!$B$19),0)</f>
        <v>0</v>
      </c>
      <c r="AZ720" s="30" t="n">
        <f aca="false">AP719*M720-AY720</f>
        <v>0</v>
      </c>
      <c r="BA720" s="32" t="n">
        <f aca="false">BA719+AI720</f>
        <v>0.0219013959927524</v>
      </c>
      <c r="BB720" s="30" t="n">
        <f aca="false">MAX(BB719,BA720)</f>
        <v>0.0261726191772394</v>
      </c>
      <c r="BC720" s="32" t="n">
        <f aca="false">BA720-BB720</f>
        <v>-0.00427122318448705</v>
      </c>
      <c r="BD720" s="30" t="n">
        <f aca="false">A721-A720</f>
        <v>1</v>
      </c>
    </row>
    <row r="721" customFormat="false" ht="15" hidden="false" customHeight="false" outlineLevel="0" collapsed="false">
      <c r="A721" s="28" t="n">
        <v>46100</v>
      </c>
      <c r="B721" s="0" t="n">
        <v>23124.9</v>
      </c>
      <c r="C721" s="0" t="n">
        <v>262.39</v>
      </c>
      <c r="D721" s="29" t="n">
        <f aca="false">LN(B721)</f>
        <v>10.048665238047</v>
      </c>
      <c r="E721" s="29" t="n">
        <f aca="false">LN(C721)</f>
        <v>5.56983194658764</v>
      </c>
      <c r="F721" s="0" t="n">
        <v>716</v>
      </c>
      <c r="G721" s="0" t="n">
        <v>11</v>
      </c>
      <c r="H721" s="29" t="n">
        <f aca="false">D721-E721</f>
        <v>4.47883329145931</v>
      </c>
      <c r="I721" s="29" t="n">
        <f aca="false">D721-D720</f>
        <v>-0.0277246493666379</v>
      </c>
      <c r="J721" s="29" t="n">
        <f aca="false">E721-E720</f>
        <v>-0.0252511111452192</v>
      </c>
      <c r="K721" s="0" t="n">
        <v>0</v>
      </c>
      <c r="L721" s="0" t="n">
        <v>0</v>
      </c>
      <c r="M721" s="29" t="n">
        <f aca="false">IF(L721=1,J721-Carry!$B$9/Inputs!$B$16,I721)</f>
        <v>-0.0277246493666379</v>
      </c>
      <c r="N721" s="0" t="n">
        <v>0.0525</v>
      </c>
      <c r="O721" s="0" t="n">
        <v>0.0002</v>
      </c>
      <c r="P721" s="29" t="n">
        <f aca="false">D721-('2 Hedge ratio'!$B$6+'2 Hedge ratio'!$B$5*E721)</f>
        <v>-0.0158269340774275</v>
      </c>
      <c r="Q721" s="29" t="n">
        <f aca="false">D721-('5 Re-specification'!$B$7+'5 Re-specification'!$B$5*E721+'5 Re-specification'!$B$6*F721)</f>
        <v>-0.00331896189914005</v>
      </c>
      <c r="R721" s="30" t="n">
        <f aca="false">MIN(F721,Inputs!$B$9)</f>
        <v>250</v>
      </c>
      <c r="S721" s="29" t="n">
        <f aca="true">IF(AND(F721&gt;=1,R721&gt;=Inputs!$B$10),INDEX(LINEST(OFFSET(D721,-R721,0,R721,1),OFFSET(E721,-R721,0,R721,2)),1,1),"")</f>
        <v>-5.75385082692846E-005</v>
      </c>
      <c r="T721" s="29" t="n">
        <f aca="true">IF(AND(F721&gt;=1,R721&gt;=Inputs!$B$10),INDEX(LINEST(OFFSET(D721,-R721,0,R721,1),OFFSET(E721,-R721,0,R721,2)),1,2),"")</f>
        <v>1.0081888921223</v>
      </c>
      <c r="U721" s="29" t="n">
        <f aca="true">IF(AND(F721&gt;=1,R721&gt;=Inputs!$B$10),INDEX(LINEST(OFFSET(D721,-R721,0,R721,1),OFFSET(E721,-R721,0,R721,2)),1,3),"")</f>
        <v>4.47560817299527</v>
      </c>
      <c r="V721" s="29" t="n">
        <f aca="true">IF(AND(F721&gt;=1,R721&gt;=Inputs!$B$10),SQRT(SUMPRODUCT((OFFSET(D721,-R721,0,R721,1)-U721-T721*OFFSET(E721,-R721,0,R721,1)-S721*OFFSET(F721,-R721,0,R721,1))^2)/(R721-3)),"")</f>
        <v>0.00235158054861495</v>
      </c>
      <c r="W721" s="31" t="n">
        <f aca="false">IF(AND(F721&gt;=1,R721&gt;=Inputs!$B$10),(D721-U721-T721*E721-S721*F721)/V721,"")</f>
        <v>-0.505218741404339</v>
      </c>
      <c r="X721" s="30" t="n">
        <f aca="false">IF(AB720&lt;&gt;0,AC720+1,0)</f>
        <v>0</v>
      </c>
      <c r="Y721" s="30" t="n">
        <f aca="false">IF(W721="",0,IF(AND(AB720&lt;&gt;0,OR(ABS(W721)&gt;Inputs!$B$7,X721&gt;=Inputs!$B$8,ABS(W721)&lt;Inputs!$B$6)),1,0))</f>
        <v>0</v>
      </c>
      <c r="Z721" s="30" t="n">
        <f aca="false">IF(Y721=1,0,AB720)</f>
        <v>0</v>
      </c>
      <c r="AA721" s="30" t="n">
        <f aca="false">IF(W721="",0,IF(AND(Z721=0,ABS(W721)&gt;Inputs!$B$5,ABS(W721)&lt;=Inputs!$B$7),1,0))</f>
        <v>0</v>
      </c>
      <c r="AB721" s="30" t="n">
        <f aca="false">IF(W721="",0,IF(AA721=1,-SIGN(W721),Z721))</f>
        <v>0</v>
      </c>
      <c r="AC721" s="30" t="n">
        <f aca="false">IF(W721="",0,IF(AA721=1,0,IF(Y721=1,0,X721)))</f>
        <v>0</v>
      </c>
      <c r="AD721" s="30" t="n">
        <f aca="false">IF(AB721=0,0,IF(AB720=AB721,AD720,T721))</f>
        <v>0</v>
      </c>
      <c r="AE721" s="30" t="n">
        <f aca="false">AB721-AB720</f>
        <v>0</v>
      </c>
      <c r="AF721" s="30" t="n">
        <f aca="false">-AD721*AB721</f>
        <v>-0</v>
      </c>
      <c r="AG721" s="30" t="n">
        <f aca="false">AF721-AF720</f>
        <v>0</v>
      </c>
      <c r="AH721" s="30" t="n">
        <f aca="false">MAX(AE721,0)*(Inputs!$B$17+Inputs!$B$18+Inputs!$B$19)+MAX(-AE721,0)*(O721+Inputs!$B$18+Inputs!$B$19)+IF(AND(K721=1,AB721&lt;&gt;0),(Inputs!$B$17+Inputs!$B$18+Inputs!$B$19)+(O721+Inputs!$B$18+Inputs!$B$19),0)+MAX(AG721,0)*(Inputs!$B$20+Inputs!$B$22+Inputs!$B$23)+MAX(-AG721,0)*(Inputs!$B$21+Inputs!$B$22+Inputs!$B$23)</f>
        <v>0</v>
      </c>
      <c r="AI721" s="30" t="n">
        <f aca="false">AB720*(M721-AD720*J721)+AB720*AD720*N721/Inputs!$B$16-AH721</f>
        <v>0</v>
      </c>
      <c r="AJ721" s="30" t="n">
        <f aca="false">MAX(AE721,0)*(Inputs!$B$17+Inputs!$B$24+Inputs!$B$25)+MAX(-AE721,0)*(O721+Inputs!$B$24+Inputs!$B$25)+IF(AND(K721=1,AB721&lt;&gt;0),(Inputs!$B$17+Inputs!$B$24+Inputs!$B$25)+(O721+Inputs!$B$24+Inputs!$B$25),0)+MAX(AG721,0)*(Inputs!$B$20+Inputs!$B$26+Inputs!$B$27)+MAX(-AG721,0)*(Inputs!$B$21+Inputs!$B$26+Inputs!$B$27)</f>
        <v>0</v>
      </c>
      <c r="AK721" s="30" t="n">
        <f aca="false">AB720*(M721-AD720*J721)+AB720*AD720*(N721+Inputs!$B$14)/Inputs!$B$16-AJ721</f>
        <v>0</v>
      </c>
      <c r="AL721" s="30" t="n">
        <f aca="false">IF(AP720&lt;&gt;0,AQ720+1,0)</f>
        <v>0</v>
      </c>
      <c r="AM721" s="30" t="n">
        <f aca="false">IF(W721="",0,IF(AND(AP720&lt;&gt;0,OR(ABS(W721)&gt;Inputs!$B$7,AL721&gt;=Inputs!$B$8,ABS(W721)&lt;Inputs!$B$6)),1,0))</f>
        <v>0</v>
      </c>
      <c r="AN721" s="30" t="n">
        <f aca="false">IF(AM721=1,0,AP720)</f>
        <v>0</v>
      </c>
      <c r="AO721" s="30" t="n">
        <f aca="false">IF(W721="",0,IF(AND(AN721=0,ABS(W721)&gt;Inputs!$B$5,ABS(W721)&lt;=Inputs!$B$7,W721&gt;0),1,0))</f>
        <v>0</v>
      </c>
      <c r="AP721" s="30" t="n">
        <f aca="false">IF(W721="",0,IF(AO721=1,-SIGN(W721),AN721))</f>
        <v>0</v>
      </c>
      <c r="AQ721" s="30" t="n">
        <f aca="false">IF(W721="",0,IF(AO721=1,0,IF(AM721=1,0,AL721)))</f>
        <v>0</v>
      </c>
      <c r="AR721" s="30" t="n">
        <f aca="false">IF(AP721=0,0,IF(AP720=AP721,AR720,T721))</f>
        <v>0</v>
      </c>
      <c r="AS721" s="30" t="n">
        <f aca="false">AP721-AP720</f>
        <v>0</v>
      </c>
      <c r="AT721" s="30" t="n">
        <f aca="false">-AR721*AP721</f>
        <v>-0</v>
      </c>
      <c r="AU721" s="30" t="n">
        <f aca="false">AT721-AT720</f>
        <v>0</v>
      </c>
      <c r="AV721" s="30" t="n">
        <f aca="false">MAX(AS721,0)*(Inputs!$B$17+Inputs!$B$18+Inputs!$B$19)+MAX(-AS721,0)*(O721+Inputs!$B$18+Inputs!$B$19)+IF(AND(K721=1,AP721&lt;&gt;0),(Inputs!$B$17+Inputs!$B$18+Inputs!$B$19)+(O721+Inputs!$B$18+Inputs!$B$19),0)+MAX(AU721,0)*(Inputs!$B$20+Inputs!$B$22+Inputs!$B$23)+MAX(-AU721,0)*(Inputs!$B$21+Inputs!$B$22+Inputs!$B$23)</f>
        <v>0</v>
      </c>
      <c r="AW721" s="30" t="n">
        <f aca="false">AP720*(M721-AR720*J721)+AP720*AR720*N721/Inputs!$B$16-AV721</f>
        <v>0</v>
      </c>
      <c r="AX721" s="30" t="n">
        <f aca="false">AW721-IF(AP720&lt;&gt;0,0.75*AR720*(Inputs!$B$13-N721)/Inputs!$B$16,0)</f>
        <v>0</v>
      </c>
      <c r="AY721" s="30" t="n">
        <f aca="false">MAX(AS721,0)*(Inputs!$B$17+Inputs!$B$18+Inputs!$B$19)+MAX(-AS721,0)*(O721+Inputs!$B$18+Inputs!$B$19)+IF(AND(K721=1,AP721&lt;&gt;0),(Inputs!$B$17+Inputs!$B$18+Inputs!$B$19)+(O721+Inputs!$B$18+Inputs!$B$19),0)</f>
        <v>0</v>
      </c>
      <c r="AZ721" s="30" t="n">
        <f aca="false">AP720*M721-AY721</f>
        <v>-0</v>
      </c>
      <c r="BA721" s="32" t="n">
        <f aca="false">BA720+AI721</f>
        <v>0.0219013959927524</v>
      </c>
      <c r="BB721" s="30" t="n">
        <f aca="false">MAX(BB720,BA721)</f>
        <v>0.0261726191772394</v>
      </c>
      <c r="BC721" s="32" t="n">
        <f aca="false">BA721-BB721</f>
        <v>-0.00427122318448705</v>
      </c>
      <c r="BD721" s="30" t="n">
        <f aca="false">A722-A721</f>
        <v>1</v>
      </c>
    </row>
    <row r="722" customFormat="false" ht="15" hidden="false" customHeight="false" outlineLevel="0" collapsed="false">
      <c r="A722" s="28" t="n">
        <v>46101</v>
      </c>
      <c r="B722" s="0" t="n">
        <v>23143</v>
      </c>
      <c r="C722" s="0" t="n">
        <v>262.5</v>
      </c>
      <c r="D722" s="29" t="n">
        <f aca="false">LN(B722)</f>
        <v>10.0494476379797</v>
      </c>
      <c r="E722" s="29" t="n">
        <f aca="false">LN(C722)</f>
        <v>5.57025108203168</v>
      </c>
      <c r="F722" s="0" t="n">
        <v>717</v>
      </c>
      <c r="G722" s="0" t="n">
        <v>10</v>
      </c>
      <c r="H722" s="29" t="n">
        <f aca="false">D722-E722</f>
        <v>4.47919655594798</v>
      </c>
      <c r="I722" s="29" t="n">
        <f aca="false">D722-D721</f>
        <v>0.000782399932710121</v>
      </c>
      <c r="J722" s="29" t="n">
        <f aca="false">E722-E721</f>
        <v>0.000419135444037266</v>
      </c>
      <c r="K722" s="0" t="n">
        <v>0</v>
      </c>
      <c r="L722" s="0" t="n">
        <v>0</v>
      </c>
      <c r="M722" s="29" t="n">
        <f aca="false">IF(L722=1,J722-Carry!$B$9/Inputs!$B$16,I722)</f>
        <v>0.000782399932710121</v>
      </c>
      <c r="N722" s="0" t="n">
        <v>0.0525</v>
      </c>
      <c r="O722" s="0" t="n">
        <v>0.0002</v>
      </c>
      <c r="P722" s="29" t="n">
        <f aca="false">D722-('2 Hedge ratio'!$B$6+'2 Hedge ratio'!$B$5*E722)</f>
        <v>-0.0154285153407496</v>
      </c>
      <c r="Q722" s="29" t="n">
        <f aca="false">D722-('5 Re-specification'!$B$7+'5 Re-specification'!$B$5*E722+'5 Re-specification'!$B$6*F722)</f>
        <v>-0.00290949790239736</v>
      </c>
      <c r="R722" s="30" t="n">
        <f aca="false">MIN(F722,Inputs!$B$9)</f>
        <v>250</v>
      </c>
      <c r="S722" s="29" t="n">
        <f aca="true">IF(AND(F722&gt;=1,R722&gt;=Inputs!$B$10),INDEX(LINEST(OFFSET(D722,-R722,0,R722,1),OFFSET(E722,-R722,0,R722,2)),1,1),"")</f>
        <v>-5.7881461995584E-005</v>
      </c>
      <c r="T722" s="29" t="n">
        <f aca="true">IF(AND(F722&gt;=1,R722&gt;=Inputs!$B$10),INDEX(LINEST(OFFSET(D722,-R722,0,R722,1),OFFSET(E722,-R722,0,R722,2)),1,2),"")</f>
        <v>1.00918986852061</v>
      </c>
      <c r="U722" s="29" t="n">
        <f aca="true">IF(AND(F722&gt;=1,R722&gt;=Inputs!$B$10),INDEX(LINEST(OFFSET(D722,-R722,0,R722,1),OFFSET(E722,-R722,0,R722,2)),1,3),"")</f>
        <v>4.47015490912122</v>
      </c>
      <c r="V722" s="29" t="n">
        <f aca="true">IF(AND(F722&gt;=1,R722&gt;=Inputs!$B$10),SQRT(SUMPRODUCT((OFFSET(D722,-R722,0,R722,1)-U722-T722*OFFSET(E722,-R722,0,R722,1)-S722*OFFSET(F722,-R722,0,R722,1))^2)/(R722-3)),"")</f>
        <v>0.00235193987502483</v>
      </c>
      <c r="W722" s="31" t="n">
        <f aca="false">IF(AND(F722&gt;=1,R722&gt;=Inputs!$B$10),(D722-U722-T722*E722-S722*F722)/V722,"")</f>
        <v>-0.275185603127532</v>
      </c>
      <c r="X722" s="30" t="n">
        <f aca="false">IF(AB721&lt;&gt;0,AC721+1,0)</f>
        <v>0</v>
      </c>
      <c r="Y722" s="30" t="n">
        <f aca="false">IF(W722="",0,IF(AND(AB721&lt;&gt;0,OR(ABS(W722)&gt;Inputs!$B$7,X722&gt;=Inputs!$B$8,ABS(W722)&lt;Inputs!$B$6)),1,0))</f>
        <v>0</v>
      </c>
      <c r="Z722" s="30" t="n">
        <f aca="false">IF(Y722=1,0,AB721)</f>
        <v>0</v>
      </c>
      <c r="AA722" s="30" t="n">
        <f aca="false">IF(W722="",0,IF(AND(Z722=0,ABS(W722)&gt;Inputs!$B$5,ABS(W722)&lt;=Inputs!$B$7),1,0))</f>
        <v>0</v>
      </c>
      <c r="AB722" s="30" t="n">
        <f aca="false">IF(W722="",0,IF(AA722=1,-SIGN(W722),Z722))</f>
        <v>0</v>
      </c>
      <c r="AC722" s="30" t="n">
        <f aca="false">IF(W722="",0,IF(AA722=1,0,IF(Y722=1,0,X722)))</f>
        <v>0</v>
      </c>
      <c r="AD722" s="30" t="n">
        <f aca="false">IF(AB722=0,0,IF(AB721=AB722,AD721,T722))</f>
        <v>0</v>
      </c>
      <c r="AE722" s="30" t="n">
        <f aca="false">AB722-AB721</f>
        <v>0</v>
      </c>
      <c r="AF722" s="30" t="n">
        <f aca="false">-AD722*AB722</f>
        <v>-0</v>
      </c>
      <c r="AG722" s="30" t="n">
        <f aca="false">AF722-AF721</f>
        <v>0</v>
      </c>
      <c r="AH722" s="30" t="n">
        <f aca="false">MAX(AE722,0)*(Inputs!$B$17+Inputs!$B$18+Inputs!$B$19)+MAX(-AE722,0)*(O722+Inputs!$B$18+Inputs!$B$19)+IF(AND(K722=1,AB722&lt;&gt;0),(Inputs!$B$17+Inputs!$B$18+Inputs!$B$19)+(O722+Inputs!$B$18+Inputs!$B$19),0)+MAX(AG722,0)*(Inputs!$B$20+Inputs!$B$22+Inputs!$B$23)+MAX(-AG722,0)*(Inputs!$B$21+Inputs!$B$22+Inputs!$B$23)</f>
        <v>0</v>
      </c>
      <c r="AI722" s="30" t="n">
        <f aca="false">AB721*(M722-AD721*J722)+AB721*AD721*N722/Inputs!$B$16-AH722</f>
        <v>0</v>
      </c>
      <c r="AJ722" s="30" t="n">
        <f aca="false">MAX(AE722,0)*(Inputs!$B$17+Inputs!$B$24+Inputs!$B$25)+MAX(-AE722,0)*(O722+Inputs!$B$24+Inputs!$B$25)+IF(AND(K722=1,AB722&lt;&gt;0),(Inputs!$B$17+Inputs!$B$24+Inputs!$B$25)+(O722+Inputs!$B$24+Inputs!$B$25),0)+MAX(AG722,0)*(Inputs!$B$20+Inputs!$B$26+Inputs!$B$27)+MAX(-AG722,0)*(Inputs!$B$21+Inputs!$B$26+Inputs!$B$27)</f>
        <v>0</v>
      </c>
      <c r="AK722" s="30" t="n">
        <f aca="false">AB721*(M722-AD721*J722)+AB721*AD721*(N722+Inputs!$B$14)/Inputs!$B$16-AJ722</f>
        <v>0</v>
      </c>
      <c r="AL722" s="30" t="n">
        <f aca="false">IF(AP721&lt;&gt;0,AQ721+1,0)</f>
        <v>0</v>
      </c>
      <c r="AM722" s="30" t="n">
        <f aca="false">IF(W722="",0,IF(AND(AP721&lt;&gt;0,OR(ABS(W722)&gt;Inputs!$B$7,AL722&gt;=Inputs!$B$8,ABS(W722)&lt;Inputs!$B$6)),1,0))</f>
        <v>0</v>
      </c>
      <c r="AN722" s="30" t="n">
        <f aca="false">IF(AM722=1,0,AP721)</f>
        <v>0</v>
      </c>
      <c r="AO722" s="30" t="n">
        <f aca="false">IF(W722="",0,IF(AND(AN722=0,ABS(W722)&gt;Inputs!$B$5,ABS(W722)&lt;=Inputs!$B$7,W722&gt;0),1,0))</f>
        <v>0</v>
      </c>
      <c r="AP722" s="30" t="n">
        <f aca="false">IF(W722="",0,IF(AO722=1,-SIGN(W722),AN722))</f>
        <v>0</v>
      </c>
      <c r="AQ722" s="30" t="n">
        <f aca="false">IF(W722="",0,IF(AO722=1,0,IF(AM722=1,0,AL722)))</f>
        <v>0</v>
      </c>
      <c r="AR722" s="30" t="n">
        <f aca="false">IF(AP722=0,0,IF(AP721=AP722,AR721,T722))</f>
        <v>0</v>
      </c>
      <c r="AS722" s="30" t="n">
        <f aca="false">AP722-AP721</f>
        <v>0</v>
      </c>
      <c r="AT722" s="30" t="n">
        <f aca="false">-AR722*AP722</f>
        <v>-0</v>
      </c>
      <c r="AU722" s="30" t="n">
        <f aca="false">AT722-AT721</f>
        <v>0</v>
      </c>
      <c r="AV722" s="30" t="n">
        <f aca="false">MAX(AS722,0)*(Inputs!$B$17+Inputs!$B$18+Inputs!$B$19)+MAX(-AS722,0)*(O722+Inputs!$B$18+Inputs!$B$19)+IF(AND(K722=1,AP722&lt;&gt;0),(Inputs!$B$17+Inputs!$B$18+Inputs!$B$19)+(O722+Inputs!$B$18+Inputs!$B$19),0)+MAX(AU722,0)*(Inputs!$B$20+Inputs!$B$22+Inputs!$B$23)+MAX(-AU722,0)*(Inputs!$B$21+Inputs!$B$22+Inputs!$B$23)</f>
        <v>0</v>
      </c>
      <c r="AW722" s="30" t="n">
        <f aca="false">AP721*(M722-AR721*J722)+AP721*AR721*N722/Inputs!$B$16-AV722</f>
        <v>0</v>
      </c>
      <c r="AX722" s="30" t="n">
        <f aca="false">AW722-IF(AP721&lt;&gt;0,0.75*AR721*(Inputs!$B$13-N722)/Inputs!$B$16,0)</f>
        <v>0</v>
      </c>
      <c r="AY722" s="30" t="n">
        <f aca="false">MAX(AS722,0)*(Inputs!$B$17+Inputs!$B$18+Inputs!$B$19)+MAX(-AS722,0)*(O722+Inputs!$B$18+Inputs!$B$19)+IF(AND(K722=1,AP722&lt;&gt;0),(Inputs!$B$17+Inputs!$B$18+Inputs!$B$19)+(O722+Inputs!$B$18+Inputs!$B$19),0)</f>
        <v>0</v>
      </c>
      <c r="AZ722" s="30" t="n">
        <f aca="false">AP721*M722-AY722</f>
        <v>0</v>
      </c>
      <c r="BA722" s="32" t="n">
        <f aca="false">BA721+AI722</f>
        <v>0.0219013959927524</v>
      </c>
      <c r="BB722" s="30" t="n">
        <f aca="false">MAX(BB721,BA722)</f>
        <v>0.0261726191772394</v>
      </c>
      <c r="BC722" s="32" t="n">
        <f aca="false">BA722-BB722</f>
        <v>-0.00427122318448705</v>
      </c>
      <c r="BD722" s="30" t="n">
        <f aca="false">A723-A722</f>
        <v>3</v>
      </c>
    </row>
    <row r="723" customFormat="false" ht="15" hidden="false" customHeight="false" outlineLevel="0" collapsed="false">
      <c r="A723" s="28" t="n">
        <v>46104</v>
      </c>
      <c r="B723" s="0" t="n">
        <v>22496.1</v>
      </c>
      <c r="C723" s="0" t="n">
        <v>255.79</v>
      </c>
      <c r="D723" s="29" t="n">
        <f aca="false">LN(B723)</f>
        <v>10.0210972398352</v>
      </c>
      <c r="E723" s="29" t="n">
        <f aca="false">LN(C723)</f>
        <v>5.54435679533915</v>
      </c>
      <c r="F723" s="0" t="n">
        <v>718</v>
      </c>
      <c r="G723" s="0" t="n">
        <v>7</v>
      </c>
      <c r="H723" s="29" t="n">
        <f aca="false">D723-E723</f>
        <v>4.47674044449607</v>
      </c>
      <c r="I723" s="29" t="n">
        <f aca="false">D723-D722</f>
        <v>-0.0283503981444433</v>
      </c>
      <c r="J723" s="29" t="n">
        <f aca="false">E723-E722</f>
        <v>-0.0258942866925276</v>
      </c>
      <c r="K723" s="0" t="n">
        <v>0</v>
      </c>
      <c r="L723" s="0" t="n">
        <v>0</v>
      </c>
      <c r="M723" s="29" t="n">
        <f aca="false">IF(L723=1,J723-Carry!$B$9/Inputs!$B$16,I723)</f>
        <v>-0.0283503981444433</v>
      </c>
      <c r="N723" s="0" t="n">
        <v>0.0525</v>
      </c>
      <c r="O723" s="0" t="n">
        <v>0.0002</v>
      </c>
      <c r="P723" s="29" t="n">
        <f aca="false">D723-('2 Hedge ratio'!$B$6+'2 Hedge ratio'!$B$5*E723)</f>
        <v>-0.0200564645345604</v>
      </c>
      <c r="Q723" s="29" t="n">
        <f aca="false">D723-('5 Re-specification'!$B$7+'5 Re-specification'!$B$5*E723+'5 Re-specification'!$B$6*F723)</f>
        <v>-0.00539915267258628</v>
      </c>
      <c r="R723" s="30" t="n">
        <f aca="false">MIN(F723,Inputs!$B$9)</f>
        <v>250</v>
      </c>
      <c r="S723" s="29" t="n">
        <f aca="true">IF(AND(F723&gt;=1,R723&gt;=Inputs!$B$10),INDEX(LINEST(OFFSET(D723,-R723,0,R723,1),OFFSET(E723,-R723,0,R723,2)),1,1),"")</f>
        <v>-5.80474756981915E-005</v>
      </c>
      <c r="T723" s="29" t="n">
        <f aca="true">IF(AND(F723&gt;=1,R723&gt;=Inputs!$B$10),INDEX(LINEST(OFFSET(D723,-R723,0,R723,1),OFFSET(E723,-R723,0,R723,2)),1,2),"")</f>
        <v>1.00949069889635</v>
      </c>
      <c r="U723" s="29" t="n">
        <f aca="true">IF(AND(F723&gt;=1,R723&gt;=Inputs!$B$10),INDEX(LINEST(OFFSET(D723,-R723,0,R723,1),OFFSET(E723,-R723,0,R723,2)),1,3),"")</f>
        <v>4.46855387185604</v>
      </c>
      <c r="V723" s="29" t="n">
        <f aca="true">IF(AND(F723&gt;=1,R723&gt;=Inputs!$B$10),SQRT(SUMPRODUCT((OFFSET(D723,-R723,0,R723,1)-U723-T723*OFFSET(E723,-R723,0,R723,1)-S723*OFFSET(F723,-R723,0,R723,1))^2)/(R723-3)),"")</f>
        <v>0.00235225748986385</v>
      </c>
      <c r="W723" s="31" t="n">
        <f aca="false">IF(AND(F723&gt;=1,R723&gt;=Inputs!$B$10),(D723-U723-T723*E723-S723*F723)/V723,"")</f>
        <v>-1.17128364519666</v>
      </c>
      <c r="X723" s="30" t="n">
        <f aca="false">IF(AB722&lt;&gt;0,AC722+1,0)</f>
        <v>0</v>
      </c>
      <c r="Y723" s="30" t="n">
        <f aca="false">IF(W723="",0,IF(AND(AB722&lt;&gt;0,OR(ABS(W723)&gt;Inputs!$B$7,X723&gt;=Inputs!$B$8,ABS(W723)&lt;Inputs!$B$6)),1,0))</f>
        <v>0</v>
      </c>
      <c r="Z723" s="30" t="n">
        <f aca="false">IF(Y723=1,0,AB722)</f>
        <v>0</v>
      </c>
      <c r="AA723" s="30" t="n">
        <f aca="false">IF(W723="",0,IF(AND(Z723=0,ABS(W723)&gt;Inputs!$B$5,ABS(W723)&lt;=Inputs!$B$7),1,0))</f>
        <v>0</v>
      </c>
      <c r="AB723" s="30" t="n">
        <f aca="false">IF(W723="",0,IF(AA723=1,-SIGN(W723),Z723))</f>
        <v>0</v>
      </c>
      <c r="AC723" s="30" t="n">
        <f aca="false">IF(W723="",0,IF(AA723=1,0,IF(Y723=1,0,X723)))</f>
        <v>0</v>
      </c>
      <c r="AD723" s="30" t="n">
        <f aca="false">IF(AB723=0,0,IF(AB722=AB723,AD722,T723))</f>
        <v>0</v>
      </c>
      <c r="AE723" s="30" t="n">
        <f aca="false">AB723-AB722</f>
        <v>0</v>
      </c>
      <c r="AF723" s="30" t="n">
        <f aca="false">-AD723*AB723</f>
        <v>-0</v>
      </c>
      <c r="AG723" s="30" t="n">
        <f aca="false">AF723-AF722</f>
        <v>0</v>
      </c>
      <c r="AH723" s="30" t="n">
        <f aca="false">MAX(AE723,0)*(Inputs!$B$17+Inputs!$B$18+Inputs!$B$19)+MAX(-AE723,0)*(O723+Inputs!$B$18+Inputs!$B$19)+IF(AND(K723=1,AB723&lt;&gt;0),(Inputs!$B$17+Inputs!$B$18+Inputs!$B$19)+(O723+Inputs!$B$18+Inputs!$B$19),0)+MAX(AG723,0)*(Inputs!$B$20+Inputs!$B$22+Inputs!$B$23)+MAX(-AG723,0)*(Inputs!$B$21+Inputs!$B$22+Inputs!$B$23)</f>
        <v>0</v>
      </c>
      <c r="AI723" s="30" t="n">
        <f aca="false">AB722*(M723-AD722*J723)+AB722*AD722*N723/Inputs!$B$16-AH723</f>
        <v>0</v>
      </c>
      <c r="AJ723" s="30" t="n">
        <f aca="false">MAX(AE723,0)*(Inputs!$B$17+Inputs!$B$24+Inputs!$B$25)+MAX(-AE723,0)*(O723+Inputs!$B$24+Inputs!$B$25)+IF(AND(K723=1,AB723&lt;&gt;0),(Inputs!$B$17+Inputs!$B$24+Inputs!$B$25)+(O723+Inputs!$B$24+Inputs!$B$25),0)+MAX(AG723,0)*(Inputs!$B$20+Inputs!$B$26+Inputs!$B$27)+MAX(-AG723,0)*(Inputs!$B$21+Inputs!$B$26+Inputs!$B$27)</f>
        <v>0</v>
      </c>
      <c r="AK723" s="30" t="n">
        <f aca="false">AB722*(M723-AD722*J723)+AB722*AD722*(N723+Inputs!$B$14)/Inputs!$B$16-AJ723</f>
        <v>0</v>
      </c>
      <c r="AL723" s="30" t="n">
        <f aca="false">IF(AP722&lt;&gt;0,AQ722+1,0)</f>
        <v>0</v>
      </c>
      <c r="AM723" s="30" t="n">
        <f aca="false">IF(W723="",0,IF(AND(AP722&lt;&gt;0,OR(ABS(W723)&gt;Inputs!$B$7,AL723&gt;=Inputs!$B$8,ABS(W723)&lt;Inputs!$B$6)),1,0))</f>
        <v>0</v>
      </c>
      <c r="AN723" s="30" t="n">
        <f aca="false">IF(AM723=1,0,AP722)</f>
        <v>0</v>
      </c>
      <c r="AO723" s="30" t="n">
        <f aca="false">IF(W723="",0,IF(AND(AN723=0,ABS(W723)&gt;Inputs!$B$5,ABS(W723)&lt;=Inputs!$B$7,W723&gt;0),1,0))</f>
        <v>0</v>
      </c>
      <c r="AP723" s="30" t="n">
        <f aca="false">IF(W723="",0,IF(AO723=1,-SIGN(W723),AN723))</f>
        <v>0</v>
      </c>
      <c r="AQ723" s="30" t="n">
        <f aca="false">IF(W723="",0,IF(AO723=1,0,IF(AM723=1,0,AL723)))</f>
        <v>0</v>
      </c>
      <c r="AR723" s="30" t="n">
        <f aca="false">IF(AP723=0,0,IF(AP722=AP723,AR722,T723))</f>
        <v>0</v>
      </c>
      <c r="AS723" s="30" t="n">
        <f aca="false">AP723-AP722</f>
        <v>0</v>
      </c>
      <c r="AT723" s="30" t="n">
        <f aca="false">-AR723*AP723</f>
        <v>-0</v>
      </c>
      <c r="AU723" s="30" t="n">
        <f aca="false">AT723-AT722</f>
        <v>0</v>
      </c>
      <c r="AV723" s="30" t="n">
        <f aca="false">MAX(AS723,0)*(Inputs!$B$17+Inputs!$B$18+Inputs!$B$19)+MAX(-AS723,0)*(O723+Inputs!$B$18+Inputs!$B$19)+IF(AND(K723=1,AP723&lt;&gt;0),(Inputs!$B$17+Inputs!$B$18+Inputs!$B$19)+(O723+Inputs!$B$18+Inputs!$B$19),0)+MAX(AU723,0)*(Inputs!$B$20+Inputs!$B$22+Inputs!$B$23)+MAX(-AU723,0)*(Inputs!$B$21+Inputs!$B$22+Inputs!$B$23)</f>
        <v>0</v>
      </c>
      <c r="AW723" s="30" t="n">
        <f aca="false">AP722*(M723-AR722*J723)+AP722*AR722*N723/Inputs!$B$16-AV723</f>
        <v>0</v>
      </c>
      <c r="AX723" s="30" t="n">
        <f aca="false">AW723-IF(AP722&lt;&gt;0,0.75*AR722*(Inputs!$B$13-N723)/Inputs!$B$16,0)</f>
        <v>0</v>
      </c>
      <c r="AY723" s="30" t="n">
        <f aca="false">MAX(AS723,0)*(Inputs!$B$17+Inputs!$B$18+Inputs!$B$19)+MAX(-AS723,0)*(O723+Inputs!$B$18+Inputs!$B$19)+IF(AND(K723=1,AP723&lt;&gt;0),(Inputs!$B$17+Inputs!$B$18+Inputs!$B$19)+(O723+Inputs!$B$18+Inputs!$B$19),0)</f>
        <v>0</v>
      </c>
      <c r="AZ723" s="30" t="n">
        <f aca="false">AP722*M723-AY723</f>
        <v>-0</v>
      </c>
      <c r="BA723" s="32" t="n">
        <f aca="false">BA722+AI723</f>
        <v>0.0219013959927524</v>
      </c>
      <c r="BB723" s="30" t="n">
        <f aca="false">MAX(BB722,BA723)</f>
        <v>0.0261726191772394</v>
      </c>
      <c r="BC723" s="32" t="n">
        <f aca="false">BA723-BB723</f>
        <v>-0.00427122318448705</v>
      </c>
      <c r="BD723" s="30" t="n">
        <f aca="false">A724-A723</f>
        <v>1</v>
      </c>
    </row>
    <row r="724" customFormat="false" ht="15" hidden="false" customHeight="false" outlineLevel="0" collapsed="false">
      <c r="A724" s="28" t="n">
        <v>46105</v>
      </c>
      <c r="B724" s="0" t="n">
        <v>22976.7</v>
      </c>
      <c r="C724" s="0" t="n">
        <v>261.5</v>
      </c>
      <c r="D724" s="29" t="n">
        <f aca="false">LN(B724)</f>
        <v>10.0422359379577</v>
      </c>
      <c r="E724" s="29" t="n">
        <f aca="false">LN(C724)</f>
        <v>5.56643428350498</v>
      </c>
      <c r="F724" s="0" t="n">
        <v>719</v>
      </c>
      <c r="G724" s="0" t="n">
        <v>6</v>
      </c>
      <c r="H724" s="29" t="n">
        <f aca="false">D724-E724</f>
        <v>4.47580165445269</v>
      </c>
      <c r="I724" s="29" t="n">
        <f aca="false">D724-D723</f>
        <v>0.0211386981224511</v>
      </c>
      <c r="J724" s="29" t="n">
        <f aca="false">E724-E723</f>
        <v>0.0220774881658272</v>
      </c>
      <c r="K724" s="0" t="n">
        <v>0</v>
      </c>
      <c r="L724" s="0" t="n">
        <v>0</v>
      </c>
      <c r="M724" s="29" t="n">
        <f aca="false">IF(L724=1,J724-Carry!$B$9/Inputs!$B$16,I724)</f>
        <v>0.0211386981224511</v>
      </c>
      <c r="N724" s="0" t="n">
        <v>0.0525</v>
      </c>
      <c r="O724" s="0" t="n">
        <v>0.0002</v>
      </c>
      <c r="P724" s="29" t="n">
        <f aca="false">D724-('2 Hedge ratio'!$B$6+'2 Hedge ratio'!$B$5*E724)</f>
        <v>-0.0191435440977763</v>
      </c>
      <c r="Q724" s="29" t="n">
        <f aca="false">D724-('5 Re-specification'!$B$7+'5 Re-specification'!$B$5*E724+'5 Re-specification'!$B$6*F724)</f>
        <v>-0.00622610756951048</v>
      </c>
      <c r="R724" s="30" t="n">
        <f aca="false">MIN(F724,Inputs!$B$9)</f>
        <v>250</v>
      </c>
      <c r="S724" s="29" t="n">
        <f aca="true">IF(AND(F724&gt;=1,R724&gt;=Inputs!$B$10),INDEX(LINEST(OFFSET(D724,-R724,0,R724,1),OFFSET(E724,-R724,0,R724,2)),1,1),"")</f>
        <v>-5.87821166285193E-005</v>
      </c>
      <c r="T724" s="29" t="n">
        <f aca="true">IF(AND(F724&gt;=1,R724&gt;=Inputs!$B$10),INDEX(LINEST(OFFSET(D724,-R724,0,R724,1),OFFSET(E724,-R724,0,R724,2)),1,2),"")</f>
        <v>1.01108403004581</v>
      </c>
      <c r="U724" s="29" t="n">
        <f aca="true">IF(AND(F724&gt;=1,R724&gt;=Inputs!$B$10),INDEX(LINEST(OFFSET(D724,-R724,0,R724,1),OFFSET(E724,-R724,0,R724,2)),1,3),"")</f>
        <v>4.45998970627049</v>
      </c>
      <c r="V724" s="29" t="n">
        <f aca="true">IF(AND(F724&gt;=1,R724&gt;=Inputs!$B$10),SQRT(SUMPRODUCT((OFFSET(D724,-R724,0,R724,1)-U724-T724*OFFSET(E724,-R724,0,R724,1)-S724*OFFSET(F724,-R724,0,R724,1))^2)/(R724-3)),"")</f>
        <v>0.00235812494354159</v>
      </c>
      <c r="W724" s="31" t="n">
        <f aca="false">IF(AND(F724&gt;=1,R724&gt;=Inputs!$B$10),(D724-U724-T724*E724-S724*F724)/V724,"")</f>
        <v>-1.53606568566207</v>
      </c>
      <c r="X724" s="30" t="n">
        <f aca="false">IF(AB723&lt;&gt;0,AC723+1,0)</f>
        <v>0</v>
      </c>
      <c r="Y724" s="30" t="n">
        <f aca="false">IF(W724="",0,IF(AND(AB723&lt;&gt;0,OR(ABS(W724)&gt;Inputs!$B$7,X724&gt;=Inputs!$B$8,ABS(W724)&lt;Inputs!$B$6)),1,0))</f>
        <v>0</v>
      </c>
      <c r="Z724" s="30" t="n">
        <f aca="false">IF(Y724=1,0,AB723)</f>
        <v>0</v>
      </c>
      <c r="AA724" s="30" t="n">
        <f aca="false">IF(W724="",0,IF(AND(Z724=0,ABS(W724)&gt;Inputs!$B$5,ABS(W724)&lt;=Inputs!$B$7),1,0))</f>
        <v>0</v>
      </c>
      <c r="AB724" s="30" t="n">
        <f aca="false">IF(W724="",0,IF(AA724=1,-SIGN(W724),Z724))</f>
        <v>0</v>
      </c>
      <c r="AC724" s="30" t="n">
        <f aca="false">IF(W724="",0,IF(AA724=1,0,IF(Y724=1,0,X724)))</f>
        <v>0</v>
      </c>
      <c r="AD724" s="30" t="n">
        <f aca="false">IF(AB724=0,0,IF(AB723=AB724,AD723,T724))</f>
        <v>0</v>
      </c>
      <c r="AE724" s="30" t="n">
        <f aca="false">AB724-AB723</f>
        <v>0</v>
      </c>
      <c r="AF724" s="30" t="n">
        <f aca="false">-AD724*AB724</f>
        <v>-0</v>
      </c>
      <c r="AG724" s="30" t="n">
        <f aca="false">AF724-AF723</f>
        <v>0</v>
      </c>
      <c r="AH724" s="30" t="n">
        <f aca="false">MAX(AE724,0)*(Inputs!$B$17+Inputs!$B$18+Inputs!$B$19)+MAX(-AE724,0)*(O724+Inputs!$B$18+Inputs!$B$19)+IF(AND(K724=1,AB724&lt;&gt;0),(Inputs!$B$17+Inputs!$B$18+Inputs!$B$19)+(O724+Inputs!$B$18+Inputs!$B$19),0)+MAX(AG724,0)*(Inputs!$B$20+Inputs!$B$22+Inputs!$B$23)+MAX(-AG724,0)*(Inputs!$B$21+Inputs!$B$22+Inputs!$B$23)</f>
        <v>0</v>
      </c>
      <c r="AI724" s="30" t="n">
        <f aca="false">AB723*(M724-AD723*J724)+AB723*AD723*N724/Inputs!$B$16-AH724</f>
        <v>0</v>
      </c>
      <c r="AJ724" s="30" t="n">
        <f aca="false">MAX(AE724,0)*(Inputs!$B$17+Inputs!$B$24+Inputs!$B$25)+MAX(-AE724,0)*(O724+Inputs!$B$24+Inputs!$B$25)+IF(AND(K724=1,AB724&lt;&gt;0),(Inputs!$B$17+Inputs!$B$24+Inputs!$B$25)+(O724+Inputs!$B$24+Inputs!$B$25),0)+MAX(AG724,0)*(Inputs!$B$20+Inputs!$B$26+Inputs!$B$27)+MAX(-AG724,0)*(Inputs!$B$21+Inputs!$B$26+Inputs!$B$27)</f>
        <v>0</v>
      </c>
      <c r="AK724" s="30" t="n">
        <f aca="false">AB723*(M724-AD723*J724)+AB723*AD723*(N724+Inputs!$B$14)/Inputs!$B$16-AJ724</f>
        <v>0</v>
      </c>
      <c r="AL724" s="30" t="n">
        <f aca="false">IF(AP723&lt;&gt;0,AQ723+1,0)</f>
        <v>0</v>
      </c>
      <c r="AM724" s="30" t="n">
        <f aca="false">IF(W724="",0,IF(AND(AP723&lt;&gt;0,OR(ABS(W724)&gt;Inputs!$B$7,AL724&gt;=Inputs!$B$8,ABS(W724)&lt;Inputs!$B$6)),1,0))</f>
        <v>0</v>
      </c>
      <c r="AN724" s="30" t="n">
        <f aca="false">IF(AM724=1,0,AP723)</f>
        <v>0</v>
      </c>
      <c r="AO724" s="30" t="n">
        <f aca="false">IF(W724="",0,IF(AND(AN724=0,ABS(W724)&gt;Inputs!$B$5,ABS(W724)&lt;=Inputs!$B$7,W724&gt;0),1,0))</f>
        <v>0</v>
      </c>
      <c r="AP724" s="30" t="n">
        <f aca="false">IF(W724="",0,IF(AO724=1,-SIGN(W724),AN724))</f>
        <v>0</v>
      </c>
      <c r="AQ724" s="30" t="n">
        <f aca="false">IF(W724="",0,IF(AO724=1,0,IF(AM724=1,0,AL724)))</f>
        <v>0</v>
      </c>
      <c r="AR724" s="30" t="n">
        <f aca="false">IF(AP724=0,0,IF(AP723=AP724,AR723,T724))</f>
        <v>0</v>
      </c>
      <c r="AS724" s="30" t="n">
        <f aca="false">AP724-AP723</f>
        <v>0</v>
      </c>
      <c r="AT724" s="30" t="n">
        <f aca="false">-AR724*AP724</f>
        <v>-0</v>
      </c>
      <c r="AU724" s="30" t="n">
        <f aca="false">AT724-AT723</f>
        <v>0</v>
      </c>
      <c r="AV724" s="30" t="n">
        <f aca="false">MAX(AS724,0)*(Inputs!$B$17+Inputs!$B$18+Inputs!$B$19)+MAX(-AS724,0)*(O724+Inputs!$B$18+Inputs!$B$19)+IF(AND(K724=1,AP724&lt;&gt;0),(Inputs!$B$17+Inputs!$B$18+Inputs!$B$19)+(O724+Inputs!$B$18+Inputs!$B$19),0)+MAX(AU724,0)*(Inputs!$B$20+Inputs!$B$22+Inputs!$B$23)+MAX(-AU724,0)*(Inputs!$B$21+Inputs!$B$22+Inputs!$B$23)</f>
        <v>0</v>
      </c>
      <c r="AW724" s="30" t="n">
        <f aca="false">AP723*(M724-AR723*J724)+AP723*AR723*N724/Inputs!$B$16-AV724</f>
        <v>0</v>
      </c>
      <c r="AX724" s="30" t="n">
        <f aca="false">AW724-IF(AP723&lt;&gt;0,0.75*AR723*(Inputs!$B$13-N724)/Inputs!$B$16,0)</f>
        <v>0</v>
      </c>
      <c r="AY724" s="30" t="n">
        <f aca="false">MAX(AS724,0)*(Inputs!$B$17+Inputs!$B$18+Inputs!$B$19)+MAX(-AS724,0)*(O724+Inputs!$B$18+Inputs!$B$19)+IF(AND(K724=1,AP724&lt;&gt;0),(Inputs!$B$17+Inputs!$B$18+Inputs!$B$19)+(O724+Inputs!$B$18+Inputs!$B$19),0)</f>
        <v>0</v>
      </c>
      <c r="AZ724" s="30" t="n">
        <f aca="false">AP723*M724-AY724</f>
        <v>0</v>
      </c>
      <c r="BA724" s="32" t="n">
        <f aca="false">BA723+AI724</f>
        <v>0.0219013959927524</v>
      </c>
      <c r="BB724" s="30" t="n">
        <f aca="false">MAX(BB723,BA724)</f>
        <v>0.0261726191772394</v>
      </c>
      <c r="BC724" s="32" t="n">
        <f aca="false">BA724-BB724</f>
        <v>-0.00427122318448705</v>
      </c>
      <c r="BD724" s="30" t="n">
        <f aca="false">A725-A724</f>
        <v>1</v>
      </c>
    </row>
    <row r="725" customFormat="false" ht="15" hidden="false" customHeight="false" outlineLevel="0" collapsed="false">
      <c r="A725" s="28" t="n">
        <v>46106</v>
      </c>
      <c r="B725" s="0" t="n">
        <v>23315</v>
      </c>
      <c r="C725" s="0" t="n">
        <v>264</v>
      </c>
      <c r="D725" s="29" t="n">
        <f aca="false">LN(B725)</f>
        <v>10.0568522092424</v>
      </c>
      <c r="E725" s="29" t="n">
        <f aca="false">LN(C725)</f>
        <v>5.57594910314632</v>
      </c>
      <c r="F725" s="0" t="n">
        <v>720</v>
      </c>
      <c r="G725" s="0" t="n">
        <v>5</v>
      </c>
      <c r="H725" s="29" t="n">
        <f aca="false">D725-E725</f>
        <v>4.48090310609611</v>
      </c>
      <c r="I725" s="29" t="n">
        <f aca="false">D725-D724</f>
        <v>0.0146162712847513</v>
      </c>
      <c r="J725" s="29" t="n">
        <f aca="false">E725-E724</f>
        <v>0.00951481964133816</v>
      </c>
      <c r="K725" s="0" t="n">
        <v>0</v>
      </c>
      <c r="L725" s="0" t="n">
        <v>0</v>
      </c>
      <c r="M725" s="29" t="n">
        <f aca="false">IF(L725=1,J725-Carry!$B$9/Inputs!$B$16,I725)</f>
        <v>0.0146162712847513</v>
      </c>
      <c r="N725" s="0" t="n">
        <v>0.0525</v>
      </c>
      <c r="O725" s="0" t="n">
        <v>0.0002</v>
      </c>
      <c r="P725" s="29" t="n">
        <f aca="false">D725-('2 Hedge ratio'!$B$6+'2 Hedge ratio'!$B$5*E725)</f>
        <v>-0.0132440536958622</v>
      </c>
      <c r="Q725" s="29" t="n">
        <f aca="false">D725-('5 Re-specification'!$B$7+'5 Re-specification'!$B$5*E725+'5 Re-specification'!$B$6*F725)</f>
        <v>-0.00105089194687835</v>
      </c>
      <c r="R725" s="30" t="n">
        <f aca="false">MIN(F725,Inputs!$B$9)</f>
        <v>250</v>
      </c>
      <c r="S725" s="29" t="n">
        <f aca="true">IF(AND(F725&gt;=1,R725&gt;=Inputs!$B$10),INDEX(LINEST(OFFSET(D725,-R725,0,R725,1),OFFSET(E725,-R725,0,R725,2)),1,1),"")</f>
        <v>-5.96039484513296E-005</v>
      </c>
      <c r="T725" s="29" t="n">
        <f aca="true">IF(AND(F725&gt;=1,R725&gt;=Inputs!$B$10),INDEX(LINEST(OFFSET(D725,-R725,0,R725,1),OFFSET(E725,-R725,0,R725,2)),1,2),"")</f>
        <v>1.01267691127213</v>
      </c>
      <c r="U725" s="29" t="n">
        <f aca="true">IF(AND(F725&gt;=1,R725&gt;=Inputs!$B$10),INDEX(LINEST(OFFSET(D725,-R725,0,R725,1),OFFSET(E725,-R725,0,R725,2)),1,3),"")</f>
        <v>4.45147832799638</v>
      </c>
      <c r="V725" s="29" t="n">
        <f aca="true">IF(AND(F725&gt;=1,R725&gt;=Inputs!$B$10),SQRT(SUMPRODUCT((OFFSET(D725,-R725,0,R725,1)-U725-T725*OFFSET(E725,-R725,0,R725,1)-S725*OFFSET(F725,-R725,0,R725,1))^2)/(R725-3)),"")</f>
        <v>0.00236837566474225</v>
      </c>
      <c r="W725" s="31" t="n">
        <f aca="false">IF(AND(F725&gt;=1,R725&gt;=Inputs!$B$10),(D725-U725-T725*E725-S725*F725)/V725,"")</f>
        <v>0.698288270238265</v>
      </c>
      <c r="X725" s="30" t="n">
        <f aca="false">IF(AB724&lt;&gt;0,AC724+1,0)</f>
        <v>0</v>
      </c>
      <c r="Y725" s="30" t="n">
        <f aca="false">IF(W725="",0,IF(AND(AB724&lt;&gt;0,OR(ABS(W725)&gt;Inputs!$B$7,X725&gt;=Inputs!$B$8,ABS(W725)&lt;Inputs!$B$6)),1,0))</f>
        <v>0</v>
      </c>
      <c r="Z725" s="30" t="n">
        <f aca="false">IF(Y725=1,0,AB724)</f>
        <v>0</v>
      </c>
      <c r="AA725" s="30" t="n">
        <f aca="false">IF(W725="",0,IF(AND(Z725=0,ABS(W725)&gt;Inputs!$B$5,ABS(W725)&lt;=Inputs!$B$7),1,0))</f>
        <v>0</v>
      </c>
      <c r="AB725" s="30" t="n">
        <f aca="false">IF(W725="",0,IF(AA725=1,-SIGN(W725),Z725))</f>
        <v>0</v>
      </c>
      <c r="AC725" s="30" t="n">
        <f aca="false">IF(W725="",0,IF(AA725=1,0,IF(Y725=1,0,X725)))</f>
        <v>0</v>
      </c>
      <c r="AD725" s="30" t="n">
        <f aca="false">IF(AB725=0,0,IF(AB724=AB725,AD724,T725))</f>
        <v>0</v>
      </c>
      <c r="AE725" s="30" t="n">
        <f aca="false">AB725-AB724</f>
        <v>0</v>
      </c>
      <c r="AF725" s="30" t="n">
        <f aca="false">-AD725*AB725</f>
        <v>-0</v>
      </c>
      <c r="AG725" s="30" t="n">
        <f aca="false">AF725-AF724</f>
        <v>0</v>
      </c>
      <c r="AH725" s="30" t="n">
        <f aca="false">MAX(AE725,0)*(Inputs!$B$17+Inputs!$B$18+Inputs!$B$19)+MAX(-AE725,0)*(O725+Inputs!$B$18+Inputs!$B$19)+IF(AND(K725=1,AB725&lt;&gt;0),(Inputs!$B$17+Inputs!$B$18+Inputs!$B$19)+(O725+Inputs!$B$18+Inputs!$B$19),0)+MAX(AG725,0)*(Inputs!$B$20+Inputs!$B$22+Inputs!$B$23)+MAX(-AG725,0)*(Inputs!$B$21+Inputs!$B$22+Inputs!$B$23)</f>
        <v>0</v>
      </c>
      <c r="AI725" s="30" t="n">
        <f aca="false">AB724*(M725-AD724*J725)+AB724*AD724*N725/Inputs!$B$16-AH725</f>
        <v>0</v>
      </c>
      <c r="AJ725" s="30" t="n">
        <f aca="false">MAX(AE725,0)*(Inputs!$B$17+Inputs!$B$24+Inputs!$B$25)+MAX(-AE725,0)*(O725+Inputs!$B$24+Inputs!$B$25)+IF(AND(K725=1,AB725&lt;&gt;0),(Inputs!$B$17+Inputs!$B$24+Inputs!$B$25)+(O725+Inputs!$B$24+Inputs!$B$25),0)+MAX(AG725,0)*(Inputs!$B$20+Inputs!$B$26+Inputs!$B$27)+MAX(-AG725,0)*(Inputs!$B$21+Inputs!$B$26+Inputs!$B$27)</f>
        <v>0</v>
      </c>
      <c r="AK725" s="30" t="n">
        <f aca="false">AB724*(M725-AD724*J725)+AB724*AD724*(N725+Inputs!$B$14)/Inputs!$B$16-AJ725</f>
        <v>0</v>
      </c>
      <c r="AL725" s="30" t="n">
        <f aca="false">IF(AP724&lt;&gt;0,AQ724+1,0)</f>
        <v>0</v>
      </c>
      <c r="AM725" s="30" t="n">
        <f aca="false">IF(W725="",0,IF(AND(AP724&lt;&gt;0,OR(ABS(W725)&gt;Inputs!$B$7,AL725&gt;=Inputs!$B$8,ABS(W725)&lt;Inputs!$B$6)),1,0))</f>
        <v>0</v>
      </c>
      <c r="AN725" s="30" t="n">
        <f aca="false">IF(AM725=1,0,AP724)</f>
        <v>0</v>
      </c>
      <c r="AO725" s="30" t="n">
        <f aca="false">IF(W725="",0,IF(AND(AN725=0,ABS(W725)&gt;Inputs!$B$5,ABS(W725)&lt;=Inputs!$B$7,W725&gt;0),1,0))</f>
        <v>0</v>
      </c>
      <c r="AP725" s="30" t="n">
        <f aca="false">IF(W725="",0,IF(AO725=1,-SIGN(W725),AN725))</f>
        <v>0</v>
      </c>
      <c r="AQ725" s="30" t="n">
        <f aca="false">IF(W725="",0,IF(AO725=1,0,IF(AM725=1,0,AL725)))</f>
        <v>0</v>
      </c>
      <c r="AR725" s="30" t="n">
        <f aca="false">IF(AP725=0,0,IF(AP724=AP725,AR724,T725))</f>
        <v>0</v>
      </c>
      <c r="AS725" s="30" t="n">
        <f aca="false">AP725-AP724</f>
        <v>0</v>
      </c>
      <c r="AT725" s="30" t="n">
        <f aca="false">-AR725*AP725</f>
        <v>-0</v>
      </c>
      <c r="AU725" s="30" t="n">
        <f aca="false">AT725-AT724</f>
        <v>0</v>
      </c>
      <c r="AV725" s="30" t="n">
        <f aca="false">MAX(AS725,0)*(Inputs!$B$17+Inputs!$B$18+Inputs!$B$19)+MAX(-AS725,0)*(O725+Inputs!$B$18+Inputs!$B$19)+IF(AND(K725=1,AP725&lt;&gt;0),(Inputs!$B$17+Inputs!$B$18+Inputs!$B$19)+(O725+Inputs!$B$18+Inputs!$B$19),0)+MAX(AU725,0)*(Inputs!$B$20+Inputs!$B$22+Inputs!$B$23)+MAX(-AU725,0)*(Inputs!$B$21+Inputs!$B$22+Inputs!$B$23)</f>
        <v>0</v>
      </c>
      <c r="AW725" s="30" t="n">
        <f aca="false">AP724*(M725-AR724*J725)+AP724*AR724*N725/Inputs!$B$16-AV725</f>
        <v>0</v>
      </c>
      <c r="AX725" s="30" t="n">
        <f aca="false">AW725-IF(AP724&lt;&gt;0,0.75*AR724*(Inputs!$B$13-N725)/Inputs!$B$16,0)</f>
        <v>0</v>
      </c>
      <c r="AY725" s="30" t="n">
        <f aca="false">MAX(AS725,0)*(Inputs!$B$17+Inputs!$B$18+Inputs!$B$19)+MAX(-AS725,0)*(O725+Inputs!$B$18+Inputs!$B$19)+IF(AND(K725=1,AP725&lt;&gt;0),(Inputs!$B$17+Inputs!$B$18+Inputs!$B$19)+(O725+Inputs!$B$18+Inputs!$B$19),0)</f>
        <v>0</v>
      </c>
      <c r="AZ725" s="30" t="n">
        <f aca="false">AP724*M725-AY725</f>
        <v>0</v>
      </c>
      <c r="BA725" s="32" t="n">
        <f aca="false">BA724+AI725</f>
        <v>0.0219013959927524</v>
      </c>
      <c r="BB725" s="30" t="n">
        <f aca="false">MAX(BB724,BA725)</f>
        <v>0.0261726191772394</v>
      </c>
      <c r="BC725" s="32" t="n">
        <f aca="false">BA725-BB725</f>
        <v>-0.00427122318448705</v>
      </c>
      <c r="BD725" s="30" t="n">
        <f aca="false">A726-A725</f>
        <v>2</v>
      </c>
    </row>
    <row r="726" customFormat="false" ht="15" hidden="false" customHeight="false" outlineLevel="0" collapsed="false">
      <c r="A726" s="28" t="n">
        <v>46108</v>
      </c>
      <c r="B726" s="0" t="n">
        <v>22801.7</v>
      </c>
      <c r="C726" s="0" t="n">
        <v>259.45</v>
      </c>
      <c r="D726" s="29" t="n">
        <f aca="false">LN(B726)</f>
        <v>10.0345903735665</v>
      </c>
      <c r="E726" s="29" t="n">
        <f aca="false">LN(C726)</f>
        <v>5.55856400581375</v>
      </c>
      <c r="F726" s="0" t="n">
        <v>721</v>
      </c>
      <c r="G726" s="0" t="n">
        <v>3</v>
      </c>
      <c r="H726" s="29" t="n">
        <f aca="false">D726-E726</f>
        <v>4.47602636775273</v>
      </c>
      <c r="I726" s="29" t="n">
        <f aca="false">D726-D725</f>
        <v>-0.0222618356759448</v>
      </c>
      <c r="J726" s="29" t="n">
        <f aca="false">E726-E725</f>
        <v>-0.0173850973325678</v>
      </c>
      <c r="K726" s="0" t="n">
        <v>0</v>
      </c>
      <c r="L726" s="0" t="n">
        <v>0</v>
      </c>
      <c r="M726" s="29" t="n">
        <f aca="false">IF(L726=1,J726-Carry!$B$9/Inputs!$B$16,I726)</f>
        <v>-0.0222618356759448</v>
      </c>
      <c r="N726" s="0" t="n">
        <v>0.0525</v>
      </c>
      <c r="O726" s="0" t="n">
        <v>0.0002</v>
      </c>
      <c r="P726" s="29" t="n">
        <f aca="false">D726-('2 Hedge ratio'!$B$6+'2 Hedge ratio'!$B$5*E726)</f>
        <v>-0.0195789364933319</v>
      </c>
      <c r="Q726" s="29" t="n">
        <f aca="false">D726-('5 Re-specification'!$B$7+'5 Re-specification'!$B$5*E726+'5 Re-specification'!$B$6*F726)</f>
        <v>-0.00593538650999292</v>
      </c>
      <c r="R726" s="30" t="n">
        <f aca="false">MIN(F726,Inputs!$B$9)</f>
        <v>250</v>
      </c>
      <c r="S726" s="29" t="n">
        <f aca="true">IF(AND(F726&gt;=1,R726&gt;=Inputs!$B$10),INDEX(LINEST(OFFSET(D726,-R726,0,R726,1),OFFSET(E726,-R726,0,R726,2)),1,1),"")</f>
        <v>-5.92623349609371E-005</v>
      </c>
      <c r="T726" s="29" t="n">
        <f aca="true">IF(AND(F726&gt;=1,R726&gt;=Inputs!$B$10),INDEX(LINEST(OFFSET(D726,-R726,0,R726,1),OFFSET(E726,-R726,0,R726,2)),1,2),"")</f>
        <v>1.01204627765027</v>
      </c>
      <c r="U726" s="29" t="n">
        <f aca="true">IF(AND(F726&gt;=1,R726&gt;=Inputs!$B$10),INDEX(LINEST(OFFSET(D726,-R726,0,R726,1),OFFSET(E726,-R726,0,R726,2)),1,3),"")</f>
        <v>4.45483879037001</v>
      </c>
      <c r="V726" s="29" t="n">
        <f aca="true">IF(AND(F726&gt;=1,R726&gt;=Inputs!$B$10),SQRT(SUMPRODUCT((OFFSET(D726,-R726,0,R726,1)-U726-T726*OFFSET(E726,-R726,0,R726,1)-S726*OFFSET(F726,-R726,0,R726,1))^2)/(R726-3)),"")</f>
        <v>0.00237052708807986</v>
      </c>
      <c r="W726" s="31" t="n">
        <f aca="false">IF(AND(F726&gt;=1,R726&gt;=Inputs!$B$10),(D726-U726-T726*E726-S726*F726)/V726,"")</f>
        <v>-1.28422260035866</v>
      </c>
      <c r="X726" s="30" t="n">
        <f aca="false">IF(AB725&lt;&gt;0,AC725+1,0)</f>
        <v>0</v>
      </c>
      <c r="Y726" s="30" t="n">
        <f aca="false">IF(W726="",0,IF(AND(AB725&lt;&gt;0,OR(ABS(W726)&gt;Inputs!$B$7,X726&gt;=Inputs!$B$8,ABS(W726)&lt;Inputs!$B$6)),1,0))</f>
        <v>0</v>
      </c>
      <c r="Z726" s="30" t="n">
        <f aca="false">IF(Y726=1,0,AB725)</f>
        <v>0</v>
      </c>
      <c r="AA726" s="30" t="n">
        <f aca="false">IF(W726="",0,IF(AND(Z726=0,ABS(W726)&gt;Inputs!$B$5,ABS(W726)&lt;=Inputs!$B$7),1,0))</f>
        <v>0</v>
      </c>
      <c r="AB726" s="30" t="n">
        <f aca="false">IF(W726="",0,IF(AA726=1,-SIGN(W726),Z726))</f>
        <v>0</v>
      </c>
      <c r="AC726" s="30" t="n">
        <f aca="false">IF(W726="",0,IF(AA726=1,0,IF(Y726=1,0,X726)))</f>
        <v>0</v>
      </c>
      <c r="AD726" s="30" t="n">
        <f aca="false">IF(AB726=0,0,IF(AB725=AB726,AD725,T726))</f>
        <v>0</v>
      </c>
      <c r="AE726" s="30" t="n">
        <f aca="false">AB726-AB725</f>
        <v>0</v>
      </c>
      <c r="AF726" s="30" t="n">
        <f aca="false">-AD726*AB726</f>
        <v>-0</v>
      </c>
      <c r="AG726" s="30" t="n">
        <f aca="false">AF726-AF725</f>
        <v>0</v>
      </c>
      <c r="AH726" s="30" t="n">
        <f aca="false">MAX(AE726,0)*(Inputs!$B$17+Inputs!$B$18+Inputs!$B$19)+MAX(-AE726,0)*(O726+Inputs!$B$18+Inputs!$B$19)+IF(AND(K726=1,AB726&lt;&gt;0),(Inputs!$B$17+Inputs!$B$18+Inputs!$B$19)+(O726+Inputs!$B$18+Inputs!$B$19),0)+MAX(AG726,0)*(Inputs!$B$20+Inputs!$B$22+Inputs!$B$23)+MAX(-AG726,0)*(Inputs!$B$21+Inputs!$B$22+Inputs!$B$23)</f>
        <v>0</v>
      </c>
      <c r="AI726" s="30" t="n">
        <f aca="false">AB725*(M726-AD725*J726)+AB725*AD725*N726/Inputs!$B$16-AH726</f>
        <v>0</v>
      </c>
      <c r="AJ726" s="30" t="n">
        <f aca="false">MAX(AE726,0)*(Inputs!$B$17+Inputs!$B$24+Inputs!$B$25)+MAX(-AE726,0)*(O726+Inputs!$B$24+Inputs!$B$25)+IF(AND(K726=1,AB726&lt;&gt;0),(Inputs!$B$17+Inputs!$B$24+Inputs!$B$25)+(O726+Inputs!$B$24+Inputs!$B$25),0)+MAX(AG726,0)*(Inputs!$B$20+Inputs!$B$26+Inputs!$B$27)+MAX(-AG726,0)*(Inputs!$B$21+Inputs!$B$26+Inputs!$B$27)</f>
        <v>0</v>
      </c>
      <c r="AK726" s="30" t="n">
        <f aca="false">AB725*(M726-AD725*J726)+AB725*AD725*(N726+Inputs!$B$14)/Inputs!$B$16-AJ726</f>
        <v>0</v>
      </c>
      <c r="AL726" s="30" t="n">
        <f aca="false">IF(AP725&lt;&gt;0,AQ725+1,0)</f>
        <v>0</v>
      </c>
      <c r="AM726" s="30" t="n">
        <f aca="false">IF(W726="",0,IF(AND(AP725&lt;&gt;0,OR(ABS(W726)&gt;Inputs!$B$7,AL726&gt;=Inputs!$B$8,ABS(W726)&lt;Inputs!$B$6)),1,0))</f>
        <v>0</v>
      </c>
      <c r="AN726" s="30" t="n">
        <f aca="false">IF(AM726=1,0,AP725)</f>
        <v>0</v>
      </c>
      <c r="AO726" s="30" t="n">
        <f aca="false">IF(W726="",0,IF(AND(AN726=0,ABS(W726)&gt;Inputs!$B$5,ABS(W726)&lt;=Inputs!$B$7,W726&gt;0),1,0))</f>
        <v>0</v>
      </c>
      <c r="AP726" s="30" t="n">
        <f aca="false">IF(W726="",0,IF(AO726=1,-SIGN(W726),AN726))</f>
        <v>0</v>
      </c>
      <c r="AQ726" s="30" t="n">
        <f aca="false">IF(W726="",0,IF(AO726=1,0,IF(AM726=1,0,AL726)))</f>
        <v>0</v>
      </c>
      <c r="AR726" s="30" t="n">
        <f aca="false">IF(AP726=0,0,IF(AP725=AP726,AR725,T726))</f>
        <v>0</v>
      </c>
      <c r="AS726" s="30" t="n">
        <f aca="false">AP726-AP725</f>
        <v>0</v>
      </c>
      <c r="AT726" s="30" t="n">
        <f aca="false">-AR726*AP726</f>
        <v>-0</v>
      </c>
      <c r="AU726" s="30" t="n">
        <f aca="false">AT726-AT725</f>
        <v>0</v>
      </c>
      <c r="AV726" s="30" t="n">
        <f aca="false">MAX(AS726,0)*(Inputs!$B$17+Inputs!$B$18+Inputs!$B$19)+MAX(-AS726,0)*(O726+Inputs!$B$18+Inputs!$B$19)+IF(AND(K726=1,AP726&lt;&gt;0),(Inputs!$B$17+Inputs!$B$18+Inputs!$B$19)+(O726+Inputs!$B$18+Inputs!$B$19),0)+MAX(AU726,0)*(Inputs!$B$20+Inputs!$B$22+Inputs!$B$23)+MAX(-AU726,0)*(Inputs!$B$21+Inputs!$B$22+Inputs!$B$23)</f>
        <v>0</v>
      </c>
      <c r="AW726" s="30" t="n">
        <f aca="false">AP725*(M726-AR725*J726)+AP725*AR725*N726/Inputs!$B$16-AV726</f>
        <v>0</v>
      </c>
      <c r="AX726" s="30" t="n">
        <f aca="false">AW726-IF(AP725&lt;&gt;0,0.75*AR725*(Inputs!$B$13-N726)/Inputs!$B$16,0)</f>
        <v>0</v>
      </c>
      <c r="AY726" s="30" t="n">
        <f aca="false">MAX(AS726,0)*(Inputs!$B$17+Inputs!$B$18+Inputs!$B$19)+MAX(-AS726,0)*(O726+Inputs!$B$18+Inputs!$B$19)+IF(AND(K726=1,AP726&lt;&gt;0),(Inputs!$B$17+Inputs!$B$18+Inputs!$B$19)+(O726+Inputs!$B$18+Inputs!$B$19),0)</f>
        <v>0</v>
      </c>
      <c r="AZ726" s="30" t="n">
        <f aca="false">AP725*M726-AY726</f>
        <v>-0</v>
      </c>
      <c r="BA726" s="32" t="n">
        <f aca="false">BA725+AI726</f>
        <v>0.0219013959927524</v>
      </c>
      <c r="BB726" s="30" t="n">
        <f aca="false">MAX(BB725,BA726)</f>
        <v>0.0261726191772394</v>
      </c>
      <c r="BC726" s="32" t="n">
        <f aca="false">BA726-BB726</f>
        <v>-0.00427122318448705</v>
      </c>
      <c r="BD726" s="30" t="n">
        <f aca="false">A727-A726</f>
        <v>3</v>
      </c>
    </row>
    <row r="727" customFormat="false" ht="15" hidden="false" customHeight="false" outlineLevel="0" collapsed="false">
      <c r="A727" s="28" t="n">
        <v>46111</v>
      </c>
      <c r="B727" s="0" t="n">
        <v>22330</v>
      </c>
      <c r="C727" s="0" t="n">
        <v>255.26</v>
      </c>
      <c r="D727" s="29" t="n">
        <f aca="false">LN(B727)</f>
        <v>10.0136863448342</v>
      </c>
      <c r="E727" s="29" t="n">
        <f aca="false">LN(C727)</f>
        <v>5.54228263355455</v>
      </c>
      <c r="F727" s="0" t="n">
        <v>722</v>
      </c>
      <c r="G727" s="0" t="n">
        <v>0</v>
      </c>
      <c r="H727" s="29" t="n">
        <f aca="false">D727-E727</f>
        <v>4.47140371127966</v>
      </c>
      <c r="I727" s="29" t="n">
        <f aca="false">D727-D726</f>
        <v>-0.0209040287322733</v>
      </c>
      <c r="J727" s="29" t="n">
        <f aca="false">E727-E726</f>
        <v>-0.0162813722592032</v>
      </c>
      <c r="K727" s="0" t="n">
        <v>1</v>
      </c>
      <c r="L727" s="0" t="n">
        <v>0</v>
      </c>
      <c r="M727" s="29" t="n">
        <f aca="false">IF(L727=1,J727-Carry!$B$9/Inputs!$B$16,I727)</f>
        <v>-0.0209040287322733</v>
      </c>
      <c r="N727" s="0" t="n">
        <v>0.0525</v>
      </c>
      <c r="O727" s="0" t="n">
        <v>0.0002</v>
      </c>
      <c r="P727" s="29" t="n">
        <f aca="false">D727-('2 Hedge ratio'!$B$6+'2 Hedge ratio'!$B$5*E727)</f>
        <v>-0.0255671644216928</v>
      </c>
      <c r="Q727" s="29" t="n">
        <f aca="false">D727-('5 Re-specification'!$B$7+'5 Re-specification'!$B$5*E727+'5 Re-specification'!$B$6*F727)</f>
        <v>-0.0105624543639422</v>
      </c>
      <c r="R727" s="30" t="n">
        <f aca="false">MIN(F727,Inputs!$B$9)</f>
        <v>250</v>
      </c>
      <c r="S727" s="29" t="n">
        <f aca="true">IF(AND(F727&gt;=1,R727&gt;=Inputs!$B$10),INDEX(LINEST(OFFSET(D727,-R727,0,R727,1),OFFSET(E727,-R727,0,R727,2)),1,1),"")</f>
        <v>-5.98946446794386E-005</v>
      </c>
      <c r="T727" s="29" t="n">
        <f aca="true">IF(AND(F727&gt;=1,R727&gt;=Inputs!$B$10),INDEX(LINEST(OFFSET(D727,-R727,0,R727,1),OFFSET(E727,-R727,0,R727,2)),1,2),"")</f>
        <v>1.01340216857733</v>
      </c>
      <c r="U727" s="29" t="n">
        <f aca="true">IF(AND(F727&gt;=1,R727&gt;=Inputs!$B$10),INDEX(LINEST(OFFSET(D727,-R727,0,R727,1),OFFSET(E727,-R727,0,R727,2)),1,3),"")</f>
        <v>4.44755417286343</v>
      </c>
      <c r="V727" s="29" t="n">
        <f aca="true">IF(AND(F727&gt;=1,R727&gt;=Inputs!$B$10),SQRT(SUMPRODUCT((OFFSET(D727,-R727,0,R727,1)-U727-T727*OFFSET(E727,-R727,0,R727,1)-S727*OFFSET(F727,-R727,0,R727,1))^2)/(R727-3)),"")</f>
        <v>0.00237786297579571</v>
      </c>
      <c r="W727" s="31" t="n">
        <f aca="false">IF(AND(F727&gt;=1,R727&gt;=Inputs!$B$10),(D727-U727-T727*E727-S727*F727)/V727,"")</f>
        <v>-3.02167717671341</v>
      </c>
      <c r="X727" s="30" t="n">
        <f aca="false">IF(AB726&lt;&gt;0,AC726+1,0)</f>
        <v>0</v>
      </c>
      <c r="Y727" s="30" t="n">
        <f aca="false">IF(W727="",0,IF(AND(AB726&lt;&gt;0,OR(ABS(W727)&gt;Inputs!$B$7,X727&gt;=Inputs!$B$8,ABS(W727)&lt;Inputs!$B$6)),1,0))</f>
        <v>0</v>
      </c>
      <c r="Z727" s="30" t="n">
        <f aca="false">IF(Y727=1,0,AB726)</f>
        <v>0</v>
      </c>
      <c r="AA727" s="30" t="n">
        <f aca="false">IF(W727="",0,IF(AND(Z727=0,ABS(W727)&gt;Inputs!$B$5,ABS(W727)&lt;=Inputs!$B$7),1,0))</f>
        <v>1</v>
      </c>
      <c r="AB727" s="30" t="n">
        <f aca="false">IF(W727="",0,IF(AA727=1,-SIGN(W727),Z727))</f>
        <v>1</v>
      </c>
      <c r="AC727" s="30" t="n">
        <f aca="false">IF(W727="",0,IF(AA727=1,0,IF(Y727=1,0,X727)))</f>
        <v>0</v>
      </c>
      <c r="AD727" s="29" t="n">
        <f aca="false">IF(AB727=0,0,IF(AB726=AB727,AD726,T727))</f>
        <v>1.01340216857733</v>
      </c>
      <c r="AE727" s="30" t="n">
        <f aca="false">AB727-AB726</f>
        <v>1</v>
      </c>
      <c r="AF727" s="30" t="n">
        <f aca="false">-AD727*AB727</f>
        <v>-1.01340216857733</v>
      </c>
      <c r="AG727" s="30" t="n">
        <f aca="false">AF727-AF726</f>
        <v>-1.01340216857733</v>
      </c>
      <c r="AH727" s="32" t="n">
        <f aca="false">MAX(AE727,0)*(Inputs!$B$17+Inputs!$B$18+Inputs!$B$19)+MAX(-AE727,0)*(O727+Inputs!$B$18+Inputs!$B$19)+IF(AND(K727=1,AB727&lt;&gt;0),(Inputs!$B$17+Inputs!$B$18+Inputs!$B$19)+(O727+Inputs!$B$18+Inputs!$B$19),0)+MAX(AG727,0)*(Inputs!$B$20+Inputs!$B$22+Inputs!$B$23)+MAX(-AG727,0)*(Inputs!$B$21+Inputs!$B$22+Inputs!$B$23)</f>
        <v>0.000857814455401239</v>
      </c>
      <c r="AI727" s="32" t="n">
        <f aca="false">AB726*(M727-AD726*J727)+AB726*AD726*N727/Inputs!$B$16-AH727</f>
        <v>-0.000857814455401239</v>
      </c>
      <c r="AJ727" s="32" t="n">
        <f aca="false">MAX(AE727,0)*(Inputs!$B$17+Inputs!$B$24+Inputs!$B$25)+MAX(-AE727,0)*(O727+Inputs!$B$24+Inputs!$B$25)+IF(AND(K727=1,AB727&lt;&gt;0),(Inputs!$B$17+Inputs!$B$24+Inputs!$B$25)+(O727+Inputs!$B$24+Inputs!$B$25),0)+MAX(AG727,0)*(Inputs!$B$20+Inputs!$B$26+Inputs!$B$27)+MAX(-AG727,0)*(Inputs!$B$21+Inputs!$B$26+Inputs!$B$27)</f>
        <v>0.000566541249386393</v>
      </c>
      <c r="AK727" s="32" t="n">
        <f aca="false">AB726*(M727-AD726*J727)+AB726*AD726*(N727+Inputs!$B$14)/Inputs!$B$16-AJ727</f>
        <v>-0.000566541249386393</v>
      </c>
      <c r="AL727" s="30" t="n">
        <f aca="false">IF(AP726&lt;&gt;0,AQ726+1,0)</f>
        <v>0</v>
      </c>
      <c r="AM727" s="30" t="n">
        <f aca="false">IF(W727="",0,IF(AND(AP726&lt;&gt;0,OR(ABS(W727)&gt;Inputs!$B$7,AL727&gt;=Inputs!$B$8,ABS(W727)&lt;Inputs!$B$6)),1,0))</f>
        <v>0</v>
      </c>
      <c r="AN727" s="30" t="n">
        <f aca="false">IF(AM727=1,0,AP726)</f>
        <v>0</v>
      </c>
      <c r="AO727" s="30" t="n">
        <f aca="false">IF(W727="",0,IF(AND(AN727=0,ABS(W727)&gt;Inputs!$B$5,ABS(W727)&lt;=Inputs!$B$7,W727&gt;0),1,0))</f>
        <v>0</v>
      </c>
      <c r="AP727" s="30" t="n">
        <f aca="false">IF(W727="",0,IF(AO727=1,-SIGN(W727),AN727))</f>
        <v>0</v>
      </c>
      <c r="AQ727" s="30" t="n">
        <f aca="false">IF(W727="",0,IF(AO727=1,0,IF(AM727=1,0,AL727)))</f>
        <v>0</v>
      </c>
      <c r="AR727" s="30" t="n">
        <f aca="false">IF(AP727=0,0,IF(AP726=AP727,AR726,T727))</f>
        <v>0</v>
      </c>
      <c r="AS727" s="30" t="n">
        <f aca="false">AP727-AP726</f>
        <v>0</v>
      </c>
      <c r="AT727" s="30" t="n">
        <f aca="false">-AR727*AP727</f>
        <v>-0</v>
      </c>
      <c r="AU727" s="30" t="n">
        <f aca="false">AT727-AT726</f>
        <v>0</v>
      </c>
      <c r="AV727" s="30" t="n">
        <f aca="false">MAX(AS727,0)*(Inputs!$B$17+Inputs!$B$18+Inputs!$B$19)+MAX(-AS727,0)*(O727+Inputs!$B$18+Inputs!$B$19)+IF(AND(K727=1,AP727&lt;&gt;0),(Inputs!$B$17+Inputs!$B$18+Inputs!$B$19)+(O727+Inputs!$B$18+Inputs!$B$19),0)+MAX(AU727,0)*(Inputs!$B$20+Inputs!$B$22+Inputs!$B$23)+MAX(-AU727,0)*(Inputs!$B$21+Inputs!$B$22+Inputs!$B$23)</f>
        <v>0</v>
      </c>
      <c r="AW727" s="30" t="n">
        <f aca="false">AP726*(M727-AR726*J727)+AP726*AR726*N727/Inputs!$B$16-AV727</f>
        <v>0</v>
      </c>
      <c r="AX727" s="30" t="n">
        <f aca="false">AW727-IF(AP726&lt;&gt;0,0.75*AR726*(Inputs!$B$13-N727)/Inputs!$B$16,0)</f>
        <v>0</v>
      </c>
      <c r="AY727" s="30" t="n">
        <f aca="false">MAX(AS727,0)*(Inputs!$B$17+Inputs!$B$18+Inputs!$B$19)+MAX(-AS727,0)*(O727+Inputs!$B$18+Inputs!$B$19)+IF(AND(K727=1,AP727&lt;&gt;0),(Inputs!$B$17+Inputs!$B$18+Inputs!$B$19)+(O727+Inputs!$B$18+Inputs!$B$19),0)</f>
        <v>0</v>
      </c>
      <c r="AZ727" s="30" t="n">
        <f aca="false">AP726*M727-AY727</f>
        <v>-0</v>
      </c>
      <c r="BA727" s="32" t="n">
        <f aca="false">BA726+AI727</f>
        <v>0.0210435815373511</v>
      </c>
      <c r="BB727" s="30" t="n">
        <f aca="false">MAX(BB726,BA727)</f>
        <v>0.0261726191772394</v>
      </c>
      <c r="BC727" s="32" t="n">
        <f aca="false">BA727-BB727</f>
        <v>-0.00512903763988829</v>
      </c>
      <c r="BD727" s="30" t="n">
        <f aca="false">A728-A727</f>
        <v>2</v>
      </c>
    </row>
    <row r="728" customFormat="false" ht="15" hidden="false" customHeight="false" outlineLevel="0" collapsed="false">
      <c r="A728" s="28" t="n">
        <v>46113</v>
      </c>
      <c r="B728" s="0" t="n">
        <v>22828</v>
      </c>
      <c r="C728" s="0" t="n">
        <v>257.99</v>
      </c>
      <c r="D728" s="29" t="n">
        <f aca="false">LN(B728)</f>
        <v>10.0357431316566</v>
      </c>
      <c r="E728" s="29" t="n">
        <f aca="false">LN(C728)</f>
        <v>5.55292082448052</v>
      </c>
      <c r="F728" s="0" t="n">
        <v>723</v>
      </c>
      <c r="G728" s="0" t="n">
        <v>27</v>
      </c>
      <c r="H728" s="29" t="n">
        <f aca="false">D728-E728</f>
        <v>4.48282230717608</v>
      </c>
      <c r="I728" s="29" t="n">
        <f aca="false">D728-D727</f>
        <v>0.0220567868223949</v>
      </c>
      <c r="J728" s="29" t="n">
        <f aca="false">E728-E727</f>
        <v>0.0106381909259738</v>
      </c>
      <c r="K728" s="0" t="n">
        <v>0</v>
      </c>
      <c r="L728" s="0" t="n">
        <v>1</v>
      </c>
      <c r="M728" s="29" t="n">
        <f aca="false">IF(L728=1,J728-Carry!$B$9/Inputs!$B$16,I728)</f>
        <v>0.0103787327442527</v>
      </c>
      <c r="N728" s="0" t="n">
        <v>0.0525</v>
      </c>
      <c r="O728" s="0" t="n">
        <v>0.0005</v>
      </c>
      <c r="P728" s="29" t="n">
        <f aca="false">D728-('2 Hedge ratio'!$B$6+'2 Hedge ratio'!$B$5*E728)</f>
        <v>-0.0132563089765583</v>
      </c>
      <c r="Q728" s="29" t="n">
        <f aca="false">D728-('5 Re-specification'!$B$7+'5 Re-specification'!$B$5*E728+'5 Re-specification'!$B$6*F728)</f>
        <v>0.000933309888401013</v>
      </c>
      <c r="R728" s="30" t="n">
        <f aca="false">MIN(F728,Inputs!$B$9)</f>
        <v>250</v>
      </c>
      <c r="S728" s="29" t="n">
        <f aca="true">IF(AND(F728&gt;=1,R728&gt;=Inputs!$B$10),INDEX(LINEST(OFFSET(D728,-R728,0,R728,1),OFFSET(E728,-R728,0,R728,2)),1,1),"")</f>
        <v>-6.12856907190518E-005</v>
      </c>
      <c r="T728" s="29" t="n">
        <f aca="true">IF(AND(F728&gt;=1,R728&gt;=Inputs!$B$10),INDEX(LINEST(OFFSET(D728,-R728,0,R728,1),OFFSET(E728,-R728,0,R728,2)),1,2),"")</f>
        <v>1.01699766217553</v>
      </c>
      <c r="U728" s="29" t="n">
        <f aca="true">IF(AND(F728&gt;=1,R728&gt;=Inputs!$B$10),INDEX(LINEST(OFFSET(D728,-R728,0,R728,1),OFFSET(E728,-R728,0,R728,2)),1,3),"")</f>
        <v>4.42806619966684</v>
      </c>
      <c r="V728" s="29" t="n">
        <f aca="true">IF(AND(F728&gt;=1,R728&gt;=Inputs!$B$10),SQRT(SUMPRODUCT((OFFSET(D728,-R728,0,R728,1)-U728-T728*OFFSET(E728,-R728,0,R728,1)-S728*OFFSET(F728,-R728,0,R728,1))^2)/(R728-3)),"")</f>
        <v>0.00241724523338892</v>
      </c>
      <c r="W728" s="31" t="n">
        <f aca="false">IF(AND(F728&gt;=1,R728&gt;=Inputs!$B$10),(D728-U728-T728*E728-S728*F728)/V728,"")</f>
        <v>1.93567023009834</v>
      </c>
      <c r="X728" s="30" t="n">
        <f aca="false">IF(AB727&lt;&gt;0,AC727+1,0)</f>
        <v>1</v>
      </c>
      <c r="Y728" s="30" t="n">
        <f aca="false">IF(W728="",0,IF(AND(AB727&lt;&gt;0,OR(ABS(W728)&gt;Inputs!$B$7,X728&gt;=Inputs!$B$8,ABS(W728)&lt;Inputs!$B$6)),1,0))</f>
        <v>0</v>
      </c>
      <c r="Z728" s="30" t="n">
        <f aca="false">IF(Y728=1,0,AB727)</f>
        <v>1</v>
      </c>
      <c r="AA728" s="30" t="n">
        <f aca="false">IF(W728="",0,IF(AND(Z728=0,ABS(W728)&gt;Inputs!$B$5,ABS(W728)&lt;=Inputs!$B$7),1,0))</f>
        <v>0</v>
      </c>
      <c r="AB728" s="30" t="n">
        <f aca="false">IF(W728="",0,IF(AA728=1,-SIGN(W728),Z728))</f>
        <v>1</v>
      </c>
      <c r="AC728" s="30" t="n">
        <f aca="false">IF(W728="",0,IF(AA728=1,0,IF(Y728=1,0,X728)))</f>
        <v>1</v>
      </c>
      <c r="AD728" s="29" t="n">
        <f aca="false">IF(AB728=0,0,IF(AB727=AB728,AD727,T728))</f>
        <v>1.01340216857733</v>
      </c>
      <c r="AE728" s="30" t="n">
        <f aca="false">AB728-AB727</f>
        <v>0</v>
      </c>
      <c r="AF728" s="30" t="n">
        <f aca="false">-AD728*AB728</f>
        <v>-1.01340216857733</v>
      </c>
      <c r="AG728" s="30" t="n">
        <f aca="false">AF728-AF727</f>
        <v>0</v>
      </c>
      <c r="AH728" s="30" t="n">
        <f aca="false">MAX(AE728,0)*(Inputs!$B$17+Inputs!$B$18+Inputs!$B$19)+MAX(-AE728,0)*(O728+Inputs!$B$18+Inputs!$B$19)+IF(AND(K728=1,AB728&lt;&gt;0),(Inputs!$B$17+Inputs!$B$18+Inputs!$B$19)+(O728+Inputs!$B$18+Inputs!$B$19),0)+MAX(AG728,0)*(Inputs!$B$20+Inputs!$B$22+Inputs!$B$23)+MAX(-AG728,0)*(Inputs!$B$21+Inputs!$B$22+Inputs!$B$23)</f>
        <v>0</v>
      </c>
      <c r="AI728" s="30" t="n">
        <f aca="false">AB727*(M728-AD727*J728)+AB727*AD727*N728/Inputs!$B$16-AH728</f>
        <v>-0.000190907558081898</v>
      </c>
      <c r="AJ728" s="30" t="n">
        <f aca="false">MAX(AE728,0)*(Inputs!$B$17+Inputs!$B$24+Inputs!$B$25)+MAX(-AE728,0)*(O728+Inputs!$B$24+Inputs!$B$25)+IF(AND(K728=1,AB728&lt;&gt;0),(Inputs!$B$17+Inputs!$B$24+Inputs!$B$25)+(O728+Inputs!$B$24+Inputs!$B$25),0)+MAX(AG728,0)*(Inputs!$B$20+Inputs!$B$26+Inputs!$B$27)+MAX(-AG728,0)*(Inputs!$B$21+Inputs!$B$26+Inputs!$B$27)</f>
        <v>0</v>
      </c>
      <c r="AK728" s="30" t="n">
        <f aca="false">AB727*(M728-AD727*J728)+AB727*AD727*(N728+Inputs!$B$14)/Inputs!$B$16-AJ728</f>
        <v>-0.000160746779255192</v>
      </c>
      <c r="AL728" s="30" t="n">
        <f aca="false">IF(AP727&lt;&gt;0,AQ727+1,0)</f>
        <v>0</v>
      </c>
      <c r="AM728" s="30" t="n">
        <f aca="false">IF(W728="",0,IF(AND(AP727&lt;&gt;0,OR(ABS(W728)&gt;Inputs!$B$7,AL728&gt;=Inputs!$B$8,ABS(W728)&lt;Inputs!$B$6)),1,0))</f>
        <v>0</v>
      </c>
      <c r="AN728" s="30" t="n">
        <f aca="false">IF(AM728=1,0,AP727)</f>
        <v>0</v>
      </c>
      <c r="AO728" s="30" t="n">
        <f aca="false">IF(W728="",0,IF(AND(AN728=0,ABS(W728)&gt;Inputs!$B$5,ABS(W728)&lt;=Inputs!$B$7,W728&gt;0),1,0))</f>
        <v>0</v>
      </c>
      <c r="AP728" s="30" t="n">
        <f aca="false">IF(W728="",0,IF(AO728=1,-SIGN(W728),AN728))</f>
        <v>0</v>
      </c>
      <c r="AQ728" s="30" t="n">
        <f aca="false">IF(W728="",0,IF(AO728=1,0,IF(AM728=1,0,AL728)))</f>
        <v>0</v>
      </c>
      <c r="AR728" s="30" t="n">
        <f aca="false">IF(AP728=0,0,IF(AP727=AP728,AR727,T728))</f>
        <v>0</v>
      </c>
      <c r="AS728" s="30" t="n">
        <f aca="false">AP728-AP727</f>
        <v>0</v>
      </c>
      <c r="AT728" s="30" t="n">
        <f aca="false">-AR728*AP728</f>
        <v>-0</v>
      </c>
      <c r="AU728" s="30" t="n">
        <f aca="false">AT728-AT727</f>
        <v>0</v>
      </c>
      <c r="AV728" s="30" t="n">
        <f aca="false">MAX(AS728,0)*(Inputs!$B$17+Inputs!$B$18+Inputs!$B$19)+MAX(-AS728,0)*(O728+Inputs!$B$18+Inputs!$B$19)+IF(AND(K728=1,AP728&lt;&gt;0),(Inputs!$B$17+Inputs!$B$18+Inputs!$B$19)+(O728+Inputs!$B$18+Inputs!$B$19),0)+MAX(AU728,0)*(Inputs!$B$20+Inputs!$B$22+Inputs!$B$23)+MAX(-AU728,0)*(Inputs!$B$21+Inputs!$B$22+Inputs!$B$23)</f>
        <v>0</v>
      </c>
      <c r="AW728" s="30" t="n">
        <f aca="false">AP727*(M728-AR727*J728)+AP727*AR727*N728/Inputs!$B$16-AV728</f>
        <v>0</v>
      </c>
      <c r="AX728" s="30" t="n">
        <f aca="false">AW728-IF(AP727&lt;&gt;0,0.75*AR727*(Inputs!$B$13-N728)/Inputs!$B$16,0)</f>
        <v>0</v>
      </c>
      <c r="AY728" s="30" t="n">
        <f aca="false">MAX(AS728,0)*(Inputs!$B$17+Inputs!$B$18+Inputs!$B$19)+MAX(-AS728,0)*(O728+Inputs!$B$18+Inputs!$B$19)+IF(AND(K728=1,AP728&lt;&gt;0),(Inputs!$B$17+Inputs!$B$18+Inputs!$B$19)+(O728+Inputs!$B$18+Inputs!$B$19),0)</f>
        <v>0</v>
      </c>
      <c r="AZ728" s="30" t="n">
        <f aca="false">AP727*M728-AY728</f>
        <v>0</v>
      </c>
      <c r="BA728" s="32" t="n">
        <f aca="false">BA727+AI728</f>
        <v>0.0208526739792692</v>
      </c>
      <c r="BB728" s="30" t="n">
        <f aca="false">MAX(BB727,BA728)</f>
        <v>0.0261726191772394</v>
      </c>
      <c r="BC728" s="32" t="n">
        <f aca="false">BA728-BB728</f>
        <v>-0.00531994519797019</v>
      </c>
      <c r="BD728" s="30" t="n">
        <f aca="false">A729-A728</f>
        <v>1</v>
      </c>
    </row>
    <row r="729" customFormat="false" ht="15" hidden="false" customHeight="false" outlineLevel="0" collapsed="false">
      <c r="A729" s="28" t="n">
        <v>46114</v>
      </c>
      <c r="B729" s="0" t="n">
        <v>22783.2</v>
      </c>
      <c r="C729" s="0" t="n">
        <v>257.98</v>
      </c>
      <c r="D729" s="29" t="n">
        <f aca="false">LN(B729)</f>
        <v>10.0337787012357</v>
      </c>
      <c r="E729" s="29" t="n">
        <f aca="false">LN(C729)</f>
        <v>5.55288206253699</v>
      </c>
      <c r="F729" s="0" t="n">
        <v>724</v>
      </c>
      <c r="G729" s="0" t="n">
        <v>26</v>
      </c>
      <c r="H729" s="29" t="n">
        <f aca="false">D729-E729</f>
        <v>4.48089663869871</v>
      </c>
      <c r="I729" s="29" t="n">
        <f aca="false">D729-D728</f>
        <v>-0.00196443042089989</v>
      </c>
      <c r="J729" s="29" t="n">
        <f aca="false">E729-E728</f>
        <v>-3.87619435286979E-005</v>
      </c>
      <c r="K729" s="0" t="n">
        <v>0</v>
      </c>
      <c r="L729" s="0" t="n">
        <v>0</v>
      </c>
      <c r="M729" s="29" t="n">
        <f aca="false">IF(L729=1,J729-Carry!$B$9/Inputs!$B$16,I729)</f>
        <v>-0.00196443042089989</v>
      </c>
      <c r="N729" s="0" t="n">
        <v>0.0525</v>
      </c>
      <c r="O729" s="0" t="n">
        <v>0.0005</v>
      </c>
      <c r="P729" s="29" t="n">
        <f aca="false">D729-('2 Hedge ratio'!$B$6+'2 Hedge ratio'!$B$5*E729)</f>
        <v>-0.0151852285437517</v>
      </c>
      <c r="Q729" s="29" t="n">
        <f aca="false">D729-('5 Re-specification'!$B$7+'5 Re-specification'!$B$5*E729+'5 Re-specification'!$B$6*F729)</f>
        <v>-0.000947546738942151</v>
      </c>
      <c r="R729" s="30" t="n">
        <f aca="false">MIN(F729,Inputs!$B$9)</f>
        <v>250</v>
      </c>
      <c r="S729" s="29" t="n">
        <f aca="true">IF(AND(F729&gt;=1,R729&gt;=Inputs!$B$10),INDEX(LINEST(OFFSET(D729,-R729,0,R729,1),OFFSET(E729,-R729,0,R729,2)),1,1),"")</f>
        <v>-6.04584277189742E-005</v>
      </c>
      <c r="T729" s="29" t="n">
        <f aca="true">IF(AND(F729&gt;=1,R729&gt;=Inputs!$B$10),INDEX(LINEST(OFFSET(D729,-R729,0,R729,1),OFFSET(E729,-R729,0,R729,2)),1,2),"")</f>
        <v>1.0149998228916</v>
      </c>
      <c r="U729" s="29" t="n">
        <f aca="true">IF(AND(F729&gt;=1,R729&gt;=Inputs!$B$10),INDEX(LINEST(OFFSET(D729,-R729,0,R729,1),OFFSET(E729,-R729,0,R729,2)),1,3),"")</f>
        <v>4.4388632158283</v>
      </c>
      <c r="V729" s="29" t="n">
        <f aca="true">IF(AND(F729&gt;=1,R729&gt;=Inputs!$B$10),SQRT(SUMPRODUCT((OFFSET(D729,-R729,0,R729,1)-U729-T729*OFFSET(E729,-R729,0,R729,1)-S729*OFFSET(F729,-R729,0,R729,1))^2)/(R729-3)),"")</f>
        <v>0.0024342448078119</v>
      </c>
      <c r="W729" s="31" t="n">
        <f aca="false">IF(AND(F729&gt;=1,R729&gt;=Inputs!$B$10),(D729-U729-T729*E729-S729*F729)/V729,"")</f>
        <v>1.03238468656442</v>
      </c>
      <c r="X729" s="30" t="n">
        <f aca="false">IF(AB728&lt;&gt;0,AC728+1,0)</f>
        <v>2</v>
      </c>
      <c r="Y729" s="30" t="n">
        <f aca="false">IF(W729="",0,IF(AND(AB728&lt;&gt;0,OR(ABS(W729)&gt;Inputs!$B$7,X729&gt;=Inputs!$B$8,ABS(W729)&lt;Inputs!$B$6)),1,0))</f>
        <v>0</v>
      </c>
      <c r="Z729" s="30" t="n">
        <f aca="false">IF(Y729=1,0,AB728)</f>
        <v>1</v>
      </c>
      <c r="AA729" s="30" t="n">
        <f aca="false">IF(W729="",0,IF(AND(Z729=0,ABS(W729)&gt;Inputs!$B$5,ABS(W729)&lt;=Inputs!$B$7),1,0))</f>
        <v>0</v>
      </c>
      <c r="AB729" s="30" t="n">
        <f aca="false">IF(W729="",0,IF(AA729=1,-SIGN(W729),Z729))</f>
        <v>1</v>
      </c>
      <c r="AC729" s="30" t="n">
        <f aca="false">IF(W729="",0,IF(AA729=1,0,IF(Y729=1,0,X729)))</f>
        <v>2</v>
      </c>
      <c r="AD729" s="29" t="n">
        <f aca="false">IF(AB729=0,0,IF(AB728=AB729,AD728,T729))</f>
        <v>1.01340216857733</v>
      </c>
      <c r="AE729" s="30" t="n">
        <f aca="false">AB729-AB728</f>
        <v>0</v>
      </c>
      <c r="AF729" s="30" t="n">
        <f aca="false">-AD729*AB729</f>
        <v>-1.01340216857733</v>
      </c>
      <c r="AG729" s="30" t="n">
        <f aca="false">AF729-AF728</f>
        <v>0</v>
      </c>
      <c r="AH729" s="30" t="n">
        <f aca="false">MAX(AE729,0)*(Inputs!$B$17+Inputs!$B$18+Inputs!$B$19)+MAX(-AE729,0)*(O729+Inputs!$B$18+Inputs!$B$19)+IF(AND(K729=1,AB729&lt;&gt;0),(Inputs!$B$17+Inputs!$B$18+Inputs!$B$19)+(O729+Inputs!$B$18+Inputs!$B$19),0)+MAX(AG729,0)*(Inputs!$B$20+Inputs!$B$22+Inputs!$B$23)+MAX(-AG729,0)*(Inputs!$B$21+Inputs!$B$22+Inputs!$B$23)</f>
        <v>0</v>
      </c>
      <c r="AI729" s="30" t="n">
        <f aca="false">AB728*(M729-AD728*J729)+AB728*AD728*N729/Inputs!$B$16-AH729</f>
        <v>-0.00171402353148269</v>
      </c>
      <c r="AJ729" s="30" t="n">
        <f aca="false">MAX(AE729,0)*(Inputs!$B$17+Inputs!$B$24+Inputs!$B$25)+MAX(-AE729,0)*(O729+Inputs!$B$24+Inputs!$B$25)+IF(AND(K729=1,AB729&lt;&gt;0),(Inputs!$B$17+Inputs!$B$24+Inputs!$B$25)+(O729+Inputs!$B$24+Inputs!$B$25),0)+MAX(AG729,0)*(Inputs!$B$20+Inputs!$B$26+Inputs!$B$27)+MAX(-AG729,0)*(Inputs!$B$21+Inputs!$B$26+Inputs!$B$27)</f>
        <v>0</v>
      </c>
      <c r="AK729" s="30" t="n">
        <f aca="false">AB728*(M729-AD728*J729)+AB728*AD728*(N729+Inputs!$B$14)/Inputs!$B$16-AJ729</f>
        <v>-0.00168386275265598</v>
      </c>
      <c r="AL729" s="30" t="n">
        <f aca="false">IF(AP728&lt;&gt;0,AQ728+1,0)</f>
        <v>0</v>
      </c>
      <c r="AM729" s="30" t="n">
        <f aca="false">IF(W729="",0,IF(AND(AP728&lt;&gt;0,OR(ABS(W729)&gt;Inputs!$B$7,AL729&gt;=Inputs!$B$8,ABS(W729)&lt;Inputs!$B$6)),1,0))</f>
        <v>0</v>
      </c>
      <c r="AN729" s="30" t="n">
        <f aca="false">IF(AM729=1,0,AP728)</f>
        <v>0</v>
      </c>
      <c r="AO729" s="30" t="n">
        <f aca="false">IF(W729="",0,IF(AND(AN729=0,ABS(W729)&gt;Inputs!$B$5,ABS(W729)&lt;=Inputs!$B$7,W729&gt;0),1,0))</f>
        <v>0</v>
      </c>
      <c r="AP729" s="30" t="n">
        <f aca="false">IF(W729="",0,IF(AO729=1,-SIGN(W729),AN729))</f>
        <v>0</v>
      </c>
      <c r="AQ729" s="30" t="n">
        <f aca="false">IF(W729="",0,IF(AO729=1,0,IF(AM729=1,0,AL729)))</f>
        <v>0</v>
      </c>
      <c r="AR729" s="30" t="n">
        <f aca="false">IF(AP729=0,0,IF(AP728=AP729,AR728,T729))</f>
        <v>0</v>
      </c>
      <c r="AS729" s="30" t="n">
        <f aca="false">AP729-AP728</f>
        <v>0</v>
      </c>
      <c r="AT729" s="30" t="n">
        <f aca="false">-AR729*AP729</f>
        <v>-0</v>
      </c>
      <c r="AU729" s="30" t="n">
        <f aca="false">AT729-AT728</f>
        <v>0</v>
      </c>
      <c r="AV729" s="30" t="n">
        <f aca="false">MAX(AS729,0)*(Inputs!$B$17+Inputs!$B$18+Inputs!$B$19)+MAX(-AS729,0)*(O729+Inputs!$B$18+Inputs!$B$19)+IF(AND(K729=1,AP729&lt;&gt;0),(Inputs!$B$17+Inputs!$B$18+Inputs!$B$19)+(O729+Inputs!$B$18+Inputs!$B$19),0)+MAX(AU729,0)*(Inputs!$B$20+Inputs!$B$22+Inputs!$B$23)+MAX(-AU729,0)*(Inputs!$B$21+Inputs!$B$22+Inputs!$B$23)</f>
        <v>0</v>
      </c>
      <c r="AW729" s="30" t="n">
        <f aca="false">AP728*(M729-AR728*J729)+AP728*AR728*N729/Inputs!$B$16-AV729</f>
        <v>0</v>
      </c>
      <c r="AX729" s="30" t="n">
        <f aca="false">AW729-IF(AP728&lt;&gt;0,0.75*AR728*(Inputs!$B$13-N729)/Inputs!$B$16,0)</f>
        <v>0</v>
      </c>
      <c r="AY729" s="30" t="n">
        <f aca="false">MAX(AS729,0)*(Inputs!$B$17+Inputs!$B$18+Inputs!$B$19)+MAX(-AS729,0)*(O729+Inputs!$B$18+Inputs!$B$19)+IF(AND(K729=1,AP729&lt;&gt;0),(Inputs!$B$17+Inputs!$B$18+Inputs!$B$19)+(O729+Inputs!$B$18+Inputs!$B$19),0)</f>
        <v>0</v>
      </c>
      <c r="AZ729" s="30" t="n">
        <f aca="false">AP728*M729-AY729</f>
        <v>-0</v>
      </c>
      <c r="BA729" s="32" t="n">
        <f aca="false">BA728+AI729</f>
        <v>0.0191386504477865</v>
      </c>
      <c r="BB729" s="30" t="n">
        <f aca="false">MAX(BB728,BA729)</f>
        <v>0.0261726191772394</v>
      </c>
      <c r="BC729" s="32" t="n">
        <f aca="false">BA729-BB729</f>
        <v>-0.00703396872945288</v>
      </c>
      <c r="BD729" s="30" t="n">
        <f aca="false">A730-A729</f>
        <v>4</v>
      </c>
    </row>
    <row r="730" customFormat="false" ht="15" hidden="false" customHeight="false" outlineLevel="0" collapsed="false">
      <c r="A730" s="28" t="n">
        <v>46118</v>
      </c>
      <c r="B730" s="0" t="n">
        <v>23050.2</v>
      </c>
      <c r="C730" s="0" t="n">
        <v>260.2</v>
      </c>
      <c r="D730" s="29" t="n">
        <f aca="false">LN(B730)</f>
        <v>10.0454297251767</v>
      </c>
      <c r="E730" s="29" t="n">
        <f aca="false">LN(C730)</f>
        <v>5.56145056607841</v>
      </c>
      <c r="F730" s="0" t="n">
        <v>725</v>
      </c>
      <c r="G730" s="0" t="n">
        <v>22</v>
      </c>
      <c r="H730" s="29" t="n">
        <f aca="false">D730-E730</f>
        <v>4.48397915909833</v>
      </c>
      <c r="I730" s="29" t="n">
        <f aca="false">D730-D729</f>
        <v>0.0116510239410399</v>
      </c>
      <c r="J730" s="29" t="n">
        <f aca="false">E730-E729</f>
        <v>0.00856850354141514</v>
      </c>
      <c r="K730" s="0" t="n">
        <v>0</v>
      </c>
      <c r="L730" s="0" t="n">
        <v>0</v>
      </c>
      <c r="M730" s="29" t="n">
        <f aca="false">IF(L730=1,J730-Carry!$B$9/Inputs!$B$16,I730)</f>
        <v>0.0116510239410399</v>
      </c>
      <c r="N730" s="0" t="n">
        <v>0.0525</v>
      </c>
      <c r="O730" s="0" t="n">
        <v>0.0005</v>
      </c>
      <c r="P730" s="29" t="n">
        <f aca="false">D730-('2 Hedge ratio'!$B$6+'2 Hedge ratio'!$B$5*E730)</f>
        <v>-0.0113840399837013</v>
      </c>
      <c r="Q730" s="29" t="n">
        <f aca="false">D730-('5 Re-specification'!$B$7+'5 Re-specification'!$B$5*E730+'5 Re-specification'!$B$6*F730)</f>
        <v>0.00220586982894133</v>
      </c>
      <c r="R730" s="30" t="n">
        <f aca="false">MIN(F730,Inputs!$B$9)</f>
        <v>250</v>
      </c>
      <c r="S730" s="29" t="n">
        <f aca="true">IF(AND(F730&gt;=1,R730&gt;=Inputs!$B$10),INDEX(LINEST(OFFSET(D730,-R730,0,R730,1),OFFSET(E730,-R730,0,R730,2)),1,1),"")</f>
        <v>-6.00965259139093E-005</v>
      </c>
      <c r="T730" s="29" t="n">
        <f aca="true">IF(AND(F730&gt;=1,R730&gt;=Inputs!$B$10),INDEX(LINEST(OFFSET(D730,-R730,0,R730,1),OFFSET(E730,-R730,0,R730,2)),1,2),"")</f>
        <v>1.01386853770639</v>
      </c>
      <c r="U730" s="29" t="n">
        <f aca="true">IF(AND(F730&gt;=1,R730&gt;=Inputs!$B$10),INDEX(LINEST(OFFSET(D730,-R730,0,R730,1),OFFSET(E730,-R730,0,R730,2)),1,3),"")</f>
        <v>4.44504300450839</v>
      </c>
      <c r="V730" s="29" t="n">
        <f aca="true">IF(AND(F730&gt;=1,R730&gt;=Inputs!$B$10),SQRT(SUMPRODUCT((OFFSET(D730,-R730,0,R730,1)-U730-T730*OFFSET(E730,-R730,0,R730,1)-S730*OFFSET(F730,-R730,0,R730,1))^2)/(R730-3)),"")</f>
        <v>0.00243834292352864</v>
      </c>
      <c r="W730" s="31" t="n">
        <f aca="false">IF(AND(F730&gt;=1,R730&gt;=Inputs!$B$10),(D730-U730-T730*E730-S730*F730)/V730,"")</f>
        <v>2.20516521599853</v>
      </c>
      <c r="X730" s="30" t="n">
        <f aca="false">IF(AB729&lt;&gt;0,AC729+1,0)</f>
        <v>3</v>
      </c>
      <c r="Y730" s="30" t="n">
        <f aca="false">IF(W730="",0,IF(AND(AB729&lt;&gt;0,OR(ABS(W730)&gt;Inputs!$B$7,X730&gt;=Inputs!$B$8,ABS(W730)&lt;Inputs!$B$6)),1,0))</f>
        <v>0</v>
      </c>
      <c r="Z730" s="30" t="n">
        <f aca="false">IF(Y730=1,0,AB729)</f>
        <v>1</v>
      </c>
      <c r="AA730" s="30" t="n">
        <f aca="false">IF(W730="",0,IF(AND(Z730=0,ABS(W730)&gt;Inputs!$B$5,ABS(W730)&lt;=Inputs!$B$7),1,0))</f>
        <v>0</v>
      </c>
      <c r="AB730" s="30" t="n">
        <f aca="false">IF(W730="",0,IF(AA730=1,-SIGN(W730),Z730))</f>
        <v>1</v>
      </c>
      <c r="AC730" s="30" t="n">
        <f aca="false">IF(W730="",0,IF(AA730=1,0,IF(Y730=1,0,X730)))</f>
        <v>3</v>
      </c>
      <c r="AD730" s="29" t="n">
        <f aca="false">IF(AB730=0,0,IF(AB729=AB730,AD729,T730))</f>
        <v>1.01340216857733</v>
      </c>
      <c r="AE730" s="30" t="n">
        <f aca="false">AB730-AB729</f>
        <v>0</v>
      </c>
      <c r="AF730" s="30" t="n">
        <f aca="false">-AD730*AB730</f>
        <v>-1.01340216857733</v>
      </c>
      <c r="AG730" s="30" t="n">
        <f aca="false">AF730-AF729</f>
        <v>0</v>
      </c>
      <c r="AH730" s="30" t="n">
        <f aca="false">MAX(AE730,0)*(Inputs!$B$17+Inputs!$B$18+Inputs!$B$19)+MAX(-AE730,0)*(O730+Inputs!$B$18+Inputs!$B$19)+IF(AND(K730=1,AB730&lt;&gt;0),(Inputs!$B$17+Inputs!$B$18+Inputs!$B$19)+(O730+Inputs!$B$18+Inputs!$B$19),0)+MAX(AG730,0)*(Inputs!$B$20+Inputs!$B$22+Inputs!$B$23)+MAX(-AG730,0)*(Inputs!$B$21+Inputs!$B$22+Inputs!$B$23)</f>
        <v>0</v>
      </c>
      <c r="AI730" s="30" t="n">
        <f aca="false">AB729*(M730-AD729*J730)+AB729*AD729*N730/Inputs!$B$16-AH730</f>
        <v>0.00317880932249422</v>
      </c>
      <c r="AJ730" s="30" t="n">
        <f aca="false">MAX(AE730,0)*(Inputs!$B$17+Inputs!$B$24+Inputs!$B$25)+MAX(-AE730,0)*(O730+Inputs!$B$24+Inputs!$B$25)+IF(AND(K730=1,AB730&lt;&gt;0),(Inputs!$B$17+Inputs!$B$24+Inputs!$B$25)+(O730+Inputs!$B$24+Inputs!$B$25),0)+MAX(AG730,0)*(Inputs!$B$20+Inputs!$B$26+Inputs!$B$27)+MAX(-AG730,0)*(Inputs!$B$21+Inputs!$B$26+Inputs!$B$27)</f>
        <v>0</v>
      </c>
      <c r="AK730" s="30" t="n">
        <f aca="false">AB729*(M730-AD729*J730)+AB729*AD729*(N730+Inputs!$B$14)/Inputs!$B$16-AJ730</f>
        <v>0.00320897010132092</v>
      </c>
      <c r="AL730" s="30" t="n">
        <f aca="false">IF(AP729&lt;&gt;0,AQ729+1,0)</f>
        <v>0</v>
      </c>
      <c r="AM730" s="30" t="n">
        <f aca="false">IF(W730="",0,IF(AND(AP729&lt;&gt;0,OR(ABS(W730)&gt;Inputs!$B$7,AL730&gt;=Inputs!$B$8,ABS(W730)&lt;Inputs!$B$6)),1,0))</f>
        <v>0</v>
      </c>
      <c r="AN730" s="30" t="n">
        <f aca="false">IF(AM730=1,0,AP729)</f>
        <v>0</v>
      </c>
      <c r="AO730" s="30" t="n">
        <f aca="false">IF(W730="",0,IF(AND(AN730=0,ABS(W730)&gt;Inputs!$B$5,ABS(W730)&lt;=Inputs!$B$7,W730&gt;0),1,0))</f>
        <v>1</v>
      </c>
      <c r="AP730" s="30" t="n">
        <f aca="false">IF(W730="",0,IF(AO730=1,-SIGN(W730),AN730))</f>
        <v>-1</v>
      </c>
      <c r="AQ730" s="30" t="n">
        <f aca="false">IF(W730="",0,IF(AO730=1,0,IF(AM730=1,0,AL730)))</f>
        <v>0</v>
      </c>
      <c r="AR730" s="29" t="n">
        <f aca="false">IF(AP730=0,0,IF(AP729=AP730,AR729,T730))</f>
        <v>1.01386853770639</v>
      </c>
      <c r="AS730" s="30" t="n">
        <f aca="false">AP730-AP729</f>
        <v>-1</v>
      </c>
      <c r="AT730" s="30" t="n">
        <f aca="false">-AR730*AP730</f>
        <v>1.01386853770639</v>
      </c>
      <c r="AU730" s="30" t="n">
        <f aca="false">AT730-AT729</f>
        <v>1.01386853770639</v>
      </c>
      <c r="AV730" s="30" t="n">
        <f aca="false">MAX(AS730,0)*(Inputs!$B$17+Inputs!$B$18+Inputs!$B$19)+MAX(-AS730,0)*(O730+Inputs!$B$18+Inputs!$B$19)+IF(AND(K730=1,AP730&lt;&gt;0),(Inputs!$B$17+Inputs!$B$18+Inputs!$B$19)+(O730+Inputs!$B$18+Inputs!$B$19),0)+MAX(AU730,0)*(Inputs!$B$20+Inputs!$B$22+Inputs!$B$23)+MAX(-AU730,0)*(Inputs!$B$21+Inputs!$B$22+Inputs!$B$23)</f>
        <v>0.000989853988197237</v>
      </c>
      <c r="AW730" s="30" t="n">
        <f aca="false">AP729*(M730-AR729*J730)+AP729*AR729*N730/Inputs!$B$16-AV730</f>
        <v>-0.000989853988197237</v>
      </c>
      <c r="AX730" s="30" t="n">
        <f aca="false">AW730-IF(AP729&lt;&gt;0,0.75*AR729*(Inputs!$B$13-N730)/Inputs!$B$16,0)</f>
        <v>-0.000989853988197237</v>
      </c>
      <c r="AY730" s="30" t="n">
        <f aca="false">MAX(AS730,0)*(Inputs!$B$17+Inputs!$B$18+Inputs!$B$19)+MAX(-AS730,0)*(O730+Inputs!$B$18+Inputs!$B$19)+IF(AND(K730=1,AP730&lt;&gt;0),(Inputs!$B$17+Inputs!$B$18+Inputs!$B$19)+(O730+Inputs!$B$18+Inputs!$B$19),0)</f>
        <v>0.000635</v>
      </c>
      <c r="AZ730" s="30" t="n">
        <f aca="false">AP729*M730-AY730</f>
        <v>-0.000635</v>
      </c>
      <c r="BA730" s="32" t="n">
        <f aca="false">BA729+AI730</f>
        <v>0.0223174597702807</v>
      </c>
      <c r="BB730" s="30" t="n">
        <f aca="false">MAX(BB729,BA730)</f>
        <v>0.0261726191772394</v>
      </c>
      <c r="BC730" s="32" t="n">
        <f aca="false">BA730-BB730</f>
        <v>-0.00385515940695866</v>
      </c>
      <c r="BD730" s="30" t="n">
        <f aca="false">A731-A730</f>
        <v>1</v>
      </c>
    </row>
    <row r="731" customFormat="false" ht="15" hidden="false" customHeight="false" outlineLevel="0" collapsed="false">
      <c r="A731" s="28" t="n">
        <v>46119</v>
      </c>
      <c r="B731" s="0" t="n">
        <v>23165</v>
      </c>
      <c r="C731" s="0" t="n">
        <v>261.64</v>
      </c>
      <c r="D731" s="29" t="n">
        <f aca="false">LN(B731)</f>
        <v>10.0503977978508</v>
      </c>
      <c r="E731" s="29" t="n">
        <f aca="false">LN(C731)</f>
        <v>5.56696951309301</v>
      </c>
      <c r="F731" s="0" t="n">
        <v>726</v>
      </c>
      <c r="G731" s="0" t="n">
        <v>21</v>
      </c>
      <c r="H731" s="29" t="n">
        <f aca="false">D731-E731</f>
        <v>4.48342828475774</v>
      </c>
      <c r="I731" s="29" t="n">
        <f aca="false">D731-D730</f>
        <v>0.00496807267401067</v>
      </c>
      <c r="J731" s="29" t="n">
        <f aca="false">E731-E730</f>
        <v>0.00551894701460665</v>
      </c>
      <c r="K731" s="0" t="n">
        <v>0</v>
      </c>
      <c r="L731" s="0" t="n">
        <v>0</v>
      </c>
      <c r="M731" s="29" t="n">
        <f aca="false">IF(L731=1,J731-Carry!$B$9/Inputs!$B$16,I731)</f>
        <v>0.00496807267401067</v>
      </c>
      <c r="N731" s="0" t="n">
        <v>0.0525</v>
      </c>
      <c r="O731" s="0" t="n">
        <v>0.0005</v>
      </c>
      <c r="P731" s="29" t="n">
        <f aca="false">D731-('2 Hedge ratio'!$B$6+'2 Hedge ratio'!$B$5*E731)</f>
        <v>-0.0114720223526366</v>
      </c>
      <c r="Q731" s="29" t="n">
        <f aca="false">D731-('5 Re-specification'!$B$7+'5 Re-specification'!$B$5*E731+'5 Re-specification'!$B$6*F731)</f>
        <v>0.00171664997548682</v>
      </c>
      <c r="R731" s="30" t="n">
        <f aca="false">MIN(F731,Inputs!$B$9)</f>
        <v>250</v>
      </c>
      <c r="S731" s="29" t="n">
        <f aca="true">IF(AND(F731&gt;=1,R731&gt;=Inputs!$B$10),INDEX(LINEST(OFFSET(D731,-R731,0,R731,1),OFFSET(E731,-R731,0,R731,2)),1,1),"")</f>
        <v>-5.89573117678266E-005</v>
      </c>
      <c r="T731" s="29" t="n">
        <f aca="true">IF(AND(F731&gt;=1,R731&gt;=Inputs!$B$10),INDEX(LINEST(OFFSET(D731,-R731,0,R731,1),OFFSET(E731,-R731,0,R731,2)),1,2),"")</f>
        <v>1.01270130275083</v>
      </c>
      <c r="U731" s="29" t="n">
        <f aca="true">IF(AND(F731&gt;=1,R731&gt;=Inputs!$B$10),INDEX(LINEST(OFFSET(D731,-R731,0,R731,1),OFFSET(E731,-R731,0,R731,2)),1,3),"")</f>
        <v>4.45094858203272</v>
      </c>
      <c r="V731" s="29" t="n">
        <f aca="true">IF(AND(F731&gt;=1,R731&gt;=Inputs!$B$10),SQRT(SUMPRODUCT((OFFSET(D731,-R731,0,R731,1)-U731-T731*OFFSET(E731,-R731,0,R731,1)-S731*OFFSET(F731,-R731,0,R731,1))^2)/(R731-3)),"")</f>
        <v>0.00244528876439236</v>
      </c>
      <c r="W731" s="31" t="n">
        <f aca="false">IF(AND(F731&gt;=1,R731&gt;=Inputs!$B$10),(D731-U731-T731*E731-S731*F731)/V731,"")</f>
        <v>1.87092254487034</v>
      </c>
      <c r="X731" s="30" t="n">
        <f aca="false">IF(AB730&lt;&gt;0,AC730+1,0)</f>
        <v>4</v>
      </c>
      <c r="Y731" s="30" t="n">
        <f aca="false">IF(W731="",0,IF(AND(AB730&lt;&gt;0,OR(ABS(W731)&gt;Inputs!$B$7,X731&gt;=Inputs!$B$8,ABS(W731)&lt;Inputs!$B$6)),1,0))</f>
        <v>0</v>
      </c>
      <c r="Z731" s="30" t="n">
        <f aca="false">IF(Y731=1,0,AB730)</f>
        <v>1</v>
      </c>
      <c r="AA731" s="30" t="n">
        <f aca="false">IF(W731="",0,IF(AND(Z731=0,ABS(W731)&gt;Inputs!$B$5,ABS(W731)&lt;=Inputs!$B$7),1,0))</f>
        <v>0</v>
      </c>
      <c r="AB731" s="30" t="n">
        <f aca="false">IF(W731="",0,IF(AA731=1,-SIGN(W731),Z731))</f>
        <v>1</v>
      </c>
      <c r="AC731" s="30" t="n">
        <f aca="false">IF(W731="",0,IF(AA731=1,0,IF(Y731=1,0,X731)))</f>
        <v>4</v>
      </c>
      <c r="AD731" s="29" t="n">
        <f aca="false">IF(AB731=0,0,IF(AB730=AB731,AD730,T731))</f>
        <v>1.01340216857733</v>
      </c>
      <c r="AE731" s="30" t="n">
        <f aca="false">AB731-AB730</f>
        <v>0</v>
      </c>
      <c r="AF731" s="30" t="n">
        <f aca="false">-AD731*AB731</f>
        <v>-1.01340216857733</v>
      </c>
      <c r="AG731" s="30" t="n">
        <f aca="false">AF731-AF730</f>
        <v>0</v>
      </c>
      <c r="AH731" s="30" t="n">
        <f aca="false">MAX(AE731,0)*(Inputs!$B$17+Inputs!$B$18+Inputs!$B$19)+MAX(-AE731,0)*(O731+Inputs!$B$18+Inputs!$B$19)+IF(AND(K731=1,AB731&lt;&gt;0),(Inputs!$B$17+Inputs!$B$18+Inputs!$B$19)+(O731+Inputs!$B$18+Inputs!$B$19),0)+MAX(AG731,0)*(Inputs!$B$20+Inputs!$B$22+Inputs!$B$23)+MAX(-AG731,0)*(Inputs!$B$21+Inputs!$B$22+Inputs!$B$23)</f>
        <v>0</v>
      </c>
      <c r="AI731" s="30" t="n">
        <f aca="false">AB730*(M731-AD730*J731)+AB730*AD730*N731/Inputs!$B$16-AH731</f>
        <v>-0.000413714747068135</v>
      </c>
      <c r="AJ731" s="30" t="n">
        <f aca="false">MAX(AE731,0)*(Inputs!$B$17+Inputs!$B$24+Inputs!$B$25)+MAX(-AE731,0)*(O731+Inputs!$B$24+Inputs!$B$25)+IF(AND(K731=1,AB731&lt;&gt;0),(Inputs!$B$17+Inputs!$B$24+Inputs!$B$25)+(O731+Inputs!$B$24+Inputs!$B$25),0)+MAX(AG731,0)*(Inputs!$B$20+Inputs!$B$26+Inputs!$B$27)+MAX(-AG731,0)*(Inputs!$B$21+Inputs!$B$26+Inputs!$B$27)</f>
        <v>0</v>
      </c>
      <c r="AK731" s="30" t="n">
        <f aca="false">AB730*(M731-AD730*J731)+AB730*AD730*(N731+Inputs!$B$14)/Inputs!$B$16-AJ731</f>
        <v>-0.000383553968241428</v>
      </c>
      <c r="AL731" s="30" t="n">
        <f aca="false">IF(AP730&lt;&gt;0,AQ730+1,0)</f>
        <v>1</v>
      </c>
      <c r="AM731" s="30" t="n">
        <f aca="false">IF(W731="",0,IF(AND(AP730&lt;&gt;0,OR(ABS(W731)&gt;Inputs!$B$7,AL731&gt;=Inputs!$B$8,ABS(W731)&lt;Inputs!$B$6)),1,0))</f>
        <v>0</v>
      </c>
      <c r="AN731" s="30" t="n">
        <f aca="false">IF(AM731=1,0,AP730)</f>
        <v>-1</v>
      </c>
      <c r="AO731" s="30" t="n">
        <f aca="false">IF(W731="",0,IF(AND(AN731=0,ABS(W731)&gt;Inputs!$B$5,ABS(W731)&lt;=Inputs!$B$7,W731&gt;0),1,0))</f>
        <v>0</v>
      </c>
      <c r="AP731" s="30" t="n">
        <f aca="false">IF(W731="",0,IF(AO731=1,-SIGN(W731),AN731))</f>
        <v>-1</v>
      </c>
      <c r="AQ731" s="30" t="n">
        <f aca="false">IF(W731="",0,IF(AO731=1,0,IF(AM731=1,0,AL731)))</f>
        <v>1</v>
      </c>
      <c r="AR731" s="29" t="n">
        <f aca="false">IF(AP731=0,0,IF(AP730=AP731,AR730,T731))</f>
        <v>1.01386853770639</v>
      </c>
      <c r="AS731" s="30" t="n">
        <f aca="false">AP731-AP730</f>
        <v>0</v>
      </c>
      <c r="AT731" s="30" t="n">
        <f aca="false">-AR731*AP731</f>
        <v>1.01386853770639</v>
      </c>
      <c r="AU731" s="30" t="n">
        <f aca="false">AT731-AT730</f>
        <v>0</v>
      </c>
      <c r="AV731" s="30" t="n">
        <f aca="false">MAX(AS731,0)*(Inputs!$B$17+Inputs!$B$18+Inputs!$B$19)+MAX(-AS731,0)*(O731+Inputs!$B$18+Inputs!$B$19)+IF(AND(K731=1,AP731&lt;&gt;0),(Inputs!$B$17+Inputs!$B$18+Inputs!$B$19)+(O731+Inputs!$B$18+Inputs!$B$19),0)+MAX(AU731,0)*(Inputs!$B$20+Inputs!$B$22+Inputs!$B$23)+MAX(-AU731,0)*(Inputs!$B$21+Inputs!$B$22+Inputs!$B$23)</f>
        <v>0</v>
      </c>
      <c r="AW731" s="30" t="n">
        <f aca="false">AP730*(M731-AR730*J731)+AP730*AR730*N731/Inputs!$B$16-AV731</f>
        <v>0.000416191453345459</v>
      </c>
      <c r="AX731" s="30" t="n">
        <f aca="false">AW731-IF(AP730&lt;&gt;0,0.75*AR730*(Inputs!$B$13-N731)/Inputs!$B$16,0)</f>
        <v>0.000152163188317752</v>
      </c>
      <c r="AY731" s="30" t="n">
        <f aca="false">MAX(AS731,0)*(Inputs!$B$17+Inputs!$B$18+Inputs!$B$19)+MAX(-AS731,0)*(O731+Inputs!$B$18+Inputs!$B$19)+IF(AND(K731=1,AP731&lt;&gt;0),(Inputs!$B$17+Inputs!$B$18+Inputs!$B$19)+(O731+Inputs!$B$18+Inputs!$B$19),0)</f>
        <v>0</v>
      </c>
      <c r="AZ731" s="30" t="n">
        <f aca="false">AP730*M731-AY731</f>
        <v>-0.00496807267401067</v>
      </c>
      <c r="BA731" s="32" t="n">
        <f aca="false">BA730+AI731</f>
        <v>0.0219037450232126</v>
      </c>
      <c r="BB731" s="30" t="n">
        <f aca="false">MAX(BB730,BA731)</f>
        <v>0.0261726191772394</v>
      </c>
      <c r="BC731" s="32" t="n">
        <f aca="false">BA731-BB731</f>
        <v>-0.0042688741540268</v>
      </c>
      <c r="BD731" s="30" t="n">
        <f aca="false">A732-A731</f>
        <v>1</v>
      </c>
    </row>
    <row r="732" customFormat="false" ht="15" hidden="false" customHeight="false" outlineLevel="0" collapsed="false">
      <c r="A732" s="28" t="n">
        <v>46120</v>
      </c>
      <c r="B732" s="0" t="n">
        <v>24085</v>
      </c>
      <c r="C732" s="0" t="n">
        <v>271.99</v>
      </c>
      <c r="D732" s="29" t="n">
        <f aca="false">LN(B732)</f>
        <v>10.0893445190643</v>
      </c>
      <c r="E732" s="29" t="n">
        <f aca="false">LN(C732)</f>
        <v>5.60576530091428</v>
      </c>
      <c r="F732" s="0" t="n">
        <v>727</v>
      </c>
      <c r="G732" s="0" t="n">
        <v>20</v>
      </c>
      <c r="H732" s="29" t="n">
        <f aca="false">D732-E732</f>
        <v>4.48357921815004</v>
      </c>
      <c r="I732" s="29" t="n">
        <f aca="false">D732-D731</f>
        <v>0.0389467212135717</v>
      </c>
      <c r="J732" s="29" t="n">
        <f aca="false">E732-E731</f>
        <v>0.0387957878212646</v>
      </c>
      <c r="K732" s="0" t="n">
        <v>0</v>
      </c>
      <c r="L732" s="0" t="n">
        <v>0</v>
      </c>
      <c r="M732" s="29" t="n">
        <f aca="false">IF(L732=1,J732-Carry!$B$9/Inputs!$B$16,I732)</f>
        <v>0.0389467212135717</v>
      </c>
      <c r="N732" s="0" t="n">
        <v>0.0525</v>
      </c>
      <c r="O732" s="0" t="n">
        <v>0.0005</v>
      </c>
      <c r="P732" s="29" t="n">
        <f aca="false">D732-('2 Hedge ratio'!$B$6+'2 Hedge ratio'!$B$5*E732)</f>
        <v>-0.00806716050818501</v>
      </c>
      <c r="Q732" s="29" t="n">
        <f aca="false">D732-('5 Re-specification'!$B$7+'5 Re-specification'!$B$5*E732+'5 Re-specification'!$B$6*F732)</f>
        <v>0.0020300833217064</v>
      </c>
      <c r="R732" s="30" t="n">
        <f aca="false">MIN(F732,Inputs!$B$9)</f>
        <v>250</v>
      </c>
      <c r="S732" s="29" t="n">
        <f aca="true">IF(AND(F732&gt;=1,R732&gt;=Inputs!$B$10),INDEX(LINEST(OFFSET(D732,-R732,0,R732,1),OFFSET(E732,-R732,0,R732,2)),1,1),"")</f>
        <v>-5.80391926423545E-005</v>
      </c>
      <c r="T732" s="29" t="n">
        <f aca="true">IF(AND(F732&gt;=1,R732&gt;=Inputs!$B$10),INDEX(LINEST(OFFSET(D732,-R732,0,R732,1),OFFSET(E732,-R732,0,R732,2)),1,2),"")</f>
        <v>1.01207505176417</v>
      </c>
      <c r="U732" s="29" t="n">
        <f aca="true">IF(AND(F732&gt;=1,R732&gt;=Inputs!$B$10),INDEX(LINEST(OFFSET(D732,-R732,0,R732,1),OFFSET(E732,-R732,0,R732,2)),1,3),"")</f>
        <v>4.45393221617151</v>
      </c>
      <c r="V732" s="29" t="n">
        <f aca="true">IF(AND(F732&gt;=1,R732&gt;=Inputs!$B$10),SQRT(SUMPRODUCT((OFFSET(D732,-R732,0,R732,1)-U732-T732*OFFSET(E732,-R732,0,R732,1)-S732*OFFSET(F732,-R732,0,R732,1))^2)/(R732-3)),"")</f>
        <v>0.00244891649575678</v>
      </c>
      <c r="W732" s="31" t="n">
        <f aca="false">IF(AND(F732&gt;=1,R732&gt;=Inputs!$B$10),(D732-U732-T732*E732-S732*F732)/V732,"")</f>
        <v>1.69527578844573</v>
      </c>
      <c r="X732" s="30" t="n">
        <f aca="false">IF(AB731&lt;&gt;0,AC731+1,0)</f>
        <v>5</v>
      </c>
      <c r="Y732" s="30" t="n">
        <f aca="false">IF(W732="",0,IF(AND(AB731&lt;&gt;0,OR(ABS(W732)&gt;Inputs!$B$7,X732&gt;=Inputs!$B$8,ABS(W732)&lt;Inputs!$B$6)),1,0))</f>
        <v>0</v>
      </c>
      <c r="Z732" s="30" t="n">
        <f aca="false">IF(Y732=1,0,AB731)</f>
        <v>1</v>
      </c>
      <c r="AA732" s="30" t="n">
        <f aca="false">IF(W732="",0,IF(AND(Z732=0,ABS(W732)&gt;Inputs!$B$5,ABS(W732)&lt;=Inputs!$B$7),1,0))</f>
        <v>0</v>
      </c>
      <c r="AB732" s="30" t="n">
        <f aca="false">IF(W732="",0,IF(AA732=1,-SIGN(W732),Z732))</f>
        <v>1</v>
      </c>
      <c r="AC732" s="30" t="n">
        <f aca="false">IF(W732="",0,IF(AA732=1,0,IF(Y732=1,0,X732)))</f>
        <v>5</v>
      </c>
      <c r="AD732" s="29" t="n">
        <f aca="false">IF(AB732=0,0,IF(AB731=AB732,AD731,T732))</f>
        <v>1.01340216857733</v>
      </c>
      <c r="AE732" s="30" t="n">
        <f aca="false">AB732-AB731</f>
        <v>0</v>
      </c>
      <c r="AF732" s="30" t="n">
        <f aca="false">-AD732*AB732</f>
        <v>-1.01340216857733</v>
      </c>
      <c r="AG732" s="30" t="n">
        <f aca="false">AF732-AF731</f>
        <v>0</v>
      </c>
      <c r="AH732" s="30" t="n">
        <f aca="false">MAX(AE732,0)*(Inputs!$B$17+Inputs!$B$18+Inputs!$B$19)+MAX(-AE732,0)*(O732+Inputs!$B$18+Inputs!$B$19)+IF(AND(K732=1,AB732&lt;&gt;0),(Inputs!$B$17+Inputs!$B$18+Inputs!$B$19)+(O732+Inputs!$B$18+Inputs!$B$19),0)+MAX(AG732,0)*(Inputs!$B$20+Inputs!$B$22+Inputs!$B$23)+MAX(-AG732,0)*(Inputs!$B$21+Inputs!$B$22+Inputs!$B$23)</f>
        <v>0</v>
      </c>
      <c r="AI732" s="30" t="n">
        <f aca="false">AB731*(M732-AD731*J732)+AB731*AD731*N732/Inputs!$B$16-AH732</f>
        <v>-0.000157888844376824</v>
      </c>
      <c r="AJ732" s="30" t="n">
        <f aca="false">MAX(AE732,0)*(Inputs!$B$17+Inputs!$B$24+Inputs!$B$25)+MAX(-AE732,0)*(O732+Inputs!$B$24+Inputs!$B$25)+IF(AND(K732=1,AB732&lt;&gt;0),(Inputs!$B$17+Inputs!$B$24+Inputs!$B$25)+(O732+Inputs!$B$24+Inputs!$B$25),0)+MAX(AG732,0)*(Inputs!$B$20+Inputs!$B$26+Inputs!$B$27)+MAX(-AG732,0)*(Inputs!$B$21+Inputs!$B$26+Inputs!$B$27)</f>
        <v>0</v>
      </c>
      <c r="AK732" s="30" t="n">
        <f aca="false">AB731*(M732-AD731*J732)+AB731*AD731*(N732+Inputs!$B$14)/Inputs!$B$16-AJ732</f>
        <v>-0.000127728065550118</v>
      </c>
      <c r="AL732" s="30" t="n">
        <f aca="false">IF(AP731&lt;&gt;0,AQ731+1,0)</f>
        <v>2</v>
      </c>
      <c r="AM732" s="30" t="n">
        <f aca="false">IF(W732="",0,IF(AND(AP731&lt;&gt;0,OR(ABS(W732)&gt;Inputs!$B$7,AL732&gt;=Inputs!$B$8,ABS(W732)&lt;Inputs!$B$6)),1,0))</f>
        <v>0</v>
      </c>
      <c r="AN732" s="30" t="n">
        <f aca="false">IF(AM732=1,0,AP731)</f>
        <v>-1</v>
      </c>
      <c r="AO732" s="30" t="n">
        <f aca="false">IF(W732="",0,IF(AND(AN732=0,ABS(W732)&gt;Inputs!$B$5,ABS(W732)&lt;=Inputs!$B$7,W732&gt;0),1,0))</f>
        <v>0</v>
      </c>
      <c r="AP732" s="30" t="n">
        <f aca="false">IF(W732="",0,IF(AO732=1,-SIGN(W732),AN732))</f>
        <v>-1</v>
      </c>
      <c r="AQ732" s="30" t="n">
        <f aca="false">IF(W732="",0,IF(AO732=1,0,IF(AM732=1,0,AL732)))</f>
        <v>2</v>
      </c>
      <c r="AR732" s="29" t="n">
        <f aca="false">IF(AP732=0,0,IF(AP731=AP732,AR731,T732))</f>
        <v>1.01386853770639</v>
      </c>
      <c r="AS732" s="30" t="n">
        <f aca="false">AP732-AP731</f>
        <v>0</v>
      </c>
      <c r="AT732" s="30" t="n">
        <f aca="false">-AR732*AP732</f>
        <v>1.01386853770639</v>
      </c>
      <c r="AU732" s="30" t="n">
        <f aca="false">AT732-AT731</f>
        <v>0</v>
      </c>
      <c r="AV732" s="30" t="n">
        <f aca="false">MAX(AS732,0)*(Inputs!$B$17+Inputs!$B$18+Inputs!$B$19)+MAX(-AS732,0)*(O732+Inputs!$B$18+Inputs!$B$19)+IF(AND(K732=1,AP732&lt;&gt;0),(Inputs!$B$17+Inputs!$B$18+Inputs!$B$19)+(O732+Inputs!$B$18+Inputs!$B$19),0)+MAX(AU732,0)*(Inputs!$B$20+Inputs!$B$22+Inputs!$B$23)+MAX(-AU732,0)*(Inputs!$B$21+Inputs!$B$22+Inputs!$B$23)</f>
        <v>0</v>
      </c>
      <c r="AW732" s="30" t="n">
        <f aca="false">AP731*(M732-AR731*J732)+AP731*AR731*N732/Inputs!$B$16-AV732</f>
        <v>0.000175884841919106</v>
      </c>
      <c r="AX732" s="30" t="n">
        <f aca="false">AW732-IF(AP731&lt;&gt;0,0.75*AR731*(Inputs!$B$13-N732)/Inputs!$B$16,0)</f>
        <v>-8.81434231085999E-005</v>
      </c>
      <c r="AY732" s="30" t="n">
        <f aca="false">MAX(AS732,0)*(Inputs!$B$17+Inputs!$B$18+Inputs!$B$19)+MAX(-AS732,0)*(O732+Inputs!$B$18+Inputs!$B$19)+IF(AND(K732=1,AP732&lt;&gt;0),(Inputs!$B$17+Inputs!$B$18+Inputs!$B$19)+(O732+Inputs!$B$18+Inputs!$B$19),0)</f>
        <v>0</v>
      </c>
      <c r="AZ732" s="30" t="n">
        <f aca="false">AP731*M732-AY732</f>
        <v>-0.0389467212135717</v>
      </c>
      <c r="BA732" s="32" t="n">
        <f aca="false">BA731+AI732</f>
        <v>0.0217458561788358</v>
      </c>
      <c r="BB732" s="30" t="n">
        <f aca="false">MAX(BB731,BA732)</f>
        <v>0.0261726191772394</v>
      </c>
      <c r="BC732" s="32" t="n">
        <f aca="false">BA732-BB732</f>
        <v>-0.00442676299840362</v>
      </c>
      <c r="BD732" s="30" t="n">
        <f aca="false">A733-A732</f>
        <v>1</v>
      </c>
    </row>
    <row r="733" customFormat="false" ht="15" hidden="false" customHeight="false" outlineLevel="0" collapsed="false">
      <c r="A733" s="28" t="n">
        <v>46121</v>
      </c>
      <c r="B733" s="0" t="n">
        <v>23860.3</v>
      </c>
      <c r="C733" s="0" t="n">
        <v>269.7</v>
      </c>
      <c r="D733" s="29" t="n">
        <f aca="false">LN(B733)</f>
        <v>10.0799712689174</v>
      </c>
      <c r="E733" s="29" t="n">
        <f aca="false">LN(C733)</f>
        <v>5.59731023014568</v>
      </c>
      <c r="F733" s="0" t="n">
        <v>728</v>
      </c>
      <c r="G733" s="0" t="n">
        <v>19</v>
      </c>
      <c r="H733" s="29" t="n">
        <f aca="false">D733-E733</f>
        <v>4.48266103877169</v>
      </c>
      <c r="I733" s="29" t="n">
        <f aca="false">D733-D732</f>
        <v>-0.00937325014694856</v>
      </c>
      <c r="J733" s="29" t="n">
        <f aca="false">E733-E732</f>
        <v>-0.00845507076859242</v>
      </c>
      <c r="K733" s="0" t="n">
        <v>0</v>
      </c>
      <c r="L733" s="0" t="n">
        <v>0</v>
      </c>
      <c r="M733" s="29" t="n">
        <f aca="false">IF(L733=1,J733-Carry!$B$9/Inputs!$B$16,I733)</f>
        <v>-0.00937325014694856</v>
      </c>
      <c r="N733" s="0" t="n">
        <v>0.0525</v>
      </c>
      <c r="O733" s="0" t="n">
        <v>0.0005</v>
      </c>
      <c r="P733" s="29" t="n">
        <f aca="false">D733-('2 Hedge ratio'!$B$6+'2 Hedge ratio'!$B$5*E733)</f>
        <v>-0.00969449407270062</v>
      </c>
      <c r="Q733" s="29" t="n">
        <f aca="false">D733-('5 Re-specification'!$B$7+'5 Re-specification'!$B$5*E733+'5 Re-specification'!$B$6*F733)</f>
        <v>0.00113121016930506</v>
      </c>
      <c r="R733" s="30" t="n">
        <f aca="false">MIN(F733,Inputs!$B$9)</f>
        <v>250</v>
      </c>
      <c r="S733" s="29" t="n">
        <f aca="true">IF(AND(F733&gt;=1,R733&gt;=Inputs!$B$10),INDEX(LINEST(OFFSET(D733,-R733,0,R733,1),OFFSET(E733,-R733,0,R733,2)),1,1),"")</f>
        <v>-5.74122227555741E-005</v>
      </c>
      <c r="T733" s="29" t="n">
        <f aca="true">IF(AND(F733&gt;=1,R733&gt;=Inputs!$B$10),INDEX(LINEST(OFFSET(D733,-R733,0,R733,1),OFFSET(E733,-R733,0,R733,2)),1,2),"")</f>
        <v>1.01163488385573</v>
      </c>
      <c r="U733" s="29" t="n">
        <f aca="true">IF(AND(F733&gt;=1,R733&gt;=Inputs!$B$10),INDEX(LINEST(OFFSET(D733,-R733,0,R733,1),OFFSET(E733,-R733,0,R733,2)),1,3),"")</f>
        <v>4.45604779605015</v>
      </c>
      <c r="V733" s="29" t="n">
        <f aca="true">IF(AND(F733&gt;=1,R733&gt;=Inputs!$B$10),SQRT(SUMPRODUCT((OFFSET(D733,-R733,0,R733,1)-U733-T733*OFFSET(E733,-R733,0,R733,1)-S733*OFFSET(F733,-R733,0,R733,1))^2)/(R733-3)),"")</f>
        <v>0.00246033521358242</v>
      </c>
      <c r="W733" s="31" t="n">
        <f aca="false">IF(AND(F733&gt;=1,R733&gt;=Inputs!$B$10),(D733-U733-T733*E733-S733*F733)/V733,"")</f>
        <v>1.3353003433021</v>
      </c>
      <c r="X733" s="30" t="n">
        <f aca="false">IF(AB732&lt;&gt;0,AC732+1,0)</f>
        <v>6</v>
      </c>
      <c r="Y733" s="30" t="n">
        <f aca="false">IF(W733="",0,IF(AND(AB732&lt;&gt;0,OR(ABS(W733)&gt;Inputs!$B$7,X733&gt;=Inputs!$B$8,ABS(W733)&lt;Inputs!$B$6)),1,0))</f>
        <v>0</v>
      </c>
      <c r="Z733" s="30" t="n">
        <f aca="false">IF(Y733=1,0,AB732)</f>
        <v>1</v>
      </c>
      <c r="AA733" s="30" t="n">
        <f aca="false">IF(W733="",0,IF(AND(Z733=0,ABS(W733)&gt;Inputs!$B$5,ABS(W733)&lt;=Inputs!$B$7),1,0))</f>
        <v>0</v>
      </c>
      <c r="AB733" s="30" t="n">
        <f aca="false">IF(W733="",0,IF(AA733=1,-SIGN(W733),Z733))</f>
        <v>1</v>
      </c>
      <c r="AC733" s="30" t="n">
        <f aca="false">IF(W733="",0,IF(AA733=1,0,IF(Y733=1,0,X733)))</f>
        <v>6</v>
      </c>
      <c r="AD733" s="29" t="n">
        <f aca="false">IF(AB733=0,0,IF(AB732=AB733,AD732,T733))</f>
        <v>1.01340216857733</v>
      </c>
      <c r="AE733" s="30" t="n">
        <f aca="false">AB733-AB732</f>
        <v>0</v>
      </c>
      <c r="AF733" s="30" t="n">
        <f aca="false">-AD733*AB733</f>
        <v>-1.01340216857733</v>
      </c>
      <c r="AG733" s="30" t="n">
        <f aca="false">AF733-AF732</f>
        <v>0</v>
      </c>
      <c r="AH733" s="30" t="n">
        <f aca="false">MAX(AE733,0)*(Inputs!$B$17+Inputs!$B$18+Inputs!$B$19)+MAX(-AE733,0)*(O733+Inputs!$B$18+Inputs!$B$19)+IF(AND(K733=1,AB733&lt;&gt;0),(Inputs!$B$17+Inputs!$B$18+Inputs!$B$19)+(O733+Inputs!$B$18+Inputs!$B$19),0)+MAX(AG733,0)*(Inputs!$B$20+Inputs!$B$22+Inputs!$B$23)+MAX(-AG733,0)*(Inputs!$B$21+Inputs!$B$22+Inputs!$B$23)</f>
        <v>0</v>
      </c>
      <c r="AI733" s="30" t="n">
        <f aca="false">AB732*(M733-AD732*J733)+AB732*AD732*N733/Inputs!$B$16-AH733</f>
        <v>-0.00059373764279528</v>
      </c>
      <c r="AJ733" s="30" t="n">
        <f aca="false">MAX(AE733,0)*(Inputs!$B$17+Inputs!$B$24+Inputs!$B$25)+MAX(-AE733,0)*(O733+Inputs!$B$24+Inputs!$B$25)+IF(AND(K733=1,AB733&lt;&gt;0),(Inputs!$B$17+Inputs!$B$24+Inputs!$B$25)+(O733+Inputs!$B$24+Inputs!$B$25),0)+MAX(AG733,0)*(Inputs!$B$20+Inputs!$B$26+Inputs!$B$27)+MAX(-AG733,0)*(Inputs!$B$21+Inputs!$B$26+Inputs!$B$27)</f>
        <v>0</v>
      </c>
      <c r="AK733" s="30" t="n">
        <f aca="false">AB732*(M733-AD732*J733)+AB732*AD732*(N733+Inputs!$B$14)/Inputs!$B$16-AJ733</f>
        <v>-0.000563576863968574</v>
      </c>
      <c r="AL733" s="30" t="n">
        <f aca="false">IF(AP732&lt;&gt;0,AQ732+1,0)</f>
        <v>3</v>
      </c>
      <c r="AM733" s="30" t="n">
        <f aca="false">IF(W733="",0,IF(AND(AP732&lt;&gt;0,OR(ABS(W733)&gt;Inputs!$B$7,AL733&gt;=Inputs!$B$8,ABS(W733)&lt;Inputs!$B$6)),1,0))</f>
        <v>0</v>
      </c>
      <c r="AN733" s="30" t="n">
        <f aca="false">IF(AM733=1,0,AP732)</f>
        <v>-1</v>
      </c>
      <c r="AO733" s="30" t="n">
        <f aca="false">IF(W733="",0,IF(AND(AN733=0,ABS(W733)&gt;Inputs!$B$5,ABS(W733)&lt;=Inputs!$B$7,W733&gt;0),1,0))</f>
        <v>0</v>
      </c>
      <c r="AP733" s="30" t="n">
        <f aca="false">IF(W733="",0,IF(AO733=1,-SIGN(W733),AN733))</f>
        <v>-1</v>
      </c>
      <c r="AQ733" s="30" t="n">
        <f aca="false">IF(W733="",0,IF(AO733=1,0,IF(AM733=1,0,AL733)))</f>
        <v>3</v>
      </c>
      <c r="AR733" s="29" t="n">
        <f aca="false">IF(AP733=0,0,IF(AP732=AP733,AR732,T733))</f>
        <v>1.01386853770639</v>
      </c>
      <c r="AS733" s="30" t="n">
        <f aca="false">AP733-AP732</f>
        <v>0</v>
      </c>
      <c r="AT733" s="30" t="n">
        <f aca="false">-AR733*AP733</f>
        <v>1.01386853770639</v>
      </c>
      <c r="AU733" s="30" t="n">
        <f aca="false">AT733-AT732</f>
        <v>0</v>
      </c>
      <c r="AV733" s="30" t="n">
        <f aca="false">MAX(AS733,0)*(Inputs!$B$17+Inputs!$B$18+Inputs!$B$19)+MAX(-AS733,0)*(O733+Inputs!$B$18+Inputs!$B$19)+IF(AND(K733=1,AP733&lt;&gt;0),(Inputs!$B$17+Inputs!$B$18+Inputs!$B$19)+(O733+Inputs!$B$18+Inputs!$B$19),0)+MAX(AU733,0)*(Inputs!$B$20+Inputs!$B$22+Inputs!$B$23)+MAX(-AU733,0)*(Inputs!$B$21+Inputs!$B$22+Inputs!$B$23)</f>
        <v>0</v>
      </c>
      <c r="AW733" s="30" t="n">
        <f aca="false">AP732*(M733-AR732*J733)+AP732*AR732*N733/Inputs!$B$16-AV733</f>
        <v>0.000589697298569547</v>
      </c>
      <c r="AX733" s="30" t="n">
        <f aca="false">AW733-IF(AP732&lt;&gt;0,0.75*AR732*(Inputs!$B$13-N733)/Inputs!$B$16,0)</f>
        <v>0.000325669033541841</v>
      </c>
      <c r="AY733" s="30" t="n">
        <f aca="false">MAX(AS733,0)*(Inputs!$B$17+Inputs!$B$18+Inputs!$B$19)+MAX(-AS733,0)*(O733+Inputs!$B$18+Inputs!$B$19)+IF(AND(K733=1,AP733&lt;&gt;0),(Inputs!$B$17+Inputs!$B$18+Inputs!$B$19)+(O733+Inputs!$B$18+Inputs!$B$19),0)</f>
        <v>0</v>
      </c>
      <c r="AZ733" s="30" t="n">
        <f aca="false">AP732*M733-AY733</f>
        <v>0.00937325014694856</v>
      </c>
      <c r="BA733" s="32" t="n">
        <f aca="false">BA732+AI733</f>
        <v>0.0211521185360405</v>
      </c>
      <c r="BB733" s="30" t="n">
        <f aca="false">MAX(BB732,BA733)</f>
        <v>0.0261726191772394</v>
      </c>
      <c r="BC733" s="32" t="n">
        <f aca="false">BA733-BB733</f>
        <v>-0.0050205006411989</v>
      </c>
      <c r="BD733" s="30" t="n">
        <f aca="false">A734-A733</f>
        <v>1</v>
      </c>
    </row>
    <row r="734" customFormat="false" ht="15" hidden="false" customHeight="false" outlineLevel="0" collapsed="false">
      <c r="A734" s="28" t="n">
        <v>46122</v>
      </c>
      <c r="B734" s="0" t="n">
        <v>24106.2</v>
      </c>
      <c r="C734" s="0" t="n">
        <v>272.15</v>
      </c>
      <c r="D734" s="29" t="n">
        <f aca="false">LN(B734)</f>
        <v>10.0902243478035</v>
      </c>
      <c r="E734" s="29" t="n">
        <f aca="false">LN(C734)</f>
        <v>5.60635338488021</v>
      </c>
      <c r="F734" s="0" t="n">
        <v>729</v>
      </c>
      <c r="G734" s="0" t="n">
        <v>18</v>
      </c>
      <c r="H734" s="29" t="n">
        <f aca="false">D734-E734</f>
        <v>4.48387096292328</v>
      </c>
      <c r="I734" s="29" t="n">
        <f aca="false">D734-D733</f>
        <v>0.0102530788861195</v>
      </c>
      <c r="J734" s="29" t="n">
        <f aca="false">E734-E733</f>
        <v>0.00904315473452488</v>
      </c>
      <c r="K734" s="0" t="n">
        <v>0</v>
      </c>
      <c r="L734" s="0" t="n">
        <v>0</v>
      </c>
      <c r="M734" s="29" t="n">
        <f aca="false">IF(L734=1,J734-Carry!$B$9/Inputs!$B$16,I734)</f>
        <v>0.0102530788861195</v>
      </c>
      <c r="N734" s="0" t="n">
        <v>0.0525</v>
      </c>
      <c r="O734" s="0" t="n">
        <v>0.0005</v>
      </c>
      <c r="P734" s="29" t="n">
        <f aca="false">D734-('2 Hedge ratio'!$B$6+'2 Hedge ratio'!$B$5*E734)</f>
        <v>-0.00772609122688728</v>
      </c>
      <c r="Q734" s="29" t="n">
        <f aca="false">D734-('5 Re-specification'!$B$7+'5 Re-specification'!$B$5*E734+'5 Re-specification'!$B$6*F734)</f>
        <v>0.00241346891960959</v>
      </c>
      <c r="R734" s="30" t="n">
        <f aca="false">MIN(F734,Inputs!$B$9)</f>
        <v>250</v>
      </c>
      <c r="S734" s="29" t="n">
        <f aca="true">IF(AND(F734&gt;=1,R734&gt;=Inputs!$B$10),INDEX(LINEST(OFFSET(D734,-R734,0,R734,1),OFFSET(E734,-R734,0,R734,2)),1,1),"")</f>
        <v>-5.7040933268779E-005</v>
      </c>
      <c r="T734" s="29" t="n">
        <f aca="true">IF(AND(F734&gt;=1,R734&gt;=Inputs!$B$10),INDEX(LINEST(OFFSET(D734,-R734,0,R734,1),OFFSET(E734,-R734,0,R734,2)),1,2),"")</f>
        <v>1.01084976698023</v>
      </c>
      <c r="U734" s="29" t="n">
        <f aca="true">IF(AND(F734&gt;=1,R734&gt;=Inputs!$B$10),INDEX(LINEST(OFFSET(D734,-R734,0,R734,1),OFFSET(E734,-R734,0,R734,2)),1,3),"")</f>
        <v>4.46026890725751</v>
      </c>
      <c r="V734" s="29" t="n">
        <f aca="true">IF(AND(F734&gt;=1,R734&gt;=Inputs!$B$10),SQRT(SUMPRODUCT((OFFSET(D734,-R734,0,R734,1)-U734-T734*OFFSET(E734,-R734,0,R734,1)-S734*OFFSET(F734,-R734,0,R734,1))^2)/(R734-3)),"")</f>
        <v>0.00246869417797718</v>
      </c>
      <c r="W734" s="31" t="n">
        <f aca="false">IF(AND(F734&gt;=1,R734&gt;=Inputs!$B$10),(D734-U734-T734*E734-S734*F734)/V734,"")</f>
        <v>1.76500930038999</v>
      </c>
      <c r="X734" s="30" t="n">
        <f aca="false">IF(AB733&lt;&gt;0,AC733+1,0)</f>
        <v>7</v>
      </c>
      <c r="Y734" s="30" t="n">
        <f aca="false">IF(W734="",0,IF(AND(AB733&lt;&gt;0,OR(ABS(W734)&gt;Inputs!$B$7,X734&gt;=Inputs!$B$8,ABS(W734)&lt;Inputs!$B$6)),1,0))</f>
        <v>0</v>
      </c>
      <c r="Z734" s="30" t="n">
        <f aca="false">IF(Y734=1,0,AB733)</f>
        <v>1</v>
      </c>
      <c r="AA734" s="30" t="n">
        <f aca="false">IF(W734="",0,IF(AND(Z734=0,ABS(W734)&gt;Inputs!$B$5,ABS(W734)&lt;=Inputs!$B$7),1,0))</f>
        <v>0</v>
      </c>
      <c r="AB734" s="30" t="n">
        <f aca="false">IF(W734="",0,IF(AA734=1,-SIGN(W734),Z734))</f>
        <v>1</v>
      </c>
      <c r="AC734" s="30" t="n">
        <f aca="false">IF(W734="",0,IF(AA734=1,0,IF(Y734=1,0,X734)))</f>
        <v>7</v>
      </c>
      <c r="AD734" s="29" t="n">
        <f aca="false">IF(AB734=0,0,IF(AB733=AB734,AD733,T734))</f>
        <v>1.01340216857733</v>
      </c>
      <c r="AE734" s="30" t="n">
        <f aca="false">AB734-AB733</f>
        <v>0</v>
      </c>
      <c r="AF734" s="30" t="n">
        <f aca="false">-AD734*AB734</f>
        <v>-1.01340216857733</v>
      </c>
      <c r="AG734" s="30" t="n">
        <f aca="false">AF734-AF733</f>
        <v>0</v>
      </c>
      <c r="AH734" s="30" t="n">
        <f aca="false">MAX(AE734,0)*(Inputs!$B$17+Inputs!$B$18+Inputs!$B$19)+MAX(-AE734,0)*(O734+Inputs!$B$18+Inputs!$B$19)+IF(AND(K734=1,AB734&lt;&gt;0),(Inputs!$B$17+Inputs!$B$18+Inputs!$B$19)+(O734+Inputs!$B$18+Inputs!$B$19),0)+MAX(AG734,0)*(Inputs!$B$20+Inputs!$B$22+Inputs!$B$23)+MAX(-AG734,0)*(Inputs!$B$21+Inputs!$B$22+Inputs!$B$23)</f>
        <v>0</v>
      </c>
      <c r="AI734" s="30" t="n">
        <f aca="false">AB733*(M734-AD733*J734)+AB733*AD733*N734/Inputs!$B$16-AH734</f>
        <v>0.00129985171915857</v>
      </c>
      <c r="AJ734" s="30" t="n">
        <f aca="false">MAX(AE734,0)*(Inputs!$B$17+Inputs!$B$24+Inputs!$B$25)+MAX(-AE734,0)*(O734+Inputs!$B$24+Inputs!$B$25)+IF(AND(K734=1,AB734&lt;&gt;0),(Inputs!$B$17+Inputs!$B$24+Inputs!$B$25)+(O734+Inputs!$B$24+Inputs!$B$25),0)+MAX(AG734,0)*(Inputs!$B$20+Inputs!$B$26+Inputs!$B$27)+MAX(-AG734,0)*(Inputs!$B$21+Inputs!$B$26+Inputs!$B$27)</f>
        <v>0</v>
      </c>
      <c r="AK734" s="30" t="n">
        <f aca="false">AB733*(M734-AD733*J734)+AB733*AD733*(N734+Inputs!$B$14)/Inputs!$B$16-AJ734</f>
        <v>0.00133001249798528</v>
      </c>
      <c r="AL734" s="30" t="n">
        <f aca="false">IF(AP733&lt;&gt;0,AQ733+1,0)</f>
        <v>4</v>
      </c>
      <c r="AM734" s="30" t="n">
        <f aca="false">IF(W734="",0,IF(AND(AP733&lt;&gt;0,OR(ABS(W734)&gt;Inputs!$B$7,AL734&gt;=Inputs!$B$8,ABS(W734)&lt;Inputs!$B$6)),1,0))</f>
        <v>0</v>
      </c>
      <c r="AN734" s="30" t="n">
        <f aca="false">IF(AM734=1,0,AP733)</f>
        <v>-1</v>
      </c>
      <c r="AO734" s="30" t="n">
        <f aca="false">IF(W734="",0,IF(AND(AN734=0,ABS(W734)&gt;Inputs!$B$5,ABS(W734)&lt;=Inputs!$B$7,W734&gt;0),1,0))</f>
        <v>0</v>
      </c>
      <c r="AP734" s="30" t="n">
        <f aca="false">IF(W734="",0,IF(AO734=1,-SIGN(W734),AN734))</f>
        <v>-1</v>
      </c>
      <c r="AQ734" s="30" t="n">
        <f aca="false">IF(W734="",0,IF(AO734=1,0,IF(AM734=1,0,AL734)))</f>
        <v>4</v>
      </c>
      <c r="AR734" s="29" t="n">
        <f aca="false">IF(AP734=0,0,IF(AP733=AP734,AR733,T734))</f>
        <v>1.01386853770639</v>
      </c>
      <c r="AS734" s="30" t="n">
        <f aca="false">AP734-AP733</f>
        <v>0</v>
      </c>
      <c r="AT734" s="30" t="n">
        <f aca="false">-AR734*AP734</f>
        <v>1.01386853770639</v>
      </c>
      <c r="AU734" s="30" t="n">
        <f aca="false">AT734-AT733</f>
        <v>0</v>
      </c>
      <c r="AV734" s="30" t="n">
        <f aca="false">MAX(AS734,0)*(Inputs!$B$17+Inputs!$B$18+Inputs!$B$19)+MAX(-AS734,0)*(O734+Inputs!$B$18+Inputs!$B$19)+IF(AND(K734=1,AP734&lt;&gt;0),(Inputs!$B$17+Inputs!$B$18+Inputs!$B$19)+(O734+Inputs!$B$18+Inputs!$B$19),0)+MAX(AU734,0)*(Inputs!$B$20+Inputs!$B$22+Inputs!$B$23)+MAX(-AU734,0)*(Inputs!$B$21+Inputs!$B$22+Inputs!$B$23)</f>
        <v>0</v>
      </c>
      <c r="AW734" s="30" t="n">
        <f aca="false">AP733*(M734-AR733*J734)+AP733*AR733*N734/Inputs!$B$16-AV734</f>
        <v>-0.00129573143119627</v>
      </c>
      <c r="AX734" s="30" t="n">
        <f aca="false">AW734-IF(AP733&lt;&gt;0,0.75*AR733*(Inputs!$B$13-N734)/Inputs!$B$16,0)</f>
        <v>-0.00155975969622398</v>
      </c>
      <c r="AY734" s="30" t="n">
        <f aca="false">MAX(AS734,0)*(Inputs!$B$17+Inputs!$B$18+Inputs!$B$19)+MAX(-AS734,0)*(O734+Inputs!$B$18+Inputs!$B$19)+IF(AND(K734=1,AP734&lt;&gt;0),(Inputs!$B$17+Inputs!$B$18+Inputs!$B$19)+(O734+Inputs!$B$18+Inputs!$B$19),0)</f>
        <v>0</v>
      </c>
      <c r="AZ734" s="30" t="n">
        <f aca="false">AP733*M734-AY734</f>
        <v>-0.0102530788861195</v>
      </c>
      <c r="BA734" s="32" t="n">
        <f aca="false">BA733+AI734</f>
        <v>0.0224519702551991</v>
      </c>
      <c r="BB734" s="30" t="n">
        <f aca="false">MAX(BB733,BA734)</f>
        <v>0.0261726191772394</v>
      </c>
      <c r="BC734" s="32" t="n">
        <f aca="false">BA734-BB734</f>
        <v>-0.00372064892204033</v>
      </c>
      <c r="BD734" s="30" t="n">
        <f aca="false">A735-A734</f>
        <v>3</v>
      </c>
    </row>
    <row r="735" customFormat="false" ht="15" hidden="false" customHeight="false" outlineLevel="0" collapsed="false">
      <c r="A735" s="28" t="n">
        <v>46125</v>
      </c>
      <c r="B735" s="0" t="n">
        <v>23850</v>
      </c>
      <c r="C735" s="0" t="n">
        <v>269.34</v>
      </c>
      <c r="D735" s="29" t="n">
        <f aca="false">LN(B735)</f>
        <v>10.0795394963165</v>
      </c>
      <c r="E735" s="29" t="n">
        <f aca="false">LN(C735)</f>
        <v>5.5959745220219</v>
      </c>
      <c r="F735" s="0" t="n">
        <v>730</v>
      </c>
      <c r="G735" s="0" t="n">
        <v>15</v>
      </c>
      <c r="H735" s="29" t="n">
        <f aca="false">D735-E735</f>
        <v>4.48356497429459</v>
      </c>
      <c r="I735" s="29" t="n">
        <f aca="false">D735-D734</f>
        <v>-0.0106848514870048</v>
      </c>
      <c r="J735" s="29" t="n">
        <f aca="false">E735-E734</f>
        <v>-0.010378862858313</v>
      </c>
      <c r="K735" s="0" t="n">
        <v>0</v>
      </c>
      <c r="L735" s="0" t="n">
        <v>0</v>
      </c>
      <c r="M735" s="29" t="n">
        <f aca="false">IF(L735=1,J735-Carry!$B$9/Inputs!$B$16,I735)</f>
        <v>-0.0106848514870048</v>
      </c>
      <c r="N735" s="0" t="n">
        <v>0.0525</v>
      </c>
      <c r="O735" s="0" t="n">
        <v>0.0005</v>
      </c>
      <c r="P735" s="29" t="n">
        <f aca="false">D735-('2 Hedge ratio'!$B$6+'2 Hedge ratio'!$B$5*E735)</f>
        <v>-0.00890258871883987</v>
      </c>
      <c r="Q735" s="29" t="n">
        <f aca="false">D735-('5 Re-specification'!$B$7+'5 Re-specification'!$B$5*E735+'5 Re-specification'!$B$6*F735)</f>
        <v>0.0021209564649034</v>
      </c>
      <c r="R735" s="30" t="n">
        <f aca="false">MIN(F735,Inputs!$B$9)</f>
        <v>250</v>
      </c>
      <c r="S735" s="29" t="n">
        <f aca="true">IF(AND(F735&gt;=1,R735&gt;=Inputs!$B$10),INDEX(LINEST(OFFSET(D735,-R735,0,R735,1),OFFSET(E735,-R735,0,R735,2)),1,1),"")</f>
        <v>-5.67991654413792E-005</v>
      </c>
      <c r="T735" s="29" t="n">
        <f aca="true">IF(AND(F735&gt;=1,R735&gt;=Inputs!$B$10),INDEX(LINEST(OFFSET(D735,-R735,0,R735,1),OFFSET(E735,-R735,0,R735,2)),1,2),"")</f>
        <v>1.0090699642097</v>
      </c>
      <c r="U735" s="29" t="n">
        <f aca="true">IF(AND(F735&gt;=1,R735&gt;=Inputs!$B$10),INDEX(LINEST(OFFSET(D735,-R735,0,R735,1),OFFSET(E735,-R735,0,R735,2)),1,3),"")</f>
        <v>4.4701994303601</v>
      </c>
      <c r="V735" s="29" t="n">
        <f aca="true">IF(AND(F735&gt;=1,R735&gt;=Inputs!$B$10),SQRT(SUMPRODUCT((OFFSET(D735,-R735,0,R735,1)-U735-T735*OFFSET(E735,-R735,0,R735,1)-S735*OFFSET(F735,-R735,0,R735,1))^2)/(R735-3)),"")</f>
        <v>0.0024691929808377</v>
      </c>
      <c r="W735" s="31" t="n">
        <f aca="false">IF(AND(F735&gt;=1,R735&gt;=Inputs!$B$10),(D735-U735-T735*E735-S735*F735)/V735,"")</f>
        <v>1.6497884552537</v>
      </c>
      <c r="X735" s="30" t="n">
        <f aca="false">IF(AB734&lt;&gt;0,AC734+1,0)</f>
        <v>8</v>
      </c>
      <c r="Y735" s="30" t="n">
        <f aca="false">IF(W735="",0,IF(AND(AB734&lt;&gt;0,OR(ABS(W735)&gt;Inputs!$B$7,X735&gt;=Inputs!$B$8,ABS(W735)&lt;Inputs!$B$6)),1,0))</f>
        <v>0</v>
      </c>
      <c r="Z735" s="30" t="n">
        <f aca="false">IF(Y735=1,0,AB734)</f>
        <v>1</v>
      </c>
      <c r="AA735" s="30" t="n">
        <f aca="false">IF(W735="",0,IF(AND(Z735=0,ABS(W735)&gt;Inputs!$B$5,ABS(W735)&lt;=Inputs!$B$7),1,0))</f>
        <v>0</v>
      </c>
      <c r="AB735" s="30" t="n">
        <f aca="false">IF(W735="",0,IF(AA735=1,-SIGN(W735),Z735))</f>
        <v>1</v>
      </c>
      <c r="AC735" s="30" t="n">
        <f aca="false">IF(W735="",0,IF(AA735=1,0,IF(Y735=1,0,X735)))</f>
        <v>8</v>
      </c>
      <c r="AD735" s="29" t="n">
        <f aca="false">IF(AB735=0,0,IF(AB734=AB735,AD734,T735))</f>
        <v>1.01340216857733</v>
      </c>
      <c r="AE735" s="30" t="n">
        <f aca="false">AB735-AB734</f>
        <v>0</v>
      </c>
      <c r="AF735" s="30" t="n">
        <f aca="false">-AD735*AB735</f>
        <v>-1.01340216857733</v>
      </c>
      <c r="AG735" s="30" t="n">
        <f aca="false">AF735-AF734</f>
        <v>0</v>
      </c>
      <c r="AH735" s="30" t="n">
        <f aca="false">MAX(AE735,0)*(Inputs!$B$17+Inputs!$B$18+Inputs!$B$19)+MAX(-AE735,0)*(O735+Inputs!$B$18+Inputs!$B$19)+IF(AND(K735=1,AB735&lt;&gt;0),(Inputs!$B$17+Inputs!$B$18+Inputs!$B$19)+(O735+Inputs!$B$18+Inputs!$B$19),0)+MAX(AG735,0)*(Inputs!$B$20+Inputs!$B$22+Inputs!$B$23)+MAX(-AG735,0)*(Inputs!$B$21+Inputs!$B$22+Inputs!$B$23)</f>
        <v>0</v>
      </c>
      <c r="AI735" s="30" t="n">
        <f aca="false">AB734*(M735-AD734*J735)+AB734*AD734*N735/Inputs!$B$16-AH735</f>
        <v>4.423609276323E-005</v>
      </c>
      <c r="AJ735" s="30" t="n">
        <f aca="false">MAX(AE735,0)*(Inputs!$B$17+Inputs!$B$24+Inputs!$B$25)+MAX(-AE735,0)*(O735+Inputs!$B$24+Inputs!$B$25)+IF(AND(K735=1,AB735&lt;&gt;0),(Inputs!$B$17+Inputs!$B$24+Inputs!$B$25)+(O735+Inputs!$B$24+Inputs!$B$25),0)+MAX(AG735,0)*(Inputs!$B$20+Inputs!$B$26+Inputs!$B$27)+MAX(-AG735,0)*(Inputs!$B$21+Inputs!$B$26+Inputs!$B$27)</f>
        <v>0</v>
      </c>
      <c r="AK735" s="30" t="n">
        <f aca="false">AB734*(M735-AD734*J735)+AB734*AD734*(N735+Inputs!$B$14)/Inputs!$B$16-AJ735</f>
        <v>7.43968715899362E-005</v>
      </c>
      <c r="AL735" s="30" t="n">
        <f aca="false">IF(AP734&lt;&gt;0,AQ734+1,0)</f>
        <v>5</v>
      </c>
      <c r="AM735" s="30" t="n">
        <f aca="false">IF(W735="",0,IF(AND(AP734&lt;&gt;0,OR(ABS(W735)&gt;Inputs!$B$7,AL735&gt;=Inputs!$B$8,ABS(W735)&lt;Inputs!$B$6)),1,0))</f>
        <v>0</v>
      </c>
      <c r="AN735" s="30" t="n">
        <f aca="false">IF(AM735=1,0,AP734)</f>
        <v>-1</v>
      </c>
      <c r="AO735" s="30" t="n">
        <f aca="false">IF(W735="",0,IF(AND(AN735=0,ABS(W735)&gt;Inputs!$B$5,ABS(W735)&lt;=Inputs!$B$7,W735&gt;0),1,0))</f>
        <v>0</v>
      </c>
      <c r="AP735" s="30" t="n">
        <f aca="false">IF(W735="",0,IF(AO735=1,-SIGN(W735),AN735))</f>
        <v>-1</v>
      </c>
      <c r="AQ735" s="30" t="n">
        <f aca="false">IF(W735="",0,IF(AO735=1,0,IF(AM735=1,0,AL735)))</f>
        <v>5</v>
      </c>
      <c r="AR735" s="29" t="n">
        <f aca="false">IF(AP735=0,0,IF(AP734=AP735,AR734,T735))</f>
        <v>1.01386853770639</v>
      </c>
      <c r="AS735" s="30" t="n">
        <f aca="false">AP735-AP734</f>
        <v>0</v>
      </c>
      <c r="AT735" s="30" t="n">
        <f aca="false">-AR735*AP735</f>
        <v>1.01386853770639</v>
      </c>
      <c r="AU735" s="30" t="n">
        <f aca="false">AT735-AT734</f>
        <v>0</v>
      </c>
      <c r="AV735" s="30" t="n">
        <f aca="false">MAX(AS735,0)*(Inputs!$B$17+Inputs!$B$18+Inputs!$B$19)+MAX(-AS735,0)*(O735+Inputs!$B$18+Inputs!$B$19)+IF(AND(K735=1,AP735&lt;&gt;0),(Inputs!$B$17+Inputs!$B$18+Inputs!$B$19)+(O735+Inputs!$B$18+Inputs!$B$19),0)+MAX(AU735,0)*(Inputs!$B$20+Inputs!$B$22+Inputs!$B$23)+MAX(-AU735,0)*(Inputs!$B$21+Inputs!$B$22+Inputs!$B$23)</f>
        <v>0</v>
      </c>
      <c r="AW735" s="30" t="n">
        <f aca="false">AP734*(M735-AR734*J735)+AP734*AR734*N735/Inputs!$B$16-AV735</f>
        <v>-4.91736342303437E-005</v>
      </c>
      <c r="AX735" s="30" t="n">
        <f aca="false">AW735-IF(AP734&lt;&gt;0,0.75*AR734*(Inputs!$B$13-N735)/Inputs!$B$16,0)</f>
        <v>-0.00031320189925805</v>
      </c>
      <c r="AY735" s="30" t="n">
        <f aca="false">MAX(AS735,0)*(Inputs!$B$17+Inputs!$B$18+Inputs!$B$19)+MAX(-AS735,0)*(O735+Inputs!$B$18+Inputs!$B$19)+IF(AND(K735=1,AP735&lt;&gt;0),(Inputs!$B$17+Inputs!$B$18+Inputs!$B$19)+(O735+Inputs!$B$18+Inputs!$B$19),0)</f>
        <v>0</v>
      </c>
      <c r="AZ735" s="30" t="n">
        <f aca="false">AP734*M735-AY735</f>
        <v>0.0106848514870048</v>
      </c>
      <c r="BA735" s="32" t="n">
        <f aca="false">BA734+AI735</f>
        <v>0.0224962063479623</v>
      </c>
      <c r="BB735" s="30" t="n">
        <f aca="false">MAX(BB734,BA735)</f>
        <v>0.0261726191772394</v>
      </c>
      <c r="BC735" s="32" t="n">
        <f aca="false">BA735-BB735</f>
        <v>-0.0036764128292771</v>
      </c>
      <c r="BD735" s="30" t="n">
        <f aca="false">A736-A735</f>
        <v>2</v>
      </c>
    </row>
    <row r="736" customFormat="false" ht="15" hidden="false" customHeight="false" outlineLevel="0" collapsed="false">
      <c r="A736" s="28" t="n">
        <v>46127</v>
      </c>
      <c r="B736" s="0" t="n">
        <v>24225</v>
      </c>
      <c r="C736" s="0" t="n">
        <v>273.7</v>
      </c>
      <c r="D736" s="29" t="n">
        <f aca="false">LN(B736)</f>
        <v>10.095140436759</v>
      </c>
      <c r="E736" s="29" t="n">
        <f aca="false">LN(C736)</f>
        <v>5.61203261604663</v>
      </c>
      <c r="F736" s="0" t="n">
        <v>731</v>
      </c>
      <c r="G736" s="0" t="n">
        <v>13</v>
      </c>
      <c r="H736" s="29" t="n">
        <f aca="false">D736-E736</f>
        <v>4.48310782071233</v>
      </c>
      <c r="I736" s="29" t="n">
        <f aca="false">D736-D735</f>
        <v>0.0156009404424804</v>
      </c>
      <c r="J736" s="29" t="n">
        <f aca="false">E736-E735</f>
        <v>0.0160580940247375</v>
      </c>
      <c r="K736" s="0" t="n">
        <v>0</v>
      </c>
      <c r="L736" s="0" t="n">
        <v>0</v>
      </c>
      <c r="M736" s="29" t="n">
        <f aca="false">IF(L736=1,J736-Carry!$B$9/Inputs!$B$16,I736)</f>
        <v>0.0156009404424804</v>
      </c>
      <c r="N736" s="0" t="n">
        <v>0.0525</v>
      </c>
      <c r="O736" s="0" t="n">
        <v>0.0005</v>
      </c>
      <c r="P736" s="29" t="n">
        <f aca="false">D736-('2 Hedge ratio'!$B$6+'2 Hedge ratio'!$B$5*E736)</f>
        <v>-0.0080128979149201</v>
      </c>
      <c r="Q736" s="29" t="n">
        <f aca="false">D736-('5 Re-specification'!$B$7+'5 Re-specification'!$B$5*E736+'5 Re-specification'!$B$6*F736)</f>
        <v>0.0017573962550248</v>
      </c>
      <c r="R736" s="30" t="n">
        <f aca="false">MIN(F736,Inputs!$B$9)</f>
        <v>250</v>
      </c>
      <c r="S736" s="29" t="n">
        <f aca="true">IF(AND(F736&gt;=1,R736&gt;=Inputs!$B$10),INDEX(LINEST(OFFSET(D736,-R736,0,R736,1),OFFSET(E736,-R736,0,R736,2)),1,1),"")</f>
        <v>-5.6340471340587E-005</v>
      </c>
      <c r="T736" s="29" t="n">
        <f aca="true">IF(AND(F736&gt;=1,R736&gt;=Inputs!$B$10),INDEX(LINEST(OFFSET(D736,-R736,0,R736,1),OFFSET(E736,-R736,0,R736,2)),1,2),"")</f>
        <v>1.00806187237046</v>
      </c>
      <c r="U736" s="29" t="n">
        <f aca="true">IF(AND(F736&gt;=1,R736&gt;=Inputs!$B$10),INDEX(LINEST(OFFSET(D736,-R736,0,R736,1),OFFSET(E736,-R736,0,R736,2)),1,3),"")</f>
        <v>4.47562825025316</v>
      </c>
      <c r="V736" s="29" t="n">
        <f aca="true">IF(AND(F736&gt;=1,R736&gt;=Inputs!$B$10),SQRT(SUMPRODUCT((OFFSET(D736,-R736,0,R736,1)-U736-T736*OFFSET(E736,-R736,0,R736,1)-S736*OFFSET(F736,-R736,0,R736,1))^2)/(R736-3)),"")</f>
        <v>0.00248217338135055</v>
      </c>
      <c r="W736" s="31" t="n">
        <f aca="false">IF(AND(F736&gt;=1,R736&gt;=Inputs!$B$10),(D736-U736-T736*E736-S736*F736)/V736,"")</f>
        <v>1.37821328091818</v>
      </c>
      <c r="X736" s="30" t="n">
        <f aca="false">IF(AB735&lt;&gt;0,AC735+1,0)</f>
        <v>9</v>
      </c>
      <c r="Y736" s="30" t="n">
        <f aca="false">IF(W736="",0,IF(AND(AB735&lt;&gt;0,OR(ABS(W736)&gt;Inputs!$B$7,X736&gt;=Inputs!$B$8,ABS(W736)&lt;Inputs!$B$6)),1,0))</f>
        <v>0</v>
      </c>
      <c r="Z736" s="30" t="n">
        <f aca="false">IF(Y736=1,0,AB735)</f>
        <v>1</v>
      </c>
      <c r="AA736" s="30" t="n">
        <f aca="false">IF(W736="",0,IF(AND(Z736=0,ABS(W736)&gt;Inputs!$B$5,ABS(W736)&lt;=Inputs!$B$7),1,0))</f>
        <v>0</v>
      </c>
      <c r="AB736" s="30" t="n">
        <f aca="false">IF(W736="",0,IF(AA736=1,-SIGN(W736),Z736))</f>
        <v>1</v>
      </c>
      <c r="AC736" s="30" t="n">
        <f aca="false">IF(W736="",0,IF(AA736=1,0,IF(Y736=1,0,X736)))</f>
        <v>9</v>
      </c>
      <c r="AD736" s="29" t="n">
        <f aca="false">IF(AB736=0,0,IF(AB735=AB736,AD735,T736))</f>
        <v>1.01340216857733</v>
      </c>
      <c r="AE736" s="30" t="n">
        <f aca="false">AB736-AB735</f>
        <v>0</v>
      </c>
      <c r="AF736" s="30" t="n">
        <f aca="false">-AD736*AB736</f>
        <v>-1.01340216857733</v>
      </c>
      <c r="AG736" s="30" t="n">
        <f aca="false">AF736-AF735</f>
        <v>0</v>
      </c>
      <c r="AH736" s="30" t="n">
        <f aca="false">MAX(AE736,0)*(Inputs!$B$17+Inputs!$B$18+Inputs!$B$19)+MAX(-AE736,0)*(O736+Inputs!$B$18+Inputs!$B$19)+IF(AND(K736=1,AB736&lt;&gt;0),(Inputs!$B$17+Inputs!$B$18+Inputs!$B$19)+(O736+Inputs!$B$18+Inputs!$B$19),0)+MAX(AG736,0)*(Inputs!$B$20+Inputs!$B$22+Inputs!$B$23)+MAX(-AG736,0)*(Inputs!$B$21+Inputs!$B$22+Inputs!$B$23)</f>
        <v>0</v>
      </c>
      <c r="AI736" s="30" t="n">
        <f aca="false">AB735*(M736-AD735*J736)+AB735*AD735*N736/Inputs!$B$16-AH736</f>
        <v>-0.000461241413620247</v>
      </c>
      <c r="AJ736" s="30" t="n">
        <f aca="false">MAX(AE736,0)*(Inputs!$B$17+Inputs!$B$24+Inputs!$B$25)+MAX(-AE736,0)*(O736+Inputs!$B$24+Inputs!$B$25)+IF(AND(K736=1,AB736&lt;&gt;0),(Inputs!$B$17+Inputs!$B$24+Inputs!$B$25)+(O736+Inputs!$B$24+Inputs!$B$25),0)+MAX(AG736,0)*(Inputs!$B$20+Inputs!$B$26+Inputs!$B$27)+MAX(-AG736,0)*(Inputs!$B$21+Inputs!$B$26+Inputs!$B$27)</f>
        <v>0</v>
      </c>
      <c r="AK736" s="30" t="n">
        <f aca="false">AB735*(M736-AD735*J736)+AB735*AD735*(N736+Inputs!$B$14)/Inputs!$B$16-AJ736</f>
        <v>-0.000431080634793541</v>
      </c>
      <c r="AL736" s="30" t="n">
        <f aca="false">IF(AP735&lt;&gt;0,AQ735+1,0)</f>
        <v>6</v>
      </c>
      <c r="AM736" s="30" t="n">
        <f aca="false">IF(W736="",0,IF(AND(AP735&lt;&gt;0,OR(ABS(W736)&gt;Inputs!$B$7,AL736&gt;=Inputs!$B$8,ABS(W736)&lt;Inputs!$B$6)),1,0))</f>
        <v>0</v>
      </c>
      <c r="AN736" s="30" t="n">
        <f aca="false">IF(AM736=1,0,AP735)</f>
        <v>-1</v>
      </c>
      <c r="AO736" s="30" t="n">
        <f aca="false">IF(W736="",0,IF(AND(AN736=0,ABS(W736)&gt;Inputs!$B$5,ABS(W736)&lt;=Inputs!$B$7,W736&gt;0),1,0))</f>
        <v>0</v>
      </c>
      <c r="AP736" s="30" t="n">
        <f aca="false">IF(W736="",0,IF(AO736=1,-SIGN(W736),AN736))</f>
        <v>-1</v>
      </c>
      <c r="AQ736" s="30" t="n">
        <f aca="false">IF(W736="",0,IF(AO736=1,0,IF(AM736=1,0,AL736)))</f>
        <v>6</v>
      </c>
      <c r="AR736" s="29" t="n">
        <f aca="false">IF(AP736=0,0,IF(AP735=AP736,AR735,T736))</f>
        <v>1.01386853770639</v>
      </c>
      <c r="AS736" s="30" t="n">
        <f aca="false">AP736-AP735</f>
        <v>0</v>
      </c>
      <c r="AT736" s="30" t="n">
        <f aca="false">-AR736*AP736</f>
        <v>1.01386853770639</v>
      </c>
      <c r="AU736" s="30" t="n">
        <f aca="false">AT736-AT735</f>
        <v>0</v>
      </c>
      <c r="AV736" s="30" t="n">
        <f aca="false">MAX(AS736,0)*(Inputs!$B$17+Inputs!$B$18+Inputs!$B$19)+MAX(-AS736,0)*(O736+Inputs!$B$18+Inputs!$B$19)+IF(AND(K736=1,AP736&lt;&gt;0),(Inputs!$B$17+Inputs!$B$18+Inputs!$B$19)+(O736+Inputs!$B$18+Inputs!$B$19),0)+MAX(AU736,0)*(Inputs!$B$20+Inputs!$B$22+Inputs!$B$23)+MAX(-AU736,0)*(Inputs!$B$21+Inputs!$B$22+Inputs!$B$23)</f>
        <v>0</v>
      </c>
      <c r="AW736" s="30" t="n">
        <f aca="false">AP735*(M736-AR735*J736)+AP735*AR735*N736/Inputs!$B$16-AV736</f>
        <v>0.00046863325270975</v>
      </c>
      <c r="AX736" s="30" t="n">
        <f aca="false">AW736-IF(AP735&lt;&gt;0,0.75*AR735*(Inputs!$B$13-N736)/Inputs!$B$16,0)</f>
        <v>0.000204604987682044</v>
      </c>
      <c r="AY736" s="30" t="n">
        <f aca="false">MAX(AS736,0)*(Inputs!$B$17+Inputs!$B$18+Inputs!$B$19)+MAX(-AS736,0)*(O736+Inputs!$B$18+Inputs!$B$19)+IF(AND(K736=1,AP736&lt;&gt;0),(Inputs!$B$17+Inputs!$B$18+Inputs!$B$19)+(O736+Inputs!$B$18+Inputs!$B$19),0)</f>
        <v>0</v>
      </c>
      <c r="AZ736" s="30" t="n">
        <f aca="false">AP735*M736-AY736</f>
        <v>-0.0156009404424804</v>
      </c>
      <c r="BA736" s="32" t="n">
        <f aca="false">BA735+AI736</f>
        <v>0.0220349649343421</v>
      </c>
      <c r="BB736" s="30" t="n">
        <f aca="false">MAX(BB735,BA736)</f>
        <v>0.0261726191772394</v>
      </c>
      <c r="BC736" s="32" t="n">
        <f aca="false">BA736-BB736</f>
        <v>-0.00413765424289735</v>
      </c>
      <c r="BD736" s="30" t="n">
        <f aca="false">A737-A736</f>
        <v>1</v>
      </c>
    </row>
    <row r="737" customFormat="false" ht="15" hidden="false" customHeight="false" outlineLevel="0" collapsed="false">
      <c r="A737" s="28" t="n">
        <v>46128</v>
      </c>
      <c r="B737" s="0" t="n">
        <v>24185</v>
      </c>
      <c r="C737" s="0" t="n">
        <v>273.8</v>
      </c>
      <c r="D737" s="29" t="n">
        <f aca="false">LN(B737)</f>
        <v>10.0934878852571</v>
      </c>
      <c r="E737" s="29" t="n">
        <f aca="false">LN(C737)</f>
        <v>5.61239791285435</v>
      </c>
      <c r="F737" s="0" t="n">
        <v>732</v>
      </c>
      <c r="G737" s="0" t="n">
        <v>12</v>
      </c>
      <c r="H737" s="29" t="n">
        <f aca="false">D737-E737</f>
        <v>4.48108997240274</v>
      </c>
      <c r="I737" s="29" t="n">
        <f aca="false">D737-D736</f>
        <v>-0.00165255150188415</v>
      </c>
      <c r="J737" s="29" t="n">
        <f aca="false">E737-E736</f>
        <v>0.000365296807714799</v>
      </c>
      <c r="K737" s="0" t="n">
        <v>0</v>
      </c>
      <c r="L737" s="0" t="n">
        <v>0</v>
      </c>
      <c r="M737" s="29" t="n">
        <f aca="false">IF(L737=1,J737-Carry!$B$9/Inputs!$B$16,I737)</f>
        <v>-0.00165255150188415</v>
      </c>
      <c r="N737" s="0" t="n">
        <v>0.0525</v>
      </c>
      <c r="O737" s="0" t="n">
        <v>0.0005</v>
      </c>
      <c r="P737" s="29" t="n">
        <f aca="false">D737-('2 Hedge ratio'!$B$6+'2 Hedge ratio'!$B$5*E737)</f>
        <v>-0.0100001075974205</v>
      </c>
      <c r="Q737" s="29" t="n">
        <f aca="false">D737-('5 Re-specification'!$B$7+'5 Re-specification'!$B$5*E737+'5 Re-specification'!$B$6*F737)</f>
        <v>-0.000214415704492765</v>
      </c>
      <c r="R737" s="30" t="n">
        <f aca="false">MIN(F737,Inputs!$B$9)</f>
        <v>250</v>
      </c>
      <c r="S737" s="29" t="n">
        <f aca="true">IF(AND(F737&gt;=1,R737&gt;=Inputs!$B$10),INDEX(LINEST(OFFSET(D737,-R737,0,R737,1),OFFSET(E737,-R737,0,R737,2)),1,1),"")</f>
        <v>-5.58534400250729E-005</v>
      </c>
      <c r="T737" s="29" t="n">
        <f aca="true">IF(AND(F737&gt;=1,R737&gt;=Inputs!$B$10),INDEX(LINEST(OFFSET(D737,-R737,0,R737,1),OFFSET(E737,-R737,0,R737,2)),1,2),"")</f>
        <v>1.00814197785376</v>
      </c>
      <c r="U737" s="29" t="n">
        <f aca="true">IF(AND(F737&gt;=1,R737&gt;=Inputs!$B$10),INDEX(LINEST(OFFSET(D737,-R737,0,R737,1),OFFSET(E737,-R737,0,R737,2)),1,3),"")</f>
        <v>4.47488754162225</v>
      </c>
      <c r="V737" s="29" t="n">
        <f aca="true">IF(AND(F737&gt;=1,R737&gt;=Inputs!$B$10),SQRT(SUMPRODUCT((OFFSET(D737,-R737,0,R737,1)-U737-T737*OFFSET(E737,-R737,0,R737,1)-S737*OFFSET(F737,-R737,0,R737,1))^2)/(R737-3)),"")</f>
        <v>0.00248897070880267</v>
      </c>
      <c r="W737" s="31" t="n">
        <f aca="false">IF(AND(F737&gt;=1,R737&gt;=Inputs!$B$10),(D737-U737-T737*E737-S737*F737)/V737,"")</f>
        <v>0.558917532034404</v>
      </c>
      <c r="X737" s="30" t="n">
        <f aca="false">IF(AB736&lt;&gt;0,AC736+1,0)</f>
        <v>10</v>
      </c>
      <c r="Y737" s="30" t="n">
        <f aca="false">IF(W737="",0,IF(AND(AB736&lt;&gt;0,OR(ABS(W737)&gt;Inputs!$B$7,X737&gt;=Inputs!$B$8,ABS(W737)&lt;Inputs!$B$6)),1,0))</f>
        <v>1</v>
      </c>
      <c r="Z737" s="30" t="n">
        <f aca="false">IF(Y737=1,0,AB736)</f>
        <v>0</v>
      </c>
      <c r="AA737" s="30" t="n">
        <f aca="false">IF(W737="",0,IF(AND(Z737=0,ABS(W737)&gt;Inputs!$B$5,ABS(W737)&lt;=Inputs!$B$7),1,0))</f>
        <v>0</v>
      </c>
      <c r="AB737" s="30" t="n">
        <f aca="false">IF(W737="",0,IF(AA737=1,-SIGN(W737),Z737))</f>
        <v>0</v>
      </c>
      <c r="AC737" s="30" t="n">
        <f aca="false">IF(W737="",0,IF(AA737=1,0,IF(Y737=1,0,X737)))</f>
        <v>0</v>
      </c>
      <c r="AD737" s="30" t="n">
        <f aca="false">IF(AB737=0,0,IF(AB736=AB737,AD736,T737))</f>
        <v>0</v>
      </c>
      <c r="AE737" s="30" t="n">
        <f aca="false">AB737-AB736</f>
        <v>-1</v>
      </c>
      <c r="AF737" s="30" t="n">
        <f aca="false">-AD737*AB737</f>
        <v>-0</v>
      </c>
      <c r="AG737" s="30" t="n">
        <f aca="false">AF737-AF736</f>
        <v>1.01340216857733</v>
      </c>
      <c r="AH737" s="30" t="n">
        <f aca="false">MAX(AE737,0)*(Inputs!$B$17+Inputs!$B$18+Inputs!$B$19)+MAX(-AE737,0)*(O737+Inputs!$B$18+Inputs!$B$19)+IF(AND(K737=1,AB737&lt;&gt;0),(Inputs!$B$17+Inputs!$B$18+Inputs!$B$19)+(O737+Inputs!$B$18+Inputs!$B$19),0)+MAX(AG737,0)*(Inputs!$B$20+Inputs!$B$22+Inputs!$B$23)+MAX(-AG737,0)*(Inputs!$B$21+Inputs!$B$22+Inputs!$B$23)</f>
        <v>0.000989690759002065</v>
      </c>
      <c r="AI737" s="30" t="n">
        <f aca="false">AB736*(M737-AD736*J737)+AB736*AD736*N737/Inputs!$B$16-AH737</f>
        <v>-0.00280130938621182</v>
      </c>
      <c r="AJ737" s="30" t="n">
        <f aca="false">MAX(AE737,0)*(Inputs!$B$17+Inputs!$B$24+Inputs!$B$25)+MAX(-AE737,0)*(O737+Inputs!$B$24+Inputs!$B$25)+IF(AND(K737=1,AB737&lt;&gt;0),(Inputs!$B$17+Inputs!$B$24+Inputs!$B$25)+(O737+Inputs!$B$24+Inputs!$B$25),0)+MAX(AG737,0)*(Inputs!$B$20+Inputs!$B$26+Inputs!$B$27)+MAX(-AG737,0)*(Inputs!$B$21+Inputs!$B$26+Inputs!$B$27)</f>
        <v>0.000828417552987219</v>
      </c>
      <c r="AK737" s="30" t="n">
        <f aca="false">AB736*(M737-AD736*J737)+AB736*AD736*(N737+Inputs!$B$14)/Inputs!$B$16-AJ737</f>
        <v>-0.00260987540137027</v>
      </c>
      <c r="AL737" s="30" t="n">
        <f aca="false">IF(AP736&lt;&gt;0,AQ736+1,0)</f>
        <v>7</v>
      </c>
      <c r="AM737" s="30" t="n">
        <f aca="false">IF(W737="",0,IF(AND(AP736&lt;&gt;0,OR(ABS(W737)&gt;Inputs!$B$7,AL737&gt;=Inputs!$B$8,ABS(W737)&lt;Inputs!$B$6)),1,0))</f>
        <v>0</v>
      </c>
      <c r="AN737" s="30" t="n">
        <f aca="false">IF(AM737=1,0,AP736)</f>
        <v>-1</v>
      </c>
      <c r="AO737" s="30" t="n">
        <f aca="false">IF(W737="",0,IF(AND(AN737=0,ABS(W737)&gt;Inputs!$B$5,ABS(W737)&lt;=Inputs!$B$7,W737&gt;0),1,0))</f>
        <v>0</v>
      </c>
      <c r="AP737" s="30" t="n">
        <f aca="false">IF(W737="",0,IF(AO737=1,-SIGN(W737),AN737))</f>
        <v>-1</v>
      </c>
      <c r="AQ737" s="30" t="n">
        <f aca="false">IF(W737="",0,IF(AO737=1,0,IF(AM737=1,0,AL737)))</f>
        <v>7</v>
      </c>
      <c r="AR737" s="29" t="n">
        <f aca="false">IF(AP737=0,0,IF(AP736=AP737,AR736,T737))</f>
        <v>1.01386853770639</v>
      </c>
      <c r="AS737" s="30" t="n">
        <f aca="false">AP737-AP736</f>
        <v>0</v>
      </c>
      <c r="AT737" s="30" t="n">
        <f aca="false">-AR737*AP737</f>
        <v>1.01386853770639</v>
      </c>
      <c r="AU737" s="30" t="n">
        <f aca="false">AT737-AT736</f>
        <v>0</v>
      </c>
      <c r="AV737" s="30" t="n">
        <f aca="false">MAX(AS737,0)*(Inputs!$B$17+Inputs!$B$18+Inputs!$B$19)+MAX(-AS737,0)*(O737+Inputs!$B$18+Inputs!$B$19)+IF(AND(K737=1,AP737&lt;&gt;0),(Inputs!$B$17+Inputs!$B$18+Inputs!$B$19)+(O737+Inputs!$B$18+Inputs!$B$19),0)+MAX(AU737,0)*(Inputs!$B$20+Inputs!$B$22+Inputs!$B$23)+MAX(-AU737,0)*(Inputs!$B$21+Inputs!$B$22+Inputs!$B$23)</f>
        <v>0</v>
      </c>
      <c r="AW737" s="30" t="n">
        <f aca="false">AP736*(M737-AR736*J737)+AP736*AR736*N737/Inputs!$B$16-AV737</f>
        <v>0.0018116918301286</v>
      </c>
      <c r="AX737" s="30" t="n">
        <f aca="false">AW737-IF(AP736&lt;&gt;0,0.75*AR736*(Inputs!$B$13-N737)/Inputs!$B$16,0)</f>
        <v>0.00154766356510089</v>
      </c>
      <c r="AY737" s="30" t="n">
        <f aca="false">MAX(AS737,0)*(Inputs!$B$17+Inputs!$B$18+Inputs!$B$19)+MAX(-AS737,0)*(O737+Inputs!$B$18+Inputs!$B$19)+IF(AND(K737=1,AP737&lt;&gt;0),(Inputs!$B$17+Inputs!$B$18+Inputs!$B$19)+(O737+Inputs!$B$18+Inputs!$B$19),0)</f>
        <v>0</v>
      </c>
      <c r="AZ737" s="30" t="n">
        <f aca="false">AP736*M737-AY737</f>
        <v>0.00165255150188415</v>
      </c>
      <c r="BA737" s="32" t="n">
        <f aca="false">BA736+AI737</f>
        <v>0.0192336555481302</v>
      </c>
      <c r="BB737" s="30" t="n">
        <f aca="false">MAX(BB736,BA737)</f>
        <v>0.0261726191772394</v>
      </c>
      <c r="BC737" s="32" t="n">
        <f aca="false">BA737-BB737</f>
        <v>-0.00693896362910917</v>
      </c>
      <c r="BD737" s="30" t="n">
        <f aca="false">A738-A737</f>
        <v>1</v>
      </c>
    </row>
    <row r="738" customFormat="false" ht="15" hidden="false" customHeight="false" outlineLevel="0" collapsed="false">
      <c r="A738" s="28" t="n">
        <v>46129</v>
      </c>
      <c r="B738" s="0" t="n">
        <v>24390</v>
      </c>
      <c r="C738" s="0" t="n">
        <v>276</v>
      </c>
      <c r="D738" s="29" t="n">
        <f aca="false">LN(B738)</f>
        <v>10.10192849121</v>
      </c>
      <c r="E738" s="29" t="n">
        <f aca="false">LN(C738)</f>
        <v>5.62040086571715</v>
      </c>
      <c r="F738" s="0" t="n">
        <v>733</v>
      </c>
      <c r="G738" s="0" t="n">
        <v>11</v>
      </c>
      <c r="H738" s="29" t="n">
        <f aca="false">D738-E738</f>
        <v>4.48152762549282</v>
      </c>
      <c r="I738" s="29" t="n">
        <f aca="false">D738-D737</f>
        <v>0.00844060595288276</v>
      </c>
      <c r="J738" s="29" t="n">
        <f aca="false">E738-E737</f>
        <v>0.00800295286280139</v>
      </c>
      <c r="K738" s="0" t="n">
        <v>0</v>
      </c>
      <c r="L738" s="0" t="n">
        <v>0</v>
      </c>
      <c r="M738" s="29" t="n">
        <f aca="false">IF(L738=1,J738-Carry!$B$9/Inputs!$B$16,I738)</f>
        <v>0.00844060595288276</v>
      </c>
      <c r="N738" s="0" t="n">
        <v>0.0525</v>
      </c>
      <c r="O738" s="0" t="n">
        <v>0.0005</v>
      </c>
      <c r="P738" s="29" t="n">
        <f aca="false">D738-('2 Hedge ratio'!$B$6+'2 Hedge ratio'!$B$5*E738)</f>
        <v>-0.00889122091514061</v>
      </c>
      <c r="Q738" s="29" t="n">
        <f aca="false">D738-('5 Re-specification'!$B$7+'5 Re-specification'!$B$5*E738+'5 Re-specification'!$B$6*F738)</f>
        <v>0.000292419652504705</v>
      </c>
      <c r="R738" s="30" t="n">
        <f aca="false">MIN(F738,Inputs!$B$9)</f>
        <v>250</v>
      </c>
      <c r="S738" s="29" t="n">
        <f aca="true">IF(AND(F738&gt;=1,R738&gt;=Inputs!$B$10),INDEX(LINEST(OFFSET(D738,-R738,0,R738,1),OFFSET(E738,-R738,0,R738,2)),1,1),"")</f>
        <v>-5.56305085972096E-005</v>
      </c>
      <c r="T738" s="29" t="n">
        <f aca="true">IF(AND(F738&gt;=1,R738&gt;=Inputs!$B$10),INDEX(LINEST(OFFSET(D738,-R738,0,R738,1),OFFSET(E738,-R738,0,R738,2)),1,2),"")</f>
        <v>1.00836656532107</v>
      </c>
      <c r="U738" s="29" t="n">
        <f aca="true">IF(AND(F738&gt;=1,R738&gt;=Inputs!$B$10),INDEX(LINEST(OFFSET(D738,-R738,0,R738,1),OFFSET(E738,-R738,0,R738,2)),1,3),"")</f>
        <v>4.47348571046417</v>
      </c>
      <c r="V738" s="29" t="n">
        <f aca="true">IF(AND(F738&gt;=1,R738&gt;=Inputs!$B$10),SQRT(SUMPRODUCT((OFFSET(D738,-R738,0,R738,1)-U738-T738*OFFSET(E738,-R738,0,R738,1)-S738*OFFSET(F738,-R738,0,R738,1))^2)/(R738-3)),"")</f>
        <v>0.00248944353383784</v>
      </c>
      <c r="W738" s="31" t="n">
        <f aca="false">IF(AND(F738&gt;=1,R738&gt;=Inputs!$B$10),(D738-U738-T738*E738-S738*F738)/V738,"")</f>
        <v>0.721296479469168</v>
      </c>
      <c r="X738" s="30" t="n">
        <f aca="false">IF(AB737&lt;&gt;0,AC737+1,0)</f>
        <v>0</v>
      </c>
      <c r="Y738" s="30" t="n">
        <f aca="false">IF(W738="",0,IF(AND(AB737&lt;&gt;0,OR(ABS(W738)&gt;Inputs!$B$7,X738&gt;=Inputs!$B$8,ABS(W738)&lt;Inputs!$B$6)),1,0))</f>
        <v>0</v>
      </c>
      <c r="Z738" s="30" t="n">
        <f aca="false">IF(Y738=1,0,AB737)</f>
        <v>0</v>
      </c>
      <c r="AA738" s="30" t="n">
        <f aca="false">IF(W738="",0,IF(AND(Z738=0,ABS(W738)&gt;Inputs!$B$5,ABS(W738)&lt;=Inputs!$B$7),1,0))</f>
        <v>0</v>
      </c>
      <c r="AB738" s="30" t="n">
        <f aca="false">IF(W738="",0,IF(AA738=1,-SIGN(W738),Z738))</f>
        <v>0</v>
      </c>
      <c r="AC738" s="30" t="n">
        <f aca="false">IF(W738="",0,IF(AA738=1,0,IF(Y738=1,0,X738)))</f>
        <v>0</v>
      </c>
      <c r="AD738" s="30" t="n">
        <f aca="false">IF(AB738=0,0,IF(AB737=AB738,AD737,T738))</f>
        <v>0</v>
      </c>
      <c r="AE738" s="30" t="n">
        <f aca="false">AB738-AB737</f>
        <v>0</v>
      </c>
      <c r="AF738" s="30" t="n">
        <f aca="false">-AD738*AB738</f>
        <v>-0</v>
      </c>
      <c r="AG738" s="30" t="n">
        <f aca="false">AF738-AF737</f>
        <v>0</v>
      </c>
      <c r="AH738" s="30" t="n">
        <f aca="false">MAX(AE738,0)*(Inputs!$B$17+Inputs!$B$18+Inputs!$B$19)+MAX(-AE738,0)*(O738+Inputs!$B$18+Inputs!$B$19)+IF(AND(K738=1,AB738&lt;&gt;0),(Inputs!$B$17+Inputs!$B$18+Inputs!$B$19)+(O738+Inputs!$B$18+Inputs!$B$19),0)+MAX(AG738,0)*(Inputs!$B$20+Inputs!$B$22+Inputs!$B$23)+MAX(-AG738,0)*(Inputs!$B$21+Inputs!$B$22+Inputs!$B$23)</f>
        <v>0</v>
      </c>
      <c r="AI738" s="30" t="n">
        <f aca="false">AB737*(M738-AD737*J738)+AB737*AD737*N738/Inputs!$B$16-AH738</f>
        <v>0</v>
      </c>
      <c r="AJ738" s="30" t="n">
        <f aca="false">MAX(AE738,0)*(Inputs!$B$17+Inputs!$B$24+Inputs!$B$25)+MAX(-AE738,0)*(O738+Inputs!$B$24+Inputs!$B$25)+IF(AND(K738=1,AB738&lt;&gt;0),(Inputs!$B$17+Inputs!$B$24+Inputs!$B$25)+(O738+Inputs!$B$24+Inputs!$B$25),0)+MAX(AG738,0)*(Inputs!$B$20+Inputs!$B$26+Inputs!$B$27)+MAX(-AG738,0)*(Inputs!$B$21+Inputs!$B$26+Inputs!$B$27)</f>
        <v>0</v>
      </c>
      <c r="AK738" s="30" t="n">
        <f aca="false">AB737*(M738-AD737*J738)+AB737*AD737*(N738+Inputs!$B$14)/Inputs!$B$16-AJ738</f>
        <v>0</v>
      </c>
      <c r="AL738" s="30" t="n">
        <f aca="false">IF(AP737&lt;&gt;0,AQ737+1,0)</f>
        <v>8</v>
      </c>
      <c r="AM738" s="30" t="n">
        <f aca="false">IF(W738="",0,IF(AND(AP737&lt;&gt;0,OR(ABS(W738)&gt;Inputs!$B$7,AL738&gt;=Inputs!$B$8,ABS(W738)&lt;Inputs!$B$6)),1,0))</f>
        <v>0</v>
      </c>
      <c r="AN738" s="30" t="n">
        <f aca="false">IF(AM738=1,0,AP737)</f>
        <v>-1</v>
      </c>
      <c r="AO738" s="30" t="n">
        <f aca="false">IF(W738="",0,IF(AND(AN738=0,ABS(W738)&gt;Inputs!$B$5,ABS(W738)&lt;=Inputs!$B$7,W738&gt;0),1,0))</f>
        <v>0</v>
      </c>
      <c r="AP738" s="30" t="n">
        <f aca="false">IF(W738="",0,IF(AO738=1,-SIGN(W738),AN738))</f>
        <v>-1</v>
      </c>
      <c r="AQ738" s="30" t="n">
        <f aca="false">IF(W738="",0,IF(AO738=1,0,IF(AM738=1,0,AL738)))</f>
        <v>8</v>
      </c>
      <c r="AR738" s="29" t="n">
        <f aca="false">IF(AP738=0,0,IF(AP737=AP738,AR737,T738))</f>
        <v>1.01386853770639</v>
      </c>
      <c r="AS738" s="30" t="n">
        <f aca="false">AP738-AP737</f>
        <v>0</v>
      </c>
      <c r="AT738" s="30" t="n">
        <f aca="false">-AR738*AP738</f>
        <v>1.01386853770639</v>
      </c>
      <c r="AU738" s="30" t="n">
        <f aca="false">AT738-AT737</f>
        <v>0</v>
      </c>
      <c r="AV738" s="30" t="n">
        <f aca="false">MAX(AS738,0)*(Inputs!$B$17+Inputs!$B$18+Inputs!$B$19)+MAX(-AS738,0)*(O738+Inputs!$B$18+Inputs!$B$19)+IF(AND(K738=1,AP738&lt;&gt;0),(Inputs!$B$17+Inputs!$B$18+Inputs!$B$19)+(O738+Inputs!$B$18+Inputs!$B$19),0)+MAX(AU738,0)*(Inputs!$B$20+Inputs!$B$22+Inputs!$B$23)+MAX(-AU738,0)*(Inputs!$B$21+Inputs!$B$22+Inputs!$B$23)</f>
        <v>0</v>
      </c>
      <c r="AW738" s="30" t="n">
        <f aca="false">AP737*(M738-AR737*J738)+AP737*AR737*N738/Inputs!$B$16-AV738</f>
        <v>-0.0005378864485633</v>
      </c>
      <c r="AX738" s="30" t="n">
        <f aca="false">AW738-IF(AP737&lt;&gt;0,0.75*AR737*(Inputs!$B$13-N738)/Inputs!$B$16,0)</f>
        <v>-0.000801914713591006</v>
      </c>
      <c r="AY738" s="30" t="n">
        <f aca="false">MAX(AS738,0)*(Inputs!$B$17+Inputs!$B$18+Inputs!$B$19)+MAX(-AS738,0)*(O738+Inputs!$B$18+Inputs!$B$19)+IF(AND(K738=1,AP738&lt;&gt;0),(Inputs!$B$17+Inputs!$B$18+Inputs!$B$19)+(O738+Inputs!$B$18+Inputs!$B$19),0)</f>
        <v>0</v>
      </c>
      <c r="AZ738" s="30" t="n">
        <f aca="false">AP737*M738-AY738</f>
        <v>-0.00844060595288276</v>
      </c>
      <c r="BA738" s="32" t="n">
        <f aca="false">BA737+AI738</f>
        <v>0.0192336555481302</v>
      </c>
      <c r="BB738" s="30" t="n">
        <f aca="false">MAX(BB737,BA738)</f>
        <v>0.0261726191772394</v>
      </c>
      <c r="BC738" s="32" t="n">
        <f aca="false">BA738-BB738</f>
        <v>-0.00693896362910917</v>
      </c>
      <c r="BD738" s="30" t="n">
        <f aca="false">A739-A738</f>
        <v>3</v>
      </c>
    </row>
    <row r="739" customFormat="false" ht="15" hidden="false" customHeight="false" outlineLevel="0" collapsed="false">
      <c r="A739" s="28" t="n">
        <v>46132</v>
      </c>
      <c r="B739" s="0" t="n">
        <v>24312</v>
      </c>
      <c r="C739" s="0" t="n">
        <v>274.9</v>
      </c>
      <c r="D739" s="29" t="n">
        <f aca="false">LN(B739)</f>
        <v>10.0987253345966</v>
      </c>
      <c r="E739" s="29" t="n">
        <f aca="false">LN(C739)</f>
        <v>5.6164073951712</v>
      </c>
      <c r="F739" s="0" t="n">
        <v>734</v>
      </c>
      <c r="G739" s="0" t="n">
        <v>8</v>
      </c>
      <c r="H739" s="29" t="n">
        <f aca="false">D739-E739</f>
        <v>4.48231793942543</v>
      </c>
      <c r="I739" s="29" t="n">
        <f aca="false">D739-D738</f>
        <v>-0.00320315661333659</v>
      </c>
      <c r="J739" s="29" t="n">
        <f aca="false">E739-E738</f>
        <v>-0.00399347054594923</v>
      </c>
      <c r="K739" s="0" t="n">
        <v>0</v>
      </c>
      <c r="L739" s="0" t="n">
        <v>0</v>
      </c>
      <c r="M739" s="29" t="n">
        <f aca="false">IF(L739=1,J739-Carry!$B$9/Inputs!$B$16,I739)</f>
        <v>-0.00320315661333659</v>
      </c>
      <c r="N739" s="0" t="n">
        <v>0.0525</v>
      </c>
      <c r="O739" s="0" t="n">
        <v>0.0005</v>
      </c>
      <c r="P739" s="29" t="n">
        <f aca="false">D739-('2 Hedge ratio'!$B$6+'2 Hedge ratio'!$B$5*E739)</f>
        <v>-0.00843585229906907</v>
      </c>
      <c r="Q739" s="29" t="n">
        <f aca="false">D739-('5 Re-specification'!$B$7+'5 Re-specification'!$B$5*E739+'5 Re-specification'!$B$6*F739)</f>
        <v>0.001115560690641</v>
      </c>
      <c r="R739" s="30" t="n">
        <f aca="false">MIN(F739,Inputs!$B$9)</f>
        <v>250</v>
      </c>
      <c r="S739" s="29" t="n">
        <f aca="true">IF(AND(F739&gt;=1,R739&gt;=Inputs!$B$10),INDEX(LINEST(OFFSET(D739,-R739,0,R739,1),OFFSET(E739,-R739,0,R739,2)),1,1),"")</f>
        <v>-5.53150115742667E-005</v>
      </c>
      <c r="T739" s="29" t="n">
        <f aca="true">IF(AND(F739&gt;=1,R739&gt;=Inputs!$B$10),INDEX(LINEST(OFFSET(D739,-R739,0,R739,1),OFFSET(E739,-R739,0,R739,2)),1,2),"")</f>
        <v>1.00873579892709</v>
      </c>
      <c r="U739" s="29" t="n">
        <f aca="true">IF(AND(F739&gt;=1,R739&gt;=Inputs!$B$10),INDEX(LINEST(OFFSET(D739,-R739,0,R739,1),OFFSET(E739,-R739,0,R739,2)),1,3),"")</f>
        <v>4.47120997092711</v>
      </c>
      <c r="V739" s="29" t="n">
        <f aca="true">IF(AND(F739&gt;=1,R739&gt;=Inputs!$B$10),SQRT(SUMPRODUCT((OFFSET(D739,-R739,0,R739,1)-U739-T739*OFFSET(E739,-R739,0,R739,1)-S739*OFFSET(F739,-R739,0,R739,1))^2)/(R739-3)),"")</f>
        <v>0.00248938743514675</v>
      </c>
      <c r="W739" s="31" t="n">
        <f aca="false">IF(AND(F739&gt;=1,R739&gt;=Inputs!$B$10),(D739-U739-T739*E739-S739*F739)/V739,"")</f>
        <v>1.06266355315506</v>
      </c>
      <c r="X739" s="30" t="n">
        <f aca="false">IF(AB738&lt;&gt;0,AC738+1,0)</f>
        <v>0</v>
      </c>
      <c r="Y739" s="30" t="n">
        <f aca="false">IF(W739="",0,IF(AND(AB738&lt;&gt;0,OR(ABS(W739)&gt;Inputs!$B$7,X739&gt;=Inputs!$B$8,ABS(W739)&lt;Inputs!$B$6)),1,0))</f>
        <v>0</v>
      </c>
      <c r="Z739" s="30" t="n">
        <f aca="false">IF(Y739=1,0,AB738)</f>
        <v>0</v>
      </c>
      <c r="AA739" s="30" t="n">
        <f aca="false">IF(W739="",0,IF(AND(Z739=0,ABS(W739)&gt;Inputs!$B$5,ABS(W739)&lt;=Inputs!$B$7),1,0))</f>
        <v>0</v>
      </c>
      <c r="AB739" s="30" t="n">
        <f aca="false">IF(W739="",0,IF(AA739=1,-SIGN(W739),Z739))</f>
        <v>0</v>
      </c>
      <c r="AC739" s="30" t="n">
        <f aca="false">IF(W739="",0,IF(AA739=1,0,IF(Y739=1,0,X739)))</f>
        <v>0</v>
      </c>
      <c r="AD739" s="30" t="n">
        <f aca="false">IF(AB739=0,0,IF(AB738=AB739,AD738,T739))</f>
        <v>0</v>
      </c>
      <c r="AE739" s="30" t="n">
        <f aca="false">AB739-AB738</f>
        <v>0</v>
      </c>
      <c r="AF739" s="30" t="n">
        <f aca="false">-AD739*AB739</f>
        <v>-0</v>
      </c>
      <c r="AG739" s="30" t="n">
        <f aca="false">AF739-AF738</f>
        <v>0</v>
      </c>
      <c r="AH739" s="30" t="n">
        <f aca="false">MAX(AE739,0)*(Inputs!$B$17+Inputs!$B$18+Inputs!$B$19)+MAX(-AE739,0)*(O739+Inputs!$B$18+Inputs!$B$19)+IF(AND(K739=1,AB739&lt;&gt;0),(Inputs!$B$17+Inputs!$B$18+Inputs!$B$19)+(O739+Inputs!$B$18+Inputs!$B$19),0)+MAX(AG739,0)*(Inputs!$B$20+Inputs!$B$22+Inputs!$B$23)+MAX(-AG739,0)*(Inputs!$B$21+Inputs!$B$22+Inputs!$B$23)</f>
        <v>0</v>
      </c>
      <c r="AI739" s="30" t="n">
        <f aca="false">AB738*(M739-AD738*J739)+AB738*AD738*N739/Inputs!$B$16-AH739</f>
        <v>0</v>
      </c>
      <c r="AJ739" s="30" t="n">
        <f aca="false">MAX(AE739,0)*(Inputs!$B$17+Inputs!$B$24+Inputs!$B$25)+MAX(-AE739,0)*(O739+Inputs!$B$24+Inputs!$B$25)+IF(AND(K739=1,AB739&lt;&gt;0),(Inputs!$B$17+Inputs!$B$24+Inputs!$B$25)+(O739+Inputs!$B$24+Inputs!$B$25),0)+MAX(AG739,0)*(Inputs!$B$20+Inputs!$B$26+Inputs!$B$27)+MAX(-AG739,0)*(Inputs!$B$21+Inputs!$B$26+Inputs!$B$27)</f>
        <v>0</v>
      </c>
      <c r="AK739" s="30" t="n">
        <f aca="false">AB738*(M739-AD738*J739)+AB738*AD738*(N739+Inputs!$B$14)/Inputs!$B$16-AJ739</f>
        <v>0</v>
      </c>
      <c r="AL739" s="30" t="n">
        <f aca="false">IF(AP738&lt;&gt;0,AQ738+1,0)</f>
        <v>9</v>
      </c>
      <c r="AM739" s="30" t="n">
        <f aca="false">IF(W739="",0,IF(AND(AP738&lt;&gt;0,OR(ABS(W739)&gt;Inputs!$B$7,AL739&gt;=Inputs!$B$8,ABS(W739)&lt;Inputs!$B$6)),1,0))</f>
        <v>0</v>
      </c>
      <c r="AN739" s="30" t="n">
        <f aca="false">IF(AM739=1,0,AP738)</f>
        <v>-1</v>
      </c>
      <c r="AO739" s="30" t="n">
        <f aca="false">IF(W739="",0,IF(AND(AN739=0,ABS(W739)&gt;Inputs!$B$5,ABS(W739)&lt;=Inputs!$B$7,W739&gt;0),1,0))</f>
        <v>0</v>
      </c>
      <c r="AP739" s="30" t="n">
        <f aca="false">IF(W739="",0,IF(AO739=1,-SIGN(W739),AN739))</f>
        <v>-1</v>
      </c>
      <c r="AQ739" s="30" t="n">
        <f aca="false">IF(W739="",0,IF(AO739=1,0,IF(AM739=1,0,AL739)))</f>
        <v>9</v>
      </c>
      <c r="AR739" s="29" t="n">
        <f aca="false">IF(AP739=0,0,IF(AP738=AP739,AR738,T739))</f>
        <v>1.01386853770639</v>
      </c>
      <c r="AS739" s="30" t="n">
        <f aca="false">AP739-AP738</f>
        <v>0</v>
      </c>
      <c r="AT739" s="30" t="n">
        <f aca="false">-AR739*AP739</f>
        <v>1.01386853770639</v>
      </c>
      <c r="AU739" s="30" t="n">
        <f aca="false">AT739-AT738</f>
        <v>0</v>
      </c>
      <c r="AV739" s="30" t="n">
        <f aca="false">MAX(AS739,0)*(Inputs!$B$17+Inputs!$B$18+Inputs!$B$19)+MAX(-AS739,0)*(O739+Inputs!$B$18+Inputs!$B$19)+IF(AND(K739=1,AP739&lt;&gt;0),(Inputs!$B$17+Inputs!$B$18+Inputs!$B$19)+(O739+Inputs!$B$18+Inputs!$B$19),0)+MAX(AU739,0)*(Inputs!$B$20+Inputs!$B$22+Inputs!$B$23)+MAX(-AU739,0)*(Inputs!$B$21+Inputs!$B$22+Inputs!$B$23)</f>
        <v>0</v>
      </c>
      <c r="AW739" s="30" t="n">
        <f aca="false">AP738*(M739-AR738*J739)+AP738*AR738*N739/Inputs!$B$16-AV739</f>
        <v>-0.00105692014148067</v>
      </c>
      <c r="AX739" s="30" t="n">
        <f aca="false">AW739-IF(AP738&lt;&gt;0,0.75*AR738*(Inputs!$B$13-N739)/Inputs!$B$16,0)</f>
        <v>-0.00132094840650837</v>
      </c>
      <c r="AY739" s="30" t="n">
        <f aca="false">MAX(AS739,0)*(Inputs!$B$17+Inputs!$B$18+Inputs!$B$19)+MAX(-AS739,0)*(O739+Inputs!$B$18+Inputs!$B$19)+IF(AND(K739=1,AP739&lt;&gt;0),(Inputs!$B$17+Inputs!$B$18+Inputs!$B$19)+(O739+Inputs!$B$18+Inputs!$B$19),0)</f>
        <v>0</v>
      </c>
      <c r="AZ739" s="30" t="n">
        <f aca="false">AP738*M739-AY739</f>
        <v>0.00320315661333659</v>
      </c>
      <c r="BA739" s="32" t="n">
        <f aca="false">BA738+AI739</f>
        <v>0.0192336555481302</v>
      </c>
      <c r="BB739" s="30" t="n">
        <f aca="false">MAX(BB738,BA739)</f>
        <v>0.0261726191772394</v>
      </c>
      <c r="BC739" s="32" t="n">
        <f aca="false">BA739-BB739</f>
        <v>-0.00693896362910917</v>
      </c>
      <c r="BD739" s="30" t="n">
        <f aca="false">A740-A739</f>
        <v>1</v>
      </c>
    </row>
    <row r="740" customFormat="false" ht="15" hidden="false" customHeight="false" outlineLevel="0" collapsed="false">
      <c r="A740" s="28" t="n">
        <v>46133</v>
      </c>
      <c r="B740" s="0" t="n">
        <v>24585.2</v>
      </c>
      <c r="C740" s="0" t="n">
        <v>277.59</v>
      </c>
      <c r="D740" s="29" t="n">
        <f aca="false">LN(B740)</f>
        <v>10.1098999148546</v>
      </c>
      <c r="E740" s="29" t="n">
        <f aca="false">LN(C740)</f>
        <v>5.62614520492905</v>
      </c>
      <c r="F740" s="0" t="n">
        <v>735</v>
      </c>
      <c r="G740" s="0" t="n">
        <v>7</v>
      </c>
      <c r="H740" s="29" t="n">
        <f aca="false">D740-E740</f>
        <v>4.48375470992559</v>
      </c>
      <c r="I740" s="29" t="n">
        <f aca="false">D740-D739</f>
        <v>0.0111745802580128</v>
      </c>
      <c r="J740" s="29" t="n">
        <f aca="false">E740-E739</f>
        <v>0.00973780975784777</v>
      </c>
      <c r="K740" s="0" t="n">
        <v>0</v>
      </c>
      <c r="L740" s="0" t="n">
        <v>0</v>
      </c>
      <c r="M740" s="29" t="n">
        <f aca="false">IF(L740=1,J740-Carry!$B$9/Inputs!$B$16,I740)</f>
        <v>0.0111745802580128</v>
      </c>
      <c r="N740" s="0" t="n">
        <v>0.0525</v>
      </c>
      <c r="O740" s="0" t="n">
        <v>0.0005</v>
      </c>
      <c r="P740" s="29" t="n">
        <f aca="false">D740-('2 Hedge ratio'!$B$6+'2 Hedge ratio'!$B$5*E740)</f>
        <v>-0.0061823401366734</v>
      </c>
      <c r="Q740" s="29" t="n">
        <f aca="false">D740-('5 Re-specification'!$B$7+'5 Re-specification'!$B$5*E740+'5 Re-specification'!$B$6*F740)</f>
        <v>0.00262677094158015</v>
      </c>
      <c r="R740" s="30" t="n">
        <f aca="false">MIN(F740,Inputs!$B$9)</f>
        <v>250</v>
      </c>
      <c r="S740" s="29" t="n">
        <f aca="true">IF(AND(F740&gt;=1,R740&gt;=Inputs!$B$10),INDEX(LINEST(OFFSET(D740,-R740,0,R740,1),OFFSET(E740,-R740,0,R740,2)),1,1),"")</f>
        <v>-5.50383119968379E-005</v>
      </c>
      <c r="T740" s="29" t="n">
        <f aca="true">IF(AND(F740&gt;=1,R740&gt;=Inputs!$B$10),INDEX(LINEST(OFFSET(D740,-R740,0,R740,1),OFFSET(E740,-R740,0,R740,2)),1,2),"")</f>
        <v>1.00839195871868</v>
      </c>
      <c r="U740" s="29" t="n">
        <f aca="true">IF(AND(F740&gt;=1,R740&gt;=Inputs!$B$10),INDEX(LINEST(OFFSET(D740,-R740,0,R740,1),OFFSET(E740,-R740,0,R740,2)),1,3),"")</f>
        <v>4.47299242687638</v>
      </c>
      <c r="V740" s="29" t="n">
        <f aca="true">IF(AND(F740&gt;=1,R740&gt;=Inputs!$B$10),SQRT(SUMPRODUCT((OFFSET(D740,-R740,0,R740,1)-U740-T740*OFFSET(E740,-R740,0,R740,1)-S740*OFFSET(F740,-R740,0,R740,1))^2)/(R740-3)),"")</f>
        <v>0.00249495404388061</v>
      </c>
      <c r="W740" s="31" t="n">
        <f aca="false">IF(AND(F740&gt;=1,R740&gt;=Inputs!$B$10),(D740-U740-T740*E740-S740*F740)/V740,"")</f>
        <v>1.60366242882739</v>
      </c>
      <c r="X740" s="30" t="n">
        <f aca="false">IF(AB739&lt;&gt;0,AC739+1,0)</f>
        <v>0</v>
      </c>
      <c r="Y740" s="30" t="n">
        <f aca="false">IF(W740="",0,IF(AND(AB739&lt;&gt;0,OR(ABS(W740)&gt;Inputs!$B$7,X740&gt;=Inputs!$B$8,ABS(W740)&lt;Inputs!$B$6)),1,0))</f>
        <v>0</v>
      </c>
      <c r="Z740" s="30" t="n">
        <f aca="false">IF(Y740=1,0,AB739)</f>
        <v>0</v>
      </c>
      <c r="AA740" s="30" t="n">
        <f aca="false">IF(W740="",0,IF(AND(Z740=0,ABS(W740)&gt;Inputs!$B$5,ABS(W740)&lt;=Inputs!$B$7),1,0))</f>
        <v>0</v>
      </c>
      <c r="AB740" s="30" t="n">
        <f aca="false">IF(W740="",0,IF(AA740=1,-SIGN(W740),Z740))</f>
        <v>0</v>
      </c>
      <c r="AC740" s="30" t="n">
        <f aca="false">IF(W740="",0,IF(AA740=1,0,IF(Y740=1,0,X740)))</f>
        <v>0</v>
      </c>
      <c r="AD740" s="30" t="n">
        <f aca="false">IF(AB740=0,0,IF(AB739=AB740,AD739,T740))</f>
        <v>0</v>
      </c>
      <c r="AE740" s="30" t="n">
        <f aca="false">AB740-AB739</f>
        <v>0</v>
      </c>
      <c r="AF740" s="30" t="n">
        <f aca="false">-AD740*AB740</f>
        <v>-0</v>
      </c>
      <c r="AG740" s="30" t="n">
        <f aca="false">AF740-AF739</f>
        <v>0</v>
      </c>
      <c r="AH740" s="30" t="n">
        <f aca="false">MAX(AE740,0)*(Inputs!$B$17+Inputs!$B$18+Inputs!$B$19)+MAX(-AE740,0)*(O740+Inputs!$B$18+Inputs!$B$19)+IF(AND(K740=1,AB740&lt;&gt;0),(Inputs!$B$17+Inputs!$B$18+Inputs!$B$19)+(O740+Inputs!$B$18+Inputs!$B$19),0)+MAX(AG740,0)*(Inputs!$B$20+Inputs!$B$22+Inputs!$B$23)+MAX(-AG740,0)*(Inputs!$B$21+Inputs!$B$22+Inputs!$B$23)</f>
        <v>0</v>
      </c>
      <c r="AI740" s="30" t="n">
        <f aca="false">AB739*(M740-AD739*J740)+AB739*AD739*N740/Inputs!$B$16-AH740</f>
        <v>0</v>
      </c>
      <c r="AJ740" s="30" t="n">
        <f aca="false">MAX(AE740,0)*(Inputs!$B$17+Inputs!$B$24+Inputs!$B$25)+MAX(-AE740,0)*(O740+Inputs!$B$24+Inputs!$B$25)+IF(AND(K740=1,AB740&lt;&gt;0),(Inputs!$B$17+Inputs!$B$24+Inputs!$B$25)+(O740+Inputs!$B$24+Inputs!$B$25),0)+MAX(AG740,0)*(Inputs!$B$20+Inputs!$B$26+Inputs!$B$27)+MAX(-AG740,0)*(Inputs!$B$21+Inputs!$B$26+Inputs!$B$27)</f>
        <v>0</v>
      </c>
      <c r="AK740" s="30" t="n">
        <f aca="false">AB739*(M740-AD739*J740)+AB739*AD739*(N740+Inputs!$B$14)/Inputs!$B$16-AJ740</f>
        <v>0</v>
      </c>
      <c r="AL740" s="30" t="n">
        <f aca="false">IF(AP739&lt;&gt;0,AQ739+1,0)</f>
        <v>10</v>
      </c>
      <c r="AM740" s="30" t="n">
        <f aca="false">IF(W740="",0,IF(AND(AP739&lt;&gt;0,OR(ABS(W740)&gt;Inputs!$B$7,AL740&gt;=Inputs!$B$8,ABS(W740)&lt;Inputs!$B$6)),1,0))</f>
        <v>1</v>
      </c>
      <c r="AN740" s="30" t="n">
        <f aca="false">IF(AM740=1,0,AP739)</f>
        <v>0</v>
      </c>
      <c r="AO740" s="30" t="n">
        <f aca="false">IF(W740="",0,IF(AND(AN740=0,ABS(W740)&gt;Inputs!$B$5,ABS(W740)&lt;=Inputs!$B$7,W740&gt;0),1,0))</f>
        <v>0</v>
      </c>
      <c r="AP740" s="30" t="n">
        <f aca="false">IF(W740="",0,IF(AO740=1,-SIGN(W740),AN740))</f>
        <v>0</v>
      </c>
      <c r="AQ740" s="30" t="n">
        <f aca="false">IF(W740="",0,IF(AO740=1,0,IF(AM740=1,0,AL740)))</f>
        <v>0</v>
      </c>
      <c r="AR740" s="30" t="n">
        <f aca="false">IF(AP740=0,0,IF(AP739=AP740,AR739,T740))</f>
        <v>0</v>
      </c>
      <c r="AS740" s="30" t="n">
        <f aca="false">AP740-AP739</f>
        <v>1</v>
      </c>
      <c r="AT740" s="30" t="n">
        <f aca="false">-AR740*AP740</f>
        <v>-0</v>
      </c>
      <c r="AU740" s="30" t="n">
        <f aca="false">AT740-AT739</f>
        <v>-1.01386853770639</v>
      </c>
      <c r="AV740" s="30" t="n">
        <f aca="false">MAX(AS740,0)*(Inputs!$B$17+Inputs!$B$18+Inputs!$B$19)+MAX(-AS740,0)*(O740+Inputs!$B$18+Inputs!$B$19)+IF(AND(K740=1,AP740&lt;&gt;0),(Inputs!$B$17+Inputs!$B$18+Inputs!$B$19)+(O740+Inputs!$B$18+Inputs!$B$19),0)+MAX(AU740,0)*(Inputs!$B$20+Inputs!$B$22+Inputs!$B$23)+MAX(-AU740,0)*(Inputs!$B$21+Inputs!$B$22+Inputs!$B$23)</f>
        <v>0.000367912392918342</v>
      </c>
      <c r="AW740" s="30" t="n">
        <f aca="false">AP739*(M740-AR739*J740)+AP739*AR739*N740/Inputs!$B$16-AV740</f>
        <v>-0.00188085632330112</v>
      </c>
      <c r="AX740" s="30" t="n">
        <f aca="false">AW740-IF(AP739&lt;&gt;0,0.75*AR739*(Inputs!$B$13-N740)/Inputs!$B$16,0)</f>
        <v>-0.00214488458832883</v>
      </c>
      <c r="AY740" s="30" t="n">
        <f aca="false">MAX(AS740,0)*(Inputs!$B$17+Inputs!$B$18+Inputs!$B$19)+MAX(-AS740,0)*(O740+Inputs!$B$18+Inputs!$B$19)+IF(AND(K740=1,AP740&lt;&gt;0),(Inputs!$B$17+Inputs!$B$18+Inputs!$B$19)+(O740+Inputs!$B$18+Inputs!$B$19),0)</f>
        <v>0.000155</v>
      </c>
      <c r="AZ740" s="30" t="n">
        <f aca="false">AP739*M740-AY740</f>
        <v>-0.0113295802580128</v>
      </c>
      <c r="BA740" s="32" t="n">
        <f aca="false">BA739+AI740</f>
        <v>0.0192336555481302</v>
      </c>
      <c r="BB740" s="30" t="n">
        <f aca="false">MAX(BB739,BA740)</f>
        <v>0.0261726191772394</v>
      </c>
      <c r="BC740" s="32" t="n">
        <f aca="false">BA740-BB740</f>
        <v>-0.00693896362910917</v>
      </c>
      <c r="BD740" s="30" t="n">
        <f aca="false">A741-A740</f>
        <v>1</v>
      </c>
    </row>
    <row r="741" customFormat="false" ht="15" hidden="false" customHeight="false" outlineLevel="0" collapsed="false">
      <c r="A741" s="28" t="n">
        <v>46134</v>
      </c>
      <c r="B741" s="0" t="n">
        <v>24385</v>
      </c>
      <c r="C741" s="0" t="n">
        <v>275.74</v>
      </c>
      <c r="D741" s="29" t="n">
        <f aca="false">LN(B741)</f>
        <v>10.1017234681442</v>
      </c>
      <c r="E741" s="29" t="n">
        <f aca="false">LN(C741)</f>
        <v>5.61945839274348</v>
      </c>
      <c r="F741" s="0" t="n">
        <v>736</v>
      </c>
      <c r="G741" s="0" t="n">
        <v>6</v>
      </c>
      <c r="H741" s="29" t="n">
        <f aca="false">D741-E741</f>
        <v>4.48226507540067</v>
      </c>
      <c r="I741" s="29" t="n">
        <f aca="false">D741-D740</f>
        <v>-0.00817644671048967</v>
      </c>
      <c r="J741" s="29" t="n">
        <f aca="false">E741-E740</f>
        <v>-0.00668681218556522</v>
      </c>
      <c r="K741" s="0" t="n">
        <v>0</v>
      </c>
      <c r="L741" s="0" t="n">
        <v>0</v>
      </c>
      <c r="M741" s="29" t="n">
        <f aca="false">IF(L741=1,J741-Carry!$B$9/Inputs!$B$16,I741)</f>
        <v>-0.00817644671048967</v>
      </c>
      <c r="N741" s="0" t="n">
        <v>0.0525</v>
      </c>
      <c r="O741" s="0" t="n">
        <v>0.0005</v>
      </c>
      <c r="P741" s="29" t="n">
        <f aca="false">D741-('2 Hedge ratio'!$B$6+'2 Hedge ratio'!$B$5*E741)</f>
        <v>-0.00823281926991193</v>
      </c>
      <c r="Q741" s="29" t="n">
        <f aca="false">D741-('5 Re-specification'!$B$7+'5 Re-specification'!$B$5*E741+'5 Re-specification'!$B$6*F741)</f>
        <v>0.0011618013502801</v>
      </c>
      <c r="R741" s="30" t="n">
        <f aca="false">MIN(F741,Inputs!$B$9)</f>
        <v>250</v>
      </c>
      <c r="S741" s="29" t="n">
        <f aca="true">IF(AND(F741&gt;=1,R741&gt;=Inputs!$B$10),INDEX(LINEST(OFFSET(D741,-R741,0,R741,1),OFFSET(E741,-R741,0,R741,2)),1,1),"")</f>
        <v>-5.44480654969042E-005</v>
      </c>
      <c r="T741" s="29" t="n">
        <f aca="true">IF(AND(F741&gt;=1,R741&gt;=Inputs!$B$10),INDEX(LINEST(OFFSET(D741,-R741,0,R741,1),OFFSET(E741,-R741,0,R741,2)),1,2),"")</f>
        <v>1.00863922481589</v>
      </c>
      <c r="U741" s="29" t="n">
        <f aca="true">IF(AND(F741&gt;=1,R741&gt;=Inputs!$B$10),INDEX(LINEST(OFFSET(D741,-R741,0,R741,1),OFFSET(E741,-R741,0,R741,2)),1,3),"")</f>
        <v>4.47124330366418</v>
      </c>
      <c r="V741" s="29" t="n">
        <f aca="true">IF(AND(F741&gt;=1,R741&gt;=Inputs!$B$10),SQRT(SUMPRODUCT((OFFSET(D741,-R741,0,R741,1)-U741-T741*OFFSET(E741,-R741,0,R741,1)-S741*OFFSET(F741,-R741,0,R741,1))^2)/(R741-3)),"")</f>
        <v>0.00250328202140037</v>
      </c>
      <c r="W741" s="31" t="n">
        <f aca="false">IF(AND(F741&gt;=1,R741&gt;=Inputs!$B$10),(D741-U741-T741*E741-S741*F741)/V741,"")</f>
        <v>1.01777727078363</v>
      </c>
      <c r="X741" s="30" t="n">
        <f aca="false">IF(AB740&lt;&gt;0,AC740+1,0)</f>
        <v>0</v>
      </c>
      <c r="Y741" s="30" t="n">
        <f aca="false">IF(W741="",0,IF(AND(AB740&lt;&gt;0,OR(ABS(W741)&gt;Inputs!$B$7,X741&gt;=Inputs!$B$8,ABS(W741)&lt;Inputs!$B$6)),1,0))</f>
        <v>0</v>
      </c>
      <c r="Z741" s="30" t="n">
        <f aca="false">IF(Y741=1,0,AB740)</f>
        <v>0</v>
      </c>
      <c r="AA741" s="30" t="n">
        <f aca="false">IF(W741="",0,IF(AND(Z741=0,ABS(W741)&gt;Inputs!$B$5,ABS(W741)&lt;=Inputs!$B$7),1,0))</f>
        <v>0</v>
      </c>
      <c r="AB741" s="30" t="n">
        <f aca="false">IF(W741="",0,IF(AA741=1,-SIGN(W741),Z741))</f>
        <v>0</v>
      </c>
      <c r="AC741" s="30" t="n">
        <f aca="false">IF(W741="",0,IF(AA741=1,0,IF(Y741=1,0,X741)))</f>
        <v>0</v>
      </c>
      <c r="AD741" s="30" t="n">
        <f aca="false">IF(AB741=0,0,IF(AB740=AB741,AD740,T741))</f>
        <v>0</v>
      </c>
      <c r="AE741" s="30" t="n">
        <f aca="false">AB741-AB740</f>
        <v>0</v>
      </c>
      <c r="AF741" s="30" t="n">
        <f aca="false">-AD741*AB741</f>
        <v>-0</v>
      </c>
      <c r="AG741" s="30" t="n">
        <f aca="false">AF741-AF740</f>
        <v>0</v>
      </c>
      <c r="AH741" s="30" t="n">
        <f aca="false">MAX(AE741,0)*(Inputs!$B$17+Inputs!$B$18+Inputs!$B$19)+MAX(-AE741,0)*(O741+Inputs!$B$18+Inputs!$B$19)+IF(AND(K741=1,AB741&lt;&gt;0),(Inputs!$B$17+Inputs!$B$18+Inputs!$B$19)+(O741+Inputs!$B$18+Inputs!$B$19),0)+MAX(AG741,0)*(Inputs!$B$20+Inputs!$B$22+Inputs!$B$23)+MAX(-AG741,0)*(Inputs!$B$21+Inputs!$B$22+Inputs!$B$23)</f>
        <v>0</v>
      </c>
      <c r="AI741" s="30" t="n">
        <f aca="false">AB740*(M741-AD740*J741)+AB740*AD740*N741/Inputs!$B$16-AH741</f>
        <v>0</v>
      </c>
      <c r="AJ741" s="30" t="n">
        <f aca="false">MAX(AE741,0)*(Inputs!$B$17+Inputs!$B$24+Inputs!$B$25)+MAX(-AE741,0)*(O741+Inputs!$B$24+Inputs!$B$25)+IF(AND(K741=1,AB741&lt;&gt;0),(Inputs!$B$17+Inputs!$B$24+Inputs!$B$25)+(O741+Inputs!$B$24+Inputs!$B$25),0)+MAX(AG741,0)*(Inputs!$B$20+Inputs!$B$26+Inputs!$B$27)+MAX(-AG741,0)*(Inputs!$B$21+Inputs!$B$26+Inputs!$B$27)</f>
        <v>0</v>
      </c>
      <c r="AK741" s="30" t="n">
        <f aca="false">AB740*(M741-AD740*J741)+AB740*AD740*(N741+Inputs!$B$14)/Inputs!$B$16-AJ741</f>
        <v>0</v>
      </c>
      <c r="AL741" s="30" t="n">
        <f aca="false">IF(AP740&lt;&gt;0,AQ740+1,0)</f>
        <v>0</v>
      </c>
      <c r="AM741" s="30" t="n">
        <f aca="false">IF(W741="",0,IF(AND(AP740&lt;&gt;0,OR(ABS(W741)&gt;Inputs!$B$7,AL741&gt;=Inputs!$B$8,ABS(W741)&lt;Inputs!$B$6)),1,0))</f>
        <v>0</v>
      </c>
      <c r="AN741" s="30" t="n">
        <f aca="false">IF(AM741=1,0,AP740)</f>
        <v>0</v>
      </c>
      <c r="AO741" s="30" t="n">
        <f aca="false">IF(W741="",0,IF(AND(AN741=0,ABS(W741)&gt;Inputs!$B$5,ABS(W741)&lt;=Inputs!$B$7,W741&gt;0),1,0))</f>
        <v>0</v>
      </c>
      <c r="AP741" s="30" t="n">
        <f aca="false">IF(W741="",0,IF(AO741=1,-SIGN(W741),AN741))</f>
        <v>0</v>
      </c>
      <c r="AQ741" s="30" t="n">
        <f aca="false">IF(W741="",0,IF(AO741=1,0,IF(AM741=1,0,AL741)))</f>
        <v>0</v>
      </c>
      <c r="AR741" s="30" t="n">
        <f aca="false">IF(AP741=0,0,IF(AP740=AP741,AR740,T741))</f>
        <v>0</v>
      </c>
      <c r="AS741" s="30" t="n">
        <f aca="false">AP741-AP740</f>
        <v>0</v>
      </c>
      <c r="AT741" s="30" t="n">
        <f aca="false">-AR741*AP741</f>
        <v>-0</v>
      </c>
      <c r="AU741" s="30" t="n">
        <f aca="false">AT741-AT740</f>
        <v>0</v>
      </c>
      <c r="AV741" s="30" t="n">
        <f aca="false">MAX(AS741,0)*(Inputs!$B$17+Inputs!$B$18+Inputs!$B$19)+MAX(-AS741,0)*(O741+Inputs!$B$18+Inputs!$B$19)+IF(AND(K741=1,AP741&lt;&gt;0),(Inputs!$B$17+Inputs!$B$18+Inputs!$B$19)+(O741+Inputs!$B$18+Inputs!$B$19),0)+MAX(AU741,0)*(Inputs!$B$20+Inputs!$B$22+Inputs!$B$23)+MAX(-AU741,0)*(Inputs!$B$21+Inputs!$B$22+Inputs!$B$23)</f>
        <v>0</v>
      </c>
      <c r="AW741" s="30" t="n">
        <f aca="false">AP740*(M741-AR740*J741)+AP740*AR740*N741/Inputs!$B$16-AV741</f>
        <v>0</v>
      </c>
      <c r="AX741" s="30" t="n">
        <f aca="false">AW741-IF(AP740&lt;&gt;0,0.75*AR740*(Inputs!$B$13-N741)/Inputs!$B$16,0)</f>
        <v>0</v>
      </c>
      <c r="AY741" s="30" t="n">
        <f aca="false">MAX(AS741,0)*(Inputs!$B$17+Inputs!$B$18+Inputs!$B$19)+MAX(-AS741,0)*(O741+Inputs!$B$18+Inputs!$B$19)+IF(AND(K741=1,AP741&lt;&gt;0),(Inputs!$B$17+Inputs!$B$18+Inputs!$B$19)+(O741+Inputs!$B$18+Inputs!$B$19),0)</f>
        <v>0</v>
      </c>
      <c r="AZ741" s="30" t="n">
        <f aca="false">AP740*M741-AY741</f>
        <v>-0</v>
      </c>
      <c r="BA741" s="32" t="n">
        <f aca="false">BA740+AI741</f>
        <v>0.0192336555481302</v>
      </c>
      <c r="BB741" s="30" t="n">
        <f aca="false">MAX(BB740,BA741)</f>
        <v>0.0261726191772394</v>
      </c>
      <c r="BC741" s="32" t="n">
        <f aca="false">BA741-BB741</f>
        <v>-0.00693896362910917</v>
      </c>
      <c r="BD741" s="30" t="n">
        <f aca="false">A742-A741</f>
        <v>1</v>
      </c>
    </row>
    <row r="742" customFormat="false" ht="15" hidden="false" customHeight="false" outlineLevel="0" collapsed="false">
      <c r="A742" s="28" t="n">
        <v>46135</v>
      </c>
      <c r="B742" s="0" t="n">
        <v>24166</v>
      </c>
      <c r="C742" s="0" t="n">
        <v>273.8</v>
      </c>
      <c r="D742" s="29" t="n">
        <f aca="false">LN(B742)</f>
        <v>10.0927019655873</v>
      </c>
      <c r="E742" s="29" t="n">
        <f aca="false">LN(C742)</f>
        <v>5.61239791285435</v>
      </c>
      <c r="F742" s="0" t="n">
        <v>737</v>
      </c>
      <c r="G742" s="0" t="n">
        <v>5</v>
      </c>
      <c r="H742" s="29" t="n">
        <f aca="false">D742-E742</f>
        <v>4.4803040527329</v>
      </c>
      <c r="I742" s="29" t="n">
        <f aca="false">D742-D741</f>
        <v>-0.00902150255689982</v>
      </c>
      <c r="J742" s="29" t="n">
        <f aca="false">E742-E741</f>
        <v>-0.00706047988913472</v>
      </c>
      <c r="K742" s="0" t="n">
        <v>0</v>
      </c>
      <c r="L742" s="0" t="n">
        <v>0</v>
      </c>
      <c r="M742" s="29" t="n">
        <f aca="false">IF(L742=1,J742-Carry!$B$9/Inputs!$B$16,I742)</f>
        <v>-0.00902150255689982</v>
      </c>
      <c r="N742" s="0" t="n">
        <v>0.0525</v>
      </c>
      <c r="O742" s="0" t="n">
        <v>0.0005</v>
      </c>
      <c r="P742" s="29" t="n">
        <f aca="false">D742-('2 Hedge ratio'!$B$6+'2 Hedge ratio'!$B$5*E742)</f>
        <v>-0.0107860272672511</v>
      </c>
      <c r="Q742" s="29" t="n">
        <f aca="false">D742-('5 Re-specification'!$B$7+'5 Re-specification'!$B$5*E742+'5 Re-specification'!$B$6*F742)</f>
        <v>-0.000775688783839712</v>
      </c>
      <c r="R742" s="30" t="n">
        <f aca="false">MIN(F742,Inputs!$B$9)</f>
        <v>250</v>
      </c>
      <c r="S742" s="29" t="n">
        <f aca="true">IF(AND(F742&gt;=1,R742&gt;=Inputs!$B$10),INDEX(LINEST(OFFSET(D742,-R742,0,R742,1),OFFSET(E742,-R742,0,R742,2)),1,1),"")</f>
        <v>-5.40611765532315E-005</v>
      </c>
      <c r="T742" s="29" t="n">
        <f aca="true">IF(AND(F742&gt;=1,R742&gt;=Inputs!$B$10),INDEX(LINEST(OFFSET(D742,-R742,0,R742,1),OFFSET(E742,-R742,0,R742,2)),1,2),"")</f>
        <v>1.00865305920983</v>
      </c>
      <c r="U742" s="29" t="n">
        <f aca="true">IF(AND(F742&gt;=1,R742&gt;=Inputs!$B$10),INDEX(LINEST(OFFSET(D742,-R742,0,R742,1),OFFSET(E742,-R742,0,R742,2)),1,3),"")</f>
        <v>4.47093285445096</v>
      </c>
      <c r="V742" s="29" t="n">
        <f aca="true">IF(AND(F742&gt;=1,R742&gt;=Inputs!$B$10),SQRT(SUMPRODUCT((OFFSET(D742,-R742,0,R742,1)-U742-T742*OFFSET(E742,-R742,0,R742,1)-S742*OFFSET(F742,-R742,0,R742,1))^2)/(R742-3)),"")</f>
        <v>0.00250656551427085</v>
      </c>
      <c r="W742" s="31" t="n">
        <f aca="false">IF(AND(F742&gt;=1,R742&gt;=Inputs!$B$10),(D742-U742-T742*E742-S742*F742)/V742,"")</f>
        <v>0.259268688130747</v>
      </c>
      <c r="X742" s="30" t="n">
        <f aca="false">IF(AB741&lt;&gt;0,AC741+1,0)</f>
        <v>0</v>
      </c>
      <c r="Y742" s="30" t="n">
        <f aca="false">IF(W742="",0,IF(AND(AB741&lt;&gt;0,OR(ABS(W742)&gt;Inputs!$B$7,X742&gt;=Inputs!$B$8,ABS(W742)&lt;Inputs!$B$6)),1,0))</f>
        <v>0</v>
      </c>
      <c r="Z742" s="30" t="n">
        <f aca="false">IF(Y742=1,0,AB741)</f>
        <v>0</v>
      </c>
      <c r="AA742" s="30" t="n">
        <f aca="false">IF(W742="",0,IF(AND(Z742=0,ABS(W742)&gt;Inputs!$B$5,ABS(W742)&lt;=Inputs!$B$7),1,0))</f>
        <v>0</v>
      </c>
      <c r="AB742" s="30" t="n">
        <f aca="false">IF(W742="",0,IF(AA742=1,-SIGN(W742),Z742))</f>
        <v>0</v>
      </c>
      <c r="AC742" s="30" t="n">
        <f aca="false">IF(W742="",0,IF(AA742=1,0,IF(Y742=1,0,X742)))</f>
        <v>0</v>
      </c>
      <c r="AD742" s="30" t="n">
        <f aca="false">IF(AB742=0,0,IF(AB741=AB742,AD741,T742))</f>
        <v>0</v>
      </c>
      <c r="AE742" s="30" t="n">
        <f aca="false">AB742-AB741</f>
        <v>0</v>
      </c>
      <c r="AF742" s="30" t="n">
        <f aca="false">-AD742*AB742</f>
        <v>-0</v>
      </c>
      <c r="AG742" s="30" t="n">
        <f aca="false">AF742-AF741</f>
        <v>0</v>
      </c>
      <c r="AH742" s="30" t="n">
        <f aca="false">MAX(AE742,0)*(Inputs!$B$17+Inputs!$B$18+Inputs!$B$19)+MAX(-AE742,0)*(O742+Inputs!$B$18+Inputs!$B$19)+IF(AND(K742=1,AB742&lt;&gt;0),(Inputs!$B$17+Inputs!$B$18+Inputs!$B$19)+(O742+Inputs!$B$18+Inputs!$B$19),0)+MAX(AG742,0)*(Inputs!$B$20+Inputs!$B$22+Inputs!$B$23)+MAX(-AG742,0)*(Inputs!$B$21+Inputs!$B$22+Inputs!$B$23)</f>
        <v>0</v>
      </c>
      <c r="AI742" s="30" t="n">
        <f aca="false">AB741*(M742-AD741*J742)+AB741*AD741*N742/Inputs!$B$16-AH742</f>
        <v>0</v>
      </c>
      <c r="AJ742" s="30" t="n">
        <f aca="false">MAX(AE742,0)*(Inputs!$B$17+Inputs!$B$24+Inputs!$B$25)+MAX(-AE742,0)*(O742+Inputs!$B$24+Inputs!$B$25)+IF(AND(K742=1,AB742&lt;&gt;0),(Inputs!$B$17+Inputs!$B$24+Inputs!$B$25)+(O742+Inputs!$B$24+Inputs!$B$25),0)+MAX(AG742,0)*(Inputs!$B$20+Inputs!$B$26+Inputs!$B$27)+MAX(-AG742,0)*(Inputs!$B$21+Inputs!$B$26+Inputs!$B$27)</f>
        <v>0</v>
      </c>
      <c r="AK742" s="30" t="n">
        <f aca="false">AB741*(M742-AD741*J742)+AB741*AD741*(N742+Inputs!$B$14)/Inputs!$B$16-AJ742</f>
        <v>0</v>
      </c>
      <c r="AL742" s="30" t="n">
        <f aca="false">IF(AP741&lt;&gt;0,AQ741+1,0)</f>
        <v>0</v>
      </c>
      <c r="AM742" s="30" t="n">
        <f aca="false">IF(W742="",0,IF(AND(AP741&lt;&gt;0,OR(ABS(W742)&gt;Inputs!$B$7,AL742&gt;=Inputs!$B$8,ABS(W742)&lt;Inputs!$B$6)),1,0))</f>
        <v>0</v>
      </c>
      <c r="AN742" s="30" t="n">
        <f aca="false">IF(AM742=1,0,AP741)</f>
        <v>0</v>
      </c>
      <c r="AO742" s="30" t="n">
        <f aca="false">IF(W742="",0,IF(AND(AN742=0,ABS(W742)&gt;Inputs!$B$5,ABS(W742)&lt;=Inputs!$B$7,W742&gt;0),1,0))</f>
        <v>0</v>
      </c>
      <c r="AP742" s="30" t="n">
        <f aca="false">IF(W742="",0,IF(AO742=1,-SIGN(W742),AN742))</f>
        <v>0</v>
      </c>
      <c r="AQ742" s="30" t="n">
        <f aca="false">IF(W742="",0,IF(AO742=1,0,IF(AM742=1,0,AL742)))</f>
        <v>0</v>
      </c>
      <c r="AR742" s="30" t="n">
        <f aca="false">IF(AP742=0,0,IF(AP741=AP742,AR741,T742))</f>
        <v>0</v>
      </c>
      <c r="AS742" s="30" t="n">
        <f aca="false">AP742-AP741</f>
        <v>0</v>
      </c>
      <c r="AT742" s="30" t="n">
        <f aca="false">-AR742*AP742</f>
        <v>-0</v>
      </c>
      <c r="AU742" s="30" t="n">
        <f aca="false">AT742-AT741</f>
        <v>0</v>
      </c>
      <c r="AV742" s="30" t="n">
        <f aca="false">MAX(AS742,0)*(Inputs!$B$17+Inputs!$B$18+Inputs!$B$19)+MAX(-AS742,0)*(O742+Inputs!$B$18+Inputs!$B$19)+IF(AND(K742=1,AP742&lt;&gt;0),(Inputs!$B$17+Inputs!$B$18+Inputs!$B$19)+(O742+Inputs!$B$18+Inputs!$B$19),0)+MAX(AU742,0)*(Inputs!$B$20+Inputs!$B$22+Inputs!$B$23)+MAX(-AU742,0)*(Inputs!$B$21+Inputs!$B$22+Inputs!$B$23)</f>
        <v>0</v>
      </c>
      <c r="AW742" s="30" t="n">
        <f aca="false">AP741*(M742-AR741*J742)+AP741*AR741*N742/Inputs!$B$16-AV742</f>
        <v>0</v>
      </c>
      <c r="AX742" s="30" t="n">
        <f aca="false">AW742-IF(AP741&lt;&gt;0,0.75*AR741*(Inputs!$B$13-N742)/Inputs!$B$16,0)</f>
        <v>0</v>
      </c>
      <c r="AY742" s="30" t="n">
        <f aca="false">MAX(AS742,0)*(Inputs!$B$17+Inputs!$B$18+Inputs!$B$19)+MAX(-AS742,0)*(O742+Inputs!$B$18+Inputs!$B$19)+IF(AND(K742=1,AP742&lt;&gt;0),(Inputs!$B$17+Inputs!$B$18+Inputs!$B$19)+(O742+Inputs!$B$18+Inputs!$B$19),0)</f>
        <v>0</v>
      </c>
      <c r="AZ742" s="30" t="n">
        <f aca="false">AP741*M742-AY742</f>
        <v>-0</v>
      </c>
      <c r="BA742" s="32" t="n">
        <f aca="false">BA741+AI742</f>
        <v>0.0192336555481302</v>
      </c>
      <c r="BB742" s="30" t="n">
        <f aca="false">MAX(BB741,BA742)</f>
        <v>0.0261726191772394</v>
      </c>
      <c r="BC742" s="32" t="n">
        <f aca="false">BA742-BB742</f>
        <v>-0.00693896362910917</v>
      </c>
      <c r="BD742" s="30" t="n">
        <f aca="false">A743-A742</f>
        <v>1</v>
      </c>
    </row>
    <row r="743" customFormat="false" ht="15" hidden="false" customHeight="false" outlineLevel="0" collapsed="false">
      <c r="A743" s="28" t="n">
        <v>46136</v>
      </c>
      <c r="B743" s="0" t="n">
        <v>23930</v>
      </c>
      <c r="C743" s="0" t="n">
        <v>271.34</v>
      </c>
      <c r="D743" s="29" t="n">
        <f aca="false">LN(B743)</f>
        <v>10.0828881809024</v>
      </c>
      <c r="E743" s="29" t="n">
        <f aca="false">LN(C743)</f>
        <v>5.60337264705716</v>
      </c>
      <c r="F743" s="0" t="n">
        <v>738</v>
      </c>
      <c r="G743" s="0" t="n">
        <v>4</v>
      </c>
      <c r="H743" s="29" t="n">
        <f aca="false">D743-E743</f>
        <v>4.47951553384526</v>
      </c>
      <c r="I743" s="29" t="n">
        <f aca="false">D743-D742</f>
        <v>-0.00981378468483385</v>
      </c>
      <c r="J743" s="29" t="n">
        <f aca="false">E743-E742</f>
        <v>-0.00902526579718543</v>
      </c>
      <c r="K743" s="0" t="n">
        <v>0</v>
      </c>
      <c r="L743" s="0" t="n">
        <v>0</v>
      </c>
      <c r="M743" s="29" t="n">
        <f aca="false">IF(L743=1,J743-Carry!$B$9/Inputs!$B$16,I743)</f>
        <v>-0.00981378468483385</v>
      </c>
      <c r="N743" s="0" t="n">
        <v>0.0525</v>
      </c>
      <c r="O743" s="0" t="n">
        <v>0.0005</v>
      </c>
      <c r="P743" s="29" t="n">
        <f aca="false">D743-('2 Hedge ratio'!$B$6+'2 Hedge ratio'!$B$5*E743)</f>
        <v>-0.012331524445969</v>
      </c>
      <c r="Q743" s="29" t="n">
        <f aca="false">D743-('5 Re-specification'!$B$7+'5 Re-specification'!$B$5*E743+'5 Re-specification'!$B$6*F743)</f>
        <v>-0.00154662942158268</v>
      </c>
      <c r="R743" s="30" t="n">
        <f aca="false">MIN(F743,Inputs!$B$9)</f>
        <v>250</v>
      </c>
      <c r="S743" s="29" t="n">
        <f aca="true">IF(AND(F743&gt;=1,R743&gt;=Inputs!$B$10),INDEX(LINEST(OFFSET(D743,-R743,0,R743,1),OFFSET(E743,-R743,0,R743,2)),1,1),"")</f>
        <v>-5.38821188281448E-005</v>
      </c>
      <c r="T743" s="29" t="n">
        <f aca="true">IF(AND(F743&gt;=1,R743&gt;=Inputs!$B$10),INDEX(LINEST(OFFSET(D743,-R743,0,R743,1),OFFSET(E743,-R743,0,R743,2)),1,2),"")</f>
        <v>1.00877024174222</v>
      </c>
      <c r="U743" s="29" t="n">
        <f aca="true">IF(AND(F743&gt;=1,R743&gt;=Inputs!$B$10),INDEX(LINEST(OFFSET(D743,-R743,0,R743,1),OFFSET(E743,-R743,0,R743,2)),1,3),"")</f>
        <v>4.47015932249998</v>
      </c>
      <c r="V743" s="29" t="n">
        <f aca="true">IF(AND(F743&gt;=1,R743&gt;=Inputs!$B$10),SQRT(SUMPRODUCT((OFFSET(D743,-R743,0,R743,1)-U743-T743*OFFSET(E743,-R743,0,R743,1)-S743*OFFSET(F743,-R743,0,R743,1))^2)/(R743-3)),"")</f>
        <v>0.00250559261845939</v>
      </c>
      <c r="W743" s="31" t="n">
        <f aca="false">IF(AND(F743&gt;=1,R743&gt;=Inputs!$B$10),(D743-U743-T743*E743-S743*F743)/V743,"")</f>
        <v>-0.00866766841656684</v>
      </c>
      <c r="X743" s="30" t="n">
        <f aca="false">IF(AB742&lt;&gt;0,AC742+1,0)</f>
        <v>0</v>
      </c>
      <c r="Y743" s="30" t="n">
        <f aca="false">IF(W743="",0,IF(AND(AB742&lt;&gt;0,OR(ABS(W743)&gt;Inputs!$B$7,X743&gt;=Inputs!$B$8,ABS(W743)&lt;Inputs!$B$6)),1,0))</f>
        <v>0</v>
      </c>
      <c r="Z743" s="30" t="n">
        <f aca="false">IF(Y743=1,0,AB742)</f>
        <v>0</v>
      </c>
      <c r="AA743" s="30" t="n">
        <f aca="false">IF(W743="",0,IF(AND(Z743=0,ABS(W743)&gt;Inputs!$B$5,ABS(W743)&lt;=Inputs!$B$7),1,0))</f>
        <v>0</v>
      </c>
      <c r="AB743" s="30" t="n">
        <f aca="false">IF(W743="",0,IF(AA743=1,-SIGN(W743),Z743))</f>
        <v>0</v>
      </c>
      <c r="AC743" s="30" t="n">
        <f aca="false">IF(W743="",0,IF(AA743=1,0,IF(Y743=1,0,X743)))</f>
        <v>0</v>
      </c>
      <c r="AD743" s="30" t="n">
        <f aca="false">IF(AB743=0,0,IF(AB742=AB743,AD742,T743))</f>
        <v>0</v>
      </c>
      <c r="AE743" s="30" t="n">
        <f aca="false">AB743-AB742</f>
        <v>0</v>
      </c>
      <c r="AF743" s="30" t="n">
        <f aca="false">-AD743*AB743</f>
        <v>-0</v>
      </c>
      <c r="AG743" s="30" t="n">
        <f aca="false">AF743-AF742</f>
        <v>0</v>
      </c>
      <c r="AH743" s="30" t="n">
        <f aca="false">MAX(AE743,0)*(Inputs!$B$17+Inputs!$B$18+Inputs!$B$19)+MAX(-AE743,0)*(O743+Inputs!$B$18+Inputs!$B$19)+IF(AND(K743=1,AB743&lt;&gt;0),(Inputs!$B$17+Inputs!$B$18+Inputs!$B$19)+(O743+Inputs!$B$18+Inputs!$B$19),0)+MAX(AG743,0)*(Inputs!$B$20+Inputs!$B$22+Inputs!$B$23)+MAX(-AG743,0)*(Inputs!$B$21+Inputs!$B$22+Inputs!$B$23)</f>
        <v>0</v>
      </c>
      <c r="AI743" s="30" t="n">
        <f aca="false">AB742*(M743-AD742*J743)+AB742*AD742*N743/Inputs!$B$16-AH743</f>
        <v>0</v>
      </c>
      <c r="AJ743" s="30" t="n">
        <f aca="false">MAX(AE743,0)*(Inputs!$B$17+Inputs!$B$24+Inputs!$B$25)+MAX(-AE743,0)*(O743+Inputs!$B$24+Inputs!$B$25)+IF(AND(K743=1,AB743&lt;&gt;0),(Inputs!$B$17+Inputs!$B$24+Inputs!$B$25)+(O743+Inputs!$B$24+Inputs!$B$25),0)+MAX(AG743,0)*(Inputs!$B$20+Inputs!$B$26+Inputs!$B$27)+MAX(-AG743,0)*(Inputs!$B$21+Inputs!$B$26+Inputs!$B$27)</f>
        <v>0</v>
      </c>
      <c r="AK743" s="30" t="n">
        <f aca="false">AB742*(M743-AD742*J743)+AB742*AD742*(N743+Inputs!$B$14)/Inputs!$B$16-AJ743</f>
        <v>0</v>
      </c>
      <c r="AL743" s="30" t="n">
        <f aca="false">IF(AP742&lt;&gt;0,AQ742+1,0)</f>
        <v>0</v>
      </c>
      <c r="AM743" s="30" t="n">
        <f aca="false">IF(W743="",0,IF(AND(AP742&lt;&gt;0,OR(ABS(W743)&gt;Inputs!$B$7,AL743&gt;=Inputs!$B$8,ABS(W743)&lt;Inputs!$B$6)),1,0))</f>
        <v>0</v>
      </c>
      <c r="AN743" s="30" t="n">
        <f aca="false">IF(AM743=1,0,AP742)</f>
        <v>0</v>
      </c>
      <c r="AO743" s="30" t="n">
        <f aca="false">IF(W743="",0,IF(AND(AN743=0,ABS(W743)&gt;Inputs!$B$5,ABS(W743)&lt;=Inputs!$B$7,W743&gt;0),1,0))</f>
        <v>0</v>
      </c>
      <c r="AP743" s="30" t="n">
        <f aca="false">IF(W743="",0,IF(AO743=1,-SIGN(W743),AN743))</f>
        <v>0</v>
      </c>
      <c r="AQ743" s="30" t="n">
        <f aca="false">IF(W743="",0,IF(AO743=1,0,IF(AM743=1,0,AL743)))</f>
        <v>0</v>
      </c>
      <c r="AR743" s="30" t="n">
        <f aca="false">IF(AP743=0,0,IF(AP742=AP743,AR742,T743))</f>
        <v>0</v>
      </c>
      <c r="AS743" s="30" t="n">
        <f aca="false">AP743-AP742</f>
        <v>0</v>
      </c>
      <c r="AT743" s="30" t="n">
        <f aca="false">-AR743*AP743</f>
        <v>-0</v>
      </c>
      <c r="AU743" s="30" t="n">
        <f aca="false">AT743-AT742</f>
        <v>0</v>
      </c>
      <c r="AV743" s="30" t="n">
        <f aca="false">MAX(AS743,0)*(Inputs!$B$17+Inputs!$B$18+Inputs!$B$19)+MAX(-AS743,0)*(O743+Inputs!$B$18+Inputs!$B$19)+IF(AND(K743=1,AP743&lt;&gt;0),(Inputs!$B$17+Inputs!$B$18+Inputs!$B$19)+(O743+Inputs!$B$18+Inputs!$B$19),0)+MAX(AU743,0)*(Inputs!$B$20+Inputs!$B$22+Inputs!$B$23)+MAX(-AU743,0)*(Inputs!$B$21+Inputs!$B$22+Inputs!$B$23)</f>
        <v>0</v>
      </c>
      <c r="AW743" s="30" t="n">
        <f aca="false">AP742*(M743-AR742*J743)+AP742*AR742*N743/Inputs!$B$16-AV743</f>
        <v>0</v>
      </c>
      <c r="AX743" s="30" t="n">
        <f aca="false">AW743-IF(AP742&lt;&gt;0,0.75*AR742*(Inputs!$B$13-N743)/Inputs!$B$16,0)</f>
        <v>0</v>
      </c>
      <c r="AY743" s="30" t="n">
        <f aca="false">MAX(AS743,0)*(Inputs!$B$17+Inputs!$B$18+Inputs!$B$19)+MAX(-AS743,0)*(O743+Inputs!$B$18+Inputs!$B$19)+IF(AND(K743=1,AP743&lt;&gt;0),(Inputs!$B$17+Inputs!$B$18+Inputs!$B$19)+(O743+Inputs!$B$18+Inputs!$B$19),0)</f>
        <v>0</v>
      </c>
      <c r="AZ743" s="30" t="n">
        <f aca="false">AP742*M743-AY743</f>
        <v>-0</v>
      </c>
      <c r="BA743" s="32" t="n">
        <f aca="false">BA742+AI743</f>
        <v>0.0192336555481302</v>
      </c>
      <c r="BB743" s="30" t="n">
        <f aca="false">MAX(BB742,BA743)</f>
        <v>0.0261726191772394</v>
      </c>
      <c r="BC743" s="32" t="n">
        <f aca="false">BA743-BB743</f>
        <v>-0.00693896362910917</v>
      </c>
      <c r="BD743" s="30" t="n">
        <f aca="false">A744-A743</f>
        <v>3</v>
      </c>
    </row>
    <row r="744" customFormat="false" ht="15" hidden="false" customHeight="false" outlineLevel="0" collapsed="false">
      <c r="A744" s="28" t="n">
        <v>46139</v>
      </c>
      <c r="B744" s="0" t="n">
        <v>24130</v>
      </c>
      <c r="C744" s="0" t="n">
        <v>272.72</v>
      </c>
      <c r="D744" s="29" t="n">
        <f aca="false">LN(B744)</f>
        <v>10.0912111586191</v>
      </c>
      <c r="E744" s="29" t="n">
        <f aca="false">LN(C744)</f>
        <v>5.60844562782965</v>
      </c>
      <c r="F744" s="0" t="n">
        <v>739</v>
      </c>
      <c r="G744" s="0" t="n">
        <v>1</v>
      </c>
      <c r="H744" s="29" t="n">
        <f aca="false">D744-E744</f>
        <v>4.48276553078943</v>
      </c>
      <c r="I744" s="29" t="n">
        <f aca="false">D744-D743</f>
        <v>0.00832297771665935</v>
      </c>
      <c r="J744" s="29" t="n">
        <f aca="false">E744-E743</f>
        <v>0.00507298077248475</v>
      </c>
      <c r="K744" s="0" t="n">
        <v>0</v>
      </c>
      <c r="L744" s="0" t="n">
        <v>0</v>
      </c>
      <c r="M744" s="29" t="n">
        <f aca="false">IF(L744=1,J744-Carry!$B$9/Inputs!$B$16,I744)</f>
        <v>0.00832297771665935</v>
      </c>
      <c r="N744" s="0" t="n">
        <v>0.0525</v>
      </c>
      <c r="O744" s="0" t="n">
        <v>0.0005</v>
      </c>
      <c r="P744" s="29" t="n">
        <f aca="false">D744-('2 Hedge ratio'!$B$6+'2 Hedge ratio'!$B$5*E744)</f>
        <v>-0.00865604016412647</v>
      </c>
      <c r="Q744" s="29" t="n">
        <f aca="false">D744-('5 Re-specification'!$B$7+'5 Re-specification'!$B$5*E744+'5 Re-specification'!$B$6*F744)</f>
        <v>0.00176367050902826</v>
      </c>
      <c r="R744" s="30" t="n">
        <f aca="false">MIN(F744,Inputs!$B$9)</f>
        <v>250</v>
      </c>
      <c r="S744" s="29" t="n">
        <f aca="true">IF(AND(F744&gt;=1,R744&gt;=Inputs!$B$10),INDEX(LINEST(OFFSET(D744,-R744,0,R744,1),OFFSET(E744,-R744,0,R744,2)),1,1),"")</f>
        <v>-5.37500636565983E-005</v>
      </c>
      <c r="T744" s="29" t="n">
        <f aca="true">IF(AND(F744&gt;=1,R744&gt;=Inputs!$B$10),INDEX(LINEST(OFFSET(D744,-R744,0,R744,1),OFFSET(E744,-R744,0,R744,2)),1,2),"")</f>
        <v>1.00901702717169</v>
      </c>
      <c r="U744" s="29" t="n">
        <f aca="true">IF(AND(F744&gt;=1,R744&gt;=Inputs!$B$10),INDEX(LINEST(OFFSET(D744,-R744,0,R744,1),OFFSET(E744,-R744,0,R744,2)),1,3),"")</f>
        <v>4.46867939644881</v>
      </c>
      <c r="V744" s="29" t="n">
        <f aca="true">IF(AND(F744&gt;=1,R744&gt;=Inputs!$B$10),SQRT(SUMPRODUCT((OFFSET(D744,-R744,0,R744,1)-U744-T744*OFFSET(E744,-R744,0,R744,1)-S744*OFFSET(F744,-R744,0,R744,1))^2)/(R744-3)),"")</f>
        <v>0.00250382763387209</v>
      </c>
      <c r="W744" s="31" t="n">
        <f aca="false">IF(AND(F744&gt;=1,R744&gt;=Inputs!$B$10),(D744-U744-T744*E744-S744*F744)/V744,"")</f>
        <v>1.29239118618967</v>
      </c>
      <c r="X744" s="30" t="n">
        <f aca="false">IF(AB743&lt;&gt;0,AC743+1,0)</f>
        <v>0</v>
      </c>
      <c r="Y744" s="30" t="n">
        <f aca="false">IF(W744="",0,IF(AND(AB743&lt;&gt;0,OR(ABS(W744)&gt;Inputs!$B$7,X744&gt;=Inputs!$B$8,ABS(W744)&lt;Inputs!$B$6)),1,0))</f>
        <v>0</v>
      </c>
      <c r="Z744" s="30" t="n">
        <f aca="false">IF(Y744=1,0,AB743)</f>
        <v>0</v>
      </c>
      <c r="AA744" s="30" t="n">
        <f aca="false">IF(W744="",0,IF(AND(Z744=0,ABS(W744)&gt;Inputs!$B$5,ABS(W744)&lt;=Inputs!$B$7),1,0))</f>
        <v>0</v>
      </c>
      <c r="AB744" s="30" t="n">
        <f aca="false">IF(W744="",0,IF(AA744=1,-SIGN(W744),Z744))</f>
        <v>0</v>
      </c>
      <c r="AC744" s="30" t="n">
        <f aca="false">IF(W744="",0,IF(AA744=1,0,IF(Y744=1,0,X744)))</f>
        <v>0</v>
      </c>
      <c r="AD744" s="30" t="n">
        <f aca="false">IF(AB744=0,0,IF(AB743=AB744,AD743,T744))</f>
        <v>0</v>
      </c>
      <c r="AE744" s="30" t="n">
        <f aca="false">AB744-AB743</f>
        <v>0</v>
      </c>
      <c r="AF744" s="30" t="n">
        <f aca="false">-AD744*AB744</f>
        <v>-0</v>
      </c>
      <c r="AG744" s="30" t="n">
        <f aca="false">AF744-AF743</f>
        <v>0</v>
      </c>
      <c r="AH744" s="30" t="n">
        <f aca="false">MAX(AE744,0)*(Inputs!$B$17+Inputs!$B$18+Inputs!$B$19)+MAX(-AE744,0)*(O744+Inputs!$B$18+Inputs!$B$19)+IF(AND(K744=1,AB744&lt;&gt;0),(Inputs!$B$17+Inputs!$B$18+Inputs!$B$19)+(O744+Inputs!$B$18+Inputs!$B$19),0)+MAX(AG744,0)*(Inputs!$B$20+Inputs!$B$22+Inputs!$B$23)+MAX(-AG744,0)*(Inputs!$B$21+Inputs!$B$22+Inputs!$B$23)</f>
        <v>0</v>
      </c>
      <c r="AI744" s="30" t="n">
        <f aca="false">AB743*(M744-AD743*J744)+AB743*AD743*N744/Inputs!$B$16-AH744</f>
        <v>0</v>
      </c>
      <c r="AJ744" s="30" t="n">
        <f aca="false">MAX(AE744,0)*(Inputs!$B$17+Inputs!$B$24+Inputs!$B$25)+MAX(-AE744,0)*(O744+Inputs!$B$24+Inputs!$B$25)+IF(AND(K744=1,AB744&lt;&gt;0),(Inputs!$B$17+Inputs!$B$24+Inputs!$B$25)+(O744+Inputs!$B$24+Inputs!$B$25),0)+MAX(AG744,0)*(Inputs!$B$20+Inputs!$B$26+Inputs!$B$27)+MAX(-AG744,0)*(Inputs!$B$21+Inputs!$B$26+Inputs!$B$27)</f>
        <v>0</v>
      </c>
      <c r="AK744" s="30" t="n">
        <f aca="false">AB743*(M744-AD743*J744)+AB743*AD743*(N744+Inputs!$B$14)/Inputs!$B$16-AJ744</f>
        <v>0</v>
      </c>
      <c r="AL744" s="30" t="n">
        <f aca="false">IF(AP743&lt;&gt;0,AQ743+1,0)</f>
        <v>0</v>
      </c>
      <c r="AM744" s="30" t="n">
        <f aca="false">IF(W744="",0,IF(AND(AP743&lt;&gt;0,OR(ABS(W744)&gt;Inputs!$B$7,AL744&gt;=Inputs!$B$8,ABS(W744)&lt;Inputs!$B$6)),1,0))</f>
        <v>0</v>
      </c>
      <c r="AN744" s="30" t="n">
        <f aca="false">IF(AM744=1,0,AP743)</f>
        <v>0</v>
      </c>
      <c r="AO744" s="30" t="n">
        <f aca="false">IF(W744="",0,IF(AND(AN744=0,ABS(W744)&gt;Inputs!$B$5,ABS(W744)&lt;=Inputs!$B$7,W744&gt;0),1,0))</f>
        <v>0</v>
      </c>
      <c r="AP744" s="30" t="n">
        <f aca="false">IF(W744="",0,IF(AO744=1,-SIGN(W744),AN744))</f>
        <v>0</v>
      </c>
      <c r="AQ744" s="30" t="n">
        <f aca="false">IF(W744="",0,IF(AO744=1,0,IF(AM744=1,0,AL744)))</f>
        <v>0</v>
      </c>
      <c r="AR744" s="30" t="n">
        <f aca="false">IF(AP744=0,0,IF(AP743=AP744,AR743,T744))</f>
        <v>0</v>
      </c>
      <c r="AS744" s="30" t="n">
        <f aca="false">AP744-AP743</f>
        <v>0</v>
      </c>
      <c r="AT744" s="30" t="n">
        <f aca="false">-AR744*AP744</f>
        <v>-0</v>
      </c>
      <c r="AU744" s="30" t="n">
        <f aca="false">AT744-AT743</f>
        <v>0</v>
      </c>
      <c r="AV744" s="30" t="n">
        <f aca="false">MAX(AS744,0)*(Inputs!$B$17+Inputs!$B$18+Inputs!$B$19)+MAX(-AS744,0)*(O744+Inputs!$B$18+Inputs!$B$19)+IF(AND(K744=1,AP744&lt;&gt;0),(Inputs!$B$17+Inputs!$B$18+Inputs!$B$19)+(O744+Inputs!$B$18+Inputs!$B$19),0)+MAX(AU744,0)*(Inputs!$B$20+Inputs!$B$22+Inputs!$B$23)+MAX(-AU744,0)*(Inputs!$B$21+Inputs!$B$22+Inputs!$B$23)</f>
        <v>0</v>
      </c>
      <c r="AW744" s="30" t="n">
        <f aca="false">AP743*(M744-AR743*J744)+AP743*AR743*N744/Inputs!$B$16-AV744</f>
        <v>0</v>
      </c>
      <c r="AX744" s="30" t="n">
        <f aca="false">AW744-IF(AP743&lt;&gt;0,0.75*AR743*(Inputs!$B$13-N744)/Inputs!$B$16,0)</f>
        <v>0</v>
      </c>
      <c r="AY744" s="30" t="n">
        <f aca="false">MAX(AS744,0)*(Inputs!$B$17+Inputs!$B$18+Inputs!$B$19)+MAX(-AS744,0)*(O744+Inputs!$B$18+Inputs!$B$19)+IF(AND(K744=1,AP744&lt;&gt;0),(Inputs!$B$17+Inputs!$B$18+Inputs!$B$19)+(O744+Inputs!$B$18+Inputs!$B$19),0)</f>
        <v>0</v>
      </c>
      <c r="AZ744" s="30" t="n">
        <f aca="false">AP743*M744-AY744</f>
        <v>0</v>
      </c>
      <c r="BA744" s="32" t="n">
        <f aca="false">BA743+AI744</f>
        <v>0.0192336555481302</v>
      </c>
      <c r="BB744" s="30" t="n">
        <f aca="false">MAX(BB743,BA744)</f>
        <v>0.0261726191772394</v>
      </c>
      <c r="BC744" s="32" t="n">
        <f aca="false">BA744-BB744</f>
        <v>-0.00693896362910917</v>
      </c>
      <c r="BD744" s="30" t="n">
        <f aca="false">A745-A744</f>
        <v>1</v>
      </c>
    </row>
    <row r="745" customFormat="false" ht="15" hidden="false" customHeight="false" outlineLevel="0" collapsed="false">
      <c r="A745" s="28" t="n">
        <v>46140</v>
      </c>
      <c r="B745" s="0" t="n">
        <v>23994.1</v>
      </c>
      <c r="C745" s="0" t="n">
        <v>271.8</v>
      </c>
      <c r="D745" s="29" t="n">
        <f aca="false">LN(B745)</f>
        <v>10.0855632457748</v>
      </c>
      <c r="E745" s="29" t="n">
        <f aca="false">LN(C745)</f>
        <v>5.60506650171704</v>
      </c>
      <c r="F745" s="0" t="n">
        <v>740</v>
      </c>
      <c r="G745" s="0" t="n">
        <v>0</v>
      </c>
      <c r="H745" s="29" t="n">
        <f aca="false">D745-E745</f>
        <v>4.48049674405774</v>
      </c>
      <c r="I745" s="29" t="n">
        <f aca="false">D745-D744</f>
        <v>-0.00564791284429589</v>
      </c>
      <c r="J745" s="29" t="n">
        <f aca="false">E745-E744</f>
        <v>-0.00337912611260371</v>
      </c>
      <c r="K745" s="0" t="n">
        <v>1</v>
      </c>
      <c r="L745" s="0" t="n">
        <v>0</v>
      </c>
      <c r="M745" s="29" t="n">
        <f aca="false">IF(L745=1,J745-Carry!$B$9/Inputs!$B$16,I745)</f>
        <v>-0.00564791284429589</v>
      </c>
      <c r="N745" s="0" t="n">
        <v>0.0525</v>
      </c>
      <c r="O745" s="0" t="n">
        <v>0.0005</v>
      </c>
      <c r="P745" s="29" t="n">
        <f aca="false">D745-('2 Hedge ratio'!$B$6+'2 Hedge ratio'!$B$5*E745)</f>
        <v>-0.0112082451537976</v>
      </c>
      <c r="Q745" s="29" t="n">
        <f aca="false">D745-('5 Re-specification'!$B$7+'5 Re-specification'!$B$5*E745+'5 Re-specification'!$B$6*F745)</f>
        <v>-0.000470427346321856</v>
      </c>
      <c r="R745" s="30" t="n">
        <f aca="false">MIN(F745,Inputs!$B$9)</f>
        <v>250</v>
      </c>
      <c r="S745" s="29" t="n">
        <f aca="true">IF(AND(F745&gt;=1,R745&gt;=Inputs!$B$10),INDEX(LINEST(OFFSET(D745,-R745,0,R745,1),OFFSET(E745,-R745,0,R745,2)),1,1),"")</f>
        <v>-5.32755775544008E-005</v>
      </c>
      <c r="T745" s="29" t="n">
        <f aca="true">IF(AND(F745&gt;=1,R745&gt;=Inputs!$B$10),INDEX(LINEST(OFFSET(D745,-R745,0,R745,1),OFFSET(E745,-R745,0,R745,2)),1,2),"")</f>
        <v>1.0087792758314</v>
      </c>
      <c r="U745" s="29" t="n">
        <f aca="true">IF(AND(F745&gt;=1,R745&gt;=Inputs!$B$10),INDEX(LINEST(OFFSET(D745,-R745,0,R745,1),OFFSET(E745,-R745,0,R745,2)),1,3),"")</f>
        <v>4.46973610336118</v>
      </c>
      <c r="V745" s="29" t="n">
        <f aca="true">IF(AND(F745&gt;=1,R745&gt;=Inputs!$B$10),SQRT(SUMPRODUCT((OFFSET(D745,-R745,0,R745,1)-U745-T745*OFFSET(E745,-R745,0,R745,1)-S745*OFFSET(F745,-R745,0,R745,1))^2)/(R745-3)),"")</f>
        <v>0.00250979592767553</v>
      </c>
      <c r="W745" s="31" t="n">
        <f aca="false">IF(AND(F745&gt;=1,R745&gt;=Inputs!$B$10),(D745-U745-T745*E745-S745*F745)/V745,"")</f>
        <v>0.388933300963595</v>
      </c>
      <c r="X745" s="30" t="n">
        <f aca="false">IF(AB744&lt;&gt;0,AC744+1,0)</f>
        <v>0</v>
      </c>
      <c r="Y745" s="30" t="n">
        <f aca="false">IF(W745="",0,IF(AND(AB744&lt;&gt;0,OR(ABS(W745)&gt;Inputs!$B$7,X745&gt;=Inputs!$B$8,ABS(W745)&lt;Inputs!$B$6)),1,0))</f>
        <v>0</v>
      </c>
      <c r="Z745" s="30" t="n">
        <f aca="false">IF(Y745=1,0,AB744)</f>
        <v>0</v>
      </c>
      <c r="AA745" s="30" t="n">
        <f aca="false">IF(W745="",0,IF(AND(Z745=0,ABS(W745)&gt;Inputs!$B$5,ABS(W745)&lt;=Inputs!$B$7),1,0))</f>
        <v>0</v>
      </c>
      <c r="AB745" s="30" t="n">
        <f aca="false">IF(W745="",0,IF(AA745=1,-SIGN(W745),Z745))</f>
        <v>0</v>
      </c>
      <c r="AC745" s="30" t="n">
        <f aca="false">IF(W745="",0,IF(AA745=1,0,IF(Y745=1,0,X745)))</f>
        <v>0</v>
      </c>
      <c r="AD745" s="30" t="n">
        <f aca="false">IF(AB745=0,0,IF(AB744=AB745,AD744,T745))</f>
        <v>0</v>
      </c>
      <c r="AE745" s="30" t="n">
        <f aca="false">AB745-AB744</f>
        <v>0</v>
      </c>
      <c r="AF745" s="30" t="n">
        <f aca="false">-AD745*AB745</f>
        <v>-0</v>
      </c>
      <c r="AG745" s="30" t="n">
        <f aca="false">AF745-AF744</f>
        <v>0</v>
      </c>
      <c r="AH745" s="30" t="n">
        <f aca="false">MAX(AE745,0)*(Inputs!$B$17+Inputs!$B$18+Inputs!$B$19)+MAX(-AE745,0)*(O745+Inputs!$B$18+Inputs!$B$19)+IF(AND(K745=1,AB745&lt;&gt;0),(Inputs!$B$17+Inputs!$B$18+Inputs!$B$19)+(O745+Inputs!$B$18+Inputs!$B$19),0)+MAX(AG745,0)*(Inputs!$B$20+Inputs!$B$22+Inputs!$B$23)+MAX(-AG745,0)*(Inputs!$B$21+Inputs!$B$22+Inputs!$B$23)</f>
        <v>0</v>
      </c>
      <c r="AI745" s="30" t="n">
        <f aca="false">AB744*(M745-AD744*J745)+AB744*AD744*N745/Inputs!$B$16-AH745</f>
        <v>0</v>
      </c>
      <c r="AJ745" s="30" t="n">
        <f aca="false">MAX(AE745,0)*(Inputs!$B$17+Inputs!$B$24+Inputs!$B$25)+MAX(-AE745,0)*(O745+Inputs!$B$24+Inputs!$B$25)+IF(AND(K745=1,AB745&lt;&gt;0),(Inputs!$B$17+Inputs!$B$24+Inputs!$B$25)+(O745+Inputs!$B$24+Inputs!$B$25),0)+MAX(AG745,0)*(Inputs!$B$20+Inputs!$B$26+Inputs!$B$27)+MAX(-AG745,0)*(Inputs!$B$21+Inputs!$B$26+Inputs!$B$27)</f>
        <v>0</v>
      </c>
      <c r="AK745" s="30" t="n">
        <f aca="false">AB744*(M745-AD744*J745)+AB744*AD744*(N745+Inputs!$B$14)/Inputs!$B$16-AJ745</f>
        <v>0</v>
      </c>
      <c r="AL745" s="30" t="n">
        <f aca="false">IF(AP744&lt;&gt;0,AQ744+1,0)</f>
        <v>0</v>
      </c>
      <c r="AM745" s="30" t="n">
        <f aca="false">IF(W745="",0,IF(AND(AP744&lt;&gt;0,OR(ABS(W745)&gt;Inputs!$B$7,AL745&gt;=Inputs!$B$8,ABS(W745)&lt;Inputs!$B$6)),1,0))</f>
        <v>0</v>
      </c>
      <c r="AN745" s="30" t="n">
        <f aca="false">IF(AM745=1,0,AP744)</f>
        <v>0</v>
      </c>
      <c r="AO745" s="30" t="n">
        <f aca="false">IF(W745="",0,IF(AND(AN745=0,ABS(W745)&gt;Inputs!$B$5,ABS(W745)&lt;=Inputs!$B$7,W745&gt;0),1,0))</f>
        <v>0</v>
      </c>
      <c r="AP745" s="30" t="n">
        <f aca="false">IF(W745="",0,IF(AO745=1,-SIGN(W745),AN745))</f>
        <v>0</v>
      </c>
      <c r="AQ745" s="30" t="n">
        <f aca="false">IF(W745="",0,IF(AO745=1,0,IF(AM745=1,0,AL745)))</f>
        <v>0</v>
      </c>
      <c r="AR745" s="30" t="n">
        <f aca="false">IF(AP745=0,0,IF(AP744=AP745,AR744,T745))</f>
        <v>0</v>
      </c>
      <c r="AS745" s="30" t="n">
        <f aca="false">AP745-AP744</f>
        <v>0</v>
      </c>
      <c r="AT745" s="30" t="n">
        <f aca="false">-AR745*AP745</f>
        <v>-0</v>
      </c>
      <c r="AU745" s="30" t="n">
        <f aca="false">AT745-AT744</f>
        <v>0</v>
      </c>
      <c r="AV745" s="30" t="n">
        <f aca="false">MAX(AS745,0)*(Inputs!$B$17+Inputs!$B$18+Inputs!$B$19)+MAX(-AS745,0)*(O745+Inputs!$B$18+Inputs!$B$19)+IF(AND(K745=1,AP745&lt;&gt;0),(Inputs!$B$17+Inputs!$B$18+Inputs!$B$19)+(O745+Inputs!$B$18+Inputs!$B$19),0)+MAX(AU745,0)*(Inputs!$B$20+Inputs!$B$22+Inputs!$B$23)+MAX(-AU745,0)*(Inputs!$B$21+Inputs!$B$22+Inputs!$B$23)</f>
        <v>0</v>
      </c>
      <c r="AW745" s="30" t="n">
        <f aca="false">AP744*(M745-AR744*J745)+AP744*AR744*N745/Inputs!$B$16-AV745</f>
        <v>0</v>
      </c>
      <c r="AX745" s="30" t="n">
        <f aca="false">AW745-IF(AP744&lt;&gt;0,0.75*AR744*(Inputs!$B$13-N745)/Inputs!$B$16,0)</f>
        <v>0</v>
      </c>
      <c r="AY745" s="30" t="n">
        <f aca="false">MAX(AS745,0)*(Inputs!$B$17+Inputs!$B$18+Inputs!$B$19)+MAX(-AS745,0)*(O745+Inputs!$B$18+Inputs!$B$19)+IF(AND(K745=1,AP745&lt;&gt;0),(Inputs!$B$17+Inputs!$B$18+Inputs!$B$19)+(O745+Inputs!$B$18+Inputs!$B$19),0)</f>
        <v>0</v>
      </c>
      <c r="AZ745" s="30" t="n">
        <f aca="false">AP744*M745-AY745</f>
        <v>-0</v>
      </c>
      <c r="BA745" s="32" t="n">
        <f aca="false">BA744+AI745</f>
        <v>0.0192336555481302</v>
      </c>
      <c r="BB745" s="30" t="n">
        <f aca="false">MAX(BB744,BA745)</f>
        <v>0.0261726191772394</v>
      </c>
      <c r="BC745" s="32" t="n">
        <f aca="false">BA745-BB745</f>
        <v>-0.00693896362910917</v>
      </c>
      <c r="BD745" s="30" t="n">
        <f aca="false">A746-A745</f>
        <v>1</v>
      </c>
    </row>
    <row r="746" customFormat="false" ht="15" hidden="false" customHeight="false" outlineLevel="0" collapsed="false">
      <c r="A746" s="28" t="n">
        <v>46141</v>
      </c>
      <c r="B746" s="0" t="n">
        <v>24232</v>
      </c>
      <c r="C746" s="0" t="n">
        <v>273</v>
      </c>
      <c r="D746" s="29" t="n">
        <f aca="false">LN(B746)</f>
        <v>10.0954293527071</v>
      </c>
      <c r="E746" s="29" t="n">
        <f aca="false">LN(C746)</f>
        <v>5.60947179518496</v>
      </c>
      <c r="F746" s="0" t="n">
        <v>741</v>
      </c>
      <c r="G746" s="0" t="n">
        <v>27</v>
      </c>
      <c r="H746" s="29" t="n">
        <f aca="false">D746-E746</f>
        <v>4.48595755752211</v>
      </c>
      <c r="I746" s="29" t="n">
        <f aca="false">D746-D745</f>
        <v>0.00986610693229117</v>
      </c>
      <c r="J746" s="29" t="n">
        <f aca="false">E746-E745</f>
        <v>0.00440529346791596</v>
      </c>
      <c r="K746" s="0" t="n">
        <v>0</v>
      </c>
      <c r="L746" s="0" t="n">
        <v>1</v>
      </c>
      <c r="M746" s="29" t="n">
        <f aca="false">IF(L746=1,J746-Carry!$B$9/Inputs!$B$16,I746)</f>
        <v>0.00414583528619483</v>
      </c>
      <c r="N746" s="0" t="n">
        <v>0.0525</v>
      </c>
      <c r="O746" s="0" t="n">
        <v>0.0005</v>
      </c>
      <c r="P746" s="29" t="n">
        <f aca="false">D746-('2 Hedge ratio'!$B$6+'2 Hedge ratio'!$B$5*E746)</f>
        <v>-0.00537794544979953</v>
      </c>
      <c r="Q746" s="29" t="n">
        <f aca="false">D746-('5 Re-specification'!$B$7+'5 Re-specification'!$B$5*E746+'5 Re-specification'!$B$6*F746)</f>
        <v>0.00504866567809792</v>
      </c>
      <c r="R746" s="30" t="n">
        <f aca="false">MIN(F746,Inputs!$B$9)</f>
        <v>250</v>
      </c>
      <c r="S746" s="29" t="n">
        <f aca="true">IF(AND(F746&gt;=1,R746&gt;=Inputs!$B$10),INDEX(LINEST(OFFSET(D746,-R746,0,R746,1),OFFSET(E746,-R746,0,R746,2)),1,1),"")</f>
        <v>-5.3053487106118E-005</v>
      </c>
      <c r="T746" s="29" t="n">
        <f aca="true">IF(AND(F746&gt;=1,R746&gt;=Inputs!$B$10),INDEX(LINEST(OFFSET(D746,-R746,0,R746,1),OFFSET(E746,-R746,0,R746,2)),1,2),"")</f>
        <v>1.00883837346067</v>
      </c>
      <c r="U746" s="29" t="n">
        <f aca="true">IF(AND(F746&gt;=1,R746&gt;=Inputs!$B$10),INDEX(LINEST(OFFSET(D746,-R746,0,R746,1),OFFSET(E746,-R746,0,R746,2)),1,3),"")</f>
        <v>4.4692643607368</v>
      </c>
      <c r="V746" s="29" t="n">
        <f aca="true">IF(AND(F746&gt;=1,R746&gt;=Inputs!$B$10),SQRT(SUMPRODUCT((OFFSET(D746,-R746,0,R746,1)-U746-T746*OFFSET(E746,-R746,0,R746,1)-S746*OFFSET(F746,-R746,0,R746,1))^2)/(R746-3)),"")</f>
        <v>0.00250905605721469</v>
      </c>
      <c r="W746" s="31" t="n">
        <f aca="false">IF(AND(F746&gt;=1,R746&gt;=Inputs!$B$10),(D746-U746-T746*E746-S746*F746)/V746,"")</f>
        <v>2.56161039907317</v>
      </c>
      <c r="X746" s="30" t="n">
        <f aca="false">IF(AB745&lt;&gt;0,AC745+1,0)</f>
        <v>0</v>
      </c>
      <c r="Y746" s="30" t="n">
        <f aca="false">IF(W746="",0,IF(AND(AB745&lt;&gt;0,OR(ABS(W746)&gt;Inputs!$B$7,X746&gt;=Inputs!$B$8,ABS(W746)&lt;Inputs!$B$6)),1,0))</f>
        <v>0</v>
      </c>
      <c r="Z746" s="30" t="n">
        <f aca="false">IF(Y746=1,0,AB745)</f>
        <v>0</v>
      </c>
      <c r="AA746" s="30" t="n">
        <f aca="false">IF(W746="",0,IF(AND(Z746=0,ABS(W746)&gt;Inputs!$B$5,ABS(W746)&lt;=Inputs!$B$7),1,0))</f>
        <v>1</v>
      </c>
      <c r="AB746" s="30" t="n">
        <f aca="false">IF(W746="",0,IF(AA746=1,-SIGN(W746),Z746))</f>
        <v>-1</v>
      </c>
      <c r="AC746" s="30" t="n">
        <f aca="false">IF(W746="",0,IF(AA746=1,0,IF(Y746=1,0,X746)))</f>
        <v>0</v>
      </c>
      <c r="AD746" s="29" t="n">
        <f aca="false">IF(AB746=0,0,IF(AB745=AB746,AD745,T746))</f>
        <v>1.00883837346067</v>
      </c>
      <c r="AE746" s="30" t="n">
        <f aca="false">AB746-AB745</f>
        <v>-1</v>
      </c>
      <c r="AF746" s="30" t="n">
        <f aca="false">-AD746*AB746</f>
        <v>1.00883837346067</v>
      </c>
      <c r="AG746" s="30" t="n">
        <f aca="false">AF746-AF745</f>
        <v>1.00883837346067</v>
      </c>
      <c r="AH746" s="30" t="n">
        <f aca="false">MAX(AE746,0)*(Inputs!$B$17+Inputs!$B$18+Inputs!$B$19)+MAX(-AE746,0)*(O746+Inputs!$B$18+Inputs!$B$19)+IF(AND(K746=1,AB746&lt;&gt;0),(Inputs!$B$17+Inputs!$B$18+Inputs!$B$19)+(O746+Inputs!$B$18+Inputs!$B$19),0)+MAX(AG746,0)*(Inputs!$B$20+Inputs!$B$22+Inputs!$B$23)+MAX(-AG746,0)*(Inputs!$B$21+Inputs!$B$22+Inputs!$B$23)</f>
        <v>0.000988093430711234</v>
      </c>
      <c r="AI746" s="30" t="n">
        <f aca="false">AB745*(M746-AD745*J746)+AB745*AD745*N746/Inputs!$B$16-AH746</f>
        <v>-0.000988093430711234</v>
      </c>
      <c r="AJ746" s="30" t="n">
        <f aca="false">MAX(AE746,0)*(Inputs!$B$17+Inputs!$B$24+Inputs!$B$25)+MAX(-AE746,0)*(O746+Inputs!$B$24+Inputs!$B$25)+IF(AND(K746=1,AB746&lt;&gt;0),(Inputs!$B$17+Inputs!$B$24+Inputs!$B$25)+(O746+Inputs!$B$24+Inputs!$B$25),0)+MAX(AG746,0)*(Inputs!$B$20+Inputs!$B$26+Inputs!$B$27)+MAX(-AG746,0)*(Inputs!$B$21+Inputs!$B$26+Inputs!$B$27)</f>
        <v>0.00082725378523247</v>
      </c>
      <c r="AK746" s="30" t="n">
        <f aca="false">AB745*(M746-AD745*J746)+AB745*AD745*(N746+Inputs!$B$14)/Inputs!$B$16-AJ746</f>
        <v>-0.00082725378523247</v>
      </c>
      <c r="AL746" s="30" t="n">
        <f aca="false">IF(AP745&lt;&gt;0,AQ745+1,0)</f>
        <v>0</v>
      </c>
      <c r="AM746" s="30" t="n">
        <f aca="false">IF(W746="",0,IF(AND(AP745&lt;&gt;0,OR(ABS(W746)&gt;Inputs!$B$7,AL746&gt;=Inputs!$B$8,ABS(W746)&lt;Inputs!$B$6)),1,0))</f>
        <v>0</v>
      </c>
      <c r="AN746" s="30" t="n">
        <f aca="false">IF(AM746=1,0,AP745)</f>
        <v>0</v>
      </c>
      <c r="AO746" s="30" t="n">
        <f aca="false">IF(W746="",0,IF(AND(AN746=0,ABS(W746)&gt;Inputs!$B$5,ABS(W746)&lt;=Inputs!$B$7,W746&gt;0),1,0))</f>
        <v>1</v>
      </c>
      <c r="AP746" s="30" t="n">
        <f aca="false">IF(W746="",0,IF(AO746=1,-SIGN(W746),AN746))</f>
        <v>-1</v>
      </c>
      <c r="AQ746" s="30" t="n">
        <f aca="false">IF(W746="",0,IF(AO746=1,0,IF(AM746=1,0,AL746)))</f>
        <v>0</v>
      </c>
      <c r="AR746" s="29" t="n">
        <f aca="false">IF(AP746=0,0,IF(AP745=AP746,AR745,T746))</f>
        <v>1.00883837346067</v>
      </c>
      <c r="AS746" s="30" t="n">
        <f aca="false">AP746-AP745</f>
        <v>-1</v>
      </c>
      <c r="AT746" s="30" t="n">
        <f aca="false">-AR746*AP746</f>
        <v>1.00883837346067</v>
      </c>
      <c r="AU746" s="30" t="n">
        <f aca="false">AT746-AT745</f>
        <v>1.00883837346067</v>
      </c>
      <c r="AV746" s="30" t="n">
        <f aca="false">MAX(AS746,0)*(Inputs!$B$17+Inputs!$B$18+Inputs!$B$19)+MAX(-AS746,0)*(O746+Inputs!$B$18+Inputs!$B$19)+IF(AND(K746=1,AP746&lt;&gt;0),(Inputs!$B$17+Inputs!$B$18+Inputs!$B$19)+(O746+Inputs!$B$18+Inputs!$B$19),0)+MAX(AU746,0)*(Inputs!$B$20+Inputs!$B$22+Inputs!$B$23)+MAX(-AU746,0)*(Inputs!$B$21+Inputs!$B$22+Inputs!$B$23)</f>
        <v>0.000988093430711234</v>
      </c>
      <c r="AW746" s="30" t="n">
        <f aca="false">AP745*(M746-AR745*J746)+AP745*AR745*N746/Inputs!$B$16-AV746</f>
        <v>-0.000988093430711234</v>
      </c>
      <c r="AX746" s="30" t="n">
        <f aca="false">AW746-IF(AP745&lt;&gt;0,0.75*AR745*(Inputs!$B$13-N746)/Inputs!$B$16,0)</f>
        <v>-0.000988093430711234</v>
      </c>
      <c r="AY746" s="30" t="n">
        <f aca="false">MAX(AS746,0)*(Inputs!$B$17+Inputs!$B$18+Inputs!$B$19)+MAX(-AS746,0)*(O746+Inputs!$B$18+Inputs!$B$19)+IF(AND(K746=1,AP746&lt;&gt;0),(Inputs!$B$17+Inputs!$B$18+Inputs!$B$19)+(O746+Inputs!$B$18+Inputs!$B$19),0)</f>
        <v>0.000635</v>
      </c>
      <c r="AZ746" s="30" t="n">
        <f aca="false">AP745*M746-AY746</f>
        <v>-0.000635</v>
      </c>
      <c r="BA746" s="32" t="n">
        <f aca="false">BA745+AI746</f>
        <v>0.018245562117419</v>
      </c>
      <c r="BB746" s="30" t="n">
        <f aca="false">MAX(BB745,BA746)</f>
        <v>0.0261726191772394</v>
      </c>
      <c r="BC746" s="32" t="n">
        <f aca="false">BA746-BB746</f>
        <v>-0.0079270570598204</v>
      </c>
      <c r="BD746" s="30" t="n">
        <f aca="false">A747-A746</f>
        <v>1</v>
      </c>
    </row>
    <row r="747" customFormat="false" ht="15" hidden="false" customHeight="false" outlineLevel="0" collapsed="false">
      <c r="A747" s="28" t="n">
        <v>46142</v>
      </c>
      <c r="B747" s="0" t="n">
        <v>24136</v>
      </c>
      <c r="C747" s="0" t="n">
        <v>272.59</v>
      </c>
      <c r="D747" s="29" t="n">
        <f aca="false">LN(B747)</f>
        <v>10.0914597808389</v>
      </c>
      <c r="E747" s="29" t="n">
        <f aca="false">LN(C747)</f>
        <v>5.6079688348038</v>
      </c>
      <c r="F747" s="0" t="n">
        <v>742</v>
      </c>
      <c r="G747" s="0" t="n">
        <v>26</v>
      </c>
      <c r="H747" s="29" t="n">
        <f aca="false">D747-E747</f>
        <v>4.4834909460351</v>
      </c>
      <c r="I747" s="29" t="n">
        <f aca="false">D747-D746</f>
        <v>-0.00396957186817737</v>
      </c>
      <c r="J747" s="29" t="n">
        <f aca="false">E747-E746</f>
        <v>-0.00150296038116071</v>
      </c>
      <c r="K747" s="0" t="n">
        <v>0</v>
      </c>
      <c r="L747" s="0" t="n">
        <v>0</v>
      </c>
      <c r="M747" s="29" t="n">
        <f aca="false">IF(L747=1,J747-Carry!$B$9/Inputs!$B$16,I747)</f>
        <v>-0.00396957186817737</v>
      </c>
      <c r="N747" s="0" t="n">
        <v>0.0525</v>
      </c>
      <c r="O747" s="0" t="n">
        <v>0.0005</v>
      </c>
      <c r="P747" s="29" t="n">
        <f aca="false">D747-('2 Hedge ratio'!$B$6+'2 Hedge ratio'!$B$5*E747)</f>
        <v>-0.00797061509470609</v>
      </c>
      <c r="Q747" s="29" t="n">
        <f aca="false">D747-('5 Re-specification'!$B$7+'5 Re-specification'!$B$5*E747+'5 Re-specification'!$B$6*F747)</f>
        <v>0.00262242878770813</v>
      </c>
      <c r="R747" s="30" t="n">
        <f aca="false">MIN(F747,Inputs!$B$9)</f>
        <v>250</v>
      </c>
      <c r="S747" s="29" t="n">
        <f aca="true">IF(AND(F747&gt;=1,R747&gt;=Inputs!$B$10),INDEX(LINEST(OFFSET(D747,-R747,0,R747,1),OFFSET(E747,-R747,0,R747,2)),1,1),"")</f>
        <v>-5.18530589763784E-005</v>
      </c>
      <c r="T747" s="29" t="n">
        <f aca="true">IF(AND(F747&gt;=1,R747&gt;=Inputs!$B$10),INDEX(LINEST(OFFSET(D747,-R747,0,R747,1),OFFSET(E747,-R747,0,R747,2)),1,2),"")</f>
        <v>1.00919354126449</v>
      </c>
      <c r="U747" s="29" t="n">
        <f aca="true">IF(AND(F747&gt;=1,R747&gt;=Inputs!$B$10),INDEX(LINEST(OFFSET(D747,-R747,0,R747,1),OFFSET(E747,-R747,0,R747,2)),1,3),"")</f>
        <v>4.46652086220882</v>
      </c>
      <c r="V747" s="29" t="n">
        <f aca="true">IF(AND(F747&gt;=1,R747&gt;=Inputs!$B$10),SQRT(SUMPRODUCT((OFFSET(D747,-R747,0,R747,1)-U747-T747*OFFSET(E747,-R747,0,R747,1)-S747*OFFSET(F747,-R747,0,R747,1))^2)/(R747-3)),"")</f>
        <v>0.00251090610106605</v>
      </c>
      <c r="W747" s="31" t="n">
        <f aca="false">IF(AND(F747&gt;=1,R747&gt;=Inputs!$B$10),(D747-U747-T747*E747-S747*F747)/V747,"")</f>
        <v>1.54842934682587</v>
      </c>
      <c r="X747" s="30" t="n">
        <f aca="false">IF(AB746&lt;&gt;0,AC746+1,0)</f>
        <v>1</v>
      </c>
      <c r="Y747" s="30" t="n">
        <f aca="false">IF(W747="",0,IF(AND(AB746&lt;&gt;0,OR(ABS(W747)&gt;Inputs!$B$7,X747&gt;=Inputs!$B$8,ABS(W747)&lt;Inputs!$B$6)),1,0))</f>
        <v>0</v>
      </c>
      <c r="Z747" s="30" t="n">
        <f aca="false">IF(Y747=1,0,AB746)</f>
        <v>-1</v>
      </c>
      <c r="AA747" s="30" t="n">
        <f aca="false">IF(W747="",0,IF(AND(Z747=0,ABS(W747)&gt;Inputs!$B$5,ABS(W747)&lt;=Inputs!$B$7),1,0))</f>
        <v>0</v>
      </c>
      <c r="AB747" s="30" t="n">
        <f aca="false">IF(W747="",0,IF(AA747=1,-SIGN(W747),Z747))</f>
        <v>-1</v>
      </c>
      <c r="AC747" s="30" t="n">
        <f aca="false">IF(W747="",0,IF(AA747=1,0,IF(Y747=1,0,X747)))</f>
        <v>1</v>
      </c>
      <c r="AD747" s="29" t="n">
        <f aca="false">IF(AB747=0,0,IF(AB746=AB747,AD746,T747))</f>
        <v>1.00883837346067</v>
      </c>
      <c r="AE747" s="30" t="n">
        <f aca="false">AB747-AB746</f>
        <v>0</v>
      </c>
      <c r="AF747" s="30" t="n">
        <f aca="false">-AD747*AB747</f>
        <v>1.00883837346067</v>
      </c>
      <c r="AG747" s="30" t="n">
        <f aca="false">AF747-AF746</f>
        <v>0</v>
      </c>
      <c r="AH747" s="30" t="n">
        <f aca="false">MAX(AE747,0)*(Inputs!$B$17+Inputs!$B$18+Inputs!$B$19)+MAX(-AE747,0)*(O747+Inputs!$B$18+Inputs!$B$19)+IF(AND(K747=1,AB747&lt;&gt;0),(Inputs!$B$17+Inputs!$B$18+Inputs!$B$19)+(O747+Inputs!$B$18+Inputs!$B$19),0)+MAX(AG747,0)*(Inputs!$B$20+Inputs!$B$22+Inputs!$B$23)+MAX(-AG747,0)*(Inputs!$B$21+Inputs!$B$22+Inputs!$B$23)</f>
        <v>0</v>
      </c>
      <c r="AI747" s="30" t="n">
        <f aca="false">AB746*(M747-AD746*J747)+AB746*AD746*N747/Inputs!$B$16-AH747</f>
        <v>0.00224315310073373</v>
      </c>
      <c r="AJ747" s="30" t="n">
        <f aca="false">MAX(AE747,0)*(Inputs!$B$17+Inputs!$B$24+Inputs!$B$25)+MAX(-AE747,0)*(O747+Inputs!$B$24+Inputs!$B$25)+IF(AND(K747=1,AB747&lt;&gt;0),(Inputs!$B$17+Inputs!$B$24+Inputs!$B$25)+(O747+Inputs!$B$24+Inputs!$B$25),0)+MAX(AG747,0)*(Inputs!$B$20+Inputs!$B$26+Inputs!$B$27)+MAX(-AG747,0)*(Inputs!$B$21+Inputs!$B$26+Inputs!$B$27)</f>
        <v>0</v>
      </c>
      <c r="AK747" s="30" t="n">
        <f aca="false">AB746*(M747-AD746*J747)+AB746*AD746*(N747+Inputs!$B$14)/Inputs!$B$16-AJ747</f>
        <v>0.00221312814914264</v>
      </c>
      <c r="AL747" s="30" t="n">
        <f aca="false">IF(AP746&lt;&gt;0,AQ746+1,0)</f>
        <v>1</v>
      </c>
      <c r="AM747" s="30" t="n">
        <f aca="false">IF(W747="",0,IF(AND(AP746&lt;&gt;0,OR(ABS(W747)&gt;Inputs!$B$7,AL747&gt;=Inputs!$B$8,ABS(W747)&lt;Inputs!$B$6)),1,0))</f>
        <v>0</v>
      </c>
      <c r="AN747" s="30" t="n">
        <f aca="false">IF(AM747=1,0,AP746)</f>
        <v>-1</v>
      </c>
      <c r="AO747" s="30" t="n">
        <f aca="false">IF(W747="",0,IF(AND(AN747=0,ABS(W747)&gt;Inputs!$B$5,ABS(W747)&lt;=Inputs!$B$7,W747&gt;0),1,0))</f>
        <v>0</v>
      </c>
      <c r="AP747" s="30" t="n">
        <f aca="false">IF(W747="",0,IF(AO747=1,-SIGN(W747),AN747))</f>
        <v>-1</v>
      </c>
      <c r="AQ747" s="30" t="n">
        <f aca="false">IF(W747="",0,IF(AO747=1,0,IF(AM747=1,0,AL747)))</f>
        <v>1</v>
      </c>
      <c r="AR747" s="29" t="n">
        <f aca="false">IF(AP747=0,0,IF(AP746=AP747,AR746,T747))</f>
        <v>1.00883837346067</v>
      </c>
      <c r="AS747" s="30" t="n">
        <f aca="false">AP747-AP746</f>
        <v>0</v>
      </c>
      <c r="AT747" s="30" t="n">
        <f aca="false">-AR747*AP747</f>
        <v>1.00883837346067</v>
      </c>
      <c r="AU747" s="30" t="n">
        <f aca="false">AT747-AT746</f>
        <v>0</v>
      </c>
      <c r="AV747" s="30" t="n">
        <f aca="false">MAX(AS747,0)*(Inputs!$B$17+Inputs!$B$18+Inputs!$B$19)+MAX(-AS747,0)*(O747+Inputs!$B$18+Inputs!$B$19)+IF(AND(K747=1,AP747&lt;&gt;0),(Inputs!$B$17+Inputs!$B$18+Inputs!$B$19)+(O747+Inputs!$B$18+Inputs!$B$19),0)+MAX(AU747,0)*(Inputs!$B$20+Inputs!$B$22+Inputs!$B$23)+MAX(-AU747,0)*(Inputs!$B$21+Inputs!$B$22+Inputs!$B$23)</f>
        <v>0</v>
      </c>
      <c r="AW747" s="30" t="n">
        <f aca="false">AP746*(M747-AR746*J747)+AP746*AR746*N747/Inputs!$B$16-AV747</f>
        <v>0.00224315310073373</v>
      </c>
      <c r="AX747" s="30" t="n">
        <f aca="false">AW747-IF(AP746&lt;&gt;0,0.75*AR746*(Inputs!$B$13-N747)/Inputs!$B$16,0)</f>
        <v>0.00198043477431168</v>
      </c>
      <c r="AY747" s="30" t="n">
        <f aca="false">MAX(AS747,0)*(Inputs!$B$17+Inputs!$B$18+Inputs!$B$19)+MAX(-AS747,0)*(O747+Inputs!$B$18+Inputs!$B$19)+IF(AND(K747=1,AP747&lt;&gt;0),(Inputs!$B$17+Inputs!$B$18+Inputs!$B$19)+(O747+Inputs!$B$18+Inputs!$B$19),0)</f>
        <v>0</v>
      </c>
      <c r="AZ747" s="30" t="n">
        <f aca="false">AP746*M747-AY747</f>
        <v>0.00396957186817737</v>
      </c>
      <c r="BA747" s="32" t="n">
        <f aca="false">BA746+AI747</f>
        <v>0.0204887152181527</v>
      </c>
      <c r="BB747" s="30" t="n">
        <f aca="false">MAX(BB746,BA747)</f>
        <v>0.0261726191772394</v>
      </c>
      <c r="BC747" s="32" t="n">
        <f aca="false">BA747-BB747</f>
        <v>-0.00568390395908667</v>
      </c>
      <c r="BD747" s="30" t="n">
        <f aca="false">A748-A747</f>
        <v>4</v>
      </c>
    </row>
    <row r="748" customFormat="false" ht="15" hidden="false" customHeight="false" outlineLevel="0" collapsed="false">
      <c r="A748" s="28" t="n">
        <v>46146</v>
      </c>
      <c r="B748" s="0" t="n">
        <v>24190</v>
      </c>
      <c r="C748" s="0" t="n">
        <v>273.2</v>
      </c>
      <c r="D748" s="29" t="n">
        <f aca="false">LN(B748)</f>
        <v>10.0936946036041</v>
      </c>
      <c r="E748" s="29" t="n">
        <f aca="false">LN(C748)</f>
        <v>5.61020412769664</v>
      </c>
      <c r="F748" s="0" t="n">
        <v>743</v>
      </c>
      <c r="G748" s="0" t="n">
        <v>22</v>
      </c>
      <c r="H748" s="29" t="n">
        <f aca="false">D748-E748</f>
        <v>4.48349047590744</v>
      </c>
      <c r="I748" s="29" t="n">
        <f aca="false">D748-D747</f>
        <v>0.0022348227651765</v>
      </c>
      <c r="J748" s="29" t="n">
        <f aca="false">E748-E747</f>
        <v>0.00223529289283597</v>
      </c>
      <c r="K748" s="0" t="n">
        <v>0</v>
      </c>
      <c r="L748" s="0" t="n">
        <v>0</v>
      </c>
      <c r="M748" s="29" t="n">
        <f aca="false">IF(L748=1,J748-Carry!$B$9/Inputs!$B$16,I748)</f>
        <v>0.0022348227651765</v>
      </c>
      <c r="N748" s="0" t="n">
        <v>0.0525</v>
      </c>
      <c r="O748" s="0" t="n">
        <v>0.0005</v>
      </c>
      <c r="P748" s="29" t="n">
        <f aca="false">D748-('2 Hedge ratio'!$B$6+'2 Hedge ratio'!$B$5*E748)</f>
        <v>-0.00778360396341249</v>
      </c>
      <c r="Q748" s="29" t="n">
        <f aca="false">D748-('5 Re-specification'!$B$7+'5 Re-specification'!$B$5*E748+'5 Re-specification'!$B$6*F748)</f>
        <v>0.0026736620333061</v>
      </c>
      <c r="R748" s="30" t="n">
        <f aca="false">MIN(F748,Inputs!$B$9)</f>
        <v>250</v>
      </c>
      <c r="S748" s="29" t="n">
        <f aca="true">IF(AND(F748&gt;=1,R748&gt;=Inputs!$B$10),INDEX(LINEST(OFFSET(D748,-R748,0,R748,1),OFFSET(E748,-R748,0,R748,2)),1,1),"")</f>
        <v>-5.08612289186732E-005</v>
      </c>
      <c r="T748" s="29" t="n">
        <f aca="true">IF(AND(F748&gt;=1,R748&gt;=Inputs!$B$10),INDEX(LINEST(OFFSET(D748,-R748,0,R748,1),OFFSET(E748,-R748,0,R748,2)),1,2),"")</f>
        <v>1.00963581846299</v>
      </c>
      <c r="U748" s="29" t="n">
        <f aca="true">IF(AND(F748&gt;=1,R748&gt;=Inputs!$B$10),INDEX(LINEST(OFFSET(D748,-R748,0,R748,1),OFFSET(E748,-R748,0,R748,2)),1,3),"")</f>
        <v>4.46340181543883</v>
      </c>
      <c r="V748" s="29" t="n">
        <f aca="true">IF(AND(F748&gt;=1,R748&gt;=Inputs!$B$10),SQRT(SUMPRODUCT((OFFSET(D748,-R748,0,R748,1)-U748-T748*OFFSET(E748,-R748,0,R748,1)-S748*OFFSET(F748,-R748,0,R748,1))^2)/(R748-3)),"")</f>
        <v>0.00248871987435857</v>
      </c>
      <c r="W748" s="31" t="n">
        <f aca="false">IF(AND(F748&gt;=1,R748&gt;=Inputs!$B$10),(D748-U748-T748*E748-S748*F748)/V748,"")</f>
        <v>1.5347830343433</v>
      </c>
      <c r="X748" s="30" t="n">
        <f aca="false">IF(AB747&lt;&gt;0,AC747+1,0)</f>
        <v>2</v>
      </c>
      <c r="Y748" s="30" t="n">
        <f aca="false">IF(W748="",0,IF(AND(AB747&lt;&gt;0,OR(ABS(W748)&gt;Inputs!$B$7,X748&gt;=Inputs!$B$8,ABS(W748)&lt;Inputs!$B$6)),1,0))</f>
        <v>0</v>
      </c>
      <c r="Z748" s="30" t="n">
        <f aca="false">IF(Y748=1,0,AB747)</f>
        <v>-1</v>
      </c>
      <c r="AA748" s="30" t="n">
        <f aca="false">IF(W748="",0,IF(AND(Z748=0,ABS(W748)&gt;Inputs!$B$5,ABS(W748)&lt;=Inputs!$B$7),1,0))</f>
        <v>0</v>
      </c>
      <c r="AB748" s="30" t="n">
        <f aca="false">IF(W748="",0,IF(AA748=1,-SIGN(W748),Z748))</f>
        <v>-1</v>
      </c>
      <c r="AC748" s="30" t="n">
        <f aca="false">IF(W748="",0,IF(AA748=1,0,IF(Y748=1,0,X748)))</f>
        <v>2</v>
      </c>
      <c r="AD748" s="29" t="n">
        <f aca="false">IF(AB748=0,0,IF(AB747=AB748,AD747,T748))</f>
        <v>1.00883837346067</v>
      </c>
      <c r="AE748" s="30" t="n">
        <f aca="false">AB748-AB747</f>
        <v>0</v>
      </c>
      <c r="AF748" s="30" t="n">
        <f aca="false">-AD748*AB748</f>
        <v>1.00883837346067</v>
      </c>
      <c r="AG748" s="30" t="n">
        <f aca="false">AF748-AF747</f>
        <v>0</v>
      </c>
      <c r="AH748" s="30" t="n">
        <f aca="false">MAX(AE748,0)*(Inputs!$B$17+Inputs!$B$18+Inputs!$B$19)+MAX(-AE748,0)*(O748+Inputs!$B$18+Inputs!$B$19)+IF(AND(K748=1,AB748&lt;&gt;0),(Inputs!$B$17+Inputs!$B$18+Inputs!$B$19)+(O748+Inputs!$B$18+Inputs!$B$19),0)+MAX(AG748,0)*(Inputs!$B$20+Inputs!$B$22+Inputs!$B$23)+MAX(-AG748,0)*(Inputs!$B$21+Inputs!$B$22+Inputs!$B$23)</f>
        <v>0</v>
      </c>
      <c r="AI748" s="30" t="n">
        <f aca="false">AB747*(M748-AD747*J748)+AB747*AD747*N748/Inputs!$B$16-AH748</f>
        <v>-0.000189948180097309</v>
      </c>
      <c r="AJ748" s="30" t="n">
        <f aca="false">MAX(AE748,0)*(Inputs!$B$17+Inputs!$B$24+Inputs!$B$25)+MAX(-AE748,0)*(O748+Inputs!$B$24+Inputs!$B$25)+IF(AND(K748=1,AB748&lt;&gt;0),(Inputs!$B$17+Inputs!$B$24+Inputs!$B$25)+(O748+Inputs!$B$24+Inputs!$B$25),0)+MAX(AG748,0)*(Inputs!$B$20+Inputs!$B$26+Inputs!$B$27)+MAX(-AG748,0)*(Inputs!$B$21+Inputs!$B$26+Inputs!$B$27)</f>
        <v>0</v>
      </c>
      <c r="AK748" s="30" t="n">
        <f aca="false">AB747*(M748-AD747*J748)+AB747*AD747*(N748+Inputs!$B$14)/Inputs!$B$16-AJ748</f>
        <v>-0.0002199731316884</v>
      </c>
      <c r="AL748" s="30" t="n">
        <f aca="false">IF(AP747&lt;&gt;0,AQ747+1,0)</f>
        <v>2</v>
      </c>
      <c r="AM748" s="30" t="n">
        <f aca="false">IF(W748="",0,IF(AND(AP747&lt;&gt;0,OR(ABS(W748)&gt;Inputs!$B$7,AL748&gt;=Inputs!$B$8,ABS(W748)&lt;Inputs!$B$6)),1,0))</f>
        <v>0</v>
      </c>
      <c r="AN748" s="30" t="n">
        <f aca="false">IF(AM748=1,0,AP747)</f>
        <v>-1</v>
      </c>
      <c r="AO748" s="30" t="n">
        <f aca="false">IF(W748="",0,IF(AND(AN748=0,ABS(W748)&gt;Inputs!$B$5,ABS(W748)&lt;=Inputs!$B$7,W748&gt;0),1,0))</f>
        <v>0</v>
      </c>
      <c r="AP748" s="30" t="n">
        <f aca="false">IF(W748="",0,IF(AO748=1,-SIGN(W748),AN748))</f>
        <v>-1</v>
      </c>
      <c r="AQ748" s="30" t="n">
        <f aca="false">IF(W748="",0,IF(AO748=1,0,IF(AM748=1,0,AL748)))</f>
        <v>2</v>
      </c>
      <c r="AR748" s="29" t="n">
        <f aca="false">IF(AP748=0,0,IF(AP747=AP748,AR747,T748))</f>
        <v>1.00883837346067</v>
      </c>
      <c r="AS748" s="30" t="n">
        <f aca="false">AP748-AP747</f>
        <v>0</v>
      </c>
      <c r="AT748" s="30" t="n">
        <f aca="false">-AR748*AP748</f>
        <v>1.00883837346067</v>
      </c>
      <c r="AU748" s="30" t="n">
        <f aca="false">AT748-AT747</f>
        <v>0</v>
      </c>
      <c r="AV748" s="30" t="n">
        <f aca="false">MAX(AS748,0)*(Inputs!$B$17+Inputs!$B$18+Inputs!$B$19)+MAX(-AS748,0)*(O748+Inputs!$B$18+Inputs!$B$19)+IF(AND(K748=1,AP748&lt;&gt;0),(Inputs!$B$17+Inputs!$B$18+Inputs!$B$19)+(O748+Inputs!$B$18+Inputs!$B$19),0)+MAX(AU748,0)*(Inputs!$B$20+Inputs!$B$22+Inputs!$B$23)+MAX(-AU748,0)*(Inputs!$B$21+Inputs!$B$22+Inputs!$B$23)</f>
        <v>0</v>
      </c>
      <c r="AW748" s="30" t="n">
        <f aca="false">AP747*(M748-AR747*J748)+AP747*AR747*N748/Inputs!$B$16-AV748</f>
        <v>-0.000189948180097309</v>
      </c>
      <c r="AX748" s="30" t="n">
        <f aca="false">AW748-IF(AP747&lt;&gt;0,0.75*AR747*(Inputs!$B$13-N748)/Inputs!$B$16,0)</f>
        <v>-0.000452666506519358</v>
      </c>
      <c r="AY748" s="30" t="n">
        <f aca="false">MAX(AS748,0)*(Inputs!$B$17+Inputs!$B$18+Inputs!$B$19)+MAX(-AS748,0)*(O748+Inputs!$B$18+Inputs!$B$19)+IF(AND(K748=1,AP748&lt;&gt;0),(Inputs!$B$17+Inputs!$B$18+Inputs!$B$19)+(O748+Inputs!$B$18+Inputs!$B$19),0)</f>
        <v>0</v>
      </c>
      <c r="AZ748" s="30" t="n">
        <f aca="false">AP747*M748-AY748</f>
        <v>-0.0022348227651765</v>
      </c>
      <c r="BA748" s="32" t="n">
        <f aca="false">BA747+AI748</f>
        <v>0.0202987670380554</v>
      </c>
      <c r="BB748" s="30" t="n">
        <f aca="false">MAX(BB747,BA748)</f>
        <v>0.0261726191772394</v>
      </c>
      <c r="BC748" s="32" t="n">
        <f aca="false">BA748-BB748</f>
        <v>-0.00587385213918398</v>
      </c>
      <c r="BD748" s="30" t="n">
        <f aca="false">A749-A748</f>
        <v>1</v>
      </c>
    </row>
    <row r="749" customFormat="false" ht="15" hidden="false" customHeight="false" outlineLevel="0" collapsed="false">
      <c r="A749" s="28" t="n">
        <v>46147</v>
      </c>
      <c r="B749" s="0" t="n">
        <v>24129.4</v>
      </c>
      <c r="C749" s="0" t="n">
        <v>272.49</v>
      </c>
      <c r="D749" s="29" t="n">
        <f aca="false">LN(B749)</f>
        <v>10.091186292997</v>
      </c>
      <c r="E749" s="29" t="n">
        <f aca="false">LN(C749)</f>
        <v>5.60760191618223</v>
      </c>
      <c r="F749" s="0" t="n">
        <v>744</v>
      </c>
      <c r="G749" s="0" t="n">
        <v>21</v>
      </c>
      <c r="H749" s="29" t="n">
        <f aca="false">D749-E749</f>
        <v>4.48358437681481</v>
      </c>
      <c r="I749" s="29" t="n">
        <f aca="false">D749-D748</f>
        <v>-0.0025083106070305</v>
      </c>
      <c r="J749" s="29" t="n">
        <f aca="false">E749-E748</f>
        <v>-0.00260221151440287</v>
      </c>
      <c r="K749" s="0" t="n">
        <v>0</v>
      </c>
      <c r="L749" s="0" t="n">
        <v>0</v>
      </c>
      <c r="M749" s="29" t="n">
        <f aca="false">IF(L749=1,J749-Carry!$B$9/Inputs!$B$16,I749)</f>
        <v>-0.0025083106070305</v>
      </c>
      <c r="N749" s="0" t="n">
        <v>0.0525</v>
      </c>
      <c r="O749" s="0" t="n">
        <v>0.0005</v>
      </c>
      <c r="P749" s="29" t="n">
        <f aca="false">D749-('2 Hedge ratio'!$B$6+'2 Hedge ratio'!$B$5*E749)</f>
        <v>-0.00790795896887708</v>
      </c>
      <c r="Q749" s="29" t="n">
        <f aca="false">D749-('5 Re-specification'!$B$7+'5 Re-specification'!$B$5*E749+'5 Re-specification'!$B$6*F749)</f>
        <v>0.00280460625672596</v>
      </c>
      <c r="R749" s="30" t="n">
        <f aca="false">MIN(F749,Inputs!$B$9)</f>
        <v>250</v>
      </c>
      <c r="S749" s="29" t="n">
        <f aca="true">IF(AND(F749&gt;=1,R749&gt;=Inputs!$B$10),INDEX(LINEST(OFFSET(D749,-R749,0,R749,1),OFFSET(E749,-R749,0,R749,2)),1,1),"")</f>
        <v>-4.99153026162251E-005</v>
      </c>
      <c r="T749" s="29" t="n">
        <f aca="true">IF(AND(F749&gt;=1,R749&gt;=Inputs!$B$10),INDEX(LINEST(OFFSET(D749,-R749,0,R749,1),OFFSET(E749,-R749,0,R749,2)),1,2),"")</f>
        <v>1.0100996588022</v>
      </c>
      <c r="U749" s="29" t="n">
        <f aca="true">IF(AND(F749&gt;=1,R749&gt;=Inputs!$B$10),INDEX(LINEST(OFFSET(D749,-R749,0,R749,1),OFFSET(E749,-R749,0,R749,2)),1,3),"")</f>
        <v>4.46018994409587</v>
      </c>
      <c r="V749" s="29" t="n">
        <f aca="true">IF(AND(F749&gt;=1,R749&gt;=Inputs!$B$10),SQRT(SUMPRODUCT((OFFSET(D749,-R749,0,R749,1)-U749-T749*OFFSET(E749,-R749,0,R749,1)-S749*OFFSET(F749,-R749,0,R749,1))^2)/(R749-3)),"")</f>
        <v>0.00247051155613714</v>
      </c>
      <c r="W749" s="31" t="n">
        <f aca="false">IF(AND(F749&gt;=1,R749&gt;=Inputs!$B$10),(D749-U749-T749*E749-S749*F749)/V749,"")</f>
        <v>1.57722468601344</v>
      </c>
      <c r="X749" s="30" t="n">
        <f aca="false">IF(AB748&lt;&gt;0,AC748+1,0)</f>
        <v>3</v>
      </c>
      <c r="Y749" s="30" t="n">
        <f aca="false">IF(W749="",0,IF(AND(AB748&lt;&gt;0,OR(ABS(W749)&gt;Inputs!$B$7,X749&gt;=Inputs!$B$8,ABS(W749)&lt;Inputs!$B$6)),1,0))</f>
        <v>0</v>
      </c>
      <c r="Z749" s="30" t="n">
        <f aca="false">IF(Y749=1,0,AB748)</f>
        <v>-1</v>
      </c>
      <c r="AA749" s="30" t="n">
        <f aca="false">IF(W749="",0,IF(AND(Z749=0,ABS(W749)&gt;Inputs!$B$5,ABS(W749)&lt;=Inputs!$B$7),1,0))</f>
        <v>0</v>
      </c>
      <c r="AB749" s="30" t="n">
        <f aca="false">IF(W749="",0,IF(AA749=1,-SIGN(W749),Z749))</f>
        <v>-1</v>
      </c>
      <c r="AC749" s="30" t="n">
        <f aca="false">IF(W749="",0,IF(AA749=1,0,IF(Y749=1,0,X749)))</f>
        <v>3</v>
      </c>
      <c r="AD749" s="29" t="n">
        <f aca="false">IF(AB749=0,0,IF(AB748=AB749,AD748,T749))</f>
        <v>1.00883837346067</v>
      </c>
      <c r="AE749" s="30" t="n">
        <f aca="false">AB749-AB748</f>
        <v>0</v>
      </c>
      <c r="AF749" s="30" t="n">
        <f aca="false">-AD749*AB749</f>
        <v>1.00883837346067</v>
      </c>
      <c r="AG749" s="30" t="n">
        <f aca="false">AF749-AF748</f>
        <v>0</v>
      </c>
      <c r="AH749" s="30" t="n">
        <f aca="false">MAX(AE749,0)*(Inputs!$B$17+Inputs!$B$18+Inputs!$B$19)+MAX(-AE749,0)*(O749+Inputs!$B$18+Inputs!$B$19)+IF(AND(K749=1,AB749&lt;&gt;0),(Inputs!$B$17+Inputs!$B$18+Inputs!$B$19)+(O749+Inputs!$B$18+Inputs!$B$19),0)+MAX(AG749,0)*(Inputs!$B$20+Inputs!$B$22+Inputs!$B$23)+MAX(-AG749,0)*(Inputs!$B$21+Inputs!$B$22+Inputs!$B$23)</f>
        <v>0</v>
      </c>
      <c r="AI749" s="30" t="n">
        <f aca="false">AB748*(M749-AD748*J749)+AB748*AD748*N749/Inputs!$B$16-AH749</f>
        <v>-0.000327074885697962</v>
      </c>
      <c r="AJ749" s="30" t="n">
        <f aca="false">MAX(AE749,0)*(Inputs!$B$17+Inputs!$B$24+Inputs!$B$25)+MAX(-AE749,0)*(O749+Inputs!$B$24+Inputs!$B$25)+IF(AND(K749=1,AB749&lt;&gt;0),(Inputs!$B$17+Inputs!$B$24+Inputs!$B$25)+(O749+Inputs!$B$24+Inputs!$B$25),0)+MAX(AG749,0)*(Inputs!$B$20+Inputs!$B$26+Inputs!$B$27)+MAX(-AG749,0)*(Inputs!$B$21+Inputs!$B$26+Inputs!$B$27)</f>
        <v>0</v>
      </c>
      <c r="AK749" s="30" t="n">
        <f aca="false">AB748*(M749-AD748*J749)+AB748*AD748*(N749+Inputs!$B$14)/Inputs!$B$16-AJ749</f>
        <v>-0.000357099837289053</v>
      </c>
      <c r="AL749" s="30" t="n">
        <f aca="false">IF(AP748&lt;&gt;0,AQ748+1,0)</f>
        <v>3</v>
      </c>
      <c r="AM749" s="30" t="n">
        <f aca="false">IF(W749="",0,IF(AND(AP748&lt;&gt;0,OR(ABS(W749)&gt;Inputs!$B$7,AL749&gt;=Inputs!$B$8,ABS(W749)&lt;Inputs!$B$6)),1,0))</f>
        <v>0</v>
      </c>
      <c r="AN749" s="30" t="n">
        <f aca="false">IF(AM749=1,0,AP748)</f>
        <v>-1</v>
      </c>
      <c r="AO749" s="30" t="n">
        <f aca="false">IF(W749="",0,IF(AND(AN749=0,ABS(W749)&gt;Inputs!$B$5,ABS(W749)&lt;=Inputs!$B$7,W749&gt;0),1,0))</f>
        <v>0</v>
      </c>
      <c r="AP749" s="30" t="n">
        <f aca="false">IF(W749="",0,IF(AO749=1,-SIGN(W749),AN749))</f>
        <v>-1</v>
      </c>
      <c r="AQ749" s="30" t="n">
        <f aca="false">IF(W749="",0,IF(AO749=1,0,IF(AM749=1,0,AL749)))</f>
        <v>3</v>
      </c>
      <c r="AR749" s="29" t="n">
        <f aca="false">IF(AP749=0,0,IF(AP748=AP749,AR748,T749))</f>
        <v>1.00883837346067</v>
      </c>
      <c r="AS749" s="30" t="n">
        <f aca="false">AP749-AP748</f>
        <v>0</v>
      </c>
      <c r="AT749" s="30" t="n">
        <f aca="false">-AR749*AP749</f>
        <v>1.00883837346067</v>
      </c>
      <c r="AU749" s="30" t="n">
        <f aca="false">AT749-AT748</f>
        <v>0</v>
      </c>
      <c r="AV749" s="30" t="n">
        <f aca="false">MAX(AS749,0)*(Inputs!$B$17+Inputs!$B$18+Inputs!$B$19)+MAX(-AS749,0)*(O749+Inputs!$B$18+Inputs!$B$19)+IF(AND(K749=1,AP749&lt;&gt;0),(Inputs!$B$17+Inputs!$B$18+Inputs!$B$19)+(O749+Inputs!$B$18+Inputs!$B$19),0)+MAX(AU749,0)*(Inputs!$B$20+Inputs!$B$22+Inputs!$B$23)+MAX(-AU749,0)*(Inputs!$B$21+Inputs!$B$22+Inputs!$B$23)</f>
        <v>0</v>
      </c>
      <c r="AW749" s="30" t="n">
        <f aca="false">AP748*(M749-AR748*J749)+AP748*AR748*N749/Inputs!$B$16-AV749</f>
        <v>-0.000327074885697962</v>
      </c>
      <c r="AX749" s="30" t="n">
        <f aca="false">AW749-IF(AP748&lt;&gt;0,0.75*AR748*(Inputs!$B$13-N749)/Inputs!$B$16,0)</f>
        <v>-0.000589793212120011</v>
      </c>
      <c r="AY749" s="30" t="n">
        <f aca="false">MAX(AS749,0)*(Inputs!$B$17+Inputs!$B$18+Inputs!$B$19)+MAX(-AS749,0)*(O749+Inputs!$B$18+Inputs!$B$19)+IF(AND(K749=1,AP749&lt;&gt;0),(Inputs!$B$17+Inputs!$B$18+Inputs!$B$19)+(O749+Inputs!$B$18+Inputs!$B$19),0)</f>
        <v>0</v>
      </c>
      <c r="AZ749" s="30" t="n">
        <f aca="false">AP748*M749-AY749</f>
        <v>0.0025083106070305</v>
      </c>
      <c r="BA749" s="32" t="n">
        <f aca="false">BA748+AI749</f>
        <v>0.0199716921523575</v>
      </c>
      <c r="BB749" s="30" t="n">
        <f aca="false">MAX(BB748,BA749)</f>
        <v>0.0261726191772394</v>
      </c>
      <c r="BC749" s="32" t="n">
        <f aca="false">BA749-BB749</f>
        <v>-0.00620092702488194</v>
      </c>
      <c r="BD749" s="30" t="n">
        <f aca="false">A750-A749</f>
        <v>1</v>
      </c>
    </row>
    <row r="750" customFormat="false" ht="15" hidden="false" customHeight="false" outlineLevel="0" collapsed="false">
      <c r="A750" s="28" t="n">
        <v>46148</v>
      </c>
      <c r="B750" s="0" t="n">
        <v>24466.8</v>
      </c>
      <c r="C750" s="0" t="n">
        <v>275.85</v>
      </c>
      <c r="D750" s="29" t="n">
        <f aca="false">LN(B750)</f>
        <v>10.1050723755109</v>
      </c>
      <c r="E750" s="29" t="n">
        <f aca="false">LN(C750)</f>
        <v>5.61985723971844</v>
      </c>
      <c r="F750" s="0" t="n">
        <v>745</v>
      </c>
      <c r="G750" s="0" t="n">
        <v>20</v>
      </c>
      <c r="H750" s="29" t="n">
        <f aca="false">D750-E750</f>
        <v>4.48521513579249</v>
      </c>
      <c r="I750" s="29" t="n">
        <f aca="false">D750-D749</f>
        <v>0.0138860825138867</v>
      </c>
      <c r="J750" s="29" t="n">
        <f aca="false">E750-E749</f>
        <v>0.0122553235362082</v>
      </c>
      <c r="K750" s="0" t="n">
        <v>0</v>
      </c>
      <c r="L750" s="0" t="n">
        <v>0</v>
      </c>
      <c r="M750" s="29" t="n">
        <f aca="false">IF(L750=1,J750-Carry!$B$9/Inputs!$B$16,I750)</f>
        <v>0.0138860825138867</v>
      </c>
      <c r="N750" s="0" t="n">
        <v>0.0525</v>
      </c>
      <c r="O750" s="0" t="n">
        <v>0.0005</v>
      </c>
      <c r="P750" s="29" t="n">
        <f aca="false">D750-('2 Hedge ratio'!$B$6+'2 Hedge ratio'!$B$5*E750)</f>
        <v>-0.00524930628973763</v>
      </c>
      <c r="Q750" s="29" t="n">
        <f aca="false">D750-('5 Re-specification'!$B$7+'5 Re-specification'!$B$5*E750+'5 Re-specification'!$B$6*F750)</f>
        <v>0.00451743431073659</v>
      </c>
      <c r="R750" s="30" t="n">
        <f aca="false">MIN(F750,Inputs!$B$9)</f>
        <v>250</v>
      </c>
      <c r="S750" s="29" t="n">
        <f aca="true">IF(AND(F750&gt;=1,R750&gt;=Inputs!$B$10),INDEX(LINEST(OFFSET(D750,-R750,0,R750,1),OFFSET(E750,-R750,0,R750,2)),1,1),"")</f>
        <v>-4.89657316209364E-005</v>
      </c>
      <c r="T750" s="29" t="n">
        <f aca="true">IF(AND(F750&gt;=1,R750&gt;=Inputs!$B$10),INDEX(LINEST(OFFSET(D750,-R750,0,R750,1),OFFSET(E750,-R750,0,R750,2)),1,2),"")</f>
        <v>1.01057703444659</v>
      </c>
      <c r="U750" s="29" t="n">
        <f aca="true">IF(AND(F750&gt;=1,R750&gt;=Inputs!$B$10),INDEX(LINEST(OFFSET(D750,-R750,0,R750,1),OFFSET(E750,-R750,0,R750,2)),1,3),"")</f>
        <v>4.45689907571018</v>
      </c>
      <c r="V750" s="29" t="n">
        <f aca="true">IF(AND(F750&gt;=1,R750&gt;=Inputs!$B$10),SQRT(SUMPRODUCT((OFFSET(D750,-R750,0,R750,1)-U750-T750*OFFSET(E750,-R750,0,R750,1)-S750*OFFSET(F750,-R750,0,R750,1))^2)/(R750-3)),"")</f>
        <v>0.00245341419943513</v>
      </c>
      <c r="W750" s="31" t="n">
        <f aca="false">IF(AND(F750&gt;=1,R750&gt;=Inputs!$B$10),(D750-U750-T750*E750-S750*F750)/V750,"")</f>
        <v>2.18230844661103</v>
      </c>
      <c r="X750" s="30" t="n">
        <f aca="false">IF(AB749&lt;&gt;0,AC749+1,0)</f>
        <v>4</v>
      </c>
      <c r="Y750" s="30" t="n">
        <f aca="false">IF(W750="",0,IF(AND(AB749&lt;&gt;0,OR(ABS(W750)&gt;Inputs!$B$7,X750&gt;=Inputs!$B$8,ABS(W750)&lt;Inputs!$B$6)),1,0))</f>
        <v>0</v>
      </c>
      <c r="Z750" s="30" t="n">
        <f aca="false">IF(Y750=1,0,AB749)</f>
        <v>-1</v>
      </c>
      <c r="AA750" s="30" t="n">
        <f aca="false">IF(W750="",0,IF(AND(Z750=0,ABS(W750)&gt;Inputs!$B$5,ABS(W750)&lt;=Inputs!$B$7),1,0))</f>
        <v>0</v>
      </c>
      <c r="AB750" s="30" t="n">
        <f aca="false">IF(W750="",0,IF(AA750=1,-SIGN(W750),Z750))</f>
        <v>-1</v>
      </c>
      <c r="AC750" s="30" t="n">
        <f aca="false">IF(W750="",0,IF(AA750=1,0,IF(Y750=1,0,X750)))</f>
        <v>4</v>
      </c>
      <c r="AD750" s="29" t="n">
        <f aca="false">IF(AB750=0,0,IF(AB749=AB750,AD749,T750))</f>
        <v>1.00883837346067</v>
      </c>
      <c r="AE750" s="30" t="n">
        <f aca="false">AB750-AB749</f>
        <v>0</v>
      </c>
      <c r="AF750" s="30" t="n">
        <f aca="false">-AD750*AB750</f>
        <v>1.00883837346067</v>
      </c>
      <c r="AG750" s="30" t="n">
        <f aca="false">AF750-AF749</f>
        <v>0</v>
      </c>
      <c r="AH750" s="30" t="n">
        <f aca="false">MAX(AE750,0)*(Inputs!$B$17+Inputs!$B$18+Inputs!$B$19)+MAX(-AE750,0)*(O750+Inputs!$B$18+Inputs!$B$19)+IF(AND(K750=1,AB750&lt;&gt;0),(Inputs!$B$17+Inputs!$B$18+Inputs!$B$19)+(O750+Inputs!$B$18+Inputs!$B$19),0)+MAX(AG750,0)*(Inputs!$B$20+Inputs!$B$22+Inputs!$B$23)+MAX(-AG750,0)*(Inputs!$B$21+Inputs!$B$22+Inputs!$B$23)</f>
        <v>0</v>
      </c>
      <c r="AI750" s="30" t="n">
        <f aca="false">AB749*(M750-AD749*J750)+AB749*AD749*N750/Inputs!$B$16-AH750</f>
        <v>-0.00173261651252182</v>
      </c>
      <c r="AJ750" s="30" t="n">
        <f aca="false">MAX(AE750,0)*(Inputs!$B$17+Inputs!$B$24+Inputs!$B$25)+MAX(-AE750,0)*(O750+Inputs!$B$24+Inputs!$B$25)+IF(AND(K750=1,AB750&lt;&gt;0),(Inputs!$B$17+Inputs!$B$24+Inputs!$B$25)+(O750+Inputs!$B$24+Inputs!$B$25),0)+MAX(AG750,0)*(Inputs!$B$20+Inputs!$B$26+Inputs!$B$27)+MAX(-AG750,0)*(Inputs!$B$21+Inputs!$B$26+Inputs!$B$27)</f>
        <v>0</v>
      </c>
      <c r="AK750" s="30" t="n">
        <f aca="false">AB749*(M750-AD749*J750)+AB749*AD749*(N750+Inputs!$B$14)/Inputs!$B$16-AJ750</f>
        <v>-0.00176264146411291</v>
      </c>
      <c r="AL750" s="30" t="n">
        <f aca="false">IF(AP749&lt;&gt;0,AQ749+1,0)</f>
        <v>4</v>
      </c>
      <c r="AM750" s="30" t="n">
        <f aca="false">IF(W750="",0,IF(AND(AP749&lt;&gt;0,OR(ABS(W750)&gt;Inputs!$B$7,AL750&gt;=Inputs!$B$8,ABS(W750)&lt;Inputs!$B$6)),1,0))</f>
        <v>0</v>
      </c>
      <c r="AN750" s="30" t="n">
        <f aca="false">IF(AM750=1,0,AP749)</f>
        <v>-1</v>
      </c>
      <c r="AO750" s="30" t="n">
        <f aca="false">IF(W750="",0,IF(AND(AN750=0,ABS(W750)&gt;Inputs!$B$5,ABS(W750)&lt;=Inputs!$B$7,W750&gt;0),1,0))</f>
        <v>0</v>
      </c>
      <c r="AP750" s="30" t="n">
        <f aca="false">IF(W750="",0,IF(AO750=1,-SIGN(W750),AN750))</f>
        <v>-1</v>
      </c>
      <c r="AQ750" s="30" t="n">
        <f aca="false">IF(W750="",0,IF(AO750=1,0,IF(AM750=1,0,AL750)))</f>
        <v>4</v>
      </c>
      <c r="AR750" s="29" t="n">
        <f aca="false">IF(AP750=0,0,IF(AP749=AP750,AR749,T750))</f>
        <v>1.00883837346067</v>
      </c>
      <c r="AS750" s="30" t="n">
        <f aca="false">AP750-AP749</f>
        <v>0</v>
      </c>
      <c r="AT750" s="30" t="n">
        <f aca="false">-AR750*AP750</f>
        <v>1.00883837346067</v>
      </c>
      <c r="AU750" s="30" t="n">
        <f aca="false">AT750-AT749</f>
        <v>0</v>
      </c>
      <c r="AV750" s="30" t="n">
        <f aca="false">MAX(AS750,0)*(Inputs!$B$17+Inputs!$B$18+Inputs!$B$19)+MAX(-AS750,0)*(O750+Inputs!$B$18+Inputs!$B$19)+IF(AND(K750=1,AP750&lt;&gt;0),(Inputs!$B$17+Inputs!$B$18+Inputs!$B$19)+(O750+Inputs!$B$18+Inputs!$B$19),0)+MAX(AU750,0)*(Inputs!$B$20+Inputs!$B$22+Inputs!$B$23)+MAX(-AU750,0)*(Inputs!$B$21+Inputs!$B$22+Inputs!$B$23)</f>
        <v>0</v>
      </c>
      <c r="AW750" s="30" t="n">
        <f aca="false">AP749*(M750-AR749*J750)+AP749*AR749*N750/Inputs!$B$16-AV750</f>
        <v>-0.00173261651252182</v>
      </c>
      <c r="AX750" s="30" t="n">
        <f aca="false">AW750-IF(AP749&lt;&gt;0,0.75*AR749*(Inputs!$B$13-N750)/Inputs!$B$16,0)</f>
        <v>-0.00199533483894387</v>
      </c>
      <c r="AY750" s="30" t="n">
        <f aca="false">MAX(AS750,0)*(Inputs!$B$17+Inputs!$B$18+Inputs!$B$19)+MAX(-AS750,0)*(O750+Inputs!$B$18+Inputs!$B$19)+IF(AND(K750=1,AP750&lt;&gt;0),(Inputs!$B$17+Inputs!$B$18+Inputs!$B$19)+(O750+Inputs!$B$18+Inputs!$B$19),0)</f>
        <v>0</v>
      </c>
      <c r="AZ750" s="30" t="n">
        <f aca="false">AP749*M750-AY750</f>
        <v>-0.0138860825138867</v>
      </c>
      <c r="BA750" s="32" t="n">
        <f aca="false">BA749+AI750</f>
        <v>0.0182390756398356</v>
      </c>
      <c r="BB750" s="30" t="n">
        <f aca="false">MAX(BB749,BA750)</f>
        <v>0.0261726191772394</v>
      </c>
      <c r="BC750" s="32" t="n">
        <f aca="false">BA750-BB750</f>
        <v>-0.00793354353740376</v>
      </c>
      <c r="BD750" s="30" t="n">
        <f aca="false">A751-A750</f>
        <v>1</v>
      </c>
    </row>
    <row r="751" customFormat="false" ht="15" hidden="false" customHeight="false" outlineLevel="0" collapsed="false">
      <c r="A751" s="28" t="n">
        <v>46149</v>
      </c>
      <c r="B751" s="0" t="n">
        <v>24405</v>
      </c>
      <c r="C751" s="0" t="n">
        <v>275.4</v>
      </c>
      <c r="D751" s="29" t="n">
        <f aca="false">LN(B751)</f>
        <v>10.1025433083212</v>
      </c>
      <c r="E751" s="29" t="n">
        <f aca="false">LN(C751)</f>
        <v>5.61822458629456</v>
      </c>
      <c r="F751" s="0" t="n">
        <v>746</v>
      </c>
      <c r="G751" s="0" t="n">
        <v>19</v>
      </c>
      <c r="H751" s="29" t="n">
        <f aca="false">D751-E751</f>
        <v>4.48431872202669</v>
      </c>
      <c r="I751" s="29" t="n">
        <f aca="false">D751-D750</f>
        <v>-0.00252906718968049</v>
      </c>
      <c r="J751" s="29" t="n">
        <f aca="false">E751-E750</f>
        <v>-0.00163265342388552</v>
      </c>
      <c r="K751" s="0" t="n">
        <v>0</v>
      </c>
      <c r="L751" s="0" t="n">
        <v>0</v>
      </c>
      <c r="M751" s="29" t="n">
        <f aca="false">IF(L751=1,J751-Carry!$B$9/Inputs!$B$16,I751)</f>
        <v>-0.00252906718968049</v>
      </c>
      <c r="N751" s="0" t="n">
        <v>0.0525</v>
      </c>
      <c r="O751" s="0" t="n">
        <v>0.0005</v>
      </c>
      <c r="P751" s="29" t="n">
        <f aca="false">D751-('2 Hedge ratio'!$B$6+'2 Hedge ratio'!$B$5*E751)</f>
        <v>-0.00628265598922084</v>
      </c>
      <c r="Q751" s="29" t="n">
        <f aca="false">D751-('5 Re-specification'!$B$7+'5 Re-specification'!$B$5*E751+'5 Re-specification'!$B$6*F751)</f>
        <v>0.00366100210680465</v>
      </c>
      <c r="R751" s="30" t="n">
        <f aca="false">MIN(F751,Inputs!$B$9)</f>
        <v>250</v>
      </c>
      <c r="S751" s="29" t="n">
        <f aca="true">IF(AND(F751&gt;=1,R751&gt;=Inputs!$B$10),INDEX(LINEST(OFFSET(D751,-R751,0,R751,1),OFFSET(E751,-R751,0,R751,2)),1,1),"")</f>
        <v>-4.79991905532239E-005</v>
      </c>
      <c r="T751" s="29" t="n">
        <f aca="true">IF(AND(F751&gt;=1,R751&gt;=Inputs!$B$10),INDEX(LINEST(OFFSET(D751,-R751,0,R751,1),OFFSET(E751,-R751,0,R751,2)),1,2),"")</f>
        <v>1.01088788151639</v>
      </c>
      <c r="U751" s="29" t="n">
        <f aca="true">IF(AND(F751&gt;=1,R751&gt;=Inputs!$B$10),INDEX(LINEST(OFFSET(D751,-R751,0,R751,1),OFFSET(E751,-R751,0,R751,2)),1,3),"")</f>
        <v>4.45454756599763</v>
      </c>
      <c r="V751" s="29" t="n">
        <f aca="true">IF(AND(F751&gt;=1,R751&gt;=Inputs!$B$10),SQRT(SUMPRODUCT((OFFSET(D751,-R751,0,R751,1)-U751-T751*OFFSET(E751,-R751,0,R751,1)-S751*OFFSET(F751,-R751,0,R751,1))^2)/(R751-3)),"")</f>
        <v>0.00245830974609462</v>
      </c>
      <c r="W751" s="31" t="n">
        <f aca="false">IF(AND(F751&gt;=1,R751&gt;=Inputs!$B$10),(D751-U751-T751*E751-S751*F751)/V751,"")</f>
        <v>1.79309729407692</v>
      </c>
      <c r="X751" s="30" t="n">
        <f aca="false">IF(AB750&lt;&gt;0,AC750+1,0)</f>
        <v>5</v>
      </c>
      <c r="Y751" s="30" t="n">
        <f aca="false">IF(W751="",0,IF(AND(AB750&lt;&gt;0,OR(ABS(W751)&gt;Inputs!$B$7,X751&gt;=Inputs!$B$8,ABS(W751)&lt;Inputs!$B$6)),1,0))</f>
        <v>0</v>
      </c>
      <c r="Z751" s="30" t="n">
        <f aca="false">IF(Y751=1,0,AB750)</f>
        <v>-1</v>
      </c>
      <c r="AA751" s="30" t="n">
        <f aca="false">IF(W751="",0,IF(AND(Z751=0,ABS(W751)&gt;Inputs!$B$5,ABS(W751)&lt;=Inputs!$B$7),1,0))</f>
        <v>0</v>
      </c>
      <c r="AB751" s="30" t="n">
        <f aca="false">IF(W751="",0,IF(AA751=1,-SIGN(W751),Z751))</f>
        <v>-1</v>
      </c>
      <c r="AC751" s="30" t="n">
        <f aca="false">IF(W751="",0,IF(AA751=1,0,IF(Y751=1,0,X751)))</f>
        <v>5</v>
      </c>
      <c r="AD751" s="29" t="n">
        <f aca="false">IF(AB751=0,0,IF(AB750=AB751,AD750,T751))</f>
        <v>1.00883837346067</v>
      </c>
      <c r="AE751" s="30" t="n">
        <f aca="false">AB751-AB750</f>
        <v>0</v>
      </c>
      <c r="AF751" s="30" t="n">
        <f aca="false">-AD751*AB751</f>
        <v>1.00883837346067</v>
      </c>
      <c r="AG751" s="30" t="n">
        <f aca="false">AF751-AF750</f>
        <v>0</v>
      </c>
      <c r="AH751" s="30" t="n">
        <f aca="false">MAX(AE751,0)*(Inputs!$B$17+Inputs!$B$18+Inputs!$B$19)+MAX(-AE751,0)*(O751+Inputs!$B$18+Inputs!$B$19)+IF(AND(K751=1,AB751&lt;&gt;0),(Inputs!$B$17+Inputs!$B$18+Inputs!$B$19)+(O751+Inputs!$B$18+Inputs!$B$19),0)+MAX(AG751,0)*(Inputs!$B$20+Inputs!$B$22+Inputs!$B$23)+MAX(-AG751,0)*(Inputs!$B$21+Inputs!$B$22+Inputs!$B$23)</f>
        <v>0</v>
      </c>
      <c r="AI751" s="30" t="n">
        <f aca="false">AB750*(M751-AD750*J751)+AB750*AD750*N751/Inputs!$B$16-AH751</f>
        <v>0.00067180910396519</v>
      </c>
      <c r="AJ751" s="30" t="n">
        <f aca="false">MAX(AE751,0)*(Inputs!$B$17+Inputs!$B$24+Inputs!$B$25)+MAX(-AE751,0)*(O751+Inputs!$B$24+Inputs!$B$25)+IF(AND(K751=1,AB751&lt;&gt;0),(Inputs!$B$17+Inputs!$B$24+Inputs!$B$25)+(O751+Inputs!$B$24+Inputs!$B$25),0)+MAX(AG751,0)*(Inputs!$B$20+Inputs!$B$26+Inputs!$B$27)+MAX(-AG751,0)*(Inputs!$B$21+Inputs!$B$26+Inputs!$B$27)</f>
        <v>0</v>
      </c>
      <c r="AK751" s="30" t="n">
        <f aca="false">AB750*(M751-AD750*J751)+AB750*AD750*(N751+Inputs!$B$14)/Inputs!$B$16-AJ751</f>
        <v>0.000641784152374099</v>
      </c>
      <c r="AL751" s="30" t="n">
        <f aca="false">IF(AP750&lt;&gt;0,AQ750+1,0)</f>
        <v>5</v>
      </c>
      <c r="AM751" s="30" t="n">
        <f aca="false">IF(W751="",0,IF(AND(AP750&lt;&gt;0,OR(ABS(W751)&gt;Inputs!$B$7,AL751&gt;=Inputs!$B$8,ABS(W751)&lt;Inputs!$B$6)),1,0))</f>
        <v>0</v>
      </c>
      <c r="AN751" s="30" t="n">
        <f aca="false">IF(AM751=1,0,AP750)</f>
        <v>-1</v>
      </c>
      <c r="AO751" s="30" t="n">
        <f aca="false">IF(W751="",0,IF(AND(AN751=0,ABS(W751)&gt;Inputs!$B$5,ABS(W751)&lt;=Inputs!$B$7,W751&gt;0),1,0))</f>
        <v>0</v>
      </c>
      <c r="AP751" s="30" t="n">
        <f aca="false">IF(W751="",0,IF(AO751=1,-SIGN(W751),AN751))</f>
        <v>-1</v>
      </c>
      <c r="AQ751" s="30" t="n">
        <f aca="false">IF(W751="",0,IF(AO751=1,0,IF(AM751=1,0,AL751)))</f>
        <v>5</v>
      </c>
      <c r="AR751" s="29" t="n">
        <f aca="false">IF(AP751=0,0,IF(AP750=AP751,AR750,T751))</f>
        <v>1.00883837346067</v>
      </c>
      <c r="AS751" s="30" t="n">
        <f aca="false">AP751-AP750</f>
        <v>0</v>
      </c>
      <c r="AT751" s="30" t="n">
        <f aca="false">-AR751*AP751</f>
        <v>1.00883837346067</v>
      </c>
      <c r="AU751" s="30" t="n">
        <f aca="false">AT751-AT750</f>
        <v>0</v>
      </c>
      <c r="AV751" s="30" t="n">
        <f aca="false">MAX(AS751,0)*(Inputs!$B$17+Inputs!$B$18+Inputs!$B$19)+MAX(-AS751,0)*(O751+Inputs!$B$18+Inputs!$B$19)+IF(AND(K751=1,AP751&lt;&gt;0),(Inputs!$B$17+Inputs!$B$18+Inputs!$B$19)+(O751+Inputs!$B$18+Inputs!$B$19),0)+MAX(AU751,0)*(Inputs!$B$20+Inputs!$B$22+Inputs!$B$23)+MAX(-AU751,0)*(Inputs!$B$21+Inputs!$B$22+Inputs!$B$23)</f>
        <v>0</v>
      </c>
      <c r="AW751" s="30" t="n">
        <f aca="false">AP750*(M751-AR750*J751)+AP750*AR750*N751/Inputs!$B$16-AV751</f>
        <v>0.00067180910396519</v>
      </c>
      <c r="AX751" s="30" t="n">
        <f aca="false">AW751-IF(AP750&lt;&gt;0,0.75*AR750*(Inputs!$B$13-N751)/Inputs!$B$16,0)</f>
        <v>0.000409090777543141</v>
      </c>
      <c r="AY751" s="30" t="n">
        <f aca="false">MAX(AS751,0)*(Inputs!$B$17+Inputs!$B$18+Inputs!$B$19)+MAX(-AS751,0)*(O751+Inputs!$B$18+Inputs!$B$19)+IF(AND(K751=1,AP751&lt;&gt;0),(Inputs!$B$17+Inputs!$B$18+Inputs!$B$19)+(O751+Inputs!$B$18+Inputs!$B$19),0)</f>
        <v>0</v>
      </c>
      <c r="AZ751" s="30" t="n">
        <f aca="false">AP750*M751-AY751</f>
        <v>0.00252906718968049</v>
      </c>
      <c r="BA751" s="32" t="n">
        <f aca="false">BA750+AI751</f>
        <v>0.0189108847438008</v>
      </c>
      <c r="BB751" s="30" t="n">
        <f aca="false">MAX(BB750,BA751)</f>
        <v>0.0261726191772394</v>
      </c>
      <c r="BC751" s="32" t="n">
        <f aca="false">BA751-BB751</f>
        <v>-0.00726173443343857</v>
      </c>
      <c r="BD751" s="30" t="n">
        <f aca="false">A752-A751</f>
        <v>1</v>
      </c>
    </row>
    <row r="752" customFormat="false" ht="15" hidden="false" customHeight="false" outlineLevel="0" collapsed="false">
      <c r="A752" s="28" t="n">
        <v>46150</v>
      </c>
      <c r="B752" s="0" t="n">
        <v>24228.7</v>
      </c>
      <c r="C752" s="0" t="n">
        <v>274</v>
      </c>
      <c r="D752" s="29" t="n">
        <f aca="false">LN(B752)</f>
        <v>10.0952931598743</v>
      </c>
      <c r="E752" s="29" t="n">
        <f aca="false">LN(C752)</f>
        <v>5.61312810638807</v>
      </c>
      <c r="F752" s="0" t="n">
        <v>747</v>
      </c>
      <c r="G752" s="0" t="n">
        <v>18</v>
      </c>
      <c r="H752" s="29" t="n">
        <f aca="false">D752-E752</f>
        <v>4.48216505348625</v>
      </c>
      <c r="I752" s="29" t="n">
        <f aca="false">D752-D751</f>
        <v>-0.00725014844692851</v>
      </c>
      <c r="J752" s="29" t="n">
        <f aca="false">E752-E751</f>
        <v>-0.00509647990648432</v>
      </c>
      <c r="K752" s="0" t="n">
        <v>0</v>
      </c>
      <c r="L752" s="0" t="n">
        <v>0</v>
      </c>
      <c r="M752" s="29" t="n">
        <f aca="false">IF(L752=1,J752-Carry!$B$9/Inputs!$B$16,I752)</f>
        <v>-0.00725014844692851</v>
      </c>
      <c r="N752" s="0" t="n">
        <v>0.0525</v>
      </c>
      <c r="O752" s="0" t="n">
        <v>0.0005</v>
      </c>
      <c r="P752" s="29" t="n">
        <f aca="false">D752-('2 Hedge ratio'!$B$6+'2 Hedge ratio'!$B$5*E752)</f>
        <v>-0.00886378281585465</v>
      </c>
      <c r="Q752" s="29" t="n">
        <f aca="false">D752-('5 Re-specification'!$B$7+'5 Re-specification'!$B$5*E752+'5 Re-specification'!$B$6*F752)</f>
        <v>0.00153681800199124</v>
      </c>
      <c r="R752" s="30" t="n">
        <f aca="false">MIN(F752,Inputs!$B$9)</f>
        <v>250</v>
      </c>
      <c r="S752" s="29" t="n">
        <f aca="true">IF(AND(F752&gt;=1,R752&gt;=Inputs!$B$10),INDEX(LINEST(OFFSET(D752,-R752,0,R752,1),OFFSET(E752,-R752,0,R752,2)),1,1),"")</f>
        <v>-4.72361906471875E-005</v>
      </c>
      <c r="T752" s="29" t="n">
        <f aca="true">IF(AND(F752&gt;=1,R752&gt;=Inputs!$B$10),INDEX(LINEST(OFFSET(D752,-R752,0,R752,1),OFFSET(E752,-R752,0,R752,2)),1,2),"")</f>
        <v>1.01097389763999</v>
      </c>
      <c r="U752" s="29" t="n">
        <f aca="true">IF(AND(F752&gt;=1,R752&gt;=Inputs!$B$10),INDEX(LINEST(OFFSET(D752,-R752,0,R752,1),OFFSET(E752,-R752,0,R752,2)),1,3),"")</f>
        <v>4.45359139105112</v>
      </c>
      <c r="V752" s="29" t="n">
        <f aca="true">IF(AND(F752&gt;=1,R752&gt;=Inputs!$B$10),SQRT(SUMPRODUCT((OFFSET(D752,-R752,0,R752,1)-U752-T752*OFFSET(E752,-R752,0,R752,1)-S752*OFFSET(F752,-R752,0,R752,1))^2)/(R752-3)),"")</f>
        <v>0.00246349798350647</v>
      </c>
      <c r="W752" s="31" t="n">
        <f aca="false">IF(AND(F752&gt;=1,R752&gt;=Inputs!$B$10),(D752-U752-T752*E752-S752*F752)/V752,"")</f>
        <v>0.917883263575848</v>
      </c>
      <c r="X752" s="30" t="n">
        <f aca="false">IF(AB751&lt;&gt;0,AC751+1,0)</f>
        <v>6</v>
      </c>
      <c r="Y752" s="30" t="n">
        <f aca="false">IF(W752="",0,IF(AND(AB751&lt;&gt;0,OR(ABS(W752)&gt;Inputs!$B$7,X752&gt;=Inputs!$B$8,ABS(W752)&lt;Inputs!$B$6)),1,0))</f>
        <v>0</v>
      </c>
      <c r="Z752" s="30" t="n">
        <f aca="false">IF(Y752=1,0,AB751)</f>
        <v>-1</v>
      </c>
      <c r="AA752" s="30" t="n">
        <f aca="false">IF(W752="",0,IF(AND(Z752=0,ABS(W752)&gt;Inputs!$B$5,ABS(W752)&lt;=Inputs!$B$7),1,0))</f>
        <v>0</v>
      </c>
      <c r="AB752" s="30" t="n">
        <f aca="false">IF(W752="",0,IF(AA752=1,-SIGN(W752),Z752))</f>
        <v>-1</v>
      </c>
      <c r="AC752" s="30" t="n">
        <f aca="false">IF(W752="",0,IF(AA752=1,0,IF(Y752=1,0,X752)))</f>
        <v>6</v>
      </c>
      <c r="AD752" s="29" t="n">
        <f aca="false">IF(AB752=0,0,IF(AB751=AB752,AD751,T752))</f>
        <v>1.00883837346067</v>
      </c>
      <c r="AE752" s="30" t="n">
        <f aca="false">AB752-AB751</f>
        <v>0</v>
      </c>
      <c r="AF752" s="30" t="n">
        <f aca="false">-AD752*AB752</f>
        <v>1.00883837346067</v>
      </c>
      <c r="AG752" s="30" t="n">
        <f aca="false">AF752-AF751</f>
        <v>0</v>
      </c>
      <c r="AH752" s="30" t="n">
        <f aca="false">MAX(AE752,0)*(Inputs!$B$17+Inputs!$B$18+Inputs!$B$19)+MAX(-AE752,0)*(O752+Inputs!$B$18+Inputs!$B$19)+IF(AND(K752=1,AB752&lt;&gt;0),(Inputs!$B$17+Inputs!$B$18+Inputs!$B$19)+(O752+Inputs!$B$18+Inputs!$B$19),0)+MAX(AG752,0)*(Inputs!$B$20+Inputs!$B$22+Inputs!$B$23)+MAX(-AG752,0)*(Inputs!$B$21+Inputs!$B$22+Inputs!$B$23)</f>
        <v>0</v>
      </c>
      <c r="AI752" s="30" t="n">
        <f aca="false">AB751*(M752-AD751*J752)+AB751*AD751*N752/Inputs!$B$16-AH752</f>
        <v>0.00189844928655825</v>
      </c>
      <c r="AJ752" s="30" t="n">
        <f aca="false">MAX(AE752,0)*(Inputs!$B$17+Inputs!$B$24+Inputs!$B$25)+MAX(-AE752,0)*(O752+Inputs!$B$24+Inputs!$B$25)+IF(AND(K752=1,AB752&lt;&gt;0),(Inputs!$B$17+Inputs!$B$24+Inputs!$B$25)+(O752+Inputs!$B$24+Inputs!$B$25),0)+MAX(AG752,0)*(Inputs!$B$20+Inputs!$B$26+Inputs!$B$27)+MAX(-AG752,0)*(Inputs!$B$21+Inputs!$B$26+Inputs!$B$27)</f>
        <v>0</v>
      </c>
      <c r="AK752" s="30" t="n">
        <f aca="false">AB751*(M752-AD751*J752)+AB751*AD751*(N752+Inputs!$B$14)/Inputs!$B$16-AJ752</f>
        <v>0.00186842433496716</v>
      </c>
      <c r="AL752" s="30" t="n">
        <f aca="false">IF(AP751&lt;&gt;0,AQ751+1,0)</f>
        <v>6</v>
      </c>
      <c r="AM752" s="30" t="n">
        <f aca="false">IF(W752="",0,IF(AND(AP751&lt;&gt;0,OR(ABS(W752)&gt;Inputs!$B$7,AL752&gt;=Inputs!$B$8,ABS(W752)&lt;Inputs!$B$6)),1,0))</f>
        <v>0</v>
      </c>
      <c r="AN752" s="30" t="n">
        <f aca="false">IF(AM752=1,0,AP751)</f>
        <v>-1</v>
      </c>
      <c r="AO752" s="30" t="n">
        <f aca="false">IF(W752="",0,IF(AND(AN752=0,ABS(W752)&gt;Inputs!$B$5,ABS(W752)&lt;=Inputs!$B$7,W752&gt;0),1,0))</f>
        <v>0</v>
      </c>
      <c r="AP752" s="30" t="n">
        <f aca="false">IF(W752="",0,IF(AO752=1,-SIGN(W752),AN752))</f>
        <v>-1</v>
      </c>
      <c r="AQ752" s="30" t="n">
        <f aca="false">IF(W752="",0,IF(AO752=1,0,IF(AM752=1,0,AL752)))</f>
        <v>6</v>
      </c>
      <c r="AR752" s="29" t="n">
        <f aca="false">IF(AP752=0,0,IF(AP751=AP752,AR751,T752))</f>
        <v>1.00883837346067</v>
      </c>
      <c r="AS752" s="30" t="n">
        <f aca="false">AP752-AP751</f>
        <v>0</v>
      </c>
      <c r="AT752" s="30" t="n">
        <f aca="false">-AR752*AP752</f>
        <v>1.00883837346067</v>
      </c>
      <c r="AU752" s="30" t="n">
        <f aca="false">AT752-AT751</f>
        <v>0</v>
      </c>
      <c r="AV752" s="30" t="n">
        <f aca="false">MAX(AS752,0)*(Inputs!$B$17+Inputs!$B$18+Inputs!$B$19)+MAX(-AS752,0)*(O752+Inputs!$B$18+Inputs!$B$19)+IF(AND(K752=1,AP752&lt;&gt;0),(Inputs!$B$17+Inputs!$B$18+Inputs!$B$19)+(O752+Inputs!$B$18+Inputs!$B$19),0)+MAX(AU752,0)*(Inputs!$B$20+Inputs!$B$22+Inputs!$B$23)+MAX(-AU752,0)*(Inputs!$B$21+Inputs!$B$22+Inputs!$B$23)</f>
        <v>0</v>
      </c>
      <c r="AW752" s="30" t="n">
        <f aca="false">AP751*(M752-AR751*J752)+AP751*AR751*N752/Inputs!$B$16-AV752</f>
        <v>0.00189844928655825</v>
      </c>
      <c r="AX752" s="30" t="n">
        <f aca="false">AW752-IF(AP751&lt;&gt;0,0.75*AR751*(Inputs!$B$13-N752)/Inputs!$B$16,0)</f>
        <v>0.0016357309601362</v>
      </c>
      <c r="AY752" s="30" t="n">
        <f aca="false">MAX(AS752,0)*(Inputs!$B$17+Inputs!$B$18+Inputs!$B$19)+MAX(-AS752,0)*(O752+Inputs!$B$18+Inputs!$B$19)+IF(AND(K752=1,AP752&lt;&gt;0),(Inputs!$B$17+Inputs!$B$18+Inputs!$B$19)+(O752+Inputs!$B$18+Inputs!$B$19),0)</f>
        <v>0</v>
      </c>
      <c r="AZ752" s="30" t="n">
        <f aca="false">AP751*M752-AY752</f>
        <v>0.00725014844692851</v>
      </c>
      <c r="BA752" s="32" t="n">
        <f aca="false">BA751+AI752</f>
        <v>0.0208093340303591</v>
      </c>
      <c r="BB752" s="30" t="n">
        <f aca="false">MAX(BB751,BA752)</f>
        <v>0.0261726191772394</v>
      </c>
      <c r="BC752" s="32" t="n">
        <f aca="false">BA752-BB752</f>
        <v>-0.00536328514688032</v>
      </c>
      <c r="BD752" s="30" t="n">
        <f aca="false">A753-A752</f>
        <v>3</v>
      </c>
    </row>
    <row r="753" customFormat="false" ht="15" hidden="false" customHeight="false" outlineLevel="0" collapsed="false">
      <c r="A753" s="28" t="n">
        <v>46153</v>
      </c>
      <c r="B753" s="0" t="n">
        <v>23860</v>
      </c>
      <c r="C753" s="0" t="n">
        <v>270.1</v>
      </c>
      <c r="D753" s="29" t="n">
        <f aca="false">LN(B753)</f>
        <v>10.0799586956519</v>
      </c>
      <c r="E753" s="29" t="n">
        <f aca="false">LN(C753)</f>
        <v>5.59879226079857</v>
      </c>
      <c r="F753" s="0" t="n">
        <v>748</v>
      </c>
      <c r="G753" s="0" t="n">
        <v>15</v>
      </c>
      <c r="H753" s="29" t="n">
        <f aca="false">D753-E753</f>
        <v>4.48116643485334</v>
      </c>
      <c r="I753" s="29" t="n">
        <f aca="false">D753-D752</f>
        <v>-0.0153344642224127</v>
      </c>
      <c r="J753" s="29" t="n">
        <f aca="false">E753-E752</f>
        <v>-0.0143358455895006</v>
      </c>
      <c r="K753" s="0" t="n">
        <v>0</v>
      </c>
      <c r="L753" s="0" t="n">
        <v>0</v>
      </c>
      <c r="M753" s="29" t="n">
        <f aca="false">IF(L753=1,J753-Carry!$B$9/Inputs!$B$16,I753)</f>
        <v>-0.0153344642224127</v>
      </c>
      <c r="N753" s="0" t="n">
        <v>0.0525</v>
      </c>
      <c r="O753" s="0" t="n">
        <v>0.0005</v>
      </c>
      <c r="P753" s="29" t="n">
        <f aca="false">D753-('2 Hedge ratio'!$B$6+'2 Hedge ratio'!$B$5*E753)</f>
        <v>-0.0110647952772975</v>
      </c>
      <c r="Q753" s="29" t="n">
        <f aca="false">D753-('5 Re-specification'!$B$7+'5 Re-specification'!$B$5*E753+'5 Re-specification'!$B$6*F753)</f>
        <v>0.000539683906811916</v>
      </c>
      <c r="R753" s="30" t="n">
        <f aca="false">MIN(F753,Inputs!$B$9)</f>
        <v>250</v>
      </c>
      <c r="S753" s="29" t="n">
        <f aca="true">IF(AND(F753&gt;=1,R753&gt;=Inputs!$B$10),INDEX(LINEST(OFFSET(D753,-R753,0,R753,1),OFFSET(E753,-R753,0,R753,2)),1,1),"")</f>
        <v>-4.6550142606304E-005</v>
      </c>
      <c r="T753" s="29" t="n">
        <f aca="true">IF(AND(F753&gt;=1,R753&gt;=Inputs!$B$10),INDEX(LINEST(OFFSET(D753,-R753,0,R753,1),OFFSET(E753,-R753,0,R753,2)),1,2),"")</f>
        <v>1.01152373699441</v>
      </c>
      <c r="U753" s="29" t="n">
        <f aca="true">IF(AND(F753&gt;=1,R753&gt;=Inputs!$B$10),INDEX(LINEST(OFFSET(D753,-R753,0,R753,1),OFFSET(E753,-R753,0,R753,2)),1,3),"")</f>
        <v>4.45005100914551</v>
      </c>
      <c r="V753" s="29" t="n">
        <f aca="true">IF(AND(F753&gt;=1,R753&gt;=Inputs!$B$10),SQRT(SUMPRODUCT((OFFSET(D753,-R753,0,R753,1)-U753-T753*OFFSET(E753,-R753,0,R753,1)-S753*OFFSET(F753,-R753,0,R753,1))^2)/(R753-3)),"")</f>
        <v>0.00244922192341528</v>
      </c>
      <c r="W753" s="31" t="n">
        <f aca="false">IF(AND(F753&gt;=1,R753&gt;=Inputs!$B$10),(D753-U753-T753*E753-S753*F753)/V753,"")</f>
        <v>0.578111303039672</v>
      </c>
      <c r="X753" s="30" t="n">
        <f aca="false">IF(AB752&lt;&gt;0,AC752+1,0)</f>
        <v>7</v>
      </c>
      <c r="Y753" s="30" t="n">
        <f aca="false">IF(W753="",0,IF(AND(AB752&lt;&gt;0,OR(ABS(W753)&gt;Inputs!$B$7,X753&gt;=Inputs!$B$8,ABS(W753)&lt;Inputs!$B$6)),1,0))</f>
        <v>0</v>
      </c>
      <c r="Z753" s="30" t="n">
        <f aca="false">IF(Y753=1,0,AB752)</f>
        <v>-1</v>
      </c>
      <c r="AA753" s="30" t="n">
        <f aca="false">IF(W753="",0,IF(AND(Z753=0,ABS(W753)&gt;Inputs!$B$5,ABS(W753)&lt;=Inputs!$B$7),1,0))</f>
        <v>0</v>
      </c>
      <c r="AB753" s="30" t="n">
        <f aca="false">IF(W753="",0,IF(AA753=1,-SIGN(W753),Z753))</f>
        <v>-1</v>
      </c>
      <c r="AC753" s="30" t="n">
        <f aca="false">IF(W753="",0,IF(AA753=1,0,IF(Y753=1,0,X753)))</f>
        <v>7</v>
      </c>
      <c r="AD753" s="29" t="n">
        <f aca="false">IF(AB753=0,0,IF(AB752=AB753,AD752,T753))</f>
        <v>1.00883837346067</v>
      </c>
      <c r="AE753" s="30" t="n">
        <f aca="false">AB753-AB752</f>
        <v>0</v>
      </c>
      <c r="AF753" s="30" t="n">
        <f aca="false">-AD753*AB753</f>
        <v>1.00883837346067</v>
      </c>
      <c r="AG753" s="30" t="n">
        <f aca="false">AF753-AF752</f>
        <v>0</v>
      </c>
      <c r="AH753" s="30" t="n">
        <f aca="false">MAX(AE753,0)*(Inputs!$B$17+Inputs!$B$18+Inputs!$B$19)+MAX(-AE753,0)*(O753+Inputs!$B$18+Inputs!$B$19)+IF(AND(K753=1,AB753&lt;&gt;0),(Inputs!$B$17+Inputs!$B$18+Inputs!$B$19)+(O753+Inputs!$B$18+Inputs!$B$19),0)+MAX(AG753,0)*(Inputs!$B$20+Inputs!$B$22+Inputs!$B$23)+MAX(-AG753,0)*(Inputs!$B$21+Inputs!$B$22+Inputs!$B$23)</f>
        <v>0</v>
      </c>
      <c r="AI753" s="30" t="n">
        <f aca="false">AB752*(M753-AD752*J753)+AB752*AD752*N753/Inputs!$B$16-AH753</f>
        <v>0.000661738414579946</v>
      </c>
      <c r="AJ753" s="30" t="n">
        <f aca="false">MAX(AE753,0)*(Inputs!$B$17+Inputs!$B$24+Inputs!$B$25)+MAX(-AE753,0)*(O753+Inputs!$B$24+Inputs!$B$25)+IF(AND(K753=1,AB753&lt;&gt;0),(Inputs!$B$17+Inputs!$B$24+Inputs!$B$25)+(O753+Inputs!$B$24+Inputs!$B$25),0)+MAX(AG753,0)*(Inputs!$B$20+Inputs!$B$26+Inputs!$B$27)+MAX(-AG753,0)*(Inputs!$B$21+Inputs!$B$26+Inputs!$B$27)</f>
        <v>0</v>
      </c>
      <c r="AK753" s="30" t="n">
        <f aca="false">AB752*(M753-AD752*J753)+AB752*AD752*(N753+Inputs!$B$14)/Inputs!$B$16-AJ753</f>
        <v>0.000631713462988855</v>
      </c>
      <c r="AL753" s="30" t="n">
        <f aca="false">IF(AP752&lt;&gt;0,AQ752+1,0)</f>
        <v>7</v>
      </c>
      <c r="AM753" s="30" t="n">
        <f aca="false">IF(W753="",0,IF(AND(AP752&lt;&gt;0,OR(ABS(W753)&gt;Inputs!$B$7,AL753&gt;=Inputs!$B$8,ABS(W753)&lt;Inputs!$B$6)),1,0))</f>
        <v>0</v>
      </c>
      <c r="AN753" s="30" t="n">
        <f aca="false">IF(AM753=1,0,AP752)</f>
        <v>-1</v>
      </c>
      <c r="AO753" s="30" t="n">
        <f aca="false">IF(W753="",0,IF(AND(AN753=0,ABS(W753)&gt;Inputs!$B$5,ABS(W753)&lt;=Inputs!$B$7,W753&gt;0),1,0))</f>
        <v>0</v>
      </c>
      <c r="AP753" s="30" t="n">
        <f aca="false">IF(W753="",0,IF(AO753=1,-SIGN(W753),AN753))</f>
        <v>-1</v>
      </c>
      <c r="AQ753" s="30" t="n">
        <f aca="false">IF(W753="",0,IF(AO753=1,0,IF(AM753=1,0,AL753)))</f>
        <v>7</v>
      </c>
      <c r="AR753" s="29" t="n">
        <f aca="false">IF(AP753=0,0,IF(AP752=AP753,AR752,T753))</f>
        <v>1.00883837346067</v>
      </c>
      <c r="AS753" s="30" t="n">
        <f aca="false">AP753-AP752</f>
        <v>0</v>
      </c>
      <c r="AT753" s="30" t="n">
        <f aca="false">-AR753*AP753</f>
        <v>1.00883837346067</v>
      </c>
      <c r="AU753" s="30" t="n">
        <f aca="false">AT753-AT752</f>
        <v>0</v>
      </c>
      <c r="AV753" s="30" t="n">
        <f aca="false">MAX(AS753,0)*(Inputs!$B$17+Inputs!$B$18+Inputs!$B$19)+MAX(-AS753,0)*(O753+Inputs!$B$18+Inputs!$B$19)+IF(AND(K753=1,AP753&lt;&gt;0),(Inputs!$B$17+Inputs!$B$18+Inputs!$B$19)+(O753+Inputs!$B$18+Inputs!$B$19),0)+MAX(AU753,0)*(Inputs!$B$20+Inputs!$B$22+Inputs!$B$23)+MAX(-AU753,0)*(Inputs!$B$21+Inputs!$B$22+Inputs!$B$23)</f>
        <v>0</v>
      </c>
      <c r="AW753" s="30" t="n">
        <f aca="false">AP752*(M753-AR752*J753)+AP752*AR752*N753/Inputs!$B$16-AV753</f>
        <v>0.000661738414579946</v>
      </c>
      <c r="AX753" s="30" t="n">
        <f aca="false">AW753-IF(AP752&lt;&gt;0,0.75*AR752*(Inputs!$B$13-N753)/Inputs!$B$16,0)</f>
        <v>0.000399020088157897</v>
      </c>
      <c r="AY753" s="30" t="n">
        <f aca="false">MAX(AS753,0)*(Inputs!$B$17+Inputs!$B$18+Inputs!$B$19)+MAX(-AS753,0)*(O753+Inputs!$B$18+Inputs!$B$19)+IF(AND(K753=1,AP753&lt;&gt;0),(Inputs!$B$17+Inputs!$B$18+Inputs!$B$19)+(O753+Inputs!$B$18+Inputs!$B$19),0)</f>
        <v>0</v>
      </c>
      <c r="AZ753" s="30" t="n">
        <f aca="false">AP752*M753-AY753</f>
        <v>0.0153344642224127</v>
      </c>
      <c r="BA753" s="32" t="n">
        <f aca="false">BA752+AI753</f>
        <v>0.021471072444939</v>
      </c>
      <c r="BB753" s="30" t="n">
        <f aca="false">MAX(BB752,BA753)</f>
        <v>0.0261726191772394</v>
      </c>
      <c r="BC753" s="32" t="n">
        <f aca="false">BA753-BB753</f>
        <v>-0.00470154673230037</v>
      </c>
      <c r="BD753" s="30" t="n">
        <f aca="false">A754-A753</f>
        <v>1</v>
      </c>
    </row>
    <row r="754" customFormat="false" ht="15" hidden="false" customHeight="false" outlineLevel="0" collapsed="false">
      <c r="A754" s="28" t="n">
        <v>46154</v>
      </c>
      <c r="B754" s="0" t="n">
        <v>23470</v>
      </c>
      <c r="C754" s="0" t="n">
        <v>265.53</v>
      </c>
      <c r="D754" s="29" t="n">
        <f aca="false">LN(B754)</f>
        <v>10.0634782888451</v>
      </c>
      <c r="E754" s="29" t="n">
        <f aca="false">LN(C754)</f>
        <v>5.5817278286489</v>
      </c>
      <c r="F754" s="0" t="n">
        <v>749</v>
      </c>
      <c r="G754" s="0" t="n">
        <v>14</v>
      </c>
      <c r="H754" s="29" t="n">
        <f aca="false">D754-E754</f>
        <v>4.48175046019617</v>
      </c>
      <c r="I754" s="29" t="n">
        <f aca="false">D754-D753</f>
        <v>-0.0164804068068385</v>
      </c>
      <c r="J754" s="29" t="n">
        <f aca="false">E754-E753</f>
        <v>-0.0170644321496747</v>
      </c>
      <c r="K754" s="0" t="n">
        <v>0</v>
      </c>
      <c r="L754" s="0" t="n">
        <v>0</v>
      </c>
      <c r="M754" s="29" t="n">
        <f aca="false">IF(L754=1,J754-Carry!$B$9/Inputs!$B$16,I754)</f>
        <v>-0.0164804068068385</v>
      </c>
      <c r="N754" s="0" t="n">
        <v>0.0525</v>
      </c>
      <c r="O754" s="0" t="n">
        <v>0.0005</v>
      </c>
      <c r="P754" s="29" t="n">
        <f aca="false">D754-('2 Hedge ratio'!$B$6+'2 Hedge ratio'!$B$5*E754)</f>
        <v>-0.0119120191604694</v>
      </c>
      <c r="Q754" s="29" t="n">
        <f aca="false">D754-('5 Re-specification'!$B$7+'5 Re-specification'!$B$5*E754+'5 Re-specification'!$B$6*F754)</f>
        <v>0.00111692480575343</v>
      </c>
      <c r="R754" s="30" t="n">
        <f aca="false">MIN(F754,Inputs!$B$9)</f>
        <v>250</v>
      </c>
      <c r="S754" s="29" t="n">
        <f aca="true">IF(AND(F754&gt;=1,R754&gt;=Inputs!$B$10),INDEX(LINEST(OFFSET(D754,-R754,0,R754,1),OFFSET(E754,-R754,0,R754,2)),1,1),"")</f>
        <v>-4.59749964092404E-005</v>
      </c>
      <c r="T754" s="29" t="n">
        <f aca="true">IF(AND(F754&gt;=1,R754&gt;=Inputs!$B$10),INDEX(LINEST(OFFSET(D754,-R754,0,R754,1),OFFSET(E754,-R754,0,R754,2)),1,2),"")</f>
        <v>1.0120037069347</v>
      </c>
      <c r="U754" s="29" t="n">
        <f aca="true">IF(AND(F754&gt;=1,R754&gt;=Inputs!$B$10),INDEX(LINEST(OFFSET(D754,-R754,0,R754,1),OFFSET(E754,-R754,0,R754,2)),1,3),"")</f>
        <v>4.44697141972172</v>
      </c>
      <c r="V754" s="29" t="n">
        <f aca="true">IF(AND(F754&gt;=1,R754&gt;=Inputs!$B$10),SQRT(SUMPRODUCT((OFFSET(D754,-R754,0,R754,1)-U754-T754*OFFSET(E754,-R754,0,R754,1)-S754*OFFSET(F754,-R754,0,R754,1))^2)/(R754-3)),"")</f>
        <v>0.00243485990505542</v>
      </c>
      <c r="W754" s="31" t="n">
        <f aca="false">IF(AND(F754&gt;=1,R754&gt;=Inputs!$B$10),(D754-U754-T754*E754-S754*F754)/V754,"")</f>
        <v>0.908835755197766</v>
      </c>
      <c r="X754" s="30" t="n">
        <f aca="false">IF(AB753&lt;&gt;0,AC753+1,0)</f>
        <v>8</v>
      </c>
      <c r="Y754" s="30" t="n">
        <f aca="false">IF(W754="",0,IF(AND(AB753&lt;&gt;0,OR(ABS(W754)&gt;Inputs!$B$7,X754&gt;=Inputs!$B$8,ABS(W754)&lt;Inputs!$B$6)),1,0))</f>
        <v>0</v>
      </c>
      <c r="Z754" s="30" t="n">
        <f aca="false">IF(Y754=1,0,AB753)</f>
        <v>-1</v>
      </c>
      <c r="AA754" s="30" t="n">
        <f aca="false">IF(W754="",0,IF(AND(Z754=0,ABS(W754)&gt;Inputs!$B$5,ABS(W754)&lt;=Inputs!$B$7),1,0))</f>
        <v>0</v>
      </c>
      <c r="AB754" s="30" t="n">
        <f aca="false">IF(W754="",0,IF(AA754=1,-SIGN(W754),Z754))</f>
        <v>-1</v>
      </c>
      <c r="AC754" s="30" t="n">
        <f aca="false">IF(W754="",0,IF(AA754=1,0,IF(Y754=1,0,X754)))</f>
        <v>8</v>
      </c>
      <c r="AD754" s="29" t="n">
        <f aca="false">IF(AB754=0,0,IF(AB753=AB754,AD753,T754))</f>
        <v>1.00883837346067</v>
      </c>
      <c r="AE754" s="30" t="n">
        <f aca="false">AB754-AB753</f>
        <v>0</v>
      </c>
      <c r="AF754" s="30" t="n">
        <f aca="false">-AD754*AB754</f>
        <v>1.00883837346067</v>
      </c>
      <c r="AG754" s="30" t="n">
        <f aca="false">AF754-AF753</f>
        <v>0</v>
      </c>
      <c r="AH754" s="30" t="n">
        <f aca="false">MAX(AE754,0)*(Inputs!$B$17+Inputs!$B$18+Inputs!$B$19)+MAX(-AE754,0)*(O754+Inputs!$B$18+Inputs!$B$19)+IF(AND(K754=1,AB754&lt;&gt;0),(Inputs!$B$17+Inputs!$B$18+Inputs!$B$19)+(O754+Inputs!$B$18+Inputs!$B$19),0)+MAX(AG754,0)*(Inputs!$B$20+Inputs!$B$22+Inputs!$B$23)+MAX(-AG754,0)*(Inputs!$B$21+Inputs!$B$22+Inputs!$B$23)</f>
        <v>0</v>
      </c>
      <c r="AI754" s="30" t="n">
        <f aca="false">AB753*(M754-AD753*J754)+AB753*AD753*N754/Inputs!$B$16-AH754</f>
        <v>-0.000945021828206887</v>
      </c>
      <c r="AJ754" s="30" t="n">
        <f aca="false">MAX(AE754,0)*(Inputs!$B$17+Inputs!$B$24+Inputs!$B$25)+MAX(-AE754,0)*(O754+Inputs!$B$24+Inputs!$B$25)+IF(AND(K754=1,AB754&lt;&gt;0),(Inputs!$B$17+Inputs!$B$24+Inputs!$B$25)+(O754+Inputs!$B$24+Inputs!$B$25),0)+MAX(AG754,0)*(Inputs!$B$20+Inputs!$B$26+Inputs!$B$27)+MAX(-AG754,0)*(Inputs!$B$21+Inputs!$B$26+Inputs!$B$27)</f>
        <v>0</v>
      </c>
      <c r="AK754" s="30" t="n">
        <f aca="false">AB753*(M754-AD753*J754)+AB753*AD753*(N754+Inputs!$B$14)/Inputs!$B$16-AJ754</f>
        <v>-0.000975046779797978</v>
      </c>
      <c r="AL754" s="30" t="n">
        <f aca="false">IF(AP753&lt;&gt;0,AQ753+1,0)</f>
        <v>8</v>
      </c>
      <c r="AM754" s="30" t="n">
        <f aca="false">IF(W754="",0,IF(AND(AP753&lt;&gt;0,OR(ABS(W754)&gt;Inputs!$B$7,AL754&gt;=Inputs!$B$8,ABS(W754)&lt;Inputs!$B$6)),1,0))</f>
        <v>0</v>
      </c>
      <c r="AN754" s="30" t="n">
        <f aca="false">IF(AM754=1,0,AP753)</f>
        <v>-1</v>
      </c>
      <c r="AO754" s="30" t="n">
        <f aca="false">IF(W754="",0,IF(AND(AN754=0,ABS(W754)&gt;Inputs!$B$5,ABS(W754)&lt;=Inputs!$B$7,W754&gt;0),1,0))</f>
        <v>0</v>
      </c>
      <c r="AP754" s="30" t="n">
        <f aca="false">IF(W754="",0,IF(AO754=1,-SIGN(W754),AN754))</f>
        <v>-1</v>
      </c>
      <c r="AQ754" s="30" t="n">
        <f aca="false">IF(W754="",0,IF(AO754=1,0,IF(AM754=1,0,AL754)))</f>
        <v>8</v>
      </c>
      <c r="AR754" s="29" t="n">
        <f aca="false">IF(AP754=0,0,IF(AP753=AP754,AR753,T754))</f>
        <v>1.00883837346067</v>
      </c>
      <c r="AS754" s="30" t="n">
        <f aca="false">AP754-AP753</f>
        <v>0</v>
      </c>
      <c r="AT754" s="30" t="n">
        <f aca="false">-AR754*AP754</f>
        <v>1.00883837346067</v>
      </c>
      <c r="AU754" s="30" t="n">
        <f aca="false">AT754-AT753</f>
        <v>0</v>
      </c>
      <c r="AV754" s="30" t="n">
        <f aca="false">MAX(AS754,0)*(Inputs!$B$17+Inputs!$B$18+Inputs!$B$19)+MAX(-AS754,0)*(O754+Inputs!$B$18+Inputs!$B$19)+IF(AND(K754=1,AP754&lt;&gt;0),(Inputs!$B$17+Inputs!$B$18+Inputs!$B$19)+(O754+Inputs!$B$18+Inputs!$B$19),0)+MAX(AU754,0)*(Inputs!$B$20+Inputs!$B$22+Inputs!$B$23)+MAX(-AU754,0)*(Inputs!$B$21+Inputs!$B$22+Inputs!$B$23)</f>
        <v>0</v>
      </c>
      <c r="AW754" s="30" t="n">
        <f aca="false">AP753*(M754-AR753*J754)+AP753*AR753*N754/Inputs!$B$16-AV754</f>
        <v>-0.000945021828206887</v>
      </c>
      <c r="AX754" s="30" t="n">
        <f aca="false">AW754-IF(AP753&lt;&gt;0,0.75*AR753*(Inputs!$B$13-N754)/Inputs!$B$16,0)</f>
        <v>-0.00120774015462894</v>
      </c>
      <c r="AY754" s="30" t="n">
        <f aca="false">MAX(AS754,0)*(Inputs!$B$17+Inputs!$B$18+Inputs!$B$19)+MAX(-AS754,0)*(O754+Inputs!$B$18+Inputs!$B$19)+IF(AND(K754=1,AP754&lt;&gt;0),(Inputs!$B$17+Inputs!$B$18+Inputs!$B$19)+(O754+Inputs!$B$18+Inputs!$B$19),0)</f>
        <v>0</v>
      </c>
      <c r="AZ754" s="30" t="n">
        <f aca="false">AP753*M754-AY754</f>
        <v>0.0164804068068385</v>
      </c>
      <c r="BA754" s="32" t="n">
        <f aca="false">BA753+AI754</f>
        <v>0.0205260506167321</v>
      </c>
      <c r="BB754" s="30" t="n">
        <f aca="false">MAX(BB753,BA754)</f>
        <v>0.0261726191772394</v>
      </c>
      <c r="BC754" s="32" t="n">
        <f aca="false">BA754-BB754</f>
        <v>-0.00564656856050726</v>
      </c>
      <c r="BD754" s="30" t="n">
        <f aca="false">A755-A754</f>
        <v>1</v>
      </c>
    </row>
    <row r="755" customFormat="false" ht="15" hidden="false" customHeight="false" outlineLevel="0" collapsed="false">
      <c r="A755" s="28" t="n">
        <v>46155</v>
      </c>
      <c r="B755" s="0" t="n">
        <v>23481</v>
      </c>
      <c r="C755" s="0" t="n">
        <v>265.62</v>
      </c>
      <c r="D755" s="29" t="n">
        <f aca="false">LN(B755)</f>
        <v>10.0639468624729</v>
      </c>
      <c r="E755" s="29" t="n">
        <f aca="false">LN(C755)</f>
        <v>5.58206671597211</v>
      </c>
      <c r="F755" s="0" t="n">
        <v>750</v>
      </c>
      <c r="G755" s="0" t="n">
        <v>13</v>
      </c>
      <c r="H755" s="29" t="n">
        <f aca="false">D755-E755</f>
        <v>4.48188014650084</v>
      </c>
      <c r="I755" s="29" t="n">
        <f aca="false">D755-D754</f>
        <v>0.00046857362787911</v>
      </c>
      <c r="J755" s="29" t="n">
        <f aca="false">E755-E754</f>
        <v>0.000338887323209747</v>
      </c>
      <c r="K755" s="0" t="n">
        <v>0</v>
      </c>
      <c r="L755" s="0" t="n">
        <v>0</v>
      </c>
      <c r="M755" s="29" t="n">
        <f aca="false">IF(L755=1,J755-Carry!$B$9/Inputs!$B$16,I755)</f>
        <v>0.00046857362787911</v>
      </c>
      <c r="N755" s="0" t="n">
        <v>0.0525</v>
      </c>
      <c r="O755" s="0" t="n">
        <v>0.0005</v>
      </c>
      <c r="P755" s="29" t="n">
        <f aca="false">D755-('2 Hedge ratio'!$B$6+'2 Hedge ratio'!$B$5*E755)</f>
        <v>-0.0117539092777523</v>
      </c>
      <c r="Q755" s="29" t="n">
        <f aca="false">D755-('5 Re-specification'!$B$7+'5 Re-specification'!$B$5*E755+'5 Re-specification'!$B$6*F755)</f>
        <v>0.00129256742656025</v>
      </c>
      <c r="R755" s="30" t="n">
        <f aca="false">MIN(F755,Inputs!$B$9)</f>
        <v>250</v>
      </c>
      <c r="S755" s="29" t="n">
        <f aca="true">IF(AND(F755&gt;=1,R755&gt;=Inputs!$B$10),INDEX(LINEST(OFFSET(D755,-R755,0,R755,1),OFFSET(E755,-R755,0,R755,2)),1,1),"")</f>
        <v>-4.53830356881154E-005</v>
      </c>
      <c r="T755" s="29" t="n">
        <f aca="true">IF(AND(F755&gt;=1,R755&gt;=Inputs!$B$10),INDEX(LINEST(OFFSET(D755,-R755,0,R755,1),OFFSET(E755,-R755,0,R755,2)),1,2),"")</f>
        <v>1.01229260815072</v>
      </c>
      <c r="U755" s="29" t="n">
        <f aca="true">IF(AND(F755&gt;=1,R755&gt;=Inputs!$B$10),INDEX(LINEST(OFFSET(D755,-R755,0,R755,1),OFFSET(E755,-R755,0,R755,2)),1,3),"")</f>
        <v>4.44496472454593</v>
      </c>
      <c r="V755" s="29" t="n">
        <f aca="true">IF(AND(F755&gt;=1,R755&gt;=Inputs!$B$10),SQRT(SUMPRODUCT((OFFSET(D755,-R755,0,R755,1)-U755-T755*OFFSET(E755,-R755,0,R755,1)-S755*OFFSET(F755,-R755,0,R755,1))^2)/(R755-3)),"")</f>
        <v>0.00242664355620664</v>
      </c>
      <c r="W755" s="31" t="n">
        <f aca="false">IF(AND(F755&gt;=1,R755&gt;=Inputs!$B$10),(D755-U755-T755*E755-S755*F755)/V755,"")</f>
        <v>0.962044839434378</v>
      </c>
      <c r="X755" s="30" t="n">
        <f aca="false">IF(AB754&lt;&gt;0,AC754+1,0)</f>
        <v>9</v>
      </c>
      <c r="Y755" s="30" t="n">
        <f aca="false">IF(W755="",0,IF(AND(AB754&lt;&gt;0,OR(ABS(W755)&gt;Inputs!$B$7,X755&gt;=Inputs!$B$8,ABS(W755)&lt;Inputs!$B$6)),1,0))</f>
        <v>0</v>
      </c>
      <c r="Z755" s="30" t="n">
        <f aca="false">IF(Y755=1,0,AB754)</f>
        <v>-1</v>
      </c>
      <c r="AA755" s="30" t="n">
        <f aca="false">IF(W755="",0,IF(AND(Z755=0,ABS(W755)&gt;Inputs!$B$5,ABS(W755)&lt;=Inputs!$B$7),1,0))</f>
        <v>0</v>
      </c>
      <c r="AB755" s="30" t="n">
        <f aca="false">IF(W755="",0,IF(AA755=1,-SIGN(W755),Z755))</f>
        <v>-1</v>
      </c>
      <c r="AC755" s="30" t="n">
        <f aca="false">IF(W755="",0,IF(AA755=1,0,IF(Y755=1,0,X755)))</f>
        <v>9</v>
      </c>
      <c r="AD755" s="29" t="n">
        <f aca="false">IF(AB755=0,0,IF(AB754=AB755,AD754,T755))</f>
        <v>1.00883837346067</v>
      </c>
      <c r="AE755" s="30" t="n">
        <f aca="false">AB755-AB754</f>
        <v>0</v>
      </c>
      <c r="AF755" s="30" t="n">
        <f aca="false">-AD755*AB755</f>
        <v>1.00883837346067</v>
      </c>
      <c r="AG755" s="30" t="n">
        <f aca="false">AF755-AF754</f>
        <v>0</v>
      </c>
      <c r="AH755" s="30" t="n">
        <f aca="false">MAX(AE755,0)*(Inputs!$B$17+Inputs!$B$18+Inputs!$B$19)+MAX(-AE755,0)*(O755+Inputs!$B$18+Inputs!$B$19)+IF(AND(K755=1,AB755&lt;&gt;0),(Inputs!$B$17+Inputs!$B$18+Inputs!$B$19)+(O755+Inputs!$B$18+Inputs!$B$19),0)+MAX(AG755,0)*(Inputs!$B$20+Inputs!$B$22+Inputs!$B$23)+MAX(-AG755,0)*(Inputs!$B$21+Inputs!$B$22+Inputs!$B$23)</f>
        <v>0</v>
      </c>
      <c r="AI755" s="30" t="n">
        <f aca="false">AB754*(M755-AD754*J755)+AB754*AD754*N755/Inputs!$B$16-AH755</f>
        <v>-0.000336865753083388</v>
      </c>
      <c r="AJ755" s="30" t="n">
        <f aca="false">MAX(AE755,0)*(Inputs!$B$17+Inputs!$B$24+Inputs!$B$25)+MAX(-AE755,0)*(O755+Inputs!$B$24+Inputs!$B$25)+IF(AND(K755=1,AB755&lt;&gt;0),(Inputs!$B$17+Inputs!$B$24+Inputs!$B$25)+(O755+Inputs!$B$24+Inputs!$B$25),0)+MAX(AG755,0)*(Inputs!$B$20+Inputs!$B$26+Inputs!$B$27)+MAX(-AG755,0)*(Inputs!$B$21+Inputs!$B$26+Inputs!$B$27)</f>
        <v>0</v>
      </c>
      <c r="AK755" s="30" t="n">
        <f aca="false">AB754*(M755-AD754*J755)+AB754*AD754*(N755+Inputs!$B$14)/Inputs!$B$16-AJ755</f>
        <v>-0.00036689070467448</v>
      </c>
      <c r="AL755" s="30" t="n">
        <f aca="false">IF(AP754&lt;&gt;0,AQ754+1,0)</f>
        <v>9</v>
      </c>
      <c r="AM755" s="30" t="n">
        <f aca="false">IF(W755="",0,IF(AND(AP754&lt;&gt;0,OR(ABS(W755)&gt;Inputs!$B$7,AL755&gt;=Inputs!$B$8,ABS(W755)&lt;Inputs!$B$6)),1,0))</f>
        <v>0</v>
      </c>
      <c r="AN755" s="30" t="n">
        <f aca="false">IF(AM755=1,0,AP754)</f>
        <v>-1</v>
      </c>
      <c r="AO755" s="30" t="n">
        <f aca="false">IF(W755="",0,IF(AND(AN755=0,ABS(W755)&gt;Inputs!$B$5,ABS(W755)&lt;=Inputs!$B$7,W755&gt;0),1,0))</f>
        <v>0</v>
      </c>
      <c r="AP755" s="30" t="n">
        <f aca="false">IF(W755="",0,IF(AO755=1,-SIGN(W755),AN755))</f>
        <v>-1</v>
      </c>
      <c r="AQ755" s="30" t="n">
        <f aca="false">IF(W755="",0,IF(AO755=1,0,IF(AM755=1,0,AL755)))</f>
        <v>9</v>
      </c>
      <c r="AR755" s="29" t="n">
        <f aca="false">IF(AP755=0,0,IF(AP754=AP755,AR754,T755))</f>
        <v>1.00883837346067</v>
      </c>
      <c r="AS755" s="30" t="n">
        <f aca="false">AP755-AP754</f>
        <v>0</v>
      </c>
      <c r="AT755" s="30" t="n">
        <f aca="false">-AR755*AP755</f>
        <v>1.00883837346067</v>
      </c>
      <c r="AU755" s="30" t="n">
        <f aca="false">AT755-AT754</f>
        <v>0</v>
      </c>
      <c r="AV755" s="30" t="n">
        <f aca="false">MAX(AS755,0)*(Inputs!$B$17+Inputs!$B$18+Inputs!$B$19)+MAX(-AS755,0)*(O755+Inputs!$B$18+Inputs!$B$19)+IF(AND(K755=1,AP755&lt;&gt;0),(Inputs!$B$17+Inputs!$B$18+Inputs!$B$19)+(O755+Inputs!$B$18+Inputs!$B$19),0)+MAX(AU755,0)*(Inputs!$B$20+Inputs!$B$22+Inputs!$B$23)+MAX(-AU755,0)*(Inputs!$B$21+Inputs!$B$22+Inputs!$B$23)</f>
        <v>0</v>
      </c>
      <c r="AW755" s="30" t="n">
        <f aca="false">AP754*(M755-AR754*J755)+AP754*AR754*N755/Inputs!$B$16-AV755</f>
        <v>-0.000336865753083388</v>
      </c>
      <c r="AX755" s="30" t="n">
        <f aca="false">AW755-IF(AP754&lt;&gt;0,0.75*AR754*(Inputs!$B$13-N755)/Inputs!$B$16,0)</f>
        <v>-0.000599584079505437</v>
      </c>
      <c r="AY755" s="30" t="n">
        <f aca="false">MAX(AS755,0)*(Inputs!$B$17+Inputs!$B$18+Inputs!$B$19)+MAX(-AS755,0)*(O755+Inputs!$B$18+Inputs!$B$19)+IF(AND(K755=1,AP755&lt;&gt;0),(Inputs!$B$17+Inputs!$B$18+Inputs!$B$19)+(O755+Inputs!$B$18+Inputs!$B$19),0)</f>
        <v>0</v>
      </c>
      <c r="AZ755" s="30" t="n">
        <f aca="false">AP754*M755-AY755</f>
        <v>-0.00046857362787911</v>
      </c>
      <c r="BA755" s="32" t="n">
        <f aca="false">BA754+AI755</f>
        <v>0.0201891848636488</v>
      </c>
      <c r="BB755" s="30" t="n">
        <f aca="false">MAX(BB754,BA755)</f>
        <v>0.0261726191772394</v>
      </c>
      <c r="BC755" s="32" t="n">
        <f aca="false">BA755-BB755</f>
        <v>-0.00598343431359065</v>
      </c>
      <c r="BD755" s="30" t="n">
        <f aca="false">A756-A755</f>
        <v>1</v>
      </c>
    </row>
    <row r="756" customFormat="false" ht="15" hidden="false" customHeight="false" outlineLevel="0" collapsed="false">
      <c r="A756" s="28" t="n">
        <v>46156</v>
      </c>
      <c r="B756" s="0" t="n">
        <v>23739</v>
      </c>
      <c r="C756" s="0" t="n">
        <v>268.47</v>
      </c>
      <c r="D756" s="29" t="n">
        <f aca="false">LN(B756)</f>
        <v>10.0748745442773</v>
      </c>
      <c r="E756" s="29" t="n">
        <f aca="false">LN(C756)</f>
        <v>5.59273917586288</v>
      </c>
      <c r="F756" s="0" t="n">
        <v>751</v>
      </c>
      <c r="G756" s="0" t="n">
        <v>12</v>
      </c>
      <c r="H756" s="29" t="n">
        <f aca="false">D756-E756</f>
        <v>4.48213536841443</v>
      </c>
      <c r="I756" s="29" t="n">
        <f aca="false">D756-D755</f>
        <v>0.0109276818043558</v>
      </c>
      <c r="J756" s="29" t="n">
        <f aca="false">E756-E755</f>
        <v>0.0106724598907721</v>
      </c>
      <c r="K756" s="0" t="n">
        <v>0</v>
      </c>
      <c r="L756" s="0" t="n">
        <v>0</v>
      </c>
      <c r="M756" s="29" t="n">
        <f aca="false">IF(L756=1,J756-Carry!$B$9/Inputs!$B$16,I756)</f>
        <v>0.0109276818043558</v>
      </c>
      <c r="N756" s="0" t="n">
        <v>0.0525</v>
      </c>
      <c r="O756" s="0" t="n">
        <v>0.0005</v>
      </c>
      <c r="P756" s="29" t="n">
        <f aca="false">D756-('2 Hedge ratio'!$B$6+'2 Hedge ratio'!$B$5*E756)</f>
        <v>-0.0106035535663196</v>
      </c>
      <c r="Q756" s="29" t="n">
        <f aca="false">D756-('5 Re-specification'!$B$7+'5 Re-specification'!$B$5*E756+'5 Re-specification'!$B$6*F756)</f>
        <v>0.00162506154816811</v>
      </c>
      <c r="R756" s="30" t="n">
        <f aca="false">MIN(F756,Inputs!$B$9)</f>
        <v>250</v>
      </c>
      <c r="S756" s="29" t="n">
        <f aca="true">IF(AND(F756&gt;=1,R756&gt;=Inputs!$B$10),INDEX(LINEST(OFFSET(D756,-R756,0,R756,1),OFFSET(E756,-R756,0,R756,2)),1,1),"")</f>
        <v>-4.46634999309995E-005</v>
      </c>
      <c r="T756" s="29" t="n">
        <f aca="true">IF(AND(F756&gt;=1,R756&gt;=Inputs!$B$10),INDEX(LINEST(OFFSET(D756,-R756,0,R756,1),OFFSET(E756,-R756,0,R756,2)),1,2),"")</f>
        <v>1.01289856087119</v>
      </c>
      <c r="U756" s="29" t="n">
        <f aca="true">IF(AND(F756&gt;=1,R756&gt;=Inputs!$B$10),INDEX(LINEST(OFFSET(D756,-R756,0,R756,1),OFFSET(E756,-R756,0,R756,2)),1,3),"")</f>
        <v>4.44108470058665</v>
      </c>
      <c r="V756" s="29" t="n">
        <f aca="true">IF(AND(F756&gt;=1,R756&gt;=Inputs!$B$10),SQRT(SUMPRODUCT((OFFSET(D756,-R756,0,R756,1)-U756-T756*OFFSET(E756,-R756,0,R756,1)-S756*OFFSET(F756,-R756,0,R756,1))^2)/(R756-3)),"")</f>
        <v>0.00241184267558097</v>
      </c>
      <c r="W756" s="31" t="n">
        <f aca="false">IF(AND(F756&gt;=1,R756&gt;=Inputs!$B$10),(D756-U756-T756*E756-S756*F756)/V756,"")</f>
        <v>1.01775692265255</v>
      </c>
      <c r="X756" s="30" t="n">
        <f aca="false">IF(AB755&lt;&gt;0,AC755+1,0)</f>
        <v>10</v>
      </c>
      <c r="Y756" s="30" t="n">
        <f aca="false">IF(W756="",0,IF(AND(AB755&lt;&gt;0,OR(ABS(W756)&gt;Inputs!$B$7,X756&gt;=Inputs!$B$8,ABS(W756)&lt;Inputs!$B$6)),1,0))</f>
        <v>1</v>
      </c>
      <c r="Z756" s="30" t="n">
        <f aca="false">IF(Y756=1,0,AB755)</f>
        <v>0</v>
      </c>
      <c r="AA756" s="30" t="n">
        <f aca="false">IF(W756="",0,IF(AND(Z756=0,ABS(W756)&gt;Inputs!$B$5,ABS(W756)&lt;=Inputs!$B$7),1,0))</f>
        <v>0</v>
      </c>
      <c r="AB756" s="30" t="n">
        <f aca="false">IF(W756="",0,IF(AA756=1,-SIGN(W756),Z756))</f>
        <v>0</v>
      </c>
      <c r="AC756" s="30" t="n">
        <f aca="false">IF(W756="",0,IF(AA756=1,0,IF(Y756=1,0,X756)))</f>
        <v>0</v>
      </c>
      <c r="AD756" s="30" t="n">
        <f aca="false">IF(AB756=0,0,IF(AB755=AB756,AD755,T756))</f>
        <v>0</v>
      </c>
      <c r="AE756" s="30" t="n">
        <f aca="false">AB756-AB755</f>
        <v>1</v>
      </c>
      <c r="AF756" s="30" t="n">
        <f aca="false">-AD756*AB756</f>
        <v>-0</v>
      </c>
      <c r="AG756" s="30" t="n">
        <f aca="false">AF756-AF755</f>
        <v>-1.00883837346067</v>
      </c>
      <c r="AH756" s="30" t="n">
        <f aca="false">MAX(AE756,0)*(Inputs!$B$17+Inputs!$B$18+Inputs!$B$19)+MAX(-AE756,0)*(O756+Inputs!$B$18+Inputs!$B$19)+IF(AND(K756=1,AB756&lt;&gt;0),(Inputs!$B$17+Inputs!$B$18+Inputs!$B$19)+(O756+Inputs!$B$18+Inputs!$B$19),0)+MAX(AG756,0)*(Inputs!$B$20+Inputs!$B$22+Inputs!$B$23)+MAX(-AG756,0)*(Inputs!$B$21+Inputs!$B$22+Inputs!$B$23)</f>
        <v>0.00036685605842674</v>
      </c>
      <c r="AI756" s="30" t="n">
        <f aca="false">AB755*(M756-AD755*J756)+AB755*AD755*N756/Inputs!$B$16-AH756</f>
        <v>-0.000737925446889359</v>
      </c>
      <c r="AJ756" s="30" t="n">
        <f aca="false">MAX(AE756,0)*(Inputs!$B$17+Inputs!$B$24+Inputs!$B$25)+MAX(-AE756,0)*(O756+Inputs!$B$24+Inputs!$B$25)+IF(AND(K756=1,AB756&lt;&gt;0),(Inputs!$B$17+Inputs!$B$24+Inputs!$B$25)+(O756+Inputs!$B$24+Inputs!$B$25),0)+MAX(AG756,0)*(Inputs!$B$20+Inputs!$B$26+Inputs!$B$27)+MAX(-AG756,0)*(Inputs!$B$21+Inputs!$B$26+Inputs!$B$27)</f>
        <v>0.000206016412947977</v>
      </c>
      <c r="AK756" s="30" t="n">
        <f aca="false">AB755*(M756-AD755*J756)+AB755*AD755*(N756+Inputs!$B$14)/Inputs!$B$16-AJ756</f>
        <v>-0.000607110753001687</v>
      </c>
      <c r="AL756" s="30" t="n">
        <f aca="false">IF(AP755&lt;&gt;0,AQ755+1,0)</f>
        <v>10</v>
      </c>
      <c r="AM756" s="30" t="n">
        <f aca="false">IF(W756="",0,IF(AND(AP755&lt;&gt;0,OR(ABS(W756)&gt;Inputs!$B$7,AL756&gt;=Inputs!$B$8,ABS(W756)&lt;Inputs!$B$6)),1,0))</f>
        <v>1</v>
      </c>
      <c r="AN756" s="30" t="n">
        <f aca="false">IF(AM756=1,0,AP755)</f>
        <v>0</v>
      </c>
      <c r="AO756" s="30" t="n">
        <f aca="false">IF(W756="",0,IF(AND(AN756=0,ABS(W756)&gt;Inputs!$B$5,ABS(W756)&lt;=Inputs!$B$7,W756&gt;0),1,0))</f>
        <v>0</v>
      </c>
      <c r="AP756" s="30" t="n">
        <f aca="false">IF(W756="",0,IF(AO756=1,-SIGN(W756),AN756))</f>
        <v>0</v>
      </c>
      <c r="AQ756" s="30" t="n">
        <f aca="false">IF(W756="",0,IF(AO756=1,0,IF(AM756=1,0,AL756)))</f>
        <v>0</v>
      </c>
      <c r="AR756" s="30" t="n">
        <f aca="false">IF(AP756=0,0,IF(AP755=AP756,AR755,T756))</f>
        <v>0</v>
      </c>
      <c r="AS756" s="30" t="n">
        <f aca="false">AP756-AP755</f>
        <v>1</v>
      </c>
      <c r="AT756" s="30" t="n">
        <f aca="false">-AR756*AP756</f>
        <v>-0</v>
      </c>
      <c r="AU756" s="30" t="n">
        <f aca="false">AT756-AT755</f>
        <v>-1.00883837346067</v>
      </c>
      <c r="AV756" s="30" t="n">
        <f aca="false">MAX(AS756,0)*(Inputs!$B$17+Inputs!$B$18+Inputs!$B$19)+MAX(-AS756,0)*(O756+Inputs!$B$18+Inputs!$B$19)+IF(AND(K756=1,AP756&lt;&gt;0),(Inputs!$B$17+Inputs!$B$18+Inputs!$B$19)+(O756+Inputs!$B$18+Inputs!$B$19),0)+MAX(AU756,0)*(Inputs!$B$20+Inputs!$B$22+Inputs!$B$23)+MAX(-AU756,0)*(Inputs!$B$21+Inputs!$B$22+Inputs!$B$23)</f>
        <v>0.00036685605842674</v>
      </c>
      <c r="AW756" s="30" t="n">
        <f aca="false">AP755*(M756-AR755*J756)+AP755*AR755*N756/Inputs!$B$16-AV756</f>
        <v>-0.000737925446889359</v>
      </c>
      <c r="AX756" s="30" t="n">
        <f aca="false">AW756-IF(AP755&lt;&gt;0,0.75*AR755*(Inputs!$B$13-N756)/Inputs!$B$16,0)</f>
        <v>-0.00100064377331141</v>
      </c>
      <c r="AY756" s="30" t="n">
        <f aca="false">MAX(AS756,0)*(Inputs!$B$17+Inputs!$B$18+Inputs!$B$19)+MAX(-AS756,0)*(O756+Inputs!$B$18+Inputs!$B$19)+IF(AND(K756=1,AP756&lt;&gt;0),(Inputs!$B$17+Inputs!$B$18+Inputs!$B$19)+(O756+Inputs!$B$18+Inputs!$B$19),0)</f>
        <v>0.000155</v>
      </c>
      <c r="AZ756" s="30" t="n">
        <f aca="false">AP755*M756-AY756</f>
        <v>-0.0110826818043558</v>
      </c>
      <c r="BA756" s="32" t="n">
        <f aca="false">BA755+AI756</f>
        <v>0.0194512594167594</v>
      </c>
      <c r="BB756" s="30" t="n">
        <f aca="false">MAX(BB755,BA756)</f>
        <v>0.0261726191772394</v>
      </c>
      <c r="BC756" s="32" t="n">
        <f aca="false">BA756-BB756</f>
        <v>-0.00672135976048001</v>
      </c>
      <c r="BD756" s="30" t="n">
        <f aca="false">A757-A756</f>
        <v>1</v>
      </c>
    </row>
    <row r="757" customFormat="false" ht="15" hidden="false" customHeight="false" outlineLevel="0" collapsed="false">
      <c r="A757" s="28" t="n">
        <v>46157</v>
      </c>
      <c r="B757" s="0" t="n">
        <v>23658</v>
      </c>
      <c r="C757" s="0" t="n">
        <v>267.88</v>
      </c>
      <c r="D757" s="29" t="n">
        <f aca="false">LN(B757)</f>
        <v>10.0714566031057</v>
      </c>
      <c r="E757" s="29" t="n">
        <f aca="false">LN(C757)</f>
        <v>5.59053911904185</v>
      </c>
      <c r="F757" s="0" t="n">
        <v>752</v>
      </c>
      <c r="G757" s="0" t="n">
        <v>11</v>
      </c>
      <c r="H757" s="29" t="n">
        <f aca="false">D757-E757</f>
        <v>4.48091748406383</v>
      </c>
      <c r="I757" s="29" t="n">
        <f aca="false">D757-D756</f>
        <v>-0.00341794117162131</v>
      </c>
      <c r="J757" s="29" t="n">
        <f aca="false">E757-E756</f>
        <v>-0.0022000568210272</v>
      </c>
      <c r="K757" s="0" t="n">
        <v>0</v>
      </c>
      <c r="L757" s="0" t="n">
        <v>0</v>
      </c>
      <c r="M757" s="29" t="n">
        <f aca="false">IF(L757=1,J757-Carry!$B$9/Inputs!$B$16,I757)</f>
        <v>-0.00341794117162131</v>
      </c>
      <c r="N757" s="0" t="n">
        <v>0.0525</v>
      </c>
      <c r="O757" s="0" t="n">
        <v>0.0005</v>
      </c>
      <c r="P757" s="29" t="n">
        <f aca="false">D757-('2 Hedge ratio'!$B$6+'2 Hedge ratio'!$B$5*E757)</f>
        <v>-0.0120059638123351</v>
      </c>
      <c r="Q757" s="29" t="n">
        <f aca="false">D757-('5 Re-specification'!$B$7+'5 Re-specification'!$B$5*E757+'5 Re-specification'!$B$6*F757)</f>
        <v>0.000445439243426549</v>
      </c>
      <c r="R757" s="30" t="n">
        <f aca="false">MIN(F757,Inputs!$B$9)</f>
        <v>250</v>
      </c>
      <c r="S757" s="29" t="n">
        <f aca="true">IF(AND(F757&gt;=1,R757&gt;=Inputs!$B$10),INDEX(LINEST(OFFSET(D757,-R757,0,R757,1),OFFSET(E757,-R757,0,R757,2)),1,1),"")</f>
        <v>-4.38564792330063E-005</v>
      </c>
      <c r="T757" s="29" t="n">
        <f aca="true">IF(AND(F757&gt;=1,R757&gt;=Inputs!$B$10),INDEX(LINEST(OFFSET(D757,-R757,0,R757,1),OFFSET(E757,-R757,0,R757,2)),1,2),"")</f>
        <v>1.01299905782944</v>
      </c>
      <c r="U757" s="29" t="n">
        <f aca="true">IF(AND(F757&gt;=1,R757&gt;=Inputs!$B$10),INDEX(LINEST(OFFSET(D757,-R757,0,R757,1),OFFSET(E757,-R757,0,R757,2)),1,3),"")</f>
        <v>4.43999822244051</v>
      </c>
      <c r="V757" s="29" t="n">
        <f aca="true">IF(AND(F757&gt;=1,R757&gt;=Inputs!$B$10),SQRT(SUMPRODUCT((OFFSET(D757,-R757,0,R757,1)-U757-T757*OFFSET(E757,-R757,0,R757,1)-S757*OFFSET(F757,-R757,0,R757,1))^2)/(R757-3)),"")</f>
        <v>0.00238718700328756</v>
      </c>
      <c r="W757" s="31" t="n">
        <f aca="false">IF(AND(F757&gt;=1,R757&gt;=Inputs!$B$10),(D757-U757-T757*E757-S757*F757)/V757,"")</f>
        <v>0.514242369232164</v>
      </c>
      <c r="X757" s="30" t="n">
        <f aca="false">IF(AB756&lt;&gt;0,AC756+1,0)</f>
        <v>0</v>
      </c>
      <c r="Y757" s="30" t="n">
        <f aca="false">IF(W757="",0,IF(AND(AB756&lt;&gt;0,OR(ABS(W757)&gt;Inputs!$B$7,X757&gt;=Inputs!$B$8,ABS(W757)&lt;Inputs!$B$6)),1,0))</f>
        <v>0</v>
      </c>
      <c r="Z757" s="30" t="n">
        <f aca="false">IF(Y757=1,0,AB756)</f>
        <v>0</v>
      </c>
      <c r="AA757" s="30" t="n">
        <f aca="false">IF(W757="",0,IF(AND(Z757=0,ABS(W757)&gt;Inputs!$B$5,ABS(W757)&lt;=Inputs!$B$7),1,0))</f>
        <v>0</v>
      </c>
      <c r="AB757" s="30" t="n">
        <f aca="false">IF(W757="",0,IF(AA757=1,-SIGN(W757),Z757))</f>
        <v>0</v>
      </c>
      <c r="AC757" s="30" t="n">
        <f aca="false">IF(W757="",0,IF(AA757=1,0,IF(Y757=1,0,X757)))</f>
        <v>0</v>
      </c>
      <c r="AD757" s="30" t="n">
        <f aca="false">IF(AB757=0,0,IF(AB756=AB757,AD756,T757))</f>
        <v>0</v>
      </c>
      <c r="AE757" s="30" t="n">
        <f aca="false">AB757-AB756</f>
        <v>0</v>
      </c>
      <c r="AF757" s="30" t="n">
        <f aca="false">-AD757*AB757</f>
        <v>-0</v>
      </c>
      <c r="AG757" s="30" t="n">
        <f aca="false">AF757-AF756</f>
        <v>0</v>
      </c>
      <c r="AH757" s="30" t="n">
        <f aca="false">MAX(AE757,0)*(Inputs!$B$17+Inputs!$B$18+Inputs!$B$19)+MAX(-AE757,0)*(O757+Inputs!$B$18+Inputs!$B$19)+IF(AND(K757=1,AB757&lt;&gt;0),(Inputs!$B$17+Inputs!$B$18+Inputs!$B$19)+(O757+Inputs!$B$18+Inputs!$B$19),0)+MAX(AG757,0)*(Inputs!$B$20+Inputs!$B$22+Inputs!$B$23)+MAX(-AG757,0)*(Inputs!$B$21+Inputs!$B$22+Inputs!$B$23)</f>
        <v>0</v>
      </c>
      <c r="AI757" s="30" t="n">
        <f aca="false">AB756*(M757-AD756*J757)+AB756*AD756*N757/Inputs!$B$16-AH757</f>
        <v>0</v>
      </c>
      <c r="AJ757" s="30" t="n">
        <f aca="false">MAX(AE757,0)*(Inputs!$B$17+Inputs!$B$24+Inputs!$B$25)+MAX(-AE757,0)*(O757+Inputs!$B$24+Inputs!$B$25)+IF(AND(K757=1,AB757&lt;&gt;0),(Inputs!$B$17+Inputs!$B$24+Inputs!$B$25)+(O757+Inputs!$B$24+Inputs!$B$25),0)+MAX(AG757,0)*(Inputs!$B$20+Inputs!$B$26+Inputs!$B$27)+MAX(-AG757,0)*(Inputs!$B$21+Inputs!$B$26+Inputs!$B$27)</f>
        <v>0</v>
      </c>
      <c r="AK757" s="30" t="n">
        <f aca="false">AB756*(M757-AD756*J757)+AB756*AD756*(N757+Inputs!$B$14)/Inputs!$B$16-AJ757</f>
        <v>0</v>
      </c>
      <c r="AL757" s="30" t="n">
        <f aca="false">IF(AP756&lt;&gt;0,AQ756+1,0)</f>
        <v>0</v>
      </c>
      <c r="AM757" s="30" t="n">
        <f aca="false">IF(W757="",0,IF(AND(AP756&lt;&gt;0,OR(ABS(W757)&gt;Inputs!$B$7,AL757&gt;=Inputs!$B$8,ABS(W757)&lt;Inputs!$B$6)),1,0))</f>
        <v>0</v>
      </c>
      <c r="AN757" s="30" t="n">
        <f aca="false">IF(AM757=1,0,AP756)</f>
        <v>0</v>
      </c>
      <c r="AO757" s="30" t="n">
        <f aca="false">IF(W757="",0,IF(AND(AN757=0,ABS(W757)&gt;Inputs!$B$5,ABS(W757)&lt;=Inputs!$B$7,W757&gt;0),1,0))</f>
        <v>0</v>
      </c>
      <c r="AP757" s="30" t="n">
        <f aca="false">IF(W757="",0,IF(AO757=1,-SIGN(W757),AN757))</f>
        <v>0</v>
      </c>
      <c r="AQ757" s="30" t="n">
        <f aca="false">IF(W757="",0,IF(AO757=1,0,IF(AM757=1,0,AL757)))</f>
        <v>0</v>
      </c>
      <c r="AR757" s="30" t="n">
        <f aca="false">IF(AP757=0,0,IF(AP756=AP757,AR756,T757))</f>
        <v>0</v>
      </c>
      <c r="AS757" s="30" t="n">
        <f aca="false">AP757-AP756</f>
        <v>0</v>
      </c>
      <c r="AT757" s="30" t="n">
        <f aca="false">-AR757*AP757</f>
        <v>-0</v>
      </c>
      <c r="AU757" s="30" t="n">
        <f aca="false">AT757-AT756</f>
        <v>0</v>
      </c>
      <c r="AV757" s="30" t="n">
        <f aca="false">MAX(AS757,0)*(Inputs!$B$17+Inputs!$B$18+Inputs!$B$19)+MAX(-AS757,0)*(O757+Inputs!$B$18+Inputs!$B$19)+IF(AND(K757=1,AP757&lt;&gt;0),(Inputs!$B$17+Inputs!$B$18+Inputs!$B$19)+(O757+Inputs!$B$18+Inputs!$B$19),0)+MAX(AU757,0)*(Inputs!$B$20+Inputs!$B$22+Inputs!$B$23)+MAX(-AU757,0)*(Inputs!$B$21+Inputs!$B$22+Inputs!$B$23)</f>
        <v>0</v>
      </c>
      <c r="AW757" s="30" t="n">
        <f aca="false">AP756*(M757-AR756*J757)+AP756*AR756*N757/Inputs!$B$16-AV757</f>
        <v>0</v>
      </c>
      <c r="AX757" s="30" t="n">
        <f aca="false">AW757-IF(AP756&lt;&gt;0,0.75*AR756*(Inputs!$B$13-N757)/Inputs!$B$16,0)</f>
        <v>0</v>
      </c>
      <c r="AY757" s="30" t="n">
        <f aca="false">MAX(AS757,0)*(Inputs!$B$17+Inputs!$B$18+Inputs!$B$19)+MAX(-AS757,0)*(O757+Inputs!$B$18+Inputs!$B$19)+IF(AND(K757=1,AP757&lt;&gt;0),(Inputs!$B$17+Inputs!$B$18+Inputs!$B$19)+(O757+Inputs!$B$18+Inputs!$B$19),0)</f>
        <v>0</v>
      </c>
      <c r="AZ757" s="30" t="n">
        <f aca="false">AP756*M757-AY757</f>
        <v>-0</v>
      </c>
      <c r="BA757" s="32" t="n">
        <f aca="false">BA756+AI757</f>
        <v>0.0194512594167594</v>
      </c>
      <c r="BB757" s="30" t="n">
        <f aca="false">MAX(BB756,BA757)</f>
        <v>0.0261726191772394</v>
      </c>
      <c r="BC757" s="32" t="n">
        <f aca="false">BA757-BB757</f>
        <v>-0.00672135976048001</v>
      </c>
      <c r="BD757" s="30" t="n">
        <f aca="false">A758-A757</f>
        <v>3</v>
      </c>
    </row>
    <row r="758" customFormat="false" ht="15" hidden="false" customHeight="false" outlineLevel="0" collapsed="false">
      <c r="A758" s="28" t="n">
        <v>46160</v>
      </c>
      <c r="B758" s="0" t="n">
        <v>23659</v>
      </c>
      <c r="C758" s="0" t="n">
        <v>267.7</v>
      </c>
      <c r="D758" s="29" t="n">
        <f aca="false">LN(B758)</f>
        <v>10.0714988712123</v>
      </c>
      <c r="E758" s="29" t="n">
        <f aca="false">LN(C758)</f>
        <v>5.58986695052631</v>
      </c>
      <c r="F758" s="0" t="n">
        <v>753</v>
      </c>
      <c r="G758" s="0" t="n">
        <v>8</v>
      </c>
      <c r="H758" s="29" t="n">
        <f aca="false">D758-E758</f>
        <v>4.48163192068598</v>
      </c>
      <c r="I758" s="29" t="n">
        <f aca="false">D758-D757</f>
        <v>4.22681066059027E-005</v>
      </c>
      <c r="J758" s="29" t="n">
        <f aca="false">E758-E757</f>
        <v>-0.000672168515542637</v>
      </c>
      <c r="K758" s="0" t="n">
        <v>0</v>
      </c>
      <c r="L758" s="0" t="n">
        <v>0</v>
      </c>
      <c r="M758" s="29" t="n">
        <f aca="false">IF(L758=1,J758-Carry!$B$9/Inputs!$B$16,I758)</f>
        <v>4.22681066059027E-005</v>
      </c>
      <c r="N758" s="0" t="n">
        <v>0.0525</v>
      </c>
      <c r="O758" s="0" t="n">
        <v>0.0005</v>
      </c>
      <c r="P758" s="29" t="n">
        <f aca="false">D758-('2 Hedge ratio'!$B$6+'2 Hedge ratio'!$B$5*E758)</f>
        <v>-0.0113479041419176</v>
      </c>
      <c r="Q758" s="29" t="n">
        <f aca="false">D758-('5 Re-specification'!$B$7+'5 Re-specification'!$B$5*E758+'5 Re-specification'!$B$6*F758)</f>
        <v>0.00120276817697018</v>
      </c>
      <c r="R758" s="30" t="n">
        <f aca="false">MIN(F758,Inputs!$B$9)</f>
        <v>250</v>
      </c>
      <c r="S758" s="29" t="n">
        <f aca="true">IF(AND(F758&gt;=1,R758&gt;=Inputs!$B$10),INDEX(LINEST(OFFSET(D758,-R758,0,R758,1),OFFSET(E758,-R758,0,R758,2)),1,1),"")</f>
        <v>-4.35778736421657E-005</v>
      </c>
      <c r="T758" s="29" t="n">
        <f aca="true">IF(AND(F758&gt;=1,R758&gt;=Inputs!$B$10),INDEX(LINEST(OFFSET(D758,-R758,0,R758,1),OFFSET(E758,-R758,0,R758,2)),1,2),"")</f>
        <v>1.01301329879541</v>
      </c>
      <c r="U758" s="29" t="n">
        <f aca="true">IF(AND(F758&gt;=1,R758&gt;=Inputs!$B$10),INDEX(LINEST(OFFSET(D758,-R758,0,R758,1),OFFSET(E758,-R758,0,R758,2)),1,3),"")</f>
        <v>4.43974128349274</v>
      </c>
      <c r="V758" s="29" t="n">
        <f aca="true">IF(AND(F758&gt;=1,R758&gt;=Inputs!$B$10),SQRT(SUMPRODUCT((OFFSET(D758,-R758,0,R758,1)-U758-T758*OFFSET(E758,-R758,0,R758,1)-S758*OFFSET(F758,-R758,0,R758,1))^2)/(R758-3)),"")</f>
        <v>0.00238603954914191</v>
      </c>
      <c r="W758" s="31" t="n">
        <f aca="false">IF(AND(F758&gt;=1,R758&gt;=Inputs!$B$10),(D758-U758-T758*E758-S758*F758)/V758,"")</f>
        <v>0.822353172116159</v>
      </c>
      <c r="X758" s="30" t="n">
        <f aca="false">IF(AB757&lt;&gt;0,AC757+1,0)</f>
        <v>0</v>
      </c>
      <c r="Y758" s="30" t="n">
        <f aca="false">IF(W758="",0,IF(AND(AB757&lt;&gt;0,OR(ABS(W758)&gt;Inputs!$B$7,X758&gt;=Inputs!$B$8,ABS(W758)&lt;Inputs!$B$6)),1,0))</f>
        <v>0</v>
      </c>
      <c r="Z758" s="30" t="n">
        <f aca="false">IF(Y758=1,0,AB757)</f>
        <v>0</v>
      </c>
      <c r="AA758" s="30" t="n">
        <f aca="false">IF(W758="",0,IF(AND(Z758=0,ABS(W758)&gt;Inputs!$B$5,ABS(W758)&lt;=Inputs!$B$7),1,0))</f>
        <v>0</v>
      </c>
      <c r="AB758" s="30" t="n">
        <f aca="false">IF(W758="",0,IF(AA758=1,-SIGN(W758),Z758))</f>
        <v>0</v>
      </c>
      <c r="AC758" s="30" t="n">
        <f aca="false">IF(W758="",0,IF(AA758=1,0,IF(Y758=1,0,X758)))</f>
        <v>0</v>
      </c>
      <c r="AD758" s="30" t="n">
        <f aca="false">IF(AB758=0,0,IF(AB757=AB758,AD757,T758))</f>
        <v>0</v>
      </c>
      <c r="AE758" s="30" t="n">
        <f aca="false">AB758-AB757</f>
        <v>0</v>
      </c>
      <c r="AF758" s="30" t="n">
        <f aca="false">-AD758*AB758</f>
        <v>-0</v>
      </c>
      <c r="AG758" s="30" t="n">
        <f aca="false">AF758-AF757</f>
        <v>0</v>
      </c>
      <c r="AH758" s="30" t="n">
        <f aca="false">MAX(AE758,0)*(Inputs!$B$17+Inputs!$B$18+Inputs!$B$19)+MAX(-AE758,0)*(O758+Inputs!$B$18+Inputs!$B$19)+IF(AND(K758=1,AB758&lt;&gt;0),(Inputs!$B$17+Inputs!$B$18+Inputs!$B$19)+(O758+Inputs!$B$18+Inputs!$B$19),0)+MAX(AG758,0)*(Inputs!$B$20+Inputs!$B$22+Inputs!$B$23)+MAX(-AG758,0)*(Inputs!$B$21+Inputs!$B$22+Inputs!$B$23)</f>
        <v>0</v>
      </c>
      <c r="AI758" s="30" t="n">
        <f aca="false">AB757*(M758-AD757*J758)+AB757*AD757*N758/Inputs!$B$16-AH758</f>
        <v>0</v>
      </c>
      <c r="AJ758" s="30" t="n">
        <f aca="false">MAX(AE758,0)*(Inputs!$B$17+Inputs!$B$24+Inputs!$B$25)+MAX(-AE758,0)*(O758+Inputs!$B$24+Inputs!$B$25)+IF(AND(K758=1,AB758&lt;&gt;0),(Inputs!$B$17+Inputs!$B$24+Inputs!$B$25)+(O758+Inputs!$B$24+Inputs!$B$25),0)+MAX(AG758,0)*(Inputs!$B$20+Inputs!$B$26+Inputs!$B$27)+MAX(-AG758,0)*(Inputs!$B$21+Inputs!$B$26+Inputs!$B$27)</f>
        <v>0</v>
      </c>
      <c r="AK758" s="30" t="n">
        <f aca="false">AB757*(M758-AD757*J758)+AB757*AD757*(N758+Inputs!$B$14)/Inputs!$B$16-AJ758</f>
        <v>0</v>
      </c>
      <c r="AL758" s="30" t="n">
        <f aca="false">IF(AP757&lt;&gt;0,AQ757+1,0)</f>
        <v>0</v>
      </c>
      <c r="AM758" s="30" t="n">
        <f aca="false">IF(W758="",0,IF(AND(AP757&lt;&gt;0,OR(ABS(W758)&gt;Inputs!$B$7,AL758&gt;=Inputs!$B$8,ABS(W758)&lt;Inputs!$B$6)),1,0))</f>
        <v>0</v>
      </c>
      <c r="AN758" s="30" t="n">
        <f aca="false">IF(AM758=1,0,AP757)</f>
        <v>0</v>
      </c>
      <c r="AO758" s="30" t="n">
        <f aca="false">IF(W758="",0,IF(AND(AN758=0,ABS(W758)&gt;Inputs!$B$5,ABS(W758)&lt;=Inputs!$B$7,W758&gt;0),1,0))</f>
        <v>0</v>
      </c>
      <c r="AP758" s="30" t="n">
        <f aca="false">IF(W758="",0,IF(AO758=1,-SIGN(W758),AN758))</f>
        <v>0</v>
      </c>
      <c r="AQ758" s="30" t="n">
        <f aca="false">IF(W758="",0,IF(AO758=1,0,IF(AM758=1,0,AL758)))</f>
        <v>0</v>
      </c>
      <c r="AR758" s="30" t="n">
        <f aca="false">IF(AP758=0,0,IF(AP757=AP758,AR757,T758))</f>
        <v>0</v>
      </c>
      <c r="AS758" s="30" t="n">
        <f aca="false">AP758-AP757</f>
        <v>0</v>
      </c>
      <c r="AT758" s="30" t="n">
        <f aca="false">-AR758*AP758</f>
        <v>-0</v>
      </c>
      <c r="AU758" s="30" t="n">
        <f aca="false">AT758-AT757</f>
        <v>0</v>
      </c>
      <c r="AV758" s="30" t="n">
        <f aca="false">MAX(AS758,0)*(Inputs!$B$17+Inputs!$B$18+Inputs!$B$19)+MAX(-AS758,0)*(O758+Inputs!$B$18+Inputs!$B$19)+IF(AND(K758=1,AP758&lt;&gt;0),(Inputs!$B$17+Inputs!$B$18+Inputs!$B$19)+(O758+Inputs!$B$18+Inputs!$B$19),0)+MAX(AU758,0)*(Inputs!$B$20+Inputs!$B$22+Inputs!$B$23)+MAX(-AU758,0)*(Inputs!$B$21+Inputs!$B$22+Inputs!$B$23)</f>
        <v>0</v>
      </c>
      <c r="AW758" s="30" t="n">
        <f aca="false">AP757*(M758-AR757*J758)+AP757*AR757*N758/Inputs!$B$16-AV758</f>
        <v>0</v>
      </c>
      <c r="AX758" s="30" t="n">
        <f aca="false">AW758-IF(AP757&lt;&gt;0,0.75*AR757*(Inputs!$B$13-N758)/Inputs!$B$16,0)</f>
        <v>0</v>
      </c>
      <c r="AY758" s="30" t="n">
        <f aca="false">MAX(AS758,0)*(Inputs!$B$17+Inputs!$B$18+Inputs!$B$19)+MAX(-AS758,0)*(O758+Inputs!$B$18+Inputs!$B$19)+IF(AND(K758=1,AP758&lt;&gt;0),(Inputs!$B$17+Inputs!$B$18+Inputs!$B$19)+(O758+Inputs!$B$18+Inputs!$B$19),0)</f>
        <v>0</v>
      </c>
      <c r="AZ758" s="30" t="n">
        <f aca="false">AP757*M758-AY758</f>
        <v>0</v>
      </c>
      <c r="BA758" s="32" t="n">
        <f aca="false">BA757+AI758</f>
        <v>0.0194512594167594</v>
      </c>
      <c r="BB758" s="30" t="n">
        <f aca="false">MAX(BB757,BA758)</f>
        <v>0.0261726191772394</v>
      </c>
      <c r="BC758" s="32" t="n">
        <f aca="false">BA758-BB758</f>
        <v>-0.00672135976048001</v>
      </c>
      <c r="BD758" s="30" t="n">
        <f aca="false">A759-A758</f>
        <v>1</v>
      </c>
    </row>
    <row r="759" customFormat="false" ht="15" hidden="false" customHeight="false" outlineLevel="0" collapsed="false">
      <c r="A759" s="28" t="n">
        <v>46161</v>
      </c>
      <c r="B759" s="0" t="n">
        <v>23605</v>
      </c>
      <c r="C759" s="0" t="n">
        <v>267.8</v>
      </c>
      <c r="D759" s="29" t="n">
        <f aca="false">LN(B759)</f>
        <v>10.0692138329804</v>
      </c>
      <c r="E759" s="29" t="n">
        <f aca="false">LN(C759)</f>
        <v>5.59024043325707</v>
      </c>
      <c r="F759" s="0" t="n">
        <v>754</v>
      </c>
      <c r="G759" s="0" t="n">
        <v>7</v>
      </c>
      <c r="H759" s="29" t="n">
        <f aca="false">D759-E759</f>
        <v>4.47897339972331</v>
      </c>
      <c r="I759" s="29" t="n">
        <f aca="false">D759-D758</f>
        <v>-0.00228503823190174</v>
      </c>
      <c r="J759" s="29" t="n">
        <f aca="false">E759-E758</f>
        <v>0.000373482730765318</v>
      </c>
      <c r="K759" s="0" t="n">
        <v>0</v>
      </c>
      <c r="L759" s="0" t="n">
        <v>0</v>
      </c>
      <c r="M759" s="29" t="n">
        <f aca="false">IF(L759=1,J759-Carry!$B$9/Inputs!$B$16,I759)</f>
        <v>-0.00228503823190174</v>
      </c>
      <c r="N759" s="0" t="n">
        <v>0.0525</v>
      </c>
      <c r="O759" s="0" t="n">
        <v>0.0005</v>
      </c>
      <c r="P759" s="29" t="n">
        <f aca="false">D759-('2 Hedge ratio'!$B$6+'2 Hedge ratio'!$B$5*E759)</f>
        <v>-0.0139750998975909</v>
      </c>
      <c r="Q759" s="29" t="n">
        <f aca="false">D759-('5 Re-specification'!$B$7+'5 Re-specification'!$B$5*E759+'5 Re-specification'!$B$6*F759)</f>
        <v>-0.00140969162817584</v>
      </c>
      <c r="R759" s="30" t="n">
        <f aca="false">MIN(F759,Inputs!$B$9)</f>
        <v>250</v>
      </c>
      <c r="S759" s="29" t="n">
        <f aca="true">IF(AND(F759&gt;=1,R759&gt;=Inputs!$B$10),INDEX(LINEST(OFFSET(D759,-R759,0,R759,1),OFFSET(E759,-R759,0,R759,2)),1,1),"")</f>
        <v>-4.32478528947086E-005</v>
      </c>
      <c r="T759" s="29" t="n">
        <f aca="true">IF(AND(F759&gt;=1,R759&gt;=Inputs!$B$10),INDEX(LINEST(OFFSET(D759,-R759,0,R759,1),OFFSET(E759,-R759,0,R759,2)),1,2),"")</f>
        <v>1.01287820220663</v>
      </c>
      <c r="U759" s="29" t="n">
        <f aca="true">IF(AND(F759&gt;=1,R759&gt;=Inputs!$B$10),INDEX(LINEST(OFFSET(D759,-R759,0,R759,1),OFFSET(E759,-R759,0,R759,2)),1,3),"")</f>
        <v>4.44029782690402</v>
      </c>
      <c r="V759" s="29" t="n">
        <f aca="true">IF(AND(F759&gt;=1,R759&gt;=Inputs!$B$10),SQRT(SUMPRODUCT((OFFSET(D759,-R759,0,R759,1)-U759-T759*OFFSET(E759,-R759,0,R759,1)-S759*OFFSET(F759,-R759,0,R759,1))^2)/(R759-3)),"")</f>
        <v>0.00238700259393691</v>
      </c>
      <c r="W759" s="31" t="n">
        <f aca="false">IF(AND(F759&gt;=1,R759&gt;=Inputs!$B$10),(D759-U759-T759*E759-S759*F759)/V759,"")</f>
        <v>-0.29651948558987</v>
      </c>
      <c r="X759" s="30" t="n">
        <f aca="false">IF(AB758&lt;&gt;0,AC758+1,0)</f>
        <v>0</v>
      </c>
      <c r="Y759" s="30" t="n">
        <f aca="false">IF(W759="",0,IF(AND(AB758&lt;&gt;0,OR(ABS(W759)&gt;Inputs!$B$7,X759&gt;=Inputs!$B$8,ABS(W759)&lt;Inputs!$B$6)),1,0))</f>
        <v>0</v>
      </c>
      <c r="Z759" s="30" t="n">
        <f aca="false">IF(Y759=1,0,AB758)</f>
        <v>0</v>
      </c>
      <c r="AA759" s="30" t="n">
        <f aca="false">IF(W759="",0,IF(AND(Z759=0,ABS(W759)&gt;Inputs!$B$5,ABS(W759)&lt;=Inputs!$B$7),1,0))</f>
        <v>0</v>
      </c>
      <c r="AB759" s="30" t="n">
        <f aca="false">IF(W759="",0,IF(AA759=1,-SIGN(W759),Z759))</f>
        <v>0</v>
      </c>
      <c r="AC759" s="30" t="n">
        <f aca="false">IF(W759="",0,IF(AA759=1,0,IF(Y759=1,0,X759)))</f>
        <v>0</v>
      </c>
      <c r="AD759" s="30" t="n">
        <f aca="false">IF(AB759=0,0,IF(AB758=AB759,AD758,T759))</f>
        <v>0</v>
      </c>
      <c r="AE759" s="30" t="n">
        <f aca="false">AB759-AB758</f>
        <v>0</v>
      </c>
      <c r="AF759" s="30" t="n">
        <f aca="false">-AD759*AB759</f>
        <v>-0</v>
      </c>
      <c r="AG759" s="30" t="n">
        <f aca="false">AF759-AF758</f>
        <v>0</v>
      </c>
      <c r="AH759" s="30" t="n">
        <f aca="false">MAX(AE759,0)*(Inputs!$B$17+Inputs!$B$18+Inputs!$B$19)+MAX(-AE759,0)*(O759+Inputs!$B$18+Inputs!$B$19)+IF(AND(K759=1,AB759&lt;&gt;0),(Inputs!$B$17+Inputs!$B$18+Inputs!$B$19)+(O759+Inputs!$B$18+Inputs!$B$19),0)+MAX(AG759,0)*(Inputs!$B$20+Inputs!$B$22+Inputs!$B$23)+MAX(-AG759,0)*(Inputs!$B$21+Inputs!$B$22+Inputs!$B$23)</f>
        <v>0</v>
      </c>
      <c r="AI759" s="30" t="n">
        <f aca="false">AB758*(M759-AD758*J759)+AB758*AD758*N759/Inputs!$B$16-AH759</f>
        <v>0</v>
      </c>
      <c r="AJ759" s="30" t="n">
        <f aca="false">MAX(AE759,0)*(Inputs!$B$17+Inputs!$B$24+Inputs!$B$25)+MAX(-AE759,0)*(O759+Inputs!$B$24+Inputs!$B$25)+IF(AND(K759=1,AB759&lt;&gt;0),(Inputs!$B$17+Inputs!$B$24+Inputs!$B$25)+(O759+Inputs!$B$24+Inputs!$B$25),0)+MAX(AG759,0)*(Inputs!$B$20+Inputs!$B$26+Inputs!$B$27)+MAX(-AG759,0)*(Inputs!$B$21+Inputs!$B$26+Inputs!$B$27)</f>
        <v>0</v>
      </c>
      <c r="AK759" s="30" t="n">
        <f aca="false">AB758*(M759-AD758*J759)+AB758*AD758*(N759+Inputs!$B$14)/Inputs!$B$16-AJ759</f>
        <v>0</v>
      </c>
      <c r="AL759" s="30" t="n">
        <f aca="false">IF(AP758&lt;&gt;0,AQ758+1,0)</f>
        <v>0</v>
      </c>
      <c r="AM759" s="30" t="n">
        <f aca="false">IF(W759="",0,IF(AND(AP758&lt;&gt;0,OR(ABS(W759)&gt;Inputs!$B$7,AL759&gt;=Inputs!$B$8,ABS(W759)&lt;Inputs!$B$6)),1,0))</f>
        <v>0</v>
      </c>
      <c r="AN759" s="30" t="n">
        <f aca="false">IF(AM759=1,0,AP758)</f>
        <v>0</v>
      </c>
      <c r="AO759" s="30" t="n">
        <f aca="false">IF(W759="",0,IF(AND(AN759=0,ABS(W759)&gt;Inputs!$B$5,ABS(W759)&lt;=Inputs!$B$7,W759&gt;0),1,0))</f>
        <v>0</v>
      </c>
      <c r="AP759" s="30" t="n">
        <f aca="false">IF(W759="",0,IF(AO759=1,-SIGN(W759),AN759))</f>
        <v>0</v>
      </c>
      <c r="AQ759" s="30" t="n">
        <f aca="false">IF(W759="",0,IF(AO759=1,0,IF(AM759=1,0,AL759)))</f>
        <v>0</v>
      </c>
      <c r="AR759" s="30" t="n">
        <f aca="false">IF(AP759=0,0,IF(AP758=AP759,AR758,T759))</f>
        <v>0</v>
      </c>
      <c r="AS759" s="30" t="n">
        <f aca="false">AP759-AP758</f>
        <v>0</v>
      </c>
      <c r="AT759" s="30" t="n">
        <f aca="false">-AR759*AP759</f>
        <v>-0</v>
      </c>
      <c r="AU759" s="30" t="n">
        <f aca="false">AT759-AT758</f>
        <v>0</v>
      </c>
      <c r="AV759" s="30" t="n">
        <f aca="false">MAX(AS759,0)*(Inputs!$B$17+Inputs!$B$18+Inputs!$B$19)+MAX(-AS759,0)*(O759+Inputs!$B$18+Inputs!$B$19)+IF(AND(K759=1,AP759&lt;&gt;0),(Inputs!$B$17+Inputs!$B$18+Inputs!$B$19)+(O759+Inputs!$B$18+Inputs!$B$19),0)+MAX(AU759,0)*(Inputs!$B$20+Inputs!$B$22+Inputs!$B$23)+MAX(-AU759,0)*(Inputs!$B$21+Inputs!$B$22+Inputs!$B$23)</f>
        <v>0</v>
      </c>
      <c r="AW759" s="30" t="n">
        <f aca="false">AP758*(M759-AR758*J759)+AP758*AR758*N759/Inputs!$B$16-AV759</f>
        <v>0</v>
      </c>
      <c r="AX759" s="30" t="n">
        <f aca="false">AW759-IF(AP758&lt;&gt;0,0.75*AR758*(Inputs!$B$13-N759)/Inputs!$B$16,0)</f>
        <v>0</v>
      </c>
      <c r="AY759" s="30" t="n">
        <f aca="false">MAX(AS759,0)*(Inputs!$B$17+Inputs!$B$18+Inputs!$B$19)+MAX(-AS759,0)*(O759+Inputs!$B$18+Inputs!$B$19)+IF(AND(K759=1,AP759&lt;&gt;0),(Inputs!$B$17+Inputs!$B$18+Inputs!$B$19)+(O759+Inputs!$B$18+Inputs!$B$19),0)</f>
        <v>0</v>
      </c>
      <c r="AZ759" s="30" t="n">
        <f aca="false">AP758*M759-AY759</f>
        <v>-0</v>
      </c>
      <c r="BA759" s="32" t="n">
        <f aca="false">BA758+AI759</f>
        <v>0.0194512594167594</v>
      </c>
      <c r="BB759" s="30" t="n">
        <f aca="false">MAX(BB758,BA759)</f>
        <v>0.0261726191772394</v>
      </c>
      <c r="BC759" s="32" t="n">
        <f aca="false">BA759-BB759</f>
        <v>-0.00672135976048001</v>
      </c>
      <c r="BD759" s="30" t="n">
        <f aca="false">A760-A759</f>
        <v>1</v>
      </c>
    </row>
    <row r="760" customFormat="false" ht="15" hidden="false" customHeight="false" outlineLevel="0" collapsed="false">
      <c r="A760" s="28" t="n">
        <v>46162</v>
      </c>
      <c r="B760" s="0" t="n">
        <v>23695</v>
      </c>
      <c r="C760" s="0" t="n">
        <v>268.2</v>
      </c>
      <c r="D760" s="29" t="n">
        <f aca="false">LN(B760)</f>
        <v>10.0730193344017</v>
      </c>
      <c r="E760" s="29" t="n">
        <f aca="false">LN(C760)</f>
        <v>5.59173297084758</v>
      </c>
      <c r="F760" s="0" t="n">
        <v>755</v>
      </c>
      <c r="G760" s="0" t="n">
        <v>6</v>
      </c>
      <c r="H760" s="29" t="n">
        <f aca="false">D760-E760</f>
        <v>4.48128636355411</v>
      </c>
      <c r="I760" s="29" t="n">
        <f aca="false">D760-D759</f>
        <v>0.00380550142130254</v>
      </c>
      <c r="J760" s="29" t="n">
        <f aca="false">E760-E759</f>
        <v>0.00149253759050527</v>
      </c>
      <c r="K760" s="0" t="n">
        <v>0</v>
      </c>
      <c r="L760" s="0" t="n">
        <v>0</v>
      </c>
      <c r="M760" s="29" t="n">
        <f aca="false">IF(L760=1,J760-Carry!$B$9/Inputs!$B$16,I760)</f>
        <v>0.00380550142130254</v>
      </c>
      <c r="N760" s="0" t="n">
        <v>0.0525</v>
      </c>
      <c r="O760" s="0" t="n">
        <v>0.0005</v>
      </c>
      <c r="P760" s="29" t="n">
        <f aca="false">D760-('2 Hedge ratio'!$B$6+'2 Hedge ratio'!$B$5*E760)</f>
        <v>-0.01153695210213</v>
      </c>
      <c r="Q760" s="29" t="n">
        <f aca="false">D760-('5 Re-specification'!$B$7+'5 Re-specification'!$B$5*E760+'5 Re-specification'!$B$6*F760)</f>
        <v>0.000952724655917336</v>
      </c>
      <c r="R760" s="30" t="n">
        <f aca="false">MIN(F760,Inputs!$B$9)</f>
        <v>250</v>
      </c>
      <c r="S760" s="29" t="n">
        <f aca="true">IF(AND(F760&gt;=1,R760&gt;=Inputs!$B$10),INDEX(LINEST(OFFSET(D760,-R760,0,R760,1),OFFSET(E760,-R760,0,R760,2)),1,1),"")</f>
        <v>-4.28823320934352E-005</v>
      </c>
      <c r="T760" s="29" t="n">
        <f aca="true">IF(AND(F760&gt;=1,R760&gt;=Inputs!$B$10),INDEX(LINEST(OFFSET(D760,-R760,0,R760,1),OFFSET(E760,-R760,0,R760,2)),1,2),"")</f>
        <v>1.0133290337964</v>
      </c>
      <c r="U760" s="29" t="n">
        <f aca="true">IF(AND(F760&gt;=1,R760&gt;=Inputs!$B$10),INDEX(LINEST(OFFSET(D760,-R760,0,R760,1),OFFSET(E760,-R760,0,R760,2)),1,3),"")</f>
        <v>4.43750416679677</v>
      </c>
      <c r="V760" s="29" t="n">
        <f aca="true">IF(AND(F760&gt;=1,R760&gt;=Inputs!$B$10),SQRT(SUMPRODUCT((OFFSET(D760,-R760,0,R760,1)-U760-T760*OFFSET(E760,-R760,0,R760,1)-S760*OFFSET(F760,-R760,0,R760,1))^2)/(R760-3)),"")</f>
        <v>0.00237317442972935</v>
      </c>
      <c r="W760" s="31" t="n">
        <f aca="false">IF(AND(F760&gt;=1,R760&gt;=Inputs!$B$10),(D760-U760-T760*E760-S760*F760)/V760,"")</f>
        <v>0.685141268435491</v>
      </c>
      <c r="X760" s="30" t="n">
        <f aca="false">IF(AB759&lt;&gt;0,AC759+1,0)</f>
        <v>0</v>
      </c>
      <c r="Y760" s="30" t="n">
        <f aca="false">IF(W760="",0,IF(AND(AB759&lt;&gt;0,OR(ABS(W760)&gt;Inputs!$B$7,X760&gt;=Inputs!$B$8,ABS(W760)&lt;Inputs!$B$6)),1,0))</f>
        <v>0</v>
      </c>
      <c r="Z760" s="30" t="n">
        <f aca="false">IF(Y760=1,0,AB759)</f>
        <v>0</v>
      </c>
      <c r="AA760" s="30" t="n">
        <f aca="false">IF(W760="",0,IF(AND(Z760=0,ABS(W760)&gt;Inputs!$B$5,ABS(W760)&lt;=Inputs!$B$7),1,0))</f>
        <v>0</v>
      </c>
      <c r="AB760" s="30" t="n">
        <f aca="false">IF(W760="",0,IF(AA760=1,-SIGN(W760),Z760))</f>
        <v>0</v>
      </c>
      <c r="AC760" s="30" t="n">
        <f aca="false">IF(W760="",0,IF(AA760=1,0,IF(Y760=1,0,X760)))</f>
        <v>0</v>
      </c>
      <c r="AD760" s="30" t="n">
        <f aca="false">IF(AB760=0,0,IF(AB759=AB760,AD759,T760))</f>
        <v>0</v>
      </c>
      <c r="AE760" s="30" t="n">
        <f aca="false">AB760-AB759</f>
        <v>0</v>
      </c>
      <c r="AF760" s="30" t="n">
        <f aca="false">-AD760*AB760</f>
        <v>-0</v>
      </c>
      <c r="AG760" s="30" t="n">
        <f aca="false">AF760-AF759</f>
        <v>0</v>
      </c>
      <c r="AH760" s="30" t="n">
        <f aca="false">MAX(AE760,0)*(Inputs!$B$17+Inputs!$B$18+Inputs!$B$19)+MAX(-AE760,0)*(O760+Inputs!$B$18+Inputs!$B$19)+IF(AND(K760=1,AB760&lt;&gt;0),(Inputs!$B$17+Inputs!$B$18+Inputs!$B$19)+(O760+Inputs!$B$18+Inputs!$B$19),0)+MAX(AG760,0)*(Inputs!$B$20+Inputs!$B$22+Inputs!$B$23)+MAX(-AG760,0)*(Inputs!$B$21+Inputs!$B$22+Inputs!$B$23)</f>
        <v>0</v>
      </c>
      <c r="AI760" s="30" t="n">
        <f aca="false">AB759*(M760-AD759*J760)+AB759*AD759*N760/Inputs!$B$16-AH760</f>
        <v>0</v>
      </c>
      <c r="AJ760" s="30" t="n">
        <f aca="false">MAX(AE760,0)*(Inputs!$B$17+Inputs!$B$24+Inputs!$B$25)+MAX(-AE760,0)*(O760+Inputs!$B$24+Inputs!$B$25)+IF(AND(K760=1,AB760&lt;&gt;0),(Inputs!$B$17+Inputs!$B$24+Inputs!$B$25)+(O760+Inputs!$B$24+Inputs!$B$25),0)+MAX(AG760,0)*(Inputs!$B$20+Inputs!$B$26+Inputs!$B$27)+MAX(-AG760,0)*(Inputs!$B$21+Inputs!$B$26+Inputs!$B$27)</f>
        <v>0</v>
      </c>
      <c r="AK760" s="30" t="n">
        <f aca="false">AB759*(M760-AD759*J760)+AB759*AD759*(N760+Inputs!$B$14)/Inputs!$B$16-AJ760</f>
        <v>0</v>
      </c>
      <c r="AL760" s="30" t="n">
        <f aca="false">IF(AP759&lt;&gt;0,AQ759+1,0)</f>
        <v>0</v>
      </c>
      <c r="AM760" s="30" t="n">
        <f aca="false">IF(W760="",0,IF(AND(AP759&lt;&gt;0,OR(ABS(W760)&gt;Inputs!$B$7,AL760&gt;=Inputs!$B$8,ABS(W760)&lt;Inputs!$B$6)),1,0))</f>
        <v>0</v>
      </c>
      <c r="AN760" s="30" t="n">
        <f aca="false">IF(AM760=1,0,AP759)</f>
        <v>0</v>
      </c>
      <c r="AO760" s="30" t="n">
        <f aca="false">IF(W760="",0,IF(AND(AN760=0,ABS(W760)&gt;Inputs!$B$5,ABS(W760)&lt;=Inputs!$B$7,W760&gt;0),1,0))</f>
        <v>0</v>
      </c>
      <c r="AP760" s="30" t="n">
        <f aca="false">IF(W760="",0,IF(AO760=1,-SIGN(W760),AN760))</f>
        <v>0</v>
      </c>
      <c r="AQ760" s="30" t="n">
        <f aca="false">IF(W760="",0,IF(AO760=1,0,IF(AM760=1,0,AL760)))</f>
        <v>0</v>
      </c>
      <c r="AR760" s="30" t="n">
        <f aca="false">IF(AP760=0,0,IF(AP759=AP760,AR759,T760))</f>
        <v>0</v>
      </c>
      <c r="AS760" s="30" t="n">
        <f aca="false">AP760-AP759</f>
        <v>0</v>
      </c>
      <c r="AT760" s="30" t="n">
        <f aca="false">-AR760*AP760</f>
        <v>-0</v>
      </c>
      <c r="AU760" s="30" t="n">
        <f aca="false">AT760-AT759</f>
        <v>0</v>
      </c>
      <c r="AV760" s="30" t="n">
        <f aca="false">MAX(AS760,0)*(Inputs!$B$17+Inputs!$B$18+Inputs!$B$19)+MAX(-AS760,0)*(O760+Inputs!$B$18+Inputs!$B$19)+IF(AND(K760=1,AP760&lt;&gt;0),(Inputs!$B$17+Inputs!$B$18+Inputs!$B$19)+(O760+Inputs!$B$18+Inputs!$B$19),0)+MAX(AU760,0)*(Inputs!$B$20+Inputs!$B$22+Inputs!$B$23)+MAX(-AU760,0)*(Inputs!$B$21+Inputs!$B$22+Inputs!$B$23)</f>
        <v>0</v>
      </c>
      <c r="AW760" s="30" t="n">
        <f aca="false">AP759*(M760-AR759*J760)+AP759*AR759*N760/Inputs!$B$16-AV760</f>
        <v>0</v>
      </c>
      <c r="AX760" s="30" t="n">
        <f aca="false">AW760-IF(AP759&lt;&gt;0,0.75*AR759*(Inputs!$B$13-N760)/Inputs!$B$16,0)</f>
        <v>0</v>
      </c>
      <c r="AY760" s="30" t="n">
        <f aca="false">MAX(AS760,0)*(Inputs!$B$17+Inputs!$B$18+Inputs!$B$19)+MAX(-AS760,0)*(O760+Inputs!$B$18+Inputs!$B$19)+IF(AND(K760=1,AP760&lt;&gt;0),(Inputs!$B$17+Inputs!$B$18+Inputs!$B$19)+(O760+Inputs!$B$18+Inputs!$B$19),0)</f>
        <v>0</v>
      </c>
      <c r="AZ760" s="30" t="n">
        <f aca="false">AP759*M760-AY760</f>
        <v>0</v>
      </c>
      <c r="BA760" s="32" t="n">
        <f aca="false">BA759+AI760</f>
        <v>0.0194512594167594</v>
      </c>
      <c r="BB760" s="30" t="n">
        <f aca="false">MAX(BB759,BA760)</f>
        <v>0.0261726191772394</v>
      </c>
      <c r="BC760" s="32" t="n">
        <f aca="false">BA760-BB760</f>
        <v>-0.00672135976048001</v>
      </c>
      <c r="BD760" s="30" t="n">
        <f aca="false">A761-A760</f>
        <v>1</v>
      </c>
    </row>
    <row r="761" customFormat="false" ht="15" hidden="false" customHeight="false" outlineLevel="0" collapsed="false">
      <c r="A761" s="28" t="n">
        <v>46163</v>
      </c>
      <c r="B761" s="0" t="n">
        <v>23635</v>
      </c>
      <c r="C761" s="0" t="n">
        <v>268.08</v>
      </c>
      <c r="D761" s="29" t="n">
        <f aca="false">LN(B761)</f>
        <v>10.0704839432273</v>
      </c>
      <c r="E761" s="29" t="n">
        <f aca="false">LN(C761)</f>
        <v>5.59128544342906</v>
      </c>
      <c r="F761" s="0" t="n">
        <v>756</v>
      </c>
      <c r="G761" s="0" t="n">
        <v>5</v>
      </c>
      <c r="H761" s="29" t="n">
        <f aca="false">D761-E761</f>
        <v>4.47919849979828</v>
      </c>
      <c r="I761" s="29" t="n">
        <f aca="false">D761-D760</f>
        <v>-0.00253539117435153</v>
      </c>
      <c r="J761" s="29" t="n">
        <f aca="false">E761-E760</f>
        <v>-0.000447527418522498</v>
      </c>
      <c r="K761" s="0" t="n">
        <v>0</v>
      </c>
      <c r="L761" s="0" t="n">
        <v>0</v>
      </c>
      <c r="M761" s="29" t="n">
        <f aca="false">IF(L761=1,J761-Carry!$B$9/Inputs!$B$16,I761)</f>
        <v>-0.00253539117435153</v>
      </c>
      <c r="N761" s="0" t="n">
        <v>0.0525</v>
      </c>
      <c r="O761" s="0" t="n">
        <v>0.0005</v>
      </c>
      <c r="P761" s="29" t="n">
        <f aca="false">D761-('2 Hedge ratio'!$B$6+'2 Hedge ratio'!$B$5*E761)</f>
        <v>-0.0136623514328775</v>
      </c>
      <c r="Q761" s="29" t="n">
        <f aca="false">D761-('5 Re-specification'!$B$7+'5 Re-specification'!$B$5*E761+'5 Re-specification'!$B$6*F761)</f>
        <v>-0.001091566013665</v>
      </c>
      <c r="R761" s="30" t="n">
        <f aca="false">MIN(F761,Inputs!$B$9)</f>
        <v>250</v>
      </c>
      <c r="S761" s="29" t="n">
        <f aca="true">IF(AND(F761&gt;=1,R761&gt;=Inputs!$B$10),INDEX(LINEST(OFFSET(D761,-R761,0,R761,1),OFFSET(E761,-R761,0,R761,2)),1,1),"")</f>
        <v>-4.23630823304708E-005</v>
      </c>
      <c r="T761" s="29" t="n">
        <f aca="true">IF(AND(F761&gt;=1,R761&gt;=Inputs!$B$10),INDEX(LINEST(OFFSET(D761,-R761,0,R761,1),OFFSET(E761,-R761,0,R761,2)),1,2),"")</f>
        <v>1.01338223864407</v>
      </c>
      <c r="U761" s="29" t="n">
        <f aca="true">IF(AND(F761&gt;=1,R761&gt;=Inputs!$B$10),INDEX(LINEST(OFFSET(D761,-R761,0,R761,1),OFFSET(E761,-R761,0,R761,2)),1,3),"")</f>
        <v>4.43686812587606</v>
      </c>
      <c r="V761" s="29" t="n">
        <f aca="true">IF(AND(F761&gt;=1,R761&gt;=Inputs!$B$10),SQRT(SUMPRODUCT((OFFSET(D761,-R761,0,R761,1)-U761-T761*OFFSET(E761,-R761,0,R761,1)-S761*OFFSET(F761,-R761,0,R761,1))^2)/(R761-3)),"")</f>
        <v>0.00236329810350066</v>
      </c>
      <c r="W761" s="31" t="n">
        <f aca="false">IF(AND(F761&gt;=1,R761&gt;=Inputs!$B$10),(D761-U761-T761*E761-S761*F761)/V761,"")</f>
        <v>-0.197627191554389</v>
      </c>
      <c r="X761" s="30" t="n">
        <f aca="false">IF(AB760&lt;&gt;0,AC760+1,0)</f>
        <v>0</v>
      </c>
      <c r="Y761" s="30" t="n">
        <f aca="false">IF(W761="",0,IF(AND(AB760&lt;&gt;0,OR(ABS(W761)&gt;Inputs!$B$7,X761&gt;=Inputs!$B$8,ABS(W761)&lt;Inputs!$B$6)),1,0))</f>
        <v>0</v>
      </c>
      <c r="Z761" s="30" t="n">
        <f aca="false">IF(Y761=1,0,AB760)</f>
        <v>0</v>
      </c>
      <c r="AA761" s="30" t="n">
        <f aca="false">IF(W761="",0,IF(AND(Z761=0,ABS(W761)&gt;Inputs!$B$5,ABS(W761)&lt;=Inputs!$B$7),1,0))</f>
        <v>0</v>
      </c>
      <c r="AB761" s="30" t="n">
        <f aca="false">IF(W761="",0,IF(AA761=1,-SIGN(W761),Z761))</f>
        <v>0</v>
      </c>
      <c r="AC761" s="30" t="n">
        <f aca="false">IF(W761="",0,IF(AA761=1,0,IF(Y761=1,0,X761)))</f>
        <v>0</v>
      </c>
      <c r="AD761" s="30" t="n">
        <f aca="false">IF(AB761=0,0,IF(AB760=AB761,AD760,T761))</f>
        <v>0</v>
      </c>
      <c r="AE761" s="30" t="n">
        <f aca="false">AB761-AB760</f>
        <v>0</v>
      </c>
      <c r="AF761" s="30" t="n">
        <f aca="false">-AD761*AB761</f>
        <v>-0</v>
      </c>
      <c r="AG761" s="30" t="n">
        <f aca="false">AF761-AF760</f>
        <v>0</v>
      </c>
      <c r="AH761" s="30" t="n">
        <f aca="false">MAX(AE761,0)*(Inputs!$B$17+Inputs!$B$18+Inputs!$B$19)+MAX(-AE761,0)*(O761+Inputs!$B$18+Inputs!$B$19)+IF(AND(K761=1,AB761&lt;&gt;0),(Inputs!$B$17+Inputs!$B$18+Inputs!$B$19)+(O761+Inputs!$B$18+Inputs!$B$19),0)+MAX(AG761,0)*(Inputs!$B$20+Inputs!$B$22+Inputs!$B$23)+MAX(-AG761,0)*(Inputs!$B$21+Inputs!$B$22+Inputs!$B$23)</f>
        <v>0</v>
      </c>
      <c r="AI761" s="30" t="n">
        <f aca="false">AB760*(M761-AD760*J761)+AB760*AD760*N761/Inputs!$B$16-AH761</f>
        <v>0</v>
      </c>
      <c r="AJ761" s="30" t="n">
        <f aca="false">MAX(AE761,0)*(Inputs!$B$17+Inputs!$B$24+Inputs!$B$25)+MAX(-AE761,0)*(O761+Inputs!$B$24+Inputs!$B$25)+IF(AND(K761=1,AB761&lt;&gt;0),(Inputs!$B$17+Inputs!$B$24+Inputs!$B$25)+(O761+Inputs!$B$24+Inputs!$B$25),0)+MAX(AG761,0)*(Inputs!$B$20+Inputs!$B$26+Inputs!$B$27)+MAX(-AG761,0)*(Inputs!$B$21+Inputs!$B$26+Inputs!$B$27)</f>
        <v>0</v>
      </c>
      <c r="AK761" s="30" t="n">
        <f aca="false">AB760*(M761-AD760*J761)+AB760*AD760*(N761+Inputs!$B$14)/Inputs!$B$16-AJ761</f>
        <v>0</v>
      </c>
      <c r="AL761" s="30" t="n">
        <f aca="false">IF(AP760&lt;&gt;0,AQ760+1,0)</f>
        <v>0</v>
      </c>
      <c r="AM761" s="30" t="n">
        <f aca="false">IF(W761="",0,IF(AND(AP760&lt;&gt;0,OR(ABS(W761)&gt;Inputs!$B$7,AL761&gt;=Inputs!$B$8,ABS(W761)&lt;Inputs!$B$6)),1,0))</f>
        <v>0</v>
      </c>
      <c r="AN761" s="30" t="n">
        <f aca="false">IF(AM761=1,0,AP760)</f>
        <v>0</v>
      </c>
      <c r="AO761" s="30" t="n">
        <f aca="false">IF(W761="",0,IF(AND(AN761=0,ABS(W761)&gt;Inputs!$B$5,ABS(W761)&lt;=Inputs!$B$7,W761&gt;0),1,0))</f>
        <v>0</v>
      </c>
      <c r="AP761" s="30" t="n">
        <f aca="false">IF(W761="",0,IF(AO761=1,-SIGN(W761),AN761))</f>
        <v>0</v>
      </c>
      <c r="AQ761" s="30" t="n">
        <f aca="false">IF(W761="",0,IF(AO761=1,0,IF(AM761=1,0,AL761)))</f>
        <v>0</v>
      </c>
      <c r="AR761" s="30" t="n">
        <f aca="false">IF(AP761=0,0,IF(AP760=AP761,AR760,T761))</f>
        <v>0</v>
      </c>
      <c r="AS761" s="30" t="n">
        <f aca="false">AP761-AP760</f>
        <v>0</v>
      </c>
      <c r="AT761" s="30" t="n">
        <f aca="false">-AR761*AP761</f>
        <v>-0</v>
      </c>
      <c r="AU761" s="30" t="n">
        <f aca="false">AT761-AT760</f>
        <v>0</v>
      </c>
      <c r="AV761" s="30" t="n">
        <f aca="false">MAX(AS761,0)*(Inputs!$B$17+Inputs!$B$18+Inputs!$B$19)+MAX(-AS761,0)*(O761+Inputs!$B$18+Inputs!$B$19)+IF(AND(K761=1,AP761&lt;&gt;0),(Inputs!$B$17+Inputs!$B$18+Inputs!$B$19)+(O761+Inputs!$B$18+Inputs!$B$19),0)+MAX(AU761,0)*(Inputs!$B$20+Inputs!$B$22+Inputs!$B$23)+MAX(-AU761,0)*(Inputs!$B$21+Inputs!$B$22+Inputs!$B$23)</f>
        <v>0</v>
      </c>
      <c r="AW761" s="30" t="n">
        <f aca="false">AP760*(M761-AR760*J761)+AP760*AR760*N761/Inputs!$B$16-AV761</f>
        <v>0</v>
      </c>
      <c r="AX761" s="30" t="n">
        <f aca="false">AW761-IF(AP760&lt;&gt;0,0.75*AR760*(Inputs!$B$13-N761)/Inputs!$B$16,0)</f>
        <v>0</v>
      </c>
      <c r="AY761" s="30" t="n">
        <f aca="false">MAX(AS761,0)*(Inputs!$B$17+Inputs!$B$18+Inputs!$B$19)+MAX(-AS761,0)*(O761+Inputs!$B$18+Inputs!$B$19)+IF(AND(K761=1,AP761&lt;&gt;0),(Inputs!$B$17+Inputs!$B$18+Inputs!$B$19)+(O761+Inputs!$B$18+Inputs!$B$19),0)</f>
        <v>0</v>
      </c>
      <c r="AZ761" s="30" t="n">
        <f aca="false">AP760*M761-AY761</f>
        <v>-0</v>
      </c>
      <c r="BA761" s="32" t="n">
        <f aca="false">BA760+AI761</f>
        <v>0.0194512594167594</v>
      </c>
      <c r="BB761" s="30" t="n">
        <f aca="false">MAX(BB760,BA761)</f>
        <v>0.0261726191772394</v>
      </c>
      <c r="BC761" s="32" t="n">
        <f aca="false">BA761-BB761</f>
        <v>-0.00672135976048001</v>
      </c>
      <c r="BD761" s="30" t="n">
        <f aca="false">A762-A761</f>
        <v>1</v>
      </c>
    </row>
    <row r="762" customFormat="false" ht="15" hidden="false" customHeight="false" outlineLevel="0" collapsed="false">
      <c r="A762" s="28" t="n">
        <v>46164</v>
      </c>
      <c r="B762" s="0" t="n">
        <v>23780</v>
      </c>
      <c r="C762" s="0" t="n">
        <v>269.5</v>
      </c>
      <c r="D762" s="29" t="n">
        <f aca="false">LN(B762)</f>
        <v>10.0766001702448</v>
      </c>
      <c r="E762" s="29" t="n">
        <f aca="false">LN(C762)</f>
        <v>5.59656839034905</v>
      </c>
      <c r="F762" s="0" t="n">
        <v>757</v>
      </c>
      <c r="G762" s="0" t="n">
        <v>4</v>
      </c>
      <c r="H762" s="29" t="n">
        <f aca="false">D762-E762</f>
        <v>4.48003177989572</v>
      </c>
      <c r="I762" s="29" t="n">
        <f aca="false">D762-D761</f>
        <v>0.00611622701743464</v>
      </c>
      <c r="J762" s="29" t="n">
        <f aca="false">E762-E761</f>
        <v>0.00528294691999687</v>
      </c>
      <c r="K762" s="0" t="n">
        <v>0</v>
      </c>
      <c r="L762" s="0" t="n">
        <v>0</v>
      </c>
      <c r="M762" s="29" t="n">
        <f aca="false">IF(L762=1,J762-Carry!$B$9/Inputs!$B$16,I762)</f>
        <v>0.00611622701743464</v>
      </c>
      <c r="N762" s="0" t="n">
        <v>0.0525</v>
      </c>
      <c r="O762" s="0" t="n">
        <v>0.0005</v>
      </c>
      <c r="P762" s="29" t="n">
        <f aca="false">D762-('2 Hedge ratio'!$B$6+'2 Hedge ratio'!$B$5*E762)</f>
        <v>-0.0123859734565315</v>
      </c>
      <c r="Q762" s="29" t="n">
        <f aca="false">D762-('5 Re-specification'!$B$7+'5 Re-specification'!$B$5*E762+'5 Re-specification'!$B$6*F762)</f>
        <v>-0.00019734662737747</v>
      </c>
      <c r="R762" s="30" t="n">
        <f aca="false">MIN(F762,Inputs!$B$9)</f>
        <v>250</v>
      </c>
      <c r="S762" s="29" t="n">
        <f aca="true">IF(AND(F762&gt;=1,R762&gt;=Inputs!$B$10),INDEX(LINEST(OFFSET(D762,-R762,0,R762,1),OFFSET(E762,-R762,0,R762,2)),1,1),"")</f>
        <v>-4.23044589974553E-005</v>
      </c>
      <c r="T762" s="29" t="n">
        <f aca="true">IF(AND(F762&gt;=1,R762&gt;=Inputs!$B$10),INDEX(LINEST(OFFSET(D762,-R762,0,R762,1),OFFSET(E762,-R762,0,R762,2)),1,2),"")</f>
        <v>1.01353464326405</v>
      </c>
      <c r="U762" s="29" t="n">
        <f aca="true">IF(AND(F762&gt;=1,R762&gt;=Inputs!$B$10),INDEX(LINEST(OFFSET(D762,-R762,0,R762,1),OFFSET(E762,-R762,0,R762,2)),1,3),"")</f>
        <v>4.43596549386282</v>
      </c>
      <c r="V762" s="29" t="n">
        <f aca="true">IF(AND(F762&gt;=1,R762&gt;=Inputs!$B$10),SQRT(SUMPRODUCT((OFFSET(D762,-R762,0,R762,1)-U762-T762*OFFSET(E762,-R762,0,R762,1)-S762*OFFSET(F762,-R762,0,R762,1))^2)/(R762-3)),"")</f>
        <v>0.00236276851342458</v>
      </c>
      <c r="W762" s="31" t="n">
        <f aca="false">IF(AND(F762&gt;=1,R762&gt;=Inputs!$B$10),(D762-U762-T762*E762-S762*F762)/V762,"")</f>
        <v>0.145255375553472</v>
      </c>
      <c r="X762" s="30" t="n">
        <f aca="false">IF(AB761&lt;&gt;0,AC761+1,0)</f>
        <v>0</v>
      </c>
      <c r="Y762" s="30" t="n">
        <f aca="false">IF(W762="",0,IF(AND(AB761&lt;&gt;0,OR(ABS(W762)&gt;Inputs!$B$7,X762&gt;=Inputs!$B$8,ABS(W762)&lt;Inputs!$B$6)),1,0))</f>
        <v>0</v>
      </c>
      <c r="Z762" s="30" t="n">
        <f aca="false">IF(Y762=1,0,AB761)</f>
        <v>0</v>
      </c>
      <c r="AA762" s="30" t="n">
        <f aca="false">IF(W762="",0,IF(AND(Z762=0,ABS(W762)&gt;Inputs!$B$5,ABS(W762)&lt;=Inputs!$B$7),1,0))</f>
        <v>0</v>
      </c>
      <c r="AB762" s="30" t="n">
        <f aca="false">IF(W762="",0,IF(AA762=1,-SIGN(W762),Z762))</f>
        <v>0</v>
      </c>
      <c r="AC762" s="30" t="n">
        <f aca="false">IF(W762="",0,IF(AA762=1,0,IF(Y762=1,0,X762)))</f>
        <v>0</v>
      </c>
      <c r="AD762" s="30" t="n">
        <f aca="false">IF(AB762=0,0,IF(AB761=AB762,AD761,T762))</f>
        <v>0</v>
      </c>
      <c r="AE762" s="30" t="n">
        <f aca="false">AB762-AB761</f>
        <v>0</v>
      </c>
      <c r="AF762" s="30" t="n">
        <f aca="false">-AD762*AB762</f>
        <v>-0</v>
      </c>
      <c r="AG762" s="30" t="n">
        <f aca="false">AF762-AF761</f>
        <v>0</v>
      </c>
      <c r="AH762" s="30" t="n">
        <f aca="false">MAX(AE762,0)*(Inputs!$B$17+Inputs!$B$18+Inputs!$B$19)+MAX(-AE762,0)*(O762+Inputs!$B$18+Inputs!$B$19)+IF(AND(K762=1,AB762&lt;&gt;0),(Inputs!$B$17+Inputs!$B$18+Inputs!$B$19)+(O762+Inputs!$B$18+Inputs!$B$19),0)+MAX(AG762,0)*(Inputs!$B$20+Inputs!$B$22+Inputs!$B$23)+MAX(-AG762,0)*(Inputs!$B$21+Inputs!$B$22+Inputs!$B$23)</f>
        <v>0</v>
      </c>
      <c r="AI762" s="30" t="n">
        <f aca="false">AB761*(M762-AD761*J762)+AB761*AD761*N762/Inputs!$B$16-AH762</f>
        <v>0</v>
      </c>
      <c r="AJ762" s="30" t="n">
        <f aca="false">MAX(AE762,0)*(Inputs!$B$17+Inputs!$B$24+Inputs!$B$25)+MAX(-AE762,0)*(O762+Inputs!$B$24+Inputs!$B$25)+IF(AND(K762=1,AB762&lt;&gt;0),(Inputs!$B$17+Inputs!$B$24+Inputs!$B$25)+(O762+Inputs!$B$24+Inputs!$B$25),0)+MAX(AG762,0)*(Inputs!$B$20+Inputs!$B$26+Inputs!$B$27)+MAX(-AG762,0)*(Inputs!$B$21+Inputs!$B$26+Inputs!$B$27)</f>
        <v>0</v>
      </c>
      <c r="AK762" s="30" t="n">
        <f aca="false">AB761*(M762-AD761*J762)+AB761*AD761*(N762+Inputs!$B$14)/Inputs!$B$16-AJ762</f>
        <v>0</v>
      </c>
      <c r="AL762" s="30" t="n">
        <f aca="false">IF(AP761&lt;&gt;0,AQ761+1,0)</f>
        <v>0</v>
      </c>
      <c r="AM762" s="30" t="n">
        <f aca="false">IF(W762="",0,IF(AND(AP761&lt;&gt;0,OR(ABS(W762)&gt;Inputs!$B$7,AL762&gt;=Inputs!$B$8,ABS(W762)&lt;Inputs!$B$6)),1,0))</f>
        <v>0</v>
      </c>
      <c r="AN762" s="30" t="n">
        <f aca="false">IF(AM762=1,0,AP761)</f>
        <v>0</v>
      </c>
      <c r="AO762" s="30" t="n">
        <f aca="false">IF(W762="",0,IF(AND(AN762=0,ABS(W762)&gt;Inputs!$B$5,ABS(W762)&lt;=Inputs!$B$7,W762&gt;0),1,0))</f>
        <v>0</v>
      </c>
      <c r="AP762" s="30" t="n">
        <f aca="false">IF(W762="",0,IF(AO762=1,-SIGN(W762),AN762))</f>
        <v>0</v>
      </c>
      <c r="AQ762" s="30" t="n">
        <f aca="false">IF(W762="",0,IF(AO762=1,0,IF(AM762=1,0,AL762)))</f>
        <v>0</v>
      </c>
      <c r="AR762" s="30" t="n">
        <f aca="false">IF(AP762=0,0,IF(AP761=AP762,AR761,T762))</f>
        <v>0</v>
      </c>
      <c r="AS762" s="30" t="n">
        <f aca="false">AP762-AP761</f>
        <v>0</v>
      </c>
      <c r="AT762" s="30" t="n">
        <f aca="false">-AR762*AP762</f>
        <v>-0</v>
      </c>
      <c r="AU762" s="30" t="n">
        <f aca="false">AT762-AT761</f>
        <v>0</v>
      </c>
      <c r="AV762" s="30" t="n">
        <f aca="false">MAX(AS762,0)*(Inputs!$B$17+Inputs!$B$18+Inputs!$B$19)+MAX(-AS762,0)*(O762+Inputs!$B$18+Inputs!$B$19)+IF(AND(K762=1,AP762&lt;&gt;0),(Inputs!$B$17+Inputs!$B$18+Inputs!$B$19)+(O762+Inputs!$B$18+Inputs!$B$19),0)+MAX(AU762,0)*(Inputs!$B$20+Inputs!$B$22+Inputs!$B$23)+MAX(-AU762,0)*(Inputs!$B$21+Inputs!$B$22+Inputs!$B$23)</f>
        <v>0</v>
      </c>
      <c r="AW762" s="30" t="n">
        <f aca="false">AP761*(M762-AR761*J762)+AP761*AR761*N762/Inputs!$B$16-AV762</f>
        <v>0</v>
      </c>
      <c r="AX762" s="30" t="n">
        <f aca="false">AW762-IF(AP761&lt;&gt;0,0.75*AR761*(Inputs!$B$13-N762)/Inputs!$B$16,0)</f>
        <v>0</v>
      </c>
      <c r="AY762" s="30" t="n">
        <f aca="false">MAX(AS762,0)*(Inputs!$B$17+Inputs!$B$18+Inputs!$B$19)+MAX(-AS762,0)*(O762+Inputs!$B$18+Inputs!$B$19)+IF(AND(K762=1,AP762&lt;&gt;0),(Inputs!$B$17+Inputs!$B$18+Inputs!$B$19)+(O762+Inputs!$B$18+Inputs!$B$19),0)</f>
        <v>0</v>
      </c>
      <c r="AZ762" s="30" t="n">
        <f aca="false">AP761*M762-AY762</f>
        <v>0</v>
      </c>
      <c r="BA762" s="32" t="n">
        <f aca="false">BA761+AI762</f>
        <v>0.0194512594167594</v>
      </c>
      <c r="BB762" s="30" t="n">
        <f aca="false">MAX(BB761,BA762)</f>
        <v>0.0261726191772394</v>
      </c>
      <c r="BC762" s="32" t="n">
        <f aca="false">BA762-BB762</f>
        <v>-0.00672135976048001</v>
      </c>
      <c r="BD762" s="30" t="n">
        <f aca="false">A763-A762</f>
        <v>3</v>
      </c>
    </row>
    <row r="763" customFormat="false" ht="15" hidden="false" customHeight="false" outlineLevel="0" collapsed="false">
      <c r="A763" s="28" t="n">
        <v>46167</v>
      </c>
      <c r="B763" s="0" t="n">
        <v>24115</v>
      </c>
      <c r="C763" s="0" t="n">
        <v>272.5</v>
      </c>
      <c r="D763" s="29" t="n">
        <f aca="false">LN(B763)</f>
        <v>10.0905893325031</v>
      </c>
      <c r="E763" s="29" t="n">
        <f aca="false">LN(C763)</f>
        <v>5.6076386141033</v>
      </c>
      <c r="F763" s="0" t="n">
        <v>758</v>
      </c>
      <c r="G763" s="0" t="n">
        <v>1</v>
      </c>
      <c r="H763" s="29" t="n">
        <f aca="false">D763-E763</f>
        <v>4.48295071839977</v>
      </c>
      <c r="I763" s="29" t="n">
        <f aca="false">D763-D762</f>
        <v>0.0139891622582997</v>
      </c>
      <c r="J763" s="29" t="n">
        <f aca="false">E763-E762</f>
        <v>0.0110702237542464</v>
      </c>
      <c r="K763" s="0" t="n">
        <v>0</v>
      </c>
      <c r="L763" s="0" t="n">
        <v>0</v>
      </c>
      <c r="M763" s="29" t="n">
        <f aca="false">IF(L763=1,J763-Carry!$B$9/Inputs!$B$16,I763)</f>
        <v>0.0139891622582997</v>
      </c>
      <c r="N763" s="0" t="n">
        <v>0.0525</v>
      </c>
      <c r="O763" s="0" t="n">
        <v>0.0005</v>
      </c>
      <c r="P763" s="29" t="n">
        <f aca="false">D763-('2 Hedge ratio'!$B$6+'2 Hedge ratio'!$B$5*E763)</f>
        <v>-0.00853853941034544</v>
      </c>
      <c r="Q763" s="29" t="n">
        <f aca="false">D763-('5 Re-specification'!$B$7+'5 Re-specification'!$B$5*E763+'5 Re-specification'!$B$6*F763)</f>
        <v>0.00280006950809408</v>
      </c>
      <c r="R763" s="30" t="n">
        <f aca="false">MIN(F763,Inputs!$B$9)</f>
        <v>250</v>
      </c>
      <c r="S763" s="29" t="n">
        <f aca="true">IF(AND(F763&gt;=1,R763&gt;=Inputs!$B$10),INDEX(LINEST(OFFSET(D763,-R763,0,R763,1),OFFSET(E763,-R763,0,R763,2)),1,1),"")</f>
        <v>-4.20017916283921E-005</v>
      </c>
      <c r="T763" s="29" t="n">
        <f aca="true">IF(AND(F763&gt;=1,R763&gt;=Inputs!$B$10),INDEX(LINEST(OFFSET(D763,-R763,0,R763,1),OFFSET(E763,-R763,0,R763,2)),1,2),"")</f>
        <v>1.01380522600189</v>
      </c>
      <c r="U763" s="29" t="n">
        <f aca="true">IF(AND(F763&gt;=1,R763&gt;=Inputs!$B$10),INDEX(LINEST(OFFSET(D763,-R763,0,R763,1),OFFSET(E763,-R763,0,R763,2)),1,3),"")</f>
        <v>4.43423843220361</v>
      </c>
      <c r="V763" s="29" t="n">
        <f aca="true">IF(AND(F763&gt;=1,R763&gt;=Inputs!$B$10),SQRT(SUMPRODUCT((OFFSET(D763,-R763,0,R763,1)-U763-T763*OFFSET(E763,-R763,0,R763,1)-S763*OFFSET(F763,-R763,0,R763,1))^2)/(R763-3)),"")</f>
        <v>0.00235744676385268</v>
      </c>
      <c r="W763" s="31" t="n">
        <f aca="false">IF(AND(F763&gt;=1,R763&gt;=Inputs!$B$10),(D763-U763-T763*E763-S763*F763)/V763,"")</f>
        <v>1.329797089772</v>
      </c>
      <c r="X763" s="30" t="n">
        <f aca="false">IF(AB762&lt;&gt;0,AC762+1,0)</f>
        <v>0</v>
      </c>
      <c r="Y763" s="30" t="n">
        <f aca="false">IF(W763="",0,IF(AND(AB762&lt;&gt;0,OR(ABS(W763)&gt;Inputs!$B$7,X763&gt;=Inputs!$B$8,ABS(W763)&lt;Inputs!$B$6)),1,0))</f>
        <v>0</v>
      </c>
      <c r="Z763" s="30" t="n">
        <f aca="false">IF(Y763=1,0,AB762)</f>
        <v>0</v>
      </c>
      <c r="AA763" s="30" t="n">
        <f aca="false">IF(W763="",0,IF(AND(Z763=0,ABS(W763)&gt;Inputs!$B$5,ABS(W763)&lt;=Inputs!$B$7),1,0))</f>
        <v>0</v>
      </c>
      <c r="AB763" s="30" t="n">
        <f aca="false">IF(W763="",0,IF(AA763=1,-SIGN(W763),Z763))</f>
        <v>0</v>
      </c>
      <c r="AC763" s="30" t="n">
        <f aca="false">IF(W763="",0,IF(AA763=1,0,IF(Y763=1,0,X763)))</f>
        <v>0</v>
      </c>
      <c r="AD763" s="30" t="n">
        <f aca="false">IF(AB763=0,0,IF(AB762=AB763,AD762,T763))</f>
        <v>0</v>
      </c>
      <c r="AE763" s="30" t="n">
        <f aca="false">AB763-AB762</f>
        <v>0</v>
      </c>
      <c r="AF763" s="30" t="n">
        <f aca="false">-AD763*AB763</f>
        <v>-0</v>
      </c>
      <c r="AG763" s="30" t="n">
        <f aca="false">AF763-AF762</f>
        <v>0</v>
      </c>
      <c r="AH763" s="30" t="n">
        <f aca="false">MAX(AE763,0)*(Inputs!$B$17+Inputs!$B$18+Inputs!$B$19)+MAX(-AE763,0)*(O763+Inputs!$B$18+Inputs!$B$19)+IF(AND(K763=1,AB763&lt;&gt;0),(Inputs!$B$17+Inputs!$B$18+Inputs!$B$19)+(O763+Inputs!$B$18+Inputs!$B$19),0)+MAX(AG763,0)*(Inputs!$B$20+Inputs!$B$22+Inputs!$B$23)+MAX(-AG763,0)*(Inputs!$B$21+Inputs!$B$22+Inputs!$B$23)</f>
        <v>0</v>
      </c>
      <c r="AI763" s="30" t="n">
        <f aca="false">AB762*(M763-AD762*J763)+AB762*AD762*N763/Inputs!$B$16-AH763</f>
        <v>0</v>
      </c>
      <c r="AJ763" s="30" t="n">
        <f aca="false">MAX(AE763,0)*(Inputs!$B$17+Inputs!$B$24+Inputs!$B$25)+MAX(-AE763,0)*(O763+Inputs!$B$24+Inputs!$B$25)+IF(AND(K763=1,AB763&lt;&gt;0),(Inputs!$B$17+Inputs!$B$24+Inputs!$B$25)+(O763+Inputs!$B$24+Inputs!$B$25),0)+MAX(AG763,0)*(Inputs!$B$20+Inputs!$B$26+Inputs!$B$27)+MAX(-AG763,0)*(Inputs!$B$21+Inputs!$B$26+Inputs!$B$27)</f>
        <v>0</v>
      </c>
      <c r="AK763" s="30" t="n">
        <f aca="false">AB762*(M763-AD762*J763)+AB762*AD762*(N763+Inputs!$B$14)/Inputs!$B$16-AJ763</f>
        <v>0</v>
      </c>
      <c r="AL763" s="30" t="n">
        <f aca="false">IF(AP762&lt;&gt;0,AQ762+1,0)</f>
        <v>0</v>
      </c>
      <c r="AM763" s="30" t="n">
        <f aca="false">IF(W763="",0,IF(AND(AP762&lt;&gt;0,OR(ABS(W763)&gt;Inputs!$B$7,AL763&gt;=Inputs!$B$8,ABS(W763)&lt;Inputs!$B$6)),1,0))</f>
        <v>0</v>
      </c>
      <c r="AN763" s="30" t="n">
        <f aca="false">IF(AM763=1,0,AP762)</f>
        <v>0</v>
      </c>
      <c r="AO763" s="30" t="n">
        <f aca="false">IF(W763="",0,IF(AND(AN763=0,ABS(W763)&gt;Inputs!$B$5,ABS(W763)&lt;=Inputs!$B$7,W763&gt;0),1,0))</f>
        <v>0</v>
      </c>
      <c r="AP763" s="30" t="n">
        <f aca="false">IF(W763="",0,IF(AO763=1,-SIGN(W763),AN763))</f>
        <v>0</v>
      </c>
      <c r="AQ763" s="30" t="n">
        <f aca="false">IF(W763="",0,IF(AO763=1,0,IF(AM763=1,0,AL763)))</f>
        <v>0</v>
      </c>
      <c r="AR763" s="30" t="n">
        <f aca="false">IF(AP763=0,0,IF(AP762=AP763,AR762,T763))</f>
        <v>0</v>
      </c>
      <c r="AS763" s="30" t="n">
        <f aca="false">AP763-AP762</f>
        <v>0</v>
      </c>
      <c r="AT763" s="30" t="n">
        <f aca="false">-AR763*AP763</f>
        <v>-0</v>
      </c>
      <c r="AU763" s="30" t="n">
        <f aca="false">AT763-AT762</f>
        <v>0</v>
      </c>
      <c r="AV763" s="30" t="n">
        <f aca="false">MAX(AS763,0)*(Inputs!$B$17+Inputs!$B$18+Inputs!$B$19)+MAX(-AS763,0)*(O763+Inputs!$B$18+Inputs!$B$19)+IF(AND(K763=1,AP763&lt;&gt;0),(Inputs!$B$17+Inputs!$B$18+Inputs!$B$19)+(O763+Inputs!$B$18+Inputs!$B$19),0)+MAX(AU763,0)*(Inputs!$B$20+Inputs!$B$22+Inputs!$B$23)+MAX(-AU763,0)*(Inputs!$B$21+Inputs!$B$22+Inputs!$B$23)</f>
        <v>0</v>
      </c>
      <c r="AW763" s="30" t="n">
        <f aca="false">AP762*(M763-AR762*J763)+AP762*AR762*N763/Inputs!$B$16-AV763</f>
        <v>0</v>
      </c>
      <c r="AX763" s="30" t="n">
        <f aca="false">AW763-IF(AP762&lt;&gt;0,0.75*AR762*(Inputs!$B$13-N763)/Inputs!$B$16,0)</f>
        <v>0</v>
      </c>
      <c r="AY763" s="30" t="n">
        <f aca="false">MAX(AS763,0)*(Inputs!$B$17+Inputs!$B$18+Inputs!$B$19)+MAX(-AS763,0)*(O763+Inputs!$B$18+Inputs!$B$19)+IF(AND(K763=1,AP763&lt;&gt;0),(Inputs!$B$17+Inputs!$B$18+Inputs!$B$19)+(O763+Inputs!$B$18+Inputs!$B$19),0)</f>
        <v>0</v>
      </c>
      <c r="AZ763" s="30" t="n">
        <f aca="false">AP762*M763-AY763</f>
        <v>0</v>
      </c>
      <c r="BA763" s="32" t="n">
        <f aca="false">BA762+AI763</f>
        <v>0.0194512594167594</v>
      </c>
      <c r="BB763" s="30" t="n">
        <f aca="false">MAX(BB762,BA763)</f>
        <v>0.0261726191772394</v>
      </c>
      <c r="BC763" s="32" t="n">
        <f aca="false">BA763-BB763</f>
        <v>-0.00672135976048001</v>
      </c>
      <c r="BD763" s="30" t="n">
        <f aca="false">A764-A763</f>
        <v>1</v>
      </c>
    </row>
    <row r="764" customFormat="false" ht="15" hidden="false" customHeight="false" outlineLevel="0" collapsed="false">
      <c r="A764" s="28" t="n">
        <v>46168</v>
      </c>
      <c r="B764" s="0" t="n">
        <v>23911.2</v>
      </c>
      <c r="C764" s="0" t="n">
        <v>271.07</v>
      </c>
      <c r="D764" s="29" t="n">
        <f aca="false">LN(B764)</f>
        <v>10.0821022473988</v>
      </c>
      <c r="E764" s="29" t="n">
        <f aca="false">LN(C764)</f>
        <v>5.60237709010836</v>
      </c>
      <c r="F764" s="0" t="n">
        <v>759</v>
      </c>
      <c r="G764" s="0" t="n">
        <v>0</v>
      </c>
      <c r="H764" s="29" t="n">
        <f aca="false">D764-E764</f>
        <v>4.4797251572904</v>
      </c>
      <c r="I764" s="29" t="n">
        <f aca="false">D764-D763</f>
        <v>-0.00848708510431528</v>
      </c>
      <c r="J764" s="29" t="n">
        <f aca="false">E764-E763</f>
        <v>-0.00526152399494073</v>
      </c>
      <c r="K764" s="0" t="n">
        <v>1</v>
      </c>
      <c r="L764" s="0" t="n">
        <v>0</v>
      </c>
      <c r="M764" s="29" t="n">
        <f aca="false">IF(L764=1,J764-Carry!$B$9/Inputs!$B$16,I764)</f>
        <v>-0.00848708510431528</v>
      </c>
      <c r="N764" s="0" t="n">
        <v>0.0525</v>
      </c>
      <c r="O764" s="0" t="n">
        <v>0.0005</v>
      </c>
      <c r="P764" s="29" t="n">
        <f aca="false">D764-('2 Hedge ratio'!$B$6+'2 Hedge ratio'!$B$5*E764)</f>
        <v>-0.0122054015884761</v>
      </c>
      <c r="Q764" s="29" t="n">
        <f aca="false">D764-('5 Re-specification'!$B$7+'5 Re-specification'!$B$5*E764+'5 Re-specification'!$B$6*F764)</f>
        <v>-0.000396507331762663</v>
      </c>
      <c r="R764" s="30" t="n">
        <f aca="false">MIN(F764,Inputs!$B$9)</f>
        <v>250</v>
      </c>
      <c r="S764" s="29" t="n">
        <f aca="true">IF(AND(F764&gt;=1,R764&gt;=Inputs!$B$10),INDEX(LINEST(OFFSET(D764,-R764,0,R764,1),OFFSET(E764,-R764,0,R764,2)),1,1),"")</f>
        <v>-4.14024401188395E-005</v>
      </c>
      <c r="T764" s="29" t="n">
        <f aca="true">IF(AND(F764&gt;=1,R764&gt;=Inputs!$B$10),INDEX(LINEST(OFFSET(D764,-R764,0,R764,1),OFFSET(E764,-R764,0,R764,2)),1,2),"")</f>
        <v>1.01391751107768</v>
      </c>
      <c r="U764" s="29" t="n">
        <f aca="true">IF(AND(F764&gt;=1,R764&gt;=Inputs!$B$10),INDEX(LINEST(OFFSET(D764,-R764,0,R764,1),OFFSET(E764,-R764,0,R764,2)),1,3),"")</f>
        <v>4.43322571327471</v>
      </c>
      <c r="V764" s="29" t="n">
        <f aca="true">IF(AND(F764&gt;=1,R764&gt;=Inputs!$B$10),SQRT(SUMPRODUCT((OFFSET(D764,-R764,0,R764,1)-U764-T764*OFFSET(E764,-R764,0,R764,1)-S764*OFFSET(F764,-R764,0,R764,1))^2)/(R764-3)),"")</f>
        <v>0.00235790966640665</v>
      </c>
      <c r="W764" s="31" t="n">
        <f aca="false">IF(AND(F764&gt;=1,R764&gt;=Inputs!$B$10),(D764-U764-T764*E764-S764*F764)/V764,"")</f>
        <v>-0.020038573870697</v>
      </c>
      <c r="X764" s="30" t="n">
        <f aca="false">IF(AB763&lt;&gt;0,AC763+1,0)</f>
        <v>0</v>
      </c>
      <c r="Y764" s="30" t="n">
        <f aca="false">IF(W764="",0,IF(AND(AB763&lt;&gt;0,OR(ABS(W764)&gt;Inputs!$B$7,X764&gt;=Inputs!$B$8,ABS(W764)&lt;Inputs!$B$6)),1,0))</f>
        <v>0</v>
      </c>
      <c r="Z764" s="30" t="n">
        <f aca="false">IF(Y764=1,0,AB763)</f>
        <v>0</v>
      </c>
      <c r="AA764" s="30" t="n">
        <f aca="false">IF(W764="",0,IF(AND(Z764=0,ABS(W764)&gt;Inputs!$B$5,ABS(W764)&lt;=Inputs!$B$7),1,0))</f>
        <v>0</v>
      </c>
      <c r="AB764" s="30" t="n">
        <f aca="false">IF(W764="",0,IF(AA764=1,-SIGN(W764),Z764))</f>
        <v>0</v>
      </c>
      <c r="AC764" s="30" t="n">
        <f aca="false">IF(W764="",0,IF(AA764=1,0,IF(Y764=1,0,X764)))</f>
        <v>0</v>
      </c>
      <c r="AD764" s="30" t="n">
        <f aca="false">IF(AB764=0,0,IF(AB763=AB764,AD763,T764))</f>
        <v>0</v>
      </c>
      <c r="AE764" s="30" t="n">
        <f aca="false">AB764-AB763</f>
        <v>0</v>
      </c>
      <c r="AF764" s="30" t="n">
        <f aca="false">-AD764*AB764</f>
        <v>-0</v>
      </c>
      <c r="AG764" s="30" t="n">
        <f aca="false">AF764-AF763</f>
        <v>0</v>
      </c>
      <c r="AH764" s="30" t="n">
        <f aca="false">MAX(AE764,0)*(Inputs!$B$17+Inputs!$B$18+Inputs!$B$19)+MAX(-AE764,0)*(O764+Inputs!$B$18+Inputs!$B$19)+IF(AND(K764=1,AB764&lt;&gt;0),(Inputs!$B$17+Inputs!$B$18+Inputs!$B$19)+(O764+Inputs!$B$18+Inputs!$B$19),0)+MAX(AG764,0)*(Inputs!$B$20+Inputs!$B$22+Inputs!$B$23)+MAX(-AG764,0)*(Inputs!$B$21+Inputs!$B$22+Inputs!$B$23)</f>
        <v>0</v>
      </c>
      <c r="AI764" s="30" t="n">
        <f aca="false">AB763*(M764-AD763*J764)+AB763*AD763*N764/Inputs!$B$16-AH764</f>
        <v>0</v>
      </c>
      <c r="AJ764" s="30" t="n">
        <f aca="false">MAX(AE764,0)*(Inputs!$B$17+Inputs!$B$24+Inputs!$B$25)+MAX(-AE764,0)*(O764+Inputs!$B$24+Inputs!$B$25)+IF(AND(K764=1,AB764&lt;&gt;0),(Inputs!$B$17+Inputs!$B$24+Inputs!$B$25)+(O764+Inputs!$B$24+Inputs!$B$25),0)+MAX(AG764,0)*(Inputs!$B$20+Inputs!$B$26+Inputs!$B$27)+MAX(-AG764,0)*(Inputs!$B$21+Inputs!$B$26+Inputs!$B$27)</f>
        <v>0</v>
      </c>
      <c r="AK764" s="30" t="n">
        <f aca="false">AB763*(M764-AD763*J764)+AB763*AD763*(N764+Inputs!$B$14)/Inputs!$B$16-AJ764</f>
        <v>0</v>
      </c>
      <c r="AL764" s="30" t="n">
        <f aca="false">IF(AP763&lt;&gt;0,AQ763+1,0)</f>
        <v>0</v>
      </c>
      <c r="AM764" s="30" t="n">
        <f aca="false">IF(W764="",0,IF(AND(AP763&lt;&gt;0,OR(ABS(W764)&gt;Inputs!$B$7,AL764&gt;=Inputs!$B$8,ABS(W764)&lt;Inputs!$B$6)),1,0))</f>
        <v>0</v>
      </c>
      <c r="AN764" s="30" t="n">
        <f aca="false">IF(AM764=1,0,AP763)</f>
        <v>0</v>
      </c>
      <c r="AO764" s="30" t="n">
        <f aca="false">IF(W764="",0,IF(AND(AN764=0,ABS(W764)&gt;Inputs!$B$5,ABS(W764)&lt;=Inputs!$B$7,W764&gt;0),1,0))</f>
        <v>0</v>
      </c>
      <c r="AP764" s="30" t="n">
        <f aca="false">IF(W764="",0,IF(AO764=1,-SIGN(W764),AN764))</f>
        <v>0</v>
      </c>
      <c r="AQ764" s="30" t="n">
        <f aca="false">IF(W764="",0,IF(AO764=1,0,IF(AM764=1,0,AL764)))</f>
        <v>0</v>
      </c>
      <c r="AR764" s="30" t="n">
        <f aca="false">IF(AP764=0,0,IF(AP763=AP764,AR763,T764))</f>
        <v>0</v>
      </c>
      <c r="AS764" s="30" t="n">
        <f aca="false">AP764-AP763</f>
        <v>0</v>
      </c>
      <c r="AT764" s="30" t="n">
        <f aca="false">-AR764*AP764</f>
        <v>-0</v>
      </c>
      <c r="AU764" s="30" t="n">
        <f aca="false">AT764-AT763</f>
        <v>0</v>
      </c>
      <c r="AV764" s="30" t="n">
        <f aca="false">MAX(AS764,0)*(Inputs!$B$17+Inputs!$B$18+Inputs!$B$19)+MAX(-AS764,0)*(O764+Inputs!$B$18+Inputs!$B$19)+IF(AND(K764=1,AP764&lt;&gt;0),(Inputs!$B$17+Inputs!$B$18+Inputs!$B$19)+(O764+Inputs!$B$18+Inputs!$B$19),0)+MAX(AU764,0)*(Inputs!$B$20+Inputs!$B$22+Inputs!$B$23)+MAX(-AU764,0)*(Inputs!$B$21+Inputs!$B$22+Inputs!$B$23)</f>
        <v>0</v>
      </c>
      <c r="AW764" s="30" t="n">
        <f aca="false">AP763*(M764-AR763*J764)+AP763*AR763*N764/Inputs!$B$16-AV764</f>
        <v>0</v>
      </c>
      <c r="AX764" s="30" t="n">
        <f aca="false">AW764-IF(AP763&lt;&gt;0,0.75*AR763*(Inputs!$B$13-N764)/Inputs!$B$16,0)</f>
        <v>0</v>
      </c>
      <c r="AY764" s="30" t="n">
        <f aca="false">MAX(AS764,0)*(Inputs!$B$17+Inputs!$B$18+Inputs!$B$19)+MAX(-AS764,0)*(O764+Inputs!$B$18+Inputs!$B$19)+IF(AND(K764=1,AP764&lt;&gt;0),(Inputs!$B$17+Inputs!$B$18+Inputs!$B$19)+(O764+Inputs!$B$18+Inputs!$B$19),0)</f>
        <v>0</v>
      </c>
      <c r="AZ764" s="30" t="n">
        <f aca="false">AP763*M764-AY764</f>
        <v>-0</v>
      </c>
      <c r="BA764" s="32" t="n">
        <f aca="false">BA763+AI764</f>
        <v>0.0194512594167594</v>
      </c>
      <c r="BB764" s="30" t="n">
        <f aca="false">MAX(BB763,BA764)</f>
        <v>0.0261726191772394</v>
      </c>
      <c r="BC764" s="32" t="n">
        <f aca="false">BA764-BB764</f>
        <v>-0.00672135976048001</v>
      </c>
      <c r="BD764" s="30" t="n">
        <f aca="false">A765-A764</f>
        <v>1</v>
      </c>
    </row>
    <row r="765" customFormat="false" ht="15" hidden="false" customHeight="false" outlineLevel="0" collapsed="false">
      <c r="A765" s="28" t="n">
        <v>46169</v>
      </c>
      <c r="B765" s="0" t="n">
        <v>24001</v>
      </c>
      <c r="C765" s="0" t="n">
        <v>271.11</v>
      </c>
      <c r="D765" s="29" t="n">
        <f aca="false">LN(B765)</f>
        <v>10.0858507751287</v>
      </c>
      <c r="E765" s="29" t="n">
        <f aca="false">LN(C765)</f>
        <v>5.60252464258197</v>
      </c>
      <c r="F765" s="0" t="n">
        <v>760</v>
      </c>
      <c r="G765" s="0" t="n">
        <v>34</v>
      </c>
      <c r="H765" s="29" t="n">
        <f aca="false">D765-E765</f>
        <v>4.48332613254674</v>
      </c>
      <c r="I765" s="29" t="n">
        <f aca="false">D765-D764</f>
        <v>0.00374852772996093</v>
      </c>
      <c r="J765" s="29" t="n">
        <f aca="false">E765-E764</f>
        <v>0.000147552473616308</v>
      </c>
      <c r="K765" s="0" t="n">
        <v>0</v>
      </c>
      <c r="L765" s="0" t="n">
        <v>1</v>
      </c>
      <c r="M765" s="29" t="n">
        <f aca="false">IF(L765=1,J765-Carry!$B$9/Inputs!$B$16,I765)</f>
        <v>-0.000111905708104824</v>
      </c>
      <c r="N765" s="0" t="n">
        <v>0.0525</v>
      </c>
      <c r="O765" s="0" t="n">
        <v>0.0005</v>
      </c>
      <c r="P765" s="29" t="n">
        <f aca="false">D765-('2 Hedge ratio'!$B$6+'2 Hedge ratio'!$B$5*E765)</f>
        <v>-0.00859205062798907</v>
      </c>
      <c r="Q765" s="29" t="n">
        <f aca="false">D765-('5 Re-specification'!$B$7+'5 Re-specification'!$B$5*E765+'5 Re-specification'!$B$6*F765)</f>
        <v>0.00324984440045384</v>
      </c>
      <c r="R765" s="30" t="n">
        <f aca="false">MIN(F765,Inputs!$B$9)</f>
        <v>250</v>
      </c>
      <c r="S765" s="29" t="n">
        <f aca="true">IF(AND(F765&gt;=1,R765&gt;=Inputs!$B$10),INDEX(LINEST(OFFSET(D765,-R765,0,R765,1),OFFSET(E765,-R765,0,R765,2)),1,1),"")</f>
        <v>-4.12279855331662E-005</v>
      </c>
      <c r="T765" s="29" t="n">
        <f aca="true">IF(AND(F765&gt;=1,R765&gt;=Inputs!$B$10),INDEX(LINEST(OFFSET(D765,-R765,0,R765,1),OFFSET(E765,-R765,0,R765,2)),1,2),"")</f>
        <v>1.01414972952526</v>
      </c>
      <c r="U765" s="29" t="n">
        <f aca="true">IF(AND(F765&gt;=1,R765&gt;=Inputs!$B$10),INDEX(LINEST(OFFSET(D765,-R765,0,R765,1),OFFSET(E765,-R765,0,R765,2)),1,3),"")</f>
        <v>4.43179808317975</v>
      </c>
      <c r="V765" s="29" t="n">
        <f aca="true">IF(AND(F765&gt;=1,R765&gt;=Inputs!$B$10),SQRT(SUMPRODUCT((OFFSET(D765,-R765,0,R765,1)-U765-T765*OFFSET(E765,-R765,0,R765,1)-S765*OFFSET(F765,-R765,0,R765,1))^2)/(R765-3)),"")</f>
        <v>0.00235577139891708</v>
      </c>
      <c r="W765" s="31" t="n">
        <f aca="false">IF(AND(F765&gt;=1,R765&gt;=Inputs!$B$10),(D765-U765-T765*E765-S765*F765)/V765,"")</f>
        <v>1.52269019936484</v>
      </c>
      <c r="X765" s="30" t="n">
        <f aca="false">IF(AB764&lt;&gt;0,AC764+1,0)</f>
        <v>0</v>
      </c>
      <c r="Y765" s="30" t="n">
        <f aca="false">IF(W765="",0,IF(AND(AB764&lt;&gt;0,OR(ABS(W765)&gt;Inputs!$B$7,X765&gt;=Inputs!$B$8,ABS(W765)&lt;Inputs!$B$6)),1,0))</f>
        <v>0</v>
      </c>
      <c r="Z765" s="30" t="n">
        <f aca="false">IF(Y765=1,0,AB764)</f>
        <v>0</v>
      </c>
      <c r="AA765" s="30" t="n">
        <f aca="false">IF(W765="",0,IF(AND(Z765=0,ABS(W765)&gt;Inputs!$B$5,ABS(W765)&lt;=Inputs!$B$7),1,0))</f>
        <v>0</v>
      </c>
      <c r="AB765" s="30" t="n">
        <f aca="false">IF(W765="",0,IF(AA765=1,-SIGN(W765),Z765))</f>
        <v>0</v>
      </c>
      <c r="AC765" s="30" t="n">
        <f aca="false">IF(W765="",0,IF(AA765=1,0,IF(Y765=1,0,X765)))</f>
        <v>0</v>
      </c>
      <c r="AD765" s="30" t="n">
        <f aca="false">IF(AB765=0,0,IF(AB764=AB765,AD764,T765))</f>
        <v>0</v>
      </c>
      <c r="AE765" s="30" t="n">
        <f aca="false">AB765-AB764</f>
        <v>0</v>
      </c>
      <c r="AF765" s="30" t="n">
        <f aca="false">-AD765*AB765</f>
        <v>-0</v>
      </c>
      <c r="AG765" s="30" t="n">
        <f aca="false">AF765-AF764</f>
        <v>0</v>
      </c>
      <c r="AH765" s="30" t="n">
        <f aca="false">MAX(AE765,0)*(Inputs!$B$17+Inputs!$B$18+Inputs!$B$19)+MAX(-AE765,0)*(O765+Inputs!$B$18+Inputs!$B$19)+IF(AND(K765=1,AB765&lt;&gt;0),(Inputs!$B$17+Inputs!$B$18+Inputs!$B$19)+(O765+Inputs!$B$18+Inputs!$B$19),0)+MAX(AG765,0)*(Inputs!$B$20+Inputs!$B$22+Inputs!$B$23)+MAX(-AG765,0)*(Inputs!$B$21+Inputs!$B$22+Inputs!$B$23)</f>
        <v>0</v>
      </c>
      <c r="AI765" s="30" t="n">
        <f aca="false">AB764*(M765-AD764*J765)+AB764*AD764*N765/Inputs!$B$16-AH765</f>
        <v>0</v>
      </c>
      <c r="AJ765" s="30" t="n">
        <f aca="false">MAX(AE765,0)*(Inputs!$B$17+Inputs!$B$24+Inputs!$B$25)+MAX(-AE765,0)*(O765+Inputs!$B$24+Inputs!$B$25)+IF(AND(K765=1,AB765&lt;&gt;0),(Inputs!$B$17+Inputs!$B$24+Inputs!$B$25)+(O765+Inputs!$B$24+Inputs!$B$25),0)+MAX(AG765,0)*(Inputs!$B$20+Inputs!$B$26+Inputs!$B$27)+MAX(-AG765,0)*(Inputs!$B$21+Inputs!$B$26+Inputs!$B$27)</f>
        <v>0</v>
      </c>
      <c r="AK765" s="30" t="n">
        <f aca="false">AB764*(M765-AD764*J765)+AB764*AD764*(N765+Inputs!$B$14)/Inputs!$B$16-AJ765</f>
        <v>0</v>
      </c>
      <c r="AL765" s="30" t="n">
        <f aca="false">IF(AP764&lt;&gt;0,AQ764+1,0)</f>
        <v>0</v>
      </c>
      <c r="AM765" s="30" t="n">
        <f aca="false">IF(W765="",0,IF(AND(AP764&lt;&gt;0,OR(ABS(W765)&gt;Inputs!$B$7,AL765&gt;=Inputs!$B$8,ABS(W765)&lt;Inputs!$B$6)),1,0))</f>
        <v>0</v>
      </c>
      <c r="AN765" s="30" t="n">
        <f aca="false">IF(AM765=1,0,AP764)</f>
        <v>0</v>
      </c>
      <c r="AO765" s="30" t="n">
        <f aca="false">IF(W765="",0,IF(AND(AN765=0,ABS(W765)&gt;Inputs!$B$5,ABS(W765)&lt;=Inputs!$B$7,W765&gt;0),1,0))</f>
        <v>0</v>
      </c>
      <c r="AP765" s="30" t="n">
        <f aca="false">IF(W765="",0,IF(AO765=1,-SIGN(W765),AN765))</f>
        <v>0</v>
      </c>
      <c r="AQ765" s="30" t="n">
        <f aca="false">IF(W765="",0,IF(AO765=1,0,IF(AM765=1,0,AL765)))</f>
        <v>0</v>
      </c>
      <c r="AR765" s="30" t="n">
        <f aca="false">IF(AP765=0,0,IF(AP764=AP765,AR764,T765))</f>
        <v>0</v>
      </c>
      <c r="AS765" s="30" t="n">
        <f aca="false">AP765-AP764</f>
        <v>0</v>
      </c>
      <c r="AT765" s="30" t="n">
        <f aca="false">-AR765*AP765</f>
        <v>-0</v>
      </c>
      <c r="AU765" s="30" t="n">
        <f aca="false">AT765-AT764</f>
        <v>0</v>
      </c>
      <c r="AV765" s="30" t="n">
        <f aca="false">MAX(AS765,0)*(Inputs!$B$17+Inputs!$B$18+Inputs!$B$19)+MAX(-AS765,0)*(O765+Inputs!$B$18+Inputs!$B$19)+IF(AND(K765=1,AP765&lt;&gt;0),(Inputs!$B$17+Inputs!$B$18+Inputs!$B$19)+(O765+Inputs!$B$18+Inputs!$B$19),0)+MAX(AU765,0)*(Inputs!$B$20+Inputs!$B$22+Inputs!$B$23)+MAX(-AU765,0)*(Inputs!$B$21+Inputs!$B$22+Inputs!$B$23)</f>
        <v>0</v>
      </c>
      <c r="AW765" s="30" t="n">
        <f aca="false">AP764*(M765-AR764*J765)+AP764*AR764*N765/Inputs!$B$16-AV765</f>
        <v>0</v>
      </c>
      <c r="AX765" s="30" t="n">
        <f aca="false">AW765-IF(AP764&lt;&gt;0,0.75*AR764*(Inputs!$B$13-N765)/Inputs!$B$16,0)</f>
        <v>0</v>
      </c>
      <c r="AY765" s="30" t="n">
        <f aca="false">MAX(AS765,0)*(Inputs!$B$17+Inputs!$B$18+Inputs!$B$19)+MAX(-AS765,0)*(O765+Inputs!$B$18+Inputs!$B$19)+IF(AND(K765=1,AP765&lt;&gt;0),(Inputs!$B$17+Inputs!$B$18+Inputs!$B$19)+(O765+Inputs!$B$18+Inputs!$B$19),0)</f>
        <v>0</v>
      </c>
      <c r="AZ765" s="30" t="n">
        <f aca="false">AP764*M765-AY765</f>
        <v>-0</v>
      </c>
      <c r="BA765" s="32" t="n">
        <f aca="false">BA764+AI765</f>
        <v>0.0194512594167594</v>
      </c>
      <c r="BB765" s="30" t="n">
        <f aca="false">MAX(BB764,BA765)</f>
        <v>0.0261726191772394</v>
      </c>
      <c r="BC765" s="32" t="n">
        <f aca="false">BA765-BB765</f>
        <v>-0.00672135976048001</v>
      </c>
      <c r="BD765" s="30" t="n">
        <f aca="false">A766-A765</f>
        <v>2</v>
      </c>
    </row>
    <row r="766" customFormat="false" ht="15" hidden="false" customHeight="false" outlineLevel="0" collapsed="false">
      <c r="A766" s="28" t="n">
        <v>46171</v>
      </c>
      <c r="B766" s="0" t="n">
        <v>23744.4</v>
      </c>
      <c r="C766" s="0" t="n">
        <v>268.25</v>
      </c>
      <c r="D766" s="29" t="n">
        <f aca="false">LN(B766)</f>
        <v>10.0751019921864</v>
      </c>
      <c r="E766" s="29" t="n">
        <f aca="false">LN(C766)</f>
        <v>5.59191938151081</v>
      </c>
      <c r="F766" s="0" t="n">
        <v>761</v>
      </c>
      <c r="G766" s="0" t="n">
        <v>32</v>
      </c>
      <c r="H766" s="29" t="n">
        <f aca="false">D766-E766</f>
        <v>4.48318261067559</v>
      </c>
      <c r="I766" s="29" t="n">
        <f aca="false">D766-D765</f>
        <v>-0.0107487829423221</v>
      </c>
      <c r="J766" s="29" t="n">
        <f aca="false">E766-E765</f>
        <v>-0.0106052610711664</v>
      </c>
      <c r="K766" s="0" t="n">
        <v>0</v>
      </c>
      <c r="L766" s="0" t="n">
        <v>0</v>
      </c>
      <c r="M766" s="29" t="n">
        <f aca="false">IF(L766=1,J766-Carry!$B$9/Inputs!$B$16,I766)</f>
        <v>-0.0107487829423221</v>
      </c>
      <c r="N766" s="0" t="n">
        <v>0.0525</v>
      </c>
      <c r="O766" s="0" t="n">
        <v>0.0005</v>
      </c>
      <c r="P766" s="29" t="n">
        <f aca="false">D766-('2 Hedge ratio'!$B$6+'2 Hedge ratio'!$B$5*E766)</f>
        <v>-0.0096250701142182</v>
      </c>
      <c r="Q766" s="29" t="n">
        <f aca="false">D766-('5 Re-specification'!$B$7+'5 Re-specification'!$B$5*E766+'5 Re-specification'!$B$6*F766)</f>
        <v>0.0031191126034944</v>
      </c>
      <c r="R766" s="30" t="n">
        <f aca="false">MIN(F766,Inputs!$B$9)</f>
        <v>250</v>
      </c>
      <c r="S766" s="29" t="n">
        <f aca="true">IF(AND(F766&gt;=1,R766&gt;=Inputs!$B$10),INDEX(LINEST(OFFSET(D766,-R766,0,R766,1),OFFSET(E766,-R766,0,R766,2)),1,1),"")</f>
        <v>-4.06042848467235E-005</v>
      </c>
      <c r="T766" s="29" t="n">
        <f aca="true">IF(AND(F766&gt;=1,R766&gt;=Inputs!$B$10),INDEX(LINEST(OFFSET(D766,-R766,0,R766,1),OFFSET(E766,-R766,0,R766,2)),1,2),"")</f>
        <v>1.01414965096163</v>
      </c>
      <c r="U766" s="29" t="n">
        <f aca="true">IF(AND(F766&gt;=1,R766&gt;=Inputs!$B$10),INDEX(LINEST(OFFSET(D766,-R766,0,R766,1),OFFSET(E766,-R766,0,R766,2)),1,3),"")</f>
        <v>4.4314048633064</v>
      </c>
      <c r="V766" s="29" t="n">
        <f aca="true">IF(AND(F766&gt;=1,R766&gt;=Inputs!$B$10),SQRT(SUMPRODUCT((OFFSET(D766,-R766,0,R766,1)-U766-T766*OFFSET(E766,-R766,0,R766,1)-S766*OFFSET(F766,-R766,0,R766,1))^2)/(R766-3)),"")</f>
        <v>0.00235910010923291</v>
      </c>
      <c r="W766" s="31" t="n">
        <f aca="false">IF(AND(F766&gt;=1,R766&gt;=Inputs!$B$10),(D766-U766-T766*E766-S766*F766)/V766,"")</f>
        <v>1.50646454962678</v>
      </c>
      <c r="X766" s="30" t="n">
        <f aca="false">IF(AB765&lt;&gt;0,AC765+1,0)</f>
        <v>0</v>
      </c>
      <c r="Y766" s="30" t="n">
        <f aca="false">IF(W766="",0,IF(AND(AB765&lt;&gt;0,OR(ABS(W766)&gt;Inputs!$B$7,X766&gt;=Inputs!$B$8,ABS(W766)&lt;Inputs!$B$6)),1,0))</f>
        <v>0</v>
      </c>
      <c r="Z766" s="30" t="n">
        <f aca="false">IF(Y766=1,0,AB765)</f>
        <v>0</v>
      </c>
      <c r="AA766" s="30" t="n">
        <f aca="false">IF(W766="",0,IF(AND(Z766=0,ABS(W766)&gt;Inputs!$B$5,ABS(W766)&lt;=Inputs!$B$7),1,0))</f>
        <v>0</v>
      </c>
      <c r="AB766" s="30" t="n">
        <f aca="false">IF(W766="",0,IF(AA766=1,-SIGN(W766),Z766))</f>
        <v>0</v>
      </c>
      <c r="AC766" s="30" t="n">
        <f aca="false">IF(W766="",0,IF(AA766=1,0,IF(Y766=1,0,X766)))</f>
        <v>0</v>
      </c>
      <c r="AD766" s="30" t="n">
        <f aca="false">IF(AB766=0,0,IF(AB765=AB766,AD765,T766))</f>
        <v>0</v>
      </c>
      <c r="AE766" s="30" t="n">
        <f aca="false">AB766-AB765</f>
        <v>0</v>
      </c>
      <c r="AF766" s="30" t="n">
        <f aca="false">-AD766*AB766</f>
        <v>-0</v>
      </c>
      <c r="AG766" s="30" t="n">
        <f aca="false">AF766-AF765</f>
        <v>0</v>
      </c>
      <c r="AH766" s="30" t="n">
        <f aca="false">MAX(AE766,0)*(Inputs!$B$17+Inputs!$B$18+Inputs!$B$19)+MAX(-AE766,0)*(O766+Inputs!$B$18+Inputs!$B$19)+IF(AND(K766=1,AB766&lt;&gt;0),(Inputs!$B$17+Inputs!$B$18+Inputs!$B$19)+(O766+Inputs!$B$18+Inputs!$B$19),0)+MAX(AG766,0)*(Inputs!$B$20+Inputs!$B$22+Inputs!$B$23)+MAX(-AG766,0)*(Inputs!$B$21+Inputs!$B$22+Inputs!$B$23)</f>
        <v>0</v>
      </c>
      <c r="AI766" s="30" t="n">
        <f aca="false">AB765*(M766-AD765*J766)+AB765*AD765*N766/Inputs!$B$16-AH766</f>
        <v>0</v>
      </c>
      <c r="AJ766" s="30" t="n">
        <f aca="false">MAX(AE766,0)*(Inputs!$B$17+Inputs!$B$24+Inputs!$B$25)+MAX(-AE766,0)*(O766+Inputs!$B$24+Inputs!$B$25)+IF(AND(K766=1,AB766&lt;&gt;0),(Inputs!$B$17+Inputs!$B$24+Inputs!$B$25)+(O766+Inputs!$B$24+Inputs!$B$25),0)+MAX(AG766,0)*(Inputs!$B$20+Inputs!$B$26+Inputs!$B$27)+MAX(-AG766,0)*(Inputs!$B$21+Inputs!$B$26+Inputs!$B$27)</f>
        <v>0</v>
      </c>
      <c r="AK766" s="30" t="n">
        <f aca="false">AB765*(M766-AD765*J766)+AB765*AD765*(N766+Inputs!$B$14)/Inputs!$B$16-AJ766</f>
        <v>0</v>
      </c>
      <c r="AL766" s="30" t="n">
        <f aca="false">IF(AP765&lt;&gt;0,AQ765+1,0)</f>
        <v>0</v>
      </c>
      <c r="AM766" s="30" t="n">
        <f aca="false">IF(W766="",0,IF(AND(AP765&lt;&gt;0,OR(ABS(W766)&gt;Inputs!$B$7,AL766&gt;=Inputs!$B$8,ABS(W766)&lt;Inputs!$B$6)),1,0))</f>
        <v>0</v>
      </c>
      <c r="AN766" s="30" t="n">
        <f aca="false">IF(AM766=1,0,AP765)</f>
        <v>0</v>
      </c>
      <c r="AO766" s="30" t="n">
        <f aca="false">IF(W766="",0,IF(AND(AN766=0,ABS(W766)&gt;Inputs!$B$5,ABS(W766)&lt;=Inputs!$B$7,W766&gt;0),1,0))</f>
        <v>0</v>
      </c>
      <c r="AP766" s="30" t="n">
        <f aca="false">IF(W766="",0,IF(AO766=1,-SIGN(W766),AN766))</f>
        <v>0</v>
      </c>
      <c r="AQ766" s="30" t="n">
        <f aca="false">IF(W766="",0,IF(AO766=1,0,IF(AM766=1,0,AL766)))</f>
        <v>0</v>
      </c>
      <c r="AR766" s="30" t="n">
        <f aca="false">IF(AP766=0,0,IF(AP765=AP766,AR765,T766))</f>
        <v>0</v>
      </c>
      <c r="AS766" s="30" t="n">
        <f aca="false">AP766-AP765</f>
        <v>0</v>
      </c>
      <c r="AT766" s="30" t="n">
        <f aca="false">-AR766*AP766</f>
        <v>-0</v>
      </c>
      <c r="AU766" s="30" t="n">
        <f aca="false">AT766-AT765</f>
        <v>0</v>
      </c>
      <c r="AV766" s="30" t="n">
        <f aca="false">MAX(AS766,0)*(Inputs!$B$17+Inputs!$B$18+Inputs!$B$19)+MAX(-AS766,0)*(O766+Inputs!$B$18+Inputs!$B$19)+IF(AND(K766=1,AP766&lt;&gt;0),(Inputs!$B$17+Inputs!$B$18+Inputs!$B$19)+(O766+Inputs!$B$18+Inputs!$B$19),0)+MAX(AU766,0)*(Inputs!$B$20+Inputs!$B$22+Inputs!$B$23)+MAX(-AU766,0)*(Inputs!$B$21+Inputs!$B$22+Inputs!$B$23)</f>
        <v>0</v>
      </c>
      <c r="AW766" s="30" t="n">
        <f aca="false">AP765*(M766-AR765*J766)+AP765*AR765*N766/Inputs!$B$16-AV766</f>
        <v>0</v>
      </c>
      <c r="AX766" s="30" t="n">
        <f aca="false">AW766-IF(AP765&lt;&gt;0,0.75*AR765*(Inputs!$B$13-N766)/Inputs!$B$16,0)</f>
        <v>0</v>
      </c>
      <c r="AY766" s="30" t="n">
        <f aca="false">MAX(AS766,0)*(Inputs!$B$17+Inputs!$B$18+Inputs!$B$19)+MAX(-AS766,0)*(O766+Inputs!$B$18+Inputs!$B$19)+IF(AND(K766=1,AP766&lt;&gt;0),(Inputs!$B$17+Inputs!$B$18+Inputs!$B$19)+(O766+Inputs!$B$18+Inputs!$B$19),0)</f>
        <v>0</v>
      </c>
      <c r="AZ766" s="30" t="n">
        <f aca="false">AP765*M766-AY766</f>
        <v>-0</v>
      </c>
      <c r="BA766" s="32" t="n">
        <f aca="false">BA765+AI766</f>
        <v>0.0194512594167594</v>
      </c>
      <c r="BB766" s="30" t="n">
        <f aca="false">MAX(BB765,BA766)</f>
        <v>0.0261726191772394</v>
      </c>
      <c r="BC766" s="32" t="n">
        <f aca="false">BA766-BB766</f>
        <v>-0.00672135976048001</v>
      </c>
      <c r="BD766" s="30" t="n">
        <f aca="false">A767-A766</f>
        <v>3</v>
      </c>
    </row>
    <row r="767" customFormat="false" ht="15" hidden="false" customHeight="false" outlineLevel="0" collapsed="false">
      <c r="A767" s="28" t="n">
        <v>46174</v>
      </c>
      <c r="B767" s="0" t="n">
        <v>23459.9</v>
      </c>
      <c r="C767" s="0" t="n">
        <v>266</v>
      </c>
      <c r="D767" s="29" t="n">
        <f aca="false">LN(B767)</f>
        <v>10.0630478596238</v>
      </c>
      <c r="E767" s="29" t="n">
        <f aca="false">LN(C767)</f>
        <v>5.5834963087817</v>
      </c>
      <c r="F767" s="0" t="n">
        <v>762</v>
      </c>
      <c r="G767" s="0" t="n">
        <v>29</v>
      </c>
      <c r="H767" s="29" t="n">
        <f aca="false">D767-E767</f>
        <v>4.47955155084209</v>
      </c>
      <c r="I767" s="29" t="n">
        <f aca="false">D767-D766</f>
        <v>-0.0120541325626089</v>
      </c>
      <c r="J767" s="29" t="n">
        <f aca="false">E767-E766</f>
        <v>-0.00842307272910858</v>
      </c>
      <c r="K767" s="0" t="n">
        <v>0</v>
      </c>
      <c r="L767" s="0" t="n">
        <v>0</v>
      </c>
      <c r="M767" s="29" t="n">
        <f aca="false">IF(L767=1,J767-Carry!$B$9/Inputs!$B$16,I767)</f>
        <v>-0.0120541325626089</v>
      </c>
      <c r="N767" s="0" t="n">
        <v>0.0525</v>
      </c>
      <c r="O767" s="0" t="n">
        <v>0.0005</v>
      </c>
      <c r="P767" s="29" t="n">
        <f aca="false">D767-('2 Hedge ratio'!$B$6+'2 Hedge ratio'!$B$5*E767)</f>
        <v>-0.0139626003546098</v>
      </c>
      <c r="Q767" s="29" t="n">
        <f aca="false">D767-('5 Re-specification'!$B$7+'5 Re-specification'!$B$5*E767+'5 Re-specification'!$B$6*F767)</f>
        <v>-0.000492544033992459</v>
      </c>
      <c r="R767" s="30" t="n">
        <f aca="false">MIN(F767,Inputs!$B$9)</f>
        <v>250</v>
      </c>
      <c r="S767" s="29" t="n">
        <f aca="true">IF(AND(F767&gt;=1,R767&gt;=Inputs!$B$10),INDEX(LINEST(OFFSET(D767,-R767,0,R767,1),OFFSET(E767,-R767,0,R767,2)),1,1),"")</f>
        <v>-3.98948000411633E-005</v>
      </c>
      <c r="T767" s="29" t="n">
        <f aca="true">IF(AND(F767&gt;=1,R767&gt;=Inputs!$B$10),INDEX(LINEST(OFFSET(D767,-R767,0,R767,1),OFFSET(E767,-R767,0,R767,2)),1,2),"")</f>
        <v>1.01407315650634</v>
      </c>
      <c r="U767" s="29" t="n">
        <f aca="true">IF(AND(F767&gt;=1,R767&gt;=Inputs!$B$10),INDEX(LINEST(OFFSET(D767,-R767,0,R767,1),OFFSET(E767,-R767,0,R767,2)),1,3),"")</f>
        <v>4.43138339465787</v>
      </c>
      <c r="V767" s="29" t="n">
        <f aca="true">IF(AND(F767&gt;=1,R767&gt;=Inputs!$B$10),SQRT(SUMPRODUCT((OFFSET(D767,-R767,0,R767,1)-U767-T767*OFFSET(E767,-R767,0,R767,1)-S767*OFFSET(F767,-R767,0,R767,1))^2)/(R767-3)),"")</f>
        <v>0.0023560259485031</v>
      </c>
      <c r="W767" s="31" t="n">
        <f aca="false">IF(AND(F767&gt;=1,R767&gt;=Inputs!$B$10),(D767-U767-T767*E767-S767*F767)/V767,"")</f>
        <v>-0.00399978212457846</v>
      </c>
      <c r="X767" s="30" t="n">
        <f aca="false">IF(AB766&lt;&gt;0,AC766+1,0)</f>
        <v>0</v>
      </c>
      <c r="Y767" s="30" t="n">
        <f aca="false">IF(W767="",0,IF(AND(AB766&lt;&gt;0,OR(ABS(W767)&gt;Inputs!$B$7,X767&gt;=Inputs!$B$8,ABS(W767)&lt;Inputs!$B$6)),1,0))</f>
        <v>0</v>
      </c>
      <c r="Z767" s="30" t="n">
        <f aca="false">IF(Y767=1,0,AB766)</f>
        <v>0</v>
      </c>
      <c r="AA767" s="30" t="n">
        <f aca="false">IF(W767="",0,IF(AND(Z767=0,ABS(W767)&gt;Inputs!$B$5,ABS(W767)&lt;=Inputs!$B$7),1,0))</f>
        <v>0</v>
      </c>
      <c r="AB767" s="30" t="n">
        <f aca="false">IF(W767="",0,IF(AA767=1,-SIGN(W767),Z767))</f>
        <v>0</v>
      </c>
      <c r="AC767" s="30" t="n">
        <f aca="false">IF(W767="",0,IF(AA767=1,0,IF(Y767=1,0,X767)))</f>
        <v>0</v>
      </c>
      <c r="AD767" s="30" t="n">
        <f aca="false">IF(AB767=0,0,IF(AB766=AB767,AD766,T767))</f>
        <v>0</v>
      </c>
      <c r="AE767" s="30" t="n">
        <f aca="false">AB767-AB766</f>
        <v>0</v>
      </c>
      <c r="AF767" s="30" t="n">
        <f aca="false">-AD767*AB767</f>
        <v>-0</v>
      </c>
      <c r="AG767" s="30" t="n">
        <f aca="false">AF767-AF766</f>
        <v>0</v>
      </c>
      <c r="AH767" s="30" t="n">
        <f aca="false">MAX(AE767,0)*(Inputs!$B$17+Inputs!$B$18+Inputs!$B$19)+MAX(-AE767,0)*(O767+Inputs!$B$18+Inputs!$B$19)+IF(AND(K767=1,AB767&lt;&gt;0),(Inputs!$B$17+Inputs!$B$18+Inputs!$B$19)+(O767+Inputs!$B$18+Inputs!$B$19),0)+MAX(AG767,0)*(Inputs!$B$20+Inputs!$B$22+Inputs!$B$23)+MAX(-AG767,0)*(Inputs!$B$21+Inputs!$B$22+Inputs!$B$23)</f>
        <v>0</v>
      </c>
      <c r="AI767" s="30" t="n">
        <f aca="false">AB766*(M767-AD766*J767)+AB766*AD766*N767/Inputs!$B$16-AH767</f>
        <v>0</v>
      </c>
      <c r="AJ767" s="30" t="n">
        <f aca="false">MAX(AE767,0)*(Inputs!$B$17+Inputs!$B$24+Inputs!$B$25)+MAX(-AE767,0)*(O767+Inputs!$B$24+Inputs!$B$25)+IF(AND(K767=1,AB767&lt;&gt;0),(Inputs!$B$17+Inputs!$B$24+Inputs!$B$25)+(O767+Inputs!$B$24+Inputs!$B$25),0)+MAX(AG767,0)*(Inputs!$B$20+Inputs!$B$26+Inputs!$B$27)+MAX(-AG767,0)*(Inputs!$B$21+Inputs!$B$26+Inputs!$B$27)</f>
        <v>0</v>
      </c>
      <c r="AK767" s="30" t="n">
        <f aca="false">AB766*(M767-AD766*J767)+AB766*AD766*(N767+Inputs!$B$14)/Inputs!$B$16-AJ767</f>
        <v>0</v>
      </c>
      <c r="AL767" s="30" t="n">
        <f aca="false">IF(AP766&lt;&gt;0,AQ766+1,0)</f>
        <v>0</v>
      </c>
      <c r="AM767" s="30" t="n">
        <f aca="false">IF(W767="",0,IF(AND(AP766&lt;&gt;0,OR(ABS(W767)&gt;Inputs!$B$7,AL767&gt;=Inputs!$B$8,ABS(W767)&lt;Inputs!$B$6)),1,0))</f>
        <v>0</v>
      </c>
      <c r="AN767" s="30" t="n">
        <f aca="false">IF(AM767=1,0,AP766)</f>
        <v>0</v>
      </c>
      <c r="AO767" s="30" t="n">
        <f aca="false">IF(W767="",0,IF(AND(AN767=0,ABS(W767)&gt;Inputs!$B$5,ABS(W767)&lt;=Inputs!$B$7,W767&gt;0),1,0))</f>
        <v>0</v>
      </c>
      <c r="AP767" s="30" t="n">
        <f aca="false">IF(W767="",0,IF(AO767=1,-SIGN(W767),AN767))</f>
        <v>0</v>
      </c>
      <c r="AQ767" s="30" t="n">
        <f aca="false">IF(W767="",0,IF(AO767=1,0,IF(AM767=1,0,AL767)))</f>
        <v>0</v>
      </c>
      <c r="AR767" s="30" t="n">
        <f aca="false">IF(AP767=0,0,IF(AP766=AP767,AR766,T767))</f>
        <v>0</v>
      </c>
      <c r="AS767" s="30" t="n">
        <f aca="false">AP767-AP766</f>
        <v>0</v>
      </c>
      <c r="AT767" s="30" t="n">
        <f aca="false">-AR767*AP767</f>
        <v>-0</v>
      </c>
      <c r="AU767" s="30" t="n">
        <f aca="false">AT767-AT766</f>
        <v>0</v>
      </c>
      <c r="AV767" s="30" t="n">
        <f aca="false">MAX(AS767,0)*(Inputs!$B$17+Inputs!$B$18+Inputs!$B$19)+MAX(-AS767,0)*(O767+Inputs!$B$18+Inputs!$B$19)+IF(AND(K767=1,AP767&lt;&gt;0),(Inputs!$B$17+Inputs!$B$18+Inputs!$B$19)+(O767+Inputs!$B$18+Inputs!$B$19),0)+MAX(AU767,0)*(Inputs!$B$20+Inputs!$B$22+Inputs!$B$23)+MAX(-AU767,0)*(Inputs!$B$21+Inputs!$B$22+Inputs!$B$23)</f>
        <v>0</v>
      </c>
      <c r="AW767" s="30" t="n">
        <f aca="false">AP766*(M767-AR766*J767)+AP766*AR766*N767/Inputs!$B$16-AV767</f>
        <v>0</v>
      </c>
      <c r="AX767" s="30" t="n">
        <f aca="false">AW767-IF(AP766&lt;&gt;0,0.75*AR766*(Inputs!$B$13-N767)/Inputs!$B$16,0)</f>
        <v>0</v>
      </c>
      <c r="AY767" s="30" t="n">
        <f aca="false">MAX(AS767,0)*(Inputs!$B$17+Inputs!$B$18+Inputs!$B$19)+MAX(-AS767,0)*(O767+Inputs!$B$18+Inputs!$B$19)+IF(AND(K767=1,AP767&lt;&gt;0),(Inputs!$B$17+Inputs!$B$18+Inputs!$B$19)+(O767+Inputs!$B$18+Inputs!$B$19),0)</f>
        <v>0</v>
      </c>
      <c r="AZ767" s="30" t="n">
        <f aca="false">AP766*M767-AY767</f>
        <v>-0</v>
      </c>
      <c r="BA767" s="32" t="n">
        <f aca="false">BA766+AI767</f>
        <v>0.0194512594167594</v>
      </c>
      <c r="BB767" s="30" t="n">
        <f aca="false">MAX(BB766,BA767)</f>
        <v>0.0261726191772394</v>
      </c>
      <c r="BC767" s="32" t="n">
        <f aca="false">BA767-BB767</f>
        <v>-0.00672135976048001</v>
      </c>
      <c r="BD767" s="30" t="n">
        <f aca="false">A768-A767</f>
        <v>1</v>
      </c>
    </row>
    <row r="768" customFormat="false" ht="15" hidden="false" customHeight="false" outlineLevel="0" collapsed="false">
      <c r="A768" s="28" t="n">
        <v>46175</v>
      </c>
      <c r="B768" s="0" t="n">
        <v>23605.8</v>
      </c>
      <c r="C768" s="0" t="n">
        <v>266.35</v>
      </c>
      <c r="D768" s="29" t="n">
        <f aca="false">LN(B768)</f>
        <v>10.0692477235309</v>
      </c>
      <c r="E768" s="29" t="n">
        <f aca="false">LN(C768)</f>
        <v>5.58481123336301</v>
      </c>
      <c r="F768" s="0" t="n">
        <v>763</v>
      </c>
      <c r="G768" s="0" t="n">
        <v>28</v>
      </c>
      <c r="H768" s="29" t="n">
        <f aca="false">D768-E768</f>
        <v>4.48443649016785</v>
      </c>
      <c r="I768" s="29" t="n">
        <f aca="false">D768-D767</f>
        <v>0.00619986390707084</v>
      </c>
      <c r="J768" s="29" t="n">
        <f aca="false">E768-E767</f>
        <v>0.00131492458130911</v>
      </c>
      <c r="K768" s="0" t="n">
        <v>0</v>
      </c>
      <c r="L768" s="0" t="n">
        <v>0</v>
      </c>
      <c r="M768" s="29" t="n">
        <f aca="false">IF(L768=1,J768-Carry!$B$9/Inputs!$B$16,I768)</f>
        <v>0.00619986390707084</v>
      </c>
      <c r="N768" s="0" t="n">
        <v>0.0525</v>
      </c>
      <c r="O768" s="0" t="n">
        <v>0.0005</v>
      </c>
      <c r="P768" s="29" t="n">
        <f aca="false">D768-('2 Hedge ratio'!$B$6+'2 Hedge ratio'!$B$5*E768)</f>
        <v>-0.00896737404286796</v>
      </c>
      <c r="Q768" s="29" t="n">
        <f aca="false">D768-('5 Re-specification'!$B$7+'5 Re-specification'!$B$5*E768+'5 Re-specification'!$B$6*F768)</f>
        <v>0.00444130948883625</v>
      </c>
      <c r="R768" s="30" t="n">
        <f aca="false">MIN(F768,Inputs!$B$9)</f>
        <v>250</v>
      </c>
      <c r="S768" s="29" t="n">
        <f aca="true">IF(AND(F768&gt;=1,R768&gt;=Inputs!$B$10),INDEX(LINEST(OFFSET(D768,-R768,0,R768,1),OFFSET(E768,-R768,0,R768,2)),1,1),"")</f>
        <v>-3.9651596353483E-005</v>
      </c>
      <c r="T768" s="29" t="n">
        <f aca="true">IF(AND(F768&gt;=1,R768&gt;=Inputs!$B$10),INDEX(LINEST(OFFSET(D768,-R768,0,R768,1),OFFSET(E768,-R768,0,R768,2)),1,2),"")</f>
        <v>1.01433886442393</v>
      </c>
      <c r="U768" s="29" t="n">
        <f aca="true">IF(AND(F768&gt;=1,R768&gt;=Inputs!$B$10),INDEX(LINEST(OFFSET(D768,-R768,0,R768,1),OFFSET(E768,-R768,0,R768,2)),1,3),"")</f>
        <v>4.42972035912466</v>
      </c>
      <c r="V768" s="29" t="n">
        <f aca="true">IF(AND(F768&gt;=1,R768&gt;=Inputs!$B$10),SQRT(SUMPRODUCT((OFFSET(D768,-R768,0,R768,1)-U768-T768*OFFSET(E768,-R768,0,R768,1)-S768*OFFSET(F768,-R768,0,R768,1))^2)/(R768-3)),"")</f>
        <v>0.00235199080857213</v>
      </c>
      <c r="W768" s="31" t="n">
        <f aca="false">IF(AND(F768&gt;=1,R768&gt;=Inputs!$B$10),(D768-U768-T768*E768-S768*F768)/V768,"")</f>
        <v>2.0792802142927</v>
      </c>
      <c r="X768" s="30" t="n">
        <f aca="false">IF(AB767&lt;&gt;0,AC767+1,0)</f>
        <v>0</v>
      </c>
      <c r="Y768" s="30" t="n">
        <f aca="false">IF(W768="",0,IF(AND(AB767&lt;&gt;0,OR(ABS(W768)&gt;Inputs!$B$7,X768&gt;=Inputs!$B$8,ABS(W768)&lt;Inputs!$B$6)),1,0))</f>
        <v>0</v>
      </c>
      <c r="Z768" s="30" t="n">
        <f aca="false">IF(Y768=1,0,AB767)</f>
        <v>0</v>
      </c>
      <c r="AA768" s="30" t="n">
        <f aca="false">IF(W768="",0,IF(AND(Z768=0,ABS(W768)&gt;Inputs!$B$5,ABS(W768)&lt;=Inputs!$B$7),1,0))</f>
        <v>1</v>
      </c>
      <c r="AB768" s="30" t="n">
        <f aca="false">IF(W768="",0,IF(AA768=1,-SIGN(W768),Z768))</f>
        <v>-1</v>
      </c>
      <c r="AC768" s="30" t="n">
        <f aca="false">IF(W768="",0,IF(AA768=1,0,IF(Y768=1,0,X768)))</f>
        <v>0</v>
      </c>
      <c r="AD768" s="29" t="n">
        <f aca="false">IF(AB768=0,0,IF(AB767=AB768,AD767,T768))</f>
        <v>1.01433886442393</v>
      </c>
      <c r="AE768" s="30" t="n">
        <f aca="false">AB768-AB767</f>
        <v>-1</v>
      </c>
      <c r="AF768" s="30" t="n">
        <f aca="false">-AD768*AB768</f>
        <v>1.01433886442393</v>
      </c>
      <c r="AG768" s="30" t="n">
        <f aca="false">AF768-AF767</f>
        <v>1.01433886442393</v>
      </c>
      <c r="AH768" s="30" t="n">
        <f aca="false">MAX(AE768,0)*(Inputs!$B$17+Inputs!$B$18+Inputs!$B$19)+MAX(-AE768,0)*(O768+Inputs!$B$18+Inputs!$B$19)+IF(AND(K768=1,AB768&lt;&gt;0),(Inputs!$B$17+Inputs!$B$18+Inputs!$B$19)+(O768+Inputs!$B$18+Inputs!$B$19),0)+MAX(AG768,0)*(Inputs!$B$20+Inputs!$B$22+Inputs!$B$23)+MAX(-AG768,0)*(Inputs!$B$21+Inputs!$B$22+Inputs!$B$23)</f>
        <v>0.000990018602548376</v>
      </c>
      <c r="AI768" s="30" t="n">
        <f aca="false">AB767*(M768-AD767*J768)+AB767*AD767*N768/Inputs!$B$16-AH768</f>
        <v>-0.000990018602548376</v>
      </c>
      <c r="AJ768" s="30" t="n">
        <f aca="false">MAX(AE768,0)*(Inputs!$B$17+Inputs!$B$24+Inputs!$B$25)+MAX(-AE768,0)*(O768+Inputs!$B$24+Inputs!$B$25)+IF(AND(K768=1,AB768&lt;&gt;0),(Inputs!$B$17+Inputs!$B$24+Inputs!$B$25)+(O768+Inputs!$B$24+Inputs!$B$25),0)+MAX(AG768,0)*(Inputs!$B$20+Inputs!$B$26+Inputs!$B$27)+MAX(-AG768,0)*(Inputs!$B$21+Inputs!$B$26+Inputs!$B$27)</f>
        <v>0.000828656410428102</v>
      </c>
      <c r="AK768" s="30" t="n">
        <f aca="false">AB767*(M768-AD767*J768)+AB767*AD767*(N768+Inputs!$B$14)/Inputs!$B$16-AJ768</f>
        <v>-0.000828656410428102</v>
      </c>
      <c r="AL768" s="30" t="n">
        <f aca="false">IF(AP767&lt;&gt;0,AQ767+1,0)</f>
        <v>0</v>
      </c>
      <c r="AM768" s="30" t="n">
        <f aca="false">IF(W768="",0,IF(AND(AP767&lt;&gt;0,OR(ABS(W768)&gt;Inputs!$B$7,AL768&gt;=Inputs!$B$8,ABS(W768)&lt;Inputs!$B$6)),1,0))</f>
        <v>0</v>
      </c>
      <c r="AN768" s="30" t="n">
        <f aca="false">IF(AM768=1,0,AP767)</f>
        <v>0</v>
      </c>
      <c r="AO768" s="30" t="n">
        <f aca="false">IF(W768="",0,IF(AND(AN768=0,ABS(W768)&gt;Inputs!$B$5,ABS(W768)&lt;=Inputs!$B$7,W768&gt;0),1,0))</f>
        <v>1</v>
      </c>
      <c r="AP768" s="30" t="n">
        <f aca="false">IF(W768="",0,IF(AO768=1,-SIGN(W768),AN768))</f>
        <v>-1</v>
      </c>
      <c r="AQ768" s="30" t="n">
        <f aca="false">IF(W768="",0,IF(AO768=1,0,IF(AM768=1,0,AL768)))</f>
        <v>0</v>
      </c>
      <c r="AR768" s="29" t="n">
        <f aca="false">IF(AP768=0,0,IF(AP767=AP768,AR767,T768))</f>
        <v>1.01433886442393</v>
      </c>
      <c r="AS768" s="30" t="n">
        <f aca="false">AP768-AP767</f>
        <v>-1</v>
      </c>
      <c r="AT768" s="30" t="n">
        <f aca="false">-AR768*AP768</f>
        <v>1.01433886442393</v>
      </c>
      <c r="AU768" s="30" t="n">
        <f aca="false">AT768-AT767</f>
        <v>1.01433886442393</v>
      </c>
      <c r="AV768" s="30" t="n">
        <f aca="false">MAX(AS768,0)*(Inputs!$B$17+Inputs!$B$18+Inputs!$B$19)+MAX(-AS768,0)*(O768+Inputs!$B$18+Inputs!$B$19)+IF(AND(K768=1,AP768&lt;&gt;0),(Inputs!$B$17+Inputs!$B$18+Inputs!$B$19)+(O768+Inputs!$B$18+Inputs!$B$19),0)+MAX(AU768,0)*(Inputs!$B$20+Inputs!$B$22+Inputs!$B$23)+MAX(-AU768,0)*(Inputs!$B$21+Inputs!$B$22+Inputs!$B$23)</f>
        <v>0.000990018602548376</v>
      </c>
      <c r="AW768" s="30" t="n">
        <f aca="false">AP767*(M768-AR767*J768)+AP767*AR767*N768/Inputs!$B$16-AV768</f>
        <v>-0.000990018602548376</v>
      </c>
      <c r="AX768" s="30" t="n">
        <f aca="false">AW768-IF(AP767&lt;&gt;0,0.75*AR767*(Inputs!$B$13-N768)/Inputs!$B$16,0)</f>
        <v>-0.000990018602548376</v>
      </c>
      <c r="AY768" s="30" t="n">
        <f aca="false">MAX(AS768,0)*(Inputs!$B$17+Inputs!$B$18+Inputs!$B$19)+MAX(-AS768,0)*(O768+Inputs!$B$18+Inputs!$B$19)+IF(AND(K768=1,AP768&lt;&gt;0),(Inputs!$B$17+Inputs!$B$18+Inputs!$B$19)+(O768+Inputs!$B$18+Inputs!$B$19),0)</f>
        <v>0.000635</v>
      </c>
      <c r="AZ768" s="30" t="n">
        <f aca="false">AP767*M768-AY768</f>
        <v>-0.000635</v>
      </c>
      <c r="BA768" s="32" t="n">
        <f aca="false">BA767+AI768</f>
        <v>0.018461240814211</v>
      </c>
      <c r="BB768" s="30" t="n">
        <f aca="false">MAX(BB767,BA768)</f>
        <v>0.0261726191772394</v>
      </c>
      <c r="BC768" s="32" t="n">
        <f aca="false">BA768-BB768</f>
        <v>-0.00771137836302838</v>
      </c>
      <c r="BD768" s="30" t="n">
        <f aca="false">A769-A768</f>
        <v>1</v>
      </c>
    </row>
    <row r="769" customFormat="false" ht="15" hidden="false" customHeight="false" outlineLevel="0" collapsed="false">
      <c r="A769" s="28" t="n">
        <v>46176</v>
      </c>
      <c r="B769" s="0" t="n">
        <v>23489.6</v>
      </c>
      <c r="C769" s="0" t="n">
        <v>265.3</v>
      </c>
      <c r="D769" s="29" t="n">
        <f aca="false">LN(B769)</f>
        <v>10.0643130489852</v>
      </c>
      <c r="E769" s="29" t="n">
        <f aca="false">LN(C769)</f>
        <v>5.58086126114369</v>
      </c>
      <c r="F769" s="0" t="n">
        <v>764</v>
      </c>
      <c r="G769" s="0" t="n">
        <v>27</v>
      </c>
      <c r="H769" s="29" t="n">
        <f aca="false">D769-E769</f>
        <v>4.4834517878415</v>
      </c>
      <c r="I769" s="29" t="n">
        <f aca="false">D769-D768</f>
        <v>-0.00493467454566066</v>
      </c>
      <c r="J769" s="29" t="n">
        <f aca="false">E769-E768</f>
        <v>-0.00394997221931437</v>
      </c>
      <c r="K769" s="0" t="n">
        <v>0</v>
      </c>
      <c r="L769" s="0" t="n">
        <v>0</v>
      </c>
      <c r="M769" s="29" t="n">
        <f aca="false">IF(L769=1,J769-Carry!$B$9/Inputs!$B$16,I769)</f>
        <v>-0.00493467454566066</v>
      </c>
      <c r="N769" s="0" t="n">
        <v>0.0525</v>
      </c>
      <c r="O769" s="0" t="n">
        <v>0.0005</v>
      </c>
      <c r="P769" s="29" t="n">
        <f aca="false">D769-('2 Hedge ratio'!$B$6+'2 Hedge ratio'!$B$5*E769)</f>
        <v>-0.0102833733401315</v>
      </c>
      <c r="Q769" s="29" t="n">
        <f aca="false">D769-('5 Re-specification'!$B$7+'5 Re-specification'!$B$5*E769+'5 Re-specification'!$B$6*F769)</f>
        <v>0.00348956608969075</v>
      </c>
      <c r="R769" s="30" t="n">
        <f aca="false">MIN(F769,Inputs!$B$9)</f>
        <v>250</v>
      </c>
      <c r="S769" s="29" t="n">
        <f aca="true">IF(AND(F769&gt;=1,R769&gt;=Inputs!$B$10),INDEX(LINEST(OFFSET(D769,-R769,0,R769,1),OFFSET(E769,-R769,0,R769,2)),1,1),"")</f>
        <v>-3.93348845349689E-005</v>
      </c>
      <c r="T769" s="29" t="n">
        <f aca="true">IF(AND(F769&gt;=1,R769&gt;=Inputs!$B$10),INDEX(LINEST(OFFSET(D769,-R769,0,R769,1),OFFSET(E769,-R769,0,R769,2)),1,2),"")</f>
        <v>1.01354631326429</v>
      </c>
      <c r="U769" s="29" t="n">
        <f aca="true">IF(AND(F769&gt;=1,R769&gt;=Inputs!$B$10),INDEX(LINEST(OFFSET(D769,-R769,0,R769,1),OFFSET(E769,-R769,0,R769,2)),1,3),"")</f>
        <v>4.43401129486291</v>
      </c>
      <c r="V769" s="29" t="n">
        <f aca="true">IF(AND(F769&gt;=1,R769&gt;=Inputs!$B$10),SQRT(SUMPRODUCT((OFFSET(D769,-R769,0,R769,1)-U769-T769*OFFSET(E769,-R769,0,R769,1)-S769*OFFSET(F769,-R769,0,R769,1))^2)/(R769-3)),"")</f>
        <v>0.00237193889856652</v>
      </c>
      <c r="W769" s="31" t="n">
        <f aca="false">IF(AND(F769&gt;=1,R769&gt;=Inputs!$B$10),(D769-U769-T769*E769-S769*F769)/V769,"")</f>
        <v>1.64095704052175</v>
      </c>
      <c r="X769" s="30" t="n">
        <f aca="false">IF(AB768&lt;&gt;0,AC768+1,0)</f>
        <v>1</v>
      </c>
      <c r="Y769" s="30" t="n">
        <f aca="false">IF(W769="",0,IF(AND(AB768&lt;&gt;0,OR(ABS(W769)&gt;Inputs!$B$7,X769&gt;=Inputs!$B$8,ABS(W769)&lt;Inputs!$B$6)),1,0))</f>
        <v>0</v>
      </c>
      <c r="Z769" s="30" t="n">
        <f aca="false">IF(Y769=1,0,AB768)</f>
        <v>-1</v>
      </c>
      <c r="AA769" s="30" t="n">
        <f aca="false">IF(W769="",0,IF(AND(Z769=0,ABS(W769)&gt;Inputs!$B$5,ABS(W769)&lt;=Inputs!$B$7),1,0))</f>
        <v>0</v>
      </c>
      <c r="AB769" s="30" t="n">
        <f aca="false">IF(W769="",0,IF(AA769=1,-SIGN(W769),Z769))</f>
        <v>-1</v>
      </c>
      <c r="AC769" s="30" t="n">
        <f aca="false">IF(W769="",0,IF(AA769=1,0,IF(Y769=1,0,X769)))</f>
        <v>1</v>
      </c>
      <c r="AD769" s="29" t="n">
        <f aca="false">IF(AB769=0,0,IF(AB768=AB769,AD768,T769))</f>
        <v>1.01433886442393</v>
      </c>
      <c r="AE769" s="30" t="n">
        <f aca="false">AB769-AB768</f>
        <v>0</v>
      </c>
      <c r="AF769" s="30" t="n">
        <f aca="false">-AD769*AB769</f>
        <v>1.01433886442393</v>
      </c>
      <c r="AG769" s="30" t="n">
        <f aca="false">AF769-AF768</f>
        <v>0</v>
      </c>
      <c r="AH769" s="30" t="n">
        <f aca="false">MAX(AE769,0)*(Inputs!$B$17+Inputs!$B$18+Inputs!$B$19)+MAX(-AE769,0)*(O769+Inputs!$B$18+Inputs!$B$19)+IF(AND(K769=1,AB769&lt;&gt;0),(Inputs!$B$17+Inputs!$B$18+Inputs!$B$19)+(O769+Inputs!$B$18+Inputs!$B$19),0)+MAX(AG769,0)*(Inputs!$B$20+Inputs!$B$22+Inputs!$B$23)+MAX(-AG769,0)*(Inputs!$B$21+Inputs!$B$22+Inputs!$B$23)</f>
        <v>0</v>
      </c>
      <c r="AI769" s="30" t="n">
        <f aca="false">AB768*(M769-AD768*J769)+AB768*AD768*N769/Inputs!$B$16-AH769</f>
        <v>0.000716743613460261</v>
      </c>
      <c r="AJ769" s="30" t="n">
        <f aca="false">MAX(AE769,0)*(Inputs!$B$17+Inputs!$B$24+Inputs!$B$25)+MAX(-AE769,0)*(O769+Inputs!$B$24+Inputs!$B$25)+IF(AND(K769=1,AB769&lt;&gt;0),(Inputs!$B$17+Inputs!$B$24+Inputs!$B$25)+(O769+Inputs!$B$24+Inputs!$B$25),0)+MAX(AG769,0)*(Inputs!$B$20+Inputs!$B$26+Inputs!$B$27)+MAX(-AG769,0)*(Inputs!$B$21+Inputs!$B$26+Inputs!$B$27)</f>
        <v>0</v>
      </c>
      <c r="AK769" s="30" t="n">
        <f aca="false">AB768*(M769-AD768*J769)+AB768*AD768*(N769+Inputs!$B$14)/Inputs!$B$16-AJ769</f>
        <v>0.000686554956780977</v>
      </c>
      <c r="AL769" s="30" t="n">
        <f aca="false">IF(AP768&lt;&gt;0,AQ768+1,0)</f>
        <v>1</v>
      </c>
      <c r="AM769" s="30" t="n">
        <f aca="false">IF(W769="",0,IF(AND(AP768&lt;&gt;0,OR(ABS(W769)&gt;Inputs!$B$7,AL769&gt;=Inputs!$B$8,ABS(W769)&lt;Inputs!$B$6)),1,0))</f>
        <v>0</v>
      </c>
      <c r="AN769" s="30" t="n">
        <f aca="false">IF(AM769=1,0,AP768)</f>
        <v>-1</v>
      </c>
      <c r="AO769" s="30" t="n">
        <f aca="false">IF(W769="",0,IF(AND(AN769=0,ABS(W769)&gt;Inputs!$B$5,ABS(W769)&lt;=Inputs!$B$7,W769&gt;0),1,0))</f>
        <v>0</v>
      </c>
      <c r="AP769" s="30" t="n">
        <f aca="false">IF(W769="",0,IF(AO769=1,-SIGN(W769),AN769))</f>
        <v>-1</v>
      </c>
      <c r="AQ769" s="30" t="n">
        <f aca="false">IF(W769="",0,IF(AO769=1,0,IF(AM769=1,0,AL769)))</f>
        <v>1</v>
      </c>
      <c r="AR769" s="29" t="n">
        <f aca="false">IF(AP769=0,0,IF(AP768=AP769,AR768,T769))</f>
        <v>1.01433886442393</v>
      </c>
      <c r="AS769" s="30" t="n">
        <f aca="false">AP769-AP768</f>
        <v>0</v>
      </c>
      <c r="AT769" s="30" t="n">
        <f aca="false">-AR769*AP769</f>
        <v>1.01433886442393</v>
      </c>
      <c r="AU769" s="30" t="n">
        <f aca="false">AT769-AT768</f>
        <v>0</v>
      </c>
      <c r="AV769" s="30" t="n">
        <f aca="false">MAX(AS769,0)*(Inputs!$B$17+Inputs!$B$18+Inputs!$B$19)+MAX(-AS769,0)*(O769+Inputs!$B$18+Inputs!$B$19)+IF(AND(K769=1,AP769&lt;&gt;0),(Inputs!$B$17+Inputs!$B$18+Inputs!$B$19)+(O769+Inputs!$B$18+Inputs!$B$19),0)+MAX(AU769,0)*(Inputs!$B$20+Inputs!$B$22+Inputs!$B$23)+MAX(-AU769,0)*(Inputs!$B$21+Inputs!$B$22+Inputs!$B$23)</f>
        <v>0</v>
      </c>
      <c r="AW769" s="30" t="n">
        <f aca="false">AP768*(M769-AR768*J769)+AP768*AR768*N769/Inputs!$B$16-AV769</f>
        <v>0.000716743613460261</v>
      </c>
      <c r="AX769" s="30" t="n">
        <f aca="false">AW769-IF(AP768&lt;&gt;0,0.75*AR768*(Inputs!$B$13-N769)/Inputs!$B$16,0)</f>
        <v>0.000452592867516529</v>
      </c>
      <c r="AY769" s="30" t="n">
        <f aca="false">MAX(AS769,0)*(Inputs!$B$17+Inputs!$B$18+Inputs!$B$19)+MAX(-AS769,0)*(O769+Inputs!$B$18+Inputs!$B$19)+IF(AND(K769=1,AP769&lt;&gt;0),(Inputs!$B$17+Inputs!$B$18+Inputs!$B$19)+(O769+Inputs!$B$18+Inputs!$B$19),0)</f>
        <v>0</v>
      </c>
      <c r="AZ769" s="30" t="n">
        <f aca="false">AP768*M769-AY769</f>
        <v>0.00493467454566066</v>
      </c>
      <c r="BA769" s="32" t="n">
        <f aca="false">BA768+AI769</f>
        <v>0.0191779844276713</v>
      </c>
      <c r="BB769" s="30" t="n">
        <f aca="false">MAX(BB768,BA769)</f>
        <v>0.0261726191772394</v>
      </c>
      <c r="BC769" s="32" t="n">
        <f aca="false">BA769-BB769</f>
        <v>-0.00699463474956812</v>
      </c>
      <c r="BD769" s="30" t="n">
        <f aca="false">A770-A769</f>
        <v>1</v>
      </c>
    </row>
    <row r="770" customFormat="false" ht="15" hidden="false" customHeight="false" outlineLevel="0" collapsed="false">
      <c r="A770" s="28" t="n">
        <v>46177</v>
      </c>
      <c r="B770" s="0" t="n">
        <v>23527</v>
      </c>
      <c r="C770" s="0" t="n">
        <v>265.92</v>
      </c>
      <c r="D770" s="29" t="n">
        <f aca="false">LN(B770)</f>
        <v>10.0659039767804</v>
      </c>
      <c r="E770" s="29" t="n">
        <f aca="false">LN(C770)</f>
        <v>5.58319551166708</v>
      </c>
      <c r="F770" s="0" t="n">
        <v>765</v>
      </c>
      <c r="G770" s="0" t="n">
        <v>26</v>
      </c>
      <c r="H770" s="29" t="n">
        <f aca="false">D770-E770</f>
        <v>4.48270846511334</v>
      </c>
      <c r="I770" s="29" t="n">
        <f aca="false">D770-D769</f>
        <v>0.00159092779522219</v>
      </c>
      <c r="J770" s="29" t="n">
        <f aca="false">E770-E769</f>
        <v>0.00233425052338987</v>
      </c>
      <c r="K770" s="0" t="n">
        <v>0</v>
      </c>
      <c r="L770" s="0" t="n">
        <v>0</v>
      </c>
      <c r="M770" s="29" t="n">
        <f aca="false">IF(L770=1,J770-Carry!$B$9/Inputs!$B$16,I770)</f>
        <v>0.00159092779522219</v>
      </c>
      <c r="N770" s="0" t="n">
        <v>0.0525</v>
      </c>
      <c r="O770" s="0" t="n">
        <v>0.0005</v>
      </c>
      <c r="P770" s="29" t="n">
        <f aca="false">D770-('2 Hedge ratio'!$B$6+'2 Hedge ratio'!$B$5*E770)</f>
        <v>-0.010830914912173</v>
      </c>
      <c r="Q770" s="29" t="n">
        <f aca="false">D770-('5 Re-specification'!$B$7+'5 Re-specification'!$B$5*E770+'5 Re-specification'!$B$6*F770)</f>
        <v>0.00279824662588091</v>
      </c>
      <c r="R770" s="30" t="n">
        <f aca="false">MIN(F770,Inputs!$B$9)</f>
        <v>250</v>
      </c>
      <c r="S770" s="29" t="n">
        <f aca="true">IF(AND(F770&gt;=1,R770&gt;=Inputs!$B$10),INDEX(LINEST(OFFSET(D770,-R770,0,R770,1),OFFSET(E770,-R770,0,R770,2)),1,1),"")</f>
        <v>-3.9222284351492E-005</v>
      </c>
      <c r="T770" s="29" t="n">
        <f aca="true">IF(AND(F770&gt;=1,R770&gt;=Inputs!$B$10),INDEX(LINEST(OFFSET(D770,-R770,0,R770,1),OFFSET(E770,-R770,0,R770,2)),1,2),"")</f>
        <v>1.0127453667682</v>
      </c>
      <c r="U770" s="29" t="n">
        <f aca="true">IF(AND(F770&gt;=1,R770&gt;=Inputs!$B$10),INDEX(LINEST(OFFSET(D770,-R770,0,R770,1),OFFSET(E770,-R770,0,R770,2)),1,3),"")</f>
        <v>4.43847988653305</v>
      </c>
      <c r="V770" s="29" t="n">
        <f aca="true">IF(AND(F770&gt;=1,R770&gt;=Inputs!$B$10),SQRT(SUMPRODUCT((OFFSET(D770,-R770,0,R770,1)-U770-T770*OFFSET(E770,-R770,0,R770,1)-S770*OFFSET(F770,-R770,0,R770,1))^2)/(R770-3)),"")</f>
        <v>0.0023828535120243</v>
      </c>
      <c r="W770" s="31" t="n">
        <f aca="false">IF(AND(F770&gt;=1,R770&gt;=Inputs!$B$10),(D770-U770-T770*E770-S770*F770)/V770,"")</f>
        <v>1.28994567182633</v>
      </c>
      <c r="X770" s="30" t="n">
        <f aca="false">IF(AB769&lt;&gt;0,AC769+1,0)</f>
        <v>2</v>
      </c>
      <c r="Y770" s="30" t="n">
        <f aca="false">IF(W770="",0,IF(AND(AB769&lt;&gt;0,OR(ABS(W770)&gt;Inputs!$B$7,X770&gt;=Inputs!$B$8,ABS(W770)&lt;Inputs!$B$6)),1,0))</f>
        <v>0</v>
      </c>
      <c r="Z770" s="30" t="n">
        <f aca="false">IF(Y770=1,0,AB769)</f>
        <v>-1</v>
      </c>
      <c r="AA770" s="30" t="n">
        <f aca="false">IF(W770="",0,IF(AND(Z770=0,ABS(W770)&gt;Inputs!$B$5,ABS(W770)&lt;=Inputs!$B$7),1,0))</f>
        <v>0</v>
      </c>
      <c r="AB770" s="30" t="n">
        <f aca="false">IF(W770="",0,IF(AA770=1,-SIGN(W770),Z770))</f>
        <v>-1</v>
      </c>
      <c r="AC770" s="30" t="n">
        <f aca="false">IF(W770="",0,IF(AA770=1,0,IF(Y770=1,0,X770)))</f>
        <v>2</v>
      </c>
      <c r="AD770" s="29" t="n">
        <f aca="false">IF(AB770=0,0,IF(AB769=AB770,AD769,T770))</f>
        <v>1.01433886442393</v>
      </c>
      <c r="AE770" s="30" t="n">
        <f aca="false">AB770-AB769</f>
        <v>0</v>
      </c>
      <c r="AF770" s="30" t="n">
        <f aca="false">-AD770*AB770</f>
        <v>1.01433886442393</v>
      </c>
      <c r="AG770" s="30" t="n">
        <f aca="false">AF770-AF769</f>
        <v>0</v>
      </c>
      <c r="AH770" s="30" t="n">
        <f aca="false">MAX(AE770,0)*(Inputs!$B$17+Inputs!$B$18+Inputs!$B$19)+MAX(-AE770,0)*(O770+Inputs!$B$18+Inputs!$B$19)+IF(AND(K770=1,AB770&lt;&gt;0),(Inputs!$B$17+Inputs!$B$18+Inputs!$B$19)+(O770+Inputs!$B$18+Inputs!$B$19),0)+MAX(AG770,0)*(Inputs!$B$20+Inputs!$B$22+Inputs!$B$23)+MAX(-AG770,0)*(Inputs!$B$21+Inputs!$B$22+Inputs!$B$23)</f>
        <v>0</v>
      </c>
      <c r="AI770" s="30" t="n">
        <f aca="false">AB769*(M770-AD769*J770)+AB769*AD769*N770/Inputs!$B$16-AH770</f>
        <v>0.000565472633199075</v>
      </c>
      <c r="AJ770" s="30" t="n">
        <f aca="false">MAX(AE770,0)*(Inputs!$B$17+Inputs!$B$24+Inputs!$B$25)+MAX(-AE770,0)*(O770+Inputs!$B$24+Inputs!$B$25)+IF(AND(K770=1,AB770&lt;&gt;0),(Inputs!$B$17+Inputs!$B$24+Inputs!$B$25)+(O770+Inputs!$B$24+Inputs!$B$25),0)+MAX(AG770,0)*(Inputs!$B$20+Inputs!$B$26+Inputs!$B$27)+MAX(-AG770,0)*(Inputs!$B$21+Inputs!$B$26+Inputs!$B$27)</f>
        <v>0</v>
      </c>
      <c r="AK770" s="30" t="n">
        <f aca="false">AB769*(M770-AD769*J770)+AB769*AD769*(N770+Inputs!$B$14)/Inputs!$B$16-AJ770</f>
        <v>0.000535283976519791</v>
      </c>
      <c r="AL770" s="30" t="n">
        <f aca="false">IF(AP769&lt;&gt;0,AQ769+1,0)</f>
        <v>2</v>
      </c>
      <c r="AM770" s="30" t="n">
        <f aca="false">IF(W770="",0,IF(AND(AP769&lt;&gt;0,OR(ABS(W770)&gt;Inputs!$B$7,AL770&gt;=Inputs!$B$8,ABS(W770)&lt;Inputs!$B$6)),1,0))</f>
        <v>0</v>
      </c>
      <c r="AN770" s="30" t="n">
        <f aca="false">IF(AM770=1,0,AP769)</f>
        <v>-1</v>
      </c>
      <c r="AO770" s="30" t="n">
        <f aca="false">IF(W770="",0,IF(AND(AN770=0,ABS(W770)&gt;Inputs!$B$5,ABS(W770)&lt;=Inputs!$B$7,W770&gt;0),1,0))</f>
        <v>0</v>
      </c>
      <c r="AP770" s="30" t="n">
        <f aca="false">IF(W770="",0,IF(AO770=1,-SIGN(W770),AN770))</f>
        <v>-1</v>
      </c>
      <c r="AQ770" s="30" t="n">
        <f aca="false">IF(W770="",0,IF(AO770=1,0,IF(AM770=1,0,AL770)))</f>
        <v>2</v>
      </c>
      <c r="AR770" s="29" t="n">
        <f aca="false">IF(AP770=0,0,IF(AP769=AP770,AR769,T770))</f>
        <v>1.01433886442393</v>
      </c>
      <c r="AS770" s="30" t="n">
        <f aca="false">AP770-AP769</f>
        <v>0</v>
      </c>
      <c r="AT770" s="30" t="n">
        <f aca="false">-AR770*AP770</f>
        <v>1.01433886442393</v>
      </c>
      <c r="AU770" s="30" t="n">
        <f aca="false">AT770-AT769</f>
        <v>0</v>
      </c>
      <c r="AV770" s="30" t="n">
        <f aca="false">MAX(AS770,0)*(Inputs!$B$17+Inputs!$B$18+Inputs!$B$19)+MAX(-AS770,0)*(O770+Inputs!$B$18+Inputs!$B$19)+IF(AND(K770=1,AP770&lt;&gt;0),(Inputs!$B$17+Inputs!$B$18+Inputs!$B$19)+(O770+Inputs!$B$18+Inputs!$B$19),0)+MAX(AU770,0)*(Inputs!$B$20+Inputs!$B$22+Inputs!$B$23)+MAX(-AU770,0)*(Inputs!$B$21+Inputs!$B$22+Inputs!$B$23)</f>
        <v>0</v>
      </c>
      <c r="AW770" s="30" t="n">
        <f aca="false">AP769*(M770-AR769*J770)+AP769*AR769*N770/Inputs!$B$16-AV770</f>
        <v>0.000565472633199075</v>
      </c>
      <c r="AX770" s="30" t="n">
        <f aca="false">AW770-IF(AP769&lt;&gt;0,0.75*AR769*(Inputs!$B$13-N770)/Inputs!$B$16,0)</f>
        <v>0.000301321887255343</v>
      </c>
      <c r="AY770" s="30" t="n">
        <f aca="false">MAX(AS770,0)*(Inputs!$B$17+Inputs!$B$18+Inputs!$B$19)+MAX(-AS770,0)*(O770+Inputs!$B$18+Inputs!$B$19)+IF(AND(K770=1,AP770&lt;&gt;0),(Inputs!$B$17+Inputs!$B$18+Inputs!$B$19)+(O770+Inputs!$B$18+Inputs!$B$19),0)</f>
        <v>0</v>
      </c>
      <c r="AZ770" s="30" t="n">
        <f aca="false">AP769*M770-AY770</f>
        <v>-0.00159092779522219</v>
      </c>
      <c r="BA770" s="32" t="n">
        <f aca="false">BA769+AI770</f>
        <v>0.0197434570608704</v>
      </c>
      <c r="BB770" s="30" t="n">
        <f aca="false">MAX(BB769,BA770)</f>
        <v>0.0261726191772394</v>
      </c>
      <c r="BC770" s="32" t="n">
        <f aca="false">BA770-BB770</f>
        <v>-0.00642916211636905</v>
      </c>
      <c r="BD770" s="30" t="n">
        <f aca="false">A771-A770</f>
        <v>1</v>
      </c>
    </row>
    <row r="771" customFormat="false" ht="15" hidden="false" customHeight="false" outlineLevel="0" collapsed="false">
      <c r="A771" s="28" t="n">
        <v>46178</v>
      </c>
      <c r="B771" s="0" t="n">
        <v>23440</v>
      </c>
      <c r="C771" s="0" t="n">
        <v>265.6</v>
      </c>
      <c r="D771" s="29" t="n">
        <f aca="false">LN(B771)</f>
        <v>10.062199243691</v>
      </c>
      <c r="E771" s="29" t="n">
        <f aca="false">LN(C771)</f>
        <v>5.58199141760228</v>
      </c>
      <c r="F771" s="0" t="n">
        <v>766</v>
      </c>
      <c r="G771" s="0" t="n">
        <v>25</v>
      </c>
      <c r="H771" s="29" t="n">
        <f aca="false">D771-E771</f>
        <v>4.48020782608867</v>
      </c>
      <c r="I771" s="29" t="n">
        <f aca="false">D771-D770</f>
        <v>-0.00370473308946906</v>
      </c>
      <c r="J771" s="29" t="n">
        <f aca="false">E771-E770</f>
        <v>-0.00120409406480526</v>
      </c>
      <c r="K771" s="0" t="n">
        <v>0</v>
      </c>
      <c r="L771" s="0" t="n">
        <v>0</v>
      </c>
      <c r="M771" s="29" t="n">
        <f aca="false">IF(L771=1,J771-Carry!$B$9/Inputs!$B$16,I771)</f>
        <v>-0.00370473308946906</v>
      </c>
      <c r="N771" s="0" t="n">
        <v>0.0525</v>
      </c>
      <c r="O771" s="0" t="n">
        <v>0.0005</v>
      </c>
      <c r="P771" s="29" t="n">
        <f aca="false">D771-('2 Hedge ratio'!$B$6+'2 Hedge ratio'!$B$5*E771)</f>
        <v>-0.0134325452082233</v>
      </c>
      <c r="Q771" s="29" t="n">
        <f aca="false">D771-('5 Re-specification'!$B$7+'5 Re-specification'!$B$5*E771+'5 Re-specification'!$B$6*F771)</f>
        <v>0.000338887912224806</v>
      </c>
      <c r="R771" s="30" t="n">
        <f aca="false">MIN(F771,Inputs!$B$9)</f>
        <v>250</v>
      </c>
      <c r="S771" s="29" t="n">
        <f aca="true">IF(AND(F771&gt;=1,R771&gt;=Inputs!$B$10),INDEX(LINEST(OFFSET(D771,-R771,0,R771,1),OFFSET(E771,-R771,0,R771,2)),1,1),"")</f>
        <v>-3.86144280288915E-005</v>
      </c>
      <c r="T771" s="29" t="n">
        <f aca="true">IF(AND(F771&gt;=1,R771&gt;=Inputs!$B$10),INDEX(LINEST(OFFSET(D771,-R771,0,R771,1),OFFSET(E771,-R771,0,R771,2)),1,2),"")</f>
        <v>1.01272755037539</v>
      </c>
      <c r="U771" s="29" t="n">
        <f aca="true">IF(AND(F771&gt;=1,R771&gt;=Inputs!$B$10),INDEX(LINEST(OFFSET(D771,-R771,0,R771,1),OFFSET(E771,-R771,0,R771,2)),1,3),"")</f>
        <v>4.43819022808336</v>
      </c>
      <c r="V771" s="29" t="n">
        <f aca="true">IF(AND(F771&gt;=1,R771&gt;=Inputs!$B$10),SQRT(SUMPRODUCT((OFFSET(D771,-R771,0,R771,1)-U771-T771*OFFSET(E771,-R771,0,R771,1)-S771*OFFSET(F771,-R771,0,R771,1))^2)/(R771-3)),"")</f>
        <v>0.00238128687362503</v>
      </c>
      <c r="W771" s="31" t="n">
        <f aca="false">IF(AND(F771&gt;=1,R771&gt;=Inputs!$B$10),(D771-U771-T771*E771-S771*F771)/V771,"")</f>
        <v>0.231460106299401</v>
      </c>
      <c r="X771" s="30" t="n">
        <f aca="false">IF(AB770&lt;&gt;0,AC770+1,0)</f>
        <v>3</v>
      </c>
      <c r="Y771" s="30" t="n">
        <f aca="false">IF(W771="",0,IF(AND(AB770&lt;&gt;0,OR(ABS(W771)&gt;Inputs!$B$7,X771&gt;=Inputs!$B$8,ABS(W771)&lt;Inputs!$B$6)),1,0))</f>
        <v>1</v>
      </c>
      <c r="Z771" s="30" t="n">
        <f aca="false">IF(Y771=1,0,AB770)</f>
        <v>0</v>
      </c>
      <c r="AA771" s="30" t="n">
        <f aca="false">IF(W771="",0,IF(AND(Z771=0,ABS(W771)&gt;Inputs!$B$5,ABS(W771)&lt;=Inputs!$B$7),1,0))</f>
        <v>0</v>
      </c>
      <c r="AB771" s="30" t="n">
        <f aca="false">IF(W771="",0,IF(AA771=1,-SIGN(W771),Z771))</f>
        <v>0</v>
      </c>
      <c r="AC771" s="30" t="n">
        <f aca="false">IF(W771="",0,IF(AA771=1,0,IF(Y771=1,0,X771)))</f>
        <v>0</v>
      </c>
      <c r="AD771" s="30" t="n">
        <f aca="false">IF(AB771=0,0,IF(AB770=AB771,AD770,T771))</f>
        <v>0</v>
      </c>
      <c r="AE771" s="30" t="n">
        <f aca="false">AB771-AB770</f>
        <v>1</v>
      </c>
      <c r="AF771" s="30" t="n">
        <f aca="false">-AD771*AB771</f>
        <v>-0</v>
      </c>
      <c r="AG771" s="30" t="n">
        <f aca="false">AF771-AF770</f>
        <v>-1.01433886442393</v>
      </c>
      <c r="AH771" s="30" t="n">
        <f aca="false">MAX(AE771,0)*(Inputs!$B$17+Inputs!$B$18+Inputs!$B$19)+MAX(-AE771,0)*(O771+Inputs!$B$18+Inputs!$B$19)+IF(AND(K771=1,AB771&lt;&gt;0),(Inputs!$B$17+Inputs!$B$18+Inputs!$B$19)+(O771+Inputs!$B$18+Inputs!$B$19),0)+MAX(AG771,0)*(Inputs!$B$20+Inputs!$B$22+Inputs!$B$23)+MAX(-AG771,0)*(Inputs!$B$21+Inputs!$B$22+Inputs!$B$23)</f>
        <v>0.000368011161529025</v>
      </c>
      <c r="AI771" s="30" t="n">
        <f aca="false">AB770*(M771-AD770*J771)+AB770*AD770*N771/Inputs!$B$16-AH771</f>
        <v>0.00190404192483088</v>
      </c>
      <c r="AJ771" s="30" t="n">
        <f aca="false">MAX(AE771,0)*(Inputs!$B$17+Inputs!$B$24+Inputs!$B$25)+MAX(-AE771,0)*(O771+Inputs!$B$24+Inputs!$B$25)+IF(AND(K771=1,AB771&lt;&gt;0),(Inputs!$B$17+Inputs!$B$24+Inputs!$B$25)+(O771+Inputs!$B$24+Inputs!$B$25),0)+MAX(AG771,0)*(Inputs!$B$20+Inputs!$B$26+Inputs!$B$27)+MAX(-AG771,0)*(Inputs!$B$21+Inputs!$B$26+Inputs!$B$27)</f>
        <v>0.000206648969408752</v>
      </c>
      <c r="AK771" s="30" t="n">
        <f aca="false">AB770*(M771-AD770*J771)+AB770*AD770*(N771+Inputs!$B$14)/Inputs!$B$16-AJ771</f>
        <v>0.00203521546027187</v>
      </c>
      <c r="AL771" s="30" t="n">
        <f aca="false">IF(AP770&lt;&gt;0,AQ770+1,0)</f>
        <v>3</v>
      </c>
      <c r="AM771" s="30" t="n">
        <f aca="false">IF(W771="",0,IF(AND(AP770&lt;&gt;0,OR(ABS(W771)&gt;Inputs!$B$7,AL771&gt;=Inputs!$B$8,ABS(W771)&lt;Inputs!$B$6)),1,0))</f>
        <v>1</v>
      </c>
      <c r="AN771" s="30" t="n">
        <f aca="false">IF(AM771=1,0,AP770)</f>
        <v>0</v>
      </c>
      <c r="AO771" s="30" t="n">
        <f aca="false">IF(W771="",0,IF(AND(AN771=0,ABS(W771)&gt;Inputs!$B$5,ABS(W771)&lt;=Inputs!$B$7,W771&gt;0),1,0))</f>
        <v>0</v>
      </c>
      <c r="AP771" s="30" t="n">
        <f aca="false">IF(W771="",0,IF(AO771=1,-SIGN(W771),AN771))</f>
        <v>0</v>
      </c>
      <c r="AQ771" s="30" t="n">
        <f aca="false">IF(W771="",0,IF(AO771=1,0,IF(AM771=1,0,AL771)))</f>
        <v>0</v>
      </c>
      <c r="AR771" s="30" t="n">
        <f aca="false">IF(AP771=0,0,IF(AP770=AP771,AR770,T771))</f>
        <v>0</v>
      </c>
      <c r="AS771" s="30" t="n">
        <f aca="false">AP771-AP770</f>
        <v>1</v>
      </c>
      <c r="AT771" s="30" t="n">
        <f aca="false">-AR771*AP771</f>
        <v>-0</v>
      </c>
      <c r="AU771" s="30" t="n">
        <f aca="false">AT771-AT770</f>
        <v>-1.01433886442393</v>
      </c>
      <c r="AV771" s="30" t="n">
        <f aca="false">MAX(AS771,0)*(Inputs!$B$17+Inputs!$B$18+Inputs!$B$19)+MAX(-AS771,0)*(O771+Inputs!$B$18+Inputs!$B$19)+IF(AND(K771=1,AP771&lt;&gt;0),(Inputs!$B$17+Inputs!$B$18+Inputs!$B$19)+(O771+Inputs!$B$18+Inputs!$B$19),0)+MAX(AU771,0)*(Inputs!$B$20+Inputs!$B$22+Inputs!$B$23)+MAX(-AU771,0)*(Inputs!$B$21+Inputs!$B$22+Inputs!$B$23)</f>
        <v>0.000368011161529025</v>
      </c>
      <c r="AW771" s="30" t="n">
        <f aca="false">AP770*(M771-AR770*J771)+AP770*AR770*N771/Inputs!$B$16-AV771</f>
        <v>0.00190404192483088</v>
      </c>
      <c r="AX771" s="30" t="n">
        <f aca="false">AW771-IF(AP770&lt;&gt;0,0.75*AR770*(Inputs!$B$13-N771)/Inputs!$B$16,0)</f>
        <v>0.00163989117888715</v>
      </c>
      <c r="AY771" s="30" t="n">
        <f aca="false">MAX(AS771,0)*(Inputs!$B$17+Inputs!$B$18+Inputs!$B$19)+MAX(-AS771,0)*(O771+Inputs!$B$18+Inputs!$B$19)+IF(AND(K771=1,AP771&lt;&gt;0),(Inputs!$B$17+Inputs!$B$18+Inputs!$B$19)+(O771+Inputs!$B$18+Inputs!$B$19),0)</f>
        <v>0.000155</v>
      </c>
      <c r="AZ771" s="30" t="n">
        <f aca="false">AP770*M771-AY771</f>
        <v>0.00354973308946906</v>
      </c>
      <c r="BA771" s="32" t="n">
        <f aca="false">BA770+AI771</f>
        <v>0.0216474989857012</v>
      </c>
      <c r="BB771" s="30" t="n">
        <f aca="false">MAX(BB770,BA771)</f>
        <v>0.0261726191772394</v>
      </c>
      <c r="BC771" s="32" t="n">
        <f aca="false">BA771-BB771</f>
        <v>-0.00452512019153816</v>
      </c>
      <c r="BD771" s="30" t="n">
        <f aca="false">A772-A771</f>
        <v>3</v>
      </c>
    </row>
    <row r="772" customFormat="false" ht="15" hidden="false" customHeight="false" outlineLevel="0" collapsed="false">
      <c r="A772" s="28" t="n">
        <v>46181</v>
      </c>
      <c r="B772" s="0" t="n">
        <v>23147.9</v>
      </c>
      <c r="C772" s="0" t="n">
        <v>262.48</v>
      </c>
      <c r="D772" s="29" t="n">
        <f aca="false">LN(B772)</f>
        <v>10.0496593426568</v>
      </c>
      <c r="E772" s="29" t="n">
        <f aca="false">LN(C772)</f>
        <v>5.57017488865285</v>
      </c>
      <c r="F772" s="0" t="n">
        <v>767</v>
      </c>
      <c r="G772" s="0" t="n">
        <v>22</v>
      </c>
      <c r="H772" s="29" t="n">
        <f aca="false">D772-E772</f>
        <v>4.4794844540039</v>
      </c>
      <c r="I772" s="29" t="n">
        <f aca="false">D772-D771</f>
        <v>-0.0125399010342004</v>
      </c>
      <c r="J772" s="29" t="n">
        <f aca="false">E772-E771</f>
        <v>-0.0118165289494323</v>
      </c>
      <c r="K772" s="0" t="n">
        <v>0</v>
      </c>
      <c r="L772" s="0" t="n">
        <v>0</v>
      </c>
      <c r="M772" s="29" t="n">
        <f aca="false">IF(L772=1,J772-Carry!$B$9/Inputs!$B$16,I772)</f>
        <v>-0.0125399010342004</v>
      </c>
      <c r="N772" s="0" t="n">
        <v>0.0525</v>
      </c>
      <c r="O772" s="0" t="n">
        <v>0.0005</v>
      </c>
      <c r="P772" s="29" t="n">
        <f aca="false">D772-('2 Hedge ratio'!$B$6+'2 Hedge ratio'!$B$5*E772)</f>
        <v>-0.0151470078704357</v>
      </c>
      <c r="Q772" s="29" t="n">
        <f aca="false">D772-('5 Re-specification'!$B$7+'5 Re-specification'!$B$5*E772+'5 Re-specification'!$B$6*F772)</f>
        <v>-0.00037536484567724</v>
      </c>
      <c r="R772" s="30" t="n">
        <f aca="false">MIN(F772,Inputs!$B$9)</f>
        <v>250</v>
      </c>
      <c r="S772" s="29" t="n">
        <f aca="true">IF(AND(F772&gt;=1,R772&gt;=Inputs!$B$10),INDEX(LINEST(OFFSET(D772,-R772,0,R772,1),OFFSET(E772,-R772,0,R772,2)),1,1),"")</f>
        <v>-3.82331287426126E-005</v>
      </c>
      <c r="T772" s="29" t="n">
        <f aca="true">IF(AND(F772&gt;=1,R772&gt;=Inputs!$B$10),INDEX(LINEST(OFFSET(D772,-R772,0,R772,1),OFFSET(E772,-R772,0,R772,2)),1,2),"")</f>
        <v>1.01305341008768</v>
      </c>
      <c r="U772" s="29" t="n">
        <f aca="true">IF(AND(F772&gt;=1,R772&gt;=Inputs!$B$10),INDEX(LINEST(OFFSET(D772,-R772,0,R772,1),OFFSET(E772,-R772,0,R772,2)),1,3),"")</f>
        <v>4.4360979077401</v>
      </c>
      <c r="V772" s="29" t="n">
        <f aca="true">IF(AND(F772&gt;=1,R772&gt;=Inputs!$B$10),SQRT(SUMPRODUCT((OFFSET(D772,-R772,0,R772,1)-U772-T772*OFFSET(E772,-R772,0,R772,1)-S772*OFFSET(F772,-R772,0,R772,1))^2)/(R772-3)),"")</f>
        <v>0.0023745349845612</v>
      </c>
      <c r="W772" s="31" t="n">
        <f aca="false">IF(AND(F772&gt;=1,R772&gt;=Inputs!$B$10),(D772-U772-T772*E772-S772*F772)/V772,"")</f>
        <v>0.000664941856534227</v>
      </c>
      <c r="X772" s="30" t="n">
        <f aca="false">IF(AB771&lt;&gt;0,AC771+1,0)</f>
        <v>0</v>
      </c>
      <c r="Y772" s="30" t="n">
        <f aca="false">IF(W772="",0,IF(AND(AB771&lt;&gt;0,OR(ABS(W772)&gt;Inputs!$B$7,X772&gt;=Inputs!$B$8,ABS(W772)&lt;Inputs!$B$6)),1,0))</f>
        <v>0</v>
      </c>
      <c r="Z772" s="30" t="n">
        <f aca="false">IF(Y772=1,0,AB771)</f>
        <v>0</v>
      </c>
      <c r="AA772" s="30" t="n">
        <f aca="false">IF(W772="",0,IF(AND(Z772=0,ABS(W772)&gt;Inputs!$B$5,ABS(W772)&lt;=Inputs!$B$7),1,0))</f>
        <v>0</v>
      </c>
      <c r="AB772" s="30" t="n">
        <f aca="false">IF(W772="",0,IF(AA772=1,-SIGN(W772),Z772))</f>
        <v>0</v>
      </c>
      <c r="AC772" s="30" t="n">
        <f aca="false">IF(W772="",0,IF(AA772=1,0,IF(Y772=1,0,X772)))</f>
        <v>0</v>
      </c>
      <c r="AD772" s="30" t="n">
        <f aca="false">IF(AB772=0,0,IF(AB771=AB772,AD771,T772))</f>
        <v>0</v>
      </c>
      <c r="AE772" s="30" t="n">
        <f aca="false">AB772-AB771</f>
        <v>0</v>
      </c>
      <c r="AF772" s="30" t="n">
        <f aca="false">-AD772*AB772</f>
        <v>-0</v>
      </c>
      <c r="AG772" s="30" t="n">
        <f aca="false">AF772-AF771</f>
        <v>0</v>
      </c>
      <c r="AH772" s="30" t="n">
        <f aca="false">MAX(AE772,0)*(Inputs!$B$17+Inputs!$B$18+Inputs!$B$19)+MAX(-AE772,0)*(O772+Inputs!$B$18+Inputs!$B$19)+IF(AND(K772=1,AB772&lt;&gt;0),(Inputs!$B$17+Inputs!$B$18+Inputs!$B$19)+(O772+Inputs!$B$18+Inputs!$B$19),0)+MAX(AG772,0)*(Inputs!$B$20+Inputs!$B$22+Inputs!$B$23)+MAX(-AG772,0)*(Inputs!$B$21+Inputs!$B$22+Inputs!$B$23)</f>
        <v>0</v>
      </c>
      <c r="AI772" s="30" t="n">
        <f aca="false">AB771*(M772-AD771*J772)+AB771*AD771*N772/Inputs!$B$16-AH772</f>
        <v>0</v>
      </c>
      <c r="AJ772" s="30" t="n">
        <f aca="false">MAX(AE772,0)*(Inputs!$B$17+Inputs!$B$24+Inputs!$B$25)+MAX(-AE772,0)*(O772+Inputs!$B$24+Inputs!$B$25)+IF(AND(K772=1,AB772&lt;&gt;0),(Inputs!$B$17+Inputs!$B$24+Inputs!$B$25)+(O772+Inputs!$B$24+Inputs!$B$25),0)+MAX(AG772,0)*(Inputs!$B$20+Inputs!$B$26+Inputs!$B$27)+MAX(-AG772,0)*(Inputs!$B$21+Inputs!$B$26+Inputs!$B$27)</f>
        <v>0</v>
      </c>
      <c r="AK772" s="30" t="n">
        <f aca="false">AB771*(M772-AD771*J772)+AB771*AD771*(N772+Inputs!$B$14)/Inputs!$B$16-AJ772</f>
        <v>0</v>
      </c>
      <c r="AL772" s="30" t="n">
        <f aca="false">IF(AP771&lt;&gt;0,AQ771+1,0)</f>
        <v>0</v>
      </c>
      <c r="AM772" s="30" t="n">
        <f aca="false">IF(W772="",0,IF(AND(AP771&lt;&gt;0,OR(ABS(W772)&gt;Inputs!$B$7,AL772&gt;=Inputs!$B$8,ABS(W772)&lt;Inputs!$B$6)),1,0))</f>
        <v>0</v>
      </c>
      <c r="AN772" s="30" t="n">
        <f aca="false">IF(AM772=1,0,AP771)</f>
        <v>0</v>
      </c>
      <c r="AO772" s="30" t="n">
        <f aca="false">IF(W772="",0,IF(AND(AN772=0,ABS(W772)&gt;Inputs!$B$5,ABS(W772)&lt;=Inputs!$B$7,W772&gt;0),1,0))</f>
        <v>0</v>
      </c>
      <c r="AP772" s="30" t="n">
        <f aca="false">IF(W772="",0,IF(AO772=1,-SIGN(W772),AN772))</f>
        <v>0</v>
      </c>
      <c r="AQ772" s="30" t="n">
        <f aca="false">IF(W772="",0,IF(AO772=1,0,IF(AM772=1,0,AL772)))</f>
        <v>0</v>
      </c>
      <c r="AR772" s="30" t="n">
        <f aca="false">IF(AP772=0,0,IF(AP771=AP772,AR771,T772))</f>
        <v>0</v>
      </c>
      <c r="AS772" s="30" t="n">
        <f aca="false">AP772-AP771</f>
        <v>0</v>
      </c>
      <c r="AT772" s="30" t="n">
        <f aca="false">-AR772*AP772</f>
        <v>-0</v>
      </c>
      <c r="AU772" s="30" t="n">
        <f aca="false">AT772-AT771</f>
        <v>0</v>
      </c>
      <c r="AV772" s="30" t="n">
        <f aca="false">MAX(AS772,0)*(Inputs!$B$17+Inputs!$B$18+Inputs!$B$19)+MAX(-AS772,0)*(O772+Inputs!$B$18+Inputs!$B$19)+IF(AND(K772=1,AP772&lt;&gt;0),(Inputs!$B$17+Inputs!$B$18+Inputs!$B$19)+(O772+Inputs!$B$18+Inputs!$B$19),0)+MAX(AU772,0)*(Inputs!$B$20+Inputs!$B$22+Inputs!$B$23)+MAX(-AU772,0)*(Inputs!$B$21+Inputs!$B$22+Inputs!$B$23)</f>
        <v>0</v>
      </c>
      <c r="AW772" s="30" t="n">
        <f aca="false">AP771*(M772-AR771*J772)+AP771*AR771*N772/Inputs!$B$16-AV772</f>
        <v>0</v>
      </c>
      <c r="AX772" s="30" t="n">
        <f aca="false">AW772-IF(AP771&lt;&gt;0,0.75*AR771*(Inputs!$B$13-N772)/Inputs!$B$16,0)</f>
        <v>0</v>
      </c>
      <c r="AY772" s="30" t="n">
        <f aca="false">MAX(AS772,0)*(Inputs!$B$17+Inputs!$B$18+Inputs!$B$19)+MAX(-AS772,0)*(O772+Inputs!$B$18+Inputs!$B$19)+IF(AND(K772=1,AP772&lt;&gt;0),(Inputs!$B$17+Inputs!$B$18+Inputs!$B$19)+(O772+Inputs!$B$18+Inputs!$B$19),0)</f>
        <v>0</v>
      </c>
      <c r="AZ772" s="30" t="n">
        <f aca="false">AP771*M772-AY772</f>
        <v>-0</v>
      </c>
      <c r="BA772" s="32" t="n">
        <f aca="false">BA771+AI772</f>
        <v>0.0216474989857012</v>
      </c>
      <c r="BB772" s="30" t="n">
        <f aca="false">MAX(BB771,BA772)</f>
        <v>0.0261726191772394</v>
      </c>
      <c r="BC772" s="32" t="n">
        <f aca="false">BA772-BB772</f>
        <v>-0.00452512019153816</v>
      </c>
      <c r="BD772" s="30" t="n">
        <f aca="false">A773-A772</f>
        <v>1</v>
      </c>
    </row>
    <row r="773" customFormat="false" ht="15" hidden="false" customHeight="false" outlineLevel="0" collapsed="false">
      <c r="A773" s="28" t="n">
        <v>46182</v>
      </c>
      <c r="B773" s="0" t="n">
        <v>23347</v>
      </c>
      <c r="C773" s="0" t="n">
        <v>264.05</v>
      </c>
      <c r="D773" s="29" t="n">
        <f aca="false">LN(B773)</f>
        <v>10.0582237751854</v>
      </c>
      <c r="E773" s="29" t="n">
        <f aca="false">LN(C773)</f>
        <v>5.57613847915294</v>
      </c>
      <c r="F773" s="0" t="n">
        <v>768</v>
      </c>
      <c r="G773" s="0" t="n">
        <v>21</v>
      </c>
      <c r="H773" s="29" t="n">
        <f aca="false">D773-E773</f>
        <v>4.4820852960325</v>
      </c>
      <c r="I773" s="29" t="n">
        <f aca="false">D773-D772</f>
        <v>0.00856443252868822</v>
      </c>
      <c r="J773" s="29" t="n">
        <f aca="false">E773-E772</f>
        <v>0.00596359050009632</v>
      </c>
      <c r="K773" s="0" t="n">
        <v>0</v>
      </c>
      <c r="L773" s="0" t="n">
        <v>0</v>
      </c>
      <c r="M773" s="29" t="n">
        <f aca="false">IF(L773=1,J773-Carry!$B$9/Inputs!$B$16,I773)</f>
        <v>0.00856443252868822</v>
      </c>
      <c r="N773" s="0" t="n">
        <v>0.0525</v>
      </c>
      <c r="O773" s="0" t="n">
        <v>0.0005</v>
      </c>
      <c r="P773" s="29" t="n">
        <f aca="false">D773-('2 Hedge ratio'!$B$6+'2 Hedge ratio'!$B$5*E773)</f>
        <v>-0.0120459801800745</v>
      </c>
      <c r="Q773" s="29" t="n">
        <f aca="false">D773-('5 Re-specification'!$B$7+'5 Re-specification'!$B$5*E773+'5 Re-specification'!$B$6*F773)</f>
        <v>0.00228847916214825</v>
      </c>
      <c r="R773" s="30" t="n">
        <f aca="false">MIN(F773,Inputs!$B$9)</f>
        <v>250</v>
      </c>
      <c r="S773" s="29" t="n">
        <f aca="true">IF(AND(F773&gt;=1,R773&gt;=Inputs!$B$10),INDEX(LINEST(OFFSET(D773,-R773,0,R773,1),OFFSET(E773,-R773,0,R773,2)),1,1),"")</f>
        <v>-3.78236575127448E-005</v>
      </c>
      <c r="T773" s="29" t="n">
        <f aca="true">IF(AND(F773&gt;=1,R773&gt;=Inputs!$B$10),INDEX(LINEST(OFFSET(D773,-R773,0,R773,1),OFFSET(E773,-R773,0,R773,2)),1,2),"")</f>
        <v>1.01360676190438</v>
      </c>
      <c r="U773" s="29" t="n">
        <f aca="true">IF(AND(F773&gt;=1,R773&gt;=Inputs!$B$10),INDEX(LINEST(OFFSET(D773,-R773,0,R773,1),OFFSET(E773,-R773,0,R773,2)),1,3),"")</f>
        <v>4.43269991136228</v>
      </c>
      <c r="V773" s="29" t="n">
        <f aca="true">IF(AND(F773&gt;=1,R773&gt;=Inputs!$B$10),SQRT(SUMPRODUCT((OFFSET(D773,-R773,0,R773,1)-U773-T773*OFFSET(E773,-R773,0,R773,1)-S773*OFFSET(F773,-R773,0,R773,1))^2)/(R773-3)),"")</f>
        <v>0.00236545262776966</v>
      </c>
      <c r="W773" s="31" t="n">
        <f aca="false">IF(AND(F773&gt;=1,R773&gt;=Inputs!$B$10),(D773-U773-T773*E773-S773*F773)/V773,"")</f>
        <v>1.08256871359414</v>
      </c>
      <c r="X773" s="30" t="n">
        <f aca="false">IF(AB772&lt;&gt;0,AC772+1,0)</f>
        <v>0</v>
      </c>
      <c r="Y773" s="30" t="n">
        <f aca="false">IF(W773="",0,IF(AND(AB772&lt;&gt;0,OR(ABS(W773)&gt;Inputs!$B$7,X773&gt;=Inputs!$B$8,ABS(W773)&lt;Inputs!$B$6)),1,0))</f>
        <v>0</v>
      </c>
      <c r="Z773" s="30" t="n">
        <f aca="false">IF(Y773=1,0,AB772)</f>
        <v>0</v>
      </c>
      <c r="AA773" s="30" t="n">
        <f aca="false">IF(W773="",0,IF(AND(Z773=0,ABS(W773)&gt;Inputs!$B$5,ABS(W773)&lt;=Inputs!$B$7),1,0))</f>
        <v>0</v>
      </c>
      <c r="AB773" s="30" t="n">
        <f aca="false">IF(W773="",0,IF(AA773=1,-SIGN(W773),Z773))</f>
        <v>0</v>
      </c>
      <c r="AC773" s="30" t="n">
        <f aca="false">IF(W773="",0,IF(AA773=1,0,IF(Y773=1,0,X773)))</f>
        <v>0</v>
      </c>
      <c r="AD773" s="30" t="n">
        <f aca="false">IF(AB773=0,0,IF(AB772=AB773,AD772,T773))</f>
        <v>0</v>
      </c>
      <c r="AE773" s="30" t="n">
        <f aca="false">AB773-AB772</f>
        <v>0</v>
      </c>
      <c r="AF773" s="30" t="n">
        <f aca="false">-AD773*AB773</f>
        <v>-0</v>
      </c>
      <c r="AG773" s="30" t="n">
        <f aca="false">AF773-AF772</f>
        <v>0</v>
      </c>
      <c r="AH773" s="30" t="n">
        <f aca="false">MAX(AE773,0)*(Inputs!$B$17+Inputs!$B$18+Inputs!$B$19)+MAX(-AE773,0)*(O773+Inputs!$B$18+Inputs!$B$19)+IF(AND(K773=1,AB773&lt;&gt;0),(Inputs!$B$17+Inputs!$B$18+Inputs!$B$19)+(O773+Inputs!$B$18+Inputs!$B$19),0)+MAX(AG773,0)*(Inputs!$B$20+Inputs!$B$22+Inputs!$B$23)+MAX(-AG773,0)*(Inputs!$B$21+Inputs!$B$22+Inputs!$B$23)</f>
        <v>0</v>
      </c>
      <c r="AI773" s="30" t="n">
        <f aca="false">AB772*(M773-AD772*J773)+AB772*AD772*N773/Inputs!$B$16-AH773</f>
        <v>0</v>
      </c>
      <c r="AJ773" s="30" t="n">
        <f aca="false">MAX(AE773,0)*(Inputs!$B$17+Inputs!$B$24+Inputs!$B$25)+MAX(-AE773,0)*(O773+Inputs!$B$24+Inputs!$B$25)+IF(AND(K773=1,AB773&lt;&gt;0),(Inputs!$B$17+Inputs!$B$24+Inputs!$B$25)+(O773+Inputs!$B$24+Inputs!$B$25),0)+MAX(AG773,0)*(Inputs!$B$20+Inputs!$B$26+Inputs!$B$27)+MAX(-AG773,0)*(Inputs!$B$21+Inputs!$B$26+Inputs!$B$27)</f>
        <v>0</v>
      </c>
      <c r="AK773" s="30" t="n">
        <f aca="false">AB772*(M773-AD772*J773)+AB772*AD772*(N773+Inputs!$B$14)/Inputs!$B$16-AJ773</f>
        <v>0</v>
      </c>
      <c r="AL773" s="30" t="n">
        <f aca="false">IF(AP772&lt;&gt;0,AQ772+1,0)</f>
        <v>0</v>
      </c>
      <c r="AM773" s="30" t="n">
        <f aca="false">IF(W773="",0,IF(AND(AP772&lt;&gt;0,OR(ABS(W773)&gt;Inputs!$B$7,AL773&gt;=Inputs!$B$8,ABS(W773)&lt;Inputs!$B$6)),1,0))</f>
        <v>0</v>
      </c>
      <c r="AN773" s="30" t="n">
        <f aca="false">IF(AM773=1,0,AP772)</f>
        <v>0</v>
      </c>
      <c r="AO773" s="30" t="n">
        <f aca="false">IF(W773="",0,IF(AND(AN773=0,ABS(W773)&gt;Inputs!$B$5,ABS(W773)&lt;=Inputs!$B$7,W773&gt;0),1,0))</f>
        <v>0</v>
      </c>
      <c r="AP773" s="30" t="n">
        <f aca="false">IF(W773="",0,IF(AO773=1,-SIGN(W773),AN773))</f>
        <v>0</v>
      </c>
      <c r="AQ773" s="30" t="n">
        <f aca="false">IF(W773="",0,IF(AO773=1,0,IF(AM773=1,0,AL773)))</f>
        <v>0</v>
      </c>
      <c r="AR773" s="30" t="n">
        <f aca="false">IF(AP773=0,0,IF(AP772=AP773,AR772,T773))</f>
        <v>0</v>
      </c>
      <c r="AS773" s="30" t="n">
        <f aca="false">AP773-AP772</f>
        <v>0</v>
      </c>
      <c r="AT773" s="30" t="n">
        <f aca="false">-AR773*AP773</f>
        <v>-0</v>
      </c>
      <c r="AU773" s="30" t="n">
        <f aca="false">AT773-AT772</f>
        <v>0</v>
      </c>
      <c r="AV773" s="30" t="n">
        <f aca="false">MAX(AS773,0)*(Inputs!$B$17+Inputs!$B$18+Inputs!$B$19)+MAX(-AS773,0)*(O773+Inputs!$B$18+Inputs!$B$19)+IF(AND(K773=1,AP773&lt;&gt;0),(Inputs!$B$17+Inputs!$B$18+Inputs!$B$19)+(O773+Inputs!$B$18+Inputs!$B$19),0)+MAX(AU773,0)*(Inputs!$B$20+Inputs!$B$22+Inputs!$B$23)+MAX(-AU773,0)*(Inputs!$B$21+Inputs!$B$22+Inputs!$B$23)</f>
        <v>0</v>
      </c>
      <c r="AW773" s="30" t="n">
        <f aca="false">AP772*(M773-AR772*J773)+AP772*AR772*N773/Inputs!$B$16-AV773</f>
        <v>0</v>
      </c>
      <c r="AX773" s="30" t="n">
        <f aca="false">AW773-IF(AP772&lt;&gt;0,0.75*AR772*(Inputs!$B$13-N773)/Inputs!$B$16,0)</f>
        <v>0</v>
      </c>
      <c r="AY773" s="30" t="n">
        <f aca="false">MAX(AS773,0)*(Inputs!$B$17+Inputs!$B$18+Inputs!$B$19)+MAX(-AS773,0)*(O773+Inputs!$B$18+Inputs!$B$19)+IF(AND(K773=1,AP773&lt;&gt;0),(Inputs!$B$17+Inputs!$B$18+Inputs!$B$19)+(O773+Inputs!$B$18+Inputs!$B$19),0)</f>
        <v>0</v>
      </c>
      <c r="AZ773" s="30" t="n">
        <f aca="false">AP772*M773-AY773</f>
        <v>0</v>
      </c>
      <c r="BA773" s="32" t="n">
        <f aca="false">BA772+AI773</f>
        <v>0.0216474989857012</v>
      </c>
      <c r="BB773" s="30" t="n">
        <f aca="false">MAX(BB772,BA773)</f>
        <v>0.0261726191772394</v>
      </c>
      <c r="BC773" s="32" t="n">
        <f aca="false">BA773-BB773</f>
        <v>-0.00452512019153816</v>
      </c>
      <c r="BD773" s="30" t="n">
        <f aca="false">A774-A773</f>
        <v>1</v>
      </c>
    </row>
    <row r="774" customFormat="false" ht="15" hidden="false" customHeight="false" outlineLevel="0" collapsed="false">
      <c r="A774" s="28" t="n">
        <v>46183</v>
      </c>
      <c r="B774" s="0" t="n">
        <v>23236</v>
      </c>
      <c r="C774" s="0" t="n">
        <v>263.05</v>
      </c>
      <c r="D774" s="29" t="n">
        <f aca="false">LN(B774)</f>
        <v>10.0534580791124</v>
      </c>
      <c r="E774" s="29" t="n">
        <f aca="false">LN(C774)</f>
        <v>5.57234412817682</v>
      </c>
      <c r="F774" s="0" t="n">
        <v>769</v>
      </c>
      <c r="G774" s="0" t="n">
        <v>20</v>
      </c>
      <c r="H774" s="29" t="n">
        <f aca="false">D774-E774</f>
        <v>4.48111395093561</v>
      </c>
      <c r="I774" s="29" t="n">
        <f aca="false">D774-D773</f>
        <v>-0.00476569607301514</v>
      </c>
      <c r="J774" s="29" t="n">
        <f aca="false">E774-E773</f>
        <v>-0.00379435097612646</v>
      </c>
      <c r="K774" s="0" t="n">
        <v>0</v>
      </c>
      <c r="L774" s="0" t="n">
        <v>0</v>
      </c>
      <c r="M774" s="29" t="n">
        <f aca="false">IF(L774=1,J774-Carry!$B$9/Inputs!$B$16,I774)</f>
        <v>-0.00476569607301514</v>
      </c>
      <c r="N774" s="0" t="n">
        <v>0.0525</v>
      </c>
      <c r="O774" s="0" t="n">
        <v>0.0005</v>
      </c>
      <c r="P774" s="29" t="n">
        <f aca="false">D774-('2 Hedge ratio'!$B$6+'2 Hedge ratio'!$B$5*E774)</f>
        <v>-0.0133355697898878</v>
      </c>
      <c r="Q774" s="29" t="n">
        <f aca="false">D774-('5 Re-specification'!$B$7+'5 Re-specification'!$B$5*E774+'5 Re-specification'!$B$6*F774)</f>
        <v>0.0013505646026406</v>
      </c>
      <c r="R774" s="30" t="n">
        <f aca="false">MIN(F774,Inputs!$B$9)</f>
        <v>250</v>
      </c>
      <c r="S774" s="29" t="n">
        <f aca="true">IF(AND(F774&gt;=1,R774&gt;=Inputs!$B$10),INDEX(LINEST(OFFSET(D774,-R774,0,R774,1),OFFSET(E774,-R774,0,R774,2)),1,1),"")</f>
        <v>-3.71575983896322E-005</v>
      </c>
      <c r="T774" s="29" t="n">
        <f aca="true">IF(AND(F774&gt;=1,R774&gt;=Inputs!$B$10),INDEX(LINEST(OFFSET(D774,-R774,0,R774,1),OFFSET(E774,-R774,0,R774,2)),1,2),"")</f>
        <v>1.01384106111209</v>
      </c>
      <c r="U774" s="29" t="n">
        <f aca="true">IF(AND(F774&gt;=1,R774&gt;=Inputs!$B$10),INDEX(LINEST(OFFSET(D774,-R774,0,R774,1),OFFSET(E774,-R774,0,R774,2)),1,3),"")</f>
        <v>4.43094399992419</v>
      </c>
      <c r="V774" s="29" t="n">
        <f aca="true">IF(AND(F774&gt;=1,R774&gt;=Inputs!$B$10),SQRT(SUMPRODUCT((OFFSET(D774,-R774,0,R774,1)-U774-T774*OFFSET(E774,-R774,0,R774,1)-S774*OFFSET(F774,-R774,0,R774,1))^2)/(R774-3)),"")</f>
        <v>0.00235747476664624</v>
      </c>
      <c r="W774" s="31" t="n">
        <f aca="false">IF(AND(F774&gt;=1,R774&gt;=Inputs!$B$10),(D774-U774-T774*E774-S774*F774)/V774,"")</f>
        <v>0.685898564094059</v>
      </c>
      <c r="X774" s="30" t="n">
        <f aca="false">IF(AB773&lt;&gt;0,AC773+1,0)</f>
        <v>0</v>
      </c>
      <c r="Y774" s="30" t="n">
        <f aca="false">IF(W774="",0,IF(AND(AB773&lt;&gt;0,OR(ABS(W774)&gt;Inputs!$B$7,X774&gt;=Inputs!$B$8,ABS(W774)&lt;Inputs!$B$6)),1,0))</f>
        <v>0</v>
      </c>
      <c r="Z774" s="30" t="n">
        <f aca="false">IF(Y774=1,0,AB773)</f>
        <v>0</v>
      </c>
      <c r="AA774" s="30" t="n">
        <f aca="false">IF(W774="",0,IF(AND(Z774=0,ABS(W774)&gt;Inputs!$B$5,ABS(W774)&lt;=Inputs!$B$7),1,0))</f>
        <v>0</v>
      </c>
      <c r="AB774" s="30" t="n">
        <f aca="false">IF(W774="",0,IF(AA774=1,-SIGN(W774),Z774))</f>
        <v>0</v>
      </c>
      <c r="AC774" s="30" t="n">
        <f aca="false">IF(W774="",0,IF(AA774=1,0,IF(Y774=1,0,X774)))</f>
        <v>0</v>
      </c>
      <c r="AD774" s="30" t="n">
        <f aca="false">IF(AB774=0,0,IF(AB773=AB774,AD773,T774))</f>
        <v>0</v>
      </c>
      <c r="AE774" s="30" t="n">
        <f aca="false">AB774-AB773</f>
        <v>0</v>
      </c>
      <c r="AF774" s="30" t="n">
        <f aca="false">-AD774*AB774</f>
        <v>-0</v>
      </c>
      <c r="AG774" s="30" t="n">
        <f aca="false">AF774-AF773</f>
        <v>0</v>
      </c>
      <c r="AH774" s="30" t="n">
        <f aca="false">MAX(AE774,0)*(Inputs!$B$17+Inputs!$B$18+Inputs!$B$19)+MAX(-AE774,0)*(O774+Inputs!$B$18+Inputs!$B$19)+IF(AND(K774=1,AB774&lt;&gt;0),(Inputs!$B$17+Inputs!$B$18+Inputs!$B$19)+(O774+Inputs!$B$18+Inputs!$B$19),0)+MAX(AG774,0)*(Inputs!$B$20+Inputs!$B$22+Inputs!$B$23)+MAX(-AG774,0)*(Inputs!$B$21+Inputs!$B$22+Inputs!$B$23)</f>
        <v>0</v>
      </c>
      <c r="AI774" s="30" t="n">
        <f aca="false">AB773*(M774-AD773*J774)+AB773*AD773*N774/Inputs!$B$16-AH774</f>
        <v>0</v>
      </c>
      <c r="AJ774" s="30" t="n">
        <f aca="false">MAX(AE774,0)*(Inputs!$B$17+Inputs!$B$24+Inputs!$B$25)+MAX(-AE774,0)*(O774+Inputs!$B$24+Inputs!$B$25)+IF(AND(K774=1,AB774&lt;&gt;0),(Inputs!$B$17+Inputs!$B$24+Inputs!$B$25)+(O774+Inputs!$B$24+Inputs!$B$25),0)+MAX(AG774,0)*(Inputs!$B$20+Inputs!$B$26+Inputs!$B$27)+MAX(-AG774,0)*(Inputs!$B$21+Inputs!$B$26+Inputs!$B$27)</f>
        <v>0</v>
      </c>
      <c r="AK774" s="30" t="n">
        <f aca="false">AB773*(M774-AD773*J774)+AB773*AD773*(N774+Inputs!$B$14)/Inputs!$B$16-AJ774</f>
        <v>0</v>
      </c>
      <c r="AL774" s="30" t="n">
        <f aca="false">IF(AP773&lt;&gt;0,AQ773+1,0)</f>
        <v>0</v>
      </c>
      <c r="AM774" s="30" t="n">
        <f aca="false">IF(W774="",0,IF(AND(AP773&lt;&gt;0,OR(ABS(W774)&gt;Inputs!$B$7,AL774&gt;=Inputs!$B$8,ABS(W774)&lt;Inputs!$B$6)),1,0))</f>
        <v>0</v>
      </c>
      <c r="AN774" s="30" t="n">
        <f aca="false">IF(AM774=1,0,AP773)</f>
        <v>0</v>
      </c>
      <c r="AO774" s="30" t="n">
        <f aca="false">IF(W774="",0,IF(AND(AN774=0,ABS(W774)&gt;Inputs!$B$5,ABS(W774)&lt;=Inputs!$B$7,W774&gt;0),1,0))</f>
        <v>0</v>
      </c>
      <c r="AP774" s="30" t="n">
        <f aca="false">IF(W774="",0,IF(AO774=1,-SIGN(W774),AN774))</f>
        <v>0</v>
      </c>
      <c r="AQ774" s="30" t="n">
        <f aca="false">IF(W774="",0,IF(AO774=1,0,IF(AM774=1,0,AL774)))</f>
        <v>0</v>
      </c>
      <c r="AR774" s="30" t="n">
        <f aca="false">IF(AP774=0,0,IF(AP773=AP774,AR773,T774))</f>
        <v>0</v>
      </c>
      <c r="AS774" s="30" t="n">
        <f aca="false">AP774-AP773</f>
        <v>0</v>
      </c>
      <c r="AT774" s="30" t="n">
        <f aca="false">-AR774*AP774</f>
        <v>-0</v>
      </c>
      <c r="AU774" s="30" t="n">
        <f aca="false">AT774-AT773</f>
        <v>0</v>
      </c>
      <c r="AV774" s="30" t="n">
        <f aca="false">MAX(AS774,0)*(Inputs!$B$17+Inputs!$B$18+Inputs!$B$19)+MAX(-AS774,0)*(O774+Inputs!$B$18+Inputs!$B$19)+IF(AND(K774=1,AP774&lt;&gt;0),(Inputs!$B$17+Inputs!$B$18+Inputs!$B$19)+(O774+Inputs!$B$18+Inputs!$B$19),0)+MAX(AU774,0)*(Inputs!$B$20+Inputs!$B$22+Inputs!$B$23)+MAX(-AU774,0)*(Inputs!$B$21+Inputs!$B$22+Inputs!$B$23)</f>
        <v>0</v>
      </c>
      <c r="AW774" s="30" t="n">
        <f aca="false">AP773*(M774-AR773*J774)+AP773*AR773*N774/Inputs!$B$16-AV774</f>
        <v>0</v>
      </c>
      <c r="AX774" s="30" t="n">
        <f aca="false">AW774-IF(AP773&lt;&gt;0,0.75*AR773*(Inputs!$B$13-N774)/Inputs!$B$16,0)</f>
        <v>0</v>
      </c>
      <c r="AY774" s="30" t="n">
        <f aca="false">MAX(AS774,0)*(Inputs!$B$17+Inputs!$B$18+Inputs!$B$19)+MAX(-AS774,0)*(O774+Inputs!$B$18+Inputs!$B$19)+IF(AND(K774=1,AP774&lt;&gt;0),(Inputs!$B$17+Inputs!$B$18+Inputs!$B$19)+(O774+Inputs!$B$18+Inputs!$B$19),0)</f>
        <v>0</v>
      </c>
      <c r="AZ774" s="30" t="n">
        <f aca="false">AP773*M774-AY774</f>
        <v>-0</v>
      </c>
      <c r="BA774" s="32" t="n">
        <f aca="false">BA773+AI774</f>
        <v>0.0216474989857012</v>
      </c>
      <c r="BB774" s="30" t="n">
        <f aca="false">MAX(BB773,BA774)</f>
        <v>0.0261726191772394</v>
      </c>
      <c r="BC774" s="32" t="n">
        <f aca="false">BA774-BB774</f>
        <v>-0.00452512019153816</v>
      </c>
      <c r="BD774" s="30" t="n">
        <f aca="false">A775-A774</f>
        <v>1</v>
      </c>
    </row>
    <row r="775" customFormat="false" ht="15" hidden="false" customHeight="false" outlineLevel="0" collapsed="false">
      <c r="A775" s="28" t="n">
        <v>46184</v>
      </c>
      <c r="B775" s="0" t="n">
        <v>23227.9</v>
      </c>
      <c r="C775" s="0" t="n">
        <v>262.94</v>
      </c>
      <c r="D775" s="29" t="n">
        <f aca="false">LN(B775)</f>
        <v>10.0531094213337</v>
      </c>
      <c r="E775" s="29" t="n">
        <f aca="false">LN(C775)</f>
        <v>5.57192586926846</v>
      </c>
      <c r="F775" s="0" t="n">
        <v>770</v>
      </c>
      <c r="G775" s="0" t="n">
        <v>19</v>
      </c>
      <c r="H775" s="29" t="n">
        <f aca="false">D775-E775</f>
        <v>4.48118355206526</v>
      </c>
      <c r="I775" s="29" t="n">
        <f aca="false">D775-D774</f>
        <v>-0.000348657778706851</v>
      </c>
      <c r="J775" s="29" t="n">
        <f aca="false">E775-E774</f>
        <v>-0.000418258908357672</v>
      </c>
      <c r="K775" s="0" t="n">
        <v>0</v>
      </c>
      <c r="L775" s="0" t="n">
        <v>0</v>
      </c>
      <c r="M775" s="29" t="n">
        <f aca="false">IF(L775=1,J775-Carry!$B$9/Inputs!$B$16,I775)</f>
        <v>-0.000348657778706851</v>
      </c>
      <c r="N775" s="0" t="n">
        <v>0.0525</v>
      </c>
      <c r="O775" s="0" t="n">
        <v>0.0005</v>
      </c>
      <c r="P775" s="29" t="n">
        <f aca="false">D775-('2 Hedge ratio'!$B$6+'2 Hedge ratio'!$B$5*E775)</f>
        <v>-0.0133010493903534</v>
      </c>
      <c r="Q775" s="29" t="n">
        <f aca="false">D775-('5 Re-specification'!$B$7+'5 Re-specification'!$B$5*E775+'5 Re-specification'!$B$6*F775)</f>
        <v>0.00146382751675844</v>
      </c>
      <c r="R775" s="30" t="n">
        <f aca="false">MIN(F775,Inputs!$B$9)</f>
        <v>250</v>
      </c>
      <c r="S775" s="29" t="n">
        <f aca="true">IF(AND(F775&gt;=1,R775&gt;=Inputs!$B$10),INDEX(LINEST(OFFSET(D775,-R775,0,R775,1),OFFSET(E775,-R775,0,R775,2)),1,1),"")</f>
        <v>-3.65097527979495E-005</v>
      </c>
      <c r="T775" s="29" t="n">
        <f aca="true">IF(AND(F775&gt;=1,R775&gt;=Inputs!$B$10),INDEX(LINEST(OFFSET(D775,-R775,0,R775,1),OFFSET(E775,-R775,0,R775,2)),1,2),"")</f>
        <v>1.01420692848176</v>
      </c>
      <c r="U775" s="29" t="n">
        <f aca="true">IF(AND(F775&gt;=1,R775&gt;=Inputs!$B$10),INDEX(LINEST(OFFSET(D775,-R775,0,R775,1),OFFSET(E775,-R775,0,R775,2)),1,3),"")</f>
        <v>4.42845133105775</v>
      </c>
      <c r="V775" s="29" t="n">
        <f aca="true">IF(AND(F775&gt;=1,R775&gt;=Inputs!$B$10),SQRT(SUMPRODUCT((OFFSET(D775,-R775,0,R775,1)-U775-T775*OFFSET(E775,-R775,0,R775,1)-S775*OFFSET(F775,-R775,0,R775,1))^2)/(R775-3)),"")</f>
        <v>0.00234278420575752</v>
      </c>
      <c r="W775" s="31" t="n">
        <f aca="false">IF(AND(F775&gt;=1,R775&gt;=Inputs!$B$10),(D775-U775-T775*E775-S775*F775)/V775,"")</f>
        <v>0.719135090379022</v>
      </c>
      <c r="X775" s="30" t="n">
        <f aca="false">IF(AB774&lt;&gt;0,AC774+1,0)</f>
        <v>0</v>
      </c>
      <c r="Y775" s="30" t="n">
        <f aca="false">IF(W775="",0,IF(AND(AB774&lt;&gt;0,OR(ABS(W775)&gt;Inputs!$B$7,X775&gt;=Inputs!$B$8,ABS(W775)&lt;Inputs!$B$6)),1,0))</f>
        <v>0</v>
      </c>
      <c r="Z775" s="30" t="n">
        <f aca="false">IF(Y775=1,0,AB774)</f>
        <v>0</v>
      </c>
      <c r="AA775" s="30" t="n">
        <f aca="false">IF(W775="",0,IF(AND(Z775=0,ABS(W775)&gt;Inputs!$B$5,ABS(W775)&lt;=Inputs!$B$7),1,0))</f>
        <v>0</v>
      </c>
      <c r="AB775" s="30" t="n">
        <f aca="false">IF(W775="",0,IF(AA775=1,-SIGN(W775),Z775))</f>
        <v>0</v>
      </c>
      <c r="AC775" s="30" t="n">
        <f aca="false">IF(W775="",0,IF(AA775=1,0,IF(Y775=1,0,X775)))</f>
        <v>0</v>
      </c>
      <c r="AD775" s="30" t="n">
        <f aca="false">IF(AB775=0,0,IF(AB774=AB775,AD774,T775))</f>
        <v>0</v>
      </c>
      <c r="AE775" s="30" t="n">
        <f aca="false">AB775-AB774</f>
        <v>0</v>
      </c>
      <c r="AF775" s="30" t="n">
        <f aca="false">-AD775*AB775</f>
        <v>-0</v>
      </c>
      <c r="AG775" s="30" t="n">
        <f aca="false">AF775-AF774</f>
        <v>0</v>
      </c>
      <c r="AH775" s="30" t="n">
        <f aca="false">MAX(AE775,0)*(Inputs!$B$17+Inputs!$B$18+Inputs!$B$19)+MAX(-AE775,0)*(O775+Inputs!$B$18+Inputs!$B$19)+IF(AND(K775=1,AB775&lt;&gt;0),(Inputs!$B$17+Inputs!$B$18+Inputs!$B$19)+(O775+Inputs!$B$18+Inputs!$B$19),0)+MAX(AG775,0)*(Inputs!$B$20+Inputs!$B$22+Inputs!$B$23)+MAX(-AG775,0)*(Inputs!$B$21+Inputs!$B$22+Inputs!$B$23)</f>
        <v>0</v>
      </c>
      <c r="AI775" s="30" t="n">
        <f aca="false">AB774*(M775-AD774*J775)+AB774*AD774*N775/Inputs!$B$16-AH775</f>
        <v>0</v>
      </c>
      <c r="AJ775" s="30" t="n">
        <f aca="false">MAX(AE775,0)*(Inputs!$B$17+Inputs!$B$24+Inputs!$B$25)+MAX(-AE775,0)*(O775+Inputs!$B$24+Inputs!$B$25)+IF(AND(K775=1,AB775&lt;&gt;0),(Inputs!$B$17+Inputs!$B$24+Inputs!$B$25)+(O775+Inputs!$B$24+Inputs!$B$25),0)+MAX(AG775,0)*(Inputs!$B$20+Inputs!$B$26+Inputs!$B$27)+MAX(-AG775,0)*(Inputs!$B$21+Inputs!$B$26+Inputs!$B$27)</f>
        <v>0</v>
      </c>
      <c r="AK775" s="30" t="n">
        <f aca="false">AB774*(M775-AD774*J775)+AB774*AD774*(N775+Inputs!$B$14)/Inputs!$B$16-AJ775</f>
        <v>0</v>
      </c>
      <c r="AL775" s="30" t="n">
        <f aca="false">IF(AP774&lt;&gt;0,AQ774+1,0)</f>
        <v>0</v>
      </c>
      <c r="AM775" s="30" t="n">
        <f aca="false">IF(W775="",0,IF(AND(AP774&lt;&gt;0,OR(ABS(W775)&gt;Inputs!$B$7,AL775&gt;=Inputs!$B$8,ABS(W775)&lt;Inputs!$B$6)),1,0))</f>
        <v>0</v>
      </c>
      <c r="AN775" s="30" t="n">
        <f aca="false">IF(AM775=1,0,AP774)</f>
        <v>0</v>
      </c>
      <c r="AO775" s="30" t="n">
        <f aca="false">IF(W775="",0,IF(AND(AN775=0,ABS(W775)&gt;Inputs!$B$5,ABS(W775)&lt;=Inputs!$B$7,W775&gt;0),1,0))</f>
        <v>0</v>
      </c>
      <c r="AP775" s="30" t="n">
        <f aca="false">IF(W775="",0,IF(AO775=1,-SIGN(W775),AN775))</f>
        <v>0</v>
      </c>
      <c r="AQ775" s="30" t="n">
        <f aca="false">IF(W775="",0,IF(AO775=1,0,IF(AM775=1,0,AL775)))</f>
        <v>0</v>
      </c>
      <c r="AR775" s="30" t="n">
        <f aca="false">IF(AP775=0,0,IF(AP774=AP775,AR774,T775))</f>
        <v>0</v>
      </c>
      <c r="AS775" s="30" t="n">
        <f aca="false">AP775-AP774</f>
        <v>0</v>
      </c>
      <c r="AT775" s="30" t="n">
        <f aca="false">-AR775*AP775</f>
        <v>-0</v>
      </c>
      <c r="AU775" s="30" t="n">
        <f aca="false">AT775-AT774</f>
        <v>0</v>
      </c>
      <c r="AV775" s="30" t="n">
        <f aca="false">MAX(AS775,0)*(Inputs!$B$17+Inputs!$B$18+Inputs!$B$19)+MAX(-AS775,0)*(O775+Inputs!$B$18+Inputs!$B$19)+IF(AND(K775=1,AP775&lt;&gt;0),(Inputs!$B$17+Inputs!$B$18+Inputs!$B$19)+(O775+Inputs!$B$18+Inputs!$B$19),0)+MAX(AU775,0)*(Inputs!$B$20+Inputs!$B$22+Inputs!$B$23)+MAX(-AU775,0)*(Inputs!$B$21+Inputs!$B$22+Inputs!$B$23)</f>
        <v>0</v>
      </c>
      <c r="AW775" s="30" t="n">
        <f aca="false">AP774*(M775-AR774*J775)+AP774*AR774*N775/Inputs!$B$16-AV775</f>
        <v>0</v>
      </c>
      <c r="AX775" s="30" t="n">
        <f aca="false">AW775-IF(AP774&lt;&gt;0,0.75*AR774*(Inputs!$B$13-N775)/Inputs!$B$16,0)</f>
        <v>0</v>
      </c>
      <c r="AY775" s="30" t="n">
        <f aca="false">MAX(AS775,0)*(Inputs!$B$17+Inputs!$B$18+Inputs!$B$19)+MAX(-AS775,0)*(O775+Inputs!$B$18+Inputs!$B$19)+IF(AND(K775=1,AP775&lt;&gt;0),(Inputs!$B$17+Inputs!$B$18+Inputs!$B$19)+(O775+Inputs!$B$18+Inputs!$B$19),0)</f>
        <v>0</v>
      </c>
      <c r="AZ775" s="30" t="n">
        <f aca="false">AP774*M775-AY775</f>
        <v>-0</v>
      </c>
      <c r="BA775" s="32" t="n">
        <f aca="false">BA774+AI775</f>
        <v>0.0216474989857012</v>
      </c>
      <c r="BB775" s="30" t="n">
        <f aca="false">MAX(BB774,BA775)</f>
        <v>0.0261726191772394</v>
      </c>
      <c r="BC775" s="32" t="n">
        <f aca="false">BA775-BB775</f>
        <v>-0.00452512019153816</v>
      </c>
      <c r="BD775" s="30" t="n">
        <f aca="false">A776-A775</f>
        <v>1</v>
      </c>
    </row>
    <row r="776" customFormat="false" ht="15" hidden="false" customHeight="false" outlineLevel="0" collapsed="false">
      <c r="A776" s="28" t="n">
        <v>46185</v>
      </c>
      <c r="B776" s="0" t="n">
        <v>23714.9</v>
      </c>
      <c r="C776" s="0" t="n">
        <v>268.1</v>
      </c>
      <c r="D776" s="29" t="n">
        <f aca="false">LN(B776)</f>
        <v>10.0738588215623</v>
      </c>
      <c r="E776" s="29" t="n">
        <f aca="false">LN(C776)</f>
        <v>5.59136004524191</v>
      </c>
      <c r="F776" s="0" t="n">
        <v>771</v>
      </c>
      <c r="G776" s="0" t="n">
        <v>18</v>
      </c>
      <c r="H776" s="29" t="n">
        <f aca="false">D776-E776</f>
        <v>4.48249877632042</v>
      </c>
      <c r="I776" s="29" t="n">
        <f aca="false">D776-D775</f>
        <v>0.0207494002286168</v>
      </c>
      <c r="J776" s="29" t="n">
        <f aca="false">E776-E775</f>
        <v>0.0194341759734558</v>
      </c>
      <c r="K776" s="0" t="n">
        <v>0</v>
      </c>
      <c r="L776" s="0" t="n">
        <v>0</v>
      </c>
      <c r="M776" s="29" t="n">
        <f aca="false">IF(L776=1,J776-Carry!$B$9/Inputs!$B$16,I776)</f>
        <v>0.0207494002286168</v>
      </c>
      <c r="N776" s="0" t="n">
        <v>0.0525</v>
      </c>
      <c r="O776" s="0" t="n">
        <v>0.0005</v>
      </c>
      <c r="P776" s="29" t="n">
        <f aca="false">D776-('2 Hedge ratio'!$B$6+'2 Hedge ratio'!$B$5*E776)</f>
        <v>-0.0103558178149292</v>
      </c>
      <c r="Q776" s="29" t="n">
        <f aca="false">D776-('5 Re-specification'!$B$7+'5 Re-specification'!$B$5*E776+'5 Re-specification'!$B$6*F776)</f>
        <v>0.00288287636071694</v>
      </c>
      <c r="R776" s="30" t="n">
        <f aca="false">MIN(F776,Inputs!$B$9)</f>
        <v>250</v>
      </c>
      <c r="S776" s="29" t="n">
        <f aca="true">IF(AND(F776&gt;=1,R776&gt;=Inputs!$B$10),INDEX(LINEST(OFFSET(D776,-R776,0,R776,1),OFFSET(E776,-R776,0,R776,2)),1,1),"")</f>
        <v>-3.59119823478493E-005</v>
      </c>
      <c r="T776" s="29" t="n">
        <f aca="true">IF(AND(F776&gt;=1,R776&gt;=Inputs!$B$10),INDEX(LINEST(OFFSET(D776,-R776,0,R776,1),OFFSET(E776,-R776,0,R776,2)),1,2),"")</f>
        <v>1.01439626046561</v>
      </c>
      <c r="U776" s="29" t="n">
        <f aca="true">IF(AND(F776&gt;=1,R776&gt;=Inputs!$B$10),INDEX(LINEST(OFFSET(D776,-R776,0,R776,1),OFFSET(E776,-R776,0,R776,2)),1,3),"")</f>
        <v>4.42698758173447</v>
      </c>
      <c r="V776" s="29" t="n">
        <f aca="true">IF(AND(F776&gt;=1,R776&gt;=Inputs!$B$10),SQRT(SUMPRODUCT((OFFSET(D776,-R776,0,R776,1)-U776-T776*OFFSET(E776,-R776,0,R776,1)-S776*OFFSET(F776,-R776,0,R776,1))^2)/(R776-3)),"")</f>
        <v>0.00233005331173118</v>
      </c>
      <c r="W776" s="31" t="n">
        <f aca="false">IF(AND(F776&gt;=1,R776&gt;=Inputs!$B$10),(D776-U776-T776*E776-S776*F776)/V776,"")</f>
        <v>1.16077061164338</v>
      </c>
      <c r="X776" s="30" t="n">
        <f aca="false">IF(AB775&lt;&gt;0,AC775+1,0)</f>
        <v>0</v>
      </c>
      <c r="Y776" s="30" t="n">
        <f aca="false">IF(W776="",0,IF(AND(AB775&lt;&gt;0,OR(ABS(W776)&gt;Inputs!$B$7,X776&gt;=Inputs!$B$8,ABS(W776)&lt;Inputs!$B$6)),1,0))</f>
        <v>0</v>
      </c>
      <c r="Z776" s="30" t="n">
        <f aca="false">IF(Y776=1,0,AB775)</f>
        <v>0</v>
      </c>
      <c r="AA776" s="30" t="n">
        <f aca="false">IF(W776="",0,IF(AND(Z776=0,ABS(W776)&gt;Inputs!$B$5,ABS(W776)&lt;=Inputs!$B$7),1,0))</f>
        <v>0</v>
      </c>
      <c r="AB776" s="30" t="n">
        <f aca="false">IF(W776="",0,IF(AA776=1,-SIGN(W776),Z776))</f>
        <v>0</v>
      </c>
      <c r="AC776" s="30" t="n">
        <f aca="false">IF(W776="",0,IF(AA776=1,0,IF(Y776=1,0,X776)))</f>
        <v>0</v>
      </c>
      <c r="AD776" s="30" t="n">
        <f aca="false">IF(AB776=0,0,IF(AB775=AB776,AD775,T776))</f>
        <v>0</v>
      </c>
      <c r="AE776" s="30" t="n">
        <f aca="false">AB776-AB775</f>
        <v>0</v>
      </c>
      <c r="AF776" s="30" t="n">
        <f aca="false">-AD776*AB776</f>
        <v>-0</v>
      </c>
      <c r="AG776" s="30" t="n">
        <f aca="false">AF776-AF775</f>
        <v>0</v>
      </c>
      <c r="AH776" s="30" t="n">
        <f aca="false">MAX(AE776,0)*(Inputs!$B$17+Inputs!$B$18+Inputs!$B$19)+MAX(-AE776,0)*(O776+Inputs!$B$18+Inputs!$B$19)+IF(AND(K776=1,AB776&lt;&gt;0),(Inputs!$B$17+Inputs!$B$18+Inputs!$B$19)+(O776+Inputs!$B$18+Inputs!$B$19),0)+MAX(AG776,0)*(Inputs!$B$20+Inputs!$B$22+Inputs!$B$23)+MAX(-AG776,0)*(Inputs!$B$21+Inputs!$B$22+Inputs!$B$23)</f>
        <v>0</v>
      </c>
      <c r="AI776" s="30" t="n">
        <f aca="false">AB775*(M776-AD775*J776)+AB775*AD775*N776/Inputs!$B$16-AH776</f>
        <v>0</v>
      </c>
      <c r="AJ776" s="30" t="n">
        <f aca="false">MAX(AE776,0)*(Inputs!$B$17+Inputs!$B$24+Inputs!$B$25)+MAX(-AE776,0)*(O776+Inputs!$B$24+Inputs!$B$25)+IF(AND(K776=1,AB776&lt;&gt;0),(Inputs!$B$17+Inputs!$B$24+Inputs!$B$25)+(O776+Inputs!$B$24+Inputs!$B$25),0)+MAX(AG776,0)*(Inputs!$B$20+Inputs!$B$26+Inputs!$B$27)+MAX(-AG776,0)*(Inputs!$B$21+Inputs!$B$26+Inputs!$B$27)</f>
        <v>0</v>
      </c>
      <c r="AK776" s="30" t="n">
        <f aca="false">AB775*(M776-AD775*J776)+AB775*AD775*(N776+Inputs!$B$14)/Inputs!$B$16-AJ776</f>
        <v>0</v>
      </c>
      <c r="AL776" s="30" t="n">
        <f aca="false">IF(AP775&lt;&gt;0,AQ775+1,0)</f>
        <v>0</v>
      </c>
      <c r="AM776" s="30" t="n">
        <f aca="false">IF(W776="",0,IF(AND(AP775&lt;&gt;0,OR(ABS(W776)&gt;Inputs!$B$7,AL776&gt;=Inputs!$B$8,ABS(W776)&lt;Inputs!$B$6)),1,0))</f>
        <v>0</v>
      </c>
      <c r="AN776" s="30" t="n">
        <f aca="false">IF(AM776=1,0,AP775)</f>
        <v>0</v>
      </c>
      <c r="AO776" s="30" t="n">
        <f aca="false">IF(W776="",0,IF(AND(AN776=0,ABS(W776)&gt;Inputs!$B$5,ABS(W776)&lt;=Inputs!$B$7,W776&gt;0),1,0))</f>
        <v>0</v>
      </c>
      <c r="AP776" s="30" t="n">
        <f aca="false">IF(W776="",0,IF(AO776=1,-SIGN(W776),AN776))</f>
        <v>0</v>
      </c>
      <c r="AQ776" s="30" t="n">
        <f aca="false">IF(W776="",0,IF(AO776=1,0,IF(AM776=1,0,AL776)))</f>
        <v>0</v>
      </c>
      <c r="AR776" s="30" t="n">
        <f aca="false">IF(AP776=0,0,IF(AP775=AP776,AR775,T776))</f>
        <v>0</v>
      </c>
      <c r="AS776" s="30" t="n">
        <f aca="false">AP776-AP775</f>
        <v>0</v>
      </c>
      <c r="AT776" s="30" t="n">
        <f aca="false">-AR776*AP776</f>
        <v>-0</v>
      </c>
      <c r="AU776" s="30" t="n">
        <f aca="false">AT776-AT775</f>
        <v>0</v>
      </c>
      <c r="AV776" s="30" t="n">
        <f aca="false">MAX(AS776,0)*(Inputs!$B$17+Inputs!$B$18+Inputs!$B$19)+MAX(-AS776,0)*(O776+Inputs!$B$18+Inputs!$B$19)+IF(AND(K776=1,AP776&lt;&gt;0),(Inputs!$B$17+Inputs!$B$18+Inputs!$B$19)+(O776+Inputs!$B$18+Inputs!$B$19),0)+MAX(AU776,0)*(Inputs!$B$20+Inputs!$B$22+Inputs!$B$23)+MAX(-AU776,0)*(Inputs!$B$21+Inputs!$B$22+Inputs!$B$23)</f>
        <v>0</v>
      </c>
      <c r="AW776" s="30" t="n">
        <f aca="false">AP775*(M776-AR775*J776)+AP775*AR775*N776/Inputs!$B$16-AV776</f>
        <v>0</v>
      </c>
      <c r="AX776" s="30" t="n">
        <f aca="false">AW776-IF(AP775&lt;&gt;0,0.75*AR775*(Inputs!$B$13-N776)/Inputs!$B$16,0)</f>
        <v>0</v>
      </c>
      <c r="AY776" s="30" t="n">
        <f aca="false">MAX(AS776,0)*(Inputs!$B$17+Inputs!$B$18+Inputs!$B$19)+MAX(-AS776,0)*(O776+Inputs!$B$18+Inputs!$B$19)+IF(AND(K776=1,AP776&lt;&gt;0),(Inputs!$B$17+Inputs!$B$18+Inputs!$B$19)+(O776+Inputs!$B$18+Inputs!$B$19),0)</f>
        <v>0</v>
      </c>
      <c r="AZ776" s="30" t="n">
        <f aca="false">AP775*M776-AY776</f>
        <v>0</v>
      </c>
      <c r="BA776" s="32" t="n">
        <f aca="false">BA775+AI776</f>
        <v>0.0216474989857012</v>
      </c>
      <c r="BB776" s="30" t="n">
        <f aca="false">MAX(BB775,BA776)</f>
        <v>0.0261726191772394</v>
      </c>
      <c r="BC776" s="32" t="n">
        <f aca="false">BA776-BB776</f>
        <v>-0.00452512019153816</v>
      </c>
      <c r="BD776" s="30" t="n">
        <f aca="false">A777-A776</f>
        <v>3</v>
      </c>
    </row>
    <row r="777" customFormat="false" ht="15" hidden="false" customHeight="false" outlineLevel="0" collapsed="false">
      <c r="A777" s="28" t="n">
        <v>46188</v>
      </c>
      <c r="B777" s="0" t="n">
        <v>23930</v>
      </c>
      <c r="C777" s="0" t="n">
        <v>270.7</v>
      </c>
      <c r="D777" s="29" t="n">
        <f aca="false">LN(B777)</f>
        <v>10.0828881809024</v>
      </c>
      <c r="E777" s="29" t="n">
        <f aca="false">LN(C777)</f>
        <v>5.60101119662026</v>
      </c>
      <c r="F777" s="0" t="n">
        <v>772</v>
      </c>
      <c r="G777" s="0" t="n">
        <v>15</v>
      </c>
      <c r="H777" s="29" t="n">
        <f aca="false">D777-E777</f>
        <v>4.48187698428216</v>
      </c>
      <c r="I777" s="29" t="n">
        <f aca="false">D777-D776</f>
        <v>0.00902935934008653</v>
      </c>
      <c r="J777" s="29" t="n">
        <f aca="false">E777-E776</f>
        <v>0.00965115137834172</v>
      </c>
      <c r="K777" s="0" t="n">
        <v>0</v>
      </c>
      <c r="L777" s="0" t="n">
        <v>0</v>
      </c>
      <c r="M777" s="29" t="n">
        <f aca="false">IF(L777=1,J777-Carry!$B$9/Inputs!$B$16,I777)</f>
        <v>0.00902935934008653</v>
      </c>
      <c r="N777" s="0" t="n">
        <v>0.0525</v>
      </c>
      <c r="O777" s="0" t="n">
        <v>0.0005</v>
      </c>
      <c r="P777" s="29" t="n">
        <f aca="false">D777-('2 Hedge ratio'!$B$6+'2 Hedge ratio'!$B$5*E777)</f>
        <v>-0.0101681365100834</v>
      </c>
      <c r="Q777" s="29" t="n">
        <f aca="false">D777-('5 Re-specification'!$B$7+'5 Re-specification'!$B$5*E777+'5 Re-specification'!$B$6*F777)</f>
        <v>0.00233526145501628</v>
      </c>
      <c r="R777" s="30" t="n">
        <f aca="false">MIN(F777,Inputs!$B$9)</f>
        <v>250</v>
      </c>
      <c r="S777" s="29" t="n">
        <f aca="true">IF(AND(F777&gt;=1,R777&gt;=Inputs!$B$10),INDEX(LINEST(OFFSET(D777,-R777,0,R777,1),OFFSET(E777,-R777,0,R777,2)),1,1),"")</f>
        <v>-3.51452542394524E-005</v>
      </c>
      <c r="T777" s="29" t="n">
        <f aca="true">IF(AND(F777&gt;=1,R777&gt;=Inputs!$B$10),INDEX(LINEST(OFFSET(D777,-R777,0,R777,1),OFFSET(E777,-R777,0,R777,2)),1,2),"")</f>
        <v>1.01464449207528</v>
      </c>
      <c r="U777" s="29" t="n">
        <f aca="true">IF(AND(F777&gt;=1,R777&gt;=Inputs!$B$10),INDEX(LINEST(OFFSET(D777,-R777,0,R777,1),OFFSET(E777,-R777,0,R777,2)),1,3),"")</f>
        <v>4.42508343608522</v>
      </c>
      <c r="V777" s="29" t="n">
        <f aca="true">IF(AND(F777&gt;=1,R777&gt;=Inputs!$B$10),SQRT(SUMPRODUCT((OFFSET(D777,-R777,0,R777,1)-U777-T777*OFFSET(E777,-R777,0,R777,1)-S777*OFFSET(F777,-R777,0,R777,1))^2)/(R777-3)),"")</f>
        <v>0.00231624685696335</v>
      </c>
      <c r="W777" s="31" t="n">
        <f aca="false">IF(AND(F777&gt;=1,R777&gt;=Inputs!$B$10),(D777-U777-T777*E777-S777*F777)/V777,"")</f>
        <v>0.821035280258846</v>
      </c>
      <c r="X777" s="30" t="n">
        <f aca="false">IF(AB776&lt;&gt;0,AC776+1,0)</f>
        <v>0</v>
      </c>
      <c r="Y777" s="30" t="n">
        <f aca="false">IF(W777="",0,IF(AND(AB776&lt;&gt;0,OR(ABS(W777)&gt;Inputs!$B$7,X777&gt;=Inputs!$B$8,ABS(W777)&lt;Inputs!$B$6)),1,0))</f>
        <v>0</v>
      </c>
      <c r="Z777" s="30" t="n">
        <f aca="false">IF(Y777=1,0,AB776)</f>
        <v>0</v>
      </c>
      <c r="AA777" s="30" t="n">
        <f aca="false">IF(W777="",0,IF(AND(Z777=0,ABS(W777)&gt;Inputs!$B$5,ABS(W777)&lt;=Inputs!$B$7),1,0))</f>
        <v>0</v>
      </c>
      <c r="AB777" s="30" t="n">
        <f aca="false">IF(W777="",0,IF(AA777=1,-SIGN(W777),Z777))</f>
        <v>0</v>
      </c>
      <c r="AC777" s="30" t="n">
        <f aca="false">IF(W777="",0,IF(AA777=1,0,IF(Y777=1,0,X777)))</f>
        <v>0</v>
      </c>
      <c r="AD777" s="30" t="n">
        <f aca="false">IF(AB777=0,0,IF(AB776=AB777,AD776,T777))</f>
        <v>0</v>
      </c>
      <c r="AE777" s="30" t="n">
        <f aca="false">AB777-AB776</f>
        <v>0</v>
      </c>
      <c r="AF777" s="30" t="n">
        <f aca="false">-AD777*AB777</f>
        <v>-0</v>
      </c>
      <c r="AG777" s="30" t="n">
        <f aca="false">AF777-AF776</f>
        <v>0</v>
      </c>
      <c r="AH777" s="30" t="n">
        <f aca="false">MAX(AE777,0)*(Inputs!$B$17+Inputs!$B$18+Inputs!$B$19)+MAX(-AE777,0)*(O777+Inputs!$B$18+Inputs!$B$19)+IF(AND(K777=1,AB777&lt;&gt;0),(Inputs!$B$17+Inputs!$B$18+Inputs!$B$19)+(O777+Inputs!$B$18+Inputs!$B$19),0)+MAX(AG777,0)*(Inputs!$B$20+Inputs!$B$22+Inputs!$B$23)+MAX(-AG777,0)*(Inputs!$B$21+Inputs!$B$22+Inputs!$B$23)</f>
        <v>0</v>
      </c>
      <c r="AI777" s="30" t="n">
        <f aca="false">AB776*(M777-AD776*J777)+AB776*AD776*N777/Inputs!$B$16-AH777</f>
        <v>0</v>
      </c>
      <c r="AJ777" s="30" t="n">
        <f aca="false">MAX(AE777,0)*(Inputs!$B$17+Inputs!$B$24+Inputs!$B$25)+MAX(-AE777,0)*(O777+Inputs!$B$24+Inputs!$B$25)+IF(AND(K777=1,AB777&lt;&gt;0),(Inputs!$B$17+Inputs!$B$24+Inputs!$B$25)+(O777+Inputs!$B$24+Inputs!$B$25),0)+MAX(AG777,0)*(Inputs!$B$20+Inputs!$B$26+Inputs!$B$27)+MAX(-AG777,0)*(Inputs!$B$21+Inputs!$B$26+Inputs!$B$27)</f>
        <v>0</v>
      </c>
      <c r="AK777" s="30" t="n">
        <f aca="false">AB776*(M777-AD776*J777)+AB776*AD776*(N777+Inputs!$B$14)/Inputs!$B$16-AJ777</f>
        <v>0</v>
      </c>
      <c r="AL777" s="30" t="n">
        <f aca="false">IF(AP776&lt;&gt;0,AQ776+1,0)</f>
        <v>0</v>
      </c>
      <c r="AM777" s="30" t="n">
        <f aca="false">IF(W777="",0,IF(AND(AP776&lt;&gt;0,OR(ABS(W777)&gt;Inputs!$B$7,AL777&gt;=Inputs!$B$8,ABS(W777)&lt;Inputs!$B$6)),1,0))</f>
        <v>0</v>
      </c>
      <c r="AN777" s="30" t="n">
        <f aca="false">IF(AM777=1,0,AP776)</f>
        <v>0</v>
      </c>
      <c r="AO777" s="30" t="n">
        <f aca="false">IF(W777="",0,IF(AND(AN777=0,ABS(W777)&gt;Inputs!$B$5,ABS(W777)&lt;=Inputs!$B$7,W777&gt;0),1,0))</f>
        <v>0</v>
      </c>
      <c r="AP777" s="30" t="n">
        <f aca="false">IF(W777="",0,IF(AO777=1,-SIGN(W777),AN777))</f>
        <v>0</v>
      </c>
      <c r="AQ777" s="30" t="n">
        <f aca="false">IF(W777="",0,IF(AO777=1,0,IF(AM777=1,0,AL777)))</f>
        <v>0</v>
      </c>
      <c r="AR777" s="30" t="n">
        <f aca="false">IF(AP777=0,0,IF(AP776=AP777,AR776,T777))</f>
        <v>0</v>
      </c>
      <c r="AS777" s="30" t="n">
        <f aca="false">AP777-AP776</f>
        <v>0</v>
      </c>
      <c r="AT777" s="30" t="n">
        <f aca="false">-AR777*AP777</f>
        <v>-0</v>
      </c>
      <c r="AU777" s="30" t="n">
        <f aca="false">AT777-AT776</f>
        <v>0</v>
      </c>
      <c r="AV777" s="30" t="n">
        <f aca="false">MAX(AS777,0)*(Inputs!$B$17+Inputs!$B$18+Inputs!$B$19)+MAX(-AS777,0)*(O777+Inputs!$B$18+Inputs!$B$19)+IF(AND(K777=1,AP777&lt;&gt;0),(Inputs!$B$17+Inputs!$B$18+Inputs!$B$19)+(O777+Inputs!$B$18+Inputs!$B$19),0)+MAX(AU777,0)*(Inputs!$B$20+Inputs!$B$22+Inputs!$B$23)+MAX(-AU777,0)*(Inputs!$B$21+Inputs!$B$22+Inputs!$B$23)</f>
        <v>0</v>
      </c>
      <c r="AW777" s="30" t="n">
        <f aca="false">AP776*(M777-AR776*J777)+AP776*AR776*N777/Inputs!$B$16-AV777</f>
        <v>0</v>
      </c>
      <c r="AX777" s="30" t="n">
        <f aca="false">AW777-IF(AP776&lt;&gt;0,0.75*AR776*(Inputs!$B$13-N777)/Inputs!$B$16,0)</f>
        <v>0</v>
      </c>
      <c r="AY777" s="30" t="n">
        <f aca="false">MAX(AS777,0)*(Inputs!$B$17+Inputs!$B$18+Inputs!$B$19)+MAX(-AS777,0)*(O777+Inputs!$B$18+Inputs!$B$19)+IF(AND(K777=1,AP777&lt;&gt;0),(Inputs!$B$17+Inputs!$B$18+Inputs!$B$19)+(O777+Inputs!$B$18+Inputs!$B$19),0)</f>
        <v>0</v>
      </c>
      <c r="AZ777" s="30" t="n">
        <f aca="false">AP776*M777-AY777</f>
        <v>0</v>
      </c>
      <c r="BA777" s="32" t="n">
        <f aca="false">BA776+AI777</f>
        <v>0.0216474989857012</v>
      </c>
      <c r="BB777" s="30" t="n">
        <f aca="false">MAX(BB776,BA777)</f>
        <v>0.0261726191772394</v>
      </c>
      <c r="BC777" s="32" t="n">
        <f aca="false">BA777-BB777</f>
        <v>-0.00452512019153816</v>
      </c>
      <c r="BD777" s="30" t="n">
        <f aca="false">A778-A777</f>
        <v>1</v>
      </c>
    </row>
    <row r="778" customFormat="false" ht="15" hidden="false" customHeight="false" outlineLevel="0" collapsed="false">
      <c r="A778" s="28" t="n">
        <v>46189</v>
      </c>
      <c r="B778" s="0" t="n">
        <v>24007</v>
      </c>
      <c r="C778" s="0" t="n">
        <v>271.66</v>
      </c>
      <c r="D778" s="29" t="n">
        <f aca="false">LN(B778)</f>
        <v>10.0861007334703</v>
      </c>
      <c r="E778" s="29" t="n">
        <f aca="false">LN(C778)</f>
        <v>5.60455128439434</v>
      </c>
      <c r="F778" s="0" t="n">
        <v>773</v>
      </c>
      <c r="G778" s="0" t="n">
        <v>14</v>
      </c>
      <c r="H778" s="29" t="n">
        <f aca="false">D778-E778</f>
        <v>4.48154944907595</v>
      </c>
      <c r="I778" s="29" t="n">
        <f aca="false">D778-D777</f>
        <v>0.00321255256787723</v>
      </c>
      <c r="J778" s="29" t="n">
        <f aca="false">E778-E777</f>
        <v>0.00354008777408854</v>
      </c>
      <c r="K778" s="0" t="n">
        <v>0</v>
      </c>
      <c r="L778" s="0" t="n">
        <v>0</v>
      </c>
      <c r="M778" s="29" t="n">
        <f aca="false">IF(L778=1,J778-Carry!$B$9/Inputs!$B$16,I778)</f>
        <v>0.00321255256787723</v>
      </c>
      <c r="N778" s="0" t="n">
        <v>0.0525</v>
      </c>
      <c r="O778" s="0" t="n">
        <v>0.0005</v>
      </c>
      <c r="P778" s="29" t="n">
        <f aca="false">D778-('2 Hedge ratio'!$B$6+'2 Hedge ratio'!$B$5*E778)</f>
        <v>-0.0101987530821308</v>
      </c>
      <c r="Q778" s="29" t="n">
        <f aca="false">D778-('5 Re-specification'!$B$7+'5 Re-specification'!$B$5*E778+'5 Re-specification'!$B$6*F778)</f>
        <v>0.00206338380297666</v>
      </c>
      <c r="R778" s="30" t="n">
        <f aca="false">MIN(F778,Inputs!$B$9)</f>
        <v>250</v>
      </c>
      <c r="S778" s="29" t="n">
        <f aca="true">IF(AND(F778&gt;=1,R778&gt;=Inputs!$B$10),INDEX(LINEST(OFFSET(D778,-R778,0,R778,1),OFFSET(E778,-R778,0,R778,2)),1,1),"")</f>
        <v>-3.45234559171151E-005</v>
      </c>
      <c r="T778" s="29" t="n">
        <f aca="true">IF(AND(F778&gt;=1,R778&gt;=Inputs!$B$10),INDEX(LINEST(OFFSET(D778,-R778,0,R778,1),OFFSET(E778,-R778,0,R778,2)),1,2),"")</f>
        <v>1.01495677532619</v>
      </c>
      <c r="U778" s="29" t="n">
        <f aca="true">IF(AND(F778&gt;=1,R778&gt;=Inputs!$B$10),INDEX(LINEST(OFFSET(D778,-R778,0,R778,1),OFFSET(E778,-R778,0,R778,2)),1,3),"")</f>
        <v>4.42291130549892</v>
      </c>
      <c r="V778" s="29" t="n">
        <f aca="true">IF(AND(F778&gt;=1,R778&gt;=Inputs!$B$10),SQRT(SUMPRODUCT((OFFSET(D778,-R778,0,R778,1)-U778-T778*OFFSET(E778,-R778,0,R778,1)-S778*OFFSET(F778,-R778,0,R778,1))^2)/(R778-3)),"")</f>
        <v>0.00230582680422272</v>
      </c>
      <c r="W778" s="31" t="n">
        <f aca="false">IF(AND(F778&gt;=1,R778&gt;=Inputs!$B$10),(D778-U778-T778*E778-S778*F778)/V778,"")</f>
        <v>0.649988383086783</v>
      </c>
      <c r="X778" s="30" t="n">
        <f aca="false">IF(AB777&lt;&gt;0,AC777+1,0)</f>
        <v>0</v>
      </c>
      <c r="Y778" s="30" t="n">
        <f aca="false">IF(W778="",0,IF(AND(AB777&lt;&gt;0,OR(ABS(W778)&gt;Inputs!$B$7,X778&gt;=Inputs!$B$8,ABS(W778)&lt;Inputs!$B$6)),1,0))</f>
        <v>0</v>
      </c>
      <c r="Z778" s="30" t="n">
        <f aca="false">IF(Y778=1,0,AB777)</f>
        <v>0</v>
      </c>
      <c r="AA778" s="30" t="n">
        <f aca="false">IF(W778="",0,IF(AND(Z778=0,ABS(W778)&gt;Inputs!$B$5,ABS(W778)&lt;=Inputs!$B$7),1,0))</f>
        <v>0</v>
      </c>
      <c r="AB778" s="30" t="n">
        <f aca="false">IF(W778="",0,IF(AA778=1,-SIGN(W778),Z778))</f>
        <v>0</v>
      </c>
      <c r="AC778" s="30" t="n">
        <f aca="false">IF(W778="",0,IF(AA778=1,0,IF(Y778=1,0,X778)))</f>
        <v>0</v>
      </c>
      <c r="AD778" s="30" t="n">
        <f aca="false">IF(AB778=0,0,IF(AB777=AB778,AD777,T778))</f>
        <v>0</v>
      </c>
      <c r="AE778" s="30" t="n">
        <f aca="false">AB778-AB777</f>
        <v>0</v>
      </c>
      <c r="AF778" s="30" t="n">
        <f aca="false">-AD778*AB778</f>
        <v>-0</v>
      </c>
      <c r="AG778" s="30" t="n">
        <f aca="false">AF778-AF777</f>
        <v>0</v>
      </c>
      <c r="AH778" s="30" t="n">
        <f aca="false">MAX(AE778,0)*(Inputs!$B$17+Inputs!$B$18+Inputs!$B$19)+MAX(-AE778,0)*(O778+Inputs!$B$18+Inputs!$B$19)+IF(AND(K778=1,AB778&lt;&gt;0),(Inputs!$B$17+Inputs!$B$18+Inputs!$B$19)+(O778+Inputs!$B$18+Inputs!$B$19),0)+MAX(AG778,0)*(Inputs!$B$20+Inputs!$B$22+Inputs!$B$23)+MAX(-AG778,0)*(Inputs!$B$21+Inputs!$B$22+Inputs!$B$23)</f>
        <v>0</v>
      </c>
      <c r="AI778" s="30" t="n">
        <f aca="false">AB777*(M778-AD777*J778)+AB777*AD777*N778/Inputs!$B$16-AH778</f>
        <v>0</v>
      </c>
      <c r="AJ778" s="30" t="n">
        <f aca="false">MAX(AE778,0)*(Inputs!$B$17+Inputs!$B$24+Inputs!$B$25)+MAX(-AE778,0)*(O778+Inputs!$B$24+Inputs!$B$25)+IF(AND(K778=1,AB778&lt;&gt;0),(Inputs!$B$17+Inputs!$B$24+Inputs!$B$25)+(O778+Inputs!$B$24+Inputs!$B$25),0)+MAX(AG778,0)*(Inputs!$B$20+Inputs!$B$26+Inputs!$B$27)+MAX(-AG778,0)*(Inputs!$B$21+Inputs!$B$26+Inputs!$B$27)</f>
        <v>0</v>
      </c>
      <c r="AK778" s="30" t="n">
        <f aca="false">AB777*(M778-AD777*J778)+AB777*AD777*(N778+Inputs!$B$14)/Inputs!$B$16-AJ778</f>
        <v>0</v>
      </c>
      <c r="AL778" s="30" t="n">
        <f aca="false">IF(AP777&lt;&gt;0,AQ777+1,0)</f>
        <v>0</v>
      </c>
      <c r="AM778" s="30" t="n">
        <f aca="false">IF(W778="",0,IF(AND(AP777&lt;&gt;0,OR(ABS(W778)&gt;Inputs!$B$7,AL778&gt;=Inputs!$B$8,ABS(W778)&lt;Inputs!$B$6)),1,0))</f>
        <v>0</v>
      </c>
      <c r="AN778" s="30" t="n">
        <f aca="false">IF(AM778=1,0,AP777)</f>
        <v>0</v>
      </c>
      <c r="AO778" s="30" t="n">
        <f aca="false">IF(W778="",0,IF(AND(AN778=0,ABS(W778)&gt;Inputs!$B$5,ABS(W778)&lt;=Inputs!$B$7,W778&gt;0),1,0))</f>
        <v>0</v>
      </c>
      <c r="AP778" s="30" t="n">
        <f aca="false">IF(W778="",0,IF(AO778=1,-SIGN(W778),AN778))</f>
        <v>0</v>
      </c>
      <c r="AQ778" s="30" t="n">
        <f aca="false">IF(W778="",0,IF(AO778=1,0,IF(AM778=1,0,AL778)))</f>
        <v>0</v>
      </c>
      <c r="AR778" s="30" t="n">
        <f aca="false">IF(AP778=0,0,IF(AP777=AP778,AR777,T778))</f>
        <v>0</v>
      </c>
      <c r="AS778" s="30" t="n">
        <f aca="false">AP778-AP777</f>
        <v>0</v>
      </c>
      <c r="AT778" s="30" t="n">
        <f aca="false">-AR778*AP778</f>
        <v>-0</v>
      </c>
      <c r="AU778" s="30" t="n">
        <f aca="false">AT778-AT777</f>
        <v>0</v>
      </c>
      <c r="AV778" s="30" t="n">
        <f aca="false">MAX(AS778,0)*(Inputs!$B$17+Inputs!$B$18+Inputs!$B$19)+MAX(-AS778,0)*(O778+Inputs!$B$18+Inputs!$B$19)+IF(AND(K778=1,AP778&lt;&gt;0),(Inputs!$B$17+Inputs!$B$18+Inputs!$B$19)+(O778+Inputs!$B$18+Inputs!$B$19),0)+MAX(AU778,0)*(Inputs!$B$20+Inputs!$B$22+Inputs!$B$23)+MAX(-AU778,0)*(Inputs!$B$21+Inputs!$B$22+Inputs!$B$23)</f>
        <v>0</v>
      </c>
      <c r="AW778" s="30" t="n">
        <f aca="false">AP777*(M778-AR777*J778)+AP777*AR777*N778/Inputs!$B$16-AV778</f>
        <v>0</v>
      </c>
      <c r="AX778" s="30" t="n">
        <f aca="false">AW778-IF(AP777&lt;&gt;0,0.75*AR777*(Inputs!$B$13-N778)/Inputs!$B$16,0)</f>
        <v>0</v>
      </c>
      <c r="AY778" s="30" t="n">
        <f aca="false">MAX(AS778,0)*(Inputs!$B$17+Inputs!$B$18+Inputs!$B$19)+MAX(-AS778,0)*(O778+Inputs!$B$18+Inputs!$B$19)+IF(AND(K778=1,AP778&lt;&gt;0),(Inputs!$B$17+Inputs!$B$18+Inputs!$B$19)+(O778+Inputs!$B$18+Inputs!$B$19),0)</f>
        <v>0</v>
      </c>
      <c r="AZ778" s="30" t="n">
        <f aca="false">AP777*M778-AY778</f>
        <v>0</v>
      </c>
      <c r="BA778" s="32" t="n">
        <f aca="false">BA777+AI778</f>
        <v>0.0216474989857012</v>
      </c>
      <c r="BB778" s="30" t="n">
        <f aca="false">MAX(BB777,BA778)</f>
        <v>0.0261726191772394</v>
      </c>
      <c r="BC778" s="32" t="n">
        <f aca="false">BA778-BB778</f>
        <v>-0.00452512019153816</v>
      </c>
      <c r="BD778" s="30" t="n">
        <f aca="false">A779-A778</f>
        <v>1</v>
      </c>
    </row>
    <row r="779" customFormat="false" ht="15" hidden="false" customHeight="false" outlineLevel="0" collapsed="false">
      <c r="A779" s="28" t="n">
        <v>46190</v>
      </c>
      <c r="B779" s="0" t="n">
        <v>24089.9</v>
      </c>
      <c r="C779" s="0" t="n">
        <v>273</v>
      </c>
      <c r="D779" s="29" t="n">
        <f aca="false">LN(B779)</f>
        <v>10.0895479445003</v>
      </c>
      <c r="E779" s="29" t="n">
        <f aca="false">LN(C779)</f>
        <v>5.60947179518496</v>
      </c>
      <c r="F779" s="0" t="n">
        <v>774</v>
      </c>
      <c r="G779" s="0" t="n">
        <v>13</v>
      </c>
      <c r="H779" s="29" t="n">
        <f aca="false">D779-E779</f>
        <v>4.4800761493153</v>
      </c>
      <c r="I779" s="29" t="n">
        <f aca="false">D779-D778</f>
        <v>0.00344721102996282</v>
      </c>
      <c r="J779" s="29" t="n">
        <f aca="false">E779-E778</f>
        <v>0.0049205107906154</v>
      </c>
      <c r="K779" s="0" t="n">
        <v>0</v>
      </c>
      <c r="L779" s="0" t="n">
        <v>0</v>
      </c>
      <c r="M779" s="29" t="n">
        <f aca="false">IF(L779=1,J779-Carry!$B$9/Inputs!$B$16,I779)</f>
        <v>0.00344721102996282</v>
      </c>
      <c r="N779" s="0" t="n">
        <v>0.0525</v>
      </c>
      <c r="O779" s="0" t="n">
        <v>0.0005</v>
      </c>
      <c r="P779" s="29" t="n">
        <f aca="false">D779-('2 Hedge ratio'!$B$6+'2 Hedge ratio'!$B$5*E779)</f>
        <v>-0.0112593536566141</v>
      </c>
      <c r="Q779" s="29" t="n">
        <f aca="false">D779-('5 Re-specification'!$B$7+'5 Re-specification'!$B$5*E779+'5 Re-specification'!$B$6*F779)</f>
        <v>0.000649924968476157</v>
      </c>
      <c r="R779" s="30" t="n">
        <f aca="false">MIN(F779,Inputs!$B$9)</f>
        <v>250</v>
      </c>
      <c r="S779" s="29" t="n">
        <f aca="true">IF(AND(F779&gt;=1,R779&gt;=Inputs!$B$10),INDEX(LINEST(OFFSET(D779,-R779,0,R779,1),OFFSET(E779,-R779,0,R779,2)),1,1),"")</f>
        <v>-3.38817198737148E-005</v>
      </c>
      <c r="T779" s="29" t="n">
        <f aca="true">IF(AND(F779&gt;=1,R779&gt;=Inputs!$B$10),INDEX(LINEST(OFFSET(D779,-R779,0,R779,1),OFFSET(E779,-R779,0,R779,2)),1,2),"")</f>
        <v>1.01534154207102</v>
      </c>
      <c r="U779" s="29" t="n">
        <f aca="true">IF(AND(F779&gt;=1,R779&gt;=Inputs!$B$10),INDEX(LINEST(OFFSET(D779,-R779,0,R779,1),OFFSET(E779,-R779,0,R779,2)),1,3),"")</f>
        <v>4.42031345019083</v>
      </c>
      <c r="V779" s="29" t="n">
        <f aca="true">IF(AND(F779&gt;=1,R779&gt;=Inputs!$B$10),SQRT(SUMPRODUCT((OFFSET(D779,-R779,0,R779,1)-U779-T779*OFFSET(E779,-R779,0,R779,1)-S779*OFFSET(F779,-R779,0,R779,1))^2)/(R779-3)),"")</f>
        <v>0.00229097738118804</v>
      </c>
      <c r="W779" s="31" t="n">
        <f aca="false">IF(AND(F779&gt;=1,R779&gt;=Inputs!$B$10),(D779-U779-T779*E779-S779*F779)/V779,"")</f>
        <v>-0.0309026339177918</v>
      </c>
      <c r="X779" s="30" t="n">
        <f aca="false">IF(AB778&lt;&gt;0,AC778+1,0)</f>
        <v>0</v>
      </c>
      <c r="Y779" s="30" t="n">
        <f aca="false">IF(W779="",0,IF(AND(AB778&lt;&gt;0,OR(ABS(W779)&gt;Inputs!$B$7,X779&gt;=Inputs!$B$8,ABS(W779)&lt;Inputs!$B$6)),1,0))</f>
        <v>0</v>
      </c>
      <c r="Z779" s="30" t="n">
        <f aca="false">IF(Y779=1,0,AB778)</f>
        <v>0</v>
      </c>
      <c r="AA779" s="30" t="n">
        <f aca="false">IF(W779="",0,IF(AND(Z779=0,ABS(W779)&gt;Inputs!$B$5,ABS(W779)&lt;=Inputs!$B$7),1,0))</f>
        <v>0</v>
      </c>
      <c r="AB779" s="30" t="n">
        <f aca="false">IF(W779="",0,IF(AA779=1,-SIGN(W779),Z779))</f>
        <v>0</v>
      </c>
      <c r="AC779" s="30" t="n">
        <f aca="false">IF(W779="",0,IF(AA779=1,0,IF(Y779=1,0,X779)))</f>
        <v>0</v>
      </c>
      <c r="AD779" s="30" t="n">
        <f aca="false">IF(AB779=0,0,IF(AB778=AB779,AD778,T779))</f>
        <v>0</v>
      </c>
      <c r="AE779" s="30" t="n">
        <f aca="false">AB779-AB778</f>
        <v>0</v>
      </c>
      <c r="AF779" s="30" t="n">
        <f aca="false">-AD779*AB779</f>
        <v>-0</v>
      </c>
      <c r="AG779" s="30" t="n">
        <f aca="false">AF779-AF778</f>
        <v>0</v>
      </c>
      <c r="AH779" s="30" t="n">
        <f aca="false">MAX(AE779,0)*(Inputs!$B$17+Inputs!$B$18+Inputs!$B$19)+MAX(-AE779,0)*(O779+Inputs!$B$18+Inputs!$B$19)+IF(AND(K779=1,AB779&lt;&gt;0),(Inputs!$B$17+Inputs!$B$18+Inputs!$B$19)+(O779+Inputs!$B$18+Inputs!$B$19),0)+MAX(AG779,0)*(Inputs!$B$20+Inputs!$B$22+Inputs!$B$23)+MAX(-AG779,0)*(Inputs!$B$21+Inputs!$B$22+Inputs!$B$23)</f>
        <v>0</v>
      </c>
      <c r="AI779" s="30" t="n">
        <f aca="false">AB778*(M779-AD778*J779)+AB778*AD778*N779/Inputs!$B$16-AH779</f>
        <v>0</v>
      </c>
      <c r="AJ779" s="30" t="n">
        <f aca="false">MAX(AE779,0)*(Inputs!$B$17+Inputs!$B$24+Inputs!$B$25)+MAX(-AE779,0)*(O779+Inputs!$B$24+Inputs!$B$25)+IF(AND(K779=1,AB779&lt;&gt;0),(Inputs!$B$17+Inputs!$B$24+Inputs!$B$25)+(O779+Inputs!$B$24+Inputs!$B$25),0)+MAX(AG779,0)*(Inputs!$B$20+Inputs!$B$26+Inputs!$B$27)+MAX(-AG779,0)*(Inputs!$B$21+Inputs!$B$26+Inputs!$B$27)</f>
        <v>0</v>
      </c>
      <c r="AK779" s="30" t="n">
        <f aca="false">AB778*(M779-AD778*J779)+AB778*AD778*(N779+Inputs!$B$14)/Inputs!$B$16-AJ779</f>
        <v>0</v>
      </c>
      <c r="AL779" s="30" t="n">
        <f aca="false">IF(AP778&lt;&gt;0,AQ778+1,0)</f>
        <v>0</v>
      </c>
      <c r="AM779" s="30" t="n">
        <f aca="false">IF(W779="",0,IF(AND(AP778&lt;&gt;0,OR(ABS(W779)&gt;Inputs!$B$7,AL779&gt;=Inputs!$B$8,ABS(W779)&lt;Inputs!$B$6)),1,0))</f>
        <v>0</v>
      </c>
      <c r="AN779" s="30" t="n">
        <f aca="false">IF(AM779=1,0,AP778)</f>
        <v>0</v>
      </c>
      <c r="AO779" s="30" t="n">
        <f aca="false">IF(W779="",0,IF(AND(AN779=0,ABS(W779)&gt;Inputs!$B$5,ABS(W779)&lt;=Inputs!$B$7,W779&gt;0),1,0))</f>
        <v>0</v>
      </c>
      <c r="AP779" s="30" t="n">
        <f aca="false">IF(W779="",0,IF(AO779=1,-SIGN(W779),AN779))</f>
        <v>0</v>
      </c>
      <c r="AQ779" s="30" t="n">
        <f aca="false">IF(W779="",0,IF(AO779=1,0,IF(AM779=1,0,AL779)))</f>
        <v>0</v>
      </c>
      <c r="AR779" s="30" t="n">
        <f aca="false">IF(AP779=0,0,IF(AP778=AP779,AR778,T779))</f>
        <v>0</v>
      </c>
      <c r="AS779" s="30" t="n">
        <f aca="false">AP779-AP778</f>
        <v>0</v>
      </c>
      <c r="AT779" s="30" t="n">
        <f aca="false">-AR779*AP779</f>
        <v>-0</v>
      </c>
      <c r="AU779" s="30" t="n">
        <f aca="false">AT779-AT778</f>
        <v>0</v>
      </c>
      <c r="AV779" s="30" t="n">
        <f aca="false">MAX(AS779,0)*(Inputs!$B$17+Inputs!$B$18+Inputs!$B$19)+MAX(-AS779,0)*(O779+Inputs!$B$18+Inputs!$B$19)+IF(AND(K779=1,AP779&lt;&gt;0),(Inputs!$B$17+Inputs!$B$18+Inputs!$B$19)+(O779+Inputs!$B$18+Inputs!$B$19),0)+MAX(AU779,0)*(Inputs!$B$20+Inputs!$B$22+Inputs!$B$23)+MAX(-AU779,0)*(Inputs!$B$21+Inputs!$B$22+Inputs!$B$23)</f>
        <v>0</v>
      </c>
      <c r="AW779" s="30" t="n">
        <f aca="false">AP778*(M779-AR778*J779)+AP778*AR778*N779/Inputs!$B$16-AV779</f>
        <v>0</v>
      </c>
      <c r="AX779" s="30" t="n">
        <f aca="false">AW779-IF(AP778&lt;&gt;0,0.75*AR778*(Inputs!$B$13-N779)/Inputs!$B$16,0)</f>
        <v>0</v>
      </c>
      <c r="AY779" s="30" t="n">
        <f aca="false">MAX(AS779,0)*(Inputs!$B$17+Inputs!$B$18+Inputs!$B$19)+MAX(-AS779,0)*(O779+Inputs!$B$18+Inputs!$B$19)+IF(AND(K779=1,AP779&lt;&gt;0),(Inputs!$B$17+Inputs!$B$18+Inputs!$B$19)+(O779+Inputs!$B$18+Inputs!$B$19),0)</f>
        <v>0</v>
      </c>
      <c r="AZ779" s="30" t="n">
        <f aca="false">AP778*M779-AY779</f>
        <v>0</v>
      </c>
      <c r="BA779" s="32" t="n">
        <f aca="false">BA778+AI779</f>
        <v>0.0216474989857012</v>
      </c>
      <c r="BB779" s="30" t="n">
        <f aca="false">MAX(BB778,BA779)</f>
        <v>0.0261726191772394</v>
      </c>
      <c r="BC779" s="32" t="n">
        <f aca="false">BA779-BB779</f>
        <v>-0.00452512019153816</v>
      </c>
      <c r="BD779" s="30" t="n">
        <f aca="false">A780-A779</f>
        <v>1</v>
      </c>
    </row>
    <row r="780" customFormat="false" ht="15" hidden="false" customHeight="false" outlineLevel="0" collapsed="false">
      <c r="A780" s="28" t="n">
        <v>46191</v>
      </c>
      <c r="B780" s="0" t="n">
        <v>24206</v>
      </c>
      <c r="C780" s="0" t="n">
        <v>274.1</v>
      </c>
      <c r="D780" s="29" t="n">
        <f aca="false">LN(B780)</f>
        <v>10.0943558152985</v>
      </c>
      <c r="E780" s="29" t="n">
        <f aca="false">LN(C780)</f>
        <v>5.61349300330874</v>
      </c>
      <c r="F780" s="0" t="n">
        <v>775</v>
      </c>
      <c r="G780" s="0" t="n">
        <v>12</v>
      </c>
      <c r="H780" s="29" t="n">
        <f aca="false">D780-E780</f>
        <v>4.48086281198981</v>
      </c>
      <c r="I780" s="29" t="n">
        <f aca="false">D780-D779</f>
        <v>0.00480787079828993</v>
      </c>
      <c r="J780" s="29" t="n">
        <f aca="false">E780-E779</f>
        <v>0.00402120812378026</v>
      </c>
      <c r="K780" s="0" t="n">
        <v>0</v>
      </c>
      <c r="L780" s="0" t="n">
        <v>0</v>
      </c>
      <c r="M780" s="29" t="n">
        <f aca="false">IF(L780=1,J780-Carry!$B$9/Inputs!$B$16,I780)</f>
        <v>0.00480787079828993</v>
      </c>
      <c r="N780" s="0" t="n">
        <v>0.0525</v>
      </c>
      <c r="O780" s="0" t="n">
        <v>0.0005</v>
      </c>
      <c r="P780" s="29" t="n">
        <f aca="false">D780-('2 Hedge ratio'!$B$6+'2 Hedge ratio'!$B$5*E780)</f>
        <v>-0.0101354192250191</v>
      </c>
      <c r="Q780" s="29" t="n">
        <f aca="false">D780-('5 Re-specification'!$B$7+'5 Re-specification'!$B$5*E780+'5 Re-specification'!$B$6*F780)</f>
        <v>0.00149370323238607</v>
      </c>
      <c r="R780" s="30" t="n">
        <f aca="false">MIN(F780,Inputs!$B$9)</f>
        <v>250</v>
      </c>
      <c r="S780" s="29" t="n">
        <f aca="true">IF(AND(F780&gt;=1,R780&gt;=Inputs!$B$10),INDEX(LINEST(OFFSET(D780,-R780,0,R780,1),OFFSET(E780,-R780,0,R780,2)),1,1),"")</f>
        <v>-3.34913764188376E-005</v>
      </c>
      <c r="T780" s="29" t="n">
        <f aca="true">IF(AND(F780&gt;=1,R780&gt;=Inputs!$B$10),INDEX(LINEST(OFFSET(D780,-R780,0,R780,1),OFFSET(E780,-R780,0,R780,2)),1,2),"")</f>
        <v>1.01578798817363</v>
      </c>
      <c r="U780" s="29" t="n">
        <f aca="true">IF(AND(F780&gt;=1,R780&gt;=Inputs!$B$10),INDEX(LINEST(OFFSET(D780,-R780,0,R780,1),OFFSET(E780,-R780,0,R780,2)),1,3),"")</f>
        <v>4.41752889359878</v>
      </c>
      <c r="V780" s="29" t="n">
        <f aca="true">IF(AND(F780&gt;=1,R780&gt;=Inputs!$B$10),SQRT(SUMPRODUCT((OFFSET(D780,-R780,0,R780,1)-U780-T780*OFFSET(E780,-R780,0,R780,1)-S780*OFFSET(F780,-R780,0,R780,1))^2)/(R780-3)),"")</f>
        <v>0.00228224141633844</v>
      </c>
      <c r="W780" s="31" t="n">
        <f aca="false">IF(AND(F780&gt;=1,R780&gt;=Inputs!$B$10),(D780-U780-T780*E780-S780*F780)/V780,"")</f>
        <v>0.290930644711331</v>
      </c>
      <c r="X780" s="30" t="n">
        <f aca="false">IF(AB779&lt;&gt;0,AC779+1,0)</f>
        <v>0</v>
      </c>
      <c r="Y780" s="30" t="n">
        <f aca="false">IF(W780="",0,IF(AND(AB779&lt;&gt;0,OR(ABS(W780)&gt;Inputs!$B$7,X780&gt;=Inputs!$B$8,ABS(W780)&lt;Inputs!$B$6)),1,0))</f>
        <v>0</v>
      </c>
      <c r="Z780" s="30" t="n">
        <f aca="false">IF(Y780=1,0,AB779)</f>
        <v>0</v>
      </c>
      <c r="AA780" s="30" t="n">
        <f aca="false">IF(W780="",0,IF(AND(Z780=0,ABS(W780)&gt;Inputs!$B$5,ABS(W780)&lt;=Inputs!$B$7),1,0))</f>
        <v>0</v>
      </c>
      <c r="AB780" s="30" t="n">
        <f aca="false">IF(W780="",0,IF(AA780=1,-SIGN(W780),Z780))</f>
        <v>0</v>
      </c>
      <c r="AC780" s="30" t="n">
        <f aca="false">IF(W780="",0,IF(AA780=1,0,IF(Y780=1,0,X780)))</f>
        <v>0</v>
      </c>
      <c r="AD780" s="30" t="n">
        <f aca="false">IF(AB780=0,0,IF(AB779=AB780,AD779,T780))</f>
        <v>0</v>
      </c>
      <c r="AE780" s="30" t="n">
        <f aca="false">AB780-AB779</f>
        <v>0</v>
      </c>
      <c r="AF780" s="30" t="n">
        <f aca="false">-AD780*AB780</f>
        <v>-0</v>
      </c>
      <c r="AG780" s="30" t="n">
        <f aca="false">AF780-AF779</f>
        <v>0</v>
      </c>
      <c r="AH780" s="30" t="n">
        <f aca="false">MAX(AE780,0)*(Inputs!$B$17+Inputs!$B$18+Inputs!$B$19)+MAX(-AE780,0)*(O780+Inputs!$B$18+Inputs!$B$19)+IF(AND(K780=1,AB780&lt;&gt;0),(Inputs!$B$17+Inputs!$B$18+Inputs!$B$19)+(O780+Inputs!$B$18+Inputs!$B$19),0)+MAX(AG780,0)*(Inputs!$B$20+Inputs!$B$22+Inputs!$B$23)+MAX(-AG780,0)*(Inputs!$B$21+Inputs!$B$22+Inputs!$B$23)</f>
        <v>0</v>
      </c>
      <c r="AI780" s="30" t="n">
        <f aca="false">AB779*(M780-AD779*J780)+AB779*AD779*N780/Inputs!$B$16-AH780</f>
        <v>0</v>
      </c>
      <c r="AJ780" s="30" t="n">
        <f aca="false">MAX(AE780,0)*(Inputs!$B$17+Inputs!$B$24+Inputs!$B$25)+MAX(-AE780,0)*(O780+Inputs!$B$24+Inputs!$B$25)+IF(AND(K780=1,AB780&lt;&gt;0),(Inputs!$B$17+Inputs!$B$24+Inputs!$B$25)+(O780+Inputs!$B$24+Inputs!$B$25),0)+MAX(AG780,0)*(Inputs!$B$20+Inputs!$B$26+Inputs!$B$27)+MAX(-AG780,0)*(Inputs!$B$21+Inputs!$B$26+Inputs!$B$27)</f>
        <v>0</v>
      </c>
      <c r="AK780" s="30" t="n">
        <f aca="false">AB779*(M780-AD779*J780)+AB779*AD779*(N780+Inputs!$B$14)/Inputs!$B$16-AJ780</f>
        <v>0</v>
      </c>
      <c r="AL780" s="30" t="n">
        <f aca="false">IF(AP779&lt;&gt;0,AQ779+1,0)</f>
        <v>0</v>
      </c>
      <c r="AM780" s="30" t="n">
        <f aca="false">IF(W780="",0,IF(AND(AP779&lt;&gt;0,OR(ABS(W780)&gt;Inputs!$B$7,AL780&gt;=Inputs!$B$8,ABS(W780)&lt;Inputs!$B$6)),1,0))</f>
        <v>0</v>
      </c>
      <c r="AN780" s="30" t="n">
        <f aca="false">IF(AM780=1,0,AP779)</f>
        <v>0</v>
      </c>
      <c r="AO780" s="30" t="n">
        <f aca="false">IF(W780="",0,IF(AND(AN780=0,ABS(W780)&gt;Inputs!$B$5,ABS(W780)&lt;=Inputs!$B$7,W780&gt;0),1,0))</f>
        <v>0</v>
      </c>
      <c r="AP780" s="30" t="n">
        <f aca="false">IF(W780="",0,IF(AO780=1,-SIGN(W780),AN780))</f>
        <v>0</v>
      </c>
      <c r="AQ780" s="30" t="n">
        <f aca="false">IF(W780="",0,IF(AO780=1,0,IF(AM780=1,0,AL780)))</f>
        <v>0</v>
      </c>
      <c r="AR780" s="30" t="n">
        <f aca="false">IF(AP780=0,0,IF(AP779=AP780,AR779,T780))</f>
        <v>0</v>
      </c>
      <c r="AS780" s="30" t="n">
        <f aca="false">AP780-AP779</f>
        <v>0</v>
      </c>
      <c r="AT780" s="30" t="n">
        <f aca="false">-AR780*AP780</f>
        <v>-0</v>
      </c>
      <c r="AU780" s="30" t="n">
        <f aca="false">AT780-AT779</f>
        <v>0</v>
      </c>
      <c r="AV780" s="30" t="n">
        <f aca="false">MAX(AS780,0)*(Inputs!$B$17+Inputs!$B$18+Inputs!$B$19)+MAX(-AS780,0)*(O780+Inputs!$B$18+Inputs!$B$19)+IF(AND(K780=1,AP780&lt;&gt;0),(Inputs!$B$17+Inputs!$B$18+Inputs!$B$19)+(O780+Inputs!$B$18+Inputs!$B$19),0)+MAX(AU780,0)*(Inputs!$B$20+Inputs!$B$22+Inputs!$B$23)+MAX(-AU780,0)*(Inputs!$B$21+Inputs!$B$22+Inputs!$B$23)</f>
        <v>0</v>
      </c>
      <c r="AW780" s="30" t="n">
        <f aca="false">AP779*(M780-AR779*J780)+AP779*AR779*N780/Inputs!$B$16-AV780</f>
        <v>0</v>
      </c>
      <c r="AX780" s="30" t="n">
        <f aca="false">AW780-IF(AP779&lt;&gt;0,0.75*AR779*(Inputs!$B$13-N780)/Inputs!$B$16,0)</f>
        <v>0</v>
      </c>
      <c r="AY780" s="30" t="n">
        <f aca="false">MAX(AS780,0)*(Inputs!$B$17+Inputs!$B$18+Inputs!$B$19)+MAX(-AS780,0)*(O780+Inputs!$B$18+Inputs!$B$19)+IF(AND(K780=1,AP780&lt;&gt;0),(Inputs!$B$17+Inputs!$B$18+Inputs!$B$19)+(O780+Inputs!$B$18+Inputs!$B$19),0)</f>
        <v>0</v>
      </c>
      <c r="AZ780" s="30" t="n">
        <f aca="false">AP779*M780-AY780</f>
        <v>0</v>
      </c>
      <c r="BA780" s="32" t="n">
        <f aca="false">BA779+AI780</f>
        <v>0.0216474989857012</v>
      </c>
      <c r="BB780" s="30" t="n">
        <f aca="false">MAX(BB779,BA780)</f>
        <v>0.0261726191772394</v>
      </c>
      <c r="BC780" s="32" t="n">
        <f aca="false">BA780-BB780</f>
        <v>-0.00452512019153816</v>
      </c>
      <c r="BD780" s="30" t="n">
        <f aca="false">A781-A780</f>
        <v>1</v>
      </c>
    </row>
    <row r="781" customFormat="false" ht="15" hidden="false" customHeight="false" outlineLevel="0" collapsed="false">
      <c r="A781" s="28" t="n">
        <v>46192</v>
      </c>
      <c r="B781" s="0" t="n">
        <v>24077</v>
      </c>
      <c r="C781" s="0" t="n">
        <v>273.18</v>
      </c>
      <c r="D781" s="29" t="n">
        <f aca="false">LN(B781)</f>
        <v>10.0890123069438</v>
      </c>
      <c r="E781" s="29" t="n">
        <f aca="false">LN(C781)</f>
        <v>5.61013091857475</v>
      </c>
      <c r="F781" s="0" t="n">
        <v>776</v>
      </c>
      <c r="G781" s="0" t="n">
        <v>11</v>
      </c>
      <c r="H781" s="29" t="n">
        <f aca="false">D781-E781</f>
        <v>4.47888138836908</v>
      </c>
      <c r="I781" s="29" t="n">
        <f aca="false">D781-D780</f>
        <v>-0.00534350835471997</v>
      </c>
      <c r="J781" s="29" t="n">
        <f aca="false">E781-E780</f>
        <v>-0.00336208473399413</v>
      </c>
      <c r="K781" s="0" t="n">
        <v>0</v>
      </c>
      <c r="L781" s="0" t="n">
        <v>0</v>
      </c>
      <c r="M781" s="29" t="n">
        <f aca="false">IF(L781=1,J781-Carry!$B$9/Inputs!$B$16,I781)</f>
        <v>-0.00534350835471997</v>
      </c>
      <c r="N781" s="0" t="n">
        <v>0.0525</v>
      </c>
      <c r="O781" s="0" t="n">
        <v>0.0005</v>
      </c>
      <c r="P781" s="29" t="n">
        <f aca="false">D781-('2 Hedge ratio'!$B$6+'2 Hedge ratio'!$B$5*E781)</f>
        <v>-0.0123988317880723</v>
      </c>
      <c r="Q781" s="29" t="n">
        <f aca="false">D781-('5 Re-specification'!$B$7+'5 Re-specification'!$B$5*E781+'5 Re-specification'!$B$6*F781)</f>
        <v>-0.000452979868102332</v>
      </c>
      <c r="R781" s="30" t="n">
        <f aca="false">MIN(F781,Inputs!$B$9)</f>
        <v>250</v>
      </c>
      <c r="S781" s="29" t="n">
        <f aca="true">IF(AND(F781&gt;=1,R781&gt;=Inputs!$B$10),INDEX(LINEST(OFFSET(D781,-R781,0,R781,1),OFFSET(E781,-R781,0,R781,2)),1,1),"")</f>
        <v>-3.31517699037299E-005</v>
      </c>
      <c r="T781" s="29" t="n">
        <f aca="true">IF(AND(F781&gt;=1,R781&gt;=Inputs!$B$10),INDEX(LINEST(OFFSET(D781,-R781,0,R781,1),OFFSET(E781,-R781,0,R781,2)),1,2),"")</f>
        <v>1.01613462034018</v>
      </c>
      <c r="U781" s="29" t="n">
        <f aca="true">IF(AND(F781&gt;=1,R781&gt;=Inputs!$B$10),INDEX(LINEST(OFFSET(D781,-R781,0,R781,1),OFFSET(E781,-R781,0,R781,2)),1,3),"")</f>
        <v>4.41534711217654</v>
      </c>
      <c r="V781" s="29" t="n">
        <f aca="true">IF(AND(F781&gt;=1,R781&gt;=Inputs!$B$10),SQRT(SUMPRODUCT((OFFSET(D781,-R781,0,R781,1)-U781-T781*OFFSET(E781,-R781,0,R781,1)-S781*OFFSET(F781,-R781,0,R781,1))^2)/(R781-3)),"")</f>
        <v>0.00227873196555152</v>
      </c>
      <c r="W781" s="31" t="n">
        <f aca="false">IF(AND(F781&gt;=1,R781&gt;=Inputs!$B$10),(D781-U781-T781*E781-S781*F781)/V781,"")</f>
        <v>-0.551746678005374</v>
      </c>
      <c r="X781" s="30" t="n">
        <f aca="false">IF(AB780&lt;&gt;0,AC780+1,0)</f>
        <v>0</v>
      </c>
      <c r="Y781" s="30" t="n">
        <f aca="false">IF(W781="",0,IF(AND(AB780&lt;&gt;0,OR(ABS(W781)&gt;Inputs!$B$7,X781&gt;=Inputs!$B$8,ABS(W781)&lt;Inputs!$B$6)),1,0))</f>
        <v>0</v>
      </c>
      <c r="Z781" s="30" t="n">
        <f aca="false">IF(Y781=1,0,AB780)</f>
        <v>0</v>
      </c>
      <c r="AA781" s="30" t="n">
        <f aca="false">IF(W781="",0,IF(AND(Z781=0,ABS(W781)&gt;Inputs!$B$5,ABS(W781)&lt;=Inputs!$B$7),1,0))</f>
        <v>0</v>
      </c>
      <c r="AB781" s="30" t="n">
        <f aca="false">IF(W781="",0,IF(AA781=1,-SIGN(W781),Z781))</f>
        <v>0</v>
      </c>
      <c r="AC781" s="30" t="n">
        <f aca="false">IF(W781="",0,IF(AA781=1,0,IF(Y781=1,0,X781)))</f>
        <v>0</v>
      </c>
      <c r="AD781" s="30" t="n">
        <f aca="false">IF(AB781=0,0,IF(AB780=AB781,AD780,T781))</f>
        <v>0</v>
      </c>
      <c r="AE781" s="30" t="n">
        <f aca="false">AB781-AB780</f>
        <v>0</v>
      </c>
      <c r="AF781" s="30" t="n">
        <f aca="false">-AD781*AB781</f>
        <v>-0</v>
      </c>
      <c r="AG781" s="30" t="n">
        <f aca="false">AF781-AF780</f>
        <v>0</v>
      </c>
      <c r="AH781" s="30" t="n">
        <f aca="false">MAX(AE781,0)*(Inputs!$B$17+Inputs!$B$18+Inputs!$B$19)+MAX(-AE781,0)*(O781+Inputs!$B$18+Inputs!$B$19)+IF(AND(K781=1,AB781&lt;&gt;0),(Inputs!$B$17+Inputs!$B$18+Inputs!$B$19)+(O781+Inputs!$B$18+Inputs!$B$19),0)+MAX(AG781,0)*(Inputs!$B$20+Inputs!$B$22+Inputs!$B$23)+MAX(-AG781,0)*(Inputs!$B$21+Inputs!$B$22+Inputs!$B$23)</f>
        <v>0</v>
      </c>
      <c r="AI781" s="30" t="n">
        <f aca="false">AB780*(M781-AD780*J781)+AB780*AD780*N781/Inputs!$B$16-AH781</f>
        <v>0</v>
      </c>
      <c r="AJ781" s="30" t="n">
        <f aca="false">MAX(AE781,0)*(Inputs!$B$17+Inputs!$B$24+Inputs!$B$25)+MAX(-AE781,0)*(O781+Inputs!$B$24+Inputs!$B$25)+IF(AND(K781=1,AB781&lt;&gt;0),(Inputs!$B$17+Inputs!$B$24+Inputs!$B$25)+(O781+Inputs!$B$24+Inputs!$B$25),0)+MAX(AG781,0)*(Inputs!$B$20+Inputs!$B$26+Inputs!$B$27)+MAX(-AG781,0)*(Inputs!$B$21+Inputs!$B$26+Inputs!$B$27)</f>
        <v>0</v>
      </c>
      <c r="AK781" s="30" t="n">
        <f aca="false">AB780*(M781-AD780*J781)+AB780*AD780*(N781+Inputs!$B$14)/Inputs!$B$16-AJ781</f>
        <v>0</v>
      </c>
      <c r="AL781" s="30" t="n">
        <f aca="false">IF(AP780&lt;&gt;0,AQ780+1,0)</f>
        <v>0</v>
      </c>
      <c r="AM781" s="30" t="n">
        <f aca="false">IF(W781="",0,IF(AND(AP780&lt;&gt;0,OR(ABS(W781)&gt;Inputs!$B$7,AL781&gt;=Inputs!$B$8,ABS(W781)&lt;Inputs!$B$6)),1,0))</f>
        <v>0</v>
      </c>
      <c r="AN781" s="30" t="n">
        <f aca="false">IF(AM781=1,0,AP780)</f>
        <v>0</v>
      </c>
      <c r="AO781" s="30" t="n">
        <f aca="false">IF(W781="",0,IF(AND(AN781=0,ABS(W781)&gt;Inputs!$B$5,ABS(W781)&lt;=Inputs!$B$7,W781&gt;0),1,0))</f>
        <v>0</v>
      </c>
      <c r="AP781" s="30" t="n">
        <f aca="false">IF(W781="",0,IF(AO781=1,-SIGN(W781),AN781))</f>
        <v>0</v>
      </c>
      <c r="AQ781" s="30" t="n">
        <f aca="false">IF(W781="",0,IF(AO781=1,0,IF(AM781=1,0,AL781)))</f>
        <v>0</v>
      </c>
      <c r="AR781" s="30" t="n">
        <f aca="false">IF(AP781=0,0,IF(AP780=AP781,AR780,T781))</f>
        <v>0</v>
      </c>
      <c r="AS781" s="30" t="n">
        <f aca="false">AP781-AP780</f>
        <v>0</v>
      </c>
      <c r="AT781" s="30" t="n">
        <f aca="false">-AR781*AP781</f>
        <v>-0</v>
      </c>
      <c r="AU781" s="30" t="n">
        <f aca="false">AT781-AT780</f>
        <v>0</v>
      </c>
      <c r="AV781" s="30" t="n">
        <f aca="false">MAX(AS781,0)*(Inputs!$B$17+Inputs!$B$18+Inputs!$B$19)+MAX(-AS781,0)*(O781+Inputs!$B$18+Inputs!$B$19)+IF(AND(K781=1,AP781&lt;&gt;0),(Inputs!$B$17+Inputs!$B$18+Inputs!$B$19)+(O781+Inputs!$B$18+Inputs!$B$19),0)+MAX(AU781,0)*(Inputs!$B$20+Inputs!$B$22+Inputs!$B$23)+MAX(-AU781,0)*(Inputs!$B$21+Inputs!$B$22+Inputs!$B$23)</f>
        <v>0</v>
      </c>
      <c r="AW781" s="30" t="n">
        <f aca="false">AP780*(M781-AR780*J781)+AP780*AR780*N781/Inputs!$B$16-AV781</f>
        <v>0</v>
      </c>
      <c r="AX781" s="30" t="n">
        <f aca="false">AW781-IF(AP780&lt;&gt;0,0.75*AR780*(Inputs!$B$13-N781)/Inputs!$B$16,0)</f>
        <v>0</v>
      </c>
      <c r="AY781" s="30" t="n">
        <f aca="false">MAX(AS781,0)*(Inputs!$B$17+Inputs!$B$18+Inputs!$B$19)+MAX(-AS781,0)*(O781+Inputs!$B$18+Inputs!$B$19)+IF(AND(K781=1,AP781&lt;&gt;0),(Inputs!$B$17+Inputs!$B$18+Inputs!$B$19)+(O781+Inputs!$B$18+Inputs!$B$19),0)</f>
        <v>0</v>
      </c>
      <c r="AZ781" s="30" t="n">
        <f aca="false">AP780*M781-AY781</f>
        <v>-0</v>
      </c>
      <c r="BA781" s="32" t="n">
        <f aca="false">BA780+AI781</f>
        <v>0.0216474989857012</v>
      </c>
      <c r="BB781" s="30" t="n">
        <f aca="false">MAX(BB780,BA781)</f>
        <v>0.0261726191772394</v>
      </c>
      <c r="BC781" s="32" t="n">
        <f aca="false">BA781-BB781</f>
        <v>-0.00452512019153816</v>
      </c>
      <c r="BD781" s="30" t="n">
        <f aca="false">A782-A781</f>
        <v>3</v>
      </c>
    </row>
    <row r="782" customFormat="false" ht="15" hidden="false" customHeight="false" outlineLevel="0" collapsed="false">
      <c r="A782" s="28" t="n">
        <v>46195</v>
      </c>
      <c r="B782" s="0" t="n">
        <v>24122.4</v>
      </c>
      <c r="C782" s="0" t="n">
        <v>273.68</v>
      </c>
      <c r="D782" s="29" t="n">
        <f aca="false">LN(B782)</f>
        <v>10.0908961483786</v>
      </c>
      <c r="E782" s="29" t="n">
        <f aca="false">LN(C782)</f>
        <v>5.61195954066935</v>
      </c>
      <c r="F782" s="0" t="n">
        <v>777</v>
      </c>
      <c r="G782" s="0" t="n">
        <v>8</v>
      </c>
      <c r="H782" s="29" t="n">
        <f aca="false">D782-E782</f>
        <v>4.47893660770929</v>
      </c>
      <c r="I782" s="29" t="n">
        <f aca="false">D782-D781</f>
        <v>0.00188384143481102</v>
      </c>
      <c r="J782" s="29" t="n">
        <f aca="false">E782-E781</f>
        <v>0.00182862209460311</v>
      </c>
      <c r="K782" s="0" t="n">
        <v>0</v>
      </c>
      <c r="L782" s="0" t="n">
        <v>0</v>
      </c>
      <c r="M782" s="29" t="n">
        <f aca="false">IF(L782=1,J782-Carry!$B$9/Inputs!$B$16,I782)</f>
        <v>0.00188384143481102</v>
      </c>
      <c r="N782" s="0" t="n">
        <v>0.0525</v>
      </c>
      <c r="O782" s="0" t="n">
        <v>0.0005</v>
      </c>
      <c r="P782" s="29" t="n">
        <f aca="false">D782-('2 Hedge ratio'!$B$6+'2 Hedge ratio'!$B$5*E782)</f>
        <v>-0.0121902399866762</v>
      </c>
      <c r="Q782" s="29" t="n">
        <f aca="false">D782-('5 Re-specification'!$B$7+'5 Re-specification'!$B$5*E782+'5 Re-specification'!$B$6*F782)</f>
        <v>-0.000347289570500564</v>
      </c>
      <c r="R782" s="30" t="n">
        <f aca="false">MIN(F782,Inputs!$B$9)</f>
        <v>250</v>
      </c>
      <c r="S782" s="29" t="n">
        <f aca="true">IF(AND(F782&gt;=1,R782&gt;=Inputs!$B$10),INDEX(LINEST(OFFSET(D782,-R782,0,R782,1),OFFSET(E782,-R782,0,R782,2)),1,1),"")</f>
        <v>-3.26610301389671E-005</v>
      </c>
      <c r="T782" s="29" t="n">
        <f aca="true">IF(AND(F782&gt;=1,R782&gt;=Inputs!$B$10),INDEX(LINEST(OFFSET(D782,-R782,0,R782,1),OFFSET(E782,-R782,0,R782,2)),1,2),"")</f>
        <v>1.01681098323017</v>
      </c>
      <c r="U782" s="29" t="n">
        <f aca="true">IF(AND(F782&gt;=1,R782&gt;=Inputs!$B$10),INDEX(LINEST(OFFSET(D782,-R782,0,R782,1),OFFSET(E782,-R782,0,R782,2)),1,3),"")</f>
        <v>4.41118822833982</v>
      </c>
      <c r="V782" s="29" t="n">
        <f aca="true">IF(AND(F782&gt;=1,R782&gt;=Inputs!$B$10),SQRT(SUMPRODUCT((OFFSET(D782,-R782,0,R782,1)-U782-T782*OFFSET(E782,-R782,0,R782,1)-S782*OFFSET(F782,-R782,0,R782,1))^2)/(R782-3)),"")</f>
        <v>0.00225962102379882</v>
      </c>
      <c r="W782" s="31" t="n">
        <f aca="false">IF(AND(F782&gt;=1,R782&gt;=Inputs!$B$10),(D782-U782-T782*E782-S782*F782)/V782,"")</f>
        <v>-0.53839025497273</v>
      </c>
      <c r="X782" s="30" t="n">
        <f aca="false">IF(AB781&lt;&gt;0,AC781+1,0)</f>
        <v>0</v>
      </c>
      <c r="Y782" s="30" t="n">
        <f aca="false">IF(W782="",0,IF(AND(AB781&lt;&gt;0,OR(ABS(W782)&gt;Inputs!$B$7,X782&gt;=Inputs!$B$8,ABS(W782)&lt;Inputs!$B$6)),1,0))</f>
        <v>0</v>
      </c>
      <c r="Z782" s="30" t="n">
        <f aca="false">IF(Y782=1,0,AB781)</f>
        <v>0</v>
      </c>
      <c r="AA782" s="30" t="n">
        <f aca="false">IF(W782="",0,IF(AND(Z782=0,ABS(W782)&gt;Inputs!$B$5,ABS(W782)&lt;=Inputs!$B$7),1,0))</f>
        <v>0</v>
      </c>
      <c r="AB782" s="30" t="n">
        <f aca="false">IF(W782="",0,IF(AA782=1,-SIGN(W782),Z782))</f>
        <v>0</v>
      </c>
      <c r="AC782" s="30" t="n">
        <f aca="false">IF(W782="",0,IF(AA782=1,0,IF(Y782=1,0,X782)))</f>
        <v>0</v>
      </c>
      <c r="AD782" s="30" t="n">
        <f aca="false">IF(AB782=0,0,IF(AB781=AB782,AD781,T782))</f>
        <v>0</v>
      </c>
      <c r="AE782" s="30" t="n">
        <f aca="false">AB782-AB781</f>
        <v>0</v>
      </c>
      <c r="AF782" s="30" t="n">
        <f aca="false">-AD782*AB782</f>
        <v>-0</v>
      </c>
      <c r="AG782" s="30" t="n">
        <f aca="false">AF782-AF781</f>
        <v>0</v>
      </c>
      <c r="AH782" s="30" t="n">
        <f aca="false">MAX(AE782,0)*(Inputs!$B$17+Inputs!$B$18+Inputs!$B$19)+MAX(-AE782,0)*(O782+Inputs!$B$18+Inputs!$B$19)+IF(AND(K782=1,AB782&lt;&gt;0),(Inputs!$B$17+Inputs!$B$18+Inputs!$B$19)+(O782+Inputs!$B$18+Inputs!$B$19),0)+MAX(AG782,0)*(Inputs!$B$20+Inputs!$B$22+Inputs!$B$23)+MAX(-AG782,0)*(Inputs!$B$21+Inputs!$B$22+Inputs!$B$23)</f>
        <v>0</v>
      </c>
      <c r="AI782" s="30" t="n">
        <f aca="false">AB781*(M782-AD781*J782)+AB781*AD781*N782/Inputs!$B$16-AH782</f>
        <v>0</v>
      </c>
      <c r="AJ782" s="30" t="n">
        <f aca="false">MAX(AE782,0)*(Inputs!$B$17+Inputs!$B$24+Inputs!$B$25)+MAX(-AE782,0)*(O782+Inputs!$B$24+Inputs!$B$25)+IF(AND(K782=1,AB782&lt;&gt;0),(Inputs!$B$17+Inputs!$B$24+Inputs!$B$25)+(O782+Inputs!$B$24+Inputs!$B$25),0)+MAX(AG782,0)*(Inputs!$B$20+Inputs!$B$26+Inputs!$B$27)+MAX(-AG782,0)*(Inputs!$B$21+Inputs!$B$26+Inputs!$B$27)</f>
        <v>0</v>
      </c>
      <c r="AK782" s="30" t="n">
        <f aca="false">AB781*(M782-AD781*J782)+AB781*AD781*(N782+Inputs!$B$14)/Inputs!$B$16-AJ782</f>
        <v>0</v>
      </c>
      <c r="AL782" s="30" t="n">
        <f aca="false">IF(AP781&lt;&gt;0,AQ781+1,0)</f>
        <v>0</v>
      </c>
      <c r="AM782" s="30" t="n">
        <f aca="false">IF(W782="",0,IF(AND(AP781&lt;&gt;0,OR(ABS(W782)&gt;Inputs!$B$7,AL782&gt;=Inputs!$B$8,ABS(W782)&lt;Inputs!$B$6)),1,0))</f>
        <v>0</v>
      </c>
      <c r="AN782" s="30" t="n">
        <f aca="false">IF(AM782=1,0,AP781)</f>
        <v>0</v>
      </c>
      <c r="AO782" s="30" t="n">
        <f aca="false">IF(W782="",0,IF(AND(AN782=0,ABS(W782)&gt;Inputs!$B$5,ABS(W782)&lt;=Inputs!$B$7,W782&gt;0),1,0))</f>
        <v>0</v>
      </c>
      <c r="AP782" s="30" t="n">
        <f aca="false">IF(W782="",0,IF(AO782=1,-SIGN(W782),AN782))</f>
        <v>0</v>
      </c>
      <c r="AQ782" s="30" t="n">
        <f aca="false">IF(W782="",0,IF(AO782=1,0,IF(AM782=1,0,AL782)))</f>
        <v>0</v>
      </c>
      <c r="AR782" s="30" t="n">
        <f aca="false">IF(AP782=0,0,IF(AP781=AP782,AR781,T782))</f>
        <v>0</v>
      </c>
      <c r="AS782" s="30" t="n">
        <f aca="false">AP782-AP781</f>
        <v>0</v>
      </c>
      <c r="AT782" s="30" t="n">
        <f aca="false">-AR782*AP782</f>
        <v>-0</v>
      </c>
      <c r="AU782" s="30" t="n">
        <f aca="false">AT782-AT781</f>
        <v>0</v>
      </c>
      <c r="AV782" s="30" t="n">
        <f aca="false">MAX(AS782,0)*(Inputs!$B$17+Inputs!$B$18+Inputs!$B$19)+MAX(-AS782,0)*(O782+Inputs!$B$18+Inputs!$B$19)+IF(AND(K782=1,AP782&lt;&gt;0),(Inputs!$B$17+Inputs!$B$18+Inputs!$B$19)+(O782+Inputs!$B$18+Inputs!$B$19),0)+MAX(AU782,0)*(Inputs!$B$20+Inputs!$B$22+Inputs!$B$23)+MAX(-AU782,0)*(Inputs!$B$21+Inputs!$B$22+Inputs!$B$23)</f>
        <v>0</v>
      </c>
      <c r="AW782" s="30" t="n">
        <f aca="false">AP781*(M782-AR781*J782)+AP781*AR781*N782/Inputs!$B$16-AV782</f>
        <v>0</v>
      </c>
      <c r="AX782" s="30" t="n">
        <f aca="false">AW782-IF(AP781&lt;&gt;0,0.75*AR781*(Inputs!$B$13-N782)/Inputs!$B$16,0)</f>
        <v>0</v>
      </c>
      <c r="AY782" s="30" t="n">
        <f aca="false">MAX(AS782,0)*(Inputs!$B$17+Inputs!$B$18+Inputs!$B$19)+MAX(-AS782,0)*(O782+Inputs!$B$18+Inputs!$B$19)+IF(AND(K782=1,AP782&lt;&gt;0),(Inputs!$B$17+Inputs!$B$18+Inputs!$B$19)+(O782+Inputs!$B$18+Inputs!$B$19),0)</f>
        <v>0</v>
      </c>
      <c r="AZ782" s="30" t="n">
        <f aca="false">AP781*M782-AY782</f>
        <v>0</v>
      </c>
      <c r="BA782" s="32" t="n">
        <f aca="false">BA781+AI782</f>
        <v>0.0216474989857012</v>
      </c>
      <c r="BB782" s="30" t="n">
        <f aca="false">MAX(BB781,BA782)</f>
        <v>0.0261726191772394</v>
      </c>
      <c r="BC782" s="32" t="n">
        <f aca="false">BA782-BB782</f>
        <v>-0.00452512019153816</v>
      </c>
      <c r="BD782" s="30" t="n">
        <f aca="false">A783-A782</f>
        <v>1</v>
      </c>
    </row>
    <row r="783" customFormat="false" ht="15" hidden="false" customHeight="false" outlineLevel="0" collapsed="false">
      <c r="A783" s="28" t="n">
        <v>46196</v>
      </c>
      <c r="B783" s="0" t="n">
        <v>23810</v>
      </c>
      <c r="C783" s="0" t="n">
        <v>270.53</v>
      </c>
      <c r="D783" s="29" t="n">
        <f aca="false">LN(B783)</f>
        <v>10.0778609394809</v>
      </c>
      <c r="E783" s="29" t="n">
        <f aca="false">LN(C783)</f>
        <v>5.60038299786708</v>
      </c>
      <c r="F783" s="0" t="n">
        <v>778</v>
      </c>
      <c r="G783" s="0" t="n">
        <v>7</v>
      </c>
      <c r="H783" s="29" t="n">
        <f aca="false">D783-E783</f>
        <v>4.47747794161383</v>
      </c>
      <c r="I783" s="29" t="n">
        <f aca="false">D783-D782</f>
        <v>-0.0130352088977315</v>
      </c>
      <c r="J783" s="29" t="n">
        <f aca="false">E783-E782</f>
        <v>-0.0115765428022696</v>
      </c>
      <c r="K783" s="0" t="n">
        <v>0</v>
      </c>
      <c r="L783" s="0" t="n">
        <v>0</v>
      </c>
      <c r="M783" s="29" t="n">
        <f aca="false">IF(L783=1,J783-Carry!$B$9/Inputs!$B$16,I783)</f>
        <v>-0.0130352088977315</v>
      </c>
      <c r="N783" s="0" t="n">
        <v>0.0525</v>
      </c>
      <c r="O783" s="0" t="n">
        <v>0.0005</v>
      </c>
      <c r="P783" s="29" t="n">
        <f aca="false">D783-('2 Hedge ratio'!$B$6+'2 Hedge ratio'!$B$5*E783)</f>
        <v>-0.0146198682436829</v>
      </c>
      <c r="Q783" s="29" t="n">
        <f aca="false">D783-('5 Re-specification'!$B$7+'5 Re-specification'!$B$5*E783+'5 Re-specification'!$B$6*F783)</f>
        <v>-0.00179610906107186</v>
      </c>
      <c r="R783" s="30" t="n">
        <f aca="false">MIN(F783,Inputs!$B$9)</f>
        <v>250</v>
      </c>
      <c r="S783" s="29" t="n">
        <f aca="true">IF(AND(F783&gt;=1,R783&gt;=Inputs!$B$10),INDEX(LINEST(OFFSET(D783,-R783,0,R783,1),OFFSET(E783,-R783,0,R783,2)),1,1),"")</f>
        <v>-3.24123025576879E-005</v>
      </c>
      <c r="T783" s="29" t="n">
        <f aca="true">IF(AND(F783&gt;=1,R783&gt;=Inputs!$B$10),INDEX(LINEST(OFFSET(D783,-R783,0,R783,1),OFFSET(E783,-R783,0,R783,2)),1,2),"")</f>
        <v>1.01724089911014</v>
      </c>
      <c r="U783" s="29" t="n">
        <f aca="true">IF(AND(F783&gt;=1,R783&gt;=Inputs!$B$10),INDEX(LINEST(OFFSET(D783,-R783,0,R783,1),OFFSET(E783,-R783,0,R783,2)),1,3),"")</f>
        <v>4.4085850429919</v>
      </c>
      <c r="V783" s="29" t="n">
        <f aca="true">IF(AND(F783&gt;=1,R783&gt;=Inputs!$B$10),SQRT(SUMPRODUCT((OFFSET(D783,-R783,0,R783,1)-U783-T783*OFFSET(E783,-R783,0,R783,1)-S783*OFFSET(F783,-R783,0,R783,1))^2)/(R783-3)),"")</f>
        <v>0.00225397725920992</v>
      </c>
      <c r="W783" s="31" t="n">
        <f aca="false">IF(AND(F783&gt;=1,R783&gt;=Inputs!$B$10),(D783-U783-T783*E783-S783*F783)/V783,"")</f>
        <v>-1.08517875349805</v>
      </c>
      <c r="X783" s="30" t="n">
        <f aca="false">IF(AB782&lt;&gt;0,AC782+1,0)</f>
        <v>0</v>
      </c>
      <c r="Y783" s="30" t="n">
        <f aca="false">IF(W783="",0,IF(AND(AB782&lt;&gt;0,OR(ABS(W783)&gt;Inputs!$B$7,X783&gt;=Inputs!$B$8,ABS(W783)&lt;Inputs!$B$6)),1,0))</f>
        <v>0</v>
      </c>
      <c r="Z783" s="30" t="n">
        <f aca="false">IF(Y783=1,0,AB782)</f>
        <v>0</v>
      </c>
      <c r="AA783" s="30" t="n">
        <f aca="false">IF(W783="",0,IF(AND(Z783=0,ABS(W783)&gt;Inputs!$B$5,ABS(W783)&lt;=Inputs!$B$7),1,0))</f>
        <v>0</v>
      </c>
      <c r="AB783" s="30" t="n">
        <f aca="false">IF(W783="",0,IF(AA783=1,-SIGN(W783),Z783))</f>
        <v>0</v>
      </c>
      <c r="AC783" s="30" t="n">
        <f aca="false">IF(W783="",0,IF(AA783=1,0,IF(Y783=1,0,X783)))</f>
        <v>0</v>
      </c>
      <c r="AD783" s="30" t="n">
        <f aca="false">IF(AB783=0,0,IF(AB782=AB783,AD782,T783))</f>
        <v>0</v>
      </c>
      <c r="AE783" s="30" t="n">
        <f aca="false">AB783-AB782</f>
        <v>0</v>
      </c>
      <c r="AF783" s="30" t="n">
        <f aca="false">-AD783*AB783</f>
        <v>-0</v>
      </c>
      <c r="AG783" s="30" t="n">
        <f aca="false">AF783-AF782</f>
        <v>0</v>
      </c>
      <c r="AH783" s="30" t="n">
        <f aca="false">MAX(AE783,0)*(Inputs!$B$17+Inputs!$B$18+Inputs!$B$19)+MAX(-AE783,0)*(O783+Inputs!$B$18+Inputs!$B$19)+IF(AND(K783=1,AB783&lt;&gt;0),(Inputs!$B$17+Inputs!$B$18+Inputs!$B$19)+(O783+Inputs!$B$18+Inputs!$B$19),0)+MAX(AG783,0)*(Inputs!$B$20+Inputs!$B$22+Inputs!$B$23)+MAX(-AG783,0)*(Inputs!$B$21+Inputs!$B$22+Inputs!$B$23)</f>
        <v>0</v>
      </c>
      <c r="AI783" s="30" t="n">
        <f aca="false">AB782*(M783-AD782*J783)+AB782*AD782*N783/Inputs!$B$16-AH783</f>
        <v>0</v>
      </c>
      <c r="AJ783" s="30" t="n">
        <f aca="false">MAX(AE783,0)*(Inputs!$B$17+Inputs!$B$24+Inputs!$B$25)+MAX(-AE783,0)*(O783+Inputs!$B$24+Inputs!$B$25)+IF(AND(K783=1,AB783&lt;&gt;0),(Inputs!$B$17+Inputs!$B$24+Inputs!$B$25)+(O783+Inputs!$B$24+Inputs!$B$25),0)+MAX(AG783,0)*(Inputs!$B$20+Inputs!$B$26+Inputs!$B$27)+MAX(-AG783,0)*(Inputs!$B$21+Inputs!$B$26+Inputs!$B$27)</f>
        <v>0</v>
      </c>
      <c r="AK783" s="30" t="n">
        <f aca="false">AB782*(M783-AD782*J783)+AB782*AD782*(N783+Inputs!$B$14)/Inputs!$B$16-AJ783</f>
        <v>0</v>
      </c>
      <c r="AL783" s="30" t="n">
        <f aca="false">IF(AP782&lt;&gt;0,AQ782+1,0)</f>
        <v>0</v>
      </c>
      <c r="AM783" s="30" t="n">
        <f aca="false">IF(W783="",0,IF(AND(AP782&lt;&gt;0,OR(ABS(W783)&gt;Inputs!$B$7,AL783&gt;=Inputs!$B$8,ABS(W783)&lt;Inputs!$B$6)),1,0))</f>
        <v>0</v>
      </c>
      <c r="AN783" s="30" t="n">
        <f aca="false">IF(AM783=1,0,AP782)</f>
        <v>0</v>
      </c>
      <c r="AO783" s="30" t="n">
        <f aca="false">IF(W783="",0,IF(AND(AN783=0,ABS(W783)&gt;Inputs!$B$5,ABS(W783)&lt;=Inputs!$B$7,W783&gt;0),1,0))</f>
        <v>0</v>
      </c>
      <c r="AP783" s="30" t="n">
        <f aca="false">IF(W783="",0,IF(AO783=1,-SIGN(W783),AN783))</f>
        <v>0</v>
      </c>
      <c r="AQ783" s="30" t="n">
        <f aca="false">IF(W783="",0,IF(AO783=1,0,IF(AM783=1,0,AL783)))</f>
        <v>0</v>
      </c>
      <c r="AR783" s="30" t="n">
        <f aca="false">IF(AP783=0,0,IF(AP782=AP783,AR782,T783))</f>
        <v>0</v>
      </c>
      <c r="AS783" s="30" t="n">
        <f aca="false">AP783-AP782</f>
        <v>0</v>
      </c>
      <c r="AT783" s="30" t="n">
        <f aca="false">-AR783*AP783</f>
        <v>-0</v>
      </c>
      <c r="AU783" s="30" t="n">
        <f aca="false">AT783-AT782</f>
        <v>0</v>
      </c>
      <c r="AV783" s="30" t="n">
        <f aca="false">MAX(AS783,0)*(Inputs!$B$17+Inputs!$B$18+Inputs!$B$19)+MAX(-AS783,0)*(O783+Inputs!$B$18+Inputs!$B$19)+IF(AND(K783=1,AP783&lt;&gt;0),(Inputs!$B$17+Inputs!$B$18+Inputs!$B$19)+(O783+Inputs!$B$18+Inputs!$B$19),0)+MAX(AU783,0)*(Inputs!$B$20+Inputs!$B$22+Inputs!$B$23)+MAX(-AU783,0)*(Inputs!$B$21+Inputs!$B$22+Inputs!$B$23)</f>
        <v>0</v>
      </c>
      <c r="AW783" s="30" t="n">
        <f aca="false">AP782*(M783-AR782*J783)+AP782*AR782*N783/Inputs!$B$16-AV783</f>
        <v>0</v>
      </c>
      <c r="AX783" s="30" t="n">
        <f aca="false">AW783-IF(AP782&lt;&gt;0,0.75*AR782*(Inputs!$B$13-N783)/Inputs!$B$16,0)</f>
        <v>0</v>
      </c>
      <c r="AY783" s="30" t="n">
        <f aca="false">MAX(AS783,0)*(Inputs!$B$17+Inputs!$B$18+Inputs!$B$19)+MAX(-AS783,0)*(O783+Inputs!$B$18+Inputs!$B$19)+IF(AND(K783=1,AP783&lt;&gt;0),(Inputs!$B$17+Inputs!$B$18+Inputs!$B$19)+(O783+Inputs!$B$18+Inputs!$B$19),0)</f>
        <v>0</v>
      </c>
      <c r="AZ783" s="30" t="n">
        <f aca="false">AP782*M783-AY783</f>
        <v>-0</v>
      </c>
      <c r="BA783" s="32" t="n">
        <f aca="false">BA782+AI783</f>
        <v>0.0216474989857012</v>
      </c>
      <c r="BB783" s="30" t="n">
        <f aca="false">MAX(BB782,BA783)</f>
        <v>0.0261726191772394</v>
      </c>
      <c r="BC783" s="32" t="n">
        <f aca="false">BA783-BB783</f>
        <v>-0.00452512019153816</v>
      </c>
      <c r="BD783" s="30" t="n">
        <f aca="false">A784-A783</f>
        <v>1</v>
      </c>
    </row>
    <row r="784" customFormat="false" ht="15" hidden="false" customHeight="false" outlineLevel="0" collapsed="false">
      <c r="A784" s="28" t="n">
        <v>46197</v>
      </c>
      <c r="B784" s="0" t="n">
        <v>24054.7</v>
      </c>
      <c r="C784" s="0" t="n">
        <v>272.74</v>
      </c>
      <c r="D784" s="29" t="n">
        <f aca="false">LN(B784)</f>
        <v>10.0880856826361</v>
      </c>
      <c r="E784" s="29" t="n">
        <f aca="false">LN(C784)</f>
        <v>5.60851896042969</v>
      </c>
      <c r="F784" s="0" t="n">
        <v>779</v>
      </c>
      <c r="G784" s="0" t="n">
        <v>6</v>
      </c>
      <c r="H784" s="29" t="n">
        <f aca="false">D784-E784</f>
        <v>4.47956672220643</v>
      </c>
      <c r="I784" s="29" t="n">
        <f aca="false">D784-D783</f>
        <v>0.0102247431552129</v>
      </c>
      <c r="J784" s="29" t="n">
        <f aca="false">E784-E783</f>
        <v>0.00813596256260851</v>
      </c>
      <c r="K784" s="0" t="n">
        <v>0</v>
      </c>
      <c r="L784" s="0" t="n">
        <v>0</v>
      </c>
      <c r="M784" s="29" t="n">
        <f aca="false">IF(L784=1,J784-Carry!$B$9/Inputs!$B$16,I784)</f>
        <v>0.0102247431552129</v>
      </c>
      <c r="N784" s="0" t="n">
        <v>0.0525</v>
      </c>
      <c r="O784" s="0" t="n">
        <v>0.0005</v>
      </c>
      <c r="P784" s="29" t="n">
        <f aca="false">D784-('2 Hedge ratio'!$B$6+'2 Hedge ratio'!$B$5*E784)</f>
        <v>-0.0118486981043073</v>
      </c>
      <c r="Q784" s="29" t="n">
        <f aca="false">D784-('5 Re-specification'!$B$7+'5 Re-specification'!$B$5*E784+'5 Re-specification'!$B$6*F784)</f>
        <v>0.000362256884347545</v>
      </c>
      <c r="R784" s="30" t="n">
        <f aca="false">MIN(F784,Inputs!$B$9)</f>
        <v>250</v>
      </c>
      <c r="S784" s="29" t="n">
        <f aca="true">IF(AND(F784&gt;=1,R784&gt;=Inputs!$B$10),INDEX(LINEST(OFFSET(D784,-R784,0,R784,1),OFFSET(E784,-R784,0,R784,2)),1,1),"")</f>
        <v>-3.23430538637685E-005</v>
      </c>
      <c r="T784" s="29" t="n">
        <f aca="true">IF(AND(F784&gt;=1,R784&gt;=Inputs!$B$10),INDEX(LINEST(OFFSET(D784,-R784,0,R784,1),OFFSET(E784,-R784,0,R784,2)),1,2),"")</f>
        <v>1.01768101803909</v>
      </c>
      <c r="U784" s="29" t="n">
        <f aca="true">IF(AND(F784&gt;=1,R784&gt;=Inputs!$B$10),INDEX(LINEST(OFFSET(D784,-R784,0,R784,1),OFFSET(E784,-R784,0,R784,2)),1,3),"")</f>
        <v>4.40603923779895</v>
      </c>
      <c r="V784" s="29" t="n">
        <f aca="true">IF(AND(F784&gt;=1,R784&gt;=Inputs!$B$10),SQRT(SUMPRODUCT((OFFSET(D784,-R784,0,R784,1)-U784-T784*OFFSET(E784,-R784,0,R784,1)-S784*OFFSET(F784,-R784,0,R784,1))^2)/(R784-3)),"")</f>
        <v>0.00225537130161827</v>
      </c>
      <c r="W784" s="31" t="n">
        <f aca="false">IF(AND(F784&gt;=1,R784&gt;=Inputs!$B$10),(D784-U784-T784*E784-S784*F784)/V784,"")</f>
        <v>-0.195799930715797</v>
      </c>
      <c r="X784" s="30" t="n">
        <f aca="false">IF(AB783&lt;&gt;0,AC783+1,0)</f>
        <v>0</v>
      </c>
      <c r="Y784" s="30" t="n">
        <f aca="false">IF(W784="",0,IF(AND(AB783&lt;&gt;0,OR(ABS(W784)&gt;Inputs!$B$7,X784&gt;=Inputs!$B$8,ABS(W784)&lt;Inputs!$B$6)),1,0))</f>
        <v>0</v>
      </c>
      <c r="Z784" s="30" t="n">
        <f aca="false">IF(Y784=1,0,AB783)</f>
        <v>0</v>
      </c>
      <c r="AA784" s="30" t="n">
        <f aca="false">IF(W784="",0,IF(AND(Z784=0,ABS(W784)&gt;Inputs!$B$5,ABS(W784)&lt;=Inputs!$B$7),1,0))</f>
        <v>0</v>
      </c>
      <c r="AB784" s="30" t="n">
        <f aca="false">IF(W784="",0,IF(AA784=1,-SIGN(W784),Z784))</f>
        <v>0</v>
      </c>
      <c r="AC784" s="30" t="n">
        <f aca="false">IF(W784="",0,IF(AA784=1,0,IF(Y784=1,0,X784)))</f>
        <v>0</v>
      </c>
      <c r="AD784" s="30" t="n">
        <f aca="false">IF(AB784=0,0,IF(AB783=AB784,AD783,T784))</f>
        <v>0</v>
      </c>
      <c r="AE784" s="30" t="n">
        <f aca="false">AB784-AB783</f>
        <v>0</v>
      </c>
      <c r="AF784" s="30" t="n">
        <f aca="false">-AD784*AB784</f>
        <v>-0</v>
      </c>
      <c r="AG784" s="30" t="n">
        <f aca="false">AF784-AF783</f>
        <v>0</v>
      </c>
      <c r="AH784" s="30" t="n">
        <f aca="false">MAX(AE784,0)*(Inputs!$B$17+Inputs!$B$18+Inputs!$B$19)+MAX(-AE784,0)*(O784+Inputs!$B$18+Inputs!$B$19)+IF(AND(K784=1,AB784&lt;&gt;0),(Inputs!$B$17+Inputs!$B$18+Inputs!$B$19)+(O784+Inputs!$B$18+Inputs!$B$19),0)+MAX(AG784,0)*(Inputs!$B$20+Inputs!$B$22+Inputs!$B$23)+MAX(-AG784,0)*(Inputs!$B$21+Inputs!$B$22+Inputs!$B$23)</f>
        <v>0</v>
      </c>
      <c r="AI784" s="30" t="n">
        <f aca="false">AB783*(M784-AD783*J784)+AB783*AD783*N784/Inputs!$B$16-AH784</f>
        <v>0</v>
      </c>
      <c r="AJ784" s="30" t="n">
        <f aca="false">MAX(AE784,0)*(Inputs!$B$17+Inputs!$B$24+Inputs!$B$25)+MAX(-AE784,0)*(O784+Inputs!$B$24+Inputs!$B$25)+IF(AND(K784=1,AB784&lt;&gt;0),(Inputs!$B$17+Inputs!$B$24+Inputs!$B$25)+(O784+Inputs!$B$24+Inputs!$B$25),0)+MAX(AG784,0)*(Inputs!$B$20+Inputs!$B$26+Inputs!$B$27)+MAX(-AG784,0)*(Inputs!$B$21+Inputs!$B$26+Inputs!$B$27)</f>
        <v>0</v>
      </c>
      <c r="AK784" s="30" t="n">
        <f aca="false">AB783*(M784-AD783*J784)+AB783*AD783*(N784+Inputs!$B$14)/Inputs!$B$16-AJ784</f>
        <v>0</v>
      </c>
      <c r="AL784" s="30" t="n">
        <f aca="false">IF(AP783&lt;&gt;0,AQ783+1,0)</f>
        <v>0</v>
      </c>
      <c r="AM784" s="30" t="n">
        <f aca="false">IF(W784="",0,IF(AND(AP783&lt;&gt;0,OR(ABS(W784)&gt;Inputs!$B$7,AL784&gt;=Inputs!$B$8,ABS(W784)&lt;Inputs!$B$6)),1,0))</f>
        <v>0</v>
      </c>
      <c r="AN784" s="30" t="n">
        <f aca="false">IF(AM784=1,0,AP783)</f>
        <v>0</v>
      </c>
      <c r="AO784" s="30" t="n">
        <f aca="false">IF(W784="",0,IF(AND(AN784=0,ABS(W784)&gt;Inputs!$B$5,ABS(W784)&lt;=Inputs!$B$7,W784&gt;0),1,0))</f>
        <v>0</v>
      </c>
      <c r="AP784" s="30" t="n">
        <f aca="false">IF(W784="",0,IF(AO784=1,-SIGN(W784),AN784))</f>
        <v>0</v>
      </c>
      <c r="AQ784" s="30" t="n">
        <f aca="false">IF(W784="",0,IF(AO784=1,0,IF(AM784=1,0,AL784)))</f>
        <v>0</v>
      </c>
      <c r="AR784" s="30" t="n">
        <f aca="false">IF(AP784=0,0,IF(AP783=AP784,AR783,T784))</f>
        <v>0</v>
      </c>
      <c r="AS784" s="30" t="n">
        <f aca="false">AP784-AP783</f>
        <v>0</v>
      </c>
      <c r="AT784" s="30" t="n">
        <f aca="false">-AR784*AP784</f>
        <v>-0</v>
      </c>
      <c r="AU784" s="30" t="n">
        <f aca="false">AT784-AT783</f>
        <v>0</v>
      </c>
      <c r="AV784" s="30" t="n">
        <f aca="false">MAX(AS784,0)*(Inputs!$B$17+Inputs!$B$18+Inputs!$B$19)+MAX(-AS784,0)*(O784+Inputs!$B$18+Inputs!$B$19)+IF(AND(K784=1,AP784&lt;&gt;0),(Inputs!$B$17+Inputs!$B$18+Inputs!$B$19)+(O784+Inputs!$B$18+Inputs!$B$19),0)+MAX(AU784,0)*(Inputs!$B$20+Inputs!$B$22+Inputs!$B$23)+MAX(-AU784,0)*(Inputs!$B$21+Inputs!$B$22+Inputs!$B$23)</f>
        <v>0</v>
      </c>
      <c r="AW784" s="30" t="n">
        <f aca="false">AP783*(M784-AR783*J784)+AP783*AR783*N784/Inputs!$B$16-AV784</f>
        <v>0</v>
      </c>
      <c r="AX784" s="30" t="n">
        <f aca="false">AW784-IF(AP783&lt;&gt;0,0.75*AR783*(Inputs!$B$13-N784)/Inputs!$B$16,0)</f>
        <v>0</v>
      </c>
      <c r="AY784" s="30" t="n">
        <f aca="false">MAX(AS784,0)*(Inputs!$B$17+Inputs!$B$18+Inputs!$B$19)+MAX(-AS784,0)*(O784+Inputs!$B$18+Inputs!$B$19)+IF(AND(K784=1,AP784&lt;&gt;0),(Inputs!$B$17+Inputs!$B$18+Inputs!$B$19)+(O784+Inputs!$B$18+Inputs!$B$19),0)</f>
        <v>0</v>
      </c>
      <c r="AZ784" s="30" t="n">
        <f aca="false">AP783*M784-AY784</f>
        <v>0</v>
      </c>
      <c r="BA784" s="32" t="n">
        <f aca="false">BA783+AI784</f>
        <v>0.0216474989857012</v>
      </c>
      <c r="BB784" s="30" t="n">
        <f aca="false">MAX(BB783,BA784)</f>
        <v>0.0261726191772394</v>
      </c>
      <c r="BC784" s="32" t="n">
        <f aca="false">BA784-BB784</f>
        <v>-0.00452512019153816</v>
      </c>
      <c r="BD784" s="30" t="n">
        <f aca="false">A785-A784</f>
        <v>1</v>
      </c>
    </row>
    <row r="785" customFormat="false" ht="15" hidden="false" customHeight="false" outlineLevel="0" collapsed="false">
      <c r="A785" s="28" t="n">
        <v>46198</v>
      </c>
      <c r="B785" s="0" t="n">
        <v>24105</v>
      </c>
      <c r="C785" s="0" t="n">
        <v>273.55</v>
      </c>
      <c r="D785" s="29" t="n">
        <f aca="false">LN(B785)</f>
        <v>10.0901745668397</v>
      </c>
      <c r="E785" s="29" t="n">
        <f aca="false">LN(C785)</f>
        <v>5.61148442050984</v>
      </c>
      <c r="F785" s="0" t="n">
        <v>780</v>
      </c>
      <c r="G785" s="0" t="n">
        <v>5</v>
      </c>
      <c r="H785" s="29" t="n">
        <f aca="false">D785-E785</f>
        <v>4.47869014632989</v>
      </c>
      <c r="I785" s="29" t="n">
        <f aca="false">D785-D784</f>
        <v>0.00208888420360154</v>
      </c>
      <c r="J785" s="29" t="n">
        <f aca="false">E785-E784</f>
        <v>0.00296546008014698</v>
      </c>
      <c r="K785" s="0" t="n">
        <v>0</v>
      </c>
      <c r="L785" s="0" t="n">
        <v>0</v>
      </c>
      <c r="M785" s="29" t="n">
        <f aca="false">IF(L785=1,J785-Carry!$B$9/Inputs!$B$16,I785)</f>
        <v>0.00208888420360154</v>
      </c>
      <c r="N785" s="0" t="n">
        <v>0.0525</v>
      </c>
      <c r="O785" s="0" t="n">
        <v>0.0005</v>
      </c>
      <c r="P785" s="29" t="n">
        <f aca="false">D785-('2 Hedge ratio'!$B$6+'2 Hedge ratio'!$B$5*E785)</f>
        <v>-0.0124765512336058</v>
      </c>
      <c r="Q785" s="29" t="n">
        <f aca="false">D785-('5 Re-specification'!$B$7+'5 Re-specification'!$B$5*E785+'5 Re-specification'!$B$6*F785)</f>
        <v>-0.000460402847265229</v>
      </c>
      <c r="R785" s="30" t="n">
        <f aca="false">MIN(F785,Inputs!$B$9)</f>
        <v>250</v>
      </c>
      <c r="S785" s="29" t="n">
        <f aca="true">IF(AND(F785&gt;=1,R785&gt;=Inputs!$B$10),INDEX(LINEST(OFFSET(D785,-R785,0,R785,1),OFFSET(E785,-R785,0,R785,2)),1,1),"")</f>
        <v>-3.20618786059826E-005</v>
      </c>
      <c r="T785" s="29" t="n">
        <f aca="true">IF(AND(F785&gt;=1,R785&gt;=Inputs!$B$10),INDEX(LINEST(OFFSET(D785,-R785,0,R785,1),OFFSET(E785,-R785,0,R785,2)),1,2),"")</f>
        <v>1.01808903691813</v>
      </c>
      <c r="U785" s="29" t="n">
        <f aca="true">IF(AND(F785&gt;=1,R785&gt;=Inputs!$B$10),INDEX(LINEST(OFFSET(D785,-R785,0,R785,1),OFFSET(E785,-R785,0,R785,2)),1,3),"")</f>
        <v>4.40354268385053</v>
      </c>
      <c r="V785" s="29" t="n">
        <f aca="true">IF(AND(F785&gt;=1,R785&gt;=Inputs!$B$10),SQRT(SUMPRODUCT((OFFSET(D785,-R785,0,R785,1)-U785-T785*OFFSET(E785,-R785,0,R785,1)-S785*OFFSET(F785,-R785,0,R785,1))^2)/(R785-3)),"")</f>
        <v>0.00225050854983076</v>
      </c>
      <c r="W785" s="31" t="n">
        <f aca="false">IF(AND(F785&gt;=1,R785&gt;=Inputs!$B$10),(D785-U785-T785*E785-S785*F785)/V785,"")</f>
        <v>-0.600140379912455</v>
      </c>
      <c r="X785" s="30" t="n">
        <f aca="false">IF(AB784&lt;&gt;0,AC784+1,0)</f>
        <v>0</v>
      </c>
      <c r="Y785" s="30" t="n">
        <f aca="false">IF(W785="",0,IF(AND(AB784&lt;&gt;0,OR(ABS(W785)&gt;Inputs!$B$7,X785&gt;=Inputs!$B$8,ABS(W785)&lt;Inputs!$B$6)),1,0))</f>
        <v>0</v>
      </c>
      <c r="Z785" s="30" t="n">
        <f aca="false">IF(Y785=1,0,AB784)</f>
        <v>0</v>
      </c>
      <c r="AA785" s="30" t="n">
        <f aca="false">IF(W785="",0,IF(AND(Z785=0,ABS(W785)&gt;Inputs!$B$5,ABS(W785)&lt;=Inputs!$B$7),1,0))</f>
        <v>0</v>
      </c>
      <c r="AB785" s="30" t="n">
        <f aca="false">IF(W785="",0,IF(AA785=1,-SIGN(W785),Z785))</f>
        <v>0</v>
      </c>
      <c r="AC785" s="30" t="n">
        <f aca="false">IF(W785="",0,IF(AA785=1,0,IF(Y785=1,0,X785)))</f>
        <v>0</v>
      </c>
      <c r="AD785" s="30" t="n">
        <f aca="false">IF(AB785=0,0,IF(AB784=AB785,AD784,T785))</f>
        <v>0</v>
      </c>
      <c r="AE785" s="30" t="n">
        <f aca="false">AB785-AB784</f>
        <v>0</v>
      </c>
      <c r="AF785" s="30" t="n">
        <f aca="false">-AD785*AB785</f>
        <v>-0</v>
      </c>
      <c r="AG785" s="30" t="n">
        <f aca="false">AF785-AF784</f>
        <v>0</v>
      </c>
      <c r="AH785" s="30" t="n">
        <f aca="false">MAX(AE785,0)*(Inputs!$B$17+Inputs!$B$18+Inputs!$B$19)+MAX(-AE785,0)*(O785+Inputs!$B$18+Inputs!$B$19)+IF(AND(K785=1,AB785&lt;&gt;0),(Inputs!$B$17+Inputs!$B$18+Inputs!$B$19)+(O785+Inputs!$B$18+Inputs!$B$19),0)+MAX(AG785,0)*(Inputs!$B$20+Inputs!$B$22+Inputs!$B$23)+MAX(-AG785,0)*(Inputs!$B$21+Inputs!$B$22+Inputs!$B$23)</f>
        <v>0</v>
      </c>
      <c r="AI785" s="30" t="n">
        <f aca="false">AB784*(M785-AD784*J785)+AB784*AD784*N785/Inputs!$B$16-AH785</f>
        <v>0</v>
      </c>
      <c r="AJ785" s="30" t="n">
        <f aca="false">MAX(AE785,0)*(Inputs!$B$17+Inputs!$B$24+Inputs!$B$25)+MAX(-AE785,0)*(O785+Inputs!$B$24+Inputs!$B$25)+IF(AND(K785=1,AB785&lt;&gt;0),(Inputs!$B$17+Inputs!$B$24+Inputs!$B$25)+(O785+Inputs!$B$24+Inputs!$B$25),0)+MAX(AG785,0)*(Inputs!$B$20+Inputs!$B$26+Inputs!$B$27)+MAX(-AG785,0)*(Inputs!$B$21+Inputs!$B$26+Inputs!$B$27)</f>
        <v>0</v>
      </c>
      <c r="AK785" s="30" t="n">
        <f aca="false">AB784*(M785-AD784*J785)+AB784*AD784*(N785+Inputs!$B$14)/Inputs!$B$16-AJ785</f>
        <v>0</v>
      </c>
      <c r="AL785" s="30" t="n">
        <f aca="false">IF(AP784&lt;&gt;0,AQ784+1,0)</f>
        <v>0</v>
      </c>
      <c r="AM785" s="30" t="n">
        <f aca="false">IF(W785="",0,IF(AND(AP784&lt;&gt;0,OR(ABS(W785)&gt;Inputs!$B$7,AL785&gt;=Inputs!$B$8,ABS(W785)&lt;Inputs!$B$6)),1,0))</f>
        <v>0</v>
      </c>
      <c r="AN785" s="30" t="n">
        <f aca="false">IF(AM785=1,0,AP784)</f>
        <v>0</v>
      </c>
      <c r="AO785" s="30" t="n">
        <f aca="false">IF(W785="",0,IF(AND(AN785=0,ABS(W785)&gt;Inputs!$B$5,ABS(W785)&lt;=Inputs!$B$7,W785&gt;0),1,0))</f>
        <v>0</v>
      </c>
      <c r="AP785" s="30" t="n">
        <f aca="false">IF(W785="",0,IF(AO785=1,-SIGN(W785),AN785))</f>
        <v>0</v>
      </c>
      <c r="AQ785" s="30" t="n">
        <f aca="false">IF(W785="",0,IF(AO785=1,0,IF(AM785=1,0,AL785)))</f>
        <v>0</v>
      </c>
      <c r="AR785" s="30" t="n">
        <f aca="false">IF(AP785=0,0,IF(AP784=AP785,AR784,T785))</f>
        <v>0</v>
      </c>
      <c r="AS785" s="30" t="n">
        <f aca="false">AP785-AP784</f>
        <v>0</v>
      </c>
      <c r="AT785" s="30" t="n">
        <f aca="false">-AR785*AP785</f>
        <v>-0</v>
      </c>
      <c r="AU785" s="30" t="n">
        <f aca="false">AT785-AT784</f>
        <v>0</v>
      </c>
      <c r="AV785" s="30" t="n">
        <f aca="false">MAX(AS785,0)*(Inputs!$B$17+Inputs!$B$18+Inputs!$B$19)+MAX(-AS785,0)*(O785+Inputs!$B$18+Inputs!$B$19)+IF(AND(K785=1,AP785&lt;&gt;0),(Inputs!$B$17+Inputs!$B$18+Inputs!$B$19)+(O785+Inputs!$B$18+Inputs!$B$19),0)+MAX(AU785,0)*(Inputs!$B$20+Inputs!$B$22+Inputs!$B$23)+MAX(-AU785,0)*(Inputs!$B$21+Inputs!$B$22+Inputs!$B$23)</f>
        <v>0</v>
      </c>
      <c r="AW785" s="30" t="n">
        <f aca="false">AP784*(M785-AR784*J785)+AP784*AR784*N785/Inputs!$B$16-AV785</f>
        <v>0</v>
      </c>
      <c r="AX785" s="30" t="n">
        <f aca="false">AW785-IF(AP784&lt;&gt;0,0.75*AR784*(Inputs!$B$13-N785)/Inputs!$B$16,0)</f>
        <v>0</v>
      </c>
      <c r="AY785" s="30" t="n">
        <f aca="false">MAX(AS785,0)*(Inputs!$B$17+Inputs!$B$18+Inputs!$B$19)+MAX(-AS785,0)*(O785+Inputs!$B$18+Inputs!$B$19)+IF(AND(K785=1,AP785&lt;&gt;0),(Inputs!$B$17+Inputs!$B$18+Inputs!$B$19)+(O785+Inputs!$B$18+Inputs!$B$19),0)</f>
        <v>0</v>
      </c>
      <c r="AZ785" s="30" t="n">
        <f aca="false">AP784*M785-AY785</f>
        <v>0</v>
      </c>
      <c r="BA785" s="32" t="n">
        <f aca="false">BA784+AI785</f>
        <v>0.0216474989857012</v>
      </c>
      <c r="BB785" s="30" t="n">
        <f aca="false">MAX(BB784,BA785)</f>
        <v>0.0261726191772394</v>
      </c>
      <c r="BC785" s="32" t="n">
        <f aca="false">BA785-BB785</f>
        <v>-0.00452512019153816</v>
      </c>
      <c r="BD785" s="30" t="n">
        <f aca="false">A786-A785</f>
        <v>4</v>
      </c>
    </row>
    <row r="786" customFormat="false" ht="15" hidden="false" customHeight="false" outlineLevel="0" collapsed="false">
      <c r="A786" s="28" t="n">
        <v>46202</v>
      </c>
      <c r="B786" s="0" t="n">
        <v>23978.6</v>
      </c>
      <c r="C786" s="0" t="n">
        <v>272.44</v>
      </c>
      <c r="D786" s="29" t="n">
        <f aca="false">LN(B786)</f>
        <v>10.0849170448922</v>
      </c>
      <c r="E786" s="29" t="n">
        <f aca="false">LN(C786)</f>
        <v>5.60741840637312</v>
      </c>
      <c r="F786" s="0" t="n">
        <v>781</v>
      </c>
      <c r="G786" s="0" t="n">
        <v>1</v>
      </c>
      <c r="H786" s="29" t="n">
        <f aca="false">D786-E786</f>
        <v>4.47749863851911</v>
      </c>
      <c r="I786" s="29" t="n">
        <f aca="false">D786-D785</f>
        <v>-0.00525752194749884</v>
      </c>
      <c r="J786" s="29" t="n">
        <f aca="false">E786-E785</f>
        <v>-0.00406601413671748</v>
      </c>
      <c r="K786" s="0" t="n">
        <v>0</v>
      </c>
      <c r="L786" s="0" t="n">
        <v>0</v>
      </c>
      <c r="M786" s="29" t="n">
        <f aca="false">IF(L786=1,J786-Carry!$B$9/Inputs!$B$16,I786)</f>
        <v>-0.00525752194749884</v>
      </c>
      <c r="N786" s="0" t="n">
        <v>0.0525</v>
      </c>
      <c r="O786" s="0" t="n">
        <v>0.0005</v>
      </c>
      <c r="P786" s="29" t="n">
        <f aca="false">D786-('2 Hedge ratio'!$B$6+'2 Hedge ratio'!$B$5*E786)</f>
        <v>-0.0140090888269828</v>
      </c>
      <c r="Q786" s="29" t="n">
        <f aca="false">D786-('5 Re-specification'!$B$7+'5 Re-specification'!$B$5*E786+'5 Re-specification'!$B$6*F786)</f>
        <v>-0.0016193033958789</v>
      </c>
      <c r="R786" s="30" t="n">
        <f aca="false">MIN(F786,Inputs!$B$9)</f>
        <v>250</v>
      </c>
      <c r="S786" s="29" t="n">
        <f aca="true">IF(AND(F786&gt;=1,R786&gt;=Inputs!$B$10),INDEX(LINEST(OFFSET(D786,-R786,0,R786,1),OFFSET(E786,-R786,0,R786,2)),1,1),"")</f>
        <v>-3.19526324623837E-005</v>
      </c>
      <c r="T786" s="29" t="n">
        <f aca="true">IF(AND(F786&gt;=1,R786&gt;=Inputs!$B$10),INDEX(LINEST(OFFSET(D786,-R786,0,R786,1),OFFSET(E786,-R786,0,R786,2)),1,2),"")</f>
        <v>1.01831392550894</v>
      </c>
      <c r="U786" s="29" t="n">
        <f aca="true">IF(AND(F786&gt;=1,R786&gt;=Inputs!$B$10),INDEX(LINEST(OFFSET(D786,-R786,0,R786,1),OFFSET(E786,-R786,0,R786,2)),1,3),"")</f>
        <v>4.40218960115791</v>
      </c>
      <c r="V786" s="29" t="n">
        <f aca="true">IF(AND(F786&gt;=1,R786&gt;=Inputs!$B$10),SQRT(SUMPRODUCT((OFFSET(D786,-R786,0,R786,1)-U786-T786*OFFSET(E786,-R786,0,R786,1)-S786*OFFSET(F786,-R786,0,R786,1))^2)/(R786-3)),"")</f>
        <v>0.00224881799643273</v>
      </c>
      <c r="W786" s="31" t="n">
        <f aca="false">IF(AND(F786&gt;=1,R786&gt;=Inputs!$B$10),(D786-U786-T786*E786-S786*F786)/V786,"")</f>
        <v>-1.08047858088229</v>
      </c>
      <c r="X786" s="30" t="n">
        <f aca="false">IF(AB785&lt;&gt;0,AC785+1,0)</f>
        <v>0</v>
      </c>
      <c r="Y786" s="30" t="n">
        <f aca="false">IF(W786="",0,IF(AND(AB785&lt;&gt;0,OR(ABS(W786)&gt;Inputs!$B$7,X786&gt;=Inputs!$B$8,ABS(W786)&lt;Inputs!$B$6)),1,0))</f>
        <v>0</v>
      </c>
      <c r="Z786" s="30" t="n">
        <f aca="false">IF(Y786=1,0,AB785)</f>
        <v>0</v>
      </c>
      <c r="AA786" s="30" t="n">
        <f aca="false">IF(W786="",0,IF(AND(Z786=0,ABS(W786)&gt;Inputs!$B$5,ABS(W786)&lt;=Inputs!$B$7),1,0))</f>
        <v>0</v>
      </c>
      <c r="AB786" s="30" t="n">
        <f aca="false">IF(W786="",0,IF(AA786=1,-SIGN(W786),Z786))</f>
        <v>0</v>
      </c>
      <c r="AC786" s="30" t="n">
        <f aca="false">IF(W786="",0,IF(AA786=1,0,IF(Y786=1,0,X786)))</f>
        <v>0</v>
      </c>
      <c r="AD786" s="30" t="n">
        <f aca="false">IF(AB786=0,0,IF(AB785=AB786,AD785,T786))</f>
        <v>0</v>
      </c>
      <c r="AE786" s="30" t="n">
        <f aca="false">AB786-AB785</f>
        <v>0</v>
      </c>
      <c r="AF786" s="30" t="n">
        <f aca="false">-AD786*AB786</f>
        <v>-0</v>
      </c>
      <c r="AG786" s="30" t="n">
        <f aca="false">AF786-AF785</f>
        <v>0</v>
      </c>
      <c r="AH786" s="30" t="n">
        <f aca="false">MAX(AE786,0)*(Inputs!$B$17+Inputs!$B$18+Inputs!$B$19)+MAX(-AE786,0)*(O786+Inputs!$B$18+Inputs!$B$19)+IF(AND(K786=1,AB786&lt;&gt;0),(Inputs!$B$17+Inputs!$B$18+Inputs!$B$19)+(O786+Inputs!$B$18+Inputs!$B$19),0)+MAX(AG786,0)*(Inputs!$B$20+Inputs!$B$22+Inputs!$B$23)+MAX(-AG786,0)*(Inputs!$B$21+Inputs!$B$22+Inputs!$B$23)</f>
        <v>0</v>
      </c>
      <c r="AI786" s="30" t="n">
        <f aca="false">AB785*(M786-AD785*J786)+AB785*AD785*N786/Inputs!$B$16-AH786</f>
        <v>0</v>
      </c>
      <c r="AJ786" s="30" t="n">
        <f aca="false">MAX(AE786,0)*(Inputs!$B$17+Inputs!$B$24+Inputs!$B$25)+MAX(-AE786,0)*(O786+Inputs!$B$24+Inputs!$B$25)+IF(AND(K786=1,AB786&lt;&gt;0),(Inputs!$B$17+Inputs!$B$24+Inputs!$B$25)+(O786+Inputs!$B$24+Inputs!$B$25),0)+MAX(AG786,0)*(Inputs!$B$20+Inputs!$B$26+Inputs!$B$27)+MAX(-AG786,0)*(Inputs!$B$21+Inputs!$B$26+Inputs!$B$27)</f>
        <v>0</v>
      </c>
      <c r="AK786" s="30" t="n">
        <f aca="false">AB785*(M786-AD785*J786)+AB785*AD785*(N786+Inputs!$B$14)/Inputs!$B$16-AJ786</f>
        <v>0</v>
      </c>
      <c r="AL786" s="30" t="n">
        <f aca="false">IF(AP785&lt;&gt;0,AQ785+1,0)</f>
        <v>0</v>
      </c>
      <c r="AM786" s="30" t="n">
        <f aca="false">IF(W786="",0,IF(AND(AP785&lt;&gt;0,OR(ABS(W786)&gt;Inputs!$B$7,AL786&gt;=Inputs!$B$8,ABS(W786)&lt;Inputs!$B$6)),1,0))</f>
        <v>0</v>
      </c>
      <c r="AN786" s="30" t="n">
        <f aca="false">IF(AM786=1,0,AP785)</f>
        <v>0</v>
      </c>
      <c r="AO786" s="30" t="n">
        <f aca="false">IF(W786="",0,IF(AND(AN786=0,ABS(W786)&gt;Inputs!$B$5,ABS(W786)&lt;=Inputs!$B$7,W786&gt;0),1,0))</f>
        <v>0</v>
      </c>
      <c r="AP786" s="30" t="n">
        <f aca="false">IF(W786="",0,IF(AO786=1,-SIGN(W786),AN786))</f>
        <v>0</v>
      </c>
      <c r="AQ786" s="30" t="n">
        <f aca="false">IF(W786="",0,IF(AO786=1,0,IF(AM786=1,0,AL786)))</f>
        <v>0</v>
      </c>
      <c r="AR786" s="30" t="n">
        <f aca="false">IF(AP786=0,0,IF(AP785=AP786,AR785,T786))</f>
        <v>0</v>
      </c>
      <c r="AS786" s="30" t="n">
        <f aca="false">AP786-AP785</f>
        <v>0</v>
      </c>
      <c r="AT786" s="30" t="n">
        <f aca="false">-AR786*AP786</f>
        <v>-0</v>
      </c>
      <c r="AU786" s="30" t="n">
        <f aca="false">AT786-AT785</f>
        <v>0</v>
      </c>
      <c r="AV786" s="30" t="n">
        <f aca="false">MAX(AS786,0)*(Inputs!$B$17+Inputs!$B$18+Inputs!$B$19)+MAX(-AS786,0)*(O786+Inputs!$B$18+Inputs!$B$19)+IF(AND(K786=1,AP786&lt;&gt;0),(Inputs!$B$17+Inputs!$B$18+Inputs!$B$19)+(O786+Inputs!$B$18+Inputs!$B$19),0)+MAX(AU786,0)*(Inputs!$B$20+Inputs!$B$22+Inputs!$B$23)+MAX(-AU786,0)*(Inputs!$B$21+Inputs!$B$22+Inputs!$B$23)</f>
        <v>0</v>
      </c>
      <c r="AW786" s="30" t="n">
        <f aca="false">AP785*(M786-AR785*J786)+AP785*AR785*N786/Inputs!$B$16-AV786</f>
        <v>0</v>
      </c>
      <c r="AX786" s="30" t="n">
        <f aca="false">AW786-IF(AP785&lt;&gt;0,0.75*AR785*(Inputs!$B$13-N786)/Inputs!$B$16,0)</f>
        <v>0</v>
      </c>
      <c r="AY786" s="30" t="n">
        <f aca="false">MAX(AS786,0)*(Inputs!$B$17+Inputs!$B$18+Inputs!$B$19)+MAX(-AS786,0)*(O786+Inputs!$B$18+Inputs!$B$19)+IF(AND(K786=1,AP786&lt;&gt;0),(Inputs!$B$17+Inputs!$B$18+Inputs!$B$19)+(O786+Inputs!$B$18+Inputs!$B$19),0)</f>
        <v>0</v>
      </c>
      <c r="AZ786" s="30" t="n">
        <f aca="false">AP785*M786-AY786</f>
        <v>-0</v>
      </c>
      <c r="BA786" s="32" t="n">
        <f aca="false">BA785+AI786</f>
        <v>0.0216474989857012</v>
      </c>
      <c r="BB786" s="30" t="n">
        <f aca="false">MAX(BB785,BA786)</f>
        <v>0.0261726191772394</v>
      </c>
      <c r="BC786" s="32" t="n">
        <f aca="false">BA786-BB786</f>
        <v>-0.00452512019153816</v>
      </c>
      <c r="BD786" s="30" t="n">
        <f aca="false">A787-A786</f>
        <v>1</v>
      </c>
    </row>
    <row r="787" customFormat="false" ht="15" hidden="false" customHeight="false" outlineLevel="0" collapsed="false">
      <c r="A787" s="28" t="n">
        <v>46203</v>
      </c>
      <c r="B787" s="0" t="n">
        <v>23864.3</v>
      </c>
      <c r="C787" s="0" t="n">
        <v>272.43</v>
      </c>
      <c r="D787" s="29" t="n">
        <f aca="false">LN(B787)</f>
        <v>10.0801388973526</v>
      </c>
      <c r="E787" s="29" t="n">
        <f aca="false">LN(C787)</f>
        <v>5.60738170036985</v>
      </c>
      <c r="F787" s="0" t="n">
        <v>782</v>
      </c>
      <c r="G787" s="0" t="n">
        <v>0</v>
      </c>
      <c r="H787" s="29" t="n">
        <f aca="false">D787-E787</f>
        <v>4.47275719698273</v>
      </c>
      <c r="I787" s="29" t="n">
        <f aca="false">D787-D786</f>
        <v>-0.004778147539648</v>
      </c>
      <c r="J787" s="29" t="n">
        <f aca="false">E787-E786</f>
        <v>-3.6706003270659E-005</v>
      </c>
      <c r="K787" s="0" t="n">
        <v>1</v>
      </c>
      <c r="L787" s="0" t="n">
        <v>0</v>
      </c>
      <c r="M787" s="29" t="n">
        <f aca="false">IF(L787=1,J787-Carry!$B$9/Inputs!$B$16,I787)</f>
        <v>-0.004778147539648</v>
      </c>
      <c r="N787" s="0" t="n">
        <v>0.0525</v>
      </c>
      <c r="O787" s="0" t="n">
        <v>0.0005</v>
      </c>
      <c r="P787" s="29" t="n">
        <f aca="false">D787-('2 Hedge ratio'!$B$6+'2 Hedge ratio'!$B$5*E787)</f>
        <v>-0.0187536090148086</v>
      </c>
      <c r="Q787" s="29" t="n">
        <f aca="false">D787-('5 Re-specification'!$B$7+'5 Re-specification'!$B$5*E787+'5 Re-specification'!$B$6*F787)</f>
        <v>-0.0063159268517019</v>
      </c>
      <c r="R787" s="30" t="n">
        <f aca="false">MIN(F787,Inputs!$B$9)</f>
        <v>250</v>
      </c>
      <c r="S787" s="29" t="n">
        <f aca="true">IF(AND(F787&gt;=1,R787&gt;=Inputs!$B$10),INDEX(LINEST(OFFSET(D787,-R787,0,R787,1),OFFSET(E787,-R787,0,R787,2)),1,1),"")</f>
        <v>-3.22236181542341E-005</v>
      </c>
      <c r="T787" s="29" t="n">
        <f aca="true">IF(AND(F787&gt;=1,R787&gt;=Inputs!$B$10),INDEX(LINEST(OFFSET(D787,-R787,0,R787,1),OFFSET(E787,-R787,0,R787,2)),1,2),"")</f>
        <v>1.01829064359912</v>
      </c>
      <c r="U787" s="29" t="n">
        <f aca="true">IF(AND(F787&gt;=1,R787&gt;=Inputs!$B$10),INDEX(LINEST(OFFSET(D787,-R787,0,R787,1),OFFSET(E787,-R787,0,R787,2)),1,3),"")</f>
        <v>4.40249046480666</v>
      </c>
      <c r="V787" s="29" t="n">
        <f aca="true">IF(AND(F787&gt;=1,R787&gt;=Inputs!$B$10),SQRT(SUMPRODUCT((OFFSET(D787,-R787,0,R787,1)-U787-T787*OFFSET(E787,-R787,0,R787,1)-S787*OFFSET(F787,-R787,0,R787,1))^2)/(R787-3)),"")</f>
        <v>0.0022539232059585</v>
      </c>
      <c r="W787" s="31" t="n">
        <f aca="false">IF(AND(F787&gt;=1,R787&gt;=Inputs!$B$10),(D787-U787-T787*E787-S787*F787)/V787,"")</f>
        <v>-3.14874021185422</v>
      </c>
      <c r="X787" s="30" t="n">
        <f aca="false">IF(AB786&lt;&gt;0,AC786+1,0)</f>
        <v>0</v>
      </c>
      <c r="Y787" s="30" t="n">
        <f aca="false">IF(W787="",0,IF(AND(AB786&lt;&gt;0,OR(ABS(W787)&gt;Inputs!$B$7,X787&gt;=Inputs!$B$8,ABS(W787)&lt;Inputs!$B$6)),1,0))</f>
        <v>0</v>
      </c>
      <c r="Z787" s="30" t="n">
        <f aca="false">IF(Y787=1,0,AB786)</f>
        <v>0</v>
      </c>
      <c r="AA787" s="30" t="n">
        <f aca="false">IF(W787="",0,IF(AND(Z787=0,ABS(W787)&gt;Inputs!$B$5,ABS(W787)&lt;=Inputs!$B$7),1,0))</f>
        <v>1</v>
      </c>
      <c r="AB787" s="30" t="n">
        <f aca="false">IF(W787="",0,IF(AA787=1,-SIGN(W787),Z787))</f>
        <v>1</v>
      </c>
      <c r="AC787" s="30" t="n">
        <f aca="false">IF(W787="",0,IF(AA787=1,0,IF(Y787=1,0,X787)))</f>
        <v>0</v>
      </c>
      <c r="AD787" s="29" t="n">
        <f aca="false">IF(AB787=0,0,IF(AB786=AB787,AD786,T787))</f>
        <v>1.01829064359912</v>
      </c>
      <c r="AE787" s="30" t="n">
        <f aca="false">AB787-AB786</f>
        <v>1</v>
      </c>
      <c r="AF787" s="30" t="n">
        <f aca="false">-AD787*AB787</f>
        <v>-1.01829064359912</v>
      </c>
      <c r="AG787" s="30" t="n">
        <f aca="false">AF787-AF786</f>
        <v>-1.01829064359912</v>
      </c>
      <c r="AH787" s="32" t="n">
        <f aca="false">MAX(AE787,0)*(Inputs!$B$17+Inputs!$B$18+Inputs!$B$19)+MAX(-AE787,0)*(O787+Inputs!$B$18+Inputs!$B$19)+IF(AND(K787=1,AB787&lt;&gt;0),(Inputs!$B$17+Inputs!$B$18+Inputs!$B$19)+(O787+Inputs!$B$18+Inputs!$B$19),0)+MAX(AG787,0)*(Inputs!$B$20+Inputs!$B$22+Inputs!$B$23)+MAX(-AG787,0)*(Inputs!$B$21+Inputs!$B$22+Inputs!$B$23)</f>
        <v>0.00115884103515582</v>
      </c>
      <c r="AI787" s="32" t="n">
        <f aca="false">AB786*(M787-AD786*J787)+AB786*AD786*N787/Inputs!$B$16-AH787</f>
        <v>-0.00115884103515582</v>
      </c>
      <c r="AJ787" s="32" t="n">
        <f aca="false">MAX(AE787,0)*(Inputs!$B$17+Inputs!$B$24+Inputs!$B$25)+MAX(-AE787,0)*(O787+Inputs!$B$24+Inputs!$B$25)+IF(AND(K787=1,AB787&lt;&gt;0),(Inputs!$B$17+Inputs!$B$24+Inputs!$B$25)+(O787+Inputs!$B$24+Inputs!$B$25),0)+MAX(AG787,0)*(Inputs!$B$20+Inputs!$B$26+Inputs!$B$27)+MAX(-AG787,0)*(Inputs!$B$21+Inputs!$B$26+Inputs!$B$27)</f>
        <v>0.000867103424013899</v>
      </c>
      <c r="AK787" s="32" t="n">
        <f aca="false">AB786*(M787-AD786*J787)+AB786*AD786*(N787+Inputs!$B$14)/Inputs!$B$16-AJ787</f>
        <v>-0.000867103424013899</v>
      </c>
      <c r="AL787" s="30" t="n">
        <f aca="false">IF(AP786&lt;&gt;0,AQ786+1,0)</f>
        <v>0</v>
      </c>
      <c r="AM787" s="30" t="n">
        <f aca="false">IF(W787="",0,IF(AND(AP786&lt;&gt;0,OR(ABS(W787)&gt;Inputs!$B$7,AL787&gt;=Inputs!$B$8,ABS(W787)&lt;Inputs!$B$6)),1,0))</f>
        <v>0</v>
      </c>
      <c r="AN787" s="30" t="n">
        <f aca="false">IF(AM787=1,0,AP786)</f>
        <v>0</v>
      </c>
      <c r="AO787" s="30" t="n">
        <f aca="false">IF(W787="",0,IF(AND(AN787=0,ABS(W787)&gt;Inputs!$B$5,ABS(W787)&lt;=Inputs!$B$7,W787&gt;0),1,0))</f>
        <v>0</v>
      </c>
      <c r="AP787" s="30" t="n">
        <f aca="false">IF(W787="",0,IF(AO787=1,-SIGN(W787),AN787))</f>
        <v>0</v>
      </c>
      <c r="AQ787" s="30" t="n">
        <f aca="false">IF(W787="",0,IF(AO787=1,0,IF(AM787=1,0,AL787)))</f>
        <v>0</v>
      </c>
      <c r="AR787" s="30" t="n">
        <f aca="false">IF(AP787=0,0,IF(AP786=AP787,AR786,T787))</f>
        <v>0</v>
      </c>
      <c r="AS787" s="30" t="n">
        <f aca="false">AP787-AP786</f>
        <v>0</v>
      </c>
      <c r="AT787" s="30" t="n">
        <f aca="false">-AR787*AP787</f>
        <v>-0</v>
      </c>
      <c r="AU787" s="30" t="n">
        <f aca="false">AT787-AT786</f>
        <v>0</v>
      </c>
      <c r="AV787" s="30" t="n">
        <f aca="false">MAX(AS787,0)*(Inputs!$B$17+Inputs!$B$18+Inputs!$B$19)+MAX(-AS787,0)*(O787+Inputs!$B$18+Inputs!$B$19)+IF(AND(K787=1,AP787&lt;&gt;0),(Inputs!$B$17+Inputs!$B$18+Inputs!$B$19)+(O787+Inputs!$B$18+Inputs!$B$19),0)+MAX(AU787,0)*(Inputs!$B$20+Inputs!$B$22+Inputs!$B$23)+MAX(-AU787,0)*(Inputs!$B$21+Inputs!$B$22+Inputs!$B$23)</f>
        <v>0</v>
      </c>
      <c r="AW787" s="30" t="n">
        <f aca="false">AP786*(M787-AR786*J787)+AP786*AR786*N787/Inputs!$B$16-AV787</f>
        <v>0</v>
      </c>
      <c r="AX787" s="30" t="n">
        <f aca="false">AW787-IF(AP786&lt;&gt;0,0.75*AR786*(Inputs!$B$13-N787)/Inputs!$B$16,0)</f>
        <v>0</v>
      </c>
      <c r="AY787" s="30" t="n">
        <f aca="false">MAX(AS787,0)*(Inputs!$B$17+Inputs!$B$18+Inputs!$B$19)+MAX(-AS787,0)*(O787+Inputs!$B$18+Inputs!$B$19)+IF(AND(K787=1,AP787&lt;&gt;0),(Inputs!$B$17+Inputs!$B$18+Inputs!$B$19)+(O787+Inputs!$B$18+Inputs!$B$19),0)</f>
        <v>0</v>
      </c>
      <c r="AZ787" s="30" t="n">
        <f aca="false">AP786*M787-AY787</f>
        <v>-0</v>
      </c>
      <c r="BA787" s="32" t="n">
        <f aca="false">BA786+AI787</f>
        <v>0.0204886579505454</v>
      </c>
      <c r="BB787" s="30" t="n">
        <f aca="false">MAX(BB786,BA787)</f>
        <v>0.0261726191772394</v>
      </c>
      <c r="BC787" s="32" t="n">
        <f aca="false">BA787-BB787</f>
        <v>-0.00568396122669398</v>
      </c>
      <c r="BD787" s="30" t="n">
        <f aca="false">A788-A787</f>
        <v>1</v>
      </c>
    </row>
    <row r="788" customFormat="false" ht="15" hidden="false" customHeight="false" outlineLevel="0" collapsed="false">
      <c r="A788" s="28" t="n">
        <v>46204</v>
      </c>
      <c r="B788" s="0" t="n">
        <v>24084</v>
      </c>
      <c r="C788" s="0" t="n">
        <v>272.85</v>
      </c>
      <c r="D788" s="29" t="n">
        <f aca="false">LN(B788)</f>
        <v>10.0893029985843</v>
      </c>
      <c r="E788" s="29" t="n">
        <f aca="false">LN(C788)</f>
        <v>5.60892219363224</v>
      </c>
      <c r="F788" s="0" t="n">
        <v>783</v>
      </c>
      <c r="G788" s="0" t="n">
        <v>27</v>
      </c>
      <c r="H788" s="29" t="n">
        <f aca="false">D788-E788</f>
        <v>4.4803808049521</v>
      </c>
      <c r="I788" s="29" t="n">
        <f aca="false">D788-D787</f>
        <v>0.0091641012317627</v>
      </c>
      <c r="J788" s="29" t="n">
        <f aca="false">E788-E787</f>
        <v>0.00154049326239392</v>
      </c>
      <c r="K788" s="0" t="n">
        <v>0</v>
      </c>
      <c r="L788" s="0" t="n">
        <v>1</v>
      </c>
      <c r="M788" s="29" t="n">
        <f aca="false">IF(L788=1,J788-Carry!$B$9/Inputs!$B$16,I788)</f>
        <v>0.00128103508067278</v>
      </c>
      <c r="N788" s="0" t="n">
        <v>0.0525</v>
      </c>
      <c r="O788" s="0" t="n">
        <v>0.0005</v>
      </c>
      <c r="P788" s="29" t="n">
        <f aca="false">D788-('2 Hedge ratio'!$B$6+'2 Hedge ratio'!$B$5*E788)</f>
        <v>-0.0110007948831647</v>
      </c>
      <c r="Q788" s="29" t="n">
        <f aca="false">D788-('5 Re-specification'!$B$7+'5 Re-specification'!$B$5*E788+'5 Re-specification'!$B$6*F788)</f>
        <v>0.00135727890062753</v>
      </c>
      <c r="R788" s="30" t="n">
        <f aca="false">MIN(F788,Inputs!$B$9)</f>
        <v>250</v>
      </c>
      <c r="S788" s="29" t="n">
        <f aca="true">IF(AND(F788&gt;=1,R788&gt;=Inputs!$B$10),INDEX(LINEST(OFFSET(D788,-R788,0,R788,1),OFFSET(E788,-R788,0,R788,2)),1,1),"")</f>
        <v>-3.28472557612833E-005</v>
      </c>
      <c r="T788" s="29" t="n">
        <f aca="true">IF(AND(F788&gt;=1,R788&gt;=Inputs!$B$10),INDEX(LINEST(OFFSET(D788,-R788,0,R788,1),OFFSET(E788,-R788,0,R788,2)),1,2),"")</f>
        <v>1.01838042398137</v>
      </c>
      <c r="U788" s="29" t="n">
        <f aca="true">IF(AND(F788&gt;=1,R788&gt;=Inputs!$B$10),INDEX(LINEST(OFFSET(D788,-R788,0,R788,1),OFFSET(E788,-R788,0,R788,2)),1,3),"")</f>
        <v>4.40236439960727</v>
      </c>
      <c r="V788" s="29" t="n">
        <f aca="true">IF(AND(F788&gt;=1,R788&gt;=Inputs!$B$10),SQRT(SUMPRODUCT((OFFSET(D788,-R788,0,R788,1)-U788-T788*OFFSET(E788,-R788,0,R788,1)-S788*OFFSET(F788,-R788,0,R788,1))^2)/(R788-3)),"")</f>
        <v>0.00229793806752363</v>
      </c>
      <c r="W788" s="31" t="n">
        <f aca="false">IF(AND(F788&gt;=1,R788&gt;=Inputs!$B$10),(D788-U788-T788*E788-S788*F788)/V788,"")</f>
        <v>0.279136595316043</v>
      </c>
      <c r="X788" s="30" t="n">
        <f aca="false">IF(AB787&lt;&gt;0,AC787+1,0)</f>
        <v>1</v>
      </c>
      <c r="Y788" s="30" t="n">
        <f aca="false">IF(W788="",0,IF(AND(AB787&lt;&gt;0,OR(ABS(W788)&gt;Inputs!$B$7,X788&gt;=Inputs!$B$8,ABS(W788)&lt;Inputs!$B$6)),1,0))</f>
        <v>1</v>
      </c>
      <c r="Z788" s="30" t="n">
        <f aca="false">IF(Y788=1,0,AB787)</f>
        <v>0</v>
      </c>
      <c r="AA788" s="30" t="n">
        <f aca="false">IF(W788="",0,IF(AND(Z788=0,ABS(W788)&gt;Inputs!$B$5,ABS(W788)&lt;=Inputs!$B$7),1,0))</f>
        <v>0</v>
      </c>
      <c r="AB788" s="30" t="n">
        <f aca="false">IF(W788="",0,IF(AA788=1,-SIGN(W788),Z788))</f>
        <v>0</v>
      </c>
      <c r="AC788" s="30" t="n">
        <f aca="false">IF(W788="",0,IF(AA788=1,0,IF(Y788=1,0,X788)))</f>
        <v>0</v>
      </c>
      <c r="AD788" s="30" t="n">
        <f aca="false">IF(AB788=0,0,IF(AB787=AB788,AD787,T788))</f>
        <v>0</v>
      </c>
      <c r="AE788" s="30" t="n">
        <f aca="false">AB788-AB787</f>
        <v>-1</v>
      </c>
      <c r="AF788" s="30" t="n">
        <f aca="false">-AD788*AB788</f>
        <v>-0</v>
      </c>
      <c r="AG788" s="30" t="n">
        <f aca="false">AF788-AF787</f>
        <v>1.01829064359912</v>
      </c>
      <c r="AH788" s="30" t="n">
        <f aca="false">MAX(AE788,0)*(Inputs!$B$17+Inputs!$B$18+Inputs!$B$19)+MAX(-AE788,0)*(O788+Inputs!$B$18+Inputs!$B$19)+IF(AND(K788=1,AB788&lt;&gt;0),(Inputs!$B$17+Inputs!$B$18+Inputs!$B$19)+(O788+Inputs!$B$18+Inputs!$B$19),0)+MAX(AG788,0)*(Inputs!$B$20+Inputs!$B$22+Inputs!$B$23)+MAX(-AG788,0)*(Inputs!$B$21+Inputs!$B$22+Inputs!$B$23)</f>
        <v>0.000991401725259693</v>
      </c>
      <c r="AI788" s="30" t="n">
        <f aca="false">AB787*(M788-AD787*J788)+AB787*AD787*N788/Inputs!$B$16-AH788</f>
        <v>-0.00106689263612697</v>
      </c>
      <c r="AJ788" s="30" t="n">
        <f aca="false">MAX(AE788,0)*(Inputs!$B$17+Inputs!$B$24+Inputs!$B$25)+MAX(-AE788,0)*(O788+Inputs!$B$24+Inputs!$B$25)+IF(AND(K788=1,AB788&lt;&gt;0),(Inputs!$B$17+Inputs!$B$24+Inputs!$B$25)+(O788+Inputs!$B$24+Inputs!$B$25),0)+MAX(AG788,0)*(Inputs!$B$20+Inputs!$B$26+Inputs!$B$27)+MAX(-AG788,0)*(Inputs!$B$21+Inputs!$B$26+Inputs!$B$27)</f>
        <v>0.000829664114117777</v>
      </c>
      <c r="AK788" s="30" t="n">
        <f aca="false">AB787*(M788-AD787*J788)+AB787*AD787*(N788+Inputs!$B$14)/Inputs!$B$16-AJ788</f>
        <v>-0.00087484875583032</v>
      </c>
      <c r="AL788" s="30" t="n">
        <f aca="false">IF(AP787&lt;&gt;0,AQ787+1,0)</f>
        <v>0</v>
      </c>
      <c r="AM788" s="30" t="n">
        <f aca="false">IF(W788="",0,IF(AND(AP787&lt;&gt;0,OR(ABS(W788)&gt;Inputs!$B$7,AL788&gt;=Inputs!$B$8,ABS(W788)&lt;Inputs!$B$6)),1,0))</f>
        <v>0</v>
      </c>
      <c r="AN788" s="30" t="n">
        <f aca="false">IF(AM788=1,0,AP787)</f>
        <v>0</v>
      </c>
      <c r="AO788" s="30" t="n">
        <f aca="false">IF(W788="",0,IF(AND(AN788=0,ABS(W788)&gt;Inputs!$B$5,ABS(W788)&lt;=Inputs!$B$7,W788&gt;0),1,0))</f>
        <v>0</v>
      </c>
      <c r="AP788" s="30" t="n">
        <f aca="false">IF(W788="",0,IF(AO788=1,-SIGN(W788),AN788))</f>
        <v>0</v>
      </c>
      <c r="AQ788" s="30" t="n">
        <f aca="false">IF(W788="",0,IF(AO788=1,0,IF(AM788=1,0,AL788)))</f>
        <v>0</v>
      </c>
      <c r="AR788" s="30" t="n">
        <f aca="false">IF(AP788=0,0,IF(AP787=AP788,AR787,T788))</f>
        <v>0</v>
      </c>
      <c r="AS788" s="30" t="n">
        <f aca="false">AP788-AP787</f>
        <v>0</v>
      </c>
      <c r="AT788" s="30" t="n">
        <f aca="false">-AR788*AP788</f>
        <v>-0</v>
      </c>
      <c r="AU788" s="30" t="n">
        <f aca="false">AT788-AT787</f>
        <v>0</v>
      </c>
      <c r="AV788" s="30" t="n">
        <f aca="false">MAX(AS788,0)*(Inputs!$B$17+Inputs!$B$18+Inputs!$B$19)+MAX(-AS788,0)*(O788+Inputs!$B$18+Inputs!$B$19)+IF(AND(K788=1,AP788&lt;&gt;0),(Inputs!$B$17+Inputs!$B$18+Inputs!$B$19)+(O788+Inputs!$B$18+Inputs!$B$19),0)+MAX(AU788,0)*(Inputs!$B$20+Inputs!$B$22+Inputs!$B$23)+MAX(-AU788,0)*(Inputs!$B$21+Inputs!$B$22+Inputs!$B$23)</f>
        <v>0</v>
      </c>
      <c r="AW788" s="30" t="n">
        <f aca="false">AP787*(M788-AR787*J788)+AP787*AR787*N788/Inputs!$B$16-AV788</f>
        <v>0</v>
      </c>
      <c r="AX788" s="30" t="n">
        <f aca="false">AW788-IF(AP787&lt;&gt;0,0.75*AR787*(Inputs!$B$13-N788)/Inputs!$B$16,0)</f>
        <v>0</v>
      </c>
      <c r="AY788" s="30" t="n">
        <f aca="false">MAX(AS788,0)*(Inputs!$B$17+Inputs!$B$18+Inputs!$B$19)+MAX(-AS788,0)*(O788+Inputs!$B$18+Inputs!$B$19)+IF(AND(K788=1,AP788&lt;&gt;0),(Inputs!$B$17+Inputs!$B$18+Inputs!$B$19)+(O788+Inputs!$B$18+Inputs!$B$19),0)</f>
        <v>0</v>
      </c>
      <c r="AZ788" s="30" t="n">
        <f aca="false">AP787*M788-AY788</f>
        <v>0</v>
      </c>
      <c r="BA788" s="32" t="n">
        <f aca="false">BA787+AI788</f>
        <v>0.0194217653144185</v>
      </c>
      <c r="BB788" s="30" t="n">
        <f aca="false">MAX(BB787,BA788)</f>
        <v>0.0261726191772394</v>
      </c>
      <c r="BC788" s="32" t="n">
        <f aca="false">BA788-BB788</f>
        <v>-0.00675085386282096</v>
      </c>
      <c r="BD788" s="30" t="n">
        <f aca="false">A789-A788</f>
        <v>1</v>
      </c>
    </row>
    <row r="789" customFormat="false" ht="15" hidden="false" customHeight="false" outlineLevel="0" collapsed="false">
      <c r="A789" s="28" t="n">
        <v>46205</v>
      </c>
      <c r="B789" s="0" t="n">
        <v>24269.5</v>
      </c>
      <c r="C789" s="0" t="n">
        <v>274.3</v>
      </c>
      <c r="D789" s="29" t="n">
        <f aca="false">LN(B789)</f>
        <v>10.0969756969427</v>
      </c>
      <c r="E789" s="29" t="n">
        <f aca="false">LN(C789)</f>
        <v>5.61422239794356</v>
      </c>
      <c r="F789" s="0" t="n">
        <v>784</v>
      </c>
      <c r="G789" s="0" t="n">
        <v>26</v>
      </c>
      <c r="H789" s="29" t="n">
        <f aca="false">D789-E789</f>
        <v>4.48275329899915</v>
      </c>
      <c r="I789" s="29" t="n">
        <f aca="false">D789-D788</f>
        <v>0.00767269835837325</v>
      </c>
      <c r="J789" s="29" t="n">
        <f aca="false">E789-E788</f>
        <v>0.00530020431131728</v>
      </c>
      <c r="K789" s="0" t="n">
        <v>0</v>
      </c>
      <c r="L789" s="0" t="n">
        <v>0</v>
      </c>
      <c r="M789" s="29" t="n">
        <f aca="false">IF(L789=1,J789-Carry!$B$9/Inputs!$B$16,I789)</f>
        <v>0.00767269835837325</v>
      </c>
      <c r="N789" s="0" t="n">
        <v>0.0525</v>
      </c>
      <c r="O789" s="0" t="n">
        <v>0.0005</v>
      </c>
      <c r="P789" s="29" t="n">
        <f aca="false">D789-('2 Hedge ratio'!$B$6+'2 Hedge ratio'!$B$5*E789)</f>
        <v>-0.00818375552386463</v>
      </c>
      <c r="Q789" s="29" t="n">
        <f aca="false">D789-('5 Re-specification'!$B$7+'5 Re-specification'!$B$5*E789+'5 Re-specification'!$B$6*F789)</f>
        <v>0.00379076453505967</v>
      </c>
      <c r="R789" s="30" t="n">
        <f aca="false">MIN(F789,Inputs!$B$9)</f>
        <v>250</v>
      </c>
      <c r="S789" s="29" t="n">
        <f aca="true">IF(AND(F789&gt;=1,R789&gt;=Inputs!$B$10),INDEX(LINEST(OFFSET(D789,-R789,0,R789,1),OFFSET(E789,-R789,0,R789,2)),1,1),"")</f>
        <v>-3.26250775702651E-005</v>
      </c>
      <c r="T789" s="29" t="n">
        <f aca="true">IF(AND(F789&gt;=1,R789&gt;=Inputs!$B$10),INDEX(LINEST(OFFSET(D789,-R789,0,R789,1),OFFSET(E789,-R789,0,R789,2)),1,2),"")</f>
        <v>1.01851256136682</v>
      </c>
      <c r="U789" s="29" t="n">
        <f aca="true">IF(AND(F789&gt;=1,R789&gt;=Inputs!$B$10),INDEX(LINEST(OFFSET(D789,-R789,0,R789,1),OFFSET(E789,-R789,0,R789,2)),1,3),"")</f>
        <v>4.40147012289788</v>
      </c>
      <c r="V789" s="29" t="n">
        <f aca="true">IF(AND(F789&gt;=1,R789&gt;=Inputs!$B$10),SQRT(SUMPRODUCT((OFFSET(D789,-R789,0,R789,1)-U789-T789*OFFSET(E789,-R789,0,R789,1)-S789*OFFSET(F789,-R789,0,R789,1))^2)/(R789-3)),"")</f>
        <v>0.00229670668572534</v>
      </c>
      <c r="W789" s="31" t="n">
        <f aca="false">IF(AND(F789&gt;=1,R789&gt;=Inputs!$B$10),(D789-U789-T789*E789-S789*F789)/V789,"")</f>
        <v>1.2746948775311</v>
      </c>
      <c r="X789" s="30" t="n">
        <f aca="false">IF(AB788&lt;&gt;0,AC788+1,0)</f>
        <v>0</v>
      </c>
      <c r="Y789" s="30" t="n">
        <f aca="false">IF(W789="",0,IF(AND(AB788&lt;&gt;0,OR(ABS(W789)&gt;Inputs!$B$7,X789&gt;=Inputs!$B$8,ABS(W789)&lt;Inputs!$B$6)),1,0))</f>
        <v>0</v>
      </c>
      <c r="Z789" s="30" t="n">
        <f aca="false">IF(Y789=1,0,AB788)</f>
        <v>0</v>
      </c>
      <c r="AA789" s="30" t="n">
        <f aca="false">IF(W789="",0,IF(AND(Z789=0,ABS(W789)&gt;Inputs!$B$5,ABS(W789)&lt;=Inputs!$B$7),1,0))</f>
        <v>0</v>
      </c>
      <c r="AB789" s="30" t="n">
        <f aca="false">IF(W789="",0,IF(AA789=1,-SIGN(W789),Z789))</f>
        <v>0</v>
      </c>
      <c r="AC789" s="30" t="n">
        <f aca="false">IF(W789="",0,IF(AA789=1,0,IF(Y789=1,0,X789)))</f>
        <v>0</v>
      </c>
      <c r="AD789" s="30" t="n">
        <f aca="false">IF(AB789=0,0,IF(AB788=AB789,AD788,T789))</f>
        <v>0</v>
      </c>
      <c r="AE789" s="30" t="n">
        <f aca="false">AB789-AB788</f>
        <v>0</v>
      </c>
      <c r="AF789" s="30" t="n">
        <f aca="false">-AD789*AB789</f>
        <v>-0</v>
      </c>
      <c r="AG789" s="30" t="n">
        <f aca="false">AF789-AF788</f>
        <v>0</v>
      </c>
      <c r="AH789" s="30" t="n">
        <f aca="false">MAX(AE789,0)*(Inputs!$B$17+Inputs!$B$18+Inputs!$B$19)+MAX(-AE789,0)*(O789+Inputs!$B$18+Inputs!$B$19)+IF(AND(K789=1,AB789&lt;&gt;0),(Inputs!$B$17+Inputs!$B$18+Inputs!$B$19)+(O789+Inputs!$B$18+Inputs!$B$19),0)+MAX(AG789,0)*(Inputs!$B$20+Inputs!$B$22+Inputs!$B$23)+MAX(-AG789,0)*(Inputs!$B$21+Inputs!$B$22+Inputs!$B$23)</f>
        <v>0</v>
      </c>
      <c r="AI789" s="30" t="n">
        <f aca="false">AB788*(M789-AD788*J789)+AB788*AD788*N789/Inputs!$B$16-AH789</f>
        <v>0</v>
      </c>
      <c r="AJ789" s="30" t="n">
        <f aca="false">MAX(AE789,0)*(Inputs!$B$17+Inputs!$B$24+Inputs!$B$25)+MAX(-AE789,0)*(O789+Inputs!$B$24+Inputs!$B$25)+IF(AND(K789=1,AB789&lt;&gt;0),(Inputs!$B$17+Inputs!$B$24+Inputs!$B$25)+(O789+Inputs!$B$24+Inputs!$B$25),0)+MAX(AG789,0)*(Inputs!$B$20+Inputs!$B$26+Inputs!$B$27)+MAX(-AG789,0)*(Inputs!$B$21+Inputs!$B$26+Inputs!$B$27)</f>
        <v>0</v>
      </c>
      <c r="AK789" s="30" t="n">
        <f aca="false">AB788*(M789-AD788*J789)+AB788*AD788*(N789+Inputs!$B$14)/Inputs!$B$16-AJ789</f>
        <v>0</v>
      </c>
      <c r="AL789" s="30" t="n">
        <f aca="false">IF(AP788&lt;&gt;0,AQ788+1,0)</f>
        <v>0</v>
      </c>
      <c r="AM789" s="30" t="n">
        <f aca="false">IF(W789="",0,IF(AND(AP788&lt;&gt;0,OR(ABS(W789)&gt;Inputs!$B$7,AL789&gt;=Inputs!$B$8,ABS(W789)&lt;Inputs!$B$6)),1,0))</f>
        <v>0</v>
      </c>
      <c r="AN789" s="30" t="n">
        <f aca="false">IF(AM789=1,0,AP788)</f>
        <v>0</v>
      </c>
      <c r="AO789" s="30" t="n">
        <f aca="false">IF(W789="",0,IF(AND(AN789=0,ABS(W789)&gt;Inputs!$B$5,ABS(W789)&lt;=Inputs!$B$7,W789&gt;0),1,0))</f>
        <v>0</v>
      </c>
      <c r="AP789" s="30" t="n">
        <f aca="false">IF(W789="",0,IF(AO789=1,-SIGN(W789),AN789))</f>
        <v>0</v>
      </c>
      <c r="AQ789" s="30" t="n">
        <f aca="false">IF(W789="",0,IF(AO789=1,0,IF(AM789=1,0,AL789)))</f>
        <v>0</v>
      </c>
      <c r="AR789" s="30" t="n">
        <f aca="false">IF(AP789=0,0,IF(AP788=AP789,AR788,T789))</f>
        <v>0</v>
      </c>
      <c r="AS789" s="30" t="n">
        <f aca="false">AP789-AP788</f>
        <v>0</v>
      </c>
      <c r="AT789" s="30" t="n">
        <f aca="false">-AR789*AP789</f>
        <v>-0</v>
      </c>
      <c r="AU789" s="30" t="n">
        <f aca="false">AT789-AT788</f>
        <v>0</v>
      </c>
      <c r="AV789" s="30" t="n">
        <f aca="false">MAX(AS789,0)*(Inputs!$B$17+Inputs!$B$18+Inputs!$B$19)+MAX(-AS789,0)*(O789+Inputs!$B$18+Inputs!$B$19)+IF(AND(K789=1,AP789&lt;&gt;0),(Inputs!$B$17+Inputs!$B$18+Inputs!$B$19)+(O789+Inputs!$B$18+Inputs!$B$19),0)+MAX(AU789,0)*(Inputs!$B$20+Inputs!$B$22+Inputs!$B$23)+MAX(-AU789,0)*(Inputs!$B$21+Inputs!$B$22+Inputs!$B$23)</f>
        <v>0</v>
      </c>
      <c r="AW789" s="30" t="n">
        <f aca="false">AP788*(M789-AR788*J789)+AP788*AR788*N789/Inputs!$B$16-AV789</f>
        <v>0</v>
      </c>
      <c r="AX789" s="30" t="n">
        <f aca="false">AW789-IF(AP788&lt;&gt;0,0.75*AR788*(Inputs!$B$13-N789)/Inputs!$B$16,0)</f>
        <v>0</v>
      </c>
      <c r="AY789" s="30" t="n">
        <f aca="false">MAX(AS789,0)*(Inputs!$B$17+Inputs!$B$18+Inputs!$B$19)+MAX(-AS789,0)*(O789+Inputs!$B$18+Inputs!$B$19)+IF(AND(K789=1,AP789&lt;&gt;0),(Inputs!$B$17+Inputs!$B$18+Inputs!$B$19)+(O789+Inputs!$B$18+Inputs!$B$19),0)</f>
        <v>0</v>
      </c>
      <c r="AZ789" s="30" t="n">
        <f aca="false">AP788*M789-AY789</f>
        <v>0</v>
      </c>
      <c r="BA789" s="32" t="n">
        <f aca="false">BA788+AI789</f>
        <v>0.0194217653144185</v>
      </c>
      <c r="BB789" s="30" t="n">
        <f aca="false">MAX(BB788,BA789)</f>
        <v>0.0261726191772394</v>
      </c>
      <c r="BC789" s="32" t="n">
        <f aca="false">BA789-BB789</f>
        <v>-0.00675085386282096</v>
      </c>
      <c r="BD789" s="30" t="n">
        <f aca="false">A790-A789</f>
        <v>1</v>
      </c>
    </row>
    <row r="790" customFormat="false" ht="15" hidden="false" customHeight="false" outlineLevel="0" collapsed="false">
      <c r="A790" s="28" t="n">
        <v>46206</v>
      </c>
      <c r="B790" s="0" t="n">
        <v>24355.4</v>
      </c>
      <c r="C790" s="0" t="n">
        <v>276</v>
      </c>
      <c r="D790" s="29" t="n">
        <f aca="false">LN(B790)</f>
        <v>10.1005088698381</v>
      </c>
      <c r="E790" s="29" t="n">
        <f aca="false">LN(C790)</f>
        <v>5.62040086571715</v>
      </c>
      <c r="F790" s="0" t="n">
        <v>785</v>
      </c>
      <c r="G790" s="0" t="n">
        <v>25</v>
      </c>
      <c r="H790" s="29" t="n">
        <f aca="false">D790-E790</f>
        <v>4.48010800412092</v>
      </c>
      <c r="I790" s="29" t="n">
        <f aca="false">D790-D789</f>
        <v>0.00353317289535582</v>
      </c>
      <c r="J790" s="29" t="n">
        <f aca="false">E790-E789</f>
        <v>0.00617846777359166</v>
      </c>
      <c r="K790" s="0" t="n">
        <v>0</v>
      </c>
      <c r="L790" s="0" t="n">
        <v>0</v>
      </c>
      <c r="M790" s="29" t="n">
        <f aca="false">IF(L790=1,J790-Carry!$B$9/Inputs!$B$16,I790)</f>
        <v>0.00353317289535582</v>
      </c>
      <c r="N790" s="0" t="n">
        <v>0.0525</v>
      </c>
      <c r="O790" s="0" t="n">
        <v>0.0005</v>
      </c>
      <c r="P790" s="29" t="n">
        <f aca="false">D790-('2 Hedge ratio'!$B$6+'2 Hedge ratio'!$B$5*E790)</f>
        <v>-0.0103108422870388</v>
      </c>
      <c r="Q790" s="29" t="n">
        <f aca="false">D790-('5 Re-specification'!$B$7+'5 Re-specification'!$B$5*E790+'5 Re-specification'!$B$6*F790)</f>
        <v>0.00120912282163843</v>
      </c>
      <c r="R790" s="30" t="n">
        <f aca="false">MIN(F790,Inputs!$B$9)</f>
        <v>250</v>
      </c>
      <c r="S790" s="29" t="n">
        <f aca="true">IF(AND(F790&gt;=1,R790&gt;=Inputs!$B$10),INDEX(LINEST(OFFSET(D790,-R790,0,R790,1),OFFSET(E790,-R790,0,R790,2)),1,1),"")</f>
        <v>-3.20740192761133E-005</v>
      </c>
      <c r="T790" s="29" t="n">
        <f aca="true">IF(AND(F790&gt;=1,R790&gt;=Inputs!$B$10),INDEX(LINEST(OFFSET(D790,-R790,0,R790,1),OFFSET(E790,-R790,0,R790,2)),1,2),"")</f>
        <v>1.018709116173</v>
      </c>
      <c r="U790" s="29" t="n">
        <f aca="true">IF(AND(F790&gt;=1,R790&gt;=Inputs!$B$10),INDEX(LINEST(OFFSET(D790,-R790,0,R790,1),OFFSET(E790,-R790,0,R790,2)),1,3),"")</f>
        <v>4.40000069991073</v>
      </c>
      <c r="V790" s="29" t="n">
        <f aca="true">IF(AND(F790&gt;=1,R790&gt;=Inputs!$B$10),SQRT(SUMPRODUCT((OFFSET(D790,-R790,0,R790,1)-U790-T790*OFFSET(E790,-R790,0,R790,1)-S790*OFFSET(F790,-R790,0,R790,1))^2)/(R790-3)),"")</f>
        <v>0.00229929690300821</v>
      </c>
      <c r="W790" s="31" t="n">
        <f aca="false">IF(AND(F790&gt;=1,R790&gt;=Inputs!$B$10),(D790-U790-T790*E790-S790*F790)/V790,"")</f>
        <v>0.0577031205537229</v>
      </c>
      <c r="X790" s="30" t="n">
        <f aca="false">IF(AB789&lt;&gt;0,AC789+1,0)</f>
        <v>0</v>
      </c>
      <c r="Y790" s="30" t="n">
        <f aca="false">IF(W790="",0,IF(AND(AB789&lt;&gt;0,OR(ABS(W790)&gt;Inputs!$B$7,X790&gt;=Inputs!$B$8,ABS(W790)&lt;Inputs!$B$6)),1,0))</f>
        <v>0</v>
      </c>
      <c r="Z790" s="30" t="n">
        <f aca="false">IF(Y790=1,0,AB789)</f>
        <v>0</v>
      </c>
      <c r="AA790" s="30" t="n">
        <f aca="false">IF(W790="",0,IF(AND(Z790=0,ABS(W790)&gt;Inputs!$B$5,ABS(W790)&lt;=Inputs!$B$7),1,0))</f>
        <v>0</v>
      </c>
      <c r="AB790" s="30" t="n">
        <f aca="false">IF(W790="",0,IF(AA790=1,-SIGN(W790),Z790))</f>
        <v>0</v>
      </c>
      <c r="AC790" s="30" t="n">
        <f aca="false">IF(W790="",0,IF(AA790=1,0,IF(Y790=1,0,X790)))</f>
        <v>0</v>
      </c>
      <c r="AD790" s="30" t="n">
        <f aca="false">IF(AB790=0,0,IF(AB789=AB790,AD789,T790))</f>
        <v>0</v>
      </c>
      <c r="AE790" s="30" t="n">
        <f aca="false">AB790-AB789</f>
        <v>0</v>
      </c>
      <c r="AF790" s="30" t="n">
        <f aca="false">-AD790*AB790</f>
        <v>-0</v>
      </c>
      <c r="AG790" s="30" t="n">
        <f aca="false">AF790-AF789</f>
        <v>0</v>
      </c>
      <c r="AH790" s="30" t="n">
        <f aca="false">MAX(AE790,0)*(Inputs!$B$17+Inputs!$B$18+Inputs!$B$19)+MAX(-AE790,0)*(O790+Inputs!$B$18+Inputs!$B$19)+IF(AND(K790=1,AB790&lt;&gt;0),(Inputs!$B$17+Inputs!$B$18+Inputs!$B$19)+(O790+Inputs!$B$18+Inputs!$B$19),0)+MAX(AG790,0)*(Inputs!$B$20+Inputs!$B$22+Inputs!$B$23)+MAX(-AG790,0)*(Inputs!$B$21+Inputs!$B$22+Inputs!$B$23)</f>
        <v>0</v>
      </c>
      <c r="AI790" s="30" t="n">
        <f aca="false">AB789*(M790-AD789*J790)+AB789*AD789*N790/Inputs!$B$16-AH790</f>
        <v>0</v>
      </c>
      <c r="AJ790" s="30" t="n">
        <f aca="false">MAX(AE790,0)*(Inputs!$B$17+Inputs!$B$24+Inputs!$B$25)+MAX(-AE790,0)*(O790+Inputs!$B$24+Inputs!$B$25)+IF(AND(K790=1,AB790&lt;&gt;0),(Inputs!$B$17+Inputs!$B$24+Inputs!$B$25)+(O790+Inputs!$B$24+Inputs!$B$25),0)+MAX(AG790,0)*(Inputs!$B$20+Inputs!$B$26+Inputs!$B$27)+MAX(-AG790,0)*(Inputs!$B$21+Inputs!$B$26+Inputs!$B$27)</f>
        <v>0</v>
      </c>
      <c r="AK790" s="30" t="n">
        <f aca="false">AB789*(M790-AD789*J790)+AB789*AD789*(N790+Inputs!$B$14)/Inputs!$B$16-AJ790</f>
        <v>0</v>
      </c>
      <c r="AL790" s="30" t="n">
        <f aca="false">IF(AP789&lt;&gt;0,AQ789+1,0)</f>
        <v>0</v>
      </c>
      <c r="AM790" s="30" t="n">
        <f aca="false">IF(W790="",0,IF(AND(AP789&lt;&gt;0,OR(ABS(W790)&gt;Inputs!$B$7,AL790&gt;=Inputs!$B$8,ABS(W790)&lt;Inputs!$B$6)),1,0))</f>
        <v>0</v>
      </c>
      <c r="AN790" s="30" t="n">
        <f aca="false">IF(AM790=1,0,AP789)</f>
        <v>0</v>
      </c>
      <c r="AO790" s="30" t="n">
        <f aca="false">IF(W790="",0,IF(AND(AN790=0,ABS(W790)&gt;Inputs!$B$5,ABS(W790)&lt;=Inputs!$B$7,W790&gt;0),1,0))</f>
        <v>0</v>
      </c>
      <c r="AP790" s="30" t="n">
        <f aca="false">IF(W790="",0,IF(AO790=1,-SIGN(W790),AN790))</f>
        <v>0</v>
      </c>
      <c r="AQ790" s="30" t="n">
        <f aca="false">IF(W790="",0,IF(AO790=1,0,IF(AM790=1,0,AL790)))</f>
        <v>0</v>
      </c>
      <c r="AR790" s="30" t="n">
        <f aca="false">IF(AP790=0,0,IF(AP789=AP790,AR789,T790))</f>
        <v>0</v>
      </c>
      <c r="AS790" s="30" t="n">
        <f aca="false">AP790-AP789</f>
        <v>0</v>
      </c>
      <c r="AT790" s="30" t="n">
        <f aca="false">-AR790*AP790</f>
        <v>-0</v>
      </c>
      <c r="AU790" s="30" t="n">
        <f aca="false">AT790-AT789</f>
        <v>0</v>
      </c>
      <c r="AV790" s="30" t="n">
        <f aca="false">MAX(AS790,0)*(Inputs!$B$17+Inputs!$B$18+Inputs!$B$19)+MAX(-AS790,0)*(O790+Inputs!$B$18+Inputs!$B$19)+IF(AND(K790=1,AP790&lt;&gt;0),(Inputs!$B$17+Inputs!$B$18+Inputs!$B$19)+(O790+Inputs!$B$18+Inputs!$B$19),0)+MAX(AU790,0)*(Inputs!$B$20+Inputs!$B$22+Inputs!$B$23)+MAX(-AU790,0)*(Inputs!$B$21+Inputs!$B$22+Inputs!$B$23)</f>
        <v>0</v>
      </c>
      <c r="AW790" s="30" t="n">
        <f aca="false">AP789*(M790-AR789*J790)+AP789*AR789*N790/Inputs!$B$16-AV790</f>
        <v>0</v>
      </c>
      <c r="AX790" s="30" t="n">
        <f aca="false">AW790-IF(AP789&lt;&gt;0,0.75*AR789*(Inputs!$B$13-N790)/Inputs!$B$16,0)</f>
        <v>0</v>
      </c>
      <c r="AY790" s="30" t="n">
        <f aca="false">MAX(AS790,0)*(Inputs!$B$17+Inputs!$B$18+Inputs!$B$19)+MAX(-AS790,0)*(O790+Inputs!$B$18+Inputs!$B$19)+IF(AND(K790=1,AP790&lt;&gt;0),(Inputs!$B$17+Inputs!$B$18+Inputs!$B$19)+(O790+Inputs!$B$18+Inputs!$B$19),0)</f>
        <v>0</v>
      </c>
      <c r="AZ790" s="30" t="n">
        <f aca="false">AP789*M790-AY790</f>
        <v>0</v>
      </c>
      <c r="BA790" s="32" t="n">
        <f aca="false">BA789+AI790</f>
        <v>0.0194217653144185</v>
      </c>
      <c r="BB790" s="30" t="n">
        <f aca="false">MAX(BB789,BA790)</f>
        <v>0.0261726191772394</v>
      </c>
      <c r="BC790" s="32" t="n">
        <f aca="false">BA790-BB790</f>
        <v>-0.00675085386282096</v>
      </c>
      <c r="BD790" s="30" t="n">
        <f aca="false">A791-A790</f>
        <v>3</v>
      </c>
    </row>
    <row r="791" customFormat="false" ht="15" hidden="false" customHeight="false" outlineLevel="0" collapsed="false">
      <c r="A791" s="28" t="n">
        <v>46209</v>
      </c>
      <c r="B791" s="0" t="n">
        <v>24479.9</v>
      </c>
      <c r="C791" s="0" t="n">
        <v>277.45</v>
      </c>
      <c r="D791" s="29" t="n">
        <f aca="false">LN(B791)</f>
        <v>10.1056076516506</v>
      </c>
      <c r="E791" s="29" t="n">
        <f aca="false">LN(C791)</f>
        <v>5.62564073677191</v>
      </c>
      <c r="F791" s="0" t="n">
        <v>786</v>
      </c>
      <c r="G791" s="0" t="n">
        <v>22</v>
      </c>
      <c r="H791" s="29" t="n">
        <f aca="false">D791-E791</f>
        <v>4.47996691487869</v>
      </c>
      <c r="I791" s="29" t="n">
        <f aca="false">D791-D790</f>
        <v>0.00509878181253143</v>
      </c>
      <c r="J791" s="29" t="n">
        <f aca="false">E791-E790</f>
        <v>0.00523987105476031</v>
      </c>
      <c r="K791" s="0" t="n">
        <v>0</v>
      </c>
      <c r="L791" s="0" t="n">
        <v>0</v>
      </c>
      <c r="M791" s="29" t="n">
        <f aca="false">IF(L791=1,J791-Carry!$B$9/Inputs!$B$16,I791)</f>
        <v>0.00509878181253143</v>
      </c>
      <c r="N791" s="0" t="n">
        <v>0.0525</v>
      </c>
      <c r="O791" s="0" t="n">
        <v>0.0005</v>
      </c>
      <c r="P791" s="29" t="n">
        <f aca="false">D791-('2 Hedge ratio'!$B$6+'2 Hedge ratio'!$B$5*E791)</f>
        <v>-0.010012446562774</v>
      </c>
      <c r="Q791" s="29" t="n">
        <f aca="false">D791-('5 Re-specification'!$B$7+'5 Re-specification'!$B$5*E791+'5 Re-specification'!$B$6*F791)</f>
        <v>0.00112884232684785</v>
      </c>
      <c r="R791" s="30" t="n">
        <f aca="false">MIN(F791,Inputs!$B$9)</f>
        <v>250</v>
      </c>
      <c r="S791" s="29" t="n">
        <f aca="true">IF(AND(F791&gt;=1,R791&gt;=Inputs!$B$10),INDEX(LINEST(OFFSET(D791,-R791,0,R791,1),OFFSET(E791,-R791,0,R791,2)),1,1),"")</f>
        <v>-3.14934184532729E-005</v>
      </c>
      <c r="T791" s="29" t="n">
        <f aca="true">IF(AND(F791&gt;=1,R791&gt;=Inputs!$B$10),INDEX(LINEST(OFFSET(D791,-R791,0,R791,1),OFFSET(E791,-R791,0,R791,2)),1,2),"")</f>
        <v>1.01890441843897</v>
      </c>
      <c r="U791" s="29" t="n">
        <f aca="true">IF(AND(F791&gt;=1,R791&gt;=Inputs!$B$10),INDEX(LINEST(OFFSET(D791,-R791,0,R791,1),OFFSET(E791,-R791,0,R791,2)),1,3),"")</f>
        <v>4.39849479760506</v>
      </c>
      <c r="V791" s="29" t="n">
        <f aca="true">IF(AND(F791&gt;=1,R791&gt;=Inputs!$B$10),SQRT(SUMPRODUCT((OFFSET(D791,-R791,0,R791,1)-U791-T791*OFFSET(E791,-R791,0,R791,1)-S791*OFFSET(F791,-R791,0,R791,1))^2)/(R791-3)),"")</f>
        <v>0.00227322007663098</v>
      </c>
      <c r="W791" s="31" t="n">
        <f aca="false">IF(AND(F791&gt;=1,R791&gt;=Inputs!$B$10),(D791-U791-T791*E791-S791*F791)/V791,"")</f>
        <v>-0.0543380285050732</v>
      </c>
      <c r="X791" s="30" t="n">
        <f aca="false">IF(AB790&lt;&gt;0,AC790+1,0)</f>
        <v>0</v>
      </c>
      <c r="Y791" s="30" t="n">
        <f aca="false">IF(W791="",0,IF(AND(AB790&lt;&gt;0,OR(ABS(W791)&gt;Inputs!$B$7,X791&gt;=Inputs!$B$8,ABS(W791)&lt;Inputs!$B$6)),1,0))</f>
        <v>0</v>
      </c>
      <c r="Z791" s="30" t="n">
        <f aca="false">IF(Y791=1,0,AB790)</f>
        <v>0</v>
      </c>
      <c r="AA791" s="30" t="n">
        <f aca="false">IF(W791="",0,IF(AND(Z791=0,ABS(W791)&gt;Inputs!$B$5,ABS(W791)&lt;=Inputs!$B$7),1,0))</f>
        <v>0</v>
      </c>
      <c r="AB791" s="30" t="n">
        <f aca="false">IF(W791="",0,IF(AA791=1,-SIGN(W791),Z791))</f>
        <v>0</v>
      </c>
      <c r="AC791" s="30" t="n">
        <f aca="false">IF(W791="",0,IF(AA791=1,0,IF(Y791=1,0,X791)))</f>
        <v>0</v>
      </c>
      <c r="AD791" s="30" t="n">
        <f aca="false">IF(AB791=0,0,IF(AB790=AB791,AD790,T791))</f>
        <v>0</v>
      </c>
      <c r="AE791" s="30" t="n">
        <f aca="false">AB791-AB790</f>
        <v>0</v>
      </c>
      <c r="AF791" s="30" t="n">
        <f aca="false">-AD791*AB791</f>
        <v>-0</v>
      </c>
      <c r="AG791" s="30" t="n">
        <f aca="false">AF791-AF790</f>
        <v>0</v>
      </c>
      <c r="AH791" s="30" t="n">
        <f aca="false">MAX(AE791,0)*(Inputs!$B$17+Inputs!$B$18+Inputs!$B$19)+MAX(-AE791,0)*(O791+Inputs!$B$18+Inputs!$B$19)+IF(AND(K791=1,AB791&lt;&gt;0),(Inputs!$B$17+Inputs!$B$18+Inputs!$B$19)+(O791+Inputs!$B$18+Inputs!$B$19),0)+MAX(AG791,0)*(Inputs!$B$20+Inputs!$B$22+Inputs!$B$23)+MAX(-AG791,0)*(Inputs!$B$21+Inputs!$B$22+Inputs!$B$23)</f>
        <v>0</v>
      </c>
      <c r="AI791" s="30" t="n">
        <f aca="false">AB790*(M791-AD790*J791)+AB790*AD790*N791/Inputs!$B$16-AH791</f>
        <v>0</v>
      </c>
      <c r="AJ791" s="30" t="n">
        <f aca="false">MAX(AE791,0)*(Inputs!$B$17+Inputs!$B$24+Inputs!$B$25)+MAX(-AE791,0)*(O791+Inputs!$B$24+Inputs!$B$25)+IF(AND(K791=1,AB791&lt;&gt;0),(Inputs!$B$17+Inputs!$B$24+Inputs!$B$25)+(O791+Inputs!$B$24+Inputs!$B$25),0)+MAX(AG791,0)*(Inputs!$B$20+Inputs!$B$26+Inputs!$B$27)+MAX(-AG791,0)*(Inputs!$B$21+Inputs!$B$26+Inputs!$B$27)</f>
        <v>0</v>
      </c>
      <c r="AK791" s="30" t="n">
        <f aca="false">AB790*(M791-AD790*J791)+AB790*AD790*(N791+Inputs!$B$14)/Inputs!$B$16-AJ791</f>
        <v>0</v>
      </c>
      <c r="AL791" s="30" t="n">
        <f aca="false">IF(AP790&lt;&gt;0,AQ790+1,0)</f>
        <v>0</v>
      </c>
      <c r="AM791" s="30" t="n">
        <f aca="false">IF(W791="",0,IF(AND(AP790&lt;&gt;0,OR(ABS(W791)&gt;Inputs!$B$7,AL791&gt;=Inputs!$B$8,ABS(W791)&lt;Inputs!$B$6)),1,0))</f>
        <v>0</v>
      </c>
      <c r="AN791" s="30" t="n">
        <f aca="false">IF(AM791=1,0,AP790)</f>
        <v>0</v>
      </c>
      <c r="AO791" s="30" t="n">
        <f aca="false">IF(W791="",0,IF(AND(AN791=0,ABS(W791)&gt;Inputs!$B$5,ABS(W791)&lt;=Inputs!$B$7,W791&gt;0),1,0))</f>
        <v>0</v>
      </c>
      <c r="AP791" s="30" t="n">
        <f aca="false">IF(W791="",0,IF(AO791=1,-SIGN(W791),AN791))</f>
        <v>0</v>
      </c>
      <c r="AQ791" s="30" t="n">
        <f aca="false">IF(W791="",0,IF(AO791=1,0,IF(AM791=1,0,AL791)))</f>
        <v>0</v>
      </c>
      <c r="AR791" s="30" t="n">
        <f aca="false">IF(AP791=0,0,IF(AP790=AP791,AR790,T791))</f>
        <v>0</v>
      </c>
      <c r="AS791" s="30" t="n">
        <f aca="false">AP791-AP790</f>
        <v>0</v>
      </c>
      <c r="AT791" s="30" t="n">
        <f aca="false">-AR791*AP791</f>
        <v>-0</v>
      </c>
      <c r="AU791" s="30" t="n">
        <f aca="false">AT791-AT790</f>
        <v>0</v>
      </c>
      <c r="AV791" s="30" t="n">
        <f aca="false">MAX(AS791,0)*(Inputs!$B$17+Inputs!$B$18+Inputs!$B$19)+MAX(-AS791,0)*(O791+Inputs!$B$18+Inputs!$B$19)+IF(AND(K791=1,AP791&lt;&gt;0),(Inputs!$B$17+Inputs!$B$18+Inputs!$B$19)+(O791+Inputs!$B$18+Inputs!$B$19),0)+MAX(AU791,0)*(Inputs!$B$20+Inputs!$B$22+Inputs!$B$23)+MAX(-AU791,0)*(Inputs!$B$21+Inputs!$B$22+Inputs!$B$23)</f>
        <v>0</v>
      </c>
      <c r="AW791" s="30" t="n">
        <f aca="false">AP790*(M791-AR790*J791)+AP790*AR790*N791/Inputs!$B$16-AV791</f>
        <v>0</v>
      </c>
      <c r="AX791" s="30" t="n">
        <f aca="false">AW791-IF(AP790&lt;&gt;0,0.75*AR790*(Inputs!$B$13-N791)/Inputs!$B$16,0)</f>
        <v>0</v>
      </c>
      <c r="AY791" s="30" t="n">
        <f aca="false">MAX(AS791,0)*(Inputs!$B$17+Inputs!$B$18+Inputs!$B$19)+MAX(-AS791,0)*(O791+Inputs!$B$18+Inputs!$B$19)+IF(AND(K791=1,AP791&lt;&gt;0),(Inputs!$B$17+Inputs!$B$18+Inputs!$B$19)+(O791+Inputs!$B$18+Inputs!$B$19),0)</f>
        <v>0</v>
      </c>
      <c r="AZ791" s="30" t="n">
        <f aca="false">AP790*M791-AY791</f>
        <v>0</v>
      </c>
      <c r="BA791" s="32" t="n">
        <f aca="false">BA790+AI791</f>
        <v>0.0194217653144185</v>
      </c>
      <c r="BB791" s="30" t="n">
        <f aca="false">MAX(BB790,BA791)</f>
        <v>0.0261726191772394</v>
      </c>
      <c r="BC791" s="32" t="n">
        <f aca="false">BA791-BB791</f>
        <v>-0.00675085386282096</v>
      </c>
      <c r="BD791" s="30" t="n">
        <f aca="false">A792-A791</f>
        <v>1</v>
      </c>
    </row>
    <row r="792" customFormat="false" ht="15" hidden="false" customHeight="false" outlineLevel="0" collapsed="false">
      <c r="A792" s="28" t="n">
        <v>46210</v>
      </c>
      <c r="B792" s="0" t="n">
        <v>24410</v>
      </c>
      <c r="C792" s="0" t="n">
        <v>276.75</v>
      </c>
      <c r="D792" s="29" t="n">
        <f aca="false">LN(B792)</f>
        <v>10.102748163387</v>
      </c>
      <c r="E792" s="29" t="n">
        <f aca="false">LN(C792)</f>
        <v>5.62311457158875</v>
      </c>
      <c r="F792" s="0" t="n">
        <v>787</v>
      </c>
      <c r="G792" s="0" t="n">
        <v>21</v>
      </c>
      <c r="H792" s="29" t="n">
        <f aca="false">D792-E792</f>
        <v>4.47963359179826</v>
      </c>
      <c r="I792" s="29" t="n">
        <f aca="false">D792-D791</f>
        <v>-0.00285948826359395</v>
      </c>
      <c r="J792" s="29" t="n">
        <f aca="false">E792-E791</f>
        <v>-0.00252616518316362</v>
      </c>
      <c r="K792" s="0" t="n">
        <v>0</v>
      </c>
      <c r="L792" s="0" t="n">
        <v>0</v>
      </c>
      <c r="M792" s="29" t="n">
        <f aca="false">IF(L792=1,J792-Carry!$B$9/Inputs!$B$16,I792)</f>
        <v>-0.00285948826359395</v>
      </c>
      <c r="N792" s="0" t="n">
        <v>0.0525</v>
      </c>
      <c r="O792" s="0" t="n">
        <v>0.0005</v>
      </c>
      <c r="P792" s="29" t="n">
        <f aca="false">D792-('2 Hedge ratio'!$B$6+'2 Hedge ratio'!$B$5*E792)</f>
        <v>-0.0105576473037949</v>
      </c>
      <c r="Q792" s="29" t="n">
        <f aca="false">D792-('5 Re-specification'!$B$7+'5 Re-specification'!$B$5*E792+'5 Re-specification'!$B$6*F792)</f>
        <v>0.000832793020872913</v>
      </c>
      <c r="R792" s="30" t="n">
        <f aca="false">MIN(F792,Inputs!$B$9)</f>
        <v>250</v>
      </c>
      <c r="S792" s="29" t="n">
        <f aca="true">IF(AND(F792&gt;=1,R792&gt;=Inputs!$B$10),INDEX(LINEST(OFFSET(D792,-R792,0,R792,1),OFFSET(E792,-R792,0,R792,2)),1,1),"")</f>
        <v>-3.09921197193661E-005</v>
      </c>
      <c r="T792" s="29" t="n">
        <f aca="true">IF(AND(F792&gt;=1,R792&gt;=Inputs!$B$10),INDEX(LINEST(OFFSET(D792,-R792,0,R792,1),OFFSET(E792,-R792,0,R792,2)),1,2),"")</f>
        <v>1.01914331288755</v>
      </c>
      <c r="U792" s="29" t="n">
        <f aca="true">IF(AND(F792&gt;=1,R792&gt;=Inputs!$B$10),INDEX(LINEST(OFFSET(D792,-R792,0,R792,1),OFFSET(E792,-R792,0,R792,2)),1,3),"")</f>
        <v>4.39679666393426</v>
      </c>
      <c r="V792" s="29" t="n">
        <f aca="true">IF(AND(F792&gt;=1,R792&gt;=Inputs!$B$10),SQRT(SUMPRODUCT((OFFSET(D792,-R792,0,R792,1)-U792-T792*OFFSET(E792,-R792,0,R792,1)-S792*OFFSET(F792,-R792,0,R792,1))^2)/(R792-3)),"")</f>
        <v>0.00225313261148267</v>
      </c>
      <c r="W792" s="31" t="n">
        <f aca="false">IF(AND(F792&gt;=1,R792&gt;=Inputs!$B$10),(D792-U792-T792*E792-S792*F792)/V792,"")</f>
        <v>-0.185215713081507</v>
      </c>
      <c r="X792" s="30" t="n">
        <f aca="false">IF(AB791&lt;&gt;0,AC791+1,0)</f>
        <v>0</v>
      </c>
      <c r="Y792" s="30" t="n">
        <f aca="false">IF(W792="",0,IF(AND(AB791&lt;&gt;0,OR(ABS(W792)&gt;Inputs!$B$7,X792&gt;=Inputs!$B$8,ABS(W792)&lt;Inputs!$B$6)),1,0))</f>
        <v>0</v>
      </c>
      <c r="Z792" s="30" t="n">
        <f aca="false">IF(Y792=1,0,AB791)</f>
        <v>0</v>
      </c>
      <c r="AA792" s="30" t="n">
        <f aca="false">IF(W792="",0,IF(AND(Z792=0,ABS(W792)&gt;Inputs!$B$5,ABS(W792)&lt;=Inputs!$B$7),1,0))</f>
        <v>0</v>
      </c>
      <c r="AB792" s="30" t="n">
        <f aca="false">IF(W792="",0,IF(AA792=1,-SIGN(W792),Z792))</f>
        <v>0</v>
      </c>
      <c r="AC792" s="30" t="n">
        <f aca="false">IF(W792="",0,IF(AA792=1,0,IF(Y792=1,0,X792)))</f>
        <v>0</v>
      </c>
      <c r="AD792" s="30" t="n">
        <f aca="false">IF(AB792=0,0,IF(AB791=AB792,AD791,T792))</f>
        <v>0</v>
      </c>
      <c r="AE792" s="30" t="n">
        <f aca="false">AB792-AB791</f>
        <v>0</v>
      </c>
      <c r="AF792" s="30" t="n">
        <f aca="false">-AD792*AB792</f>
        <v>-0</v>
      </c>
      <c r="AG792" s="30" t="n">
        <f aca="false">AF792-AF791</f>
        <v>0</v>
      </c>
      <c r="AH792" s="30" t="n">
        <f aca="false">MAX(AE792,0)*(Inputs!$B$17+Inputs!$B$18+Inputs!$B$19)+MAX(-AE792,0)*(O792+Inputs!$B$18+Inputs!$B$19)+IF(AND(K792=1,AB792&lt;&gt;0),(Inputs!$B$17+Inputs!$B$18+Inputs!$B$19)+(O792+Inputs!$B$18+Inputs!$B$19),0)+MAX(AG792,0)*(Inputs!$B$20+Inputs!$B$22+Inputs!$B$23)+MAX(-AG792,0)*(Inputs!$B$21+Inputs!$B$22+Inputs!$B$23)</f>
        <v>0</v>
      </c>
      <c r="AI792" s="30" t="n">
        <f aca="false">AB791*(M792-AD791*J792)+AB791*AD791*N792/Inputs!$B$16-AH792</f>
        <v>0</v>
      </c>
      <c r="AJ792" s="30" t="n">
        <f aca="false">MAX(AE792,0)*(Inputs!$B$17+Inputs!$B$24+Inputs!$B$25)+MAX(-AE792,0)*(O792+Inputs!$B$24+Inputs!$B$25)+IF(AND(K792=1,AB792&lt;&gt;0),(Inputs!$B$17+Inputs!$B$24+Inputs!$B$25)+(O792+Inputs!$B$24+Inputs!$B$25),0)+MAX(AG792,0)*(Inputs!$B$20+Inputs!$B$26+Inputs!$B$27)+MAX(-AG792,0)*(Inputs!$B$21+Inputs!$B$26+Inputs!$B$27)</f>
        <v>0</v>
      </c>
      <c r="AK792" s="30" t="n">
        <f aca="false">AB791*(M792-AD791*J792)+AB791*AD791*(N792+Inputs!$B$14)/Inputs!$B$16-AJ792</f>
        <v>0</v>
      </c>
      <c r="AL792" s="30" t="n">
        <f aca="false">IF(AP791&lt;&gt;0,AQ791+1,0)</f>
        <v>0</v>
      </c>
      <c r="AM792" s="30" t="n">
        <f aca="false">IF(W792="",0,IF(AND(AP791&lt;&gt;0,OR(ABS(W792)&gt;Inputs!$B$7,AL792&gt;=Inputs!$B$8,ABS(W792)&lt;Inputs!$B$6)),1,0))</f>
        <v>0</v>
      </c>
      <c r="AN792" s="30" t="n">
        <f aca="false">IF(AM792=1,0,AP791)</f>
        <v>0</v>
      </c>
      <c r="AO792" s="30" t="n">
        <f aca="false">IF(W792="",0,IF(AND(AN792=0,ABS(W792)&gt;Inputs!$B$5,ABS(W792)&lt;=Inputs!$B$7,W792&gt;0),1,0))</f>
        <v>0</v>
      </c>
      <c r="AP792" s="30" t="n">
        <f aca="false">IF(W792="",0,IF(AO792=1,-SIGN(W792),AN792))</f>
        <v>0</v>
      </c>
      <c r="AQ792" s="30" t="n">
        <f aca="false">IF(W792="",0,IF(AO792=1,0,IF(AM792=1,0,AL792)))</f>
        <v>0</v>
      </c>
      <c r="AR792" s="30" t="n">
        <f aca="false">IF(AP792=0,0,IF(AP791=AP792,AR791,T792))</f>
        <v>0</v>
      </c>
      <c r="AS792" s="30" t="n">
        <f aca="false">AP792-AP791</f>
        <v>0</v>
      </c>
      <c r="AT792" s="30" t="n">
        <f aca="false">-AR792*AP792</f>
        <v>-0</v>
      </c>
      <c r="AU792" s="30" t="n">
        <f aca="false">AT792-AT791</f>
        <v>0</v>
      </c>
      <c r="AV792" s="30" t="n">
        <f aca="false">MAX(AS792,0)*(Inputs!$B$17+Inputs!$B$18+Inputs!$B$19)+MAX(-AS792,0)*(O792+Inputs!$B$18+Inputs!$B$19)+IF(AND(K792=1,AP792&lt;&gt;0),(Inputs!$B$17+Inputs!$B$18+Inputs!$B$19)+(O792+Inputs!$B$18+Inputs!$B$19),0)+MAX(AU792,0)*(Inputs!$B$20+Inputs!$B$22+Inputs!$B$23)+MAX(-AU792,0)*(Inputs!$B$21+Inputs!$B$22+Inputs!$B$23)</f>
        <v>0</v>
      </c>
      <c r="AW792" s="30" t="n">
        <f aca="false">AP791*(M792-AR791*J792)+AP791*AR791*N792/Inputs!$B$16-AV792</f>
        <v>0</v>
      </c>
      <c r="AX792" s="30" t="n">
        <f aca="false">AW792-IF(AP791&lt;&gt;0,0.75*AR791*(Inputs!$B$13-N792)/Inputs!$B$16,0)</f>
        <v>0</v>
      </c>
      <c r="AY792" s="30" t="n">
        <f aca="false">MAX(AS792,0)*(Inputs!$B$17+Inputs!$B$18+Inputs!$B$19)+MAX(-AS792,0)*(O792+Inputs!$B$18+Inputs!$B$19)+IF(AND(K792=1,AP792&lt;&gt;0),(Inputs!$B$17+Inputs!$B$18+Inputs!$B$19)+(O792+Inputs!$B$18+Inputs!$B$19),0)</f>
        <v>0</v>
      </c>
      <c r="AZ792" s="30" t="n">
        <f aca="false">AP791*M792-AY792</f>
        <v>-0</v>
      </c>
      <c r="BA792" s="32" t="n">
        <f aca="false">BA791+AI792</f>
        <v>0.0194217653144185</v>
      </c>
      <c r="BB792" s="30" t="n">
        <f aca="false">MAX(BB791,BA792)</f>
        <v>0.0261726191772394</v>
      </c>
      <c r="BC792" s="32" t="n">
        <f aca="false">BA792-BB792</f>
        <v>-0.00675085386282096</v>
      </c>
      <c r="BD792" s="30" t="n">
        <f aca="false">A793-A792</f>
        <v>1</v>
      </c>
    </row>
    <row r="793" customFormat="false" ht="15" hidden="false" customHeight="false" outlineLevel="0" collapsed="false">
      <c r="A793" s="28" t="n">
        <v>46211</v>
      </c>
      <c r="B793" s="0" t="n">
        <v>23892.6</v>
      </c>
      <c r="C793" s="0" t="n">
        <v>271.7</v>
      </c>
      <c r="D793" s="29" t="n">
        <f aca="false">LN(B793)</f>
        <v>10.0813240665454</v>
      </c>
      <c r="E793" s="29" t="n">
        <f aca="false">LN(C793)</f>
        <v>5.6046985164323</v>
      </c>
      <c r="F793" s="0" t="n">
        <v>788</v>
      </c>
      <c r="G793" s="0" t="n">
        <v>20</v>
      </c>
      <c r="H793" s="29" t="n">
        <f aca="false">D793-E793</f>
        <v>4.47662555011311</v>
      </c>
      <c r="I793" s="29" t="n">
        <f aca="false">D793-D792</f>
        <v>-0.0214240968415975</v>
      </c>
      <c r="J793" s="29" t="n">
        <f aca="false">E793-E792</f>
        <v>-0.0184160551564441</v>
      </c>
      <c r="K793" s="0" t="n">
        <v>0</v>
      </c>
      <c r="L793" s="0" t="n">
        <v>0</v>
      </c>
      <c r="M793" s="29" t="n">
        <f aca="false">IF(L793=1,J793-Carry!$B$9/Inputs!$B$16,I793)</f>
        <v>-0.0214240968415975</v>
      </c>
      <c r="N793" s="0" t="n">
        <v>0.0525</v>
      </c>
      <c r="O793" s="0" t="n">
        <v>0.0005</v>
      </c>
      <c r="P793" s="29" t="n">
        <f aca="false">D793-('2 Hedge ratio'!$B$6+'2 Hedge ratio'!$B$5*E793)</f>
        <v>-0.0151103032168098</v>
      </c>
      <c r="Q793" s="29" t="n">
        <f aca="false">D793-('5 Re-specification'!$B$7+'5 Re-specification'!$B$5*E793+'5 Re-specification'!$B$6*F793)</f>
        <v>-0.0021861292017249</v>
      </c>
      <c r="R793" s="30" t="n">
        <f aca="false">MIN(F793,Inputs!$B$9)</f>
        <v>250</v>
      </c>
      <c r="S793" s="29" t="n">
        <f aca="true">IF(AND(F793&gt;=1,R793&gt;=Inputs!$B$10),INDEX(LINEST(OFFSET(D793,-R793,0,R793,1),OFFSET(E793,-R793,0,R793,2)),1,1),"")</f>
        <v>-3.0583919215958E-005</v>
      </c>
      <c r="T793" s="29" t="n">
        <f aca="true">IF(AND(F793&gt;=1,R793&gt;=Inputs!$B$10),INDEX(LINEST(OFFSET(D793,-R793,0,R793,1),OFFSET(E793,-R793,0,R793,2)),1,2),"")</f>
        <v>1.01931290367555</v>
      </c>
      <c r="U793" s="29" t="n">
        <f aca="true">IF(AND(F793&gt;=1,R793&gt;=Inputs!$B$10),INDEX(LINEST(OFFSET(D793,-R793,0,R793,1),OFFSET(E793,-R793,0,R793,2)),1,3),"")</f>
        <v>4.39555136132213</v>
      </c>
      <c r="V793" s="29" t="n">
        <f aca="true">IF(AND(F793&gt;=1,R793&gt;=Inputs!$B$10),SQRT(SUMPRODUCT((OFFSET(D793,-R793,0,R793,1)-U793-T793*OFFSET(E793,-R793,0,R793,1)-S793*OFFSET(F793,-R793,0,R793,1))^2)/(R793-3)),"")</f>
        <v>0.00223707778747187</v>
      </c>
      <c r="W793" s="31" t="n">
        <f aca="false">IF(AND(F793&gt;=1,R793&gt;=Inputs!$B$10),(D793-U793-T793*E793-S793*F793)/V793,"")</f>
        <v>-1.37173837332313</v>
      </c>
      <c r="X793" s="30" t="n">
        <f aca="false">IF(AB792&lt;&gt;0,AC792+1,0)</f>
        <v>0</v>
      </c>
      <c r="Y793" s="30" t="n">
        <f aca="false">IF(W793="",0,IF(AND(AB792&lt;&gt;0,OR(ABS(W793)&gt;Inputs!$B$7,X793&gt;=Inputs!$B$8,ABS(W793)&lt;Inputs!$B$6)),1,0))</f>
        <v>0</v>
      </c>
      <c r="Z793" s="30" t="n">
        <f aca="false">IF(Y793=1,0,AB792)</f>
        <v>0</v>
      </c>
      <c r="AA793" s="30" t="n">
        <f aca="false">IF(W793="",0,IF(AND(Z793=0,ABS(W793)&gt;Inputs!$B$5,ABS(W793)&lt;=Inputs!$B$7),1,0))</f>
        <v>0</v>
      </c>
      <c r="AB793" s="30" t="n">
        <f aca="false">IF(W793="",0,IF(AA793=1,-SIGN(W793),Z793))</f>
        <v>0</v>
      </c>
      <c r="AC793" s="30" t="n">
        <f aca="false">IF(W793="",0,IF(AA793=1,0,IF(Y793=1,0,X793)))</f>
        <v>0</v>
      </c>
      <c r="AD793" s="30" t="n">
        <f aca="false">IF(AB793=0,0,IF(AB792=AB793,AD792,T793))</f>
        <v>0</v>
      </c>
      <c r="AE793" s="30" t="n">
        <f aca="false">AB793-AB792</f>
        <v>0</v>
      </c>
      <c r="AF793" s="30" t="n">
        <f aca="false">-AD793*AB793</f>
        <v>-0</v>
      </c>
      <c r="AG793" s="30" t="n">
        <f aca="false">AF793-AF792</f>
        <v>0</v>
      </c>
      <c r="AH793" s="30" t="n">
        <f aca="false">MAX(AE793,0)*(Inputs!$B$17+Inputs!$B$18+Inputs!$B$19)+MAX(-AE793,0)*(O793+Inputs!$B$18+Inputs!$B$19)+IF(AND(K793=1,AB793&lt;&gt;0),(Inputs!$B$17+Inputs!$B$18+Inputs!$B$19)+(O793+Inputs!$B$18+Inputs!$B$19),0)+MAX(AG793,0)*(Inputs!$B$20+Inputs!$B$22+Inputs!$B$23)+MAX(-AG793,0)*(Inputs!$B$21+Inputs!$B$22+Inputs!$B$23)</f>
        <v>0</v>
      </c>
      <c r="AI793" s="30" t="n">
        <f aca="false">AB792*(M793-AD792*J793)+AB792*AD792*N793/Inputs!$B$16-AH793</f>
        <v>0</v>
      </c>
      <c r="AJ793" s="30" t="n">
        <f aca="false">MAX(AE793,0)*(Inputs!$B$17+Inputs!$B$24+Inputs!$B$25)+MAX(-AE793,0)*(O793+Inputs!$B$24+Inputs!$B$25)+IF(AND(K793=1,AB793&lt;&gt;0),(Inputs!$B$17+Inputs!$B$24+Inputs!$B$25)+(O793+Inputs!$B$24+Inputs!$B$25),0)+MAX(AG793,0)*(Inputs!$B$20+Inputs!$B$26+Inputs!$B$27)+MAX(-AG793,0)*(Inputs!$B$21+Inputs!$B$26+Inputs!$B$27)</f>
        <v>0</v>
      </c>
      <c r="AK793" s="30" t="n">
        <f aca="false">AB792*(M793-AD792*J793)+AB792*AD792*(N793+Inputs!$B$14)/Inputs!$B$16-AJ793</f>
        <v>0</v>
      </c>
      <c r="AL793" s="30" t="n">
        <f aca="false">IF(AP792&lt;&gt;0,AQ792+1,0)</f>
        <v>0</v>
      </c>
      <c r="AM793" s="30" t="n">
        <f aca="false">IF(W793="",0,IF(AND(AP792&lt;&gt;0,OR(ABS(W793)&gt;Inputs!$B$7,AL793&gt;=Inputs!$B$8,ABS(W793)&lt;Inputs!$B$6)),1,0))</f>
        <v>0</v>
      </c>
      <c r="AN793" s="30" t="n">
        <f aca="false">IF(AM793=1,0,AP792)</f>
        <v>0</v>
      </c>
      <c r="AO793" s="30" t="n">
        <f aca="false">IF(W793="",0,IF(AND(AN793=0,ABS(W793)&gt;Inputs!$B$5,ABS(W793)&lt;=Inputs!$B$7,W793&gt;0),1,0))</f>
        <v>0</v>
      </c>
      <c r="AP793" s="30" t="n">
        <f aca="false">IF(W793="",0,IF(AO793=1,-SIGN(W793),AN793))</f>
        <v>0</v>
      </c>
      <c r="AQ793" s="30" t="n">
        <f aca="false">IF(W793="",0,IF(AO793=1,0,IF(AM793=1,0,AL793)))</f>
        <v>0</v>
      </c>
      <c r="AR793" s="30" t="n">
        <f aca="false">IF(AP793=0,0,IF(AP792=AP793,AR792,T793))</f>
        <v>0</v>
      </c>
      <c r="AS793" s="30" t="n">
        <f aca="false">AP793-AP792</f>
        <v>0</v>
      </c>
      <c r="AT793" s="30" t="n">
        <f aca="false">-AR793*AP793</f>
        <v>-0</v>
      </c>
      <c r="AU793" s="30" t="n">
        <f aca="false">AT793-AT792</f>
        <v>0</v>
      </c>
      <c r="AV793" s="30" t="n">
        <f aca="false">MAX(AS793,0)*(Inputs!$B$17+Inputs!$B$18+Inputs!$B$19)+MAX(-AS793,0)*(O793+Inputs!$B$18+Inputs!$B$19)+IF(AND(K793=1,AP793&lt;&gt;0),(Inputs!$B$17+Inputs!$B$18+Inputs!$B$19)+(O793+Inputs!$B$18+Inputs!$B$19),0)+MAX(AU793,0)*(Inputs!$B$20+Inputs!$B$22+Inputs!$B$23)+MAX(-AU793,0)*(Inputs!$B$21+Inputs!$B$22+Inputs!$B$23)</f>
        <v>0</v>
      </c>
      <c r="AW793" s="30" t="n">
        <f aca="false">AP792*(M793-AR792*J793)+AP792*AR792*N793/Inputs!$B$16-AV793</f>
        <v>0</v>
      </c>
      <c r="AX793" s="30" t="n">
        <f aca="false">AW793-IF(AP792&lt;&gt;0,0.75*AR792*(Inputs!$B$13-N793)/Inputs!$B$16,0)</f>
        <v>0</v>
      </c>
      <c r="AY793" s="30" t="n">
        <f aca="false">MAX(AS793,0)*(Inputs!$B$17+Inputs!$B$18+Inputs!$B$19)+MAX(-AS793,0)*(O793+Inputs!$B$18+Inputs!$B$19)+IF(AND(K793=1,AP793&lt;&gt;0),(Inputs!$B$17+Inputs!$B$18+Inputs!$B$19)+(O793+Inputs!$B$18+Inputs!$B$19),0)</f>
        <v>0</v>
      </c>
      <c r="AZ793" s="30" t="n">
        <f aca="false">AP792*M793-AY793</f>
        <v>-0</v>
      </c>
      <c r="BA793" s="32" t="n">
        <f aca="false">BA792+AI793</f>
        <v>0.0194217653144185</v>
      </c>
      <c r="BB793" s="30" t="n">
        <f aca="false">MAX(BB792,BA793)</f>
        <v>0.0261726191772394</v>
      </c>
      <c r="BC793" s="32" t="n">
        <f aca="false">BA793-BB793</f>
        <v>-0.00675085386282096</v>
      </c>
      <c r="BD793" s="30" t="n">
        <f aca="false">A794-A793</f>
        <v>1</v>
      </c>
    </row>
    <row r="794" customFormat="false" ht="15" hidden="false" customHeight="false" outlineLevel="0" collapsed="false">
      <c r="A794" s="28" t="n">
        <v>46212</v>
      </c>
      <c r="B794" s="0" t="n">
        <v>24005</v>
      </c>
      <c r="C794" s="0" t="n">
        <v>272.95</v>
      </c>
      <c r="D794" s="29" t="n">
        <f aca="false">LN(B794)</f>
        <v>10.086017420965</v>
      </c>
      <c r="E794" s="29" t="n">
        <f aca="false">LN(C794)</f>
        <v>5.60928862822777</v>
      </c>
      <c r="F794" s="0" t="n">
        <v>789</v>
      </c>
      <c r="G794" s="0" t="n">
        <v>19</v>
      </c>
      <c r="H794" s="29" t="n">
        <f aca="false">D794-E794</f>
        <v>4.47672879273727</v>
      </c>
      <c r="I794" s="29" t="n">
        <f aca="false">D794-D793</f>
        <v>0.00469335441963281</v>
      </c>
      <c r="J794" s="29" t="n">
        <f aca="false">E794-E793</f>
        <v>0.00459011179546476</v>
      </c>
      <c r="K794" s="0" t="n">
        <v>0</v>
      </c>
      <c r="L794" s="0" t="n">
        <v>0</v>
      </c>
      <c r="M794" s="29" t="n">
        <f aca="false">IF(L794=1,J794-Carry!$B$9/Inputs!$B$16,I794)</f>
        <v>0.00469335441963281</v>
      </c>
      <c r="N794" s="0" t="n">
        <v>0.0525</v>
      </c>
      <c r="O794" s="0" t="n">
        <v>0.0005</v>
      </c>
      <c r="P794" s="29" t="n">
        <f aca="false">D794-('2 Hedge ratio'!$B$6+'2 Hedge ratio'!$B$5*E794)</f>
        <v>-0.0146220730409379</v>
      </c>
      <c r="Q794" s="29" t="n">
        <f aca="false">D794-('5 Re-specification'!$B$7+'5 Re-specification'!$B$5*E794+'5 Re-specification'!$B$6*F794)</f>
        <v>-0.00202404692556613</v>
      </c>
      <c r="R794" s="30" t="n">
        <f aca="false">MIN(F794,Inputs!$B$9)</f>
        <v>250</v>
      </c>
      <c r="S794" s="29" t="n">
        <f aca="true">IF(AND(F794&gt;=1,R794&gt;=Inputs!$B$10),INDEX(LINEST(OFFSET(D794,-R794,0,R794,1),OFFSET(E794,-R794,0,R794,2)),1,1),"")</f>
        <v>-3.04136502686425E-005</v>
      </c>
      <c r="T794" s="29" t="n">
        <f aca="true">IF(AND(F794&gt;=1,R794&gt;=Inputs!$B$10),INDEX(LINEST(OFFSET(D794,-R794,0,R794,1),OFFSET(E794,-R794,0,R794,2)),1,2),"")</f>
        <v>1.01959600903062</v>
      </c>
      <c r="U794" s="29" t="n">
        <f aca="true">IF(AND(F794&gt;=1,R794&gt;=Inputs!$B$10),INDEX(LINEST(OFFSET(D794,-R794,0,R794,1),OFFSET(E794,-R794,0,R794,2)),1,3),"")</f>
        <v>4.39381338519175</v>
      </c>
      <c r="V794" s="29" t="n">
        <f aca="true">IF(AND(F794&gt;=1,R794&gt;=Inputs!$B$10),SQRT(SUMPRODUCT((OFFSET(D794,-R794,0,R794,1)-U794-T794*OFFSET(E794,-R794,0,R794,1)-S794*OFFSET(F794,-R794,0,R794,1))^2)/(R794-3)),"")</f>
        <v>0.00223038111426317</v>
      </c>
      <c r="W794" s="31" t="n">
        <f aca="false">IF(AND(F794&gt;=1,R794&gt;=Inputs!$B$10),(D794-U794-T794*E794-S794*F794)/V794,"")</f>
        <v>-1.34860046446773</v>
      </c>
      <c r="X794" s="30" t="n">
        <f aca="false">IF(AB793&lt;&gt;0,AC793+1,0)</f>
        <v>0</v>
      </c>
      <c r="Y794" s="30" t="n">
        <f aca="false">IF(W794="",0,IF(AND(AB793&lt;&gt;0,OR(ABS(W794)&gt;Inputs!$B$7,X794&gt;=Inputs!$B$8,ABS(W794)&lt;Inputs!$B$6)),1,0))</f>
        <v>0</v>
      </c>
      <c r="Z794" s="30" t="n">
        <f aca="false">IF(Y794=1,0,AB793)</f>
        <v>0</v>
      </c>
      <c r="AA794" s="30" t="n">
        <f aca="false">IF(W794="",0,IF(AND(Z794=0,ABS(W794)&gt;Inputs!$B$5,ABS(W794)&lt;=Inputs!$B$7),1,0))</f>
        <v>0</v>
      </c>
      <c r="AB794" s="30" t="n">
        <f aca="false">IF(W794="",0,IF(AA794=1,-SIGN(W794),Z794))</f>
        <v>0</v>
      </c>
      <c r="AC794" s="30" t="n">
        <f aca="false">IF(W794="",0,IF(AA794=1,0,IF(Y794=1,0,X794)))</f>
        <v>0</v>
      </c>
      <c r="AD794" s="30" t="n">
        <f aca="false">IF(AB794=0,0,IF(AB793=AB794,AD793,T794))</f>
        <v>0</v>
      </c>
      <c r="AE794" s="30" t="n">
        <f aca="false">AB794-AB793</f>
        <v>0</v>
      </c>
      <c r="AF794" s="30" t="n">
        <f aca="false">-AD794*AB794</f>
        <v>-0</v>
      </c>
      <c r="AG794" s="30" t="n">
        <f aca="false">AF794-AF793</f>
        <v>0</v>
      </c>
      <c r="AH794" s="30" t="n">
        <f aca="false">MAX(AE794,0)*(Inputs!$B$17+Inputs!$B$18+Inputs!$B$19)+MAX(-AE794,0)*(O794+Inputs!$B$18+Inputs!$B$19)+IF(AND(K794=1,AB794&lt;&gt;0),(Inputs!$B$17+Inputs!$B$18+Inputs!$B$19)+(O794+Inputs!$B$18+Inputs!$B$19),0)+MAX(AG794,0)*(Inputs!$B$20+Inputs!$B$22+Inputs!$B$23)+MAX(-AG794,0)*(Inputs!$B$21+Inputs!$B$22+Inputs!$B$23)</f>
        <v>0</v>
      </c>
      <c r="AI794" s="30" t="n">
        <f aca="false">AB793*(M794-AD793*J794)+AB793*AD793*N794/Inputs!$B$16-AH794</f>
        <v>0</v>
      </c>
      <c r="AJ794" s="30" t="n">
        <f aca="false">MAX(AE794,0)*(Inputs!$B$17+Inputs!$B$24+Inputs!$B$25)+MAX(-AE794,0)*(O794+Inputs!$B$24+Inputs!$B$25)+IF(AND(K794=1,AB794&lt;&gt;0),(Inputs!$B$17+Inputs!$B$24+Inputs!$B$25)+(O794+Inputs!$B$24+Inputs!$B$25),0)+MAX(AG794,0)*(Inputs!$B$20+Inputs!$B$26+Inputs!$B$27)+MAX(-AG794,0)*(Inputs!$B$21+Inputs!$B$26+Inputs!$B$27)</f>
        <v>0</v>
      </c>
      <c r="AK794" s="30" t="n">
        <f aca="false">AB793*(M794-AD793*J794)+AB793*AD793*(N794+Inputs!$B$14)/Inputs!$B$16-AJ794</f>
        <v>0</v>
      </c>
      <c r="AL794" s="30" t="n">
        <f aca="false">IF(AP793&lt;&gt;0,AQ793+1,0)</f>
        <v>0</v>
      </c>
      <c r="AM794" s="30" t="n">
        <f aca="false">IF(W794="",0,IF(AND(AP793&lt;&gt;0,OR(ABS(W794)&gt;Inputs!$B$7,AL794&gt;=Inputs!$B$8,ABS(W794)&lt;Inputs!$B$6)),1,0))</f>
        <v>0</v>
      </c>
      <c r="AN794" s="30" t="n">
        <f aca="false">IF(AM794=1,0,AP793)</f>
        <v>0</v>
      </c>
      <c r="AO794" s="30" t="n">
        <f aca="false">IF(W794="",0,IF(AND(AN794=0,ABS(W794)&gt;Inputs!$B$5,ABS(W794)&lt;=Inputs!$B$7,W794&gt;0),1,0))</f>
        <v>0</v>
      </c>
      <c r="AP794" s="30" t="n">
        <f aca="false">IF(W794="",0,IF(AO794=1,-SIGN(W794),AN794))</f>
        <v>0</v>
      </c>
      <c r="AQ794" s="30" t="n">
        <f aca="false">IF(W794="",0,IF(AO794=1,0,IF(AM794=1,0,AL794)))</f>
        <v>0</v>
      </c>
      <c r="AR794" s="30" t="n">
        <f aca="false">IF(AP794=0,0,IF(AP793=AP794,AR793,T794))</f>
        <v>0</v>
      </c>
      <c r="AS794" s="30" t="n">
        <f aca="false">AP794-AP793</f>
        <v>0</v>
      </c>
      <c r="AT794" s="30" t="n">
        <f aca="false">-AR794*AP794</f>
        <v>-0</v>
      </c>
      <c r="AU794" s="30" t="n">
        <f aca="false">AT794-AT793</f>
        <v>0</v>
      </c>
      <c r="AV794" s="30" t="n">
        <f aca="false">MAX(AS794,0)*(Inputs!$B$17+Inputs!$B$18+Inputs!$B$19)+MAX(-AS794,0)*(O794+Inputs!$B$18+Inputs!$B$19)+IF(AND(K794=1,AP794&lt;&gt;0),(Inputs!$B$17+Inputs!$B$18+Inputs!$B$19)+(O794+Inputs!$B$18+Inputs!$B$19),0)+MAX(AU794,0)*(Inputs!$B$20+Inputs!$B$22+Inputs!$B$23)+MAX(-AU794,0)*(Inputs!$B$21+Inputs!$B$22+Inputs!$B$23)</f>
        <v>0</v>
      </c>
      <c r="AW794" s="30" t="n">
        <f aca="false">AP793*(M794-AR793*J794)+AP793*AR793*N794/Inputs!$B$16-AV794</f>
        <v>0</v>
      </c>
      <c r="AX794" s="30" t="n">
        <f aca="false">AW794-IF(AP793&lt;&gt;0,0.75*AR793*(Inputs!$B$13-N794)/Inputs!$B$16,0)</f>
        <v>0</v>
      </c>
      <c r="AY794" s="30" t="n">
        <f aca="false">MAX(AS794,0)*(Inputs!$B$17+Inputs!$B$18+Inputs!$B$19)+MAX(-AS794,0)*(O794+Inputs!$B$18+Inputs!$B$19)+IF(AND(K794=1,AP794&lt;&gt;0),(Inputs!$B$17+Inputs!$B$18+Inputs!$B$19)+(O794+Inputs!$B$18+Inputs!$B$19),0)</f>
        <v>0</v>
      </c>
      <c r="AZ794" s="30" t="n">
        <f aca="false">AP793*M794-AY794</f>
        <v>0</v>
      </c>
      <c r="BA794" s="32" t="n">
        <f aca="false">BA793+AI794</f>
        <v>0.0194217653144185</v>
      </c>
      <c r="BB794" s="30" t="n">
        <f aca="false">MAX(BB793,BA794)</f>
        <v>0.0261726191772394</v>
      </c>
      <c r="BC794" s="32" t="n">
        <f aca="false">BA794-BB794</f>
        <v>-0.00675085386282096</v>
      </c>
      <c r="BD794" s="30" t="n">
        <f aca="false">A795-A794</f>
        <v>1</v>
      </c>
    </row>
    <row r="795" customFormat="false" ht="15" hidden="false" customHeight="false" outlineLevel="0" collapsed="false">
      <c r="A795" s="28" t="n">
        <v>46213</v>
      </c>
      <c r="B795" s="0" t="n">
        <v>24249.9</v>
      </c>
      <c r="C795" s="0" t="n">
        <v>275.29</v>
      </c>
      <c r="D795" s="29" t="n">
        <f aca="false">LN(B795)</f>
        <v>10.0961677726458</v>
      </c>
      <c r="E795" s="29" t="n">
        <f aca="false">LN(C795)</f>
        <v>5.61782508747866</v>
      </c>
      <c r="F795" s="0" t="n">
        <v>790</v>
      </c>
      <c r="G795" s="0" t="n">
        <v>18</v>
      </c>
      <c r="H795" s="29" t="n">
        <f aca="false">D795-E795</f>
        <v>4.47834268516713</v>
      </c>
      <c r="I795" s="29" t="n">
        <f aca="false">D795-D794</f>
        <v>0.0101503516807462</v>
      </c>
      <c r="J795" s="29" t="n">
        <f aca="false">E795-E794</f>
        <v>0.00853645925089097</v>
      </c>
      <c r="K795" s="0" t="n">
        <v>0</v>
      </c>
      <c r="L795" s="0" t="n">
        <v>0</v>
      </c>
      <c r="M795" s="29" t="n">
        <f aca="false">IF(L795=1,J795-Carry!$B$9/Inputs!$B$16,I795)</f>
        <v>0.0101503516807462</v>
      </c>
      <c r="N795" s="0" t="n">
        <v>0.0525</v>
      </c>
      <c r="O795" s="0" t="n">
        <v>0.0005</v>
      </c>
      <c r="P795" s="29" t="n">
        <f aca="false">D795-('2 Hedge ratio'!$B$6+'2 Hedge ratio'!$B$5*E795)</f>
        <v>-0.0122922001091528</v>
      </c>
      <c r="Q795" s="29" t="n">
        <f aca="false">D795-('5 Re-specification'!$B$7+'5 Re-specification'!$B$5*E795+'5 Re-specification'!$B$6*F795)</f>
        <v>-0.000339355437674271</v>
      </c>
      <c r="R795" s="30" t="n">
        <f aca="false">MIN(F795,Inputs!$B$9)</f>
        <v>250</v>
      </c>
      <c r="S795" s="29" t="n">
        <f aca="true">IF(AND(F795&gt;=1,R795&gt;=Inputs!$B$10),INDEX(LINEST(OFFSET(D795,-R795,0,R795,1),OFFSET(E795,-R795,0,R795,2)),1,1),"")</f>
        <v>-3.03697748795407E-005</v>
      </c>
      <c r="T795" s="29" t="n">
        <f aca="true">IF(AND(F795&gt;=1,R795&gt;=Inputs!$B$10),INDEX(LINEST(OFFSET(D795,-R795,0,R795,1),OFFSET(E795,-R795,0,R795,2)),1,2),"")</f>
        <v>1.01975914145436</v>
      </c>
      <c r="U795" s="29" t="n">
        <f aca="true">IF(AND(F795&gt;=1,R795&gt;=Inputs!$B$10),INDEX(LINEST(OFFSET(D795,-R795,0,R795,1),OFFSET(E795,-R795,0,R795,2)),1,3),"")</f>
        <v>4.39284027454586</v>
      </c>
      <c r="V795" s="29" t="n">
        <f aca="true">IF(AND(F795&gt;=1,R795&gt;=Inputs!$B$10),SQRT(SUMPRODUCT((OFFSET(D795,-R795,0,R795,1)-U795-T795*OFFSET(E795,-R795,0,R795,1)-S795*OFFSET(F795,-R795,0,R795,1))^2)/(R795-3)),"")</f>
        <v>0.00223022964661849</v>
      </c>
      <c r="W795" s="31" t="n">
        <f aca="false">IF(AND(F795&gt;=1,R795&gt;=Inputs!$B$10),(D795-U795-T795*E795-S795*F795)/V795,"")</f>
        <v>-0.676552657031445</v>
      </c>
      <c r="X795" s="30" t="n">
        <f aca="false">IF(AB794&lt;&gt;0,AC794+1,0)</f>
        <v>0</v>
      </c>
      <c r="Y795" s="30" t="n">
        <f aca="false">IF(W795="",0,IF(AND(AB794&lt;&gt;0,OR(ABS(W795)&gt;Inputs!$B$7,X795&gt;=Inputs!$B$8,ABS(W795)&lt;Inputs!$B$6)),1,0))</f>
        <v>0</v>
      </c>
      <c r="Z795" s="30" t="n">
        <f aca="false">IF(Y795=1,0,AB794)</f>
        <v>0</v>
      </c>
      <c r="AA795" s="30" t="n">
        <f aca="false">IF(W795="",0,IF(AND(Z795=0,ABS(W795)&gt;Inputs!$B$5,ABS(W795)&lt;=Inputs!$B$7),1,0))</f>
        <v>0</v>
      </c>
      <c r="AB795" s="30" t="n">
        <f aca="false">IF(W795="",0,IF(AA795=1,-SIGN(W795),Z795))</f>
        <v>0</v>
      </c>
      <c r="AC795" s="30" t="n">
        <f aca="false">IF(W795="",0,IF(AA795=1,0,IF(Y795=1,0,X795)))</f>
        <v>0</v>
      </c>
      <c r="AD795" s="30" t="n">
        <f aca="false">IF(AB795=0,0,IF(AB794=AB795,AD794,T795))</f>
        <v>0</v>
      </c>
      <c r="AE795" s="30" t="n">
        <f aca="false">AB795-AB794</f>
        <v>0</v>
      </c>
      <c r="AF795" s="30" t="n">
        <f aca="false">-AD795*AB795</f>
        <v>-0</v>
      </c>
      <c r="AG795" s="30" t="n">
        <f aca="false">AF795-AF794</f>
        <v>0</v>
      </c>
      <c r="AH795" s="30" t="n">
        <f aca="false">MAX(AE795,0)*(Inputs!$B$17+Inputs!$B$18+Inputs!$B$19)+MAX(-AE795,0)*(O795+Inputs!$B$18+Inputs!$B$19)+IF(AND(K795=1,AB795&lt;&gt;0),(Inputs!$B$17+Inputs!$B$18+Inputs!$B$19)+(O795+Inputs!$B$18+Inputs!$B$19),0)+MAX(AG795,0)*(Inputs!$B$20+Inputs!$B$22+Inputs!$B$23)+MAX(-AG795,0)*(Inputs!$B$21+Inputs!$B$22+Inputs!$B$23)</f>
        <v>0</v>
      </c>
      <c r="AI795" s="30" t="n">
        <f aca="false">AB794*(M795-AD794*J795)+AB794*AD794*N795/Inputs!$B$16-AH795</f>
        <v>0</v>
      </c>
      <c r="AJ795" s="30" t="n">
        <f aca="false">MAX(AE795,0)*(Inputs!$B$17+Inputs!$B$24+Inputs!$B$25)+MAX(-AE795,0)*(O795+Inputs!$B$24+Inputs!$B$25)+IF(AND(K795=1,AB795&lt;&gt;0),(Inputs!$B$17+Inputs!$B$24+Inputs!$B$25)+(O795+Inputs!$B$24+Inputs!$B$25),0)+MAX(AG795,0)*(Inputs!$B$20+Inputs!$B$26+Inputs!$B$27)+MAX(-AG795,0)*(Inputs!$B$21+Inputs!$B$26+Inputs!$B$27)</f>
        <v>0</v>
      </c>
      <c r="AK795" s="30" t="n">
        <f aca="false">AB794*(M795-AD794*J795)+AB794*AD794*(N795+Inputs!$B$14)/Inputs!$B$16-AJ795</f>
        <v>0</v>
      </c>
      <c r="AL795" s="30" t="n">
        <f aca="false">IF(AP794&lt;&gt;0,AQ794+1,0)</f>
        <v>0</v>
      </c>
      <c r="AM795" s="30" t="n">
        <f aca="false">IF(W795="",0,IF(AND(AP794&lt;&gt;0,OR(ABS(W795)&gt;Inputs!$B$7,AL795&gt;=Inputs!$B$8,ABS(W795)&lt;Inputs!$B$6)),1,0))</f>
        <v>0</v>
      </c>
      <c r="AN795" s="30" t="n">
        <f aca="false">IF(AM795=1,0,AP794)</f>
        <v>0</v>
      </c>
      <c r="AO795" s="30" t="n">
        <f aca="false">IF(W795="",0,IF(AND(AN795=0,ABS(W795)&gt;Inputs!$B$5,ABS(W795)&lt;=Inputs!$B$7,W795&gt;0),1,0))</f>
        <v>0</v>
      </c>
      <c r="AP795" s="30" t="n">
        <f aca="false">IF(W795="",0,IF(AO795=1,-SIGN(W795),AN795))</f>
        <v>0</v>
      </c>
      <c r="AQ795" s="30" t="n">
        <f aca="false">IF(W795="",0,IF(AO795=1,0,IF(AM795=1,0,AL795)))</f>
        <v>0</v>
      </c>
      <c r="AR795" s="30" t="n">
        <f aca="false">IF(AP795=0,0,IF(AP794=AP795,AR794,T795))</f>
        <v>0</v>
      </c>
      <c r="AS795" s="30" t="n">
        <f aca="false">AP795-AP794</f>
        <v>0</v>
      </c>
      <c r="AT795" s="30" t="n">
        <f aca="false">-AR795*AP795</f>
        <v>-0</v>
      </c>
      <c r="AU795" s="30" t="n">
        <f aca="false">AT795-AT794</f>
        <v>0</v>
      </c>
      <c r="AV795" s="30" t="n">
        <f aca="false">MAX(AS795,0)*(Inputs!$B$17+Inputs!$B$18+Inputs!$B$19)+MAX(-AS795,0)*(O795+Inputs!$B$18+Inputs!$B$19)+IF(AND(K795=1,AP795&lt;&gt;0),(Inputs!$B$17+Inputs!$B$18+Inputs!$B$19)+(O795+Inputs!$B$18+Inputs!$B$19),0)+MAX(AU795,0)*(Inputs!$B$20+Inputs!$B$22+Inputs!$B$23)+MAX(-AU795,0)*(Inputs!$B$21+Inputs!$B$22+Inputs!$B$23)</f>
        <v>0</v>
      </c>
      <c r="AW795" s="30" t="n">
        <f aca="false">AP794*(M795-AR794*J795)+AP794*AR794*N795/Inputs!$B$16-AV795</f>
        <v>0</v>
      </c>
      <c r="AX795" s="30" t="n">
        <f aca="false">AW795-IF(AP794&lt;&gt;0,0.75*AR794*(Inputs!$B$13-N795)/Inputs!$B$16,0)</f>
        <v>0</v>
      </c>
      <c r="AY795" s="30" t="n">
        <f aca="false">MAX(AS795,0)*(Inputs!$B$17+Inputs!$B$18+Inputs!$B$19)+MAX(-AS795,0)*(O795+Inputs!$B$18+Inputs!$B$19)+IF(AND(K795=1,AP795&lt;&gt;0),(Inputs!$B$17+Inputs!$B$18+Inputs!$B$19)+(O795+Inputs!$B$18+Inputs!$B$19),0)</f>
        <v>0</v>
      </c>
      <c r="AZ795" s="30" t="n">
        <f aca="false">AP794*M795-AY795</f>
        <v>0</v>
      </c>
      <c r="BA795" s="32" t="n">
        <f aca="false">BA794+AI795</f>
        <v>0.0194217653144185</v>
      </c>
      <c r="BB795" s="30" t="n">
        <f aca="false">MAX(BB794,BA795)</f>
        <v>0.0261726191772394</v>
      </c>
      <c r="BC795" s="32" t="n">
        <f aca="false">BA795-BB795</f>
        <v>-0.00675085386282096</v>
      </c>
      <c r="BD795" s="30" t="n">
        <f aca="false">A796-A795</f>
        <v>3</v>
      </c>
    </row>
    <row r="796" customFormat="false" ht="15" hidden="false" customHeight="false" outlineLevel="0" collapsed="false">
      <c r="A796" s="28" t="n">
        <v>46216</v>
      </c>
      <c r="B796" s="0" t="n">
        <v>24248</v>
      </c>
      <c r="C796" s="0" t="n">
        <v>275.15</v>
      </c>
      <c r="D796" s="29" t="n">
        <f aca="false">LN(B796)</f>
        <v>10.0960894187376</v>
      </c>
      <c r="E796" s="29" t="n">
        <f aca="false">LN(C796)</f>
        <v>5.61731640350577</v>
      </c>
      <c r="F796" s="0" t="n">
        <v>791</v>
      </c>
      <c r="G796" s="0" t="n">
        <v>15</v>
      </c>
      <c r="H796" s="29" t="n">
        <f aca="false">D796-E796</f>
        <v>4.47877301523187</v>
      </c>
      <c r="I796" s="29" t="n">
        <f aca="false">D796-D795</f>
        <v>-7.83539081474771E-005</v>
      </c>
      <c r="J796" s="29" t="n">
        <f aca="false">E796-E795</f>
        <v>-0.000508683972889834</v>
      </c>
      <c r="K796" s="0" t="n">
        <v>0</v>
      </c>
      <c r="L796" s="0" t="n">
        <v>0</v>
      </c>
      <c r="M796" s="29" t="n">
        <f aca="false">IF(L796=1,J796-Carry!$B$9/Inputs!$B$16,I796)</f>
        <v>-7.83539081474771E-005</v>
      </c>
      <c r="N796" s="0" t="n">
        <v>0.0525</v>
      </c>
      <c r="O796" s="0" t="n">
        <v>0.0005</v>
      </c>
      <c r="P796" s="29" t="n">
        <f aca="false">D796-('2 Hedge ratio'!$B$6+'2 Hedge ratio'!$B$5*E796)</f>
        <v>-0.0119045350177363</v>
      </c>
      <c r="Q796" s="29" t="n">
        <f aca="false">D796-('5 Re-specification'!$B$7+'5 Re-specification'!$B$5*E796+'5 Re-specification'!$B$6*F796)</f>
        <v>0.000134362378375386</v>
      </c>
      <c r="R796" s="30" t="n">
        <f aca="false">MIN(F796,Inputs!$B$9)</f>
        <v>250</v>
      </c>
      <c r="S796" s="29" t="n">
        <f aca="true">IF(AND(F796&gt;=1,R796&gt;=Inputs!$B$10),INDEX(LINEST(OFFSET(D796,-R796,0,R796,1),OFFSET(E796,-R796,0,R796,2)),1,1),"")</f>
        <v>-3.02644674234967E-005</v>
      </c>
      <c r="T796" s="29" t="n">
        <f aca="true">IF(AND(F796&gt;=1,R796&gt;=Inputs!$B$10),INDEX(LINEST(OFFSET(D796,-R796,0,R796,1),OFFSET(E796,-R796,0,R796,2)),1,2),"")</f>
        <v>1.01982083108989</v>
      </c>
      <c r="U796" s="29" t="n">
        <f aca="true">IF(AND(F796&gt;=1,R796&gt;=Inputs!$B$10),INDEX(LINEST(OFFSET(D796,-R796,0,R796,1),OFFSET(E796,-R796,0,R796,2)),1,3),"")</f>
        <v>4.3924065984402</v>
      </c>
      <c r="V796" s="29" t="n">
        <f aca="true">IF(AND(F796&gt;=1,R796&gt;=Inputs!$B$10),SQRT(SUMPRODUCT((OFFSET(D796,-R796,0,R796,1)-U796-T796*OFFSET(E796,-R796,0,R796,1)-S796*OFFSET(F796,-R796,0,R796,1))^2)/(R796-3)),"")</f>
        <v>0.00222687982976116</v>
      </c>
      <c r="W796" s="31" t="n">
        <f aca="false">IF(AND(F796&gt;=1,R796&gt;=Inputs!$B$10),(D796-U796-T796*E796-S796*F796)/V796,"")</f>
        <v>-0.464447643220997</v>
      </c>
      <c r="X796" s="30" t="n">
        <f aca="false">IF(AB795&lt;&gt;0,AC795+1,0)</f>
        <v>0</v>
      </c>
      <c r="Y796" s="30" t="n">
        <f aca="false">IF(W796="",0,IF(AND(AB795&lt;&gt;0,OR(ABS(W796)&gt;Inputs!$B$7,X796&gt;=Inputs!$B$8,ABS(W796)&lt;Inputs!$B$6)),1,0))</f>
        <v>0</v>
      </c>
      <c r="Z796" s="30" t="n">
        <f aca="false">IF(Y796=1,0,AB795)</f>
        <v>0</v>
      </c>
      <c r="AA796" s="30" t="n">
        <f aca="false">IF(W796="",0,IF(AND(Z796=0,ABS(W796)&gt;Inputs!$B$5,ABS(W796)&lt;=Inputs!$B$7),1,0))</f>
        <v>0</v>
      </c>
      <c r="AB796" s="30" t="n">
        <f aca="false">IF(W796="",0,IF(AA796=1,-SIGN(W796),Z796))</f>
        <v>0</v>
      </c>
      <c r="AC796" s="30" t="n">
        <f aca="false">IF(W796="",0,IF(AA796=1,0,IF(Y796=1,0,X796)))</f>
        <v>0</v>
      </c>
      <c r="AD796" s="30" t="n">
        <f aca="false">IF(AB796=0,0,IF(AB795=AB796,AD795,T796))</f>
        <v>0</v>
      </c>
      <c r="AE796" s="30" t="n">
        <f aca="false">AB796-AB795</f>
        <v>0</v>
      </c>
      <c r="AF796" s="30" t="n">
        <f aca="false">-AD796*AB796</f>
        <v>-0</v>
      </c>
      <c r="AG796" s="30" t="n">
        <f aca="false">AF796-AF795</f>
        <v>0</v>
      </c>
      <c r="AH796" s="30" t="n">
        <f aca="false">MAX(AE796,0)*(Inputs!$B$17+Inputs!$B$18+Inputs!$B$19)+MAX(-AE796,0)*(O796+Inputs!$B$18+Inputs!$B$19)+IF(AND(K796=1,AB796&lt;&gt;0),(Inputs!$B$17+Inputs!$B$18+Inputs!$B$19)+(O796+Inputs!$B$18+Inputs!$B$19),0)+MAX(AG796,0)*(Inputs!$B$20+Inputs!$B$22+Inputs!$B$23)+MAX(-AG796,0)*(Inputs!$B$21+Inputs!$B$22+Inputs!$B$23)</f>
        <v>0</v>
      </c>
      <c r="AI796" s="30" t="n">
        <f aca="false">AB795*(M796-AD795*J796)+AB795*AD795*N796/Inputs!$B$16-AH796</f>
        <v>0</v>
      </c>
      <c r="AJ796" s="30" t="n">
        <f aca="false">MAX(AE796,0)*(Inputs!$B$17+Inputs!$B$24+Inputs!$B$25)+MAX(-AE796,0)*(O796+Inputs!$B$24+Inputs!$B$25)+IF(AND(K796=1,AB796&lt;&gt;0),(Inputs!$B$17+Inputs!$B$24+Inputs!$B$25)+(O796+Inputs!$B$24+Inputs!$B$25),0)+MAX(AG796,0)*(Inputs!$B$20+Inputs!$B$26+Inputs!$B$27)+MAX(-AG796,0)*(Inputs!$B$21+Inputs!$B$26+Inputs!$B$27)</f>
        <v>0</v>
      </c>
      <c r="AK796" s="30" t="n">
        <f aca="false">AB795*(M796-AD795*J796)+AB795*AD795*(N796+Inputs!$B$14)/Inputs!$B$16-AJ796</f>
        <v>0</v>
      </c>
      <c r="AL796" s="30" t="n">
        <f aca="false">IF(AP795&lt;&gt;0,AQ795+1,0)</f>
        <v>0</v>
      </c>
      <c r="AM796" s="30" t="n">
        <f aca="false">IF(W796="",0,IF(AND(AP795&lt;&gt;0,OR(ABS(W796)&gt;Inputs!$B$7,AL796&gt;=Inputs!$B$8,ABS(W796)&lt;Inputs!$B$6)),1,0))</f>
        <v>0</v>
      </c>
      <c r="AN796" s="30" t="n">
        <f aca="false">IF(AM796=1,0,AP795)</f>
        <v>0</v>
      </c>
      <c r="AO796" s="30" t="n">
        <f aca="false">IF(W796="",0,IF(AND(AN796=0,ABS(W796)&gt;Inputs!$B$5,ABS(W796)&lt;=Inputs!$B$7,W796&gt;0),1,0))</f>
        <v>0</v>
      </c>
      <c r="AP796" s="30" t="n">
        <f aca="false">IF(W796="",0,IF(AO796=1,-SIGN(W796),AN796))</f>
        <v>0</v>
      </c>
      <c r="AQ796" s="30" t="n">
        <f aca="false">IF(W796="",0,IF(AO796=1,0,IF(AM796=1,0,AL796)))</f>
        <v>0</v>
      </c>
      <c r="AR796" s="30" t="n">
        <f aca="false">IF(AP796=0,0,IF(AP795=AP796,AR795,T796))</f>
        <v>0</v>
      </c>
      <c r="AS796" s="30" t="n">
        <f aca="false">AP796-AP795</f>
        <v>0</v>
      </c>
      <c r="AT796" s="30" t="n">
        <f aca="false">-AR796*AP796</f>
        <v>-0</v>
      </c>
      <c r="AU796" s="30" t="n">
        <f aca="false">AT796-AT795</f>
        <v>0</v>
      </c>
      <c r="AV796" s="30" t="n">
        <f aca="false">MAX(AS796,0)*(Inputs!$B$17+Inputs!$B$18+Inputs!$B$19)+MAX(-AS796,0)*(O796+Inputs!$B$18+Inputs!$B$19)+IF(AND(K796=1,AP796&lt;&gt;0),(Inputs!$B$17+Inputs!$B$18+Inputs!$B$19)+(O796+Inputs!$B$18+Inputs!$B$19),0)+MAX(AU796,0)*(Inputs!$B$20+Inputs!$B$22+Inputs!$B$23)+MAX(-AU796,0)*(Inputs!$B$21+Inputs!$B$22+Inputs!$B$23)</f>
        <v>0</v>
      </c>
      <c r="AW796" s="30" t="n">
        <f aca="false">AP795*(M796-AR795*J796)+AP795*AR795*N796/Inputs!$B$16-AV796</f>
        <v>0</v>
      </c>
      <c r="AX796" s="30" t="n">
        <f aca="false">AW796-IF(AP795&lt;&gt;0,0.75*AR795*(Inputs!$B$13-N796)/Inputs!$B$16,0)</f>
        <v>0</v>
      </c>
      <c r="AY796" s="30" t="n">
        <f aca="false">MAX(AS796,0)*(Inputs!$B$17+Inputs!$B$18+Inputs!$B$19)+MAX(-AS796,0)*(O796+Inputs!$B$18+Inputs!$B$19)+IF(AND(K796=1,AP796&lt;&gt;0),(Inputs!$B$17+Inputs!$B$18+Inputs!$B$19)+(O796+Inputs!$B$18+Inputs!$B$19),0)</f>
        <v>0</v>
      </c>
      <c r="AZ796" s="30" t="n">
        <f aca="false">AP795*M796-AY796</f>
        <v>-0</v>
      </c>
      <c r="BA796" s="32" t="n">
        <f aca="false">BA795+AI796</f>
        <v>0.0194217653144185</v>
      </c>
      <c r="BB796" s="30" t="n">
        <f aca="false">MAX(BB795,BA796)</f>
        <v>0.0261726191772394</v>
      </c>
      <c r="BC796" s="32" t="n">
        <f aca="false">BA796-BB796</f>
        <v>-0.00675085386282096</v>
      </c>
      <c r="BD796" s="30" t="n">
        <f aca="false">A797-A796</f>
        <v>1</v>
      </c>
    </row>
    <row r="797" customFormat="false" ht="15" hidden="false" customHeight="false" outlineLevel="0" collapsed="false">
      <c r="A797" s="28" t="n">
        <v>46217</v>
      </c>
      <c r="B797" s="0" t="n">
        <v>24022</v>
      </c>
      <c r="C797" s="0" t="n">
        <v>273.45</v>
      </c>
      <c r="D797" s="29" t="n">
        <f aca="false">LN(B797)</f>
        <v>10.0867253561144</v>
      </c>
      <c r="E797" s="29" t="n">
        <f aca="false">LN(C797)</f>
        <v>5.61111878979278</v>
      </c>
      <c r="F797" s="0" t="n">
        <v>792</v>
      </c>
      <c r="G797" s="0" t="n">
        <v>14</v>
      </c>
      <c r="H797" s="29" t="n">
        <f aca="false">D797-E797</f>
        <v>4.47560656632165</v>
      </c>
      <c r="I797" s="29" t="n">
        <f aca="false">D797-D796</f>
        <v>-0.00936406262320411</v>
      </c>
      <c r="J797" s="29" t="n">
        <f aca="false">E797-E796</f>
        <v>-0.00619761371298644</v>
      </c>
      <c r="K797" s="0" t="n">
        <v>0</v>
      </c>
      <c r="L797" s="0" t="n">
        <v>0</v>
      </c>
      <c r="M797" s="29" t="n">
        <f aca="false">IF(L797=1,J797-Carry!$B$9/Inputs!$B$16,I797)</f>
        <v>-0.00936406262320411</v>
      </c>
      <c r="N797" s="0" t="n">
        <v>0.0525</v>
      </c>
      <c r="O797" s="0" t="n">
        <v>0.0005</v>
      </c>
      <c r="P797" s="29" t="n">
        <f aca="false">D797-('2 Hedge ratio'!$B$6+'2 Hedge ratio'!$B$5*E797)</f>
        <v>-0.0155907978749976</v>
      </c>
      <c r="Q797" s="29" t="n">
        <f aca="false">D797-('5 Re-specification'!$B$7+'5 Re-specification'!$B$5*E797+'5 Re-specification'!$B$6*F797)</f>
        <v>-0.0030059390822359</v>
      </c>
      <c r="R797" s="30" t="n">
        <f aca="false">MIN(F797,Inputs!$B$9)</f>
        <v>250</v>
      </c>
      <c r="S797" s="29" t="n">
        <f aca="true">IF(AND(F797&gt;=1,R797&gt;=Inputs!$B$10),INDEX(LINEST(OFFSET(D797,-R797,0,R797,1),OFFSET(E797,-R797,0,R797,2)),1,1),"")</f>
        <v>-3.00292221376889E-005</v>
      </c>
      <c r="T797" s="29" t="n">
        <f aca="true">IF(AND(F797&gt;=1,R797&gt;=Inputs!$B$10),INDEX(LINEST(OFFSET(D797,-R797,0,R797,1),OFFSET(E797,-R797,0,R797,2)),1,2),"")</f>
        <v>1.01994936978353</v>
      </c>
      <c r="U797" s="29" t="n">
        <f aca="true">IF(AND(F797&gt;=1,R797&gt;=Inputs!$B$10),INDEX(LINEST(OFFSET(D797,-R797,0,R797,1),OFFSET(E797,-R797,0,R797,2)),1,3),"")</f>
        <v>4.39150838553149</v>
      </c>
      <c r="V797" s="29" t="n">
        <f aca="true">IF(AND(F797&gt;=1,R797&gt;=Inputs!$B$10),SQRT(SUMPRODUCT((OFFSET(D797,-R797,0,R797,1)-U797-T797*OFFSET(E797,-R797,0,R797,1)-S797*OFFSET(F797,-R797,0,R797,1))^2)/(R797-3)),"")</f>
        <v>0.00221882676057075</v>
      </c>
      <c r="W797" s="31" t="n">
        <f aca="false">IF(AND(F797&gt;=1,R797&gt;=Inputs!$B$10),(D797-U797-T797*E797-S797*F797)/V797,"")</f>
        <v>-1.82842526769881</v>
      </c>
      <c r="X797" s="30" t="n">
        <f aca="false">IF(AB796&lt;&gt;0,AC796+1,0)</f>
        <v>0</v>
      </c>
      <c r="Y797" s="30" t="n">
        <f aca="false">IF(W797="",0,IF(AND(AB796&lt;&gt;0,OR(ABS(W797)&gt;Inputs!$B$7,X797&gt;=Inputs!$B$8,ABS(W797)&lt;Inputs!$B$6)),1,0))</f>
        <v>0</v>
      </c>
      <c r="Z797" s="30" t="n">
        <f aca="false">IF(Y797=1,0,AB796)</f>
        <v>0</v>
      </c>
      <c r="AA797" s="30" t="n">
        <f aca="false">IF(W797="",0,IF(AND(Z797=0,ABS(W797)&gt;Inputs!$B$5,ABS(W797)&lt;=Inputs!$B$7),1,0))</f>
        <v>0</v>
      </c>
      <c r="AB797" s="30" t="n">
        <f aca="false">IF(W797="",0,IF(AA797=1,-SIGN(W797),Z797))</f>
        <v>0</v>
      </c>
      <c r="AC797" s="30" t="n">
        <f aca="false">IF(W797="",0,IF(AA797=1,0,IF(Y797=1,0,X797)))</f>
        <v>0</v>
      </c>
      <c r="AD797" s="30" t="n">
        <f aca="false">IF(AB797=0,0,IF(AB796=AB797,AD796,T797))</f>
        <v>0</v>
      </c>
      <c r="AE797" s="30" t="n">
        <f aca="false">AB797-AB796</f>
        <v>0</v>
      </c>
      <c r="AF797" s="30" t="n">
        <f aca="false">-AD797*AB797</f>
        <v>-0</v>
      </c>
      <c r="AG797" s="30" t="n">
        <f aca="false">AF797-AF796</f>
        <v>0</v>
      </c>
      <c r="AH797" s="30" t="n">
        <f aca="false">MAX(AE797,0)*(Inputs!$B$17+Inputs!$B$18+Inputs!$B$19)+MAX(-AE797,0)*(O797+Inputs!$B$18+Inputs!$B$19)+IF(AND(K797=1,AB797&lt;&gt;0),(Inputs!$B$17+Inputs!$B$18+Inputs!$B$19)+(O797+Inputs!$B$18+Inputs!$B$19),0)+MAX(AG797,0)*(Inputs!$B$20+Inputs!$B$22+Inputs!$B$23)+MAX(-AG797,0)*(Inputs!$B$21+Inputs!$B$22+Inputs!$B$23)</f>
        <v>0</v>
      </c>
      <c r="AI797" s="30" t="n">
        <f aca="false">AB796*(M797-AD796*J797)+AB796*AD796*N797/Inputs!$B$16-AH797</f>
        <v>0</v>
      </c>
      <c r="AJ797" s="30" t="n">
        <f aca="false">MAX(AE797,0)*(Inputs!$B$17+Inputs!$B$24+Inputs!$B$25)+MAX(-AE797,0)*(O797+Inputs!$B$24+Inputs!$B$25)+IF(AND(K797=1,AB797&lt;&gt;0),(Inputs!$B$17+Inputs!$B$24+Inputs!$B$25)+(O797+Inputs!$B$24+Inputs!$B$25),0)+MAX(AG797,0)*(Inputs!$B$20+Inputs!$B$26+Inputs!$B$27)+MAX(-AG797,0)*(Inputs!$B$21+Inputs!$B$26+Inputs!$B$27)</f>
        <v>0</v>
      </c>
      <c r="AK797" s="30" t="n">
        <f aca="false">AB796*(M797-AD796*J797)+AB796*AD796*(N797+Inputs!$B$14)/Inputs!$B$16-AJ797</f>
        <v>0</v>
      </c>
      <c r="AL797" s="30" t="n">
        <f aca="false">IF(AP796&lt;&gt;0,AQ796+1,0)</f>
        <v>0</v>
      </c>
      <c r="AM797" s="30" t="n">
        <f aca="false">IF(W797="",0,IF(AND(AP796&lt;&gt;0,OR(ABS(W797)&gt;Inputs!$B$7,AL797&gt;=Inputs!$B$8,ABS(W797)&lt;Inputs!$B$6)),1,0))</f>
        <v>0</v>
      </c>
      <c r="AN797" s="30" t="n">
        <f aca="false">IF(AM797=1,0,AP796)</f>
        <v>0</v>
      </c>
      <c r="AO797" s="30" t="n">
        <f aca="false">IF(W797="",0,IF(AND(AN797=0,ABS(W797)&gt;Inputs!$B$5,ABS(W797)&lt;=Inputs!$B$7,W797&gt;0),1,0))</f>
        <v>0</v>
      </c>
      <c r="AP797" s="30" t="n">
        <f aca="false">IF(W797="",0,IF(AO797=1,-SIGN(W797),AN797))</f>
        <v>0</v>
      </c>
      <c r="AQ797" s="30" t="n">
        <f aca="false">IF(W797="",0,IF(AO797=1,0,IF(AM797=1,0,AL797)))</f>
        <v>0</v>
      </c>
      <c r="AR797" s="30" t="n">
        <f aca="false">IF(AP797=0,0,IF(AP796=AP797,AR796,T797))</f>
        <v>0</v>
      </c>
      <c r="AS797" s="30" t="n">
        <f aca="false">AP797-AP796</f>
        <v>0</v>
      </c>
      <c r="AT797" s="30" t="n">
        <f aca="false">-AR797*AP797</f>
        <v>-0</v>
      </c>
      <c r="AU797" s="30" t="n">
        <f aca="false">AT797-AT796</f>
        <v>0</v>
      </c>
      <c r="AV797" s="30" t="n">
        <f aca="false">MAX(AS797,0)*(Inputs!$B$17+Inputs!$B$18+Inputs!$B$19)+MAX(-AS797,0)*(O797+Inputs!$B$18+Inputs!$B$19)+IF(AND(K797=1,AP797&lt;&gt;0),(Inputs!$B$17+Inputs!$B$18+Inputs!$B$19)+(O797+Inputs!$B$18+Inputs!$B$19),0)+MAX(AU797,0)*(Inputs!$B$20+Inputs!$B$22+Inputs!$B$23)+MAX(-AU797,0)*(Inputs!$B$21+Inputs!$B$22+Inputs!$B$23)</f>
        <v>0</v>
      </c>
      <c r="AW797" s="30" t="n">
        <f aca="false">AP796*(M797-AR796*J797)+AP796*AR796*N797/Inputs!$B$16-AV797</f>
        <v>0</v>
      </c>
      <c r="AX797" s="30" t="n">
        <f aca="false">AW797-IF(AP796&lt;&gt;0,0.75*AR796*(Inputs!$B$13-N797)/Inputs!$B$16,0)</f>
        <v>0</v>
      </c>
      <c r="AY797" s="30" t="n">
        <f aca="false">MAX(AS797,0)*(Inputs!$B$17+Inputs!$B$18+Inputs!$B$19)+MAX(-AS797,0)*(O797+Inputs!$B$18+Inputs!$B$19)+IF(AND(K797=1,AP797&lt;&gt;0),(Inputs!$B$17+Inputs!$B$18+Inputs!$B$19)+(O797+Inputs!$B$18+Inputs!$B$19),0)</f>
        <v>0</v>
      </c>
      <c r="AZ797" s="30" t="n">
        <f aca="false">AP796*M797-AY797</f>
        <v>-0</v>
      </c>
      <c r="BA797" s="32" t="n">
        <f aca="false">BA796+AI797</f>
        <v>0.0194217653144185</v>
      </c>
      <c r="BB797" s="30" t="n">
        <f aca="false">MAX(BB796,BA797)</f>
        <v>0.0261726191772394</v>
      </c>
      <c r="BC797" s="32" t="n">
        <f aca="false">BA797-BB797</f>
        <v>-0.00675085386282096</v>
      </c>
      <c r="BD797" s="30" t="n">
        <f aca="false">A798-A797</f>
        <v>1</v>
      </c>
    </row>
    <row r="798" customFormat="false" ht="15" hidden="false" customHeight="false" outlineLevel="0" collapsed="false">
      <c r="A798" s="28" t="n">
        <v>46218</v>
      </c>
      <c r="B798" s="0" t="n">
        <v>24075</v>
      </c>
      <c r="C798" s="0" t="n">
        <v>273.7</v>
      </c>
      <c r="D798" s="29" t="n">
        <f aca="false">LN(B798)</f>
        <v>10.0889292366663</v>
      </c>
      <c r="E798" s="29" t="n">
        <f aca="false">LN(C798)</f>
        <v>5.61203261604663</v>
      </c>
      <c r="F798" s="0" t="n">
        <v>793</v>
      </c>
      <c r="G798" s="0" t="n">
        <v>13</v>
      </c>
      <c r="H798" s="29" t="n">
        <f aca="false">D798-E798</f>
        <v>4.47689662061969</v>
      </c>
      <c r="I798" s="29" t="n">
        <f aca="false">D798-D797</f>
        <v>0.00220388055189069</v>
      </c>
      <c r="J798" s="29" t="n">
        <f aca="false">E798-E797</f>
        <v>0.000913826253851724</v>
      </c>
      <c r="K798" s="0" t="n">
        <v>0</v>
      </c>
      <c r="L798" s="0" t="n">
        <v>0</v>
      </c>
      <c r="M798" s="29" t="n">
        <f aca="false">IF(L798=1,J798-Carry!$B$9/Inputs!$B$16,I798)</f>
        <v>0.00220388055189069</v>
      </c>
      <c r="N798" s="0" t="n">
        <v>0.0525</v>
      </c>
      <c r="O798" s="0" t="n">
        <v>0.0005</v>
      </c>
      <c r="P798" s="29" t="n">
        <f aca="false">D798-('2 Hedge ratio'!$B$6+'2 Hedge ratio'!$B$5*E798)</f>
        <v>-0.0142240980075616</v>
      </c>
      <c r="Q798" s="29" t="n">
        <f aca="false">D798-('5 Re-specification'!$B$7+'5 Re-specification'!$B$5*E798+'5 Re-specification'!$B$6*F798)</f>
        <v>-0.00166818611561759</v>
      </c>
      <c r="R798" s="30" t="n">
        <f aca="false">MIN(F798,Inputs!$B$9)</f>
        <v>250</v>
      </c>
      <c r="S798" s="29" t="n">
        <f aca="true">IF(AND(F798&gt;=1,R798&gt;=Inputs!$B$10),INDEX(LINEST(OFFSET(D798,-R798,0,R798,1),OFFSET(E798,-R798,0,R798,2)),1,1),"")</f>
        <v>-3.01086074821378E-005</v>
      </c>
      <c r="T798" s="29" t="n">
        <f aca="true">IF(AND(F798&gt;=1,R798&gt;=Inputs!$B$10),INDEX(LINEST(OFFSET(D798,-R798,0,R798,1),OFFSET(E798,-R798,0,R798,2)),1,2),"")</f>
        <v>1.02000305327528</v>
      </c>
      <c r="U798" s="29" t="n">
        <f aca="true">IF(AND(F798&gt;=1,R798&gt;=Inputs!$B$10),INDEX(LINEST(OFFSET(D798,-R798,0,R798,1),OFFSET(E798,-R798,0,R798,2)),1,3),"")</f>
        <v>4.39123022346075</v>
      </c>
      <c r="V798" s="29" t="n">
        <f aca="true">IF(AND(F798&gt;=1,R798&gt;=Inputs!$B$10),SQRT(SUMPRODUCT((OFFSET(D798,-R798,0,R798,1)-U798-T798*OFFSET(E798,-R798,0,R798,1)-S798*OFFSET(F798,-R798,0,R798,1))^2)/(R798-3)),"")</f>
        <v>0.00222509905037566</v>
      </c>
      <c r="W798" s="31" t="n">
        <f aca="false">IF(AND(F798&gt;=1,R798&gt;=Inputs!$B$10),(D798-U798-T798*E798-S798*F798)/V798,"")</f>
        <v>-1.2202892759657</v>
      </c>
      <c r="X798" s="30" t="n">
        <f aca="false">IF(AB797&lt;&gt;0,AC797+1,0)</f>
        <v>0</v>
      </c>
      <c r="Y798" s="30" t="n">
        <f aca="false">IF(W798="",0,IF(AND(AB797&lt;&gt;0,OR(ABS(W798)&gt;Inputs!$B$7,X798&gt;=Inputs!$B$8,ABS(W798)&lt;Inputs!$B$6)),1,0))</f>
        <v>0</v>
      </c>
      <c r="Z798" s="30" t="n">
        <f aca="false">IF(Y798=1,0,AB797)</f>
        <v>0</v>
      </c>
      <c r="AA798" s="30" t="n">
        <f aca="false">IF(W798="",0,IF(AND(Z798=0,ABS(W798)&gt;Inputs!$B$5,ABS(W798)&lt;=Inputs!$B$7),1,0))</f>
        <v>0</v>
      </c>
      <c r="AB798" s="30" t="n">
        <f aca="false">IF(W798="",0,IF(AA798=1,-SIGN(W798),Z798))</f>
        <v>0</v>
      </c>
      <c r="AC798" s="30" t="n">
        <f aca="false">IF(W798="",0,IF(AA798=1,0,IF(Y798=1,0,X798)))</f>
        <v>0</v>
      </c>
      <c r="AD798" s="30" t="n">
        <f aca="false">IF(AB798=0,0,IF(AB797=AB798,AD797,T798))</f>
        <v>0</v>
      </c>
      <c r="AE798" s="30" t="n">
        <f aca="false">AB798-AB797</f>
        <v>0</v>
      </c>
      <c r="AF798" s="30" t="n">
        <f aca="false">-AD798*AB798</f>
        <v>-0</v>
      </c>
      <c r="AG798" s="30" t="n">
        <f aca="false">AF798-AF797</f>
        <v>0</v>
      </c>
      <c r="AH798" s="30" t="n">
        <f aca="false">MAX(AE798,0)*(Inputs!$B$17+Inputs!$B$18+Inputs!$B$19)+MAX(-AE798,0)*(O798+Inputs!$B$18+Inputs!$B$19)+IF(AND(K798=1,AB798&lt;&gt;0),(Inputs!$B$17+Inputs!$B$18+Inputs!$B$19)+(O798+Inputs!$B$18+Inputs!$B$19),0)+MAX(AG798,0)*(Inputs!$B$20+Inputs!$B$22+Inputs!$B$23)+MAX(-AG798,0)*(Inputs!$B$21+Inputs!$B$22+Inputs!$B$23)</f>
        <v>0</v>
      </c>
      <c r="AI798" s="30" t="n">
        <f aca="false">AB797*(M798-AD797*J798)+AB797*AD797*N798/Inputs!$B$16-AH798</f>
        <v>0</v>
      </c>
      <c r="AJ798" s="30" t="n">
        <f aca="false">MAX(AE798,0)*(Inputs!$B$17+Inputs!$B$24+Inputs!$B$25)+MAX(-AE798,0)*(O798+Inputs!$B$24+Inputs!$B$25)+IF(AND(K798=1,AB798&lt;&gt;0),(Inputs!$B$17+Inputs!$B$24+Inputs!$B$25)+(O798+Inputs!$B$24+Inputs!$B$25),0)+MAX(AG798,0)*(Inputs!$B$20+Inputs!$B$26+Inputs!$B$27)+MAX(-AG798,0)*(Inputs!$B$21+Inputs!$B$26+Inputs!$B$27)</f>
        <v>0</v>
      </c>
      <c r="AK798" s="30" t="n">
        <f aca="false">AB797*(M798-AD797*J798)+AB797*AD797*(N798+Inputs!$B$14)/Inputs!$B$16-AJ798</f>
        <v>0</v>
      </c>
      <c r="AL798" s="30" t="n">
        <f aca="false">IF(AP797&lt;&gt;0,AQ797+1,0)</f>
        <v>0</v>
      </c>
      <c r="AM798" s="30" t="n">
        <f aca="false">IF(W798="",0,IF(AND(AP797&lt;&gt;0,OR(ABS(W798)&gt;Inputs!$B$7,AL798&gt;=Inputs!$B$8,ABS(W798)&lt;Inputs!$B$6)),1,0))</f>
        <v>0</v>
      </c>
      <c r="AN798" s="30" t="n">
        <f aca="false">IF(AM798=1,0,AP797)</f>
        <v>0</v>
      </c>
      <c r="AO798" s="30" t="n">
        <f aca="false">IF(W798="",0,IF(AND(AN798=0,ABS(W798)&gt;Inputs!$B$5,ABS(W798)&lt;=Inputs!$B$7,W798&gt;0),1,0))</f>
        <v>0</v>
      </c>
      <c r="AP798" s="30" t="n">
        <f aca="false">IF(W798="",0,IF(AO798=1,-SIGN(W798),AN798))</f>
        <v>0</v>
      </c>
      <c r="AQ798" s="30" t="n">
        <f aca="false">IF(W798="",0,IF(AO798=1,0,IF(AM798=1,0,AL798)))</f>
        <v>0</v>
      </c>
      <c r="AR798" s="30" t="n">
        <f aca="false">IF(AP798=0,0,IF(AP797=AP798,AR797,T798))</f>
        <v>0</v>
      </c>
      <c r="AS798" s="30" t="n">
        <f aca="false">AP798-AP797</f>
        <v>0</v>
      </c>
      <c r="AT798" s="30" t="n">
        <f aca="false">-AR798*AP798</f>
        <v>-0</v>
      </c>
      <c r="AU798" s="30" t="n">
        <f aca="false">AT798-AT797</f>
        <v>0</v>
      </c>
      <c r="AV798" s="30" t="n">
        <f aca="false">MAX(AS798,0)*(Inputs!$B$17+Inputs!$B$18+Inputs!$B$19)+MAX(-AS798,0)*(O798+Inputs!$B$18+Inputs!$B$19)+IF(AND(K798=1,AP798&lt;&gt;0),(Inputs!$B$17+Inputs!$B$18+Inputs!$B$19)+(O798+Inputs!$B$18+Inputs!$B$19),0)+MAX(AU798,0)*(Inputs!$B$20+Inputs!$B$22+Inputs!$B$23)+MAX(-AU798,0)*(Inputs!$B$21+Inputs!$B$22+Inputs!$B$23)</f>
        <v>0</v>
      </c>
      <c r="AW798" s="30" t="n">
        <f aca="false">AP797*(M798-AR797*J798)+AP797*AR797*N798/Inputs!$B$16-AV798</f>
        <v>0</v>
      </c>
      <c r="AX798" s="30" t="n">
        <f aca="false">AW798-IF(AP797&lt;&gt;0,0.75*AR797*(Inputs!$B$13-N798)/Inputs!$B$16,0)</f>
        <v>0</v>
      </c>
      <c r="AY798" s="30" t="n">
        <f aca="false">MAX(AS798,0)*(Inputs!$B$17+Inputs!$B$18+Inputs!$B$19)+MAX(-AS798,0)*(O798+Inputs!$B$18+Inputs!$B$19)+IF(AND(K798=1,AP798&lt;&gt;0),(Inputs!$B$17+Inputs!$B$18+Inputs!$B$19)+(O798+Inputs!$B$18+Inputs!$B$19),0)</f>
        <v>0</v>
      </c>
      <c r="AZ798" s="30" t="n">
        <f aca="false">AP797*M798-AY798</f>
        <v>0</v>
      </c>
      <c r="BA798" s="32" t="n">
        <f aca="false">BA797+AI798</f>
        <v>0.0194217653144185</v>
      </c>
      <c r="BB798" s="30" t="n">
        <f aca="false">MAX(BB797,BA798)</f>
        <v>0.0261726191772394</v>
      </c>
      <c r="BC798" s="32" t="n">
        <f aca="false">BA798-BB798</f>
        <v>-0.00675085386282096</v>
      </c>
      <c r="BD798" s="30" t="n">
        <f aca="false">A799-A798</f>
        <v>1</v>
      </c>
    </row>
    <row r="799" customFormat="false" ht="15" hidden="false" customHeight="false" outlineLevel="0" collapsed="false">
      <c r="A799" s="28" t="n">
        <v>46219</v>
      </c>
      <c r="B799" s="0" t="n">
        <v>24100</v>
      </c>
      <c r="C799" s="0" t="n">
        <v>274.18</v>
      </c>
      <c r="D799" s="29" t="n">
        <f aca="false">LN(B799)</f>
        <v>10.0899671194787</v>
      </c>
      <c r="E799" s="29" t="n">
        <f aca="false">LN(C799)</f>
        <v>5.61378482500775</v>
      </c>
      <c r="F799" s="0" t="n">
        <v>794</v>
      </c>
      <c r="G799" s="0" t="n">
        <v>12</v>
      </c>
      <c r="H799" s="29" t="n">
        <f aca="false">D799-E799</f>
        <v>4.47618229447099</v>
      </c>
      <c r="I799" s="29" t="n">
        <f aca="false">D799-D798</f>
        <v>0.00103788281242068</v>
      </c>
      <c r="J799" s="29" t="n">
        <f aca="false">E799-E798</f>
        <v>0.00175220896112105</v>
      </c>
      <c r="K799" s="0" t="n">
        <v>0</v>
      </c>
      <c r="L799" s="0" t="n">
        <v>0</v>
      </c>
      <c r="M799" s="29" t="n">
        <f aca="false">IF(L799=1,J799-Carry!$B$9/Inputs!$B$16,I799)</f>
        <v>0.00103788281242068</v>
      </c>
      <c r="N799" s="0" t="n">
        <v>0.0525</v>
      </c>
      <c r="O799" s="0" t="n">
        <v>0.0005</v>
      </c>
      <c r="P799" s="29" t="n">
        <f aca="false">D799-('2 Hedge ratio'!$B$6+'2 Hedge ratio'!$B$5*E799)</f>
        <v>-0.0147914607122175</v>
      </c>
      <c r="Q799" s="29" t="n">
        <f aca="false">D799-('5 Re-specification'!$B$7+'5 Re-specification'!$B$5*E799+'5 Re-specification'!$B$6*F799)</f>
        <v>-0.00233227287692728</v>
      </c>
      <c r="R799" s="30" t="n">
        <f aca="false">MIN(F799,Inputs!$B$9)</f>
        <v>250</v>
      </c>
      <c r="S799" s="29" t="n">
        <f aca="true">IF(AND(F799&gt;=1,R799&gt;=Inputs!$B$10),INDEX(LINEST(OFFSET(D799,-R799,0,R799,1),OFFSET(E799,-R799,0,R799,2)),1,1),"")</f>
        <v>-3.01366110931846E-005</v>
      </c>
      <c r="T799" s="29" t="n">
        <f aca="true">IF(AND(F799&gt;=1,R799&gt;=Inputs!$B$10),INDEX(LINEST(OFFSET(D799,-R799,0,R799,1),OFFSET(E799,-R799,0,R799,2)),1,2),"")</f>
        <v>1.02005345778629</v>
      </c>
      <c r="U799" s="29" t="n">
        <f aca="true">IF(AND(F799&gt;=1,R799&gt;=Inputs!$B$10),INDEX(LINEST(OFFSET(D799,-R799,0,R799,1),OFFSET(E799,-R799,0,R799,2)),1,3),"")</f>
        <v>4.39094481455387</v>
      </c>
      <c r="V799" s="29" t="n">
        <f aca="true">IF(AND(F799&gt;=1,R799&gt;=Inputs!$B$10),SQRT(SUMPRODUCT((OFFSET(D799,-R799,0,R799,1)-U799-T799*OFFSET(E799,-R799,0,R799,1)-S799*OFFSET(F799,-R799,0,R799,1))^2)/(R799-3)),"")</f>
        <v>0.00222702570220997</v>
      </c>
      <c r="W799" s="31" t="n">
        <f aca="false">IF(AND(F799&gt;=1,R799&gt;=Inputs!$B$10),(D799-U799-T799*E799-S799*F799)/V799,"")</f>
        <v>-1.53112192693312</v>
      </c>
      <c r="X799" s="30" t="n">
        <f aca="false">IF(AB798&lt;&gt;0,AC798+1,0)</f>
        <v>0</v>
      </c>
      <c r="Y799" s="30" t="n">
        <f aca="false">IF(W799="",0,IF(AND(AB798&lt;&gt;0,OR(ABS(W799)&gt;Inputs!$B$7,X799&gt;=Inputs!$B$8,ABS(W799)&lt;Inputs!$B$6)),1,0))</f>
        <v>0</v>
      </c>
      <c r="Z799" s="30" t="n">
        <f aca="false">IF(Y799=1,0,AB798)</f>
        <v>0</v>
      </c>
      <c r="AA799" s="30" t="n">
        <f aca="false">IF(W799="",0,IF(AND(Z799=0,ABS(W799)&gt;Inputs!$B$5,ABS(W799)&lt;=Inputs!$B$7),1,0))</f>
        <v>0</v>
      </c>
      <c r="AB799" s="30" t="n">
        <f aca="false">IF(W799="",0,IF(AA799=1,-SIGN(W799),Z799))</f>
        <v>0</v>
      </c>
      <c r="AC799" s="30" t="n">
        <f aca="false">IF(W799="",0,IF(AA799=1,0,IF(Y799=1,0,X799)))</f>
        <v>0</v>
      </c>
      <c r="AD799" s="30" t="n">
        <f aca="false">IF(AB799=0,0,IF(AB798=AB799,AD798,T799))</f>
        <v>0</v>
      </c>
      <c r="AE799" s="30" t="n">
        <f aca="false">AB799-AB798</f>
        <v>0</v>
      </c>
      <c r="AF799" s="30" t="n">
        <f aca="false">-AD799*AB799</f>
        <v>-0</v>
      </c>
      <c r="AG799" s="30" t="n">
        <f aca="false">AF799-AF798</f>
        <v>0</v>
      </c>
      <c r="AH799" s="30" t="n">
        <f aca="false">MAX(AE799,0)*(Inputs!$B$17+Inputs!$B$18+Inputs!$B$19)+MAX(-AE799,0)*(O799+Inputs!$B$18+Inputs!$B$19)+IF(AND(K799=1,AB799&lt;&gt;0),(Inputs!$B$17+Inputs!$B$18+Inputs!$B$19)+(O799+Inputs!$B$18+Inputs!$B$19),0)+MAX(AG799,0)*(Inputs!$B$20+Inputs!$B$22+Inputs!$B$23)+MAX(-AG799,0)*(Inputs!$B$21+Inputs!$B$22+Inputs!$B$23)</f>
        <v>0</v>
      </c>
      <c r="AI799" s="30" t="n">
        <f aca="false">AB798*(M799-AD798*J799)+AB798*AD798*N799/Inputs!$B$16-AH799</f>
        <v>0</v>
      </c>
      <c r="AJ799" s="30" t="n">
        <f aca="false">MAX(AE799,0)*(Inputs!$B$17+Inputs!$B$24+Inputs!$B$25)+MAX(-AE799,0)*(O799+Inputs!$B$24+Inputs!$B$25)+IF(AND(K799=1,AB799&lt;&gt;0),(Inputs!$B$17+Inputs!$B$24+Inputs!$B$25)+(O799+Inputs!$B$24+Inputs!$B$25),0)+MAX(AG799,0)*(Inputs!$B$20+Inputs!$B$26+Inputs!$B$27)+MAX(-AG799,0)*(Inputs!$B$21+Inputs!$B$26+Inputs!$B$27)</f>
        <v>0</v>
      </c>
      <c r="AK799" s="30" t="n">
        <f aca="false">AB798*(M799-AD798*J799)+AB798*AD798*(N799+Inputs!$B$14)/Inputs!$B$16-AJ799</f>
        <v>0</v>
      </c>
      <c r="AL799" s="30" t="n">
        <f aca="false">IF(AP798&lt;&gt;0,AQ798+1,0)</f>
        <v>0</v>
      </c>
      <c r="AM799" s="30" t="n">
        <f aca="false">IF(W799="",0,IF(AND(AP798&lt;&gt;0,OR(ABS(W799)&gt;Inputs!$B$7,AL799&gt;=Inputs!$B$8,ABS(W799)&lt;Inputs!$B$6)),1,0))</f>
        <v>0</v>
      </c>
      <c r="AN799" s="30" t="n">
        <f aca="false">IF(AM799=1,0,AP798)</f>
        <v>0</v>
      </c>
      <c r="AO799" s="30" t="n">
        <f aca="false">IF(W799="",0,IF(AND(AN799=0,ABS(W799)&gt;Inputs!$B$5,ABS(W799)&lt;=Inputs!$B$7,W799&gt;0),1,0))</f>
        <v>0</v>
      </c>
      <c r="AP799" s="30" t="n">
        <f aca="false">IF(W799="",0,IF(AO799=1,-SIGN(W799),AN799))</f>
        <v>0</v>
      </c>
      <c r="AQ799" s="30" t="n">
        <f aca="false">IF(W799="",0,IF(AO799=1,0,IF(AM799=1,0,AL799)))</f>
        <v>0</v>
      </c>
      <c r="AR799" s="30" t="n">
        <f aca="false">IF(AP799=0,0,IF(AP798=AP799,AR798,T799))</f>
        <v>0</v>
      </c>
      <c r="AS799" s="30" t="n">
        <f aca="false">AP799-AP798</f>
        <v>0</v>
      </c>
      <c r="AT799" s="30" t="n">
        <f aca="false">-AR799*AP799</f>
        <v>-0</v>
      </c>
      <c r="AU799" s="30" t="n">
        <f aca="false">AT799-AT798</f>
        <v>0</v>
      </c>
      <c r="AV799" s="30" t="n">
        <f aca="false">MAX(AS799,0)*(Inputs!$B$17+Inputs!$B$18+Inputs!$B$19)+MAX(-AS799,0)*(O799+Inputs!$B$18+Inputs!$B$19)+IF(AND(K799=1,AP799&lt;&gt;0),(Inputs!$B$17+Inputs!$B$18+Inputs!$B$19)+(O799+Inputs!$B$18+Inputs!$B$19),0)+MAX(AU799,0)*(Inputs!$B$20+Inputs!$B$22+Inputs!$B$23)+MAX(-AU799,0)*(Inputs!$B$21+Inputs!$B$22+Inputs!$B$23)</f>
        <v>0</v>
      </c>
      <c r="AW799" s="30" t="n">
        <f aca="false">AP798*(M799-AR798*J799)+AP798*AR798*N799/Inputs!$B$16-AV799</f>
        <v>0</v>
      </c>
      <c r="AX799" s="30" t="n">
        <f aca="false">AW799-IF(AP798&lt;&gt;0,0.75*AR798*(Inputs!$B$13-N799)/Inputs!$B$16,0)</f>
        <v>0</v>
      </c>
      <c r="AY799" s="30" t="n">
        <f aca="false">MAX(AS799,0)*(Inputs!$B$17+Inputs!$B$18+Inputs!$B$19)+MAX(-AS799,0)*(O799+Inputs!$B$18+Inputs!$B$19)+IF(AND(K799=1,AP799&lt;&gt;0),(Inputs!$B$17+Inputs!$B$18+Inputs!$B$19)+(O799+Inputs!$B$18+Inputs!$B$19),0)</f>
        <v>0</v>
      </c>
      <c r="AZ799" s="30" t="n">
        <f aca="false">AP798*M799-AY799</f>
        <v>0</v>
      </c>
      <c r="BA799" s="32" t="n">
        <f aca="false">BA798+AI799</f>
        <v>0.0194217653144185</v>
      </c>
      <c r="BB799" s="30" t="n">
        <f aca="false">MAX(BB798,BA799)</f>
        <v>0.0261726191772394</v>
      </c>
      <c r="BC799" s="32" t="n">
        <f aca="false">BA799-BB799</f>
        <v>-0.00675085386282096</v>
      </c>
      <c r="BD799" s="30" t="n">
        <f aca="false">A800-A799</f>
        <v>1</v>
      </c>
    </row>
    <row r="800" customFormat="false" ht="15" hidden="false" customHeight="false" outlineLevel="0" collapsed="false">
      <c r="A800" s="28" t="n">
        <v>46220</v>
      </c>
      <c r="B800" s="0" t="n">
        <v>24344</v>
      </c>
      <c r="C800" s="0" t="n">
        <v>276.6</v>
      </c>
      <c r="D800" s="29" t="n">
        <f aca="false">LN(B800)</f>
        <v>10.1000406915768</v>
      </c>
      <c r="E800" s="29" t="n">
        <f aca="false">LN(C800)</f>
        <v>5.62257241923066</v>
      </c>
      <c r="F800" s="0" t="n">
        <v>795</v>
      </c>
      <c r="G800" s="0" t="n">
        <v>11</v>
      </c>
      <c r="H800" s="29" t="n">
        <f aca="false">D800-E800</f>
        <v>4.47746827234615</v>
      </c>
      <c r="I800" s="29" t="n">
        <f aca="false">D800-D799</f>
        <v>0.0100735720980598</v>
      </c>
      <c r="J800" s="29" t="n">
        <f aca="false">E800-E799</f>
        <v>0.00878759422290365</v>
      </c>
      <c r="K800" s="0" t="n">
        <v>0</v>
      </c>
      <c r="L800" s="0" t="n">
        <v>0</v>
      </c>
      <c r="M800" s="29" t="n">
        <f aca="false">IF(L800=1,J800-Carry!$B$9/Inputs!$B$16,I800)</f>
        <v>0.0100735720980598</v>
      </c>
      <c r="N800" s="0" t="n">
        <v>0.0525</v>
      </c>
      <c r="O800" s="0" t="n">
        <v>0.0005</v>
      </c>
      <c r="P800" s="29" t="n">
        <f aca="false">D800-('2 Hedge ratio'!$B$6+'2 Hedge ratio'!$B$5*E800)</f>
        <v>-0.0127684388311611</v>
      </c>
      <c r="Q800" s="29" t="n">
        <f aca="false">D800-('5 Re-specification'!$B$7+'5 Re-specification'!$B$5*E800+'5 Re-specification'!$B$6*F800)</f>
        <v>-0.000974734879195083</v>
      </c>
      <c r="R800" s="30" t="n">
        <f aca="false">MIN(F800,Inputs!$B$9)</f>
        <v>250</v>
      </c>
      <c r="S800" s="29" t="n">
        <f aca="true">IF(AND(F800&gt;=1,R800&gt;=Inputs!$B$10),INDEX(LINEST(OFFSET(D800,-R800,0,R800,1),OFFSET(E800,-R800,0,R800,2)),1,1),"")</f>
        <v>-3.03171717970169E-005</v>
      </c>
      <c r="T800" s="29" t="n">
        <f aca="true">IF(AND(F800&gt;=1,R800&gt;=Inputs!$B$10),INDEX(LINEST(OFFSET(D800,-R800,0,R800,1),OFFSET(E800,-R800,0,R800,2)),1,2),"")</f>
        <v>1.02004976189538</v>
      </c>
      <c r="U800" s="29" t="n">
        <f aca="true">IF(AND(F800&gt;=1,R800&gt;=Inputs!$B$10),INDEX(LINEST(OFFSET(D800,-R800,0,R800,1),OFFSET(E800,-R800,0,R800,2)),1,3),"")</f>
        <v>4.39106682135033</v>
      </c>
      <c r="V800" s="29" t="n">
        <f aca="true">IF(AND(F800&gt;=1,R800&gt;=Inputs!$B$10),SQRT(SUMPRODUCT((OFFSET(D800,-R800,0,R800,1)-U800-T800*OFFSET(E800,-R800,0,R800,1)-S800*OFFSET(F800,-R800,0,R800,1))^2)/(R800-3)),"")</f>
        <v>0.00223535443414012</v>
      </c>
      <c r="W800" s="31" t="n">
        <f aca="false">IF(AND(F800&gt;=1,R800&gt;=Inputs!$B$10),(D800-U800-T800*E800-S800*F800)/V800,"")</f>
        <v>-0.996546962152713</v>
      </c>
      <c r="X800" s="30" t="n">
        <f aca="false">IF(AB799&lt;&gt;0,AC799+1,0)</f>
        <v>0</v>
      </c>
      <c r="Y800" s="30" t="n">
        <f aca="false">IF(W800="",0,IF(AND(AB799&lt;&gt;0,OR(ABS(W800)&gt;Inputs!$B$7,X800&gt;=Inputs!$B$8,ABS(W800)&lt;Inputs!$B$6)),1,0))</f>
        <v>0</v>
      </c>
      <c r="Z800" s="30" t="n">
        <f aca="false">IF(Y800=1,0,AB799)</f>
        <v>0</v>
      </c>
      <c r="AA800" s="30" t="n">
        <f aca="false">IF(W800="",0,IF(AND(Z800=0,ABS(W800)&gt;Inputs!$B$5,ABS(W800)&lt;=Inputs!$B$7),1,0))</f>
        <v>0</v>
      </c>
      <c r="AB800" s="30" t="n">
        <f aca="false">IF(W800="",0,IF(AA800=1,-SIGN(W800),Z800))</f>
        <v>0</v>
      </c>
      <c r="AC800" s="30" t="n">
        <f aca="false">IF(W800="",0,IF(AA800=1,0,IF(Y800=1,0,X800)))</f>
        <v>0</v>
      </c>
      <c r="AD800" s="30" t="n">
        <f aca="false">IF(AB800=0,0,IF(AB799=AB800,AD799,T800))</f>
        <v>0</v>
      </c>
      <c r="AE800" s="30" t="n">
        <f aca="false">AB800-AB799</f>
        <v>0</v>
      </c>
      <c r="AF800" s="30" t="n">
        <f aca="false">-AD800*AB800</f>
        <v>-0</v>
      </c>
      <c r="AG800" s="30" t="n">
        <f aca="false">AF800-AF799</f>
        <v>0</v>
      </c>
      <c r="AH800" s="30" t="n">
        <f aca="false">MAX(AE800,0)*(Inputs!$B$17+Inputs!$B$18+Inputs!$B$19)+MAX(-AE800,0)*(O800+Inputs!$B$18+Inputs!$B$19)+IF(AND(K800=1,AB800&lt;&gt;0),(Inputs!$B$17+Inputs!$B$18+Inputs!$B$19)+(O800+Inputs!$B$18+Inputs!$B$19),0)+MAX(AG800,0)*(Inputs!$B$20+Inputs!$B$22+Inputs!$B$23)+MAX(-AG800,0)*(Inputs!$B$21+Inputs!$B$22+Inputs!$B$23)</f>
        <v>0</v>
      </c>
      <c r="AI800" s="30" t="n">
        <f aca="false">AB799*(M800-AD799*J800)+AB799*AD799*N800/Inputs!$B$16-AH800</f>
        <v>0</v>
      </c>
      <c r="AJ800" s="30" t="n">
        <f aca="false">MAX(AE800,0)*(Inputs!$B$17+Inputs!$B$24+Inputs!$B$25)+MAX(-AE800,0)*(O800+Inputs!$B$24+Inputs!$B$25)+IF(AND(K800=1,AB800&lt;&gt;0),(Inputs!$B$17+Inputs!$B$24+Inputs!$B$25)+(O800+Inputs!$B$24+Inputs!$B$25),0)+MAX(AG800,0)*(Inputs!$B$20+Inputs!$B$26+Inputs!$B$27)+MAX(-AG800,0)*(Inputs!$B$21+Inputs!$B$26+Inputs!$B$27)</f>
        <v>0</v>
      </c>
      <c r="AK800" s="30" t="n">
        <f aca="false">AB799*(M800-AD799*J800)+AB799*AD799*(N800+Inputs!$B$14)/Inputs!$B$16-AJ800</f>
        <v>0</v>
      </c>
      <c r="AL800" s="30" t="n">
        <f aca="false">IF(AP799&lt;&gt;0,AQ799+1,0)</f>
        <v>0</v>
      </c>
      <c r="AM800" s="30" t="n">
        <f aca="false">IF(W800="",0,IF(AND(AP799&lt;&gt;0,OR(ABS(W800)&gt;Inputs!$B$7,AL800&gt;=Inputs!$B$8,ABS(W800)&lt;Inputs!$B$6)),1,0))</f>
        <v>0</v>
      </c>
      <c r="AN800" s="30" t="n">
        <f aca="false">IF(AM800=1,0,AP799)</f>
        <v>0</v>
      </c>
      <c r="AO800" s="30" t="n">
        <f aca="false">IF(W800="",0,IF(AND(AN800=0,ABS(W800)&gt;Inputs!$B$5,ABS(W800)&lt;=Inputs!$B$7,W800&gt;0),1,0))</f>
        <v>0</v>
      </c>
      <c r="AP800" s="30" t="n">
        <f aca="false">IF(W800="",0,IF(AO800=1,-SIGN(W800),AN800))</f>
        <v>0</v>
      </c>
      <c r="AQ800" s="30" t="n">
        <f aca="false">IF(W800="",0,IF(AO800=1,0,IF(AM800=1,0,AL800)))</f>
        <v>0</v>
      </c>
      <c r="AR800" s="30" t="n">
        <f aca="false">IF(AP800=0,0,IF(AP799=AP800,AR799,T800))</f>
        <v>0</v>
      </c>
      <c r="AS800" s="30" t="n">
        <f aca="false">AP800-AP799</f>
        <v>0</v>
      </c>
      <c r="AT800" s="30" t="n">
        <f aca="false">-AR800*AP800</f>
        <v>-0</v>
      </c>
      <c r="AU800" s="30" t="n">
        <f aca="false">AT800-AT799</f>
        <v>0</v>
      </c>
      <c r="AV800" s="30" t="n">
        <f aca="false">MAX(AS800,0)*(Inputs!$B$17+Inputs!$B$18+Inputs!$B$19)+MAX(-AS800,0)*(O800+Inputs!$B$18+Inputs!$B$19)+IF(AND(K800=1,AP800&lt;&gt;0),(Inputs!$B$17+Inputs!$B$18+Inputs!$B$19)+(O800+Inputs!$B$18+Inputs!$B$19),0)+MAX(AU800,0)*(Inputs!$B$20+Inputs!$B$22+Inputs!$B$23)+MAX(-AU800,0)*(Inputs!$B$21+Inputs!$B$22+Inputs!$B$23)</f>
        <v>0</v>
      </c>
      <c r="AW800" s="30" t="n">
        <f aca="false">AP799*(M800-AR799*J800)+AP799*AR799*N800/Inputs!$B$16-AV800</f>
        <v>0</v>
      </c>
      <c r="AX800" s="30" t="n">
        <f aca="false">AW800-IF(AP799&lt;&gt;0,0.75*AR799*(Inputs!$B$13-N800)/Inputs!$B$16,0)</f>
        <v>0</v>
      </c>
      <c r="AY800" s="30" t="n">
        <f aca="false">MAX(AS800,0)*(Inputs!$B$17+Inputs!$B$18+Inputs!$B$19)+MAX(-AS800,0)*(O800+Inputs!$B$18+Inputs!$B$19)+IF(AND(K800=1,AP800&lt;&gt;0),(Inputs!$B$17+Inputs!$B$18+Inputs!$B$19)+(O800+Inputs!$B$18+Inputs!$B$19),0)</f>
        <v>0</v>
      </c>
      <c r="AZ800" s="30" t="n">
        <f aca="false">AP799*M800-AY800</f>
        <v>0</v>
      </c>
      <c r="BA800" s="32" t="n">
        <f aca="false">BA799+AI800</f>
        <v>0.0194217653144185</v>
      </c>
      <c r="BB800" s="30" t="n">
        <f aca="false">MAX(BB799,BA800)</f>
        <v>0.0261726191772394</v>
      </c>
      <c r="BC800" s="32" t="n">
        <f aca="false">BA800-BB800</f>
        <v>-0.00675085386282096</v>
      </c>
      <c r="BD800" s="30" t="n">
        <f aca="false">A801-A800</f>
        <v>3</v>
      </c>
    </row>
    <row r="801" customFormat="false" ht="15" hidden="false" customHeight="false" outlineLevel="0" collapsed="false">
      <c r="A801" s="28" t="n">
        <v>46223</v>
      </c>
      <c r="B801" s="0" t="n">
        <v>24269</v>
      </c>
      <c r="C801" s="0" t="n">
        <v>275.69</v>
      </c>
      <c r="D801" s="29" t="n">
        <f aca="false">LN(B801)</f>
        <v>10.0969550947403</v>
      </c>
      <c r="E801" s="29" t="n">
        <f aca="false">LN(C801)</f>
        <v>5.61927704606254</v>
      </c>
      <c r="F801" s="0" t="n">
        <v>796</v>
      </c>
      <c r="G801" s="0" t="n">
        <v>8</v>
      </c>
      <c r="H801" s="29" t="n">
        <f aca="false">D801-E801</f>
        <v>4.4776780486778</v>
      </c>
      <c r="I801" s="29" t="n">
        <f aca="false">D801-D800</f>
        <v>-0.00308559683647047</v>
      </c>
      <c r="J801" s="29" t="n">
        <f aca="false">E801-E800</f>
        <v>-0.0032953731681209</v>
      </c>
      <c r="K801" s="0" t="n">
        <v>0</v>
      </c>
      <c r="L801" s="0" t="n">
        <v>0</v>
      </c>
      <c r="M801" s="29" t="n">
        <f aca="false">IF(L801=1,J801-Carry!$B$9/Inputs!$B$16,I801)</f>
        <v>-0.00308559683647047</v>
      </c>
      <c r="N801" s="0" t="n">
        <v>0.0525</v>
      </c>
      <c r="O801" s="0" t="n">
        <v>0.0005</v>
      </c>
      <c r="P801" s="29" t="n">
        <f aca="false">D801-('2 Hedge ratio'!$B$6+'2 Hedge ratio'!$B$5*E801)</f>
        <v>-0.0128350561266135</v>
      </c>
      <c r="Q801" s="29" t="n">
        <f aca="false">D801-('5 Re-specification'!$B$7+'5 Re-specification'!$B$5*E801+'5 Re-specification'!$B$6*F801)</f>
        <v>-0.000730015857902444</v>
      </c>
      <c r="R801" s="30" t="n">
        <f aca="false">MIN(F801,Inputs!$B$9)</f>
        <v>250</v>
      </c>
      <c r="S801" s="29" t="n">
        <f aca="true">IF(AND(F801&gt;=1,R801&gt;=Inputs!$B$10),INDEX(LINEST(OFFSET(D801,-R801,0,R801,1),OFFSET(E801,-R801,0,R801,2)),1,1),"")</f>
        <v>-3.0401226628109E-005</v>
      </c>
      <c r="T801" s="29" t="n">
        <f aca="true">IF(AND(F801&gt;=1,R801&gt;=Inputs!$B$10),INDEX(LINEST(OFFSET(D801,-R801,0,R801,1),OFFSET(E801,-R801,0,R801,2)),1,2),"")</f>
        <v>1.02003557464388</v>
      </c>
      <c r="U801" s="29" t="n">
        <f aca="true">IF(AND(F801&gt;=1,R801&gt;=Inputs!$B$10),INDEX(LINEST(OFFSET(D801,-R801,0,R801,1),OFFSET(E801,-R801,0,R801,2)),1,3),"")</f>
        <v>4.39118875383048</v>
      </c>
      <c r="V801" s="29" t="n">
        <f aca="true">IF(AND(F801&gt;=1,R801&gt;=Inputs!$B$10),SQRT(SUMPRODUCT((OFFSET(D801,-R801,0,R801,1)-U801-T801*OFFSET(E801,-R801,0,R801,1)-S801*OFFSET(F801,-R801,0,R801,1))^2)/(R801-3)),"")</f>
        <v>0.00223807833436191</v>
      </c>
      <c r="W801" s="31" t="n">
        <f aca="false">IF(AND(F801&gt;=1,R801&gt;=Inputs!$B$10),(D801-U801-T801*E801-S801*F801)/V801,"")</f>
        <v>-0.847500924625655</v>
      </c>
      <c r="X801" s="30" t="n">
        <f aca="false">IF(AB800&lt;&gt;0,AC800+1,0)</f>
        <v>0</v>
      </c>
      <c r="Y801" s="30" t="n">
        <f aca="false">IF(W801="",0,IF(AND(AB800&lt;&gt;0,OR(ABS(W801)&gt;Inputs!$B$7,X801&gt;=Inputs!$B$8,ABS(W801)&lt;Inputs!$B$6)),1,0))</f>
        <v>0</v>
      </c>
      <c r="Z801" s="30" t="n">
        <f aca="false">IF(Y801=1,0,AB800)</f>
        <v>0</v>
      </c>
      <c r="AA801" s="30" t="n">
        <f aca="false">IF(W801="",0,IF(AND(Z801=0,ABS(W801)&gt;Inputs!$B$5,ABS(W801)&lt;=Inputs!$B$7),1,0))</f>
        <v>0</v>
      </c>
      <c r="AB801" s="30" t="n">
        <f aca="false">IF(W801="",0,IF(AA801=1,-SIGN(W801),Z801))</f>
        <v>0</v>
      </c>
      <c r="AC801" s="30" t="n">
        <f aca="false">IF(W801="",0,IF(AA801=1,0,IF(Y801=1,0,X801)))</f>
        <v>0</v>
      </c>
      <c r="AD801" s="30" t="n">
        <f aca="false">IF(AB801=0,0,IF(AB800=AB801,AD800,T801))</f>
        <v>0</v>
      </c>
      <c r="AE801" s="30" t="n">
        <f aca="false">AB801-AB800</f>
        <v>0</v>
      </c>
      <c r="AF801" s="30" t="n">
        <f aca="false">-AD801*AB801</f>
        <v>-0</v>
      </c>
      <c r="AG801" s="30" t="n">
        <f aca="false">AF801-AF800</f>
        <v>0</v>
      </c>
      <c r="AH801" s="30" t="n">
        <f aca="false">MAX(AE801,0)*(Inputs!$B$17+Inputs!$B$18+Inputs!$B$19)+MAX(-AE801,0)*(O801+Inputs!$B$18+Inputs!$B$19)+IF(AND(K801=1,AB801&lt;&gt;0),(Inputs!$B$17+Inputs!$B$18+Inputs!$B$19)+(O801+Inputs!$B$18+Inputs!$B$19),0)+MAX(AG801,0)*(Inputs!$B$20+Inputs!$B$22+Inputs!$B$23)+MAX(-AG801,0)*(Inputs!$B$21+Inputs!$B$22+Inputs!$B$23)</f>
        <v>0</v>
      </c>
      <c r="AI801" s="30" t="n">
        <f aca="false">AB800*(M801-AD800*J801)+AB800*AD800*N801/Inputs!$B$16-AH801</f>
        <v>0</v>
      </c>
      <c r="AJ801" s="30" t="n">
        <f aca="false">MAX(AE801,0)*(Inputs!$B$17+Inputs!$B$24+Inputs!$B$25)+MAX(-AE801,0)*(O801+Inputs!$B$24+Inputs!$B$25)+IF(AND(K801=1,AB801&lt;&gt;0),(Inputs!$B$17+Inputs!$B$24+Inputs!$B$25)+(O801+Inputs!$B$24+Inputs!$B$25),0)+MAX(AG801,0)*(Inputs!$B$20+Inputs!$B$26+Inputs!$B$27)+MAX(-AG801,0)*(Inputs!$B$21+Inputs!$B$26+Inputs!$B$27)</f>
        <v>0</v>
      </c>
      <c r="AK801" s="30" t="n">
        <f aca="false">AB800*(M801-AD800*J801)+AB800*AD800*(N801+Inputs!$B$14)/Inputs!$B$16-AJ801</f>
        <v>0</v>
      </c>
      <c r="AL801" s="30" t="n">
        <f aca="false">IF(AP800&lt;&gt;0,AQ800+1,0)</f>
        <v>0</v>
      </c>
      <c r="AM801" s="30" t="n">
        <f aca="false">IF(W801="",0,IF(AND(AP800&lt;&gt;0,OR(ABS(W801)&gt;Inputs!$B$7,AL801&gt;=Inputs!$B$8,ABS(W801)&lt;Inputs!$B$6)),1,0))</f>
        <v>0</v>
      </c>
      <c r="AN801" s="30" t="n">
        <f aca="false">IF(AM801=1,0,AP800)</f>
        <v>0</v>
      </c>
      <c r="AO801" s="30" t="n">
        <f aca="false">IF(W801="",0,IF(AND(AN801=0,ABS(W801)&gt;Inputs!$B$5,ABS(W801)&lt;=Inputs!$B$7,W801&gt;0),1,0))</f>
        <v>0</v>
      </c>
      <c r="AP801" s="30" t="n">
        <f aca="false">IF(W801="",0,IF(AO801=1,-SIGN(W801),AN801))</f>
        <v>0</v>
      </c>
      <c r="AQ801" s="30" t="n">
        <f aca="false">IF(W801="",0,IF(AO801=1,0,IF(AM801=1,0,AL801)))</f>
        <v>0</v>
      </c>
      <c r="AR801" s="30" t="n">
        <f aca="false">IF(AP801=0,0,IF(AP800=AP801,AR800,T801))</f>
        <v>0</v>
      </c>
      <c r="AS801" s="30" t="n">
        <f aca="false">AP801-AP800</f>
        <v>0</v>
      </c>
      <c r="AT801" s="30" t="n">
        <f aca="false">-AR801*AP801</f>
        <v>-0</v>
      </c>
      <c r="AU801" s="30" t="n">
        <f aca="false">AT801-AT800</f>
        <v>0</v>
      </c>
      <c r="AV801" s="30" t="n">
        <f aca="false">MAX(AS801,0)*(Inputs!$B$17+Inputs!$B$18+Inputs!$B$19)+MAX(-AS801,0)*(O801+Inputs!$B$18+Inputs!$B$19)+IF(AND(K801=1,AP801&lt;&gt;0),(Inputs!$B$17+Inputs!$B$18+Inputs!$B$19)+(O801+Inputs!$B$18+Inputs!$B$19),0)+MAX(AU801,0)*(Inputs!$B$20+Inputs!$B$22+Inputs!$B$23)+MAX(-AU801,0)*(Inputs!$B$21+Inputs!$B$22+Inputs!$B$23)</f>
        <v>0</v>
      </c>
      <c r="AW801" s="30" t="n">
        <f aca="false">AP800*(M801-AR800*J801)+AP800*AR800*N801/Inputs!$B$16-AV801</f>
        <v>0</v>
      </c>
      <c r="AX801" s="30" t="n">
        <f aca="false">AW801-IF(AP800&lt;&gt;0,0.75*AR800*(Inputs!$B$13-N801)/Inputs!$B$16,0)</f>
        <v>0</v>
      </c>
      <c r="AY801" s="30" t="n">
        <f aca="false">MAX(AS801,0)*(Inputs!$B$17+Inputs!$B$18+Inputs!$B$19)+MAX(-AS801,0)*(O801+Inputs!$B$18+Inputs!$B$19)+IF(AND(K801=1,AP801&lt;&gt;0),(Inputs!$B$17+Inputs!$B$18+Inputs!$B$19)+(O801+Inputs!$B$18+Inputs!$B$19),0)</f>
        <v>0</v>
      </c>
      <c r="AZ801" s="30" t="n">
        <f aca="false">AP800*M801-AY801</f>
        <v>-0</v>
      </c>
      <c r="BA801" s="32" t="n">
        <f aca="false">BA800+AI801</f>
        <v>0.0194217653144185</v>
      </c>
      <c r="BB801" s="30" t="n">
        <f aca="false">MAX(BB800,BA801)</f>
        <v>0.0261726191772394</v>
      </c>
      <c r="BC801" s="32" t="n">
        <f aca="false">BA801-BB801</f>
        <v>-0.00675085386282096</v>
      </c>
      <c r="BD801" s="30" t="n">
        <f aca="false">A802-A801</f>
        <v>1</v>
      </c>
    </row>
    <row r="802" customFormat="false" ht="15" hidden="false" customHeight="false" outlineLevel="0" collapsed="false">
      <c r="A802" s="28" t="n">
        <v>46224</v>
      </c>
      <c r="B802" s="0" t="n">
        <v>24185</v>
      </c>
      <c r="C802" s="0" t="n">
        <v>275.18</v>
      </c>
      <c r="D802" s="29" t="n">
        <f aca="false">LN(B802)</f>
        <v>10.0934878852571</v>
      </c>
      <c r="E802" s="29" t="n">
        <f aca="false">LN(C802)</f>
        <v>5.61742542899967</v>
      </c>
      <c r="F802" s="0" t="n">
        <v>797</v>
      </c>
      <c r="G802" s="0" t="n">
        <v>7</v>
      </c>
      <c r="H802" s="29" t="n">
        <f aca="false">D802-E802</f>
        <v>4.47606245625741</v>
      </c>
      <c r="I802" s="29" t="n">
        <f aca="false">D802-D801</f>
        <v>-0.00346720948325263</v>
      </c>
      <c r="J802" s="29" t="n">
        <f aca="false">E802-E801</f>
        <v>-0.00185161706286685</v>
      </c>
      <c r="K802" s="0" t="n">
        <v>0</v>
      </c>
      <c r="L802" s="0" t="n">
        <v>0</v>
      </c>
      <c r="M802" s="29" t="n">
        <f aca="false">IF(L802=1,J802-Carry!$B$9/Inputs!$B$16,I802)</f>
        <v>-0.00346720948325263</v>
      </c>
      <c r="N802" s="0" t="n">
        <v>0.0525</v>
      </c>
      <c r="O802" s="0" t="n">
        <v>0.0005</v>
      </c>
      <c r="P802" s="29" t="n">
        <f aca="false">D802-('2 Hedge ratio'!$B$6+'2 Hedge ratio'!$B$5*E802)</f>
        <v>-0.0146059496706954</v>
      </c>
      <c r="Q802" s="29" t="n">
        <f aca="false">D802-('5 Re-specification'!$B$7+'5 Re-specification'!$B$5*E802+'5 Re-specification'!$B$6*F802)</f>
        <v>-0.00230629028574292</v>
      </c>
      <c r="R802" s="30" t="n">
        <f aca="false">MIN(F802,Inputs!$B$9)</f>
        <v>250</v>
      </c>
      <c r="S802" s="29" t="n">
        <f aca="true">IF(AND(F802&gt;=1,R802&gt;=Inputs!$B$10),INDEX(LINEST(OFFSET(D802,-R802,0,R802,1),OFFSET(E802,-R802,0,R802,2)),1,1),"")</f>
        <v>-3.05011446405995E-005</v>
      </c>
      <c r="T802" s="29" t="n">
        <f aca="true">IF(AND(F802&gt;=1,R802&gt;=Inputs!$B$10),INDEX(LINEST(OFFSET(D802,-R802,0,R802,1),OFFSET(E802,-R802,0,R802,2)),1,2),"")</f>
        <v>1.02002174177378</v>
      </c>
      <c r="U802" s="29" t="n">
        <f aca="true">IF(AND(F802&gt;=1,R802&gt;=Inputs!$B$10),INDEX(LINEST(OFFSET(D802,-R802,0,R802,1),OFFSET(E802,-R802,0,R802,2)),1,3),"")</f>
        <v>4.39132272091079</v>
      </c>
      <c r="V802" s="29" t="n">
        <f aca="true">IF(AND(F802&gt;=1,R802&gt;=Inputs!$B$10),SQRT(SUMPRODUCT((OFFSET(D802,-R802,0,R802,1)-U802-T802*OFFSET(E802,-R802,0,R802,1)-S802*OFFSET(F802,-R802,0,R802,1))^2)/(R802-3)),"")</f>
        <v>0.00224058850162521</v>
      </c>
      <c r="W802" s="31" t="n">
        <f aca="false">IF(AND(F802&gt;=1,R802&gt;=Inputs!$B$10),(D802-U802-T802*E802-S802*F802)/V802,"")</f>
        <v>-1.52705137298557</v>
      </c>
      <c r="X802" s="30" t="n">
        <f aca="false">IF(AB801&lt;&gt;0,AC801+1,0)</f>
        <v>0</v>
      </c>
      <c r="Y802" s="30" t="n">
        <f aca="false">IF(W802="",0,IF(AND(AB801&lt;&gt;0,OR(ABS(W802)&gt;Inputs!$B$7,X802&gt;=Inputs!$B$8,ABS(W802)&lt;Inputs!$B$6)),1,0))</f>
        <v>0</v>
      </c>
      <c r="Z802" s="30" t="n">
        <f aca="false">IF(Y802=1,0,AB801)</f>
        <v>0</v>
      </c>
      <c r="AA802" s="30" t="n">
        <f aca="false">IF(W802="",0,IF(AND(Z802=0,ABS(W802)&gt;Inputs!$B$5,ABS(W802)&lt;=Inputs!$B$7),1,0))</f>
        <v>0</v>
      </c>
      <c r="AB802" s="30" t="n">
        <f aca="false">IF(W802="",0,IF(AA802=1,-SIGN(W802),Z802))</f>
        <v>0</v>
      </c>
      <c r="AC802" s="30" t="n">
        <f aca="false">IF(W802="",0,IF(AA802=1,0,IF(Y802=1,0,X802)))</f>
        <v>0</v>
      </c>
      <c r="AD802" s="30" t="n">
        <f aca="false">IF(AB802=0,0,IF(AB801=AB802,AD801,T802))</f>
        <v>0</v>
      </c>
      <c r="AE802" s="30" t="n">
        <f aca="false">AB802-AB801</f>
        <v>0</v>
      </c>
      <c r="AF802" s="30" t="n">
        <f aca="false">-AD802*AB802</f>
        <v>-0</v>
      </c>
      <c r="AG802" s="30" t="n">
        <f aca="false">AF802-AF801</f>
        <v>0</v>
      </c>
      <c r="AH802" s="30" t="n">
        <f aca="false">MAX(AE802,0)*(Inputs!$B$17+Inputs!$B$18+Inputs!$B$19)+MAX(-AE802,0)*(O802+Inputs!$B$18+Inputs!$B$19)+IF(AND(K802=1,AB802&lt;&gt;0),(Inputs!$B$17+Inputs!$B$18+Inputs!$B$19)+(O802+Inputs!$B$18+Inputs!$B$19),0)+MAX(AG802,0)*(Inputs!$B$20+Inputs!$B$22+Inputs!$B$23)+MAX(-AG802,0)*(Inputs!$B$21+Inputs!$B$22+Inputs!$B$23)</f>
        <v>0</v>
      </c>
      <c r="AI802" s="30" t="n">
        <f aca="false">AB801*(M802-AD801*J802)+AB801*AD801*N802/Inputs!$B$16-AH802</f>
        <v>0</v>
      </c>
      <c r="AJ802" s="30" t="n">
        <f aca="false">MAX(AE802,0)*(Inputs!$B$17+Inputs!$B$24+Inputs!$B$25)+MAX(-AE802,0)*(O802+Inputs!$B$24+Inputs!$B$25)+IF(AND(K802=1,AB802&lt;&gt;0),(Inputs!$B$17+Inputs!$B$24+Inputs!$B$25)+(O802+Inputs!$B$24+Inputs!$B$25),0)+MAX(AG802,0)*(Inputs!$B$20+Inputs!$B$26+Inputs!$B$27)+MAX(-AG802,0)*(Inputs!$B$21+Inputs!$B$26+Inputs!$B$27)</f>
        <v>0</v>
      </c>
      <c r="AK802" s="30" t="n">
        <f aca="false">AB801*(M802-AD801*J802)+AB801*AD801*(N802+Inputs!$B$14)/Inputs!$B$16-AJ802</f>
        <v>0</v>
      </c>
      <c r="AL802" s="30" t="n">
        <f aca="false">IF(AP801&lt;&gt;0,AQ801+1,0)</f>
        <v>0</v>
      </c>
      <c r="AM802" s="30" t="n">
        <f aca="false">IF(W802="",0,IF(AND(AP801&lt;&gt;0,OR(ABS(W802)&gt;Inputs!$B$7,AL802&gt;=Inputs!$B$8,ABS(W802)&lt;Inputs!$B$6)),1,0))</f>
        <v>0</v>
      </c>
      <c r="AN802" s="30" t="n">
        <f aca="false">IF(AM802=1,0,AP801)</f>
        <v>0</v>
      </c>
      <c r="AO802" s="30" t="n">
        <f aca="false">IF(W802="",0,IF(AND(AN802=0,ABS(W802)&gt;Inputs!$B$5,ABS(W802)&lt;=Inputs!$B$7,W802&gt;0),1,0))</f>
        <v>0</v>
      </c>
      <c r="AP802" s="30" t="n">
        <f aca="false">IF(W802="",0,IF(AO802=1,-SIGN(W802),AN802))</f>
        <v>0</v>
      </c>
      <c r="AQ802" s="30" t="n">
        <f aca="false">IF(W802="",0,IF(AO802=1,0,IF(AM802=1,0,AL802)))</f>
        <v>0</v>
      </c>
      <c r="AR802" s="30" t="n">
        <f aca="false">IF(AP802=0,0,IF(AP801=AP802,AR801,T802))</f>
        <v>0</v>
      </c>
      <c r="AS802" s="30" t="n">
        <f aca="false">AP802-AP801</f>
        <v>0</v>
      </c>
      <c r="AT802" s="30" t="n">
        <f aca="false">-AR802*AP802</f>
        <v>-0</v>
      </c>
      <c r="AU802" s="30" t="n">
        <f aca="false">AT802-AT801</f>
        <v>0</v>
      </c>
      <c r="AV802" s="30" t="n">
        <f aca="false">MAX(AS802,0)*(Inputs!$B$17+Inputs!$B$18+Inputs!$B$19)+MAX(-AS802,0)*(O802+Inputs!$B$18+Inputs!$B$19)+IF(AND(K802=1,AP802&lt;&gt;0),(Inputs!$B$17+Inputs!$B$18+Inputs!$B$19)+(O802+Inputs!$B$18+Inputs!$B$19),0)+MAX(AU802,0)*(Inputs!$B$20+Inputs!$B$22+Inputs!$B$23)+MAX(-AU802,0)*(Inputs!$B$21+Inputs!$B$22+Inputs!$B$23)</f>
        <v>0</v>
      </c>
      <c r="AW802" s="30" t="n">
        <f aca="false">AP801*(M802-AR801*J802)+AP801*AR801*N802/Inputs!$B$16-AV802</f>
        <v>0</v>
      </c>
      <c r="AX802" s="30" t="n">
        <f aca="false">AW802-IF(AP801&lt;&gt;0,0.75*AR801*(Inputs!$B$13-N802)/Inputs!$B$16,0)</f>
        <v>0</v>
      </c>
      <c r="AY802" s="30" t="n">
        <f aca="false">MAX(AS802,0)*(Inputs!$B$17+Inputs!$B$18+Inputs!$B$19)+MAX(-AS802,0)*(O802+Inputs!$B$18+Inputs!$B$19)+IF(AND(K802=1,AP802&lt;&gt;0),(Inputs!$B$17+Inputs!$B$18+Inputs!$B$19)+(O802+Inputs!$B$18+Inputs!$B$19),0)</f>
        <v>0</v>
      </c>
      <c r="AZ802" s="30" t="n">
        <f aca="false">AP801*M802-AY802</f>
        <v>-0</v>
      </c>
      <c r="BA802" s="32" t="n">
        <f aca="false">BA801+AI802</f>
        <v>0.0194217653144185</v>
      </c>
      <c r="BB802" s="30" t="n">
        <f aca="false">MAX(BB801,BA802)</f>
        <v>0.0261726191772394</v>
      </c>
      <c r="BC802" s="32" t="n">
        <f aca="false">BA802-BB802</f>
        <v>-0.00675085386282096</v>
      </c>
      <c r="BD802" s="30" t="n">
        <f aca="false">A803-A802</f>
        <v>1</v>
      </c>
    </row>
    <row r="803" customFormat="false" ht="15" hidden="false" customHeight="false" outlineLevel="0" collapsed="false">
      <c r="A803" s="28" t="n">
        <v>46225</v>
      </c>
      <c r="B803" s="0" t="n">
        <v>23983.2</v>
      </c>
      <c r="C803" s="0" t="n">
        <v>273.44</v>
      </c>
      <c r="D803" s="29" t="n">
        <f aca="false">LN(B803)</f>
        <v>10.0851088642157</v>
      </c>
      <c r="E803" s="29" t="n">
        <f aca="false">LN(C803)</f>
        <v>5.61108221936728</v>
      </c>
      <c r="F803" s="0" t="n">
        <v>798</v>
      </c>
      <c r="G803" s="0" t="n">
        <v>6</v>
      </c>
      <c r="H803" s="29" t="n">
        <f aca="false">D803-E803</f>
        <v>4.47402664484841</v>
      </c>
      <c r="I803" s="29" t="n">
        <f aca="false">D803-D802</f>
        <v>-0.0083790210413941</v>
      </c>
      <c r="J803" s="29" t="n">
        <f aca="false">E803-E802</f>
        <v>-0.00634320963238988</v>
      </c>
      <c r="K803" s="0" t="n">
        <v>0</v>
      </c>
      <c r="L803" s="0" t="n">
        <v>0</v>
      </c>
      <c r="M803" s="29" t="n">
        <f aca="false">IF(L803=1,J803-Carry!$B$9/Inputs!$B$16,I803)</f>
        <v>-0.0083790210413941</v>
      </c>
      <c r="N803" s="0" t="n">
        <v>0.0525</v>
      </c>
      <c r="O803" s="0" t="n">
        <v>0.0005</v>
      </c>
      <c r="P803" s="29" t="n">
        <f aca="false">D803-('2 Hedge ratio'!$B$6+'2 Hedge ratio'!$B$5*E803)</f>
        <v>-0.0171737866283461</v>
      </c>
      <c r="Q803" s="29" t="n">
        <f aca="false">D803-('5 Re-specification'!$B$7+'5 Re-specification'!$B$5*E803+'5 Re-specification'!$B$6*F803)</f>
        <v>-0.00431639547357499</v>
      </c>
      <c r="R803" s="30" t="n">
        <f aca="false">MIN(F803,Inputs!$B$9)</f>
        <v>250</v>
      </c>
      <c r="S803" s="29" t="n">
        <f aca="true">IF(AND(F803&gt;=1,R803&gt;=Inputs!$B$10),INDEX(LINEST(OFFSET(D803,-R803,0,R803,1),OFFSET(E803,-R803,0,R803,2)),1,1),"")</f>
        <v>-3.07460835444515E-005</v>
      </c>
      <c r="T803" s="29" t="n">
        <f aca="true">IF(AND(F803&gt;=1,R803&gt;=Inputs!$B$10),INDEX(LINEST(OFFSET(D803,-R803,0,R803,1),OFFSET(E803,-R803,0,R803,2)),1,2),"")</f>
        <v>1.01994690898171</v>
      </c>
      <c r="U803" s="29" t="n">
        <f aca="true">IF(AND(F803&gt;=1,R803&gt;=Inputs!$B$10),INDEX(LINEST(OFFSET(D803,-R803,0,R803,1),OFFSET(E803,-R803,0,R803,2)),1,3),"")</f>
        <v>4.39189142560302</v>
      </c>
      <c r="V803" s="29" t="n">
        <f aca="true">IF(AND(F803&gt;=1,R803&gt;=Inputs!$B$10),SQRT(SUMPRODUCT((OFFSET(D803,-R803,0,R803,1)-U803-T803*OFFSET(E803,-R803,0,R803,1)-S803*OFFSET(F803,-R803,0,R803,1))^2)/(R803-3)),"")</f>
        <v>0.00225000859249073</v>
      </c>
      <c r="W803" s="31" t="n">
        <f aca="false">IF(AND(F803&gt;=1,R803&gt;=Inputs!$B$10),(D803-U803-T803*E803-S803*F803)/V803,"")</f>
        <v>-2.33472548605563</v>
      </c>
      <c r="X803" s="30" t="n">
        <f aca="false">IF(AB802&lt;&gt;0,AC802+1,0)</f>
        <v>0</v>
      </c>
      <c r="Y803" s="30" t="n">
        <f aca="false">IF(W803="",0,IF(AND(AB802&lt;&gt;0,OR(ABS(W803)&gt;Inputs!$B$7,X803&gt;=Inputs!$B$8,ABS(W803)&lt;Inputs!$B$6)),1,0))</f>
        <v>0</v>
      </c>
      <c r="Z803" s="30" t="n">
        <f aca="false">IF(Y803=1,0,AB802)</f>
        <v>0</v>
      </c>
      <c r="AA803" s="30" t="n">
        <f aca="false">IF(W803="",0,IF(AND(Z803=0,ABS(W803)&gt;Inputs!$B$5,ABS(W803)&lt;=Inputs!$B$7),1,0))</f>
        <v>1</v>
      </c>
      <c r="AB803" s="30" t="n">
        <f aca="false">IF(W803="",0,IF(AA803=1,-SIGN(W803),Z803))</f>
        <v>1</v>
      </c>
      <c r="AC803" s="30" t="n">
        <f aca="false">IF(W803="",0,IF(AA803=1,0,IF(Y803=1,0,X803)))</f>
        <v>0</v>
      </c>
      <c r="AD803" s="29" t="n">
        <f aca="false">IF(AB803=0,0,IF(AB802=AB803,AD802,T803))</f>
        <v>1.01994690898171</v>
      </c>
      <c r="AE803" s="30" t="n">
        <f aca="false">AB803-AB802</f>
        <v>1</v>
      </c>
      <c r="AF803" s="30" t="n">
        <f aca="false">-AD803*AB803</f>
        <v>-1.01994690898171</v>
      </c>
      <c r="AG803" s="30" t="n">
        <f aca="false">AF803-AF802</f>
        <v>-1.01994690898171</v>
      </c>
      <c r="AH803" s="30" t="n">
        <f aca="false">MAX(AE803,0)*(Inputs!$B$17+Inputs!$B$18+Inputs!$B$19)+MAX(-AE803,0)*(O803+Inputs!$B$18+Inputs!$B$19)+IF(AND(K803=1,AB803&lt;&gt;0),(Inputs!$B$17+Inputs!$B$18+Inputs!$B$19)+(O803+Inputs!$B$18+Inputs!$B$19),0)+MAX(AG803,0)*(Inputs!$B$20+Inputs!$B$22+Inputs!$B$23)+MAX(-AG803,0)*(Inputs!$B$21+Inputs!$B$22+Inputs!$B$23)</f>
        <v>0.000369188850886158</v>
      </c>
      <c r="AI803" s="30" t="n">
        <f aca="false">AB802*(M803-AD802*J803)+AB802*AD802*N803/Inputs!$B$16-AH803</f>
        <v>-0.000369188850886158</v>
      </c>
      <c r="AJ803" s="30" t="n">
        <f aca="false">MAX(AE803,0)*(Inputs!$B$17+Inputs!$B$24+Inputs!$B$25)+MAX(-AE803,0)*(O803+Inputs!$B$24+Inputs!$B$25)+IF(AND(K803=1,AB803&lt;&gt;0),(Inputs!$B$17+Inputs!$B$24+Inputs!$B$25)+(O803+Inputs!$B$24+Inputs!$B$25),0)+MAX(AG803,0)*(Inputs!$B$20+Inputs!$B$26+Inputs!$B$27)+MAX(-AG803,0)*(Inputs!$B$21+Inputs!$B$26+Inputs!$B$27)</f>
        <v>0.000207293894532896</v>
      </c>
      <c r="AK803" s="30" t="n">
        <f aca="false">AB802*(M803-AD802*J803)+AB802*AD802*(N803+Inputs!$B$14)/Inputs!$B$16-AJ803</f>
        <v>-0.000207293894532896</v>
      </c>
      <c r="AL803" s="30" t="n">
        <f aca="false">IF(AP802&lt;&gt;0,AQ802+1,0)</f>
        <v>0</v>
      </c>
      <c r="AM803" s="30" t="n">
        <f aca="false">IF(W803="",0,IF(AND(AP802&lt;&gt;0,OR(ABS(W803)&gt;Inputs!$B$7,AL803&gt;=Inputs!$B$8,ABS(W803)&lt;Inputs!$B$6)),1,0))</f>
        <v>0</v>
      </c>
      <c r="AN803" s="30" t="n">
        <f aca="false">IF(AM803=1,0,AP802)</f>
        <v>0</v>
      </c>
      <c r="AO803" s="30" t="n">
        <f aca="false">IF(W803="",0,IF(AND(AN803=0,ABS(W803)&gt;Inputs!$B$5,ABS(W803)&lt;=Inputs!$B$7,W803&gt;0),1,0))</f>
        <v>0</v>
      </c>
      <c r="AP803" s="30" t="n">
        <f aca="false">IF(W803="",0,IF(AO803=1,-SIGN(W803),AN803))</f>
        <v>0</v>
      </c>
      <c r="AQ803" s="30" t="n">
        <f aca="false">IF(W803="",0,IF(AO803=1,0,IF(AM803=1,0,AL803)))</f>
        <v>0</v>
      </c>
      <c r="AR803" s="30" t="n">
        <f aca="false">IF(AP803=0,0,IF(AP802=AP803,AR802,T803))</f>
        <v>0</v>
      </c>
      <c r="AS803" s="30" t="n">
        <f aca="false">AP803-AP802</f>
        <v>0</v>
      </c>
      <c r="AT803" s="30" t="n">
        <f aca="false">-AR803*AP803</f>
        <v>-0</v>
      </c>
      <c r="AU803" s="30" t="n">
        <f aca="false">AT803-AT802</f>
        <v>0</v>
      </c>
      <c r="AV803" s="30" t="n">
        <f aca="false">MAX(AS803,0)*(Inputs!$B$17+Inputs!$B$18+Inputs!$B$19)+MAX(-AS803,0)*(O803+Inputs!$B$18+Inputs!$B$19)+IF(AND(K803=1,AP803&lt;&gt;0),(Inputs!$B$17+Inputs!$B$18+Inputs!$B$19)+(O803+Inputs!$B$18+Inputs!$B$19),0)+MAX(AU803,0)*(Inputs!$B$20+Inputs!$B$22+Inputs!$B$23)+MAX(-AU803,0)*(Inputs!$B$21+Inputs!$B$22+Inputs!$B$23)</f>
        <v>0</v>
      </c>
      <c r="AW803" s="30" t="n">
        <f aca="false">AP802*(M803-AR802*J803)+AP802*AR802*N803/Inputs!$B$16-AV803</f>
        <v>0</v>
      </c>
      <c r="AX803" s="30" t="n">
        <f aca="false">AW803-IF(AP802&lt;&gt;0,0.75*AR802*(Inputs!$B$13-N803)/Inputs!$B$16,0)</f>
        <v>0</v>
      </c>
      <c r="AY803" s="30" t="n">
        <f aca="false">MAX(AS803,0)*(Inputs!$B$17+Inputs!$B$18+Inputs!$B$19)+MAX(-AS803,0)*(O803+Inputs!$B$18+Inputs!$B$19)+IF(AND(K803=1,AP803&lt;&gt;0),(Inputs!$B$17+Inputs!$B$18+Inputs!$B$19)+(O803+Inputs!$B$18+Inputs!$B$19),0)</f>
        <v>0</v>
      </c>
      <c r="AZ803" s="30" t="n">
        <f aca="false">AP802*M803-AY803</f>
        <v>-0</v>
      </c>
      <c r="BA803" s="32" t="n">
        <f aca="false">BA802+AI803</f>
        <v>0.0190525764635323</v>
      </c>
      <c r="BB803" s="30" t="n">
        <f aca="false">MAX(BB802,BA803)</f>
        <v>0.0261726191772394</v>
      </c>
      <c r="BC803" s="32" t="n">
        <f aca="false">BA803-BB803</f>
        <v>-0.00712004271370711</v>
      </c>
      <c r="BD803" s="30" t="n">
        <f aca="false">A804-A803</f>
        <v>1</v>
      </c>
    </row>
    <row r="804" customFormat="false" ht="15" hidden="false" customHeight="false" outlineLevel="0" collapsed="false">
      <c r="A804" s="28" t="n">
        <v>46226</v>
      </c>
      <c r="B804" s="0" t="n">
        <v>23886</v>
      </c>
      <c r="C804" s="0" t="n">
        <v>272.19</v>
      </c>
      <c r="D804" s="29" t="n">
        <f aca="false">LN(B804)</f>
        <v>10.0810477922284</v>
      </c>
      <c r="E804" s="29" t="n">
        <f aca="false">LN(C804)</f>
        <v>5.60650035184965</v>
      </c>
      <c r="F804" s="0" t="n">
        <v>799</v>
      </c>
      <c r="G804" s="0" t="n">
        <v>5</v>
      </c>
      <c r="H804" s="29" t="n">
        <f aca="false">D804-E804</f>
        <v>4.47454744037873</v>
      </c>
      <c r="I804" s="29" t="n">
        <f aca="false">D804-D803</f>
        <v>-0.00406107198731753</v>
      </c>
      <c r="J804" s="29" t="n">
        <f aca="false">E804-E803</f>
        <v>-0.00458186751763368</v>
      </c>
      <c r="K804" s="0" t="n">
        <v>0</v>
      </c>
      <c r="L804" s="0" t="n">
        <v>0</v>
      </c>
      <c r="M804" s="29" t="n">
        <f aca="false">IF(L804=1,J804-Carry!$B$9/Inputs!$B$16,I804)</f>
        <v>-0.00406107198731753</v>
      </c>
      <c r="N804" s="0" t="n">
        <v>0.0525</v>
      </c>
      <c r="O804" s="0" t="n">
        <v>0.0005</v>
      </c>
      <c r="P804" s="29" t="n">
        <f aca="false">D804-('2 Hedge ratio'!$B$6+'2 Hedge ratio'!$B$5*E804)</f>
        <v>-0.0170372871754338</v>
      </c>
      <c r="Q804" s="29" t="n">
        <f aca="false">D804-('5 Re-specification'!$B$7+'5 Re-specification'!$B$5*E804+'5 Re-specification'!$B$6*F804)</f>
        <v>-0.00376455597477055</v>
      </c>
      <c r="R804" s="30" t="n">
        <f aca="false">MIN(F804,Inputs!$B$9)</f>
        <v>250</v>
      </c>
      <c r="S804" s="29" t="n">
        <f aca="true">IF(AND(F804&gt;=1,R804&gt;=Inputs!$B$10),INDEX(LINEST(OFFSET(D804,-R804,0,R804,1),OFFSET(E804,-R804,0,R804,2)),1,1),"")</f>
        <v>-3.11729891583109E-005</v>
      </c>
      <c r="T804" s="29" t="n">
        <f aca="true">IF(AND(F804&gt;=1,R804&gt;=Inputs!$B$10),INDEX(LINEST(OFFSET(D804,-R804,0,R804,1),OFFSET(E804,-R804,0,R804,2)),1,2),"")</f>
        <v>1.01990279771368</v>
      </c>
      <c r="U804" s="29" t="n">
        <f aca="true">IF(AND(F804&gt;=1,R804&gt;=Inputs!$B$10),INDEX(LINEST(OFFSET(D804,-R804,0,R804,1),OFFSET(E804,-R804,0,R804,2)),1,3),"")</f>
        <v>4.39240300836773</v>
      </c>
      <c r="V804" s="29" t="n">
        <f aca="true">IF(AND(F804&gt;=1,R804&gt;=Inputs!$B$10),SQRT(SUMPRODUCT((OFFSET(D804,-R804,0,R804,1)-U804-T804*OFFSET(E804,-R804,0,R804,1)-S804*OFFSET(F804,-R804,0,R804,1))^2)/(R804-3)),"")</f>
        <v>0.00227364215991895</v>
      </c>
      <c r="W804" s="31" t="n">
        <f aca="false">IF(AND(F804&gt;=1,R804&gt;=Inputs!$B$10),(D804-U804-T804*E804-S804*F804)/V804,"")</f>
        <v>-1.99388985477992</v>
      </c>
      <c r="X804" s="30" t="n">
        <f aca="false">IF(AB803&lt;&gt;0,AC803+1,0)</f>
        <v>1</v>
      </c>
      <c r="Y804" s="30" t="n">
        <f aca="false">IF(W804="",0,IF(AND(AB803&lt;&gt;0,OR(ABS(W804)&gt;Inputs!$B$7,X804&gt;=Inputs!$B$8,ABS(W804)&lt;Inputs!$B$6)),1,0))</f>
        <v>0</v>
      </c>
      <c r="Z804" s="30" t="n">
        <f aca="false">IF(Y804=1,0,AB803)</f>
        <v>1</v>
      </c>
      <c r="AA804" s="30" t="n">
        <f aca="false">IF(W804="",0,IF(AND(Z804=0,ABS(W804)&gt;Inputs!$B$5,ABS(W804)&lt;=Inputs!$B$7),1,0))</f>
        <v>0</v>
      </c>
      <c r="AB804" s="30" t="n">
        <f aca="false">IF(W804="",0,IF(AA804=1,-SIGN(W804),Z804))</f>
        <v>1</v>
      </c>
      <c r="AC804" s="30" t="n">
        <f aca="false">IF(W804="",0,IF(AA804=1,0,IF(Y804=1,0,X804)))</f>
        <v>1</v>
      </c>
      <c r="AD804" s="29" t="n">
        <f aca="false">IF(AB804=0,0,IF(AB803=AB804,AD803,T804))</f>
        <v>1.01994690898171</v>
      </c>
      <c r="AE804" s="30" t="n">
        <f aca="false">AB804-AB803</f>
        <v>0</v>
      </c>
      <c r="AF804" s="30" t="n">
        <f aca="false">-AD804*AB804</f>
        <v>-1.01994690898171</v>
      </c>
      <c r="AG804" s="30" t="n">
        <f aca="false">AF804-AF803</f>
        <v>0</v>
      </c>
      <c r="AH804" s="30" t="n">
        <f aca="false">MAX(AE804,0)*(Inputs!$B$17+Inputs!$B$18+Inputs!$B$19)+MAX(-AE804,0)*(O804+Inputs!$B$18+Inputs!$B$19)+IF(AND(K804=1,AB804&lt;&gt;0),(Inputs!$B$17+Inputs!$B$18+Inputs!$B$19)+(O804+Inputs!$B$18+Inputs!$B$19),0)+MAX(AG804,0)*(Inputs!$B$20+Inputs!$B$22+Inputs!$B$23)+MAX(-AG804,0)*(Inputs!$B$21+Inputs!$B$22+Inputs!$B$23)</f>
        <v>0</v>
      </c>
      <c r="AI804" s="30" t="n">
        <f aca="false">AB803*(M804-AD803*J804)+AB803*AD803*N804/Inputs!$B$16-AH804</f>
        <v>0.00082467856402781</v>
      </c>
      <c r="AJ804" s="30" t="n">
        <f aca="false">MAX(AE804,0)*(Inputs!$B$17+Inputs!$B$24+Inputs!$B$25)+MAX(-AE804,0)*(O804+Inputs!$B$24+Inputs!$B$25)+IF(AND(K804=1,AB804&lt;&gt;0),(Inputs!$B$17+Inputs!$B$24+Inputs!$B$25)+(O804+Inputs!$B$24+Inputs!$B$25),0)+MAX(AG804,0)*(Inputs!$B$20+Inputs!$B$26+Inputs!$B$27)+MAX(-AG804,0)*(Inputs!$B$21+Inputs!$B$26+Inputs!$B$27)</f>
        <v>0</v>
      </c>
      <c r="AK804" s="30" t="n">
        <f aca="false">AB803*(M804-AD803*J804)+AB803*AD803*(N804+Inputs!$B$14)/Inputs!$B$16-AJ804</f>
        <v>0.000855034126795122</v>
      </c>
      <c r="AL804" s="30" t="n">
        <f aca="false">IF(AP803&lt;&gt;0,AQ803+1,0)</f>
        <v>0</v>
      </c>
      <c r="AM804" s="30" t="n">
        <f aca="false">IF(W804="",0,IF(AND(AP803&lt;&gt;0,OR(ABS(W804)&gt;Inputs!$B$7,AL804&gt;=Inputs!$B$8,ABS(W804)&lt;Inputs!$B$6)),1,0))</f>
        <v>0</v>
      </c>
      <c r="AN804" s="30" t="n">
        <f aca="false">IF(AM804=1,0,AP803)</f>
        <v>0</v>
      </c>
      <c r="AO804" s="30" t="n">
        <f aca="false">IF(W804="",0,IF(AND(AN804=0,ABS(W804)&gt;Inputs!$B$5,ABS(W804)&lt;=Inputs!$B$7,W804&gt;0),1,0))</f>
        <v>0</v>
      </c>
      <c r="AP804" s="30" t="n">
        <f aca="false">IF(W804="",0,IF(AO804=1,-SIGN(W804),AN804))</f>
        <v>0</v>
      </c>
      <c r="AQ804" s="30" t="n">
        <f aca="false">IF(W804="",0,IF(AO804=1,0,IF(AM804=1,0,AL804)))</f>
        <v>0</v>
      </c>
      <c r="AR804" s="30" t="n">
        <f aca="false">IF(AP804=0,0,IF(AP803=AP804,AR803,T804))</f>
        <v>0</v>
      </c>
      <c r="AS804" s="30" t="n">
        <f aca="false">AP804-AP803</f>
        <v>0</v>
      </c>
      <c r="AT804" s="30" t="n">
        <f aca="false">-AR804*AP804</f>
        <v>-0</v>
      </c>
      <c r="AU804" s="30" t="n">
        <f aca="false">AT804-AT803</f>
        <v>0</v>
      </c>
      <c r="AV804" s="30" t="n">
        <f aca="false">MAX(AS804,0)*(Inputs!$B$17+Inputs!$B$18+Inputs!$B$19)+MAX(-AS804,0)*(O804+Inputs!$B$18+Inputs!$B$19)+IF(AND(K804=1,AP804&lt;&gt;0),(Inputs!$B$17+Inputs!$B$18+Inputs!$B$19)+(O804+Inputs!$B$18+Inputs!$B$19),0)+MAX(AU804,0)*(Inputs!$B$20+Inputs!$B$22+Inputs!$B$23)+MAX(-AU804,0)*(Inputs!$B$21+Inputs!$B$22+Inputs!$B$23)</f>
        <v>0</v>
      </c>
      <c r="AW804" s="30" t="n">
        <f aca="false">AP803*(M804-AR803*J804)+AP803*AR803*N804/Inputs!$B$16-AV804</f>
        <v>0</v>
      </c>
      <c r="AX804" s="30" t="n">
        <f aca="false">AW804-IF(AP803&lt;&gt;0,0.75*AR803*(Inputs!$B$13-N804)/Inputs!$B$16,0)</f>
        <v>0</v>
      </c>
      <c r="AY804" s="30" t="n">
        <f aca="false">MAX(AS804,0)*(Inputs!$B$17+Inputs!$B$18+Inputs!$B$19)+MAX(-AS804,0)*(O804+Inputs!$B$18+Inputs!$B$19)+IF(AND(K804=1,AP804&lt;&gt;0),(Inputs!$B$17+Inputs!$B$18+Inputs!$B$19)+(O804+Inputs!$B$18+Inputs!$B$19),0)</f>
        <v>0</v>
      </c>
      <c r="AZ804" s="30" t="n">
        <f aca="false">AP803*M804-AY804</f>
        <v>-0</v>
      </c>
      <c r="BA804" s="32" t="n">
        <f aca="false">BA803+AI804</f>
        <v>0.0198772550275601</v>
      </c>
      <c r="BB804" s="30" t="n">
        <f aca="false">MAX(BB803,BA804)</f>
        <v>0.0261726191772394</v>
      </c>
      <c r="BC804" s="32" t="n">
        <f aca="false">BA804-BB804</f>
        <v>-0.00629536414967931</v>
      </c>
      <c r="BD804" s="30" t="n">
        <f aca="false">A805-A804</f>
        <v>1</v>
      </c>
    </row>
    <row r="805" customFormat="false" ht="15" hidden="false" customHeight="false" outlineLevel="0" collapsed="false">
      <c r="A805" s="28" t="n">
        <v>46227</v>
      </c>
      <c r="B805" s="0" t="n">
        <v>23830.9</v>
      </c>
      <c r="C805" s="0" t="n">
        <v>271.48</v>
      </c>
      <c r="D805" s="29" t="n">
        <f aca="false">LN(B805)</f>
        <v>10.0787383368995</v>
      </c>
      <c r="E805" s="29" t="n">
        <f aca="false">LN(C805)</f>
        <v>5.60388847183556</v>
      </c>
      <c r="F805" s="0" t="n">
        <v>800</v>
      </c>
      <c r="G805" s="0" t="n">
        <v>4</v>
      </c>
      <c r="H805" s="29" t="n">
        <f aca="false">D805-E805</f>
        <v>4.47484986506399</v>
      </c>
      <c r="I805" s="29" t="n">
        <f aca="false">D805-D804</f>
        <v>-0.00230945532882565</v>
      </c>
      <c r="J805" s="29" t="n">
        <f aca="false">E805-E804</f>
        <v>-0.00261188001408907</v>
      </c>
      <c r="K805" s="0" t="n">
        <v>0</v>
      </c>
      <c r="L805" s="0" t="n">
        <v>0</v>
      </c>
      <c r="M805" s="29" t="n">
        <f aca="false">IF(L805=1,J805-Carry!$B$9/Inputs!$B$16,I805)</f>
        <v>-0.00230945532882565</v>
      </c>
      <c r="N805" s="0" t="n">
        <v>0.0525</v>
      </c>
      <c r="O805" s="0" t="n">
        <v>0.0005</v>
      </c>
      <c r="P805" s="29" t="n">
        <f aca="false">D805-('2 Hedge ratio'!$B$6+'2 Hedge ratio'!$B$5*E805)</f>
        <v>-0.0169539293314127</v>
      </c>
      <c r="Q805" s="29" t="n">
        <f aca="false">D805-('5 Re-specification'!$B$7+'5 Re-specification'!$B$5*E805+'5 Re-specification'!$B$6*F805)</f>
        <v>-0.00342511727384931</v>
      </c>
      <c r="R805" s="30" t="n">
        <f aca="false">MIN(F805,Inputs!$B$9)</f>
        <v>250</v>
      </c>
      <c r="S805" s="29" t="n">
        <f aca="true">IF(AND(F805&gt;=1,R805&gt;=Inputs!$B$10),INDEX(LINEST(OFFSET(D805,-R805,0,R805,1),OFFSET(E805,-R805,0,R805,2)),1,1),"")</f>
        <v>-3.15314054503281E-005</v>
      </c>
      <c r="T805" s="29" t="n">
        <f aca="true">IF(AND(F805&gt;=1,R805&gt;=Inputs!$B$10),INDEX(LINEST(OFFSET(D805,-R805,0,R805,1),OFFSET(E805,-R805,0,R805,2)),1,2),"")</f>
        <v>1.01993936132713</v>
      </c>
      <c r="U805" s="29" t="n">
        <f aca="true">IF(AND(F805&gt;=1,R805&gt;=Inputs!$B$10),INDEX(LINEST(OFFSET(D805,-R805,0,R805,1),OFFSET(E805,-R805,0,R805,2)),1,3),"")</f>
        <v>4.3924177865513</v>
      </c>
      <c r="V805" s="29" t="n">
        <f aca="true">IF(AND(F805&gt;=1,R805&gt;=Inputs!$B$10),SQRT(SUMPRODUCT((OFFSET(D805,-R805,0,R805,1)-U805-T805*OFFSET(E805,-R805,0,R805,1)-S805*OFFSET(F805,-R805,0,R805,1))^2)/(R805-3)),"")</f>
        <v>0.00229120729340412</v>
      </c>
      <c r="W805" s="31" t="n">
        <f aca="false">IF(AND(F805&gt;=1,R805&gt;=Inputs!$B$10),(D805-U805-T805*E805-S805*F805)/V805,"")</f>
        <v>-1.78104976168899</v>
      </c>
      <c r="X805" s="30" t="n">
        <f aca="false">IF(AB804&lt;&gt;0,AC804+1,0)</f>
        <v>2</v>
      </c>
      <c r="Y805" s="30" t="n">
        <f aca="false">IF(W805="",0,IF(AND(AB804&lt;&gt;0,OR(ABS(W805)&gt;Inputs!$B$7,X805&gt;=Inputs!$B$8,ABS(W805)&lt;Inputs!$B$6)),1,0))</f>
        <v>0</v>
      </c>
      <c r="Z805" s="30" t="n">
        <f aca="false">IF(Y805=1,0,AB804)</f>
        <v>1</v>
      </c>
      <c r="AA805" s="30" t="n">
        <f aca="false">IF(W805="",0,IF(AND(Z805=0,ABS(W805)&gt;Inputs!$B$5,ABS(W805)&lt;=Inputs!$B$7),1,0))</f>
        <v>0</v>
      </c>
      <c r="AB805" s="30" t="n">
        <f aca="false">IF(W805="",0,IF(AA805=1,-SIGN(W805),Z805))</f>
        <v>1</v>
      </c>
      <c r="AC805" s="30" t="n">
        <f aca="false">IF(W805="",0,IF(AA805=1,0,IF(Y805=1,0,X805)))</f>
        <v>2</v>
      </c>
      <c r="AD805" s="29" t="n">
        <f aca="false">IF(AB805=0,0,IF(AB804=AB805,AD804,T805))</f>
        <v>1.01994690898171</v>
      </c>
      <c r="AE805" s="30" t="n">
        <f aca="false">AB805-AB804</f>
        <v>0</v>
      </c>
      <c r="AF805" s="30" t="n">
        <f aca="false">-AD805*AB805</f>
        <v>-1.01994690898171</v>
      </c>
      <c r="AG805" s="30" t="n">
        <f aca="false">AF805-AF804</f>
        <v>0</v>
      </c>
      <c r="AH805" s="30" t="n">
        <f aca="false">MAX(AE805,0)*(Inputs!$B$17+Inputs!$B$18+Inputs!$B$19)+MAX(-AE805,0)*(O805+Inputs!$B$18+Inputs!$B$19)+IF(AND(K805=1,AB805&lt;&gt;0),(Inputs!$B$17+Inputs!$B$18+Inputs!$B$19)+(O805+Inputs!$B$18+Inputs!$B$19),0)+MAX(AG805,0)*(Inputs!$B$20+Inputs!$B$22+Inputs!$B$23)+MAX(-AG805,0)*(Inputs!$B$21+Inputs!$B$22+Inputs!$B$23)</f>
        <v>0</v>
      </c>
      <c r="AI805" s="30" t="n">
        <f aca="false">AB804*(M805-AD804*J805)+AB804*AD804*N805/Inputs!$B$16-AH805</f>
        <v>0.000567012557546788</v>
      </c>
      <c r="AJ805" s="30" t="n">
        <f aca="false">MAX(AE805,0)*(Inputs!$B$17+Inputs!$B$24+Inputs!$B$25)+MAX(-AE805,0)*(O805+Inputs!$B$24+Inputs!$B$25)+IF(AND(K805=1,AB805&lt;&gt;0),(Inputs!$B$17+Inputs!$B$24+Inputs!$B$25)+(O805+Inputs!$B$24+Inputs!$B$25),0)+MAX(AG805,0)*(Inputs!$B$20+Inputs!$B$26+Inputs!$B$27)+MAX(-AG805,0)*(Inputs!$B$21+Inputs!$B$26+Inputs!$B$27)</f>
        <v>0</v>
      </c>
      <c r="AK805" s="30" t="n">
        <f aca="false">AB804*(M805-AD804*J805)+AB804*AD804*(N805+Inputs!$B$14)/Inputs!$B$16-AJ805</f>
        <v>0.0005973681203141</v>
      </c>
      <c r="AL805" s="30" t="n">
        <f aca="false">IF(AP804&lt;&gt;0,AQ804+1,0)</f>
        <v>0</v>
      </c>
      <c r="AM805" s="30" t="n">
        <f aca="false">IF(W805="",0,IF(AND(AP804&lt;&gt;0,OR(ABS(W805)&gt;Inputs!$B$7,AL805&gt;=Inputs!$B$8,ABS(W805)&lt;Inputs!$B$6)),1,0))</f>
        <v>0</v>
      </c>
      <c r="AN805" s="30" t="n">
        <f aca="false">IF(AM805=1,0,AP804)</f>
        <v>0</v>
      </c>
      <c r="AO805" s="30" t="n">
        <f aca="false">IF(W805="",0,IF(AND(AN805=0,ABS(W805)&gt;Inputs!$B$5,ABS(W805)&lt;=Inputs!$B$7,W805&gt;0),1,0))</f>
        <v>0</v>
      </c>
      <c r="AP805" s="30" t="n">
        <f aca="false">IF(W805="",0,IF(AO805=1,-SIGN(W805),AN805))</f>
        <v>0</v>
      </c>
      <c r="AQ805" s="30" t="n">
        <f aca="false">IF(W805="",0,IF(AO805=1,0,IF(AM805=1,0,AL805)))</f>
        <v>0</v>
      </c>
      <c r="AR805" s="30" t="n">
        <f aca="false">IF(AP805=0,0,IF(AP804=AP805,AR804,T805))</f>
        <v>0</v>
      </c>
      <c r="AS805" s="30" t="n">
        <f aca="false">AP805-AP804</f>
        <v>0</v>
      </c>
      <c r="AT805" s="30" t="n">
        <f aca="false">-AR805*AP805</f>
        <v>-0</v>
      </c>
      <c r="AU805" s="30" t="n">
        <f aca="false">AT805-AT804</f>
        <v>0</v>
      </c>
      <c r="AV805" s="30" t="n">
        <f aca="false">MAX(AS805,0)*(Inputs!$B$17+Inputs!$B$18+Inputs!$B$19)+MAX(-AS805,0)*(O805+Inputs!$B$18+Inputs!$B$19)+IF(AND(K805=1,AP805&lt;&gt;0),(Inputs!$B$17+Inputs!$B$18+Inputs!$B$19)+(O805+Inputs!$B$18+Inputs!$B$19),0)+MAX(AU805,0)*(Inputs!$B$20+Inputs!$B$22+Inputs!$B$23)+MAX(-AU805,0)*(Inputs!$B$21+Inputs!$B$22+Inputs!$B$23)</f>
        <v>0</v>
      </c>
      <c r="AW805" s="30" t="n">
        <f aca="false">AP804*(M805-AR804*J805)+AP804*AR804*N805/Inputs!$B$16-AV805</f>
        <v>0</v>
      </c>
      <c r="AX805" s="30" t="n">
        <f aca="false">AW805-IF(AP804&lt;&gt;0,0.75*AR804*(Inputs!$B$13-N805)/Inputs!$B$16,0)</f>
        <v>0</v>
      </c>
      <c r="AY805" s="30" t="n">
        <f aca="false">MAX(AS805,0)*(Inputs!$B$17+Inputs!$B$18+Inputs!$B$19)+MAX(-AS805,0)*(O805+Inputs!$B$18+Inputs!$B$19)+IF(AND(K805=1,AP805&lt;&gt;0),(Inputs!$B$17+Inputs!$B$18+Inputs!$B$19)+(O805+Inputs!$B$18+Inputs!$B$19),0)</f>
        <v>0</v>
      </c>
      <c r="AZ805" s="30" t="n">
        <f aca="false">AP804*M805-AY805</f>
        <v>-0</v>
      </c>
      <c r="BA805" s="32" t="n">
        <f aca="false">BA804+AI805</f>
        <v>0.0204442675851069</v>
      </c>
      <c r="BB805" s="30" t="n">
        <f aca="false">MAX(BB804,BA805)</f>
        <v>0.0261726191772394</v>
      </c>
      <c r="BC805" s="32" t="n">
        <f aca="false">BA805-BB805</f>
        <v>-0.00572835159213252</v>
      </c>
      <c r="BD805" s="30" t="n">
        <f aca="false">A806-A805</f>
        <v>3</v>
      </c>
    </row>
    <row r="806" customFormat="false" ht="15" hidden="false" customHeight="false" outlineLevel="0" collapsed="false">
      <c r="A806" s="28" t="n">
        <v>46230</v>
      </c>
      <c r="B806" s="0" t="n">
        <v>24039.5</v>
      </c>
      <c r="C806" s="0" t="n">
        <v>273.7</v>
      </c>
      <c r="D806" s="29" t="n">
        <f aca="false">LN(B806)</f>
        <v>10.087453589764</v>
      </c>
      <c r="E806" s="29" t="n">
        <f aca="false">LN(C806)</f>
        <v>5.61203261604663</v>
      </c>
      <c r="F806" s="0" t="n">
        <v>801</v>
      </c>
      <c r="G806" s="0" t="n">
        <v>1</v>
      </c>
      <c r="H806" s="29" t="n">
        <f aca="false">D806-E806</f>
        <v>4.47542097371733</v>
      </c>
      <c r="I806" s="29" t="n">
        <f aca="false">D806-D805</f>
        <v>0.00871525286441788</v>
      </c>
      <c r="J806" s="29" t="n">
        <f aca="false">E806-E805</f>
        <v>0.00814414421107568</v>
      </c>
      <c r="K806" s="0" t="n">
        <v>0</v>
      </c>
      <c r="L806" s="0" t="n">
        <v>0</v>
      </c>
      <c r="M806" s="29" t="n">
        <f aca="false">IF(L806=1,J806-Carry!$B$9/Inputs!$B$16,I806)</f>
        <v>0.00871525286441788</v>
      </c>
      <c r="N806" s="0" t="n">
        <v>0.0525</v>
      </c>
      <c r="O806" s="0" t="n">
        <v>0.0005</v>
      </c>
      <c r="P806" s="29" t="n">
        <f aca="false">D806-('2 Hedge ratio'!$B$6+'2 Hedge ratio'!$B$5*E806)</f>
        <v>-0.0156997449099237</v>
      </c>
      <c r="Q806" s="29" t="n">
        <f aca="false">D806-('5 Re-specification'!$B$7+'5 Re-specification'!$B$5*E806+'5 Re-specification'!$B$6*F806)</f>
        <v>-0.00278439847320477</v>
      </c>
      <c r="R806" s="30" t="n">
        <f aca="false">MIN(F806,Inputs!$B$9)</f>
        <v>250</v>
      </c>
      <c r="S806" s="29" t="n">
        <f aca="true">IF(AND(F806&gt;=1,R806&gt;=Inputs!$B$10),INDEX(LINEST(OFFSET(D806,-R806,0,R806,1),OFFSET(E806,-R806,0,R806,2)),1,1),"")</f>
        <v>-3.19614207893289E-005</v>
      </c>
      <c r="T806" s="29" t="n">
        <f aca="true">IF(AND(F806&gt;=1,R806&gt;=Inputs!$B$10),INDEX(LINEST(OFFSET(D806,-R806,0,R806,1),OFFSET(E806,-R806,0,R806,2)),1,2),"")</f>
        <v>1.01990562655149</v>
      </c>
      <c r="U806" s="29" t="n">
        <f aca="true">IF(AND(F806&gt;=1,R806&gt;=Inputs!$B$10),INDEX(LINEST(OFFSET(D806,-R806,0,R806,1),OFFSET(E806,-R806,0,R806,2)),1,3),"")</f>
        <v>4.39288339134954</v>
      </c>
      <c r="V806" s="29" t="n">
        <f aca="true">IF(AND(F806&gt;=1,R806&gt;=Inputs!$B$10),SQRT(SUMPRODUCT((OFFSET(D806,-R806,0,R806,1)-U806-T806*OFFSET(E806,-R806,0,R806,1)-S806*OFFSET(F806,-R806,0,R806,1))^2)/(R806-3)),"")</f>
        <v>0.00230553028721218</v>
      </c>
      <c r="W806" s="31" t="n">
        <f aca="false">IF(AND(F806&gt;=1,R806&gt;=Inputs!$B$10),(D806-U806-T806*E806-S806*F806)/V806,"")</f>
        <v>-1.54946783807755</v>
      </c>
      <c r="X806" s="30" t="n">
        <f aca="false">IF(AB805&lt;&gt;0,AC805+1,0)</f>
        <v>3</v>
      </c>
      <c r="Y806" s="30" t="n">
        <f aca="false">IF(W806="",0,IF(AND(AB805&lt;&gt;0,OR(ABS(W806)&gt;Inputs!$B$7,X806&gt;=Inputs!$B$8,ABS(W806)&lt;Inputs!$B$6)),1,0))</f>
        <v>0</v>
      </c>
      <c r="Z806" s="30" t="n">
        <f aca="false">IF(Y806=1,0,AB805)</f>
        <v>1</v>
      </c>
      <c r="AA806" s="30" t="n">
        <f aca="false">IF(W806="",0,IF(AND(Z806=0,ABS(W806)&gt;Inputs!$B$5,ABS(W806)&lt;=Inputs!$B$7),1,0))</f>
        <v>0</v>
      </c>
      <c r="AB806" s="30" t="n">
        <f aca="false">IF(W806="",0,IF(AA806=1,-SIGN(W806),Z806))</f>
        <v>1</v>
      </c>
      <c r="AC806" s="30" t="n">
        <f aca="false">IF(W806="",0,IF(AA806=1,0,IF(Y806=1,0,X806)))</f>
        <v>3</v>
      </c>
      <c r="AD806" s="29" t="n">
        <f aca="false">IF(AB806=0,0,IF(AB805=AB806,AD805,T806))</f>
        <v>1.01994690898171</v>
      </c>
      <c r="AE806" s="30" t="n">
        <f aca="false">AB806-AB805</f>
        <v>0</v>
      </c>
      <c r="AF806" s="30" t="n">
        <f aca="false">-AD806*AB806</f>
        <v>-1.01994690898171</v>
      </c>
      <c r="AG806" s="30" t="n">
        <f aca="false">AF806-AF805</f>
        <v>0</v>
      </c>
      <c r="AH806" s="30" t="n">
        <f aca="false">MAX(AE806,0)*(Inputs!$B$17+Inputs!$B$18+Inputs!$B$19)+MAX(-AE806,0)*(O806+Inputs!$B$18+Inputs!$B$19)+IF(AND(K806=1,AB806&lt;&gt;0),(Inputs!$B$17+Inputs!$B$18+Inputs!$B$19)+(O806+Inputs!$B$18+Inputs!$B$19),0)+MAX(AG806,0)*(Inputs!$B$20+Inputs!$B$22+Inputs!$B$23)+MAX(-AG806,0)*(Inputs!$B$21+Inputs!$B$22+Inputs!$B$23)</f>
        <v>0</v>
      </c>
      <c r="AI806" s="30" t="n">
        <f aca="false">AB805*(M806-AD805*J806)+AB805*AD805*N806/Inputs!$B$16-AH806</f>
        <v>0.000621147089401168</v>
      </c>
      <c r="AJ806" s="30" t="n">
        <f aca="false">MAX(AE806,0)*(Inputs!$B$17+Inputs!$B$24+Inputs!$B$25)+MAX(-AE806,0)*(O806+Inputs!$B$24+Inputs!$B$25)+IF(AND(K806=1,AB806&lt;&gt;0),(Inputs!$B$17+Inputs!$B$24+Inputs!$B$25)+(O806+Inputs!$B$24+Inputs!$B$25),0)+MAX(AG806,0)*(Inputs!$B$20+Inputs!$B$26+Inputs!$B$27)+MAX(-AG806,0)*(Inputs!$B$21+Inputs!$B$26+Inputs!$B$27)</f>
        <v>0</v>
      </c>
      <c r="AK806" s="30" t="n">
        <f aca="false">AB805*(M806-AD805*J806)+AB805*AD805*(N806+Inputs!$B$14)/Inputs!$B$16-AJ806</f>
        <v>0.000651502652168481</v>
      </c>
      <c r="AL806" s="30" t="n">
        <f aca="false">IF(AP805&lt;&gt;0,AQ805+1,0)</f>
        <v>0</v>
      </c>
      <c r="AM806" s="30" t="n">
        <f aca="false">IF(W806="",0,IF(AND(AP805&lt;&gt;0,OR(ABS(W806)&gt;Inputs!$B$7,AL806&gt;=Inputs!$B$8,ABS(W806)&lt;Inputs!$B$6)),1,0))</f>
        <v>0</v>
      </c>
      <c r="AN806" s="30" t="n">
        <f aca="false">IF(AM806=1,0,AP805)</f>
        <v>0</v>
      </c>
      <c r="AO806" s="30" t="n">
        <f aca="false">IF(W806="",0,IF(AND(AN806=0,ABS(W806)&gt;Inputs!$B$5,ABS(W806)&lt;=Inputs!$B$7,W806&gt;0),1,0))</f>
        <v>0</v>
      </c>
      <c r="AP806" s="30" t="n">
        <f aca="false">IF(W806="",0,IF(AO806=1,-SIGN(W806),AN806))</f>
        <v>0</v>
      </c>
      <c r="AQ806" s="30" t="n">
        <f aca="false">IF(W806="",0,IF(AO806=1,0,IF(AM806=1,0,AL806)))</f>
        <v>0</v>
      </c>
      <c r="AR806" s="30" t="n">
        <f aca="false">IF(AP806=0,0,IF(AP805=AP806,AR805,T806))</f>
        <v>0</v>
      </c>
      <c r="AS806" s="30" t="n">
        <f aca="false">AP806-AP805</f>
        <v>0</v>
      </c>
      <c r="AT806" s="30" t="n">
        <f aca="false">-AR806*AP806</f>
        <v>-0</v>
      </c>
      <c r="AU806" s="30" t="n">
        <f aca="false">AT806-AT805</f>
        <v>0</v>
      </c>
      <c r="AV806" s="30" t="n">
        <f aca="false">MAX(AS806,0)*(Inputs!$B$17+Inputs!$B$18+Inputs!$B$19)+MAX(-AS806,0)*(O806+Inputs!$B$18+Inputs!$B$19)+IF(AND(K806=1,AP806&lt;&gt;0),(Inputs!$B$17+Inputs!$B$18+Inputs!$B$19)+(O806+Inputs!$B$18+Inputs!$B$19),0)+MAX(AU806,0)*(Inputs!$B$20+Inputs!$B$22+Inputs!$B$23)+MAX(-AU806,0)*(Inputs!$B$21+Inputs!$B$22+Inputs!$B$23)</f>
        <v>0</v>
      </c>
      <c r="AW806" s="30" t="n">
        <f aca="false">AP805*(M806-AR805*J806)+AP805*AR805*N806/Inputs!$B$16-AV806</f>
        <v>0</v>
      </c>
      <c r="AX806" s="30" t="n">
        <f aca="false">AW806-IF(AP805&lt;&gt;0,0.75*AR805*(Inputs!$B$13-N806)/Inputs!$B$16,0)</f>
        <v>0</v>
      </c>
      <c r="AY806" s="30" t="n">
        <f aca="false">MAX(AS806,0)*(Inputs!$B$17+Inputs!$B$18+Inputs!$B$19)+MAX(-AS806,0)*(O806+Inputs!$B$18+Inputs!$B$19)+IF(AND(K806=1,AP806&lt;&gt;0),(Inputs!$B$17+Inputs!$B$18+Inputs!$B$19)+(O806+Inputs!$B$18+Inputs!$B$19),0)</f>
        <v>0</v>
      </c>
      <c r="AZ806" s="30" t="n">
        <f aca="false">AP805*M806-AY806</f>
        <v>0</v>
      </c>
      <c r="BA806" s="32" t="n">
        <f aca="false">BA805+AI806</f>
        <v>0.0210654146745081</v>
      </c>
      <c r="BB806" s="30" t="n">
        <f aca="false">MAX(BB805,BA806)</f>
        <v>0.0261726191772394</v>
      </c>
      <c r="BC806" s="32" t="n">
        <f aca="false">BA806-BB806</f>
        <v>-0.00510720450273135</v>
      </c>
      <c r="BD806" s="30" t="n">
        <f aca="false">A807-A806</f>
        <v>1</v>
      </c>
    </row>
    <row r="807" customFormat="false" ht="15" hidden="false" customHeight="false" outlineLevel="0" collapsed="false">
      <c r="A807" s="28" t="n">
        <v>46231</v>
      </c>
      <c r="B807" s="0" t="n">
        <v>23983.2</v>
      </c>
      <c r="C807" s="0" t="n">
        <v>273.81</v>
      </c>
      <c r="D807" s="29" t="n">
        <f aca="false">LN(B807)</f>
        <v>10.0851088642157</v>
      </c>
      <c r="E807" s="29" t="n">
        <f aca="false">LN(C807)</f>
        <v>5.6124344351969</v>
      </c>
      <c r="F807" s="0" t="n">
        <v>802</v>
      </c>
      <c r="G807" s="0" t="n">
        <v>0</v>
      </c>
      <c r="H807" s="29" t="n">
        <f aca="false">D807-E807</f>
        <v>4.47267442901879</v>
      </c>
      <c r="I807" s="29" t="n">
        <f aca="false">D807-D806</f>
        <v>-0.0023447255482747</v>
      </c>
      <c r="J807" s="29" t="n">
        <f aca="false">E807-E806</f>
        <v>0.000401819150262384</v>
      </c>
      <c r="K807" s="0" t="n">
        <v>1</v>
      </c>
      <c r="L807" s="0" t="n">
        <v>0</v>
      </c>
      <c r="M807" s="29" t="n">
        <f aca="false">IF(L807=1,J807-Carry!$B$9/Inputs!$B$16,I807)</f>
        <v>-0.0023447255482747</v>
      </c>
      <c r="N807" s="0" t="n">
        <v>0.0525</v>
      </c>
      <c r="O807" s="0" t="n">
        <v>0.0005</v>
      </c>
      <c r="P807" s="29" t="n">
        <f aca="false">D807-('2 Hedge ratio'!$B$6+'2 Hedge ratio'!$B$5*E807)</f>
        <v>-0.018412587734133</v>
      </c>
      <c r="Q807" s="29" t="n">
        <f aca="false">D807-('5 Re-specification'!$B$7+'5 Re-specification'!$B$5*E807+'5 Re-specification'!$B$6*F807)</f>
        <v>-0.00548479614070274</v>
      </c>
      <c r="R807" s="30" t="n">
        <f aca="false">MIN(F807,Inputs!$B$9)</f>
        <v>250</v>
      </c>
      <c r="S807" s="29" t="n">
        <f aca="true">IF(AND(F807&gt;=1,R807&gt;=Inputs!$B$10),INDEX(LINEST(OFFSET(D807,-R807,0,R807,1),OFFSET(E807,-R807,0,R807,2)),1,1),"")</f>
        <v>-3.22155956426836E-005</v>
      </c>
      <c r="T807" s="29" t="n">
        <f aca="true">IF(AND(F807&gt;=1,R807&gt;=Inputs!$B$10),INDEX(LINEST(OFFSET(D807,-R807,0,R807,1),OFFSET(E807,-R807,0,R807,2)),1,2),"")</f>
        <v>1.01989094322005</v>
      </c>
      <c r="U807" s="29" t="n">
        <f aca="true">IF(AND(F807&gt;=1,R807&gt;=Inputs!$B$10),INDEX(LINEST(OFFSET(D807,-R807,0,R807,1),OFFSET(E807,-R807,0,R807,2)),1,3),"")</f>
        <v>4.39312003291496</v>
      </c>
      <c r="V807" s="29" t="n">
        <f aca="true">IF(AND(F807&gt;=1,R807&gt;=Inputs!$B$10),SQRT(SUMPRODUCT((OFFSET(D807,-R807,0,R807,1)-U807-T807*OFFSET(E807,-R807,0,R807,1)-S807*OFFSET(F807,-R807,0,R807,1))^2)/(R807-3)),"")</f>
        <v>0.00231578079857026</v>
      </c>
      <c r="W807" s="31" t="n">
        <f aca="false">IF(AND(F807&gt;=1,R807&gt;=Inputs!$B$10),(D807-U807-T807*E807-S807*F807)/V807,"")</f>
        <v>-2.69684888628653</v>
      </c>
      <c r="X807" s="30" t="n">
        <f aca="false">IF(AB806&lt;&gt;0,AC806+1,0)</f>
        <v>4</v>
      </c>
      <c r="Y807" s="30" t="n">
        <f aca="false">IF(W807="",0,IF(AND(AB806&lt;&gt;0,OR(ABS(W807)&gt;Inputs!$B$7,X807&gt;=Inputs!$B$8,ABS(W807)&lt;Inputs!$B$6)),1,0))</f>
        <v>0</v>
      </c>
      <c r="Z807" s="30" t="n">
        <f aca="false">IF(Y807=1,0,AB806)</f>
        <v>1</v>
      </c>
      <c r="AA807" s="30" t="n">
        <f aca="false">IF(W807="",0,IF(AND(Z807=0,ABS(W807)&gt;Inputs!$B$5,ABS(W807)&lt;=Inputs!$B$7),1,0))</f>
        <v>0</v>
      </c>
      <c r="AB807" s="30" t="n">
        <f aca="false">IF(W807="",0,IF(AA807=1,-SIGN(W807),Z807))</f>
        <v>1</v>
      </c>
      <c r="AC807" s="30" t="n">
        <f aca="false">IF(W807="",0,IF(AA807=1,0,IF(Y807=1,0,X807)))</f>
        <v>4</v>
      </c>
      <c r="AD807" s="29" t="n">
        <f aca="false">IF(AB807=0,0,IF(AB806=AB807,AD806,T807))</f>
        <v>1.01994690898171</v>
      </c>
      <c r="AE807" s="30" t="n">
        <f aca="false">AB807-AB806</f>
        <v>0</v>
      </c>
      <c r="AF807" s="30" t="n">
        <f aca="false">-AD807*AB807</f>
        <v>-1.01994690898171</v>
      </c>
      <c r="AG807" s="30" t="n">
        <f aca="false">AF807-AF806</f>
        <v>0</v>
      </c>
      <c r="AH807" s="32" t="n">
        <f aca="false">MAX(AE807,0)*(Inputs!$B$17+Inputs!$B$18+Inputs!$B$19)+MAX(-AE807,0)*(O807+Inputs!$B$18+Inputs!$B$19)+IF(AND(K807=1,AB807&lt;&gt;0),(Inputs!$B$17+Inputs!$B$18+Inputs!$B$19)+(O807+Inputs!$B$18+Inputs!$B$19),0)+MAX(AG807,0)*(Inputs!$B$20+Inputs!$B$22+Inputs!$B$23)+MAX(-AG807,0)*(Inputs!$B$21+Inputs!$B$22+Inputs!$B$23)</f>
        <v>0.00079</v>
      </c>
      <c r="AI807" s="32" t="n">
        <f aca="false">AB806*(M807-AD806*J807)+AB806*AD806*N807/Inputs!$B$16-AH807</f>
        <v>-0.00333207080918328</v>
      </c>
      <c r="AJ807" s="32" t="n">
        <f aca="false">MAX(AE807,0)*(Inputs!$B$17+Inputs!$B$24+Inputs!$B$25)+MAX(-AE807,0)*(O807+Inputs!$B$24+Inputs!$B$25)+IF(AND(K807=1,AB807&lt;&gt;0),(Inputs!$B$17+Inputs!$B$24+Inputs!$B$25)+(O807+Inputs!$B$24+Inputs!$B$25),0)+MAX(AG807,0)*(Inputs!$B$20+Inputs!$B$26+Inputs!$B$27)+MAX(-AG807,0)*(Inputs!$B$21+Inputs!$B$26+Inputs!$B$27)</f>
        <v>0.00066</v>
      </c>
      <c r="AK807" s="32" t="n">
        <f aca="false">AB806*(M807-AD806*J807)+AB806*AD806*(N807+Inputs!$B$14)/Inputs!$B$16-AJ807</f>
        <v>-0.00317171524641597</v>
      </c>
      <c r="AL807" s="30" t="n">
        <f aca="false">IF(AP806&lt;&gt;0,AQ806+1,0)</f>
        <v>0</v>
      </c>
      <c r="AM807" s="30" t="n">
        <f aca="false">IF(W807="",0,IF(AND(AP806&lt;&gt;0,OR(ABS(W807)&gt;Inputs!$B$7,AL807&gt;=Inputs!$B$8,ABS(W807)&lt;Inputs!$B$6)),1,0))</f>
        <v>0</v>
      </c>
      <c r="AN807" s="30" t="n">
        <f aca="false">IF(AM807=1,0,AP806)</f>
        <v>0</v>
      </c>
      <c r="AO807" s="30" t="n">
        <f aca="false">IF(W807="",0,IF(AND(AN807=0,ABS(W807)&gt;Inputs!$B$5,ABS(W807)&lt;=Inputs!$B$7,W807&gt;0),1,0))</f>
        <v>0</v>
      </c>
      <c r="AP807" s="30" t="n">
        <f aca="false">IF(W807="",0,IF(AO807=1,-SIGN(W807),AN807))</f>
        <v>0</v>
      </c>
      <c r="AQ807" s="30" t="n">
        <f aca="false">IF(W807="",0,IF(AO807=1,0,IF(AM807=1,0,AL807)))</f>
        <v>0</v>
      </c>
      <c r="AR807" s="30" t="n">
        <f aca="false">IF(AP807=0,0,IF(AP806=AP807,AR806,T807))</f>
        <v>0</v>
      </c>
      <c r="AS807" s="30" t="n">
        <f aca="false">AP807-AP806</f>
        <v>0</v>
      </c>
      <c r="AT807" s="30" t="n">
        <f aca="false">-AR807*AP807</f>
        <v>-0</v>
      </c>
      <c r="AU807" s="30" t="n">
        <f aca="false">AT807-AT806</f>
        <v>0</v>
      </c>
      <c r="AV807" s="30" t="n">
        <f aca="false">MAX(AS807,0)*(Inputs!$B$17+Inputs!$B$18+Inputs!$B$19)+MAX(-AS807,0)*(O807+Inputs!$B$18+Inputs!$B$19)+IF(AND(K807=1,AP807&lt;&gt;0),(Inputs!$B$17+Inputs!$B$18+Inputs!$B$19)+(O807+Inputs!$B$18+Inputs!$B$19),0)+MAX(AU807,0)*(Inputs!$B$20+Inputs!$B$22+Inputs!$B$23)+MAX(-AU807,0)*(Inputs!$B$21+Inputs!$B$22+Inputs!$B$23)</f>
        <v>0</v>
      </c>
      <c r="AW807" s="30" t="n">
        <f aca="false">AP806*(M807-AR806*J807)+AP806*AR806*N807/Inputs!$B$16-AV807</f>
        <v>0</v>
      </c>
      <c r="AX807" s="30" t="n">
        <f aca="false">AW807-IF(AP806&lt;&gt;0,0.75*AR806*(Inputs!$B$13-N807)/Inputs!$B$16,0)</f>
        <v>0</v>
      </c>
      <c r="AY807" s="30" t="n">
        <f aca="false">MAX(AS807,0)*(Inputs!$B$17+Inputs!$B$18+Inputs!$B$19)+MAX(-AS807,0)*(O807+Inputs!$B$18+Inputs!$B$19)+IF(AND(K807=1,AP807&lt;&gt;0),(Inputs!$B$17+Inputs!$B$18+Inputs!$B$19)+(O807+Inputs!$B$18+Inputs!$B$19),0)</f>
        <v>0</v>
      </c>
      <c r="AZ807" s="30" t="n">
        <f aca="false">AP806*M807-AY807</f>
        <v>-0</v>
      </c>
      <c r="BA807" s="32" t="n">
        <f aca="false">BA806+AI807</f>
        <v>0.0177333438653248</v>
      </c>
      <c r="BB807" s="30" t="n">
        <f aca="false">MAX(BB806,BA807)</f>
        <v>0.0261726191772394</v>
      </c>
      <c r="BC807" s="32" t="n">
        <f aca="false">BA807-BB807</f>
        <v>-0.00843927531191463</v>
      </c>
      <c r="BD807" s="30" t="n">
        <f aca="false">A808-A807</f>
        <v>1</v>
      </c>
    </row>
    <row r="808" customFormat="false" ht="15" hidden="false" customHeight="false" outlineLevel="0" collapsed="false">
      <c r="A808" s="28" t="n">
        <v>46232</v>
      </c>
      <c r="B808" s="0" t="n">
        <v>24303.4</v>
      </c>
      <c r="C808" s="0" t="n">
        <v>275.6</v>
      </c>
      <c r="D808" s="29" t="n">
        <f aca="false">LN(B808)</f>
        <v>10.0983715372365</v>
      </c>
      <c r="E808" s="29" t="n">
        <f aca="false">LN(C808)</f>
        <v>5.6189505391395</v>
      </c>
      <c r="F808" s="0" t="n">
        <v>803</v>
      </c>
      <c r="G808" s="0" t="n">
        <v>27</v>
      </c>
      <c r="H808" s="29" t="n">
        <f aca="false">D808-E808</f>
        <v>4.47942099809704</v>
      </c>
      <c r="I808" s="29" t="n">
        <f aca="false">D808-D807</f>
        <v>0.013262673020856</v>
      </c>
      <c r="J808" s="29" t="n">
        <f aca="false">E808-E807</f>
        <v>0.00651610394260782</v>
      </c>
      <c r="K808" s="0" t="n">
        <v>0</v>
      </c>
      <c r="L808" s="0" t="n">
        <v>1</v>
      </c>
      <c r="M808" s="29" t="n">
        <f aca="false">IF(L808=1,J808-Carry!$B$9/Inputs!$B$16,I808)</f>
        <v>0.00625664576088669</v>
      </c>
      <c r="N808" s="0" t="n">
        <v>0.0525</v>
      </c>
      <c r="O808" s="0" t="n">
        <v>0.0005</v>
      </c>
      <c r="P808" s="29" t="n">
        <f aca="false">D808-('2 Hedge ratio'!$B$6+'2 Hedge ratio'!$B$5*E808)</f>
        <v>-0.0111194919011339</v>
      </c>
      <c r="Q808" s="29" t="n">
        <f aca="false">D808-('5 Re-specification'!$B$7+'5 Re-specification'!$B$5*E808+'5 Re-specification'!$B$6*F808)</f>
        <v>0.00132644930877746</v>
      </c>
      <c r="R808" s="30" t="n">
        <f aca="false">MIN(F808,Inputs!$B$9)</f>
        <v>250</v>
      </c>
      <c r="S808" s="29" t="n">
        <f aca="true">IF(AND(F808&gt;=1,R808&gt;=Inputs!$B$10),INDEX(LINEST(OFFSET(D808,-R808,0,R808,1),OFFSET(E808,-R808,0,R808,2)),1,1),"")</f>
        <v>-3.27980835495049E-005</v>
      </c>
      <c r="T808" s="29" t="n">
        <f aca="true">IF(AND(F808&gt;=1,R808&gt;=Inputs!$B$10),INDEX(LINEST(OFFSET(D808,-R808,0,R808,1),OFFSET(E808,-R808,0,R808,2)),1,2),"")</f>
        <v>1.01973210811021</v>
      </c>
      <c r="U808" s="29" t="n">
        <f aca="true">IF(AND(F808&gt;=1,R808&gt;=Inputs!$B$10),INDEX(LINEST(OFFSET(D808,-R808,0,R808,1),OFFSET(E808,-R808,0,R808,2)),1,3),"")</f>
        <v>4.39438265877213</v>
      </c>
      <c r="V808" s="29" t="n">
        <f aca="true">IF(AND(F808&gt;=1,R808&gt;=Inputs!$B$10),SQRT(SUMPRODUCT((OFFSET(D808,-R808,0,R808,1)-U808-T808*OFFSET(E808,-R808,0,R808,1)-S808*OFFSET(F808,-R808,0,R808,1))^2)/(R808-3)),"")</f>
        <v>0.00234882899342883</v>
      </c>
      <c r="W808" s="31" t="n">
        <f aca="false">IF(AND(F808&gt;=1,R808&gt;=Inputs!$B$10),(D808-U808-T808*E808-S808*F808)/V808,"")</f>
        <v>0.21349400589258</v>
      </c>
      <c r="X808" s="30" t="n">
        <f aca="false">IF(AB807&lt;&gt;0,AC807+1,0)</f>
        <v>5</v>
      </c>
      <c r="Y808" s="30" t="n">
        <f aca="false">IF(W808="",0,IF(AND(AB807&lt;&gt;0,OR(ABS(W808)&gt;Inputs!$B$7,X808&gt;=Inputs!$B$8,ABS(W808)&lt;Inputs!$B$6)),1,0))</f>
        <v>1</v>
      </c>
      <c r="Z808" s="30" t="n">
        <f aca="false">IF(Y808=1,0,AB807)</f>
        <v>0</v>
      </c>
      <c r="AA808" s="30" t="n">
        <f aca="false">IF(W808="",0,IF(AND(Z808=0,ABS(W808)&gt;Inputs!$B$5,ABS(W808)&lt;=Inputs!$B$7),1,0))</f>
        <v>0</v>
      </c>
      <c r="AB808" s="30" t="n">
        <f aca="false">IF(W808="",0,IF(AA808=1,-SIGN(W808),Z808))</f>
        <v>0</v>
      </c>
      <c r="AC808" s="30" t="n">
        <f aca="false">IF(W808="",0,IF(AA808=1,0,IF(Y808=1,0,X808)))</f>
        <v>0</v>
      </c>
      <c r="AD808" s="30" t="n">
        <f aca="false">IF(AB808=0,0,IF(AB807=AB808,AD807,T808))</f>
        <v>0</v>
      </c>
      <c r="AE808" s="30" t="n">
        <f aca="false">AB808-AB807</f>
        <v>-1</v>
      </c>
      <c r="AF808" s="30" t="n">
        <f aca="false">-AD808*AB808</f>
        <v>-0</v>
      </c>
      <c r="AG808" s="30" t="n">
        <f aca="false">AF808-AF807</f>
        <v>1.01994690898171</v>
      </c>
      <c r="AH808" s="30" t="n">
        <f aca="false">MAX(AE808,0)*(Inputs!$B$17+Inputs!$B$18+Inputs!$B$19)+MAX(-AE808,0)*(O808+Inputs!$B$18+Inputs!$B$19)+IF(AND(K808=1,AB808&lt;&gt;0),(Inputs!$B$17+Inputs!$B$18+Inputs!$B$19)+(O808+Inputs!$B$18+Inputs!$B$19),0)+MAX(AG808,0)*(Inputs!$B$20+Inputs!$B$22+Inputs!$B$23)+MAX(-AG808,0)*(Inputs!$B$21+Inputs!$B$22+Inputs!$B$23)</f>
        <v>0.000991981418143597</v>
      </c>
      <c r="AI808" s="30" t="n">
        <f aca="false">AB807*(M808-AD807*J808)+AB807*AD807*N808/Inputs!$B$16-AH808</f>
        <v>-0.00116892679275208</v>
      </c>
      <c r="AJ808" s="30" t="n">
        <f aca="false">MAX(AE808,0)*(Inputs!$B$17+Inputs!$B$24+Inputs!$B$25)+MAX(-AE808,0)*(O808+Inputs!$B$24+Inputs!$B$25)+IF(AND(K808=1,AB808&lt;&gt;0),(Inputs!$B$17+Inputs!$B$24+Inputs!$B$25)+(O808+Inputs!$B$24+Inputs!$B$25),0)+MAX(AG808,0)*(Inputs!$B$20+Inputs!$B$26+Inputs!$B$27)+MAX(-AG808,0)*(Inputs!$B$21+Inputs!$B$26+Inputs!$B$27)</f>
        <v>0.000830086461790335</v>
      </c>
      <c r="AK808" s="30" t="n">
        <f aca="false">AB807*(M808-AD807*J808)+AB807*AD807*(N808+Inputs!$B$14)/Inputs!$B$16-AJ808</f>
        <v>-0.000976676273631504</v>
      </c>
      <c r="AL808" s="30" t="n">
        <f aca="false">IF(AP807&lt;&gt;0,AQ807+1,0)</f>
        <v>0</v>
      </c>
      <c r="AM808" s="30" t="n">
        <f aca="false">IF(W808="",0,IF(AND(AP807&lt;&gt;0,OR(ABS(W808)&gt;Inputs!$B$7,AL808&gt;=Inputs!$B$8,ABS(W808)&lt;Inputs!$B$6)),1,0))</f>
        <v>0</v>
      </c>
      <c r="AN808" s="30" t="n">
        <f aca="false">IF(AM808=1,0,AP807)</f>
        <v>0</v>
      </c>
      <c r="AO808" s="30" t="n">
        <f aca="false">IF(W808="",0,IF(AND(AN808=0,ABS(W808)&gt;Inputs!$B$5,ABS(W808)&lt;=Inputs!$B$7,W808&gt;0),1,0))</f>
        <v>0</v>
      </c>
      <c r="AP808" s="30" t="n">
        <f aca="false">IF(W808="",0,IF(AO808=1,-SIGN(W808),AN808))</f>
        <v>0</v>
      </c>
      <c r="AQ808" s="30" t="n">
        <f aca="false">IF(W808="",0,IF(AO808=1,0,IF(AM808=1,0,AL808)))</f>
        <v>0</v>
      </c>
      <c r="AR808" s="30" t="n">
        <f aca="false">IF(AP808=0,0,IF(AP807=AP808,AR807,T808))</f>
        <v>0</v>
      </c>
      <c r="AS808" s="30" t="n">
        <f aca="false">AP808-AP807</f>
        <v>0</v>
      </c>
      <c r="AT808" s="30" t="n">
        <f aca="false">-AR808*AP808</f>
        <v>-0</v>
      </c>
      <c r="AU808" s="30" t="n">
        <f aca="false">AT808-AT807</f>
        <v>0</v>
      </c>
      <c r="AV808" s="30" t="n">
        <f aca="false">MAX(AS808,0)*(Inputs!$B$17+Inputs!$B$18+Inputs!$B$19)+MAX(-AS808,0)*(O808+Inputs!$B$18+Inputs!$B$19)+IF(AND(K808=1,AP808&lt;&gt;0),(Inputs!$B$17+Inputs!$B$18+Inputs!$B$19)+(O808+Inputs!$B$18+Inputs!$B$19),0)+MAX(AU808,0)*(Inputs!$B$20+Inputs!$B$22+Inputs!$B$23)+MAX(-AU808,0)*(Inputs!$B$21+Inputs!$B$22+Inputs!$B$23)</f>
        <v>0</v>
      </c>
      <c r="AW808" s="30" t="n">
        <f aca="false">AP807*(M808-AR807*J808)+AP807*AR807*N808/Inputs!$B$16-AV808</f>
        <v>0</v>
      </c>
      <c r="AX808" s="30" t="n">
        <f aca="false">AW808-IF(AP807&lt;&gt;0,0.75*AR807*(Inputs!$B$13-N808)/Inputs!$B$16,0)</f>
        <v>0</v>
      </c>
      <c r="AY808" s="30" t="n">
        <f aca="false">MAX(AS808,0)*(Inputs!$B$17+Inputs!$B$18+Inputs!$B$19)+MAX(-AS808,0)*(O808+Inputs!$B$18+Inputs!$B$19)+IF(AND(K808=1,AP808&lt;&gt;0),(Inputs!$B$17+Inputs!$B$18+Inputs!$B$19)+(O808+Inputs!$B$18+Inputs!$B$19),0)</f>
        <v>0</v>
      </c>
      <c r="AZ808" s="30" t="n">
        <f aca="false">AP807*M808-AY808</f>
        <v>0</v>
      </c>
      <c r="BA808" s="32" t="n">
        <f aca="false">BA807+AI808</f>
        <v>0.0165644170725727</v>
      </c>
      <c r="BB808" s="30" t="n">
        <f aca="false">MAX(BB807,BA808)</f>
        <v>0.0261726191772394</v>
      </c>
      <c r="BC808" s="32" t="n">
        <f aca="false">BA808-BB808</f>
        <v>-0.00960820210466671</v>
      </c>
      <c r="BD808" s="30" t="n">
        <f aca="false">A809-A808</f>
        <v>1</v>
      </c>
    </row>
    <row r="809" customFormat="false" ht="15" hidden="false" customHeight="false" outlineLevel="0" collapsed="false">
      <c r="A809" s="28" t="n">
        <v>46233</v>
      </c>
      <c r="B809" s="0" t="n">
        <v>24357.3</v>
      </c>
      <c r="C809" s="0" t="n">
        <v>276.45</v>
      </c>
      <c r="D809" s="29" t="n">
        <f aca="false">LN(B809)</f>
        <v>10.1005868782425</v>
      </c>
      <c r="E809" s="29" t="n">
        <f aca="false">LN(C809)</f>
        <v>5.62202997278394</v>
      </c>
      <c r="F809" s="0" t="n">
        <v>804</v>
      </c>
      <c r="G809" s="0" t="n">
        <v>26</v>
      </c>
      <c r="H809" s="29" t="n">
        <f aca="false">D809-E809</f>
        <v>4.47855690545855</v>
      </c>
      <c r="I809" s="29" t="n">
        <f aca="false">D809-D808</f>
        <v>0.00221534100594134</v>
      </c>
      <c r="J809" s="29" t="n">
        <f aca="false">E809-E808</f>
        <v>0.00307943364443819</v>
      </c>
      <c r="K809" s="0" t="n">
        <v>0</v>
      </c>
      <c r="L809" s="0" t="n">
        <v>0</v>
      </c>
      <c r="M809" s="29" t="n">
        <f aca="false">IF(L809=1,J809-Carry!$B$9/Inputs!$B$16,I809)</f>
        <v>0.00221534100594134</v>
      </c>
      <c r="N809" s="0" t="n">
        <v>0.0525</v>
      </c>
      <c r="O809" s="0" t="n">
        <v>0.0005</v>
      </c>
      <c r="P809" s="29" t="n">
        <f aca="false">D809-('2 Hedge ratio'!$B$6+'2 Hedge ratio'!$B$5*E809)</f>
        <v>-0.0117253024601869</v>
      </c>
      <c r="Q809" s="29" t="n">
        <f aca="false">D809-('5 Re-specification'!$B$7+'5 Re-specification'!$B$5*E809+'5 Re-specification'!$B$6*F809)</f>
        <v>0.000516618212103026</v>
      </c>
      <c r="R809" s="30" t="n">
        <f aca="false">MIN(F809,Inputs!$B$9)</f>
        <v>250</v>
      </c>
      <c r="S809" s="29" t="n">
        <f aca="true">IF(AND(F809&gt;=1,R809&gt;=Inputs!$B$10),INDEX(LINEST(OFFSET(D809,-R809,0,R809,1),OFFSET(E809,-R809,0,R809,2)),1,1),"")</f>
        <v>-3.25373121009526E-005</v>
      </c>
      <c r="T809" s="29" t="n">
        <f aca="true">IF(AND(F809&gt;=1,R809&gt;=Inputs!$B$10),INDEX(LINEST(OFFSET(D809,-R809,0,R809,1),OFFSET(E809,-R809,0,R809,2)),1,2),"")</f>
        <v>1.01992415128513</v>
      </c>
      <c r="U809" s="29" t="n">
        <f aca="true">IF(AND(F809&gt;=1,R809&gt;=Inputs!$B$10),INDEX(LINEST(OFFSET(D809,-R809,0,R809,1),OFFSET(E809,-R809,0,R809,2)),1,3),"")</f>
        <v>4.39311852299152</v>
      </c>
      <c r="V809" s="29" t="n">
        <f aca="true">IF(AND(F809&gt;=1,R809&gt;=Inputs!$B$10),SQRT(SUMPRODUCT((OFFSET(D809,-R809,0,R809,1)-U809-T809*OFFSET(E809,-R809,0,R809,1)-S809*OFFSET(F809,-R809,0,R809,1))^2)/(R809-3)),"")</f>
        <v>0.00234657718851479</v>
      </c>
      <c r="W809" s="31" t="n">
        <f aca="false">IF(AND(F809&gt;=1,R809&gt;=Inputs!$B$10),(D809-U809-T809*E809-S809*F809)/V809,"")</f>
        <v>-0.177191832062737</v>
      </c>
      <c r="X809" s="30" t="n">
        <f aca="false">IF(AB808&lt;&gt;0,AC808+1,0)</f>
        <v>0</v>
      </c>
      <c r="Y809" s="30" t="n">
        <f aca="false">IF(W809="",0,IF(AND(AB808&lt;&gt;0,OR(ABS(W809)&gt;Inputs!$B$7,X809&gt;=Inputs!$B$8,ABS(W809)&lt;Inputs!$B$6)),1,0))</f>
        <v>0</v>
      </c>
      <c r="Z809" s="30" t="n">
        <f aca="false">IF(Y809=1,0,AB808)</f>
        <v>0</v>
      </c>
      <c r="AA809" s="30" t="n">
        <f aca="false">IF(W809="",0,IF(AND(Z809=0,ABS(W809)&gt;Inputs!$B$5,ABS(W809)&lt;=Inputs!$B$7),1,0))</f>
        <v>0</v>
      </c>
      <c r="AB809" s="30" t="n">
        <f aca="false">IF(W809="",0,IF(AA809=1,-SIGN(W809),Z809))</f>
        <v>0</v>
      </c>
      <c r="AC809" s="30" t="n">
        <f aca="false">IF(W809="",0,IF(AA809=1,0,IF(Y809=1,0,X809)))</f>
        <v>0</v>
      </c>
      <c r="AD809" s="30" t="n">
        <f aca="false">IF(AB809=0,0,IF(AB808=AB809,AD808,T809))</f>
        <v>0</v>
      </c>
      <c r="AE809" s="30" t="n">
        <f aca="false">AB809-AB808</f>
        <v>0</v>
      </c>
      <c r="AF809" s="30" t="n">
        <f aca="false">-AD809*AB809</f>
        <v>-0</v>
      </c>
      <c r="AG809" s="30" t="n">
        <f aca="false">AF809-AF808</f>
        <v>0</v>
      </c>
      <c r="AH809" s="30" t="n">
        <f aca="false">MAX(AE809,0)*(Inputs!$B$17+Inputs!$B$18+Inputs!$B$19)+MAX(-AE809,0)*(O809+Inputs!$B$18+Inputs!$B$19)+IF(AND(K809=1,AB809&lt;&gt;0),(Inputs!$B$17+Inputs!$B$18+Inputs!$B$19)+(O809+Inputs!$B$18+Inputs!$B$19),0)+MAX(AG809,0)*(Inputs!$B$20+Inputs!$B$22+Inputs!$B$23)+MAX(-AG809,0)*(Inputs!$B$21+Inputs!$B$22+Inputs!$B$23)</f>
        <v>0</v>
      </c>
      <c r="AI809" s="30" t="n">
        <f aca="false">AB808*(M809-AD808*J809)+AB808*AD808*N809/Inputs!$B$16-AH809</f>
        <v>0</v>
      </c>
      <c r="AJ809" s="30" t="n">
        <f aca="false">MAX(AE809,0)*(Inputs!$B$17+Inputs!$B$24+Inputs!$B$25)+MAX(-AE809,0)*(O809+Inputs!$B$24+Inputs!$B$25)+IF(AND(K809=1,AB809&lt;&gt;0),(Inputs!$B$17+Inputs!$B$24+Inputs!$B$25)+(O809+Inputs!$B$24+Inputs!$B$25),0)+MAX(AG809,0)*(Inputs!$B$20+Inputs!$B$26+Inputs!$B$27)+MAX(-AG809,0)*(Inputs!$B$21+Inputs!$B$26+Inputs!$B$27)</f>
        <v>0</v>
      </c>
      <c r="AK809" s="30" t="n">
        <f aca="false">AB808*(M809-AD808*J809)+AB808*AD808*(N809+Inputs!$B$14)/Inputs!$B$16-AJ809</f>
        <v>0</v>
      </c>
      <c r="AL809" s="30" t="n">
        <f aca="false">IF(AP808&lt;&gt;0,AQ808+1,0)</f>
        <v>0</v>
      </c>
      <c r="AM809" s="30" t="n">
        <f aca="false">IF(W809="",0,IF(AND(AP808&lt;&gt;0,OR(ABS(W809)&gt;Inputs!$B$7,AL809&gt;=Inputs!$B$8,ABS(W809)&lt;Inputs!$B$6)),1,0))</f>
        <v>0</v>
      </c>
      <c r="AN809" s="30" t="n">
        <f aca="false">IF(AM809=1,0,AP808)</f>
        <v>0</v>
      </c>
      <c r="AO809" s="30" t="n">
        <f aca="false">IF(W809="",0,IF(AND(AN809=0,ABS(W809)&gt;Inputs!$B$5,ABS(W809)&lt;=Inputs!$B$7,W809&gt;0),1,0))</f>
        <v>0</v>
      </c>
      <c r="AP809" s="30" t="n">
        <f aca="false">IF(W809="",0,IF(AO809=1,-SIGN(W809),AN809))</f>
        <v>0</v>
      </c>
      <c r="AQ809" s="30" t="n">
        <f aca="false">IF(W809="",0,IF(AO809=1,0,IF(AM809=1,0,AL809)))</f>
        <v>0</v>
      </c>
      <c r="AR809" s="30" t="n">
        <f aca="false">IF(AP809=0,0,IF(AP808=AP809,AR808,T809))</f>
        <v>0</v>
      </c>
      <c r="AS809" s="30" t="n">
        <f aca="false">AP809-AP808</f>
        <v>0</v>
      </c>
      <c r="AT809" s="30" t="n">
        <f aca="false">-AR809*AP809</f>
        <v>-0</v>
      </c>
      <c r="AU809" s="30" t="n">
        <f aca="false">AT809-AT808</f>
        <v>0</v>
      </c>
      <c r="AV809" s="30" t="n">
        <f aca="false">MAX(AS809,0)*(Inputs!$B$17+Inputs!$B$18+Inputs!$B$19)+MAX(-AS809,0)*(O809+Inputs!$B$18+Inputs!$B$19)+IF(AND(K809=1,AP809&lt;&gt;0),(Inputs!$B$17+Inputs!$B$18+Inputs!$B$19)+(O809+Inputs!$B$18+Inputs!$B$19),0)+MAX(AU809,0)*(Inputs!$B$20+Inputs!$B$22+Inputs!$B$23)+MAX(-AU809,0)*(Inputs!$B$21+Inputs!$B$22+Inputs!$B$23)</f>
        <v>0</v>
      </c>
      <c r="AW809" s="30" t="n">
        <f aca="false">AP808*(M809-AR808*J809)+AP808*AR808*N809/Inputs!$B$16-AV809</f>
        <v>0</v>
      </c>
      <c r="AX809" s="30" t="n">
        <f aca="false">AW809-IF(AP808&lt;&gt;0,0.75*AR808*(Inputs!$B$13-N809)/Inputs!$B$16,0)</f>
        <v>0</v>
      </c>
      <c r="AY809" s="30" t="n">
        <f aca="false">MAX(AS809,0)*(Inputs!$B$17+Inputs!$B$18+Inputs!$B$19)+MAX(-AS809,0)*(O809+Inputs!$B$18+Inputs!$B$19)+IF(AND(K809=1,AP809&lt;&gt;0),(Inputs!$B$17+Inputs!$B$18+Inputs!$B$19)+(O809+Inputs!$B$18+Inputs!$B$19),0)</f>
        <v>0</v>
      </c>
      <c r="AZ809" s="30" t="n">
        <f aca="false">AP808*M809-AY809</f>
        <v>0</v>
      </c>
      <c r="BA809" s="32" t="n">
        <f aca="false">BA808+AI809</f>
        <v>0.0165644170725727</v>
      </c>
      <c r="BB809" s="30" t="n">
        <f aca="false">MAX(BB808,BA809)</f>
        <v>0.0261726191772394</v>
      </c>
      <c r="BC809" s="32" t="n">
        <f aca="false">BA809-BB809</f>
        <v>-0.00960820210466671</v>
      </c>
      <c r="BD809" s="30" t="n">
        <f aca="false">A810-A809</f>
        <v>1</v>
      </c>
    </row>
    <row r="810" customFormat="false" ht="15" hidden="false" customHeight="false" outlineLevel="0" collapsed="false">
      <c r="A810" s="28" t="n">
        <v>46234</v>
      </c>
      <c r="B810" s="0" t="n">
        <v>24430</v>
      </c>
      <c r="C810" s="0" t="n">
        <v>277.35</v>
      </c>
      <c r="D810" s="29" t="n">
        <f aca="false">LN(B810)</f>
        <v>10.1035671642518</v>
      </c>
      <c r="E810" s="29" t="n">
        <f aca="false">LN(C810)</f>
        <v>5.62528024650124</v>
      </c>
      <c r="F810" s="0" t="n">
        <v>805</v>
      </c>
      <c r="G810" s="0" t="n">
        <v>25</v>
      </c>
      <c r="H810" s="29" t="n">
        <f aca="false">D810-E810</f>
        <v>4.47828691775054</v>
      </c>
      <c r="I810" s="29" t="n">
        <f aca="false">D810-D809</f>
        <v>0.00298028600929889</v>
      </c>
      <c r="J810" s="29" t="n">
        <f aca="false">E810-E809</f>
        <v>0.00325027371730169</v>
      </c>
      <c r="K810" s="0" t="n">
        <v>0</v>
      </c>
      <c r="L810" s="0" t="n">
        <v>0</v>
      </c>
      <c r="M810" s="29" t="n">
        <f aca="false">IF(L810=1,J810-Carry!$B$9/Inputs!$B$16,I810)</f>
        <v>0.00298028600929889</v>
      </c>
      <c r="N810" s="0" t="n">
        <v>0.0525</v>
      </c>
      <c r="O810" s="0" t="n">
        <v>0.0005</v>
      </c>
      <c r="P810" s="29" t="n">
        <f aca="false">D810-('2 Hedge ratio'!$B$6+'2 Hedge ratio'!$B$5*E810)</f>
        <v>-0.0117226791781846</v>
      </c>
      <c r="Q810" s="29" t="n">
        <f aca="false">D810-('5 Re-specification'!$B$7+'5 Re-specification'!$B$5*E810+'5 Re-specification'!$B$6*F810)</f>
        <v>0.000301409776767514</v>
      </c>
      <c r="R810" s="30" t="n">
        <f aca="false">MIN(F810,Inputs!$B$9)</f>
        <v>250</v>
      </c>
      <c r="S810" s="29" t="n">
        <f aca="true">IF(AND(F810&gt;=1,R810&gt;=Inputs!$B$10),INDEX(LINEST(OFFSET(D810,-R810,0,R810,1),OFFSET(E810,-R810,0,R810,2)),1,1),"")</f>
        <v>-3.26430682555226E-005</v>
      </c>
      <c r="T810" s="29" t="n">
        <f aca="true">IF(AND(F810&gt;=1,R810&gt;=Inputs!$B$10),INDEX(LINEST(OFFSET(D810,-R810,0,R810,1),OFFSET(E810,-R810,0,R810,2)),1,2),"")</f>
        <v>1.01984069167581</v>
      </c>
      <c r="U810" s="29" t="n">
        <f aca="true">IF(AND(F810&gt;=1,R810&gt;=Inputs!$B$10),INDEX(LINEST(OFFSET(D810,-R810,0,R810,1),OFFSET(E810,-R810,0,R810,2)),1,3),"")</f>
        <v>4.39366096838185</v>
      </c>
      <c r="V810" s="29" t="n">
        <f aca="true">IF(AND(F810&gt;=1,R810&gt;=Inputs!$B$10),SQRT(SUMPRODUCT((OFFSET(D810,-R810,0,R810,1)-U810-T810*OFFSET(E810,-R810,0,R810,1)-S810*OFFSET(F810,-R810,0,R810,1))^2)/(R810-3)),"")</f>
        <v>0.0023465419584784</v>
      </c>
      <c r="W810" s="31" t="n">
        <f aca="false">IF(AND(F810&gt;=1,R810&gt;=Inputs!$B$10),(D810-U810-T810*E810-S810*F810)/V810,"")</f>
        <v>-0.300796516293098</v>
      </c>
      <c r="X810" s="30" t="n">
        <f aca="false">IF(AB809&lt;&gt;0,AC809+1,0)</f>
        <v>0</v>
      </c>
      <c r="Y810" s="30" t="n">
        <f aca="false">IF(W810="",0,IF(AND(AB809&lt;&gt;0,OR(ABS(W810)&gt;Inputs!$B$7,X810&gt;=Inputs!$B$8,ABS(W810)&lt;Inputs!$B$6)),1,0))</f>
        <v>0</v>
      </c>
      <c r="Z810" s="30" t="n">
        <f aca="false">IF(Y810=1,0,AB809)</f>
        <v>0</v>
      </c>
      <c r="AA810" s="30" t="n">
        <f aca="false">IF(W810="",0,IF(AND(Z810=0,ABS(W810)&gt;Inputs!$B$5,ABS(W810)&lt;=Inputs!$B$7),1,0))</f>
        <v>0</v>
      </c>
      <c r="AB810" s="30" t="n">
        <f aca="false">IF(W810="",0,IF(AA810=1,-SIGN(W810),Z810))</f>
        <v>0</v>
      </c>
      <c r="AC810" s="30" t="n">
        <f aca="false">IF(W810="",0,IF(AA810=1,0,IF(Y810=1,0,X810)))</f>
        <v>0</v>
      </c>
      <c r="AD810" s="30" t="n">
        <f aca="false">IF(AB810=0,0,IF(AB809=AB810,AD809,T810))</f>
        <v>0</v>
      </c>
      <c r="AE810" s="30" t="n">
        <f aca="false">AB810-AB809</f>
        <v>0</v>
      </c>
      <c r="AF810" s="30" t="n">
        <f aca="false">-AD810*AB810</f>
        <v>-0</v>
      </c>
      <c r="AG810" s="30" t="n">
        <f aca="false">AF810-AF809</f>
        <v>0</v>
      </c>
      <c r="AH810" s="30" t="n">
        <f aca="false">MAX(AE810,0)*(Inputs!$B$17+Inputs!$B$18+Inputs!$B$19)+MAX(-AE810,0)*(O810+Inputs!$B$18+Inputs!$B$19)+IF(AND(K810=1,AB810&lt;&gt;0),(Inputs!$B$17+Inputs!$B$18+Inputs!$B$19)+(O810+Inputs!$B$18+Inputs!$B$19),0)+MAX(AG810,0)*(Inputs!$B$20+Inputs!$B$22+Inputs!$B$23)+MAX(-AG810,0)*(Inputs!$B$21+Inputs!$B$22+Inputs!$B$23)</f>
        <v>0</v>
      </c>
      <c r="AI810" s="30" t="n">
        <f aca="false">AB809*(M810-AD809*J810)+AB809*AD809*N810/Inputs!$B$16-AH810</f>
        <v>0</v>
      </c>
      <c r="AJ810" s="30" t="n">
        <f aca="false">MAX(AE810,0)*(Inputs!$B$17+Inputs!$B$24+Inputs!$B$25)+MAX(-AE810,0)*(O810+Inputs!$B$24+Inputs!$B$25)+IF(AND(K810=1,AB810&lt;&gt;0),(Inputs!$B$17+Inputs!$B$24+Inputs!$B$25)+(O810+Inputs!$B$24+Inputs!$B$25),0)+MAX(AG810,0)*(Inputs!$B$20+Inputs!$B$26+Inputs!$B$27)+MAX(-AG810,0)*(Inputs!$B$21+Inputs!$B$26+Inputs!$B$27)</f>
        <v>0</v>
      </c>
      <c r="AK810" s="30" t="n">
        <f aca="false">AB809*(M810-AD809*J810)+AB809*AD809*(N810+Inputs!$B$14)/Inputs!$B$16-AJ810</f>
        <v>0</v>
      </c>
      <c r="AL810" s="30" t="n">
        <f aca="false">IF(AP809&lt;&gt;0,AQ809+1,0)</f>
        <v>0</v>
      </c>
      <c r="AM810" s="30" t="n">
        <f aca="false">IF(W810="",0,IF(AND(AP809&lt;&gt;0,OR(ABS(W810)&gt;Inputs!$B$7,AL810&gt;=Inputs!$B$8,ABS(W810)&lt;Inputs!$B$6)),1,0))</f>
        <v>0</v>
      </c>
      <c r="AN810" s="30" t="n">
        <f aca="false">IF(AM810=1,0,AP809)</f>
        <v>0</v>
      </c>
      <c r="AO810" s="30" t="n">
        <f aca="false">IF(W810="",0,IF(AND(AN810=0,ABS(W810)&gt;Inputs!$B$5,ABS(W810)&lt;=Inputs!$B$7,W810&gt;0),1,0))</f>
        <v>0</v>
      </c>
      <c r="AP810" s="30" t="n">
        <f aca="false">IF(W810="",0,IF(AO810=1,-SIGN(W810),AN810))</f>
        <v>0</v>
      </c>
      <c r="AQ810" s="30" t="n">
        <f aca="false">IF(W810="",0,IF(AO810=1,0,IF(AM810=1,0,AL810)))</f>
        <v>0</v>
      </c>
      <c r="AR810" s="30" t="n">
        <f aca="false">IF(AP810=0,0,IF(AP809=AP810,AR809,T810))</f>
        <v>0</v>
      </c>
      <c r="AS810" s="30" t="n">
        <f aca="false">AP810-AP809</f>
        <v>0</v>
      </c>
      <c r="AT810" s="30" t="n">
        <f aca="false">-AR810*AP810</f>
        <v>-0</v>
      </c>
      <c r="AU810" s="30" t="n">
        <f aca="false">AT810-AT809</f>
        <v>0</v>
      </c>
      <c r="AV810" s="30" t="n">
        <f aca="false">MAX(AS810,0)*(Inputs!$B$17+Inputs!$B$18+Inputs!$B$19)+MAX(-AS810,0)*(O810+Inputs!$B$18+Inputs!$B$19)+IF(AND(K810=1,AP810&lt;&gt;0),(Inputs!$B$17+Inputs!$B$18+Inputs!$B$19)+(O810+Inputs!$B$18+Inputs!$B$19),0)+MAX(AU810,0)*(Inputs!$B$20+Inputs!$B$22+Inputs!$B$23)+MAX(-AU810,0)*(Inputs!$B$21+Inputs!$B$22+Inputs!$B$23)</f>
        <v>0</v>
      </c>
      <c r="AW810" s="30" t="n">
        <f aca="false">AP809*(M810-AR809*J810)+AP809*AR809*N810/Inputs!$B$16-AV810</f>
        <v>0</v>
      </c>
      <c r="AX810" s="30" t="n">
        <f aca="false">AW810-IF(AP809&lt;&gt;0,0.75*AR809*(Inputs!$B$13-N810)/Inputs!$B$16,0)</f>
        <v>0</v>
      </c>
      <c r="AY810" s="30" t="n">
        <f aca="false">MAX(AS810,0)*(Inputs!$B$17+Inputs!$B$18+Inputs!$B$19)+MAX(-AS810,0)*(O810+Inputs!$B$18+Inputs!$B$19)+IF(AND(K810=1,AP810&lt;&gt;0),(Inputs!$B$17+Inputs!$B$18+Inputs!$B$19)+(O810+Inputs!$B$18+Inputs!$B$19),0)</f>
        <v>0</v>
      </c>
      <c r="AZ810" s="30" t="n">
        <f aca="false">AP809*M810-AY810</f>
        <v>0</v>
      </c>
      <c r="BA810" s="32" t="n">
        <f aca="false">BA809+AI810</f>
        <v>0.0165644170725727</v>
      </c>
      <c r="BB810" s="30" t="n">
        <f aca="false">MAX(BB809,BA810)</f>
        <v>0.0261726191772394</v>
      </c>
      <c r="BC810" s="32" t="n">
        <f aca="false">BA810-BB810</f>
        <v>-0.00960820210466671</v>
      </c>
      <c r="BD810" s="30" t="n">
        <f aca="false">A811-A810</f>
        <v>3</v>
      </c>
    </row>
    <row r="811" customFormat="false" ht="15" hidden="false" customHeight="false" outlineLevel="0" collapsed="false">
      <c r="A811" s="28" t="n">
        <v>46237</v>
      </c>
      <c r="B811" s="0" t="n">
        <v>24646</v>
      </c>
      <c r="C811" s="0" t="n">
        <v>279.99</v>
      </c>
      <c r="D811" s="29" t="n">
        <f aca="false">LN(B811)</f>
        <v>10.1123698944981</v>
      </c>
      <c r="E811" s="29" t="n">
        <f aca="false">LN(C811)</f>
        <v>5.63475388824577</v>
      </c>
      <c r="F811" s="0" t="n">
        <v>806</v>
      </c>
      <c r="G811" s="0" t="n">
        <v>22</v>
      </c>
      <c r="H811" s="29" t="n">
        <f aca="false">D811-E811</f>
        <v>4.4776160062523</v>
      </c>
      <c r="I811" s="29" t="n">
        <f aca="false">D811-D810</f>
        <v>0.00880273024628231</v>
      </c>
      <c r="J811" s="29" t="n">
        <f aca="false">E811-E810</f>
        <v>0.00947364174452137</v>
      </c>
      <c r="K811" s="0" t="n">
        <v>0</v>
      </c>
      <c r="L811" s="0" t="n">
        <v>0</v>
      </c>
      <c r="M811" s="29" t="n">
        <f aca="false">IF(L811=1,J811-Carry!$B$9/Inputs!$B$16,I811)</f>
        <v>0.00880273024628231</v>
      </c>
      <c r="N811" s="0" t="n">
        <v>0.0525</v>
      </c>
      <c r="O811" s="0" t="n">
        <v>0.0005</v>
      </c>
      <c r="P811" s="29" t="n">
        <f aca="false">D811-('2 Hedge ratio'!$B$6+'2 Hedge ratio'!$B$5*E811)</f>
        <v>-0.0115990056415729</v>
      </c>
      <c r="Q811" s="29" t="n">
        <f aca="false">D811-('5 Re-specification'!$B$7+'5 Re-specification'!$B$5*E811+'5 Re-specification'!$B$6*F811)</f>
        <v>-0.000295862531867641</v>
      </c>
      <c r="R811" s="30" t="n">
        <f aca="false">MIN(F811,Inputs!$B$9)</f>
        <v>250</v>
      </c>
      <c r="S811" s="29" t="n">
        <f aca="true">IF(AND(F811&gt;=1,R811&gt;=Inputs!$B$10),INDEX(LINEST(OFFSET(D811,-R811,0,R811,1),OFFSET(E811,-R811,0,R811,2)),1,1),"")</f>
        <v>-3.29553402972519E-005</v>
      </c>
      <c r="T811" s="29" t="n">
        <f aca="true">IF(AND(F811&gt;=1,R811&gt;=Inputs!$B$10),INDEX(LINEST(OFFSET(D811,-R811,0,R811,1),OFFSET(E811,-R811,0,R811,2)),1,2),"")</f>
        <v>1.0195285448322</v>
      </c>
      <c r="U811" s="29" t="n">
        <f aca="true">IF(AND(F811&gt;=1,R811&gt;=Inputs!$B$10),INDEX(LINEST(OFFSET(D811,-R811,0,R811,1),OFFSET(E811,-R811,0,R811,2)),1,3),"")</f>
        <v>4.39563678152099</v>
      </c>
      <c r="V811" s="29" t="n">
        <f aca="true">IF(AND(F811&gt;=1,R811&gt;=Inputs!$B$10),SQRT(SUMPRODUCT((OFFSET(D811,-R811,0,R811,1)-U811-T811*OFFSET(E811,-R811,0,R811,1)-S811*OFFSET(F811,-R811,0,R811,1))^2)/(R811-3)),"")</f>
        <v>0.00234451317118965</v>
      </c>
      <c r="W811" s="31" t="n">
        <f aca="false">IF(AND(F811&gt;=1,R811&gt;=Inputs!$B$10),(D811-U811-T811*E811-S811*F811)/V811,"")</f>
        <v>-0.63864640749348</v>
      </c>
      <c r="X811" s="30" t="n">
        <f aca="false">IF(AB810&lt;&gt;0,AC810+1,0)</f>
        <v>0</v>
      </c>
      <c r="Y811" s="30" t="n">
        <f aca="false">IF(W811="",0,IF(AND(AB810&lt;&gt;0,OR(ABS(W811)&gt;Inputs!$B$7,X811&gt;=Inputs!$B$8,ABS(W811)&lt;Inputs!$B$6)),1,0))</f>
        <v>0</v>
      </c>
      <c r="Z811" s="30" t="n">
        <f aca="false">IF(Y811=1,0,AB810)</f>
        <v>0</v>
      </c>
      <c r="AA811" s="30" t="n">
        <f aca="false">IF(W811="",0,IF(AND(Z811=0,ABS(W811)&gt;Inputs!$B$5,ABS(W811)&lt;=Inputs!$B$7),1,0))</f>
        <v>0</v>
      </c>
      <c r="AB811" s="30" t="n">
        <f aca="false">IF(W811="",0,IF(AA811=1,-SIGN(W811),Z811))</f>
        <v>0</v>
      </c>
      <c r="AC811" s="30" t="n">
        <f aca="false">IF(W811="",0,IF(AA811=1,0,IF(Y811=1,0,X811)))</f>
        <v>0</v>
      </c>
      <c r="AD811" s="30" t="n">
        <f aca="false">IF(AB811=0,0,IF(AB810=AB811,AD810,T811))</f>
        <v>0</v>
      </c>
      <c r="AE811" s="30" t="n">
        <f aca="false">AB811-AB810</f>
        <v>0</v>
      </c>
      <c r="AF811" s="30" t="n">
        <f aca="false">-AD811*AB811</f>
        <v>-0</v>
      </c>
      <c r="AG811" s="30" t="n">
        <f aca="false">AF811-AF810</f>
        <v>0</v>
      </c>
      <c r="AH811" s="30" t="n">
        <f aca="false">MAX(AE811,0)*(Inputs!$B$17+Inputs!$B$18+Inputs!$B$19)+MAX(-AE811,0)*(O811+Inputs!$B$18+Inputs!$B$19)+IF(AND(K811=1,AB811&lt;&gt;0),(Inputs!$B$17+Inputs!$B$18+Inputs!$B$19)+(O811+Inputs!$B$18+Inputs!$B$19),0)+MAX(AG811,0)*(Inputs!$B$20+Inputs!$B$22+Inputs!$B$23)+MAX(-AG811,0)*(Inputs!$B$21+Inputs!$B$22+Inputs!$B$23)</f>
        <v>0</v>
      </c>
      <c r="AI811" s="30" t="n">
        <f aca="false">AB810*(M811-AD810*J811)+AB810*AD810*N811/Inputs!$B$16-AH811</f>
        <v>0</v>
      </c>
      <c r="AJ811" s="30" t="n">
        <f aca="false">MAX(AE811,0)*(Inputs!$B$17+Inputs!$B$24+Inputs!$B$25)+MAX(-AE811,0)*(O811+Inputs!$B$24+Inputs!$B$25)+IF(AND(K811=1,AB811&lt;&gt;0),(Inputs!$B$17+Inputs!$B$24+Inputs!$B$25)+(O811+Inputs!$B$24+Inputs!$B$25),0)+MAX(AG811,0)*(Inputs!$B$20+Inputs!$B$26+Inputs!$B$27)+MAX(-AG811,0)*(Inputs!$B$21+Inputs!$B$26+Inputs!$B$27)</f>
        <v>0</v>
      </c>
      <c r="AK811" s="30" t="n">
        <f aca="false">AB810*(M811-AD810*J811)+AB810*AD810*(N811+Inputs!$B$14)/Inputs!$B$16-AJ811</f>
        <v>0</v>
      </c>
      <c r="AL811" s="30" t="n">
        <f aca="false">IF(AP810&lt;&gt;0,AQ810+1,0)</f>
        <v>0</v>
      </c>
      <c r="AM811" s="30" t="n">
        <f aca="false">IF(W811="",0,IF(AND(AP810&lt;&gt;0,OR(ABS(W811)&gt;Inputs!$B$7,AL811&gt;=Inputs!$B$8,ABS(W811)&lt;Inputs!$B$6)),1,0))</f>
        <v>0</v>
      </c>
      <c r="AN811" s="30" t="n">
        <f aca="false">IF(AM811=1,0,AP810)</f>
        <v>0</v>
      </c>
      <c r="AO811" s="30" t="n">
        <f aca="false">IF(W811="",0,IF(AND(AN811=0,ABS(W811)&gt;Inputs!$B$5,ABS(W811)&lt;=Inputs!$B$7,W811&gt;0),1,0))</f>
        <v>0</v>
      </c>
      <c r="AP811" s="30" t="n">
        <f aca="false">IF(W811="",0,IF(AO811=1,-SIGN(W811),AN811))</f>
        <v>0</v>
      </c>
      <c r="AQ811" s="30" t="n">
        <f aca="false">IF(W811="",0,IF(AO811=1,0,IF(AM811=1,0,AL811)))</f>
        <v>0</v>
      </c>
      <c r="AR811" s="30" t="n">
        <f aca="false">IF(AP811=0,0,IF(AP810=AP811,AR810,T811))</f>
        <v>0</v>
      </c>
      <c r="AS811" s="30" t="n">
        <f aca="false">AP811-AP810</f>
        <v>0</v>
      </c>
      <c r="AT811" s="30" t="n">
        <f aca="false">-AR811*AP811</f>
        <v>-0</v>
      </c>
      <c r="AU811" s="30" t="n">
        <f aca="false">AT811-AT810</f>
        <v>0</v>
      </c>
      <c r="AV811" s="30" t="n">
        <f aca="false">MAX(AS811,0)*(Inputs!$B$17+Inputs!$B$18+Inputs!$B$19)+MAX(-AS811,0)*(O811+Inputs!$B$18+Inputs!$B$19)+IF(AND(K811=1,AP811&lt;&gt;0),(Inputs!$B$17+Inputs!$B$18+Inputs!$B$19)+(O811+Inputs!$B$18+Inputs!$B$19),0)+MAX(AU811,0)*(Inputs!$B$20+Inputs!$B$22+Inputs!$B$23)+MAX(-AU811,0)*(Inputs!$B$21+Inputs!$B$22+Inputs!$B$23)</f>
        <v>0</v>
      </c>
      <c r="AW811" s="30" t="n">
        <f aca="false">AP810*(M811-AR810*J811)+AP810*AR810*N811/Inputs!$B$16-AV811</f>
        <v>0</v>
      </c>
      <c r="AX811" s="30" t="n">
        <f aca="false">AW811-IF(AP810&lt;&gt;0,0.75*AR810*(Inputs!$B$13-N811)/Inputs!$B$16,0)</f>
        <v>0</v>
      </c>
      <c r="AY811" s="30" t="n">
        <f aca="false">MAX(AS811,0)*(Inputs!$B$17+Inputs!$B$18+Inputs!$B$19)+MAX(-AS811,0)*(O811+Inputs!$B$18+Inputs!$B$19)+IF(AND(K811=1,AP811&lt;&gt;0),(Inputs!$B$17+Inputs!$B$18+Inputs!$B$19)+(O811+Inputs!$B$18+Inputs!$B$19),0)</f>
        <v>0</v>
      </c>
      <c r="AZ811" s="30" t="n">
        <f aca="false">AP810*M811-AY811</f>
        <v>0</v>
      </c>
      <c r="BA811" s="32" t="n">
        <f aca="false">BA810+AI811</f>
        <v>0.0165644170725727</v>
      </c>
      <c r="BB811" s="30" t="n">
        <f aca="false">MAX(BB810,BA811)</f>
        <v>0.0261726191772394</v>
      </c>
      <c r="BC811" s="32" t="n">
        <f aca="false">BA811-BB811</f>
        <v>-0.00960820210466671</v>
      </c>
      <c r="BD811" s="30" t="n">
        <f aca="false">A812-A811</f>
        <v>1</v>
      </c>
    </row>
    <row r="812" customFormat="false" ht="15" hidden="false" customHeight="false" outlineLevel="0" collapsed="false">
      <c r="A812" s="28" t="n">
        <v>46238</v>
      </c>
      <c r="B812" s="0" t="n">
        <v>24566</v>
      </c>
      <c r="C812" s="0" t="n">
        <v>278.8</v>
      </c>
      <c r="D812" s="29" t="n">
        <f aca="false">LN(B812)</f>
        <v>10.109118652099</v>
      </c>
      <c r="E812" s="29" t="n">
        <f aca="false">LN(C812)</f>
        <v>5.63049467888637</v>
      </c>
      <c r="F812" s="0" t="n">
        <v>807</v>
      </c>
      <c r="G812" s="0" t="n">
        <v>21</v>
      </c>
      <c r="H812" s="29" t="n">
        <f aca="false">D812-E812</f>
        <v>4.47862397321267</v>
      </c>
      <c r="I812" s="29" t="n">
        <f aca="false">D812-D811</f>
        <v>-0.00325124239902763</v>
      </c>
      <c r="J812" s="29" t="n">
        <f aca="false">E812-E811</f>
        <v>-0.00425920935939583</v>
      </c>
      <c r="K812" s="0" t="n">
        <v>0</v>
      </c>
      <c r="L812" s="0" t="n">
        <v>0</v>
      </c>
      <c r="M812" s="29" t="n">
        <f aca="false">IF(L812=1,J812-Carry!$B$9/Inputs!$B$16,I812)</f>
        <v>-0.00325124239902763</v>
      </c>
      <c r="N812" s="0" t="n">
        <v>0.0525</v>
      </c>
      <c r="O812" s="0" t="n">
        <v>0.0005</v>
      </c>
      <c r="P812" s="29" t="n">
        <f aca="false">D812-('2 Hedge ratio'!$B$6+'2 Hedge ratio'!$B$5*E812)</f>
        <v>-0.0109482723732253</v>
      </c>
      <c r="Q812" s="29" t="n">
        <f aca="false">D812-('5 Re-specification'!$B$7+'5 Re-specification'!$B$5*E812+'5 Re-specification'!$B$6*F812)</f>
        <v>0.000744126212543605</v>
      </c>
      <c r="R812" s="30" t="n">
        <f aca="false">MIN(F812,Inputs!$B$9)</f>
        <v>250</v>
      </c>
      <c r="S812" s="29" t="n">
        <f aca="true">IF(AND(F812&gt;=1,R812&gt;=Inputs!$B$10),INDEX(LINEST(OFFSET(D812,-R812,0,R812,1),OFFSET(E812,-R812,0,R812,2)),1,1),"")</f>
        <v>-3.35499188098024E-005</v>
      </c>
      <c r="T812" s="29" t="n">
        <f aca="true">IF(AND(F812&gt;=1,R812&gt;=Inputs!$B$10),INDEX(LINEST(OFFSET(D812,-R812,0,R812,1),OFFSET(E812,-R812,0,R812,2)),1,2),"")</f>
        <v>1.0188609645884</v>
      </c>
      <c r="U812" s="29" t="n">
        <f aca="true">IF(AND(F812&gt;=1,R812&gt;=Inputs!$B$10),INDEX(LINEST(OFFSET(D812,-R812,0,R812,1),OFFSET(E812,-R812,0,R812,2)),1,3),"")</f>
        <v>4.39981018188537</v>
      </c>
      <c r="V812" s="29" t="n">
        <f aca="true">IF(AND(F812&gt;=1,R812&gt;=Inputs!$B$10),SQRT(SUMPRODUCT((OFFSET(D812,-R812,0,R812,1)-U812-T812*OFFSET(E812,-R812,0,R812,1)-S812*OFFSET(F812,-R812,0,R812,1))^2)/(R812-3)),"")</f>
        <v>0.00233940453972374</v>
      </c>
      <c r="W812" s="31" t="n">
        <f aca="false">IF(AND(F812&gt;=1,R812&gt;=Inputs!$B$10),(D812-U812-T812*E812-S812*F812)/V812,"")</f>
        <v>-0.131650999902863</v>
      </c>
      <c r="X812" s="30" t="n">
        <f aca="false">IF(AB811&lt;&gt;0,AC811+1,0)</f>
        <v>0</v>
      </c>
      <c r="Y812" s="30" t="n">
        <f aca="false">IF(W812="",0,IF(AND(AB811&lt;&gt;0,OR(ABS(W812)&gt;Inputs!$B$7,X812&gt;=Inputs!$B$8,ABS(W812)&lt;Inputs!$B$6)),1,0))</f>
        <v>0</v>
      </c>
      <c r="Z812" s="30" t="n">
        <f aca="false">IF(Y812=1,0,AB811)</f>
        <v>0</v>
      </c>
      <c r="AA812" s="30" t="n">
        <f aca="false">IF(W812="",0,IF(AND(Z812=0,ABS(W812)&gt;Inputs!$B$5,ABS(W812)&lt;=Inputs!$B$7),1,0))</f>
        <v>0</v>
      </c>
      <c r="AB812" s="30" t="n">
        <f aca="false">IF(W812="",0,IF(AA812=1,-SIGN(W812),Z812))</f>
        <v>0</v>
      </c>
      <c r="AC812" s="30" t="n">
        <f aca="false">IF(W812="",0,IF(AA812=1,0,IF(Y812=1,0,X812)))</f>
        <v>0</v>
      </c>
      <c r="AD812" s="30" t="n">
        <f aca="false">IF(AB812=0,0,IF(AB811=AB812,AD811,T812))</f>
        <v>0</v>
      </c>
      <c r="AE812" s="30" t="n">
        <f aca="false">AB812-AB811</f>
        <v>0</v>
      </c>
      <c r="AF812" s="30" t="n">
        <f aca="false">-AD812*AB812</f>
        <v>-0</v>
      </c>
      <c r="AG812" s="30" t="n">
        <f aca="false">AF812-AF811</f>
        <v>0</v>
      </c>
      <c r="AH812" s="30" t="n">
        <f aca="false">MAX(AE812,0)*(Inputs!$B$17+Inputs!$B$18+Inputs!$B$19)+MAX(-AE812,0)*(O812+Inputs!$B$18+Inputs!$B$19)+IF(AND(K812=1,AB812&lt;&gt;0),(Inputs!$B$17+Inputs!$B$18+Inputs!$B$19)+(O812+Inputs!$B$18+Inputs!$B$19),0)+MAX(AG812,0)*(Inputs!$B$20+Inputs!$B$22+Inputs!$B$23)+MAX(-AG812,0)*(Inputs!$B$21+Inputs!$B$22+Inputs!$B$23)</f>
        <v>0</v>
      </c>
      <c r="AI812" s="30" t="n">
        <f aca="false">AB811*(M812-AD811*J812)+AB811*AD811*N812/Inputs!$B$16-AH812</f>
        <v>0</v>
      </c>
      <c r="AJ812" s="30" t="n">
        <f aca="false">MAX(AE812,0)*(Inputs!$B$17+Inputs!$B$24+Inputs!$B$25)+MAX(-AE812,0)*(O812+Inputs!$B$24+Inputs!$B$25)+IF(AND(K812=1,AB812&lt;&gt;0),(Inputs!$B$17+Inputs!$B$24+Inputs!$B$25)+(O812+Inputs!$B$24+Inputs!$B$25),0)+MAX(AG812,0)*(Inputs!$B$20+Inputs!$B$26+Inputs!$B$27)+MAX(-AG812,0)*(Inputs!$B$21+Inputs!$B$26+Inputs!$B$27)</f>
        <v>0</v>
      </c>
      <c r="AK812" s="30" t="n">
        <f aca="false">AB811*(M812-AD811*J812)+AB811*AD811*(N812+Inputs!$B$14)/Inputs!$B$16-AJ812</f>
        <v>0</v>
      </c>
      <c r="AL812" s="30" t="n">
        <f aca="false">IF(AP811&lt;&gt;0,AQ811+1,0)</f>
        <v>0</v>
      </c>
      <c r="AM812" s="30" t="n">
        <f aca="false">IF(W812="",0,IF(AND(AP811&lt;&gt;0,OR(ABS(W812)&gt;Inputs!$B$7,AL812&gt;=Inputs!$B$8,ABS(W812)&lt;Inputs!$B$6)),1,0))</f>
        <v>0</v>
      </c>
      <c r="AN812" s="30" t="n">
        <f aca="false">IF(AM812=1,0,AP811)</f>
        <v>0</v>
      </c>
      <c r="AO812" s="30" t="n">
        <f aca="false">IF(W812="",0,IF(AND(AN812=0,ABS(W812)&gt;Inputs!$B$5,ABS(W812)&lt;=Inputs!$B$7,W812&gt;0),1,0))</f>
        <v>0</v>
      </c>
      <c r="AP812" s="30" t="n">
        <f aca="false">IF(W812="",0,IF(AO812=1,-SIGN(W812),AN812))</f>
        <v>0</v>
      </c>
      <c r="AQ812" s="30" t="n">
        <f aca="false">IF(W812="",0,IF(AO812=1,0,IF(AM812=1,0,AL812)))</f>
        <v>0</v>
      </c>
      <c r="AR812" s="30" t="n">
        <f aca="false">IF(AP812=0,0,IF(AP811=AP812,AR811,T812))</f>
        <v>0</v>
      </c>
      <c r="AS812" s="30" t="n">
        <f aca="false">AP812-AP811</f>
        <v>0</v>
      </c>
      <c r="AT812" s="30" t="n">
        <f aca="false">-AR812*AP812</f>
        <v>-0</v>
      </c>
      <c r="AU812" s="30" t="n">
        <f aca="false">AT812-AT811</f>
        <v>0</v>
      </c>
      <c r="AV812" s="30" t="n">
        <f aca="false">MAX(AS812,0)*(Inputs!$B$17+Inputs!$B$18+Inputs!$B$19)+MAX(-AS812,0)*(O812+Inputs!$B$18+Inputs!$B$19)+IF(AND(K812=1,AP812&lt;&gt;0),(Inputs!$B$17+Inputs!$B$18+Inputs!$B$19)+(O812+Inputs!$B$18+Inputs!$B$19),0)+MAX(AU812,0)*(Inputs!$B$20+Inputs!$B$22+Inputs!$B$23)+MAX(-AU812,0)*(Inputs!$B$21+Inputs!$B$22+Inputs!$B$23)</f>
        <v>0</v>
      </c>
      <c r="AW812" s="30" t="n">
        <f aca="false">AP811*(M812-AR811*J812)+AP811*AR811*N812/Inputs!$B$16-AV812</f>
        <v>0</v>
      </c>
      <c r="AX812" s="30" t="n">
        <f aca="false">AW812-IF(AP811&lt;&gt;0,0.75*AR811*(Inputs!$B$13-N812)/Inputs!$B$16,0)</f>
        <v>0</v>
      </c>
      <c r="AY812" s="30" t="n">
        <f aca="false">MAX(AS812,0)*(Inputs!$B$17+Inputs!$B$18+Inputs!$B$19)+MAX(-AS812,0)*(O812+Inputs!$B$18+Inputs!$B$19)+IF(AND(K812=1,AP812&lt;&gt;0),(Inputs!$B$17+Inputs!$B$18+Inputs!$B$19)+(O812+Inputs!$B$18+Inputs!$B$19),0)</f>
        <v>0</v>
      </c>
      <c r="AZ812" s="30" t="n">
        <f aca="false">AP811*M812-AY812</f>
        <v>-0</v>
      </c>
      <c r="BA812" s="32" t="n">
        <f aca="false">BA811+AI812</f>
        <v>0.0165644170725727</v>
      </c>
      <c r="BB812" s="30" t="n">
        <f aca="false">MAX(BB811,BA812)</f>
        <v>0.0261726191772394</v>
      </c>
      <c r="BC812" s="32" t="n">
        <f aca="false">BA812-BB812</f>
        <v>-0.00960820210466671</v>
      </c>
      <c r="BD812" s="30" t="n">
        <f aca="false">A813-A812</f>
        <v>1</v>
      </c>
    </row>
    <row r="813" customFormat="false" ht="15" hidden="false" customHeight="false" outlineLevel="0" collapsed="false">
      <c r="A813" s="28" t="n">
        <v>46239</v>
      </c>
      <c r="B813" s="0" t="n">
        <v>24650</v>
      </c>
      <c r="C813" s="0" t="n">
        <v>280</v>
      </c>
      <c r="D813" s="29" t="n">
        <f aca="false">LN(B813)</f>
        <v>10.1125321794708</v>
      </c>
      <c r="E813" s="29" t="n">
        <f aca="false">LN(C813)</f>
        <v>5.63478960316925</v>
      </c>
      <c r="F813" s="0" t="n">
        <v>808</v>
      </c>
      <c r="G813" s="0" t="n">
        <v>20</v>
      </c>
      <c r="H813" s="29" t="n">
        <f aca="false">D813-E813</f>
        <v>4.47774257630159</v>
      </c>
      <c r="I813" s="29" t="n">
        <f aca="false">D813-D812</f>
        <v>0.00341352737179612</v>
      </c>
      <c r="J813" s="29" t="n">
        <f aca="false">E813-E812</f>
        <v>0.00429492428288025</v>
      </c>
      <c r="K813" s="0" t="n">
        <v>0</v>
      </c>
      <c r="L813" s="0" t="n">
        <v>0</v>
      </c>
      <c r="M813" s="29" t="n">
        <f aca="false">IF(L813=1,J813-Carry!$B$9/Inputs!$B$16,I813)</f>
        <v>0.00341352737179612</v>
      </c>
      <c r="N813" s="0" t="n">
        <v>0.0525</v>
      </c>
      <c r="O813" s="0" t="n">
        <v>0.0005</v>
      </c>
      <c r="P813" s="29" t="n">
        <f aca="false">D813-('2 Hedge ratio'!$B$6+'2 Hedge ratio'!$B$5*E813)</f>
        <v>-0.0114694400659143</v>
      </c>
      <c r="Q813" s="29" t="n">
        <f aca="false">D813-('5 Re-specification'!$B$7+'5 Re-specification'!$B$5*E813+'5 Re-specification'!$B$6*F813)</f>
        <v>-7.9325612315273E-005</v>
      </c>
      <c r="R813" s="30" t="n">
        <f aca="false">MIN(F813,Inputs!$B$9)</f>
        <v>250</v>
      </c>
      <c r="S813" s="29" t="n">
        <f aca="true">IF(AND(F813&gt;=1,R813&gt;=Inputs!$B$10),INDEX(LINEST(OFFSET(D813,-R813,0,R813,1),OFFSET(E813,-R813,0,R813,2)),1,1),"")</f>
        <v>-3.38429627304162E-005</v>
      </c>
      <c r="T813" s="29" t="n">
        <f aca="true">IF(AND(F813&gt;=1,R813&gt;=Inputs!$B$10),INDEX(LINEST(OFFSET(D813,-R813,0,R813,1),OFFSET(E813,-R813,0,R813,2)),1,2),"")</f>
        <v>1.01854778022396</v>
      </c>
      <c r="U813" s="29" t="n">
        <f aca="true">IF(AND(F813&gt;=1,R813&gt;=Inputs!$B$10),INDEX(LINEST(OFFSET(D813,-R813,0,R813,1),OFFSET(E813,-R813,0,R813,2)),1,3),"")</f>
        <v>4.40178168437246</v>
      </c>
      <c r="V813" s="29" t="n">
        <f aca="true">IF(AND(F813&gt;=1,R813&gt;=Inputs!$B$10),SQRT(SUMPRODUCT((OFFSET(D813,-R813,0,R813,1)-U813-T813*OFFSET(E813,-R813,0,R813,1)-S813*OFFSET(F813,-R813,0,R813,1))^2)/(R813-3)),"")</f>
        <v>0.00233645676825444</v>
      </c>
      <c r="W813" s="31" t="n">
        <f aca="false">IF(AND(F813&gt;=1,R813&gt;=Inputs!$B$10),(D813-U813-T813*E813-S813*F813)/V813,"")</f>
        <v>-0.516522868698664</v>
      </c>
      <c r="X813" s="30" t="n">
        <f aca="false">IF(AB812&lt;&gt;0,AC812+1,0)</f>
        <v>0</v>
      </c>
      <c r="Y813" s="30" t="n">
        <f aca="false">IF(W813="",0,IF(AND(AB812&lt;&gt;0,OR(ABS(W813)&gt;Inputs!$B$7,X813&gt;=Inputs!$B$8,ABS(W813)&lt;Inputs!$B$6)),1,0))</f>
        <v>0</v>
      </c>
      <c r="Z813" s="30" t="n">
        <f aca="false">IF(Y813=1,0,AB812)</f>
        <v>0</v>
      </c>
      <c r="AA813" s="30" t="n">
        <f aca="false">IF(W813="",0,IF(AND(Z813=0,ABS(W813)&gt;Inputs!$B$5,ABS(W813)&lt;=Inputs!$B$7),1,0))</f>
        <v>0</v>
      </c>
      <c r="AB813" s="30" t="n">
        <f aca="false">IF(W813="",0,IF(AA813=1,-SIGN(W813),Z813))</f>
        <v>0</v>
      </c>
      <c r="AC813" s="30" t="n">
        <f aca="false">IF(W813="",0,IF(AA813=1,0,IF(Y813=1,0,X813)))</f>
        <v>0</v>
      </c>
      <c r="AD813" s="30" t="n">
        <f aca="false">IF(AB813=0,0,IF(AB812=AB813,AD812,T813))</f>
        <v>0</v>
      </c>
      <c r="AE813" s="30" t="n">
        <f aca="false">AB813-AB812</f>
        <v>0</v>
      </c>
      <c r="AF813" s="30" t="n">
        <f aca="false">-AD813*AB813</f>
        <v>-0</v>
      </c>
      <c r="AG813" s="30" t="n">
        <f aca="false">AF813-AF812</f>
        <v>0</v>
      </c>
      <c r="AH813" s="30" t="n">
        <f aca="false">MAX(AE813,0)*(Inputs!$B$17+Inputs!$B$18+Inputs!$B$19)+MAX(-AE813,0)*(O813+Inputs!$B$18+Inputs!$B$19)+IF(AND(K813=1,AB813&lt;&gt;0),(Inputs!$B$17+Inputs!$B$18+Inputs!$B$19)+(O813+Inputs!$B$18+Inputs!$B$19),0)+MAX(AG813,0)*(Inputs!$B$20+Inputs!$B$22+Inputs!$B$23)+MAX(-AG813,0)*(Inputs!$B$21+Inputs!$B$22+Inputs!$B$23)</f>
        <v>0</v>
      </c>
      <c r="AI813" s="30" t="n">
        <f aca="false">AB812*(M813-AD812*J813)+AB812*AD812*N813/Inputs!$B$16-AH813</f>
        <v>0</v>
      </c>
      <c r="AJ813" s="30" t="n">
        <f aca="false">MAX(AE813,0)*(Inputs!$B$17+Inputs!$B$24+Inputs!$B$25)+MAX(-AE813,0)*(O813+Inputs!$B$24+Inputs!$B$25)+IF(AND(K813=1,AB813&lt;&gt;0),(Inputs!$B$17+Inputs!$B$24+Inputs!$B$25)+(O813+Inputs!$B$24+Inputs!$B$25),0)+MAX(AG813,0)*(Inputs!$B$20+Inputs!$B$26+Inputs!$B$27)+MAX(-AG813,0)*(Inputs!$B$21+Inputs!$B$26+Inputs!$B$27)</f>
        <v>0</v>
      </c>
      <c r="AK813" s="30" t="n">
        <f aca="false">AB812*(M813-AD812*J813)+AB812*AD812*(N813+Inputs!$B$14)/Inputs!$B$16-AJ813</f>
        <v>0</v>
      </c>
      <c r="AL813" s="30" t="n">
        <f aca="false">IF(AP812&lt;&gt;0,AQ812+1,0)</f>
        <v>0</v>
      </c>
      <c r="AM813" s="30" t="n">
        <f aca="false">IF(W813="",0,IF(AND(AP812&lt;&gt;0,OR(ABS(W813)&gt;Inputs!$B$7,AL813&gt;=Inputs!$B$8,ABS(W813)&lt;Inputs!$B$6)),1,0))</f>
        <v>0</v>
      </c>
      <c r="AN813" s="30" t="n">
        <f aca="false">IF(AM813=1,0,AP812)</f>
        <v>0</v>
      </c>
      <c r="AO813" s="30" t="n">
        <f aca="false">IF(W813="",0,IF(AND(AN813=0,ABS(W813)&gt;Inputs!$B$5,ABS(W813)&lt;=Inputs!$B$7,W813&gt;0),1,0))</f>
        <v>0</v>
      </c>
      <c r="AP813" s="30" t="n">
        <f aca="false">IF(W813="",0,IF(AO813=1,-SIGN(W813),AN813))</f>
        <v>0</v>
      </c>
      <c r="AQ813" s="30" t="n">
        <f aca="false">IF(W813="",0,IF(AO813=1,0,IF(AM813=1,0,AL813)))</f>
        <v>0</v>
      </c>
      <c r="AR813" s="30" t="n">
        <f aca="false">IF(AP813=0,0,IF(AP812=AP813,AR812,T813))</f>
        <v>0</v>
      </c>
      <c r="AS813" s="30" t="n">
        <f aca="false">AP813-AP812</f>
        <v>0</v>
      </c>
      <c r="AT813" s="30" t="n">
        <f aca="false">-AR813*AP813</f>
        <v>-0</v>
      </c>
      <c r="AU813" s="30" t="n">
        <f aca="false">AT813-AT812</f>
        <v>0</v>
      </c>
      <c r="AV813" s="30" t="n">
        <f aca="false">MAX(AS813,0)*(Inputs!$B$17+Inputs!$B$18+Inputs!$B$19)+MAX(-AS813,0)*(O813+Inputs!$B$18+Inputs!$B$19)+IF(AND(K813=1,AP813&lt;&gt;0),(Inputs!$B$17+Inputs!$B$18+Inputs!$B$19)+(O813+Inputs!$B$18+Inputs!$B$19),0)+MAX(AU813,0)*(Inputs!$B$20+Inputs!$B$22+Inputs!$B$23)+MAX(-AU813,0)*(Inputs!$B$21+Inputs!$B$22+Inputs!$B$23)</f>
        <v>0</v>
      </c>
      <c r="AW813" s="30" t="n">
        <f aca="false">AP812*(M813-AR812*J813)+AP812*AR812*N813/Inputs!$B$16-AV813</f>
        <v>0</v>
      </c>
      <c r="AX813" s="30" t="n">
        <f aca="false">AW813-IF(AP812&lt;&gt;0,0.75*AR812*(Inputs!$B$13-N813)/Inputs!$B$16,0)</f>
        <v>0</v>
      </c>
      <c r="AY813" s="30" t="n">
        <f aca="false">MAX(AS813,0)*(Inputs!$B$17+Inputs!$B$18+Inputs!$B$19)+MAX(-AS813,0)*(O813+Inputs!$B$18+Inputs!$B$19)+IF(AND(K813=1,AP813&lt;&gt;0),(Inputs!$B$17+Inputs!$B$18+Inputs!$B$19)+(O813+Inputs!$B$18+Inputs!$B$19),0)</f>
        <v>0</v>
      </c>
      <c r="AZ813" s="30" t="n">
        <f aca="false">AP812*M813-AY813</f>
        <v>0</v>
      </c>
      <c r="BA813" s="32" t="n">
        <f aca="false">BA812+AI813</f>
        <v>0.0165644170725727</v>
      </c>
      <c r="BB813" s="30" t="n">
        <f aca="false">MAX(BB812,BA813)</f>
        <v>0.0261726191772394</v>
      </c>
      <c r="BC813" s="32" t="n">
        <f aca="false">BA813-BB813</f>
        <v>-0.00960820210466671</v>
      </c>
      <c r="BD813" s="30" t="n">
        <f aca="false">A814-A813</f>
        <v>1</v>
      </c>
    </row>
    <row r="814" customFormat="false" ht="15" hidden="false" customHeight="false" outlineLevel="0" collapsed="false">
      <c r="A814" s="28" t="n">
        <v>46240</v>
      </c>
      <c r="B814" s="0" t="n">
        <v>24745</v>
      </c>
      <c r="C814" s="0" t="n">
        <v>280.5</v>
      </c>
      <c r="D814" s="29" t="n">
        <f aca="false">LN(B814)</f>
        <v>10.116378727386</v>
      </c>
      <c r="E814" s="29" t="n">
        <f aca="false">LN(C814)</f>
        <v>5.63657372496275</v>
      </c>
      <c r="F814" s="0" t="n">
        <v>809</v>
      </c>
      <c r="G814" s="0" t="n">
        <v>19</v>
      </c>
      <c r="H814" s="29" t="n">
        <f aca="false">D814-E814</f>
        <v>4.47980500242324</v>
      </c>
      <c r="I814" s="29" t="n">
        <f aca="false">D814-D813</f>
        <v>0.00384654791515082</v>
      </c>
      <c r="J814" s="29" t="n">
        <f aca="false">E814-E813</f>
        <v>0.00178412179350218</v>
      </c>
      <c r="K814" s="0" t="n">
        <v>0</v>
      </c>
      <c r="L814" s="0" t="n">
        <v>0</v>
      </c>
      <c r="M814" s="29" t="n">
        <f aca="false">IF(L814=1,J814-Carry!$B$9/Inputs!$B$16,I814)</f>
        <v>0.00384654791515082</v>
      </c>
      <c r="N814" s="0" t="n">
        <v>0.0525</v>
      </c>
      <c r="O814" s="0" t="n">
        <v>0.0005</v>
      </c>
      <c r="P814" s="29" t="n">
        <f aca="false">D814-('2 Hedge ratio'!$B$6+'2 Hedge ratio'!$B$5*E814)</f>
        <v>-0.00925737386754655</v>
      </c>
      <c r="Q814" s="29" t="n">
        <f aca="false">D814-('5 Re-specification'!$B$7+'5 Re-specification'!$B$5*E814+'5 Re-specification'!$B$6*F814)</f>
        <v>0.00203343660856348</v>
      </c>
      <c r="R814" s="30" t="n">
        <f aca="false">MIN(F814,Inputs!$B$9)</f>
        <v>250</v>
      </c>
      <c r="S814" s="29" t="n">
        <f aca="true">IF(AND(F814&gt;=1,R814&gt;=Inputs!$B$10),INDEX(LINEST(OFFSET(D814,-R814,0,R814,1),OFFSET(E814,-R814,0,R814,2)),1,1),"")</f>
        <v>-3.42889130078024E-005</v>
      </c>
      <c r="T814" s="29" t="n">
        <f aca="true">IF(AND(F814&gt;=1,R814&gt;=Inputs!$B$10),INDEX(LINEST(OFFSET(D814,-R814,0,R814,1),OFFSET(E814,-R814,0,R814,2)),1,2),"")</f>
        <v>1.01807849725348</v>
      </c>
      <c r="U814" s="29" t="n">
        <f aca="true">IF(AND(F814&gt;=1,R814&gt;=Inputs!$B$10),INDEX(LINEST(OFFSET(D814,-R814,0,R814,1),OFFSET(E814,-R814,0,R814,2)),1,3),"")</f>
        <v>4.4047352873074</v>
      </c>
      <c r="V814" s="29" t="n">
        <f aca="true">IF(AND(F814&gt;=1,R814&gt;=Inputs!$B$10),SQRT(SUMPRODUCT((OFFSET(D814,-R814,0,R814,1)-U814-T814*OFFSET(E814,-R814,0,R814,1)-S814*OFFSET(F814,-R814,0,R814,1))^2)/(R814-3)),"")</f>
        <v>0.00233374366138595</v>
      </c>
      <c r="W814" s="31" t="n">
        <f aca="false">IF(AND(F814&gt;=1,R814&gt;=Inputs!$B$10),(D814-U814-T814*E814-S814*F814)/V814,"")</f>
        <v>0.389358586550032</v>
      </c>
      <c r="X814" s="30" t="n">
        <f aca="false">IF(AB813&lt;&gt;0,AC813+1,0)</f>
        <v>0</v>
      </c>
      <c r="Y814" s="30" t="n">
        <f aca="false">IF(W814="",0,IF(AND(AB813&lt;&gt;0,OR(ABS(W814)&gt;Inputs!$B$7,X814&gt;=Inputs!$B$8,ABS(W814)&lt;Inputs!$B$6)),1,0))</f>
        <v>0</v>
      </c>
      <c r="Z814" s="30" t="n">
        <f aca="false">IF(Y814=1,0,AB813)</f>
        <v>0</v>
      </c>
      <c r="AA814" s="30" t="n">
        <f aca="false">IF(W814="",0,IF(AND(Z814=0,ABS(W814)&gt;Inputs!$B$5,ABS(W814)&lt;=Inputs!$B$7),1,0))</f>
        <v>0</v>
      </c>
      <c r="AB814" s="30" t="n">
        <f aca="false">IF(W814="",0,IF(AA814=1,-SIGN(W814),Z814))</f>
        <v>0</v>
      </c>
      <c r="AC814" s="30" t="n">
        <f aca="false">IF(W814="",0,IF(AA814=1,0,IF(Y814=1,0,X814)))</f>
        <v>0</v>
      </c>
      <c r="AD814" s="30" t="n">
        <f aca="false">IF(AB814=0,0,IF(AB813=AB814,AD813,T814))</f>
        <v>0</v>
      </c>
      <c r="AE814" s="30" t="n">
        <f aca="false">AB814-AB813</f>
        <v>0</v>
      </c>
      <c r="AF814" s="30" t="n">
        <f aca="false">-AD814*AB814</f>
        <v>-0</v>
      </c>
      <c r="AG814" s="30" t="n">
        <f aca="false">AF814-AF813</f>
        <v>0</v>
      </c>
      <c r="AH814" s="30" t="n">
        <f aca="false">MAX(AE814,0)*(Inputs!$B$17+Inputs!$B$18+Inputs!$B$19)+MAX(-AE814,0)*(O814+Inputs!$B$18+Inputs!$B$19)+IF(AND(K814=1,AB814&lt;&gt;0),(Inputs!$B$17+Inputs!$B$18+Inputs!$B$19)+(O814+Inputs!$B$18+Inputs!$B$19),0)+MAX(AG814,0)*(Inputs!$B$20+Inputs!$B$22+Inputs!$B$23)+MAX(-AG814,0)*(Inputs!$B$21+Inputs!$B$22+Inputs!$B$23)</f>
        <v>0</v>
      </c>
      <c r="AI814" s="30" t="n">
        <f aca="false">AB813*(M814-AD813*J814)+AB813*AD813*N814/Inputs!$B$16-AH814</f>
        <v>0</v>
      </c>
      <c r="AJ814" s="30" t="n">
        <f aca="false">MAX(AE814,0)*(Inputs!$B$17+Inputs!$B$24+Inputs!$B$25)+MAX(-AE814,0)*(O814+Inputs!$B$24+Inputs!$B$25)+IF(AND(K814=1,AB814&lt;&gt;0),(Inputs!$B$17+Inputs!$B$24+Inputs!$B$25)+(O814+Inputs!$B$24+Inputs!$B$25),0)+MAX(AG814,0)*(Inputs!$B$20+Inputs!$B$26+Inputs!$B$27)+MAX(-AG814,0)*(Inputs!$B$21+Inputs!$B$26+Inputs!$B$27)</f>
        <v>0</v>
      </c>
      <c r="AK814" s="30" t="n">
        <f aca="false">AB813*(M814-AD813*J814)+AB813*AD813*(N814+Inputs!$B$14)/Inputs!$B$16-AJ814</f>
        <v>0</v>
      </c>
      <c r="AL814" s="30" t="n">
        <f aca="false">IF(AP813&lt;&gt;0,AQ813+1,0)</f>
        <v>0</v>
      </c>
      <c r="AM814" s="30" t="n">
        <f aca="false">IF(W814="",0,IF(AND(AP813&lt;&gt;0,OR(ABS(W814)&gt;Inputs!$B$7,AL814&gt;=Inputs!$B$8,ABS(W814)&lt;Inputs!$B$6)),1,0))</f>
        <v>0</v>
      </c>
      <c r="AN814" s="30" t="n">
        <f aca="false">IF(AM814=1,0,AP813)</f>
        <v>0</v>
      </c>
      <c r="AO814" s="30" t="n">
        <f aca="false">IF(W814="",0,IF(AND(AN814=0,ABS(W814)&gt;Inputs!$B$5,ABS(W814)&lt;=Inputs!$B$7,W814&gt;0),1,0))</f>
        <v>0</v>
      </c>
      <c r="AP814" s="30" t="n">
        <f aca="false">IF(W814="",0,IF(AO814=1,-SIGN(W814),AN814))</f>
        <v>0</v>
      </c>
      <c r="AQ814" s="30" t="n">
        <f aca="false">IF(W814="",0,IF(AO814=1,0,IF(AM814=1,0,AL814)))</f>
        <v>0</v>
      </c>
      <c r="AR814" s="30" t="n">
        <f aca="false">IF(AP814=0,0,IF(AP813=AP814,AR813,T814))</f>
        <v>0</v>
      </c>
      <c r="AS814" s="30" t="n">
        <f aca="false">AP814-AP813</f>
        <v>0</v>
      </c>
      <c r="AT814" s="30" t="n">
        <f aca="false">-AR814*AP814</f>
        <v>-0</v>
      </c>
      <c r="AU814" s="30" t="n">
        <f aca="false">AT814-AT813</f>
        <v>0</v>
      </c>
      <c r="AV814" s="30" t="n">
        <f aca="false">MAX(AS814,0)*(Inputs!$B$17+Inputs!$B$18+Inputs!$B$19)+MAX(-AS814,0)*(O814+Inputs!$B$18+Inputs!$B$19)+IF(AND(K814=1,AP814&lt;&gt;0),(Inputs!$B$17+Inputs!$B$18+Inputs!$B$19)+(O814+Inputs!$B$18+Inputs!$B$19),0)+MAX(AU814,0)*(Inputs!$B$20+Inputs!$B$22+Inputs!$B$23)+MAX(-AU814,0)*(Inputs!$B$21+Inputs!$B$22+Inputs!$B$23)</f>
        <v>0</v>
      </c>
      <c r="AW814" s="30" t="n">
        <f aca="false">AP813*(M814-AR813*J814)+AP813*AR813*N814/Inputs!$B$16-AV814</f>
        <v>0</v>
      </c>
      <c r="AX814" s="30" t="n">
        <f aca="false">AW814-IF(AP813&lt;&gt;0,0.75*AR813*(Inputs!$B$13-N814)/Inputs!$B$16,0)</f>
        <v>0</v>
      </c>
      <c r="AY814" s="30" t="n">
        <f aca="false">MAX(AS814,0)*(Inputs!$B$17+Inputs!$B$18+Inputs!$B$19)+MAX(-AS814,0)*(O814+Inputs!$B$18+Inputs!$B$19)+IF(AND(K814=1,AP814&lt;&gt;0),(Inputs!$B$17+Inputs!$B$18+Inputs!$B$19)+(O814+Inputs!$B$18+Inputs!$B$19),0)</f>
        <v>0</v>
      </c>
      <c r="AZ814" s="30" t="n">
        <f aca="false">AP813*M814-AY814</f>
        <v>0</v>
      </c>
      <c r="BA814" s="32" t="n">
        <f aca="false">BA813+AI814</f>
        <v>0.0165644170725727</v>
      </c>
      <c r="BB814" s="30" t="n">
        <f aca="false">MAX(BB813,BA814)</f>
        <v>0.0261726191772394</v>
      </c>
      <c r="BC814" s="32" t="n">
        <f aca="false">BA814-BB814</f>
        <v>-0.00960820210466671</v>
      </c>
      <c r="BD814" s="30" t="n">
        <f aca="false">A815-A814</f>
        <v>1</v>
      </c>
    </row>
    <row r="815" customFormat="false" ht="15" hidden="false" customHeight="false" outlineLevel="0" collapsed="false">
      <c r="A815" s="28" t="n">
        <v>46241</v>
      </c>
      <c r="B815" s="0" t="n">
        <v>24655.7</v>
      </c>
      <c r="C815" s="0" t="n">
        <v>279.7</v>
      </c>
      <c r="D815" s="29" t="n">
        <f aca="false">LN(B815)</f>
        <v>10.1127633900621</v>
      </c>
      <c r="E815" s="29" t="n">
        <f aca="false">LN(C815)</f>
        <v>5.63371760020791</v>
      </c>
      <c r="F815" s="0" t="n">
        <v>810</v>
      </c>
      <c r="G815" s="0" t="n">
        <v>18</v>
      </c>
      <c r="H815" s="29" t="n">
        <f aca="false">D815-E815</f>
        <v>4.47904578985421</v>
      </c>
      <c r="I815" s="29" t="n">
        <f aca="false">D815-D814</f>
        <v>-0.00361533732386476</v>
      </c>
      <c r="J815" s="29" t="n">
        <f aca="false">E815-E814</f>
        <v>-0.0028561247548371</v>
      </c>
      <c r="K815" s="0" t="n">
        <v>0</v>
      </c>
      <c r="L815" s="0" t="n">
        <v>0</v>
      </c>
      <c r="M815" s="29" t="n">
        <f aca="false">IF(L815=1,J815-Carry!$B$9/Inputs!$B$16,I815)</f>
        <v>-0.00361533732386476</v>
      </c>
      <c r="N815" s="0" t="n">
        <v>0.0525</v>
      </c>
      <c r="O815" s="0" t="n">
        <v>0.0005</v>
      </c>
      <c r="P815" s="29" t="n">
        <f aca="false">D815-('2 Hedge ratio'!$B$6+'2 Hedge ratio'!$B$5*E815)</f>
        <v>-0.0102561388757572</v>
      </c>
      <c r="Q815" s="29" t="n">
        <f aca="false">D815-('5 Re-specification'!$B$7+'5 Re-specification'!$B$5*E815+'5 Re-specification'!$B$6*F815)</f>
        <v>0.00131049787150417</v>
      </c>
      <c r="R815" s="30" t="n">
        <f aca="false">MIN(F815,Inputs!$B$9)</f>
        <v>250</v>
      </c>
      <c r="S815" s="29" t="n">
        <f aca="true">IF(AND(F815&gt;=1,R815&gt;=Inputs!$B$10),INDEX(LINEST(OFFSET(D815,-R815,0,R815,1),OFFSET(E815,-R815,0,R815,2)),1,1),"")</f>
        <v>-3.45271751178409E-005</v>
      </c>
      <c r="T815" s="29" t="n">
        <f aca="true">IF(AND(F815&gt;=1,R815&gt;=Inputs!$B$10),INDEX(LINEST(OFFSET(D815,-R815,0,R815,1),OFFSET(E815,-R815,0,R815,2)),1,2),"")</f>
        <v>1.01779383976735</v>
      </c>
      <c r="U815" s="29" t="n">
        <f aca="true">IF(AND(F815&gt;=1,R815&gt;=Inputs!$B$10),INDEX(LINEST(OFFSET(D815,-R815,0,R815,1),OFFSET(E815,-R815,0,R815,2)),1,3),"")</f>
        <v>4.40651681821272</v>
      </c>
      <c r="V815" s="29" t="n">
        <f aca="true">IF(AND(F815&gt;=1,R815&gt;=Inputs!$B$10),SQRT(SUMPRODUCT((OFFSET(D815,-R815,0,R815,1)-U815-T815*OFFSET(E815,-R815,0,R815,1)-S815*OFFSET(F815,-R815,0,R815,1))^2)/(R815-3)),"")</f>
        <v>0.00232866417618147</v>
      </c>
      <c r="W815" s="31" t="n">
        <f aca="false">IF(AND(F815&gt;=1,R815&gt;=Inputs!$B$10),(D815-U815-T815*E815-S815*F815)/V815,"")</f>
        <v>0.107578935982698</v>
      </c>
      <c r="X815" s="30" t="n">
        <f aca="false">IF(AB814&lt;&gt;0,AC814+1,0)</f>
        <v>0</v>
      </c>
      <c r="Y815" s="30" t="n">
        <f aca="false">IF(W815="",0,IF(AND(AB814&lt;&gt;0,OR(ABS(W815)&gt;Inputs!$B$7,X815&gt;=Inputs!$B$8,ABS(W815)&lt;Inputs!$B$6)),1,0))</f>
        <v>0</v>
      </c>
      <c r="Z815" s="30" t="n">
        <f aca="false">IF(Y815=1,0,AB814)</f>
        <v>0</v>
      </c>
      <c r="AA815" s="30" t="n">
        <f aca="false">IF(W815="",0,IF(AND(Z815=0,ABS(W815)&gt;Inputs!$B$5,ABS(W815)&lt;=Inputs!$B$7),1,0))</f>
        <v>0</v>
      </c>
      <c r="AB815" s="30" t="n">
        <f aca="false">IF(W815="",0,IF(AA815=1,-SIGN(W815),Z815))</f>
        <v>0</v>
      </c>
      <c r="AC815" s="30" t="n">
        <f aca="false">IF(W815="",0,IF(AA815=1,0,IF(Y815=1,0,X815)))</f>
        <v>0</v>
      </c>
      <c r="AD815" s="30" t="n">
        <f aca="false">IF(AB815=0,0,IF(AB814=AB815,AD814,T815))</f>
        <v>0</v>
      </c>
      <c r="AE815" s="30" t="n">
        <f aca="false">AB815-AB814</f>
        <v>0</v>
      </c>
      <c r="AF815" s="30" t="n">
        <f aca="false">-AD815*AB815</f>
        <v>-0</v>
      </c>
      <c r="AG815" s="30" t="n">
        <f aca="false">AF815-AF814</f>
        <v>0</v>
      </c>
      <c r="AH815" s="30" t="n">
        <f aca="false">MAX(AE815,0)*(Inputs!$B$17+Inputs!$B$18+Inputs!$B$19)+MAX(-AE815,0)*(O815+Inputs!$B$18+Inputs!$B$19)+IF(AND(K815=1,AB815&lt;&gt;0),(Inputs!$B$17+Inputs!$B$18+Inputs!$B$19)+(O815+Inputs!$B$18+Inputs!$B$19),0)+MAX(AG815,0)*(Inputs!$B$20+Inputs!$B$22+Inputs!$B$23)+MAX(-AG815,0)*(Inputs!$B$21+Inputs!$B$22+Inputs!$B$23)</f>
        <v>0</v>
      </c>
      <c r="AI815" s="30" t="n">
        <f aca="false">AB814*(M815-AD814*J815)+AB814*AD814*N815/Inputs!$B$16-AH815</f>
        <v>0</v>
      </c>
      <c r="AJ815" s="30" t="n">
        <f aca="false">MAX(AE815,0)*(Inputs!$B$17+Inputs!$B$24+Inputs!$B$25)+MAX(-AE815,0)*(O815+Inputs!$B$24+Inputs!$B$25)+IF(AND(K815=1,AB815&lt;&gt;0),(Inputs!$B$17+Inputs!$B$24+Inputs!$B$25)+(O815+Inputs!$B$24+Inputs!$B$25),0)+MAX(AG815,0)*(Inputs!$B$20+Inputs!$B$26+Inputs!$B$27)+MAX(-AG815,0)*(Inputs!$B$21+Inputs!$B$26+Inputs!$B$27)</f>
        <v>0</v>
      </c>
      <c r="AK815" s="30" t="n">
        <f aca="false">AB814*(M815-AD814*J815)+AB814*AD814*(N815+Inputs!$B$14)/Inputs!$B$16-AJ815</f>
        <v>0</v>
      </c>
      <c r="AL815" s="30" t="n">
        <f aca="false">IF(AP814&lt;&gt;0,AQ814+1,0)</f>
        <v>0</v>
      </c>
      <c r="AM815" s="30" t="n">
        <f aca="false">IF(W815="",0,IF(AND(AP814&lt;&gt;0,OR(ABS(W815)&gt;Inputs!$B$7,AL815&gt;=Inputs!$B$8,ABS(W815)&lt;Inputs!$B$6)),1,0))</f>
        <v>0</v>
      </c>
      <c r="AN815" s="30" t="n">
        <f aca="false">IF(AM815=1,0,AP814)</f>
        <v>0</v>
      </c>
      <c r="AO815" s="30" t="n">
        <f aca="false">IF(W815="",0,IF(AND(AN815=0,ABS(W815)&gt;Inputs!$B$5,ABS(W815)&lt;=Inputs!$B$7,W815&gt;0),1,0))</f>
        <v>0</v>
      </c>
      <c r="AP815" s="30" t="n">
        <f aca="false">IF(W815="",0,IF(AO815=1,-SIGN(W815),AN815))</f>
        <v>0</v>
      </c>
      <c r="AQ815" s="30" t="n">
        <f aca="false">IF(W815="",0,IF(AO815=1,0,IF(AM815=1,0,AL815)))</f>
        <v>0</v>
      </c>
      <c r="AR815" s="30" t="n">
        <f aca="false">IF(AP815=0,0,IF(AP814=AP815,AR814,T815))</f>
        <v>0</v>
      </c>
      <c r="AS815" s="30" t="n">
        <f aca="false">AP815-AP814</f>
        <v>0</v>
      </c>
      <c r="AT815" s="30" t="n">
        <f aca="false">-AR815*AP815</f>
        <v>-0</v>
      </c>
      <c r="AU815" s="30" t="n">
        <f aca="false">AT815-AT814</f>
        <v>0</v>
      </c>
      <c r="AV815" s="30" t="n">
        <f aca="false">MAX(AS815,0)*(Inputs!$B$17+Inputs!$B$18+Inputs!$B$19)+MAX(-AS815,0)*(O815+Inputs!$B$18+Inputs!$B$19)+IF(AND(K815=1,AP815&lt;&gt;0),(Inputs!$B$17+Inputs!$B$18+Inputs!$B$19)+(O815+Inputs!$B$18+Inputs!$B$19),0)+MAX(AU815,0)*(Inputs!$B$20+Inputs!$B$22+Inputs!$B$23)+MAX(-AU815,0)*(Inputs!$B$21+Inputs!$B$22+Inputs!$B$23)</f>
        <v>0</v>
      </c>
      <c r="AW815" s="30" t="n">
        <f aca="false">AP814*(M815-AR814*J815)+AP814*AR814*N815/Inputs!$B$16-AV815</f>
        <v>0</v>
      </c>
      <c r="AX815" s="30" t="n">
        <f aca="false">AW815-IF(AP814&lt;&gt;0,0.75*AR814*(Inputs!$B$13-N815)/Inputs!$B$16,0)</f>
        <v>0</v>
      </c>
      <c r="AY815" s="30" t="n">
        <f aca="false">MAX(AS815,0)*(Inputs!$B$17+Inputs!$B$18+Inputs!$B$19)+MAX(-AS815,0)*(O815+Inputs!$B$18+Inputs!$B$19)+IF(AND(K815=1,AP815&lt;&gt;0),(Inputs!$B$17+Inputs!$B$18+Inputs!$B$19)+(O815+Inputs!$B$18+Inputs!$B$19),0)</f>
        <v>0</v>
      </c>
      <c r="AZ815" s="30" t="n">
        <f aca="false">AP814*M815-AY815</f>
        <v>-0</v>
      </c>
      <c r="BA815" s="32" t="n">
        <f aca="false">BA814+AI815</f>
        <v>0.0165644170725727</v>
      </c>
      <c r="BB815" s="30" t="n">
        <f aca="false">MAX(BB814,BA815)</f>
        <v>0.0261726191772394</v>
      </c>
      <c r="BC815" s="32" t="n">
        <f aca="false">BA815-BB815</f>
        <v>-0.00960820210466671</v>
      </c>
      <c r="BD815" s="0" t="n">
        <v>1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9" min="4" style="0" width="12"/>
    <col collapsed="false" customWidth="true" hidden="false" outlineLevel="0" max="11" min="10" style="0" width="4"/>
    <col collapsed="false" customWidth="true" hidden="false" outlineLevel="0" max="13" min="12" style="0" width="12"/>
  </cols>
  <sheetData>
    <row r="1" customFormat="false" ht="16.1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2" t="s">
        <v>174</v>
      </c>
    </row>
    <row r="5" customFormat="false" ht="15" hidden="false" customHeight="false" outlineLevel="0" collapsed="false">
      <c r="A5" s="2" t="s">
        <v>175</v>
      </c>
    </row>
    <row r="12" customFormat="false" ht="15" hidden="false" customHeight="false" outlineLevel="0" collapsed="false">
      <c r="A12" s="33" t="s">
        <v>176</v>
      </c>
    </row>
    <row r="13" customFormat="false" ht="15" hidden="false" customHeight="false" outlineLevel="0" collapsed="false">
      <c r="A13" s="22" t="s">
        <v>177</v>
      </c>
      <c r="B13" s="19" t="n">
        <f aca="false">ROWS(C32:C836)</f>
        <v>805</v>
      </c>
    </row>
    <row r="14" customFormat="false" ht="15" hidden="false" customHeight="false" outlineLevel="0" collapsed="false">
      <c r="A14" s="22" t="s">
        <v>178</v>
      </c>
      <c r="B14" s="34" t="n">
        <f aca="false">INDEX(LINEST(C32:C836,D32:I836,TRUE(),TRUE()),1,6)</f>
        <v>-0.00700225910489181</v>
      </c>
    </row>
    <row r="15" customFormat="false" ht="15" hidden="false" customHeight="false" outlineLevel="0" collapsed="false">
      <c r="A15" s="22" t="s">
        <v>179</v>
      </c>
      <c r="B15" s="34" t="n">
        <f aca="false">INDEX(LINEST(C32:C836,D32:I836,TRUE(),TRUE()),2,6)</f>
        <v>0.00303245061891283</v>
      </c>
    </row>
    <row r="16" customFormat="false" ht="15" hidden="false" customHeight="false" outlineLevel="0" collapsed="false">
      <c r="A16" s="33" t="s">
        <v>180</v>
      </c>
      <c r="B16" s="35" t="n">
        <f aca="false">B14/B15</f>
        <v>-2.3091090292518</v>
      </c>
      <c r="C16" s="2" t="s">
        <v>181</v>
      </c>
    </row>
    <row r="17" customFormat="false" ht="15" hidden="false" customHeight="false" outlineLevel="0" collapsed="false">
      <c r="A17" s="22" t="s">
        <v>182</v>
      </c>
      <c r="B17" s="5" t="n">
        <v>-2.865</v>
      </c>
    </row>
    <row r="18" customFormat="false" ht="15" hidden="false" customHeight="false" outlineLevel="0" collapsed="false">
      <c r="A18" s="22" t="s">
        <v>183</v>
      </c>
      <c r="B18" s="36" t="str">
        <f aca="false">IF(B16&lt;B17,"Reject H0 → stationary","Fail to reject H0 → unit root")</f>
        <v>Fail to reject H0 → unit root</v>
      </c>
    </row>
    <row r="22" customFormat="false" ht="15" hidden="false" customHeight="false" outlineLevel="0" collapsed="false">
      <c r="A22" s="33" t="s">
        <v>184</v>
      </c>
    </row>
    <row r="23" customFormat="false" ht="15" hidden="false" customHeight="false" outlineLevel="0" collapsed="false">
      <c r="A23" s="22" t="s">
        <v>177</v>
      </c>
      <c r="B23" s="19" t="n">
        <f aca="false">ROWS(L32:L841)</f>
        <v>810</v>
      </c>
    </row>
    <row r="24" customFormat="false" ht="15" hidden="false" customHeight="false" outlineLevel="0" collapsed="false">
      <c r="A24" s="22" t="s">
        <v>178</v>
      </c>
      <c r="B24" s="34" t="n">
        <f aca="false">INDEX(LINEST(L32:L841,M32:M841,TRUE(),TRUE()),1,1)</f>
        <v>-0.00546882906268052</v>
      </c>
    </row>
    <row r="25" customFormat="false" ht="15" hidden="false" customHeight="false" outlineLevel="0" collapsed="false">
      <c r="A25" s="22" t="s">
        <v>179</v>
      </c>
      <c r="B25" s="34" t="n">
        <f aca="false">INDEX(LINEST(L32:L841,M32:M841,TRUE(),TRUE()),2,1)</f>
        <v>0.00231030720033236</v>
      </c>
    </row>
    <row r="26" customFormat="false" ht="15" hidden="false" customHeight="false" outlineLevel="0" collapsed="false">
      <c r="A26" s="33" t="s">
        <v>180</v>
      </c>
      <c r="B26" s="35" t="n">
        <f aca="false">B24/B25</f>
        <v>-2.36714366898643</v>
      </c>
      <c r="C26" s="2" t="s">
        <v>185</v>
      </c>
    </row>
    <row r="27" customFormat="false" ht="15" hidden="false" customHeight="false" outlineLevel="0" collapsed="false">
      <c r="A27" s="22" t="s">
        <v>182</v>
      </c>
      <c r="B27" s="5" t="n">
        <v>-2.865</v>
      </c>
    </row>
    <row r="28" customFormat="false" ht="15" hidden="false" customHeight="false" outlineLevel="0" collapsed="false">
      <c r="A28" s="22" t="s">
        <v>183</v>
      </c>
      <c r="B28" s="36" t="str">
        <f aca="false">IF(B26&lt;B27,"Reject H0 → stationary","Fail to reject H0 → unit root")</f>
        <v>Fail to reject H0 → unit root</v>
      </c>
    </row>
    <row r="30" customFormat="false" ht="15" hidden="false" customHeight="false" outlineLevel="0" collapsed="false">
      <c r="C30" s="33" t="s">
        <v>186</v>
      </c>
      <c r="L30" s="33" t="s">
        <v>187</v>
      </c>
    </row>
    <row r="31" customFormat="false" ht="15" hidden="false" customHeight="false" outlineLevel="0" collapsed="false">
      <c r="C31" s="3" t="s">
        <v>188</v>
      </c>
      <c r="D31" s="3" t="s">
        <v>189</v>
      </c>
      <c r="E31" s="3" t="s">
        <v>190</v>
      </c>
      <c r="F31" s="3" t="s">
        <v>191</v>
      </c>
      <c r="G31" s="3" t="s">
        <v>192</v>
      </c>
      <c r="H31" s="3" t="s">
        <v>193</v>
      </c>
      <c r="I31" s="3" t="s">
        <v>194</v>
      </c>
      <c r="L31" s="3" t="s">
        <v>188</v>
      </c>
      <c r="M31" s="3" t="s">
        <v>189</v>
      </c>
    </row>
    <row r="32" customFormat="false" ht="15" hidden="false" customHeight="false" outlineLevel="0" collapsed="false">
      <c r="C32" s="0" t="n">
        <f aca="false">Panel!D11-Panel!D10</f>
        <v>0.00213934176794872</v>
      </c>
      <c r="D32" s="29" t="n">
        <f aca="false">Panel!D10</f>
        <v>9.8148639675464</v>
      </c>
      <c r="E32" s="30" t="n">
        <f aca="false">Panel!D10-Panel!D9</f>
        <v>-0.000748198487716678</v>
      </c>
      <c r="F32" s="30" t="n">
        <f aca="false">Panel!D9-Panel!D8</f>
        <v>0.0102833465806338</v>
      </c>
      <c r="G32" s="30" t="n">
        <f aca="false">Panel!D8-Panel!D7</f>
        <v>-0.00861688442114783</v>
      </c>
      <c r="H32" s="30" t="n">
        <f aca="false">Panel!D7-Panel!D6</f>
        <v>0.00766863557813124</v>
      </c>
      <c r="I32" s="30" t="n">
        <f aca="false">Panel!D6-Panel!D5</f>
        <v>-0.00300968884079822</v>
      </c>
      <c r="L32" s="30" t="n">
        <f aca="false">Panel!E6-Panel!E5</f>
        <v>-0.00313305627955973</v>
      </c>
      <c r="M32" s="29" t="n">
        <f aca="false">Panel!E5</f>
        <v>5.28927662189589</v>
      </c>
    </row>
    <row r="33" customFormat="false" ht="15" hidden="false" customHeight="false" outlineLevel="0" collapsed="false">
      <c r="C33" s="0" t="n">
        <f aca="false">Panel!D12-Panel!D11</f>
        <v>0.000871887145853734</v>
      </c>
      <c r="D33" s="29" t="n">
        <f aca="false">Panel!D11</f>
        <v>9.81700330931435</v>
      </c>
      <c r="E33" s="30" t="n">
        <f aca="false">Panel!D11-Panel!D10</f>
        <v>0.00213934176794872</v>
      </c>
      <c r="F33" s="30" t="n">
        <f aca="false">Panel!D10-Panel!D9</f>
        <v>-0.000748198487716678</v>
      </c>
      <c r="G33" s="30" t="n">
        <f aca="false">Panel!D9-Panel!D8</f>
        <v>0.0102833465806338</v>
      </c>
      <c r="H33" s="30" t="n">
        <f aca="false">Panel!D8-Panel!D7</f>
        <v>-0.00861688442114783</v>
      </c>
      <c r="I33" s="30" t="n">
        <f aca="false">Panel!D7-Panel!D6</f>
        <v>0.00766863557813124</v>
      </c>
      <c r="L33" s="30" t="n">
        <f aca="false">Panel!E7-Panel!E6</f>
        <v>0.00896866998276025</v>
      </c>
      <c r="M33" s="29" t="n">
        <f aca="false">Panel!E6</f>
        <v>5.28614356561633</v>
      </c>
    </row>
    <row r="34" customFormat="false" ht="15" hidden="false" customHeight="false" outlineLevel="0" collapsed="false">
      <c r="C34" s="0" t="n">
        <f aca="false">Panel!D13-Panel!D12</f>
        <v>-0.00136265793848445</v>
      </c>
      <c r="D34" s="29" t="n">
        <f aca="false">Panel!D12</f>
        <v>9.81787519646021</v>
      </c>
      <c r="E34" s="30" t="n">
        <f aca="false">Panel!D12-Panel!D11</f>
        <v>0.000871887145853734</v>
      </c>
      <c r="F34" s="30" t="n">
        <f aca="false">Panel!D11-Panel!D10</f>
        <v>0.00213934176794872</v>
      </c>
      <c r="G34" s="30" t="n">
        <f aca="false">Panel!D10-Panel!D9</f>
        <v>-0.000748198487716678</v>
      </c>
      <c r="H34" s="30" t="n">
        <f aca="false">Panel!D9-Panel!D8</f>
        <v>0.0102833465806338</v>
      </c>
      <c r="I34" s="30" t="n">
        <f aca="false">Panel!D8-Panel!D7</f>
        <v>-0.00861688442114783</v>
      </c>
      <c r="L34" s="30" t="n">
        <f aca="false">Panel!E8-Panel!E7</f>
        <v>-0.00740091483827587</v>
      </c>
      <c r="M34" s="29" t="n">
        <f aca="false">Panel!E7</f>
        <v>5.29511223559909</v>
      </c>
    </row>
    <row r="35" customFormat="false" ht="15" hidden="false" customHeight="false" outlineLevel="0" collapsed="false">
      <c r="C35" s="0" t="n">
        <f aca="false">Panel!D14-Panel!D13</f>
        <v>0.0040280931934813</v>
      </c>
      <c r="D35" s="29" t="n">
        <f aca="false">Panel!D13</f>
        <v>9.81651253852172</v>
      </c>
      <c r="E35" s="30" t="n">
        <f aca="false">Panel!D13-Panel!D12</f>
        <v>-0.00136265793848445</v>
      </c>
      <c r="F35" s="30" t="n">
        <f aca="false">Panel!D12-Panel!D11</f>
        <v>0.000871887145853734</v>
      </c>
      <c r="G35" s="30" t="n">
        <f aca="false">Panel!D11-Panel!D10</f>
        <v>0.00213934176794872</v>
      </c>
      <c r="H35" s="30" t="n">
        <f aca="false">Panel!D10-Panel!D9</f>
        <v>-0.000748198487716678</v>
      </c>
      <c r="I35" s="30" t="n">
        <f aca="false">Panel!D9-Panel!D8</f>
        <v>0.0102833465806338</v>
      </c>
      <c r="L35" s="30" t="n">
        <f aca="false">Panel!E9-Panel!E8</f>
        <v>0.0101059207455423</v>
      </c>
      <c r="M35" s="29" t="n">
        <f aca="false">Panel!E8</f>
        <v>5.28771132076081</v>
      </c>
    </row>
    <row r="36" customFormat="false" ht="15" hidden="false" customHeight="false" outlineLevel="0" collapsed="false">
      <c r="C36" s="0" t="n">
        <f aca="false">Panel!D15-Panel!D14</f>
        <v>-0.0044590794767867</v>
      </c>
      <c r="D36" s="29" t="n">
        <f aca="false">Panel!D14</f>
        <v>9.8205406317152</v>
      </c>
      <c r="E36" s="30" t="n">
        <f aca="false">Panel!D14-Panel!D13</f>
        <v>0.0040280931934813</v>
      </c>
      <c r="F36" s="30" t="n">
        <f aca="false">Panel!D13-Panel!D12</f>
        <v>-0.00136265793848445</v>
      </c>
      <c r="G36" s="30" t="n">
        <f aca="false">Panel!D12-Panel!D11</f>
        <v>0.000871887145853734</v>
      </c>
      <c r="H36" s="30" t="n">
        <f aca="false">Panel!D11-Panel!D10</f>
        <v>0.00213934176794872</v>
      </c>
      <c r="I36" s="30" t="n">
        <f aca="false">Panel!D10-Panel!D9</f>
        <v>-0.000748198487716678</v>
      </c>
      <c r="L36" s="30" t="n">
        <f aca="false">Panel!E10-Panel!E9</f>
        <v>-0.000750656859970889</v>
      </c>
      <c r="M36" s="29" t="n">
        <f aca="false">Panel!E9</f>
        <v>5.29781724150636</v>
      </c>
    </row>
    <row r="37" customFormat="false" ht="15" hidden="false" customHeight="false" outlineLevel="0" collapsed="false">
      <c r="C37" s="0" t="n">
        <f aca="false">Panel!D16-Panel!D15</f>
        <v>-0.00515072374754588</v>
      </c>
      <c r="D37" s="29" t="n">
        <f aca="false">Panel!D15</f>
        <v>9.81608155223842</v>
      </c>
      <c r="E37" s="30" t="n">
        <f aca="false">Panel!D15-Panel!D14</f>
        <v>-0.0044590794767867</v>
      </c>
      <c r="F37" s="30" t="n">
        <f aca="false">Panel!D14-Panel!D13</f>
        <v>0.0040280931934813</v>
      </c>
      <c r="G37" s="30" t="n">
        <f aca="false">Panel!D13-Panel!D12</f>
        <v>-0.00136265793848445</v>
      </c>
      <c r="H37" s="30" t="n">
        <f aca="false">Panel!D12-Panel!D11</f>
        <v>0.000871887145853734</v>
      </c>
      <c r="I37" s="30" t="n">
        <f aca="false">Panel!D11-Panel!D10</f>
        <v>0.00213934176794872</v>
      </c>
      <c r="L37" s="30" t="n">
        <f aca="false">Panel!E11-Panel!E10</f>
        <v>0.00230023103722399</v>
      </c>
      <c r="M37" s="29" t="n">
        <f aca="false">Panel!E10</f>
        <v>5.29706658464638</v>
      </c>
    </row>
    <row r="38" customFormat="false" ht="15" hidden="false" customHeight="false" outlineLevel="0" collapsed="false">
      <c r="C38" s="0" t="n">
        <f aca="false">Panel!D17-Panel!D16</f>
        <v>-0.00285346075940041</v>
      </c>
      <c r="D38" s="29" t="n">
        <f aca="false">Panel!D16</f>
        <v>9.81093082849087</v>
      </c>
      <c r="E38" s="30" t="n">
        <f aca="false">Panel!D16-Panel!D15</f>
        <v>-0.00515072374754588</v>
      </c>
      <c r="F38" s="30" t="n">
        <f aca="false">Panel!D15-Panel!D14</f>
        <v>-0.0044590794767867</v>
      </c>
      <c r="G38" s="30" t="n">
        <f aca="false">Panel!D14-Panel!D13</f>
        <v>0.0040280931934813</v>
      </c>
      <c r="H38" s="30" t="n">
        <f aca="false">Panel!D13-Panel!D12</f>
        <v>-0.00136265793848445</v>
      </c>
      <c r="I38" s="30" t="n">
        <f aca="false">Panel!D12-Panel!D11</f>
        <v>0.000871887145853734</v>
      </c>
      <c r="L38" s="30" t="n">
        <f aca="false">Panel!E12-Panel!E11</f>
        <v>0.000948553527101659</v>
      </c>
      <c r="M38" s="29" t="n">
        <f aca="false">Panel!E11</f>
        <v>5.29936681568361</v>
      </c>
    </row>
    <row r="39" customFormat="false" ht="15" hidden="false" customHeight="false" outlineLevel="0" collapsed="false">
      <c r="C39" s="0" t="n">
        <f aca="false">Panel!D18-Panel!D17</f>
        <v>0.00280135307199636</v>
      </c>
      <c r="D39" s="29" t="n">
        <f aca="false">Panel!D17</f>
        <v>9.80807736773147</v>
      </c>
      <c r="E39" s="30" t="n">
        <f aca="false">Panel!D17-Panel!D16</f>
        <v>-0.00285346075940041</v>
      </c>
      <c r="F39" s="30" t="n">
        <f aca="false">Panel!D16-Panel!D15</f>
        <v>-0.00515072374754588</v>
      </c>
      <c r="G39" s="30" t="n">
        <f aca="false">Panel!D15-Panel!D14</f>
        <v>-0.0044590794767867</v>
      </c>
      <c r="H39" s="30" t="n">
        <f aca="false">Panel!D14-Panel!D13</f>
        <v>0.0040280931934813</v>
      </c>
      <c r="I39" s="30" t="n">
        <f aca="false">Panel!D13-Panel!D12</f>
        <v>-0.00136265793848445</v>
      </c>
      <c r="L39" s="30" t="n">
        <f aca="false">Panel!E13-Panel!E12</f>
        <v>-0.00149812762102197</v>
      </c>
      <c r="M39" s="29" t="n">
        <f aca="false">Panel!E12</f>
        <v>5.30031536921071</v>
      </c>
    </row>
    <row r="40" customFormat="false" ht="15" hidden="false" customHeight="false" outlineLevel="0" collapsed="false">
      <c r="C40" s="0" t="n">
        <f aca="false">Panel!D19-Panel!D18</f>
        <v>0.00513734891057638</v>
      </c>
      <c r="D40" s="29" t="n">
        <f aca="false">Panel!D18</f>
        <v>9.81087872080347</v>
      </c>
      <c r="E40" s="30" t="n">
        <f aca="false">Panel!D18-Panel!D17</f>
        <v>0.00280135307199636</v>
      </c>
      <c r="F40" s="30" t="n">
        <f aca="false">Panel!D17-Panel!D16</f>
        <v>-0.00285346075940041</v>
      </c>
      <c r="G40" s="30" t="n">
        <f aca="false">Panel!D16-Panel!D15</f>
        <v>-0.00515072374754588</v>
      </c>
      <c r="H40" s="30" t="n">
        <f aca="false">Panel!D15-Panel!D14</f>
        <v>-0.0044590794767867</v>
      </c>
      <c r="I40" s="30" t="n">
        <f aca="false">Panel!D14-Panel!D13</f>
        <v>0.0040280931934813</v>
      </c>
      <c r="L40" s="30" t="n">
        <f aca="false">Panel!E14-Panel!E13</f>
        <v>0.00637642889778167</v>
      </c>
      <c r="M40" s="29" t="n">
        <f aca="false">Panel!E13</f>
        <v>5.29881724158969</v>
      </c>
    </row>
    <row r="41" customFormat="false" ht="15" hidden="false" customHeight="false" outlineLevel="0" collapsed="false">
      <c r="C41" s="0" t="n">
        <f aca="false">Panel!D20-Panel!D19</f>
        <v>0.00181010326662978</v>
      </c>
      <c r="D41" s="29" t="n">
        <f aca="false">Panel!D19</f>
        <v>9.81601606971404</v>
      </c>
      <c r="E41" s="30" t="n">
        <f aca="false">Panel!D19-Panel!D18</f>
        <v>0.00513734891057638</v>
      </c>
      <c r="F41" s="30" t="n">
        <f aca="false">Panel!D18-Panel!D17</f>
        <v>0.00280135307199636</v>
      </c>
      <c r="G41" s="30" t="n">
        <f aca="false">Panel!D17-Panel!D16</f>
        <v>-0.00285346075940041</v>
      </c>
      <c r="H41" s="30" t="n">
        <f aca="false">Panel!D16-Panel!D15</f>
        <v>-0.00515072374754588</v>
      </c>
      <c r="I41" s="30" t="n">
        <f aca="false">Panel!D15-Panel!D14</f>
        <v>-0.0044590794767867</v>
      </c>
      <c r="L41" s="30" t="n">
        <f aca="false">Panel!E15-Panel!E14</f>
        <v>-0.00437942374084521</v>
      </c>
      <c r="M41" s="29" t="n">
        <f aca="false">Panel!E14</f>
        <v>5.30519367048747</v>
      </c>
    </row>
    <row r="42" customFormat="false" ht="15" hidden="false" customHeight="false" outlineLevel="0" collapsed="false">
      <c r="C42" s="0" t="n">
        <f aca="false">Panel!D21-Panel!D20</f>
        <v>-0.00311519083538947</v>
      </c>
      <c r="D42" s="29" t="n">
        <f aca="false">Panel!D20</f>
        <v>9.81782617298067</v>
      </c>
      <c r="E42" s="30" t="n">
        <f aca="false">Panel!D20-Panel!D19</f>
        <v>0.00181010326662978</v>
      </c>
      <c r="F42" s="30" t="n">
        <f aca="false">Panel!D19-Panel!D18</f>
        <v>0.00513734891057638</v>
      </c>
      <c r="G42" s="30" t="n">
        <f aca="false">Panel!D18-Panel!D17</f>
        <v>0.00280135307199636</v>
      </c>
      <c r="H42" s="30" t="n">
        <f aca="false">Panel!D17-Panel!D16</f>
        <v>-0.00285346075940041</v>
      </c>
      <c r="I42" s="30" t="n">
        <f aca="false">Panel!D16-Panel!D15</f>
        <v>-0.00515072374754588</v>
      </c>
      <c r="L42" s="30" t="n">
        <f aca="false">Panel!E16-Panel!E15</f>
        <v>-0.00299700524026925</v>
      </c>
      <c r="M42" s="29" t="n">
        <f aca="false">Panel!E15</f>
        <v>5.30081424674662</v>
      </c>
    </row>
    <row r="43" customFormat="false" ht="15" hidden="false" customHeight="false" outlineLevel="0" collapsed="false">
      <c r="C43" s="0" t="n">
        <f aca="false">Panel!D22-Panel!D21</f>
        <v>0.00130508756875969</v>
      </c>
      <c r="D43" s="29" t="n">
        <f aca="false">Panel!D21</f>
        <v>9.81471098214528</v>
      </c>
      <c r="E43" s="30" t="n">
        <f aca="false">Panel!D21-Panel!D20</f>
        <v>-0.00311519083538947</v>
      </c>
      <c r="F43" s="30" t="n">
        <f aca="false">Panel!D20-Panel!D19</f>
        <v>0.00181010326662978</v>
      </c>
      <c r="G43" s="30" t="n">
        <f aca="false">Panel!D19-Panel!D18</f>
        <v>0.00513734891057638</v>
      </c>
      <c r="H43" s="30" t="n">
        <f aca="false">Panel!D18-Panel!D17</f>
        <v>0.00280135307199636</v>
      </c>
      <c r="I43" s="30" t="n">
        <f aca="false">Panel!D17-Panel!D16</f>
        <v>-0.00285346075940041</v>
      </c>
      <c r="L43" s="30" t="n">
        <f aca="false">Panel!E17-Panel!E16</f>
        <v>-0.00355809841917232</v>
      </c>
      <c r="M43" s="29" t="n">
        <f aca="false">Panel!E16</f>
        <v>5.29781724150636</v>
      </c>
    </row>
    <row r="44" customFormat="false" ht="15" hidden="false" customHeight="false" outlineLevel="0" collapsed="false">
      <c r="C44" s="0" t="n">
        <f aca="false">Panel!D23-Panel!D22</f>
        <v>0.0132973546339485</v>
      </c>
      <c r="D44" s="29" t="n">
        <f aca="false">Panel!D22</f>
        <v>9.81601606971404</v>
      </c>
      <c r="E44" s="30" t="n">
        <f aca="false">Panel!D22-Panel!D21</f>
        <v>0.00130508756875969</v>
      </c>
      <c r="F44" s="30" t="n">
        <f aca="false">Panel!D21-Panel!D20</f>
        <v>-0.00311519083538947</v>
      </c>
      <c r="G44" s="30" t="n">
        <f aca="false">Panel!D20-Panel!D19</f>
        <v>0.00181010326662978</v>
      </c>
      <c r="H44" s="30" t="n">
        <f aca="false">Panel!D19-Panel!D18</f>
        <v>0.00513734891057638</v>
      </c>
      <c r="I44" s="30" t="n">
        <f aca="false">Panel!D18-Panel!D17</f>
        <v>0.00280135307199636</v>
      </c>
      <c r="L44" s="30" t="n">
        <f aca="false">Panel!E18-Panel!E17</f>
        <v>0.00230669042204834</v>
      </c>
      <c r="M44" s="29" t="n">
        <f aca="false">Panel!E17</f>
        <v>5.29425914308718</v>
      </c>
    </row>
    <row r="45" customFormat="false" ht="15" hidden="false" customHeight="false" outlineLevel="0" collapsed="false">
      <c r="C45" s="0" t="n">
        <f aca="false">Panel!D24-Panel!D23</f>
        <v>0.00562758565302701</v>
      </c>
      <c r="D45" s="29" t="n">
        <f aca="false">Panel!D23</f>
        <v>9.82931342434799</v>
      </c>
      <c r="E45" s="30" t="n">
        <f aca="false">Panel!D23-Panel!D22</f>
        <v>0.0132973546339485</v>
      </c>
      <c r="F45" s="30" t="n">
        <f aca="false">Panel!D22-Panel!D21</f>
        <v>0.00130508756875969</v>
      </c>
      <c r="G45" s="30" t="n">
        <f aca="false">Panel!D21-Panel!D20</f>
        <v>-0.00311519083538947</v>
      </c>
      <c r="H45" s="30" t="n">
        <f aca="false">Panel!D20-Panel!D19</f>
        <v>0.00181010326662978</v>
      </c>
      <c r="I45" s="30" t="n">
        <f aca="false">Panel!D19-Panel!D18</f>
        <v>0.00513734891057638</v>
      </c>
      <c r="L45" s="30" t="n">
        <f aca="false">Panel!E19-Panel!E18</f>
        <v>0.00524542229306135</v>
      </c>
      <c r="M45" s="29" t="n">
        <f aca="false">Panel!E18</f>
        <v>5.29656583350923</v>
      </c>
    </row>
    <row r="46" customFormat="false" ht="15" hidden="false" customHeight="false" outlineLevel="0" collapsed="false">
      <c r="C46" s="0" t="n">
        <f aca="false">Panel!D25-Panel!D24</f>
        <v>0.0024067400305654</v>
      </c>
      <c r="D46" s="29" t="n">
        <f aca="false">Panel!D24</f>
        <v>9.83494101000102</v>
      </c>
      <c r="E46" s="30" t="n">
        <f aca="false">Panel!D24-Panel!D23</f>
        <v>0.00562758565302701</v>
      </c>
      <c r="F46" s="30" t="n">
        <f aca="false">Panel!D23-Panel!D22</f>
        <v>0.0132973546339485</v>
      </c>
      <c r="G46" s="30" t="n">
        <f aca="false">Panel!D22-Panel!D21</f>
        <v>0.00130508756875969</v>
      </c>
      <c r="H46" s="30" t="n">
        <f aca="false">Panel!D21-Panel!D20</f>
        <v>-0.00311519083538947</v>
      </c>
      <c r="I46" s="30" t="n">
        <f aca="false">Panel!D20-Panel!D19</f>
        <v>0.00181010326662978</v>
      </c>
      <c r="L46" s="30" t="n">
        <f aca="false">Panel!E20-Panel!E19</f>
        <v>0.00099601601859689</v>
      </c>
      <c r="M46" s="29" t="n">
        <f aca="false">Panel!E19</f>
        <v>5.30181125580229</v>
      </c>
    </row>
    <row r="47" customFormat="false" ht="15" hidden="false" customHeight="false" outlineLevel="0" collapsed="false">
      <c r="C47" s="0" t="n">
        <f aca="false">Panel!D26-Panel!D25</f>
        <v>-0.00509039135118528</v>
      </c>
      <c r="D47" s="29" t="n">
        <f aca="false">Panel!D25</f>
        <v>9.83734775003158</v>
      </c>
      <c r="E47" s="30" t="n">
        <f aca="false">Panel!D25-Panel!D24</f>
        <v>0.0024067400305654</v>
      </c>
      <c r="F47" s="30" t="n">
        <f aca="false">Panel!D24-Panel!D23</f>
        <v>0.00562758565302701</v>
      </c>
      <c r="G47" s="30" t="n">
        <f aca="false">Panel!D23-Panel!D22</f>
        <v>0.0132973546339485</v>
      </c>
      <c r="H47" s="30" t="n">
        <f aca="false">Panel!D22-Panel!D21</f>
        <v>0.00130508756875969</v>
      </c>
      <c r="I47" s="30" t="n">
        <f aca="false">Panel!D21-Panel!D20</f>
        <v>-0.00311519083538947</v>
      </c>
      <c r="L47" s="30" t="n">
        <f aca="false">Panel!E21-Panel!E20</f>
        <v>-0.00204290162980048</v>
      </c>
      <c r="M47" s="29" t="n">
        <f aca="false">Panel!E20</f>
        <v>5.30280727182089</v>
      </c>
    </row>
    <row r="48" customFormat="false" ht="15" hidden="false" customHeight="false" outlineLevel="0" collapsed="false">
      <c r="C48" s="0" t="n">
        <f aca="false">Panel!D27-Panel!D26</f>
        <v>-0.00274201828302978</v>
      </c>
      <c r="D48" s="29" t="n">
        <f aca="false">Panel!D26</f>
        <v>9.8322573586804</v>
      </c>
      <c r="E48" s="30" t="n">
        <f aca="false">Panel!D26-Panel!D25</f>
        <v>-0.00509039135118528</v>
      </c>
      <c r="F48" s="30" t="n">
        <f aca="false">Panel!D25-Panel!D24</f>
        <v>0.0024067400305654</v>
      </c>
      <c r="G48" s="30" t="n">
        <f aca="false">Panel!D24-Panel!D23</f>
        <v>0.00562758565302701</v>
      </c>
      <c r="H48" s="30" t="n">
        <f aca="false">Panel!D23-Panel!D22</f>
        <v>0.0132973546339485</v>
      </c>
      <c r="I48" s="30" t="n">
        <f aca="false">Panel!D22-Panel!D21</f>
        <v>0.00130508756875969</v>
      </c>
      <c r="L48" s="30" t="n">
        <f aca="false">Panel!E22-Panel!E21</f>
        <v>0.00224198584307977</v>
      </c>
      <c r="M48" s="29" t="n">
        <f aca="false">Panel!E21</f>
        <v>5.30076437019109</v>
      </c>
    </row>
    <row r="49" customFormat="false" ht="15" hidden="false" customHeight="false" outlineLevel="0" collapsed="false">
      <c r="C49" s="0" t="n">
        <f aca="false">Panel!D28-Panel!D27</f>
        <v>0.00309900249496842</v>
      </c>
      <c r="D49" s="29" t="n">
        <f aca="false">Panel!D27</f>
        <v>9.82951534039737</v>
      </c>
      <c r="E49" s="30" t="n">
        <f aca="false">Panel!D27-Panel!D26</f>
        <v>-0.00274201828302978</v>
      </c>
      <c r="F49" s="30" t="n">
        <f aca="false">Panel!D26-Panel!D25</f>
        <v>-0.00509039135118528</v>
      </c>
      <c r="G49" s="30" t="n">
        <f aca="false">Panel!D25-Panel!D24</f>
        <v>0.0024067400305654</v>
      </c>
      <c r="H49" s="30" t="n">
        <f aca="false">Panel!D24-Panel!D23</f>
        <v>0.00562758565302701</v>
      </c>
      <c r="I49" s="30" t="n">
        <f aca="false">Panel!D23-Panel!D22</f>
        <v>0.0132973546339485</v>
      </c>
      <c r="L49" s="30" t="n">
        <f aca="false">Panel!E23-Panel!E22</f>
        <v>0.0106921125521708</v>
      </c>
      <c r="M49" s="29" t="n">
        <f aca="false">Panel!E22</f>
        <v>5.30300635603417</v>
      </c>
    </row>
    <row r="50" customFormat="false" ht="15" hidden="false" customHeight="false" outlineLevel="0" collapsed="false">
      <c r="C50" s="0" t="n">
        <f aca="false">Panel!D29-Panel!D28</f>
        <v>0.00382487489066463</v>
      </c>
      <c r="D50" s="29" t="n">
        <f aca="false">Panel!D28</f>
        <v>9.83261434289234</v>
      </c>
      <c r="E50" s="30" t="n">
        <f aca="false">Panel!D28-Panel!D27</f>
        <v>0.00309900249496842</v>
      </c>
      <c r="F50" s="30" t="n">
        <f aca="false">Panel!D27-Panel!D26</f>
        <v>-0.00274201828302978</v>
      </c>
      <c r="G50" s="30" t="n">
        <f aca="false">Panel!D26-Panel!D25</f>
        <v>-0.00509039135118528</v>
      </c>
      <c r="H50" s="30" t="n">
        <f aca="false">Panel!D25-Panel!D24</f>
        <v>0.0024067400305654</v>
      </c>
      <c r="I50" s="30" t="n">
        <f aca="false">Panel!D24-Panel!D23</f>
        <v>0.00562758565302701</v>
      </c>
      <c r="L50" s="30" t="n">
        <f aca="false">Panel!E24-Panel!E23</f>
        <v>0.00491160122945988</v>
      </c>
      <c r="M50" s="29" t="n">
        <f aca="false">Panel!E23</f>
        <v>5.31369846858634</v>
      </c>
    </row>
    <row r="51" customFormat="false" ht="15" hidden="false" customHeight="false" outlineLevel="0" collapsed="false">
      <c r="C51" s="0" t="n">
        <f aca="false">Panel!D30-Panel!D29</f>
        <v>-0.00106991932316269</v>
      </c>
      <c r="D51" s="29" t="n">
        <f aca="false">Panel!D29</f>
        <v>9.836439217783</v>
      </c>
      <c r="E51" s="30" t="n">
        <f aca="false">Panel!D29-Panel!D28</f>
        <v>0.00382487489066463</v>
      </c>
      <c r="F51" s="30" t="n">
        <f aca="false">Panel!D28-Panel!D27</f>
        <v>0.00309900249496842</v>
      </c>
      <c r="G51" s="30" t="n">
        <f aca="false">Panel!D27-Panel!D26</f>
        <v>-0.00274201828302978</v>
      </c>
      <c r="H51" s="30" t="n">
        <f aca="false">Panel!D26-Panel!D25</f>
        <v>-0.00509039135118528</v>
      </c>
      <c r="I51" s="30" t="n">
        <f aca="false">Panel!D25-Panel!D24</f>
        <v>0.0024067400305654</v>
      </c>
      <c r="L51" s="30" t="n">
        <f aca="false">Panel!E25-Panel!E24</f>
        <v>0.0022023745596087</v>
      </c>
      <c r="M51" s="29" t="n">
        <f aca="false">Panel!E24</f>
        <v>5.3186100698158</v>
      </c>
    </row>
    <row r="52" customFormat="false" ht="15" hidden="false" customHeight="false" outlineLevel="0" collapsed="false">
      <c r="C52" s="0" t="n">
        <f aca="false">Panel!D31-Panel!D30</f>
        <v>0.00624285035820194</v>
      </c>
      <c r="D52" s="29" t="n">
        <f aca="false">Panel!D30</f>
        <v>9.83536929845984</v>
      </c>
      <c r="E52" s="30" t="n">
        <f aca="false">Panel!D30-Panel!D29</f>
        <v>-0.00106991932316269</v>
      </c>
      <c r="F52" s="30" t="n">
        <f aca="false">Panel!D29-Panel!D28</f>
        <v>0.00382487489066463</v>
      </c>
      <c r="G52" s="30" t="n">
        <f aca="false">Panel!D28-Panel!D27</f>
        <v>0.00309900249496842</v>
      </c>
      <c r="H52" s="30" t="n">
        <f aca="false">Panel!D27-Panel!D26</f>
        <v>-0.00274201828302978</v>
      </c>
      <c r="I52" s="30" t="n">
        <f aca="false">Panel!D26-Panel!D25</f>
        <v>-0.00509039135118528</v>
      </c>
      <c r="L52" s="30" t="n">
        <f aca="false">Panel!E26-Panel!E25</f>
        <v>-0.00465515969904029</v>
      </c>
      <c r="M52" s="29" t="n">
        <f aca="false">Panel!E25</f>
        <v>5.32081244437541</v>
      </c>
    </row>
    <row r="53" customFormat="false" ht="15" hidden="false" customHeight="false" outlineLevel="0" collapsed="false">
      <c r="C53" s="0" t="n">
        <f aca="false">Panel!D32-Panel!D31</f>
        <v>-0.00415756688635049</v>
      </c>
      <c r="D53" s="29" t="n">
        <f aca="false">Panel!D31</f>
        <v>9.84161214881804</v>
      </c>
      <c r="E53" s="30" t="n">
        <f aca="false">Panel!D31-Panel!D30</f>
        <v>0.00624285035820194</v>
      </c>
      <c r="F53" s="30" t="n">
        <f aca="false">Panel!D30-Panel!D29</f>
        <v>-0.00106991932316269</v>
      </c>
      <c r="G53" s="30" t="n">
        <f aca="false">Panel!D29-Panel!D28</f>
        <v>0.00382487489066463</v>
      </c>
      <c r="H53" s="30" t="n">
        <f aca="false">Panel!D28-Panel!D27</f>
        <v>0.00309900249496842</v>
      </c>
      <c r="I53" s="30" t="n">
        <f aca="false">Panel!D27-Panel!D26</f>
        <v>-0.00274201828302978</v>
      </c>
      <c r="L53" s="30" t="n">
        <f aca="false">Panel!E27-Panel!E26</f>
        <v>-0.00255729459717369</v>
      </c>
      <c r="M53" s="29" t="n">
        <f aca="false">Panel!E26</f>
        <v>5.31615728467637</v>
      </c>
    </row>
    <row r="54" customFormat="false" ht="15" hidden="false" customHeight="false" outlineLevel="0" collapsed="false">
      <c r="C54" s="0" t="n">
        <f aca="false">Panel!D33-Panel!D32</f>
        <v>-0.00492611833605494</v>
      </c>
      <c r="D54" s="29" t="n">
        <f aca="false">Panel!D32</f>
        <v>9.83745458193169</v>
      </c>
      <c r="E54" s="30" t="n">
        <f aca="false">Panel!D32-Panel!D31</f>
        <v>-0.00415756688635049</v>
      </c>
      <c r="F54" s="30" t="n">
        <f aca="false">Panel!D31-Panel!D30</f>
        <v>0.00624285035820194</v>
      </c>
      <c r="G54" s="30" t="n">
        <f aca="false">Panel!D30-Panel!D29</f>
        <v>-0.00106991932316269</v>
      </c>
      <c r="H54" s="30" t="n">
        <f aca="false">Panel!D29-Panel!D28</f>
        <v>0.00382487489066463</v>
      </c>
      <c r="I54" s="30" t="n">
        <f aca="false">Panel!D28-Panel!D27</f>
        <v>0.00309900249496842</v>
      </c>
      <c r="L54" s="30" t="n">
        <f aca="false">Panel!E28-Panel!E27</f>
        <v>0.00255729459717369</v>
      </c>
      <c r="M54" s="29" t="n">
        <f aca="false">Panel!E27</f>
        <v>5.31359999007919</v>
      </c>
    </row>
    <row r="55" customFormat="false" ht="15" hidden="false" customHeight="false" outlineLevel="0" collapsed="false">
      <c r="C55" s="0" t="n">
        <f aca="false">Panel!D34-Panel!D33</f>
        <v>0.00323683844411349</v>
      </c>
      <c r="D55" s="29" t="n">
        <f aca="false">Panel!D33</f>
        <v>9.83252846359564</v>
      </c>
      <c r="E55" s="30" t="n">
        <f aca="false">Panel!D33-Panel!D32</f>
        <v>-0.00492611833605494</v>
      </c>
      <c r="F55" s="30" t="n">
        <f aca="false">Panel!D32-Panel!D31</f>
        <v>-0.00415756688635049</v>
      </c>
      <c r="G55" s="30" t="n">
        <f aca="false">Panel!D31-Panel!D30</f>
        <v>0.00624285035820194</v>
      </c>
      <c r="H55" s="30" t="n">
        <f aca="false">Panel!D30-Panel!D29</f>
        <v>-0.00106991932316269</v>
      </c>
      <c r="I55" s="30" t="n">
        <f aca="false">Panel!D29-Panel!D28</f>
        <v>0.00382487489066463</v>
      </c>
      <c r="L55" s="30" t="n">
        <f aca="false">Panel!E29-Panel!E28</f>
        <v>0.00343221714720876</v>
      </c>
      <c r="M55" s="29" t="n">
        <f aca="false">Panel!E28</f>
        <v>5.31615728467637</v>
      </c>
    </row>
    <row r="56" customFormat="false" ht="15" hidden="false" customHeight="false" outlineLevel="0" collapsed="false">
      <c r="C56" s="0" t="n">
        <f aca="false">Panel!D35-Panel!D34</f>
        <v>0.00456410952890884</v>
      </c>
      <c r="D56" s="29" t="n">
        <f aca="false">Panel!D34</f>
        <v>9.83576530203975</v>
      </c>
      <c r="E56" s="30" t="n">
        <f aca="false">Panel!D34-Panel!D33</f>
        <v>0.00323683844411349</v>
      </c>
      <c r="F56" s="30" t="n">
        <f aca="false">Panel!D33-Panel!D32</f>
        <v>-0.00492611833605494</v>
      </c>
      <c r="G56" s="30" t="n">
        <f aca="false">Panel!D32-Panel!D31</f>
        <v>-0.00415756688635049</v>
      </c>
      <c r="H56" s="30" t="n">
        <f aca="false">Panel!D31-Panel!D30</f>
        <v>0.00624285035820194</v>
      </c>
      <c r="I56" s="30" t="n">
        <f aca="false">Panel!D30-Panel!D29</f>
        <v>-0.00106991932316269</v>
      </c>
      <c r="L56" s="30" t="n">
        <f aca="false">Panel!E30-Panel!E29</f>
        <v>-0.000538568888632796</v>
      </c>
      <c r="M56" s="29" t="n">
        <f aca="false">Panel!E29</f>
        <v>5.31958950182358</v>
      </c>
    </row>
    <row r="57" customFormat="false" ht="15" hidden="false" customHeight="false" outlineLevel="0" collapsed="false">
      <c r="C57" s="0" t="n">
        <f aca="false">Panel!D36-Panel!D35</f>
        <v>0.00172412918333187</v>
      </c>
      <c r="D57" s="29" t="n">
        <f aca="false">Panel!D35</f>
        <v>9.84032941156866</v>
      </c>
      <c r="E57" s="30" t="n">
        <f aca="false">Panel!D35-Panel!D34</f>
        <v>0.00456410952890884</v>
      </c>
      <c r="F57" s="30" t="n">
        <f aca="false">Panel!D34-Panel!D33</f>
        <v>0.00323683844411349</v>
      </c>
      <c r="G57" s="30" t="n">
        <f aca="false">Panel!D33-Panel!D32</f>
        <v>-0.00492611833605494</v>
      </c>
      <c r="H57" s="30" t="n">
        <f aca="false">Panel!D32-Panel!D31</f>
        <v>-0.00415756688635049</v>
      </c>
      <c r="I57" s="30" t="n">
        <f aca="false">Panel!D31-Panel!D30</f>
        <v>0.00624285035820194</v>
      </c>
      <c r="L57" s="30" t="n">
        <f aca="false">Panel!E31-Panel!E30</f>
        <v>0.00542139108994455</v>
      </c>
      <c r="M57" s="29" t="n">
        <f aca="false">Panel!E30</f>
        <v>5.31905093293494</v>
      </c>
    </row>
    <row r="58" customFormat="false" ht="15" hidden="false" customHeight="false" outlineLevel="0" collapsed="false">
      <c r="C58" s="0" t="n">
        <f aca="false">Panel!D37-Panel!D36</f>
        <v>-0.00369134817632322</v>
      </c>
      <c r="D58" s="29" t="n">
        <f aca="false">Panel!D36</f>
        <v>9.84205354075199</v>
      </c>
      <c r="E58" s="30" t="n">
        <f aca="false">Panel!D36-Panel!D35</f>
        <v>0.00172412918333187</v>
      </c>
      <c r="F58" s="30" t="n">
        <f aca="false">Panel!D35-Panel!D34</f>
        <v>0.00456410952890884</v>
      </c>
      <c r="G58" s="30" t="n">
        <f aca="false">Panel!D34-Panel!D33</f>
        <v>0.00323683844411349</v>
      </c>
      <c r="H58" s="30" t="n">
        <f aca="false">Panel!D33-Panel!D32</f>
        <v>-0.00492611833605494</v>
      </c>
      <c r="I58" s="30" t="n">
        <f aca="false">Panel!D32-Panel!D31</f>
        <v>-0.00415756688635049</v>
      </c>
      <c r="L58" s="30" t="n">
        <f aca="false">Panel!E32-Panel!E31</f>
        <v>-0.00341547050736146</v>
      </c>
      <c r="M58" s="29" t="n">
        <f aca="false">Panel!E31</f>
        <v>5.32447232402489</v>
      </c>
    </row>
    <row r="59" customFormat="false" ht="15" hidden="false" customHeight="false" outlineLevel="0" collapsed="false">
      <c r="C59" s="0" t="n">
        <f aca="false">Panel!D38-Panel!D37</f>
        <v>0.00829042320792439</v>
      </c>
      <c r="D59" s="29" t="n">
        <f aca="false">Panel!D37</f>
        <v>9.83836219257567</v>
      </c>
      <c r="E59" s="30" t="n">
        <f aca="false">Panel!D37-Panel!D36</f>
        <v>-0.00369134817632322</v>
      </c>
      <c r="F59" s="30" t="n">
        <f aca="false">Panel!D36-Panel!D35</f>
        <v>0.00172412918333187</v>
      </c>
      <c r="G59" s="30" t="n">
        <f aca="false">Panel!D35-Panel!D34</f>
        <v>0.00456410952890884</v>
      </c>
      <c r="H59" s="30" t="n">
        <f aca="false">Panel!D34-Panel!D33</f>
        <v>0.00323683844411349</v>
      </c>
      <c r="I59" s="30" t="n">
        <f aca="false">Panel!D33-Panel!D32</f>
        <v>-0.00492611833605494</v>
      </c>
      <c r="L59" s="30" t="n">
        <f aca="false">Panel!E33-Panel!E32</f>
        <v>-0.00298588048265369</v>
      </c>
      <c r="M59" s="29" t="n">
        <f aca="false">Panel!E32</f>
        <v>5.32105685351753</v>
      </c>
    </row>
    <row r="60" customFormat="false" ht="15" hidden="false" customHeight="false" outlineLevel="0" collapsed="false">
      <c r="C60" s="0" t="n">
        <f aca="false">Panel!D39-Panel!D38</f>
        <v>-0.00280891617497758</v>
      </c>
      <c r="D60" s="29" t="n">
        <f aca="false">Panel!D38</f>
        <v>9.84665261578359</v>
      </c>
      <c r="E60" s="30" t="n">
        <f aca="false">Panel!D38-Panel!D37</f>
        <v>0.00829042320792439</v>
      </c>
      <c r="F60" s="30" t="n">
        <f aca="false">Panel!D37-Panel!D36</f>
        <v>-0.00369134817632322</v>
      </c>
      <c r="G60" s="30" t="n">
        <f aca="false">Panel!D36-Panel!D35</f>
        <v>0.00172412918333187</v>
      </c>
      <c r="H60" s="30" t="n">
        <f aca="false">Panel!D35-Panel!D34</f>
        <v>0.00456410952890884</v>
      </c>
      <c r="I60" s="30" t="n">
        <f aca="false">Panel!D34-Panel!D33</f>
        <v>0.00323683844411349</v>
      </c>
      <c r="L60" s="30" t="n">
        <f aca="false">Panel!E34-Panel!E33</f>
        <v>0.00274147134053493</v>
      </c>
      <c r="M60" s="29" t="n">
        <f aca="false">Panel!E33</f>
        <v>5.31807097303487</v>
      </c>
    </row>
    <row r="61" customFormat="false" ht="15" hidden="false" customHeight="false" outlineLevel="0" collapsed="false">
      <c r="C61" s="0" t="n">
        <f aca="false">Panel!D40-Panel!D39</f>
        <v>0.00196177258643004</v>
      </c>
      <c r="D61" s="29" t="n">
        <f aca="false">Panel!D39</f>
        <v>9.84384369960861</v>
      </c>
      <c r="E61" s="30" t="n">
        <f aca="false">Panel!D39-Panel!D38</f>
        <v>-0.00280891617497758</v>
      </c>
      <c r="F61" s="30" t="n">
        <f aca="false">Panel!D38-Panel!D37</f>
        <v>0.00829042320792439</v>
      </c>
      <c r="G61" s="30" t="n">
        <f aca="false">Panel!D37-Panel!D36</f>
        <v>-0.00369134817632322</v>
      </c>
      <c r="H61" s="30" t="n">
        <f aca="false">Panel!D36-Panel!D35</f>
        <v>0.00172412918333187</v>
      </c>
      <c r="I61" s="30" t="n">
        <f aca="false">Panel!D35-Panel!D34</f>
        <v>0.00456410952890884</v>
      </c>
      <c r="L61" s="30" t="n">
        <f aca="false">Panel!E35-Panel!E34</f>
        <v>0.00473090842622081</v>
      </c>
      <c r="M61" s="29" t="n">
        <f aca="false">Panel!E34</f>
        <v>5.32081244437541</v>
      </c>
    </row>
    <row r="62" customFormat="false" ht="15" hidden="false" customHeight="false" outlineLevel="0" collapsed="false">
      <c r="C62" s="0" t="n">
        <f aca="false">Panel!D41-Panel!D40</f>
        <v>0.000849789787745081</v>
      </c>
      <c r="D62" s="29" t="n">
        <f aca="false">Panel!D40</f>
        <v>9.84580547219504</v>
      </c>
      <c r="E62" s="30" t="n">
        <f aca="false">Panel!D40-Panel!D39</f>
        <v>0.00196177258643004</v>
      </c>
      <c r="F62" s="30" t="n">
        <f aca="false">Panel!D39-Panel!D38</f>
        <v>-0.00280891617497758</v>
      </c>
      <c r="G62" s="30" t="n">
        <f aca="false">Panel!D38-Panel!D37</f>
        <v>0.00829042320792439</v>
      </c>
      <c r="H62" s="30" t="n">
        <f aca="false">Panel!D37-Panel!D36</f>
        <v>-0.00369134817632322</v>
      </c>
      <c r="I62" s="30" t="n">
        <f aca="false">Panel!D36-Panel!D35</f>
        <v>0.00172412918333187</v>
      </c>
      <c r="L62" s="30" t="n">
        <f aca="false">Panel!E36-Panel!E35</f>
        <v>0.00131287855282913</v>
      </c>
      <c r="M62" s="29" t="n">
        <f aca="false">Panel!E35</f>
        <v>5.32554335280163</v>
      </c>
    </row>
    <row r="63" customFormat="false" ht="15" hidden="false" customHeight="false" outlineLevel="0" collapsed="false">
      <c r="C63" s="0" t="n">
        <f aca="false">Panel!D42-Panel!D41</f>
        <v>-0.00320703383305876</v>
      </c>
      <c r="D63" s="29" t="n">
        <f aca="false">Panel!D41</f>
        <v>9.84665526198279</v>
      </c>
      <c r="E63" s="30" t="n">
        <f aca="false">Panel!D41-Panel!D40</f>
        <v>0.000849789787745081</v>
      </c>
      <c r="F63" s="30" t="n">
        <f aca="false">Panel!D40-Panel!D39</f>
        <v>0.00196177258643004</v>
      </c>
      <c r="G63" s="30" t="n">
        <f aca="false">Panel!D39-Panel!D38</f>
        <v>-0.00280891617497758</v>
      </c>
      <c r="H63" s="30" t="n">
        <f aca="false">Panel!D38-Panel!D37</f>
        <v>0.00829042320792439</v>
      </c>
      <c r="I63" s="30" t="n">
        <f aca="false">Panel!D37-Panel!D36</f>
        <v>-0.00369134817632322</v>
      </c>
      <c r="L63" s="30" t="n">
        <f aca="false">Panel!E37-Panel!E36</f>
        <v>-0.00238390732956972</v>
      </c>
      <c r="M63" s="29" t="n">
        <f aca="false">Panel!E36</f>
        <v>5.32685623135446</v>
      </c>
    </row>
    <row r="64" customFormat="false" ht="15" hidden="false" customHeight="false" outlineLevel="0" collapsed="false">
      <c r="C64" s="0" t="n">
        <f aca="false">Panel!D43-Panel!D42</f>
        <v>-0.007062479154337</v>
      </c>
      <c r="D64" s="29" t="n">
        <f aca="false">Panel!D42</f>
        <v>9.84344822814973</v>
      </c>
      <c r="E64" s="30" t="n">
        <f aca="false">Panel!D42-Panel!D41</f>
        <v>-0.00320703383305876</v>
      </c>
      <c r="F64" s="30" t="n">
        <f aca="false">Panel!D41-Panel!D40</f>
        <v>0.000849789787745081</v>
      </c>
      <c r="G64" s="30" t="n">
        <f aca="false">Panel!D40-Panel!D39</f>
        <v>0.00196177258643004</v>
      </c>
      <c r="H64" s="30" t="n">
        <f aca="false">Panel!D39-Panel!D38</f>
        <v>-0.00280891617497758</v>
      </c>
      <c r="I64" s="30" t="n">
        <f aca="false">Panel!D38-Panel!D37</f>
        <v>0.00829042320792439</v>
      </c>
      <c r="L64" s="30" t="n">
        <f aca="false">Panel!E38-Panel!E37</f>
        <v>0.00674776219885676</v>
      </c>
      <c r="M64" s="29" t="n">
        <f aca="false">Panel!E37</f>
        <v>5.32447232402489</v>
      </c>
    </row>
    <row r="65" customFormat="false" ht="15" hidden="false" customHeight="false" outlineLevel="0" collapsed="false">
      <c r="C65" s="0" t="n">
        <f aca="false">Panel!D44-Panel!D43</f>
        <v>0.000836458968080933</v>
      </c>
      <c r="D65" s="29" t="n">
        <f aca="false">Panel!D43</f>
        <v>9.83638574899539</v>
      </c>
      <c r="E65" s="30" t="n">
        <f aca="false">Panel!D43-Panel!D42</f>
        <v>-0.007062479154337</v>
      </c>
      <c r="F65" s="30" t="n">
        <f aca="false">Panel!D42-Panel!D41</f>
        <v>-0.00320703383305876</v>
      </c>
      <c r="G65" s="30" t="n">
        <f aca="false">Panel!D41-Panel!D40</f>
        <v>0.000849789787745081</v>
      </c>
      <c r="H65" s="30" t="n">
        <f aca="false">Panel!D40-Panel!D39</f>
        <v>0.00196177258643004</v>
      </c>
      <c r="I65" s="30" t="n">
        <f aca="false">Panel!D39-Panel!D38</f>
        <v>-0.00280891617497758</v>
      </c>
      <c r="L65" s="30" t="n">
        <f aca="false">Panel!E39-Panel!E38</f>
        <v>-0.00382947219000052</v>
      </c>
      <c r="M65" s="29" t="n">
        <f aca="false">Panel!E38</f>
        <v>5.33122008622375</v>
      </c>
    </row>
    <row r="66" customFormat="false" ht="15" hidden="false" customHeight="false" outlineLevel="0" collapsed="false">
      <c r="C66" s="0" t="n">
        <f aca="false">Panel!D45-Panel!D44</f>
        <v>0.00518749506406557</v>
      </c>
      <c r="D66" s="29" t="n">
        <f aca="false">Panel!D44</f>
        <v>9.83722220796347</v>
      </c>
      <c r="E66" s="30" t="n">
        <f aca="false">Panel!D44-Panel!D43</f>
        <v>0.000836458968080933</v>
      </c>
      <c r="F66" s="30" t="n">
        <f aca="false">Panel!D43-Panel!D42</f>
        <v>-0.007062479154337</v>
      </c>
      <c r="G66" s="30" t="n">
        <f aca="false">Panel!D42-Panel!D41</f>
        <v>-0.00320703383305876</v>
      </c>
      <c r="H66" s="30" t="n">
        <f aca="false">Panel!D41-Panel!D40</f>
        <v>0.000849789787745081</v>
      </c>
      <c r="I66" s="30" t="n">
        <f aca="false">Panel!D40-Panel!D39</f>
        <v>0.00196177258643004</v>
      </c>
      <c r="L66" s="30" t="n">
        <f aca="false">Panel!E40-Panel!E39</f>
        <v>0.00387785265397866</v>
      </c>
      <c r="M66" s="29" t="n">
        <f aca="false">Panel!E39</f>
        <v>5.32739061403374</v>
      </c>
    </row>
    <row r="67" customFormat="false" ht="15" hidden="false" customHeight="false" outlineLevel="0" collapsed="false">
      <c r="C67" s="0" t="n">
        <f aca="false">Panel!D46-Panel!D45</f>
        <v>0.00831241942924876</v>
      </c>
      <c r="D67" s="29" t="n">
        <f aca="false">Panel!D45</f>
        <v>9.84240970302754</v>
      </c>
      <c r="E67" s="30" t="n">
        <f aca="false">Panel!D45-Panel!D44</f>
        <v>0.00518749506406557</v>
      </c>
      <c r="F67" s="30" t="n">
        <f aca="false">Panel!D44-Panel!D43</f>
        <v>0.000836458968080933</v>
      </c>
      <c r="G67" s="30" t="n">
        <f aca="false">Panel!D43-Panel!D42</f>
        <v>-0.007062479154337</v>
      </c>
      <c r="H67" s="30" t="n">
        <f aca="false">Panel!D42-Panel!D41</f>
        <v>-0.00320703383305876</v>
      </c>
      <c r="I67" s="30" t="n">
        <f aca="false">Panel!D41-Panel!D40</f>
        <v>0.000849789787745081</v>
      </c>
      <c r="L67" s="30" t="n">
        <f aca="false">Panel!E41-Panel!E40</f>
        <v>0.0014986345895398</v>
      </c>
      <c r="M67" s="29" t="n">
        <f aca="false">Panel!E40</f>
        <v>5.33126846668772</v>
      </c>
    </row>
    <row r="68" customFormat="false" ht="15" hidden="false" customHeight="false" outlineLevel="0" collapsed="false">
      <c r="C68" s="0" t="n">
        <f aca="false">Panel!D47-Panel!D46</f>
        <v>0.0154269444239734</v>
      </c>
      <c r="D68" s="29" t="n">
        <f aca="false">Panel!D46</f>
        <v>9.85072212245679</v>
      </c>
      <c r="E68" s="30" t="n">
        <f aca="false">Panel!D46-Panel!D45</f>
        <v>0.00831241942924876</v>
      </c>
      <c r="F68" s="30" t="n">
        <f aca="false">Panel!D45-Panel!D44</f>
        <v>0.00518749506406557</v>
      </c>
      <c r="G68" s="30" t="n">
        <f aca="false">Panel!D44-Panel!D43</f>
        <v>0.000836458968080933</v>
      </c>
      <c r="H68" s="30" t="n">
        <f aca="false">Panel!D43-Panel!D42</f>
        <v>-0.007062479154337</v>
      </c>
      <c r="I68" s="30" t="n">
        <f aca="false">Panel!D42-Panel!D41</f>
        <v>-0.00320703383305876</v>
      </c>
      <c r="L68" s="30" t="n">
        <f aca="false">Panel!E42-Panel!E41</f>
        <v>-0.003435681200056</v>
      </c>
      <c r="M68" s="29" t="n">
        <f aca="false">Panel!E41</f>
        <v>5.33276710127726</v>
      </c>
    </row>
    <row r="69" customFormat="false" ht="15" hidden="false" customHeight="false" outlineLevel="0" collapsed="false">
      <c r="C69" s="0" t="n">
        <f aca="false">Panel!D48-Panel!D47</f>
        <v>0.00760066739141152</v>
      </c>
      <c r="D69" s="29" t="n">
        <f aca="false">Panel!D47</f>
        <v>9.86614906688076</v>
      </c>
      <c r="E69" s="30" t="n">
        <f aca="false">Panel!D47-Panel!D46</f>
        <v>0.0154269444239734</v>
      </c>
      <c r="F69" s="30" t="n">
        <f aca="false">Panel!D46-Panel!D45</f>
        <v>0.00831241942924876</v>
      </c>
      <c r="G69" s="30" t="n">
        <f aca="false">Panel!D45-Panel!D44</f>
        <v>0.00518749506406557</v>
      </c>
      <c r="H69" s="30" t="n">
        <f aca="false">Panel!D44-Panel!D43</f>
        <v>0.000836458968080933</v>
      </c>
      <c r="I69" s="30" t="n">
        <f aca="false">Panel!D43-Panel!D42</f>
        <v>-0.007062479154337</v>
      </c>
      <c r="L69" s="30" t="n">
        <f aca="false">Panel!E43-Panel!E42</f>
        <v>-0.00598003580952788</v>
      </c>
      <c r="M69" s="29" t="n">
        <f aca="false">Panel!E42</f>
        <v>5.32933142007721</v>
      </c>
    </row>
    <row r="70" customFormat="false" ht="15" hidden="false" customHeight="false" outlineLevel="0" collapsed="false">
      <c r="C70" s="0" t="n">
        <f aca="false">Panel!D49-Panel!D48</f>
        <v>0.00232037168300536</v>
      </c>
      <c r="D70" s="29" t="n">
        <f aca="false">Panel!D48</f>
        <v>9.87374973427217</v>
      </c>
      <c r="E70" s="30" t="n">
        <f aca="false">Panel!D48-Panel!D47</f>
        <v>0.00760066739141152</v>
      </c>
      <c r="F70" s="30" t="n">
        <f aca="false">Panel!D47-Panel!D46</f>
        <v>0.0154269444239734</v>
      </c>
      <c r="G70" s="30" t="n">
        <f aca="false">Panel!D46-Panel!D45</f>
        <v>0.00831241942924876</v>
      </c>
      <c r="H70" s="30" t="n">
        <f aca="false">Panel!D45-Panel!D44</f>
        <v>0.00518749506406557</v>
      </c>
      <c r="I70" s="30" t="n">
        <f aca="false">Panel!D44-Panel!D43</f>
        <v>0.000836458968080933</v>
      </c>
      <c r="L70" s="30" t="n">
        <f aca="false">Panel!E44-Panel!E43</f>
        <v>0.00116964777699469</v>
      </c>
      <c r="M70" s="29" t="n">
        <f aca="false">Panel!E43</f>
        <v>5.32335138426768</v>
      </c>
    </row>
    <row r="71" customFormat="false" ht="15" hidden="false" customHeight="false" outlineLevel="0" collapsed="false">
      <c r="C71" s="0" t="n">
        <f aca="false">Panel!D50-Panel!D49</f>
        <v>0.000975930550119131</v>
      </c>
      <c r="D71" s="29" t="n">
        <f aca="false">Panel!D49</f>
        <v>9.87607010595518</v>
      </c>
      <c r="E71" s="30" t="n">
        <f aca="false">Panel!D49-Panel!D48</f>
        <v>0.00232037168300536</v>
      </c>
      <c r="F71" s="30" t="n">
        <f aca="false">Panel!D48-Panel!D47</f>
        <v>0.00760066739141152</v>
      </c>
      <c r="G71" s="30" t="n">
        <f aca="false">Panel!D47-Panel!D46</f>
        <v>0.0154269444239734</v>
      </c>
      <c r="H71" s="30" t="n">
        <f aca="false">Panel!D46-Panel!D45</f>
        <v>0.00831241942924876</v>
      </c>
      <c r="I71" s="30" t="n">
        <f aca="false">Panel!D45-Panel!D44</f>
        <v>0.00518749506406557</v>
      </c>
      <c r="L71" s="30" t="n">
        <f aca="false">Panel!E45-Panel!E44</f>
        <v>0.00510118433177542</v>
      </c>
      <c r="M71" s="29" t="n">
        <f aca="false">Panel!E44</f>
        <v>5.32452103204467</v>
      </c>
    </row>
    <row r="72" customFormat="false" ht="15" hidden="false" customHeight="false" outlineLevel="0" collapsed="false">
      <c r="C72" s="0" t="n">
        <f aca="false">Panel!D51-Panel!D50</f>
        <v>0.00307052970759081</v>
      </c>
      <c r="D72" s="29" t="n">
        <f aca="false">Panel!D50</f>
        <v>9.8770460365053</v>
      </c>
      <c r="E72" s="30" t="n">
        <f aca="false">Panel!D50-Panel!D49</f>
        <v>0.000975930550119131</v>
      </c>
      <c r="F72" s="30" t="n">
        <f aca="false">Panel!D49-Panel!D48</f>
        <v>0.00232037168300536</v>
      </c>
      <c r="G72" s="30" t="n">
        <f aca="false">Panel!D48-Panel!D47</f>
        <v>0.00760066739141152</v>
      </c>
      <c r="H72" s="30" t="n">
        <f aca="false">Panel!D47-Panel!D46</f>
        <v>0.0154269444239734</v>
      </c>
      <c r="I72" s="30" t="n">
        <f aca="false">Panel!D46-Panel!D45</f>
        <v>0.00831241942924876</v>
      </c>
      <c r="L72" s="30" t="n">
        <f aca="false">Panel!E46-Panel!E45</f>
        <v>0.00959714149201396</v>
      </c>
      <c r="M72" s="29" t="n">
        <f aca="false">Panel!E45</f>
        <v>5.32962221637645</v>
      </c>
    </row>
    <row r="73" customFormat="false" ht="15" hidden="false" customHeight="false" outlineLevel="0" collapsed="false">
      <c r="C73" s="0" t="n">
        <f aca="false">Panel!D52-Panel!D51</f>
        <v>-0.00750067734384707</v>
      </c>
      <c r="D73" s="29" t="n">
        <f aca="false">Panel!D51</f>
        <v>9.88011656621289</v>
      </c>
      <c r="E73" s="30" t="n">
        <f aca="false">Panel!D51-Panel!D50</f>
        <v>0.00307052970759081</v>
      </c>
      <c r="F73" s="30" t="n">
        <f aca="false">Panel!D50-Panel!D49</f>
        <v>0.000975930550119131</v>
      </c>
      <c r="G73" s="30" t="n">
        <f aca="false">Panel!D49-Panel!D48</f>
        <v>0.00232037168300536</v>
      </c>
      <c r="H73" s="30" t="n">
        <f aca="false">Panel!D48-Panel!D47</f>
        <v>0.00760066739141152</v>
      </c>
      <c r="I73" s="30" t="n">
        <f aca="false">Panel!D47-Panel!D46</f>
        <v>0.0154269444239734</v>
      </c>
      <c r="L73" s="30" t="n">
        <f aca="false">Panel!E47-Panel!E46</f>
        <v>0.0110261015399331</v>
      </c>
      <c r="M73" s="29" t="n">
        <f aca="false">Panel!E46</f>
        <v>5.33921935786846</v>
      </c>
    </row>
    <row r="74" customFormat="false" ht="15" hidden="false" customHeight="false" outlineLevel="0" collapsed="false">
      <c r="C74" s="0" t="n">
        <f aca="false">Panel!D53-Panel!D52</f>
        <v>0.00175176509323549</v>
      </c>
      <c r="D74" s="29" t="n">
        <f aca="false">Panel!D52</f>
        <v>9.87261588886904</v>
      </c>
      <c r="E74" s="30" t="n">
        <f aca="false">Panel!D52-Panel!D51</f>
        <v>-0.00750067734384707</v>
      </c>
      <c r="F74" s="30" t="n">
        <f aca="false">Panel!D51-Panel!D50</f>
        <v>0.00307052970759081</v>
      </c>
      <c r="G74" s="30" t="n">
        <f aca="false">Panel!D50-Panel!D49</f>
        <v>0.000975930550119131</v>
      </c>
      <c r="H74" s="30" t="n">
        <f aca="false">Panel!D49-Panel!D48</f>
        <v>0.00232037168300536</v>
      </c>
      <c r="I74" s="30" t="n">
        <f aca="false">Panel!D48-Panel!D47</f>
        <v>0.00760066739141152</v>
      </c>
      <c r="L74" s="30" t="n">
        <f aca="false">Panel!E48-Panel!E47</f>
        <v>0.00690669286053325</v>
      </c>
      <c r="M74" s="29" t="n">
        <f aca="false">Panel!E47</f>
        <v>5.3502454594084</v>
      </c>
    </row>
    <row r="75" customFormat="false" ht="15" hidden="false" customHeight="false" outlineLevel="0" collapsed="false">
      <c r="C75" s="0" t="n">
        <f aca="false">Panel!D54-Panel!D53</f>
        <v>0.00462226697345258</v>
      </c>
      <c r="D75" s="29" t="n">
        <f aca="false">Panel!D53</f>
        <v>9.87436765396228</v>
      </c>
      <c r="E75" s="30" t="n">
        <f aca="false">Panel!D53-Panel!D52</f>
        <v>0.00175176509323549</v>
      </c>
      <c r="F75" s="30" t="n">
        <f aca="false">Panel!D52-Panel!D51</f>
        <v>-0.00750067734384707</v>
      </c>
      <c r="G75" s="30" t="n">
        <f aca="false">Panel!D51-Panel!D50</f>
        <v>0.00307052970759081</v>
      </c>
      <c r="H75" s="30" t="n">
        <f aca="false">Panel!D50-Panel!D49</f>
        <v>0.000975930550119131</v>
      </c>
      <c r="I75" s="30" t="n">
        <f aca="false">Panel!D49-Panel!D48</f>
        <v>0.00232037168300536</v>
      </c>
      <c r="L75" s="30" t="n">
        <f aca="false">Panel!E49-Panel!E48</f>
        <v>0.00451552977986935</v>
      </c>
      <c r="M75" s="29" t="n">
        <f aca="false">Panel!E48</f>
        <v>5.35715215226893</v>
      </c>
    </row>
    <row r="76" customFormat="false" ht="15" hidden="false" customHeight="false" outlineLevel="0" collapsed="false">
      <c r="C76" s="0" t="n">
        <f aca="false">Panel!D55-Panel!D54</f>
        <v>-0.0029532189332695</v>
      </c>
      <c r="D76" s="29" t="n">
        <f aca="false">Panel!D54</f>
        <v>9.87898992093573</v>
      </c>
      <c r="E76" s="30" t="n">
        <f aca="false">Panel!D54-Panel!D53</f>
        <v>0.00462226697345258</v>
      </c>
      <c r="F76" s="30" t="n">
        <f aca="false">Panel!D53-Panel!D52</f>
        <v>0.00175176509323549</v>
      </c>
      <c r="G76" s="30" t="n">
        <f aca="false">Panel!D52-Panel!D51</f>
        <v>-0.00750067734384707</v>
      </c>
      <c r="H76" s="30" t="n">
        <f aca="false">Panel!D51-Panel!D50</f>
        <v>0.00307052970759081</v>
      </c>
      <c r="I76" s="30" t="n">
        <f aca="false">Panel!D50-Panel!D49</f>
        <v>0.000975930550119131</v>
      </c>
      <c r="L76" s="30" t="n">
        <f aca="false">Panel!E50-Panel!E49</f>
        <v>-0.000281624033778627</v>
      </c>
      <c r="M76" s="29" t="n">
        <f aca="false">Panel!E49</f>
        <v>5.3616676820488</v>
      </c>
    </row>
    <row r="77" customFormat="false" ht="15" hidden="false" customHeight="false" outlineLevel="0" collapsed="false">
      <c r="C77" s="0" t="n">
        <f aca="false">Panel!D56-Panel!D55</f>
        <v>0.00204842358468049</v>
      </c>
      <c r="D77" s="29" t="n">
        <f aca="false">Panel!D55</f>
        <v>9.87603670200246</v>
      </c>
      <c r="E77" s="30" t="n">
        <f aca="false">Panel!D55-Panel!D54</f>
        <v>-0.0029532189332695</v>
      </c>
      <c r="F77" s="30" t="n">
        <f aca="false">Panel!D54-Panel!D53</f>
        <v>0.00462226697345258</v>
      </c>
      <c r="G77" s="30" t="n">
        <f aca="false">Panel!D53-Panel!D52</f>
        <v>0.00175176509323549</v>
      </c>
      <c r="H77" s="30" t="n">
        <f aca="false">Panel!D52-Panel!D51</f>
        <v>-0.00750067734384707</v>
      </c>
      <c r="I77" s="30" t="n">
        <f aca="false">Panel!D51-Panel!D50</f>
        <v>0.00307052970759081</v>
      </c>
      <c r="L77" s="30" t="n">
        <f aca="false">Panel!E51-Panel!E50</f>
        <v>0.00412255807334017</v>
      </c>
      <c r="M77" s="29" t="n">
        <f aca="false">Panel!E50</f>
        <v>5.36138605801502</v>
      </c>
    </row>
    <row r="78" customFormat="false" ht="15" hidden="false" customHeight="false" outlineLevel="0" collapsed="false">
      <c r="C78" s="0" t="n">
        <f aca="false">Panel!D57-Panel!D56</f>
        <v>0.00642346035118635</v>
      </c>
      <c r="D78" s="29" t="n">
        <f aca="false">Panel!D56</f>
        <v>9.87808512558714</v>
      </c>
      <c r="E78" s="30" t="n">
        <f aca="false">Panel!D56-Panel!D55</f>
        <v>0.00204842358468049</v>
      </c>
      <c r="F78" s="30" t="n">
        <f aca="false">Panel!D55-Panel!D54</f>
        <v>-0.0029532189332695</v>
      </c>
      <c r="G78" s="30" t="n">
        <f aca="false">Panel!D54-Panel!D53</f>
        <v>0.00462226697345258</v>
      </c>
      <c r="H78" s="30" t="n">
        <f aca="false">Panel!D53-Panel!D52</f>
        <v>0.00175176509323549</v>
      </c>
      <c r="I78" s="30" t="n">
        <f aca="false">Panel!D52-Panel!D51</f>
        <v>-0.00750067734384707</v>
      </c>
      <c r="L78" s="30" t="n">
        <f aca="false">Panel!E52-Panel!E51</f>
        <v>-0.00445121971913753</v>
      </c>
      <c r="M78" s="29" t="n">
        <f aca="false">Panel!E51</f>
        <v>5.36550861608836</v>
      </c>
    </row>
    <row r="79" customFormat="false" ht="15" hidden="false" customHeight="false" outlineLevel="0" collapsed="false">
      <c r="C79" s="0" t="n">
        <f aca="false">Panel!D58-Panel!D57</f>
        <v>0.00537180769157253</v>
      </c>
      <c r="D79" s="29" t="n">
        <f aca="false">Panel!D57</f>
        <v>9.88450858593833</v>
      </c>
      <c r="E79" s="30" t="n">
        <f aca="false">Panel!D57-Panel!D56</f>
        <v>0.00642346035118635</v>
      </c>
      <c r="F79" s="30" t="n">
        <f aca="false">Panel!D56-Panel!D55</f>
        <v>0.00204842358468049</v>
      </c>
      <c r="G79" s="30" t="n">
        <f aca="false">Panel!D55-Panel!D54</f>
        <v>-0.0029532189332695</v>
      </c>
      <c r="H79" s="30" t="n">
        <f aca="false">Panel!D54-Panel!D53</f>
        <v>0.00462226697345258</v>
      </c>
      <c r="I79" s="30" t="n">
        <f aca="false">Panel!D53-Panel!D52</f>
        <v>0.00175176509323549</v>
      </c>
      <c r="L79" s="30" t="n">
        <f aca="false">Panel!E53-Panel!E52</f>
        <v>-0.00108064943445818</v>
      </c>
      <c r="M79" s="29" t="n">
        <f aca="false">Panel!E52</f>
        <v>5.36105739636922</v>
      </c>
    </row>
    <row r="80" customFormat="false" ht="15" hidden="false" customHeight="false" outlineLevel="0" collapsed="false">
      <c r="C80" s="0" t="n">
        <f aca="false">Panel!D59-Panel!D58</f>
        <v>0.00214926725411502</v>
      </c>
      <c r="D80" s="29" t="n">
        <f aca="false">Panel!D58</f>
        <v>9.8898803936299</v>
      </c>
      <c r="E80" s="30" t="n">
        <f aca="false">Panel!D58-Panel!D57</f>
        <v>0.00537180769157253</v>
      </c>
      <c r="F80" s="30" t="n">
        <f aca="false">Panel!D57-Panel!D56</f>
        <v>0.00642346035118635</v>
      </c>
      <c r="G80" s="30" t="n">
        <f aca="false">Panel!D56-Panel!D55</f>
        <v>0.00204842358468049</v>
      </c>
      <c r="H80" s="30" t="n">
        <f aca="false">Panel!D55-Panel!D54</f>
        <v>-0.0029532189332695</v>
      </c>
      <c r="I80" s="30" t="n">
        <f aca="false">Panel!D54-Panel!D53</f>
        <v>0.00462226697345258</v>
      </c>
      <c r="L80" s="30" t="n">
        <f aca="false">Panel!E54-Panel!E53</f>
        <v>0.00431560853680502</v>
      </c>
      <c r="M80" s="29" t="n">
        <f aca="false">Panel!E53</f>
        <v>5.35997674693476</v>
      </c>
    </row>
    <row r="81" customFormat="false" ht="15" hidden="false" customHeight="false" outlineLevel="0" collapsed="false">
      <c r="C81" s="0" t="n">
        <f aca="false">Panel!D60-Panel!D59</f>
        <v>0.00488886274887257</v>
      </c>
      <c r="D81" s="29" t="n">
        <f aca="false">Panel!D59</f>
        <v>9.89202966088401</v>
      </c>
      <c r="E81" s="30" t="n">
        <f aca="false">Panel!D59-Panel!D58</f>
        <v>0.00214926725411502</v>
      </c>
      <c r="F81" s="30" t="n">
        <f aca="false">Panel!D58-Panel!D57</f>
        <v>0.00537180769157253</v>
      </c>
      <c r="G81" s="30" t="n">
        <f aca="false">Panel!D57-Panel!D56</f>
        <v>0.00642346035118635</v>
      </c>
      <c r="H81" s="30" t="n">
        <f aca="false">Panel!D56-Panel!D55</f>
        <v>0.00204842358468049</v>
      </c>
      <c r="I81" s="30" t="n">
        <f aca="false">Panel!D55-Panel!D54</f>
        <v>-0.0029532189332695</v>
      </c>
      <c r="L81" s="30" t="n">
        <f aca="false">Panel!E55-Panel!E54</f>
        <v>-0.00135834583756012</v>
      </c>
      <c r="M81" s="29" t="n">
        <f aca="false">Panel!E54</f>
        <v>5.36429235547157</v>
      </c>
    </row>
    <row r="82" customFormat="false" ht="15" hidden="false" customHeight="false" outlineLevel="0" collapsed="false">
      <c r="C82" s="0" t="n">
        <f aca="false">Panel!D61-Panel!D60</f>
        <v>0.00492267440510474</v>
      </c>
      <c r="D82" s="29" t="n">
        <f aca="false">Panel!D60</f>
        <v>9.89691852363289</v>
      </c>
      <c r="E82" s="30" t="n">
        <f aca="false">Panel!D60-Panel!D59</f>
        <v>0.00488886274887257</v>
      </c>
      <c r="F82" s="30" t="n">
        <f aca="false">Panel!D59-Panel!D58</f>
        <v>0.00214926725411502</v>
      </c>
      <c r="G82" s="30" t="n">
        <f aca="false">Panel!D58-Panel!D57</f>
        <v>0.00537180769157253</v>
      </c>
      <c r="H82" s="30" t="n">
        <f aca="false">Panel!D57-Panel!D56</f>
        <v>0.00642346035118635</v>
      </c>
      <c r="I82" s="30" t="n">
        <f aca="false">Panel!D56-Panel!D55</f>
        <v>0.00204842358468049</v>
      </c>
      <c r="L82" s="30" t="n">
        <f aca="false">Panel!E56-Panel!E55</f>
        <v>0.00187309818286074</v>
      </c>
      <c r="M82" s="29" t="n">
        <f aca="false">Panel!E55</f>
        <v>5.36293400963401</v>
      </c>
    </row>
    <row r="83" customFormat="false" ht="15" hidden="false" customHeight="false" outlineLevel="0" collapsed="false">
      <c r="C83" s="0" t="n">
        <f aca="false">Panel!D62-Panel!D61</f>
        <v>-0.00807322797948551</v>
      </c>
      <c r="D83" s="29" t="n">
        <f aca="false">Panel!D61</f>
        <v>9.90184119803799</v>
      </c>
      <c r="E83" s="30" t="n">
        <f aca="false">Panel!D61-Panel!D60</f>
        <v>0.00492267440510474</v>
      </c>
      <c r="F83" s="30" t="n">
        <f aca="false">Panel!D60-Panel!D59</f>
        <v>0.00488886274887257</v>
      </c>
      <c r="G83" s="30" t="n">
        <f aca="false">Panel!D59-Panel!D58</f>
        <v>0.00214926725411502</v>
      </c>
      <c r="H83" s="30" t="n">
        <f aca="false">Panel!D58-Panel!D57</f>
        <v>0.00537180769157253</v>
      </c>
      <c r="I83" s="30" t="n">
        <f aca="false">Panel!D57-Panel!D56</f>
        <v>0.00642346035118635</v>
      </c>
      <c r="L83" s="30" t="n">
        <f aca="false">Panel!E57-Panel!E56</f>
        <v>0.00629592845681426</v>
      </c>
      <c r="M83" s="29" t="n">
        <f aca="false">Panel!E56</f>
        <v>5.36480710781687</v>
      </c>
    </row>
    <row r="84" customFormat="false" ht="15" hidden="false" customHeight="false" outlineLevel="0" collapsed="false">
      <c r="C84" s="0" t="n">
        <f aca="false">Panel!D63-Panel!D62</f>
        <v>-0.00630309782800786</v>
      </c>
      <c r="D84" s="29" t="n">
        <f aca="false">Panel!D62</f>
        <v>9.89376797005851</v>
      </c>
      <c r="E84" s="30" t="n">
        <f aca="false">Panel!D62-Panel!D61</f>
        <v>-0.00807322797948551</v>
      </c>
      <c r="F84" s="30" t="n">
        <f aca="false">Panel!D61-Panel!D60</f>
        <v>0.00492267440510474</v>
      </c>
      <c r="G84" s="30" t="n">
        <f aca="false">Panel!D60-Panel!D59</f>
        <v>0.00488886274887257</v>
      </c>
      <c r="H84" s="30" t="n">
        <f aca="false">Panel!D59-Panel!D58</f>
        <v>0.00214926725411502</v>
      </c>
      <c r="I84" s="30" t="n">
        <f aca="false">Panel!D58-Panel!D57</f>
        <v>0.00537180769157253</v>
      </c>
      <c r="L84" s="30" t="n">
        <f aca="false">Panel!E58-Panel!E57</f>
        <v>0.00694929829320579</v>
      </c>
      <c r="M84" s="29" t="n">
        <f aca="false">Panel!E57</f>
        <v>5.37110303627368</v>
      </c>
    </row>
    <row r="85" customFormat="false" ht="15" hidden="false" customHeight="false" outlineLevel="0" collapsed="false">
      <c r="C85" s="0" t="n">
        <f aca="false">Panel!D64-Panel!D63</f>
        <v>0.000655203174508401</v>
      </c>
      <c r="D85" s="29" t="n">
        <f aca="false">Panel!D63</f>
        <v>9.8874648722305</v>
      </c>
      <c r="E85" s="30" t="n">
        <f aca="false">Panel!D63-Panel!D62</f>
        <v>-0.00630309782800786</v>
      </c>
      <c r="F85" s="30" t="n">
        <f aca="false">Panel!D62-Panel!D61</f>
        <v>-0.00807322797948551</v>
      </c>
      <c r="G85" s="30" t="n">
        <f aca="false">Panel!D61-Panel!D60</f>
        <v>0.00492267440510474</v>
      </c>
      <c r="H85" s="30" t="n">
        <f aca="false">Panel!D60-Panel!D59</f>
        <v>0.00488886274887257</v>
      </c>
      <c r="I85" s="30" t="n">
        <f aca="false">Panel!D59-Panel!D58</f>
        <v>0.00214926725411502</v>
      </c>
      <c r="L85" s="30" t="n">
        <f aca="false">Panel!E59-Panel!E58</f>
        <v>0.00207540717871257</v>
      </c>
      <c r="M85" s="29" t="n">
        <f aca="false">Panel!E58</f>
        <v>5.37805233456689</v>
      </c>
    </row>
    <row r="86" customFormat="false" ht="15" hidden="false" customHeight="false" outlineLevel="0" collapsed="false">
      <c r="C86" s="0" t="n">
        <f aca="false">Panel!D65-Panel!D64</f>
        <v>0.00390199902184385</v>
      </c>
      <c r="D86" s="29" t="n">
        <f aca="false">Panel!D64</f>
        <v>9.88812007540501</v>
      </c>
      <c r="E86" s="30" t="n">
        <f aca="false">Panel!D64-Panel!D63</f>
        <v>0.000655203174508401</v>
      </c>
      <c r="F86" s="30" t="n">
        <f aca="false">Panel!D63-Panel!D62</f>
        <v>-0.00630309782800786</v>
      </c>
      <c r="G86" s="30" t="n">
        <f aca="false">Panel!D62-Panel!D61</f>
        <v>-0.00807322797948551</v>
      </c>
      <c r="H86" s="30" t="n">
        <f aca="false">Panel!D61-Panel!D60</f>
        <v>0.00492267440510474</v>
      </c>
      <c r="I86" s="30" t="n">
        <f aca="false">Panel!D60-Panel!D59</f>
        <v>0.00488886274887257</v>
      </c>
      <c r="L86" s="30" t="n">
        <f aca="false">Panel!E60-Panel!E59</f>
        <v>0.00459665254317265</v>
      </c>
      <c r="M86" s="29" t="n">
        <f aca="false">Panel!E59</f>
        <v>5.3801277417456</v>
      </c>
    </row>
    <row r="87" customFormat="false" ht="15" hidden="false" customHeight="false" outlineLevel="0" collapsed="false">
      <c r="C87" s="0" t="n">
        <f aca="false">Panel!D66-Panel!D65</f>
        <v>-0.00577224137705734</v>
      </c>
      <c r="D87" s="29" t="n">
        <f aca="false">Panel!D65</f>
        <v>9.89202207442685</v>
      </c>
      <c r="E87" s="30" t="n">
        <f aca="false">Panel!D65-Panel!D64</f>
        <v>0.00390199902184385</v>
      </c>
      <c r="F87" s="30" t="n">
        <f aca="false">Panel!D64-Panel!D63</f>
        <v>0.000655203174508401</v>
      </c>
      <c r="G87" s="30" t="n">
        <f aca="false">Panel!D63-Panel!D62</f>
        <v>-0.00630309782800786</v>
      </c>
      <c r="H87" s="30" t="n">
        <f aca="false">Panel!D62-Panel!D61</f>
        <v>-0.00807322797948551</v>
      </c>
      <c r="I87" s="30" t="n">
        <f aca="false">Panel!D61-Panel!D60</f>
        <v>0.00492267440510474</v>
      </c>
      <c r="L87" s="30" t="n">
        <f aca="false">Panel!E61-Panel!E60</f>
        <v>0.00439299658570036</v>
      </c>
      <c r="M87" s="29" t="n">
        <f aca="false">Panel!E60</f>
        <v>5.38472439428878</v>
      </c>
    </row>
    <row r="88" customFormat="false" ht="15" hidden="false" customHeight="false" outlineLevel="0" collapsed="false">
      <c r="C88" s="0" t="n">
        <f aca="false">Panel!D67-Panel!D66</f>
        <v>0.00381300996357936</v>
      </c>
      <c r="D88" s="29" t="n">
        <f aca="false">Panel!D66</f>
        <v>9.88624983304979</v>
      </c>
      <c r="E88" s="30" t="n">
        <f aca="false">Panel!D66-Panel!D65</f>
        <v>-0.00577224137705734</v>
      </c>
      <c r="F88" s="30" t="n">
        <f aca="false">Panel!D65-Panel!D64</f>
        <v>0.00390199902184385</v>
      </c>
      <c r="G88" s="30" t="n">
        <f aca="false">Panel!D64-Panel!D63</f>
        <v>0.000655203174508401</v>
      </c>
      <c r="H88" s="30" t="n">
        <f aca="false">Panel!D63-Panel!D62</f>
        <v>-0.00630309782800786</v>
      </c>
      <c r="I88" s="30" t="n">
        <f aca="false">Panel!D62-Panel!D61</f>
        <v>-0.00807322797948551</v>
      </c>
      <c r="L88" s="30" t="n">
        <f aca="false">Panel!E62-Panel!E61</f>
        <v>-0.00599942263397413</v>
      </c>
      <c r="M88" s="29" t="n">
        <f aca="false">Panel!E61</f>
        <v>5.38911739087448</v>
      </c>
    </row>
    <row r="89" customFormat="false" ht="15" hidden="false" customHeight="false" outlineLevel="0" collapsed="false">
      <c r="C89" s="0" t="n">
        <f aca="false">Panel!D68-Panel!D67</f>
        <v>0.00521359036373781</v>
      </c>
      <c r="D89" s="29" t="n">
        <f aca="false">Panel!D67</f>
        <v>9.89006284301337</v>
      </c>
      <c r="E89" s="30" t="n">
        <f aca="false">Panel!D67-Panel!D66</f>
        <v>0.00381300996357936</v>
      </c>
      <c r="F89" s="30" t="n">
        <f aca="false">Panel!D66-Panel!D65</f>
        <v>-0.00577224137705734</v>
      </c>
      <c r="G89" s="30" t="n">
        <f aca="false">Panel!D65-Panel!D64</f>
        <v>0.00390199902184385</v>
      </c>
      <c r="H89" s="30" t="n">
        <f aca="false">Panel!D64-Panel!D63</f>
        <v>0.000655203174508401</v>
      </c>
      <c r="I89" s="30" t="n">
        <f aca="false">Panel!D63-Panel!D62</f>
        <v>-0.00630309782800786</v>
      </c>
      <c r="L89" s="30" t="n">
        <f aca="false">Panel!E63-Panel!E62</f>
        <v>-0.00455791401626193</v>
      </c>
      <c r="M89" s="29" t="n">
        <f aca="false">Panel!E62</f>
        <v>5.3831179682405</v>
      </c>
    </row>
    <row r="90" customFormat="false" ht="15" hidden="false" customHeight="false" outlineLevel="0" collapsed="false">
      <c r="C90" s="0" t="n">
        <f aca="false">Panel!D69-Panel!D68</f>
        <v>-0.00118539008165364</v>
      </c>
      <c r="D90" s="29" t="n">
        <f aca="false">Panel!D68</f>
        <v>9.89527643337711</v>
      </c>
      <c r="E90" s="30" t="n">
        <f aca="false">Panel!D68-Panel!D67</f>
        <v>0.00521359036373781</v>
      </c>
      <c r="F90" s="30" t="n">
        <f aca="false">Panel!D67-Panel!D66</f>
        <v>0.00381300996357936</v>
      </c>
      <c r="G90" s="30" t="n">
        <f aca="false">Panel!D66-Panel!D65</f>
        <v>-0.00577224137705734</v>
      </c>
      <c r="H90" s="30" t="n">
        <f aca="false">Panel!D65-Panel!D64</f>
        <v>0.00390199902184385</v>
      </c>
      <c r="I90" s="30" t="n">
        <f aca="false">Panel!D64-Panel!D63</f>
        <v>0.000655203174508401</v>
      </c>
      <c r="L90" s="30" t="n">
        <f aca="false">Panel!E64-Panel!E63</f>
        <v>0.000138424270609505</v>
      </c>
      <c r="M90" s="29" t="n">
        <f aca="false">Panel!E63</f>
        <v>5.37856005422424</v>
      </c>
    </row>
    <row r="91" customFormat="false" ht="15" hidden="false" customHeight="false" outlineLevel="0" collapsed="false">
      <c r="C91" s="0" t="n">
        <f aca="false">Panel!D70-Panel!D69</f>
        <v>-0.011507974876837</v>
      </c>
      <c r="D91" s="29" t="n">
        <f aca="false">Panel!D69</f>
        <v>9.89409104329546</v>
      </c>
      <c r="E91" s="30" t="n">
        <f aca="false">Panel!D69-Panel!D68</f>
        <v>-0.00118539008165364</v>
      </c>
      <c r="F91" s="30" t="n">
        <f aca="false">Panel!D68-Panel!D67</f>
        <v>0.00521359036373781</v>
      </c>
      <c r="G91" s="30" t="n">
        <f aca="false">Panel!D67-Panel!D66</f>
        <v>0.00381300996357936</v>
      </c>
      <c r="H91" s="30" t="n">
        <f aca="false">Panel!D66-Panel!D65</f>
        <v>-0.00577224137705734</v>
      </c>
      <c r="I91" s="30" t="n">
        <f aca="false">Panel!D65-Panel!D64</f>
        <v>0.00390199902184385</v>
      </c>
      <c r="L91" s="30" t="n">
        <f aca="false">Panel!E65-Panel!E64</f>
        <v>0.0048787320040109</v>
      </c>
      <c r="M91" s="29" t="n">
        <f aca="false">Panel!E64</f>
        <v>5.37869847849485</v>
      </c>
    </row>
    <row r="92" customFormat="false" ht="15" hidden="false" customHeight="false" outlineLevel="0" collapsed="false">
      <c r="C92" s="0" t="n">
        <f aca="false">Panel!D71-Panel!D70</f>
        <v>-0.00600433243970855</v>
      </c>
      <c r="D92" s="29" t="n">
        <f aca="false">Panel!D70</f>
        <v>9.88258306841862</v>
      </c>
      <c r="E92" s="30" t="n">
        <f aca="false">Panel!D70-Panel!D69</f>
        <v>-0.011507974876837</v>
      </c>
      <c r="F92" s="30" t="n">
        <f aca="false">Panel!D69-Panel!D68</f>
        <v>-0.00118539008165364</v>
      </c>
      <c r="G92" s="30" t="n">
        <f aca="false">Panel!D68-Panel!D67</f>
        <v>0.00521359036373781</v>
      </c>
      <c r="H92" s="30" t="n">
        <f aca="false">Panel!D67-Panel!D66</f>
        <v>0.00381300996357936</v>
      </c>
      <c r="I92" s="30" t="n">
        <f aca="false">Panel!D66-Panel!D65</f>
        <v>-0.00577224137705734</v>
      </c>
      <c r="L92" s="30" t="n">
        <f aca="false">Panel!E66-Panel!E65</f>
        <v>-0.00358769530679837</v>
      </c>
      <c r="M92" s="29" t="n">
        <f aca="false">Panel!E65</f>
        <v>5.38357721049886</v>
      </c>
    </row>
    <row r="93" customFormat="false" ht="15" hidden="false" customHeight="false" outlineLevel="0" collapsed="false">
      <c r="C93" s="0" t="n">
        <f aca="false">Panel!D72-Panel!D71</f>
        <v>0.00533782662907534</v>
      </c>
      <c r="D93" s="29" t="n">
        <f aca="false">Panel!D71</f>
        <v>9.87657873597891</v>
      </c>
      <c r="E93" s="30" t="n">
        <f aca="false">Panel!D71-Panel!D70</f>
        <v>-0.00600433243970855</v>
      </c>
      <c r="F93" s="30" t="n">
        <f aca="false">Panel!D70-Panel!D69</f>
        <v>-0.011507974876837</v>
      </c>
      <c r="G93" s="30" t="n">
        <f aca="false">Panel!D69-Panel!D68</f>
        <v>-0.00118539008165364</v>
      </c>
      <c r="H93" s="30" t="n">
        <f aca="false">Panel!D68-Panel!D67</f>
        <v>0.00521359036373781</v>
      </c>
      <c r="I93" s="30" t="n">
        <f aca="false">Panel!D67-Panel!D66</f>
        <v>0.00381300996357936</v>
      </c>
      <c r="L93" s="30" t="n">
        <f aca="false">Panel!E67-Panel!E66</f>
        <v>-0.00309204852116807</v>
      </c>
      <c r="M93" s="29" t="n">
        <f aca="false">Panel!E66</f>
        <v>5.37998951519206</v>
      </c>
    </row>
    <row r="94" customFormat="false" ht="15" hidden="false" customHeight="false" outlineLevel="0" collapsed="false">
      <c r="C94" s="0" t="n">
        <f aca="false">Panel!D73-Panel!D72</f>
        <v>0.00462826919783055</v>
      </c>
      <c r="D94" s="29" t="n">
        <f aca="false">Panel!D72</f>
        <v>9.88191656260799</v>
      </c>
      <c r="E94" s="30" t="n">
        <f aca="false">Panel!D72-Panel!D71</f>
        <v>0.00533782662907534</v>
      </c>
      <c r="F94" s="30" t="n">
        <f aca="false">Panel!D71-Panel!D70</f>
        <v>-0.00600433243970855</v>
      </c>
      <c r="G94" s="30" t="n">
        <f aca="false">Panel!D70-Panel!D69</f>
        <v>-0.011507974876837</v>
      </c>
      <c r="H94" s="30" t="n">
        <f aca="false">Panel!D69-Panel!D68</f>
        <v>-0.00118539008165364</v>
      </c>
      <c r="I94" s="30" t="n">
        <f aca="false">Panel!D68-Panel!D67</f>
        <v>0.00521359036373781</v>
      </c>
      <c r="L94" s="30" t="n">
        <f aca="false">Panel!E68-Panel!E67</f>
        <v>0.0055312424957954</v>
      </c>
      <c r="M94" s="29" t="n">
        <f aca="false">Panel!E67</f>
        <v>5.37689746667089</v>
      </c>
    </row>
    <row r="95" customFormat="false" ht="15" hidden="false" customHeight="false" outlineLevel="0" collapsed="false">
      <c r="C95" s="0" t="n">
        <f aca="false">Panel!D74-Panel!D73</f>
        <v>-0.00290290749039457</v>
      </c>
      <c r="D95" s="29" t="n">
        <f aca="false">Panel!D73</f>
        <v>9.88654483180582</v>
      </c>
      <c r="E95" s="30" t="n">
        <f aca="false">Panel!D73-Panel!D72</f>
        <v>0.00462826919783055</v>
      </c>
      <c r="F95" s="30" t="n">
        <f aca="false">Panel!D72-Panel!D71</f>
        <v>0.00533782662907534</v>
      </c>
      <c r="G95" s="30" t="n">
        <f aca="false">Panel!D71-Panel!D70</f>
        <v>-0.00600433243970855</v>
      </c>
      <c r="H95" s="30" t="n">
        <f aca="false">Panel!D70-Panel!D69</f>
        <v>-0.011507974876837</v>
      </c>
      <c r="I95" s="30" t="n">
        <f aca="false">Panel!D69-Panel!D68</f>
        <v>-0.00118539008165364</v>
      </c>
      <c r="L95" s="30" t="n">
        <f aca="false">Panel!E69-Panel!E68</f>
        <v>-0.00114982190430535</v>
      </c>
      <c r="M95" s="29" t="n">
        <f aca="false">Panel!E68</f>
        <v>5.38242870916669</v>
      </c>
    </row>
    <row r="96" customFormat="false" ht="15" hidden="false" customHeight="false" outlineLevel="0" collapsed="false">
      <c r="C96" s="0" t="n">
        <f aca="false">Panel!D75-Panel!D74</f>
        <v>0.00439183104017715</v>
      </c>
      <c r="D96" s="29" t="n">
        <f aca="false">Panel!D74</f>
        <v>9.88364192431542</v>
      </c>
      <c r="E96" s="30" t="n">
        <f aca="false">Panel!D74-Panel!D73</f>
        <v>-0.00290290749039457</v>
      </c>
      <c r="F96" s="30" t="n">
        <f aca="false">Panel!D73-Panel!D72</f>
        <v>0.00462826919783055</v>
      </c>
      <c r="G96" s="30" t="n">
        <f aca="false">Panel!D72-Panel!D71</f>
        <v>0.00533782662907534</v>
      </c>
      <c r="H96" s="30" t="n">
        <f aca="false">Panel!D71-Panel!D70</f>
        <v>-0.00600433243970855</v>
      </c>
      <c r="I96" s="30" t="n">
        <f aca="false">Panel!D70-Panel!D69</f>
        <v>-0.011507974876837</v>
      </c>
      <c r="L96" s="30" t="n">
        <f aca="false">Panel!E70-Panel!E69</f>
        <v>-0.00971105897475422</v>
      </c>
      <c r="M96" s="29" t="n">
        <f aca="false">Panel!E69</f>
        <v>5.38127888726238</v>
      </c>
    </row>
    <row r="97" customFormat="false" ht="15" hidden="false" customHeight="false" outlineLevel="0" collapsed="false">
      <c r="C97" s="0" t="n">
        <f aca="false">Panel!D76-Panel!D75</f>
        <v>-0.00469278926281547</v>
      </c>
      <c r="D97" s="29" t="n">
        <f aca="false">Panel!D75</f>
        <v>9.8880337553556</v>
      </c>
      <c r="E97" s="30" t="n">
        <f aca="false">Panel!D75-Panel!D74</f>
        <v>0.00439183104017715</v>
      </c>
      <c r="F97" s="30" t="n">
        <f aca="false">Panel!D74-Panel!D73</f>
        <v>-0.00290290749039457</v>
      </c>
      <c r="G97" s="30" t="n">
        <f aca="false">Panel!D73-Panel!D72</f>
        <v>0.00462826919783055</v>
      </c>
      <c r="H97" s="30" t="n">
        <f aca="false">Panel!D72-Panel!D71</f>
        <v>0.00533782662907534</v>
      </c>
      <c r="I97" s="30" t="n">
        <f aca="false">Panel!D71-Panel!D70</f>
        <v>-0.00600433243970855</v>
      </c>
      <c r="L97" s="30" t="n">
        <f aca="false">Panel!E71-Panel!E70</f>
        <v>-0.00699466596252751</v>
      </c>
      <c r="M97" s="29" t="n">
        <f aca="false">Panel!E70</f>
        <v>5.37156782828763</v>
      </c>
    </row>
    <row r="98" customFormat="false" ht="15" hidden="false" customHeight="false" outlineLevel="0" collapsed="false">
      <c r="C98" s="0" t="n">
        <f aca="false">Panel!D77-Panel!D76</f>
        <v>-0.00507379039007816</v>
      </c>
      <c r="D98" s="29" t="n">
        <f aca="false">Panel!D76</f>
        <v>9.88334096609278</v>
      </c>
      <c r="E98" s="30" t="n">
        <f aca="false">Panel!D76-Panel!D75</f>
        <v>-0.00469278926281547</v>
      </c>
      <c r="F98" s="30" t="n">
        <f aca="false">Panel!D75-Panel!D74</f>
        <v>0.00439183104017715</v>
      </c>
      <c r="G98" s="30" t="n">
        <f aca="false">Panel!D74-Panel!D73</f>
        <v>-0.00290290749039457</v>
      </c>
      <c r="H98" s="30" t="n">
        <f aca="false">Panel!D73-Panel!D72</f>
        <v>0.00462826919783055</v>
      </c>
      <c r="I98" s="30" t="n">
        <f aca="false">Panel!D72-Panel!D71</f>
        <v>0.00533782662907534</v>
      </c>
      <c r="L98" s="30" t="n">
        <f aca="false">Panel!E72-Panel!E71</f>
        <v>0.00639039420778875</v>
      </c>
      <c r="M98" s="29" t="n">
        <f aca="false">Panel!E71</f>
        <v>5.3645731623251</v>
      </c>
    </row>
    <row r="99" customFormat="false" ht="15" hidden="false" customHeight="false" outlineLevel="0" collapsed="false">
      <c r="C99" s="0" t="n">
        <f aca="false">Panel!D78-Panel!D77</f>
        <v>-0.00157801385218548</v>
      </c>
      <c r="D99" s="29" t="n">
        <f aca="false">Panel!D77</f>
        <v>9.87826717570271</v>
      </c>
      <c r="E99" s="30" t="n">
        <f aca="false">Panel!D77-Panel!D76</f>
        <v>-0.00507379039007816</v>
      </c>
      <c r="F99" s="30" t="n">
        <f aca="false">Panel!D76-Panel!D75</f>
        <v>-0.00469278926281547</v>
      </c>
      <c r="G99" s="30" t="n">
        <f aca="false">Panel!D75-Panel!D74</f>
        <v>0.00439183104017715</v>
      </c>
      <c r="H99" s="30" t="n">
        <f aca="false">Panel!D74-Panel!D73</f>
        <v>-0.00290290749039457</v>
      </c>
      <c r="I99" s="30" t="n">
        <f aca="false">Panel!D73-Panel!D72</f>
        <v>0.00462826919783055</v>
      </c>
      <c r="L99" s="30" t="n">
        <f aca="false">Panel!E73-Panel!E72</f>
        <v>0.00417595261643022</v>
      </c>
      <c r="M99" s="29" t="n">
        <f aca="false">Panel!E72</f>
        <v>5.37096355653289</v>
      </c>
    </row>
    <row r="100" customFormat="false" ht="15" hidden="false" customHeight="false" outlineLevel="0" collapsed="false">
      <c r="C100" s="0" t="n">
        <f aca="false">Panel!D79-Panel!D78</f>
        <v>-0.000264528864081015</v>
      </c>
      <c r="D100" s="29" t="n">
        <f aca="false">Panel!D78</f>
        <v>9.87668916185052</v>
      </c>
      <c r="E100" s="30" t="n">
        <f aca="false">Panel!D78-Panel!D77</f>
        <v>-0.00157801385218548</v>
      </c>
      <c r="F100" s="30" t="n">
        <f aca="false">Panel!D77-Panel!D76</f>
        <v>-0.00507379039007816</v>
      </c>
      <c r="G100" s="30" t="n">
        <f aca="false">Panel!D76-Panel!D75</f>
        <v>-0.00469278926281547</v>
      </c>
      <c r="H100" s="30" t="n">
        <f aca="false">Panel!D75-Panel!D74</f>
        <v>0.00439183104017715</v>
      </c>
      <c r="I100" s="30" t="n">
        <f aca="false">Panel!D74-Panel!D73</f>
        <v>-0.00290290749039457</v>
      </c>
      <c r="L100" s="30" t="n">
        <f aca="false">Panel!E74-Panel!E73</f>
        <v>-0.00055578714783433</v>
      </c>
      <c r="M100" s="29" t="n">
        <f aca="false">Panel!E73</f>
        <v>5.37513950914932</v>
      </c>
    </row>
    <row r="101" customFormat="false" ht="15" hidden="false" customHeight="false" outlineLevel="0" collapsed="false">
      <c r="C101" s="0" t="n">
        <f aca="false">Panel!D80-Panel!D79</f>
        <v>-0.00410014383089674</v>
      </c>
      <c r="D101" s="29" t="n">
        <f aca="false">Panel!D79</f>
        <v>9.87642463298644</v>
      </c>
      <c r="E101" s="30" t="n">
        <f aca="false">Panel!D79-Panel!D78</f>
        <v>-0.000264528864081015</v>
      </c>
      <c r="F101" s="30" t="n">
        <f aca="false">Panel!D78-Panel!D77</f>
        <v>-0.00157801385218548</v>
      </c>
      <c r="G101" s="30" t="n">
        <f aca="false">Panel!D77-Panel!D76</f>
        <v>-0.00507379039007816</v>
      </c>
      <c r="H101" s="30" t="n">
        <f aca="false">Panel!D76-Panel!D75</f>
        <v>-0.00469278926281547</v>
      </c>
      <c r="I101" s="30" t="n">
        <f aca="false">Panel!D75-Panel!D74</f>
        <v>0.00439183104017715</v>
      </c>
      <c r="L101" s="30" t="n">
        <f aca="false">Panel!E75-Panel!E74</f>
        <v>0.00300682544105779</v>
      </c>
      <c r="M101" s="29" t="n">
        <f aca="false">Panel!E74</f>
        <v>5.37458372200149</v>
      </c>
    </row>
    <row r="102" customFormat="false" ht="15" hidden="false" customHeight="false" outlineLevel="0" collapsed="false">
      <c r="C102" s="0" t="n">
        <f aca="false">Panel!D81-Panel!D80</f>
        <v>-0.00363544216210876</v>
      </c>
      <c r="D102" s="29" t="n">
        <f aca="false">Panel!D80</f>
        <v>9.87232448915554</v>
      </c>
      <c r="E102" s="30" t="n">
        <f aca="false">Panel!D80-Panel!D79</f>
        <v>-0.00410014383089674</v>
      </c>
      <c r="F102" s="30" t="n">
        <f aca="false">Panel!D79-Panel!D78</f>
        <v>-0.000264528864081015</v>
      </c>
      <c r="G102" s="30" t="n">
        <f aca="false">Panel!D78-Panel!D77</f>
        <v>-0.00157801385218548</v>
      </c>
      <c r="H102" s="30" t="n">
        <f aca="false">Panel!D77-Panel!D76</f>
        <v>-0.00507379039007816</v>
      </c>
      <c r="I102" s="30" t="n">
        <f aca="false">Panel!D76-Panel!D75</f>
        <v>-0.00469278926281547</v>
      </c>
      <c r="L102" s="30" t="n">
        <f aca="false">Panel!E76-Panel!E75</f>
        <v>-0.00490809893920119</v>
      </c>
      <c r="M102" s="29" t="n">
        <f aca="false">Panel!E75</f>
        <v>5.37759054744254</v>
      </c>
    </row>
    <row r="103" customFormat="false" ht="15" hidden="false" customHeight="false" outlineLevel="0" collapsed="false">
      <c r="C103" s="0" t="n">
        <f aca="false">Panel!D82-Panel!D81</f>
        <v>0.00435476185594652</v>
      </c>
      <c r="D103" s="29" t="n">
        <f aca="false">Panel!D81</f>
        <v>9.86868904699343</v>
      </c>
      <c r="E103" s="30" t="n">
        <f aca="false">Panel!D81-Panel!D80</f>
        <v>-0.00363544216210876</v>
      </c>
      <c r="F103" s="30" t="n">
        <f aca="false">Panel!D80-Panel!D79</f>
        <v>-0.00410014383089674</v>
      </c>
      <c r="G103" s="30" t="n">
        <f aca="false">Panel!D79-Panel!D78</f>
        <v>-0.000264528864081015</v>
      </c>
      <c r="H103" s="30" t="n">
        <f aca="false">Panel!D78-Panel!D77</f>
        <v>-0.00157801385218548</v>
      </c>
      <c r="I103" s="30" t="n">
        <f aca="false">Panel!D77-Panel!D76</f>
        <v>-0.00507379039007816</v>
      </c>
      <c r="L103" s="30" t="n">
        <f aca="false">Panel!E77-Panel!E76</f>
        <v>-0.00437271013527152</v>
      </c>
      <c r="M103" s="29" t="n">
        <f aca="false">Panel!E76</f>
        <v>5.37268244850334</v>
      </c>
    </row>
    <row r="104" customFormat="false" ht="15" hidden="false" customHeight="false" outlineLevel="0" collapsed="false">
      <c r="C104" s="0" t="n">
        <f aca="false">Panel!D83-Panel!D82</f>
        <v>-0.00099532514863121</v>
      </c>
      <c r="D104" s="29" t="n">
        <f aca="false">Panel!D82</f>
        <v>9.87304380884938</v>
      </c>
      <c r="E104" s="30" t="n">
        <f aca="false">Panel!D82-Panel!D81</f>
        <v>0.00435476185594652</v>
      </c>
      <c r="F104" s="30" t="n">
        <f aca="false">Panel!D81-Panel!D80</f>
        <v>-0.00363544216210876</v>
      </c>
      <c r="G104" s="30" t="n">
        <f aca="false">Panel!D80-Panel!D79</f>
        <v>-0.00410014383089674</v>
      </c>
      <c r="H104" s="30" t="n">
        <f aca="false">Panel!D79-Panel!D78</f>
        <v>-0.000264528864081015</v>
      </c>
      <c r="I104" s="30" t="n">
        <f aca="false">Panel!D78-Panel!D77</f>
        <v>-0.00157801385218548</v>
      </c>
      <c r="L104" s="30" t="n">
        <f aca="false">Panel!E78-Panel!E77</f>
        <v>-0.00023312740518211</v>
      </c>
      <c r="M104" s="29" t="n">
        <f aca="false">Panel!E77</f>
        <v>5.36830973836807</v>
      </c>
    </row>
    <row r="105" customFormat="false" ht="15" hidden="false" customHeight="false" outlineLevel="0" collapsed="false">
      <c r="C105" s="0" t="n">
        <f aca="false">Panel!D84-Panel!D83</f>
        <v>0.00267944716395441</v>
      </c>
      <c r="D105" s="29" t="n">
        <f aca="false">Panel!D83</f>
        <v>9.87204848370075</v>
      </c>
      <c r="E105" s="30" t="n">
        <f aca="false">Panel!D83-Panel!D82</f>
        <v>-0.00099532514863121</v>
      </c>
      <c r="F105" s="30" t="n">
        <f aca="false">Panel!D82-Panel!D81</f>
        <v>0.00435476185594652</v>
      </c>
      <c r="G105" s="30" t="n">
        <f aca="false">Panel!D81-Panel!D80</f>
        <v>-0.00363544216210876</v>
      </c>
      <c r="H105" s="30" t="n">
        <f aca="false">Panel!D80-Panel!D79</f>
        <v>-0.00410014383089674</v>
      </c>
      <c r="I105" s="30" t="n">
        <f aca="false">Panel!D79-Panel!D78</f>
        <v>-0.000264528864081015</v>
      </c>
      <c r="L105" s="30" t="n">
        <f aca="false">Panel!E79-Panel!E78</f>
        <v>0.000606018245711049</v>
      </c>
      <c r="M105" s="29" t="n">
        <f aca="false">Panel!E78</f>
        <v>5.36807661096289</v>
      </c>
    </row>
    <row r="106" customFormat="false" ht="15" hidden="false" customHeight="false" outlineLevel="0" collapsed="false">
      <c r="C106" s="0" t="n">
        <f aca="false">Panel!D85-Panel!D84</f>
        <v>-0.00210430687706342</v>
      </c>
      <c r="D106" s="29" t="n">
        <f aca="false">Panel!D84</f>
        <v>9.8747279308647</v>
      </c>
      <c r="E106" s="30" t="n">
        <f aca="false">Panel!D84-Panel!D83</f>
        <v>0.00267944716395441</v>
      </c>
      <c r="F106" s="30" t="n">
        <f aca="false">Panel!D83-Panel!D82</f>
        <v>-0.00099532514863121</v>
      </c>
      <c r="G106" s="30" t="n">
        <f aca="false">Panel!D82-Panel!D81</f>
        <v>0.00435476185594652</v>
      </c>
      <c r="H106" s="30" t="n">
        <f aca="false">Panel!D81-Panel!D80</f>
        <v>-0.00363544216210876</v>
      </c>
      <c r="I106" s="30" t="n">
        <f aca="false">Panel!D80-Panel!D79</f>
        <v>-0.00410014383089674</v>
      </c>
      <c r="L106" s="30" t="n">
        <f aca="false">Panel!E80-Panel!E79</f>
        <v>-0.00457752212256057</v>
      </c>
      <c r="M106" s="29" t="n">
        <f aca="false">Panel!E79</f>
        <v>5.3686826292086</v>
      </c>
    </row>
    <row r="107" customFormat="false" ht="15" hidden="false" customHeight="false" outlineLevel="0" collapsed="false">
      <c r="C107" s="0" t="n">
        <f aca="false">Panel!D86-Panel!D85</f>
        <v>-0.00871925028754284</v>
      </c>
      <c r="D107" s="29" t="n">
        <f aca="false">Panel!D85</f>
        <v>9.87262362398764</v>
      </c>
      <c r="E107" s="30" t="n">
        <f aca="false">Panel!D85-Panel!D84</f>
        <v>-0.00210430687706342</v>
      </c>
      <c r="F107" s="30" t="n">
        <f aca="false">Panel!D84-Panel!D83</f>
        <v>0.00267944716395441</v>
      </c>
      <c r="G107" s="30" t="n">
        <f aca="false">Panel!D83-Panel!D82</f>
        <v>-0.00099532514863121</v>
      </c>
      <c r="H107" s="30" t="n">
        <f aca="false">Panel!D82-Panel!D81</f>
        <v>0.00435476185594652</v>
      </c>
      <c r="I107" s="30" t="n">
        <f aca="false">Panel!D81-Panel!D80</f>
        <v>-0.00363544216210876</v>
      </c>
      <c r="L107" s="30" t="n">
        <f aca="false">Panel!E81-Panel!E80</f>
        <v>-0.00328253518660571</v>
      </c>
      <c r="M107" s="29" t="n">
        <f aca="false">Panel!E80</f>
        <v>5.36410510708604</v>
      </c>
    </row>
    <row r="108" customFormat="false" ht="15" hidden="false" customHeight="false" outlineLevel="0" collapsed="false">
      <c r="C108" s="0" t="n">
        <f aca="false">Panel!D87-Panel!D86</f>
        <v>0.00468112682676747</v>
      </c>
      <c r="D108" s="29" t="n">
        <f aca="false">Panel!D86</f>
        <v>9.8639043737001</v>
      </c>
      <c r="E108" s="30" t="n">
        <f aca="false">Panel!D86-Panel!D85</f>
        <v>-0.00871925028754284</v>
      </c>
      <c r="F108" s="30" t="n">
        <f aca="false">Panel!D85-Panel!D84</f>
        <v>-0.00210430687706342</v>
      </c>
      <c r="G108" s="30" t="n">
        <f aca="false">Panel!D84-Panel!D83</f>
        <v>0.00267944716395441</v>
      </c>
      <c r="H108" s="30" t="n">
        <f aca="false">Panel!D83-Panel!D82</f>
        <v>-0.00099532514863121</v>
      </c>
      <c r="I108" s="30" t="n">
        <f aca="false">Panel!D82-Panel!D81</f>
        <v>0.00435476185594652</v>
      </c>
      <c r="L108" s="30" t="n">
        <f aca="false">Panel!E82-Panel!E81</f>
        <v>0.00173639671006764</v>
      </c>
      <c r="M108" s="29" t="n">
        <f aca="false">Panel!E81</f>
        <v>5.36082257189943</v>
      </c>
    </row>
    <row r="109" customFormat="false" ht="15" hidden="false" customHeight="false" outlineLevel="0" collapsed="false">
      <c r="C109" s="0" t="n">
        <f aca="false">Panel!D88-Panel!D87</f>
        <v>0.00164253556415872</v>
      </c>
      <c r="D109" s="29" t="n">
        <f aca="false">Panel!D87</f>
        <v>9.86858550052686</v>
      </c>
      <c r="E109" s="30" t="n">
        <f aca="false">Panel!D87-Panel!D86</f>
        <v>0.00468112682676747</v>
      </c>
      <c r="F109" s="30" t="n">
        <f aca="false">Panel!D86-Panel!D85</f>
        <v>-0.00871925028754284</v>
      </c>
      <c r="G109" s="30" t="n">
        <f aca="false">Panel!D85-Panel!D84</f>
        <v>-0.00210430687706342</v>
      </c>
      <c r="H109" s="30" t="n">
        <f aca="false">Panel!D84-Panel!D83</f>
        <v>0.00267944716395441</v>
      </c>
      <c r="I109" s="30" t="n">
        <f aca="false">Panel!D83-Panel!D82</f>
        <v>-0.00099532514863121</v>
      </c>
      <c r="L109" s="30" t="n">
        <f aca="false">Panel!E83-Panel!E82</f>
        <v>0.000984182856242022</v>
      </c>
      <c r="M109" s="29" t="n">
        <f aca="false">Panel!E82</f>
        <v>5.3625589686095</v>
      </c>
    </row>
    <row r="110" customFormat="false" ht="15" hidden="false" customHeight="false" outlineLevel="0" collapsed="false">
      <c r="C110" s="0" t="n">
        <f aca="false">Panel!D89-Panel!D88</f>
        <v>-0.000297267083738007</v>
      </c>
      <c r="D110" s="29" t="n">
        <f aca="false">Panel!D88</f>
        <v>9.87022803609102</v>
      </c>
      <c r="E110" s="30" t="n">
        <f aca="false">Panel!D88-Panel!D87</f>
        <v>0.00164253556415872</v>
      </c>
      <c r="F110" s="30" t="n">
        <f aca="false">Panel!D87-Panel!D86</f>
        <v>0.00468112682676747</v>
      </c>
      <c r="G110" s="30" t="n">
        <f aca="false">Panel!D86-Panel!D85</f>
        <v>-0.00871925028754284</v>
      </c>
      <c r="H110" s="30" t="n">
        <f aca="false">Panel!D85-Panel!D84</f>
        <v>-0.00210430687706342</v>
      </c>
      <c r="I110" s="30" t="n">
        <f aca="false">Panel!D84-Panel!D83</f>
        <v>0.00267944716395441</v>
      </c>
      <c r="L110" s="30" t="n">
        <f aca="false">Panel!E84-Panel!E83</f>
        <v>0.00369375054689058</v>
      </c>
      <c r="M110" s="29" t="n">
        <f aca="false">Panel!E83</f>
        <v>5.36354315146574</v>
      </c>
    </row>
    <row r="111" customFormat="false" ht="15" hidden="false" customHeight="false" outlineLevel="0" collapsed="false">
      <c r="C111" s="0" t="n">
        <f aca="false">Panel!D90-Panel!D89</f>
        <v>-0.00445665866937262</v>
      </c>
      <c r="D111" s="29" t="n">
        <f aca="false">Panel!D89</f>
        <v>9.86993076900729</v>
      </c>
      <c r="E111" s="30" t="n">
        <f aca="false">Panel!D89-Panel!D88</f>
        <v>-0.000297267083738007</v>
      </c>
      <c r="F111" s="30" t="n">
        <f aca="false">Panel!D88-Panel!D87</f>
        <v>0.00164253556415872</v>
      </c>
      <c r="G111" s="30" t="n">
        <f aca="false">Panel!D87-Panel!D86</f>
        <v>0.00468112682676747</v>
      </c>
      <c r="H111" s="30" t="n">
        <f aca="false">Panel!D86-Panel!D85</f>
        <v>-0.00871925028754284</v>
      </c>
      <c r="I111" s="30" t="n">
        <f aca="false">Panel!D85-Panel!D84</f>
        <v>-0.00210430687706342</v>
      </c>
      <c r="L111" s="30" t="n">
        <f aca="false">Panel!E85-Panel!E84</f>
        <v>-0.00294454654106513</v>
      </c>
      <c r="M111" s="29" t="n">
        <f aca="false">Panel!E84</f>
        <v>5.36723690201263</v>
      </c>
    </row>
    <row r="112" customFormat="false" ht="15" hidden="false" customHeight="false" outlineLevel="0" collapsed="false">
      <c r="C112" s="0" t="n">
        <f aca="false">Panel!D91-Panel!D90</f>
        <v>0.0137258725668694</v>
      </c>
      <c r="D112" s="29" t="n">
        <f aca="false">Panel!D90</f>
        <v>9.86547411033791</v>
      </c>
      <c r="E112" s="30" t="n">
        <f aca="false">Panel!D90-Panel!D89</f>
        <v>-0.00445665866937262</v>
      </c>
      <c r="F112" s="30" t="n">
        <f aca="false">Panel!D89-Panel!D88</f>
        <v>-0.000297267083738007</v>
      </c>
      <c r="G112" s="30" t="n">
        <f aca="false">Panel!D88-Panel!D87</f>
        <v>0.00164253556415872</v>
      </c>
      <c r="H112" s="30" t="n">
        <f aca="false">Panel!D87-Panel!D86</f>
        <v>0.00468112682676747</v>
      </c>
      <c r="I112" s="30" t="n">
        <f aca="false">Panel!D86-Panel!D85</f>
        <v>-0.00871925028754284</v>
      </c>
      <c r="L112" s="30" t="n">
        <f aca="false">Panel!E86-Panel!E85</f>
        <v>-0.000702362307336557</v>
      </c>
      <c r="M112" s="29" t="n">
        <f aca="false">Panel!E85</f>
        <v>5.36429235547157</v>
      </c>
    </row>
    <row r="113" customFormat="false" ht="15" hidden="false" customHeight="false" outlineLevel="0" collapsed="false">
      <c r="C113" s="0" t="n">
        <f aca="false">Panel!D92-Panel!D91</f>
        <v>0.00481673728513421</v>
      </c>
      <c r="D113" s="29" t="n">
        <f aca="false">Panel!D91</f>
        <v>9.87919998290478</v>
      </c>
      <c r="E113" s="30" t="n">
        <f aca="false">Panel!D91-Panel!D90</f>
        <v>0.0137258725668694</v>
      </c>
      <c r="F113" s="30" t="n">
        <f aca="false">Panel!D90-Panel!D89</f>
        <v>-0.00445665866937262</v>
      </c>
      <c r="G113" s="30" t="n">
        <f aca="false">Panel!D89-Panel!D88</f>
        <v>-0.000297267083738007</v>
      </c>
      <c r="H113" s="30" t="n">
        <f aca="false">Panel!D88-Panel!D87</f>
        <v>0.00164253556415872</v>
      </c>
      <c r="I113" s="30" t="n">
        <f aca="false">Panel!D87-Panel!D86</f>
        <v>0.00468112682676747</v>
      </c>
      <c r="L113" s="30" t="n">
        <f aca="false">Panel!E87-Panel!E86</f>
        <v>-0.00342522329011619</v>
      </c>
      <c r="M113" s="29" t="n">
        <f aca="false">Panel!E86</f>
        <v>5.36358999316423</v>
      </c>
    </row>
    <row r="114" customFormat="false" ht="15" hidden="false" customHeight="false" outlineLevel="0" collapsed="false">
      <c r="C114" s="0" t="n">
        <f aca="false">Panel!D93-Panel!D92</f>
        <v>0.0018311641665214</v>
      </c>
      <c r="D114" s="29" t="n">
        <f aca="false">Panel!D92</f>
        <v>9.88401672018992</v>
      </c>
      <c r="E114" s="30" t="n">
        <f aca="false">Panel!D92-Panel!D91</f>
        <v>0.00481673728513421</v>
      </c>
      <c r="F114" s="30" t="n">
        <f aca="false">Panel!D91-Panel!D90</f>
        <v>0.0137258725668694</v>
      </c>
      <c r="G114" s="30" t="n">
        <f aca="false">Panel!D90-Panel!D89</f>
        <v>-0.00445665866937262</v>
      </c>
      <c r="H114" s="30" t="n">
        <f aca="false">Panel!D89-Panel!D88</f>
        <v>-0.000297267083738007</v>
      </c>
      <c r="I114" s="30" t="n">
        <f aca="false">Panel!D88-Panel!D87</f>
        <v>0.00164253556415872</v>
      </c>
      <c r="L114" s="30" t="n">
        <f aca="false">Panel!E88-Panel!E87</f>
        <v>0.00281610999964244</v>
      </c>
      <c r="M114" s="29" t="n">
        <f aca="false">Panel!E87</f>
        <v>5.36016476987412</v>
      </c>
    </row>
    <row r="115" customFormat="false" ht="15" hidden="false" customHeight="false" outlineLevel="0" collapsed="false">
      <c r="C115" s="0" t="n">
        <f aca="false">Panel!D94-Panel!D93</f>
        <v>0.00074780050947254</v>
      </c>
      <c r="D115" s="29" t="n">
        <f aca="false">Panel!D93</f>
        <v>9.88584788435644</v>
      </c>
      <c r="E115" s="30" t="n">
        <f aca="false">Panel!D93-Panel!D92</f>
        <v>0.0018311641665214</v>
      </c>
      <c r="F115" s="30" t="n">
        <f aca="false">Panel!D92-Panel!D91</f>
        <v>0.00481673728513421</v>
      </c>
      <c r="G115" s="30" t="n">
        <f aca="false">Panel!D91-Panel!D90</f>
        <v>0.0137258725668694</v>
      </c>
      <c r="H115" s="30" t="n">
        <f aca="false">Panel!D90-Panel!D89</f>
        <v>-0.00445665866937262</v>
      </c>
      <c r="I115" s="30" t="n">
        <f aca="false">Panel!D89-Panel!D88</f>
        <v>-0.000297267083738007</v>
      </c>
      <c r="L115" s="30" t="n">
        <f aca="false">Panel!E89-Panel!E88</f>
        <v>0.00182622794311094</v>
      </c>
      <c r="M115" s="29" t="n">
        <f aca="false">Panel!E88</f>
        <v>5.36298087987376</v>
      </c>
    </row>
    <row r="116" customFormat="false" ht="15" hidden="false" customHeight="false" outlineLevel="0" collapsed="false">
      <c r="C116" s="0" t="n">
        <f aca="false">Panel!D95-Panel!D94</f>
        <v>0.00517600418112707</v>
      </c>
      <c r="D116" s="29" t="n">
        <f aca="false">Panel!D94</f>
        <v>9.88659568486591</v>
      </c>
      <c r="E116" s="30" t="n">
        <f aca="false">Panel!D94-Panel!D93</f>
        <v>0.00074780050947254</v>
      </c>
      <c r="F116" s="30" t="n">
        <f aca="false">Panel!D93-Panel!D92</f>
        <v>0.0018311641665214</v>
      </c>
      <c r="G116" s="30" t="n">
        <f aca="false">Panel!D92-Panel!D91</f>
        <v>0.00481673728513421</v>
      </c>
      <c r="H116" s="30" t="n">
        <f aca="false">Panel!D91-Panel!D90</f>
        <v>0.0137258725668694</v>
      </c>
      <c r="I116" s="30" t="n">
        <f aca="false">Panel!D90-Panel!D89</f>
        <v>-0.00445665866937262</v>
      </c>
      <c r="L116" s="30" t="n">
        <f aca="false">Panel!E90-Panel!E89</f>
        <v>-0.00257641552518084</v>
      </c>
      <c r="M116" s="29" t="n">
        <f aca="false">Panel!E89</f>
        <v>5.36480710781687</v>
      </c>
    </row>
    <row r="117" customFormat="false" ht="15" hidden="false" customHeight="false" outlineLevel="0" collapsed="false">
      <c r="C117" s="0" t="n">
        <f aca="false">Panel!D96-Panel!D95</f>
        <v>0.00539593474427136</v>
      </c>
      <c r="D117" s="29" t="n">
        <f aca="false">Panel!D95</f>
        <v>9.89177168904704</v>
      </c>
      <c r="E117" s="30" t="n">
        <f aca="false">Panel!D95-Panel!D94</f>
        <v>0.00517600418112707</v>
      </c>
      <c r="F117" s="30" t="n">
        <f aca="false">Panel!D94-Panel!D93</f>
        <v>0.00074780050947254</v>
      </c>
      <c r="G117" s="30" t="n">
        <f aca="false">Panel!D93-Panel!D92</f>
        <v>0.0018311641665214</v>
      </c>
      <c r="H117" s="30" t="n">
        <f aca="false">Panel!D92-Panel!D91</f>
        <v>0.00481673728513421</v>
      </c>
      <c r="I117" s="30" t="n">
        <f aca="false">Panel!D91-Panel!D90</f>
        <v>0.0137258725668694</v>
      </c>
      <c r="L117" s="30" t="n">
        <f aca="false">Panel!E91-Panel!E90</f>
        <v>0.00561273690495767</v>
      </c>
      <c r="M117" s="29" t="n">
        <f aca="false">Panel!E90</f>
        <v>5.36223069229169</v>
      </c>
    </row>
    <row r="118" customFormat="false" ht="15" hidden="false" customHeight="false" outlineLevel="0" collapsed="false">
      <c r="C118" s="0" t="n">
        <f aca="false">Panel!D97-Panel!D96</f>
        <v>0.00879187097659795</v>
      </c>
      <c r="D118" s="29" t="n">
        <f aca="false">Panel!D96</f>
        <v>9.89716762379131</v>
      </c>
      <c r="E118" s="30" t="n">
        <f aca="false">Panel!D96-Panel!D95</f>
        <v>0.00539593474427136</v>
      </c>
      <c r="F118" s="30" t="n">
        <f aca="false">Panel!D95-Panel!D94</f>
        <v>0.00517600418112707</v>
      </c>
      <c r="G118" s="30" t="n">
        <f aca="false">Panel!D94-Panel!D93</f>
        <v>0.00074780050947254</v>
      </c>
      <c r="H118" s="30" t="n">
        <f aca="false">Panel!D93-Panel!D92</f>
        <v>0.0018311641665214</v>
      </c>
      <c r="I118" s="30" t="n">
        <f aca="false">Panel!D92-Panel!D91</f>
        <v>0.00481673728513421</v>
      </c>
      <c r="L118" s="30" t="n">
        <f aca="false">Panel!E92-Panel!E91</f>
        <v>0.00604512419846426</v>
      </c>
      <c r="M118" s="29" t="n">
        <f aca="false">Panel!E91</f>
        <v>5.36784342919665</v>
      </c>
    </row>
    <row r="119" customFormat="false" ht="15" hidden="false" customHeight="false" outlineLevel="0" collapsed="false">
      <c r="C119" s="0" t="n">
        <f aca="false">Panel!D98-Panel!D97</f>
        <v>-0.000608679185001293</v>
      </c>
      <c r="D119" s="29" t="n">
        <f aca="false">Panel!D97</f>
        <v>9.90595949476791</v>
      </c>
      <c r="E119" s="30" t="n">
        <f aca="false">Panel!D97-Panel!D96</f>
        <v>0.00879187097659795</v>
      </c>
      <c r="F119" s="30" t="n">
        <f aca="false">Panel!D96-Panel!D95</f>
        <v>0.00539593474427136</v>
      </c>
      <c r="G119" s="30" t="n">
        <f aca="false">Panel!D95-Panel!D94</f>
        <v>0.00517600418112707</v>
      </c>
      <c r="H119" s="30" t="n">
        <f aca="false">Panel!D94-Panel!D93</f>
        <v>0.00074780050947254</v>
      </c>
      <c r="I119" s="30" t="n">
        <f aca="false">Panel!D93-Panel!D92</f>
        <v>0.0018311641665214</v>
      </c>
      <c r="L119" s="30" t="n">
        <f aca="false">Panel!E93-Panel!E92</f>
        <v>0.00138985428905425</v>
      </c>
      <c r="M119" s="29" t="n">
        <f aca="false">Panel!E92</f>
        <v>5.37388855339511</v>
      </c>
    </row>
    <row r="120" customFormat="false" ht="15" hidden="false" customHeight="false" outlineLevel="0" collapsed="false">
      <c r="C120" s="0" t="n">
        <f aca="false">Panel!D99-Panel!D98</f>
        <v>0.00466289518128171</v>
      </c>
      <c r="D120" s="29" t="n">
        <f aca="false">Panel!D98</f>
        <v>9.90535081558291</v>
      </c>
      <c r="E120" s="30" t="n">
        <f aca="false">Panel!D98-Panel!D97</f>
        <v>-0.000608679185001293</v>
      </c>
      <c r="F120" s="30" t="n">
        <f aca="false">Panel!D97-Panel!D96</f>
        <v>0.00879187097659795</v>
      </c>
      <c r="G120" s="30" t="n">
        <f aca="false">Panel!D96-Panel!D95</f>
        <v>0.00539593474427136</v>
      </c>
      <c r="H120" s="30" t="n">
        <f aca="false">Panel!D95-Panel!D94</f>
        <v>0.00517600418112707</v>
      </c>
      <c r="I120" s="30" t="n">
        <f aca="false">Panel!D94-Panel!D93</f>
        <v>0.00074780050947254</v>
      </c>
      <c r="L120" s="30" t="n">
        <f aca="false">Panel!E94-Panel!E93</f>
        <v>0.0013879252748481</v>
      </c>
      <c r="M120" s="29" t="n">
        <f aca="false">Panel!E93</f>
        <v>5.37527840768417</v>
      </c>
    </row>
    <row r="121" customFormat="false" ht="15" hidden="false" customHeight="false" outlineLevel="0" collapsed="false">
      <c r="C121" s="0" t="n">
        <f aca="false">Panel!D100-Panel!D99</f>
        <v>0.00276058616367259</v>
      </c>
      <c r="D121" s="29" t="n">
        <f aca="false">Panel!D99</f>
        <v>9.91001371076419</v>
      </c>
      <c r="E121" s="30" t="n">
        <f aca="false">Panel!D99-Panel!D98</f>
        <v>0.00466289518128171</v>
      </c>
      <c r="F121" s="30" t="n">
        <f aca="false">Panel!D98-Panel!D97</f>
        <v>-0.000608679185001293</v>
      </c>
      <c r="G121" s="30" t="n">
        <f aca="false">Panel!D97-Panel!D96</f>
        <v>0.00879187097659795</v>
      </c>
      <c r="H121" s="30" t="n">
        <f aca="false">Panel!D96-Panel!D95</f>
        <v>0.00539593474427136</v>
      </c>
      <c r="I121" s="30" t="n">
        <f aca="false">Panel!D95-Panel!D94</f>
        <v>0.00517600418112707</v>
      </c>
      <c r="L121" s="30" t="n">
        <f aca="false">Panel!E95-Panel!E94</f>
        <v>0.00525661744381978</v>
      </c>
      <c r="M121" s="29" t="n">
        <f aca="false">Panel!E94</f>
        <v>5.37666633295901</v>
      </c>
    </row>
    <row r="122" customFormat="false" ht="15" hidden="false" customHeight="false" outlineLevel="0" collapsed="false">
      <c r="C122" s="0" t="n">
        <f aca="false">Panel!D101-Panel!D100</f>
        <v>0.00278015682640742</v>
      </c>
      <c r="D122" s="29" t="n">
        <f aca="false">Panel!D100</f>
        <v>9.91277429692786</v>
      </c>
      <c r="E122" s="30" t="n">
        <f aca="false">Panel!D100-Panel!D99</f>
        <v>0.00276058616367259</v>
      </c>
      <c r="F122" s="30" t="n">
        <f aca="false">Panel!D99-Panel!D98</f>
        <v>0.00466289518128171</v>
      </c>
      <c r="G122" s="30" t="n">
        <f aca="false">Panel!D98-Panel!D97</f>
        <v>-0.000608679185001293</v>
      </c>
      <c r="H122" s="30" t="n">
        <f aca="false">Panel!D97-Panel!D96</f>
        <v>0.00879187097659795</v>
      </c>
      <c r="I122" s="30" t="n">
        <f aca="false">Panel!D96-Panel!D95</f>
        <v>0.00539593474427136</v>
      </c>
      <c r="L122" s="30" t="n">
        <f aca="false">Panel!E96-Panel!E95</f>
        <v>0.0047715267626165</v>
      </c>
      <c r="M122" s="29" t="n">
        <f aca="false">Panel!E95</f>
        <v>5.38192295040283</v>
      </c>
    </row>
    <row r="123" customFormat="false" ht="15" hidden="false" customHeight="false" outlineLevel="0" collapsed="false">
      <c r="C123" s="0" t="n">
        <f aca="false">Panel!D102-Panel!D101</f>
        <v>-0.00360282280600899</v>
      </c>
      <c r="D123" s="29" t="n">
        <f aca="false">Panel!D101</f>
        <v>9.91555445375427</v>
      </c>
      <c r="E123" s="30" t="n">
        <f aca="false">Panel!D101-Panel!D100</f>
        <v>0.00278015682640742</v>
      </c>
      <c r="F123" s="30" t="n">
        <f aca="false">Panel!D100-Panel!D99</f>
        <v>0.00276058616367259</v>
      </c>
      <c r="G123" s="30" t="n">
        <f aca="false">Panel!D99-Panel!D98</f>
        <v>0.00466289518128171</v>
      </c>
      <c r="H123" s="30" t="n">
        <f aca="false">Panel!D98-Panel!D97</f>
        <v>-0.000608679185001293</v>
      </c>
      <c r="I123" s="30" t="n">
        <f aca="false">Panel!D97-Panel!D96</f>
        <v>0.00879187097659795</v>
      </c>
      <c r="L123" s="30" t="n">
        <f aca="false">Panel!E97-Panel!E96</f>
        <v>0.00874960011331005</v>
      </c>
      <c r="M123" s="29" t="n">
        <f aca="false">Panel!E96</f>
        <v>5.38669447716545</v>
      </c>
    </row>
    <row r="124" customFormat="false" ht="15" hidden="false" customHeight="false" outlineLevel="0" collapsed="false">
      <c r="C124" s="0" t="n">
        <f aca="false">Panel!D103-Panel!D102</f>
        <v>-0.00995018211743215</v>
      </c>
      <c r="D124" s="29" t="n">
        <f aca="false">Panel!D102</f>
        <v>9.91195163094826</v>
      </c>
      <c r="E124" s="30" t="n">
        <f aca="false">Panel!D102-Panel!D101</f>
        <v>-0.00360282280600899</v>
      </c>
      <c r="F124" s="30" t="n">
        <f aca="false">Panel!D101-Panel!D100</f>
        <v>0.00278015682640742</v>
      </c>
      <c r="G124" s="30" t="n">
        <f aca="false">Panel!D100-Panel!D99</f>
        <v>0.00276058616367259</v>
      </c>
      <c r="H124" s="30" t="n">
        <f aca="false">Panel!D99-Panel!D98</f>
        <v>0.00466289518128171</v>
      </c>
      <c r="I124" s="30" t="n">
        <f aca="false">Panel!D98-Panel!D97</f>
        <v>-0.000608679185001293</v>
      </c>
      <c r="L124" s="30" t="n">
        <f aca="false">Panel!E98-Panel!E97</f>
        <v>-0.00158928402165959</v>
      </c>
      <c r="M124" s="29" t="n">
        <f aca="false">Panel!E97</f>
        <v>5.39544407727876</v>
      </c>
    </row>
    <row r="125" customFormat="false" ht="15" hidden="false" customHeight="false" outlineLevel="0" collapsed="false">
      <c r="C125" s="0" t="n">
        <f aca="false">Panel!D104-Panel!D103</f>
        <v>-0.0102803503016187</v>
      </c>
      <c r="D125" s="29" t="n">
        <f aca="false">Panel!D103</f>
        <v>9.90200144883083</v>
      </c>
      <c r="E125" s="30" t="n">
        <f aca="false">Panel!D103-Panel!D102</f>
        <v>-0.00995018211743215</v>
      </c>
      <c r="F125" s="30" t="n">
        <f aca="false">Panel!D102-Panel!D101</f>
        <v>-0.00360282280600899</v>
      </c>
      <c r="G125" s="30" t="n">
        <f aca="false">Panel!D101-Panel!D100</f>
        <v>0.00278015682640742</v>
      </c>
      <c r="H125" s="30" t="n">
        <f aca="false">Panel!D100-Panel!D99</f>
        <v>0.00276058616367259</v>
      </c>
      <c r="I125" s="30" t="n">
        <f aca="false">Panel!D99-Panel!D98</f>
        <v>0.00466289518128171</v>
      </c>
      <c r="L125" s="30" t="n">
        <f aca="false">Panel!E99-Panel!E98</f>
        <v>0.0065226484820835</v>
      </c>
      <c r="M125" s="29" t="n">
        <f aca="false">Panel!E98</f>
        <v>5.3938547932571</v>
      </c>
    </row>
    <row r="126" customFormat="false" ht="15" hidden="false" customHeight="false" outlineLevel="0" collapsed="false">
      <c r="C126" s="0" t="n">
        <f aca="false">Panel!D105-Panel!D104</f>
        <v>-0.00280418404605953</v>
      </c>
      <c r="D126" s="29" t="n">
        <f aca="false">Panel!D104</f>
        <v>9.89172109852921</v>
      </c>
      <c r="E126" s="30" t="n">
        <f aca="false">Panel!D104-Panel!D103</f>
        <v>-0.0102803503016187</v>
      </c>
      <c r="F126" s="30" t="n">
        <f aca="false">Panel!D103-Panel!D102</f>
        <v>-0.00995018211743215</v>
      </c>
      <c r="G126" s="30" t="n">
        <f aca="false">Panel!D102-Panel!D101</f>
        <v>-0.00360282280600899</v>
      </c>
      <c r="H126" s="30" t="n">
        <f aca="false">Panel!D101-Panel!D100</f>
        <v>0.00278015682640742</v>
      </c>
      <c r="I126" s="30" t="n">
        <f aca="false">Panel!D100-Panel!D99</f>
        <v>0.00276058616367259</v>
      </c>
      <c r="L126" s="30" t="n">
        <f aca="false">Panel!E100-Panel!E99</f>
        <v>0.00018057875540034</v>
      </c>
      <c r="M126" s="29" t="n">
        <f aca="false">Panel!E99</f>
        <v>5.40037744173918</v>
      </c>
    </row>
    <row r="127" customFormat="false" ht="15" hidden="false" customHeight="false" outlineLevel="0" collapsed="false">
      <c r="C127" s="0" t="n">
        <f aca="false">Panel!D106-Panel!D105</f>
        <v>-0.000542999757067619</v>
      </c>
      <c r="D127" s="29" t="n">
        <f aca="false">Panel!D105</f>
        <v>9.88891691448315</v>
      </c>
      <c r="E127" s="30" t="n">
        <f aca="false">Panel!D105-Panel!D104</f>
        <v>-0.00280418404605953</v>
      </c>
      <c r="F127" s="30" t="n">
        <f aca="false">Panel!D104-Panel!D103</f>
        <v>-0.0102803503016187</v>
      </c>
      <c r="G127" s="30" t="n">
        <f aca="false">Panel!D103-Panel!D102</f>
        <v>-0.00995018211743215</v>
      </c>
      <c r="H127" s="30" t="n">
        <f aca="false">Panel!D102-Panel!D101</f>
        <v>-0.00360282280600899</v>
      </c>
      <c r="I127" s="30" t="n">
        <f aca="false">Panel!D101-Panel!D100</f>
        <v>0.00278015682640742</v>
      </c>
      <c r="L127" s="30" t="n">
        <f aca="false">Panel!E101-Panel!E100</f>
        <v>0.00378464069675655</v>
      </c>
      <c r="M127" s="29" t="n">
        <f aca="false">Panel!E100</f>
        <v>5.40055802049458</v>
      </c>
    </row>
    <row r="128" customFormat="false" ht="15" hidden="false" customHeight="false" outlineLevel="0" collapsed="false">
      <c r="C128" s="0" t="n">
        <f aca="false">Panel!D107-Panel!D106</f>
        <v>-0.00172737938597756</v>
      </c>
      <c r="D128" s="29" t="n">
        <f aca="false">Panel!D106</f>
        <v>9.88837391472608</v>
      </c>
      <c r="E128" s="30" t="n">
        <f aca="false">Panel!D106-Panel!D105</f>
        <v>-0.000542999757067619</v>
      </c>
      <c r="F128" s="30" t="n">
        <f aca="false">Panel!D105-Panel!D104</f>
        <v>-0.00280418404605953</v>
      </c>
      <c r="G128" s="30" t="n">
        <f aca="false">Panel!D104-Panel!D103</f>
        <v>-0.0102803503016187</v>
      </c>
      <c r="H128" s="30" t="n">
        <f aca="false">Panel!D103-Panel!D102</f>
        <v>-0.00995018211743215</v>
      </c>
      <c r="I128" s="30" t="n">
        <f aca="false">Panel!D102-Panel!D101</f>
        <v>-0.00360282280600899</v>
      </c>
      <c r="L128" s="30" t="n">
        <f aca="false">Panel!E102-Panel!E101</f>
        <v>-0.00220596600430678</v>
      </c>
      <c r="M128" s="29" t="n">
        <f aca="false">Panel!E101</f>
        <v>5.40434266119134</v>
      </c>
    </row>
    <row r="129" customFormat="false" ht="15" hidden="false" customHeight="false" outlineLevel="0" collapsed="false">
      <c r="C129" s="0" t="n">
        <f aca="false">Panel!D108-Panel!D107</f>
        <v>0.00294237701793953</v>
      </c>
      <c r="D129" s="29" t="n">
        <f aca="false">Panel!D107</f>
        <v>9.8866465353401</v>
      </c>
      <c r="E129" s="30" t="n">
        <f aca="false">Panel!D107-Panel!D106</f>
        <v>-0.00172737938597756</v>
      </c>
      <c r="F129" s="30" t="n">
        <f aca="false">Panel!D106-Panel!D105</f>
        <v>-0.000542999757067619</v>
      </c>
      <c r="G129" s="30" t="n">
        <f aca="false">Panel!D105-Panel!D104</f>
        <v>-0.00280418404605953</v>
      </c>
      <c r="H129" s="30" t="n">
        <f aca="false">Panel!D104-Panel!D103</f>
        <v>-0.0102803503016187</v>
      </c>
      <c r="I129" s="30" t="n">
        <f aca="false">Panel!D103-Panel!D102</f>
        <v>-0.00995018211743215</v>
      </c>
      <c r="L129" s="30" t="n">
        <f aca="false">Panel!E103-Panel!E102</f>
        <v>-0.0095551502489144</v>
      </c>
      <c r="M129" s="29" t="n">
        <f aca="false">Panel!E102</f>
        <v>5.40213669518703</v>
      </c>
    </row>
    <row r="130" customFormat="false" ht="15" hidden="false" customHeight="false" outlineLevel="0" collapsed="false">
      <c r="C130" s="0" t="n">
        <f aca="false">Panel!D109-Panel!D108</f>
        <v>-0.0101379376501551</v>
      </c>
      <c r="D130" s="29" t="n">
        <f aca="false">Panel!D108</f>
        <v>9.88958891235804</v>
      </c>
      <c r="E130" s="30" t="n">
        <f aca="false">Panel!D108-Panel!D107</f>
        <v>0.00294237701793953</v>
      </c>
      <c r="F130" s="30" t="n">
        <f aca="false">Panel!D107-Panel!D106</f>
        <v>-0.00172737938597756</v>
      </c>
      <c r="G130" s="30" t="n">
        <f aca="false">Panel!D106-Panel!D105</f>
        <v>-0.000542999757067619</v>
      </c>
      <c r="H130" s="30" t="n">
        <f aca="false">Panel!D105-Panel!D104</f>
        <v>-0.00280418404605953</v>
      </c>
      <c r="I130" s="30" t="n">
        <f aca="false">Panel!D104-Panel!D103</f>
        <v>-0.0102803503016187</v>
      </c>
      <c r="L130" s="30" t="n">
        <f aca="false">Panel!E104-Panel!E103</f>
        <v>-0.00992302995633221</v>
      </c>
      <c r="M130" s="29" t="n">
        <f aca="false">Panel!E103</f>
        <v>5.39258154493812</v>
      </c>
    </row>
    <row r="131" customFormat="false" ht="15" hidden="false" customHeight="false" outlineLevel="0" collapsed="false">
      <c r="C131" s="0" t="n">
        <f aca="false">Panel!D110-Panel!D109</f>
        <v>0.00963334751749834</v>
      </c>
      <c r="D131" s="29" t="n">
        <f aca="false">Panel!D109</f>
        <v>9.87945097470789</v>
      </c>
      <c r="E131" s="30" t="n">
        <f aca="false">Panel!D109-Panel!D108</f>
        <v>-0.0101379376501551</v>
      </c>
      <c r="F131" s="30" t="n">
        <f aca="false">Panel!D108-Panel!D107</f>
        <v>0.00294237701793953</v>
      </c>
      <c r="G131" s="30" t="n">
        <f aca="false">Panel!D107-Panel!D106</f>
        <v>-0.00172737938597756</v>
      </c>
      <c r="H131" s="30" t="n">
        <f aca="false">Panel!D106-Panel!D105</f>
        <v>-0.000542999757067619</v>
      </c>
      <c r="I131" s="30" t="n">
        <f aca="false">Panel!D105-Panel!D104</f>
        <v>-0.00280418404605953</v>
      </c>
      <c r="L131" s="30" t="n">
        <f aca="false">Panel!E105-Panel!E104</f>
        <v>-0.00276116144132743</v>
      </c>
      <c r="M131" s="29" t="n">
        <f aca="false">Panel!E104</f>
        <v>5.38265851498179</v>
      </c>
    </row>
    <row r="132" customFormat="false" ht="15" hidden="false" customHeight="false" outlineLevel="0" collapsed="false">
      <c r="C132" s="0" t="n">
        <f aca="false">Panel!D111-Panel!D110</f>
        <v>-0.00774013437494681</v>
      </c>
      <c r="D132" s="29" t="n">
        <f aca="false">Panel!D110</f>
        <v>9.88908432222539</v>
      </c>
      <c r="E132" s="30" t="n">
        <f aca="false">Panel!D110-Panel!D109</f>
        <v>0.00963334751749834</v>
      </c>
      <c r="F132" s="30" t="n">
        <f aca="false">Panel!D109-Panel!D108</f>
        <v>-0.0101379376501551</v>
      </c>
      <c r="G132" s="30" t="n">
        <f aca="false">Panel!D108-Panel!D107</f>
        <v>0.00294237701793953</v>
      </c>
      <c r="H132" s="30" t="n">
        <f aca="false">Panel!D107-Panel!D106</f>
        <v>-0.00172737938597756</v>
      </c>
      <c r="I132" s="30" t="n">
        <f aca="false">Panel!D106-Panel!D105</f>
        <v>-0.000542999757067619</v>
      </c>
      <c r="L132" s="30" t="n">
        <f aca="false">Panel!E106-Panel!E105</f>
        <v>-0.00069148325908408</v>
      </c>
      <c r="M132" s="29" t="n">
        <f aca="false">Panel!E105</f>
        <v>5.37989735354046</v>
      </c>
    </row>
    <row r="133" customFormat="false" ht="15" hidden="false" customHeight="false" outlineLevel="0" collapsed="false">
      <c r="C133" s="0" t="n">
        <f aca="false">Panel!D112-Panel!D111</f>
        <v>-0.00429815134514122</v>
      </c>
      <c r="D133" s="29" t="n">
        <f aca="false">Panel!D111</f>
        <v>9.88134418785044</v>
      </c>
      <c r="E133" s="30" t="n">
        <f aca="false">Panel!D111-Panel!D110</f>
        <v>-0.00774013437494681</v>
      </c>
      <c r="F133" s="30" t="n">
        <f aca="false">Panel!D110-Panel!D109</f>
        <v>0.00963334751749834</v>
      </c>
      <c r="G133" s="30" t="n">
        <f aca="false">Panel!D109-Panel!D108</f>
        <v>-0.0101379376501551</v>
      </c>
      <c r="H133" s="30" t="n">
        <f aca="false">Panel!D108-Panel!D107</f>
        <v>0.00294237701793953</v>
      </c>
      <c r="I133" s="30" t="n">
        <f aca="false">Panel!D107-Panel!D106</f>
        <v>-0.00172737938597756</v>
      </c>
      <c r="L133" s="30" t="n">
        <f aca="false">Panel!E107-Panel!E106</f>
        <v>-0.000738109550510124</v>
      </c>
      <c r="M133" s="29" t="n">
        <f aca="false">Panel!E106</f>
        <v>5.37920587028138</v>
      </c>
    </row>
    <row r="134" customFormat="false" ht="15" hidden="false" customHeight="false" outlineLevel="0" collapsed="false">
      <c r="C134" s="0" t="n">
        <f aca="false">Panel!D113-Panel!D112</f>
        <v>0.00445149813921653</v>
      </c>
      <c r="D134" s="29" t="n">
        <f aca="false">Panel!D112</f>
        <v>9.8770460365053</v>
      </c>
      <c r="E134" s="30" t="n">
        <f aca="false">Panel!D112-Panel!D111</f>
        <v>-0.00429815134514122</v>
      </c>
      <c r="F134" s="30" t="n">
        <f aca="false">Panel!D111-Panel!D110</f>
        <v>-0.00774013437494681</v>
      </c>
      <c r="G134" s="30" t="n">
        <f aca="false">Panel!D110-Panel!D109</f>
        <v>0.00963334751749834</v>
      </c>
      <c r="H134" s="30" t="n">
        <f aca="false">Panel!D109-Panel!D108</f>
        <v>-0.0101379376501551</v>
      </c>
      <c r="I134" s="30" t="n">
        <f aca="false">Panel!D108-Panel!D107</f>
        <v>0.00294237701793953</v>
      </c>
      <c r="L134" s="30" t="n">
        <f aca="false">Panel!E108-Panel!E107</f>
        <v>0.00419075425092164</v>
      </c>
      <c r="M134" s="29" t="n">
        <f aca="false">Panel!E107</f>
        <v>5.37846776073087</v>
      </c>
    </row>
    <row r="135" customFormat="false" ht="15" hidden="false" customHeight="false" outlineLevel="0" collapsed="false">
      <c r="C135" s="0" t="n">
        <f aca="false">Panel!D114-Panel!D113</f>
        <v>0.00620102517721932</v>
      </c>
      <c r="D135" s="29" t="n">
        <f aca="false">Panel!D113</f>
        <v>9.88149753464451</v>
      </c>
      <c r="E135" s="30" t="n">
        <f aca="false">Panel!D113-Panel!D112</f>
        <v>0.00445149813921653</v>
      </c>
      <c r="F135" s="30" t="n">
        <f aca="false">Panel!D112-Panel!D111</f>
        <v>-0.00429815134514122</v>
      </c>
      <c r="G135" s="30" t="n">
        <f aca="false">Panel!D111-Panel!D110</f>
        <v>-0.00774013437494681</v>
      </c>
      <c r="H135" s="30" t="n">
        <f aca="false">Panel!D110-Panel!D109</f>
        <v>0.00963334751749834</v>
      </c>
      <c r="I135" s="30" t="n">
        <f aca="false">Panel!D109-Panel!D108</f>
        <v>-0.0101379376501551</v>
      </c>
      <c r="L135" s="30" t="n">
        <f aca="false">Panel!E109-Panel!E108</f>
        <v>-0.00673216910676722</v>
      </c>
      <c r="M135" s="29" t="n">
        <f aca="false">Panel!E108</f>
        <v>5.38265851498179</v>
      </c>
    </row>
    <row r="136" customFormat="false" ht="15" hidden="false" customHeight="false" outlineLevel="0" collapsed="false">
      <c r="C136" s="0" t="n">
        <f aca="false">Panel!D115-Panel!D114</f>
        <v>-0.00824502429766305</v>
      </c>
      <c r="D136" s="29" t="n">
        <f aca="false">Panel!D114</f>
        <v>9.88769855982173</v>
      </c>
      <c r="E136" s="30" t="n">
        <f aca="false">Panel!D114-Panel!D113</f>
        <v>0.00620102517721932</v>
      </c>
      <c r="F136" s="30" t="n">
        <f aca="false">Panel!D113-Panel!D112</f>
        <v>0.00445149813921653</v>
      </c>
      <c r="G136" s="30" t="n">
        <f aca="false">Panel!D112-Panel!D111</f>
        <v>-0.00429815134514122</v>
      </c>
      <c r="H136" s="30" t="n">
        <f aca="false">Panel!D111-Panel!D110</f>
        <v>-0.00774013437494681</v>
      </c>
      <c r="I136" s="30" t="n">
        <f aca="false">Panel!D110-Panel!D109</f>
        <v>0.00963334751749834</v>
      </c>
      <c r="L136" s="30" t="n">
        <f aca="false">Panel!E110-Panel!E109</f>
        <v>0.00581262881208922</v>
      </c>
      <c r="M136" s="29" t="n">
        <f aca="false">Panel!E109</f>
        <v>5.37592634587502</v>
      </c>
    </row>
    <row r="137" customFormat="false" ht="15" hidden="false" customHeight="false" outlineLevel="0" collapsed="false">
      <c r="C137" s="0" t="n">
        <f aca="false">Panel!D116-Panel!D115</f>
        <v>0.0112172318011865</v>
      </c>
      <c r="D137" s="29" t="n">
        <f aca="false">Panel!D115</f>
        <v>9.87945353552407</v>
      </c>
      <c r="E137" s="30" t="n">
        <f aca="false">Panel!D115-Panel!D114</f>
        <v>-0.00824502429766305</v>
      </c>
      <c r="F137" s="30" t="n">
        <f aca="false">Panel!D114-Panel!D113</f>
        <v>0.00620102517721932</v>
      </c>
      <c r="G137" s="30" t="n">
        <f aca="false">Panel!D113-Panel!D112</f>
        <v>0.00445149813921653</v>
      </c>
      <c r="H137" s="30" t="n">
        <f aca="false">Panel!D112-Panel!D111</f>
        <v>-0.00429815134514122</v>
      </c>
      <c r="I137" s="30" t="n">
        <f aca="false">Panel!D111-Panel!D110</f>
        <v>-0.00774013437494681</v>
      </c>
      <c r="L137" s="30" t="n">
        <f aca="false">Panel!E111-Panel!E110</f>
        <v>-0.00808225159325726</v>
      </c>
      <c r="M137" s="29" t="n">
        <f aca="false">Panel!E110</f>
        <v>5.38173897468711</v>
      </c>
    </row>
    <row r="138" customFormat="false" ht="15" hidden="false" customHeight="false" outlineLevel="0" collapsed="false">
      <c r="C138" s="0" t="n">
        <f aca="false">Panel!D117-Panel!D116</f>
        <v>0.00525577266199306</v>
      </c>
      <c r="D138" s="29" t="n">
        <f aca="false">Panel!D116</f>
        <v>9.89067076732526</v>
      </c>
      <c r="E138" s="30" t="n">
        <f aca="false">Panel!D116-Panel!D115</f>
        <v>0.0112172318011865</v>
      </c>
      <c r="F138" s="30" t="n">
        <f aca="false">Panel!D115-Panel!D114</f>
        <v>-0.00824502429766305</v>
      </c>
      <c r="G138" s="30" t="n">
        <f aca="false">Panel!D114-Panel!D113</f>
        <v>0.00620102517721932</v>
      </c>
      <c r="H138" s="30" t="n">
        <f aca="false">Panel!D113-Panel!D112</f>
        <v>0.00445149813921653</v>
      </c>
      <c r="I138" s="30" t="n">
        <f aca="false">Panel!D112-Panel!D111</f>
        <v>-0.00429815134514122</v>
      </c>
      <c r="L138" s="30" t="n">
        <f aca="false">Panel!E112-Panel!E111</f>
        <v>-0.00534698472578032</v>
      </c>
      <c r="M138" s="29" t="n">
        <f aca="false">Panel!E111</f>
        <v>5.37365672309385</v>
      </c>
    </row>
    <row r="139" customFormat="false" ht="15" hidden="false" customHeight="false" outlineLevel="0" collapsed="false">
      <c r="C139" s="0" t="n">
        <f aca="false">Panel!D118-Panel!D117</f>
        <v>-0.000219174770082375</v>
      </c>
      <c r="D139" s="29" t="n">
        <f aca="false">Panel!D117</f>
        <v>9.89592653998725</v>
      </c>
      <c r="E139" s="30" t="n">
        <f aca="false">Panel!D117-Panel!D116</f>
        <v>0.00525577266199306</v>
      </c>
      <c r="F139" s="30" t="n">
        <f aca="false">Panel!D116-Panel!D115</f>
        <v>0.0112172318011865</v>
      </c>
      <c r="G139" s="30" t="n">
        <f aca="false">Panel!D115-Panel!D114</f>
        <v>-0.00824502429766305</v>
      </c>
      <c r="H139" s="30" t="n">
        <f aca="false">Panel!D114-Panel!D113</f>
        <v>0.00620102517721932</v>
      </c>
      <c r="I139" s="30" t="n">
        <f aca="false">Panel!D113-Panel!D112</f>
        <v>0.00445149813921653</v>
      </c>
      <c r="L139" s="30" t="n">
        <f aca="false">Panel!E113-Panel!E112</f>
        <v>0.00441912569377578</v>
      </c>
      <c r="M139" s="29" t="n">
        <f aca="false">Panel!E112</f>
        <v>5.36830973836807</v>
      </c>
    </row>
    <row r="140" customFormat="false" ht="15" hidden="false" customHeight="false" outlineLevel="0" collapsed="false">
      <c r="C140" s="0" t="n">
        <f aca="false">Panel!D119-Panel!D118</f>
        <v>-0.00572560670909716</v>
      </c>
      <c r="D140" s="29" t="n">
        <f aca="false">Panel!D118</f>
        <v>9.89570736521717</v>
      </c>
      <c r="E140" s="30" t="n">
        <f aca="false">Panel!D118-Panel!D117</f>
        <v>-0.000219174770082375</v>
      </c>
      <c r="F140" s="30" t="n">
        <f aca="false">Panel!D117-Panel!D116</f>
        <v>0.00525577266199306</v>
      </c>
      <c r="G140" s="30" t="n">
        <f aca="false">Panel!D116-Panel!D115</f>
        <v>0.0112172318011865</v>
      </c>
      <c r="H140" s="30" t="n">
        <f aca="false">Panel!D115-Panel!D114</f>
        <v>-0.00824502429766305</v>
      </c>
      <c r="I140" s="30" t="n">
        <f aca="false">Panel!D114-Panel!D113</f>
        <v>0.00620102517721932</v>
      </c>
      <c r="L140" s="30" t="n">
        <f aca="false">Panel!E114-Panel!E113</f>
        <v>0.00716848947861237</v>
      </c>
      <c r="M140" s="29" t="n">
        <f aca="false">Panel!E113</f>
        <v>5.37272886406185</v>
      </c>
    </row>
    <row r="141" customFormat="false" ht="15" hidden="false" customHeight="false" outlineLevel="0" collapsed="false">
      <c r="C141" s="0" t="n">
        <f aca="false">Panel!D120-Panel!D119</f>
        <v>5.82801527109211E-005</v>
      </c>
      <c r="D141" s="29" t="n">
        <f aca="false">Panel!D119</f>
        <v>9.88998175850807</v>
      </c>
      <c r="E141" s="30" t="n">
        <f aca="false">Panel!D119-Panel!D118</f>
        <v>-0.00572560670909716</v>
      </c>
      <c r="F141" s="30" t="n">
        <f aca="false">Panel!D118-Panel!D117</f>
        <v>-0.000219174770082375</v>
      </c>
      <c r="G141" s="30" t="n">
        <f aca="false">Panel!D117-Panel!D116</f>
        <v>0.00525577266199306</v>
      </c>
      <c r="H141" s="30" t="n">
        <f aca="false">Panel!D116-Panel!D115</f>
        <v>0.0112172318011865</v>
      </c>
      <c r="I141" s="30" t="n">
        <f aca="false">Panel!D115-Panel!D114</f>
        <v>-0.00824502429766305</v>
      </c>
      <c r="L141" s="30" t="n">
        <f aca="false">Panel!E115-Panel!E114</f>
        <v>-0.00716848947861237</v>
      </c>
      <c r="M141" s="29" t="n">
        <f aca="false">Panel!E114</f>
        <v>5.37989735354046</v>
      </c>
    </row>
    <row r="142" customFormat="false" ht="15" hidden="false" customHeight="false" outlineLevel="0" collapsed="false">
      <c r="C142" s="0" t="n">
        <f aca="false">Panel!D121-Panel!D120</f>
        <v>0.00371783367703316</v>
      </c>
      <c r="D142" s="29" t="n">
        <f aca="false">Panel!D120</f>
        <v>9.89004003866078</v>
      </c>
      <c r="E142" s="30" t="n">
        <f aca="false">Panel!D120-Panel!D119</f>
        <v>5.82801527109211E-005</v>
      </c>
      <c r="F142" s="30" t="n">
        <f aca="false">Panel!D119-Panel!D118</f>
        <v>-0.00572560670909716</v>
      </c>
      <c r="G142" s="30" t="n">
        <f aca="false">Panel!D118-Panel!D117</f>
        <v>-0.000219174770082375</v>
      </c>
      <c r="H142" s="30" t="n">
        <f aca="false">Panel!D117-Panel!D116</f>
        <v>0.00525577266199306</v>
      </c>
      <c r="I142" s="30" t="n">
        <f aca="false">Panel!D116-Panel!D115</f>
        <v>0.0112172318011865</v>
      </c>
      <c r="L142" s="30" t="n">
        <f aca="false">Panel!E116-Panel!E115</f>
        <v>0.00855002320053622</v>
      </c>
      <c r="M142" s="29" t="n">
        <f aca="false">Panel!E115</f>
        <v>5.37272886406185</v>
      </c>
    </row>
    <row r="143" customFormat="false" ht="15" hidden="false" customHeight="false" outlineLevel="0" collapsed="false">
      <c r="C143" s="0" t="n">
        <f aca="false">Panel!D122-Panel!D121</f>
        <v>-0.00710879454187818</v>
      </c>
      <c r="D143" s="29" t="n">
        <f aca="false">Panel!D121</f>
        <v>9.89375787233781</v>
      </c>
      <c r="E143" s="30" t="n">
        <f aca="false">Panel!D121-Panel!D120</f>
        <v>0.00371783367703316</v>
      </c>
      <c r="F143" s="30" t="n">
        <f aca="false">Panel!D120-Panel!D119</f>
        <v>5.82801527109211E-005</v>
      </c>
      <c r="G143" s="30" t="n">
        <f aca="false">Panel!D119-Panel!D118</f>
        <v>-0.00572560670909716</v>
      </c>
      <c r="H143" s="30" t="n">
        <f aca="false">Panel!D118-Panel!D117</f>
        <v>-0.000219174770082375</v>
      </c>
      <c r="I143" s="30" t="n">
        <f aca="false">Panel!D117-Panel!D116</f>
        <v>0.00525577266199306</v>
      </c>
      <c r="L143" s="30" t="n">
        <f aca="false">Panel!E117-Panel!E116</f>
        <v>0.00619339059654589</v>
      </c>
      <c r="M143" s="29" t="n">
        <f aca="false">Panel!E116</f>
        <v>5.38127888726238</v>
      </c>
    </row>
    <row r="144" customFormat="false" ht="15" hidden="false" customHeight="false" outlineLevel="0" collapsed="false">
      <c r="C144" s="0" t="n">
        <f aca="false">Panel!D123-Panel!D122</f>
        <v>-0.00230357078817356</v>
      </c>
      <c r="D144" s="29" t="n">
        <f aca="false">Panel!D122</f>
        <v>9.88664907779594</v>
      </c>
      <c r="E144" s="30" t="n">
        <f aca="false">Panel!D122-Panel!D121</f>
        <v>-0.00710879454187818</v>
      </c>
      <c r="F144" s="30" t="n">
        <f aca="false">Panel!D121-Panel!D120</f>
        <v>0.00371783367703316</v>
      </c>
      <c r="G144" s="30" t="n">
        <f aca="false">Panel!D120-Panel!D119</f>
        <v>5.82801527109211E-005</v>
      </c>
      <c r="H144" s="30" t="n">
        <f aca="false">Panel!D119-Panel!D118</f>
        <v>-0.00572560670909716</v>
      </c>
      <c r="I144" s="30" t="n">
        <f aca="false">Panel!D118-Panel!D117</f>
        <v>-0.000219174770082375</v>
      </c>
      <c r="L144" s="30" t="n">
        <f aca="false">Panel!E118-Panel!E117</f>
        <v>-0.000686263323284919</v>
      </c>
      <c r="M144" s="29" t="n">
        <f aca="false">Panel!E117</f>
        <v>5.38747227785893</v>
      </c>
    </row>
    <row r="145" customFormat="false" ht="15" hidden="false" customHeight="false" outlineLevel="0" collapsed="false">
      <c r="C145" s="0" t="n">
        <f aca="false">Panel!D124-Panel!D123</f>
        <v>-0.00498160395221703</v>
      </c>
      <c r="D145" s="29" t="n">
        <f aca="false">Panel!D123</f>
        <v>9.88434550700776</v>
      </c>
      <c r="E145" s="30" t="n">
        <f aca="false">Panel!D123-Panel!D122</f>
        <v>-0.00230357078817356</v>
      </c>
      <c r="F145" s="30" t="n">
        <f aca="false">Panel!D122-Panel!D121</f>
        <v>-0.00710879454187818</v>
      </c>
      <c r="G145" s="30" t="n">
        <f aca="false">Panel!D121-Panel!D120</f>
        <v>0.00371783367703316</v>
      </c>
      <c r="H145" s="30" t="n">
        <f aca="false">Panel!D120-Panel!D119</f>
        <v>5.82801527109211E-005</v>
      </c>
      <c r="I145" s="30" t="n">
        <f aca="false">Panel!D119-Panel!D118</f>
        <v>-0.00572560670909716</v>
      </c>
      <c r="L145" s="30" t="n">
        <f aca="false">Panel!E119-Panel!E118</f>
        <v>-0.00229095174655569</v>
      </c>
      <c r="M145" s="29" t="n">
        <f aca="false">Panel!E118</f>
        <v>5.38678601453564</v>
      </c>
    </row>
    <row r="146" customFormat="false" ht="15" hidden="false" customHeight="false" outlineLevel="0" collapsed="false">
      <c r="C146" s="0" t="n">
        <f aca="false">Panel!D125-Panel!D124</f>
        <v>-0.0134276579062433</v>
      </c>
      <c r="D146" s="29" t="n">
        <f aca="false">Panel!D124</f>
        <v>9.87936390305555</v>
      </c>
      <c r="E146" s="30" t="n">
        <f aca="false">Panel!D124-Panel!D123</f>
        <v>-0.00498160395221703</v>
      </c>
      <c r="F146" s="30" t="n">
        <f aca="false">Panel!D123-Panel!D122</f>
        <v>-0.00230357078817356</v>
      </c>
      <c r="G146" s="30" t="n">
        <f aca="false">Panel!D122-Panel!D121</f>
        <v>-0.00710879454187818</v>
      </c>
      <c r="H146" s="30" t="n">
        <f aca="false">Panel!D121-Panel!D120</f>
        <v>0.00371783367703316</v>
      </c>
      <c r="I146" s="30" t="n">
        <f aca="false">Panel!D120-Panel!D119</f>
        <v>5.82801527109211E-005</v>
      </c>
      <c r="L146" s="30" t="n">
        <f aca="false">Panel!E120-Panel!E119</f>
        <v>-9.1747327923386E-005</v>
      </c>
      <c r="M146" s="29" t="n">
        <f aca="false">Panel!E119</f>
        <v>5.38449506278909</v>
      </c>
    </row>
    <row r="147" customFormat="false" ht="15" hidden="false" customHeight="false" outlineLevel="0" collapsed="false">
      <c r="C147" s="0" t="n">
        <f aca="false">Panel!D126-Panel!D125</f>
        <v>-0.00693363755271825</v>
      </c>
      <c r="D147" s="29" t="n">
        <f aca="false">Panel!D125</f>
        <v>9.8659362451493</v>
      </c>
      <c r="E147" s="30" t="n">
        <f aca="false">Panel!D125-Panel!D124</f>
        <v>-0.0134276579062433</v>
      </c>
      <c r="F147" s="30" t="n">
        <f aca="false">Panel!D124-Panel!D123</f>
        <v>-0.00498160395221703</v>
      </c>
      <c r="G147" s="30" t="n">
        <f aca="false">Panel!D123-Panel!D122</f>
        <v>-0.00230357078817356</v>
      </c>
      <c r="H147" s="30" t="n">
        <f aca="false">Panel!D122-Panel!D121</f>
        <v>-0.00710879454187818</v>
      </c>
      <c r="I147" s="30" t="n">
        <f aca="false">Panel!D121-Panel!D120</f>
        <v>0.00371783367703316</v>
      </c>
      <c r="L147" s="30" t="n">
        <f aca="false">Panel!E121-Panel!E120</f>
        <v>0.003068962397764</v>
      </c>
      <c r="M147" s="29" t="n">
        <f aca="false">Panel!E120</f>
        <v>5.38440331546117</v>
      </c>
    </row>
    <row r="148" customFormat="false" ht="15" hidden="false" customHeight="false" outlineLevel="0" collapsed="false">
      <c r="C148" s="0" t="n">
        <f aca="false">Panel!D127-Panel!D126</f>
        <v>-0.0142570750842186</v>
      </c>
      <c r="D148" s="29" t="n">
        <f aca="false">Panel!D126</f>
        <v>9.85900260759658</v>
      </c>
      <c r="E148" s="30" t="n">
        <f aca="false">Panel!D126-Panel!D125</f>
        <v>-0.00693363755271825</v>
      </c>
      <c r="F148" s="30" t="n">
        <f aca="false">Panel!D125-Panel!D124</f>
        <v>-0.0134276579062433</v>
      </c>
      <c r="G148" s="30" t="n">
        <f aca="false">Panel!D124-Panel!D123</f>
        <v>-0.00498160395221703</v>
      </c>
      <c r="H148" s="30" t="n">
        <f aca="false">Panel!D123-Panel!D122</f>
        <v>-0.00230357078817356</v>
      </c>
      <c r="I148" s="30" t="n">
        <f aca="false">Panel!D122-Panel!D121</f>
        <v>-0.00710879454187818</v>
      </c>
      <c r="L148" s="30" t="n">
        <f aca="false">Panel!E122-Panel!E121</f>
        <v>-0.00711420097468363</v>
      </c>
      <c r="M148" s="29" t="n">
        <f aca="false">Panel!E121</f>
        <v>5.38747227785893</v>
      </c>
    </row>
    <row r="149" customFormat="false" ht="15" hidden="false" customHeight="false" outlineLevel="0" collapsed="false">
      <c r="C149" s="0" t="n">
        <f aca="false">Panel!D128-Panel!D127</f>
        <v>0.015103562993934</v>
      </c>
      <c r="D149" s="29" t="n">
        <f aca="false">Panel!D127</f>
        <v>9.84474553251237</v>
      </c>
      <c r="E149" s="30" t="n">
        <f aca="false">Panel!D127-Panel!D126</f>
        <v>-0.0142570750842186</v>
      </c>
      <c r="F149" s="30" t="n">
        <f aca="false">Panel!D126-Panel!D125</f>
        <v>-0.00693363755271825</v>
      </c>
      <c r="G149" s="30" t="n">
        <f aca="false">Panel!D125-Panel!D124</f>
        <v>-0.0134276579062433</v>
      </c>
      <c r="H149" s="30" t="n">
        <f aca="false">Panel!D124-Panel!D123</f>
        <v>-0.00498160395221703</v>
      </c>
      <c r="I149" s="30" t="n">
        <f aca="false">Panel!D123-Panel!D122</f>
        <v>-0.00230357078817356</v>
      </c>
      <c r="L149" s="30" t="n">
        <f aca="false">Panel!E123-Panel!E122</f>
        <v>-0.00207492869832748</v>
      </c>
      <c r="M149" s="29" t="n">
        <f aca="false">Panel!E122</f>
        <v>5.38035807688425</v>
      </c>
    </row>
    <row r="150" customFormat="false" ht="15" hidden="false" customHeight="false" outlineLevel="0" collapsed="false">
      <c r="C150" s="0" t="n">
        <f aca="false">Panel!D129-Panel!D128</f>
        <v>0.00458572976612892</v>
      </c>
      <c r="D150" s="29" t="n">
        <f aca="false">Panel!D128</f>
        <v>9.8598490955063</v>
      </c>
      <c r="E150" s="30" t="n">
        <f aca="false">Panel!D128-Panel!D127</f>
        <v>0.015103562993934</v>
      </c>
      <c r="F150" s="30" t="n">
        <f aca="false">Panel!D127-Panel!D126</f>
        <v>-0.0142570750842186</v>
      </c>
      <c r="G150" s="30" t="n">
        <f aca="false">Panel!D126-Panel!D125</f>
        <v>-0.00693363755271825</v>
      </c>
      <c r="H150" s="30" t="n">
        <f aca="false">Panel!D125-Panel!D124</f>
        <v>-0.0134276579062433</v>
      </c>
      <c r="I150" s="30" t="n">
        <f aca="false">Panel!D124-Panel!D123</f>
        <v>-0.00498160395221703</v>
      </c>
      <c r="L150" s="30" t="n">
        <f aca="false">Panel!E124-Panel!E123</f>
        <v>-0.00295844527709743</v>
      </c>
      <c r="M150" s="29" t="n">
        <f aca="false">Panel!E123</f>
        <v>5.37828314818592</v>
      </c>
    </row>
    <row r="151" customFormat="false" ht="15" hidden="false" customHeight="false" outlineLevel="0" collapsed="false">
      <c r="C151" s="0" t="n">
        <f aca="false">Panel!D130-Panel!D129</f>
        <v>-0.00359384745777192</v>
      </c>
      <c r="D151" s="29" t="n">
        <f aca="false">Panel!D129</f>
        <v>9.86443482527243</v>
      </c>
      <c r="E151" s="30" t="n">
        <f aca="false">Panel!D129-Panel!D128</f>
        <v>0.00458572976612892</v>
      </c>
      <c r="F151" s="30" t="n">
        <f aca="false">Panel!D128-Panel!D127</f>
        <v>0.015103562993934</v>
      </c>
      <c r="G151" s="30" t="n">
        <f aca="false">Panel!D127-Panel!D126</f>
        <v>-0.0142570750842186</v>
      </c>
      <c r="H151" s="30" t="n">
        <f aca="false">Panel!D126-Panel!D125</f>
        <v>-0.00693363755271825</v>
      </c>
      <c r="I151" s="30" t="n">
        <f aca="false">Panel!D125-Panel!D124</f>
        <v>-0.0134276579062433</v>
      </c>
      <c r="L151" s="30" t="n">
        <f aca="false">Panel!E125-Panel!E124</f>
        <v>-0.00981608682046087</v>
      </c>
      <c r="M151" s="29" t="n">
        <f aca="false">Panel!E124</f>
        <v>5.37532470290882</v>
      </c>
    </row>
    <row r="152" customFormat="false" ht="15" hidden="false" customHeight="false" outlineLevel="0" collapsed="false">
      <c r="C152" s="0" t="n">
        <f aca="false">Panel!D131-Panel!D130</f>
        <v>-0.00575616450669436</v>
      </c>
      <c r="D152" s="29" t="n">
        <f aca="false">Panel!D130</f>
        <v>9.86084097781466</v>
      </c>
      <c r="E152" s="30" t="n">
        <f aca="false">Panel!D130-Panel!D129</f>
        <v>-0.00359384745777192</v>
      </c>
      <c r="F152" s="30" t="n">
        <f aca="false">Panel!D129-Panel!D128</f>
        <v>0.00458572976612892</v>
      </c>
      <c r="G152" s="30" t="n">
        <f aca="false">Panel!D128-Panel!D127</f>
        <v>0.015103562993934</v>
      </c>
      <c r="H152" s="30" t="n">
        <f aca="false">Panel!D127-Panel!D126</f>
        <v>-0.0142570750842186</v>
      </c>
      <c r="I152" s="30" t="n">
        <f aca="false">Panel!D126-Panel!D125</f>
        <v>-0.00693363755271825</v>
      </c>
      <c r="L152" s="30" t="n">
        <f aca="false">Panel!E126-Panel!E125</f>
        <v>-0.0101967380205155</v>
      </c>
      <c r="M152" s="29" t="n">
        <f aca="false">Panel!E125</f>
        <v>5.36550861608836</v>
      </c>
    </row>
    <row r="153" customFormat="false" ht="15" hidden="false" customHeight="false" outlineLevel="0" collapsed="false">
      <c r="C153" s="0" t="n">
        <f aca="false">Panel!D132-Panel!D131</f>
        <v>0.0100880155424576</v>
      </c>
      <c r="D153" s="29" t="n">
        <f aca="false">Panel!D131</f>
        <v>9.85508481330796</v>
      </c>
      <c r="E153" s="30" t="n">
        <f aca="false">Panel!D131-Panel!D130</f>
        <v>-0.00575616450669436</v>
      </c>
      <c r="F153" s="30" t="n">
        <f aca="false">Panel!D130-Panel!D129</f>
        <v>-0.00359384745777192</v>
      </c>
      <c r="G153" s="30" t="n">
        <f aca="false">Panel!D129-Panel!D128</f>
        <v>0.00458572976612892</v>
      </c>
      <c r="H153" s="30" t="n">
        <f aca="false">Panel!D128-Panel!D127</f>
        <v>0.015103562993934</v>
      </c>
      <c r="I153" s="30" t="n">
        <f aca="false">Panel!D127-Panel!D126</f>
        <v>-0.0142570750842186</v>
      </c>
      <c r="L153" s="30" t="n">
        <f aca="false">Panel!E127-Panel!E126</f>
        <v>-0.0139350220593606</v>
      </c>
      <c r="M153" s="29" t="n">
        <f aca="false">Panel!E126</f>
        <v>5.35531187806785</v>
      </c>
    </row>
    <row r="154" customFormat="false" ht="15" hidden="false" customHeight="false" outlineLevel="0" collapsed="false">
      <c r="C154" s="0" t="n">
        <f aca="false">Panel!D133-Panel!D132</f>
        <v>0.00268754604255861</v>
      </c>
      <c r="D154" s="29" t="n">
        <f aca="false">Panel!D132</f>
        <v>9.86517282885042</v>
      </c>
      <c r="E154" s="30" t="n">
        <f aca="false">Panel!D132-Panel!D131</f>
        <v>0.0100880155424576</v>
      </c>
      <c r="F154" s="30" t="n">
        <f aca="false">Panel!D131-Panel!D130</f>
        <v>-0.00575616450669436</v>
      </c>
      <c r="G154" s="30" t="n">
        <f aca="false">Panel!D130-Panel!D129</f>
        <v>-0.00359384745777192</v>
      </c>
      <c r="H154" s="30" t="n">
        <f aca="false">Panel!D129-Panel!D128</f>
        <v>0.00458572976612892</v>
      </c>
      <c r="I154" s="30" t="n">
        <f aca="false">Panel!D128-Panel!D127</f>
        <v>0.015103562993934</v>
      </c>
      <c r="L154" s="30" t="n">
        <f aca="false">Panel!E128-Panel!E127</f>
        <v>0.00948552120331936</v>
      </c>
      <c r="M154" s="29" t="n">
        <f aca="false">Panel!E127</f>
        <v>5.34137685600848</v>
      </c>
    </row>
    <row r="155" customFormat="false" ht="15" hidden="false" customHeight="false" outlineLevel="0" collapsed="false">
      <c r="C155" s="0" t="n">
        <f aca="false">Panel!D134-Panel!D133</f>
        <v>0.00948852003345557</v>
      </c>
      <c r="D155" s="29" t="n">
        <f aca="false">Panel!D133</f>
        <v>9.86786037489298</v>
      </c>
      <c r="E155" s="30" t="n">
        <f aca="false">Panel!D133-Panel!D132</f>
        <v>0.00268754604255861</v>
      </c>
      <c r="F155" s="30" t="n">
        <f aca="false">Panel!D132-Panel!D131</f>
        <v>0.0100880155424576</v>
      </c>
      <c r="G155" s="30" t="n">
        <f aca="false">Panel!D131-Panel!D130</f>
        <v>-0.00575616450669436</v>
      </c>
      <c r="H155" s="30" t="n">
        <f aca="false">Panel!D130-Panel!D129</f>
        <v>-0.00359384745777192</v>
      </c>
      <c r="I155" s="30" t="n">
        <f aca="false">Panel!D129-Panel!D128</f>
        <v>0.00458572976612892</v>
      </c>
      <c r="L155" s="30" t="n">
        <f aca="false">Panel!E129-Panel!E128</f>
        <v>0.00478005595550268</v>
      </c>
      <c r="M155" s="29" t="n">
        <f aca="false">Panel!E128</f>
        <v>5.3508623772118</v>
      </c>
    </row>
    <row r="156" customFormat="false" ht="15" hidden="false" customHeight="false" outlineLevel="0" collapsed="false">
      <c r="C156" s="0" t="n">
        <f aca="false">Panel!D135-Panel!D134</f>
        <v>-0.000102653595531521</v>
      </c>
      <c r="D156" s="29" t="n">
        <f aca="false">Panel!D134</f>
        <v>9.87734889492643</v>
      </c>
      <c r="E156" s="30" t="n">
        <f aca="false">Panel!D134-Panel!D133</f>
        <v>0.00948852003345557</v>
      </c>
      <c r="F156" s="30" t="n">
        <f aca="false">Panel!D133-Panel!D132</f>
        <v>0.00268754604255861</v>
      </c>
      <c r="G156" s="30" t="n">
        <f aca="false">Panel!D132-Panel!D131</f>
        <v>0.0100880155424576</v>
      </c>
      <c r="H156" s="30" t="n">
        <f aca="false">Panel!D131-Panel!D130</f>
        <v>-0.00575616450669436</v>
      </c>
      <c r="I156" s="30" t="n">
        <f aca="false">Panel!D130-Panel!D129</f>
        <v>-0.00359384745777192</v>
      </c>
      <c r="L156" s="30" t="n">
        <f aca="false">Panel!E130-Panel!E129</f>
        <v>-0.00331047831303088</v>
      </c>
      <c r="M156" s="29" t="n">
        <f aca="false">Panel!E129</f>
        <v>5.35564243316731</v>
      </c>
    </row>
    <row r="157" customFormat="false" ht="15" hidden="false" customHeight="false" outlineLevel="0" collapsed="false">
      <c r="C157" s="0" t="n">
        <f aca="false">Panel!D136-Panel!D135</f>
        <v>0.000256614233233421</v>
      </c>
      <c r="D157" s="29" t="n">
        <f aca="false">Panel!D135</f>
        <v>9.8772462413309</v>
      </c>
      <c r="E157" s="30" t="n">
        <f aca="false">Panel!D135-Panel!D134</f>
        <v>-0.000102653595531521</v>
      </c>
      <c r="F157" s="30" t="n">
        <f aca="false">Panel!D134-Panel!D133</f>
        <v>0.00948852003345557</v>
      </c>
      <c r="G157" s="30" t="n">
        <f aca="false">Panel!D133-Panel!D132</f>
        <v>0.00268754604255861</v>
      </c>
      <c r="H157" s="30" t="n">
        <f aca="false">Panel!D132-Panel!D131</f>
        <v>0.0100880155424576</v>
      </c>
      <c r="I157" s="30" t="n">
        <f aca="false">Panel!D131-Panel!D130</f>
        <v>-0.00575616450669436</v>
      </c>
      <c r="L157" s="30" t="n">
        <f aca="false">Panel!E131-Panel!E130</f>
        <v>-0.00498635723888441</v>
      </c>
      <c r="M157" s="29" t="n">
        <f aca="false">Panel!E130</f>
        <v>5.35233195485428</v>
      </c>
    </row>
    <row r="158" customFormat="false" ht="15" hidden="false" customHeight="false" outlineLevel="0" collapsed="false">
      <c r="C158" s="0" t="n">
        <f aca="false">Panel!D137-Panel!D136</f>
        <v>-0.000361845106015224</v>
      </c>
      <c r="D158" s="29" t="n">
        <f aca="false">Panel!D136</f>
        <v>9.87750285556414</v>
      </c>
      <c r="E158" s="30" t="n">
        <f aca="false">Panel!D136-Panel!D135</f>
        <v>0.000256614233233421</v>
      </c>
      <c r="F158" s="30" t="n">
        <f aca="false">Panel!D135-Panel!D134</f>
        <v>-0.000102653595531521</v>
      </c>
      <c r="G158" s="30" t="n">
        <f aca="false">Panel!D134-Panel!D133</f>
        <v>0.00948852003345557</v>
      </c>
      <c r="H158" s="30" t="n">
        <f aca="false">Panel!D133-Panel!D132</f>
        <v>0.00268754604255861</v>
      </c>
      <c r="I158" s="30" t="n">
        <f aca="false">Panel!D132-Panel!D131</f>
        <v>0.0100880155424576</v>
      </c>
      <c r="L158" s="30" t="n">
        <f aca="false">Panel!E132-Panel!E131</f>
        <v>0.00919350613277015</v>
      </c>
      <c r="M158" s="29" t="n">
        <f aca="false">Panel!E131</f>
        <v>5.34734559761539</v>
      </c>
    </row>
    <row r="159" customFormat="false" ht="15" hidden="false" customHeight="false" outlineLevel="0" collapsed="false">
      <c r="C159" s="0" t="n">
        <f aca="false">Panel!D138-Panel!D137</f>
        <v>0.00104411859076059</v>
      </c>
      <c r="D159" s="29" t="n">
        <f aca="false">Panel!D137</f>
        <v>9.87714101045812</v>
      </c>
      <c r="E159" s="30" t="n">
        <f aca="false">Panel!D137-Panel!D136</f>
        <v>-0.000361845106015224</v>
      </c>
      <c r="F159" s="30" t="n">
        <f aca="false">Panel!D136-Panel!D135</f>
        <v>0.000256614233233421</v>
      </c>
      <c r="G159" s="30" t="n">
        <f aca="false">Panel!D135-Panel!D134</f>
        <v>-0.000102653595531521</v>
      </c>
      <c r="H159" s="30" t="n">
        <f aca="false">Panel!D134-Panel!D133</f>
        <v>0.00948852003345557</v>
      </c>
      <c r="I159" s="30" t="n">
        <f aca="false">Panel!D133-Panel!D132</f>
        <v>0.00268754604255861</v>
      </c>
      <c r="L159" s="30" t="n">
        <f aca="false">Panel!E133-Panel!E132</f>
        <v>0.00310851795148182</v>
      </c>
      <c r="M159" s="29" t="n">
        <f aca="false">Panel!E132</f>
        <v>5.35653910374816</v>
      </c>
    </row>
    <row r="160" customFormat="false" ht="15" hidden="false" customHeight="false" outlineLevel="0" collapsed="false">
      <c r="C160" s="0" t="n">
        <f aca="false">Panel!D139-Panel!D138</f>
        <v>-0.000630958539256099</v>
      </c>
      <c r="D160" s="29" t="n">
        <f aca="false">Panel!D138</f>
        <v>9.87818512904888</v>
      </c>
      <c r="E160" s="30" t="n">
        <f aca="false">Panel!D138-Panel!D137</f>
        <v>0.00104411859076059</v>
      </c>
      <c r="F160" s="30" t="n">
        <f aca="false">Panel!D137-Panel!D136</f>
        <v>-0.000361845106015224</v>
      </c>
      <c r="G160" s="30" t="n">
        <f aca="false">Panel!D136-Panel!D135</f>
        <v>0.000256614233233421</v>
      </c>
      <c r="H160" s="30" t="n">
        <f aca="false">Panel!D135-Panel!D134</f>
        <v>-0.000102653595531521</v>
      </c>
      <c r="I160" s="30" t="n">
        <f aca="false">Panel!D134-Panel!D133</f>
        <v>0.00948852003345557</v>
      </c>
      <c r="L160" s="30" t="n">
        <f aca="false">Panel!E134-Panel!E133</f>
        <v>0.00912820849695528</v>
      </c>
      <c r="M160" s="29" t="n">
        <f aca="false">Panel!E133</f>
        <v>5.35964762169964</v>
      </c>
    </row>
    <row r="161" customFormat="false" ht="15" hidden="false" customHeight="false" outlineLevel="0" collapsed="false">
      <c r="C161" s="0" t="n">
        <f aca="false">Panel!D140-Panel!D139</f>
        <v>0.011991646103608</v>
      </c>
      <c r="D161" s="29" t="n">
        <f aca="false">Panel!D139</f>
        <v>9.87755417050962</v>
      </c>
      <c r="E161" s="30" t="n">
        <f aca="false">Panel!D139-Panel!D138</f>
        <v>-0.000630958539256099</v>
      </c>
      <c r="F161" s="30" t="n">
        <f aca="false">Panel!D138-Panel!D137</f>
        <v>0.00104411859076059</v>
      </c>
      <c r="G161" s="30" t="n">
        <f aca="false">Panel!D137-Panel!D136</f>
        <v>-0.000361845106015224</v>
      </c>
      <c r="H161" s="30" t="n">
        <f aca="false">Panel!D136-Panel!D135</f>
        <v>0.000256614233233421</v>
      </c>
      <c r="I161" s="30" t="n">
        <f aca="false">Panel!D135-Panel!D134</f>
        <v>-0.000102653595531521</v>
      </c>
      <c r="L161" s="30" t="n">
        <f aca="false">Panel!E135-Panel!E134</f>
        <v>0</v>
      </c>
      <c r="M161" s="29" t="n">
        <f aca="false">Panel!E134</f>
        <v>5.3687758301966</v>
      </c>
    </row>
    <row r="162" customFormat="false" ht="15" hidden="false" customHeight="false" outlineLevel="0" collapsed="false">
      <c r="C162" s="0" t="n">
        <f aca="false">Panel!D141-Panel!D140</f>
        <v>0.00545583227259705</v>
      </c>
      <c r="D162" s="29" t="n">
        <f aca="false">Panel!D140</f>
        <v>9.88954581661323</v>
      </c>
      <c r="E162" s="30" t="n">
        <f aca="false">Panel!D140-Panel!D139</f>
        <v>0.011991646103608</v>
      </c>
      <c r="F162" s="30" t="n">
        <f aca="false">Panel!D139-Panel!D138</f>
        <v>-0.000630958539256099</v>
      </c>
      <c r="G162" s="30" t="n">
        <f aca="false">Panel!D138-Panel!D137</f>
        <v>0.00104411859076059</v>
      </c>
      <c r="H162" s="30" t="n">
        <f aca="false">Panel!D137-Panel!D136</f>
        <v>-0.000361845106015224</v>
      </c>
      <c r="I162" s="30" t="n">
        <f aca="false">Panel!D136-Panel!D135</f>
        <v>0.000256614233233421</v>
      </c>
      <c r="L162" s="30" t="n">
        <f aca="false">Panel!E136-Panel!E135</f>
        <v>0.0013969734518664</v>
      </c>
      <c r="M162" s="29" t="n">
        <f aca="false">Panel!E135</f>
        <v>5.3687758301966</v>
      </c>
    </row>
    <row r="163" customFormat="false" ht="15" hidden="false" customHeight="false" outlineLevel="0" collapsed="false">
      <c r="C163" s="0" t="n">
        <f aca="false">Panel!D142-Panel!D141</f>
        <v>-0.00166544740607577</v>
      </c>
      <c r="D163" s="29" t="n">
        <f aca="false">Panel!D141</f>
        <v>9.89500164888583</v>
      </c>
      <c r="E163" s="30" t="n">
        <f aca="false">Panel!D141-Panel!D140</f>
        <v>0.00545583227259705</v>
      </c>
      <c r="F163" s="30" t="n">
        <f aca="false">Panel!D140-Panel!D139</f>
        <v>0.011991646103608</v>
      </c>
      <c r="G163" s="30" t="n">
        <f aca="false">Panel!D139-Panel!D138</f>
        <v>-0.000630958539256099</v>
      </c>
      <c r="H163" s="30" t="n">
        <f aca="false">Panel!D138-Panel!D137</f>
        <v>0.00104411859076059</v>
      </c>
      <c r="I163" s="30" t="n">
        <f aca="false">Panel!D137-Panel!D136</f>
        <v>-0.000361845106015224</v>
      </c>
      <c r="L163" s="30" t="n">
        <f aca="false">Panel!E137-Panel!E136</f>
        <v>-0.00260926436361331</v>
      </c>
      <c r="M163" s="29" t="n">
        <f aca="false">Panel!E136</f>
        <v>5.37017280364846</v>
      </c>
    </row>
    <row r="164" customFormat="false" ht="15" hidden="false" customHeight="false" outlineLevel="0" collapsed="false">
      <c r="C164" s="0" t="n">
        <f aca="false">Panel!D143-Panel!D142</f>
        <v>-0.00235148466740398</v>
      </c>
      <c r="D164" s="29" t="n">
        <f aca="false">Panel!D142</f>
        <v>9.89333620147975</v>
      </c>
      <c r="E164" s="30" t="n">
        <f aca="false">Panel!D142-Panel!D141</f>
        <v>-0.00166544740607577</v>
      </c>
      <c r="F164" s="30" t="n">
        <f aca="false">Panel!D141-Panel!D140</f>
        <v>0.00545583227259705</v>
      </c>
      <c r="G164" s="30" t="n">
        <f aca="false">Panel!D140-Panel!D139</f>
        <v>0.011991646103608</v>
      </c>
      <c r="H164" s="30" t="n">
        <f aca="false">Panel!D139-Panel!D138</f>
        <v>-0.000630958539256099</v>
      </c>
      <c r="I164" s="30" t="n">
        <f aca="false">Panel!D138-Panel!D137</f>
        <v>0.00104411859076059</v>
      </c>
      <c r="L164" s="30" t="n">
        <f aca="false">Panel!E138-Panel!E137</f>
        <v>0.00121229091174691</v>
      </c>
      <c r="M164" s="29" t="n">
        <f aca="false">Panel!E137</f>
        <v>5.36756353928485</v>
      </c>
    </row>
    <row r="165" customFormat="false" ht="15" hidden="false" customHeight="false" outlineLevel="0" collapsed="false">
      <c r="C165" s="0" t="n">
        <f aca="false">Panel!D144-Panel!D143</f>
        <v>0.00457146539749864</v>
      </c>
      <c r="D165" s="29" t="n">
        <f aca="false">Panel!D143</f>
        <v>9.89098471681235</v>
      </c>
      <c r="E165" s="30" t="n">
        <f aca="false">Panel!D143-Panel!D142</f>
        <v>-0.00235148466740398</v>
      </c>
      <c r="F165" s="30" t="n">
        <f aca="false">Panel!D142-Panel!D141</f>
        <v>-0.00166544740607577</v>
      </c>
      <c r="G165" s="30" t="n">
        <f aca="false">Panel!D141-Panel!D140</f>
        <v>0.00545583227259705</v>
      </c>
      <c r="H165" s="30" t="n">
        <f aca="false">Panel!D140-Panel!D139</f>
        <v>0.011991646103608</v>
      </c>
      <c r="I165" s="30" t="n">
        <f aca="false">Panel!D139-Panel!D138</f>
        <v>-0.000630958539256099</v>
      </c>
      <c r="L165" s="30" t="n">
        <f aca="false">Panel!E139-Panel!E138</f>
        <v>-0.000512712961894479</v>
      </c>
      <c r="M165" s="29" t="n">
        <f aca="false">Panel!E138</f>
        <v>5.3687758301966</v>
      </c>
    </row>
    <row r="166" customFormat="false" ht="15" hidden="false" customHeight="false" outlineLevel="0" collapsed="false">
      <c r="C166" s="0" t="n">
        <f aca="false">Panel!D145-Panel!D144</f>
        <v>0.00241618963817025</v>
      </c>
      <c r="D166" s="29" t="n">
        <f aca="false">Panel!D144</f>
        <v>9.89555618220985</v>
      </c>
      <c r="E166" s="30" t="n">
        <f aca="false">Panel!D144-Panel!D143</f>
        <v>0.00457146539749864</v>
      </c>
      <c r="F166" s="30" t="n">
        <f aca="false">Panel!D143-Panel!D142</f>
        <v>-0.00235148466740398</v>
      </c>
      <c r="G166" s="30" t="n">
        <f aca="false">Panel!D142-Panel!D141</f>
        <v>-0.00166544740607577</v>
      </c>
      <c r="H166" s="30" t="n">
        <f aca="false">Panel!D141-Panel!D140</f>
        <v>0.00545583227259705</v>
      </c>
      <c r="I166" s="30" t="n">
        <f aca="false">Panel!D140-Panel!D139</f>
        <v>0.011991646103608</v>
      </c>
      <c r="L166" s="30" t="n">
        <f aca="false">Panel!E140-Panel!E139</f>
        <v>0.0118646245108991</v>
      </c>
      <c r="M166" s="29" t="n">
        <f aca="false">Panel!E139</f>
        <v>5.3682631172347</v>
      </c>
    </row>
    <row r="167" customFormat="false" ht="15" hidden="false" customHeight="false" outlineLevel="0" collapsed="false">
      <c r="C167" s="0" t="n">
        <f aca="false">Panel!D146-Panel!D145</f>
        <v>-0.000729275409218744</v>
      </c>
      <c r="D167" s="29" t="n">
        <f aca="false">Panel!D145</f>
        <v>9.89797237184802</v>
      </c>
      <c r="E167" s="30" t="n">
        <f aca="false">Panel!D145-Panel!D144</f>
        <v>0.00241618963817025</v>
      </c>
      <c r="F167" s="30" t="n">
        <f aca="false">Panel!D144-Panel!D143</f>
        <v>0.00457146539749864</v>
      </c>
      <c r="G167" s="30" t="n">
        <f aca="false">Panel!D143-Panel!D142</f>
        <v>-0.00235148466740398</v>
      </c>
      <c r="H167" s="30" t="n">
        <f aca="false">Panel!D142-Panel!D141</f>
        <v>-0.00166544740607577</v>
      </c>
      <c r="I167" s="30" t="n">
        <f aca="false">Panel!D141-Panel!D140</f>
        <v>0.00545583227259705</v>
      </c>
      <c r="L167" s="30" t="n">
        <f aca="false">Panel!E141-Panel!E140</f>
        <v>0.00615471353107822</v>
      </c>
      <c r="M167" s="29" t="n">
        <f aca="false">Panel!E140</f>
        <v>5.3801277417456</v>
      </c>
    </row>
    <row r="168" customFormat="false" ht="15" hidden="false" customHeight="false" outlineLevel="0" collapsed="false">
      <c r="C168" s="0" t="n">
        <f aca="false">Panel!D147-Panel!D146</f>
        <v>-0.00240786753182043</v>
      </c>
      <c r="D168" s="29" t="n">
        <f aca="false">Panel!D146</f>
        <v>9.8972430964388</v>
      </c>
      <c r="E168" s="30" t="n">
        <f aca="false">Panel!D146-Panel!D145</f>
        <v>-0.000729275409218744</v>
      </c>
      <c r="F168" s="30" t="n">
        <f aca="false">Panel!D145-Panel!D144</f>
        <v>0.00241618963817025</v>
      </c>
      <c r="G168" s="30" t="n">
        <f aca="false">Panel!D144-Panel!D143</f>
        <v>0.00457146539749864</v>
      </c>
      <c r="H168" s="30" t="n">
        <f aca="false">Panel!D143-Panel!D142</f>
        <v>-0.00235148466740398</v>
      </c>
      <c r="I168" s="30" t="n">
        <f aca="false">Panel!D142-Panel!D141</f>
        <v>-0.00166544740607577</v>
      </c>
      <c r="L168" s="30" t="n">
        <f aca="false">Panel!E142-Panel!E141</f>
        <v>-0.00178739248759197</v>
      </c>
      <c r="M168" s="29" t="n">
        <f aca="false">Panel!E141</f>
        <v>5.38628245527668</v>
      </c>
    </row>
    <row r="169" customFormat="false" ht="15" hidden="false" customHeight="false" outlineLevel="0" collapsed="false">
      <c r="C169" s="0" t="n">
        <f aca="false">Panel!D148-Panel!D147</f>
        <v>0.00629955804555138</v>
      </c>
      <c r="D169" s="29" t="n">
        <f aca="false">Panel!D147</f>
        <v>9.89483522890698</v>
      </c>
      <c r="E169" s="30" t="n">
        <f aca="false">Panel!D147-Panel!D146</f>
        <v>-0.00240786753182043</v>
      </c>
      <c r="F169" s="30" t="n">
        <f aca="false">Panel!D146-Panel!D145</f>
        <v>-0.000729275409218744</v>
      </c>
      <c r="G169" s="30" t="n">
        <f aca="false">Panel!D145-Panel!D144</f>
        <v>0.00241618963817025</v>
      </c>
      <c r="H169" s="30" t="n">
        <f aca="false">Panel!D144-Panel!D143</f>
        <v>0.00457146539749864</v>
      </c>
      <c r="I169" s="30" t="n">
        <f aca="false">Panel!D143-Panel!D142</f>
        <v>-0.00235148466740398</v>
      </c>
      <c r="L169" s="30" t="n">
        <f aca="false">Panel!E143-Panel!E142</f>
        <v>-0.00298610535428789</v>
      </c>
      <c r="M169" s="29" t="n">
        <f aca="false">Panel!E142</f>
        <v>5.38449506278909</v>
      </c>
    </row>
    <row r="170" customFormat="false" ht="15" hidden="false" customHeight="false" outlineLevel="0" collapsed="false">
      <c r="C170" s="0" t="n">
        <f aca="false">Panel!D149-Panel!D148</f>
        <v>0.00934327493897236</v>
      </c>
      <c r="D170" s="29" t="n">
        <f aca="false">Panel!D148</f>
        <v>9.90113478695253</v>
      </c>
      <c r="E170" s="30" t="n">
        <f aca="false">Panel!D148-Panel!D147</f>
        <v>0.00629955804555138</v>
      </c>
      <c r="F170" s="30" t="n">
        <f aca="false">Panel!D147-Panel!D146</f>
        <v>-0.00240786753182043</v>
      </c>
      <c r="G170" s="30" t="n">
        <f aca="false">Panel!D146-Panel!D145</f>
        <v>-0.000729275409218744</v>
      </c>
      <c r="H170" s="30" t="n">
        <f aca="false">Panel!D145-Panel!D144</f>
        <v>0.00241618963817025</v>
      </c>
      <c r="I170" s="30" t="n">
        <f aca="false">Panel!D144-Panel!D143</f>
        <v>0.00457146539749864</v>
      </c>
      <c r="L170" s="30" t="n">
        <f aca="false">Panel!E144-Panel!E143</f>
        <v>0.00436130612109764</v>
      </c>
      <c r="M170" s="29" t="n">
        <f aca="false">Panel!E143</f>
        <v>5.3815089574348</v>
      </c>
    </row>
    <row r="171" customFormat="false" ht="15" hidden="false" customHeight="false" outlineLevel="0" collapsed="false">
      <c r="C171" s="0" t="n">
        <f aca="false">Panel!D150-Panel!D149</f>
        <v>-0.000312854602134038</v>
      </c>
      <c r="D171" s="29" t="n">
        <f aca="false">Panel!D149</f>
        <v>9.9104780618915</v>
      </c>
      <c r="E171" s="30" t="n">
        <f aca="false">Panel!D149-Panel!D148</f>
        <v>0.00934327493897236</v>
      </c>
      <c r="F171" s="30" t="n">
        <f aca="false">Panel!D148-Panel!D147</f>
        <v>0.00629955804555138</v>
      </c>
      <c r="G171" s="30" t="n">
        <f aca="false">Panel!D147-Panel!D146</f>
        <v>-0.00240786753182043</v>
      </c>
      <c r="H171" s="30" t="n">
        <f aca="false">Panel!D146-Panel!D145</f>
        <v>-0.000729275409218744</v>
      </c>
      <c r="I171" s="30" t="n">
        <f aca="false">Panel!D145-Panel!D144</f>
        <v>0.00241618963817025</v>
      </c>
      <c r="L171" s="30" t="n">
        <f aca="false">Panel!E145-Panel!E144</f>
        <v>0.0013733121865398</v>
      </c>
      <c r="M171" s="29" t="n">
        <f aca="false">Panel!E144</f>
        <v>5.3858702635559</v>
      </c>
    </row>
    <row r="172" customFormat="false" ht="15" hidden="false" customHeight="false" outlineLevel="0" collapsed="false">
      <c r="C172" s="0" t="n">
        <f aca="false">Panel!D151-Panel!D150</f>
        <v>0.0111622633750894</v>
      </c>
      <c r="D172" s="29" t="n">
        <f aca="false">Panel!D150</f>
        <v>9.91016520728937</v>
      </c>
      <c r="E172" s="30" t="n">
        <f aca="false">Panel!D150-Panel!D149</f>
        <v>-0.000312854602134038</v>
      </c>
      <c r="F172" s="30" t="n">
        <f aca="false">Panel!D149-Panel!D148</f>
        <v>0.00934327493897236</v>
      </c>
      <c r="G172" s="30" t="n">
        <f aca="false">Panel!D148-Panel!D147</f>
        <v>0.00629955804555138</v>
      </c>
      <c r="H172" s="30" t="n">
        <f aca="false">Panel!D147-Panel!D146</f>
        <v>-0.00240786753182043</v>
      </c>
      <c r="I172" s="30" t="n">
        <f aca="false">Panel!D146-Panel!D145</f>
        <v>-0.000729275409218744</v>
      </c>
      <c r="L172" s="30" t="n">
        <f aca="false">Panel!E146-Panel!E145</f>
        <v>0</v>
      </c>
      <c r="M172" s="29" t="n">
        <f aca="false">Panel!E145</f>
        <v>5.38724357574244</v>
      </c>
    </row>
    <row r="173" customFormat="false" ht="15" hidden="false" customHeight="false" outlineLevel="0" collapsed="false">
      <c r="C173" s="0" t="n">
        <f aca="false">Panel!D152-Panel!D151</f>
        <v>0.0215730842285051</v>
      </c>
      <c r="D173" s="29" t="n">
        <f aca="false">Panel!D151</f>
        <v>9.92132747066446</v>
      </c>
      <c r="E173" s="30" t="n">
        <f aca="false">Panel!D151-Panel!D150</f>
        <v>0.0111622633750894</v>
      </c>
      <c r="F173" s="30" t="n">
        <f aca="false">Panel!D150-Panel!D149</f>
        <v>-0.000312854602134038</v>
      </c>
      <c r="G173" s="30" t="n">
        <f aca="false">Panel!D149-Panel!D148</f>
        <v>0.00934327493897236</v>
      </c>
      <c r="H173" s="30" t="n">
        <f aca="false">Panel!D148-Panel!D147</f>
        <v>0.00629955804555138</v>
      </c>
      <c r="I173" s="30" t="n">
        <f aca="false">Panel!D147-Panel!D146</f>
        <v>-0.00240786753182043</v>
      </c>
      <c r="L173" s="30" t="n">
        <f aca="false">Panel!E147-Panel!E146</f>
        <v>0.000228702116491064</v>
      </c>
      <c r="M173" s="29" t="n">
        <f aca="false">Panel!E146</f>
        <v>5.38724357574244</v>
      </c>
    </row>
    <row r="174" customFormat="false" ht="15" hidden="false" customHeight="false" outlineLevel="0" collapsed="false">
      <c r="C174" s="0" t="n">
        <f aca="false">Panel!D153-Panel!D152</f>
        <v>0.00713655829614446</v>
      </c>
      <c r="D174" s="29" t="n">
        <f aca="false">Panel!D152</f>
        <v>9.94290055489296</v>
      </c>
      <c r="E174" s="30" t="n">
        <f aca="false">Panel!D152-Panel!D151</f>
        <v>0.0215730842285051</v>
      </c>
      <c r="F174" s="30" t="n">
        <f aca="false">Panel!D151-Panel!D150</f>
        <v>0.0111622633750894</v>
      </c>
      <c r="G174" s="30" t="n">
        <f aca="false">Panel!D150-Panel!D149</f>
        <v>-0.000312854602134038</v>
      </c>
      <c r="H174" s="30" t="n">
        <f aca="false">Panel!D149-Panel!D148</f>
        <v>0.00934327493897236</v>
      </c>
      <c r="I174" s="30" t="n">
        <f aca="false">Panel!D148-Panel!D147</f>
        <v>0.00629955804555138</v>
      </c>
      <c r="L174" s="30" t="n">
        <f aca="false">Panel!E148-Panel!E147</f>
        <v>0.00520026717025246</v>
      </c>
      <c r="M174" s="29" t="n">
        <f aca="false">Panel!E147</f>
        <v>5.38747227785893</v>
      </c>
    </row>
    <row r="175" customFormat="false" ht="15" hidden="false" customHeight="false" outlineLevel="0" collapsed="false">
      <c r="C175" s="0" t="n">
        <f aca="false">Panel!D154-Panel!D153</f>
        <v>0.00423860617912553</v>
      </c>
      <c r="D175" s="29" t="n">
        <f aca="false">Panel!D153</f>
        <v>9.95003711318911</v>
      </c>
      <c r="E175" s="30" t="n">
        <f aca="false">Panel!D153-Panel!D152</f>
        <v>0.00713655829614446</v>
      </c>
      <c r="F175" s="30" t="n">
        <f aca="false">Panel!D152-Panel!D151</f>
        <v>0.0215730842285051</v>
      </c>
      <c r="G175" s="30" t="n">
        <f aca="false">Panel!D151-Panel!D150</f>
        <v>0.0111622633750894</v>
      </c>
      <c r="H175" s="30" t="n">
        <f aca="false">Panel!D150-Panel!D149</f>
        <v>-0.000312854602134038</v>
      </c>
      <c r="I175" s="30" t="n">
        <f aca="false">Panel!D149-Panel!D148</f>
        <v>0.00934327493897236</v>
      </c>
      <c r="L175" s="30" t="n">
        <f aca="false">Panel!E149-Panel!E148</f>
        <v>0.00923877772896109</v>
      </c>
      <c r="M175" s="29" t="n">
        <f aca="false">Panel!E148</f>
        <v>5.39267254502918</v>
      </c>
    </row>
    <row r="176" customFormat="false" ht="15" hidden="false" customHeight="false" outlineLevel="0" collapsed="false">
      <c r="C176" s="0" t="n">
        <f aca="false">Panel!D155-Panel!D154</f>
        <v>-0.00038739562489809</v>
      </c>
      <c r="D176" s="29" t="n">
        <f aca="false">Panel!D154</f>
        <v>9.95427571936823</v>
      </c>
      <c r="E176" s="30" t="n">
        <f aca="false">Panel!D154-Panel!D153</f>
        <v>0.00423860617912553</v>
      </c>
      <c r="F176" s="30" t="n">
        <f aca="false">Panel!D153-Panel!D152</f>
        <v>0.00713655829614446</v>
      </c>
      <c r="G176" s="30" t="n">
        <f aca="false">Panel!D152-Panel!D151</f>
        <v>0.0215730842285051</v>
      </c>
      <c r="H176" s="30" t="n">
        <f aca="false">Panel!D151-Panel!D150</f>
        <v>0.0111622633750894</v>
      </c>
      <c r="I176" s="30" t="n">
        <f aca="false">Panel!D150-Panel!D149</f>
        <v>-0.000312854602134038</v>
      </c>
      <c r="L176" s="30" t="n">
        <f aca="false">Panel!E150-Panel!E149</f>
        <v>0.00180155883523447</v>
      </c>
      <c r="M176" s="29" t="n">
        <f aca="false">Panel!E149</f>
        <v>5.40191132275814</v>
      </c>
    </row>
    <row r="177" customFormat="false" ht="15" hidden="false" customHeight="false" outlineLevel="0" collapsed="false">
      <c r="C177" s="0" t="n">
        <f aca="false">Panel!D156-Panel!D155</f>
        <v>0.00284848404110782</v>
      </c>
      <c r="D177" s="29" t="n">
        <f aca="false">Panel!D155</f>
        <v>9.95388832374334</v>
      </c>
      <c r="E177" s="30" t="n">
        <f aca="false">Panel!D155-Panel!D154</f>
        <v>-0.00038739562489809</v>
      </c>
      <c r="F177" s="30" t="n">
        <f aca="false">Panel!D154-Panel!D153</f>
        <v>0.00423860617912553</v>
      </c>
      <c r="G177" s="30" t="n">
        <f aca="false">Panel!D153-Panel!D152</f>
        <v>0.00713655829614446</v>
      </c>
      <c r="H177" s="30" t="n">
        <f aca="false">Panel!D152-Panel!D151</f>
        <v>0.0215730842285051</v>
      </c>
      <c r="I177" s="30" t="n">
        <f aca="false">Panel!D151-Panel!D150</f>
        <v>0.0111622633750894</v>
      </c>
      <c r="L177" s="30" t="n">
        <f aca="false">Panel!E151-Panel!E150</f>
        <v>0.0057432741886263</v>
      </c>
      <c r="M177" s="29" t="n">
        <f aca="false">Panel!E150</f>
        <v>5.40371288159338</v>
      </c>
    </row>
    <row r="178" customFormat="false" ht="15" hidden="false" customHeight="false" outlineLevel="0" collapsed="false">
      <c r="C178" s="0" t="n">
        <f aca="false">Panel!D157-Panel!D156</f>
        <v>-0.000784896823995851</v>
      </c>
      <c r="D178" s="29" t="n">
        <f aca="false">Panel!D156</f>
        <v>9.95673680778444</v>
      </c>
      <c r="E178" s="30" t="n">
        <f aca="false">Panel!D156-Panel!D155</f>
        <v>0.00284848404110782</v>
      </c>
      <c r="F178" s="30" t="n">
        <f aca="false">Panel!D155-Panel!D154</f>
        <v>-0.00038739562489809</v>
      </c>
      <c r="G178" s="30" t="n">
        <f aca="false">Panel!D154-Panel!D153</f>
        <v>0.00423860617912553</v>
      </c>
      <c r="H178" s="30" t="n">
        <f aca="false">Panel!D153-Panel!D152</f>
        <v>0.00713655829614446</v>
      </c>
      <c r="I178" s="30" t="n">
        <f aca="false">Panel!D152-Panel!D151</f>
        <v>0.0215730842285051</v>
      </c>
      <c r="L178" s="30" t="n">
        <f aca="false">Panel!E152-Panel!E151</f>
        <v>0.0198894731724373</v>
      </c>
      <c r="M178" s="29" t="n">
        <f aca="false">Panel!E151</f>
        <v>5.409456155782</v>
      </c>
    </row>
    <row r="179" customFormat="false" ht="15" hidden="false" customHeight="false" outlineLevel="0" collapsed="false">
      <c r="C179" s="0" t="n">
        <f aca="false">Panel!D158-Panel!D157</f>
        <v>-0.00328855433780539</v>
      </c>
      <c r="D179" s="29" t="n">
        <f aca="false">Panel!D157</f>
        <v>9.95595191096045</v>
      </c>
      <c r="E179" s="30" t="n">
        <f aca="false">Panel!D157-Panel!D156</f>
        <v>-0.000784896823995851</v>
      </c>
      <c r="F179" s="30" t="n">
        <f aca="false">Panel!D156-Panel!D155</f>
        <v>0.00284848404110782</v>
      </c>
      <c r="G179" s="30" t="n">
        <f aca="false">Panel!D155-Panel!D154</f>
        <v>-0.00038739562489809</v>
      </c>
      <c r="H179" s="30" t="n">
        <f aca="false">Panel!D154-Panel!D153</f>
        <v>0.00423860617912553</v>
      </c>
      <c r="I179" s="30" t="n">
        <f aca="false">Panel!D153-Panel!D152</f>
        <v>0.00713655829614446</v>
      </c>
      <c r="L179" s="30" t="n">
        <f aca="false">Panel!E153-Panel!E152</f>
        <v>0.00942909028885097</v>
      </c>
      <c r="M179" s="29" t="n">
        <f aca="false">Panel!E152</f>
        <v>5.42934562895444</v>
      </c>
    </row>
    <row r="180" customFormat="false" ht="15" hidden="false" customHeight="false" outlineLevel="0" collapsed="false">
      <c r="C180" s="0" t="n">
        <f aca="false">Panel!D159-Panel!D158</f>
        <v>0.00130103208972265</v>
      </c>
      <c r="D180" s="29" t="n">
        <f aca="false">Panel!D158</f>
        <v>9.95266335662264</v>
      </c>
      <c r="E180" s="30" t="n">
        <f aca="false">Panel!D158-Panel!D157</f>
        <v>-0.00328855433780539</v>
      </c>
      <c r="F180" s="30" t="n">
        <f aca="false">Panel!D157-Panel!D156</f>
        <v>-0.000784896823995851</v>
      </c>
      <c r="G180" s="30" t="n">
        <f aca="false">Panel!D156-Panel!D155</f>
        <v>0.00284848404110782</v>
      </c>
      <c r="H180" s="30" t="n">
        <f aca="false">Panel!D155-Panel!D154</f>
        <v>-0.00038739562489809</v>
      </c>
      <c r="I180" s="30" t="n">
        <f aca="false">Panel!D154-Panel!D153</f>
        <v>0.00423860617912553</v>
      </c>
      <c r="L180" s="30" t="n">
        <f aca="false">Panel!E154-Panel!E153</f>
        <v>0.00364299127850121</v>
      </c>
      <c r="M180" s="29" t="n">
        <f aca="false">Panel!E153</f>
        <v>5.43877471924329</v>
      </c>
    </row>
    <row r="181" customFormat="false" ht="15" hidden="false" customHeight="false" outlineLevel="0" collapsed="false">
      <c r="C181" s="0" t="n">
        <f aca="false">Panel!D160-Panel!D159</f>
        <v>0.0149831352955498</v>
      </c>
      <c r="D181" s="29" t="n">
        <f aca="false">Panel!D159</f>
        <v>9.95396438871237</v>
      </c>
      <c r="E181" s="30" t="n">
        <f aca="false">Panel!D159-Panel!D158</f>
        <v>0.00130103208972265</v>
      </c>
      <c r="F181" s="30" t="n">
        <f aca="false">Panel!D158-Panel!D157</f>
        <v>-0.00328855433780539</v>
      </c>
      <c r="G181" s="30" t="n">
        <f aca="false">Panel!D157-Panel!D156</f>
        <v>-0.000784896823995851</v>
      </c>
      <c r="H181" s="30" t="n">
        <f aca="false">Panel!D156-Panel!D155</f>
        <v>0.00284848404110782</v>
      </c>
      <c r="I181" s="30" t="n">
        <f aca="false">Panel!D155-Panel!D154</f>
        <v>-0.00038739562489809</v>
      </c>
      <c r="L181" s="30" t="n">
        <f aca="false">Panel!E155-Panel!E154</f>
        <v>-0.000476303890881269</v>
      </c>
      <c r="M181" s="29" t="n">
        <f aca="false">Panel!E154</f>
        <v>5.44241771052179</v>
      </c>
    </row>
    <row r="182" customFormat="false" ht="15" hidden="false" customHeight="false" outlineLevel="0" collapsed="false">
      <c r="C182" s="0" t="n">
        <f aca="false">Panel!D161-Panel!D160</f>
        <v>0.00956400958907544</v>
      </c>
      <c r="D182" s="29" t="n">
        <f aca="false">Panel!D160</f>
        <v>9.96894752400791</v>
      </c>
      <c r="E182" s="30" t="n">
        <f aca="false">Panel!D160-Panel!D159</f>
        <v>0.0149831352955498</v>
      </c>
      <c r="F182" s="30" t="n">
        <f aca="false">Panel!D159-Panel!D158</f>
        <v>0.00130103208972265</v>
      </c>
      <c r="G182" s="30" t="n">
        <f aca="false">Panel!D158-Panel!D157</f>
        <v>-0.00328855433780539</v>
      </c>
      <c r="H182" s="30" t="n">
        <f aca="false">Panel!D157-Panel!D156</f>
        <v>-0.000784896823995851</v>
      </c>
      <c r="I182" s="30" t="n">
        <f aca="false">Panel!D156-Panel!D155</f>
        <v>0.00284848404110782</v>
      </c>
      <c r="L182" s="30" t="n">
        <f aca="false">Panel!E156-Panel!E155</f>
        <v>0.00242246084636744</v>
      </c>
      <c r="M182" s="29" t="n">
        <f aca="false">Panel!E155</f>
        <v>5.44194140663091</v>
      </c>
    </row>
    <row r="183" customFormat="false" ht="15" hidden="false" customHeight="false" outlineLevel="0" collapsed="false">
      <c r="C183" s="0" t="n">
        <f aca="false">Panel!D162-Panel!D161</f>
        <v>-0.00446999541362736</v>
      </c>
      <c r="D183" s="29" t="n">
        <f aca="false">Panel!D161</f>
        <v>9.97851153359699</v>
      </c>
      <c r="E183" s="30" t="n">
        <f aca="false">Panel!D161-Panel!D160</f>
        <v>0.00956400958907544</v>
      </c>
      <c r="F183" s="30" t="n">
        <f aca="false">Panel!D160-Panel!D159</f>
        <v>0.0149831352955498</v>
      </c>
      <c r="G183" s="30" t="n">
        <f aca="false">Panel!D159-Panel!D158</f>
        <v>0.00130103208972265</v>
      </c>
      <c r="H183" s="30" t="n">
        <f aca="false">Panel!D158-Panel!D157</f>
        <v>-0.00328855433780539</v>
      </c>
      <c r="I183" s="30" t="n">
        <f aca="false">Panel!D157-Panel!D156</f>
        <v>-0.000784896823995851</v>
      </c>
      <c r="L183" s="30" t="n">
        <f aca="false">Panel!E157-Panel!E156</f>
        <v>0.000863744385378062</v>
      </c>
      <c r="M183" s="29" t="n">
        <f aca="false">Panel!E156</f>
        <v>5.44436386747728</v>
      </c>
    </row>
    <row r="184" customFormat="false" ht="15" hidden="false" customHeight="false" outlineLevel="0" collapsed="false">
      <c r="C184" s="0" t="n">
        <f aca="false">Panel!D163-Panel!D162</f>
        <v>0.00312389402997582</v>
      </c>
      <c r="D184" s="29" t="n">
        <f aca="false">Panel!D162</f>
        <v>9.97404153818336</v>
      </c>
      <c r="E184" s="30" t="n">
        <f aca="false">Panel!D162-Panel!D161</f>
        <v>-0.00446999541362736</v>
      </c>
      <c r="F184" s="30" t="n">
        <f aca="false">Panel!D161-Panel!D160</f>
        <v>0.00956400958907544</v>
      </c>
      <c r="G184" s="30" t="n">
        <f aca="false">Panel!D160-Panel!D159</f>
        <v>0.0149831352955498</v>
      </c>
      <c r="H184" s="30" t="n">
        <f aca="false">Panel!D159-Panel!D158</f>
        <v>0.00130103208972265</v>
      </c>
      <c r="I184" s="30" t="n">
        <f aca="false">Panel!D158-Panel!D157</f>
        <v>-0.00328855433780539</v>
      </c>
      <c r="L184" s="30" t="n">
        <f aca="false">Panel!E158-Panel!E157</f>
        <v>-0.00255019480778529</v>
      </c>
      <c r="M184" s="29" t="n">
        <f aca="false">Panel!E157</f>
        <v>5.44522761186266</v>
      </c>
    </row>
    <row r="185" customFormat="false" ht="15" hidden="false" customHeight="false" outlineLevel="0" collapsed="false">
      <c r="C185" s="0" t="n">
        <f aca="false">Panel!D164-Panel!D163</f>
        <v>-0.0168486866911675</v>
      </c>
      <c r="D185" s="29" t="n">
        <f aca="false">Panel!D163</f>
        <v>9.97716543221334</v>
      </c>
      <c r="E185" s="30" t="n">
        <f aca="false">Panel!D163-Panel!D162</f>
        <v>0.00312389402997582</v>
      </c>
      <c r="F185" s="30" t="n">
        <f aca="false">Panel!D162-Panel!D161</f>
        <v>-0.00446999541362736</v>
      </c>
      <c r="G185" s="30" t="n">
        <f aca="false">Panel!D161-Panel!D160</f>
        <v>0.00956400958907544</v>
      </c>
      <c r="H185" s="30" t="n">
        <f aca="false">Panel!D160-Panel!D159</f>
        <v>0.0149831352955498</v>
      </c>
      <c r="I185" s="30" t="n">
        <f aca="false">Panel!D159-Panel!D158</f>
        <v>0.00130103208972265</v>
      </c>
      <c r="L185" s="30" t="n">
        <f aca="false">Panel!E159-Panel!E158</f>
        <v>0.00043269439470528</v>
      </c>
      <c r="M185" s="29" t="n">
        <f aca="false">Panel!E158</f>
        <v>5.44267741705487</v>
      </c>
    </row>
    <row r="186" customFormat="false" ht="15" hidden="false" customHeight="false" outlineLevel="0" collapsed="false">
      <c r="C186" s="0" t="n">
        <f aca="false">Panel!D165-Panel!D164</f>
        <v>0.0097775005079388</v>
      </c>
      <c r="D186" s="29" t="n">
        <f aca="false">Panel!D164</f>
        <v>9.96031674552217</v>
      </c>
      <c r="E186" s="30" t="n">
        <f aca="false">Panel!D164-Panel!D163</f>
        <v>-0.0168486866911675</v>
      </c>
      <c r="F186" s="30" t="n">
        <f aca="false">Panel!D163-Panel!D162</f>
        <v>0.00312389402997582</v>
      </c>
      <c r="G186" s="30" t="n">
        <f aca="false">Panel!D162-Panel!D161</f>
        <v>-0.00446999541362736</v>
      </c>
      <c r="H186" s="30" t="n">
        <f aca="false">Panel!D161-Panel!D160</f>
        <v>0.00956400958907544</v>
      </c>
      <c r="I186" s="30" t="n">
        <f aca="false">Panel!D160-Panel!D159</f>
        <v>0.0149831352955498</v>
      </c>
      <c r="L186" s="30" t="n">
        <f aca="false">Panel!E160-Panel!E159</f>
        <v>0.0123819294704575</v>
      </c>
      <c r="M186" s="29" t="n">
        <f aca="false">Panel!E159</f>
        <v>5.44311011144958</v>
      </c>
    </row>
    <row r="187" customFormat="false" ht="15" hidden="false" customHeight="false" outlineLevel="0" collapsed="false">
      <c r="C187" s="0" t="n">
        <f aca="false">Panel!D166-Panel!D165</f>
        <v>0.000713112532485738</v>
      </c>
      <c r="D187" s="29" t="n">
        <f aca="false">Panel!D165</f>
        <v>9.97009424603011</v>
      </c>
      <c r="E187" s="30" t="n">
        <f aca="false">Panel!D165-Panel!D164</f>
        <v>0.0097775005079388</v>
      </c>
      <c r="F187" s="30" t="n">
        <f aca="false">Panel!D164-Panel!D163</f>
        <v>-0.0168486866911675</v>
      </c>
      <c r="G187" s="30" t="n">
        <f aca="false">Panel!D163-Panel!D162</f>
        <v>0.00312389402997582</v>
      </c>
      <c r="H187" s="30" t="n">
        <f aca="false">Panel!D162-Panel!D161</f>
        <v>-0.00446999541362736</v>
      </c>
      <c r="I187" s="30" t="n">
        <f aca="false">Panel!D161-Panel!D160</f>
        <v>0.00956400958907544</v>
      </c>
      <c r="L187" s="30" t="n">
        <f aca="false">Panel!E161-Panel!E160</f>
        <v>0.00973709247216004</v>
      </c>
      <c r="M187" s="29" t="n">
        <f aca="false">Panel!E160</f>
        <v>5.45549204092004</v>
      </c>
    </row>
    <row r="188" customFormat="false" ht="15" hidden="false" customHeight="false" outlineLevel="0" collapsed="false">
      <c r="C188" s="0" t="n">
        <f aca="false">Panel!D167-Panel!D166</f>
        <v>0.00496131988791326</v>
      </c>
      <c r="D188" s="29" t="n">
        <f aca="false">Panel!D166</f>
        <v>9.9708073585626</v>
      </c>
      <c r="E188" s="30" t="n">
        <f aca="false">Panel!D166-Panel!D165</f>
        <v>0.000713112532485738</v>
      </c>
      <c r="F188" s="30" t="n">
        <f aca="false">Panel!D165-Panel!D164</f>
        <v>0.0097775005079388</v>
      </c>
      <c r="G188" s="30" t="n">
        <f aca="false">Panel!D164-Panel!D163</f>
        <v>-0.0168486866911675</v>
      </c>
      <c r="H188" s="30" t="n">
        <f aca="false">Panel!D163-Panel!D162</f>
        <v>0.00312389402997582</v>
      </c>
      <c r="I188" s="30" t="n">
        <f aca="false">Panel!D162-Panel!D161</f>
        <v>-0.00446999541362736</v>
      </c>
      <c r="L188" s="30" t="n">
        <f aca="false">Panel!E162-Panel!E161</f>
        <v>0.000972742152026918</v>
      </c>
      <c r="M188" s="29" t="n">
        <f aca="false">Panel!E161</f>
        <v>5.4652291333922</v>
      </c>
    </row>
    <row r="189" customFormat="false" ht="15" hidden="false" customHeight="false" outlineLevel="0" collapsed="false">
      <c r="C189" s="0" t="n">
        <f aca="false">Panel!D168-Panel!D167</f>
        <v>0.00871343629416721</v>
      </c>
      <c r="D189" s="29" t="n">
        <f aca="false">Panel!D167</f>
        <v>9.97576867845051</v>
      </c>
      <c r="E189" s="30" t="n">
        <f aca="false">Panel!D167-Panel!D166</f>
        <v>0.00496131988791326</v>
      </c>
      <c r="F189" s="30" t="n">
        <f aca="false">Panel!D166-Panel!D165</f>
        <v>0.000713112532485738</v>
      </c>
      <c r="G189" s="30" t="n">
        <f aca="false">Panel!D165-Panel!D164</f>
        <v>0.0097775005079388</v>
      </c>
      <c r="H189" s="30" t="n">
        <f aca="false">Panel!D164-Panel!D163</f>
        <v>-0.0168486866911675</v>
      </c>
      <c r="I189" s="30" t="n">
        <f aca="false">Panel!D163-Panel!D162</f>
        <v>0.00312389402997582</v>
      </c>
      <c r="L189" s="30" t="n">
        <f aca="false">Panel!E163-Panel!E162</f>
        <v>0.000971796844198458</v>
      </c>
      <c r="M189" s="29" t="n">
        <f aca="false">Panel!E162</f>
        <v>5.46620187554422</v>
      </c>
    </row>
    <row r="190" customFormat="false" ht="15" hidden="false" customHeight="false" outlineLevel="0" collapsed="false">
      <c r="C190" s="0" t="n">
        <f aca="false">Panel!D169-Panel!D168</f>
        <v>0.00429971641110427</v>
      </c>
      <c r="D190" s="29" t="n">
        <f aca="false">Panel!D168</f>
        <v>9.98448211474468</v>
      </c>
      <c r="E190" s="30" t="n">
        <f aca="false">Panel!D168-Panel!D167</f>
        <v>0.00871343629416721</v>
      </c>
      <c r="F190" s="30" t="n">
        <f aca="false">Panel!D167-Panel!D166</f>
        <v>0.00496131988791326</v>
      </c>
      <c r="G190" s="30" t="n">
        <f aca="false">Panel!D166-Panel!D165</f>
        <v>0.000713112532485738</v>
      </c>
      <c r="H190" s="30" t="n">
        <f aca="false">Panel!D165-Panel!D164</f>
        <v>0.0097775005079388</v>
      </c>
      <c r="I190" s="30" t="n">
        <f aca="false">Panel!D164-Panel!D163</f>
        <v>-0.0168486866911675</v>
      </c>
      <c r="L190" s="30" t="n">
        <f aca="false">Panel!E164-Panel!E163</f>
        <v>-0.0146770549927098</v>
      </c>
      <c r="M190" s="29" t="n">
        <f aca="false">Panel!E163</f>
        <v>5.46717367238842</v>
      </c>
    </row>
    <row r="191" customFormat="false" ht="15" hidden="false" customHeight="false" outlineLevel="0" collapsed="false">
      <c r="C191" s="0" t="n">
        <f aca="false">Panel!D170-Panel!D169</f>
        <v>0.00369139815692954</v>
      </c>
      <c r="D191" s="29" t="n">
        <f aca="false">Panel!D169</f>
        <v>9.98878183115578</v>
      </c>
      <c r="E191" s="30" t="n">
        <f aca="false">Panel!D169-Panel!D168</f>
        <v>0.00429971641110427</v>
      </c>
      <c r="F191" s="30" t="n">
        <f aca="false">Panel!D168-Panel!D167</f>
        <v>0.00871343629416721</v>
      </c>
      <c r="G191" s="30" t="n">
        <f aca="false">Panel!D167-Panel!D166</f>
        <v>0.00496131988791326</v>
      </c>
      <c r="H191" s="30" t="n">
        <f aca="false">Panel!D166-Panel!D165</f>
        <v>0.000713112532485738</v>
      </c>
      <c r="I191" s="30" t="n">
        <f aca="false">Panel!D165-Panel!D164</f>
        <v>0.0097775005079388</v>
      </c>
      <c r="L191" s="30" t="n">
        <f aca="false">Panel!E165-Panel!E164</f>
        <v>0.0070037867437156</v>
      </c>
      <c r="M191" s="29" t="n">
        <f aca="false">Panel!E164</f>
        <v>5.45249661739571</v>
      </c>
    </row>
    <row r="192" customFormat="false" ht="15" hidden="false" customHeight="false" outlineLevel="0" collapsed="false">
      <c r="C192" s="0" t="n">
        <f aca="false">Panel!D171-Panel!D170</f>
        <v>-0.00143277976872014</v>
      </c>
      <c r="D192" s="29" t="n">
        <f aca="false">Panel!D170</f>
        <v>9.99247322931271</v>
      </c>
      <c r="E192" s="30" t="n">
        <f aca="false">Panel!D170-Panel!D169</f>
        <v>0.00369139815692954</v>
      </c>
      <c r="F192" s="30" t="n">
        <f aca="false">Panel!D169-Panel!D168</f>
        <v>0.00429971641110427</v>
      </c>
      <c r="G192" s="30" t="n">
        <f aca="false">Panel!D168-Panel!D167</f>
        <v>0.00871343629416721</v>
      </c>
      <c r="H192" s="30" t="n">
        <f aca="false">Panel!D167-Panel!D166</f>
        <v>0.00496131988791326</v>
      </c>
      <c r="I192" s="30" t="n">
        <f aca="false">Panel!D166-Panel!D165</f>
        <v>0.000713112532485738</v>
      </c>
      <c r="L192" s="30" t="n">
        <f aca="false">Panel!E166-Panel!E165</f>
        <v>0.00284724923031376</v>
      </c>
      <c r="M192" s="29" t="n">
        <f aca="false">Panel!E165</f>
        <v>5.45950040413943</v>
      </c>
    </row>
    <row r="193" customFormat="false" ht="15" hidden="false" customHeight="false" outlineLevel="0" collapsed="false">
      <c r="C193" s="0" t="n">
        <f aca="false">Panel!D172-Panel!D171</f>
        <v>-0.00348752189019308</v>
      </c>
      <c r="D193" s="29" t="n">
        <f aca="false">Panel!D171</f>
        <v>9.99104044954399</v>
      </c>
      <c r="E193" s="30" t="n">
        <f aca="false">Panel!D171-Panel!D170</f>
        <v>-0.00143277976872014</v>
      </c>
      <c r="F193" s="30" t="n">
        <f aca="false">Panel!D170-Panel!D169</f>
        <v>0.00369139815692954</v>
      </c>
      <c r="G193" s="30" t="n">
        <f aca="false">Panel!D169-Panel!D168</f>
        <v>0.00429971641110427</v>
      </c>
      <c r="H193" s="30" t="n">
        <f aca="false">Panel!D168-Panel!D167</f>
        <v>0.00871343629416721</v>
      </c>
      <c r="I193" s="30" t="n">
        <f aca="false">Panel!D167-Panel!D166</f>
        <v>0.00496131988791326</v>
      </c>
      <c r="L193" s="30" t="n">
        <f aca="false">Panel!E167-Panel!E166</f>
        <v>0.00613433970162003</v>
      </c>
      <c r="M193" s="29" t="n">
        <f aca="false">Panel!E166</f>
        <v>5.46234765336974</v>
      </c>
    </row>
    <row r="194" customFormat="false" ht="15" hidden="false" customHeight="false" outlineLevel="0" collapsed="false">
      <c r="C194" s="0" t="n">
        <f aca="false">Panel!D173-Panel!D172</f>
        <v>-0.00721082113257765</v>
      </c>
      <c r="D194" s="29" t="n">
        <f aca="false">Panel!D172</f>
        <v>9.9875529276538</v>
      </c>
      <c r="E194" s="30" t="n">
        <f aca="false">Panel!D172-Panel!D171</f>
        <v>-0.00348752189019308</v>
      </c>
      <c r="F194" s="30" t="n">
        <f aca="false">Panel!D171-Panel!D170</f>
        <v>-0.00143277976872014</v>
      </c>
      <c r="G194" s="30" t="n">
        <f aca="false">Panel!D170-Panel!D169</f>
        <v>0.00369139815692954</v>
      </c>
      <c r="H194" s="30" t="n">
        <f aca="false">Panel!D169-Panel!D168</f>
        <v>0.00429971641110427</v>
      </c>
      <c r="I194" s="30" t="n">
        <f aca="false">Panel!D168-Panel!D167</f>
        <v>0.00871343629416721</v>
      </c>
      <c r="L194" s="30" t="n">
        <f aca="false">Panel!E168-Panel!E167</f>
        <v>0.00965380005251326</v>
      </c>
      <c r="M194" s="29" t="n">
        <f aca="false">Panel!E167</f>
        <v>5.46848199307136</v>
      </c>
    </row>
    <row r="195" customFormat="false" ht="15" hidden="false" customHeight="false" outlineLevel="0" collapsed="false">
      <c r="C195" s="0" t="n">
        <f aca="false">Panel!D174-Panel!D173</f>
        <v>0.00964648447064498</v>
      </c>
      <c r="D195" s="29" t="n">
        <f aca="false">Panel!D173</f>
        <v>9.98034210652122</v>
      </c>
      <c r="E195" s="30" t="n">
        <f aca="false">Panel!D173-Panel!D172</f>
        <v>-0.00721082113257765</v>
      </c>
      <c r="F195" s="30" t="n">
        <f aca="false">Panel!D172-Panel!D171</f>
        <v>-0.00348752189019308</v>
      </c>
      <c r="G195" s="30" t="n">
        <f aca="false">Panel!D171-Panel!D170</f>
        <v>-0.00143277976872014</v>
      </c>
      <c r="H195" s="30" t="n">
        <f aca="false">Panel!D170-Panel!D169</f>
        <v>0.00369139815692954</v>
      </c>
      <c r="I195" s="30" t="n">
        <f aca="false">Panel!D169-Panel!D168</f>
        <v>0.00429971641110427</v>
      </c>
      <c r="L195" s="30" t="n">
        <f aca="false">Panel!E169-Panel!E168</f>
        <v>0.00350263055120159</v>
      </c>
      <c r="M195" s="29" t="n">
        <f aca="false">Panel!E168</f>
        <v>5.47813579312387</v>
      </c>
    </row>
    <row r="196" customFormat="false" ht="15" hidden="false" customHeight="false" outlineLevel="0" collapsed="false">
      <c r="C196" s="0" t="n">
        <f aca="false">Panel!D175-Panel!D174</f>
        <v>-0.000873952488298357</v>
      </c>
      <c r="D196" s="29" t="n">
        <f aca="false">Panel!D174</f>
        <v>9.98998859099186</v>
      </c>
      <c r="E196" s="30" t="n">
        <f aca="false">Panel!D174-Panel!D173</f>
        <v>0.00964648447064498</v>
      </c>
      <c r="F196" s="30" t="n">
        <f aca="false">Panel!D173-Panel!D172</f>
        <v>-0.00721082113257765</v>
      </c>
      <c r="G196" s="30" t="n">
        <f aca="false">Panel!D172-Panel!D171</f>
        <v>-0.00348752189019308</v>
      </c>
      <c r="H196" s="30" t="n">
        <f aca="false">Panel!D171-Panel!D170</f>
        <v>-0.00143277976872014</v>
      </c>
      <c r="I196" s="30" t="n">
        <f aca="false">Panel!D170-Panel!D169</f>
        <v>0.00369139815692954</v>
      </c>
      <c r="L196" s="30" t="n">
        <f aca="false">Panel!E170-Panel!E169</f>
        <v>0.000249719067348053</v>
      </c>
      <c r="M196" s="29" t="n">
        <f aca="false">Panel!E169</f>
        <v>5.48163842367508</v>
      </c>
    </row>
    <row r="197" customFormat="false" ht="15" hidden="false" customHeight="false" outlineLevel="0" collapsed="false">
      <c r="C197" s="0" t="n">
        <f aca="false">Panel!D176-Panel!D175</f>
        <v>-0.0101486247915314</v>
      </c>
      <c r="D197" s="29" t="n">
        <f aca="false">Panel!D175</f>
        <v>9.98911463850357</v>
      </c>
      <c r="E197" s="30" t="n">
        <f aca="false">Panel!D175-Panel!D174</f>
        <v>-0.000873952488298357</v>
      </c>
      <c r="F197" s="30" t="n">
        <f aca="false">Panel!D174-Panel!D173</f>
        <v>0.00964648447064498</v>
      </c>
      <c r="G197" s="30" t="n">
        <f aca="false">Panel!D173-Panel!D172</f>
        <v>-0.00721082113257765</v>
      </c>
      <c r="H197" s="30" t="n">
        <f aca="false">Panel!D172-Panel!D171</f>
        <v>-0.00348752189019308</v>
      </c>
      <c r="I197" s="30" t="n">
        <f aca="false">Panel!D171-Panel!D170</f>
        <v>-0.00143277976872014</v>
      </c>
      <c r="L197" s="30" t="n">
        <f aca="false">Panel!E171-Panel!E170</f>
        <v>-0.00116588953912711</v>
      </c>
      <c r="M197" s="29" t="n">
        <f aca="false">Panel!E170</f>
        <v>5.48188814274242</v>
      </c>
    </row>
    <row r="198" customFormat="false" ht="15" hidden="false" customHeight="false" outlineLevel="0" collapsed="false">
      <c r="C198" s="0" t="n">
        <f aca="false">Panel!D177-Panel!D176</f>
        <v>0.00281502519400156</v>
      </c>
      <c r="D198" s="29" t="n">
        <f aca="false">Panel!D176</f>
        <v>9.97896601371203</v>
      </c>
      <c r="E198" s="30" t="n">
        <f aca="false">Panel!D176-Panel!D175</f>
        <v>-0.0101486247915314</v>
      </c>
      <c r="F198" s="30" t="n">
        <f aca="false">Panel!D175-Panel!D174</f>
        <v>-0.000873952488298357</v>
      </c>
      <c r="G198" s="30" t="n">
        <f aca="false">Panel!D174-Panel!D173</f>
        <v>0.00964648447064498</v>
      </c>
      <c r="H198" s="30" t="n">
        <f aca="false">Panel!D173-Panel!D172</f>
        <v>-0.00721082113257765</v>
      </c>
      <c r="I198" s="30" t="n">
        <f aca="false">Panel!D172-Panel!D171</f>
        <v>-0.00348752189019308</v>
      </c>
      <c r="L198" s="30" t="n">
        <f aca="false">Panel!E172-Panel!E171</f>
        <v>-0.00329682093080574</v>
      </c>
      <c r="M198" s="29" t="n">
        <f aca="false">Panel!E171</f>
        <v>5.4807222532033</v>
      </c>
    </row>
    <row r="199" customFormat="false" ht="15" hidden="false" customHeight="false" outlineLevel="0" collapsed="false">
      <c r="C199" s="0" t="n">
        <f aca="false">Panel!D178-Panel!D177</f>
        <v>0.00434354544037952</v>
      </c>
      <c r="D199" s="29" t="n">
        <f aca="false">Panel!D177</f>
        <v>9.98178103890604</v>
      </c>
      <c r="E199" s="30" t="n">
        <f aca="false">Panel!D177-Panel!D176</f>
        <v>0.00281502519400156</v>
      </c>
      <c r="F199" s="30" t="n">
        <f aca="false">Panel!D176-Panel!D175</f>
        <v>-0.0101486247915314</v>
      </c>
      <c r="G199" s="30" t="n">
        <f aca="false">Panel!D175-Panel!D174</f>
        <v>-0.000873952488298357</v>
      </c>
      <c r="H199" s="30" t="n">
        <f aca="false">Panel!D174-Panel!D173</f>
        <v>0.00964648447064498</v>
      </c>
      <c r="I199" s="30" t="n">
        <f aca="false">Panel!D173-Panel!D172</f>
        <v>-0.00721082113257765</v>
      </c>
      <c r="L199" s="30" t="n">
        <f aca="false">Panel!E173-Panel!E172</f>
        <v>-0.00599544801580887</v>
      </c>
      <c r="M199" s="29" t="n">
        <f aca="false">Panel!E172</f>
        <v>5.47742543227249</v>
      </c>
    </row>
    <row r="200" customFormat="false" ht="15" hidden="false" customHeight="false" outlineLevel="0" collapsed="false">
      <c r="C200" s="0" t="n">
        <f aca="false">Panel!D179-Panel!D178</f>
        <v>-0.00151798052549523</v>
      </c>
      <c r="D200" s="29" t="n">
        <f aca="false">Panel!D178</f>
        <v>9.98612458434642</v>
      </c>
      <c r="E200" s="30" t="n">
        <f aca="false">Panel!D178-Panel!D177</f>
        <v>0.00434354544037952</v>
      </c>
      <c r="F200" s="30" t="n">
        <f aca="false">Panel!D177-Panel!D176</f>
        <v>0.00281502519400156</v>
      </c>
      <c r="G200" s="30" t="n">
        <f aca="false">Panel!D176-Panel!D175</f>
        <v>-0.0101486247915314</v>
      </c>
      <c r="H200" s="30" t="n">
        <f aca="false">Panel!D175-Panel!D174</f>
        <v>-0.000873952488298357</v>
      </c>
      <c r="I200" s="30" t="n">
        <f aca="false">Panel!D174-Panel!D173</f>
        <v>0.00964648447064498</v>
      </c>
      <c r="L200" s="30" t="n">
        <f aca="false">Panel!E174-Panel!E173</f>
        <v>0.00703992180047042</v>
      </c>
      <c r="M200" s="29" t="n">
        <f aca="false">Panel!E173</f>
        <v>5.47142998425668</v>
      </c>
    </row>
    <row r="201" customFormat="false" ht="15" hidden="false" customHeight="false" outlineLevel="0" collapsed="false">
      <c r="C201" s="0" t="n">
        <f aca="false">Panel!D180-Panel!D179</f>
        <v>0.0129813060703032</v>
      </c>
      <c r="D201" s="29" t="n">
        <f aca="false">Panel!D179</f>
        <v>9.98460660382092</v>
      </c>
      <c r="E201" s="30" t="n">
        <f aca="false">Panel!D179-Panel!D178</f>
        <v>-0.00151798052549523</v>
      </c>
      <c r="F201" s="30" t="n">
        <f aca="false">Panel!D178-Panel!D177</f>
        <v>0.00434354544037952</v>
      </c>
      <c r="G201" s="30" t="n">
        <f aca="false">Panel!D177-Panel!D176</f>
        <v>0.00281502519400156</v>
      </c>
      <c r="H201" s="30" t="n">
        <f aca="false">Panel!D176-Panel!D175</f>
        <v>-0.0101486247915314</v>
      </c>
      <c r="I201" s="30" t="n">
        <f aca="false">Panel!D175-Panel!D174</f>
        <v>-0.000873952488298357</v>
      </c>
      <c r="L201" s="30" t="n">
        <f aca="false">Panel!E175-Panel!E174</f>
        <v>0.00166889224315714</v>
      </c>
      <c r="M201" s="29" t="n">
        <f aca="false">Panel!E174</f>
        <v>5.47846990605715</v>
      </c>
    </row>
    <row r="202" customFormat="false" ht="15" hidden="false" customHeight="false" outlineLevel="0" collapsed="false">
      <c r="C202" s="0" t="n">
        <f aca="false">Panel!D181-Panel!D180</f>
        <v>0.00759846246973872</v>
      </c>
      <c r="D202" s="29" t="n">
        <f aca="false">Panel!D180</f>
        <v>9.99758790989122</v>
      </c>
      <c r="E202" s="30" t="n">
        <f aca="false">Panel!D180-Panel!D179</f>
        <v>0.0129813060703032</v>
      </c>
      <c r="F202" s="30" t="n">
        <f aca="false">Panel!D179-Panel!D178</f>
        <v>-0.00151798052549523</v>
      </c>
      <c r="G202" s="30" t="n">
        <f aca="false">Panel!D178-Panel!D177</f>
        <v>0.00434354544037952</v>
      </c>
      <c r="H202" s="30" t="n">
        <f aca="false">Panel!D177-Panel!D176</f>
        <v>0.00281502519400156</v>
      </c>
      <c r="I202" s="30" t="n">
        <f aca="false">Panel!D176-Panel!D175</f>
        <v>-0.0101486247915314</v>
      </c>
      <c r="L202" s="30" t="n">
        <f aca="false">Panel!E176-Panel!E175</f>
        <v>-0.00803620598060384</v>
      </c>
      <c r="M202" s="29" t="n">
        <f aca="false">Panel!E175</f>
        <v>5.48013879830031</v>
      </c>
    </row>
    <row r="203" customFormat="false" ht="15" hidden="false" customHeight="false" outlineLevel="0" collapsed="false">
      <c r="C203" s="0" t="n">
        <f aca="false">Panel!D182-Panel!D181</f>
        <v>-0.00533692054410295</v>
      </c>
      <c r="D203" s="29" t="n">
        <f aca="false">Panel!D181</f>
        <v>10.005186372361</v>
      </c>
      <c r="E203" s="30" t="n">
        <f aca="false">Panel!D181-Panel!D180</f>
        <v>0.00759846246973872</v>
      </c>
      <c r="F203" s="30" t="n">
        <f aca="false">Panel!D180-Panel!D179</f>
        <v>0.0129813060703032</v>
      </c>
      <c r="G203" s="30" t="n">
        <f aca="false">Panel!D179-Panel!D178</f>
        <v>-0.00151798052549523</v>
      </c>
      <c r="H203" s="30" t="n">
        <f aca="false">Panel!D178-Panel!D177</f>
        <v>0.00434354544037952</v>
      </c>
      <c r="I203" s="30" t="n">
        <f aca="false">Panel!D177-Panel!D176</f>
        <v>0.00281502519400156</v>
      </c>
      <c r="L203" s="30" t="n">
        <f aca="false">Panel!E177-Panel!E176</f>
        <v>-0.000714661091898883</v>
      </c>
      <c r="M203" s="29" t="n">
        <f aca="false">Panel!E176</f>
        <v>5.47210259231971</v>
      </c>
    </row>
    <row r="204" customFormat="false" ht="15" hidden="false" customHeight="false" outlineLevel="0" collapsed="false">
      <c r="C204" s="0" t="n">
        <f aca="false">Panel!D183-Panel!D182</f>
        <v>-0.0200028911819814</v>
      </c>
      <c r="D204" s="29" t="n">
        <f aca="false">Panel!D182</f>
        <v>9.99984945181686</v>
      </c>
      <c r="E204" s="30" t="n">
        <f aca="false">Panel!D182-Panel!D181</f>
        <v>-0.00533692054410295</v>
      </c>
      <c r="F204" s="30" t="n">
        <f aca="false">Panel!D181-Panel!D180</f>
        <v>0.00759846246973872</v>
      </c>
      <c r="G204" s="30" t="n">
        <f aca="false">Panel!D180-Panel!D179</f>
        <v>0.0129813060703032</v>
      </c>
      <c r="H204" s="30" t="n">
        <f aca="false">Panel!D179-Panel!D178</f>
        <v>-0.00151798052549523</v>
      </c>
      <c r="I204" s="30" t="n">
        <f aca="false">Panel!D178-Panel!D177</f>
        <v>0.00434354544037952</v>
      </c>
      <c r="L204" s="30" t="n">
        <f aca="false">Panel!E178-Panel!E177</f>
        <v>0.00457340256307415</v>
      </c>
      <c r="M204" s="29" t="n">
        <f aca="false">Panel!E177</f>
        <v>5.47138793122781</v>
      </c>
    </row>
    <row r="205" customFormat="false" ht="15" hidden="false" customHeight="false" outlineLevel="0" collapsed="false">
      <c r="C205" s="0" t="n">
        <f aca="false">Panel!D184-Panel!D183</f>
        <v>-0.00172010548497958</v>
      </c>
      <c r="D205" s="29" t="n">
        <f aca="false">Panel!D183</f>
        <v>9.97984656063488</v>
      </c>
      <c r="E205" s="30" t="n">
        <f aca="false">Panel!D183-Panel!D182</f>
        <v>-0.0200028911819814</v>
      </c>
      <c r="F205" s="30" t="n">
        <f aca="false">Panel!D182-Panel!D181</f>
        <v>-0.00533692054410295</v>
      </c>
      <c r="G205" s="30" t="n">
        <f aca="false">Panel!D181-Panel!D180</f>
        <v>0.00759846246973872</v>
      </c>
      <c r="H205" s="30" t="n">
        <f aca="false">Panel!D180-Panel!D179</f>
        <v>0.0129813060703032</v>
      </c>
      <c r="I205" s="30" t="n">
        <f aca="false">Panel!D179-Panel!D178</f>
        <v>-0.00151798052549523</v>
      </c>
      <c r="L205" s="30" t="n">
        <f aca="false">Panel!E179-Panel!E178</f>
        <v>0.000920540673399195</v>
      </c>
      <c r="M205" s="29" t="n">
        <f aca="false">Panel!E178</f>
        <v>5.47596133379088</v>
      </c>
    </row>
    <row r="206" customFormat="false" ht="15" hidden="false" customHeight="false" outlineLevel="0" collapsed="false">
      <c r="C206" s="0" t="n">
        <f aca="false">Panel!D185-Panel!D184</f>
        <v>0.00578834649884463</v>
      </c>
      <c r="D206" s="29" t="n">
        <f aca="false">Panel!D184</f>
        <v>9.9781264551499</v>
      </c>
      <c r="E206" s="30" t="n">
        <f aca="false">Panel!D184-Panel!D183</f>
        <v>-0.00172010548497958</v>
      </c>
      <c r="F206" s="30" t="n">
        <f aca="false">Panel!D183-Panel!D182</f>
        <v>-0.0200028911819814</v>
      </c>
      <c r="G206" s="30" t="n">
        <f aca="false">Panel!D182-Panel!D181</f>
        <v>-0.00533692054410295</v>
      </c>
      <c r="H206" s="30" t="n">
        <f aca="false">Panel!D181-Panel!D180</f>
        <v>0.00759846246973872</v>
      </c>
      <c r="I206" s="30" t="n">
        <f aca="false">Panel!D180-Panel!D179</f>
        <v>0.0129813060703032</v>
      </c>
      <c r="L206" s="30" t="n">
        <f aca="false">Panel!E180-Panel!E179</f>
        <v>0.0132947533582009</v>
      </c>
      <c r="M206" s="29" t="n">
        <f aca="false">Panel!E179</f>
        <v>5.47688187446428</v>
      </c>
    </row>
    <row r="207" customFormat="false" ht="15" hidden="false" customHeight="false" outlineLevel="0" collapsed="false">
      <c r="C207" s="0" t="n">
        <f aca="false">Panel!D186-Panel!D185</f>
        <v>-0.00252683451111224</v>
      </c>
      <c r="D207" s="29" t="n">
        <f aca="false">Panel!D185</f>
        <v>9.98391480164874</v>
      </c>
      <c r="E207" s="30" t="n">
        <f aca="false">Panel!D185-Panel!D184</f>
        <v>0.00578834649884463</v>
      </c>
      <c r="F207" s="30" t="n">
        <f aca="false">Panel!D184-Panel!D183</f>
        <v>-0.00172010548497958</v>
      </c>
      <c r="G207" s="30" t="n">
        <f aca="false">Panel!D183-Panel!D182</f>
        <v>-0.0200028911819814</v>
      </c>
      <c r="H207" s="30" t="n">
        <f aca="false">Panel!D182-Panel!D181</f>
        <v>-0.00533692054410295</v>
      </c>
      <c r="I207" s="30" t="n">
        <f aca="false">Panel!D181-Panel!D180</f>
        <v>0.00759846246973872</v>
      </c>
      <c r="L207" s="30" t="n">
        <f aca="false">Panel!E181-Panel!E180</f>
        <v>0.00822035044121439</v>
      </c>
      <c r="M207" s="29" t="n">
        <f aca="false">Panel!E180</f>
        <v>5.49017662782248</v>
      </c>
    </row>
    <row r="208" customFormat="false" ht="15" hidden="false" customHeight="false" outlineLevel="0" collapsed="false">
      <c r="C208" s="0" t="n">
        <f aca="false">Panel!D187-Panel!D186</f>
        <v>-0.0195489627145449</v>
      </c>
      <c r="D208" s="29" t="n">
        <f aca="false">Panel!D186</f>
        <v>9.98138796713763</v>
      </c>
      <c r="E208" s="30" t="n">
        <f aca="false">Panel!D186-Panel!D185</f>
        <v>-0.00252683451111224</v>
      </c>
      <c r="F208" s="30" t="n">
        <f aca="false">Panel!D185-Panel!D184</f>
        <v>0.00578834649884463</v>
      </c>
      <c r="G208" s="30" t="n">
        <f aca="false">Panel!D184-Panel!D183</f>
        <v>-0.00172010548497958</v>
      </c>
      <c r="H208" s="30" t="n">
        <f aca="false">Panel!D183-Panel!D182</f>
        <v>-0.0200028911819814</v>
      </c>
      <c r="I208" s="30" t="n">
        <f aca="false">Panel!D182-Panel!D181</f>
        <v>-0.00533692054410295</v>
      </c>
      <c r="L208" s="30" t="n">
        <f aca="false">Panel!E182-Panel!E181</f>
        <v>-0.00455394743812043</v>
      </c>
      <c r="M208" s="29" t="n">
        <f aca="false">Panel!E181</f>
        <v>5.4983969782637</v>
      </c>
    </row>
    <row r="209" customFormat="false" ht="15" hidden="false" customHeight="false" outlineLevel="0" collapsed="false">
      <c r="C209" s="0" t="n">
        <f aca="false">Panel!D188-Panel!D187</f>
        <v>0.0137389506269443</v>
      </c>
      <c r="D209" s="29" t="n">
        <f aca="false">Panel!D187</f>
        <v>9.96183900442309</v>
      </c>
      <c r="E209" s="30" t="n">
        <f aca="false">Panel!D187-Panel!D186</f>
        <v>-0.0195489627145449</v>
      </c>
      <c r="F209" s="30" t="n">
        <f aca="false">Panel!D186-Panel!D185</f>
        <v>-0.00252683451111224</v>
      </c>
      <c r="G209" s="30" t="n">
        <f aca="false">Panel!D185-Panel!D184</f>
        <v>0.00578834649884463</v>
      </c>
      <c r="H209" s="30" t="n">
        <f aca="false">Panel!D184-Panel!D183</f>
        <v>-0.00172010548497958</v>
      </c>
      <c r="I209" s="30" t="n">
        <f aca="false">Panel!D183-Panel!D182</f>
        <v>-0.0200028911819814</v>
      </c>
      <c r="L209" s="30" t="n">
        <f aca="false">Panel!E183-Panel!E182</f>
        <v>-0.019473720497178</v>
      </c>
      <c r="M209" s="29" t="n">
        <f aca="false">Panel!E182</f>
        <v>5.49384303082557</v>
      </c>
    </row>
    <row r="210" customFormat="false" ht="15" hidden="false" customHeight="false" outlineLevel="0" collapsed="false">
      <c r="C210" s="0" t="n">
        <f aca="false">Panel!D189-Panel!D188</f>
        <v>-0.00672409908264804</v>
      </c>
      <c r="D210" s="29" t="n">
        <f aca="false">Panel!D188</f>
        <v>9.97557795505003</v>
      </c>
      <c r="E210" s="30" t="n">
        <f aca="false">Panel!D188-Panel!D187</f>
        <v>0.0137389506269443</v>
      </c>
      <c r="F210" s="30" t="n">
        <f aca="false">Panel!D187-Panel!D186</f>
        <v>-0.0195489627145449</v>
      </c>
      <c r="G210" s="30" t="n">
        <f aca="false">Panel!D186-Panel!D185</f>
        <v>-0.00252683451111224</v>
      </c>
      <c r="H210" s="30" t="n">
        <f aca="false">Panel!D185-Panel!D184</f>
        <v>0.00578834649884463</v>
      </c>
      <c r="I210" s="30" t="n">
        <f aca="false">Panel!D184-Panel!D183</f>
        <v>-0.00172010548497958</v>
      </c>
      <c r="L210" s="30" t="n">
        <f aca="false">Panel!E184-Panel!E183</f>
        <v>-0.00344407917404421</v>
      </c>
      <c r="M210" s="29" t="n">
        <f aca="false">Panel!E183</f>
        <v>5.4743693103284</v>
      </c>
    </row>
    <row r="211" customFormat="false" ht="15" hidden="false" customHeight="false" outlineLevel="0" collapsed="false">
      <c r="C211" s="0" t="n">
        <f aca="false">Panel!D190-Panel!D189</f>
        <v>0.0243989863904055</v>
      </c>
      <c r="D211" s="29" t="n">
        <f aca="false">Panel!D189</f>
        <v>9.96885385596738</v>
      </c>
      <c r="E211" s="30" t="n">
        <f aca="false">Panel!D189-Panel!D188</f>
        <v>-0.00672409908264804</v>
      </c>
      <c r="F211" s="30" t="n">
        <f aca="false">Panel!D188-Panel!D187</f>
        <v>0.0137389506269443</v>
      </c>
      <c r="G211" s="30" t="n">
        <f aca="false">Panel!D187-Panel!D186</f>
        <v>-0.0195489627145449</v>
      </c>
      <c r="H211" s="30" t="n">
        <f aca="false">Panel!D186-Panel!D185</f>
        <v>-0.00252683451111224</v>
      </c>
      <c r="I211" s="30" t="n">
        <f aca="false">Panel!D185-Panel!D184</f>
        <v>0.00578834649884463</v>
      </c>
      <c r="L211" s="30" t="n">
        <f aca="false">Panel!E185-Panel!E184</f>
        <v>0.00691812155217164</v>
      </c>
      <c r="M211" s="29" t="n">
        <f aca="false">Panel!E184</f>
        <v>5.47092523115435</v>
      </c>
    </row>
    <row r="212" customFormat="false" ht="15" hidden="false" customHeight="false" outlineLevel="0" collapsed="false">
      <c r="C212" s="0" t="n">
        <f aca="false">Panel!D191-Panel!D190</f>
        <v>-0.0116937544015041</v>
      </c>
      <c r="D212" s="29" t="n">
        <f aca="false">Panel!D190</f>
        <v>9.99325284235779</v>
      </c>
      <c r="E212" s="30" t="n">
        <f aca="false">Panel!D190-Panel!D189</f>
        <v>0.0243989863904055</v>
      </c>
      <c r="F212" s="30" t="n">
        <f aca="false">Panel!D189-Panel!D188</f>
        <v>-0.00672409908264804</v>
      </c>
      <c r="G212" s="30" t="n">
        <f aca="false">Panel!D188-Panel!D187</f>
        <v>0.0137389506269443</v>
      </c>
      <c r="H212" s="30" t="n">
        <f aca="false">Panel!D187-Panel!D186</f>
        <v>-0.0195489627145449</v>
      </c>
      <c r="I212" s="30" t="n">
        <f aca="false">Panel!D186-Panel!D185</f>
        <v>-0.00252683451111224</v>
      </c>
      <c r="L212" s="30" t="n">
        <f aca="false">Panel!E186-Panel!E185</f>
        <v>-0.00150533166623745</v>
      </c>
      <c r="M212" s="29" t="n">
        <f aca="false">Panel!E185</f>
        <v>5.47784335270652</v>
      </c>
    </row>
    <row r="213" customFormat="false" ht="15" hidden="false" customHeight="false" outlineLevel="0" collapsed="false">
      <c r="C213" s="0" t="n">
        <f aca="false">Panel!D192-Panel!D191</f>
        <v>0.00750965267005022</v>
      </c>
      <c r="D213" s="29" t="n">
        <f aca="false">Panel!D191</f>
        <v>9.98155908795628</v>
      </c>
      <c r="E213" s="30" t="n">
        <f aca="false">Panel!D191-Panel!D190</f>
        <v>-0.0116937544015041</v>
      </c>
      <c r="F213" s="30" t="n">
        <f aca="false">Panel!D190-Panel!D189</f>
        <v>0.0243989863904055</v>
      </c>
      <c r="G213" s="30" t="n">
        <f aca="false">Panel!D189-Panel!D188</f>
        <v>-0.00672409908264804</v>
      </c>
      <c r="H213" s="30" t="n">
        <f aca="false">Panel!D188-Panel!D187</f>
        <v>0.0137389506269443</v>
      </c>
      <c r="I213" s="30" t="n">
        <f aca="false">Panel!D187-Panel!D186</f>
        <v>-0.0195489627145449</v>
      </c>
      <c r="L213" s="30" t="n">
        <f aca="false">Panel!E187-Panel!E186</f>
        <v>-0.0150518262141102</v>
      </c>
      <c r="M213" s="29" t="n">
        <f aca="false">Panel!E186</f>
        <v>5.47633802104029</v>
      </c>
    </row>
    <row r="214" customFormat="false" ht="15" hidden="false" customHeight="false" outlineLevel="0" collapsed="false">
      <c r="C214" s="0" t="n">
        <f aca="false">Panel!D193-Panel!D192</f>
        <v>-0.00206298848008402</v>
      </c>
      <c r="D214" s="29" t="n">
        <f aca="false">Panel!D192</f>
        <v>9.98906874062633</v>
      </c>
      <c r="E214" s="30" t="n">
        <f aca="false">Panel!D192-Panel!D191</f>
        <v>0.00750965267005022</v>
      </c>
      <c r="F214" s="30" t="n">
        <f aca="false">Panel!D191-Panel!D190</f>
        <v>-0.0116937544015041</v>
      </c>
      <c r="G214" s="30" t="n">
        <f aca="false">Panel!D190-Panel!D189</f>
        <v>0.0243989863904055</v>
      </c>
      <c r="H214" s="30" t="n">
        <f aca="false">Panel!D189-Panel!D188</f>
        <v>-0.00672409908264804</v>
      </c>
      <c r="I214" s="30" t="n">
        <f aca="false">Panel!D188-Panel!D187</f>
        <v>0.0137389506269443</v>
      </c>
      <c r="L214" s="30" t="n">
        <f aca="false">Panel!E188-Panel!E187</f>
        <v>0.00917612206425478</v>
      </c>
      <c r="M214" s="29" t="n">
        <f aca="false">Panel!E187</f>
        <v>5.46128619482618</v>
      </c>
    </row>
    <row r="215" customFormat="false" ht="15" hidden="false" customHeight="false" outlineLevel="0" collapsed="false">
      <c r="C215" s="0" t="n">
        <f aca="false">Panel!D194-Panel!D193</f>
        <v>0.00992660509974286</v>
      </c>
      <c r="D215" s="29" t="n">
        <f aca="false">Panel!D193</f>
        <v>9.98700575214625</v>
      </c>
      <c r="E215" s="30" t="n">
        <f aca="false">Panel!D193-Panel!D192</f>
        <v>-0.00206298848008402</v>
      </c>
      <c r="F215" s="30" t="n">
        <f aca="false">Panel!D192-Panel!D191</f>
        <v>0.00750965267005022</v>
      </c>
      <c r="G215" s="30" t="n">
        <f aca="false">Panel!D191-Panel!D190</f>
        <v>-0.0116937544015041</v>
      </c>
      <c r="H215" s="30" t="n">
        <f aca="false">Panel!D190-Panel!D189</f>
        <v>0.0243989863904055</v>
      </c>
      <c r="I215" s="30" t="n">
        <f aca="false">Panel!D189-Panel!D188</f>
        <v>-0.00672409908264804</v>
      </c>
      <c r="L215" s="30" t="n">
        <f aca="false">Panel!E189-Panel!E188</f>
        <v>-0.00366880037049278</v>
      </c>
      <c r="M215" s="29" t="n">
        <f aca="false">Panel!E188</f>
        <v>5.47046231689043</v>
      </c>
    </row>
    <row r="216" customFormat="false" ht="15" hidden="false" customHeight="false" outlineLevel="0" collapsed="false">
      <c r="C216" s="0" t="n">
        <f aca="false">Panel!D195-Panel!D194</f>
        <v>-0.00777182297171386</v>
      </c>
      <c r="D216" s="29" t="n">
        <f aca="false">Panel!D194</f>
        <v>9.99693235724599</v>
      </c>
      <c r="E216" s="30" t="n">
        <f aca="false">Panel!D194-Panel!D193</f>
        <v>0.00992660509974286</v>
      </c>
      <c r="F216" s="30" t="n">
        <f aca="false">Panel!D193-Panel!D192</f>
        <v>-0.00206298848008402</v>
      </c>
      <c r="G216" s="30" t="n">
        <f aca="false">Panel!D192-Panel!D191</f>
        <v>0.00750965267005022</v>
      </c>
      <c r="H216" s="30" t="n">
        <f aca="false">Panel!D191-Panel!D190</f>
        <v>-0.0116937544015041</v>
      </c>
      <c r="I216" s="30" t="n">
        <f aca="false">Panel!D190-Panel!D189</f>
        <v>0.0243989863904055</v>
      </c>
      <c r="L216" s="30" t="n">
        <f aca="false">Panel!E190-Panel!E189</f>
        <v>0.0148865313304638</v>
      </c>
      <c r="M216" s="29" t="n">
        <f aca="false">Panel!E189</f>
        <v>5.46679351651994</v>
      </c>
    </row>
    <row r="217" customFormat="false" ht="15" hidden="false" customHeight="false" outlineLevel="0" collapsed="false">
      <c r="C217" s="0" t="n">
        <f aca="false">Panel!D196-Panel!D195</f>
        <v>0.00965537971906905</v>
      </c>
      <c r="D217" s="29" t="n">
        <f aca="false">Panel!D195</f>
        <v>9.98916053427428</v>
      </c>
      <c r="E217" s="30" t="n">
        <f aca="false">Panel!D195-Panel!D194</f>
        <v>-0.00777182297171386</v>
      </c>
      <c r="F217" s="30" t="n">
        <f aca="false">Panel!D194-Panel!D193</f>
        <v>0.00992660509974286</v>
      </c>
      <c r="G217" s="30" t="n">
        <f aca="false">Panel!D193-Panel!D192</f>
        <v>-0.00206298848008402</v>
      </c>
      <c r="H217" s="30" t="n">
        <f aca="false">Panel!D192-Panel!D191</f>
        <v>0.00750965267005022</v>
      </c>
      <c r="I217" s="30" t="n">
        <f aca="false">Panel!D191-Panel!D190</f>
        <v>-0.0116937544015041</v>
      </c>
      <c r="L217" s="30" t="n">
        <f aca="false">Panel!E191-Panel!E190</f>
        <v>-0.00856939092920239</v>
      </c>
      <c r="M217" s="29" t="n">
        <f aca="false">Panel!E190</f>
        <v>5.4816800478504</v>
      </c>
    </row>
    <row r="218" customFormat="false" ht="15" hidden="false" customHeight="false" outlineLevel="0" collapsed="false">
      <c r="C218" s="0" t="n">
        <f aca="false">Panel!D197-Panel!D196</f>
        <v>0.000858706495563411</v>
      </c>
      <c r="D218" s="29" t="n">
        <f aca="false">Panel!D196</f>
        <v>9.99881591399335</v>
      </c>
      <c r="E218" s="30" t="n">
        <f aca="false">Panel!D196-Panel!D195</f>
        <v>0.00965537971906905</v>
      </c>
      <c r="F218" s="30" t="n">
        <f aca="false">Panel!D195-Panel!D194</f>
        <v>-0.00777182297171386</v>
      </c>
      <c r="G218" s="30" t="n">
        <f aca="false">Panel!D194-Panel!D193</f>
        <v>0.00992660509974286</v>
      </c>
      <c r="H218" s="30" t="n">
        <f aca="false">Panel!D193-Panel!D192</f>
        <v>-0.00206298848008402</v>
      </c>
      <c r="I218" s="30" t="n">
        <f aca="false">Panel!D192-Panel!D191</f>
        <v>0.00750965267005022</v>
      </c>
      <c r="L218" s="30" t="n">
        <f aca="false">Panel!E192-Panel!E191</f>
        <v>0.00856939092920239</v>
      </c>
      <c r="M218" s="29" t="n">
        <f aca="false">Panel!E191</f>
        <v>5.4731106569212</v>
      </c>
    </row>
    <row r="219" customFormat="false" ht="15" hidden="false" customHeight="false" outlineLevel="0" collapsed="false">
      <c r="C219" s="0" t="n">
        <f aca="false">Panel!D198-Panel!D197</f>
        <v>-0.00877160594983373</v>
      </c>
      <c r="D219" s="29" t="n">
        <f aca="false">Panel!D197</f>
        <v>9.99967462048891</v>
      </c>
      <c r="E219" s="30" t="n">
        <f aca="false">Panel!D197-Panel!D196</f>
        <v>0.000858706495563411</v>
      </c>
      <c r="F219" s="30" t="n">
        <f aca="false">Panel!D196-Panel!D195</f>
        <v>0.00965537971906905</v>
      </c>
      <c r="G219" s="30" t="n">
        <f aca="false">Panel!D195-Panel!D194</f>
        <v>-0.00777182297171386</v>
      </c>
      <c r="H219" s="30" t="n">
        <f aca="false">Panel!D194-Panel!D193</f>
        <v>0.00992660509974286</v>
      </c>
      <c r="I219" s="30" t="n">
        <f aca="false">Panel!D193-Panel!D192</f>
        <v>-0.00206298848008402</v>
      </c>
      <c r="L219" s="30" t="n">
        <f aca="false">Panel!E193-Panel!E192</f>
        <v>-0.00116613232156126</v>
      </c>
      <c r="M219" s="29" t="n">
        <f aca="false">Panel!E192</f>
        <v>5.4816800478504</v>
      </c>
    </row>
    <row r="220" customFormat="false" ht="15" hidden="false" customHeight="false" outlineLevel="0" collapsed="false">
      <c r="C220" s="0" t="n">
        <f aca="false">Panel!D199-Panel!D198</f>
        <v>0.00100284146796703</v>
      </c>
      <c r="D220" s="29" t="n">
        <f aca="false">Panel!D198</f>
        <v>9.99090301453908</v>
      </c>
      <c r="E220" s="30" t="n">
        <f aca="false">Panel!D198-Panel!D197</f>
        <v>-0.00877160594983373</v>
      </c>
      <c r="F220" s="30" t="n">
        <f aca="false">Panel!D197-Panel!D196</f>
        <v>0.000858706495563411</v>
      </c>
      <c r="G220" s="30" t="n">
        <f aca="false">Panel!D196-Panel!D195</f>
        <v>0.00965537971906905</v>
      </c>
      <c r="H220" s="30" t="n">
        <f aca="false">Panel!D195-Panel!D194</f>
        <v>-0.00777182297171386</v>
      </c>
      <c r="I220" s="30" t="n">
        <f aca="false">Panel!D194-Panel!D193</f>
        <v>0.00992660509974286</v>
      </c>
      <c r="L220" s="30" t="n">
        <f aca="false">Panel!E194-Panel!E193</f>
        <v>0.00676955053181949</v>
      </c>
      <c r="M220" s="29" t="n">
        <f aca="false">Panel!E193</f>
        <v>5.48051391552884</v>
      </c>
    </row>
    <row r="221" customFormat="false" ht="15" hidden="false" customHeight="false" outlineLevel="0" collapsed="false">
      <c r="C221" s="0" t="n">
        <f aca="false">Panel!D200-Panel!D199</f>
        <v>-0.0068152752692896</v>
      </c>
      <c r="D221" s="29" t="n">
        <f aca="false">Panel!D199</f>
        <v>9.99190585600704</v>
      </c>
      <c r="E221" s="30" t="n">
        <f aca="false">Panel!D199-Panel!D198</f>
        <v>0.00100284146796703</v>
      </c>
      <c r="F221" s="30" t="n">
        <f aca="false">Panel!D198-Panel!D197</f>
        <v>-0.00877160594983373</v>
      </c>
      <c r="G221" s="30" t="n">
        <f aca="false">Panel!D197-Panel!D196</f>
        <v>0.000858706495563411</v>
      </c>
      <c r="H221" s="30" t="n">
        <f aca="false">Panel!D196-Panel!D195</f>
        <v>0.00965537971906905</v>
      </c>
      <c r="I221" s="30" t="n">
        <f aca="false">Panel!D195-Panel!D194</f>
        <v>-0.00777182297171386</v>
      </c>
      <c r="L221" s="30" t="n">
        <f aca="false">Panel!E195-Panel!E194</f>
        <v>-0.0060197379498268</v>
      </c>
      <c r="M221" s="29" t="n">
        <f aca="false">Panel!E194</f>
        <v>5.48728346606066</v>
      </c>
    </row>
    <row r="222" customFormat="false" ht="15" hidden="false" customHeight="false" outlineLevel="0" collapsed="false">
      <c r="C222" s="0" t="n">
        <f aca="false">Panel!D201-Panel!D200</f>
        <v>0.00534272163458915</v>
      </c>
      <c r="D222" s="29" t="n">
        <f aca="false">Panel!D200</f>
        <v>9.98509058073775</v>
      </c>
      <c r="E222" s="30" t="n">
        <f aca="false">Panel!D200-Panel!D199</f>
        <v>-0.0068152752692896</v>
      </c>
      <c r="F222" s="30" t="n">
        <f aca="false">Panel!D199-Panel!D198</f>
        <v>0.00100284146796703</v>
      </c>
      <c r="G222" s="30" t="n">
        <f aca="false">Panel!D198-Panel!D197</f>
        <v>-0.00877160594983373</v>
      </c>
      <c r="H222" s="30" t="n">
        <f aca="false">Panel!D197-Panel!D196</f>
        <v>0.000858706495563411</v>
      </c>
      <c r="I222" s="30" t="n">
        <f aca="false">Panel!D196-Panel!D195</f>
        <v>0.00965537971906905</v>
      </c>
      <c r="L222" s="30" t="n">
        <f aca="false">Panel!E196-Panel!E195</f>
        <v>0.00812844022590742</v>
      </c>
      <c r="M222" s="29" t="n">
        <f aca="false">Panel!E195</f>
        <v>5.48126372811083</v>
      </c>
    </row>
    <row r="223" customFormat="false" ht="15" hidden="false" customHeight="false" outlineLevel="0" collapsed="false">
      <c r="C223" s="0" t="n">
        <f aca="false">Panel!D202-Panel!D201</f>
        <v>0.00494951486803963</v>
      </c>
      <c r="D223" s="29" t="n">
        <f aca="false">Panel!D201</f>
        <v>9.99043330237234</v>
      </c>
      <c r="E223" s="30" t="n">
        <f aca="false">Panel!D201-Panel!D200</f>
        <v>0.00534272163458915</v>
      </c>
      <c r="F223" s="30" t="n">
        <f aca="false">Panel!D200-Panel!D199</f>
        <v>-0.0068152752692896</v>
      </c>
      <c r="G223" s="30" t="n">
        <f aca="false">Panel!D199-Panel!D198</f>
        <v>0.00100284146796703</v>
      </c>
      <c r="H223" s="30" t="n">
        <f aca="false">Panel!D198-Panel!D197</f>
        <v>-0.00877160594983373</v>
      </c>
      <c r="I223" s="30" t="n">
        <f aca="false">Panel!D197-Panel!D196</f>
        <v>0.000858706495563411</v>
      </c>
      <c r="L223" s="30" t="n">
        <f aca="false">Panel!E197-Panel!E196</f>
        <v>0.00243394439581479</v>
      </c>
      <c r="M223" s="29" t="n">
        <f aca="false">Panel!E196</f>
        <v>5.48939216833674</v>
      </c>
    </row>
    <row r="224" customFormat="false" ht="15" hidden="false" customHeight="false" outlineLevel="0" collapsed="false">
      <c r="C224" s="0" t="n">
        <f aca="false">Panel!D203-Panel!D202</f>
        <v>0.00419188590733555</v>
      </c>
      <c r="D224" s="29" t="n">
        <f aca="false">Panel!D202</f>
        <v>9.99538281724038</v>
      </c>
      <c r="E224" s="30" t="n">
        <f aca="false">Panel!D202-Panel!D201</f>
        <v>0.00494951486803963</v>
      </c>
      <c r="F224" s="30" t="n">
        <f aca="false">Panel!D201-Panel!D200</f>
        <v>0.00534272163458915</v>
      </c>
      <c r="G224" s="30" t="n">
        <f aca="false">Panel!D200-Panel!D199</f>
        <v>-0.0068152752692896</v>
      </c>
      <c r="H224" s="30" t="n">
        <f aca="false">Panel!D199-Panel!D198</f>
        <v>0.00100284146796703</v>
      </c>
      <c r="I224" s="30" t="n">
        <f aca="false">Panel!D198-Panel!D197</f>
        <v>-0.00877160594983373</v>
      </c>
      <c r="L224" s="30" t="n">
        <f aca="false">Panel!E198-Panel!E197</f>
        <v>-0.00889814458709282</v>
      </c>
      <c r="M224" s="29" t="n">
        <f aca="false">Panel!E197</f>
        <v>5.49182611273256</v>
      </c>
    </row>
    <row r="225" customFormat="false" ht="15" hidden="false" customHeight="false" outlineLevel="0" collapsed="false">
      <c r="C225" s="0" t="n">
        <f aca="false">Panel!D204-Panel!D203</f>
        <v>0.00319467720149724</v>
      </c>
      <c r="D225" s="29" t="n">
        <f aca="false">Panel!D203</f>
        <v>9.99957470314772</v>
      </c>
      <c r="E225" s="30" t="n">
        <f aca="false">Panel!D203-Panel!D202</f>
        <v>0.00419188590733555</v>
      </c>
      <c r="F225" s="30" t="n">
        <f aca="false">Panel!D202-Panel!D201</f>
        <v>0.00494951486803963</v>
      </c>
      <c r="G225" s="30" t="n">
        <f aca="false">Panel!D201-Panel!D200</f>
        <v>0.00534272163458915</v>
      </c>
      <c r="H225" s="30" t="n">
        <f aca="false">Panel!D200-Panel!D199</f>
        <v>-0.0068152752692896</v>
      </c>
      <c r="I225" s="30" t="n">
        <f aca="false">Panel!D199-Panel!D198</f>
        <v>0.00100284146796703</v>
      </c>
      <c r="L225" s="30" t="n">
        <f aca="false">Panel!E199-Panel!E198</f>
        <v>0.000623376643563489</v>
      </c>
      <c r="M225" s="29" t="n">
        <f aca="false">Panel!E198</f>
        <v>5.48292796814546</v>
      </c>
    </row>
    <row r="226" customFormat="false" ht="15" hidden="false" customHeight="false" outlineLevel="0" collapsed="false">
      <c r="C226" s="0" t="n">
        <f aca="false">Panel!D205-Panel!D204</f>
        <v>0.00363570619359876</v>
      </c>
      <c r="D226" s="29" t="n">
        <f aca="false">Panel!D204</f>
        <v>10.0027693803492</v>
      </c>
      <c r="E226" s="30" t="n">
        <f aca="false">Panel!D204-Panel!D203</f>
        <v>0.00319467720149724</v>
      </c>
      <c r="F226" s="30" t="n">
        <f aca="false">Panel!D203-Panel!D202</f>
        <v>0.00419188590733555</v>
      </c>
      <c r="G226" s="30" t="n">
        <f aca="false">Panel!D202-Panel!D201</f>
        <v>0.00494951486803963</v>
      </c>
      <c r="H226" s="30" t="n">
        <f aca="false">Panel!D201-Panel!D200</f>
        <v>0.00534272163458915</v>
      </c>
      <c r="I226" s="30" t="n">
        <f aca="false">Panel!D200-Panel!D199</f>
        <v>-0.0068152752692896</v>
      </c>
      <c r="L226" s="30" t="n">
        <f aca="false">Panel!E200-Panel!E199</f>
        <v>-0.00545732363199214</v>
      </c>
      <c r="M226" s="29" t="n">
        <f aca="false">Panel!E199</f>
        <v>5.48355134478903</v>
      </c>
    </row>
    <row r="227" customFormat="false" ht="15" hidden="false" customHeight="false" outlineLevel="0" collapsed="false">
      <c r="C227" s="0" t="n">
        <f aca="false">Panel!D206-Panel!D205</f>
        <v>0.00288063586656051</v>
      </c>
      <c r="D227" s="29" t="n">
        <f aca="false">Panel!D205</f>
        <v>10.0064050865428</v>
      </c>
      <c r="E227" s="30" t="n">
        <f aca="false">Panel!D205-Panel!D204</f>
        <v>0.00363570619359876</v>
      </c>
      <c r="F227" s="30" t="n">
        <f aca="false">Panel!D204-Panel!D203</f>
        <v>0.00319467720149724</v>
      </c>
      <c r="G227" s="30" t="n">
        <f aca="false">Panel!D203-Panel!D202</f>
        <v>0.00419188590733555</v>
      </c>
      <c r="H227" s="30" t="n">
        <f aca="false">Panel!D202-Panel!D201</f>
        <v>0.00494951486803963</v>
      </c>
      <c r="I227" s="30" t="n">
        <f aca="false">Panel!D201-Panel!D200</f>
        <v>0.00534272163458915</v>
      </c>
      <c r="L227" s="30" t="n">
        <f aca="false">Panel!E201-Panel!E200</f>
        <v>0.00421018150401853</v>
      </c>
      <c r="M227" s="29" t="n">
        <f aca="false">Panel!E200</f>
        <v>5.47809402115703</v>
      </c>
    </row>
    <row r="228" customFormat="false" ht="15" hidden="false" customHeight="false" outlineLevel="0" collapsed="false">
      <c r="C228" s="0" t="n">
        <f aca="false">Panel!D207-Panel!D206</f>
        <v>-0.00871683222268338</v>
      </c>
      <c r="D228" s="29" t="n">
        <f aca="false">Panel!D206</f>
        <v>10.0092857224094</v>
      </c>
      <c r="E228" s="30" t="n">
        <f aca="false">Panel!D206-Panel!D205</f>
        <v>0.00288063586656051</v>
      </c>
      <c r="F228" s="30" t="n">
        <f aca="false">Panel!D205-Panel!D204</f>
        <v>0.00363570619359876</v>
      </c>
      <c r="G228" s="30" t="n">
        <f aca="false">Panel!D204-Panel!D203</f>
        <v>0.00319467720149724</v>
      </c>
      <c r="H228" s="30" t="n">
        <f aca="false">Panel!D203-Panel!D202</f>
        <v>0.00419188590733555</v>
      </c>
      <c r="I228" s="30" t="n">
        <f aca="false">Panel!D202-Panel!D201</f>
        <v>0.00494951486803963</v>
      </c>
      <c r="L228" s="30" t="n">
        <f aca="false">Panel!E202-Panel!E201</f>
        <v>0.00539308504838498</v>
      </c>
      <c r="M228" s="29" t="n">
        <f aca="false">Panel!E201</f>
        <v>5.48230420266105</v>
      </c>
    </row>
    <row r="229" customFormat="false" ht="15" hidden="false" customHeight="false" outlineLevel="0" collapsed="false">
      <c r="C229" s="0" t="n">
        <f aca="false">Panel!D208-Panel!D207</f>
        <v>0.0104178893328815</v>
      </c>
      <c r="D229" s="29" t="n">
        <f aca="false">Panel!D207</f>
        <v>10.0005688901867</v>
      </c>
      <c r="E229" s="30" t="n">
        <f aca="false">Panel!D207-Panel!D206</f>
        <v>-0.00871683222268338</v>
      </c>
      <c r="F229" s="30" t="n">
        <f aca="false">Panel!D206-Panel!D205</f>
        <v>0.00288063586656051</v>
      </c>
      <c r="G229" s="30" t="n">
        <f aca="false">Panel!D205-Panel!D204</f>
        <v>0.00363570619359876</v>
      </c>
      <c r="H229" s="30" t="n">
        <f aca="false">Panel!D204-Panel!D203</f>
        <v>0.00319467720149724</v>
      </c>
      <c r="I229" s="30" t="n">
        <f aca="false">Panel!D203-Panel!D202</f>
        <v>0.00419188590733555</v>
      </c>
      <c r="L229" s="30" t="n">
        <f aca="false">Panel!E203-Panel!E202</f>
        <v>0.00495254829868941</v>
      </c>
      <c r="M229" s="29" t="n">
        <f aca="false">Panel!E202</f>
        <v>5.48769728770944</v>
      </c>
    </row>
    <row r="230" customFormat="false" ht="15" hidden="false" customHeight="false" outlineLevel="0" collapsed="false">
      <c r="C230" s="0" t="n">
        <f aca="false">Panel!D209-Panel!D208</f>
        <v>-0.00219371283817438</v>
      </c>
      <c r="D230" s="29" t="n">
        <f aca="false">Panel!D208</f>
        <v>10.0109867795196</v>
      </c>
      <c r="E230" s="30" t="n">
        <f aca="false">Panel!D208-Panel!D207</f>
        <v>0.0104178893328815</v>
      </c>
      <c r="F230" s="30" t="n">
        <f aca="false">Panel!D207-Panel!D206</f>
        <v>-0.00871683222268338</v>
      </c>
      <c r="G230" s="30" t="n">
        <f aca="false">Panel!D206-Panel!D205</f>
        <v>0.00288063586656051</v>
      </c>
      <c r="H230" s="30" t="n">
        <f aca="false">Panel!D205-Panel!D204</f>
        <v>0.00363570619359876</v>
      </c>
      <c r="I230" s="30" t="n">
        <f aca="false">Panel!D204-Panel!D203</f>
        <v>0.00319467720149724</v>
      </c>
      <c r="L230" s="30" t="n">
        <f aca="false">Panel!E204-Panel!E203</f>
        <v>0.00529677478905199</v>
      </c>
      <c r="M230" s="29" t="n">
        <f aca="false">Panel!E203</f>
        <v>5.49264983600813</v>
      </c>
    </row>
    <row r="231" customFormat="false" ht="15" hidden="false" customHeight="false" outlineLevel="0" collapsed="false">
      <c r="C231" s="0" t="n">
        <f aca="false">Panel!D210-Panel!D209</f>
        <v>-0.00369702855717335</v>
      </c>
      <c r="D231" s="29" t="n">
        <f aca="false">Panel!D209</f>
        <v>10.0087930666814</v>
      </c>
      <c r="E231" s="30" t="n">
        <f aca="false">Panel!D209-Panel!D208</f>
        <v>-0.00219371283817438</v>
      </c>
      <c r="F231" s="30" t="n">
        <f aca="false">Panel!D208-Panel!D207</f>
        <v>0.0104178893328815</v>
      </c>
      <c r="G231" s="30" t="n">
        <f aca="false">Panel!D207-Panel!D206</f>
        <v>-0.00871683222268338</v>
      </c>
      <c r="H231" s="30" t="n">
        <f aca="false">Panel!D206-Panel!D205</f>
        <v>0.00288063586656051</v>
      </c>
      <c r="I231" s="30" t="n">
        <f aca="false">Panel!D205-Panel!D204</f>
        <v>0.00363570619359876</v>
      </c>
      <c r="L231" s="30" t="n">
        <f aca="false">Panel!E205-Panel!E204</f>
        <v>0.00400523667684194</v>
      </c>
      <c r="M231" s="29" t="n">
        <f aca="false">Panel!E204</f>
        <v>5.49794661079718</v>
      </c>
    </row>
    <row r="232" customFormat="false" ht="15" hidden="false" customHeight="false" outlineLevel="0" collapsed="false">
      <c r="C232" s="0" t="n">
        <f aca="false">Panel!D211-Panel!D210</f>
        <v>0.00253078465302181</v>
      </c>
      <c r="D232" s="29" t="n">
        <f aca="false">Panel!D210</f>
        <v>10.0050960381242</v>
      </c>
      <c r="E232" s="30" t="n">
        <f aca="false">Panel!D210-Panel!D209</f>
        <v>-0.00369702855717335</v>
      </c>
      <c r="F232" s="30" t="n">
        <f aca="false">Panel!D209-Panel!D208</f>
        <v>-0.00219371283817438</v>
      </c>
      <c r="G232" s="30" t="n">
        <f aca="false">Panel!D208-Panel!D207</f>
        <v>0.0104178893328815</v>
      </c>
      <c r="H232" s="30" t="n">
        <f aca="false">Panel!D207-Panel!D206</f>
        <v>-0.00871683222268338</v>
      </c>
      <c r="I232" s="30" t="n">
        <f aca="false">Panel!D206-Panel!D205</f>
        <v>0.00288063586656051</v>
      </c>
      <c r="L232" s="30" t="n">
        <f aca="false">Panel!E206-Panel!E205</f>
        <v>0.0010191810743807</v>
      </c>
      <c r="M232" s="29" t="n">
        <f aca="false">Panel!E205</f>
        <v>5.50195184747402</v>
      </c>
    </row>
    <row r="233" customFormat="false" ht="15" hidden="false" customHeight="false" outlineLevel="0" collapsed="false">
      <c r="C233" s="0" t="n">
        <f aca="false">Panel!D212-Panel!D211</f>
        <v>-0.0135173358322938</v>
      </c>
      <c r="D233" s="29" t="n">
        <f aca="false">Panel!D211</f>
        <v>10.0076268227772</v>
      </c>
      <c r="E233" s="30" t="n">
        <f aca="false">Panel!D211-Panel!D210</f>
        <v>0.00253078465302181</v>
      </c>
      <c r="F233" s="30" t="n">
        <f aca="false">Panel!D210-Panel!D209</f>
        <v>-0.00369702855717335</v>
      </c>
      <c r="G233" s="30" t="n">
        <f aca="false">Panel!D209-Panel!D208</f>
        <v>-0.00219371283817438</v>
      </c>
      <c r="H233" s="30" t="n">
        <f aca="false">Panel!D208-Panel!D207</f>
        <v>0.0104178893328815</v>
      </c>
      <c r="I233" s="30" t="n">
        <f aca="false">Panel!D207-Panel!D206</f>
        <v>-0.00871683222268338</v>
      </c>
      <c r="L233" s="30" t="n">
        <f aca="false">Panel!E207-Panel!E206</f>
        <v>-0.0069099733188871</v>
      </c>
      <c r="M233" s="29" t="n">
        <f aca="false">Panel!E206</f>
        <v>5.5029710285484</v>
      </c>
    </row>
    <row r="234" customFormat="false" ht="15" hidden="false" customHeight="false" outlineLevel="0" collapsed="false">
      <c r="C234" s="0" t="n">
        <f aca="false">Panel!D213-Panel!D212</f>
        <v>0.00403803405391301</v>
      </c>
      <c r="D234" s="29" t="n">
        <f aca="false">Panel!D212</f>
        <v>9.99410948694495</v>
      </c>
      <c r="E234" s="30" t="n">
        <f aca="false">Panel!D212-Panel!D211</f>
        <v>-0.0135173358322938</v>
      </c>
      <c r="F234" s="30" t="n">
        <f aca="false">Panel!D211-Panel!D210</f>
        <v>0.00253078465302181</v>
      </c>
      <c r="G234" s="30" t="n">
        <f aca="false">Panel!D210-Panel!D209</f>
        <v>-0.00369702855717335</v>
      </c>
      <c r="H234" s="30" t="n">
        <f aca="false">Panel!D209-Panel!D208</f>
        <v>-0.00219371283817438</v>
      </c>
      <c r="I234" s="30" t="n">
        <f aca="false">Panel!D208-Panel!D207</f>
        <v>0.0104178893328815</v>
      </c>
      <c r="L234" s="30" t="n">
        <f aca="false">Panel!E208-Panel!E207</f>
        <v>0.00886389399263265</v>
      </c>
      <c r="M234" s="29" t="n">
        <f aca="false">Panel!E207</f>
        <v>5.49606105522951</v>
      </c>
    </row>
    <row r="235" customFormat="false" ht="15" hidden="false" customHeight="false" outlineLevel="0" collapsed="false">
      <c r="C235" s="0" t="n">
        <f aca="false">Panel!D214-Panel!D213</f>
        <v>0.0208226454736042</v>
      </c>
      <c r="D235" s="29" t="n">
        <f aca="false">Panel!D213</f>
        <v>9.99814752099887</v>
      </c>
      <c r="E235" s="30" t="n">
        <f aca="false">Panel!D213-Panel!D212</f>
        <v>0.00403803405391301</v>
      </c>
      <c r="F235" s="30" t="n">
        <f aca="false">Panel!D212-Panel!D211</f>
        <v>-0.0135173358322938</v>
      </c>
      <c r="G235" s="30" t="n">
        <f aca="false">Panel!D211-Panel!D210</f>
        <v>0.00253078465302181</v>
      </c>
      <c r="H235" s="30" t="n">
        <f aca="false">Panel!D210-Panel!D209</f>
        <v>-0.00369702855717335</v>
      </c>
      <c r="I235" s="30" t="n">
        <f aca="false">Panel!D209-Panel!D208</f>
        <v>-0.00219371283817438</v>
      </c>
      <c r="L235" s="30" t="n">
        <f aca="false">Panel!E209-Panel!E208</f>
        <v>-0.00211691985911067</v>
      </c>
      <c r="M235" s="29" t="n">
        <f aca="false">Panel!E208</f>
        <v>5.50492494922215</v>
      </c>
    </row>
    <row r="236" customFormat="false" ht="15" hidden="false" customHeight="false" outlineLevel="0" collapsed="false">
      <c r="C236" s="0" t="n">
        <f aca="false">Panel!D215-Panel!D214</f>
        <v>0.0026114844461258</v>
      </c>
      <c r="D236" s="29" t="n">
        <f aca="false">Panel!D214</f>
        <v>10.0189701664725</v>
      </c>
      <c r="E236" s="30" t="n">
        <f aca="false">Panel!D214-Panel!D213</f>
        <v>0.0208226454736042</v>
      </c>
      <c r="F236" s="30" t="n">
        <f aca="false">Panel!D213-Panel!D212</f>
        <v>0.00403803405391301</v>
      </c>
      <c r="G236" s="30" t="n">
        <f aca="false">Panel!D212-Panel!D211</f>
        <v>-0.0135173358322938</v>
      </c>
      <c r="H236" s="30" t="n">
        <f aca="false">Panel!D211-Panel!D210</f>
        <v>0.00253078465302181</v>
      </c>
      <c r="I236" s="30" t="n">
        <f aca="false">Panel!D210-Panel!D209</f>
        <v>-0.00369702855717335</v>
      </c>
      <c r="L236" s="30" t="n">
        <f aca="false">Panel!E210-Panel!E209</f>
        <v>-0.000570706468549176</v>
      </c>
      <c r="M236" s="29" t="n">
        <f aca="false">Panel!E209</f>
        <v>5.50280802936304</v>
      </c>
    </row>
    <row r="237" customFormat="false" ht="15" hidden="false" customHeight="false" outlineLevel="0" collapsed="false">
      <c r="C237" s="0" t="n">
        <f aca="false">Panel!D216-Panel!D215</f>
        <v>-0.00033328519522513</v>
      </c>
      <c r="D237" s="29" t="n">
        <f aca="false">Panel!D215</f>
        <v>10.0215816509186</v>
      </c>
      <c r="E237" s="30" t="n">
        <f aca="false">Panel!D215-Panel!D214</f>
        <v>0.0026114844461258</v>
      </c>
      <c r="F237" s="30" t="n">
        <f aca="false">Panel!D214-Panel!D213</f>
        <v>0.0208226454736042</v>
      </c>
      <c r="G237" s="30" t="n">
        <f aca="false">Panel!D213-Panel!D212</f>
        <v>0.00403803405391301</v>
      </c>
      <c r="H237" s="30" t="n">
        <f aca="false">Panel!D212-Panel!D211</f>
        <v>-0.0135173358322938</v>
      </c>
      <c r="I237" s="30" t="n">
        <f aca="false">Panel!D211-Panel!D210</f>
        <v>0.00253078465302181</v>
      </c>
      <c r="L237" s="30" t="n">
        <f aca="false">Panel!E211-Panel!E210</f>
        <v>0.000570706468549176</v>
      </c>
      <c r="M237" s="29" t="n">
        <f aca="false">Panel!E210</f>
        <v>5.50223732289449</v>
      </c>
    </row>
    <row r="238" customFormat="false" ht="15" hidden="false" customHeight="false" outlineLevel="0" collapsed="false">
      <c r="C238" s="0" t="n">
        <f aca="false">Panel!D217-Panel!D216</f>
        <v>-0.00273490825834521</v>
      </c>
      <c r="D238" s="29" t="n">
        <f aca="false">Panel!D216</f>
        <v>10.0212483657234</v>
      </c>
      <c r="E238" s="30" t="n">
        <f aca="false">Panel!D216-Panel!D215</f>
        <v>-0.00033328519522513</v>
      </c>
      <c r="F238" s="30" t="n">
        <f aca="false">Panel!D215-Panel!D214</f>
        <v>0.0026114844461258</v>
      </c>
      <c r="G238" s="30" t="n">
        <f aca="false">Panel!D214-Panel!D213</f>
        <v>0.0208226454736042</v>
      </c>
      <c r="H238" s="30" t="n">
        <f aca="false">Panel!D213-Panel!D212</f>
        <v>0.00403803405391301</v>
      </c>
      <c r="I238" s="30" t="n">
        <f aca="false">Panel!D212-Panel!D211</f>
        <v>-0.0135173358322938</v>
      </c>
      <c r="L238" s="30" t="n">
        <f aca="false">Panel!E212-Panel!E211</f>
        <v>-0.00871830829692222</v>
      </c>
      <c r="M238" s="29" t="n">
        <f aca="false">Panel!E211</f>
        <v>5.50280802936304</v>
      </c>
    </row>
    <row r="239" customFormat="false" ht="15" hidden="false" customHeight="false" outlineLevel="0" collapsed="false">
      <c r="C239" s="0" t="n">
        <f aca="false">Panel!D218-Panel!D217</f>
        <v>0.00728021945506896</v>
      </c>
      <c r="D239" s="29" t="n">
        <f aca="false">Panel!D217</f>
        <v>10.018513457465</v>
      </c>
      <c r="E239" s="30" t="n">
        <f aca="false">Panel!D217-Panel!D216</f>
        <v>-0.00273490825834521</v>
      </c>
      <c r="F239" s="30" t="n">
        <f aca="false">Panel!D216-Panel!D215</f>
        <v>-0.00033328519522513</v>
      </c>
      <c r="G239" s="30" t="n">
        <f aca="false">Panel!D215-Panel!D214</f>
        <v>0.0026114844461258</v>
      </c>
      <c r="H239" s="30" t="n">
        <f aca="false">Panel!D214-Panel!D213</f>
        <v>0.0208226454736042</v>
      </c>
      <c r="I239" s="30" t="n">
        <f aca="false">Panel!D213-Panel!D212</f>
        <v>0.00403803405391301</v>
      </c>
      <c r="L239" s="30" t="n">
        <f aca="false">Panel!E213-Panel!E212</f>
        <v>0.0026685841557601</v>
      </c>
      <c r="M239" s="29" t="n">
        <f aca="false">Panel!E212</f>
        <v>5.49408972106611</v>
      </c>
    </row>
    <row r="240" customFormat="false" ht="15" hidden="false" customHeight="false" outlineLevel="0" collapsed="false">
      <c r="C240" s="0" t="n">
        <f aca="false">Panel!D219-Panel!D218</f>
        <v>-0.00275576248015774</v>
      </c>
      <c r="D240" s="29" t="n">
        <f aca="false">Panel!D218</f>
        <v>10.0257936769201</v>
      </c>
      <c r="E240" s="30" t="n">
        <f aca="false">Panel!D218-Panel!D217</f>
        <v>0.00728021945506896</v>
      </c>
      <c r="F240" s="30" t="n">
        <f aca="false">Panel!D217-Panel!D216</f>
        <v>-0.00273490825834521</v>
      </c>
      <c r="G240" s="30" t="n">
        <f aca="false">Panel!D216-Panel!D215</f>
        <v>-0.00033328519522513</v>
      </c>
      <c r="H240" s="30" t="n">
        <f aca="false">Panel!D215-Panel!D214</f>
        <v>0.0026114844461258</v>
      </c>
      <c r="I240" s="30" t="n">
        <f aca="false">Panel!D214-Panel!D213</f>
        <v>0.0208226454736042</v>
      </c>
      <c r="L240" s="30" t="n">
        <f aca="false">Panel!E214-Panel!E213</f>
        <v>0.0114552525547431</v>
      </c>
      <c r="M240" s="29" t="n">
        <f aca="false">Panel!E213</f>
        <v>5.49675830522187</v>
      </c>
    </row>
    <row r="241" customFormat="false" ht="15" hidden="false" customHeight="false" outlineLevel="0" collapsed="false">
      <c r="C241" s="0" t="n">
        <f aca="false">Panel!D220-Panel!D219</f>
        <v>-0.00599625557746286</v>
      </c>
      <c r="D241" s="29" t="n">
        <f aca="false">Panel!D219</f>
        <v>10.0230379144399</v>
      </c>
      <c r="E241" s="30" t="n">
        <f aca="false">Panel!D219-Panel!D218</f>
        <v>-0.00275576248015774</v>
      </c>
      <c r="F241" s="30" t="n">
        <f aca="false">Panel!D218-Panel!D217</f>
        <v>0.00728021945506896</v>
      </c>
      <c r="G241" s="30" t="n">
        <f aca="false">Panel!D217-Panel!D216</f>
        <v>-0.00273490825834521</v>
      </c>
      <c r="H241" s="30" t="n">
        <f aca="false">Panel!D216-Panel!D215</f>
        <v>-0.00033328519522513</v>
      </c>
      <c r="I241" s="30" t="n">
        <f aca="false">Panel!D215-Panel!D214</f>
        <v>0.0026114844461258</v>
      </c>
      <c r="L241" s="30" t="n">
        <f aca="false">Panel!E215-Panel!E214</f>
        <v>0.00242905264974969</v>
      </c>
      <c r="M241" s="29" t="n">
        <f aca="false">Panel!E214</f>
        <v>5.50821355777662</v>
      </c>
    </row>
    <row r="242" customFormat="false" ht="15" hidden="false" customHeight="false" outlineLevel="0" collapsed="false">
      <c r="C242" s="0" t="n">
        <f aca="false">Panel!D221-Panel!D220</f>
        <v>0.0015007668322049</v>
      </c>
      <c r="D242" s="29" t="n">
        <f aca="false">Panel!D220</f>
        <v>10.0170416588625</v>
      </c>
      <c r="E242" s="30" t="n">
        <f aca="false">Panel!D220-Panel!D219</f>
        <v>-0.00599625557746286</v>
      </c>
      <c r="F242" s="30" t="n">
        <f aca="false">Panel!D219-Panel!D218</f>
        <v>-0.00275576248015774</v>
      </c>
      <c r="G242" s="30" t="n">
        <f aca="false">Panel!D218-Panel!D217</f>
        <v>0.00728021945506896</v>
      </c>
      <c r="H242" s="30" t="n">
        <f aca="false">Panel!D217-Panel!D216</f>
        <v>-0.00273490825834521</v>
      </c>
      <c r="I242" s="30" t="n">
        <f aca="false">Panel!D216-Panel!D215</f>
        <v>-0.00033328519522513</v>
      </c>
      <c r="L242" s="30" t="n">
        <f aca="false">Panel!E216-Panel!E215</f>
        <v>0.0019390028292845</v>
      </c>
      <c r="M242" s="29" t="n">
        <f aca="false">Panel!E215</f>
        <v>5.51064261042637</v>
      </c>
    </row>
    <row r="243" customFormat="false" ht="15" hidden="false" customHeight="false" outlineLevel="0" collapsed="false">
      <c r="C243" s="0" t="n">
        <f aca="false">Panel!D222-Panel!D221</f>
        <v>-0.0162757172154819</v>
      </c>
      <c r="D243" s="29" t="n">
        <f aca="false">Panel!D221</f>
        <v>10.0185424256947</v>
      </c>
      <c r="E243" s="30" t="n">
        <f aca="false">Panel!D221-Panel!D220</f>
        <v>0.0015007668322049</v>
      </c>
      <c r="F243" s="30" t="n">
        <f aca="false">Panel!D220-Panel!D219</f>
        <v>-0.00599625557746286</v>
      </c>
      <c r="G243" s="30" t="n">
        <f aca="false">Panel!D219-Panel!D218</f>
        <v>-0.00275576248015774</v>
      </c>
      <c r="H243" s="30" t="n">
        <f aca="false">Panel!D218-Panel!D217</f>
        <v>0.00728021945506896</v>
      </c>
      <c r="I243" s="30" t="n">
        <f aca="false">Panel!D217-Panel!D216</f>
        <v>-0.00273490825834521</v>
      </c>
      <c r="L243" s="30" t="n">
        <f aca="false">Panel!E217-Panel!E216</f>
        <v>-0.00218164275282984</v>
      </c>
      <c r="M243" s="29" t="n">
        <f aca="false">Panel!E216</f>
        <v>5.51258161325565</v>
      </c>
    </row>
    <row r="244" customFormat="false" ht="15" hidden="false" customHeight="false" outlineLevel="0" collapsed="false">
      <c r="C244" s="0" t="n">
        <f aca="false">Panel!D223-Panel!D222</f>
        <v>0.00783057911518803</v>
      </c>
      <c r="D244" s="29" t="n">
        <f aca="false">Panel!D222</f>
        <v>10.0022667084792</v>
      </c>
      <c r="E244" s="30" t="n">
        <f aca="false">Panel!D222-Panel!D221</f>
        <v>-0.0162757172154819</v>
      </c>
      <c r="F244" s="30" t="n">
        <f aca="false">Panel!D221-Panel!D220</f>
        <v>0.0015007668322049</v>
      </c>
      <c r="G244" s="30" t="n">
        <f aca="false">Panel!D220-Panel!D219</f>
        <v>-0.00599625557746286</v>
      </c>
      <c r="H244" s="30" t="n">
        <f aca="false">Panel!D219-Panel!D218</f>
        <v>-0.00275576248015774</v>
      </c>
      <c r="I244" s="30" t="n">
        <f aca="false">Panel!D218-Panel!D217</f>
        <v>0.00728021945506896</v>
      </c>
      <c r="L244" s="30" t="n">
        <f aca="false">Panel!E218-Panel!E217</f>
        <v>0.00576695889831491</v>
      </c>
      <c r="M244" s="29" t="n">
        <f aca="false">Panel!E217</f>
        <v>5.51039997050282</v>
      </c>
    </row>
    <row r="245" customFormat="false" ht="15" hidden="false" customHeight="false" outlineLevel="0" collapsed="false">
      <c r="C245" s="0" t="n">
        <f aca="false">Panel!D224-Panel!D223</f>
        <v>-0.0058033236089905</v>
      </c>
      <c r="D245" s="29" t="n">
        <f aca="false">Panel!D223</f>
        <v>10.0100972875944</v>
      </c>
      <c r="E245" s="30" t="n">
        <f aca="false">Panel!D223-Panel!D222</f>
        <v>0.00783057911518803</v>
      </c>
      <c r="F245" s="30" t="n">
        <f aca="false">Panel!D222-Panel!D221</f>
        <v>-0.0162757172154819</v>
      </c>
      <c r="G245" s="30" t="n">
        <f aca="false">Panel!D221-Panel!D220</f>
        <v>0.0015007668322049</v>
      </c>
      <c r="H245" s="30" t="n">
        <f aca="false">Panel!D220-Panel!D219</f>
        <v>-0.00599625557746286</v>
      </c>
      <c r="I245" s="30" t="n">
        <f aca="false">Panel!D219-Panel!D218</f>
        <v>-0.00275576248015774</v>
      </c>
      <c r="L245" s="30" t="n">
        <f aca="false">Panel!E219-Panel!E218</f>
        <v>0</v>
      </c>
      <c r="M245" s="29" t="n">
        <f aca="false">Panel!E218</f>
        <v>5.51616692940114</v>
      </c>
    </row>
    <row r="246" customFormat="false" ht="15" hidden="false" customHeight="false" outlineLevel="0" collapsed="false">
      <c r="C246" s="0" t="n">
        <f aca="false">Panel!D225-Panel!D224</f>
        <v>0.000576202839335238</v>
      </c>
      <c r="D246" s="29" t="n">
        <f aca="false">Panel!D224</f>
        <v>10.0042939639854</v>
      </c>
      <c r="E246" s="30" t="n">
        <f aca="false">Panel!D224-Panel!D223</f>
        <v>-0.0058033236089905</v>
      </c>
      <c r="F246" s="30" t="n">
        <f aca="false">Panel!D223-Panel!D222</f>
        <v>0.00783057911518803</v>
      </c>
      <c r="G246" s="30" t="n">
        <f aca="false">Panel!D222-Panel!D221</f>
        <v>-0.0162757172154819</v>
      </c>
      <c r="H246" s="30" t="n">
        <f aca="false">Panel!D221-Panel!D220</f>
        <v>0.0015007668322049</v>
      </c>
      <c r="I246" s="30" t="n">
        <f aca="false">Panel!D220-Panel!D219</f>
        <v>-0.00599625557746286</v>
      </c>
      <c r="L246" s="30" t="n">
        <f aca="false">Panel!E220-Panel!E219</f>
        <v>-0.00524131345427303</v>
      </c>
      <c r="M246" s="29" t="n">
        <f aca="false">Panel!E219</f>
        <v>5.51616692940114</v>
      </c>
    </row>
    <row r="247" customFormat="false" ht="15" hidden="false" customHeight="false" outlineLevel="0" collapsed="false">
      <c r="C247" s="0" t="n">
        <f aca="false">Panel!D226-Panel!D225</f>
        <v>-0.0113773900021759</v>
      </c>
      <c r="D247" s="29" t="n">
        <f aca="false">Panel!D225</f>
        <v>10.0048701668247</v>
      </c>
      <c r="E247" s="30" t="n">
        <f aca="false">Panel!D225-Panel!D224</f>
        <v>0.000576202839335238</v>
      </c>
      <c r="F247" s="30" t="n">
        <f aca="false">Panel!D224-Panel!D223</f>
        <v>-0.0058033236089905</v>
      </c>
      <c r="G247" s="30" t="n">
        <f aca="false">Panel!D223-Panel!D222</f>
        <v>0.00783057911518803</v>
      </c>
      <c r="H247" s="30" t="n">
        <f aca="false">Panel!D222-Panel!D221</f>
        <v>-0.0162757172154819</v>
      </c>
      <c r="I247" s="30" t="n">
        <f aca="false">Panel!D221-Panel!D220</f>
        <v>0.0015007668322049</v>
      </c>
      <c r="L247" s="30" t="n">
        <f aca="false">Panel!E221-Panel!E220</f>
        <v>0.0006465691650126</v>
      </c>
      <c r="M247" s="29" t="n">
        <f aca="false">Panel!E220</f>
        <v>5.51092561594686</v>
      </c>
    </row>
    <row r="248" customFormat="false" ht="15" hidden="false" customHeight="false" outlineLevel="0" collapsed="false">
      <c r="C248" s="0" t="n">
        <f aca="false">Panel!D227-Panel!D226</f>
        <v>0.00152509355916486</v>
      </c>
      <c r="D248" s="29" t="n">
        <f aca="false">Panel!D226</f>
        <v>9.99349277682256</v>
      </c>
      <c r="E248" s="30" t="n">
        <f aca="false">Panel!D226-Panel!D225</f>
        <v>-0.0113773900021759</v>
      </c>
      <c r="F248" s="30" t="n">
        <f aca="false">Panel!D225-Panel!D224</f>
        <v>0.000576202839335238</v>
      </c>
      <c r="G248" s="30" t="n">
        <f aca="false">Panel!D224-Panel!D223</f>
        <v>-0.0058033236089905</v>
      </c>
      <c r="H248" s="30" t="n">
        <f aca="false">Panel!D223-Panel!D222</f>
        <v>0.00783057911518803</v>
      </c>
      <c r="I248" s="30" t="n">
        <f aca="false">Panel!D222-Panel!D221</f>
        <v>-0.0162757172154819</v>
      </c>
      <c r="L248" s="30" t="n">
        <f aca="false">Panel!E222-Panel!E221</f>
        <v>-0.0154290752339197</v>
      </c>
      <c r="M248" s="29" t="n">
        <f aca="false">Panel!E221</f>
        <v>5.51157218511188</v>
      </c>
    </row>
    <row r="249" customFormat="false" ht="15" hidden="false" customHeight="false" outlineLevel="0" collapsed="false">
      <c r="C249" s="0" t="n">
        <f aca="false">Panel!D228-Panel!D227</f>
        <v>0.00917437627604123</v>
      </c>
      <c r="D249" s="29" t="n">
        <f aca="false">Panel!D227</f>
        <v>9.99501787038172</v>
      </c>
      <c r="E249" s="30" t="n">
        <f aca="false">Panel!D227-Panel!D226</f>
        <v>0.00152509355916486</v>
      </c>
      <c r="F249" s="30" t="n">
        <f aca="false">Panel!D226-Panel!D225</f>
        <v>-0.0113773900021759</v>
      </c>
      <c r="G249" s="30" t="n">
        <f aca="false">Panel!D225-Panel!D224</f>
        <v>0.000576202839335238</v>
      </c>
      <c r="H249" s="30" t="n">
        <f aca="false">Panel!D224-Panel!D223</f>
        <v>-0.0058033236089905</v>
      </c>
      <c r="I249" s="30" t="n">
        <f aca="false">Panel!D223-Panel!D222</f>
        <v>0.00783057911518803</v>
      </c>
      <c r="L249" s="30" t="n">
        <f aca="false">Panel!E223-Panel!E222</f>
        <v>0.00715383735661845</v>
      </c>
      <c r="M249" s="29" t="n">
        <f aca="false">Panel!E222</f>
        <v>5.49614310987796</v>
      </c>
    </row>
    <row r="250" customFormat="false" ht="15" hidden="false" customHeight="false" outlineLevel="0" collapsed="false">
      <c r="C250" s="0" t="n">
        <f aca="false">Panel!D229-Panel!D228</f>
        <v>0.00162623697582909</v>
      </c>
      <c r="D250" s="29" t="n">
        <f aca="false">Panel!D228</f>
        <v>10.0041922466578</v>
      </c>
      <c r="E250" s="30" t="n">
        <f aca="false">Panel!D228-Panel!D227</f>
        <v>0.00917437627604123</v>
      </c>
      <c r="F250" s="30" t="n">
        <f aca="false">Panel!D227-Panel!D226</f>
        <v>0.00152509355916486</v>
      </c>
      <c r="G250" s="30" t="n">
        <f aca="false">Panel!D226-Panel!D225</f>
        <v>-0.0113773900021759</v>
      </c>
      <c r="H250" s="30" t="n">
        <f aca="false">Panel!D225-Panel!D224</f>
        <v>0.000576202839335238</v>
      </c>
      <c r="I250" s="30" t="n">
        <f aca="false">Panel!D224-Panel!D223</f>
        <v>-0.0058033236089905</v>
      </c>
      <c r="L250" s="30" t="n">
        <f aca="false">Panel!E224-Panel!E223</f>
        <v>-0.00698974825586873</v>
      </c>
      <c r="M250" s="29" t="n">
        <f aca="false">Panel!E223</f>
        <v>5.50329694723458</v>
      </c>
    </row>
    <row r="251" customFormat="false" ht="15" hidden="false" customHeight="false" outlineLevel="0" collapsed="false">
      <c r="C251" s="0" t="n">
        <f aca="false">Panel!D230-Panel!D229</f>
        <v>-0.00271186606874885</v>
      </c>
      <c r="D251" s="29" t="n">
        <f aca="false">Panel!D229</f>
        <v>10.0058184836336</v>
      </c>
      <c r="E251" s="30" t="n">
        <f aca="false">Panel!D229-Panel!D228</f>
        <v>0.00162623697582909</v>
      </c>
      <c r="F251" s="30" t="n">
        <f aca="false">Panel!D228-Panel!D227</f>
        <v>0.00917437627604123</v>
      </c>
      <c r="G251" s="30" t="n">
        <f aca="false">Panel!D227-Panel!D226</f>
        <v>0.00152509355916486</v>
      </c>
      <c r="H251" s="30" t="n">
        <f aca="false">Panel!D226-Panel!D225</f>
        <v>-0.0113773900021759</v>
      </c>
      <c r="I251" s="30" t="n">
        <f aca="false">Panel!D225-Panel!D224</f>
        <v>0.000576202839335238</v>
      </c>
      <c r="L251" s="30" t="n">
        <f aca="false">Panel!E225-Panel!E224</f>
        <v>0.00122981076416728</v>
      </c>
      <c r="M251" s="29" t="n">
        <f aca="false">Panel!E224</f>
        <v>5.49630719897871</v>
      </c>
    </row>
    <row r="252" customFormat="false" ht="15" hidden="false" customHeight="false" outlineLevel="0" collapsed="false">
      <c r="C252" s="0" t="n">
        <f aca="false">Panel!D231-Panel!D230</f>
        <v>0.00449767746385099</v>
      </c>
      <c r="D252" s="29" t="n">
        <f aca="false">Panel!D230</f>
        <v>10.0031066175648</v>
      </c>
      <c r="E252" s="30" t="n">
        <f aca="false">Panel!D230-Panel!D229</f>
        <v>-0.00271186606874885</v>
      </c>
      <c r="F252" s="30" t="n">
        <f aca="false">Panel!D229-Panel!D228</f>
        <v>0.00162623697582909</v>
      </c>
      <c r="G252" s="30" t="n">
        <f aca="false">Panel!D228-Panel!D227</f>
        <v>0.00917437627604123</v>
      </c>
      <c r="H252" s="30" t="n">
        <f aca="false">Panel!D227-Panel!D226</f>
        <v>0.00152509355916486</v>
      </c>
      <c r="I252" s="30" t="n">
        <f aca="false">Panel!D226-Panel!D225</f>
        <v>-0.0113773900021759</v>
      </c>
      <c r="L252" s="30" t="n">
        <f aca="false">Panel!E226-Panel!E225</f>
        <v>-0.0100466114517808</v>
      </c>
      <c r="M252" s="29" t="n">
        <f aca="false">Panel!E225</f>
        <v>5.49753700974287</v>
      </c>
    </row>
    <row r="253" customFormat="false" ht="15" hidden="false" customHeight="false" outlineLevel="0" collapsed="false">
      <c r="C253" s="0" t="n">
        <f aca="false">Panel!D232-Panel!D231</f>
        <v>0.00601487334411921</v>
      </c>
      <c r="D253" s="29" t="n">
        <f aca="false">Panel!D231</f>
        <v>10.0076042950287</v>
      </c>
      <c r="E253" s="30" t="n">
        <f aca="false">Panel!D231-Panel!D230</f>
        <v>0.00449767746385099</v>
      </c>
      <c r="F253" s="30" t="n">
        <f aca="false">Panel!D230-Panel!D229</f>
        <v>-0.00271186606874885</v>
      </c>
      <c r="G253" s="30" t="n">
        <f aca="false">Panel!D229-Panel!D228</f>
        <v>0.00162623697582909</v>
      </c>
      <c r="H253" s="30" t="n">
        <f aca="false">Panel!D228-Panel!D227</f>
        <v>0.00917437627604123</v>
      </c>
      <c r="I253" s="30" t="n">
        <f aca="false">Panel!D227-Panel!D226</f>
        <v>0.00152509355916486</v>
      </c>
      <c r="L253" s="30" t="n">
        <f aca="false">Panel!E227-Panel!E226</f>
        <v>0.000620539889599314</v>
      </c>
      <c r="M253" s="29" t="n">
        <f aca="false">Panel!E226</f>
        <v>5.48749039829109</v>
      </c>
    </row>
    <row r="254" customFormat="false" ht="15" hidden="false" customHeight="false" outlineLevel="0" collapsed="false">
      <c r="C254" s="0" t="n">
        <f aca="false">Panel!D233-Panel!D232</f>
        <v>0.0125283968992047</v>
      </c>
      <c r="D254" s="29" t="n">
        <f aca="false">Panel!D232</f>
        <v>10.0136191683728</v>
      </c>
      <c r="E254" s="30" t="n">
        <f aca="false">Panel!D232-Panel!D231</f>
        <v>0.00601487334411921</v>
      </c>
      <c r="F254" s="30" t="n">
        <f aca="false">Panel!D231-Panel!D230</f>
        <v>0.00449767746385099</v>
      </c>
      <c r="G254" s="30" t="n">
        <f aca="false">Panel!D230-Panel!D229</f>
        <v>-0.00271186606874885</v>
      </c>
      <c r="H254" s="30" t="n">
        <f aca="false">Panel!D229-Panel!D228</f>
        <v>0.00162623697582909</v>
      </c>
      <c r="I254" s="30" t="n">
        <f aca="false">Panel!D228-Panel!D227</f>
        <v>0.00917437627604123</v>
      </c>
      <c r="L254" s="30" t="n">
        <f aca="false">Panel!E228-Panel!E227</f>
        <v>0.00901630266610187</v>
      </c>
      <c r="M254" s="29" t="n">
        <f aca="false">Panel!E227</f>
        <v>5.48811093818069</v>
      </c>
    </row>
    <row r="255" customFormat="false" ht="15" hidden="false" customHeight="false" outlineLevel="0" collapsed="false">
      <c r="C255" s="0" t="n">
        <f aca="false">Panel!D234-Panel!D233</f>
        <v>-0.0015336832310453</v>
      </c>
      <c r="D255" s="29" t="n">
        <f aca="false">Panel!D233</f>
        <v>10.026147565272</v>
      </c>
      <c r="E255" s="30" t="n">
        <f aca="false">Panel!D233-Panel!D232</f>
        <v>0.0125283968992047</v>
      </c>
      <c r="F255" s="30" t="n">
        <f aca="false">Panel!D232-Panel!D231</f>
        <v>0.00601487334411921</v>
      </c>
      <c r="G255" s="30" t="n">
        <f aca="false">Panel!D231-Panel!D230</f>
        <v>0.00449767746385099</v>
      </c>
      <c r="H255" s="30" t="n">
        <f aca="false">Panel!D230-Panel!D229</f>
        <v>-0.00271186606874885</v>
      </c>
      <c r="I255" s="30" t="n">
        <f aca="false">Panel!D229-Panel!D228</f>
        <v>0.00162623697582909</v>
      </c>
      <c r="L255" s="30" t="n">
        <f aca="false">Panel!E229-Panel!E228</f>
        <v>0.00225165386924964</v>
      </c>
      <c r="M255" s="29" t="n">
        <f aca="false">Panel!E228</f>
        <v>5.49712724084679</v>
      </c>
    </row>
    <row r="256" customFormat="false" ht="15" hidden="false" customHeight="false" outlineLevel="0" collapsed="false">
      <c r="C256" s="0" t="n">
        <f aca="false">Panel!D235-Panel!D234</f>
        <v>-0.00126767166554664</v>
      </c>
      <c r="D256" s="29" t="n">
        <f aca="false">Panel!D234</f>
        <v>10.024613882041</v>
      </c>
      <c r="E256" s="30" t="n">
        <f aca="false">Panel!D234-Panel!D233</f>
        <v>-0.0015336832310453</v>
      </c>
      <c r="F256" s="30" t="n">
        <f aca="false">Panel!D233-Panel!D232</f>
        <v>0.0125283968992047</v>
      </c>
      <c r="G256" s="30" t="n">
        <f aca="false">Panel!D232-Panel!D231</f>
        <v>0.00601487334411921</v>
      </c>
      <c r="H256" s="30" t="n">
        <f aca="false">Panel!D231-Panel!D230</f>
        <v>0.00449767746385099</v>
      </c>
      <c r="I256" s="30" t="n">
        <f aca="false">Panel!D230-Panel!D229</f>
        <v>-0.00271186606874885</v>
      </c>
      <c r="L256" s="30" t="n">
        <f aca="false">Panel!E230-Panel!E229</f>
        <v>-0.0033178394865292</v>
      </c>
      <c r="M256" s="29" t="n">
        <f aca="false">Panel!E229</f>
        <v>5.49937889471604</v>
      </c>
    </row>
    <row r="257" customFormat="false" ht="15" hidden="false" customHeight="false" outlineLevel="0" collapsed="false">
      <c r="C257" s="0" t="n">
        <f aca="false">Panel!D236-Panel!D235</f>
        <v>0.00392853893477962</v>
      </c>
      <c r="D257" s="29" t="n">
        <f aca="false">Panel!D235</f>
        <v>10.0233462103754</v>
      </c>
      <c r="E257" s="30" t="n">
        <f aca="false">Panel!D235-Panel!D234</f>
        <v>-0.00126767166554664</v>
      </c>
      <c r="F257" s="30" t="n">
        <f aca="false">Panel!D234-Panel!D233</f>
        <v>-0.0015336832310453</v>
      </c>
      <c r="G257" s="30" t="n">
        <f aca="false">Panel!D233-Panel!D232</f>
        <v>0.0125283968992047</v>
      </c>
      <c r="H257" s="30" t="n">
        <f aca="false">Panel!D232-Panel!D231</f>
        <v>0.00601487334411921</v>
      </c>
      <c r="I257" s="30" t="n">
        <f aca="false">Panel!D231-Panel!D230</f>
        <v>0.00449767746385099</v>
      </c>
      <c r="L257" s="30" t="n">
        <f aca="false">Panel!E231-Panel!E230</f>
        <v>0.00519715531521303</v>
      </c>
      <c r="M257" s="29" t="n">
        <f aca="false">Panel!E230</f>
        <v>5.49606105522951</v>
      </c>
    </row>
    <row r="258" customFormat="false" ht="15" hidden="false" customHeight="false" outlineLevel="0" collapsed="false">
      <c r="C258" s="0" t="n">
        <f aca="false">Panel!D237-Panel!D236</f>
        <v>-0.00108295679862458</v>
      </c>
      <c r="D258" s="29" t="n">
        <f aca="false">Panel!D236</f>
        <v>10.0272747493102</v>
      </c>
      <c r="E258" s="30" t="n">
        <f aca="false">Panel!D236-Panel!D235</f>
        <v>0.00392853893477962</v>
      </c>
      <c r="F258" s="30" t="n">
        <f aca="false">Panel!D235-Panel!D234</f>
        <v>-0.00126767166554664</v>
      </c>
      <c r="G258" s="30" t="n">
        <f aca="false">Panel!D234-Panel!D233</f>
        <v>-0.0015336832310453</v>
      </c>
      <c r="H258" s="30" t="n">
        <f aca="false">Panel!D233-Panel!D232</f>
        <v>0.0125283968992047</v>
      </c>
      <c r="I258" s="30" t="n">
        <f aca="false">Panel!D232-Panel!D231</f>
        <v>0.00601487334411921</v>
      </c>
      <c r="L258" s="30" t="n">
        <f aca="false">Panel!E232-Panel!E231</f>
        <v>0.00853490244983668</v>
      </c>
      <c r="M258" s="29" t="n">
        <f aca="false">Panel!E231</f>
        <v>5.50125821054473</v>
      </c>
    </row>
    <row r="259" customFormat="false" ht="15" hidden="false" customHeight="false" outlineLevel="0" collapsed="false">
      <c r="C259" s="0" t="n">
        <f aca="false">Panel!D238-Panel!D237</f>
        <v>0.00612863186751689</v>
      </c>
      <c r="D259" s="29" t="n">
        <f aca="false">Panel!D237</f>
        <v>10.0261917925116</v>
      </c>
      <c r="E259" s="30" t="n">
        <f aca="false">Panel!D237-Panel!D236</f>
        <v>-0.00108295679862458</v>
      </c>
      <c r="F259" s="30" t="n">
        <f aca="false">Panel!D236-Panel!D235</f>
        <v>0.00392853893477962</v>
      </c>
      <c r="G259" s="30" t="n">
        <f aca="false">Panel!D235-Panel!D234</f>
        <v>-0.00126767166554664</v>
      </c>
      <c r="H259" s="30" t="n">
        <f aca="false">Panel!D234-Panel!D233</f>
        <v>-0.0015336832310453</v>
      </c>
      <c r="I259" s="30" t="n">
        <f aca="false">Panel!D233-Panel!D232</f>
        <v>0.0125283968992047</v>
      </c>
      <c r="L259" s="30" t="n">
        <f aca="false">Panel!E233-Panel!E232</f>
        <v>0.00560949028371827</v>
      </c>
      <c r="M259" s="29" t="n">
        <f aca="false">Panel!E232</f>
        <v>5.50979311299456</v>
      </c>
    </row>
    <row r="260" customFormat="false" ht="15" hidden="false" customHeight="false" outlineLevel="0" collapsed="false">
      <c r="C260" s="0" t="n">
        <f aca="false">Panel!D239-Panel!D238</f>
        <v>-0.000718939693900467</v>
      </c>
      <c r="D260" s="29" t="n">
        <f aca="false">Panel!D238</f>
        <v>10.0323204243791</v>
      </c>
      <c r="E260" s="30" t="n">
        <f aca="false">Panel!D238-Panel!D237</f>
        <v>0.00612863186751689</v>
      </c>
      <c r="F260" s="30" t="n">
        <f aca="false">Panel!D237-Panel!D236</f>
        <v>-0.00108295679862458</v>
      </c>
      <c r="G260" s="30" t="n">
        <f aca="false">Panel!D236-Panel!D235</f>
        <v>0.00392853893477962</v>
      </c>
      <c r="H260" s="30" t="n">
        <f aca="false">Panel!D235-Panel!D234</f>
        <v>-0.00126767166554664</v>
      </c>
      <c r="I260" s="30" t="n">
        <f aca="false">Panel!D234-Panel!D233</f>
        <v>-0.0015336832310453</v>
      </c>
      <c r="L260" s="30" t="n">
        <f aca="false">Panel!E234-Panel!E233</f>
        <v>0.00160842851033305</v>
      </c>
      <c r="M260" s="29" t="n">
        <f aca="false">Panel!E233</f>
        <v>5.51540260327828</v>
      </c>
    </row>
    <row r="261" customFormat="false" ht="15" hidden="false" customHeight="false" outlineLevel="0" collapsed="false">
      <c r="C261" s="0" t="n">
        <f aca="false">Panel!D240-Panel!D239</f>
        <v>0.00314456690873932</v>
      </c>
      <c r="D261" s="29" t="n">
        <f aca="false">Panel!D239</f>
        <v>10.0316014846852</v>
      </c>
      <c r="E261" s="30" t="n">
        <f aca="false">Panel!D239-Panel!D238</f>
        <v>-0.000718939693900467</v>
      </c>
      <c r="F261" s="30" t="n">
        <f aca="false">Panel!D238-Panel!D237</f>
        <v>0.00612863186751689</v>
      </c>
      <c r="G261" s="30" t="n">
        <f aca="false">Panel!D237-Panel!D236</f>
        <v>-0.00108295679862458</v>
      </c>
      <c r="H261" s="30" t="n">
        <f aca="false">Panel!D236-Panel!D235</f>
        <v>0.00392853893477962</v>
      </c>
      <c r="I261" s="30" t="n">
        <f aca="false">Panel!D235-Panel!D234</f>
        <v>-0.00126767166554664</v>
      </c>
      <c r="L261" s="30" t="n">
        <f aca="false">Panel!E235-Panel!E234</f>
        <v>-0.000361670923591184</v>
      </c>
      <c r="M261" s="29" t="n">
        <f aca="false">Panel!E234</f>
        <v>5.51701103178862</v>
      </c>
    </row>
    <row r="262" customFormat="false" ht="15" hidden="false" customHeight="false" outlineLevel="0" collapsed="false">
      <c r="C262" s="0" t="n">
        <f aca="false">Panel!D241-Panel!D240</f>
        <v>-0.00860954343744957</v>
      </c>
      <c r="D262" s="29" t="n">
        <f aca="false">Panel!D240</f>
        <v>10.0347460515939</v>
      </c>
      <c r="E262" s="30" t="n">
        <f aca="false">Panel!D240-Panel!D239</f>
        <v>0.00314456690873932</v>
      </c>
      <c r="F262" s="30" t="n">
        <f aca="false">Panel!D239-Panel!D238</f>
        <v>-0.000718939693900467</v>
      </c>
      <c r="G262" s="30" t="n">
        <f aca="false">Panel!D238-Panel!D237</f>
        <v>0.00612863186751689</v>
      </c>
      <c r="H262" s="30" t="n">
        <f aca="false">Panel!D237-Panel!D236</f>
        <v>-0.00108295679862458</v>
      </c>
      <c r="I262" s="30" t="n">
        <f aca="false">Panel!D236-Panel!D235</f>
        <v>0.00392853893477962</v>
      </c>
      <c r="L262" s="30" t="n">
        <f aca="false">Panel!E236-Panel!E235</f>
        <v>0.00389113353748005</v>
      </c>
      <c r="M262" s="29" t="n">
        <f aca="false">Panel!E235</f>
        <v>5.51664936086502</v>
      </c>
    </row>
    <row r="263" customFormat="false" ht="15" hidden="false" customHeight="false" outlineLevel="0" collapsed="false">
      <c r="C263" s="0" t="n">
        <f aca="false">Panel!D242-Panel!D241</f>
        <v>-0.0112261031166554</v>
      </c>
      <c r="D263" s="29" t="n">
        <f aca="false">Panel!D241</f>
        <v>10.0261365081565</v>
      </c>
      <c r="E263" s="30" t="n">
        <f aca="false">Panel!D241-Panel!D240</f>
        <v>-0.00860954343744957</v>
      </c>
      <c r="F263" s="30" t="n">
        <f aca="false">Panel!D240-Panel!D239</f>
        <v>0.00314456690873932</v>
      </c>
      <c r="G263" s="30" t="n">
        <f aca="false">Panel!D239-Panel!D238</f>
        <v>-0.000718939693900467</v>
      </c>
      <c r="H263" s="30" t="n">
        <f aca="false">Panel!D238-Panel!D237</f>
        <v>0.00612863186751689</v>
      </c>
      <c r="I263" s="30" t="n">
        <f aca="false">Panel!D237-Panel!D236</f>
        <v>-0.00108295679862458</v>
      </c>
      <c r="L263" s="30" t="n">
        <f aca="false">Panel!E237-Panel!E236</f>
        <v>-0.00160275708469637</v>
      </c>
      <c r="M263" s="29" t="n">
        <f aca="false">Panel!E236</f>
        <v>5.5205404944025</v>
      </c>
    </row>
    <row r="264" customFormat="false" ht="15" hidden="false" customHeight="false" outlineLevel="0" collapsed="false">
      <c r="C264" s="0" t="n">
        <f aca="false">Panel!D243-Panel!D242</f>
        <v>-0.00656746440132139</v>
      </c>
      <c r="D264" s="29" t="n">
        <f aca="false">Panel!D242</f>
        <v>10.0149104050398</v>
      </c>
      <c r="E264" s="30" t="n">
        <f aca="false">Panel!D242-Panel!D241</f>
        <v>-0.0112261031166554</v>
      </c>
      <c r="F264" s="30" t="n">
        <f aca="false">Panel!D241-Panel!D240</f>
        <v>-0.00860954343744957</v>
      </c>
      <c r="G264" s="30" t="n">
        <f aca="false">Panel!D240-Panel!D239</f>
        <v>0.00314456690873932</v>
      </c>
      <c r="H264" s="30" t="n">
        <f aca="false">Panel!D239-Panel!D238</f>
        <v>-0.000718939693900467</v>
      </c>
      <c r="I264" s="30" t="n">
        <f aca="false">Panel!D238-Panel!D237</f>
        <v>0.00612863186751689</v>
      </c>
      <c r="L264" s="30" t="n">
        <f aca="false">Panel!E238-Panel!E237</f>
        <v>0.00531926784643932</v>
      </c>
      <c r="M264" s="29" t="n">
        <f aca="false">Panel!E237</f>
        <v>5.51893773731781</v>
      </c>
    </row>
    <row r="265" customFormat="false" ht="15" hidden="false" customHeight="false" outlineLevel="0" collapsed="false">
      <c r="C265" s="0" t="n">
        <f aca="false">Panel!D244-Panel!D243</f>
        <v>-0.00591544024747748</v>
      </c>
      <c r="D265" s="29" t="n">
        <f aca="false">Panel!D243</f>
        <v>10.0083429406385</v>
      </c>
      <c r="E265" s="30" t="n">
        <f aca="false">Panel!D243-Panel!D242</f>
        <v>-0.00656746440132139</v>
      </c>
      <c r="F265" s="30" t="n">
        <f aca="false">Panel!D242-Panel!D241</f>
        <v>-0.0112261031166554</v>
      </c>
      <c r="G265" s="30" t="n">
        <f aca="false">Panel!D241-Panel!D240</f>
        <v>-0.00860954343744957</v>
      </c>
      <c r="H265" s="30" t="n">
        <f aca="false">Panel!D240-Panel!D239</f>
        <v>0.00314456690873932</v>
      </c>
      <c r="I265" s="30" t="n">
        <f aca="false">Panel!D239-Panel!D238</f>
        <v>-0.000718939693900467</v>
      </c>
      <c r="L265" s="30" t="n">
        <f aca="false">Panel!E239-Panel!E238</f>
        <v>0.000319055598144935</v>
      </c>
      <c r="M265" s="29" t="n">
        <f aca="false">Panel!E238</f>
        <v>5.52425700516425</v>
      </c>
    </row>
    <row r="266" customFormat="false" ht="15" hidden="false" customHeight="false" outlineLevel="0" collapsed="false">
      <c r="C266" s="0" t="n">
        <f aca="false">Panel!D245-Panel!D244</f>
        <v>0.00194556991895567</v>
      </c>
      <c r="D266" s="29" t="n">
        <f aca="false">Panel!D244</f>
        <v>10.002427500391</v>
      </c>
      <c r="E266" s="30" t="n">
        <f aca="false">Panel!D244-Panel!D243</f>
        <v>-0.00591544024747748</v>
      </c>
      <c r="F266" s="30" t="n">
        <f aca="false">Panel!D243-Panel!D242</f>
        <v>-0.00656746440132139</v>
      </c>
      <c r="G266" s="30" t="n">
        <f aca="false">Panel!D242-Panel!D241</f>
        <v>-0.0112261031166554</v>
      </c>
      <c r="H266" s="30" t="n">
        <f aca="false">Panel!D241-Panel!D240</f>
        <v>-0.00860954343744957</v>
      </c>
      <c r="I266" s="30" t="n">
        <f aca="false">Panel!D240-Panel!D239</f>
        <v>0.00314456690873932</v>
      </c>
      <c r="L266" s="30" t="n">
        <f aca="false">Panel!E240-Panel!E239</f>
        <v>0.00270787040264331</v>
      </c>
      <c r="M266" s="29" t="n">
        <f aca="false">Panel!E239</f>
        <v>5.52457606076239</v>
      </c>
    </row>
    <row r="267" customFormat="false" ht="15" hidden="false" customHeight="false" outlineLevel="0" collapsed="false">
      <c r="C267" s="0" t="n">
        <f aca="false">Panel!D246-Panel!D245</f>
        <v>0.0121440156488237</v>
      </c>
      <c r="D267" s="29" t="n">
        <f aca="false">Panel!D245</f>
        <v>10.00437307031</v>
      </c>
      <c r="E267" s="30" t="n">
        <f aca="false">Panel!D245-Panel!D244</f>
        <v>0.00194556991895567</v>
      </c>
      <c r="F267" s="30" t="n">
        <f aca="false">Panel!D244-Panel!D243</f>
        <v>-0.00591544024747748</v>
      </c>
      <c r="G267" s="30" t="n">
        <f aca="false">Panel!D243-Panel!D242</f>
        <v>-0.00656746440132139</v>
      </c>
      <c r="H267" s="30" t="n">
        <f aca="false">Panel!D242-Panel!D241</f>
        <v>-0.0112261031166554</v>
      </c>
      <c r="I267" s="30" t="n">
        <f aca="false">Panel!D241-Panel!D240</f>
        <v>-0.00860954343744957</v>
      </c>
      <c r="L267" s="30" t="n">
        <f aca="false">Panel!E241-Panel!E240</f>
        <v>-0.00582301330278945</v>
      </c>
      <c r="M267" s="29" t="n">
        <f aca="false">Panel!E240</f>
        <v>5.52728393116504</v>
      </c>
    </row>
    <row r="268" customFormat="false" ht="15" hidden="false" customHeight="false" outlineLevel="0" collapsed="false">
      <c r="C268" s="0" t="n">
        <f aca="false">Panel!D247-Panel!D246</f>
        <v>-0.001716270572933</v>
      </c>
      <c r="D268" s="29" t="n">
        <f aca="false">Panel!D246</f>
        <v>10.0165170859588</v>
      </c>
      <c r="E268" s="30" t="n">
        <f aca="false">Panel!D246-Panel!D245</f>
        <v>0.0121440156488237</v>
      </c>
      <c r="F268" s="30" t="n">
        <f aca="false">Panel!D245-Panel!D244</f>
        <v>0.00194556991895567</v>
      </c>
      <c r="G268" s="30" t="n">
        <f aca="false">Panel!D244-Panel!D243</f>
        <v>-0.00591544024747748</v>
      </c>
      <c r="H268" s="30" t="n">
        <f aca="false">Panel!D243-Panel!D242</f>
        <v>-0.00656746440132139</v>
      </c>
      <c r="I268" s="30" t="n">
        <f aca="false">Panel!D242-Panel!D241</f>
        <v>-0.0112261031166554</v>
      </c>
      <c r="L268" s="30" t="n">
        <f aca="false">Panel!E242-Panel!E241</f>
        <v>-0.0116678048676819</v>
      </c>
      <c r="M268" s="29" t="n">
        <f aca="false">Panel!E241</f>
        <v>5.52146091786225</v>
      </c>
    </row>
    <row r="269" customFormat="false" ht="15" hidden="false" customHeight="false" outlineLevel="0" collapsed="false">
      <c r="C269" s="0" t="n">
        <f aca="false">Panel!D248-Panel!D247</f>
        <v>0.00290788124027408</v>
      </c>
      <c r="D269" s="29" t="n">
        <f aca="false">Panel!D247</f>
        <v>10.0148008153859</v>
      </c>
      <c r="E269" s="30" t="n">
        <f aca="false">Panel!D247-Panel!D246</f>
        <v>-0.001716270572933</v>
      </c>
      <c r="F269" s="30" t="n">
        <f aca="false">Panel!D246-Panel!D245</f>
        <v>0.0121440156488237</v>
      </c>
      <c r="G269" s="30" t="n">
        <f aca="false">Panel!D245-Panel!D244</f>
        <v>0.00194556991895567</v>
      </c>
      <c r="H269" s="30" t="n">
        <f aca="false">Panel!D244-Panel!D243</f>
        <v>-0.00591544024747748</v>
      </c>
      <c r="I269" s="30" t="n">
        <f aca="false">Panel!D243-Panel!D242</f>
        <v>-0.00656746440132139</v>
      </c>
      <c r="L269" s="30" t="n">
        <f aca="false">Panel!E243-Panel!E242</f>
        <v>-0.00446157706220163</v>
      </c>
      <c r="M269" s="29" t="n">
        <f aca="false">Panel!E242</f>
        <v>5.50979311299456</v>
      </c>
    </row>
    <row r="270" customFormat="false" ht="15" hidden="false" customHeight="false" outlineLevel="0" collapsed="false">
      <c r="C270" s="0" t="n">
        <f aca="false">Panel!D249-Panel!D248</f>
        <v>0.00687639253419015</v>
      </c>
      <c r="D270" s="29" t="n">
        <f aca="false">Panel!D248</f>
        <v>10.0177086966262</v>
      </c>
      <c r="E270" s="30" t="n">
        <f aca="false">Panel!D248-Panel!D247</f>
        <v>0.00290788124027408</v>
      </c>
      <c r="F270" s="30" t="n">
        <f aca="false">Panel!D247-Panel!D246</f>
        <v>-0.001716270572933</v>
      </c>
      <c r="G270" s="30" t="n">
        <f aca="false">Panel!D246-Panel!D245</f>
        <v>0.0121440156488237</v>
      </c>
      <c r="H270" s="30" t="n">
        <f aca="false">Panel!D245-Panel!D244</f>
        <v>0.00194556991895567</v>
      </c>
      <c r="I270" s="30" t="n">
        <f aca="false">Panel!D244-Panel!D243</f>
        <v>-0.00591544024747748</v>
      </c>
      <c r="L270" s="30" t="n">
        <f aca="false">Panel!E244-Panel!E243</f>
        <v>-0.00632074690770779</v>
      </c>
      <c r="M270" s="29" t="n">
        <f aca="false">Panel!E243</f>
        <v>5.50533153593236</v>
      </c>
    </row>
    <row r="271" customFormat="false" ht="15" hidden="false" customHeight="false" outlineLevel="0" collapsed="false">
      <c r="C271" s="0" t="n">
        <f aca="false">Panel!D250-Panel!D249</f>
        <v>-0.000126255494773631</v>
      </c>
      <c r="D271" s="29" t="n">
        <f aca="false">Panel!D249</f>
        <v>10.0245850891603</v>
      </c>
      <c r="E271" s="30" t="n">
        <f aca="false">Panel!D249-Panel!D248</f>
        <v>0.00687639253419015</v>
      </c>
      <c r="F271" s="30" t="n">
        <f aca="false">Panel!D248-Panel!D247</f>
        <v>0.00290788124027408</v>
      </c>
      <c r="G271" s="30" t="n">
        <f aca="false">Panel!D247-Panel!D246</f>
        <v>-0.001716270572933</v>
      </c>
      <c r="H271" s="30" t="n">
        <f aca="false">Panel!D246-Panel!D245</f>
        <v>0.0121440156488237</v>
      </c>
      <c r="I271" s="30" t="n">
        <f aca="false">Panel!D245-Panel!D244</f>
        <v>0.00194556991895567</v>
      </c>
      <c r="L271" s="30" t="n">
        <f aca="false">Panel!E245-Panel!E244</f>
        <v>0.00453052753464078</v>
      </c>
      <c r="M271" s="29" t="n">
        <f aca="false">Panel!E244</f>
        <v>5.49901078902466</v>
      </c>
    </row>
    <row r="272" customFormat="false" ht="15" hidden="false" customHeight="false" outlineLevel="0" collapsed="false">
      <c r="C272" s="0" t="n">
        <f aca="false">Panel!D251-Panel!D250</f>
        <v>0.0076483811728032</v>
      </c>
      <c r="D272" s="29" t="n">
        <f aca="false">Panel!D250</f>
        <v>10.0244588336656</v>
      </c>
      <c r="E272" s="30" t="n">
        <f aca="false">Panel!D250-Panel!D249</f>
        <v>-0.000126255494773631</v>
      </c>
      <c r="F272" s="30" t="n">
        <f aca="false">Panel!D249-Panel!D248</f>
        <v>0.00687639253419015</v>
      </c>
      <c r="G272" s="30" t="n">
        <f aca="false">Panel!D248-Panel!D247</f>
        <v>0.00290788124027408</v>
      </c>
      <c r="H272" s="30" t="n">
        <f aca="false">Panel!D247-Panel!D246</f>
        <v>-0.001716270572933</v>
      </c>
      <c r="I272" s="30" t="n">
        <f aca="false">Panel!D246-Panel!D245</f>
        <v>0.0121440156488237</v>
      </c>
      <c r="L272" s="30" t="n">
        <f aca="false">Panel!E246-Panel!E245</f>
        <v>0.00928240790728729</v>
      </c>
      <c r="M272" s="29" t="n">
        <f aca="false">Panel!E245</f>
        <v>5.5035413165593</v>
      </c>
    </row>
    <row r="273" customFormat="false" ht="15" hidden="false" customHeight="false" outlineLevel="0" collapsed="false">
      <c r="C273" s="0" t="n">
        <f aca="false">Panel!D252-Panel!D251</f>
        <v>-0.00176677130632008</v>
      </c>
      <c r="D273" s="29" t="n">
        <f aca="false">Panel!D251</f>
        <v>10.0321072148384</v>
      </c>
      <c r="E273" s="30" t="n">
        <f aca="false">Panel!D251-Panel!D250</f>
        <v>0.0076483811728032</v>
      </c>
      <c r="F273" s="30" t="n">
        <f aca="false">Panel!D250-Panel!D249</f>
        <v>-0.000126255494773631</v>
      </c>
      <c r="G273" s="30" t="n">
        <f aca="false">Panel!D249-Panel!D248</f>
        <v>0.00687639253419015</v>
      </c>
      <c r="H273" s="30" t="n">
        <f aca="false">Panel!D248-Panel!D247</f>
        <v>0.00290788124027408</v>
      </c>
      <c r="I273" s="30" t="n">
        <f aca="false">Panel!D247-Panel!D246</f>
        <v>-0.001716270572933</v>
      </c>
      <c r="L273" s="30" t="n">
        <f aca="false">Panel!E247-Panel!E246</f>
        <v>-0.000484281053897639</v>
      </c>
      <c r="M273" s="29" t="n">
        <f aca="false">Panel!E246</f>
        <v>5.51282372446658</v>
      </c>
    </row>
    <row r="274" customFormat="false" ht="15" hidden="false" customHeight="false" outlineLevel="0" collapsed="false">
      <c r="C274" s="0" t="n">
        <f aca="false">Panel!D253-Panel!D252</f>
        <v>0.00329559855889983</v>
      </c>
      <c r="D274" s="29" t="n">
        <f aca="false">Panel!D252</f>
        <v>10.0303404435321</v>
      </c>
      <c r="E274" s="30" t="n">
        <f aca="false">Panel!D252-Panel!D251</f>
        <v>-0.00176677130632008</v>
      </c>
      <c r="F274" s="30" t="n">
        <f aca="false">Panel!D251-Panel!D250</f>
        <v>0.0076483811728032</v>
      </c>
      <c r="G274" s="30" t="n">
        <f aca="false">Panel!D250-Panel!D249</f>
        <v>-0.000126255494773631</v>
      </c>
      <c r="H274" s="30" t="n">
        <f aca="false">Panel!D249-Panel!D248</f>
        <v>0.00687639253419015</v>
      </c>
      <c r="I274" s="30" t="n">
        <f aca="false">Panel!D248-Panel!D247</f>
        <v>0.00290788124027408</v>
      </c>
      <c r="L274" s="30" t="n">
        <f aca="false">Panel!E248-Panel!E247</f>
        <v>0.00149244728507014</v>
      </c>
      <c r="M274" s="29" t="n">
        <f aca="false">Panel!E247</f>
        <v>5.51233944341269</v>
      </c>
    </row>
    <row r="275" customFormat="false" ht="15" hidden="false" customHeight="false" outlineLevel="0" collapsed="false">
      <c r="C275" s="0" t="n">
        <f aca="false">Panel!D254-Panel!D253</f>
        <v>-0.00971341810063997</v>
      </c>
      <c r="D275" s="29" t="n">
        <f aca="false">Panel!D253</f>
        <v>10.033636042091</v>
      </c>
      <c r="E275" s="30" t="n">
        <f aca="false">Panel!D253-Panel!D252</f>
        <v>0.00329559855889983</v>
      </c>
      <c r="F275" s="30" t="n">
        <f aca="false">Panel!D252-Panel!D251</f>
        <v>-0.00176677130632008</v>
      </c>
      <c r="G275" s="30" t="n">
        <f aca="false">Panel!D251-Panel!D250</f>
        <v>0.0076483811728032</v>
      </c>
      <c r="H275" s="30" t="n">
        <f aca="false">Panel!D250-Panel!D249</f>
        <v>-0.000126255494773631</v>
      </c>
      <c r="I275" s="30" t="n">
        <f aca="false">Panel!D249-Panel!D248</f>
        <v>0.00687639253419015</v>
      </c>
      <c r="L275" s="30" t="n">
        <f aca="false">Panel!E249-Panel!E248</f>
        <v>0.0051459468706847</v>
      </c>
      <c r="M275" s="29" t="n">
        <f aca="false">Panel!E248</f>
        <v>5.51383189069776</v>
      </c>
    </row>
    <row r="276" customFormat="false" ht="15" hidden="false" customHeight="false" outlineLevel="0" collapsed="false">
      <c r="C276" s="0" t="n">
        <f aca="false">Panel!D255-Panel!D254</f>
        <v>-3.32456018874439E-005</v>
      </c>
      <c r="D276" s="29" t="n">
        <f aca="false">Panel!D254</f>
        <v>10.0239226239903</v>
      </c>
      <c r="E276" s="30" t="n">
        <f aca="false">Panel!D254-Panel!D253</f>
        <v>-0.00971341810063997</v>
      </c>
      <c r="F276" s="30" t="n">
        <f aca="false">Panel!D253-Panel!D252</f>
        <v>0.00329559855889983</v>
      </c>
      <c r="G276" s="30" t="n">
        <f aca="false">Panel!D252-Panel!D251</f>
        <v>-0.00176677130632008</v>
      </c>
      <c r="H276" s="30" t="n">
        <f aca="false">Panel!D251-Panel!D250</f>
        <v>0.0076483811728032</v>
      </c>
      <c r="I276" s="30" t="n">
        <f aca="false">Panel!D250-Panel!D249</f>
        <v>-0.000126255494773631</v>
      </c>
      <c r="L276" s="30" t="n">
        <f aca="false">Panel!E250-Panel!E249</f>
        <v>-0.00265007181794186</v>
      </c>
      <c r="M276" s="29" t="n">
        <f aca="false">Panel!E249</f>
        <v>5.51897783756844</v>
      </c>
    </row>
    <row r="277" customFormat="false" ht="15" hidden="false" customHeight="false" outlineLevel="0" collapsed="false">
      <c r="C277" s="0" t="n">
        <f aca="false">Panel!D256-Panel!D255</f>
        <v>-0.00818983524536776</v>
      </c>
      <c r="D277" s="29" t="n">
        <f aca="false">Panel!D255</f>
        <v>10.0238893783884</v>
      </c>
      <c r="E277" s="30" t="n">
        <f aca="false">Panel!D255-Panel!D254</f>
        <v>-3.32456018874439E-005</v>
      </c>
      <c r="F277" s="30" t="n">
        <f aca="false">Panel!D254-Panel!D253</f>
        <v>-0.00971341810063997</v>
      </c>
      <c r="G277" s="30" t="n">
        <f aca="false">Panel!D253-Panel!D252</f>
        <v>0.00329559855889983</v>
      </c>
      <c r="H277" s="30" t="n">
        <f aca="false">Panel!D252-Panel!D251</f>
        <v>-0.00176677130632008</v>
      </c>
      <c r="I277" s="30" t="n">
        <f aca="false">Panel!D251-Panel!D250</f>
        <v>0.0076483811728032</v>
      </c>
      <c r="L277" s="30" t="n">
        <f aca="false">Panel!E251-Panel!E250</f>
        <v>0.00637238394669915</v>
      </c>
      <c r="M277" s="29" t="n">
        <f aca="false">Panel!E250</f>
        <v>5.5163277657505</v>
      </c>
    </row>
    <row r="278" customFormat="false" ht="15" hidden="false" customHeight="false" outlineLevel="0" collapsed="false">
      <c r="C278" s="0" t="n">
        <f aca="false">Panel!D257-Panel!D256</f>
        <v>0.000797447317481215</v>
      </c>
      <c r="D278" s="29" t="n">
        <f aca="false">Panel!D256</f>
        <v>10.0156995431431</v>
      </c>
      <c r="E278" s="30" t="n">
        <f aca="false">Panel!D256-Panel!D255</f>
        <v>-0.00818983524536776</v>
      </c>
      <c r="F278" s="30" t="n">
        <f aca="false">Panel!D255-Panel!D254</f>
        <v>-3.32456018874439E-005</v>
      </c>
      <c r="G278" s="30" t="n">
        <f aca="false">Panel!D254-Panel!D253</f>
        <v>-0.00971341810063997</v>
      </c>
      <c r="H278" s="30" t="n">
        <f aca="false">Panel!D253-Panel!D252</f>
        <v>0.00329559855889983</v>
      </c>
      <c r="I278" s="30" t="n">
        <f aca="false">Panel!D252-Panel!D251</f>
        <v>-0.00176677130632008</v>
      </c>
      <c r="L278" s="30" t="n">
        <f aca="false">Panel!E252-Panel!E251</f>
        <v>-0.00131923503512166</v>
      </c>
      <c r="M278" s="29" t="n">
        <f aca="false">Panel!E251</f>
        <v>5.5227001496972</v>
      </c>
    </row>
    <row r="279" customFormat="false" ht="15" hidden="false" customHeight="false" outlineLevel="0" collapsed="false">
      <c r="C279" s="0" t="n">
        <f aca="false">Panel!D258-Panel!D257</f>
        <v>-0.0143956302039392</v>
      </c>
      <c r="D279" s="29" t="n">
        <f aca="false">Panel!D257</f>
        <v>10.0164969904605</v>
      </c>
      <c r="E279" s="30" t="n">
        <f aca="false">Panel!D257-Panel!D256</f>
        <v>0.000797447317481215</v>
      </c>
      <c r="F279" s="30" t="n">
        <f aca="false">Panel!D256-Panel!D255</f>
        <v>-0.00818983524536776</v>
      </c>
      <c r="G279" s="30" t="n">
        <f aca="false">Panel!D255-Panel!D254</f>
        <v>-3.32456018874439E-005</v>
      </c>
      <c r="H279" s="30" t="n">
        <f aca="false">Panel!D254-Panel!D253</f>
        <v>-0.00971341810063997</v>
      </c>
      <c r="I279" s="30" t="n">
        <f aca="false">Panel!D253-Panel!D252</f>
        <v>0.00329559855889983</v>
      </c>
      <c r="L279" s="30" t="n">
        <f aca="false">Panel!E253-Panel!E252</f>
        <v>0.00363368139946818</v>
      </c>
      <c r="M279" s="29" t="n">
        <f aca="false">Panel!E252</f>
        <v>5.52138091466208</v>
      </c>
    </row>
    <row r="280" customFormat="false" ht="15" hidden="false" customHeight="false" outlineLevel="0" collapsed="false">
      <c r="C280" s="0" t="n">
        <f aca="false">Panel!D259-Panel!D258</f>
        <v>0.00248413607230802</v>
      </c>
      <c r="D280" s="29" t="n">
        <f aca="false">Panel!D258</f>
        <v>10.0021013602566</v>
      </c>
      <c r="E280" s="30" t="n">
        <f aca="false">Panel!D258-Panel!D257</f>
        <v>-0.0143956302039392</v>
      </c>
      <c r="F280" s="30" t="n">
        <f aca="false">Panel!D257-Panel!D256</f>
        <v>0.000797447317481215</v>
      </c>
      <c r="G280" s="30" t="n">
        <f aca="false">Panel!D256-Panel!D255</f>
        <v>-0.00818983524536776</v>
      </c>
      <c r="H280" s="30" t="n">
        <f aca="false">Panel!D255-Panel!D254</f>
        <v>-3.32456018874439E-005</v>
      </c>
      <c r="I280" s="30" t="n">
        <f aca="false">Panel!D254-Panel!D253</f>
        <v>-0.00971341810063997</v>
      </c>
      <c r="L280" s="30" t="n">
        <f aca="false">Panel!E254-Panel!E253</f>
        <v>-0.00836523519651955</v>
      </c>
      <c r="M280" s="29" t="n">
        <f aca="false">Panel!E253</f>
        <v>5.52501459606154</v>
      </c>
    </row>
    <row r="281" customFormat="false" ht="15" hidden="false" customHeight="false" outlineLevel="0" collapsed="false">
      <c r="C281" s="0" t="n">
        <f aca="false">Panel!D260-Panel!D259</f>
        <v>0.00435606749419648</v>
      </c>
      <c r="D281" s="29" t="n">
        <f aca="false">Panel!D259</f>
        <v>10.0045854963289</v>
      </c>
      <c r="E281" s="30" t="n">
        <f aca="false">Panel!D259-Panel!D258</f>
        <v>0.00248413607230802</v>
      </c>
      <c r="F281" s="30" t="n">
        <f aca="false">Panel!D258-Panel!D257</f>
        <v>-0.0143956302039392</v>
      </c>
      <c r="G281" s="30" t="n">
        <f aca="false">Panel!D257-Panel!D256</f>
        <v>0.000797447317481215</v>
      </c>
      <c r="H281" s="30" t="n">
        <f aca="false">Panel!D256-Panel!D255</f>
        <v>-0.00818983524536776</v>
      </c>
      <c r="I281" s="30" t="n">
        <f aca="false">Panel!D255-Panel!D254</f>
        <v>-3.32456018874439E-005</v>
      </c>
      <c r="L281" s="30" t="n">
        <f aca="false">Panel!E255-Panel!E254</f>
        <v>-0.00120651532834071</v>
      </c>
      <c r="M281" s="29" t="n">
        <f aca="false">Panel!E254</f>
        <v>5.51664936086502</v>
      </c>
    </row>
    <row r="282" customFormat="false" ht="15" hidden="false" customHeight="false" outlineLevel="0" collapsed="false">
      <c r="C282" s="0" t="n">
        <f aca="false">Panel!D261-Panel!D260</f>
        <v>0.00394732923035157</v>
      </c>
      <c r="D282" s="29" t="n">
        <f aca="false">Panel!D260</f>
        <v>10.0089415638231</v>
      </c>
      <c r="E282" s="30" t="n">
        <f aca="false">Panel!D260-Panel!D259</f>
        <v>0.00435606749419648</v>
      </c>
      <c r="F282" s="30" t="n">
        <f aca="false">Panel!D259-Panel!D258</f>
        <v>0.00248413607230802</v>
      </c>
      <c r="G282" s="30" t="n">
        <f aca="false">Panel!D258-Panel!D257</f>
        <v>-0.0143956302039392</v>
      </c>
      <c r="H282" s="30" t="n">
        <f aca="false">Panel!D257-Panel!D256</f>
        <v>0.000797447317481215</v>
      </c>
      <c r="I282" s="30" t="n">
        <f aca="false">Panel!D256-Panel!D255</f>
        <v>-0.00818983524536776</v>
      </c>
      <c r="L282" s="30" t="n">
        <f aca="false">Panel!E256-Panel!E255</f>
        <v>-0.00407266838460796</v>
      </c>
      <c r="M282" s="29" t="n">
        <f aca="false">Panel!E255</f>
        <v>5.51544284553668</v>
      </c>
    </row>
    <row r="283" customFormat="false" ht="15" hidden="false" customHeight="false" outlineLevel="0" collapsed="false">
      <c r="C283" s="0" t="n">
        <f aca="false">Panel!D262-Panel!D261</f>
        <v>-0.00159008038849073</v>
      </c>
      <c r="D283" s="29" t="n">
        <f aca="false">Panel!D261</f>
        <v>10.0128888930535</v>
      </c>
      <c r="E283" s="30" t="n">
        <f aca="false">Panel!D261-Panel!D260</f>
        <v>0.00394732923035157</v>
      </c>
      <c r="F283" s="30" t="n">
        <f aca="false">Panel!D260-Panel!D259</f>
        <v>0.00435606749419648</v>
      </c>
      <c r="G283" s="30" t="n">
        <f aca="false">Panel!D259-Panel!D258</f>
        <v>0.00248413607230802</v>
      </c>
      <c r="H283" s="30" t="n">
        <f aca="false">Panel!D258-Panel!D257</f>
        <v>-0.0143956302039392</v>
      </c>
      <c r="I283" s="30" t="n">
        <f aca="false">Panel!D257-Panel!D256</f>
        <v>0.000797447317481215</v>
      </c>
      <c r="L283" s="30" t="n">
        <f aca="false">Panel!E257-Panel!E256</f>
        <v>0.000444363658365532</v>
      </c>
      <c r="M283" s="29" t="n">
        <f aca="false">Panel!E256</f>
        <v>5.51137017715208</v>
      </c>
    </row>
    <row r="284" customFormat="false" ht="15" hidden="false" customHeight="false" outlineLevel="0" collapsed="false">
      <c r="C284" s="0" t="n">
        <f aca="false">Panel!D263-Panel!D262</f>
        <v>0.00875103072171157</v>
      </c>
      <c r="D284" s="29" t="n">
        <f aca="false">Panel!D262</f>
        <v>10.011298812665</v>
      </c>
      <c r="E284" s="30" t="n">
        <f aca="false">Panel!D262-Panel!D261</f>
        <v>-0.00159008038849073</v>
      </c>
      <c r="F284" s="30" t="n">
        <f aca="false">Panel!D261-Panel!D260</f>
        <v>0.00394732923035157</v>
      </c>
      <c r="G284" s="30" t="n">
        <f aca="false">Panel!D260-Panel!D259</f>
        <v>0.00435606749419648</v>
      </c>
      <c r="H284" s="30" t="n">
        <f aca="false">Panel!D259-Panel!D258</f>
        <v>0.00248413607230802</v>
      </c>
      <c r="I284" s="30" t="n">
        <f aca="false">Panel!D258-Panel!D257</f>
        <v>-0.0143956302039392</v>
      </c>
      <c r="L284" s="30" t="n">
        <f aca="false">Panel!E258-Panel!E257</f>
        <v>-0.0155073418317349</v>
      </c>
      <c r="M284" s="29" t="n">
        <f aca="false">Panel!E257</f>
        <v>5.51181454081044</v>
      </c>
    </row>
    <row r="285" customFormat="false" ht="15" hidden="false" customHeight="false" outlineLevel="0" collapsed="false">
      <c r="C285" s="0" t="n">
        <f aca="false">Panel!D264-Panel!D263</f>
        <v>0.00174727283229004</v>
      </c>
      <c r="D285" s="29" t="n">
        <f aca="false">Panel!D263</f>
        <v>10.0200498433867</v>
      </c>
      <c r="E285" s="30" t="n">
        <f aca="false">Panel!D263-Panel!D262</f>
        <v>0.00875103072171157</v>
      </c>
      <c r="F285" s="30" t="n">
        <f aca="false">Panel!D262-Panel!D261</f>
        <v>-0.00159008038849073</v>
      </c>
      <c r="G285" s="30" t="n">
        <f aca="false">Panel!D261-Panel!D260</f>
        <v>0.00394732923035157</v>
      </c>
      <c r="H285" s="30" t="n">
        <f aca="false">Panel!D260-Panel!D259</f>
        <v>0.00435606749419648</v>
      </c>
      <c r="I285" s="30" t="n">
        <f aca="false">Panel!D259-Panel!D258</f>
        <v>0.00248413607230802</v>
      </c>
      <c r="L285" s="30" t="n">
        <f aca="false">Panel!E259-Panel!E258</f>
        <v>0.00486937558083334</v>
      </c>
      <c r="M285" s="29" t="n">
        <f aca="false">Panel!E258</f>
        <v>5.49630719897871</v>
      </c>
    </row>
    <row r="286" customFormat="false" ht="15" hidden="false" customHeight="false" outlineLevel="0" collapsed="false">
      <c r="C286" s="0" t="n">
        <f aca="false">Panel!D265-Panel!D264</f>
        <v>0.00127185391492723</v>
      </c>
      <c r="D286" s="29" t="n">
        <f aca="false">Panel!D264</f>
        <v>10.021797116219</v>
      </c>
      <c r="E286" s="30" t="n">
        <f aca="false">Panel!D264-Panel!D263</f>
        <v>0.00174727283229004</v>
      </c>
      <c r="F286" s="30" t="n">
        <f aca="false">Panel!D263-Panel!D262</f>
        <v>0.00875103072171157</v>
      </c>
      <c r="G286" s="30" t="n">
        <f aca="false">Panel!D262-Panel!D261</f>
        <v>-0.00159008038849073</v>
      </c>
      <c r="H286" s="30" t="n">
        <f aca="false">Panel!D261-Panel!D260</f>
        <v>0.00394732923035157</v>
      </c>
      <c r="I286" s="30" t="n">
        <f aca="false">Panel!D260-Panel!D259</f>
        <v>0.00435606749419648</v>
      </c>
      <c r="L286" s="30" t="n">
        <f aca="false">Panel!E260-Panel!E259</f>
        <v>0.00154994524645691</v>
      </c>
      <c r="M286" s="29" t="n">
        <f aca="false">Panel!E259</f>
        <v>5.50117657455954</v>
      </c>
    </row>
    <row r="287" customFormat="false" ht="15" hidden="false" customHeight="false" outlineLevel="0" collapsed="false">
      <c r="C287" s="0" t="n">
        <f aca="false">Panel!D266-Panel!D265</f>
        <v>0.00224233225507575</v>
      </c>
      <c r="D287" s="29" t="n">
        <f aca="false">Panel!D265</f>
        <v>10.0230689701339</v>
      </c>
      <c r="E287" s="30" t="n">
        <f aca="false">Panel!D265-Panel!D264</f>
        <v>0.00127185391492723</v>
      </c>
      <c r="F287" s="30" t="n">
        <f aca="false">Panel!D264-Panel!D263</f>
        <v>0.00174727283229004</v>
      </c>
      <c r="G287" s="30" t="n">
        <f aca="false">Panel!D263-Panel!D262</f>
        <v>0.00875103072171157</v>
      </c>
      <c r="H287" s="30" t="n">
        <f aca="false">Panel!D262-Panel!D261</f>
        <v>-0.00159008038849073</v>
      </c>
      <c r="I287" s="30" t="n">
        <f aca="false">Panel!D261-Panel!D260</f>
        <v>0.00394732923035157</v>
      </c>
      <c r="L287" s="30" t="n">
        <f aca="false">Panel!E261-Panel!E260</f>
        <v>0.00601383364687003</v>
      </c>
      <c r="M287" s="29" t="n">
        <f aca="false">Panel!E260</f>
        <v>5.502726519806</v>
      </c>
    </row>
    <row r="288" customFormat="false" ht="15" hidden="false" customHeight="false" outlineLevel="0" collapsed="false">
      <c r="C288" s="0" t="n">
        <f aca="false">Panel!D267-Panel!D266</f>
        <v>0.00337174551899722</v>
      </c>
      <c r="D288" s="29" t="n">
        <f aca="false">Panel!D266</f>
        <v>10.025311302389</v>
      </c>
      <c r="E288" s="30" t="n">
        <f aca="false">Panel!D266-Panel!D265</f>
        <v>0.00224233225507575</v>
      </c>
      <c r="F288" s="30" t="n">
        <f aca="false">Panel!D265-Panel!D264</f>
        <v>0.00127185391492723</v>
      </c>
      <c r="G288" s="30" t="n">
        <f aca="false">Panel!D264-Panel!D263</f>
        <v>0.00174727283229004</v>
      </c>
      <c r="H288" s="30" t="n">
        <f aca="false">Panel!D263-Panel!D262</f>
        <v>0.00875103072171157</v>
      </c>
      <c r="I288" s="30" t="n">
        <f aca="false">Panel!D262-Panel!D261</f>
        <v>-0.00159008038849073</v>
      </c>
      <c r="L288" s="30" t="n">
        <f aca="false">Panel!E262-Panel!E261</f>
        <v>-0.00117554078273141</v>
      </c>
      <c r="M288" s="29" t="n">
        <f aca="false">Panel!E261</f>
        <v>5.50874035345287</v>
      </c>
    </row>
    <row r="289" customFormat="false" ht="15" hidden="false" customHeight="false" outlineLevel="0" collapsed="false">
      <c r="C289" s="0" t="n">
        <f aca="false">Panel!D268-Panel!D267</f>
        <v>0.0150011351214463</v>
      </c>
      <c r="D289" s="29" t="n">
        <f aca="false">Panel!D267</f>
        <v>10.028683047908</v>
      </c>
      <c r="E289" s="30" t="n">
        <f aca="false">Panel!D267-Panel!D266</f>
        <v>0.00337174551899722</v>
      </c>
      <c r="F289" s="30" t="n">
        <f aca="false">Panel!D266-Panel!D265</f>
        <v>0.00224233225507575</v>
      </c>
      <c r="G289" s="30" t="n">
        <f aca="false">Panel!D265-Panel!D264</f>
        <v>0.00127185391492723</v>
      </c>
      <c r="H289" s="30" t="n">
        <f aca="false">Panel!D264-Panel!D263</f>
        <v>0.00174727283229004</v>
      </c>
      <c r="I289" s="30" t="n">
        <f aca="false">Panel!D263-Panel!D262</f>
        <v>0.00875103072171157</v>
      </c>
      <c r="L289" s="30" t="n">
        <f aca="false">Panel!E263-Panel!E262</f>
        <v>0.00767680537819437</v>
      </c>
      <c r="M289" s="29" t="n">
        <f aca="false">Panel!E262</f>
        <v>5.50756481267014</v>
      </c>
    </row>
    <row r="290" customFormat="false" ht="15" hidden="false" customHeight="false" outlineLevel="0" collapsed="false">
      <c r="C290" s="0" t="n">
        <f aca="false">Panel!D269-Panel!D268</f>
        <v>0.000584357695665005</v>
      </c>
      <c r="D290" s="29" t="n">
        <f aca="false">Panel!D268</f>
        <v>10.0436841830294</v>
      </c>
      <c r="E290" s="30" t="n">
        <f aca="false">Panel!D268-Panel!D267</f>
        <v>0.0150011351214463</v>
      </c>
      <c r="F290" s="30" t="n">
        <f aca="false">Panel!D267-Panel!D266</f>
        <v>0.00337174551899722</v>
      </c>
      <c r="G290" s="30" t="n">
        <f aca="false">Panel!D266-Panel!D265</f>
        <v>0.00224233225507575</v>
      </c>
      <c r="H290" s="30" t="n">
        <f aca="false">Panel!D265-Panel!D264</f>
        <v>0.00127185391492723</v>
      </c>
      <c r="I290" s="30" t="n">
        <f aca="false">Panel!D264-Panel!D263</f>
        <v>0.00174727283229004</v>
      </c>
      <c r="L290" s="30" t="n">
        <f aca="false">Panel!E264-Panel!E263</f>
        <v>0.00180959132521696</v>
      </c>
      <c r="M290" s="29" t="n">
        <f aca="false">Panel!E263</f>
        <v>5.51524161804833</v>
      </c>
    </row>
    <row r="291" customFormat="false" ht="15" hidden="false" customHeight="false" outlineLevel="0" collapsed="false">
      <c r="C291" s="0" t="n">
        <f aca="false">Panel!D270-Panel!D269</f>
        <v>-0.000971220870463085</v>
      </c>
      <c r="D291" s="29" t="n">
        <f aca="false">Panel!D269</f>
        <v>10.0442685407251</v>
      </c>
      <c r="E291" s="30" t="n">
        <f aca="false">Panel!D269-Panel!D268</f>
        <v>0.000584357695665005</v>
      </c>
      <c r="F291" s="30" t="n">
        <f aca="false">Panel!D268-Panel!D267</f>
        <v>0.0150011351214463</v>
      </c>
      <c r="G291" s="30" t="n">
        <f aca="false">Panel!D267-Panel!D266</f>
        <v>0.00337174551899722</v>
      </c>
      <c r="H291" s="30" t="n">
        <f aca="false">Panel!D266-Panel!D265</f>
        <v>0.00224233225507575</v>
      </c>
      <c r="I291" s="30" t="n">
        <f aca="false">Panel!D265-Panel!D264</f>
        <v>0.00127185391492723</v>
      </c>
      <c r="L291" s="30" t="n">
        <f aca="false">Panel!E265-Panel!E264</f>
        <v>0.000602470145746104</v>
      </c>
      <c r="M291" s="29" t="n">
        <f aca="false">Panel!E264</f>
        <v>5.51705120937355</v>
      </c>
    </row>
    <row r="292" customFormat="false" ht="15" hidden="false" customHeight="false" outlineLevel="0" collapsed="false">
      <c r="C292" s="0" t="n">
        <f aca="false">Panel!D271-Panel!D270</f>
        <v>-0.00326386041121651</v>
      </c>
      <c r="D292" s="29" t="n">
        <f aca="false">Panel!D270</f>
        <v>10.0432973198546</v>
      </c>
      <c r="E292" s="30" t="n">
        <f aca="false">Panel!D270-Panel!D269</f>
        <v>-0.000971220870463085</v>
      </c>
      <c r="F292" s="30" t="n">
        <f aca="false">Panel!D269-Panel!D268</f>
        <v>0.000584357695665005</v>
      </c>
      <c r="G292" s="30" t="n">
        <f aca="false">Panel!D268-Panel!D267</f>
        <v>0.0150011351214463</v>
      </c>
      <c r="H292" s="30" t="n">
        <f aca="false">Panel!D267-Panel!D266</f>
        <v>0.00337174551899722</v>
      </c>
      <c r="I292" s="30" t="n">
        <f aca="false">Panel!D266-Panel!D265</f>
        <v>0.00224233225507575</v>
      </c>
      <c r="L292" s="30" t="n">
        <f aca="false">Panel!E266-Panel!E265</f>
        <v>0.00140435372664349</v>
      </c>
      <c r="M292" s="29" t="n">
        <f aca="false">Panel!E265</f>
        <v>5.51765367951929</v>
      </c>
    </row>
    <row r="293" customFormat="false" ht="15" hidden="false" customHeight="false" outlineLevel="0" collapsed="false">
      <c r="C293" s="0" t="n">
        <f aca="false">Panel!D272-Panel!D271</f>
        <v>-0.00854854884391365</v>
      </c>
      <c r="D293" s="29" t="n">
        <f aca="false">Panel!D271</f>
        <v>10.0400334594434</v>
      </c>
      <c r="E293" s="30" t="n">
        <f aca="false">Panel!D271-Panel!D270</f>
        <v>-0.00326386041121651</v>
      </c>
      <c r="F293" s="30" t="n">
        <f aca="false">Panel!D270-Panel!D269</f>
        <v>-0.000971220870463085</v>
      </c>
      <c r="G293" s="30" t="n">
        <f aca="false">Panel!D269-Panel!D268</f>
        <v>0.000584357695665005</v>
      </c>
      <c r="H293" s="30" t="n">
        <f aca="false">Panel!D268-Panel!D267</f>
        <v>0.0150011351214463</v>
      </c>
      <c r="I293" s="30" t="n">
        <f aca="false">Panel!D267-Panel!D266</f>
        <v>0.00337174551899722</v>
      </c>
      <c r="L293" s="30" t="n">
        <f aca="false">Panel!E267-Panel!E266</f>
        <v>0.00436096632247196</v>
      </c>
      <c r="M293" s="29" t="n">
        <f aca="false">Panel!E266</f>
        <v>5.51905803324594</v>
      </c>
    </row>
    <row r="294" customFormat="false" ht="15" hidden="false" customHeight="false" outlineLevel="0" collapsed="false">
      <c r="C294" s="0" t="n">
        <f aca="false">Panel!D273-Panel!D272</f>
        <v>-0.0107589151151082</v>
      </c>
      <c r="D294" s="29" t="n">
        <f aca="false">Panel!D272</f>
        <v>10.0314849105995</v>
      </c>
      <c r="E294" s="30" t="n">
        <f aca="false">Panel!D272-Panel!D271</f>
        <v>-0.00854854884391365</v>
      </c>
      <c r="F294" s="30" t="n">
        <f aca="false">Panel!D271-Panel!D270</f>
        <v>-0.00326386041121651</v>
      </c>
      <c r="G294" s="30" t="n">
        <f aca="false">Panel!D270-Panel!D269</f>
        <v>-0.000971220870463085</v>
      </c>
      <c r="H294" s="30" t="n">
        <f aca="false">Panel!D269-Panel!D268</f>
        <v>0.000584357695665005</v>
      </c>
      <c r="I294" s="30" t="n">
        <f aca="false">Panel!D268-Panel!D267</f>
        <v>0.0150011351214463</v>
      </c>
      <c r="L294" s="30" t="n">
        <f aca="false">Panel!E268-Panel!E267</f>
        <v>0.0152922717003658</v>
      </c>
      <c r="M294" s="29" t="n">
        <f aca="false">Panel!E267</f>
        <v>5.52341899956841</v>
      </c>
    </row>
    <row r="295" customFormat="false" ht="15" hidden="false" customHeight="false" outlineLevel="0" collapsed="false">
      <c r="C295" s="0" t="n">
        <f aca="false">Panel!D274-Panel!D273</f>
        <v>0.00935015415132767</v>
      </c>
      <c r="D295" s="29" t="n">
        <f aca="false">Panel!D273</f>
        <v>10.0207259954844</v>
      </c>
      <c r="E295" s="30" t="n">
        <f aca="false">Panel!D273-Panel!D272</f>
        <v>-0.0107589151151082</v>
      </c>
      <c r="F295" s="30" t="n">
        <f aca="false">Panel!D272-Panel!D271</f>
        <v>-0.00854854884391365</v>
      </c>
      <c r="G295" s="30" t="n">
        <f aca="false">Panel!D271-Panel!D270</f>
        <v>-0.00326386041121651</v>
      </c>
      <c r="H295" s="30" t="n">
        <f aca="false">Panel!D270-Panel!D269</f>
        <v>-0.000971220870463085</v>
      </c>
      <c r="I295" s="30" t="n">
        <f aca="false">Panel!D269-Panel!D268</f>
        <v>0.000584357695665005</v>
      </c>
      <c r="L295" s="30" t="n">
        <f aca="false">Panel!E269-Panel!E268</f>
        <v>0.00176765242923427</v>
      </c>
      <c r="M295" s="29" t="n">
        <f aca="false">Panel!E268</f>
        <v>5.53871127126877</v>
      </c>
    </row>
    <row r="296" customFormat="false" ht="15" hidden="false" customHeight="false" outlineLevel="0" collapsed="false">
      <c r="C296" s="0" t="n">
        <f aca="false">Panel!D275-Panel!D274</f>
        <v>0.0325496242387224</v>
      </c>
      <c r="D296" s="29" t="n">
        <f aca="false">Panel!D274</f>
        <v>10.0300761496357</v>
      </c>
      <c r="E296" s="30" t="n">
        <f aca="false">Panel!D274-Panel!D273</f>
        <v>0.00935015415132767</v>
      </c>
      <c r="F296" s="30" t="n">
        <f aca="false">Panel!D273-Panel!D272</f>
        <v>-0.0107589151151082</v>
      </c>
      <c r="G296" s="30" t="n">
        <f aca="false">Panel!D272-Panel!D271</f>
        <v>-0.00854854884391365</v>
      </c>
      <c r="H296" s="30" t="n">
        <f aca="false">Panel!D271-Panel!D270</f>
        <v>-0.00326386041121651</v>
      </c>
      <c r="I296" s="30" t="n">
        <f aca="false">Panel!D270-Panel!D269</f>
        <v>-0.000971220870463085</v>
      </c>
      <c r="L296" s="30" t="n">
        <f aca="false">Panel!E270-Panel!E269</f>
        <v>0.000863049757388268</v>
      </c>
      <c r="M296" s="29" t="n">
        <f aca="false">Panel!E269</f>
        <v>5.54047892369801</v>
      </c>
    </row>
    <row r="297" customFormat="false" ht="15" hidden="false" customHeight="false" outlineLevel="0" collapsed="false">
      <c r="C297" s="0" t="n">
        <f aca="false">Panel!D276-Panel!D275</f>
        <v>-0.065076547866477</v>
      </c>
      <c r="D297" s="29" t="n">
        <f aca="false">Panel!D275</f>
        <v>10.0626257738744</v>
      </c>
      <c r="E297" s="30" t="n">
        <f aca="false">Panel!D275-Panel!D274</f>
        <v>0.0325496242387224</v>
      </c>
      <c r="F297" s="30" t="n">
        <f aca="false">Panel!D274-Panel!D273</f>
        <v>0.00935015415132767</v>
      </c>
      <c r="G297" s="30" t="n">
        <f aca="false">Panel!D273-Panel!D272</f>
        <v>-0.0107589151151082</v>
      </c>
      <c r="H297" s="30" t="n">
        <f aca="false">Panel!D272-Panel!D271</f>
        <v>-0.00854854884391365</v>
      </c>
      <c r="I297" s="30" t="n">
        <f aca="false">Panel!D271-Panel!D270</f>
        <v>-0.00326386041121651</v>
      </c>
      <c r="L297" s="30" t="n">
        <f aca="false">Panel!E271-Panel!E270</f>
        <v>-0.00381087541565517</v>
      </c>
      <c r="M297" s="29" t="n">
        <f aca="false">Panel!E270</f>
        <v>5.5413419734554</v>
      </c>
    </row>
    <row r="298" customFormat="false" ht="15" hidden="false" customHeight="false" outlineLevel="0" collapsed="false">
      <c r="C298" s="0" t="n">
        <f aca="false">Panel!D277-Panel!D276</f>
        <v>0.0275362982756686</v>
      </c>
      <c r="D298" s="29" t="n">
        <f aca="false">Panel!D276</f>
        <v>9.99754922600795</v>
      </c>
      <c r="E298" s="30" t="n">
        <f aca="false">Panel!D276-Panel!D275</f>
        <v>-0.065076547866477</v>
      </c>
      <c r="F298" s="30" t="n">
        <f aca="false">Panel!D275-Panel!D274</f>
        <v>0.0325496242387224</v>
      </c>
      <c r="G298" s="30" t="n">
        <f aca="false">Panel!D274-Panel!D273</f>
        <v>0.00935015415132767</v>
      </c>
      <c r="H298" s="30" t="n">
        <f aca="false">Panel!D273-Panel!D272</f>
        <v>-0.0107589151151082</v>
      </c>
      <c r="I298" s="30" t="n">
        <f aca="false">Panel!D272-Panel!D271</f>
        <v>-0.00854854884391365</v>
      </c>
      <c r="L298" s="30" t="n">
        <f aca="false">Panel!E272-Panel!E271</f>
        <v>-0.00584266002205869</v>
      </c>
      <c r="M298" s="29" t="n">
        <f aca="false">Panel!E271</f>
        <v>5.53753109803974</v>
      </c>
    </row>
    <row r="299" customFormat="false" ht="15" hidden="false" customHeight="false" outlineLevel="0" collapsed="false">
      <c r="C299" s="0" t="n">
        <f aca="false">Panel!D278-Panel!D277</f>
        <v>0.0151463787953521</v>
      </c>
      <c r="D299" s="29" t="n">
        <f aca="false">Panel!D277</f>
        <v>10.0250855242836</v>
      </c>
      <c r="E299" s="30" t="n">
        <f aca="false">Panel!D277-Panel!D276</f>
        <v>0.0275362982756686</v>
      </c>
      <c r="F299" s="30" t="n">
        <f aca="false">Panel!D276-Panel!D275</f>
        <v>-0.065076547866477</v>
      </c>
      <c r="G299" s="30" t="n">
        <f aca="false">Panel!D275-Panel!D274</f>
        <v>0.0325496242387224</v>
      </c>
      <c r="H299" s="30" t="n">
        <f aca="false">Panel!D274-Panel!D273</f>
        <v>0.00935015415132767</v>
      </c>
      <c r="I299" s="30" t="n">
        <f aca="false">Panel!D273-Panel!D272</f>
        <v>-0.0107589151151082</v>
      </c>
      <c r="L299" s="30" t="n">
        <f aca="false">Panel!E273-Panel!E272</f>
        <v>-0.00623549888589903</v>
      </c>
      <c r="M299" s="29" t="n">
        <f aca="false">Panel!E272</f>
        <v>5.53168843801768</v>
      </c>
    </row>
    <row r="300" customFormat="false" ht="15" hidden="false" customHeight="false" outlineLevel="0" collapsed="false">
      <c r="C300" s="0" t="n">
        <f aca="false">Panel!D279-Panel!D278</f>
        <v>0.0176855760057091</v>
      </c>
      <c r="D300" s="29" t="n">
        <f aca="false">Panel!D278</f>
        <v>10.040231903079</v>
      </c>
      <c r="E300" s="30" t="n">
        <f aca="false">Panel!D278-Panel!D277</f>
        <v>0.0151463787953521</v>
      </c>
      <c r="F300" s="30" t="n">
        <f aca="false">Panel!D277-Panel!D276</f>
        <v>0.0275362982756686</v>
      </c>
      <c r="G300" s="30" t="n">
        <f aca="false">Panel!D276-Panel!D275</f>
        <v>-0.065076547866477</v>
      </c>
      <c r="H300" s="30" t="n">
        <f aca="false">Panel!D275-Panel!D274</f>
        <v>0.0325496242387224</v>
      </c>
      <c r="I300" s="30" t="n">
        <f aca="false">Panel!D274-Panel!D273</f>
        <v>0.00935015415132767</v>
      </c>
      <c r="L300" s="30" t="n">
        <f aca="false">Panel!E274-Panel!E273</f>
        <v>0.00199005040801037</v>
      </c>
      <c r="M300" s="29" t="n">
        <f aca="false">Panel!E273</f>
        <v>5.52545293913178</v>
      </c>
    </row>
    <row r="301" customFormat="false" ht="15" hidden="false" customHeight="false" outlineLevel="0" collapsed="false">
      <c r="C301" s="0" t="n">
        <f aca="false">Panel!D280-Panel!D279</f>
        <v>-0.00467030187997608</v>
      </c>
      <c r="D301" s="29" t="n">
        <f aca="false">Panel!D279</f>
        <v>10.0579174790847</v>
      </c>
      <c r="E301" s="30" t="n">
        <f aca="false">Panel!D279-Panel!D278</f>
        <v>0.0176855760057091</v>
      </c>
      <c r="F301" s="30" t="n">
        <f aca="false">Panel!D278-Panel!D277</f>
        <v>0.0151463787953521</v>
      </c>
      <c r="G301" s="30" t="n">
        <f aca="false">Panel!D277-Panel!D276</f>
        <v>0.0275362982756686</v>
      </c>
      <c r="H301" s="30" t="n">
        <f aca="false">Panel!D276-Panel!D275</f>
        <v>-0.065076547866477</v>
      </c>
      <c r="I301" s="30" t="n">
        <f aca="false">Panel!D275-Panel!D274</f>
        <v>0.0325496242387224</v>
      </c>
      <c r="L301" s="30" t="n">
        <f aca="false">Panel!E275-Panel!E274</f>
        <v>0.0266787105620008</v>
      </c>
      <c r="M301" s="29" t="n">
        <f aca="false">Panel!E274</f>
        <v>5.52744298953979</v>
      </c>
    </row>
    <row r="302" customFormat="false" ht="15" hidden="false" customHeight="false" outlineLevel="0" collapsed="false">
      <c r="C302" s="0" t="n">
        <f aca="false">Panel!D281-Panel!D280</f>
        <v>0.00339055482510098</v>
      </c>
      <c r="D302" s="29" t="n">
        <f aca="false">Panel!D280</f>
        <v>10.0532471772047</v>
      </c>
      <c r="E302" s="30" t="n">
        <f aca="false">Panel!D280-Panel!D279</f>
        <v>-0.00467030187997608</v>
      </c>
      <c r="F302" s="30" t="n">
        <f aca="false">Panel!D279-Panel!D278</f>
        <v>0.0176855760057091</v>
      </c>
      <c r="G302" s="30" t="n">
        <f aca="false">Panel!D278-Panel!D277</f>
        <v>0.0151463787953521</v>
      </c>
      <c r="H302" s="30" t="n">
        <f aca="false">Panel!D277-Panel!D276</f>
        <v>0.0275362982756686</v>
      </c>
      <c r="I302" s="30" t="n">
        <f aca="false">Panel!D276-Panel!D275</f>
        <v>-0.065076547866477</v>
      </c>
      <c r="L302" s="30" t="n">
        <f aca="false">Panel!E276-Panel!E275</f>
        <v>-0.0248910449751874</v>
      </c>
      <c r="M302" s="29" t="n">
        <f aca="false">Panel!E275</f>
        <v>5.5541217001018</v>
      </c>
    </row>
    <row r="303" customFormat="false" ht="15" hidden="false" customHeight="false" outlineLevel="0" collapsed="false">
      <c r="C303" s="0" t="n">
        <f aca="false">Panel!D282-Panel!D281</f>
        <v>0.00214270491236057</v>
      </c>
      <c r="D303" s="29" t="n">
        <f aca="false">Panel!D281</f>
        <v>10.0566377320298</v>
      </c>
      <c r="E303" s="30" t="n">
        <f aca="false">Panel!D281-Panel!D280</f>
        <v>0.00339055482510098</v>
      </c>
      <c r="F303" s="30" t="n">
        <f aca="false">Panel!D280-Panel!D279</f>
        <v>-0.00467030187997608</v>
      </c>
      <c r="G303" s="30" t="n">
        <f aca="false">Panel!D279-Panel!D278</f>
        <v>0.0176855760057091</v>
      </c>
      <c r="H303" s="30" t="n">
        <f aca="false">Panel!D278-Panel!D277</f>
        <v>0.0151463787953521</v>
      </c>
      <c r="I303" s="30" t="n">
        <f aca="false">Panel!D277-Panel!D276</f>
        <v>0.0275362982756686</v>
      </c>
      <c r="L303" s="30" t="n">
        <f aca="false">Panel!E277-Panel!E276</f>
        <v>-0.00397693902566498</v>
      </c>
      <c r="M303" s="29" t="n">
        <f aca="false">Panel!E276</f>
        <v>5.52923065512661</v>
      </c>
    </row>
    <row r="304" customFormat="false" ht="15" hidden="false" customHeight="false" outlineLevel="0" collapsed="false">
      <c r="C304" s="0" t="n">
        <f aca="false">Panel!D283-Panel!D282</f>
        <v>0.00157837699508256</v>
      </c>
      <c r="D304" s="29" t="n">
        <f aca="false">Panel!D282</f>
        <v>10.0587804369422</v>
      </c>
      <c r="E304" s="30" t="n">
        <f aca="false">Panel!D282-Panel!D281</f>
        <v>0.00214270491236057</v>
      </c>
      <c r="F304" s="30" t="n">
        <f aca="false">Panel!D281-Panel!D280</f>
        <v>0.00339055482510098</v>
      </c>
      <c r="G304" s="30" t="n">
        <f aca="false">Panel!D280-Panel!D279</f>
        <v>-0.00467030187997608</v>
      </c>
      <c r="H304" s="30" t="n">
        <f aca="false">Panel!D279-Panel!D278</f>
        <v>0.0176855760057091</v>
      </c>
      <c r="I304" s="30" t="n">
        <f aca="false">Panel!D278-Panel!D277</f>
        <v>0.0151463787953521</v>
      </c>
      <c r="L304" s="30" t="n">
        <f aca="false">Panel!E278-Panel!E277</f>
        <v>0.00932084090668717</v>
      </c>
      <c r="M304" s="29" t="n">
        <f aca="false">Panel!E277</f>
        <v>5.52525371610094</v>
      </c>
    </row>
    <row r="305" customFormat="false" ht="15" hidden="false" customHeight="false" outlineLevel="0" collapsed="false">
      <c r="C305" s="0" t="n">
        <f aca="false">Panel!D284-Panel!D283</f>
        <v>0.00277855612842082</v>
      </c>
      <c r="D305" s="29" t="n">
        <f aca="false">Panel!D283</f>
        <v>10.0603588139372</v>
      </c>
      <c r="E305" s="30" t="n">
        <f aca="false">Panel!D283-Panel!D282</f>
        <v>0.00157837699508256</v>
      </c>
      <c r="F305" s="30" t="n">
        <f aca="false">Panel!D282-Panel!D281</f>
        <v>0.00214270491236057</v>
      </c>
      <c r="G305" s="30" t="n">
        <f aca="false">Panel!D281-Panel!D280</f>
        <v>0.00339055482510098</v>
      </c>
      <c r="H305" s="30" t="n">
        <f aca="false">Panel!D280-Panel!D279</f>
        <v>-0.00467030187997608</v>
      </c>
      <c r="I305" s="30" t="n">
        <f aca="false">Panel!D279-Panel!D278</f>
        <v>0.0176855760057091</v>
      </c>
      <c r="L305" s="30" t="n">
        <f aca="false">Panel!E279-Panel!E278</f>
        <v>0.0195471430941652</v>
      </c>
      <c r="M305" s="29" t="n">
        <f aca="false">Panel!E278</f>
        <v>5.53457455700763</v>
      </c>
    </row>
    <row r="306" customFormat="false" ht="15" hidden="false" customHeight="false" outlineLevel="0" collapsed="false">
      <c r="C306" s="0" t="n">
        <f aca="false">Panel!D285-Panel!D284</f>
        <v>0.00459262586451104</v>
      </c>
      <c r="D306" s="29" t="n">
        <f aca="false">Panel!D284</f>
        <v>10.0631373700657</v>
      </c>
      <c r="E306" s="30" t="n">
        <f aca="false">Panel!D284-Panel!D283</f>
        <v>0.00277855612842082</v>
      </c>
      <c r="F306" s="30" t="n">
        <f aca="false">Panel!D283-Panel!D282</f>
        <v>0.00157837699508256</v>
      </c>
      <c r="G306" s="30" t="n">
        <f aca="false">Panel!D282-Panel!D281</f>
        <v>0.00214270491236057</v>
      </c>
      <c r="H306" s="30" t="n">
        <f aca="false">Panel!D281-Panel!D280</f>
        <v>0.00339055482510098</v>
      </c>
      <c r="I306" s="30" t="n">
        <f aca="false">Panel!D280-Panel!D279</f>
        <v>-0.00467030187997608</v>
      </c>
      <c r="L306" s="30" t="n">
        <f aca="false">Panel!E280-Panel!E279</f>
        <v>-0.00139470036554989</v>
      </c>
      <c r="M306" s="29" t="n">
        <f aca="false">Panel!E279</f>
        <v>5.5541217001018</v>
      </c>
    </row>
    <row r="307" customFormat="false" ht="15" hidden="false" customHeight="false" outlineLevel="0" collapsed="false">
      <c r="C307" s="0" t="n">
        <f aca="false">Panel!D286-Panel!D285</f>
        <v>-0.00306153364559059</v>
      </c>
      <c r="D307" s="29" t="n">
        <f aca="false">Panel!D285</f>
        <v>10.0677299959302</v>
      </c>
      <c r="E307" s="30" t="n">
        <f aca="false">Panel!D285-Panel!D284</f>
        <v>0.00459262586451104</v>
      </c>
      <c r="F307" s="30" t="n">
        <f aca="false">Panel!D284-Panel!D283</f>
        <v>0.00277855612842082</v>
      </c>
      <c r="G307" s="30" t="n">
        <f aca="false">Panel!D283-Panel!D282</f>
        <v>0.00157837699508256</v>
      </c>
      <c r="H307" s="30" t="n">
        <f aca="false">Panel!D282-Panel!D281</f>
        <v>0.00214270491236057</v>
      </c>
      <c r="I307" s="30" t="n">
        <f aca="false">Panel!D281-Panel!D280</f>
        <v>0.00339055482510098</v>
      </c>
      <c r="L307" s="30" t="n">
        <f aca="false">Panel!E281-Panel!E280</f>
        <v>0.00301939609255175</v>
      </c>
      <c r="M307" s="29" t="n">
        <f aca="false">Panel!E280</f>
        <v>5.55272699973625</v>
      </c>
    </row>
    <row r="308" customFormat="false" ht="15" hidden="false" customHeight="false" outlineLevel="0" collapsed="false">
      <c r="C308" s="0" t="n">
        <f aca="false">Panel!D287-Panel!D286</f>
        <v>0.00416402283837947</v>
      </c>
      <c r="D308" s="29" t="n">
        <f aca="false">Panel!D286</f>
        <v>10.0646684622846</v>
      </c>
      <c r="E308" s="30" t="n">
        <f aca="false">Panel!D286-Panel!D285</f>
        <v>-0.00306153364559059</v>
      </c>
      <c r="F308" s="30" t="n">
        <f aca="false">Panel!D285-Panel!D284</f>
        <v>0.00459262586451104</v>
      </c>
      <c r="G308" s="30" t="n">
        <f aca="false">Panel!D284-Panel!D283</f>
        <v>0.00277855612842082</v>
      </c>
      <c r="H308" s="30" t="n">
        <f aca="false">Panel!D283-Panel!D282</f>
        <v>0.00157837699508256</v>
      </c>
      <c r="I308" s="30" t="n">
        <f aca="false">Panel!D282-Panel!D281</f>
        <v>0.00214270491236057</v>
      </c>
      <c r="L308" s="30" t="n">
        <f aca="false">Panel!E282-Panel!E281</f>
        <v>0.002624876053547</v>
      </c>
      <c r="M308" s="29" t="n">
        <f aca="false">Panel!E281</f>
        <v>5.5557463958288</v>
      </c>
    </row>
    <row r="309" customFormat="false" ht="15" hidden="false" customHeight="false" outlineLevel="0" collapsed="false">
      <c r="C309" s="0" t="n">
        <f aca="false">Panel!D288-Panel!D287</f>
        <v>-0.00577183780264789</v>
      </c>
      <c r="D309" s="29" t="n">
        <f aca="false">Panel!D287</f>
        <v>10.068832485123</v>
      </c>
      <c r="E309" s="30" t="n">
        <f aca="false">Panel!D287-Panel!D286</f>
        <v>0.00416402283837947</v>
      </c>
      <c r="F309" s="30" t="n">
        <f aca="false">Panel!D286-Panel!D285</f>
        <v>-0.00306153364559059</v>
      </c>
      <c r="G309" s="30" t="n">
        <f aca="false">Panel!D285-Panel!D284</f>
        <v>0.00459262586451104</v>
      </c>
      <c r="H309" s="30" t="n">
        <f aca="false">Panel!D284-Panel!D283</f>
        <v>0.00277855612842082</v>
      </c>
      <c r="I309" s="30" t="n">
        <f aca="false">Panel!D283-Panel!D282</f>
        <v>0.00157837699508256</v>
      </c>
      <c r="L309" s="30" t="n">
        <f aca="false">Panel!E283-Panel!E282</f>
        <v>0.00277179111860804</v>
      </c>
      <c r="M309" s="29" t="n">
        <f aca="false">Panel!E282</f>
        <v>5.55837127188234</v>
      </c>
    </row>
    <row r="310" customFormat="false" ht="15" hidden="false" customHeight="false" outlineLevel="0" collapsed="false">
      <c r="C310" s="0" t="n">
        <f aca="false">Panel!D289-Panel!D288</f>
        <v>0.00401576213705113</v>
      </c>
      <c r="D310" s="29" t="n">
        <f aca="false">Panel!D288</f>
        <v>10.0630606473203</v>
      </c>
      <c r="E310" s="30" t="n">
        <f aca="false">Panel!D288-Panel!D287</f>
        <v>-0.00577183780264789</v>
      </c>
      <c r="F310" s="30" t="n">
        <f aca="false">Panel!D287-Panel!D286</f>
        <v>0.00416402283837947</v>
      </c>
      <c r="G310" s="30" t="n">
        <f aca="false">Panel!D286-Panel!D285</f>
        <v>-0.00306153364559059</v>
      </c>
      <c r="H310" s="30" t="n">
        <f aca="false">Panel!D285-Panel!D284</f>
        <v>0.00459262586451104</v>
      </c>
      <c r="I310" s="30" t="n">
        <f aca="false">Panel!D284-Panel!D283</f>
        <v>0.00277855612842082</v>
      </c>
      <c r="L310" s="30" t="n">
        <f aca="false">Panel!E284-Panel!E283</f>
        <v>0.00253407699437425</v>
      </c>
      <c r="M310" s="29" t="n">
        <f aca="false">Panel!E283</f>
        <v>5.56114306300095</v>
      </c>
    </row>
    <row r="311" customFormat="false" ht="15" hidden="false" customHeight="false" outlineLevel="0" collapsed="false">
      <c r="C311" s="0" t="n">
        <f aca="false">Panel!D290-Panel!D289</f>
        <v>0.00771388172358201</v>
      </c>
      <c r="D311" s="29" t="n">
        <f aca="false">Panel!D289</f>
        <v>10.0670764094574</v>
      </c>
      <c r="E311" s="30" t="n">
        <f aca="false">Panel!D289-Panel!D288</f>
        <v>0.00401576213705113</v>
      </c>
      <c r="F311" s="30" t="n">
        <f aca="false">Panel!D288-Panel!D287</f>
        <v>-0.00577183780264789</v>
      </c>
      <c r="G311" s="30" t="n">
        <f aca="false">Panel!D287-Panel!D286</f>
        <v>0.00416402283837947</v>
      </c>
      <c r="H311" s="30" t="n">
        <f aca="false">Panel!D286-Panel!D285</f>
        <v>-0.00306153364559059</v>
      </c>
      <c r="I311" s="30" t="n">
        <f aca="false">Panel!D285-Panel!D284</f>
        <v>0.00459262586451104</v>
      </c>
      <c r="L311" s="30" t="n">
        <f aca="false">Panel!E285-Panel!E284</f>
        <v>0.00313947958771799</v>
      </c>
      <c r="M311" s="29" t="n">
        <f aca="false">Panel!E284</f>
        <v>5.56367713999533</v>
      </c>
    </row>
    <row r="312" customFormat="false" ht="15" hidden="false" customHeight="false" outlineLevel="0" collapsed="false">
      <c r="C312" s="0" t="n">
        <f aca="false">Panel!D291-Panel!D290</f>
        <v>0.00500074582356902</v>
      </c>
      <c r="D312" s="29" t="n">
        <f aca="false">Panel!D290</f>
        <v>10.074790291181</v>
      </c>
      <c r="E312" s="30" t="n">
        <f aca="false">Panel!D290-Panel!D289</f>
        <v>0.00771388172358201</v>
      </c>
      <c r="F312" s="30" t="n">
        <f aca="false">Panel!D289-Panel!D288</f>
        <v>0.00401576213705113</v>
      </c>
      <c r="G312" s="30" t="n">
        <f aca="false">Panel!D288-Panel!D287</f>
        <v>-0.00577183780264789</v>
      </c>
      <c r="H312" s="30" t="n">
        <f aca="false">Panel!D287-Panel!D286</f>
        <v>0.00416402283837947</v>
      </c>
      <c r="I312" s="30" t="n">
        <f aca="false">Panel!D286-Panel!D285</f>
        <v>-0.00306153364559059</v>
      </c>
      <c r="L312" s="30" t="n">
        <f aca="false">Panel!E286-Panel!E285</f>
        <v>-0.00122399036088883</v>
      </c>
      <c r="M312" s="29" t="n">
        <f aca="false">Panel!E285</f>
        <v>5.56681661958304</v>
      </c>
    </row>
    <row r="313" customFormat="false" ht="15" hidden="false" customHeight="false" outlineLevel="0" collapsed="false">
      <c r="C313" s="0" t="n">
        <f aca="false">Panel!D292-Panel!D291</f>
        <v>0.00797864913819701</v>
      </c>
      <c r="D313" s="29" t="n">
        <f aca="false">Panel!D291</f>
        <v>10.0797910370045</v>
      </c>
      <c r="E313" s="30" t="n">
        <f aca="false">Panel!D291-Panel!D290</f>
        <v>0.00500074582356902</v>
      </c>
      <c r="F313" s="30" t="n">
        <f aca="false">Panel!D290-Panel!D289</f>
        <v>0.00771388172358201</v>
      </c>
      <c r="G313" s="30" t="n">
        <f aca="false">Panel!D289-Panel!D288</f>
        <v>0.00401576213705113</v>
      </c>
      <c r="H313" s="30" t="n">
        <f aca="false">Panel!D288-Panel!D287</f>
        <v>-0.00577183780264789</v>
      </c>
      <c r="I313" s="30" t="n">
        <f aca="false">Panel!D287-Panel!D286</f>
        <v>0.00416402283837947</v>
      </c>
      <c r="L313" s="30" t="n">
        <f aca="false">Panel!E287-Panel!E286</f>
        <v>0.00214100097077008</v>
      </c>
      <c r="M313" s="29" t="n">
        <f aca="false">Panel!E286</f>
        <v>5.56559262922216</v>
      </c>
    </row>
    <row r="314" customFormat="false" ht="15" hidden="false" customHeight="false" outlineLevel="0" collapsed="false">
      <c r="C314" s="0" t="n">
        <f aca="false">Panel!D293-Panel!D292</f>
        <v>0.00364659026959657</v>
      </c>
      <c r="D314" s="29" t="n">
        <f aca="false">Panel!D292</f>
        <v>10.0877696861427</v>
      </c>
      <c r="E314" s="30" t="n">
        <f aca="false">Panel!D292-Panel!D291</f>
        <v>0.00797864913819701</v>
      </c>
      <c r="F314" s="30" t="n">
        <f aca="false">Panel!D291-Panel!D290</f>
        <v>0.00500074582356902</v>
      </c>
      <c r="G314" s="30" t="n">
        <f aca="false">Panel!D290-Panel!D289</f>
        <v>0.00771388172358201</v>
      </c>
      <c r="H314" s="30" t="n">
        <f aca="false">Panel!D289-Panel!D288</f>
        <v>0.00401576213705113</v>
      </c>
      <c r="I314" s="30" t="n">
        <f aca="false">Panel!D288-Panel!D287</f>
        <v>-0.00577183780264789</v>
      </c>
      <c r="L314" s="30" t="n">
        <f aca="false">Panel!E288-Panel!E287</f>
        <v>-0.00374976525078807</v>
      </c>
      <c r="M314" s="29" t="n">
        <f aca="false">Panel!E287</f>
        <v>5.56773363019293</v>
      </c>
    </row>
    <row r="315" customFormat="false" ht="15" hidden="false" customHeight="false" outlineLevel="0" collapsed="false">
      <c r="C315" s="0" t="n">
        <f aca="false">Panel!D294-Panel!D293</f>
        <v>0.00331127842501466</v>
      </c>
      <c r="D315" s="29" t="n">
        <f aca="false">Panel!D293</f>
        <v>10.0914162764123</v>
      </c>
      <c r="E315" s="30" t="n">
        <f aca="false">Panel!D293-Panel!D292</f>
        <v>0.00364659026959657</v>
      </c>
      <c r="F315" s="30" t="n">
        <f aca="false">Panel!D292-Panel!D291</f>
        <v>0.00797864913819701</v>
      </c>
      <c r="G315" s="30" t="n">
        <f aca="false">Panel!D291-Panel!D290</f>
        <v>0.00500074582356902</v>
      </c>
      <c r="H315" s="30" t="n">
        <f aca="false">Panel!D290-Panel!D289</f>
        <v>0.00771388172358201</v>
      </c>
      <c r="I315" s="30" t="n">
        <f aca="false">Panel!D289-Panel!D288</f>
        <v>0.00401576213705113</v>
      </c>
      <c r="L315" s="30" t="n">
        <f aca="false">Panel!E289-Panel!E288</f>
        <v>0.00302386787608011</v>
      </c>
      <c r="M315" s="29" t="n">
        <f aca="false">Panel!E288</f>
        <v>5.56398386494214</v>
      </c>
    </row>
    <row r="316" customFormat="false" ht="15" hidden="false" customHeight="false" outlineLevel="0" collapsed="false">
      <c r="C316" s="0" t="n">
        <f aca="false">Panel!D295-Panel!D294</f>
        <v>-0.000152809527351749</v>
      </c>
      <c r="D316" s="29" t="n">
        <f aca="false">Panel!D294</f>
        <v>10.0947275548373</v>
      </c>
      <c r="E316" s="30" t="n">
        <f aca="false">Panel!D294-Panel!D293</f>
        <v>0.00331127842501466</v>
      </c>
      <c r="F316" s="30" t="n">
        <f aca="false">Panel!D293-Panel!D292</f>
        <v>0.00364659026959657</v>
      </c>
      <c r="G316" s="30" t="n">
        <f aca="false">Panel!D292-Panel!D291</f>
        <v>0.00797864913819701</v>
      </c>
      <c r="H316" s="30" t="n">
        <f aca="false">Panel!D291-Panel!D290</f>
        <v>0.00500074582356902</v>
      </c>
      <c r="I316" s="30" t="n">
        <f aca="false">Panel!D290-Panel!D289</f>
        <v>0.00771388172358201</v>
      </c>
      <c r="L316" s="30" t="n">
        <f aca="false">Panel!E290-Panel!E289</f>
        <v>0.0077285139028902</v>
      </c>
      <c r="M316" s="29" t="n">
        <f aca="false">Panel!E289</f>
        <v>5.56700773281822</v>
      </c>
    </row>
    <row r="317" customFormat="false" ht="15" hidden="false" customHeight="false" outlineLevel="0" collapsed="false">
      <c r="C317" s="0" t="n">
        <f aca="false">Panel!D296-Panel!D295</f>
        <v>0.00633231420710345</v>
      </c>
      <c r="D317" s="29" t="n">
        <f aca="false">Panel!D295</f>
        <v>10.09457474531</v>
      </c>
      <c r="E317" s="30" t="n">
        <f aca="false">Panel!D295-Panel!D294</f>
        <v>-0.000152809527351749</v>
      </c>
      <c r="F317" s="30" t="n">
        <f aca="false">Panel!D294-Panel!D293</f>
        <v>0.00331127842501466</v>
      </c>
      <c r="G317" s="30" t="n">
        <f aca="false">Panel!D293-Panel!D292</f>
        <v>0.00364659026959657</v>
      </c>
      <c r="H317" s="30" t="n">
        <f aca="false">Panel!D292-Panel!D291</f>
        <v>0.00797864913819701</v>
      </c>
      <c r="I317" s="30" t="n">
        <f aca="false">Panel!D291-Panel!D290</f>
        <v>0.00500074582356902</v>
      </c>
      <c r="L317" s="30" t="n">
        <f aca="false">Panel!E291-Panel!E290</f>
        <v>0.00435186397593235</v>
      </c>
      <c r="M317" s="29" t="n">
        <f aca="false">Panel!E290</f>
        <v>5.57473624672111</v>
      </c>
    </row>
    <row r="318" customFormat="false" ht="15" hidden="false" customHeight="false" outlineLevel="0" collapsed="false">
      <c r="C318" s="0" t="n">
        <f aca="false">Panel!D297-Panel!D296</f>
        <v>0.000510846261775555</v>
      </c>
      <c r="D318" s="29" t="n">
        <f aca="false">Panel!D296</f>
        <v>10.1009070595171</v>
      </c>
      <c r="E318" s="30" t="n">
        <f aca="false">Panel!D296-Panel!D295</f>
        <v>0.00633231420710345</v>
      </c>
      <c r="F318" s="30" t="n">
        <f aca="false">Panel!D295-Panel!D294</f>
        <v>-0.000152809527351749</v>
      </c>
      <c r="G318" s="30" t="n">
        <f aca="false">Panel!D294-Panel!D293</f>
        <v>0.00331127842501466</v>
      </c>
      <c r="H318" s="30" t="n">
        <f aca="false">Panel!D293-Panel!D292</f>
        <v>0.00364659026959657</v>
      </c>
      <c r="I318" s="30" t="n">
        <f aca="false">Panel!D292-Panel!D291</f>
        <v>0.00797864913819701</v>
      </c>
      <c r="L318" s="30" t="n">
        <f aca="false">Panel!E292-Panel!E291</f>
        <v>0.00797326424915568</v>
      </c>
      <c r="M318" s="29" t="n">
        <f aca="false">Panel!E291</f>
        <v>5.57908811069704</v>
      </c>
    </row>
    <row r="319" customFormat="false" ht="15" hidden="false" customHeight="false" outlineLevel="0" collapsed="false">
      <c r="C319" s="0" t="n">
        <f aca="false">Panel!D298-Panel!D297</f>
        <v>0.00050648538170428</v>
      </c>
      <c r="D319" s="29" t="n">
        <f aca="false">Panel!D297</f>
        <v>10.1014179057789</v>
      </c>
      <c r="E319" s="30" t="n">
        <f aca="false">Panel!D297-Panel!D296</f>
        <v>0.000510846261775555</v>
      </c>
      <c r="F319" s="30" t="n">
        <f aca="false">Panel!D296-Panel!D295</f>
        <v>0.00633231420710345</v>
      </c>
      <c r="G319" s="30" t="n">
        <f aca="false">Panel!D295-Panel!D294</f>
        <v>-0.000152809527351749</v>
      </c>
      <c r="H319" s="30" t="n">
        <f aca="false">Panel!D294-Panel!D293</f>
        <v>0.00331127842501466</v>
      </c>
      <c r="I319" s="30" t="n">
        <f aca="false">Panel!D293-Panel!D292</f>
        <v>0.00364659026959657</v>
      </c>
      <c r="L319" s="30" t="n">
        <f aca="false">Panel!E293-Panel!E292</f>
        <v>0.00205819138986563</v>
      </c>
      <c r="M319" s="29" t="n">
        <f aca="false">Panel!E292</f>
        <v>5.5870613749462</v>
      </c>
    </row>
    <row r="320" customFormat="false" ht="15" hidden="false" customHeight="false" outlineLevel="0" collapsed="false">
      <c r="C320" s="0" t="n">
        <f aca="false">Panel!D299-Panel!D298</f>
        <v>-0.000652121777113379</v>
      </c>
      <c r="D320" s="29" t="n">
        <f aca="false">Panel!D298</f>
        <v>10.1019243911606</v>
      </c>
      <c r="E320" s="30" t="n">
        <f aca="false">Panel!D298-Panel!D297</f>
        <v>0.00050648538170428</v>
      </c>
      <c r="F320" s="30" t="n">
        <f aca="false">Panel!D297-Panel!D296</f>
        <v>0.000510846261775555</v>
      </c>
      <c r="G320" s="30" t="n">
        <f aca="false">Panel!D296-Panel!D295</f>
        <v>0.00633231420710345</v>
      </c>
      <c r="H320" s="30" t="n">
        <f aca="false">Panel!D295-Panel!D294</f>
        <v>-0.000152809527351749</v>
      </c>
      <c r="I320" s="30" t="n">
        <f aca="false">Panel!D294-Panel!D293</f>
        <v>0.00331127842501466</v>
      </c>
      <c r="L320" s="30" t="n">
        <f aca="false">Panel!E294-Panel!E293</f>
        <v>0.00354511053251727</v>
      </c>
      <c r="M320" s="29" t="n">
        <f aca="false">Panel!E293</f>
        <v>5.58911956633606</v>
      </c>
    </row>
    <row r="321" customFormat="false" ht="15" hidden="false" customHeight="false" outlineLevel="0" collapsed="false">
      <c r="C321" s="0" t="n">
        <f aca="false">Panel!D300-Panel!D299</f>
        <v>0.00454165268431517</v>
      </c>
      <c r="D321" s="29" t="n">
        <f aca="false">Panel!D299</f>
        <v>10.1012722693834</v>
      </c>
      <c r="E321" s="30" t="n">
        <f aca="false">Panel!D299-Panel!D298</f>
        <v>-0.000652121777113379</v>
      </c>
      <c r="F321" s="30" t="n">
        <f aca="false">Panel!D298-Panel!D297</f>
        <v>0.00050648538170428</v>
      </c>
      <c r="G321" s="30" t="n">
        <f aca="false">Panel!D297-Panel!D296</f>
        <v>0.000510846261775555</v>
      </c>
      <c r="H321" s="30" t="n">
        <f aca="false">Panel!D296-Panel!D295</f>
        <v>0.00633231420710345</v>
      </c>
      <c r="I321" s="30" t="n">
        <f aca="false">Panel!D295-Panel!D294</f>
        <v>-0.000152809527351749</v>
      </c>
      <c r="L321" s="30" t="n">
        <f aca="false">Panel!E295-Panel!E294</f>
        <v>0.00249269991600531</v>
      </c>
      <c r="M321" s="29" t="n">
        <f aca="false">Panel!E294</f>
        <v>5.59266467686858</v>
      </c>
    </row>
    <row r="322" customFormat="false" ht="15" hidden="false" customHeight="false" outlineLevel="0" collapsed="false">
      <c r="C322" s="0" t="n">
        <f aca="false">Panel!D301-Panel!D300</f>
        <v>-0.00593755552624309</v>
      </c>
      <c r="D322" s="29" t="n">
        <f aca="false">Panel!D300</f>
        <v>10.1058139220678</v>
      </c>
      <c r="E322" s="30" t="n">
        <f aca="false">Panel!D300-Panel!D299</f>
        <v>0.00454165268431517</v>
      </c>
      <c r="F322" s="30" t="n">
        <f aca="false">Panel!D299-Panel!D298</f>
        <v>-0.000652121777113379</v>
      </c>
      <c r="G322" s="30" t="n">
        <f aca="false">Panel!D298-Panel!D297</f>
        <v>0.00050648538170428</v>
      </c>
      <c r="H322" s="30" t="n">
        <f aca="false">Panel!D297-Panel!D296</f>
        <v>0.000510846261775555</v>
      </c>
      <c r="I322" s="30" t="n">
        <f aca="false">Panel!D296-Panel!D295</f>
        <v>0.00633231420710345</v>
      </c>
      <c r="L322" s="30" t="n">
        <f aca="false">Panel!E296-Panel!E295</f>
        <v>0.00452304927109815</v>
      </c>
      <c r="M322" s="29" t="n">
        <f aca="false">Panel!E295</f>
        <v>5.59515737678458</v>
      </c>
    </row>
    <row r="323" customFormat="false" ht="15" hidden="false" customHeight="false" outlineLevel="0" collapsed="false">
      <c r="C323" s="0" t="n">
        <f aca="false">Panel!D302-Panel!D301</f>
        <v>0.00255425360315975</v>
      </c>
      <c r="D323" s="29" t="n">
        <f aca="false">Panel!D301</f>
        <v>10.0998763665415</v>
      </c>
      <c r="E323" s="30" t="n">
        <f aca="false">Panel!D301-Panel!D300</f>
        <v>-0.00593755552624309</v>
      </c>
      <c r="F323" s="30" t="n">
        <f aca="false">Panel!D300-Panel!D299</f>
        <v>0.00454165268431517</v>
      </c>
      <c r="G323" s="30" t="n">
        <f aca="false">Panel!D299-Panel!D298</f>
        <v>-0.000652121777113379</v>
      </c>
      <c r="H323" s="30" t="n">
        <f aca="false">Panel!D298-Panel!D297</f>
        <v>0.00050648538170428</v>
      </c>
      <c r="I323" s="30" t="n">
        <f aca="false">Panel!D297-Panel!D296</f>
        <v>0.000510846261775555</v>
      </c>
      <c r="L323" s="30" t="n">
        <f aca="false">Panel!E297-Panel!E296</f>
        <v>0.00144158821424512</v>
      </c>
      <c r="M323" s="29" t="n">
        <f aca="false">Panel!E296</f>
        <v>5.59968042605568</v>
      </c>
    </row>
    <row r="324" customFormat="false" ht="15" hidden="false" customHeight="false" outlineLevel="0" collapsed="false">
      <c r="C324" s="0" t="n">
        <f aca="false">Panel!D303-Panel!D302</f>
        <v>0.00518074986840489</v>
      </c>
      <c r="D324" s="29" t="n">
        <f aca="false">Panel!D302</f>
        <v>10.1024306201447</v>
      </c>
      <c r="E324" s="30" t="n">
        <f aca="false">Panel!D302-Panel!D301</f>
        <v>0.00255425360315975</v>
      </c>
      <c r="F324" s="30" t="n">
        <f aca="false">Panel!D301-Panel!D300</f>
        <v>-0.00593755552624309</v>
      </c>
      <c r="G324" s="30" t="n">
        <f aca="false">Panel!D300-Panel!D299</f>
        <v>0.00454165268431517</v>
      </c>
      <c r="H324" s="30" t="n">
        <f aca="false">Panel!D299-Panel!D298</f>
        <v>-0.000652121777113379</v>
      </c>
      <c r="I324" s="30" t="n">
        <f aca="false">Panel!D298-Panel!D297</f>
        <v>0.00050648538170428</v>
      </c>
      <c r="L324" s="30" t="n">
        <f aca="false">Panel!E298-Panel!E297</f>
        <v>0.000775379882663962</v>
      </c>
      <c r="M324" s="29" t="n">
        <f aca="false">Panel!E297</f>
        <v>5.60112201426993</v>
      </c>
    </row>
    <row r="325" customFormat="false" ht="15" hidden="false" customHeight="false" outlineLevel="0" collapsed="false">
      <c r="C325" s="0" t="n">
        <f aca="false">Panel!D304-Panel!D303</f>
        <v>0.00386345552420408</v>
      </c>
      <c r="D325" s="29" t="n">
        <f aca="false">Panel!D303</f>
        <v>10.1076113700131</v>
      </c>
      <c r="E325" s="30" t="n">
        <f aca="false">Panel!D303-Panel!D302</f>
        <v>0.00518074986840489</v>
      </c>
      <c r="F325" s="30" t="n">
        <f aca="false">Panel!D302-Panel!D301</f>
        <v>0.00255425360315975</v>
      </c>
      <c r="G325" s="30" t="n">
        <f aca="false">Panel!D301-Panel!D300</f>
        <v>-0.00593755552624309</v>
      </c>
      <c r="H325" s="30" t="n">
        <f aca="false">Panel!D300-Panel!D299</f>
        <v>0.00454165268431517</v>
      </c>
      <c r="I325" s="30" t="n">
        <f aca="false">Panel!D299-Panel!D298</f>
        <v>-0.000652121777113379</v>
      </c>
      <c r="L325" s="30" t="n">
        <f aca="false">Panel!E299-Panel!E298</f>
        <v>-0.00254993763327338</v>
      </c>
      <c r="M325" s="29" t="n">
        <f aca="false">Panel!E298</f>
        <v>5.60189739415259</v>
      </c>
    </row>
    <row r="326" customFormat="false" ht="15" hidden="false" customHeight="false" outlineLevel="0" collapsed="false">
      <c r="C326" s="0" t="n">
        <f aca="false">Panel!D305-Panel!D304</f>
        <v>0.000651592110168409</v>
      </c>
      <c r="D326" s="29" t="n">
        <f aca="false">Panel!D304</f>
        <v>10.1114748255373</v>
      </c>
      <c r="E326" s="30" t="n">
        <f aca="false">Panel!D304-Panel!D303</f>
        <v>0.00386345552420408</v>
      </c>
      <c r="F326" s="30" t="n">
        <f aca="false">Panel!D303-Panel!D302</f>
        <v>0.00518074986840489</v>
      </c>
      <c r="G326" s="30" t="n">
        <f aca="false">Panel!D302-Panel!D301</f>
        <v>0.00255425360315975</v>
      </c>
      <c r="H326" s="30" t="n">
        <f aca="false">Panel!D301-Panel!D300</f>
        <v>-0.00593755552624309</v>
      </c>
      <c r="I326" s="30" t="n">
        <f aca="false">Panel!D300-Panel!D299</f>
        <v>0.00454165268431517</v>
      </c>
      <c r="L326" s="30" t="n">
        <f aca="false">Panel!E300-Panel!E299</f>
        <v>0.00406204399009624</v>
      </c>
      <c r="M326" s="29" t="n">
        <f aca="false">Panel!E299</f>
        <v>5.59934745651932</v>
      </c>
    </row>
    <row r="327" customFormat="false" ht="15" hidden="false" customHeight="false" outlineLevel="0" collapsed="false">
      <c r="C327" s="0" t="n">
        <f aca="false">Panel!D306-Panel!D305</f>
        <v>0.00679504313282919</v>
      </c>
      <c r="D327" s="29" t="n">
        <f aca="false">Panel!D305</f>
        <v>10.1121264176475</v>
      </c>
      <c r="E327" s="30" t="n">
        <f aca="false">Panel!D305-Panel!D304</f>
        <v>0.000651592110168409</v>
      </c>
      <c r="F327" s="30" t="n">
        <f aca="false">Panel!D304-Panel!D303</f>
        <v>0.00386345552420408</v>
      </c>
      <c r="G327" s="30" t="n">
        <f aca="false">Panel!D303-Panel!D302</f>
        <v>0.00518074986840489</v>
      </c>
      <c r="H327" s="30" t="n">
        <f aca="false">Panel!D302-Panel!D301</f>
        <v>0.00255425360315975</v>
      </c>
      <c r="I327" s="30" t="n">
        <f aca="false">Panel!D301-Panel!D300</f>
        <v>-0.00593755552624309</v>
      </c>
      <c r="L327" s="30" t="n">
        <f aca="false">Panel!E301-Panel!E300</f>
        <v>-0.00280474037057932</v>
      </c>
      <c r="M327" s="29" t="n">
        <f aca="false">Panel!E300</f>
        <v>5.60340950050941</v>
      </c>
    </row>
    <row r="328" customFormat="false" ht="15" hidden="false" customHeight="false" outlineLevel="0" collapsed="false">
      <c r="C328" s="0" t="n">
        <f aca="false">Panel!D307-Panel!D306</f>
        <v>-0.0113039755753324</v>
      </c>
      <c r="D328" s="29" t="n">
        <f aca="false">Panel!D306</f>
        <v>10.1189214607803</v>
      </c>
      <c r="E328" s="30" t="n">
        <f aca="false">Panel!D306-Panel!D305</f>
        <v>0.00679504313282919</v>
      </c>
      <c r="F328" s="30" t="n">
        <f aca="false">Panel!D305-Panel!D304</f>
        <v>0.000651592110168409</v>
      </c>
      <c r="G328" s="30" t="n">
        <f aca="false">Panel!D304-Panel!D303</f>
        <v>0.00386345552420408</v>
      </c>
      <c r="H328" s="30" t="n">
        <f aca="false">Panel!D303-Panel!D302</f>
        <v>0.00518074986840489</v>
      </c>
      <c r="I328" s="30" t="n">
        <f aca="false">Panel!D302-Panel!D301</f>
        <v>0.00255425360315975</v>
      </c>
      <c r="L328" s="30" t="n">
        <f aca="false">Panel!E302-Panel!E301</f>
        <v>0.00077578089928565</v>
      </c>
      <c r="M328" s="29" t="n">
        <f aca="false">Panel!E301</f>
        <v>5.60060476013883</v>
      </c>
    </row>
    <row r="329" customFormat="false" ht="15" hidden="false" customHeight="false" outlineLevel="0" collapsed="false">
      <c r="C329" s="0" t="n">
        <f aca="false">Panel!D308-Panel!D307</f>
        <v>-0.000468939878269126</v>
      </c>
      <c r="D329" s="29" t="n">
        <f aca="false">Panel!D307</f>
        <v>10.107617485205</v>
      </c>
      <c r="E329" s="30" t="n">
        <f aca="false">Panel!D307-Panel!D306</f>
        <v>-0.0113039755753324</v>
      </c>
      <c r="F329" s="30" t="n">
        <f aca="false">Panel!D306-Panel!D305</f>
        <v>0.00679504313282919</v>
      </c>
      <c r="G329" s="30" t="n">
        <f aca="false">Panel!D305-Panel!D304</f>
        <v>0.000651592110168409</v>
      </c>
      <c r="H329" s="30" t="n">
        <f aca="false">Panel!D304-Panel!D303</f>
        <v>0.00386345552420408</v>
      </c>
      <c r="I329" s="30" t="n">
        <f aca="false">Panel!D303-Panel!D302</f>
        <v>0.00518074986840489</v>
      </c>
      <c r="L329" s="30" t="n">
        <f aca="false">Panel!E303-Panel!E302</f>
        <v>0.00442152525787787</v>
      </c>
      <c r="M329" s="29" t="n">
        <f aca="false">Panel!E302</f>
        <v>5.60138054103812</v>
      </c>
    </row>
    <row r="330" customFormat="false" ht="15" hidden="false" customHeight="false" outlineLevel="0" collapsed="false">
      <c r="C330" s="0" t="n">
        <f aca="false">Panel!D309-Panel!D308</f>
        <v>-0.0026403585641166</v>
      </c>
      <c r="D330" s="29" t="n">
        <f aca="false">Panel!D308</f>
        <v>10.1071485453267</v>
      </c>
      <c r="E330" s="30" t="n">
        <f aca="false">Panel!D308-Panel!D307</f>
        <v>-0.000468939878269126</v>
      </c>
      <c r="F330" s="30" t="n">
        <f aca="false">Panel!D307-Panel!D306</f>
        <v>-0.0113039755753324</v>
      </c>
      <c r="G330" s="30" t="n">
        <f aca="false">Panel!D306-Panel!D305</f>
        <v>0.00679504313282919</v>
      </c>
      <c r="H330" s="30" t="n">
        <f aca="false">Panel!D305-Panel!D304</f>
        <v>0.000651592110168409</v>
      </c>
      <c r="I330" s="30" t="n">
        <f aca="false">Panel!D304-Panel!D303</f>
        <v>0.00386345552420408</v>
      </c>
      <c r="L330" s="30" t="n">
        <f aca="false">Panel!E304-Panel!E303</f>
        <v>0.00432885227874813</v>
      </c>
      <c r="M330" s="29" t="n">
        <f aca="false">Panel!E303</f>
        <v>5.605802066296</v>
      </c>
    </row>
    <row r="331" customFormat="false" ht="15" hidden="false" customHeight="false" outlineLevel="0" collapsed="false">
      <c r="C331" s="0" t="n">
        <f aca="false">Panel!D310-Panel!D309</f>
        <v>-0.00129106330127193</v>
      </c>
      <c r="D331" s="29" t="n">
        <f aca="false">Panel!D309</f>
        <v>10.1045081867626</v>
      </c>
      <c r="E331" s="30" t="n">
        <f aca="false">Panel!D309-Panel!D308</f>
        <v>-0.0026403585641166</v>
      </c>
      <c r="F331" s="30" t="n">
        <f aca="false">Panel!D308-Panel!D307</f>
        <v>-0.000468939878269126</v>
      </c>
      <c r="G331" s="30" t="n">
        <f aca="false">Panel!D307-Panel!D306</f>
        <v>-0.0113039755753324</v>
      </c>
      <c r="H331" s="30" t="n">
        <f aca="false">Panel!D306-Panel!D305</f>
        <v>0.00679504313282919</v>
      </c>
      <c r="I331" s="30" t="n">
        <f aca="false">Panel!D305-Panel!D304</f>
        <v>0.000651592110168409</v>
      </c>
      <c r="L331" s="30" t="n">
        <f aca="false">Panel!E305-Panel!E304</f>
        <v>0.00182862209460311</v>
      </c>
      <c r="M331" s="29" t="n">
        <f aca="false">Panel!E304</f>
        <v>5.61013091857475</v>
      </c>
    </row>
    <row r="332" customFormat="false" ht="15" hidden="false" customHeight="false" outlineLevel="0" collapsed="false">
      <c r="C332" s="0" t="n">
        <f aca="false">Panel!D311-Panel!D310</f>
        <v>-0.000550897064789169</v>
      </c>
      <c r="D332" s="29" t="n">
        <f aca="false">Panel!D310</f>
        <v>10.1032171234613</v>
      </c>
      <c r="E332" s="30" t="n">
        <f aca="false">Panel!D310-Panel!D309</f>
        <v>-0.00129106330127193</v>
      </c>
      <c r="F332" s="30" t="n">
        <f aca="false">Panel!D309-Panel!D308</f>
        <v>-0.0026403585641166</v>
      </c>
      <c r="G332" s="30" t="n">
        <f aca="false">Panel!D308-Panel!D307</f>
        <v>-0.000468939878269126</v>
      </c>
      <c r="H332" s="30" t="n">
        <f aca="false">Panel!D307-Panel!D306</f>
        <v>-0.0113039755753324</v>
      </c>
      <c r="I332" s="30" t="n">
        <f aca="false">Panel!D306-Panel!D305</f>
        <v>0.00679504313282919</v>
      </c>
      <c r="L332" s="30" t="n">
        <f aca="false">Panel!E306-Panel!E305</f>
        <v>0.0062650456252058</v>
      </c>
      <c r="M332" s="29" t="n">
        <f aca="false">Panel!E305</f>
        <v>5.61195954066935</v>
      </c>
    </row>
    <row r="333" customFormat="false" ht="15" hidden="false" customHeight="false" outlineLevel="0" collapsed="false">
      <c r="C333" s="0" t="n">
        <f aca="false">Panel!D312-Panel!D311</f>
        <v>0.0209202472676058</v>
      </c>
      <c r="D333" s="29" t="n">
        <f aca="false">Panel!D311</f>
        <v>10.1026662263965</v>
      </c>
      <c r="E333" s="30" t="n">
        <f aca="false">Panel!D311-Panel!D310</f>
        <v>-0.000550897064789169</v>
      </c>
      <c r="F333" s="30" t="n">
        <f aca="false">Panel!D310-Panel!D309</f>
        <v>-0.00129106330127193</v>
      </c>
      <c r="G333" s="30" t="n">
        <f aca="false">Panel!D309-Panel!D308</f>
        <v>-0.0026403585641166</v>
      </c>
      <c r="H333" s="30" t="n">
        <f aca="false">Panel!D308-Panel!D307</f>
        <v>-0.000468939878269126</v>
      </c>
      <c r="I333" s="30" t="n">
        <f aca="false">Panel!D307-Panel!D306</f>
        <v>-0.0113039755753324</v>
      </c>
      <c r="L333" s="30" t="n">
        <f aca="false">Panel!E307-Panel!E306</f>
        <v>-0.00802045859791978</v>
      </c>
      <c r="M333" s="29" t="n">
        <f aca="false">Panel!E306</f>
        <v>5.61822458629456</v>
      </c>
    </row>
    <row r="334" customFormat="false" ht="15" hidden="false" customHeight="false" outlineLevel="0" collapsed="false">
      <c r="C334" s="0" t="n">
        <f aca="false">Panel!D313-Panel!D312</f>
        <v>2.40728927209943E-005</v>
      </c>
      <c r="D334" s="29" t="n">
        <f aca="false">Panel!D312</f>
        <v>10.1235864736641</v>
      </c>
      <c r="E334" s="30" t="n">
        <f aca="false">Panel!D312-Panel!D311</f>
        <v>0.0209202472676058</v>
      </c>
      <c r="F334" s="30" t="n">
        <f aca="false">Panel!D311-Panel!D310</f>
        <v>-0.000550897064789169</v>
      </c>
      <c r="G334" s="30" t="n">
        <f aca="false">Panel!D310-Panel!D309</f>
        <v>-0.00129106330127193</v>
      </c>
      <c r="H334" s="30" t="n">
        <f aca="false">Panel!D309-Panel!D308</f>
        <v>-0.0026403585641166</v>
      </c>
      <c r="I334" s="30" t="n">
        <f aca="false">Panel!D308-Panel!D307</f>
        <v>-0.000468939878269126</v>
      </c>
      <c r="L334" s="30" t="n">
        <f aca="false">Panel!E308-Panel!E307</f>
        <v>-0.00194185489784626</v>
      </c>
      <c r="M334" s="29" t="n">
        <f aca="false">Panel!E307</f>
        <v>5.61020412769664</v>
      </c>
    </row>
    <row r="335" customFormat="false" ht="15" hidden="false" customHeight="false" outlineLevel="0" collapsed="false">
      <c r="C335" s="0" t="n">
        <f aca="false">Panel!D314-Panel!D313</f>
        <v>0.000417171423389817</v>
      </c>
      <c r="D335" s="29" t="n">
        <f aca="false">Panel!D313</f>
        <v>10.1236105465568</v>
      </c>
      <c r="E335" s="30" t="n">
        <f aca="false">Panel!D313-Panel!D312</f>
        <v>2.40728927209943E-005</v>
      </c>
      <c r="F335" s="30" t="n">
        <f aca="false">Panel!D312-Panel!D311</f>
        <v>0.0209202472676058</v>
      </c>
      <c r="G335" s="30" t="n">
        <f aca="false">Panel!D311-Panel!D310</f>
        <v>-0.000550897064789169</v>
      </c>
      <c r="H335" s="30" t="n">
        <f aca="false">Panel!D310-Panel!D309</f>
        <v>-0.00129106330127193</v>
      </c>
      <c r="I335" s="30" t="n">
        <f aca="false">Panel!D309-Panel!D308</f>
        <v>-0.0026403585641166</v>
      </c>
      <c r="L335" s="30" t="n">
        <f aca="false">Panel!E309-Panel!E308</f>
        <v>-0.000440189288498871</v>
      </c>
      <c r="M335" s="29" t="n">
        <f aca="false">Panel!E308</f>
        <v>5.60826227279879</v>
      </c>
    </row>
    <row r="336" customFormat="false" ht="15" hidden="false" customHeight="false" outlineLevel="0" collapsed="false">
      <c r="C336" s="0" t="n">
        <f aca="false">Panel!D315-Panel!D314</f>
        <v>0.00385660026880963</v>
      </c>
      <c r="D336" s="29" t="n">
        <f aca="false">Panel!D314</f>
        <v>10.1240277179802</v>
      </c>
      <c r="E336" s="30" t="n">
        <f aca="false">Panel!D314-Panel!D313</f>
        <v>0.000417171423389817</v>
      </c>
      <c r="F336" s="30" t="n">
        <f aca="false">Panel!D313-Panel!D312</f>
        <v>2.40728927209943E-005</v>
      </c>
      <c r="G336" s="30" t="n">
        <f aca="false">Panel!D312-Panel!D311</f>
        <v>0.0209202472676058</v>
      </c>
      <c r="H336" s="30" t="n">
        <f aca="false">Panel!D311-Panel!D310</f>
        <v>-0.000550897064789169</v>
      </c>
      <c r="I336" s="30" t="n">
        <f aca="false">Panel!D310-Panel!D309</f>
        <v>-0.00129106330127193</v>
      </c>
      <c r="L336" s="30" t="n">
        <f aca="false">Panel!E310-Panel!E309</f>
        <v>-0.000587220628317731</v>
      </c>
      <c r="M336" s="29" t="n">
        <f aca="false">Panel!E309</f>
        <v>5.60782208351029</v>
      </c>
    </row>
    <row r="337" customFormat="false" ht="15" hidden="false" customHeight="false" outlineLevel="0" collapsed="false">
      <c r="C337" s="0" t="n">
        <f aca="false">Panel!D316-Panel!D315</f>
        <v>0.000265631570576019</v>
      </c>
      <c r="D337" s="29" t="n">
        <f aca="false">Panel!D315</f>
        <v>10.127884318249</v>
      </c>
      <c r="E337" s="30" t="n">
        <f aca="false">Panel!D315-Panel!D314</f>
        <v>0.00385660026880963</v>
      </c>
      <c r="F337" s="30" t="n">
        <f aca="false">Panel!D314-Panel!D313</f>
        <v>0.000417171423389817</v>
      </c>
      <c r="G337" s="30" t="n">
        <f aca="false">Panel!D313-Panel!D312</f>
        <v>2.40728927209943E-005</v>
      </c>
      <c r="H337" s="30" t="n">
        <f aca="false">Panel!D312-Panel!D311</f>
        <v>0.0209202472676058</v>
      </c>
      <c r="I337" s="30" t="n">
        <f aca="false">Panel!D311-Panel!D310</f>
        <v>-0.000550897064789169</v>
      </c>
      <c r="L337" s="30" t="n">
        <f aca="false">Panel!E311-Panel!E310</f>
        <v>-0.00106521709277185</v>
      </c>
      <c r="M337" s="29" t="n">
        <f aca="false">Panel!E310</f>
        <v>5.60723486288197</v>
      </c>
    </row>
    <row r="338" customFormat="false" ht="15" hidden="false" customHeight="false" outlineLevel="0" collapsed="false">
      <c r="C338" s="0" t="n">
        <f aca="false">Panel!D317-Panel!D316</f>
        <v>-0.01359142720354</v>
      </c>
      <c r="D338" s="29" t="n">
        <f aca="false">Panel!D316</f>
        <v>10.1281499498196</v>
      </c>
      <c r="E338" s="30" t="n">
        <f aca="false">Panel!D316-Panel!D315</f>
        <v>0.000265631570576019</v>
      </c>
      <c r="F338" s="30" t="n">
        <f aca="false">Panel!D315-Panel!D314</f>
        <v>0.00385660026880963</v>
      </c>
      <c r="G338" s="30" t="n">
        <f aca="false">Panel!D314-Panel!D313</f>
        <v>0.000417171423389817</v>
      </c>
      <c r="H338" s="30" t="n">
        <f aca="false">Panel!D313-Panel!D312</f>
        <v>2.40728927209943E-005</v>
      </c>
      <c r="I338" s="30" t="n">
        <f aca="false">Panel!D312-Panel!D311</f>
        <v>0.0209202472676058</v>
      </c>
      <c r="L338" s="30" t="n">
        <f aca="false">Panel!E312-Panel!E311</f>
        <v>0.0142312199279493</v>
      </c>
      <c r="M338" s="29" t="n">
        <f aca="false">Panel!E311</f>
        <v>5.6061696457892</v>
      </c>
    </row>
    <row r="339" customFormat="false" ht="15" hidden="false" customHeight="false" outlineLevel="0" collapsed="false">
      <c r="C339" s="0" t="n">
        <f aca="false">Panel!D318-Panel!D317</f>
        <v>-0.0247573920164488</v>
      </c>
      <c r="D339" s="29" t="n">
        <f aca="false">Panel!D317</f>
        <v>10.1145585226161</v>
      </c>
      <c r="E339" s="30" t="n">
        <f aca="false">Panel!D317-Panel!D316</f>
        <v>-0.01359142720354</v>
      </c>
      <c r="F339" s="30" t="n">
        <f aca="false">Panel!D316-Panel!D315</f>
        <v>0.000265631570576019</v>
      </c>
      <c r="G339" s="30" t="n">
        <f aca="false">Panel!D315-Panel!D314</f>
        <v>0.00385660026880963</v>
      </c>
      <c r="H339" s="30" t="n">
        <f aca="false">Panel!D314-Panel!D313</f>
        <v>0.000417171423389817</v>
      </c>
      <c r="I339" s="30" t="n">
        <f aca="false">Panel!D313-Panel!D312</f>
        <v>2.40728927209943E-005</v>
      </c>
      <c r="L339" s="30" t="n">
        <f aca="false">Panel!E313-Panel!E312</f>
        <v>0.00354443569742191</v>
      </c>
      <c r="M339" s="29" t="n">
        <f aca="false">Panel!E312</f>
        <v>5.62040086571715</v>
      </c>
    </row>
    <row r="340" customFormat="false" ht="15" hidden="false" customHeight="false" outlineLevel="0" collapsed="false">
      <c r="C340" s="0" t="n">
        <f aca="false">Panel!D319-Panel!D318</f>
        <v>-0.000207524851845164</v>
      </c>
      <c r="D340" s="29" t="n">
        <f aca="false">Panel!D318</f>
        <v>10.0898011305996</v>
      </c>
      <c r="E340" s="30" t="n">
        <f aca="false">Panel!D318-Panel!D317</f>
        <v>-0.0247573920164488</v>
      </c>
      <c r="F340" s="30" t="n">
        <f aca="false">Panel!D317-Panel!D316</f>
        <v>-0.01359142720354</v>
      </c>
      <c r="G340" s="30" t="n">
        <f aca="false">Panel!D316-Panel!D315</f>
        <v>0.000265631570576019</v>
      </c>
      <c r="H340" s="30" t="n">
        <f aca="false">Panel!D315-Panel!D314</f>
        <v>0.00385660026880963</v>
      </c>
      <c r="I340" s="30" t="n">
        <f aca="false">Panel!D314-Panel!D313</f>
        <v>0.000417171423389817</v>
      </c>
      <c r="L340" s="30" t="n">
        <f aca="false">Panel!E314-Panel!E313</f>
        <v>-0.000324986010407535</v>
      </c>
      <c r="M340" s="29" t="n">
        <f aca="false">Panel!E313</f>
        <v>5.62394530141457</v>
      </c>
    </row>
    <row r="341" customFormat="false" ht="15" hidden="false" customHeight="false" outlineLevel="0" collapsed="false">
      <c r="C341" s="0" t="n">
        <f aca="false">Panel!D320-Panel!D319</f>
        <v>0.0116745608948374</v>
      </c>
      <c r="D341" s="29" t="n">
        <f aca="false">Panel!D319</f>
        <v>10.0895936057478</v>
      </c>
      <c r="E341" s="30" t="n">
        <f aca="false">Panel!D319-Panel!D318</f>
        <v>-0.000207524851845164</v>
      </c>
      <c r="F341" s="30" t="n">
        <f aca="false">Panel!D318-Panel!D317</f>
        <v>-0.0247573920164488</v>
      </c>
      <c r="G341" s="30" t="n">
        <f aca="false">Panel!D317-Panel!D316</f>
        <v>-0.01359142720354</v>
      </c>
      <c r="H341" s="30" t="n">
        <f aca="false">Panel!D316-Panel!D315</f>
        <v>0.000265631570576019</v>
      </c>
      <c r="I341" s="30" t="n">
        <f aca="false">Panel!D315-Panel!D314</f>
        <v>0.00385660026880963</v>
      </c>
      <c r="L341" s="30" t="n">
        <f aca="false">Panel!E315-Panel!E314</f>
        <v>0.00400079828647293</v>
      </c>
      <c r="M341" s="29" t="n">
        <f aca="false">Panel!E314</f>
        <v>5.62362031540416</v>
      </c>
    </row>
    <row r="342" customFormat="false" ht="15" hidden="false" customHeight="false" outlineLevel="0" collapsed="false">
      <c r="C342" s="0" t="n">
        <f aca="false">Panel!D321-Panel!D320</f>
        <v>-0.01033263655677</v>
      </c>
      <c r="D342" s="29" t="n">
        <f aca="false">Panel!D320</f>
        <v>10.1012681666426</v>
      </c>
      <c r="E342" s="30" t="n">
        <f aca="false">Panel!D320-Panel!D319</f>
        <v>0.0116745608948374</v>
      </c>
      <c r="F342" s="30" t="n">
        <f aca="false">Panel!D319-Panel!D318</f>
        <v>-0.000207524851845164</v>
      </c>
      <c r="G342" s="30" t="n">
        <f aca="false">Panel!D318-Panel!D317</f>
        <v>-0.0247573920164488</v>
      </c>
      <c r="H342" s="30" t="n">
        <f aca="false">Panel!D317-Panel!D316</f>
        <v>-0.01359142720354</v>
      </c>
      <c r="I342" s="30" t="n">
        <f aca="false">Panel!D316-Panel!D315</f>
        <v>0.000265631570576019</v>
      </c>
      <c r="L342" s="30" t="n">
        <f aca="false">Panel!E316-Panel!E315</f>
        <v>0.00147373366476611</v>
      </c>
      <c r="M342" s="29" t="n">
        <f aca="false">Panel!E315</f>
        <v>5.62762111369064</v>
      </c>
    </row>
    <row r="343" customFormat="false" ht="15" hidden="false" customHeight="false" outlineLevel="0" collapsed="false">
      <c r="C343" s="0" t="n">
        <f aca="false">Panel!D322-Panel!D321</f>
        <v>0.0113414038959245</v>
      </c>
      <c r="D343" s="29" t="n">
        <f aca="false">Panel!D321</f>
        <v>10.0909355300858</v>
      </c>
      <c r="E343" s="30" t="n">
        <f aca="false">Panel!D321-Panel!D320</f>
        <v>-0.01033263655677</v>
      </c>
      <c r="F343" s="30" t="n">
        <f aca="false">Panel!D320-Panel!D319</f>
        <v>0.0116745608948374</v>
      </c>
      <c r="G343" s="30" t="n">
        <f aca="false">Panel!D319-Panel!D318</f>
        <v>-0.000207524851845164</v>
      </c>
      <c r="H343" s="30" t="n">
        <f aca="false">Panel!D318-Panel!D317</f>
        <v>-0.0247573920164488</v>
      </c>
      <c r="I343" s="30" t="n">
        <f aca="false">Panel!D317-Panel!D316</f>
        <v>-0.01359142720354</v>
      </c>
      <c r="L343" s="30" t="n">
        <f aca="false">Panel!E317-Panel!E316</f>
        <v>-0.00963645461192009</v>
      </c>
      <c r="M343" s="29" t="n">
        <f aca="false">Panel!E316</f>
        <v>5.6290948473554</v>
      </c>
    </row>
    <row r="344" customFormat="false" ht="15" hidden="false" customHeight="false" outlineLevel="0" collapsed="false">
      <c r="C344" s="0" t="n">
        <f aca="false">Panel!D323-Panel!D322</f>
        <v>-0.00143349206954468</v>
      </c>
      <c r="D344" s="29" t="n">
        <f aca="false">Panel!D322</f>
        <v>10.1022769339818</v>
      </c>
      <c r="E344" s="30" t="n">
        <f aca="false">Panel!D322-Panel!D321</f>
        <v>0.0113414038959245</v>
      </c>
      <c r="F344" s="30" t="n">
        <f aca="false">Panel!D321-Panel!D320</f>
        <v>-0.01033263655677</v>
      </c>
      <c r="G344" s="30" t="n">
        <f aca="false">Panel!D320-Panel!D319</f>
        <v>0.0116745608948374</v>
      </c>
      <c r="H344" s="30" t="n">
        <f aca="false">Panel!D319-Panel!D318</f>
        <v>-0.000207524851845164</v>
      </c>
      <c r="I344" s="30" t="n">
        <f aca="false">Panel!D318-Panel!D317</f>
        <v>-0.0247573920164488</v>
      </c>
      <c r="L344" s="30" t="n">
        <f aca="false">Panel!E318-Panel!E317</f>
        <v>-0.0198149578284275</v>
      </c>
      <c r="M344" s="29" t="n">
        <f aca="false">Panel!E317</f>
        <v>5.61945839274348</v>
      </c>
    </row>
    <row r="345" customFormat="false" ht="15" hidden="false" customHeight="false" outlineLevel="0" collapsed="false">
      <c r="C345" s="0" t="n">
        <f aca="false">Panel!D324-Panel!D323</f>
        <v>-0.00847257474699781</v>
      </c>
      <c r="D345" s="29" t="n">
        <f aca="false">Panel!D323</f>
        <v>10.1008434419122</v>
      </c>
      <c r="E345" s="30" t="n">
        <f aca="false">Panel!D323-Panel!D322</f>
        <v>-0.00143349206954468</v>
      </c>
      <c r="F345" s="30" t="n">
        <f aca="false">Panel!D322-Panel!D321</f>
        <v>0.0113414038959245</v>
      </c>
      <c r="G345" s="30" t="n">
        <f aca="false">Panel!D321-Panel!D320</f>
        <v>-0.01033263655677</v>
      </c>
      <c r="H345" s="30" t="n">
        <f aca="false">Panel!D320-Panel!D319</f>
        <v>0.0116745608948374</v>
      </c>
      <c r="I345" s="30" t="n">
        <f aca="false">Panel!D319-Panel!D318</f>
        <v>-0.000207524851845164</v>
      </c>
      <c r="L345" s="30" t="n">
        <f aca="false">Panel!E319-Panel!E318</f>
        <v>-0.00761222368351877</v>
      </c>
      <c r="M345" s="29" t="n">
        <f aca="false">Panel!E318</f>
        <v>5.59964343491506</v>
      </c>
    </row>
    <row r="346" customFormat="false" ht="15" hidden="false" customHeight="false" outlineLevel="0" collapsed="false">
      <c r="C346" s="0" t="n">
        <f aca="false">Panel!D325-Panel!D324</f>
        <v>0.000579350316225913</v>
      </c>
      <c r="D346" s="29" t="n">
        <f aca="false">Panel!D324</f>
        <v>10.0923708671652</v>
      </c>
      <c r="E346" s="30" t="n">
        <f aca="false">Panel!D324-Panel!D323</f>
        <v>-0.00847257474699781</v>
      </c>
      <c r="F346" s="30" t="n">
        <f aca="false">Panel!D323-Panel!D322</f>
        <v>-0.00143349206954468</v>
      </c>
      <c r="G346" s="30" t="n">
        <f aca="false">Panel!D322-Panel!D321</f>
        <v>0.0113414038959245</v>
      </c>
      <c r="H346" s="30" t="n">
        <f aca="false">Panel!D321-Panel!D320</f>
        <v>-0.01033263655677</v>
      </c>
      <c r="I346" s="30" t="n">
        <f aca="false">Panel!D320-Panel!D319</f>
        <v>0.0116745608948374</v>
      </c>
      <c r="L346" s="30" t="n">
        <f aca="false">Panel!E320-Panel!E319</f>
        <v>0.0108253448347035</v>
      </c>
      <c r="M346" s="29" t="n">
        <f aca="false">Panel!E319</f>
        <v>5.59203121123154</v>
      </c>
    </row>
    <row r="347" customFormat="false" ht="15" hidden="false" customHeight="false" outlineLevel="0" collapsed="false">
      <c r="C347" s="0" t="n">
        <f aca="false">Panel!D326-Panel!D325</f>
        <v>0.0174722330044244</v>
      </c>
      <c r="D347" s="29" t="n">
        <f aca="false">Panel!D325</f>
        <v>10.0929502174815</v>
      </c>
      <c r="E347" s="30" t="n">
        <f aca="false">Panel!D325-Panel!D324</f>
        <v>0.000579350316225913</v>
      </c>
      <c r="F347" s="30" t="n">
        <f aca="false">Panel!D324-Panel!D323</f>
        <v>-0.00847257474699781</v>
      </c>
      <c r="G347" s="30" t="n">
        <f aca="false">Panel!D323-Panel!D322</f>
        <v>-0.00143349206954468</v>
      </c>
      <c r="H347" s="30" t="n">
        <f aca="false">Panel!D322-Panel!D321</f>
        <v>0.0113414038959245</v>
      </c>
      <c r="I347" s="30" t="n">
        <f aca="false">Panel!D321-Panel!D320</f>
        <v>-0.01033263655677</v>
      </c>
      <c r="L347" s="30" t="n">
        <f aca="false">Panel!E321-Panel!E320</f>
        <v>-0.00747625526067086</v>
      </c>
      <c r="M347" s="29" t="n">
        <f aca="false">Panel!E320</f>
        <v>5.60285655606624</v>
      </c>
    </row>
    <row r="348" customFormat="false" ht="15" hidden="false" customHeight="false" outlineLevel="0" collapsed="false">
      <c r="C348" s="0" t="n">
        <f aca="false">Panel!D327-Panel!D326</f>
        <v>-0.000321215253574536</v>
      </c>
      <c r="D348" s="29" t="n">
        <f aca="false">Panel!D326</f>
        <v>10.1104224504859</v>
      </c>
      <c r="E348" s="30" t="n">
        <f aca="false">Panel!D326-Panel!D325</f>
        <v>0.0174722330044244</v>
      </c>
      <c r="F348" s="30" t="n">
        <f aca="false">Panel!D325-Panel!D324</f>
        <v>0.000579350316225913</v>
      </c>
      <c r="G348" s="30" t="n">
        <f aca="false">Panel!D324-Panel!D323</f>
        <v>-0.00847257474699781</v>
      </c>
      <c r="H348" s="30" t="n">
        <f aca="false">Panel!D323-Panel!D322</f>
        <v>-0.00143349206954468</v>
      </c>
      <c r="I348" s="30" t="n">
        <f aca="false">Panel!D322-Panel!D321</f>
        <v>0.0113414038959245</v>
      </c>
      <c r="L348" s="30" t="n">
        <f aca="false">Panel!E322-Panel!E321</f>
        <v>0.00968620091147443</v>
      </c>
      <c r="M348" s="29" t="n">
        <f aca="false">Panel!E321</f>
        <v>5.59538030080557</v>
      </c>
    </row>
    <row r="349" customFormat="false" ht="15" hidden="false" customHeight="false" outlineLevel="0" collapsed="false">
      <c r="C349" s="0" t="n">
        <f aca="false">Panel!D328-Panel!D327</f>
        <v>0.00478112158348942</v>
      </c>
      <c r="D349" s="29" t="n">
        <f aca="false">Panel!D327</f>
        <v>10.1101012352323</v>
      </c>
      <c r="E349" s="30" t="n">
        <f aca="false">Panel!D327-Panel!D326</f>
        <v>-0.000321215253574536</v>
      </c>
      <c r="F349" s="30" t="n">
        <f aca="false">Panel!D326-Panel!D325</f>
        <v>0.0174722330044244</v>
      </c>
      <c r="G349" s="30" t="n">
        <f aca="false">Panel!D325-Panel!D324</f>
        <v>0.000579350316225913</v>
      </c>
      <c r="H349" s="30" t="n">
        <f aca="false">Panel!D324-Panel!D323</f>
        <v>-0.00847257474699781</v>
      </c>
      <c r="I349" s="30" t="n">
        <f aca="false">Panel!D323-Panel!D322</f>
        <v>-0.00143349206954468</v>
      </c>
      <c r="L349" s="30" t="n">
        <f aca="false">Panel!E323-Panel!E322</f>
        <v>-0.000772925561585147</v>
      </c>
      <c r="M349" s="29" t="n">
        <f aca="false">Panel!E322</f>
        <v>5.60506650171704</v>
      </c>
    </row>
    <row r="350" customFormat="false" ht="15" hidden="false" customHeight="false" outlineLevel="0" collapsed="false">
      <c r="C350" s="0" t="n">
        <f aca="false">Panel!D329-Panel!D328</f>
        <v>0.0035371237529418</v>
      </c>
      <c r="D350" s="29" t="n">
        <f aca="false">Panel!D328</f>
        <v>10.1148823568158</v>
      </c>
      <c r="E350" s="30" t="n">
        <f aca="false">Panel!D328-Panel!D327</f>
        <v>0.00478112158348942</v>
      </c>
      <c r="F350" s="30" t="n">
        <f aca="false">Panel!D327-Panel!D326</f>
        <v>-0.000321215253574536</v>
      </c>
      <c r="G350" s="30" t="n">
        <f aca="false">Panel!D326-Panel!D325</f>
        <v>0.0174722330044244</v>
      </c>
      <c r="H350" s="30" t="n">
        <f aca="false">Panel!D325-Panel!D324</f>
        <v>0.000579350316225913</v>
      </c>
      <c r="I350" s="30" t="n">
        <f aca="false">Panel!D324-Panel!D323</f>
        <v>-0.00847257474699781</v>
      </c>
      <c r="L350" s="30" t="n">
        <f aca="false">Panel!E324-Panel!E323</f>
        <v>-0.00661263238180343</v>
      </c>
      <c r="M350" s="29" t="n">
        <f aca="false">Panel!E323</f>
        <v>5.60429357615546</v>
      </c>
    </row>
    <row r="351" customFormat="false" ht="15" hidden="false" customHeight="false" outlineLevel="0" collapsed="false">
      <c r="C351" s="0" t="n">
        <f aca="false">Panel!D330-Panel!D329</f>
        <v>0.00179105547868375</v>
      </c>
      <c r="D351" s="29" t="n">
        <f aca="false">Panel!D329</f>
        <v>10.1184194805687</v>
      </c>
      <c r="E351" s="30" t="n">
        <f aca="false">Panel!D329-Panel!D328</f>
        <v>0.0035371237529418</v>
      </c>
      <c r="F351" s="30" t="n">
        <f aca="false">Panel!D328-Panel!D327</f>
        <v>0.00478112158348942</v>
      </c>
      <c r="G351" s="30" t="n">
        <f aca="false">Panel!D327-Panel!D326</f>
        <v>-0.000321215253574536</v>
      </c>
      <c r="H351" s="30" t="n">
        <f aca="false">Panel!D326-Panel!D325</f>
        <v>0.0174722330044244</v>
      </c>
      <c r="I351" s="30" t="n">
        <f aca="false">Panel!D325-Panel!D324</f>
        <v>0.000579350316225913</v>
      </c>
      <c r="L351" s="30" t="n">
        <f aca="false">Panel!E325-Panel!E324</f>
        <v>-0.00118676768119563</v>
      </c>
      <c r="M351" s="29" t="n">
        <f aca="false">Panel!E324</f>
        <v>5.59768094377366</v>
      </c>
    </row>
    <row r="352" customFormat="false" ht="15" hidden="false" customHeight="false" outlineLevel="0" collapsed="false">
      <c r="C352" s="0" t="n">
        <f aca="false">Panel!D331-Panel!D330</f>
        <v>0.000845053469737067</v>
      </c>
      <c r="D352" s="29" t="n">
        <f aca="false">Panel!D330</f>
        <v>10.1202105360474</v>
      </c>
      <c r="E352" s="30" t="n">
        <f aca="false">Panel!D330-Panel!D329</f>
        <v>0.00179105547868375</v>
      </c>
      <c r="F352" s="30" t="n">
        <f aca="false">Panel!D329-Panel!D328</f>
        <v>0.0035371237529418</v>
      </c>
      <c r="G352" s="30" t="n">
        <f aca="false">Panel!D328-Panel!D327</f>
        <v>0.00478112158348942</v>
      </c>
      <c r="H352" s="30" t="n">
        <f aca="false">Panel!D327-Panel!D326</f>
        <v>-0.000321215253574536</v>
      </c>
      <c r="I352" s="30" t="n">
        <f aca="false">Panel!D326-Panel!D325</f>
        <v>0.0174722330044244</v>
      </c>
      <c r="L352" s="30" t="n">
        <f aca="false">Panel!E326-Panel!E325</f>
        <v>0.0166339302956109</v>
      </c>
      <c r="M352" s="29" t="n">
        <f aca="false">Panel!E325</f>
        <v>5.59649417609246</v>
      </c>
    </row>
    <row r="353" customFormat="false" ht="15" hidden="false" customHeight="false" outlineLevel="0" collapsed="false">
      <c r="C353" s="0" t="n">
        <f aca="false">Panel!D332-Panel!D331</f>
        <v>0.00737389627456508</v>
      </c>
      <c r="D353" s="29" t="n">
        <f aca="false">Panel!D331</f>
        <v>10.1210555895172</v>
      </c>
      <c r="E353" s="30" t="n">
        <f aca="false">Panel!D331-Panel!D330</f>
        <v>0.000845053469737067</v>
      </c>
      <c r="F353" s="30" t="n">
        <f aca="false">Panel!D330-Panel!D329</f>
        <v>0.00179105547868375</v>
      </c>
      <c r="G353" s="30" t="n">
        <f aca="false">Panel!D329-Panel!D328</f>
        <v>0.0035371237529418</v>
      </c>
      <c r="H353" s="30" t="n">
        <f aca="false">Panel!D328-Panel!D327</f>
        <v>0.00478112158348942</v>
      </c>
      <c r="I353" s="30" t="n">
        <f aca="false">Panel!D327-Panel!D326</f>
        <v>-0.000321215253574536</v>
      </c>
      <c r="L353" s="30" t="n">
        <f aca="false">Panel!E327-Panel!E326</f>
        <v>0.00182315456151461</v>
      </c>
      <c r="M353" s="29" t="n">
        <f aca="false">Panel!E326</f>
        <v>5.61312810638807</v>
      </c>
    </row>
    <row r="354" customFormat="false" ht="15" hidden="false" customHeight="false" outlineLevel="0" collapsed="false">
      <c r="C354" s="0" t="n">
        <f aca="false">Panel!D333-Panel!D332</f>
        <v>-0.00159840193871297</v>
      </c>
      <c r="D354" s="29" t="n">
        <f aca="false">Panel!D332</f>
        <v>10.1284294857917</v>
      </c>
      <c r="E354" s="30" t="n">
        <f aca="false">Panel!D332-Panel!D331</f>
        <v>0.00737389627456508</v>
      </c>
      <c r="F354" s="30" t="n">
        <f aca="false">Panel!D331-Panel!D330</f>
        <v>0.000845053469737067</v>
      </c>
      <c r="G354" s="30" t="n">
        <f aca="false">Panel!D330-Panel!D329</f>
        <v>0.00179105547868375</v>
      </c>
      <c r="H354" s="30" t="n">
        <f aca="false">Panel!D329-Panel!D328</f>
        <v>0.0035371237529418</v>
      </c>
      <c r="I354" s="30" t="n">
        <f aca="false">Panel!D328-Panel!D327</f>
        <v>0.00478112158348942</v>
      </c>
      <c r="L354" s="30" t="n">
        <f aca="false">Panel!E328-Panel!E327</f>
        <v>0.00363636764338438</v>
      </c>
      <c r="M354" s="29" t="n">
        <f aca="false">Panel!E327</f>
        <v>5.61495126094959</v>
      </c>
    </row>
    <row r="355" customFormat="false" ht="15" hidden="false" customHeight="false" outlineLevel="0" collapsed="false">
      <c r="C355" s="0" t="n">
        <f aca="false">Panel!D334-Panel!D333</f>
        <v>0.00199760354082201</v>
      </c>
      <c r="D355" s="29" t="n">
        <f aca="false">Panel!D333</f>
        <v>10.126831083853</v>
      </c>
      <c r="E355" s="30" t="n">
        <f aca="false">Panel!D333-Panel!D332</f>
        <v>-0.00159840193871297</v>
      </c>
      <c r="F355" s="30" t="n">
        <f aca="false">Panel!D332-Panel!D331</f>
        <v>0.00737389627456508</v>
      </c>
      <c r="G355" s="30" t="n">
        <f aca="false">Panel!D331-Panel!D330</f>
        <v>0.000845053469737067</v>
      </c>
      <c r="H355" s="30" t="n">
        <f aca="false">Panel!D330-Panel!D329</f>
        <v>0.00179105547868375</v>
      </c>
      <c r="I355" s="30" t="n">
        <f aca="false">Panel!D329-Panel!D328</f>
        <v>0.0035371237529418</v>
      </c>
      <c r="L355" s="30" t="n">
        <f aca="false">Panel!E329-Panel!E328</f>
        <v>0.00304436303555367</v>
      </c>
      <c r="M355" s="29" t="n">
        <f aca="false">Panel!E328</f>
        <v>5.61858762859297</v>
      </c>
    </row>
    <row r="356" customFormat="false" ht="15" hidden="false" customHeight="false" outlineLevel="0" collapsed="false">
      <c r="C356" s="0" t="n">
        <f aca="false">Panel!D335-Panel!D334</f>
        <v>0.00400911499103351</v>
      </c>
      <c r="D356" s="29" t="n">
        <f aca="false">Panel!D334</f>
        <v>10.1288286873938</v>
      </c>
      <c r="E356" s="30" t="n">
        <f aca="false">Panel!D334-Panel!D333</f>
        <v>0.00199760354082201</v>
      </c>
      <c r="F356" s="30" t="n">
        <f aca="false">Panel!D333-Panel!D332</f>
        <v>-0.00159840193871297</v>
      </c>
      <c r="G356" s="30" t="n">
        <f aca="false">Panel!D332-Panel!D331</f>
        <v>0.00737389627456508</v>
      </c>
      <c r="H356" s="30" t="n">
        <f aca="false">Panel!D331-Panel!D330</f>
        <v>0.000845053469737067</v>
      </c>
      <c r="I356" s="30" t="n">
        <f aca="false">Panel!D330-Panel!D329</f>
        <v>0.00179105547868375</v>
      </c>
      <c r="L356" s="30" t="n">
        <f aca="false">Panel!E330-Panel!E329</f>
        <v>0.00028945654735768</v>
      </c>
      <c r="M356" s="29" t="n">
        <f aca="false">Panel!E329</f>
        <v>5.62163199162852</v>
      </c>
    </row>
    <row r="357" customFormat="false" ht="15" hidden="false" customHeight="false" outlineLevel="0" collapsed="false">
      <c r="C357" s="0" t="n">
        <f aca="false">Panel!D336-Panel!D335</f>
        <v>0.00954853340998518</v>
      </c>
      <c r="D357" s="29" t="n">
        <f aca="false">Panel!D335</f>
        <v>10.1328378023849</v>
      </c>
      <c r="E357" s="30" t="n">
        <f aca="false">Panel!D335-Panel!D334</f>
        <v>0.00400911499103351</v>
      </c>
      <c r="F357" s="30" t="n">
        <f aca="false">Panel!D334-Panel!D333</f>
        <v>0.00199760354082201</v>
      </c>
      <c r="G357" s="30" t="n">
        <f aca="false">Panel!D333-Panel!D332</f>
        <v>-0.00159840193871297</v>
      </c>
      <c r="H357" s="30" t="n">
        <f aca="false">Panel!D332-Panel!D331</f>
        <v>0.00737389627456508</v>
      </c>
      <c r="I357" s="30" t="n">
        <f aca="false">Panel!D331-Panel!D330</f>
        <v>0.000845053469737067</v>
      </c>
      <c r="L357" s="30" t="n">
        <f aca="false">Panel!E331-Panel!E330</f>
        <v>0.000470188264806382</v>
      </c>
      <c r="M357" s="29" t="n">
        <f aca="false">Panel!E330</f>
        <v>5.62192144817588</v>
      </c>
    </row>
    <row r="358" customFormat="false" ht="15" hidden="false" customHeight="false" outlineLevel="0" collapsed="false">
      <c r="C358" s="0" t="n">
        <f aca="false">Panel!D337-Panel!D336</f>
        <v>-0.00242448253586325</v>
      </c>
      <c r="D358" s="29" t="n">
        <f aca="false">Panel!D336</f>
        <v>10.1423863357948</v>
      </c>
      <c r="E358" s="30" t="n">
        <f aca="false">Panel!D336-Panel!D335</f>
        <v>0.00954853340998518</v>
      </c>
      <c r="F358" s="30" t="n">
        <f aca="false">Panel!D335-Panel!D334</f>
        <v>0.00400911499103351</v>
      </c>
      <c r="G358" s="30" t="n">
        <f aca="false">Panel!D334-Panel!D333</f>
        <v>0.00199760354082201</v>
      </c>
      <c r="H358" s="30" t="n">
        <f aca="false">Panel!D333-Panel!D332</f>
        <v>-0.00159840193871297</v>
      </c>
      <c r="I358" s="30" t="n">
        <f aca="false">Panel!D332-Panel!D331</f>
        <v>0.00737389627456508</v>
      </c>
      <c r="L358" s="30" t="n">
        <f aca="false">Panel!E332-Panel!E331</f>
        <v>0.00803130386105266</v>
      </c>
      <c r="M358" s="29" t="n">
        <f aca="false">Panel!E331</f>
        <v>5.62239163644069</v>
      </c>
    </row>
    <row r="359" customFormat="false" ht="15" hidden="false" customHeight="false" outlineLevel="0" collapsed="false">
      <c r="C359" s="0" t="n">
        <f aca="false">Panel!D338-Panel!D337</f>
        <v>0.000217063136625839</v>
      </c>
      <c r="D359" s="29" t="n">
        <f aca="false">Panel!D337</f>
        <v>10.139961853259</v>
      </c>
      <c r="E359" s="30" t="n">
        <f aca="false">Panel!D337-Panel!D336</f>
        <v>-0.00242448253586325</v>
      </c>
      <c r="F359" s="30" t="n">
        <f aca="false">Panel!D336-Panel!D335</f>
        <v>0.00954853340998518</v>
      </c>
      <c r="G359" s="30" t="n">
        <f aca="false">Panel!D335-Panel!D334</f>
        <v>0.00400911499103351</v>
      </c>
      <c r="H359" s="30" t="n">
        <f aca="false">Panel!D334-Panel!D333</f>
        <v>0.00199760354082201</v>
      </c>
      <c r="I359" s="30" t="n">
        <f aca="false">Panel!D333-Panel!D332</f>
        <v>-0.00159840193871297</v>
      </c>
      <c r="L359" s="30" t="n">
        <f aca="false">Panel!E333-Panel!E332</f>
        <v>-0.000322887333064514</v>
      </c>
      <c r="M359" s="29" t="n">
        <f aca="false">Panel!E332</f>
        <v>5.63042294030174</v>
      </c>
    </row>
    <row r="360" customFormat="false" ht="15" hidden="false" customHeight="false" outlineLevel="0" collapsed="false">
      <c r="C360" s="0" t="n">
        <f aca="false">Panel!D339-Panel!D338</f>
        <v>-0.0035974816921005</v>
      </c>
      <c r="D360" s="29" t="n">
        <f aca="false">Panel!D338</f>
        <v>10.1401789163956</v>
      </c>
      <c r="E360" s="30" t="n">
        <f aca="false">Panel!D338-Panel!D337</f>
        <v>0.000217063136625839</v>
      </c>
      <c r="F360" s="30" t="n">
        <f aca="false">Panel!D337-Panel!D336</f>
        <v>-0.00242448253586325</v>
      </c>
      <c r="G360" s="30" t="n">
        <f aca="false">Panel!D336-Panel!D335</f>
        <v>0.00954853340998518</v>
      </c>
      <c r="H360" s="30" t="n">
        <f aca="false">Panel!D335-Panel!D334</f>
        <v>0.00400911499103351</v>
      </c>
      <c r="I360" s="30" t="n">
        <f aca="false">Panel!D334-Panel!D333</f>
        <v>0.00199760354082201</v>
      </c>
      <c r="L360" s="30" t="n">
        <f aca="false">Panel!E334-Panel!E333</f>
        <v>0.000502224146012864</v>
      </c>
      <c r="M360" s="29" t="n">
        <f aca="false">Panel!E333</f>
        <v>5.63010005296868</v>
      </c>
    </row>
    <row r="361" customFormat="false" ht="15" hidden="false" customHeight="false" outlineLevel="0" collapsed="false">
      <c r="C361" s="0" t="n">
        <f aca="false">Panel!D340-Panel!D339</f>
        <v>-0.000633864215819457</v>
      </c>
      <c r="D361" s="29" t="n">
        <f aca="false">Panel!D339</f>
        <v>10.1365814347035</v>
      </c>
      <c r="E361" s="30" t="n">
        <f aca="false">Panel!D339-Panel!D338</f>
        <v>-0.0035974816921005</v>
      </c>
      <c r="F361" s="30" t="n">
        <f aca="false">Panel!D338-Panel!D337</f>
        <v>0.000217063136625839</v>
      </c>
      <c r="G361" s="30" t="n">
        <f aca="false">Panel!D337-Panel!D336</f>
        <v>-0.00242448253586325</v>
      </c>
      <c r="H361" s="30" t="n">
        <f aca="false">Panel!D336-Panel!D335</f>
        <v>0.00954853340998518</v>
      </c>
      <c r="I361" s="30" t="n">
        <f aca="false">Panel!D335-Panel!D334</f>
        <v>0.00400911499103351</v>
      </c>
      <c r="L361" s="30" t="n">
        <f aca="false">Panel!E335-Panel!E334</f>
        <v>0.00418732605456107</v>
      </c>
      <c r="M361" s="29" t="n">
        <f aca="false">Panel!E334</f>
        <v>5.63060227711469</v>
      </c>
    </row>
    <row r="362" customFormat="false" ht="15" hidden="false" customHeight="false" outlineLevel="0" collapsed="false">
      <c r="C362" s="0" t="n">
        <f aca="false">Panel!D341-Panel!D340</f>
        <v>-0.0132441699753301</v>
      </c>
      <c r="D362" s="29" t="n">
        <f aca="false">Panel!D340</f>
        <v>10.1359475704877</v>
      </c>
      <c r="E362" s="30" t="n">
        <f aca="false">Panel!D340-Panel!D339</f>
        <v>-0.000633864215819457</v>
      </c>
      <c r="F362" s="30" t="n">
        <f aca="false">Panel!D339-Panel!D338</f>
        <v>-0.0035974816921005</v>
      </c>
      <c r="G362" s="30" t="n">
        <f aca="false">Panel!D338-Panel!D337</f>
        <v>0.000217063136625839</v>
      </c>
      <c r="H362" s="30" t="n">
        <f aca="false">Panel!D337-Panel!D336</f>
        <v>-0.00242448253586325</v>
      </c>
      <c r="I362" s="30" t="n">
        <f aca="false">Panel!D336-Panel!D335</f>
        <v>0.00954853340998518</v>
      </c>
      <c r="L362" s="30" t="n">
        <f aca="false">Panel!E336-Panel!E335</f>
        <v>0.0045610113275627</v>
      </c>
      <c r="M362" s="29" t="n">
        <f aca="false">Panel!E335</f>
        <v>5.63478960316925</v>
      </c>
    </row>
    <row r="363" customFormat="false" ht="15" hidden="false" customHeight="false" outlineLevel="0" collapsed="false">
      <c r="C363" s="0" t="n">
        <f aca="false">Panel!D342-Panel!D341</f>
        <v>0.00365966741956392</v>
      </c>
      <c r="D363" s="29" t="n">
        <f aca="false">Panel!D341</f>
        <v>10.1227034005124</v>
      </c>
      <c r="E363" s="30" t="n">
        <f aca="false">Panel!D341-Panel!D340</f>
        <v>-0.0132441699753301</v>
      </c>
      <c r="F363" s="30" t="n">
        <f aca="false">Panel!D340-Panel!D339</f>
        <v>-0.000633864215819457</v>
      </c>
      <c r="G363" s="30" t="n">
        <f aca="false">Panel!D339-Panel!D338</f>
        <v>-0.0035974816921005</v>
      </c>
      <c r="H363" s="30" t="n">
        <f aca="false">Panel!D338-Panel!D337</f>
        <v>0.000217063136625839</v>
      </c>
      <c r="I363" s="30" t="n">
        <f aca="false">Panel!D337-Panel!D336</f>
        <v>-0.00242448253586325</v>
      </c>
      <c r="L363" s="30" t="n">
        <f aca="false">Panel!E337-Panel!E336</f>
        <v>0.000497600863297976</v>
      </c>
      <c r="M363" s="29" t="n">
        <f aca="false">Panel!E336</f>
        <v>5.63935061449681</v>
      </c>
    </row>
    <row r="364" customFormat="false" ht="15" hidden="false" customHeight="false" outlineLevel="0" collapsed="false">
      <c r="C364" s="0" t="n">
        <f aca="false">Panel!D343-Panel!D342</f>
        <v>0.00414052813229127</v>
      </c>
      <c r="D364" s="29" t="n">
        <f aca="false">Panel!D342</f>
        <v>10.1263630679319</v>
      </c>
      <c r="E364" s="30" t="n">
        <f aca="false">Panel!D342-Panel!D341</f>
        <v>0.00365966741956392</v>
      </c>
      <c r="F364" s="30" t="n">
        <f aca="false">Panel!D341-Panel!D340</f>
        <v>-0.0132441699753301</v>
      </c>
      <c r="G364" s="30" t="n">
        <f aca="false">Panel!D340-Panel!D339</f>
        <v>-0.000633864215819457</v>
      </c>
      <c r="H364" s="30" t="n">
        <f aca="false">Panel!D339-Panel!D338</f>
        <v>-0.0035974816921005</v>
      </c>
      <c r="I364" s="30" t="n">
        <f aca="false">Panel!D338-Panel!D337</f>
        <v>0.000217063136625839</v>
      </c>
      <c r="L364" s="30" t="n">
        <f aca="false">Panel!E338-Panel!E337</f>
        <v>0.000816949980612769</v>
      </c>
      <c r="M364" s="29" t="n">
        <f aca="false">Panel!E337</f>
        <v>5.63984821536011</v>
      </c>
    </row>
    <row r="365" customFormat="false" ht="15" hidden="false" customHeight="false" outlineLevel="0" collapsed="false">
      <c r="C365" s="0" t="n">
        <f aca="false">Panel!D344-Panel!D343</f>
        <v>-0.00607491576907471</v>
      </c>
      <c r="D365" s="29" t="n">
        <f aca="false">Panel!D343</f>
        <v>10.1305035960642</v>
      </c>
      <c r="E365" s="30" t="n">
        <f aca="false">Panel!D343-Panel!D342</f>
        <v>0.00414052813229127</v>
      </c>
      <c r="F365" s="30" t="n">
        <f aca="false">Panel!D342-Panel!D341</f>
        <v>0.00365966741956392</v>
      </c>
      <c r="G365" s="30" t="n">
        <f aca="false">Panel!D341-Panel!D340</f>
        <v>-0.0132441699753301</v>
      </c>
      <c r="H365" s="30" t="n">
        <f aca="false">Panel!D340-Panel!D339</f>
        <v>-0.000633864215819457</v>
      </c>
      <c r="I365" s="30" t="n">
        <f aca="false">Panel!D339-Panel!D338</f>
        <v>-0.0035974816921005</v>
      </c>
      <c r="L365" s="30" t="n">
        <f aca="false">Panel!E339-Panel!E338</f>
        <v>-0.00106571946143497</v>
      </c>
      <c r="M365" s="29" t="n">
        <f aca="false">Panel!E338</f>
        <v>5.64066516534072</v>
      </c>
    </row>
    <row r="366" customFormat="false" ht="15" hidden="false" customHeight="false" outlineLevel="0" collapsed="false">
      <c r="C366" s="0" t="n">
        <f aca="false">Panel!D345-Panel!D344</f>
        <v>0.0155094904983404</v>
      </c>
      <c r="D366" s="29" t="n">
        <f aca="false">Panel!D344</f>
        <v>10.1244286802951</v>
      </c>
      <c r="E366" s="30" t="n">
        <f aca="false">Panel!D344-Panel!D343</f>
        <v>-0.00607491576907471</v>
      </c>
      <c r="F366" s="30" t="n">
        <f aca="false">Panel!D343-Panel!D342</f>
        <v>0.00414052813229127</v>
      </c>
      <c r="G366" s="30" t="n">
        <f aca="false">Panel!D342-Panel!D341</f>
        <v>0.00365966741956392</v>
      </c>
      <c r="H366" s="30" t="n">
        <f aca="false">Panel!D341-Panel!D340</f>
        <v>-0.0132441699753301</v>
      </c>
      <c r="I366" s="30" t="n">
        <f aca="false">Panel!D340-Panel!D339</f>
        <v>-0.000633864215819457</v>
      </c>
      <c r="L366" s="30" t="n">
        <f aca="false">Panel!E340-Panel!E339</f>
        <v>-0.00320398992494209</v>
      </c>
      <c r="M366" s="29" t="n">
        <f aca="false">Panel!E339</f>
        <v>5.63959944587929</v>
      </c>
    </row>
    <row r="367" customFormat="false" ht="15" hidden="false" customHeight="false" outlineLevel="0" collapsed="false">
      <c r="C367" s="0" t="n">
        <f aca="false">Panel!D346-Panel!D345</f>
        <v>0.0011282408531148</v>
      </c>
      <c r="D367" s="29" t="n">
        <f aca="false">Panel!D345</f>
        <v>10.1399381707935</v>
      </c>
      <c r="E367" s="30" t="n">
        <f aca="false">Panel!D345-Panel!D344</f>
        <v>0.0155094904983404</v>
      </c>
      <c r="F367" s="30" t="n">
        <f aca="false">Panel!D344-Panel!D343</f>
        <v>-0.00607491576907471</v>
      </c>
      <c r="G367" s="30" t="n">
        <f aca="false">Panel!D343-Panel!D342</f>
        <v>0.00414052813229127</v>
      </c>
      <c r="H367" s="30" t="n">
        <f aca="false">Panel!D342-Panel!D341</f>
        <v>0.00365966741956392</v>
      </c>
      <c r="I367" s="30" t="n">
        <f aca="false">Panel!D341-Panel!D340</f>
        <v>-0.0132441699753301</v>
      </c>
      <c r="L367" s="30" t="n">
        <f aca="false">Panel!E341-Panel!E340</f>
        <v>-0.00859450232077297</v>
      </c>
      <c r="M367" s="29" t="n">
        <f aca="false">Panel!E340</f>
        <v>5.63639545595435</v>
      </c>
    </row>
    <row r="368" customFormat="false" ht="15" hidden="false" customHeight="false" outlineLevel="0" collapsed="false">
      <c r="C368" s="0" t="n">
        <f aca="false">Panel!D347-Panel!D346</f>
        <v>0.0030116058074654</v>
      </c>
      <c r="D368" s="29" t="n">
        <f aca="false">Panel!D346</f>
        <v>10.1410664116466</v>
      </c>
      <c r="E368" s="30" t="n">
        <f aca="false">Panel!D346-Panel!D345</f>
        <v>0.0011282408531148</v>
      </c>
      <c r="F368" s="30" t="n">
        <f aca="false">Panel!D345-Panel!D344</f>
        <v>0.0155094904983404</v>
      </c>
      <c r="G368" s="30" t="n">
        <f aca="false">Panel!D344-Panel!D343</f>
        <v>-0.00607491576907471</v>
      </c>
      <c r="H368" s="30" t="n">
        <f aca="false">Panel!D343-Panel!D342</f>
        <v>0.00414052813229127</v>
      </c>
      <c r="I368" s="30" t="n">
        <f aca="false">Panel!D342-Panel!D341</f>
        <v>0.00365966741956392</v>
      </c>
      <c r="L368" s="30" t="n">
        <f aca="false">Panel!E342-Panel!E341</f>
        <v>-0.000359712234094367</v>
      </c>
      <c r="M368" s="29" t="n">
        <f aca="false">Panel!E341</f>
        <v>5.62780095363357</v>
      </c>
    </row>
    <row r="369" customFormat="false" ht="15" hidden="false" customHeight="false" outlineLevel="0" collapsed="false">
      <c r="C369" s="0" t="n">
        <f aca="false">Panel!D348-Panel!D347</f>
        <v>0.000235821248587342</v>
      </c>
      <c r="D369" s="29" t="n">
        <f aca="false">Panel!D347</f>
        <v>10.1440780174541</v>
      </c>
      <c r="E369" s="30" t="n">
        <f aca="false">Panel!D347-Panel!D346</f>
        <v>0.0030116058074654</v>
      </c>
      <c r="F369" s="30" t="n">
        <f aca="false">Panel!D346-Panel!D345</f>
        <v>0.0011282408531148</v>
      </c>
      <c r="G369" s="30" t="n">
        <f aca="false">Panel!D345-Panel!D344</f>
        <v>0.0155094904983404</v>
      </c>
      <c r="H369" s="30" t="n">
        <f aca="false">Panel!D344-Panel!D343</f>
        <v>-0.00607491576907471</v>
      </c>
      <c r="I369" s="30" t="n">
        <f aca="false">Panel!D343-Panel!D342</f>
        <v>0.00414052813229127</v>
      </c>
      <c r="L369" s="30" t="n">
        <f aca="false">Panel!E343-Panel!E342</f>
        <v>0.00491683657835651</v>
      </c>
      <c r="M369" s="29" t="n">
        <f aca="false">Panel!E342</f>
        <v>5.62744124139948</v>
      </c>
    </row>
    <row r="370" customFormat="false" ht="15" hidden="false" customHeight="false" outlineLevel="0" collapsed="false">
      <c r="C370" s="0" t="n">
        <f aca="false">Panel!D349-Panel!D348</f>
        <v>-0.00293403362351441</v>
      </c>
      <c r="D370" s="29" t="n">
        <f aca="false">Panel!D348</f>
        <v>10.1443138387026</v>
      </c>
      <c r="E370" s="30" t="n">
        <f aca="false">Panel!D348-Panel!D347</f>
        <v>0.000235821248587342</v>
      </c>
      <c r="F370" s="30" t="n">
        <f aca="false">Panel!D347-Panel!D346</f>
        <v>0.0030116058074654</v>
      </c>
      <c r="G370" s="30" t="n">
        <f aca="false">Panel!D346-Panel!D345</f>
        <v>0.0011282408531148</v>
      </c>
      <c r="H370" s="30" t="n">
        <f aca="false">Panel!D345-Panel!D344</f>
        <v>0.0155094904983404</v>
      </c>
      <c r="I370" s="30" t="n">
        <f aca="false">Panel!D344-Panel!D343</f>
        <v>-0.00607491576907471</v>
      </c>
      <c r="L370" s="30" t="n">
        <f aca="false">Panel!E344-Panel!E343</f>
        <v>-0.00531266954201648</v>
      </c>
      <c r="M370" s="29" t="n">
        <f aca="false">Panel!E343</f>
        <v>5.63235807797784</v>
      </c>
    </row>
    <row r="371" customFormat="false" ht="15" hidden="false" customHeight="false" outlineLevel="0" collapsed="false">
      <c r="C371" s="0" t="n">
        <f aca="false">Panel!D350-Panel!D349</f>
        <v>0.00540680497477197</v>
      </c>
      <c r="D371" s="29" t="n">
        <f aca="false">Panel!D349</f>
        <v>10.1413798050791</v>
      </c>
      <c r="E371" s="30" t="n">
        <f aca="false">Panel!D349-Panel!D348</f>
        <v>-0.00293403362351441</v>
      </c>
      <c r="F371" s="30" t="n">
        <f aca="false">Panel!D348-Panel!D347</f>
        <v>0.000235821248587342</v>
      </c>
      <c r="G371" s="30" t="n">
        <f aca="false">Panel!D347-Panel!D346</f>
        <v>0.0030116058074654</v>
      </c>
      <c r="H371" s="30" t="n">
        <f aca="false">Panel!D346-Panel!D345</f>
        <v>0.0011282408531148</v>
      </c>
      <c r="I371" s="30" t="n">
        <f aca="false">Panel!D345-Panel!D344</f>
        <v>0.0155094904983404</v>
      </c>
      <c r="L371" s="30" t="n">
        <f aca="false">Panel!E345-Panel!E344</f>
        <v>0.0152162095721327</v>
      </c>
      <c r="M371" s="29" t="n">
        <f aca="false">Panel!E344</f>
        <v>5.62704540843582</v>
      </c>
    </row>
    <row r="372" customFormat="false" ht="15" hidden="false" customHeight="false" outlineLevel="0" collapsed="false">
      <c r="C372" s="0" t="n">
        <f aca="false">Panel!D351-Panel!D350</f>
        <v>0.0108314020226121</v>
      </c>
      <c r="D372" s="29" t="n">
        <f aca="false">Panel!D350</f>
        <v>10.1467866100539</v>
      </c>
      <c r="E372" s="30" t="n">
        <f aca="false">Panel!D350-Panel!D349</f>
        <v>0.00540680497477197</v>
      </c>
      <c r="F372" s="30" t="n">
        <f aca="false">Panel!D349-Panel!D348</f>
        <v>-0.00293403362351441</v>
      </c>
      <c r="G372" s="30" t="n">
        <f aca="false">Panel!D348-Panel!D347</f>
        <v>0.000235821248587342</v>
      </c>
      <c r="H372" s="30" t="n">
        <f aca="false">Panel!D347-Panel!D346</f>
        <v>0.0030116058074654</v>
      </c>
      <c r="I372" s="30" t="n">
        <f aca="false">Panel!D346-Panel!D345</f>
        <v>0.0011282408531148</v>
      </c>
      <c r="L372" s="30" t="n">
        <f aca="false">Panel!E346-Panel!E345</f>
        <v>0.00353857410990255</v>
      </c>
      <c r="M372" s="29" t="n">
        <f aca="false">Panel!E345</f>
        <v>5.64226161800795</v>
      </c>
    </row>
    <row r="373" customFormat="false" ht="15" hidden="false" customHeight="false" outlineLevel="0" collapsed="false">
      <c r="C373" s="0" t="n">
        <f aca="false">Panel!D352-Panel!D351</f>
        <v>0.00502867397815621</v>
      </c>
      <c r="D373" s="29" t="n">
        <f aca="false">Panel!D351</f>
        <v>10.1576180120765</v>
      </c>
      <c r="E373" s="30" t="n">
        <f aca="false">Panel!D351-Panel!D350</f>
        <v>0.0108314020226121</v>
      </c>
      <c r="F373" s="30" t="n">
        <f aca="false">Panel!D350-Panel!D349</f>
        <v>0.00540680497477197</v>
      </c>
      <c r="G373" s="30" t="n">
        <f aca="false">Panel!D349-Panel!D348</f>
        <v>-0.00293403362351441</v>
      </c>
      <c r="H373" s="30" t="n">
        <f aca="false">Panel!D348-Panel!D347</f>
        <v>0.000235821248587342</v>
      </c>
      <c r="I373" s="30" t="n">
        <f aca="false">Panel!D347-Panel!D346</f>
        <v>0.0030116058074654</v>
      </c>
      <c r="L373" s="30" t="n">
        <f aca="false">Panel!E347-Panel!E346</f>
        <v>0.00105913513872657</v>
      </c>
      <c r="M373" s="29" t="n">
        <f aca="false">Panel!E346</f>
        <v>5.64580019211785</v>
      </c>
    </row>
    <row r="374" customFormat="false" ht="15" hidden="false" customHeight="false" outlineLevel="0" collapsed="false">
      <c r="C374" s="0" t="n">
        <f aca="false">Panel!D353-Panel!D352</f>
        <v>0.00143818620572134</v>
      </c>
      <c r="D374" s="29" t="n">
        <f aca="false">Panel!D352</f>
        <v>10.1626466860547</v>
      </c>
      <c r="E374" s="30" t="n">
        <f aca="false">Panel!D352-Panel!D351</f>
        <v>0.00502867397815621</v>
      </c>
      <c r="F374" s="30" t="n">
        <f aca="false">Panel!D351-Panel!D350</f>
        <v>0.0108314020226121</v>
      </c>
      <c r="G374" s="30" t="n">
        <f aca="false">Panel!D350-Panel!D349</f>
        <v>0.00540680497477197</v>
      </c>
      <c r="H374" s="30" t="n">
        <f aca="false">Panel!D349-Panel!D348</f>
        <v>-0.00293403362351441</v>
      </c>
      <c r="I374" s="30" t="n">
        <f aca="false">Panel!D348-Panel!D347</f>
        <v>0.000235821248587342</v>
      </c>
      <c r="L374" s="30" t="n">
        <f aca="false">Panel!E348-Panel!E347</f>
        <v>0.00141043746936198</v>
      </c>
      <c r="M374" s="29" t="n">
        <f aca="false">Panel!E347</f>
        <v>5.64685932725658</v>
      </c>
    </row>
    <row r="375" customFormat="false" ht="15" hidden="false" customHeight="false" outlineLevel="0" collapsed="false">
      <c r="C375" s="0" t="n">
        <f aca="false">Panel!D354-Panel!D353</f>
        <v>0.00188232270231836</v>
      </c>
      <c r="D375" s="29" t="n">
        <f aca="false">Panel!D353</f>
        <v>10.1640848722604</v>
      </c>
      <c r="E375" s="30" t="n">
        <f aca="false">Panel!D353-Panel!D352</f>
        <v>0.00143818620572134</v>
      </c>
      <c r="F375" s="30" t="n">
        <f aca="false">Panel!D352-Panel!D351</f>
        <v>0.00502867397815621</v>
      </c>
      <c r="G375" s="30" t="n">
        <f aca="false">Panel!D351-Panel!D350</f>
        <v>0.0108314020226121</v>
      </c>
      <c r="H375" s="30" t="n">
        <f aca="false">Panel!D350-Panel!D349</f>
        <v>0.00540680497477197</v>
      </c>
      <c r="I375" s="30" t="n">
        <f aca="false">Panel!D349-Panel!D348</f>
        <v>-0.00293403362351441</v>
      </c>
      <c r="L375" s="30" t="n">
        <f aca="false">Panel!E349-Panel!E348</f>
        <v>-0.00282286708270441</v>
      </c>
      <c r="M375" s="29" t="n">
        <f aca="false">Panel!E348</f>
        <v>5.64826976472594</v>
      </c>
    </row>
    <row r="376" customFormat="false" ht="15" hidden="false" customHeight="false" outlineLevel="0" collapsed="false">
      <c r="C376" s="0" t="n">
        <f aca="false">Panel!D355-Panel!D354</f>
        <v>0.00831437623023845</v>
      </c>
      <c r="D376" s="29" t="n">
        <f aca="false">Panel!D354</f>
        <v>10.1659671949627</v>
      </c>
      <c r="E376" s="30" t="n">
        <f aca="false">Panel!D354-Panel!D353</f>
        <v>0.00188232270231836</v>
      </c>
      <c r="F376" s="30" t="n">
        <f aca="false">Panel!D353-Panel!D352</f>
        <v>0.00143818620572134</v>
      </c>
      <c r="G376" s="30" t="n">
        <f aca="false">Panel!D352-Panel!D351</f>
        <v>0.00502867397815621</v>
      </c>
      <c r="H376" s="30" t="n">
        <f aca="false">Panel!D351-Panel!D350</f>
        <v>0.0108314020226121</v>
      </c>
      <c r="I376" s="30" t="n">
        <f aca="false">Panel!D350-Panel!D349</f>
        <v>0.00540680497477197</v>
      </c>
      <c r="L376" s="30" t="n">
        <f aca="false">Panel!E350-Panel!E349</f>
        <v>0.0042313180197624</v>
      </c>
      <c r="M376" s="29" t="n">
        <f aca="false">Panel!E349</f>
        <v>5.64544689764324</v>
      </c>
    </row>
    <row r="377" customFormat="false" ht="15" hidden="false" customHeight="false" outlineLevel="0" collapsed="false">
      <c r="C377" s="0" t="n">
        <f aca="false">Panel!D356-Panel!D355</f>
        <v>0.00485089703445141</v>
      </c>
      <c r="D377" s="29" t="n">
        <f aca="false">Panel!D355</f>
        <v>10.174281571193</v>
      </c>
      <c r="E377" s="30" t="n">
        <f aca="false">Panel!D355-Panel!D354</f>
        <v>0.00831437623023845</v>
      </c>
      <c r="F377" s="30" t="n">
        <f aca="false">Panel!D354-Panel!D353</f>
        <v>0.00188232270231836</v>
      </c>
      <c r="G377" s="30" t="n">
        <f aca="false">Panel!D353-Panel!D352</f>
        <v>0.00143818620572134</v>
      </c>
      <c r="H377" s="30" t="n">
        <f aca="false">Panel!D352-Panel!D351</f>
        <v>0.00502867397815621</v>
      </c>
      <c r="I377" s="30" t="n">
        <f aca="false">Panel!D351-Panel!D350</f>
        <v>0.0108314020226121</v>
      </c>
      <c r="L377" s="30" t="n">
        <f aca="false">Panel!E351-Panel!E350</f>
        <v>0.0105006215110688</v>
      </c>
      <c r="M377" s="29" t="n">
        <f aca="false">Panel!E350</f>
        <v>5.649678215663</v>
      </c>
    </row>
    <row r="378" customFormat="false" ht="15" hidden="false" customHeight="false" outlineLevel="0" collapsed="false">
      <c r="C378" s="0" t="n">
        <f aca="false">Panel!D357-Panel!D356</f>
        <v>-0.0136711120590771</v>
      </c>
      <c r="D378" s="29" t="n">
        <f aca="false">Panel!D356</f>
        <v>10.1791324682274</v>
      </c>
      <c r="E378" s="30" t="n">
        <f aca="false">Panel!D356-Panel!D355</f>
        <v>0.00485089703445141</v>
      </c>
      <c r="F378" s="30" t="n">
        <f aca="false">Panel!D355-Panel!D354</f>
        <v>0.00831437623023845</v>
      </c>
      <c r="G378" s="30" t="n">
        <f aca="false">Panel!D354-Panel!D353</f>
        <v>0.00188232270231836</v>
      </c>
      <c r="H378" s="30" t="n">
        <f aca="false">Panel!D353-Panel!D352</f>
        <v>0.00143818620572134</v>
      </c>
      <c r="I378" s="30" t="n">
        <f aca="false">Panel!D352-Panel!D351</f>
        <v>0.00502867397815621</v>
      </c>
      <c r="L378" s="30" t="n">
        <f aca="false">Panel!E352-Panel!E351</f>
        <v>0.00683591328991806</v>
      </c>
      <c r="M378" s="29" t="n">
        <f aca="false">Panel!E351</f>
        <v>5.66017883717407</v>
      </c>
    </row>
    <row r="379" customFormat="false" ht="15" hidden="false" customHeight="false" outlineLevel="0" collapsed="false">
      <c r="C379" s="0" t="n">
        <f aca="false">Panel!D358-Panel!D357</f>
        <v>-0.000467599500895588</v>
      </c>
      <c r="D379" s="29" t="n">
        <f aca="false">Panel!D357</f>
        <v>10.1654613561683</v>
      </c>
      <c r="E379" s="30" t="n">
        <f aca="false">Panel!D357-Panel!D356</f>
        <v>-0.0136711120590771</v>
      </c>
      <c r="F379" s="30" t="n">
        <f aca="false">Panel!D356-Panel!D355</f>
        <v>0.00485089703445141</v>
      </c>
      <c r="G379" s="30" t="n">
        <f aca="false">Panel!D355-Panel!D354</f>
        <v>0.00831437623023845</v>
      </c>
      <c r="H379" s="30" t="n">
        <f aca="false">Panel!D354-Panel!D353</f>
        <v>0.00188232270231836</v>
      </c>
      <c r="I379" s="30" t="n">
        <f aca="false">Panel!D353-Panel!D352</f>
        <v>0.00143818620572134</v>
      </c>
      <c r="L379" s="30" t="n">
        <f aca="false">Panel!E353-Panel!E352</f>
        <v>0.00196921864951882</v>
      </c>
      <c r="M379" s="29" t="n">
        <f aca="false">Panel!E352</f>
        <v>5.66701475046399</v>
      </c>
    </row>
    <row r="380" customFormat="false" ht="15" hidden="false" customHeight="false" outlineLevel="0" collapsed="false">
      <c r="C380" s="0" t="n">
        <f aca="false">Panel!D359-Panel!D358</f>
        <v>-0.0194172555827326</v>
      </c>
      <c r="D380" s="29" t="n">
        <f aca="false">Panel!D358</f>
        <v>10.1649937566674</v>
      </c>
      <c r="E380" s="30" t="n">
        <f aca="false">Panel!D358-Panel!D357</f>
        <v>-0.000467599500895588</v>
      </c>
      <c r="F380" s="30" t="n">
        <f aca="false">Panel!D357-Panel!D356</f>
        <v>-0.0136711120590771</v>
      </c>
      <c r="G380" s="30" t="n">
        <f aca="false">Panel!D356-Panel!D355</f>
        <v>0.00485089703445141</v>
      </c>
      <c r="H380" s="30" t="n">
        <f aca="false">Panel!D355-Panel!D354</f>
        <v>0.00831437623023845</v>
      </c>
      <c r="I380" s="30" t="n">
        <f aca="false">Panel!D354-Panel!D353</f>
        <v>0.00188232270231836</v>
      </c>
      <c r="L380" s="30" t="n">
        <f aca="false">Panel!E354-Panel!E353</f>
        <v>0.00237861428658448</v>
      </c>
      <c r="M380" s="29" t="n">
        <f aca="false">Panel!E353</f>
        <v>5.66898396911351</v>
      </c>
    </row>
    <row r="381" customFormat="false" ht="15" hidden="false" customHeight="false" outlineLevel="0" collapsed="false">
      <c r="C381" s="0" t="n">
        <f aca="false">Panel!D360-Panel!D359</f>
        <v>-0.0111776444927045</v>
      </c>
      <c r="D381" s="29" t="n">
        <f aca="false">Panel!D359</f>
        <v>10.1455765010847</v>
      </c>
      <c r="E381" s="30" t="n">
        <f aca="false">Panel!D359-Panel!D358</f>
        <v>-0.0194172555827326</v>
      </c>
      <c r="F381" s="30" t="n">
        <f aca="false">Panel!D358-Panel!D357</f>
        <v>-0.000467599500895588</v>
      </c>
      <c r="G381" s="30" t="n">
        <f aca="false">Panel!D357-Panel!D356</f>
        <v>-0.0136711120590771</v>
      </c>
      <c r="H381" s="30" t="n">
        <f aca="false">Panel!D356-Panel!D355</f>
        <v>0.00485089703445141</v>
      </c>
      <c r="I381" s="30" t="n">
        <f aca="false">Panel!D355-Panel!D354</f>
        <v>0.00831437623023845</v>
      </c>
      <c r="L381" s="30" t="n">
        <f aca="false">Panel!E355-Panel!E354</f>
        <v>0.00299108056529906</v>
      </c>
      <c r="M381" s="29" t="n">
        <f aca="false">Panel!E354</f>
        <v>5.67136258340009</v>
      </c>
    </row>
    <row r="382" customFormat="false" ht="15" hidden="false" customHeight="false" outlineLevel="0" collapsed="false">
      <c r="C382" s="0" t="n">
        <f aca="false">Panel!D361-Panel!D360</f>
        <v>-0.00769375547951867</v>
      </c>
      <c r="D382" s="29" t="n">
        <f aca="false">Panel!D360</f>
        <v>10.134398856592</v>
      </c>
      <c r="E382" s="30" t="n">
        <f aca="false">Panel!D360-Panel!D359</f>
        <v>-0.0111776444927045</v>
      </c>
      <c r="F382" s="30" t="n">
        <f aca="false">Panel!D359-Panel!D358</f>
        <v>-0.0194172555827326</v>
      </c>
      <c r="G382" s="30" t="n">
        <f aca="false">Panel!D358-Panel!D357</f>
        <v>-0.000467599500895588</v>
      </c>
      <c r="H382" s="30" t="n">
        <f aca="false">Panel!D357-Panel!D356</f>
        <v>-0.0136711120590771</v>
      </c>
      <c r="I382" s="30" t="n">
        <f aca="false">Panel!D356-Panel!D355</f>
        <v>0.00485089703445141</v>
      </c>
      <c r="L382" s="30" t="n">
        <f aca="false">Panel!E356-Panel!E355</f>
        <v>0.00308483535120985</v>
      </c>
      <c r="M382" s="29" t="n">
        <f aca="false">Panel!E355</f>
        <v>5.67435366396539</v>
      </c>
    </row>
    <row r="383" customFormat="false" ht="15" hidden="false" customHeight="false" outlineLevel="0" collapsed="false">
      <c r="C383" s="0" t="n">
        <f aca="false">Panel!D362-Panel!D361</f>
        <v>0.00579275961582404</v>
      </c>
      <c r="D383" s="29" t="n">
        <f aca="false">Panel!D361</f>
        <v>10.1267051011125</v>
      </c>
      <c r="E383" s="30" t="n">
        <f aca="false">Panel!D361-Panel!D360</f>
        <v>-0.00769375547951867</v>
      </c>
      <c r="F383" s="30" t="n">
        <f aca="false">Panel!D360-Panel!D359</f>
        <v>-0.0111776444927045</v>
      </c>
      <c r="G383" s="30" t="n">
        <f aca="false">Panel!D359-Panel!D358</f>
        <v>-0.0194172555827326</v>
      </c>
      <c r="H383" s="30" t="n">
        <f aca="false">Panel!D358-Panel!D357</f>
        <v>-0.000467599500895588</v>
      </c>
      <c r="I383" s="30" t="n">
        <f aca="false">Panel!D357-Panel!D356</f>
        <v>-0.0136711120590771</v>
      </c>
      <c r="L383" s="30" t="n">
        <f aca="false">Panel!E357-Panel!E356</f>
        <v>-0.0121543321448332</v>
      </c>
      <c r="M383" s="29" t="n">
        <f aca="false">Panel!E356</f>
        <v>5.6774384993166</v>
      </c>
    </row>
    <row r="384" customFormat="false" ht="15" hidden="false" customHeight="false" outlineLevel="0" collapsed="false">
      <c r="C384" s="0" t="n">
        <f aca="false">Panel!D363-Panel!D362</f>
        <v>-0.00108819242498548</v>
      </c>
      <c r="D384" s="29" t="n">
        <f aca="false">Panel!D362</f>
        <v>10.1324978607283</v>
      </c>
      <c r="E384" s="30" t="n">
        <f aca="false">Panel!D362-Panel!D361</f>
        <v>0.00579275961582404</v>
      </c>
      <c r="F384" s="30" t="n">
        <f aca="false">Panel!D361-Panel!D360</f>
        <v>-0.00769375547951867</v>
      </c>
      <c r="G384" s="30" t="n">
        <f aca="false">Panel!D360-Panel!D359</f>
        <v>-0.0111776444927045</v>
      </c>
      <c r="H384" s="30" t="n">
        <f aca="false">Panel!D359-Panel!D358</f>
        <v>-0.0194172555827326</v>
      </c>
      <c r="I384" s="30" t="n">
        <f aca="false">Panel!D358-Panel!D357</f>
        <v>-0.000467599500895588</v>
      </c>
      <c r="L384" s="30" t="n">
        <f aca="false">Panel!E358-Panel!E357</f>
        <v>-0.0012131927517931</v>
      </c>
      <c r="M384" s="29" t="n">
        <f aca="false">Panel!E357</f>
        <v>5.66528416717177</v>
      </c>
    </row>
    <row r="385" customFormat="false" ht="15" hidden="false" customHeight="false" outlineLevel="0" collapsed="false">
      <c r="C385" s="0" t="n">
        <f aca="false">Panel!D364-Panel!D363</f>
        <v>0.000288575880045272</v>
      </c>
      <c r="D385" s="29" t="n">
        <f aca="false">Panel!D363</f>
        <v>10.1314096683033</v>
      </c>
      <c r="E385" s="30" t="n">
        <f aca="false">Panel!D363-Panel!D362</f>
        <v>-0.00108819242498548</v>
      </c>
      <c r="F385" s="30" t="n">
        <f aca="false">Panel!D362-Panel!D361</f>
        <v>0.00579275961582404</v>
      </c>
      <c r="G385" s="30" t="n">
        <f aca="false">Panel!D361-Panel!D360</f>
        <v>-0.00769375547951867</v>
      </c>
      <c r="H385" s="30" t="n">
        <f aca="false">Panel!D360-Panel!D359</f>
        <v>-0.0111776444927045</v>
      </c>
      <c r="I385" s="30" t="n">
        <f aca="false">Panel!D359-Panel!D358</f>
        <v>-0.0194172555827326</v>
      </c>
      <c r="L385" s="30" t="n">
        <f aca="false">Panel!E359-Panel!E358</f>
        <v>-0.0191542526308082</v>
      </c>
      <c r="M385" s="29" t="n">
        <f aca="false">Panel!E358</f>
        <v>5.66407097441997</v>
      </c>
    </row>
    <row r="386" customFormat="false" ht="15" hidden="false" customHeight="false" outlineLevel="0" collapsed="false">
      <c r="C386" s="0" t="n">
        <f aca="false">Panel!D365-Panel!D364</f>
        <v>-0.00314898117711415</v>
      </c>
      <c r="D386" s="29" t="n">
        <f aca="false">Panel!D364</f>
        <v>10.1316982441834</v>
      </c>
      <c r="E386" s="30" t="n">
        <f aca="false">Panel!D364-Panel!D363</f>
        <v>0.000288575880045272</v>
      </c>
      <c r="F386" s="30" t="n">
        <f aca="false">Panel!D363-Panel!D362</f>
        <v>-0.00108819242498548</v>
      </c>
      <c r="G386" s="30" t="n">
        <f aca="false">Panel!D362-Panel!D361</f>
        <v>0.00579275961582404</v>
      </c>
      <c r="H386" s="30" t="n">
        <f aca="false">Panel!D361-Panel!D360</f>
        <v>-0.00769375547951867</v>
      </c>
      <c r="I386" s="30" t="n">
        <f aca="false">Panel!D360-Panel!D359</f>
        <v>-0.0111776444927045</v>
      </c>
      <c r="L386" s="30" t="n">
        <f aca="false">Panel!E360-Panel!E359</f>
        <v>-0.00763023842132782</v>
      </c>
      <c r="M386" s="29" t="n">
        <f aca="false">Panel!E359</f>
        <v>5.64491672178917</v>
      </c>
    </row>
    <row r="387" customFormat="false" ht="15" hidden="false" customHeight="false" outlineLevel="0" collapsed="false">
      <c r="C387" s="0" t="n">
        <f aca="false">Panel!D366-Panel!D365</f>
        <v>0.00743793576812024</v>
      </c>
      <c r="D387" s="29" t="n">
        <f aca="false">Panel!D365</f>
        <v>10.1285492630062</v>
      </c>
      <c r="E387" s="30" t="n">
        <f aca="false">Panel!D365-Panel!D364</f>
        <v>-0.00314898117711415</v>
      </c>
      <c r="F387" s="30" t="n">
        <f aca="false">Panel!D364-Panel!D363</f>
        <v>0.000288575880045272</v>
      </c>
      <c r="G387" s="30" t="n">
        <f aca="false">Panel!D363-Panel!D362</f>
        <v>-0.00108819242498548</v>
      </c>
      <c r="H387" s="30" t="n">
        <f aca="false">Panel!D362-Panel!D361</f>
        <v>0.00579275961582404</v>
      </c>
      <c r="I387" s="30" t="n">
        <f aca="false">Panel!D361-Panel!D360</f>
        <v>-0.00769375547951867</v>
      </c>
      <c r="L387" s="30" t="n">
        <f aca="false">Panel!E361-Panel!E360</f>
        <v>-0.0064331887343938</v>
      </c>
      <c r="M387" s="29" t="n">
        <f aca="false">Panel!E360</f>
        <v>5.63728648336784</v>
      </c>
    </row>
    <row r="388" customFormat="false" ht="15" hidden="false" customHeight="false" outlineLevel="0" collapsed="false">
      <c r="C388" s="0" t="n">
        <f aca="false">Panel!D367-Panel!D366</f>
        <v>-0.00411982812877909</v>
      </c>
      <c r="D388" s="29" t="n">
        <f aca="false">Panel!D366</f>
        <v>10.1359871987744</v>
      </c>
      <c r="E388" s="30" t="n">
        <f aca="false">Panel!D366-Panel!D365</f>
        <v>0.00743793576812024</v>
      </c>
      <c r="F388" s="30" t="n">
        <f aca="false">Panel!D365-Panel!D364</f>
        <v>-0.00314898117711415</v>
      </c>
      <c r="G388" s="30" t="n">
        <f aca="false">Panel!D364-Panel!D363</f>
        <v>0.000288575880045272</v>
      </c>
      <c r="H388" s="30" t="n">
        <f aca="false">Panel!D363-Panel!D362</f>
        <v>-0.00108819242498548</v>
      </c>
      <c r="I388" s="30" t="n">
        <f aca="false">Panel!D362-Panel!D361</f>
        <v>0.00579275961582404</v>
      </c>
      <c r="L388" s="30" t="n">
        <f aca="false">Panel!E362-Panel!E361</f>
        <v>0.00214899796171064</v>
      </c>
      <c r="M388" s="29" t="n">
        <f aca="false">Panel!E361</f>
        <v>5.63085329463344</v>
      </c>
    </row>
    <row r="389" customFormat="false" ht="15" hidden="false" customHeight="false" outlineLevel="0" collapsed="false">
      <c r="C389" s="0" t="n">
        <f aca="false">Panel!D368-Panel!D367</f>
        <v>-0.00393311626485371</v>
      </c>
      <c r="D389" s="29" t="n">
        <f aca="false">Panel!D367</f>
        <v>10.1318673706456</v>
      </c>
      <c r="E389" s="30" t="n">
        <f aca="false">Panel!D367-Panel!D366</f>
        <v>-0.00411982812877909</v>
      </c>
      <c r="F389" s="30" t="n">
        <f aca="false">Panel!D366-Panel!D365</f>
        <v>0.00743793576812024</v>
      </c>
      <c r="G389" s="30" t="n">
        <f aca="false">Panel!D365-Panel!D364</f>
        <v>-0.00314898117711415</v>
      </c>
      <c r="H389" s="30" t="n">
        <f aca="false">Panel!D364-Panel!D363</f>
        <v>0.000288575880045272</v>
      </c>
      <c r="I389" s="30" t="n">
        <f aca="false">Panel!D363-Panel!D362</f>
        <v>-0.00108819242498548</v>
      </c>
      <c r="L389" s="30" t="n">
        <f aca="false">Panel!E363-Panel!E362</f>
        <v>0</v>
      </c>
      <c r="M389" s="29" t="n">
        <f aca="false">Panel!E362</f>
        <v>5.63300229259515</v>
      </c>
    </row>
    <row r="390" customFormat="false" ht="15" hidden="false" customHeight="false" outlineLevel="0" collapsed="false">
      <c r="C390" s="0" t="n">
        <f aca="false">Panel!D369-Panel!D368</f>
        <v>-0.00751842539768965</v>
      </c>
      <c r="D390" s="29" t="n">
        <f aca="false">Panel!D368</f>
        <v>10.1279342543807</v>
      </c>
      <c r="E390" s="30" t="n">
        <f aca="false">Panel!D368-Panel!D367</f>
        <v>-0.00393311626485371</v>
      </c>
      <c r="F390" s="30" t="n">
        <f aca="false">Panel!D367-Panel!D366</f>
        <v>-0.00411982812877909</v>
      </c>
      <c r="G390" s="30" t="n">
        <f aca="false">Panel!D366-Panel!D365</f>
        <v>0.00743793576812024</v>
      </c>
      <c r="H390" s="30" t="n">
        <f aca="false">Panel!D365-Panel!D364</f>
        <v>-0.00314898117711415</v>
      </c>
      <c r="I390" s="30" t="n">
        <f aca="false">Panel!D364-Panel!D363</f>
        <v>0.000288575880045272</v>
      </c>
      <c r="L390" s="30" t="n">
        <f aca="false">Panel!E364-Panel!E363</f>
        <v>-3.57788153673155E-005</v>
      </c>
      <c r="M390" s="29" t="n">
        <f aca="false">Panel!E363</f>
        <v>5.63300229259515</v>
      </c>
    </row>
    <row r="391" customFormat="false" ht="15" hidden="false" customHeight="false" outlineLevel="0" collapsed="false">
      <c r="C391" s="0" t="n">
        <f aca="false">Panel!D370-Panel!D369</f>
        <v>0.00469411849535995</v>
      </c>
      <c r="D391" s="29" t="n">
        <f aca="false">Panel!D369</f>
        <v>10.120415828983</v>
      </c>
      <c r="E391" s="30" t="n">
        <f aca="false">Panel!D369-Panel!D368</f>
        <v>-0.00751842539768965</v>
      </c>
      <c r="F391" s="30" t="n">
        <f aca="false">Panel!D368-Panel!D367</f>
        <v>-0.00393311626485371</v>
      </c>
      <c r="G391" s="30" t="n">
        <f aca="false">Panel!D367-Panel!D366</f>
        <v>-0.00411982812877909</v>
      </c>
      <c r="H391" s="30" t="n">
        <f aca="false">Panel!D366-Panel!D365</f>
        <v>0.00743793576812024</v>
      </c>
      <c r="I391" s="30" t="n">
        <f aca="false">Panel!D365-Panel!D364</f>
        <v>-0.00314898117711415</v>
      </c>
      <c r="L391" s="30" t="n">
        <f aca="false">Panel!E365-Panel!E364</f>
        <v>-0.00186226462157091</v>
      </c>
      <c r="M391" s="29" t="n">
        <f aca="false">Panel!E364</f>
        <v>5.63296651377979</v>
      </c>
    </row>
    <row r="392" customFormat="false" ht="15" hidden="false" customHeight="false" outlineLevel="0" collapsed="false">
      <c r="C392" s="0" t="n">
        <f aca="false">Panel!D371-Panel!D370</f>
        <v>-0.00824639118711446</v>
      </c>
      <c r="D392" s="29" t="n">
        <f aca="false">Panel!D370</f>
        <v>10.1251099474784</v>
      </c>
      <c r="E392" s="30" t="n">
        <f aca="false">Panel!D370-Panel!D369</f>
        <v>0.00469411849535995</v>
      </c>
      <c r="F392" s="30" t="n">
        <f aca="false">Panel!D369-Panel!D368</f>
        <v>-0.00751842539768965</v>
      </c>
      <c r="G392" s="30" t="n">
        <f aca="false">Panel!D368-Panel!D367</f>
        <v>-0.00393311626485371</v>
      </c>
      <c r="H392" s="30" t="n">
        <f aca="false">Panel!D367-Panel!D366</f>
        <v>-0.00411982812877909</v>
      </c>
      <c r="I392" s="30" t="n">
        <f aca="false">Panel!D366-Panel!D365</f>
        <v>0.00743793576812024</v>
      </c>
      <c r="L392" s="30" t="n">
        <f aca="false">Panel!E366-Panel!E365</f>
        <v>0.00707246839999165</v>
      </c>
      <c r="M392" s="29" t="n">
        <f aca="false">Panel!E365</f>
        <v>5.63110424915822</v>
      </c>
    </row>
    <row r="393" customFormat="false" ht="15" hidden="false" customHeight="false" outlineLevel="0" collapsed="false">
      <c r="C393" s="0" t="n">
        <f aca="false">Panel!D372-Panel!D371</f>
        <v>-0.0093337257433479</v>
      </c>
      <c r="D393" s="29" t="n">
        <f aca="false">Panel!D371</f>
        <v>10.1168635562913</v>
      </c>
      <c r="E393" s="30" t="n">
        <f aca="false">Panel!D371-Panel!D370</f>
        <v>-0.00824639118711446</v>
      </c>
      <c r="F393" s="30" t="n">
        <f aca="false">Panel!D370-Panel!D369</f>
        <v>0.00469411849535995</v>
      </c>
      <c r="G393" s="30" t="n">
        <f aca="false">Panel!D369-Panel!D368</f>
        <v>-0.00751842539768965</v>
      </c>
      <c r="H393" s="30" t="n">
        <f aca="false">Panel!D368-Panel!D367</f>
        <v>-0.00393311626485371</v>
      </c>
      <c r="I393" s="30" t="n">
        <f aca="false">Panel!D367-Panel!D366</f>
        <v>-0.00411982812877909</v>
      </c>
      <c r="L393" s="30" t="n">
        <f aca="false">Panel!E367-Panel!E366</f>
        <v>-0.00338711438895789</v>
      </c>
      <c r="M393" s="29" t="n">
        <f aca="false">Panel!E366</f>
        <v>5.63817671755821</v>
      </c>
    </row>
    <row r="394" customFormat="false" ht="15" hidden="false" customHeight="false" outlineLevel="0" collapsed="false">
      <c r="C394" s="0" t="n">
        <f aca="false">Panel!D373-Panel!D372</f>
        <v>-0.00191809392167563</v>
      </c>
      <c r="D394" s="29" t="n">
        <f aca="false">Panel!D372</f>
        <v>10.1075298305479</v>
      </c>
      <c r="E394" s="30" t="n">
        <f aca="false">Panel!D372-Panel!D371</f>
        <v>-0.0093337257433479</v>
      </c>
      <c r="F394" s="30" t="n">
        <f aca="false">Panel!D371-Panel!D370</f>
        <v>-0.00824639118711446</v>
      </c>
      <c r="G394" s="30" t="n">
        <f aca="false">Panel!D370-Panel!D369</f>
        <v>0.00469411849535995</v>
      </c>
      <c r="H394" s="30" t="n">
        <f aca="false">Panel!D369-Panel!D368</f>
        <v>-0.00751842539768965</v>
      </c>
      <c r="I394" s="30" t="n">
        <f aca="false">Panel!D368-Panel!D367</f>
        <v>-0.00393311626485371</v>
      </c>
      <c r="L394" s="30" t="n">
        <f aca="false">Panel!E368-Panel!E367</f>
        <v>-0.00479720248380389</v>
      </c>
      <c r="M394" s="29" t="n">
        <f aca="false">Panel!E367</f>
        <v>5.63478960316925</v>
      </c>
    </row>
    <row r="395" customFormat="false" ht="15" hidden="false" customHeight="false" outlineLevel="0" collapsed="false">
      <c r="C395" s="0" t="n">
        <f aca="false">Panel!D374-Panel!D373</f>
        <v>-0.000245128080647916</v>
      </c>
      <c r="D395" s="29" t="n">
        <f aca="false">Panel!D373</f>
        <v>10.1056117366263</v>
      </c>
      <c r="E395" s="30" t="n">
        <f aca="false">Panel!D373-Panel!D372</f>
        <v>-0.00191809392167563</v>
      </c>
      <c r="F395" s="30" t="n">
        <f aca="false">Panel!D372-Panel!D371</f>
        <v>-0.0093337257433479</v>
      </c>
      <c r="G395" s="30" t="n">
        <f aca="false">Panel!D371-Panel!D370</f>
        <v>-0.00824639118711446</v>
      </c>
      <c r="H395" s="30" t="n">
        <f aca="false">Panel!D370-Panel!D369</f>
        <v>0.00469411849535995</v>
      </c>
      <c r="I395" s="30" t="n">
        <f aca="false">Panel!D369-Panel!D368</f>
        <v>-0.00751842539768965</v>
      </c>
      <c r="L395" s="30" t="n">
        <f aca="false">Panel!E369-Panel!E368</f>
        <v>-0.00637208528128141</v>
      </c>
      <c r="M395" s="29" t="n">
        <f aca="false">Panel!E368</f>
        <v>5.62999240068545</v>
      </c>
    </row>
    <row r="396" customFormat="false" ht="15" hidden="false" customHeight="false" outlineLevel="0" collapsed="false">
      <c r="C396" s="0" t="n">
        <f aca="false">Panel!D375-Panel!D374</f>
        <v>-0.010717520548857</v>
      </c>
      <c r="D396" s="29" t="n">
        <f aca="false">Panel!D374</f>
        <v>10.1053666085456</v>
      </c>
      <c r="E396" s="30" t="n">
        <f aca="false">Panel!D374-Panel!D373</f>
        <v>-0.000245128080647916</v>
      </c>
      <c r="F396" s="30" t="n">
        <f aca="false">Panel!D373-Panel!D372</f>
        <v>-0.00191809392167563</v>
      </c>
      <c r="G396" s="30" t="n">
        <f aca="false">Panel!D372-Panel!D371</f>
        <v>-0.0093337257433479</v>
      </c>
      <c r="H396" s="30" t="n">
        <f aca="false">Panel!D371-Panel!D370</f>
        <v>-0.00824639118711446</v>
      </c>
      <c r="I396" s="30" t="n">
        <f aca="false">Panel!D370-Panel!D369</f>
        <v>0.00469411849535995</v>
      </c>
      <c r="L396" s="30" t="n">
        <f aca="false">Panel!E370-Panel!E369</f>
        <v>0.00220061778232505</v>
      </c>
      <c r="M396" s="29" t="n">
        <f aca="false">Panel!E369</f>
        <v>5.62362031540416</v>
      </c>
    </row>
    <row r="397" customFormat="false" ht="15" hidden="false" customHeight="false" outlineLevel="0" collapsed="false">
      <c r="C397" s="0" t="n">
        <f aca="false">Panel!D376-Panel!D375</f>
        <v>0.00613073226314675</v>
      </c>
      <c r="D397" s="29" t="n">
        <f aca="false">Panel!D375</f>
        <v>10.0946490879968</v>
      </c>
      <c r="E397" s="30" t="n">
        <f aca="false">Panel!D375-Panel!D374</f>
        <v>-0.010717520548857</v>
      </c>
      <c r="F397" s="30" t="n">
        <f aca="false">Panel!D374-Panel!D373</f>
        <v>-0.000245128080647916</v>
      </c>
      <c r="G397" s="30" t="n">
        <f aca="false">Panel!D373-Panel!D372</f>
        <v>-0.00191809392167563</v>
      </c>
      <c r="H397" s="30" t="n">
        <f aca="false">Panel!D372-Panel!D371</f>
        <v>-0.0093337257433479</v>
      </c>
      <c r="I397" s="30" t="n">
        <f aca="false">Panel!D371-Panel!D370</f>
        <v>-0.00824639118711446</v>
      </c>
      <c r="L397" s="30" t="n">
        <f aca="false">Panel!E371-Panel!E370</f>
        <v>-0.00408038553390444</v>
      </c>
      <c r="M397" s="29" t="n">
        <f aca="false">Panel!E370</f>
        <v>5.62582093318649</v>
      </c>
    </row>
    <row r="398" customFormat="false" ht="15" hidden="false" customHeight="false" outlineLevel="0" collapsed="false">
      <c r="C398" s="0" t="n">
        <f aca="false">Panel!D377-Panel!D376</f>
        <v>0.00454592776309859</v>
      </c>
      <c r="D398" s="29" t="n">
        <f aca="false">Panel!D376</f>
        <v>10.1007798202599</v>
      </c>
      <c r="E398" s="30" t="n">
        <f aca="false">Panel!D376-Panel!D375</f>
        <v>0.00613073226314675</v>
      </c>
      <c r="F398" s="30" t="n">
        <f aca="false">Panel!D375-Panel!D374</f>
        <v>-0.010717520548857</v>
      </c>
      <c r="G398" s="30" t="n">
        <f aca="false">Panel!D374-Panel!D373</f>
        <v>-0.000245128080647916</v>
      </c>
      <c r="H398" s="30" t="n">
        <f aca="false">Panel!D373-Panel!D372</f>
        <v>-0.00191809392167563</v>
      </c>
      <c r="I398" s="30" t="n">
        <f aca="false">Panel!D372-Panel!D371</f>
        <v>-0.0093337257433479</v>
      </c>
      <c r="L398" s="30" t="n">
        <f aca="false">Panel!E372-Panel!E371</f>
        <v>-0.00916003642285457</v>
      </c>
      <c r="M398" s="29" t="n">
        <f aca="false">Panel!E371</f>
        <v>5.62174054765259</v>
      </c>
    </row>
    <row r="399" customFormat="false" ht="15" hidden="false" customHeight="false" outlineLevel="0" collapsed="false">
      <c r="C399" s="0" t="n">
        <f aca="false">Panel!D378-Panel!D377</f>
        <v>-0.00434481507569906</v>
      </c>
      <c r="D399" s="29" t="n">
        <f aca="false">Panel!D377</f>
        <v>10.105325748023</v>
      </c>
      <c r="E399" s="30" t="n">
        <f aca="false">Panel!D377-Panel!D376</f>
        <v>0.00454592776309859</v>
      </c>
      <c r="F399" s="30" t="n">
        <f aca="false">Panel!D376-Panel!D375</f>
        <v>0.00613073226314675</v>
      </c>
      <c r="G399" s="30" t="n">
        <f aca="false">Panel!D375-Panel!D374</f>
        <v>-0.010717520548857</v>
      </c>
      <c r="H399" s="30" t="n">
        <f aca="false">Panel!D374-Panel!D373</f>
        <v>-0.000245128080647916</v>
      </c>
      <c r="I399" s="30" t="n">
        <f aca="false">Panel!D373-Panel!D372</f>
        <v>-0.00191809392167563</v>
      </c>
      <c r="L399" s="30" t="n">
        <f aca="false">Panel!E373-Panel!E372</f>
        <v>-0.00230317977038919</v>
      </c>
      <c r="M399" s="29" t="n">
        <f aca="false">Panel!E372</f>
        <v>5.61258051122973</v>
      </c>
    </row>
    <row r="400" customFormat="false" ht="15" hidden="false" customHeight="false" outlineLevel="0" collapsed="false">
      <c r="C400" s="0" t="n">
        <f aca="false">Panel!D379-Panel!D378</f>
        <v>-0.00670981098147649</v>
      </c>
      <c r="D400" s="29" t="n">
        <f aca="false">Panel!D378</f>
        <v>10.1009809329473</v>
      </c>
      <c r="E400" s="30" t="n">
        <f aca="false">Panel!D378-Panel!D377</f>
        <v>-0.00434481507569906</v>
      </c>
      <c r="F400" s="30" t="n">
        <f aca="false">Panel!D377-Panel!D376</f>
        <v>0.00454592776309859</v>
      </c>
      <c r="G400" s="30" t="n">
        <f aca="false">Panel!D376-Panel!D375</f>
        <v>0.00613073226314675</v>
      </c>
      <c r="H400" s="30" t="n">
        <f aca="false">Panel!D375-Panel!D374</f>
        <v>-0.010717520548857</v>
      </c>
      <c r="I400" s="30" t="n">
        <f aca="false">Panel!D374-Panel!D373</f>
        <v>-0.000245128080647916</v>
      </c>
      <c r="L400" s="30" t="n">
        <f aca="false">Panel!E374-Panel!E373</f>
        <v>-0.00447526516334307</v>
      </c>
      <c r="M400" s="29" t="n">
        <f aca="false">Panel!E373</f>
        <v>5.61027733145934</v>
      </c>
    </row>
    <row r="401" customFormat="false" ht="15" hidden="false" customHeight="false" outlineLevel="0" collapsed="false">
      <c r="C401" s="0" t="n">
        <f aca="false">Panel!D380-Panel!D379</f>
        <v>-0.00430400248708018</v>
      </c>
      <c r="D401" s="29" t="n">
        <f aca="false">Panel!D379</f>
        <v>10.0942711219658</v>
      </c>
      <c r="E401" s="30" t="n">
        <f aca="false">Panel!D379-Panel!D378</f>
        <v>-0.00670981098147649</v>
      </c>
      <c r="F401" s="30" t="n">
        <f aca="false">Panel!D378-Panel!D377</f>
        <v>-0.00434481507569906</v>
      </c>
      <c r="G401" s="30" t="n">
        <f aca="false">Panel!D377-Panel!D376</f>
        <v>0.00454592776309859</v>
      </c>
      <c r="H401" s="30" t="n">
        <f aca="false">Panel!D376-Panel!D375</f>
        <v>0.00613073226314675</v>
      </c>
      <c r="I401" s="30" t="n">
        <f aca="false">Panel!D375-Panel!D374</f>
        <v>-0.010717520548857</v>
      </c>
      <c r="L401" s="30" t="n">
        <f aca="false">Panel!E375-Panel!E374</f>
        <v>-0.00464311553835728</v>
      </c>
      <c r="M401" s="29" t="n">
        <f aca="false">Panel!E374</f>
        <v>5.605802066296</v>
      </c>
    </row>
    <row r="402" customFormat="false" ht="15" hidden="false" customHeight="false" outlineLevel="0" collapsed="false">
      <c r="C402" s="0" t="n">
        <f aca="false">Panel!D381-Panel!D380</f>
        <v>0.0081410454383537</v>
      </c>
      <c r="D402" s="29" t="n">
        <f aca="false">Panel!D380</f>
        <v>10.0899671194787</v>
      </c>
      <c r="E402" s="30" t="n">
        <f aca="false">Panel!D380-Panel!D379</f>
        <v>-0.00430400248708018</v>
      </c>
      <c r="F402" s="30" t="n">
        <f aca="false">Panel!D379-Panel!D378</f>
        <v>-0.00670981098147649</v>
      </c>
      <c r="G402" s="30" t="n">
        <f aca="false">Panel!D378-Panel!D377</f>
        <v>-0.00434481507569906</v>
      </c>
      <c r="H402" s="30" t="n">
        <f aca="false">Panel!D377-Panel!D376</f>
        <v>0.00454592776309859</v>
      </c>
      <c r="I402" s="30" t="n">
        <f aca="false">Panel!D376-Panel!D375</f>
        <v>0.00613073226314675</v>
      </c>
      <c r="L402" s="30" t="n">
        <f aca="false">Panel!E376-Panel!E375</f>
        <v>0.00497394316180433</v>
      </c>
      <c r="M402" s="29" t="n">
        <f aca="false">Panel!E375</f>
        <v>5.60115895075764</v>
      </c>
    </row>
    <row r="403" customFormat="false" ht="15" hidden="false" customHeight="false" outlineLevel="0" collapsed="false">
      <c r="C403" s="0" t="n">
        <f aca="false">Panel!D382-Panel!D381</f>
        <v>0.0120174700313509</v>
      </c>
      <c r="D403" s="29" t="n">
        <f aca="false">Panel!D381</f>
        <v>10.0981081649171</v>
      </c>
      <c r="E403" s="30" t="n">
        <f aca="false">Panel!D381-Panel!D380</f>
        <v>0.0081410454383537</v>
      </c>
      <c r="F403" s="30" t="n">
        <f aca="false">Panel!D380-Panel!D379</f>
        <v>-0.00430400248708018</v>
      </c>
      <c r="G403" s="30" t="n">
        <f aca="false">Panel!D379-Panel!D378</f>
        <v>-0.00670981098147649</v>
      </c>
      <c r="H403" s="30" t="n">
        <f aca="false">Panel!D378-Panel!D377</f>
        <v>-0.00434481507569906</v>
      </c>
      <c r="I403" s="30" t="n">
        <f aca="false">Panel!D377-Panel!D376</f>
        <v>0.00454592776309859</v>
      </c>
      <c r="L403" s="30" t="n">
        <f aca="false">Panel!E377-Panel!E376</f>
        <v>0.00549774145339121</v>
      </c>
      <c r="M403" s="29" t="n">
        <f aca="false">Panel!E376</f>
        <v>5.60613289391945</v>
      </c>
    </row>
    <row r="404" customFormat="false" ht="15" hidden="false" customHeight="false" outlineLevel="0" collapsed="false">
      <c r="C404" s="0" t="n">
        <f aca="false">Panel!D383-Panel!D382</f>
        <v>-0.0125794256516478</v>
      </c>
      <c r="D404" s="29" t="n">
        <f aca="false">Panel!D382</f>
        <v>10.1101256349485</v>
      </c>
      <c r="E404" s="30" t="n">
        <f aca="false">Panel!D382-Panel!D381</f>
        <v>0.0120174700313509</v>
      </c>
      <c r="F404" s="30" t="n">
        <f aca="false">Panel!D381-Panel!D380</f>
        <v>0.0081410454383537</v>
      </c>
      <c r="G404" s="30" t="n">
        <f aca="false">Panel!D380-Panel!D379</f>
        <v>-0.00430400248708018</v>
      </c>
      <c r="H404" s="30" t="n">
        <f aca="false">Panel!D379-Panel!D378</f>
        <v>-0.00670981098147649</v>
      </c>
      <c r="I404" s="30" t="n">
        <f aca="false">Panel!D378-Panel!D377</f>
        <v>-0.00434481507569906</v>
      </c>
      <c r="L404" s="30" t="n">
        <f aca="false">Panel!E378-Panel!E377</f>
        <v>-0.00417552434372848</v>
      </c>
      <c r="M404" s="29" t="n">
        <f aca="false">Panel!E377</f>
        <v>5.61163063537284</v>
      </c>
    </row>
    <row r="405" customFormat="false" ht="15" hidden="false" customHeight="false" outlineLevel="0" collapsed="false">
      <c r="C405" s="0" t="n">
        <f aca="false">Panel!D384-Panel!D383</f>
        <v>-0.00327508733097659</v>
      </c>
      <c r="D405" s="29" t="n">
        <f aca="false">Panel!D383</f>
        <v>10.0975462092968</v>
      </c>
      <c r="E405" s="30" t="n">
        <f aca="false">Panel!D383-Panel!D382</f>
        <v>-0.0125794256516478</v>
      </c>
      <c r="F405" s="30" t="n">
        <f aca="false">Panel!D382-Panel!D381</f>
        <v>0.0120174700313509</v>
      </c>
      <c r="G405" s="30" t="n">
        <f aca="false">Panel!D381-Panel!D380</f>
        <v>0.0081410454383537</v>
      </c>
      <c r="H405" s="30" t="n">
        <f aca="false">Panel!D380-Panel!D379</f>
        <v>-0.00430400248708018</v>
      </c>
      <c r="I405" s="30" t="n">
        <f aca="false">Panel!D379-Panel!D378</f>
        <v>-0.00670981098147649</v>
      </c>
      <c r="L405" s="30" t="n">
        <f aca="false">Panel!E379-Panel!E378</f>
        <v>-0.00570536193805804</v>
      </c>
      <c r="M405" s="29" t="n">
        <f aca="false">Panel!E378</f>
        <v>5.60745511102911</v>
      </c>
    </row>
    <row r="406" customFormat="false" ht="15" hidden="false" customHeight="false" outlineLevel="0" collapsed="false">
      <c r="C406" s="0" t="n">
        <f aca="false">Panel!D385-Panel!D384</f>
        <v>0.000786752045405237</v>
      </c>
      <c r="D406" s="29" t="n">
        <f aca="false">Panel!D384</f>
        <v>10.0942711219658</v>
      </c>
      <c r="E406" s="30" t="n">
        <f aca="false">Panel!D384-Panel!D383</f>
        <v>-0.00327508733097659</v>
      </c>
      <c r="F406" s="30" t="n">
        <f aca="false">Panel!D383-Panel!D382</f>
        <v>-0.0125794256516478</v>
      </c>
      <c r="G406" s="30" t="n">
        <f aca="false">Panel!D382-Panel!D381</f>
        <v>0.0120174700313509</v>
      </c>
      <c r="H406" s="30" t="n">
        <f aca="false">Panel!D381-Panel!D380</f>
        <v>0.0081410454383537</v>
      </c>
      <c r="I406" s="30" t="n">
        <f aca="false">Panel!D380-Panel!D379</f>
        <v>-0.00430400248708018</v>
      </c>
      <c r="L406" s="30" t="n">
        <f aca="false">Panel!E380-Panel!E379</f>
        <v>-0.00874987044648723</v>
      </c>
      <c r="M406" s="29" t="n">
        <f aca="false">Panel!E379</f>
        <v>5.60174974909105</v>
      </c>
    </row>
    <row r="407" customFormat="false" ht="15" hidden="false" customHeight="false" outlineLevel="0" collapsed="false">
      <c r="C407" s="0" t="n">
        <f aca="false">Panel!D386-Panel!D385</f>
        <v>-0.0120067310430958</v>
      </c>
      <c r="D407" s="29" t="n">
        <f aca="false">Panel!D385</f>
        <v>10.0950578740112</v>
      </c>
      <c r="E407" s="30" t="n">
        <f aca="false">Panel!D385-Panel!D384</f>
        <v>0.000786752045405237</v>
      </c>
      <c r="F407" s="30" t="n">
        <f aca="false">Panel!D384-Panel!D383</f>
        <v>-0.00327508733097659</v>
      </c>
      <c r="G407" s="30" t="n">
        <f aca="false">Panel!D383-Panel!D382</f>
        <v>-0.0125794256516478</v>
      </c>
      <c r="H407" s="30" t="n">
        <f aca="false">Panel!D382-Panel!D381</f>
        <v>0.0120174700313509</v>
      </c>
      <c r="I407" s="30" t="n">
        <f aca="false">Panel!D381-Panel!D380</f>
        <v>0.0081410454383537</v>
      </c>
      <c r="L407" s="30" t="n">
        <f aca="false">Panel!E381-Panel!E380</f>
        <v>0.00867603974026299</v>
      </c>
      <c r="M407" s="29" t="n">
        <f aca="false">Panel!E380</f>
        <v>5.59299987864456</v>
      </c>
    </row>
    <row r="408" customFormat="false" ht="15" hidden="false" customHeight="false" outlineLevel="0" collapsed="false">
      <c r="C408" s="0" t="n">
        <f aca="false">Panel!D387-Panel!D386</f>
        <v>-0.0102386246338391</v>
      </c>
      <c r="D408" s="29" t="n">
        <f aca="false">Panel!D386</f>
        <v>10.0830511429681</v>
      </c>
      <c r="E408" s="30" t="n">
        <f aca="false">Panel!D386-Panel!D385</f>
        <v>-0.0120067310430958</v>
      </c>
      <c r="F408" s="30" t="n">
        <f aca="false">Panel!D385-Panel!D384</f>
        <v>0.000786752045405237</v>
      </c>
      <c r="G408" s="30" t="n">
        <f aca="false">Panel!D384-Panel!D383</f>
        <v>-0.00327508733097659</v>
      </c>
      <c r="H408" s="30" t="n">
        <f aca="false">Panel!D383-Panel!D382</f>
        <v>-0.0125794256516478</v>
      </c>
      <c r="I408" s="30" t="n">
        <f aca="false">Panel!D382-Panel!D381</f>
        <v>0.0120174700313509</v>
      </c>
      <c r="L408" s="30" t="n">
        <f aca="false">Panel!E382-Panel!E381</f>
        <v>0.0121818487433885</v>
      </c>
      <c r="M408" s="29" t="n">
        <f aca="false">Panel!E381</f>
        <v>5.60167591838483</v>
      </c>
    </row>
    <row r="409" customFormat="false" ht="15" hidden="false" customHeight="false" outlineLevel="0" collapsed="false">
      <c r="C409" s="0" t="n">
        <f aca="false">Panel!D388-Panel!D387</f>
        <v>-0.00244070324626833</v>
      </c>
      <c r="D409" s="29" t="n">
        <f aca="false">Panel!D387</f>
        <v>10.0728125183343</v>
      </c>
      <c r="E409" s="30" t="n">
        <f aca="false">Panel!D387-Panel!D386</f>
        <v>-0.0102386246338391</v>
      </c>
      <c r="F409" s="30" t="n">
        <f aca="false">Panel!D386-Panel!D385</f>
        <v>-0.0120067310430958</v>
      </c>
      <c r="G409" s="30" t="n">
        <f aca="false">Panel!D385-Panel!D384</f>
        <v>0.000786752045405237</v>
      </c>
      <c r="H409" s="30" t="n">
        <f aca="false">Panel!D384-Panel!D383</f>
        <v>-0.00327508733097659</v>
      </c>
      <c r="I409" s="30" t="n">
        <f aca="false">Panel!D383-Panel!D382</f>
        <v>-0.0125794256516478</v>
      </c>
      <c r="L409" s="30" t="n">
        <f aca="false">Panel!E383-Panel!E382</f>
        <v>-0.012661881247114</v>
      </c>
      <c r="M409" s="29" t="n">
        <f aca="false">Panel!E382</f>
        <v>5.61385776712821</v>
      </c>
    </row>
    <row r="410" customFormat="false" ht="15" hidden="false" customHeight="false" outlineLevel="0" collapsed="false">
      <c r="C410" s="0" t="n">
        <f aca="false">Panel!D389-Panel!D388</f>
        <v>-0.00485470277595823</v>
      </c>
      <c r="D410" s="29" t="n">
        <f aca="false">Panel!D388</f>
        <v>10.070371815088</v>
      </c>
      <c r="E410" s="30" t="n">
        <f aca="false">Panel!D388-Panel!D387</f>
        <v>-0.00244070324626833</v>
      </c>
      <c r="F410" s="30" t="n">
        <f aca="false">Panel!D387-Panel!D386</f>
        <v>-0.0102386246338391</v>
      </c>
      <c r="G410" s="30" t="n">
        <f aca="false">Panel!D386-Panel!D385</f>
        <v>-0.0120067310430958</v>
      </c>
      <c r="H410" s="30" t="n">
        <f aca="false">Panel!D385-Panel!D384</f>
        <v>0.000786752045405237</v>
      </c>
      <c r="I410" s="30" t="n">
        <f aca="false">Panel!D384-Panel!D383</f>
        <v>-0.00327508733097659</v>
      </c>
      <c r="L410" s="30" t="n">
        <f aca="false">Panel!E384-Panel!E383</f>
        <v>-0.00388565573541566</v>
      </c>
      <c r="M410" s="29" t="n">
        <f aca="false">Panel!E383</f>
        <v>5.6011958858811</v>
      </c>
    </row>
    <row r="411" customFormat="false" ht="15" hidden="false" customHeight="false" outlineLevel="0" collapsed="false">
      <c r="C411" s="0" t="n">
        <f aca="false">Panel!D390-Panel!D389</f>
        <v>-0.00114446425830472</v>
      </c>
      <c r="D411" s="29" t="n">
        <f aca="false">Panel!D389</f>
        <v>10.0655171123121</v>
      </c>
      <c r="E411" s="30" t="n">
        <f aca="false">Panel!D389-Panel!D388</f>
        <v>-0.00485470277595823</v>
      </c>
      <c r="F411" s="30" t="n">
        <f aca="false">Panel!D388-Panel!D387</f>
        <v>-0.00244070324626833</v>
      </c>
      <c r="G411" s="30" t="n">
        <f aca="false">Panel!D387-Panel!D386</f>
        <v>-0.0102386246338391</v>
      </c>
      <c r="H411" s="30" t="n">
        <f aca="false">Panel!D386-Panel!D385</f>
        <v>-0.0120067310430958</v>
      </c>
      <c r="I411" s="30" t="n">
        <f aca="false">Panel!D385-Panel!D384</f>
        <v>0.000786752045405237</v>
      </c>
      <c r="L411" s="30" t="n">
        <f aca="false">Panel!E385-Panel!E384</f>
        <v>0.00103765203499684</v>
      </c>
      <c r="M411" s="29" t="n">
        <f aca="false">Panel!E384</f>
        <v>5.59731023014568</v>
      </c>
    </row>
    <row r="412" customFormat="false" ht="15" hidden="false" customHeight="false" outlineLevel="0" collapsed="false">
      <c r="C412" s="0" t="n">
        <f aca="false">Panel!D391-Panel!D390</f>
        <v>-0.00606321242626784</v>
      </c>
      <c r="D412" s="29" t="n">
        <f aca="false">Panel!D390</f>
        <v>10.0643726480538</v>
      </c>
      <c r="E412" s="30" t="n">
        <f aca="false">Panel!D390-Panel!D389</f>
        <v>-0.00114446425830472</v>
      </c>
      <c r="F412" s="30" t="n">
        <f aca="false">Panel!D389-Panel!D388</f>
        <v>-0.00485470277595823</v>
      </c>
      <c r="G412" s="30" t="n">
        <f aca="false">Panel!D388-Panel!D387</f>
        <v>-0.00244070324626833</v>
      </c>
      <c r="H412" s="30" t="n">
        <f aca="false">Panel!D387-Panel!D386</f>
        <v>-0.0102386246338391</v>
      </c>
      <c r="I412" s="30" t="n">
        <f aca="false">Panel!D386-Panel!D385</f>
        <v>-0.0120067310430958</v>
      </c>
      <c r="L412" s="30" t="n">
        <f aca="false">Panel!E386-Panel!E385</f>
        <v>-0.010425293619015</v>
      </c>
      <c r="M412" s="29" t="n">
        <f aca="false">Panel!E385</f>
        <v>5.59834788218068</v>
      </c>
    </row>
    <row r="413" customFormat="false" ht="15" hidden="false" customHeight="false" outlineLevel="0" collapsed="false">
      <c r="C413" s="0" t="n">
        <f aca="false">Panel!D392-Panel!D391</f>
        <v>0.0237426248248731</v>
      </c>
      <c r="D413" s="29" t="n">
        <f aca="false">Panel!D391</f>
        <v>10.0583094356275</v>
      </c>
      <c r="E413" s="30" t="n">
        <f aca="false">Panel!D391-Panel!D390</f>
        <v>-0.00606321242626784</v>
      </c>
      <c r="F413" s="30" t="n">
        <f aca="false">Panel!D390-Panel!D389</f>
        <v>-0.00114446425830472</v>
      </c>
      <c r="G413" s="30" t="n">
        <f aca="false">Panel!D389-Panel!D388</f>
        <v>-0.00485470277595823</v>
      </c>
      <c r="H413" s="30" t="n">
        <f aca="false">Panel!D388-Panel!D387</f>
        <v>-0.00244070324626833</v>
      </c>
      <c r="I413" s="30" t="n">
        <f aca="false">Panel!D387-Panel!D386</f>
        <v>-0.0102386246338391</v>
      </c>
      <c r="L413" s="30" t="n">
        <f aca="false">Panel!E387-Panel!E386</f>
        <v>-0.0105729514695181</v>
      </c>
      <c r="M413" s="29" t="n">
        <f aca="false">Panel!E386</f>
        <v>5.58792258856167</v>
      </c>
    </row>
    <row r="414" customFormat="false" ht="15" hidden="false" customHeight="false" outlineLevel="0" collapsed="false">
      <c r="C414" s="0" t="n">
        <f aca="false">Panel!D393-Panel!D392</f>
        <v>0.0162042599294665</v>
      </c>
      <c r="D414" s="29" t="n">
        <f aca="false">Panel!D392</f>
        <v>10.0820520604524</v>
      </c>
      <c r="E414" s="30" t="n">
        <f aca="false">Panel!D392-Panel!D391</f>
        <v>0.0237426248248731</v>
      </c>
      <c r="F414" s="30" t="n">
        <f aca="false">Panel!D391-Panel!D390</f>
        <v>-0.00606321242626784</v>
      </c>
      <c r="G414" s="30" t="n">
        <f aca="false">Panel!D390-Panel!D389</f>
        <v>-0.00114446425830472</v>
      </c>
      <c r="H414" s="30" t="n">
        <f aca="false">Panel!D389-Panel!D388</f>
        <v>-0.00485470277595823</v>
      </c>
      <c r="I414" s="30" t="n">
        <f aca="false">Panel!D388-Panel!D387</f>
        <v>-0.00244070324626833</v>
      </c>
      <c r="L414" s="30" t="n">
        <f aca="false">Panel!E388-Panel!E387</f>
        <v>-0.000946091765777091</v>
      </c>
      <c r="M414" s="29" t="n">
        <f aca="false">Panel!E387</f>
        <v>5.57734963709215</v>
      </c>
    </row>
    <row r="415" customFormat="false" ht="15" hidden="false" customHeight="false" outlineLevel="0" collapsed="false">
      <c r="C415" s="0" t="n">
        <f aca="false">Panel!D394-Panel!D393</f>
        <v>-0.00385919386522104</v>
      </c>
      <c r="D415" s="29" t="n">
        <f aca="false">Panel!D393</f>
        <v>10.0982563203818</v>
      </c>
      <c r="E415" s="30" t="n">
        <f aca="false">Panel!D393-Panel!D392</f>
        <v>0.0162042599294665</v>
      </c>
      <c r="F415" s="30" t="n">
        <f aca="false">Panel!D392-Panel!D391</f>
        <v>0.0237426248248731</v>
      </c>
      <c r="G415" s="30" t="n">
        <f aca="false">Panel!D391-Panel!D390</f>
        <v>-0.00606321242626784</v>
      </c>
      <c r="H415" s="30" t="n">
        <f aca="false">Panel!D390-Panel!D389</f>
        <v>-0.00114446425830472</v>
      </c>
      <c r="I415" s="30" t="n">
        <f aca="false">Panel!D389-Panel!D388</f>
        <v>-0.00485470277595823</v>
      </c>
      <c r="L415" s="30" t="n">
        <f aca="false">Panel!E389-Panel!E388</f>
        <v>-0.00482001806091326</v>
      </c>
      <c r="M415" s="29" t="n">
        <f aca="false">Panel!E388</f>
        <v>5.57640354532637</v>
      </c>
    </row>
    <row r="416" customFormat="false" ht="15" hidden="false" customHeight="false" outlineLevel="0" collapsed="false">
      <c r="C416" s="0" t="n">
        <f aca="false">Panel!D395-Panel!D394</f>
        <v>0.00424594079355245</v>
      </c>
      <c r="D416" s="29" t="n">
        <f aca="false">Panel!D394</f>
        <v>10.0943971265166</v>
      </c>
      <c r="E416" s="30" t="n">
        <f aca="false">Panel!D394-Panel!D393</f>
        <v>-0.00385919386522104</v>
      </c>
      <c r="F416" s="30" t="n">
        <f aca="false">Panel!D393-Panel!D392</f>
        <v>0.0162042599294665</v>
      </c>
      <c r="G416" s="30" t="n">
        <f aca="false">Panel!D392-Panel!D391</f>
        <v>0.0237426248248731</v>
      </c>
      <c r="H416" s="30" t="n">
        <f aca="false">Panel!D391-Panel!D390</f>
        <v>-0.00606321242626784</v>
      </c>
      <c r="I416" s="30" t="n">
        <f aca="false">Panel!D390-Panel!D389</f>
        <v>-0.00114446425830472</v>
      </c>
      <c r="L416" s="30" t="n">
        <f aca="false">Panel!E390-Panel!E389</f>
        <v>0</v>
      </c>
      <c r="M416" s="29" t="n">
        <f aca="false">Panel!E389</f>
        <v>5.57158352726546</v>
      </c>
    </row>
    <row r="417" customFormat="false" ht="15" hidden="false" customHeight="false" outlineLevel="0" collapsed="false">
      <c r="C417" s="0" t="n">
        <f aca="false">Panel!D396-Panel!D395</f>
        <v>-0.0164843626072333</v>
      </c>
      <c r="D417" s="29" t="n">
        <f aca="false">Panel!D395</f>
        <v>10.0986430673102</v>
      </c>
      <c r="E417" s="30" t="n">
        <f aca="false">Panel!D395-Panel!D394</f>
        <v>0.00424594079355245</v>
      </c>
      <c r="F417" s="30" t="n">
        <f aca="false">Panel!D394-Panel!D393</f>
        <v>-0.00385919386522104</v>
      </c>
      <c r="G417" s="30" t="n">
        <f aca="false">Panel!D393-Panel!D392</f>
        <v>0.0162042599294665</v>
      </c>
      <c r="H417" s="30" t="n">
        <f aca="false">Panel!D392-Panel!D391</f>
        <v>0.0237426248248731</v>
      </c>
      <c r="I417" s="30" t="n">
        <f aca="false">Panel!D391-Panel!D390</f>
        <v>-0.00606321242626784</v>
      </c>
      <c r="L417" s="30" t="n">
        <f aca="false">Panel!E391-Panel!E390</f>
        <v>-0.00507276484950214</v>
      </c>
      <c r="M417" s="29" t="n">
        <f aca="false">Panel!E390</f>
        <v>5.57158352726546</v>
      </c>
    </row>
    <row r="418" customFormat="false" ht="15" hidden="false" customHeight="false" outlineLevel="0" collapsed="false">
      <c r="C418" s="0" t="n">
        <f aca="false">Panel!D397-Panel!D396</f>
        <v>0.0166057044840056</v>
      </c>
      <c r="D418" s="29" t="n">
        <f aca="false">Panel!D396</f>
        <v>10.0821587047029</v>
      </c>
      <c r="E418" s="30" t="n">
        <f aca="false">Panel!D396-Panel!D395</f>
        <v>-0.0164843626072333</v>
      </c>
      <c r="F418" s="30" t="n">
        <f aca="false">Panel!D395-Panel!D394</f>
        <v>0.00424594079355245</v>
      </c>
      <c r="G418" s="30" t="n">
        <f aca="false">Panel!D394-Panel!D393</f>
        <v>-0.00385919386522104</v>
      </c>
      <c r="H418" s="30" t="n">
        <f aca="false">Panel!D393-Panel!D392</f>
        <v>0.0162042599294665</v>
      </c>
      <c r="I418" s="30" t="n">
        <f aca="false">Panel!D392-Panel!D391</f>
        <v>0.0237426248248731</v>
      </c>
      <c r="L418" s="30" t="n">
        <f aca="false">Panel!E392-Panel!E391</f>
        <v>0.0198011277659074</v>
      </c>
      <c r="M418" s="29" t="n">
        <f aca="false">Panel!E391</f>
        <v>5.56651076241596</v>
      </c>
    </row>
    <row r="419" customFormat="false" ht="15" hidden="false" customHeight="false" outlineLevel="0" collapsed="false">
      <c r="C419" s="0" t="n">
        <f aca="false">Panel!D398-Panel!D397</f>
        <v>0.00459806772404292</v>
      </c>
      <c r="D419" s="29" t="n">
        <f aca="false">Panel!D397</f>
        <v>10.0987644091869</v>
      </c>
      <c r="E419" s="30" t="n">
        <f aca="false">Panel!D397-Panel!D396</f>
        <v>0.0166057044840056</v>
      </c>
      <c r="F419" s="30" t="n">
        <f aca="false">Panel!D396-Panel!D395</f>
        <v>-0.0164843626072333</v>
      </c>
      <c r="G419" s="30" t="n">
        <f aca="false">Panel!D395-Panel!D394</f>
        <v>0.00424594079355245</v>
      </c>
      <c r="H419" s="30" t="n">
        <f aca="false">Panel!D394-Panel!D393</f>
        <v>-0.00385919386522104</v>
      </c>
      <c r="I419" s="30" t="n">
        <f aca="false">Panel!D393-Panel!D392</f>
        <v>0.0162042599294665</v>
      </c>
      <c r="L419" s="30" t="n">
        <f aca="false">Panel!E393-Panel!E392</f>
        <v>0.0170607568753001</v>
      </c>
      <c r="M419" s="29" t="n">
        <f aca="false">Panel!E392</f>
        <v>5.58631189018186</v>
      </c>
    </row>
    <row r="420" customFormat="false" ht="15" hidden="false" customHeight="false" outlineLevel="0" collapsed="false">
      <c r="C420" s="0" t="n">
        <f aca="false">Panel!D399-Panel!D398</f>
        <v>0.00445271268171332</v>
      </c>
      <c r="D420" s="29" t="n">
        <f aca="false">Panel!D398</f>
        <v>10.103362476911</v>
      </c>
      <c r="E420" s="30" t="n">
        <f aca="false">Panel!D398-Panel!D397</f>
        <v>0.00459806772404292</v>
      </c>
      <c r="F420" s="30" t="n">
        <f aca="false">Panel!D397-Panel!D396</f>
        <v>0.0166057044840056</v>
      </c>
      <c r="G420" s="30" t="n">
        <f aca="false">Panel!D396-Panel!D395</f>
        <v>-0.0164843626072333</v>
      </c>
      <c r="H420" s="30" t="n">
        <f aca="false">Panel!D395-Panel!D394</f>
        <v>0.00424594079355245</v>
      </c>
      <c r="I420" s="30" t="n">
        <f aca="false">Panel!D394-Panel!D393</f>
        <v>-0.00385919386522104</v>
      </c>
      <c r="L420" s="30" t="n">
        <f aca="false">Panel!E394-Panel!E393</f>
        <v>-0.00265702422166481</v>
      </c>
      <c r="M420" s="29" t="n">
        <f aca="false">Panel!E393</f>
        <v>5.60337264705716</v>
      </c>
    </row>
    <row r="421" customFormat="false" ht="15" hidden="false" customHeight="false" outlineLevel="0" collapsed="false">
      <c r="C421" s="0" t="n">
        <f aca="false">Panel!D400-Panel!D399</f>
        <v>0.00101847522705967</v>
      </c>
      <c r="D421" s="29" t="n">
        <f aca="false">Panel!D399</f>
        <v>10.1078151895927</v>
      </c>
      <c r="E421" s="30" t="n">
        <f aca="false">Panel!D399-Panel!D398</f>
        <v>0.00445271268171332</v>
      </c>
      <c r="F421" s="30" t="n">
        <f aca="false">Panel!D398-Panel!D397</f>
        <v>0.00459806772404292</v>
      </c>
      <c r="G421" s="30" t="n">
        <f aca="false">Panel!D397-Panel!D396</f>
        <v>0.0166057044840056</v>
      </c>
      <c r="H421" s="30" t="n">
        <f aca="false">Panel!D396-Panel!D395</f>
        <v>-0.0164843626072333</v>
      </c>
      <c r="I421" s="30" t="n">
        <f aca="false">Panel!D395-Panel!D394</f>
        <v>0.00424594079355245</v>
      </c>
      <c r="L421" s="30" t="n">
        <f aca="false">Panel!E395-Panel!E394</f>
        <v>0.0050864434604998</v>
      </c>
      <c r="M421" s="29" t="n">
        <f aca="false">Panel!E394</f>
        <v>5.6007156228355</v>
      </c>
    </row>
    <row r="422" customFormat="false" ht="15" hidden="false" customHeight="false" outlineLevel="0" collapsed="false">
      <c r="C422" s="0" t="n">
        <f aca="false">Panel!D401-Panel!D400</f>
        <v>0.0089322591880272</v>
      </c>
      <c r="D422" s="29" t="n">
        <f aca="false">Panel!D400</f>
        <v>10.1088336648198</v>
      </c>
      <c r="E422" s="30" t="n">
        <f aca="false">Panel!D400-Panel!D399</f>
        <v>0.00101847522705967</v>
      </c>
      <c r="F422" s="30" t="n">
        <f aca="false">Panel!D399-Panel!D398</f>
        <v>0.00445271268171332</v>
      </c>
      <c r="G422" s="30" t="n">
        <f aca="false">Panel!D398-Panel!D397</f>
        <v>0.00459806772404292</v>
      </c>
      <c r="H422" s="30" t="n">
        <f aca="false">Panel!D397-Panel!D396</f>
        <v>0.0166057044840056</v>
      </c>
      <c r="I422" s="30" t="n">
        <f aca="false">Panel!D396-Panel!D395</f>
        <v>-0.0164843626072333</v>
      </c>
      <c r="L422" s="30" t="n">
        <f aca="false">Panel!E396-Panel!E395</f>
        <v>-0.0133236611984708</v>
      </c>
      <c r="M422" s="29" t="n">
        <f aca="false">Panel!E395</f>
        <v>5.605802066296</v>
      </c>
    </row>
    <row r="423" customFormat="false" ht="15" hidden="false" customHeight="false" outlineLevel="0" collapsed="false">
      <c r="C423" s="0" t="n">
        <f aca="false">Panel!D402-Panel!D401</f>
        <v>8.87796630575366E-005</v>
      </c>
      <c r="D423" s="29" t="n">
        <f aca="false">Panel!D401</f>
        <v>10.1177659240078</v>
      </c>
      <c r="E423" s="30" t="n">
        <f aca="false">Panel!D401-Panel!D400</f>
        <v>0.0089322591880272</v>
      </c>
      <c r="F423" s="30" t="n">
        <f aca="false">Panel!D400-Panel!D399</f>
        <v>0.00101847522705967</v>
      </c>
      <c r="G423" s="30" t="n">
        <f aca="false">Panel!D399-Panel!D398</f>
        <v>0.00445271268171332</v>
      </c>
      <c r="H423" s="30" t="n">
        <f aca="false">Panel!D398-Panel!D397</f>
        <v>0.00459806772404292</v>
      </c>
      <c r="I423" s="30" t="n">
        <f aca="false">Panel!D397-Panel!D396</f>
        <v>0.0166057044840056</v>
      </c>
      <c r="L423" s="30" t="n">
        <f aca="false">Panel!E397-Panel!E396</f>
        <v>0.00535078565586744</v>
      </c>
      <c r="M423" s="29" t="n">
        <f aca="false">Panel!E396</f>
        <v>5.59247840509753</v>
      </c>
    </row>
    <row r="424" customFormat="false" ht="15" hidden="false" customHeight="false" outlineLevel="0" collapsed="false">
      <c r="C424" s="0" t="n">
        <f aca="false">Panel!D403-Panel!D402</f>
        <v>-0.00335286282309788</v>
      </c>
      <c r="D424" s="29" t="n">
        <f aca="false">Panel!D402</f>
        <v>10.1178547036708</v>
      </c>
      <c r="E424" s="30" t="n">
        <f aca="false">Panel!D402-Panel!D401</f>
        <v>8.87796630575366E-005</v>
      </c>
      <c r="F424" s="30" t="n">
        <f aca="false">Panel!D401-Panel!D400</f>
        <v>0.0089322591880272</v>
      </c>
      <c r="G424" s="30" t="n">
        <f aca="false">Panel!D400-Panel!D399</f>
        <v>0.00101847522705967</v>
      </c>
      <c r="H424" s="30" t="n">
        <f aca="false">Panel!D399-Panel!D398</f>
        <v>0.00445271268171332</v>
      </c>
      <c r="I424" s="30" t="n">
        <f aca="false">Panel!D398-Panel!D397</f>
        <v>0.00459806772404292</v>
      </c>
      <c r="L424" s="30" t="n">
        <f aca="false">Panel!E398-Panel!E397</f>
        <v>0.00572770998475658</v>
      </c>
      <c r="M424" s="29" t="n">
        <f aca="false">Panel!E397</f>
        <v>5.59782919075339</v>
      </c>
    </row>
    <row r="425" customFormat="false" ht="15" hidden="false" customHeight="false" outlineLevel="0" collapsed="false">
      <c r="C425" s="0" t="n">
        <f aca="false">Panel!D404-Panel!D403</f>
        <v>-0.000313832207631037</v>
      </c>
      <c r="D425" s="29" t="n">
        <f aca="false">Panel!D403</f>
        <v>10.1145018408477</v>
      </c>
      <c r="E425" s="30" t="n">
        <f aca="false">Panel!D403-Panel!D402</f>
        <v>-0.00335286282309788</v>
      </c>
      <c r="F425" s="30" t="n">
        <f aca="false">Panel!D402-Panel!D401</f>
        <v>8.87796630575366E-005</v>
      </c>
      <c r="G425" s="30" t="n">
        <f aca="false">Panel!D401-Panel!D400</f>
        <v>0.0089322591880272</v>
      </c>
      <c r="H425" s="30" t="n">
        <f aca="false">Panel!D400-Panel!D399</f>
        <v>0.00101847522705967</v>
      </c>
      <c r="I425" s="30" t="n">
        <f aca="false">Panel!D399-Panel!D398</f>
        <v>0.00445271268171332</v>
      </c>
      <c r="L425" s="30" t="n">
        <f aca="false">Panel!E399-Panel!E398</f>
        <v>0.00573172748961603</v>
      </c>
      <c r="M425" s="29" t="n">
        <f aca="false">Panel!E398</f>
        <v>5.60355690073815</v>
      </c>
    </row>
    <row r="426" customFormat="false" ht="15" hidden="false" customHeight="false" outlineLevel="0" collapsed="false">
      <c r="C426" s="0" t="n">
        <f aca="false">Panel!D405-Panel!D404</f>
        <v>0.00190779329484236</v>
      </c>
      <c r="D426" s="29" t="n">
        <f aca="false">Panel!D404</f>
        <v>10.1141880086401</v>
      </c>
      <c r="E426" s="30" t="n">
        <f aca="false">Panel!D404-Panel!D403</f>
        <v>-0.000313832207631037</v>
      </c>
      <c r="F426" s="30" t="n">
        <f aca="false">Panel!D403-Panel!D402</f>
        <v>-0.00335286282309788</v>
      </c>
      <c r="G426" s="30" t="n">
        <f aca="false">Panel!D402-Panel!D401</f>
        <v>8.87796630575366E-005</v>
      </c>
      <c r="H426" s="30" t="n">
        <f aca="false">Panel!D401-Panel!D400</f>
        <v>0.0089322591880272</v>
      </c>
      <c r="I426" s="30" t="n">
        <f aca="false">Panel!D400-Panel!D399</f>
        <v>0.00101847522705967</v>
      </c>
      <c r="L426" s="30" t="n">
        <f aca="false">Panel!E400-Panel!E399</f>
        <v>0.000915499468868042</v>
      </c>
      <c r="M426" s="29" t="n">
        <f aca="false">Panel!E399</f>
        <v>5.60928862822777</v>
      </c>
    </row>
    <row r="427" customFormat="false" ht="15" hidden="false" customHeight="false" outlineLevel="0" collapsed="false">
      <c r="C427" s="0" t="n">
        <f aca="false">Panel!D406-Panel!D405</f>
        <v>-0.00368533372459012</v>
      </c>
      <c r="D427" s="29" t="n">
        <f aca="false">Panel!D405</f>
        <v>10.116095801935</v>
      </c>
      <c r="E427" s="30" t="n">
        <f aca="false">Panel!D405-Panel!D404</f>
        <v>0.00190779329484236</v>
      </c>
      <c r="F427" s="30" t="n">
        <f aca="false">Panel!D404-Panel!D403</f>
        <v>-0.000313832207631037</v>
      </c>
      <c r="G427" s="30" t="n">
        <f aca="false">Panel!D403-Panel!D402</f>
        <v>-0.00335286282309788</v>
      </c>
      <c r="H427" s="30" t="n">
        <f aca="false">Panel!D402-Panel!D401</f>
        <v>8.87796630575366E-005</v>
      </c>
      <c r="I427" s="30" t="n">
        <f aca="false">Panel!D401-Panel!D400</f>
        <v>0.0089322591880272</v>
      </c>
      <c r="L427" s="30" t="n">
        <f aca="false">Panel!E401-Panel!E400</f>
        <v>0.009834353526605</v>
      </c>
      <c r="M427" s="29" t="n">
        <f aca="false">Panel!E400</f>
        <v>5.61020412769664</v>
      </c>
    </row>
    <row r="428" customFormat="false" ht="15" hidden="false" customHeight="false" outlineLevel="0" collapsed="false">
      <c r="C428" s="0" t="n">
        <f aca="false">Panel!D407-Panel!D406</f>
        <v>0.00860489685433663</v>
      </c>
      <c r="D428" s="29" t="n">
        <f aca="false">Panel!D406</f>
        <v>10.1124104682104</v>
      </c>
      <c r="E428" s="30" t="n">
        <f aca="false">Panel!D406-Panel!D405</f>
        <v>-0.00368533372459012</v>
      </c>
      <c r="F428" s="30" t="n">
        <f aca="false">Panel!D405-Panel!D404</f>
        <v>0.00190779329484236</v>
      </c>
      <c r="G428" s="30" t="n">
        <f aca="false">Panel!D404-Panel!D403</f>
        <v>-0.000313832207631037</v>
      </c>
      <c r="H428" s="30" t="n">
        <f aca="false">Panel!D403-Panel!D402</f>
        <v>-0.00335286282309788</v>
      </c>
      <c r="I428" s="30" t="n">
        <f aca="false">Panel!D402-Panel!D401</f>
        <v>8.87796630575366E-005</v>
      </c>
      <c r="L428" s="30" t="n">
        <f aca="false">Panel!E402-Panel!E401</f>
        <v>0.000144969556647112</v>
      </c>
      <c r="M428" s="29" t="n">
        <f aca="false">Panel!E401</f>
        <v>5.62003848122324</v>
      </c>
    </row>
    <row r="429" customFormat="false" ht="15" hidden="false" customHeight="false" outlineLevel="0" collapsed="false">
      <c r="C429" s="0" t="n">
        <f aca="false">Panel!D408-Panel!D407</f>
        <v>-0.00563936291091771</v>
      </c>
      <c r="D429" s="29" t="n">
        <f aca="false">Panel!D407</f>
        <v>10.1210153650647</v>
      </c>
      <c r="E429" s="30" t="n">
        <f aca="false">Panel!D407-Panel!D406</f>
        <v>0.00860489685433663</v>
      </c>
      <c r="F429" s="30" t="n">
        <f aca="false">Panel!D406-Panel!D405</f>
        <v>-0.00368533372459012</v>
      </c>
      <c r="G429" s="30" t="n">
        <f aca="false">Panel!D405-Panel!D404</f>
        <v>0.00190779329484236</v>
      </c>
      <c r="H429" s="30" t="n">
        <f aca="false">Panel!D404-Panel!D403</f>
        <v>-0.000313832207631037</v>
      </c>
      <c r="I429" s="30" t="n">
        <f aca="false">Panel!D403-Panel!D402</f>
        <v>-0.00335286282309788</v>
      </c>
      <c r="L429" s="30" t="n">
        <f aca="false">Panel!E403-Panel!E402</f>
        <v>-0.00272168259021299</v>
      </c>
      <c r="M429" s="29" t="n">
        <f aca="false">Panel!E402</f>
        <v>5.62018345077989</v>
      </c>
    </row>
    <row r="430" customFormat="false" ht="15" hidden="false" customHeight="false" outlineLevel="0" collapsed="false">
      <c r="C430" s="0" t="n">
        <f aca="false">Panel!D409-Panel!D408</f>
        <v>-0.012957676032979</v>
      </c>
      <c r="D430" s="29" t="n">
        <f aca="false">Panel!D408</f>
        <v>10.1153760021538</v>
      </c>
      <c r="E430" s="30" t="n">
        <f aca="false">Panel!D408-Panel!D407</f>
        <v>-0.00563936291091771</v>
      </c>
      <c r="F430" s="30" t="n">
        <f aca="false">Panel!D407-Panel!D406</f>
        <v>0.00860489685433663</v>
      </c>
      <c r="G430" s="30" t="n">
        <f aca="false">Panel!D406-Panel!D405</f>
        <v>-0.00368533372459012</v>
      </c>
      <c r="H430" s="30" t="n">
        <f aca="false">Panel!D405-Panel!D404</f>
        <v>0.00190779329484236</v>
      </c>
      <c r="I430" s="30" t="n">
        <f aca="false">Panel!D404-Panel!D403</f>
        <v>-0.000313832207631037</v>
      </c>
      <c r="L430" s="30" t="n">
        <f aca="false">Panel!E404-Panel!E403</f>
        <v>-0.00105437301847378</v>
      </c>
      <c r="M430" s="29" t="n">
        <f aca="false">Panel!E403</f>
        <v>5.61746176818967</v>
      </c>
    </row>
    <row r="431" customFormat="false" ht="15" hidden="false" customHeight="false" outlineLevel="0" collapsed="false">
      <c r="C431" s="0" t="n">
        <f aca="false">Panel!D410-Panel!D409</f>
        <v>-0.00542614772179029</v>
      </c>
      <c r="D431" s="29" t="n">
        <f aca="false">Panel!D409</f>
        <v>10.1024183261208</v>
      </c>
      <c r="E431" s="30" t="n">
        <f aca="false">Panel!D409-Panel!D408</f>
        <v>-0.012957676032979</v>
      </c>
      <c r="F431" s="30" t="n">
        <f aca="false">Panel!D408-Panel!D407</f>
        <v>-0.00563936291091771</v>
      </c>
      <c r="G431" s="30" t="n">
        <f aca="false">Panel!D407-Panel!D406</f>
        <v>0.00860489685433663</v>
      </c>
      <c r="H431" s="30" t="n">
        <f aca="false">Panel!D406-Panel!D405</f>
        <v>-0.00368533372459012</v>
      </c>
      <c r="I431" s="30" t="n">
        <f aca="false">Panel!D405-Panel!D404</f>
        <v>0.00190779329484236</v>
      </c>
      <c r="L431" s="30" t="n">
        <f aca="false">Panel!E405-Panel!E404</f>
        <v>0.000327338197834592</v>
      </c>
      <c r="M431" s="29" t="n">
        <f aca="false">Panel!E404</f>
        <v>5.6164073951712</v>
      </c>
    </row>
    <row r="432" customFormat="false" ht="15" hidden="false" customHeight="false" outlineLevel="0" collapsed="false">
      <c r="C432" s="0" t="n">
        <f aca="false">Panel!D411-Panel!D410</f>
        <v>-0.0102876367547999</v>
      </c>
      <c r="D432" s="29" t="n">
        <f aca="false">Panel!D410</f>
        <v>10.096992178399</v>
      </c>
      <c r="E432" s="30" t="n">
        <f aca="false">Panel!D410-Panel!D409</f>
        <v>-0.00542614772179029</v>
      </c>
      <c r="F432" s="30" t="n">
        <f aca="false">Panel!D409-Panel!D408</f>
        <v>-0.012957676032979</v>
      </c>
      <c r="G432" s="30" t="n">
        <f aca="false">Panel!D408-Panel!D407</f>
        <v>-0.00563936291091771</v>
      </c>
      <c r="H432" s="30" t="n">
        <f aca="false">Panel!D407-Panel!D406</f>
        <v>0.00860489685433663</v>
      </c>
      <c r="I432" s="30" t="n">
        <f aca="false">Panel!D406-Panel!D405</f>
        <v>-0.00368533372459012</v>
      </c>
      <c r="L432" s="30" t="n">
        <f aca="false">Panel!E406-Panel!E405</f>
        <v>-0.00273109795961979</v>
      </c>
      <c r="M432" s="29" t="n">
        <f aca="false">Panel!E405</f>
        <v>5.61673473336904</v>
      </c>
    </row>
    <row r="433" customFormat="false" ht="15" hidden="false" customHeight="false" outlineLevel="0" collapsed="false">
      <c r="C433" s="0" t="n">
        <f aca="false">Panel!D412-Panel!D411</f>
        <v>-0.0159117821326138</v>
      </c>
      <c r="D433" s="29" t="n">
        <f aca="false">Panel!D411</f>
        <v>10.0867045416442</v>
      </c>
      <c r="E433" s="30" t="n">
        <f aca="false">Panel!D411-Panel!D410</f>
        <v>-0.0102876367547999</v>
      </c>
      <c r="F433" s="30" t="n">
        <f aca="false">Panel!D410-Panel!D409</f>
        <v>-0.00542614772179029</v>
      </c>
      <c r="G433" s="30" t="n">
        <f aca="false">Panel!D409-Panel!D408</f>
        <v>-0.012957676032979</v>
      </c>
      <c r="H433" s="30" t="n">
        <f aca="false">Panel!D408-Panel!D407</f>
        <v>-0.00563936291091771</v>
      </c>
      <c r="I433" s="30" t="n">
        <f aca="false">Panel!D407-Panel!D406</f>
        <v>0.00860489685433663</v>
      </c>
      <c r="L433" s="30" t="n">
        <f aca="false">Panel!E407-Panel!E406</f>
        <v>0.00770072821117918</v>
      </c>
      <c r="M433" s="29" t="n">
        <f aca="false">Panel!E406</f>
        <v>5.61400363540942</v>
      </c>
    </row>
    <row r="434" customFormat="false" ht="15" hidden="false" customHeight="false" outlineLevel="0" collapsed="false">
      <c r="C434" s="0" t="n">
        <f aca="false">Panel!D413-Panel!D412</f>
        <v>0.00530265763084259</v>
      </c>
      <c r="D434" s="29" t="n">
        <f aca="false">Panel!D412</f>
        <v>10.0707927595116</v>
      </c>
      <c r="E434" s="30" t="n">
        <f aca="false">Panel!D412-Panel!D411</f>
        <v>-0.0159117821326138</v>
      </c>
      <c r="F434" s="30" t="n">
        <f aca="false">Panel!D411-Panel!D410</f>
        <v>-0.0102876367547999</v>
      </c>
      <c r="G434" s="30" t="n">
        <f aca="false">Panel!D410-Panel!D409</f>
        <v>-0.00542614772179029</v>
      </c>
      <c r="H434" s="30" t="n">
        <f aca="false">Panel!D409-Panel!D408</f>
        <v>-0.012957676032979</v>
      </c>
      <c r="I434" s="30" t="n">
        <f aca="false">Panel!D408-Panel!D407</f>
        <v>-0.00563936291091771</v>
      </c>
      <c r="L434" s="30" t="n">
        <f aca="false">Panel!E408-Panel!E407</f>
        <v>-0.00318933294409707</v>
      </c>
      <c r="M434" s="29" t="n">
        <f aca="false">Panel!E407</f>
        <v>5.62170436362059</v>
      </c>
    </row>
    <row r="435" customFormat="false" ht="15" hidden="false" customHeight="false" outlineLevel="0" collapsed="false">
      <c r="C435" s="0" t="n">
        <f aca="false">Panel!D414-Panel!D413</f>
        <v>0.000172485964908375</v>
      </c>
      <c r="D435" s="29" t="n">
        <f aca="false">Panel!D413</f>
        <v>10.0760954171424</v>
      </c>
      <c r="E435" s="30" t="n">
        <f aca="false">Panel!D413-Panel!D412</f>
        <v>0.00530265763084259</v>
      </c>
      <c r="F435" s="30" t="n">
        <f aca="false">Panel!D412-Panel!D411</f>
        <v>-0.0159117821326138</v>
      </c>
      <c r="G435" s="30" t="n">
        <f aca="false">Panel!D411-Panel!D410</f>
        <v>-0.0102876367547999</v>
      </c>
      <c r="H435" s="30" t="n">
        <f aca="false">Panel!D410-Panel!D409</f>
        <v>-0.00542614772179029</v>
      </c>
      <c r="I435" s="30" t="n">
        <f aca="false">Panel!D409-Panel!D408</f>
        <v>-0.012957676032979</v>
      </c>
      <c r="L435" s="30" t="n">
        <f aca="false">Panel!E409-Panel!E408</f>
        <v>-0.0121616457962883</v>
      </c>
      <c r="M435" s="29" t="n">
        <f aca="false">Panel!E408</f>
        <v>5.6185150306765</v>
      </c>
    </row>
    <row r="436" customFormat="false" ht="15" hidden="false" customHeight="false" outlineLevel="0" collapsed="false">
      <c r="C436" s="0" t="n">
        <f aca="false">Panel!D415-Panel!D414</f>
        <v>-0.000982726608603102</v>
      </c>
      <c r="D436" s="29" t="n">
        <f aca="false">Panel!D414</f>
        <v>10.0762679031074</v>
      </c>
      <c r="E436" s="30" t="n">
        <f aca="false">Panel!D414-Panel!D413</f>
        <v>0.000172485964908375</v>
      </c>
      <c r="F436" s="30" t="n">
        <f aca="false">Panel!D413-Panel!D412</f>
        <v>0.00530265763084259</v>
      </c>
      <c r="G436" s="30" t="n">
        <f aca="false">Panel!D412-Panel!D411</f>
        <v>-0.0159117821326138</v>
      </c>
      <c r="H436" s="30" t="n">
        <f aca="false">Panel!D411-Panel!D410</f>
        <v>-0.0102876367547999</v>
      </c>
      <c r="I436" s="30" t="n">
        <f aca="false">Panel!D410-Panel!D409</f>
        <v>-0.00542614772179029</v>
      </c>
      <c r="L436" s="30" t="n">
        <f aca="false">Panel!E410-Panel!E409</f>
        <v>-0.00486206711247394</v>
      </c>
      <c r="M436" s="29" t="n">
        <f aca="false">Panel!E409</f>
        <v>5.60635338488021</v>
      </c>
    </row>
    <row r="437" customFormat="false" ht="15" hidden="false" customHeight="false" outlineLevel="0" collapsed="false">
      <c r="C437" s="0" t="n">
        <f aca="false">Panel!D416-Panel!D415</f>
        <v>0.0108551279801645</v>
      </c>
      <c r="D437" s="29" t="n">
        <f aca="false">Panel!D415</f>
        <v>10.0752851764987</v>
      </c>
      <c r="E437" s="30" t="n">
        <f aca="false">Panel!D415-Panel!D414</f>
        <v>-0.000982726608603102</v>
      </c>
      <c r="F437" s="30" t="n">
        <f aca="false">Panel!D414-Panel!D413</f>
        <v>0.000172485964908375</v>
      </c>
      <c r="G437" s="30" t="n">
        <f aca="false">Panel!D413-Panel!D412</f>
        <v>0.00530265763084259</v>
      </c>
      <c r="H437" s="30" t="n">
        <f aca="false">Panel!D412-Panel!D411</f>
        <v>-0.0159117821326138</v>
      </c>
      <c r="I437" s="30" t="n">
        <f aca="false">Panel!D411-Panel!D410</f>
        <v>-0.0102876367547999</v>
      </c>
      <c r="L437" s="30" t="n">
        <f aca="false">Panel!E411-Panel!E410</f>
        <v>-0.00864040381881548</v>
      </c>
      <c r="M437" s="29" t="n">
        <f aca="false">Panel!E410</f>
        <v>5.60149131776774</v>
      </c>
    </row>
    <row r="438" customFormat="false" ht="15" hidden="false" customHeight="false" outlineLevel="0" collapsed="false">
      <c r="C438" s="0" t="n">
        <f aca="false">Panel!D417-Panel!D416</f>
        <v>-0.00752366573033569</v>
      </c>
      <c r="D438" s="29" t="n">
        <f aca="false">Panel!D416</f>
        <v>10.0861403044789</v>
      </c>
      <c r="E438" s="30" t="n">
        <f aca="false">Panel!D416-Panel!D415</f>
        <v>0.0108551279801645</v>
      </c>
      <c r="F438" s="30" t="n">
        <f aca="false">Panel!D415-Panel!D414</f>
        <v>-0.000982726608603102</v>
      </c>
      <c r="G438" s="30" t="n">
        <f aca="false">Panel!D414-Panel!D413</f>
        <v>0.000172485964908375</v>
      </c>
      <c r="H438" s="30" t="n">
        <f aca="false">Panel!D413-Panel!D412</f>
        <v>0.00530265763084259</v>
      </c>
      <c r="I438" s="30" t="n">
        <f aca="false">Panel!D412-Panel!D411</f>
        <v>-0.0159117821326138</v>
      </c>
      <c r="L438" s="30" t="n">
        <f aca="false">Panel!E412-Panel!E411</f>
        <v>-0.00954259276059322</v>
      </c>
      <c r="M438" s="29" t="n">
        <f aca="false">Panel!E411</f>
        <v>5.59285091394892</v>
      </c>
    </row>
    <row r="439" customFormat="false" ht="15" hidden="false" customHeight="false" outlineLevel="0" collapsed="false">
      <c r="C439" s="0" t="n">
        <f aca="false">Panel!D418-Panel!D417</f>
        <v>-0.000367282481080977</v>
      </c>
      <c r="D439" s="29" t="n">
        <f aca="false">Panel!D417</f>
        <v>10.0786166387486</v>
      </c>
      <c r="E439" s="30" t="n">
        <f aca="false">Panel!D417-Panel!D416</f>
        <v>-0.00752366573033569</v>
      </c>
      <c r="F439" s="30" t="n">
        <f aca="false">Panel!D416-Panel!D415</f>
        <v>0.0108551279801645</v>
      </c>
      <c r="G439" s="30" t="n">
        <f aca="false">Panel!D415-Panel!D414</f>
        <v>-0.000982726608603102</v>
      </c>
      <c r="H439" s="30" t="n">
        <f aca="false">Panel!D414-Panel!D413</f>
        <v>0.000172485964908375</v>
      </c>
      <c r="I439" s="30" t="n">
        <f aca="false">Panel!D413-Panel!D412</f>
        <v>0.00530265763084259</v>
      </c>
      <c r="L439" s="30" t="n">
        <f aca="false">Panel!E413-Panel!E412</f>
        <v>0</v>
      </c>
      <c r="M439" s="29" t="n">
        <f aca="false">Panel!E412</f>
        <v>5.58330832118833</v>
      </c>
    </row>
    <row r="440" customFormat="false" ht="15" hidden="false" customHeight="false" outlineLevel="0" collapsed="false">
      <c r="C440" s="0" t="n">
        <f aca="false">Panel!D419-Panel!D418</f>
        <v>0.00396998421202888</v>
      </c>
      <c r="D440" s="29" t="n">
        <f aca="false">Panel!D418</f>
        <v>10.0782493562675</v>
      </c>
      <c r="E440" s="30" t="n">
        <f aca="false">Panel!D418-Panel!D417</f>
        <v>-0.000367282481080977</v>
      </c>
      <c r="F440" s="30" t="n">
        <f aca="false">Panel!D417-Panel!D416</f>
        <v>-0.00752366573033569</v>
      </c>
      <c r="G440" s="30" t="n">
        <f aca="false">Panel!D416-Panel!D415</f>
        <v>0.0108551279801645</v>
      </c>
      <c r="H440" s="30" t="n">
        <f aca="false">Panel!D415-Panel!D414</f>
        <v>-0.000982726608603102</v>
      </c>
      <c r="I440" s="30" t="n">
        <f aca="false">Panel!D414-Panel!D413</f>
        <v>0.000172485964908375</v>
      </c>
      <c r="L440" s="30" t="n">
        <f aca="false">Panel!E414-Panel!E413</f>
        <v>-0.000978105562893461</v>
      </c>
      <c r="M440" s="29" t="n">
        <f aca="false">Panel!E413</f>
        <v>5.58330832118833</v>
      </c>
    </row>
    <row r="441" customFormat="false" ht="15" hidden="false" customHeight="false" outlineLevel="0" collapsed="false">
      <c r="C441" s="0" t="n">
        <f aca="false">Panel!D420-Panel!D419</f>
        <v>0.0147687175808802</v>
      </c>
      <c r="D441" s="29" t="n">
        <f aca="false">Panel!D419</f>
        <v>10.0822193404795</v>
      </c>
      <c r="E441" s="30" t="n">
        <f aca="false">Panel!D419-Panel!D418</f>
        <v>0.00396998421202888</v>
      </c>
      <c r="F441" s="30" t="n">
        <f aca="false">Panel!D418-Panel!D417</f>
        <v>-0.000367282481080977</v>
      </c>
      <c r="G441" s="30" t="n">
        <f aca="false">Panel!D417-Panel!D416</f>
        <v>-0.00752366573033569</v>
      </c>
      <c r="H441" s="30" t="n">
        <f aca="false">Panel!D416-Panel!D415</f>
        <v>0.0108551279801645</v>
      </c>
      <c r="I441" s="30" t="n">
        <f aca="false">Panel!D415-Panel!D414</f>
        <v>-0.000982726608603102</v>
      </c>
      <c r="L441" s="30" t="n">
        <f aca="false">Panel!E415-Panel!E414</f>
        <v>0.00048917236775381</v>
      </c>
      <c r="M441" s="29" t="n">
        <f aca="false">Panel!E414</f>
        <v>5.58233021562543</v>
      </c>
    </row>
    <row r="442" customFormat="false" ht="15" hidden="false" customHeight="false" outlineLevel="0" collapsed="false">
      <c r="C442" s="0" t="n">
        <f aca="false">Panel!D421-Panel!D420</f>
        <v>-0.00769543986543653</v>
      </c>
      <c r="D442" s="29" t="n">
        <f aca="false">Panel!D420</f>
        <v>10.0969880580604</v>
      </c>
      <c r="E442" s="30" t="n">
        <f aca="false">Panel!D420-Panel!D419</f>
        <v>0.0147687175808802</v>
      </c>
      <c r="F442" s="30" t="n">
        <f aca="false">Panel!D419-Panel!D418</f>
        <v>0.00396998421202888</v>
      </c>
      <c r="G442" s="30" t="n">
        <f aca="false">Panel!D418-Panel!D417</f>
        <v>-0.000367282481080977</v>
      </c>
      <c r="H442" s="30" t="n">
        <f aca="false">Panel!D417-Panel!D416</f>
        <v>-0.00752366573033569</v>
      </c>
      <c r="I442" s="30" t="n">
        <f aca="false">Panel!D416-Panel!D415</f>
        <v>0.0108551279801645</v>
      </c>
      <c r="L442" s="30" t="n">
        <f aca="false">Panel!E416-Panel!E415</f>
        <v>0.00326754717872912</v>
      </c>
      <c r="M442" s="29" t="n">
        <f aca="false">Panel!E415</f>
        <v>5.58281938799319</v>
      </c>
    </row>
    <row r="443" customFormat="false" ht="15" hidden="false" customHeight="false" outlineLevel="0" collapsed="false">
      <c r="C443" s="0" t="n">
        <f aca="false">Panel!D422-Panel!D421</f>
        <v>-0.0148309819335264</v>
      </c>
      <c r="D443" s="29" t="n">
        <f aca="false">Panel!D421</f>
        <v>10.089292618195</v>
      </c>
      <c r="E443" s="30" t="n">
        <f aca="false">Panel!D421-Panel!D420</f>
        <v>-0.00769543986543653</v>
      </c>
      <c r="F443" s="30" t="n">
        <f aca="false">Panel!D420-Panel!D419</f>
        <v>0.0147687175808802</v>
      </c>
      <c r="G443" s="30" t="n">
        <f aca="false">Panel!D419-Panel!D418</f>
        <v>0.00396998421202888</v>
      </c>
      <c r="H443" s="30" t="n">
        <f aca="false">Panel!D418-Panel!D417</f>
        <v>-0.000367282481080977</v>
      </c>
      <c r="I443" s="30" t="n">
        <f aca="false">Panel!D417-Panel!D416</f>
        <v>-0.00752366573033569</v>
      </c>
      <c r="L443" s="30" t="n">
        <f aca="false">Panel!E417-Panel!E416</f>
        <v>-0.00681004193292534</v>
      </c>
      <c r="M443" s="29" t="n">
        <f aca="false">Panel!E416</f>
        <v>5.58608693517192</v>
      </c>
    </row>
    <row r="444" customFormat="false" ht="15" hidden="false" customHeight="false" outlineLevel="0" collapsed="false">
      <c r="C444" s="0" t="n">
        <f aca="false">Panel!D423-Panel!D422</f>
        <v>0.0023676919130402</v>
      </c>
      <c r="D444" s="29" t="n">
        <f aca="false">Panel!D422</f>
        <v>10.0744616362614</v>
      </c>
      <c r="E444" s="30" t="n">
        <f aca="false">Panel!D422-Panel!D421</f>
        <v>-0.0148309819335264</v>
      </c>
      <c r="F444" s="30" t="n">
        <f aca="false">Panel!D421-Panel!D420</f>
        <v>-0.00769543986543653</v>
      </c>
      <c r="G444" s="30" t="n">
        <f aca="false">Panel!D420-Panel!D419</f>
        <v>0.0147687175808802</v>
      </c>
      <c r="H444" s="30" t="n">
        <f aca="false">Panel!D419-Panel!D418</f>
        <v>0.00396998421202888</v>
      </c>
      <c r="I444" s="30" t="n">
        <f aca="false">Panel!D418-Panel!D417</f>
        <v>-0.000367282481080977</v>
      </c>
      <c r="L444" s="30" t="n">
        <f aca="false">Panel!E418-Panel!E417</f>
        <v>-0.000377600729479788</v>
      </c>
      <c r="M444" s="29" t="n">
        <f aca="false">Panel!E417</f>
        <v>5.57927689323899</v>
      </c>
    </row>
    <row r="445" customFormat="false" ht="15" hidden="false" customHeight="false" outlineLevel="0" collapsed="false">
      <c r="C445" s="0" t="n">
        <f aca="false">Panel!D424-Panel!D423</f>
        <v>-0.000233363153018473</v>
      </c>
      <c r="D445" s="29" t="n">
        <f aca="false">Panel!D423</f>
        <v>10.0768293281745</v>
      </c>
      <c r="E445" s="30" t="n">
        <f aca="false">Panel!D423-Panel!D422</f>
        <v>0.0023676919130402</v>
      </c>
      <c r="F445" s="30" t="n">
        <f aca="false">Panel!D422-Panel!D421</f>
        <v>-0.0148309819335264</v>
      </c>
      <c r="G445" s="30" t="n">
        <f aca="false">Panel!D421-Panel!D420</f>
        <v>-0.00769543986543653</v>
      </c>
      <c r="H445" s="30" t="n">
        <f aca="false">Panel!D420-Panel!D419</f>
        <v>0.0147687175808802</v>
      </c>
      <c r="I445" s="30" t="n">
        <f aca="false">Panel!D419-Panel!D418</f>
        <v>0.00396998421202888</v>
      </c>
      <c r="L445" s="30" t="n">
        <f aca="false">Panel!E419-Panel!E418</f>
        <v>0.00497288547413266</v>
      </c>
      <c r="M445" s="29" t="n">
        <f aca="false">Panel!E418</f>
        <v>5.57889929250951</v>
      </c>
    </row>
    <row r="446" customFormat="false" ht="15" hidden="false" customHeight="false" outlineLevel="0" collapsed="false">
      <c r="C446" s="0" t="n">
        <f aca="false">Panel!D425-Panel!D424</f>
        <v>-0.00479915434362255</v>
      </c>
      <c r="D446" s="29" t="n">
        <f aca="false">Panel!D424</f>
        <v>10.0765959650215</v>
      </c>
      <c r="E446" s="30" t="n">
        <f aca="false">Panel!D424-Panel!D423</f>
        <v>-0.000233363153018473</v>
      </c>
      <c r="F446" s="30" t="n">
        <f aca="false">Panel!D423-Panel!D422</f>
        <v>0.0023676919130402</v>
      </c>
      <c r="G446" s="30" t="n">
        <f aca="false">Panel!D422-Panel!D421</f>
        <v>-0.0148309819335264</v>
      </c>
      <c r="H446" s="30" t="n">
        <f aca="false">Panel!D421-Panel!D420</f>
        <v>-0.00769543986543653</v>
      </c>
      <c r="I446" s="30" t="n">
        <f aca="false">Panel!D420-Panel!D419</f>
        <v>0.0147687175808802</v>
      </c>
      <c r="L446" s="30" t="n">
        <f aca="false">Panel!E420-Panel!E419</f>
        <v>0.0141793420403156</v>
      </c>
      <c r="M446" s="29" t="n">
        <f aca="false">Panel!E419</f>
        <v>5.58387217798364</v>
      </c>
    </row>
    <row r="447" customFormat="false" ht="15" hidden="false" customHeight="false" outlineLevel="0" collapsed="false">
      <c r="C447" s="0" t="n">
        <f aca="false">Panel!D426-Panel!D425</f>
        <v>-0.00623505251894407</v>
      </c>
      <c r="D447" s="29" t="n">
        <f aca="false">Panel!D425</f>
        <v>10.0717968106778</v>
      </c>
      <c r="E447" s="30" t="n">
        <f aca="false">Panel!D425-Panel!D424</f>
        <v>-0.00479915434362255</v>
      </c>
      <c r="F447" s="30" t="n">
        <f aca="false">Panel!D424-Panel!D423</f>
        <v>-0.000233363153018473</v>
      </c>
      <c r="G447" s="30" t="n">
        <f aca="false">Panel!D423-Panel!D422</f>
        <v>0.0023676919130402</v>
      </c>
      <c r="H447" s="30" t="n">
        <f aca="false">Panel!D422-Panel!D421</f>
        <v>-0.0148309819335264</v>
      </c>
      <c r="I447" s="30" t="n">
        <f aca="false">Panel!D421-Panel!D420</f>
        <v>-0.00769543986543653</v>
      </c>
      <c r="L447" s="30" t="n">
        <f aca="false">Panel!E421-Panel!E420</f>
        <v>-0.00389791676827134</v>
      </c>
      <c r="M447" s="29" t="n">
        <f aca="false">Panel!E420</f>
        <v>5.59805152002396</v>
      </c>
    </row>
    <row r="448" customFormat="false" ht="15" hidden="false" customHeight="false" outlineLevel="0" collapsed="false">
      <c r="C448" s="0" t="n">
        <f aca="false">Panel!D427-Panel!D426</f>
        <v>-0.0149524566675563</v>
      </c>
      <c r="D448" s="29" t="n">
        <f aca="false">Panel!D426</f>
        <v>10.0655617581589</v>
      </c>
      <c r="E448" s="30" t="n">
        <f aca="false">Panel!D426-Panel!D425</f>
        <v>-0.00623505251894407</v>
      </c>
      <c r="F448" s="30" t="n">
        <f aca="false">Panel!D425-Panel!D424</f>
        <v>-0.00479915434362255</v>
      </c>
      <c r="G448" s="30" t="n">
        <f aca="false">Panel!D424-Panel!D423</f>
        <v>-0.000233363153018473</v>
      </c>
      <c r="H448" s="30" t="n">
        <f aca="false">Panel!D423-Panel!D422</f>
        <v>0.0023676919130402</v>
      </c>
      <c r="I448" s="30" t="n">
        <f aca="false">Panel!D422-Panel!D421</f>
        <v>-0.0148309819335264</v>
      </c>
      <c r="L448" s="30" t="n">
        <f aca="false">Panel!E422-Panel!E421</f>
        <v>-0.0163123519573336</v>
      </c>
      <c r="M448" s="29" t="n">
        <f aca="false">Panel!E421</f>
        <v>5.59415360325569</v>
      </c>
    </row>
    <row r="449" customFormat="false" ht="15" hidden="false" customHeight="false" outlineLevel="0" collapsed="false">
      <c r="C449" s="0" t="n">
        <f aca="false">Panel!D428-Panel!D427</f>
        <v>0.0047363048121607</v>
      </c>
      <c r="D449" s="29" t="n">
        <f aca="false">Panel!D427</f>
        <v>10.0506093014913</v>
      </c>
      <c r="E449" s="30" t="n">
        <f aca="false">Panel!D427-Panel!D426</f>
        <v>-0.0149524566675563</v>
      </c>
      <c r="F449" s="30" t="n">
        <f aca="false">Panel!D426-Panel!D425</f>
        <v>-0.00623505251894407</v>
      </c>
      <c r="G449" s="30" t="n">
        <f aca="false">Panel!D425-Panel!D424</f>
        <v>-0.00479915434362255</v>
      </c>
      <c r="H449" s="30" t="n">
        <f aca="false">Panel!D424-Panel!D423</f>
        <v>-0.000233363153018473</v>
      </c>
      <c r="I449" s="30" t="n">
        <f aca="false">Panel!D423-Panel!D422</f>
        <v>0.0023676919130402</v>
      </c>
      <c r="L449" s="30" t="n">
        <f aca="false">Panel!E423-Panel!E422</f>
        <v>0.00415016630392451</v>
      </c>
      <c r="M449" s="29" t="n">
        <f aca="false">Panel!E422</f>
        <v>5.57784125129835</v>
      </c>
    </row>
    <row r="450" customFormat="false" ht="15" hidden="false" customHeight="false" outlineLevel="0" collapsed="false">
      <c r="C450" s="0" t="n">
        <f aca="false">Panel!D429-Panel!D428</f>
        <v>-0.000189022111854342</v>
      </c>
      <c r="D450" s="29" t="n">
        <f aca="false">Panel!D428</f>
        <v>10.0553456063035</v>
      </c>
      <c r="E450" s="30" t="n">
        <f aca="false">Panel!D428-Panel!D427</f>
        <v>0.0047363048121607</v>
      </c>
      <c r="F450" s="30" t="n">
        <f aca="false">Panel!D427-Panel!D426</f>
        <v>-0.0149524566675563</v>
      </c>
      <c r="G450" s="30" t="n">
        <f aca="false">Panel!D426-Panel!D425</f>
        <v>-0.00623505251894407</v>
      </c>
      <c r="H450" s="30" t="n">
        <f aca="false">Panel!D425-Panel!D424</f>
        <v>-0.00479915434362255</v>
      </c>
      <c r="I450" s="30" t="n">
        <f aca="false">Panel!D424-Panel!D423</f>
        <v>-0.000233363153018473</v>
      </c>
      <c r="L450" s="30" t="n">
        <f aca="false">Panel!E424-Panel!E423</f>
        <v>-0.00226159161605644</v>
      </c>
      <c r="M450" s="29" t="n">
        <f aca="false">Panel!E423</f>
        <v>5.58199141760228</v>
      </c>
    </row>
    <row r="451" customFormat="false" ht="15" hidden="false" customHeight="false" outlineLevel="0" collapsed="false">
      <c r="C451" s="0" t="n">
        <f aca="false">Panel!D430-Panel!D429</f>
        <v>0.00577265543321026</v>
      </c>
      <c r="D451" s="29" t="n">
        <f aca="false">Panel!D429</f>
        <v>10.0551565841916</v>
      </c>
      <c r="E451" s="30" t="n">
        <f aca="false">Panel!D429-Panel!D428</f>
        <v>-0.000189022111854342</v>
      </c>
      <c r="F451" s="30" t="n">
        <f aca="false">Panel!D428-Panel!D427</f>
        <v>0.0047363048121607</v>
      </c>
      <c r="G451" s="30" t="n">
        <f aca="false">Panel!D427-Panel!D426</f>
        <v>-0.0149524566675563</v>
      </c>
      <c r="H451" s="30" t="n">
        <f aca="false">Panel!D426-Panel!D425</f>
        <v>-0.00623505251894407</v>
      </c>
      <c r="I451" s="30" t="n">
        <f aca="false">Panel!D425-Panel!D424</f>
        <v>-0.00479915434362255</v>
      </c>
      <c r="L451" s="30" t="n">
        <f aca="false">Panel!E425-Panel!E424</f>
        <v>-0.00567645800480499</v>
      </c>
      <c r="M451" s="29" t="n">
        <f aca="false">Panel!E424</f>
        <v>5.57972982598622</v>
      </c>
    </row>
    <row r="452" customFormat="false" ht="15" hidden="false" customHeight="false" outlineLevel="0" collapsed="false">
      <c r="C452" s="0" t="n">
        <f aca="false">Panel!D431-Panel!D430</f>
        <v>-0.00619808586563764</v>
      </c>
      <c r="D452" s="29" t="n">
        <f aca="false">Panel!D430</f>
        <v>10.0609292396249</v>
      </c>
      <c r="E452" s="30" t="n">
        <f aca="false">Panel!D430-Panel!D429</f>
        <v>0.00577265543321026</v>
      </c>
      <c r="F452" s="30" t="n">
        <f aca="false">Panel!D429-Panel!D428</f>
        <v>-0.000189022111854342</v>
      </c>
      <c r="G452" s="30" t="n">
        <f aca="false">Panel!D428-Panel!D427</f>
        <v>0.0047363048121607</v>
      </c>
      <c r="H452" s="30" t="n">
        <f aca="false">Panel!D427-Panel!D426</f>
        <v>-0.0149524566675563</v>
      </c>
      <c r="I452" s="30" t="n">
        <f aca="false">Panel!D426-Panel!D425</f>
        <v>-0.00623505251894407</v>
      </c>
      <c r="L452" s="30" t="n">
        <f aca="false">Panel!E426-Panel!E425</f>
        <v>-0.00083526334633266</v>
      </c>
      <c r="M452" s="29" t="n">
        <f aca="false">Panel!E425</f>
        <v>5.57405336798142</v>
      </c>
    </row>
    <row r="453" customFormat="false" ht="15" hidden="false" customHeight="false" outlineLevel="0" collapsed="false">
      <c r="C453" s="0" t="n">
        <f aca="false">Panel!D432-Panel!D431</f>
        <v>0.00522154102563555</v>
      </c>
      <c r="D453" s="29" t="n">
        <f aca="false">Panel!D431</f>
        <v>10.0547311537592</v>
      </c>
      <c r="E453" s="30" t="n">
        <f aca="false">Panel!D431-Panel!D430</f>
        <v>-0.00619808586563764</v>
      </c>
      <c r="F453" s="30" t="n">
        <f aca="false">Panel!D430-Panel!D429</f>
        <v>0.00577265543321026</v>
      </c>
      <c r="G453" s="30" t="n">
        <f aca="false">Panel!D429-Panel!D428</f>
        <v>-0.000189022111854342</v>
      </c>
      <c r="H453" s="30" t="n">
        <f aca="false">Panel!D428-Panel!D427</f>
        <v>0.0047363048121607</v>
      </c>
      <c r="I453" s="30" t="n">
        <f aca="false">Panel!D427-Panel!D426</f>
        <v>-0.0149524566675563</v>
      </c>
      <c r="L453" s="30" t="n">
        <f aca="false">Panel!E427-Panel!E426</f>
        <v>-0.0173944081453286</v>
      </c>
      <c r="M453" s="29" t="n">
        <f aca="false">Panel!E426</f>
        <v>5.57321810463508</v>
      </c>
    </row>
    <row r="454" customFormat="false" ht="15" hidden="false" customHeight="false" outlineLevel="0" collapsed="false">
      <c r="C454" s="0" t="n">
        <f aca="false">Panel!D433-Panel!D432</f>
        <v>-0.0119557910207515</v>
      </c>
      <c r="D454" s="29" t="n">
        <f aca="false">Panel!D432</f>
        <v>10.0599526947849</v>
      </c>
      <c r="E454" s="30" t="n">
        <f aca="false">Panel!D432-Panel!D431</f>
        <v>0.00522154102563555</v>
      </c>
      <c r="F454" s="30" t="n">
        <f aca="false">Panel!D431-Panel!D430</f>
        <v>-0.00619808586563764</v>
      </c>
      <c r="G454" s="30" t="n">
        <f aca="false">Panel!D430-Panel!D429</f>
        <v>0.00577265543321026</v>
      </c>
      <c r="H454" s="30" t="n">
        <f aca="false">Panel!D429-Panel!D428</f>
        <v>-0.000189022111854342</v>
      </c>
      <c r="I454" s="30" t="n">
        <f aca="false">Panel!D428-Panel!D427</f>
        <v>0.0047363048121607</v>
      </c>
      <c r="L454" s="30" t="n">
        <f aca="false">Panel!E428-Panel!E427</f>
        <v>0.00362640727652508</v>
      </c>
      <c r="M454" s="29" t="n">
        <f aca="false">Panel!E427</f>
        <v>5.55582369648976</v>
      </c>
    </row>
    <row r="455" customFormat="false" ht="15" hidden="false" customHeight="false" outlineLevel="0" collapsed="false">
      <c r="C455" s="0" t="n">
        <f aca="false">Panel!D434-Panel!D433</f>
        <v>0.00382444327771658</v>
      </c>
      <c r="D455" s="29" t="n">
        <f aca="false">Panel!D433</f>
        <v>10.0479969037641</v>
      </c>
      <c r="E455" s="30" t="n">
        <f aca="false">Panel!D433-Panel!D432</f>
        <v>-0.0119557910207515</v>
      </c>
      <c r="F455" s="30" t="n">
        <f aca="false">Panel!D432-Panel!D431</f>
        <v>0.00522154102563555</v>
      </c>
      <c r="G455" s="30" t="n">
        <f aca="false">Panel!D431-Panel!D430</f>
        <v>-0.00619808586563764</v>
      </c>
      <c r="H455" s="30" t="n">
        <f aca="false">Panel!D430-Panel!D429</f>
        <v>0.00577265543321026</v>
      </c>
      <c r="I455" s="30" t="n">
        <f aca="false">Panel!D429-Panel!D428</f>
        <v>-0.000189022111854342</v>
      </c>
      <c r="L455" s="30" t="n">
        <f aca="false">Panel!E429-Panel!E428</f>
        <v>0.000115520129511104</v>
      </c>
      <c r="M455" s="29" t="n">
        <f aca="false">Panel!E428</f>
        <v>5.55945010376628</v>
      </c>
    </row>
    <row r="456" customFormat="false" ht="15" hidden="false" customHeight="false" outlineLevel="0" collapsed="false">
      <c r="C456" s="0" t="n">
        <f aca="false">Panel!D435-Panel!D434</f>
        <v>0.00296997958547252</v>
      </c>
      <c r="D456" s="29" t="n">
        <f aca="false">Panel!D434</f>
        <v>10.0518213470418</v>
      </c>
      <c r="E456" s="30" t="n">
        <f aca="false">Panel!D434-Panel!D433</f>
        <v>0.00382444327771658</v>
      </c>
      <c r="F456" s="30" t="n">
        <f aca="false">Panel!D433-Panel!D432</f>
        <v>-0.0119557910207515</v>
      </c>
      <c r="G456" s="30" t="n">
        <f aca="false">Panel!D432-Panel!D431</f>
        <v>0.00522154102563555</v>
      </c>
      <c r="H456" s="30" t="n">
        <f aca="false">Panel!D431-Panel!D430</f>
        <v>-0.00619808586563764</v>
      </c>
      <c r="I456" s="30" t="n">
        <f aca="false">Panel!D430-Panel!D429</f>
        <v>0.00577265543321026</v>
      </c>
      <c r="L456" s="30" t="n">
        <f aca="false">Panel!E430-Panel!E429</f>
        <v>0.00476319419363058</v>
      </c>
      <c r="M456" s="29" t="n">
        <f aca="false">Panel!E429</f>
        <v>5.55956562389579</v>
      </c>
    </row>
    <row r="457" customFormat="false" ht="15" hidden="false" customHeight="false" outlineLevel="0" collapsed="false">
      <c r="C457" s="0" t="n">
        <f aca="false">Panel!D436-Panel!D435</f>
        <v>-0.00659755309190757</v>
      </c>
      <c r="D457" s="29" t="n">
        <f aca="false">Panel!D435</f>
        <v>10.0547913266273</v>
      </c>
      <c r="E457" s="30" t="n">
        <f aca="false">Panel!D435-Panel!D434</f>
        <v>0.00296997958547252</v>
      </c>
      <c r="F457" s="30" t="n">
        <f aca="false">Panel!D434-Panel!D433</f>
        <v>0.00382444327771658</v>
      </c>
      <c r="G457" s="30" t="n">
        <f aca="false">Panel!D433-Panel!D432</f>
        <v>-0.0119557910207515</v>
      </c>
      <c r="H457" s="30" t="n">
        <f aca="false">Panel!D432-Panel!D431</f>
        <v>0.00522154102563555</v>
      </c>
      <c r="I457" s="30" t="n">
        <f aca="false">Panel!D431-Panel!D430</f>
        <v>-0.00619808586563764</v>
      </c>
      <c r="L457" s="30" t="n">
        <f aca="false">Panel!E431-Panel!E430</f>
        <v>-0.00391645409223518</v>
      </c>
      <c r="M457" s="29" t="n">
        <f aca="false">Panel!E430</f>
        <v>5.56432881808942</v>
      </c>
    </row>
    <row r="458" customFormat="false" ht="15" hidden="false" customHeight="false" outlineLevel="0" collapsed="false">
      <c r="C458" s="0" t="n">
        <f aca="false">Panel!D437-Panel!D436</f>
        <v>-0.0122798136461597</v>
      </c>
      <c r="D458" s="29" t="n">
        <f aca="false">Panel!D436</f>
        <v>10.0481937735354</v>
      </c>
      <c r="E458" s="30" t="n">
        <f aca="false">Panel!D436-Panel!D435</f>
        <v>-0.00659755309190757</v>
      </c>
      <c r="F458" s="30" t="n">
        <f aca="false">Panel!D435-Panel!D434</f>
        <v>0.00296997958547252</v>
      </c>
      <c r="G458" s="30" t="n">
        <f aca="false">Panel!D434-Panel!D433</f>
        <v>0.00382444327771658</v>
      </c>
      <c r="H458" s="30" t="n">
        <f aca="false">Panel!D433-Panel!D432</f>
        <v>-0.0119557910207515</v>
      </c>
      <c r="I458" s="30" t="n">
        <f aca="false">Panel!D432-Panel!D431</f>
        <v>0.00522154102563555</v>
      </c>
      <c r="L458" s="30" t="n">
        <f aca="false">Panel!E432-Panel!E431</f>
        <v>0.00518026522496751</v>
      </c>
      <c r="M458" s="29" t="n">
        <f aca="false">Panel!E431</f>
        <v>5.56041236399719</v>
      </c>
    </row>
    <row r="459" customFormat="false" ht="15" hidden="false" customHeight="false" outlineLevel="0" collapsed="false">
      <c r="C459" s="0" t="n">
        <f aca="false">Panel!D438-Panel!D437</f>
        <v>0.00658960471129433</v>
      </c>
      <c r="D459" s="29" t="n">
        <f aca="false">Panel!D437</f>
        <v>10.0359139598892</v>
      </c>
      <c r="E459" s="30" t="n">
        <f aca="false">Panel!D437-Panel!D436</f>
        <v>-0.0122798136461597</v>
      </c>
      <c r="F459" s="30" t="n">
        <f aca="false">Panel!D436-Panel!D435</f>
        <v>-0.00659755309190757</v>
      </c>
      <c r="G459" s="30" t="n">
        <f aca="false">Panel!D435-Panel!D434</f>
        <v>0.00296997958547252</v>
      </c>
      <c r="H459" s="30" t="n">
        <f aca="false">Panel!D434-Panel!D433</f>
        <v>0.00382444327771658</v>
      </c>
      <c r="I459" s="30" t="n">
        <f aca="false">Panel!D433-Panel!D432</f>
        <v>-0.0119557910207515</v>
      </c>
      <c r="L459" s="30" t="n">
        <f aca="false">Panel!E433-Panel!E432</f>
        <v>-0.0113160824182854</v>
      </c>
      <c r="M459" s="29" t="n">
        <f aca="false">Panel!E432</f>
        <v>5.56559262922216</v>
      </c>
    </row>
    <row r="460" customFormat="false" ht="15" hidden="false" customHeight="false" outlineLevel="0" collapsed="false">
      <c r="C460" s="0" t="n">
        <f aca="false">Panel!D439-Panel!D438</f>
        <v>0.00841212200203856</v>
      </c>
      <c r="D460" s="29" t="n">
        <f aca="false">Panel!D438</f>
        <v>10.0425035646005</v>
      </c>
      <c r="E460" s="30" t="n">
        <f aca="false">Panel!D438-Panel!D437</f>
        <v>0.00658960471129433</v>
      </c>
      <c r="F460" s="30" t="n">
        <f aca="false">Panel!D437-Panel!D436</f>
        <v>-0.0122798136461597</v>
      </c>
      <c r="G460" s="30" t="n">
        <f aca="false">Panel!D436-Panel!D435</f>
        <v>-0.00659755309190757</v>
      </c>
      <c r="H460" s="30" t="n">
        <f aca="false">Panel!D435-Panel!D434</f>
        <v>0.00296997958547252</v>
      </c>
      <c r="I460" s="30" t="n">
        <f aca="false">Panel!D434-Panel!D433</f>
        <v>0.00382444327771658</v>
      </c>
      <c r="L460" s="30" t="n">
        <f aca="false">Panel!E434-Panel!E433</f>
        <v>0.00255151489566785</v>
      </c>
      <c r="M460" s="29" t="n">
        <f aca="false">Panel!E433</f>
        <v>5.55427654680387</v>
      </c>
    </row>
    <row r="461" customFormat="false" ht="15" hidden="false" customHeight="false" outlineLevel="0" collapsed="false">
      <c r="C461" s="0" t="n">
        <f aca="false">Panel!D440-Panel!D439</f>
        <v>0.00310171273526549</v>
      </c>
      <c r="D461" s="29" t="n">
        <f aca="false">Panel!D439</f>
        <v>10.0509156866026</v>
      </c>
      <c r="E461" s="30" t="n">
        <f aca="false">Panel!D439-Panel!D438</f>
        <v>0.00841212200203856</v>
      </c>
      <c r="F461" s="30" t="n">
        <f aca="false">Panel!D438-Panel!D437</f>
        <v>0.00658960471129433</v>
      </c>
      <c r="G461" s="30" t="n">
        <f aca="false">Panel!D437-Panel!D436</f>
        <v>-0.0122798136461597</v>
      </c>
      <c r="H461" s="30" t="n">
        <f aca="false">Panel!D436-Panel!D435</f>
        <v>-0.00659755309190757</v>
      </c>
      <c r="I461" s="30" t="n">
        <f aca="false">Panel!D435-Panel!D434</f>
        <v>0.00296997958547252</v>
      </c>
      <c r="L461" s="30" t="n">
        <f aca="false">Panel!E435-Panel!E434</f>
        <v>0.00227540158721951</v>
      </c>
      <c r="M461" s="29" t="n">
        <f aca="false">Panel!E434</f>
        <v>5.55682806169954</v>
      </c>
    </row>
    <row r="462" customFormat="false" ht="15" hidden="false" customHeight="false" outlineLevel="0" collapsed="false">
      <c r="C462" s="0" t="n">
        <f aca="false">Panel!D441-Panel!D440</f>
        <v>0.0167626709724971</v>
      </c>
      <c r="D462" s="29" t="n">
        <f aca="false">Panel!D440</f>
        <v>10.0540173993378</v>
      </c>
      <c r="E462" s="30" t="n">
        <f aca="false">Panel!D440-Panel!D439</f>
        <v>0.00310171273526549</v>
      </c>
      <c r="F462" s="30" t="n">
        <f aca="false">Panel!D439-Panel!D438</f>
        <v>0.00841212200203856</v>
      </c>
      <c r="G462" s="30" t="n">
        <f aca="false">Panel!D438-Panel!D437</f>
        <v>0.00658960471129433</v>
      </c>
      <c r="H462" s="30" t="n">
        <f aca="false">Panel!D437-Panel!D436</f>
        <v>-0.0122798136461597</v>
      </c>
      <c r="I462" s="30" t="n">
        <f aca="false">Panel!D436-Panel!D435</f>
        <v>-0.00659755309190757</v>
      </c>
      <c r="L462" s="30" t="n">
        <f aca="false">Panel!E436-Panel!E435</f>
        <v>-0.00486562591057371</v>
      </c>
      <c r="M462" s="29" t="n">
        <f aca="false">Panel!E435</f>
        <v>5.55910346328676</v>
      </c>
    </row>
    <row r="463" customFormat="false" ht="15" hidden="false" customHeight="false" outlineLevel="0" collapsed="false">
      <c r="C463" s="0" t="n">
        <f aca="false">Panel!D442-Panel!D441</f>
        <v>-0.00347443254479884</v>
      </c>
      <c r="D463" s="29" t="n">
        <f aca="false">Panel!D441</f>
        <v>10.0707800703103</v>
      </c>
      <c r="E463" s="30" t="n">
        <f aca="false">Panel!D441-Panel!D440</f>
        <v>0.0167626709724971</v>
      </c>
      <c r="F463" s="30" t="n">
        <f aca="false">Panel!D440-Panel!D439</f>
        <v>0.00310171273526549</v>
      </c>
      <c r="G463" s="30" t="n">
        <f aca="false">Panel!D439-Panel!D438</f>
        <v>0.00841212200203856</v>
      </c>
      <c r="H463" s="30" t="n">
        <f aca="false">Panel!D438-Panel!D437</f>
        <v>0.00658960471129433</v>
      </c>
      <c r="I463" s="30" t="n">
        <f aca="false">Panel!D437-Panel!D436</f>
        <v>-0.0122798136461597</v>
      </c>
      <c r="L463" s="30" t="n">
        <f aca="false">Panel!E437-Panel!E436</f>
        <v>-0.00808430692356499</v>
      </c>
      <c r="M463" s="29" t="n">
        <f aca="false">Panel!E436</f>
        <v>5.55423783737618</v>
      </c>
    </row>
    <row r="464" customFormat="false" ht="15" hidden="false" customHeight="false" outlineLevel="0" collapsed="false">
      <c r="C464" s="0" t="n">
        <f aca="false">Panel!D443-Panel!D442</f>
        <v>-0.00510639407457347</v>
      </c>
      <c r="D464" s="29" t="n">
        <f aca="false">Panel!D442</f>
        <v>10.0673056377655</v>
      </c>
      <c r="E464" s="30" t="n">
        <f aca="false">Panel!D442-Panel!D441</f>
        <v>-0.00347443254479884</v>
      </c>
      <c r="F464" s="30" t="n">
        <f aca="false">Panel!D441-Panel!D440</f>
        <v>0.0167626709724971</v>
      </c>
      <c r="G464" s="30" t="n">
        <f aca="false">Panel!D440-Panel!D439</f>
        <v>0.00310171273526549</v>
      </c>
      <c r="H464" s="30" t="n">
        <f aca="false">Panel!D439-Panel!D438</f>
        <v>0.00841212200203856</v>
      </c>
      <c r="I464" s="30" t="n">
        <f aca="false">Panel!D438-Panel!D437</f>
        <v>0.00658960471129433</v>
      </c>
      <c r="L464" s="30" t="n">
        <f aca="false">Panel!E438-Panel!E437</f>
        <v>0.00292255444260192</v>
      </c>
      <c r="M464" s="29" t="n">
        <f aca="false">Panel!E437</f>
        <v>5.54615353045262</v>
      </c>
    </row>
    <row r="465" customFormat="false" ht="15" hidden="false" customHeight="false" outlineLevel="0" collapsed="false">
      <c r="C465" s="0" t="n">
        <f aca="false">Panel!D444-Panel!D443</f>
        <v>0.0148928156490591</v>
      </c>
      <c r="D465" s="29" t="n">
        <f aca="false">Panel!D443</f>
        <v>10.062199243691</v>
      </c>
      <c r="E465" s="30" t="n">
        <f aca="false">Panel!D443-Panel!D442</f>
        <v>-0.00510639407457347</v>
      </c>
      <c r="F465" s="30" t="n">
        <f aca="false">Panel!D442-Panel!D441</f>
        <v>-0.00347443254479884</v>
      </c>
      <c r="G465" s="30" t="n">
        <f aca="false">Panel!D441-Panel!D440</f>
        <v>0.0167626709724971</v>
      </c>
      <c r="H465" s="30" t="n">
        <f aca="false">Panel!D440-Panel!D439</f>
        <v>0.00310171273526549</v>
      </c>
      <c r="I465" s="30" t="n">
        <f aca="false">Panel!D439-Panel!D438</f>
        <v>0.00841212200203856</v>
      </c>
      <c r="L465" s="30" t="n">
        <f aca="false">Panel!E439-Panel!E438</f>
        <v>0.00968061771072293</v>
      </c>
      <c r="M465" s="29" t="n">
        <f aca="false">Panel!E438</f>
        <v>5.54907608489522</v>
      </c>
    </row>
    <row r="466" customFormat="false" ht="15" hidden="false" customHeight="false" outlineLevel="0" collapsed="false">
      <c r="C466" s="0" t="n">
        <f aca="false">Panel!D445-Panel!D444</f>
        <v>-0.00145955646148721</v>
      </c>
      <c r="D466" s="29" t="n">
        <f aca="false">Panel!D444</f>
        <v>10.07709205934</v>
      </c>
      <c r="E466" s="30" t="n">
        <f aca="false">Panel!D444-Panel!D443</f>
        <v>0.0148928156490591</v>
      </c>
      <c r="F466" s="30" t="n">
        <f aca="false">Panel!D443-Panel!D442</f>
        <v>-0.00510639407457347</v>
      </c>
      <c r="G466" s="30" t="n">
        <f aca="false">Panel!D442-Panel!D441</f>
        <v>-0.00347443254479884</v>
      </c>
      <c r="H466" s="30" t="n">
        <f aca="false">Panel!D441-Panel!D440</f>
        <v>0.0167626709724971</v>
      </c>
      <c r="I466" s="30" t="n">
        <f aca="false">Panel!D440-Panel!D439</f>
        <v>0.00310171273526549</v>
      </c>
      <c r="L466" s="30" t="n">
        <f aca="false">Panel!E440-Panel!E439</f>
        <v>0.00461361833351326</v>
      </c>
      <c r="M466" s="29" t="n">
        <f aca="false">Panel!E439</f>
        <v>5.55875670260594</v>
      </c>
    </row>
    <row r="467" customFormat="false" ht="15" hidden="false" customHeight="false" outlineLevel="0" collapsed="false">
      <c r="C467" s="0" t="n">
        <f aca="false">Panel!D446-Panel!D445</f>
        <v>-0.00229669608640748</v>
      </c>
      <c r="D467" s="29" t="n">
        <f aca="false">Panel!D445</f>
        <v>10.0756325028785</v>
      </c>
      <c r="E467" s="30" t="n">
        <f aca="false">Panel!D445-Panel!D444</f>
        <v>-0.00145955646148721</v>
      </c>
      <c r="F467" s="30" t="n">
        <f aca="false">Panel!D444-Panel!D443</f>
        <v>0.0148928156490591</v>
      </c>
      <c r="G467" s="30" t="n">
        <f aca="false">Panel!D443-Panel!D442</f>
        <v>-0.00510639407457347</v>
      </c>
      <c r="H467" s="30" t="n">
        <f aca="false">Panel!D442-Panel!D441</f>
        <v>-0.00347443254479884</v>
      </c>
      <c r="I467" s="30" t="n">
        <f aca="false">Panel!D441-Panel!D440</f>
        <v>0.0167626709724971</v>
      </c>
      <c r="L467" s="30" t="n">
        <f aca="false">Panel!E441-Panel!E440</f>
        <v>0.00859357909589686</v>
      </c>
      <c r="M467" s="29" t="n">
        <f aca="false">Panel!E440</f>
        <v>5.56337032093946</v>
      </c>
    </row>
    <row r="468" customFormat="false" ht="15" hidden="false" customHeight="false" outlineLevel="0" collapsed="false">
      <c r="C468" s="0" t="n">
        <f aca="false">Panel!D447-Panel!D446</f>
        <v>-0.00374077132505946</v>
      </c>
      <c r="D468" s="29" t="n">
        <f aca="false">Panel!D446</f>
        <v>10.0733358067921</v>
      </c>
      <c r="E468" s="30" t="n">
        <f aca="false">Panel!D446-Panel!D445</f>
        <v>-0.00229669608640748</v>
      </c>
      <c r="F468" s="30" t="n">
        <f aca="false">Panel!D445-Panel!D444</f>
        <v>-0.00145955646148721</v>
      </c>
      <c r="G468" s="30" t="n">
        <f aca="false">Panel!D444-Panel!D443</f>
        <v>0.0148928156490591</v>
      </c>
      <c r="H468" s="30" t="n">
        <f aca="false">Panel!D443-Panel!D442</f>
        <v>-0.00510639407457347</v>
      </c>
      <c r="I468" s="30" t="n">
        <f aca="false">Panel!D442-Panel!D441</f>
        <v>-0.00347443254479884</v>
      </c>
      <c r="L468" s="30" t="n">
        <f aca="false">Panel!E442-Panel!E441</f>
        <v>-0.00209384296541959</v>
      </c>
      <c r="M468" s="29" t="n">
        <f aca="false">Panel!E441</f>
        <v>5.57196390003535</v>
      </c>
    </row>
    <row r="469" customFormat="false" ht="15" hidden="false" customHeight="false" outlineLevel="0" collapsed="false">
      <c r="C469" s="0" t="n">
        <f aca="false">Panel!D448-Panel!D447</f>
        <v>-0.00675819644840203</v>
      </c>
      <c r="D469" s="29" t="n">
        <f aca="false">Panel!D447</f>
        <v>10.0695950354671</v>
      </c>
      <c r="E469" s="30" t="n">
        <f aca="false">Panel!D447-Panel!D446</f>
        <v>-0.00374077132505946</v>
      </c>
      <c r="F469" s="30" t="n">
        <f aca="false">Panel!D446-Panel!D445</f>
        <v>-0.00229669608640748</v>
      </c>
      <c r="G469" s="30" t="n">
        <f aca="false">Panel!D445-Panel!D444</f>
        <v>-0.00145955646148721</v>
      </c>
      <c r="H469" s="30" t="n">
        <f aca="false">Panel!D444-Panel!D443</f>
        <v>0.0148928156490591</v>
      </c>
      <c r="I469" s="30" t="n">
        <f aca="false">Panel!D443-Panel!D442</f>
        <v>-0.00510639407457347</v>
      </c>
      <c r="L469" s="30" t="n">
        <f aca="false">Panel!E443-Panel!E442</f>
        <v>-0.00343577356495572</v>
      </c>
      <c r="M469" s="29" t="n">
        <f aca="false">Panel!E442</f>
        <v>5.56987005706993</v>
      </c>
    </row>
    <row r="470" customFormat="false" ht="15" hidden="false" customHeight="false" outlineLevel="0" collapsed="false">
      <c r="C470" s="0" t="n">
        <f aca="false">Panel!D449-Panel!D448</f>
        <v>-0.0135166775127313</v>
      </c>
      <c r="D470" s="29" t="n">
        <f aca="false">Panel!D448</f>
        <v>10.0628368390187</v>
      </c>
      <c r="E470" s="30" t="n">
        <f aca="false">Panel!D448-Panel!D447</f>
        <v>-0.00675819644840203</v>
      </c>
      <c r="F470" s="30" t="n">
        <f aca="false">Panel!D447-Panel!D446</f>
        <v>-0.00374077132505946</v>
      </c>
      <c r="G470" s="30" t="n">
        <f aca="false">Panel!D446-Panel!D445</f>
        <v>-0.00229669608640748</v>
      </c>
      <c r="H470" s="30" t="n">
        <f aca="false">Panel!D445-Panel!D444</f>
        <v>-0.00145955646148721</v>
      </c>
      <c r="I470" s="30" t="n">
        <f aca="false">Panel!D444-Panel!D443</f>
        <v>0.0148928156490591</v>
      </c>
      <c r="L470" s="30" t="n">
        <f aca="false">Panel!E444-Panel!E443</f>
        <v>0.013861420078161</v>
      </c>
      <c r="M470" s="29" t="n">
        <f aca="false">Panel!E443</f>
        <v>5.56643428350498</v>
      </c>
    </row>
    <row r="471" customFormat="false" ht="15" hidden="false" customHeight="false" outlineLevel="0" collapsed="false">
      <c r="C471" s="0" t="n">
        <f aca="false">Panel!D450-Panel!D449</f>
        <v>-0.00034794222781187</v>
      </c>
      <c r="D471" s="29" t="n">
        <f aca="false">Panel!D449</f>
        <v>10.0493201615059</v>
      </c>
      <c r="E471" s="30" t="n">
        <f aca="false">Panel!D449-Panel!D448</f>
        <v>-0.0135166775127313</v>
      </c>
      <c r="F471" s="30" t="n">
        <f aca="false">Panel!D448-Panel!D447</f>
        <v>-0.00675819644840203</v>
      </c>
      <c r="G471" s="30" t="n">
        <f aca="false">Panel!D447-Panel!D446</f>
        <v>-0.00374077132505946</v>
      </c>
      <c r="H471" s="30" t="n">
        <f aca="false">Panel!D446-Panel!D445</f>
        <v>-0.00229669608640748</v>
      </c>
      <c r="I471" s="30" t="n">
        <f aca="false">Panel!D445-Panel!D444</f>
        <v>-0.00145955646148721</v>
      </c>
      <c r="L471" s="30" t="n">
        <f aca="false">Panel!E445-Panel!E444</f>
        <v>0.000377073910953207</v>
      </c>
      <c r="M471" s="29" t="n">
        <f aca="false">Panel!E444</f>
        <v>5.58029570358314</v>
      </c>
    </row>
    <row r="472" customFormat="false" ht="15" hidden="false" customHeight="false" outlineLevel="0" collapsed="false">
      <c r="C472" s="0" t="n">
        <f aca="false">Panel!D451-Panel!D450</f>
        <v>-0.00176534772996817</v>
      </c>
      <c r="D472" s="29" t="n">
        <f aca="false">Panel!D450</f>
        <v>10.0489722192781</v>
      </c>
      <c r="E472" s="30" t="n">
        <f aca="false">Panel!D450-Panel!D449</f>
        <v>-0.00034794222781187</v>
      </c>
      <c r="F472" s="30" t="n">
        <f aca="false">Panel!D449-Panel!D448</f>
        <v>-0.0135166775127313</v>
      </c>
      <c r="G472" s="30" t="n">
        <f aca="false">Panel!D448-Panel!D447</f>
        <v>-0.00675819644840203</v>
      </c>
      <c r="H472" s="30" t="n">
        <f aca="false">Panel!D447-Panel!D446</f>
        <v>-0.00374077132505946</v>
      </c>
      <c r="I472" s="30" t="n">
        <f aca="false">Panel!D446-Panel!D445</f>
        <v>-0.00229669608640748</v>
      </c>
      <c r="L472" s="30" t="n">
        <f aca="false">Panel!E446-Panel!E445</f>
        <v>-0.00252911445985848</v>
      </c>
      <c r="M472" s="29" t="n">
        <f aca="false">Panel!E445</f>
        <v>5.58067277749409</v>
      </c>
    </row>
    <row r="473" customFormat="false" ht="15" hidden="false" customHeight="false" outlineLevel="0" collapsed="false">
      <c r="C473" s="0" t="n">
        <f aca="false">Panel!D452-Panel!D451</f>
        <v>-0.00496005306193759</v>
      </c>
      <c r="D473" s="29" t="n">
        <f aca="false">Panel!D451</f>
        <v>10.0472068715481</v>
      </c>
      <c r="E473" s="30" t="n">
        <f aca="false">Panel!D451-Panel!D450</f>
        <v>-0.00176534772996817</v>
      </c>
      <c r="F473" s="30" t="n">
        <f aca="false">Panel!D450-Panel!D449</f>
        <v>-0.00034794222781187</v>
      </c>
      <c r="G473" s="30" t="n">
        <f aca="false">Panel!D449-Panel!D448</f>
        <v>-0.0135166775127313</v>
      </c>
      <c r="H473" s="30" t="n">
        <f aca="false">Panel!D448-Panel!D447</f>
        <v>-0.00675819644840203</v>
      </c>
      <c r="I473" s="30" t="n">
        <f aca="false">Panel!D447-Panel!D446</f>
        <v>-0.00374077132505946</v>
      </c>
      <c r="L473" s="30" t="n">
        <f aca="false">Panel!E447-Panel!E446</f>
        <v>-0.0027629031825569</v>
      </c>
      <c r="M473" s="29" t="n">
        <f aca="false">Panel!E446</f>
        <v>5.57814366303423</v>
      </c>
    </row>
    <row r="474" customFormat="false" ht="15" hidden="false" customHeight="false" outlineLevel="0" collapsed="false">
      <c r="C474" s="0" t="n">
        <f aca="false">Panel!D453-Panel!D452</f>
        <v>0.0028921945087319</v>
      </c>
      <c r="D474" s="29" t="n">
        <f aca="false">Panel!D452</f>
        <v>10.0422468184862</v>
      </c>
      <c r="E474" s="30" t="n">
        <f aca="false">Panel!D452-Panel!D451</f>
        <v>-0.00496005306193759</v>
      </c>
      <c r="F474" s="30" t="n">
        <f aca="false">Panel!D451-Panel!D450</f>
        <v>-0.00176534772996817</v>
      </c>
      <c r="G474" s="30" t="n">
        <f aca="false">Panel!D450-Panel!D449</f>
        <v>-0.00034794222781187</v>
      </c>
      <c r="H474" s="30" t="n">
        <f aca="false">Panel!D449-Panel!D448</f>
        <v>-0.0135166775127313</v>
      </c>
      <c r="I474" s="30" t="n">
        <f aca="false">Panel!D448-Panel!D447</f>
        <v>-0.00675819644840203</v>
      </c>
      <c r="L474" s="30" t="n">
        <f aca="false">Panel!E448-Panel!E447</f>
        <v>-0.00665464952231609</v>
      </c>
      <c r="M474" s="29" t="n">
        <f aca="false">Panel!E447</f>
        <v>5.57538075985168</v>
      </c>
    </row>
    <row r="475" customFormat="false" ht="15" hidden="false" customHeight="false" outlineLevel="0" collapsed="false">
      <c r="C475" s="0" t="n">
        <f aca="false">Panel!D454-Panel!D453</f>
        <v>-0.00406579750624481</v>
      </c>
      <c r="D475" s="29" t="n">
        <f aca="false">Panel!D453</f>
        <v>10.0451390129949</v>
      </c>
      <c r="E475" s="30" t="n">
        <f aca="false">Panel!D453-Panel!D452</f>
        <v>0.0028921945087319</v>
      </c>
      <c r="F475" s="30" t="n">
        <f aca="false">Panel!D452-Panel!D451</f>
        <v>-0.00496005306193759</v>
      </c>
      <c r="G475" s="30" t="n">
        <f aca="false">Panel!D451-Panel!D450</f>
        <v>-0.00176534772996817</v>
      </c>
      <c r="H475" s="30" t="n">
        <f aca="false">Panel!D450-Panel!D449</f>
        <v>-0.00034794222781187</v>
      </c>
      <c r="I475" s="30" t="n">
        <f aca="false">Panel!D449-Panel!D448</f>
        <v>-0.0135166775127313</v>
      </c>
      <c r="L475" s="30" t="n">
        <f aca="false">Panel!E449-Panel!E448</f>
        <v>-0.0126705477026148</v>
      </c>
      <c r="M475" s="29" t="n">
        <f aca="false">Panel!E448</f>
        <v>5.56872611032936</v>
      </c>
    </row>
    <row r="476" customFormat="false" ht="15" hidden="false" customHeight="false" outlineLevel="0" collapsed="false">
      <c r="C476" s="0" t="n">
        <f aca="false">Panel!D455-Panel!D454</f>
        <v>0.000304964386881323</v>
      </c>
      <c r="D476" s="29" t="n">
        <f aca="false">Panel!D454</f>
        <v>10.0410732154887</v>
      </c>
      <c r="E476" s="30" t="n">
        <f aca="false">Panel!D454-Panel!D453</f>
        <v>-0.00406579750624481</v>
      </c>
      <c r="F476" s="30" t="n">
        <f aca="false">Panel!D453-Panel!D452</f>
        <v>0.0028921945087319</v>
      </c>
      <c r="G476" s="30" t="n">
        <f aca="false">Panel!D452-Panel!D451</f>
        <v>-0.00496005306193759</v>
      </c>
      <c r="H476" s="30" t="n">
        <f aca="false">Panel!D451-Panel!D450</f>
        <v>-0.00176534772996817</v>
      </c>
      <c r="I476" s="30" t="n">
        <f aca="false">Panel!D450-Panel!D449</f>
        <v>-0.00034794222781187</v>
      </c>
      <c r="L476" s="30" t="n">
        <f aca="false">Panel!E450-Panel!E449</f>
        <v>-0.000966463784515703</v>
      </c>
      <c r="M476" s="29" t="n">
        <f aca="false">Panel!E449</f>
        <v>5.55605556262675</v>
      </c>
    </row>
    <row r="477" customFormat="false" ht="15" hidden="false" customHeight="false" outlineLevel="0" collapsed="false">
      <c r="C477" s="0" t="n">
        <f aca="false">Panel!D456-Panel!D455</f>
        <v>-0.000963133002050753</v>
      </c>
      <c r="D477" s="29" t="n">
        <f aca="false">Panel!D455</f>
        <v>10.0413781798756</v>
      </c>
      <c r="E477" s="30" t="n">
        <f aca="false">Panel!D455-Panel!D454</f>
        <v>0.000304964386881323</v>
      </c>
      <c r="F477" s="30" t="n">
        <f aca="false">Panel!D454-Panel!D453</f>
        <v>-0.00406579750624481</v>
      </c>
      <c r="G477" s="30" t="n">
        <f aca="false">Panel!D453-Panel!D452</f>
        <v>0.0028921945087319</v>
      </c>
      <c r="H477" s="30" t="n">
        <f aca="false">Panel!D452-Panel!D451</f>
        <v>-0.00496005306193759</v>
      </c>
      <c r="I477" s="30" t="n">
        <f aca="false">Panel!D451-Panel!D450</f>
        <v>-0.00176534772996817</v>
      </c>
      <c r="L477" s="30" t="n">
        <f aca="false">Panel!E451-Panel!E450</f>
        <v>-0.00158702543518885</v>
      </c>
      <c r="M477" s="29" t="n">
        <f aca="false">Panel!E450</f>
        <v>5.55508909884223</v>
      </c>
    </row>
    <row r="478" customFormat="false" ht="15" hidden="false" customHeight="false" outlineLevel="0" collapsed="false">
      <c r="C478" s="0" t="n">
        <f aca="false">Panel!D457-Panel!D456</f>
        <v>-0.00594309254197434</v>
      </c>
      <c r="D478" s="29" t="n">
        <f aca="false">Panel!D456</f>
        <v>10.0404150468735</v>
      </c>
      <c r="E478" s="30" t="n">
        <f aca="false">Panel!D456-Panel!D455</f>
        <v>-0.000963133002050753</v>
      </c>
      <c r="F478" s="30" t="n">
        <f aca="false">Panel!D455-Panel!D454</f>
        <v>0.000304964386881323</v>
      </c>
      <c r="G478" s="30" t="n">
        <f aca="false">Panel!D454-Panel!D453</f>
        <v>-0.00406579750624481</v>
      </c>
      <c r="H478" s="30" t="n">
        <f aca="false">Panel!D453-Panel!D452</f>
        <v>0.0028921945087319</v>
      </c>
      <c r="I478" s="30" t="n">
        <f aca="false">Panel!D452-Panel!D451</f>
        <v>-0.00496005306193759</v>
      </c>
      <c r="L478" s="30" t="n">
        <f aca="false">Panel!E452-Panel!E451</f>
        <v>-0.00477624439678248</v>
      </c>
      <c r="M478" s="29" t="n">
        <f aca="false">Panel!E451</f>
        <v>5.55350207340704</v>
      </c>
    </row>
    <row r="479" customFormat="false" ht="15" hidden="false" customHeight="false" outlineLevel="0" collapsed="false">
      <c r="C479" s="0" t="n">
        <f aca="false">Panel!D458-Panel!D457</f>
        <v>-0.00857873365359119</v>
      </c>
      <c r="D479" s="29" t="n">
        <f aca="false">Panel!D457</f>
        <v>10.0344719543315</v>
      </c>
      <c r="E479" s="30" t="n">
        <f aca="false">Panel!D457-Panel!D456</f>
        <v>-0.00594309254197434</v>
      </c>
      <c r="F479" s="30" t="n">
        <f aca="false">Panel!D456-Panel!D455</f>
        <v>-0.000963133002050753</v>
      </c>
      <c r="G479" s="30" t="n">
        <f aca="false">Panel!D455-Panel!D454</f>
        <v>0.000304964386881323</v>
      </c>
      <c r="H479" s="30" t="n">
        <f aca="false">Panel!D454-Panel!D453</f>
        <v>-0.00406579750624481</v>
      </c>
      <c r="I479" s="30" t="n">
        <f aca="false">Panel!D453-Panel!D452</f>
        <v>0.0028921945087319</v>
      </c>
      <c r="L479" s="30" t="n">
        <f aca="false">Panel!E453-Panel!E452</f>
        <v>0.00151689027743984</v>
      </c>
      <c r="M479" s="29" t="n">
        <f aca="false">Panel!E452</f>
        <v>5.54872582901026</v>
      </c>
    </row>
    <row r="480" customFormat="false" ht="15" hidden="false" customHeight="false" outlineLevel="0" collapsed="false">
      <c r="C480" s="0" t="n">
        <f aca="false">Panel!D459-Panel!D458</f>
        <v>-0.00164927950604543</v>
      </c>
      <c r="D480" s="29" t="n">
        <f aca="false">Panel!D458</f>
        <v>10.025893220678</v>
      </c>
      <c r="E480" s="30" t="n">
        <f aca="false">Panel!D458-Panel!D457</f>
        <v>-0.00857873365359119</v>
      </c>
      <c r="F480" s="30" t="n">
        <f aca="false">Panel!D457-Panel!D456</f>
        <v>-0.00594309254197434</v>
      </c>
      <c r="G480" s="30" t="n">
        <f aca="false">Panel!D456-Panel!D455</f>
        <v>-0.000963133002050753</v>
      </c>
      <c r="H480" s="30" t="n">
        <f aca="false">Panel!D455-Panel!D454</f>
        <v>0.000304964386881323</v>
      </c>
      <c r="I480" s="30" t="n">
        <f aca="false">Panel!D454-Panel!D453</f>
        <v>-0.00406579750624481</v>
      </c>
      <c r="L480" s="30" t="n">
        <f aca="false">Panel!E454-Panel!E453</f>
        <v>-0.00221777029990111</v>
      </c>
      <c r="M480" s="29" t="n">
        <f aca="false">Panel!E453</f>
        <v>5.5502427192877</v>
      </c>
    </row>
    <row r="481" customFormat="false" ht="15" hidden="false" customHeight="false" outlineLevel="0" collapsed="false">
      <c r="C481" s="0" t="n">
        <f aca="false">Panel!D460-Panel!D459</f>
        <v>-0.00104410406632738</v>
      </c>
      <c r="D481" s="29" t="n">
        <f aca="false">Panel!D459</f>
        <v>10.0242439411719</v>
      </c>
      <c r="E481" s="30" t="n">
        <f aca="false">Panel!D459-Panel!D458</f>
        <v>-0.00164927950604543</v>
      </c>
      <c r="F481" s="30" t="n">
        <f aca="false">Panel!D458-Panel!D457</f>
        <v>-0.00857873365359119</v>
      </c>
      <c r="G481" s="30" t="n">
        <f aca="false">Panel!D457-Panel!D456</f>
        <v>-0.00594309254197434</v>
      </c>
      <c r="H481" s="30" t="n">
        <f aca="false">Panel!D456-Panel!D455</f>
        <v>-0.000963133002050753</v>
      </c>
      <c r="I481" s="30" t="n">
        <f aca="false">Panel!D455-Panel!D454</f>
        <v>0.000304964386881323</v>
      </c>
      <c r="L481" s="30" t="n">
        <f aca="false">Panel!E455-Panel!E454</f>
        <v>0.00105113590742256</v>
      </c>
      <c r="M481" s="29" t="n">
        <f aca="false">Panel!E454</f>
        <v>5.5480249489878</v>
      </c>
    </row>
    <row r="482" customFormat="false" ht="15" hidden="false" customHeight="false" outlineLevel="0" collapsed="false">
      <c r="C482" s="0" t="n">
        <f aca="false">Panel!D461-Panel!D460</f>
        <v>-0.0120693755540984</v>
      </c>
      <c r="D482" s="29" t="n">
        <f aca="false">Panel!D460</f>
        <v>10.0231998371056</v>
      </c>
      <c r="E482" s="30" t="n">
        <f aca="false">Panel!D460-Panel!D459</f>
        <v>-0.00104410406632738</v>
      </c>
      <c r="F482" s="30" t="n">
        <f aca="false">Panel!D459-Panel!D458</f>
        <v>-0.00164927950604543</v>
      </c>
      <c r="G482" s="30" t="n">
        <f aca="false">Panel!D458-Panel!D457</f>
        <v>-0.00857873365359119</v>
      </c>
      <c r="H482" s="30" t="n">
        <f aca="false">Panel!D457-Panel!D456</f>
        <v>-0.00594309254197434</v>
      </c>
      <c r="I482" s="30" t="n">
        <f aca="false">Panel!D456-Panel!D455</f>
        <v>-0.000963133002050753</v>
      </c>
      <c r="L482" s="30" t="n">
        <f aca="false">Panel!E456-Panel!E455</f>
        <v>-0.000389180779381881</v>
      </c>
      <c r="M482" s="29" t="n">
        <f aca="false">Panel!E455</f>
        <v>5.54907608489522</v>
      </c>
    </row>
    <row r="483" customFormat="false" ht="15" hidden="false" customHeight="false" outlineLevel="0" collapsed="false">
      <c r="C483" s="0" t="n">
        <f aca="false">Panel!D462-Panel!D461</f>
        <v>-0.000269420747027738</v>
      </c>
      <c r="D483" s="29" t="n">
        <f aca="false">Panel!D461</f>
        <v>10.0111304615515</v>
      </c>
      <c r="E483" s="30" t="n">
        <f aca="false">Panel!D461-Panel!D460</f>
        <v>-0.0120693755540984</v>
      </c>
      <c r="F483" s="30" t="n">
        <f aca="false">Panel!D460-Panel!D459</f>
        <v>-0.00104410406632738</v>
      </c>
      <c r="G483" s="30" t="n">
        <f aca="false">Panel!D459-Panel!D458</f>
        <v>-0.00164927950604543</v>
      </c>
      <c r="H483" s="30" t="n">
        <f aca="false">Panel!D458-Panel!D457</f>
        <v>-0.00857873365359119</v>
      </c>
      <c r="I483" s="30" t="n">
        <f aca="false">Panel!D457-Panel!D456</f>
        <v>-0.00594309254197434</v>
      </c>
      <c r="L483" s="30" t="n">
        <f aca="false">Panel!E457-Panel!E456</f>
        <v>-0.00581680701609244</v>
      </c>
      <c r="M483" s="29" t="n">
        <f aca="false">Panel!E456</f>
        <v>5.54868690411584</v>
      </c>
    </row>
    <row r="484" customFormat="false" ht="15" hidden="false" customHeight="false" outlineLevel="0" collapsed="false">
      <c r="C484" s="0" t="n">
        <f aca="false">Panel!D463-Panel!D462</f>
        <v>-0.00369839213237633</v>
      </c>
      <c r="D484" s="29" t="n">
        <f aca="false">Panel!D462</f>
        <v>10.0108610408045</v>
      </c>
      <c r="E484" s="30" t="n">
        <f aca="false">Panel!D462-Panel!D461</f>
        <v>-0.000269420747027738</v>
      </c>
      <c r="F484" s="30" t="n">
        <f aca="false">Panel!D461-Panel!D460</f>
        <v>-0.0120693755540984</v>
      </c>
      <c r="G484" s="30" t="n">
        <f aca="false">Panel!D460-Panel!D459</f>
        <v>-0.00104410406632738</v>
      </c>
      <c r="H484" s="30" t="n">
        <f aca="false">Panel!D459-Panel!D458</f>
        <v>-0.00164927950604543</v>
      </c>
      <c r="I484" s="30" t="n">
        <f aca="false">Panel!D458-Panel!D457</f>
        <v>-0.00857873365359119</v>
      </c>
      <c r="L484" s="30" t="n">
        <f aca="false">Panel!E458-Panel!E457</f>
        <v>-0.0099154855262853</v>
      </c>
      <c r="M484" s="29" t="n">
        <f aca="false">Panel!E457</f>
        <v>5.54287009709975</v>
      </c>
    </row>
    <row r="485" customFormat="false" ht="15" hidden="false" customHeight="false" outlineLevel="0" collapsed="false">
      <c r="C485" s="0" t="n">
        <f aca="false">Panel!D464-Panel!D463</f>
        <v>0.0117050549041213</v>
      </c>
      <c r="D485" s="29" t="n">
        <f aca="false">Panel!D463</f>
        <v>10.0071626486721</v>
      </c>
      <c r="E485" s="30" t="n">
        <f aca="false">Panel!D463-Panel!D462</f>
        <v>-0.00369839213237633</v>
      </c>
      <c r="F485" s="30" t="n">
        <f aca="false">Panel!D462-Panel!D461</f>
        <v>-0.000269420747027738</v>
      </c>
      <c r="G485" s="30" t="n">
        <f aca="false">Panel!D461-Panel!D460</f>
        <v>-0.0120693755540984</v>
      </c>
      <c r="H485" s="30" t="n">
        <f aca="false">Panel!D460-Panel!D459</f>
        <v>-0.00104410406632738</v>
      </c>
      <c r="I485" s="30" t="n">
        <f aca="false">Panel!D459-Panel!D458</f>
        <v>-0.00164927950604543</v>
      </c>
      <c r="L485" s="30" t="n">
        <f aca="false">Panel!E459-Panel!E458</f>
        <v>-0.000949479835543166</v>
      </c>
      <c r="M485" s="29" t="n">
        <f aca="false">Panel!E458</f>
        <v>5.53295461157346</v>
      </c>
    </row>
    <row r="486" customFormat="false" ht="15" hidden="false" customHeight="false" outlineLevel="0" collapsed="false">
      <c r="C486" s="0" t="n">
        <f aca="false">Panel!D465-Panel!D464</f>
        <v>0.00773088778780107</v>
      </c>
      <c r="D486" s="29" t="n">
        <f aca="false">Panel!D464</f>
        <v>10.0188677035762</v>
      </c>
      <c r="E486" s="30" t="n">
        <f aca="false">Panel!D464-Panel!D463</f>
        <v>0.0117050549041213</v>
      </c>
      <c r="F486" s="30" t="n">
        <f aca="false">Panel!D463-Panel!D462</f>
        <v>-0.00369839213237633</v>
      </c>
      <c r="G486" s="30" t="n">
        <f aca="false">Panel!D462-Panel!D461</f>
        <v>-0.000269420747027738</v>
      </c>
      <c r="H486" s="30" t="n">
        <f aca="false">Panel!D461-Panel!D460</f>
        <v>-0.0120693755540984</v>
      </c>
      <c r="I486" s="30" t="n">
        <f aca="false">Panel!D460-Panel!D459</f>
        <v>-0.00104410406632738</v>
      </c>
      <c r="L486" s="30" t="n">
        <f aca="false">Panel!E460-Panel!E459</f>
        <v>-0.000277101519893463</v>
      </c>
      <c r="M486" s="29" t="n">
        <f aca="false">Panel!E459</f>
        <v>5.53200513173792</v>
      </c>
    </row>
    <row r="487" customFormat="false" ht="15" hidden="false" customHeight="false" outlineLevel="0" collapsed="false">
      <c r="C487" s="0" t="n">
        <f aca="false">Panel!D466-Panel!D465</f>
        <v>0.000963276274051239</v>
      </c>
      <c r="D487" s="29" t="n">
        <f aca="false">Panel!D465</f>
        <v>10.026598591364</v>
      </c>
      <c r="E487" s="30" t="n">
        <f aca="false">Panel!D465-Panel!D464</f>
        <v>0.00773088778780107</v>
      </c>
      <c r="F487" s="30" t="n">
        <f aca="false">Panel!D464-Panel!D463</f>
        <v>0.0117050549041213</v>
      </c>
      <c r="G487" s="30" t="n">
        <f aca="false">Panel!D463-Panel!D462</f>
        <v>-0.00369839213237633</v>
      </c>
      <c r="H487" s="30" t="n">
        <f aca="false">Panel!D462-Panel!D461</f>
        <v>-0.000269420747027738</v>
      </c>
      <c r="I487" s="30" t="n">
        <f aca="false">Panel!D461-Panel!D460</f>
        <v>-0.0120693755540984</v>
      </c>
      <c r="L487" s="30" t="n">
        <f aca="false">Panel!E461-Panel!E460</f>
        <v>-0.0137531816406096</v>
      </c>
      <c r="M487" s="29" t="n">
        <f aca="false">Panel!E460</f>
        <v>5.53172803021802</v>
      </c>
    </row>
    <row r="488" customFormat="false" ht="15" hidden="false" customHeight="false" outlineLevel="0" collapsed="false">
      <c r="C488" s="0" t="n">
        <f aca="false">Panel!D467-Panel!D466</f>
        <v>-0.00628683501097527</v>
      </c>
      <c r="D488" s="29" t="n">
        <f aca="false">Panel!D466</f>
        <v>10.0275618676381</v>
      </c>
      <c r="E488" s="30" t="n">
        <f aca="false">Panel!D466-Panel!D465</f>
        <v>0.000963276274051239</v>
      </c>
      <c r="F488" s="30" t="n">
        <f aca="false">Panel!D465-Panel!D464</f>
        <v>0.00773088778780107</v>
      </c>
      <c r="G488" s="30" t="n">
        <f aca="false">Panel!D464-Panel!D463</f>
        <v>0.0117050549041213</v>
      </c>
      <c r="H488" s="30" t="n">
        <f aca="false">Panel!D463-Panel!D462</f>
        <v>-0.00369839213237633</v>
      </c>
      <c r="I488" s="30" t="n">
        <f aca="false">Panel!D462-Panel!D461</f>
        <v>-0.000269420747027738</v>
      </c>
      <c r="L488" s="30" t="n">
        <f aca="false">Panel!E462-Panel!E461</f>
        <v>-0.0032163417748432</v>
      </c>
      <c r="M488" s="29" t="n">
        <f aca="false">Panel!E461</f>
        <v>5.51797484857741</v>
      </c>
    </row>
    <row r="489" customFormat="false" ht="15" hidden="false" customHeight="false" outlineLevel="0" collapsed="false">
      <c r="C489" s="0" t="n">
        <f aca="false">Panel!D468-Panel!D467</f>
        <v>0.00398757683496953</v>
      </c>
      <c r="D489" s="29" t="n">
        <f aca="false">Panel!D467</f>
        <v>10.0212750326271</v>
      </c>
      <c r="E489" s="30" t="n">
        <f aca="false">Panel!D467-Panel!D466</f>
        <v>-0.00628683501097527</v>
      </c>
      <c r="F489" s="30" t="n">
        <f aca="false">Panel!D466-Panel!D465</f>
        <v>0.000963276274051239</v>
      </c>
      <c r="G489" s="30" t="n">
        <f aca="false">Panel!D465-Panel!D464</f>
        <v>0.00773088778780107</v>
      </c>
      <c r="H489" s="30" t="n">
        <f aca="false">Panel!D464-Panel!D463</f>
        <v>0.0117050549041213</v>
      </c>
      <c r="I489" s="30" t="n">
        <f aca="false">Panel!D463-Panel!D462</f>
        <v>-0.00369839213237633</v>
      </c>
      <c r="L489" s="30" t="n">
        <f aca="false">Panel!E463-Panel!E462</f>
        <v>-0.00354996540467578</v>
      </c>
      <c r="M489" s="29" t="n">
        <f aca="false">Panel!E462</f>
        <v>5.51475850680257</v>
      </c>
    </row>
    <row r="490" customFormat="false" ht="15" hidden="false" customHeight="false" outlineLevel="0" collapsed="false">
      <c r="C490" s="0" t="n">
        <f aca="false">Panel!D469-Panel!D468</f>
        <v>-0.00283935251415457</v>
      </c>
      <c r="D490" s="29" t="n">
        <f aca="false">Panel!D468</f>
        <v>10.025262609462</v>
      </c>
      <c r="E490" s="30" t="n">
        <f aca="false">Panel!D468-Panel!D467</f>
        <v>0.00398757683496953</v>
      </c>
      <c r="F490" s="30" t="n">
        <f aca="false">Panel!D467-Panel!D466</f>
        <v>-0.00628683501097527</v>
      </c>
      <c r="G490" s="30" t="n">
        <f aca="false">Panel!D466-Panel!D465</f>
        <v>0.000963276274051239</v>
      </c>
      <c r="H490" s="30" t="n">
        <f aca="false">Panel!D465-Panel!D464</f>
        <v>0.00773088778780107</v>
      </c>
      <c r="I490" s="30" t="n">
        <f aca="false">Panel!D464-Panel!D463</f>
        <v>0.0117050549041213</v>
      </c>
      <c r="L490" s="30" t="n">
        <f aca="false">Panel!E464-Panel!E463</f>
        <v>0.0142443977338882</v>
      </c>
      <c r="M490" s="29" t="n">
        <f aca="false">Panel!E463</f>
        <v>5.5112085413979</v>
      </c>
    </row>
    <row r="491" customFormat="false" ht="15" hidden="false" customHeight="false" outlineLevel="0" collapsed="false">
      <c r="C491" s="0" t="n">
        <f aca="false">Panel!D470-Panel!D469</f>
        <v>-0.00404350987971824</v>
      </c>
      <c r="D491" s="29" t="n">
        <f aca="false">Panel!D469</f>
        <v>10.0224232569479</v>
      </c>
      <c r="E491" s="30" t="n">
        <f aca="false">Panel!D469-Panel!D468</f>
        <v>-0.00283935251415457</v>
      </c>
      <c r="F491" s="30" t="n">
        <f aca="false">Panel!D468-Panel!D467</f>
        <v>0.00398757683496953</v>
      </c>
      <c r="G491" s="30" t="n">
        <f aca="false">Panel!D467-Panel!D466</f>
        <v>-0.00628683501097527</v>
      </c>
      <c r="H491" s="30" t="n">
        <f aca="false">Panel!D466-Panel!D465</f>
        <v>0.000963276274051239</v>
      </c>
      <c r="I491" s="30" t="n">
        <f aca="false">Panel!D465-Panel!D464</f>
        <v>0.00773088778780107</v>
      </c>
      <c r="L491" s="30" t="n">
        <f aca="false">Panel!E465-Panel!E464</f>
        <v>0.00643344421404546</v>
      </c>
      <c r="M491" s="29" t="n">
        <f aca="false">Panel!E464</f>
        <v>5.52545293913178</v>
      </c>
    </row>
    <row r="492" customFormat="false" ht="15" hidden="false" customHeight="false" outlineLevel="0" collapsed="false">
      <c r="C492" s="0" t="n">
        <f aca="false">Panel!D471-Panel!D470</f>
        <v>0.00700680336271908</v>
      </c>
      <c r="D492" s="29" t="n">
        <f aca="false">Panel!D470</f>
        <v>10.0183797470682</v>
      </c>
      <c r="E492" s="30" t="n">
        <f aca="false">Panel!D470-Panel!D469</f>
        <v>-0.00404350987971824</v>
      </c>
      <c r="F492" s="30" t="n">
        <f aca="false">Panel!D469-Panel!D468</f>
        <v>-0.00283935251415457</v>
      </c>
      <c r="G492" s="30" t="n">
        <f aca="false">Panel!D468-Panel!D467</f>
        <v>0.00398757683496953</v>
      </c>
      <c r="H492" s="30" t="n">
        <f aca="false">Panel!D467-Panel!D466</f>
        <v>-0.00628683501097527</v>
      </c>
      <c r="I492" s="30" t="n">
        <f aca="false">Panel!D466-Panel!D465</f>
        <v>0.000963276274051239</v>
      </c>
      <c r="L492" s="30" t="n">
        <f aca="false">Panel!E466-Panel!E465</f>
        <v>0.000395773148000878</v>
      </c>
      <c r="M492" s="29" t="n">
        <f aca="false">Panel!E465</f>
        <v>5.53188638334583</v>
      </c>
    </row>
    <row r="493" customFormat="false" ht="15" hidden="false" customHeight="false" outlineLevel="0" collapsed="false">
      <c r="C493" s="0" t="n">
        <f aca="false">Panel!D472-Panel!D471</f>
        <v>0.0137239558899473</v>
      </c>
      <c r="D493" s="29" t="n">
        <f aca="false">Panel!D471</f>
        <v>10.0253865504309</v>
      </c>
      <c r="E493" s="30" t="n">
        <f aca="false">Panel!D471-Panel!D470</f>
        <v>0.00700680336271908</v>
      </c>
      <c r="F493" s="30" t="n">
        <f aca="false">Panel!D470-Panel!D469</f>
        <v>-0.00404350987971824</v>
      </c>
      <c r="G493" s="30" t="n">
        <f aca="false">Panel!D469-Panel!D468</f>
        <v>-0.00283935251415457</v>
      </c>
      <c r="H493" s="30" t="n">
        <f aca="false">Panel!D468-Panel!D467</f>
        <v>0.00398757683496953</v>
      </c>
      <c r="I493" s="30" t="n">
        <f aca="false">Panel!D467-Panel!D466</f>
        <v>-0.00628683501097527</v>
      </c>
      <c r="L493" s="30" t="n">
        <f aca="false">Panel!E467-Panel!E466</f>
        <v>-0.00428266179200065</v>
      </c>
      <c r="M493" s="29" t="n">
        <f aca="false">Panel!E466</f>
        <v>5.53228215649383</v>
      </c>
    </row>
    <row r="494" customFormat="false" ht="15" hidden="false" customHeight="false" outlineLevel="0" collapsed="false">
      <c r="C494" s="0" t="n">
        <f aca="false">Panel!D473-Panel!D472</f>
        <v>0.00296220950093229</v>
      </c>
      <c r="D494" s="29" t="n">
        <f aca="false">Panel!D472</f>
        <v>10.0391105063208</v>
      </c>
      <c r="E494" s="30" t="n">
        <f aca="false">Panel!D472-Panel!D471</f>
        <v>0.0137239558899473</v>
      </c>
      <c r="F494" s="30" t="n">
        <f aca="false">Panel!D471-Panel!D470</f>
        <v>0.00700680336271908</v>
      </c>
      <c r="G494" s="30" t="n">
        <f aca="false">Panel!D470-Panel!D469</f>
        <v>-0.00404350987971824</v>
      </c>
      <c r="H494" s="30" t="n">
        <f aca="false">Panel!D469-Panel!D468</f>
        <v>-0.00283935251415457</v>
      </c>
      <c r="I494" s="30" t="n">
        <f aca="false">Panel!D468-Panel!D467</f>
        <v>0.00398757683496953</v>
      </c>
      <c r="L494" s="30" t="n">
        <f aca="false">Panel!E468-Panel!E467</f>
        <v>0.00261936094518322</v>
      </c>
      <c r="M494" s="29" t="n">
        <f aca="false">Panel!E467</f>
        <v>5.52799949470183</v>
      </c>
    </row>
    <row r="495" customFormat="false" ht="15" hidden="false" customHeight="false" outlineLevel="0" collapsed="false">
      <c r="C495" s="0" t="n">
        <f aca="false">Panel!D474-Panel!D473</f>
        <v>0.00944683553343495</v>
      </c>
      <c r="D495" s="29" t="n">
        <f aca="false">Panel!D473</f>
        <v>10.0420727158218</v>
      </c>
      <c r="E495" s="30" t="n">
        <f aca="false">Panel!D473-Panel!D472</f>
        <v>0.00296220950093229</v>
      </c>
      <c r="F495" s="30" t="n">
        <f aca="false">Panel!D472-Panel!D471</f>
        <v>0.0137239558899473</v>
      </c>
      <c r="G495" s="30" t="n">
        <f aca="false">Panel!D471-Panel!D470</f>
        <v>0.00700680336271908</v>
      </c>
      <c r="H495" s="30" t="n">
        <f aca="false">Panel!D470-Panel!D469</f>
        <v>-0.00404350987971824</v>
      </c>
      <c r="I495" s="30" t="n">
        <f aca="false">Panel!D469-Panel!D468</f>
        <v>-0.00283935251415457</v>
      </c>
      <c r="L495" s="30" t="n">
        <f aca="false">Panel!E469-Panel!E468</f>
        <v>-0.00317586610721854</v>
      </c>
      <c r="M495" s="29" t="n">
        <f aca="false">Panel!E468</f>
        <v>5.53061885564701</v>
      </c>
    </row>
    <row r="496" customFormat="false" ht="15" hidden="false" customHeight="false" outlineLevel="0" collapsed="false">
      <c r="C496" s="0" t="n">
        <f aca="false">Panel!D475-Panel!D474</f>
        <v>0.00835831401395382</v>
      </c>
      <c r="D496" s="29" t="n">
        <f aca="false">Panel!D474</f>
        <v>10.0515195513552</v>
      </c>
      <c r="E496" s="30" t="n">
        <f aca="false">Panel!D474-Panel!D473</f>
        <v>0.00944683553343495</v>
      </c>
      <c r="F496" s="30" t="n">
        <f aca="false">Panel!D473-Panel!D472</f>
        <v>0.00296220950093229</v>
      </c>
      <c r="G496" s="30" t="n">
        <f aca="false">Panel!D472-Panel!D471</f>
        <v>0.0137239558899473</v>
      </c>
      <c r="H496" s="30" t="n">
        <f aca="false">Panel!D471-Panel!D470</f>
        <v>0.00700680336271908</v>
      </c>
      <c r="I496" s="30" t="n">
        <f aca="false">Panel!D470-Panel!D469</f>
        <v>-0.00404350987971824</v>
      </c>
      <c r="L496" s="30" t="n">
        <f aca="false">Panel!E470-Panel!E469</f>
        <v>-0.00163154894028938</v>
      </c>
      <c r="M496" s="29" t="n">
        <f aca="false">Panel!E469</f>
        <v>5.52744298953979</v>
      </c>
    </row>
    <row r="497" customFormat="false" ht="15" hidden="false" customHeight="false" outlineLevel="0" collapsed="false">
      <c r="C497" s="0" t="n">
        <f aca="false">Panel!D476-Panel!D475</f>
        <v>0.0141959877424984</v>
      </c>
      <c r="D497" s="29" t="n">
        <f aca="false">Panel!D475</f>
        <v>10.0598778653692</v>
      </c>
      <c r="E497" s="30" t="n">
        <f aca="false">Panel!D475-Panel!D474</f>
        <v>0.00835831401395382</v>
      </c>
      <c r="F497" s="30" t="n">
        <f aca="false">Panel!D474-Panel!D473</f>
        <v>0.00944683553343495</v>
      </c>
      <c r="G497" s="30" t="n">
        <f aca="false">Panel!D473-Panel!D472</f>
        <v>0.00296220950093229</v>
      </c>
      <c r="H497" s="30" t="n">
        <f aca="false">Panel!D472-Panel!D471</f>
        <v>0.0137239558899473</v>
      </c>
      <c r="I497" s="30" t="n">
        <f aca="false">Panel!D471-Panel!D470</f>
        <v>0.00700680336271908</v>
      </c>
      <c r="L497" s="30" t="n">
        <f aca="false">Panel!E471-Panel!E470</f>
        <v>0.00460921863421415</v>
      </c>
      <c r="M497" s="29" t="n">
        <f aca="false">Panel!E470</f>
        <v>5.5258114405995</v>
      </c>
    </row>
    <row r="498" customFormat="false" ht="15" hidden="false" customHeight="false" outlineLevel="0" collapsed="false">
      <c r="C498" s="0" t="n">
        <f aca="false">Panel!D477-Panel!D476</f>
        <v>-0.00223690134846244</v>
      </c>
      <c r="D498" s="29" t="n">
        <f aca="false">Panel!D476</f>
        <v>10.0740738531117</v>
      </c>
      <c r="E498" s="30" t="n">
        <f aca="false">Panel!D476-Panel!D475</f>
        <v>0.0141959877424984</v>
      </c>
      <c r="F498" s="30" t="n">
        <f aca="false">Panel!D475-Panel!D474</f>
        <v>0.00835831401395382</v>
      </c>
      <c r="G498" s="30" t="n">
        <f aca="false">Panel!D474-Panel!D473</f>
        <v>0.00944683553343495</v>
      </c>
      <c r="H498" s="30" t="n">
        <f aca="false">Panel!D473-Panel!D472</f>
        <v>0.00296220950093229</v>
      </c>
      <c r="I498" s="30" t="n">
        <f aca="false">Panel!D472-Panel!D471</f>
        <v>0.0137239558899473</v>
      </c>
      <c r="L498" s="30" t="n">
        <f aca="false">Panel!E472-Panel!E471</f>
        <v>0.0147567852458437</v>
      </c>
      <c r="M498" s="29" t="n">
        <f aca="false">Panel!E471</f>
        <v>5.53042065923372</v>
      </c>
    </row>
    <row r="499" customFormat="false" ht="15" hidden="false" customHeight="false" outlineLevel="0" collapsed="false">
      <c r="C499" s="0" t="n">
        <f aca="false">Panel!D478-Panel!D477</f>
        <v>-0.00654735162773257</v>
      </c>
      <c r="D499" s="29" t="n">
        <f aca="false">Panel!D477</f>
        <v>10.0718369517632</v>
      </c>
      <c r="E499" s="30" t="n">
        <f aca="false">Panel!D477-Panel!D476</f>
        <v>-0.00223690134846244</v>
      </c>
      <c r="F499" s="30" t="n">
        <f aca="false">Panel!D476-Panel!D475</f>
        <v>0.0141959877424984</v>
      </c>
      <c r="G499" s="30" t="n">
        <f aca="false">Panel!D475-Panel!D474</f>
        <v>0.00835831401395382</v>
      </c>
      <c r="H499" s="30" t="n">
        <f aca="false">Panel!D474-Panel!D473</f>
        <v>0.00944683553343495</v>
      </c>
      <c r="I499" s="30" t="n">
        <f aca="false">Panel!D473-Panel!D472</f>
        <v>0.00296220950093229</v>
      </c>
      <c r="L499" s="30" t="n">
        <f aca="false">Panel!E473-Panel!E472</f>
        <v>0.00312012733624378</v>
      </c>
      <c r="M499" s="29" t="n">
        <f aca="false">Panel!E472</f>
        <v>5.54517744447956</v>
      </c>
    </row>
    <row r="500" customFormat="false" ht="15" hidden="false" customHeight="false" outlineLevel="0" collapsed="false">
      <c r="C500" s="0" t="n">
        <f aca="false">Panel!D479-Panel!D478</f>
        <v>0.00353440893869461</v>
      </c>
      <c r="D500" s="29" t="n">
        <f aca="false">Panel!D478</f>
        <v>10.0652896001355</v>
      </c>
      <c r="E500" s="30" t="n">
        <f aca="false">Panel!D478-Panel!D477</f>
        <v>-0.00654735162773257</v>
      </c>
      <c r="F500" s="30" t="n">
        <f aca="false">Panel!D477-Panel!D476</f>
        <v>-0.00223690134846244</v>
      </c>
      <c r="G500" s="30" t="n">
        <f aca="false">Panel!D476-Panel!D475</f>
        <v>0.0141959877424984</v>
      </c>
      <c r="H500" s="30" t="n">
        <f aca="false">Panel!D475-Panel!D474</f>
        <v>0.00835831401395382</v>
      </c>
      <c r="I500" s="30" t="n">
        <f aca="false">Panel!D474-Panel!D473</f>
        <v>0.00944683553343495</v>
      </c>
      <c r="L500" s="30" t="n">
        <f aca="false">Panel!E474-Panel!E473</f>
        <v>0.00976524849098848</v>
      </c>
      <c r="M500" s="29" t="n">
        <f aca="false">Panel!E473</f>
        <v>5.54829757181581</v>
      </c>
    </row>
    <row r="501" customFormat="false" ht="15" hidden="false" customHeight="false" outlineLevel="0" collapsed="false">
      <c r="C501" s="0" t="n">
        <f aca="false">Panel!D480-Panel!D479</f>
        <v>0.00204065287009847</v>
      </c>
      <c r="D501" s="29" t="n">
        <f aca="false">Panel!D479</f>
        <v>10.0688240090742</v>
      </c>
      <c r="E501" s="30" t="n">
        <f aca="false">Panel!D479-Panel!D478</f>
        <v>0.00353440893869461</v>
      </c>
      <c r="F501" s="30" t="n">
        <f aca="false">Panel!D478-Panel!D477</f>
        <v>-0.00654735162773257</v>
      </c>
      <c r="G501" s="30" t="n">
        <f aca="false">Panel!D477-Panel!D476</f>
        <v>-0.00223690134846244</v>
      </c>
      <c r="H501" s="30" t="n">
        <f aca="false">Panel!D476-Panel!D475</f>
        <v>0.0141959877424984</v>
      </c>
      <c r="I501" s="30" t="n">
        <f aca="false">Panel!D475-Panel!D474</f>
        <v>0.00835831401395382</v>
      </c>
      <c r="L501" s="30" t="n">
        <f aca="false">Panel!E475-Panel!E474</f>
        <v>0.00752980891536037</v>
      </c>
      <c r="M501" s="29" t="n">
        <f aca="false">Panel!E474</f>
        <v>5.55806282030679</v>
      </c>
    </row>
    <row r="502" customFormat="false" ht="15" hidden="false" customHeight="false" outlineLevel="0" collapsed="false">
      <c r="C502" s="0" t="n">
        <f aca="false">Panel!D481-Panel!D480</f>
        <v>-0.0140124527018379</v>
      </c>
      <c r="D502" s="29" t="n">
        <f aca="false">Panel!D480</f>
        <v>10.0708646619443</v>
      </c>
      <c r="E502" s="30" t="n">
        <f aca="false">Panel!D480-Panel!D479</f>
        <v>0.00204065287009847</v>
      </c>
      <c r="F502" s="30" t="n">
        <f aca="false">Panel!D479-Panel!D478</f>
        <v>0.00353440893869461</v>
      </c>
      <c r="G502" s="30" t="n">
        <f aca="false">Panel!D478-Panel!D477</f>
        <v>-0.00654735162773257</v>
      </c>
      <c r="H502" s="30" t="n">
        <f aca="false">Panel!D477-Panel!D476</f>
        <v>-0.00223690134846244</v>
      </c>
      <c r="I502" s="30" t="n">
        <f aca="false">Panel!D476-Panel!D475</f>
        <v>0.0141959877424984</v>
      </c>
      <c r="L502" s="30" t="n">
        <f aca="false">Panel!E476-Panel!E475</f>
        <v>0.0145522049758675</v>
      </c>
      <c r="M502" s="29" t="n">
        <f aca="false">Panel!E475</f>
        <v>5.56559262922216</v>
      </c>
    </row>
    <row r="503" customFormat="false" ht="15" hidden="false" customHeight="false" outlineLevel="0" collapsed="false">
      <c r="C503" s="0" t="n">
        <f aca="false">Panel!D482-Panel!D481</f>
        <v>0.00513370111438505</v>
      </c>
      <c r="D503" s="29" t="n">
        <f aca="false">Panel!D481</f>
        <v>10.0568522092424</v>
      </c>
      <c r="E503" s="30" t="n">
        <f aca="false">Panel!D481-Panel!D480</f>
        <v>-0.0140124527018379</v>
      </c>
      <c r="F503" s="30" t="n">
        <f aca="false">Panel!D480-Panel!D479</f>
        <v>0.00204065287009847</v>
      </c>
      <c r="G503" s="30" t="n">
        <f aca="false">Panel!D479-Panel!D478</f>
        <v>0.00353440893869461</v>
      </c>
      <c r="H503" s="30" t="n">
        <f aca="false">Panel!D478-Panel!D477</f>
        <v>-0.00654735162773257</v>
      </c>
      <c r="I503" s="30" t="n">
        <f aca="false">Panel!D477-Panel!D476</f>
        <v>-0.00223690134846244</v>
      </c>
      <c r="L503" s="30" t="n">
        <f aca="false">Panel!E477-Panel!E476</f>
        <v>-0.00324920944767548</v>
      </c>
      <c r="M503" s="29" t="n">
        <f aca="false">Panel!E476</f>
        <v>5.58014483419802</v>
      </c>
    </row>
    <row r="504" customFormat="false" ht="15" hidden="false" customHeight="false" outlineLevel="0" collapsed="false">
      <c r="C504" s="0" t="n">
        <f aca="false">Panel!D483-Panel!D482</f>
        <v>-0.00457198886350874</v>
      </c>
      <c r="D504" s="29" t="n">
        <f aca="false">Panel!D482</f>
        <v>10.0619859103568</v>
      </c>
      <c r="E504" s="30" t="n">
        <f aca="false">Panel!D482-Panel!D481</f>
        <v>0.00513370111438505</v>
      </c>
      <c r="F504" s="30" t="n">
        <f aca="false">Panel!D481-Panel!D480</f>
        <v>-0.0140124527018379</v>
      </c>
      <c r="G504" s="30" t="n">
        <f aca="false">Panel!D480-Panel!D479</f>
        <v>0.00204065287009847</v>
      </c>
      <c r="H504" s="30" t="n">
        <f aca="false">Panel!D479-Panel!D478</f>
        <v>0.00353440893869461</v>
      </c>
      <c r="I504" s="30" t="n">
        <f aca="false">Panel!D478-Panel!D477</f>
        <v>-0.00654735162773257</v>
      </c>
      <c r="L504" s="30" t="n">
        <f aca="false">Panel!E478-Panel!E477</f>
        <v>-0.0050838564613791</v>
      </c>
      <c r="M504" s="29" t="n">
        <f aca="false">Panel!E477</f>
        <v>5.57689562475035</v>
      </c>
    </row>
    <row r="505" customFormat="false" ht="15" hidden="false" customHeight="false" outlineLevel="0" collapsed="false">
      <c r="C505" s="0" t="n">
        <f aca="false">Panel!D484-Panel!D483</f>
        <v>-0.0153999721628875</v>
      </c>
      <c r="D505" s="29" t="n">
        <f aca="false">Panel!D483</f>
        <v>10.0574139214933</v>
      </c>
      <c r="E505" s="30" t="n">
        <f aca="false">Panel!D483-Panel!D482</f>
        <v>-0.00457198886350874</v>
      </c>
      <c r="F505" s="30" t="n">
        <f aca="false">Panel!D482-Panel!D481</f>
        <v>0.00513370111438505</v>
      </c>
      <c r="G505" s="30" t="n">
        <f aca="false">Panel!D481-Panel!D480</f>
        <v>-0.0140124527018379</v>
      </c>
      <c r="H505" s="30" t="n">
        <f aca="false">Panel!D480-Panel!D479</f>
        <v>0.00204065287009847</v>
      </c>
      <c r="I505" s="30" t="n">
        <f aca="false">Panel!D479-Panel!D478</f>
        <v>0.00353440893869461</v>
      </c>
      <c r="L505" s="30" t="n">
        <f aca="false">Panel!E479-Panel!E478</f>
        <v>0.00413733485734813</v>
      </c>
      <c r="M505" s="29" t="n">
        <f aca="false">Panel!E478</f>
        <v>5.57181176828897</v>
      </c>
    </row>
    <row r="506" customFormat="false" ht="15" hidden="false" customHeight="false" outlineLevel="0" collapsed="false">
      <c r="C506" s="0" t="n">
        <f aca="false">Panel!D485-Panel!D484</f>
        <v>-0.028775532835164</v>
      </c>
      <c r="D506" s="29" t="n">
        <f aca="false">Panel!D484</f>
        <v>10.0420139493304</v>
      </c>
      <c r="E506" s="30" t="n">
        <f aca="false">Panel!D484-Panel!D483</f>
        <v>-0.0153999721628875</v>
      </c>
      <c r="F506" s="30" t="n">
        <f aca="false">Panel!D483-Panel!D482</f>
        <v>-0.00457198886350874</v>
      </c>
      <c r="G506" s="30" t="n">
        <f aca="false">Panel!D482-Panel!D481</f>
        <v>0.00513370111438505</v>
      </c>
      <c r="H506" s="30" t="n">
        <f aca="false">Panel!D481-Panel!D480</f>
        <v>-0.0140124527018379</v>
      </c>
      <c r="I506" s="30" t="n">
        <f aca="false">Panel!D480-Panel!D479</f>
        <v>0.00204065287009847</v>
      </c>
      <c r="L506" s="30" t="n">
        <f aca="false">Panel!E480-Panel!E479</f>
        <v>-0.00322489134652848</v>
      </c>
      <c r="M506" s="29" t="n">
        <f aca="false">Panel!E479</f>
        <v>5.57594910314632</v>
      </c>
    </row>
    <row r="507" customFormat="false" ht="15" hidden="false" customHeight="false" outlineLevel="0" collapsed="false">
      <c r="C507" s="0" t="n">
        <f aca="false">Panel!D486-Panel!D485</f>
        <v>0.0148290206975368</v>
      </c>
      <c r="D507" s="29" t="n">
        <f aca="false">Panel!D485</f>
        <v>10.0132384164952</v>
      </c>
      <c r="E507" s="30" t="n">
        <f aca="false">Panel!D485-Panel!D484</f>
        <v>-0.028775532835164</v>
      </c>
      <c r="F507" s="30" t="n">
        <f aca="false">Panel!D484-Panel!D483</f>
        <v>-0.0153999721628875</v>
      </c>
      <c r="G507" s="30" t="n">
        <f aca="false">Panel!D483-Panel!D482</f>
        <v>-0.00457198886350874</v>
      </c>
      <c r="H507" s="30" t="n">
        <f aca="false">Panel!D482-Panel!D481</f>
        <v>0.00513370111438505</v>
      </c>
      <c r="I507" s="30" t="n">
        <f aca="false">Panel!D481-Panel!D480</f>
        <v>-0.0140124527018379</v>
      </c>
      <c r="L507" s="30" t="n">
        <f aca="false">Panel!E481-Panel!E480</f>
        <v>-0.013312617709067</v>
      </c>
      <c r="M507" s="29" t="n">
        <f aca="false">Panel!E480</f>
        <v>5.57272421179979</v>
      </c>
    </row>
    <row r="508" customFormat="false" ht="15" hidden="false" customHeight="false" outlineLevel="0" collapsed="false">
      <c r="C508" s="0" t="n">
        <f aca="false">Panel!D487-Panel!D486</f>
        <v>-0.00673018455572816</v>
      </c>
      <c r="D508" s="29" t="n">
        <f aca="false">Panel!D486</f>
        <v>10.0280674371928</v>
      </c>
      <c r="E508" s="30" t="n">
        <f aca="false">Panel!D486-Panel!D485</f>
        <v>0.0148290206975368</v>
      </c>
      <c r="F508" s="30" t="n">
        <f aca="false">Panel!D485-Panel!D484</f>
        <v>-0.028775532835164</v>
      </c>
      <c r="G508" s="30" t="n">
        <f aca="false">Panel!D484-Panel!D483</f>
        <v>-0.0153999721628875</v>
      </c>
      <c r="H508" s="30" t="n">
        <f aca="false">Panel!D483-Panel!D482</f>
        <v>-0.00457198886350874</v>
      </c>
      <c r="I508" s="30" t="n">
        <f aca="false">Panel!D482-Panel!D481</f>
        <v>0.00513370111438505</v>
      </c>
      <c r="L508" s="30" t="n">
        <f aca="false">Panel!E482-Panel!E481</f>
        <v>0.00740502549232325</v>
      </c>
      <c r="M508" s="29" t="n">
        <f aca="false">Panel!E481</f>
        <v>5.55941159409072</v>
      </c>
    </row>
    <row r="509" customFormat="false" ht="15" hidden="false" customHeight="false" outlineLevel="0" collapsed="false">
      <c r="C509" s="0" t="n">
        <f aca="false">Panel!D488-Panel!D487</f>
        <v>0.019518074191879</v>
      </c>
      <c r="D509" s="29" t="n">
        <f aca="false">Panel!D487</f>
        <v>10.0213372526371</v>
      </c>
      <c r="E509" s="30" t="n">
        <f aca="false">Panel!D487-Panel!D486</f>
        <v>-0.00673018455572816</v>
      </c>
      <c r="F509" s="30" t="n">
        <f aca="false">Panel!D486-Panel!D485</f>
        <v>0.0148290206975368</v>
      </c>
      <c r="G509" s="30" t="n">
        <f aca="false">Panel!D485-Panel!D484</f>
        <v>-0.028775532835164</v>
      </c>
      <c r="H509" s="30" t="n">
        <f aca="false">Panel!D484-Panel!D483</f>
        <v>-0.0153999721628875</v>
      </c>
      <c r="I509" s="30" t="n">
        <f aca="false">Panel!D483-Panel!D482</f>
        <v>-0.00457198886350874</v>
      </c>
      <c r="L509" s="30" t="n">
        <f aca="false">Panel!E483-Panel!E482</f>
        <v>-0.00221958684366186</v>
      </c>
      <c r="M509" s="29" t="n">
        <f aca="false">Panel!E482</f>
        <v>5.56681661958304</v>
      </c>
    </row>
    <row r="510" customFormat="false" ht="15" hidden="false" customHeight="false" outlineLevel="0" collapsed="false">
      <c r="C510" s="0" t="n">
        <f aca="false">Panel!D489-Panel!D488</f>
        <v>0.0182889137916593</v>
      </c>
      <c r="D510" s="29" t="n">
        <f aca="false">Panel!D488</f>
        <v>10.0408553268289</v>
      </c>
      <c r="E510" s="30" t="n">
        <f aca="false">Panel!D488-Panel!D487</f>
        <v>0.019518074191879</v>
      </c>
      <c r="F510" s="30" t="n">
        <f aca="false">Panel!D487-Panel!D486</f>
        <v>-0.00673018455572816</v>
      </c>
      <c r="G510" s="30" t="n">
        <f aca="false">Panel!D486-Panel!D485</f>
        <v>0.0148290206975368</v>
      </c>
      <c r="H510" s="30" t="n">
        <f aca="false">Panel!D485-Panel!D484</f>
        <v>-0.028775532835164</v>
      </c>
      <c r="I510" s="30" t="n">
        <f aca="false">Panel!D484-Panel!D483</f>
        <v>-0.0153999721628875</v>
      </c>
      <c r="L510" s="30" t="n">
        <f aca="false">Panel!E484-Panel!E483</f>
        <v>-0.0116374478177645</v>
      </c>
      <c r="M510" s="29" t="n">
        <f aca="false">Panel!E483</f>
        <v>5.56459703273938</v>
      </c>
    </row>
    <row r="511" customFormat="false" ht="15" hidden="false" customHeight="false" outlineLevel="0" collapsed="false">
      <c r="C511" s="0" t="n">
        <f aca="false">Panel!D490-Panel!D489</f>
        <v>0.00301234004426121</v>
      </c>
      <c r="D511" s="29" t="n">
        <f aca="false">Panel!D489</f>
        <v>10.0591442406206</v>
      </c>
      <c r="E511" s="30" t="n">
        <f aca="false">Panel!D489-Panel!D488</f>
        <v>0.0182889137916593</v>
      </c>
      <c r="F511" s="30" t="n">
        <f aca="false">Panel!D488-Panel!D487</f>
        <v>0.019518074191879</v>
      </c>
      <c r="G511" s="30" t="n">
        <f aca="false">Panel!D487-Panel!D486</f>
        <v>-0.00673018455572816</v>
      </c>
      <c r="H511" s="30" t="n">
        <f aca="false">Panel!D486-Panel!D485</f>
        <v>0.0148290206975368</v>
      </c>
      <c r="I511" s="30" t="n">
        <f aca="false">Panel!D485-Panel!D484</f>
        <v>-0.028775532835164</v>
      </c>
      <c r="L511" s="30" t="n">
        <f aca="false">Panel!E485-Panel!E484</f>
        <v>-0.0322989872301402</v>
      </c>
      <c r="M511" s="29" t="n">
        <f aca="false">Panel!E484</f>
        <v>5.55295958492162</v>
      </c>
    </row>
    <row r="512" customFormat="false" ht="15" hidden="false" customHeight="false" outlineLevel="0" collapsed="false">
      <c r="C512" s="0" t="n">
        <f aca="false">Panel!D491-Panel!D490</f>
        <v>0.0172151867012218</v>
      </c>
      <c r="D512" s="29" t="n">
        <f aca="false">Panel!D490</f>
        <v>10.0621565806649</v>
      </c>
      <c r="E512" s="30" t="n">
        <f aca="false">Panel!D490-Panel!D489</f>
        <v>0.00301234004426121</v>
      </c>
      <c r="F512" s="30" t="n">
        <f aca="false">Panel!D489-Panel!D488</f>
        <v>0.0182889137916593</v>
      </c>
      <c r="G512" s="30" t="n">
        <f aca="false">Panel!D488-Panel!D487</f>
        <v>0.019518074191879</v>
      </c>
      <c r="H512" s="30" t="n">
        <f aca="false">Panel!D487-Panel!D486</f>
        <v>-0.00673018455572816</v>
      </c>
      <c r="I512" s="30" t="n">
        <f aca="false">Panel!D486-Panel!D485</f>
        <v>0.0148290206975368</v>
      </c>
      <c r="L512" s="30" t="n">
        <f aca="false">Panel!E486-Panel!E485</f>
        <v>0.0125312430464684</v>
      </c>
      <c r="M512" s="29" t="n">
        <f aca="false">Panel!E485</f>
        <v>5.52066059769148</v>
      </c>
    </row>
    <row r="513" customFormat="false" ht="15" hidden="false" customHeight="false" outlineLevel="0" collapsed="false">
      <c r="C513" s="0" t="n">
        <f aca="false">Panel!D492-Panel!D491</f>
        <v>0.0120465807285175</v>
      </c>
      <c r="D513" s="29" t="n">
        <f aca="false">Panel!D491</f>
        <v>10.0793717673661</v>
      </c>
      <c r="E513" s="30" t="n">
        <f aca="false">Panel!D491-Panel!D490</f>
        <v>0.0172151867012218</v>
      </c>
      <c r="F513" s="30" t="n">
        <f aca="false">Panel!D490-Panel!D489</f>
        <v>0.00301234004426121</v>
      </c>
      <c r="G513" s="30" t="n">
        <f aca="false">Panel!D489-Panel!D488</f>
        <v>0.0182889137916593</v>
      </c>
      <c r="H513" s="30" t="n">
        <f aca="false">Panel!D488-Panel!D487</f>
        <v>0.019518074191879</v>
      </c>
      <c r="I513" s="30" t="n">
        <f aca="false">Panel!D487-Panel!D486</f>
        <v>-0.00673018455572816</v>
      </c>
      <c r="L513" s="30" t="n">
        <f aca="false">Panel!E487-Panel!E486</f>
        <v>-0.00594767811997166</v>
      </c>
      <c r="M513" s="29" t="n">
        <f aca="false">Panel!E486</f>
        <v>5.53319184073795</v>
      </c>
    </row>
    <row r="514" customFormat="false" ht="15" hidden="false" customHeight="false" outlineLevel="0" collapsed="false">
      <c r="C514" s="0" t="n">
        <f aca="false">Panel!D493-Panel!D492</f>
        <v>0.00124223618458963</v>
      </c>
      <c r="D514" s="29" t="n">
        <f aca="false">Panel!D492</f>
        <v>10.0914183480946</v>
      </c>
      <c r="E514" s="30" t="n">
        <f aca="false">Panel!D492-Panel!D491</f>
        <v>0.0120465807285175</v>
      </c>
      <c r="F514" s="30" t="n">
        <f aca="false">Panel!D491-Panel!D490</f>
        <v>0.0172151867012218</v>
      </c>
      <c r="G514" s="30" t="n">
        <f aca="false">Panel!D490-Panel!D489</f>
        <v>0.00301234004426121</v>
      </c>
      <c r="H514" s="30" t="n">
        <f aca="false">Panel!D489-Panel!D488</f>
        <v>0.0182889137916593</v>
      </c>
      <c r="I514" s="30" t="n">
        <f aca="false">Panel!D488-Panel!D487</f>
        <v>0.019518074191879</v>
      </c>
      <c r="L514" s="30" t="n">
        <f aca="false">Panel!E488-Panel!E487</f>
        <v>0.0188313160081917</v>
      </c>
      <c r="M514" s="29" t="n">
        <f aca="false">Panel!E487</f>
        <v>5.52724416261797</v>
      </c>
    </row>
    <row r="515" customFormat="false" ht="15" hidden="false" customHeight="false" outlineLevel="0" collapsed="false">
      <c r="C515" s="0" t="n">
        <f aca="false">Panel!D494-Panel!D493</f>
        <v>0.00585495536039282</v>
      </c>
      <c r="D515" s="29" t="n">
        <f aca="false">Panel!D493</f>
        <v>10.0926605842792</v>
      </c>
      <c r="E515" s="30" t="n">
        <f aca="false">Panel!D493-Panel!D492</f>
        <v>0.00124223618458963</v>
      </c>
      <c r="F515" s="30" t="n">
        <f aca="false">Panel!D492-Panel!D491</f>
        <v>0.0120465807285175</v>
      </c>
      <c r="G515" s="30" t="n">
        <f aca="false">Panel!D491-Panel!D490</f>
        <v>0.0172151867012218</v>
      </c>
      <c r="H515" s="30" t="n">
        <f aca="false">Panel!D490-Panel!D489</f>
        <v>0.00301234004426121</v>
      </c>
      <c r="I515" s="30" t="n">
        <f aca="false">Panel!D489-Panel!D488</f>
        <v>0.0182889137916593</v>
      </c>
      <c r="L515" s="30" t="n">
        <f aca="false">Panel!E489-Panel!E488</f>
        <v>0.0199763225639558</v>
      </c>
      <c r="M515" s="29" t="n">
        <f aca="false">Panel!E488</f>
        <v>5.54607547862617</v>
      </c>
    </row>
    <row r="516" customFormat="false" ht="15" hidden="false" customHeight="false" outlineLevel="0" collapsed="false">
      <c r="C516" s="0" t="n">
        <f aca="false">Panel!D495-Panel!D494</f>
        <v>-0.00242612090193717</v>
      </c>
      <c r="D516" s="29" t="n">
        <f aca="false">Panel!D494</f>
        <v>10.0985155396396</v>
      </c>
      <c r="E516" s="30" t="n">
        <f aca="false">Panel!D494-Panel!D493</f>
        <v>0.00585495536039282</v>
      </c>
      <c r="F516" s="30" t="n">
        <f aca="false">Panel!D493-Panel!D492</f>
        <v>0.00124223618458963</v>
      </c>
      <c r="G516" s="30" t="n">
        <f aca="false">Panel!D492-Panel!D491</f>
        <v>0.0120465807285175</v>
      </c>
      <c r="H516" s="30" t="n">
        <f aca="false">Panel!D491-Panel!D490</f>
        <v>0.0172151867012218</v>
      </c>
      <c r="I516" s="30" t="n">
        <f aca="false">Panel!D490-Panel!D489</f>
        <v>0.00301234004426121</v>
      </c>
      <c r="L516" s="30" t="n">
        <f aca="false">Panel!E490-Panel!E489</f>
        <v>0.000803043962010364</v>
      </c>
      <c r="M516" s="29" t="n">
        <f aca="false">Panel!E489</f>
        <v>5.56605180119012</v>
      </c>
    </row>
    <row r="517" customFormat="false" ht="15" hidden="false" customHeight="false" outlineLevel="0" collapsed="false">
      <c r="C517" s="0" t="n">
        <f aca="false">Panel!D496-Panel!D495</f>
        <v>-0.00566597185681061</v>
      </c>
      <c r="D517" s="29" t="n">
        <f aca="false">Panel!D495</f>
        <v>10.0960894187376</v>
      </c>
      <c r="E517" s="30" t="n">
        <f aca="false">Panel!D495-Panel!D494</f>
        <v>-0.00242612090193717</v>
      </c>
      <c r="F517" s="30" t="n">
        <f aca="false">Panel!D494-Panel!D493</f>
        <v>0.00585495536039282</v>
      </c>
      <c r="G517" s="30" t="n">
        <f aca="false">Panel!D493-Panel!D492</f>
        <v>0.00124223618458963</v>
      </c>
      <c r="H517" s="30" t="n">
        <f aca="false">Panel!D492-Panel!D491</f>
        <v>0.0120465807285175</v>
      </c>
      <c r="I517" s="30" t="n">
        <f aca="false">Panel!D491-Panel!D490</f>
        <v>0.0172151867012218</v>
      </c>
      <c r="L517" s="30" t="n">
        <f aca="false">Panel!E491-Panel!E490</f>
        <v>0.01799393209029</v>
      </c>
      <c r="M517" s="29" t="n">
        <f aca="false">Panel!E490</f>
        <v>5.56685484515213</v>
      </c>
    </row>
    <row r="518" customFormat="false" ht="15" hidden="false" customHeight="false" outlineLevel="0" collapsed="false">
      <c r="C518" s="0" t="n">
        <f aca="false">Panel!D497-Panel!D496</f>
        <v>0.0140438442677873</v>
      </c>
      <c r="D518" s="29" t="n">
        <f aca="false">Panel!D496</f>
        <v>10.0904234468808</v>
      </c>
      <c r="E518" s="30" t="n">
        <f aca="false">Panel!D496-Panel!D495</f>
        <v>-0.00566597185681061</v>
      </c>
      <c r="F518" s="30" t="n">
        <f aca="false">Panel!D495-Panel!D494</f>
        <v>-0.00242612090193717</v>
      </c>
      <c r="G518" s="30" t="n">
        <f aca="false">Panel!D494-Panel!D493</f>
        <v>0.00585495536039282</v>
      </c>
      <c r="H518" s="30" t="n">
        <f aca="false">Panel!D493-Panel!D492</f>
        <v>0.00124223618458963</v>
      </c>
      <c r="I518" s="30" t="n">
        <f aca="false">Panel!D492-Panel!D491</f>
        <v>0.0120465807285175</v>
      </c>
      <c r="L518" s="30" t="n">
        <f aca="false">Panel!E492-Panel!E491</f>
        <v>0.0122760445408145</v>
      </c>
      <c r="M518" s="29" t="n">
        <f aca="false">Panel!E491</f>
        <v>5.58484877724242</v>
      </c>
    </row>
    <row r="519" customFormat="false" ht="15" hidden="false" customHeight="false" outlineLevel="0" collapsed="false">
      <c r="C519" s="0" t="n">
        <f aca="false">Panel!D498-Panel!D497</f>
        <v>-0.0011662286106624</v>
      </c>
      <c r="D519" s="29" t="n">
        <f aca="false">Panel!D497</f>
        <v>10.1044672911486</v>
      </c>
      <c r="E519" s="30" t="n">
        <f aca="false">Panel!D497-Panel!D496</f>
        <v>0.0140438442677873</v>
      </c>
      <c r="F519" s="30" t="n">
        <f aca="false">Panel!D496-Panel!D495</f>
        <v>-0.00566597185681061</v>
      </c>
      <c r="G519" s="30" t="n">
        <f aca="false">Panel!D495-Panel!D494</f>
        <v>-0.00242612090193717</v>
      </c>
      <c r="H519" s="30" t="n">
        <f aca="false">Panel!D494-Panel!D493</f>
        <v>0.00585495536039282</v>
      </c>
      <c r="I519" s="30" t="n">
        <f aca="false">Panel!D493-Panel!D492</f>
        <v>0.00124223618458963</v>
      </c>
      <c r="L519" s="30" t="n">
        <f aca="false">Panel!E493-Panel!E492</f>
        <v>0.00111193488105954</v>
      </c>
      <c r="M519" s="29" t="n">
        <f aca="false">Panel!E492</f>
        <v>5.59712482178324</v>
      </c>
    </row>
    <row r="520" customFormat="false" ht="15" hidden="false" customHeight="false" outlineLevel="0" collapsed="false">
      <c r="C520" s="0" t="n">
        <f aca="false">Panel!D499-Panel!D498</f>
        <v>-0.00194674187240906</v>
      </c>
      <c r="D520" s="29" t="n">
        <f aca="false">Panel!D498</f>
        <v>10.103301062538</v>
      </c>
      <c r="E520" s="30" t="n">
        <f aca="false">Panel!D498-Panel!D497</f>
        <v>-0.0011662286106624</v>
      </c>
      <c r="F520" s="30" t="n">
        <f aca="false">Panel!D497-Panel!D496</f>
        <v>0.0140438442677873</v>
      </c>
      <c r="G520" s="30" t="n">
        <f aca="false">Panel!D496-Panel!D495</f>
        <v>-0.00566597185681061</v>
      </c>
      <c r="H520" s="30" t="n">
        <f aca="false">Panel!D495-Panel!D494</f>
        <v>-0.00242612090193717</v>
      </c>
      <c r="I520" s="30" t="n">
        <f aca="false">Panel!D494-Panel!D493</f>
        <v>0.00585495536039282</v>
      </c>
      <c r="L520" s="30" t="n">
        <f aca="false">Panel!E494-Panel!E493</f>
        <v>0.00568854961884124</v>
      </c>
      <c r="M520" s="29" t="n">
        <f aca="false">Panel!E493</f>
        <v>5.5982367566643</v>
      </c>
    </row>
    <row r="521" customFormat="false" ht="15" hidden="false" customHeight="false" outlineLevel="0" collapsed="false">
      <c r="C521" s="0" t="n">
        <f aca="false">Panel!D500-Panel!D499</f>
        <v>0.00085293447417456</v>
      </c>
      <c r="D521" s="29" t="n">
        <f aca="false">Panel!D499</f>
        <v>10.1013543206655</v>
      </c>
      <c r="E521" s="30" t="n">
        <f aca="false">Panel!D499-Panel!D498</f>
        <v>-0.00194674187240906</v>
      </c>
      <c r="F521" s="30" t="n">
        <f aca="false">Panel!D498-Panel!D497</f>
        <v>-0.0011662286106624</v>
      </c>
      <c r="G521" s="30" t="n">
        <f aca="false">Panel!D497-Panel!D496</f>
        <v>0.0140438442677873</v>
      </c>
      <c r="H521" s="30" t="n">
        <f aca="false">Panel!D496-Panel!D495</f>
        <v>-0.00566597185681061</v>
      </c>
      <c r="I521" s="30" t="n">
        <f aca="false">Panel!D495-Panel!D494</f>
        <v>-0.00242612090193717</v>
      </c>
      <c r="L521" s="30" t="n">
        <f aca="false">Panel!E495-Panel!E494</f>
        <v>-0.00199100427101406</v>
      </c>
      <c r="M521" s="29" t="n">
        <f aca="false">Panel!E494</f>
        <v>5.60392530628314</v>
      </c>
    </row>
    <row r="522" customFormat="false" ht="15" hidden="false" customHeight="false" outlineLevel="0" collapsed="false">
      <c r="C522" s="0" t="n">
        <f aca="false">Panel!D501-Panel!D500</f>
        <v>0.00695617329137299</v>
      </c>
      <c r="D522" s="29" t="n">
        <f aca="false">Panel!D500</f>
        <v>10.1022072551397</v>
      </c>
      <c r="E522" s="30" t="n">
        <f aca="false">Panel!D500-Panel!D499</f>
        <v>0.00085293447417456</v>
      </c>
      <c r="F522" s="30" t="n">
        <f aca="false">Panel!D499-Panel!D498</f>
        <v>-0.00194674187240906</v>
      </c>
      <c r="G522" s="30" t="n">
        <f aca="false">Panel!D498-Panel!D497</f>
        <v>-0.0011662286106624</v>
      </c>
      <c r="H522" s="30" t="n">
        <f aca="false">Panel!D497-Panel!D496</f>
        <v>0.0140438442677873</v>
      </c>
      <c r="I522" s="30" t="n">
        <f aca="false">Panel!D496-Panel!D495</f>
        <v>-0.00566597185681061</v>
      </c>
      <c r="L522" s="30" t="n">
        <f aca="false">Panel!E496-Panel!E495</f>
        <v>-0.0102386174674258</v>
      </c>
      <c r="M522" s="29" t="n">
        <f aca="false">Panel!E495</f>
        <v>5.60193430201212</v>
      </c>
    </row>
    <row r="523" customFormat="false" ht="15" hidden="false" customHeight="false" outlineLevel="0" collapsed="false">
      <c r="C523" s="0" t="n">
        <f aca="false">Panel!D502-Panel!D501</f>
        <v>-0.0063210458040377</v>
      </c>
      <c r="D523" s="29" t="n">
        <f aca="false">Panel!D501</f>
        <v>10.1091634284311</v>
      </c>
      <c r="E523" s="30" t="n">
        <f aca="false">Panel!D501-Panel!D500</f>
        <v>0.00695617329137299</v>
      </c>
      <c r="F523" s="30" t="n">
        <f aca="false">Panel!D500-Panel!D499</f>
        <v>0.00085293447417456</v>
      </c>
      <c r="G523" s="30" t="n">
        <f aca="false">Panel!D499-Panel!D498</f>
        <v>-0.00194674187240906</v>
      </c>
      <c r="H523" s="30" t="n">
        <f aca="false">Panel!D498-Panel!D497</f>
        <v>-0.0011662286106624</v>
      </c>
      <c r="I523" s="30" t="n">
        <f aca="false">Panel!D497-Panel!D496</f>
        <v>0.0140438442677873</v>
      </c>
      <c r="L523" s="30" t="n">
        <f aca="false">Panel!E497-Panel!E496</f>
        <v>0.0138122208431639</v>
      </c>
      <c r="M523" s="29" t="n">
        <f aca="false">Panel!E496</f>
        <v>5.5916956845447</v>
      </c>
    </row>
    <row r="524" customFormat="false" ht="15" hidden="false" customHeight="false" outlineLevel="0" collapsed="false">
      <c r="C524" s="0" t="n">
        <f aca="false">Panel!D503-Panel!D502</f>
        <v>0.00225860267292077</v>
      </c>
      <c r="D524" s="29" t="n">
        <f aca="false">Panel!D502</f>
        <v>10.1028423826271</v>
      </c>
      <c r="E524" s="30" t="n">
        <f aca="false">Panel!D502-Panel!D501</f>
        <v>-0.0063210458040377</v>
      </c>
      <c r="F524" s="30" t="n">
        <f aca="false">Panel!D501-Panel!D500</f>
        <v>0.00695617329137299</v>
      </c>
      <c r="G524" s="30" t="n">
        <f aca="false">Panel!D500-Panel!D499</f>
        <v>0.00085293447417456</v>
      </c>
      <c r="H524" s="30" t="n">
        <f aca="false">Panel!D499-Panel!D498</f>
        <v>-0.00194674187240906</v>
      </c>
      <c r="I524" s="30" t="n">
        <f aca="false">Panel!D498-Panel!D497</f>
        <v>-0.0011662286106624</v>
      </c>
      <c r="L524" s="30" t="n">
        <f aca="false">Panel!E498-Panel!E497</f>
        <v>-0.000514989895509466</v>
      </c>
      <c r="M524" s="29" t="n">
        <f aca="false">Panel!E497</f>
        <v>5.60550790538786</v>
      </c>
    </row>
    <row r="525" customFormat="false" ht="15" hidden="false" customHeight="false" outlineLevel="0" collapsed="false">
      <c r="C525" s="0" t="n">
        <f aca="false">Panel!D504-Panel!D503</f>
        <v>-0.0106542875743063</v>
      </c>
      <c r="D525" s="29" t="n">
        <f aca="false">Panel!D503</f>
        <v>10.1051009853</v>
      </c>
      <c r="E525" s="30" t="n">
        <f aca="false">Panel!D503-Panel!D502</f>
        <v>0.00225860267292077</v>
      </c>
      <c r="F525" s="30" t="n">
        <f aca="false">Panel!D502-Panel!D501</f>
        <v>-0.0063210458040377</v>
      </c>
      <c r="G525" s="30" t="n">
        <f aca="false">Panel!D501-Panel!D500</f>
        <v>0.00695617329137299</v>
      </c>
      <c r="H525" s="30" t="n">
        <f aca="false">Panel!D500-Panel!D499</f>
        <v>0.00085293447417456</v>
      </c>
      <c r="I525" s="30" t="n">
        <f aca="false">Panel!D499-Panel!D498</f>
        <v>-0.00194674187240906</v>
      </c>
      <c r="L525" s="30" t="n">
        <f aca="false">Panel!E499-Panel!E498</f>
        <v>-0.00165712324566769</v>
      </c>
      <c r="M525" s="29" t="n">
        <f aca="false">Panel!E498</f>
        <v>5.60499291549235</v>
      </c>
    </row>
    <row r="526" customFormat="false" ht="15" hidden="false" customHeight="false" outlineLevel="0" collapsed="false">
      <c r="C526" s="0" t="n">
        <f aca="false">Panel!D505-Panel!D504</f>
        <v>-0.0048946021167513</v>
      </c>
      <c r="D526" s="29" t="n">
        <f aca="false">Panel!D504</f>
        <v>10.0944466977257</v>
      </c>
      <c r="E526" s="30" t="n">
        <f aca="false">Panel!D504-Panel!D503</f>
        <v>-0.0106542875743063</v>
      </c>
      <c r="F526" s="30" t="n">
        <f aca="false">Panel!D503-Panel!D502</f>
        <v>0.00225860267292077</v>
      </c>
      <c r="G526" s="30" t="n">
        <f aca="false">Panel!D502-Panel!D501</f>
        <v>-0.0063210458040377</v>
      </c>
      <c r="H526" s="30" t="n">
        <f aca="false">Panel!D501-Panel!D500</f>
        <v>0.00695617329137299</v>
      </c>
      <c r="I526" s="30" t="n">
        <f aca="false">Panel!D500-Panel!D499</f>
        <v>0.00085293447417456</v>
      </c>
      <c r="L526" s="30" t="n">
        <f aca="false">Panel!E500-Panel!E499</f>
        <v>0.00228243362228575</v>
      </c>
      <c r="M526" s="29" t="n">
        <f aca="false">Panel!E499</f>
        <v>5.60333579224668</v>
      </c>
    </row>
    <row r="527" customFormat="false" ht="15" hidden="false" customHeight="false" outlineLevel="0" collapsed="false">
      <c r="C527" s="0" t="n">
        <f aca="false">Panel!D506-Panel!D505</f>
        <v>0.0389013467734589</v>
      </c>
      <c r="D527" s="29" t="n">
        <f aca="false">Panel!D505</f>
        <v>10.0895520956089</v>
      </c>
      <c r="E527" s="30" t="n">
        <f aca="false">Panel!D505-Panel!D504</f>
        <v>-0.0048946021167513</v>
      </c>
      <c r="F527" s="30" t="n">
        <f aca="false">Panel!D504-Panel!D503</f>
        <v>-0.0106542875743063</v>
      </c>
      <c r="G527" s="30" t="n">
        <f aca="false">Panel!D503-Panel!D502</f>
        <v>0.00225860267292077</v>
      </c>
      <c r="H527" s="30" t="n">
        <f aca="false">Panel!D502-Panel!D501</f>
        <v>-0.0063210458040377</v>
      </c>
      <c r="I527" s="30" t="n">
        <f aca="false">Panel!D501-Panel!D500</f>
        <v>0.00695617329137299</v>
      </c>
      <c r="L527" s="30" t="n">
        <f aca="false">Panel!E501-Panel!E500</f>
        <v>0.00816659913878493</v>
      </c>
      <c r="M527" s="29" t="n">
        <f aca="false">Panel!E500</f>
        <v>5.60561822586897</v>
      </c>
    </row>
    <row r="528" customFormat="false" ht="15" hidden="false" customHeight="false" outlineLevel="0" collapsed="false">
      <c r="C528" s="0" t="n">
        <f aca="false">Panel!D507-Panel!D506</f>
        <v>-0.0160470314691601</v>
      </c>
      <c r="D528" s="29" t="n">
        <f aca="false">Panel!D506</f>
        <v>10.1284534423824</v>
      </c>
      <c r="E528" s="30" t="n">
        <f aca="false">Panel!D506-Panel!D505</f>
        <v>0.0389013467734589</v>
      </c>
      <c r="F528" s="30" t="n">
        <f aca="false">Panel!D505-Panel!D504</f>
        <v>-0.0048946021167513</v>
      </c>
      <c r="G528" s="30" t="n">
        <f aca="false">Panel!D504-Panel!D503</f>
        <v>-0.0106542875743063</v>
      </c>
      <c r="H528" s="30" t="n">
        <f aca="false">Panel!D503-Panel!D502</f>
        <v>0.00225860267292077</v>
      </c>
      <c r="I528" s="30" t="n">
        <f aca="false">Panel!D502-Panel!D501</f>
        <v>-0.0063210458040377</v>
      </c>
      <c r="L528" s="30" t="n">
        <f aca="false">Panel!E502-Panel!E501</f>
        <v>-0.00724773479038898</v>
      </c>
      <c r="M528" s="29" t="n">
        <f aca="false">Panel!E501</f>
        <v>5.61378482500775</v>
      </c>
    </row>
    <row r="529" customFormat="false" ht="15" hidden="false" customHeight="false" outlineLevel="0" collapsed="false">
      <c r="C529" s="0" t="n">
        <f aca="false">Panel!D508-Panel!D507</f>
        <v>0.00348725239438075</v>
      </c>
      <c r="D529" s="29" t="n">
        <f aca="false">Panel!D507</f>
        <v>10.1124064109132</v>
      </c>
      <c r="E529" s="30" t="n">
        <f aca="false">Panel!D507-Panel!D506</f>
        <v>-0.0160470314691601</v>
      </c>
      <c r="F529" s="30" t="n">
        <f aca="false">Panel!D506-Panel!D505</f>
        <v>0.0389013467734589</v>
      </c>
      <c r="G529" s="30" t="n">
        <f aca="false">Panel!D505-Panel!D504</f>
        <v>-0.0048946021167513</v>
      </c>
      <c r="H529" s="30" t="n">
        <f aca="false">Panel!D504-Panel!D503</f>
        <v>-0.0106542875743063</v>
      </c>
      <c r="I529" s="30" t="n">
        <f aca="false">Panel!D503-Panel!D502</f>
        <v>0.00225860267292077</v>
      </c>
      <c r="L529" s="30" t="n">
        <f aca="false">Panel!E503-Panel!E502</f>
        <v>0.00271490059260238</v>
      </c>
      <c r="M529" s="29" t="n">
        <f aca="false">Panel!E502</f>
        <v>5.60653709021737</v>
      </c>
    </row>
    <row r="530" customFormat="false" ht="15" hidden="false" customHeight="false" outlineLevel="0" collapsed="false">
      <c r="C530" s="0" t="n">
        <f aca="false">Panel!D509-Panel!D508</f>
        <v>0.0137329495225398</v>
      </c>
      <c r="D530" s="29" t="n">
        <f aca="false">Panel!D508</f>
        <v>10.1158936633076</v>
      </c>
      <c r="E530" s="30" t="n">
        <f aca="false">Panel!D508-Panel!D507</f>
        <v>0.00348725239438075</v>
      </c>
      <c r="F530" s="30" t="n">
        <f aca="false">Panel!D507-Panel!D506</f>
        <v>-0.0160470314691601</v>
      </c>
      <c r="G530" s="30" t="n">
        <f aca="false">Panel!D506-Panel!D505</f>
        <v>0.0389013467734589</v>
      </c>
      <c r="H530" s="30" t="n">
        <f aca="false">Panel!D505-Panel!D504</f>
        <v>-0.0048946021167513</v>
      </c>
      <c r="I530" s="30" t="n">
        <f aca="false">Panel!D504-Panel!D503</f>
        <v>-0.0106542875743063</v>
      </c>
      <c r="L530" s="30" t="n">
        <f aca="false">Panel!E504-Panel!E503</f>
        <v>-0.00983053147850921</v>
      </c>
      <c r="M530" s="29" t="n">
        <f aca="false">Panel!E503</f>
        <v>5.60925199080997</v>
      </c>
    </row>
    <row r="531" customFormat="false" ht="15" hidden="false" customHeight="false" outlineLevel="0" collapsed="false">
      <c r="C531" s="0" t="n">
        <f aca="false">Panel!D510-Panel!D509</f>
        <v>0.000199381916720753</v>
      </c>
      <c r="D531" s="29" t="n">
        <f aca="false">Panel!D509</f>
        <v>10.1296266128301</v>
      </c>
      <c r="E531" s="30" t="n">
        <f aca="false">Panel!D509-Panel!D508</f>
        <v>0.0137329495225398</v>
      </c>
      <c r="F531" s="30" t="n">
        <f aca="false">Panel!D508-Panel!D507</f>
        <v>0.00348725239438075</v>
      </c>
      <c r="G531" s="30" t="n">
        <f aca="false">Panel!D507-Panel!D506</f>
        <v>-0.0160470314691601</v>
      </c>
      <c r="H531" s="30" t="n">
        <f aca="false">Panel!D506-Panel!D505</f>
        <v>0.0389013467734589</v>
      </c>
      <c r="I531" s="30" t="n">
        <f aca="false">Panel!D505-Panel!D504</f>
        <v>-0.0048946021167513</v>
      </c>
      <c r="L531" s="30" t="n">
        <f aca="false">Panel!E505-Panel!E504</f>
        <v>-0.00563987988958647</v>
      </c>
      <c r="M531" s="29" t="n">
        <f aca="false">Panel!E504</f>
        <v>5.59942145933146</v>
      </c>
    </row>
    <row r="532" customFormat="false" ht="15" hidden="false" customHeight="false" outlineLevel="0" collapsed="false">
      <c r="C532" s="0" t="n">
        <f aca="false">Panel!D511-Panel!D510</f>
        <v>-0.00459587181214793</v>
      </c>
      <c r="D532" s="29" t="n">
        <f aca="false">Panel!D510</f>
        <v>10.1298259947469</v>
      </c>
      <c r="E532" s="30" t="n">
        <f aca="false">Panel!D510-Panel!D509</f>
        <v>0.000199381916720753</v>
      </c>
      <c r="F532" s="30" t="n">
        <f aca="false">Panel!D509-Panel!D508</f>
        <v>0.0137329495225398</v>
      </c>
      <c r="G532" s="30" t="n">
        <f aca="false">Panel!D508-Panel!D507</f>
        <v>0.00348725239438075</v>
      </c>
      <c r="H532" s="30" t="n">
        <f aca="false">Panel!D507-Panel!D506</f>
        <v>-0.0160470314691601</v>
      </c>
      <c r="I532" s="30" t="n">
        <f aca="false">Panel!D506-Panel!D505</f>
        <v>0.0389013467734589</v>
      </c>
      <c r="L532" s="30" t="n">
        <f aca="false">Panel!E506-Panel!E505</f>
        <v>0.0374660440310803</v>
      </c>
      <c r="M532" s="29" t="n">
        <f aca="false">Panel!E505</f>
        <v>5.59378157944187</v>
      </c>
    </row>
    <row r="533" customFormat="false" ht="15" hidden="false" customHeight="false" outlineLevel="0" collapsed="false">
      <c r="C533" s="0" t="n">
        <f aca="false">Panel!D512-Panel!D511</f>
        <v>-0.00735726075827081</v>
      </c>
      <c r="D533" s="29" t="n">
        <f aca="false">Panel!D511</f>
        <v>10.1252301229347</v>
      </c>
      <c r="E533" s="30" t="n">
        <f aca="false">Panel!D511-Panel!D510</f>
        <v>-0.00459587181214793</v>
      </c>
      <c r="F533" s="30" t="n">
        <f aca="false">Panel!D510-Panel!D509</f>
        <v>0.000199381916720753</v>
      </c>
      <c r="G533" s="30" t="n">
        <f aca="false">Panel!D509-Panel!D508</f>
        <v>0.0137329495225398</v>
      </c>
      <c r="H533" s="30" t="n">
        <f aca="false">Panel!D508-Panel!D507</f>
        <v>0.00348725239438075</v>
      </c>
      <c r="I533" s="30" t="n">
        <f aca="false">Panel!D507-Panel!D506</f>
        <v>-0.0160470314691601</v>
      </c>
      <c r="L533" s="30" t="n">
        <f aca="false">Panel!E507-Panel!E506</f>
        <v>-0.0115354006129769</v>
      </c>
      <c r="M533" s="29" t="n">
        <f aca="false">Panel!E506</f>
        <v>5.63124762347295</v>
      </c>
    </row>
    <row r="534" customFormat="false" ht="15" hidden="false" customHeight="false" outlineLevel="0" collapsed="false">
      <c r="C534" s="0" t="n">
        <f aca="false">Panel!D513-Panel!D512</f>
        <v>0.00145161315812636</v>
      </c>
      <c r="D534" s="29" t="n">
        <f aca="false">Panel!D512</f>
        <v>10.1178728621764</v>
      </c>
      <c r="E534" s="30" t="n">
        <f aca="false">Panel!D512-Panel!D511</f>
        <v>-0.00735726075827081</v>
      </c>
      <c r="F534" s="30" t="n">
        <f aca="false">Panel!D511-Panel!D510</f>
        <v>-0.00459587181214793</v>
      </c>
      <c r="G534" s="30" t="n">
        <f aca="false">Panel!D510-Panel!D509</f>
        <v>0.000199381916720753</v>
      </c>
      <c r="H534" s="30" t="n">
        <f aca="false">Panel!D509-Panel!D508</f>
        <v>0.0137329495225398</v>
      </c>
      <c r="I534" s="30" t="n">
        <f aca="false">Panel!D508-Panel!D507</f>
        <v>0.00348725239438075</v>
      </c>
      <c r="L534" s="30" t="n">
        <f aca="false">Panel!E508-Panel!E507</f>
        <v>0.00358300088353936</v>
      </c>
      <c r="M534" s="29" t="n">
        <f aca="false">Panel!E507</f>
        <v>5.61971222285998</v>
      </c>
    </row>
    <row r="535" customFormat="false" ht="15" hidden="false" customHeight="false" outlineLevel="0" collapsed="false">
      <c r="C535" s="0" t="n">
        <f aca="false">Panel!D514-Panel!D513</f>
        <v>-0.00617990734695084</v>
      </c>
      <c r="D535" s="29" t="n">
        <f aca="false">Panel!D513</f>
        <v>10.1193244753346</v>
      </c>
      <c r="E535" s="30" t="n">
        <f aca="false">Panel!D513-Panel!D512</f>
        <v>0.00145161315812636</v>
      </c>
      <c r="F535" s="30" t="n">
        <f aca="false">Panel!D512-Panel!D511</f>
        <v>-0.00735726075827081</v>
      </c>
      <c r="G535" s="30" t="n">
        <f aca="false">Panel!D511-Panel!D510</f>
        <v>-0.00459587181214793</v>
      </c>
      <c r="H535" s="30" t="n">
        <f aca="false">Panel!D510-Panel!D509</f>
        <v>0.000199381916720753</v>
      </c>
      <c r="I535" s="30" t="n">
        <f aca="false">Panel!D509-Panel!D508</f>
        <v>0.0137329495225398</v>
      </c>
      <c r="L535" s="30" t="n">
        <f aca="false">Panel!E509-Panel!E508</f>
        <v>0.011208624315918</v>
      </c>
      <c r="M535" s="29" t="n">
        <f aca="false">Panel!E508</f>
        <v>5.62329522374352</v>
      </c>
    </row>
    <row r="536" customFormat="false" ht="15" hidden="false" customHeight="false" outlineLevel="0" collapsed="false">
      <c r="C536" s="0" t="n">
        <f aca="false">Panel!D515-Panel!D514</f>
        <v>0.00888396024280702</v>
      </c>
      <c r="D536" s="29" t="n">
        <f aca="false">Panel!D514</f>
        <v>10.1131445679876</v>
      </c>
      <c r="E536" s="30" t="n">
        <f aca="false">Panel!D514-Panel!D513</f>
        <v>-0.00617990734695084</v>
      </c>
      <c r="F536" s="30" t="n">
        <f aca="false">Panel!D513-Panel!D512</f>
        <v>0.00145161315812636</v>
      </c>
      <c r="G536" s="30" t="n">
        <f aca="false">Panel!D512-Panel!D511</f>
        <v>-0.00735726075827081</v>
      </c>
      <c r="H536" s="30" t="n">
        <f aca="false">Panel!D511-Panel!D510</f>
        <v>-0.00459587181214793</v>
      </c>
      <c r="I536" s="30" t="n">
        <f aca="false">Panel!D510-Panel!D509</f>
        <v>0.000199381916720753</v>
      </c>
      <c r="L536" s="30" t="n">
        <f aca="false">Panel!E510-Panel!E509</f>
        <v>0.000642834206630027</v>
      </c>
      <c r="M536" s="29" t="n">
        <f aca="false">Panel!E509</f>
        <v>5.63450384805943</v>
      </c>
    </row>
    <row r="537" customFormat="false" ht="15" hidden="false" customHeight="false" outlineLevel="0" collapsed="false">
      <c r="C537" s="0" t="n">
        <f aca="false">Panel!D516-Panel!D515</f>
        <v>0.00600159653362375</v>
      </c>
      <c r="D537" s="29" t="n">
        <f aca="false">Panel!D515</f>
        <v>10.1220285282304</v>
      </c>
      <c r="E537" s="30" t="n">
        <f aca="false">Panel!D515-Panel!D514</f>
        <v>0.00888396024280702</v>
      </c>
      <c r="F537" s="30" t="n">
        <f aca="false">Panel!D514-Panel!D513</f>
        <v>-0.00617990734695084</v>
      </c>
      <c r="G537" s="30" t="n">
        <f aca="false">Panel!D513-Panel!D512</f>
        <v>0.00145161315812636</v>
      </c>
      <c r="H537" s="30" t="n">
        <f aca="false">Panel!D512-Panel!D511</f>
        <v>-0.00735726075827081</v>
      </c>
      <c r="I537" s="30" t="n">
        <f aca="false">Panel!D511-Panel!D510</f>
        <v>-0.00459587181214793</v>
      </c>
      <c r="L537" s="30" t="n">
        <f aca="false">Panel!E511-Panel!E510</f>
        <v>-0.00164362062227852</v>
      </c>
      <c r="M537" s="29" t="n">
        <f aca="false">Panel!E510</f>
        <v>5.63514668226606</v>
      </c>
    </row>
    <row r="538" customFormat="false" ht="15" hidden="false" customHeight="false" outlineLevel="0" collapsed="false">
      <c r="C538" s="0" t="n">
        <f aca="false">Panel!D517-Panel!D516</f>
        <v>-0.00701475969934329</v>
      </c>
      <c r="D538" s="29" t="n">
        <f aca="false">Panel!D516</f>
        <v>10.128030124764</v>
      </c>
      <c r="E538" s="30" t="n">
        <f aca="false">Panel!D516-Panel!D515</f>
        <v>0.00600159653362375</v>
      </c>
      <c r="F538" s="30" t="n">
        <f aca="false">Panel!D515-Panel!D514</f>
        <v>0.00888396024280702</v>
      </c>
      <c r="G538" s="30" t="n">
        <f aca="false">Panel!D514-Panel!D513</f>
        <v>-0.00617990734695084</v>
      </c>
      <c r="H538" s="30" t="n">
        <f aca="false">Panel!D513-Panel!D512</f>
        <v>0.00145161315812636</v>
      </c>
      <c r="I538" s="30" t="n">
        <f aca="false">Panel!D512-Panel!D511</f>
        <v>-0.00735726075827081</v>
      </c>
      <c r="L538" s="30" t="n">
        <f aca="false">Panel!E512-Panel!E511</f>
        <v>-0.00876379432803631</v>
      </c>
      <c r="M538" s="29" t="n">
        <f aca="false">Panel!E511</f>
        <v>5.63350306164378</v>
      </c>
    </row>
    <row r="539" customFormat="false" ht="15" hidden="false" customHeight="false" outlineLevel="0" collapsed="false">
      <c r="C539" s="0" t="n">
        <f aca="false">Panel!D518-Panel!D517</f>
        <v>-0.00443863748006912</v>
      </c>
      <c r="D539" s="29" t="n">
        <f aca="false">Panel!D517</f>
        <v>10.1210153650647</v>
      </c>
      <c r="E539" s="30" t="n">
        <f aca="false">Panel!D517-Panel!D516</f>
        <v>-0.00701475969934329</v>
      </c>
      <c r="F539" s="30" t="n">
        <f aca="false">Panel!D516-Panel!D515</f>
        <v>0.00600159653362375</v>
      </c>
      <c r="G539" s="30" t="n">
        <f aca="false">Panel!D515-Panel!D514</f>
        <v>0.00888396024280702</v>
      </c>
      <c r="H539" s="30" t="n">
        <f aca="false">Panel!D514-Panel!D513</f>
        <v>-0.00617990734695084</v>
      </c>
      <c r="I539" s="30" t="n">
        <f aca="false">Panel!D513-Panel!D512</f>
        <v>0.00145161315812636</v>
      </c>
      <c r="L539" s="30" t="n">
        <f aca="false">Panel!E513-Panel!E512</f>
        <v>0.00104562918539131</v>
      </c>
      <c r="M539" s="29" t="n">
        <f aca="false">Panel!E512</f>
        <v>5.62473926731575</v>
      </c>
    </row>
    <row r="540" customFormat="false" ht="15" hidden="false" customHeight="false" outlineLevel="0" collapsed="false">
      <c r="C540" s="0" t="n">
        <f aca="false">Panel!D519-Panel!D518</f>
        <v>0.00330364124216587</v>
      </c>
      <c r="D540" s="29" t="n">
        <f aca="false">Panel!D518</f>
        <v>10.1165767275846</v>
      </c>
      <c r="E540" s="30" t="n">
        <f aca="false">Panel!D518-Panel!D517</f>
        <v>-0.00443863748006912</v>
      </c>
      <c r="F540" s="30" t="n">
        <f aca="false">Panel!D517-Panel!D516</f>
        <v>-0.00701475969934329</v>
      </c>
      <c r="G540" s="30" t="n">
        <f aca="false">Panel!D516-Panel!D515</f>
        <v>0.00600159653362375</v>
      </c>
      <c r="H540" s="30" t="n">
        <f aca="false">Panel!D515-Panel!D514</f>
        <v>0.00888396024280702</v>
      </c>
      <c r="I540" s="30" t="n">
        <f aca="false">Panel!D514-Panel!D513</f>
        <v>-0.00617990734695084</v>
      </c>
      <c r="L540" s="30" t="n">
        <f aca="false">Panel!E514-Panel!E513</f>
        <v>-0.00458724685135703</v>
      </c>
      <c r="M540" s="29" t="n">
        <f aca="false">Panel!E513</f>
        <v>5.62578489650114</v>
      </c>
    </row>
    <row r="541" customFormat="false" ht="15" hidden="false" customHeight="false" outlineLevel="0" collapsed="false">
      <c r="C541" s="0" t="n">
        <f aca="false">Panel!D520-Panel!D519</f>
        <v>0.00103442802742926</v>
      </c>
      <c r="D541" s="29" t="n">
        <f aca="false">Panel!D519</f>
        <v>10.1198803688268</v>
      </c>
      <c r="E541" s="30" t="n">
        <f aca="false">Panel!D519-Panel!D518</f>
        <v>0.00330364124216587</v>
      </c>
      <c r="F541" s="30" t="n">
        <f aca="false">Panel!D518-Panel!D517</f>
        <v>-0.00443863748006912</v>
      </c>
      <c r="G541" s="30" t="n">
        <f aca="false">Panel!D517-Panel!D516</f>
        <v>-0.00701475969934329</v>
      </c>
      <c r="H541" s="30" t="n">
        <f aca="false">Panel!D516-Panel!D515</f>
        <v>0.00600159653362375</v>
      </c>
      <c r="I541" s="30" t="n">
        <f aca="false">Panel!D515-Panel!D514</f>
        <v>0.00888396024280702</v>
      </c>
      <c r="L541" s="30" t="n">
        <f aca="false">Panel!E515-Panel!E514</f>
        <v>0.0075020188820627</v>
      </c>
      <c r="M541" s="29" t="n">
        <f aca="false">Panel!E514</f>
        <v>5.62119764964978</v>
      </c>
    </row>
    <row r="542" customFormat="false" ht="15" hidden="false" customHeight="false" outlineLevel="0" collapsed="false">
      <c r="C542" s="0" t="n">
        <f aca="false">Panel!D521-Panel!D520</f>
        <v>-0.00231586470115452</v>
      </c>
      <c r="D542" s="29" t="n">
        <f aca="false">Panel!D520</f>
        <v>10.1209147968542</v>
      </c>
      <c r="E542" s="30" t="n">
        <f aca="false">Panel!D520-Panel!D519</f>
        <v>0.00103442802742926</v>
      </c>
      <c r="F542" s="30" t="n">
        <f aca="false">Panel!D519-Panel!D518</f>
        <v>0.00330364124216587</v>
      </c>
      <c r="G542" s="30" t="n">
        <f aca="false">Panel!D518-Panel!D517</f>
        <v>-0.00443863748006912</v>
      </c>
      <c r="H542" s="30" t="n">
        <f aca="false">Panel!D517-Panel!D516</f>
        <v>-0.00701475969934329</v>
      </c>
      <c r="I542" s="30" t="n">
        <f aca="false">Panel!D516-Panel!D515</f>
        <v>0.00600159653362375</v>
      </c>
      <c r="L542" s="30" t="n">
        <f aca="false">Panel!E516-Panel!E515</f>
        <v>0.00501793167606923</v>
      </c>
      <c r="M542" s="29" t="n">
        <f aca="false">Panel!E515</f>
        <v>5.62869966853185</v>
      </c>
    </row>
    <row r="543" customFormat="false" ht="15" hidden="false" customHeight="false" outlineLevel="0" collapsed="false">
      <c r="C543" s="0" t="n">
        <f aca="false">Panel!D522-Panel!D521</f>
        <v>-0.00619657855346922</v>
      </c>
      <c r="D543" s="29" t="n">
        <f aca="false">Panel!D521</f>
        <v>10.1185989321531</v>
      </c>
      <c r="E543" s="30" t="n">
        <f aca="false">Panel!D521-Panel!D520</f>
        <v>-0.00231586470115452</v>
      </c>
      <c r="F543" s="30" t="n">
        <f aca="false">Panel!D520-Panel!D519</f>
        <v>0.00103442802742926</v>
      </c>
      <c r="G543" s="30" t="n">
        <f aca="false">Panel!D519-Panel!D518</f>
        <v>0.00330364124216587</v>
      </c>
      <c r="H543" s="30" t="n">
        <f aca="false">Panel!D518-Panel!D517</f>
        <v>-0.00443863748006912</v>
      </c>
      <c r="I543" s="30" t="n">
        <f aca="false">Panel!D517-Panel!D516</f>
        <v>-0.00701475969934329</v>
      </c>
      <c r="L543" s="30" t="n">
        <f aca="false">Panel!E517-Panel!E516</f>
        <v>-0.00501793167606923</v>
      </c>
      <c r="M543" s="29" t="n">
        <f aca="false">Panel!E516</f>
        <v>5.63371760020791</v>
      </c>
    </row>
    <row r="544" customFormat="false" ht="15" hidden="false" customHeight="false" outlineLevel="0" collapsed="false">
      <c r="C544" s="0" t="n">
        <f aca="false">Panel!D523-Panel!D522</f>
        <v>0.0029655579720238</v>
      </c>
      <c r="D544" s="29" t="n">
        <f aca="false">Panel!D522</f>
        <v>10.1124023535996</v>
      </c>
      <c r="E544" s="30" t="n">
        <f aca="false">Panel!D522-Panel!D521</f>
        <v>-0.00619657855346922</v>
      </c>
      <c r="F544" s="30" t="n">
        <f aca="false">Panel!D521-Panel!D520</f>
        <v>-0.00231586470115452</v>
      </c>
      <c r="G544" s="30" t="n">
        <f aca="false">Panel!D520-Panel!D519</f>
        <v>0.00103442802742926</v>
      </c>
      <c r="H544" s="30" t="n">
        <f aca="false">Panel!D519-Panel!D518</f>
        <v>0.00330364124216587</v>
      </c>
      <c r="I544" s="30" t="n">
        <f aca="false">Panel!D518-Panel!D517</f>
        <v>-0.00443863748006912</v>
      </c>
      <c r="L544" s="30" t="n">
        <f aca="false">Panel!E518-Panel!E517</f>
        <v>-0.00183423597974386</v>
      </c>
      <c r="M544" s="29" t="n">
        <f aca="false">Panel!E517</f>
        <v>5.62869966853185</v>
      </c>
    </row>
    <row r="545" customFormat="false" ht="15" hidden="false" customHeight="false" outlineLevel="0" collapsed="false">
      <c r="C545" s="0" t="n">
        <f aca="false">Panel!D524-Panel!D523</f>
        <v>0.00607375038716107</v>
      </c>
      <c r="D545" s="29" t="n">
        <f aca="false">Panel!D523</f>
        <v>10.1153679115716</v>
      </c>
      <c r="E545" s="30" t="n">
        <f aca="false">Panel!D523-Panel!D522</f>
        <v>0.0029655579720238</v>
      </c>
      <c r="F545" s="30" t="n">
        <f aca="false">Panel!D522-Panel!D521</f>
        <v>-0.00619657855346922</v>
      </c>
      <c r="G545" s="30" t="n">
        <f aca="false">Panel!D521-Panel!D520</f>
        <v>-0.00231586470115452</v>
      </c>
      <c r="H545" s="30" t="n">
        <f aca="false">Panel!D520-Panel!D519</f>
        <v>0.00103442802742926</v>
      </c>
      <c r="I545" s="30" t="n">
        <f aca="false">Panel!D519-Panel!D518</f>
        <v>0.00330364124216587</v>
      </c>
      <c r="L545" s="30" t="n">
        <f aca="false">Panel!E519-Panel!E518</f>
        <v>0.00434634926926414</v>
      </c>
      <c r="M545" s="29" t="n">
        <f aca="false">Panel!E518</f>
        <v>5.6268654325521</v>
      </c>
    </row>
    <row r="546" customFormat="false" ht="15" hidden="false" customHeight="false" outlineLevel="0" collapsed="false">
      <c r="C546" s="0" t="n">
        <f aca="false">Panel!D525-Panel!D524</f>
        <v>0.00881087657407242</v>
      </c>
      <c r="D546" s="29" t="n">
        <f aca="false">Panel!D524</f>
        <v>10.1214416619588</v>
      </c>
      <c r="E546" s="30" t="n">
        <f aca="false">Panel!D524-Panel!D523</f>
        <v>0.00607375038716107</v>
      </c>
      <c r="F546" s="30" t="n">
        <f aca="false">Panel!D523-Panel!D522</f>
        <v>0.0029655579720238</v>
      </c>
      <c r="G546" s="30" t="n">
        <f aca="false">Panel!D522-Panel!D521</f>
        <v>-0.00619657855346922</v>
      </c>
      <c r="H546" s="30" t="n">
        <f aca="false">Panel!D521-Panel!D520</f>
        <v>-0.00231586470115452</v>
      </c>
      <c r="I546" s="30" t="n">
        <f aca="false">Panel!D520-Panel!D519</f>
        <v>0.00103442802742926</v>
      </c>
      <c r="L546" s="30" t="n">
        <f aca="false">Panel!E520-Panel!E519</f>
        <v>-0.0035906681307285</v>
      </c>
      <c r="M546" s="29" t="n">
        <f aca="false">Panel!E519</f>
        <v>5.63121178182137</v>
      </c>
    </row>
    <row r="547" customFormat="false" ht="15" hidden="false" customHeight="false" outlineLevel="0" collapsed="false">
      <c r="C547" s="0" t="n">
        <f aca="false">Panel!D526-Panel!D525</f>
        <v>0.00355276906547708</v>
      </c>
      <c r="D547" s="29" t="n">
        <f aca="false">Panel!D525</f>
        <v>10.1302525385329</v>
      </c>
      <c r="E547" s="30" t="n">
        <f aca="false">Panel!D525-Panel!D524</f>
        <v>0.00881087657407242</v>
      </c>
      <c r="F547" s="30" t="n">
        <f aca="false">Panel!D524-Panel!D523</f>
        <v>0.00607375038716107</v>
      </c>
      <c r="G547" s="30" t="n">
        <f aca="false">Panel!D523-Panel!D522</f>
        <v>0.0029655579720238</v>
      </c>
      <c r="H547" s="30" t="n">
        <f aca="false">Panel!D522-Panel!D521</f>
        <v>-0.00619657855346922</v>
      </c>
      <c r="I547" s="30" t="n">
        <f aca="false">Panel!D521-Panel!D520</f>
        <v>-0.00231586470115452</v>
      </c>
      <c r="L547" s="30" t="n">
        <f aca="false">Panel!E521-Panel!E520</f>
        <v>-0.00172811102914228</v>
      </c>
      <c r="M547" s="29" t="n">
        <f aca="false">Panel!E520</f>
        <v>5.62762111369064</v>
      </c>
    </row>
    <row r="548" customFormat="false" ht="15" hidden="false" customHeight="false" outlineLevel="0" collapsed="false">
      <c r="C548" s="0" t="n">
        <f aca="false">Panel!D527-Panel!D526</f>
        <v>-0.000997320033633287</v>
      </c>
      <c r="D548" s="29" t="n">
        <f aca="false">Panel!D526</f>
        <v>10.1338053075983</v>
      </c>
      <c r="E548" s="30" t="n">
        <f aca="false">Panel!D526-Panel!D525</f>
        <v>0.00355276906547708</v>
      </c>
      <c r="F548" s="30" t="n">
        <f aca="false">Panel!D525-Panel!D524</f>
        <v>0.00881087657407242</v>
      </c>
      <c r="G548" s="30" t="n">
        <f aca="false">Panel!D524-Panel!D523</f>
        <v>0.00607375038716107</v>
      </c>
      <c r="H548" s="30" t="n">
        <f aca="false">Panel!D523-Panel!D522</f>
        <v>0.0029655579720238</v>
      </c>
      <c r="I548" s="30" t="n">
        <f aca="false">Panel!D522-Panel!D521</f>
        <v>-0.00619657855346922</v>
      </c>
      <c r="L548" s="30" t="n">
        <f aca="false">Panel!E522-Panel!E521</f>
        <v>-0.00639834452788257</v>
      </c>
      <c r="M548" s="29" t="n">
        <f aca="false">Panel!E521</f>
        <v>5.6258930026615</v>
      </c>
    </row>
    <row r="549" customFormat="false" ht="15" hidden="false" customHeight="false" outlineLevel="0" collapsed="false">
      <c r="C549" s="0" t="n">
        <f aca="false">Panel!D528-Panel!D527</f>
        <v>0.00179128593480904</v>
      </c>
      <c r="D549" s="29" t="n">
        <f aca="false">Panel!D527</f>
        <v>10.1328079875647</v>
      </c>
      <c r="E549" s="30" t="n">
        <f aca="false">Panel!D527-Panel!D526</f>
        <v>-0.000997320033633287</v>
      </c>
      <c r="F549" s="30" t="n">
        <f aca="false">Panel!D526-Panel!D525</f>
        <v>0.00355276906547708</v>
      </c>
      <c r="G549" s="30" t="n">
        <f aca="false">Panel!D525-Panel!D524</f>
        <v>0.00881087657407242</v>
      </c>
      <c r="H549" s="30" t="n">
        <f aca="false">Panel!D524-Panel!D523</f>
        <v>0.00607375038716107</v>
      </c>
      <c r="I549" s="30" t="n">
        <f aca="false">Panel!D523-Panel!D522</f>
        <v>0.0029655579720238</v>
      </c>
      <c r="L549" s="30" t="n">
        <f aca="false">Panel!E523-Panel!E522</f>
        <v>0.00235443375990307</v>
      </c>
      <c r="M549" s="29" t="n">
        <f aca="false">Panel!E522</f>
        <v>5.61949465813361</v>
      </c>
    </row>
    <row r="550" customFormat="false" ht="15" hidden="false" customHeight="false" outlineLevel="0" collapsed="false">
      <c r="C550" s="0" t="n">
        <f aca="false">Panel!D529-Panel!D528</f>
        <v>-0.0116910911293111</v>
      </c>
      <c r="D550" s="29" t="n">
        <f aca="false">Panel!D528</f>
        <v>10.1345992734995</v>
      </c>
      <c r="E550" s="30" t="n">
        <f aca="false">Panel!D528-Panel!D527</f>
        <v>0.00179128593480904</v>
      </c>
      <c r="F550" s="30" t="n">
        <f aca="false">Panel!D527-Panel!D526</f>
        <v>-0.000997320033633287</v>
      </c>
      <c r="G550" s="30" t="n">
        <f aca="false">Panel!D526-Panel!D525</f>
        <v>0.00355276906547708</v>
      </c>
      <c r="H550" s="30" t="n">
        <f aca="false">Panel!D525-Panel!D524</f>
        <v>0.00881087657407242</v>
      </c>
      <c r="I550" s="30" t="n">
        <f aca="false">Panel!D524-Panel!D523</f>
        <v>0.00607375038716107</v>
      </c>
      <c r="L550" s="30" t="n">
        <f aca="false">Panel!E524-Panel!E523</f>
        <v>0.00566410230495862</v>
      </c>
      <c r="M550" s="29" t="n">
        <f aca="false">Panel!E523</f>
        <v>5.62184909189352</v>
      </c>
    </row>
    <row r="551" customFormat="false" ht="15" hidden="false" customHeight="false" outlineLevel="0" collapsed="false">
      <c r="C551" s="0" t="n">
        <f aca="false">Panel!D530-Panel!D529</f>
        <v>-0.00673153642372348</v>
      </c>
      <c r="D551" s="29" t="n">
        <f aca="false">Panel!D529</f>
        <v>10.1229081823702</v>
      </c>
      <c r="E551" s="30" t="n">
        <f aca="false">Panel!D529-Panel!D528</f>
        <v>-0.0116910911293111</v>
      </c>
      <c r="F551" s="30" t="n">
        <f aca="false">Panel!D528-Panel!D527</f>
        <v>0.00179128593480904</v>
      </c>
      <c r="G551" s="30" t="n">
        <f aca="false">Panel!D527-Panel!D526</f>
        <v>-0.000997320033633287</v>
      </c>
      <c r="H551" s="30" t="n">
        <f aca="false">Panel!D526-Panel!D525</f>
        <v>0.00355276906547708</v>
      </c>
      <c r="I551" s="30" t="n">
        <f aca="false">Panel!D525-Panel!D524</f>
        <v>0.00881087657407242</v>
      </c>
      <c r="L551" s="30" t="n">
        <f aca="false">Panel!E525-Panel!E524</f>
        <v>0.00906053076427771</v>
      </c>
      <c r="M551" s="29" t="n">
        <f aca="false">Panel!E524</f>
        <v>5.62751319419847</v>
      </c>
    </row>
    <row r="552" customFormat="false" ht="15" hidden="false" customHeight="false" outlineLevel="0" collapsed="false">
      <c r="C552" s="0" t="n">
        <f aca="false">Panel!D531-Panel!D530</f>
        <v>0.0103744547036868</v>
      </c>
      <c r="D552" s="29" t="n">
        <f aca="false">Panel!D530</f>
        <v>10.1161766459465</v>
      </c>
      <c r="E552" s="30" t="n">
        <f aca="false">Panel!D530-Panel!D529</f>
        <v>-0.00673153642372348</v>
      </c>
      <c r="F552" s="30" t="n">
        <f aca="false">Panel!D529-Panel!D528</f>
        <v>-0.0116910911293111</v>
      </c>
      <c r="G552" s="30" t="n">
        <f aca="false">Panel!D528-Panel!D527</f>
        <v>0.00179128593480904</v>
      </c>
      <c r="H552" s="30" t="n">
        <f aca="false">Panel!D527-Panel!D526</f>
        <v>-0.000997320033633287</v>
      </c>
      <c r="I552" s="30" t="n">
        <f aca="false">Panel!D526-Panel!D525</f>
        <v>0.00355276906547708</v>
      </c>
      <c r="L552" s="30" t="n">
        <f aca="false">Panel!E526-Panel!E525</f>
        <v>0.0030257209165363</v>
      </c>
      <c r="M552" s="29" t="n">
        <f aca="false">Panel!E525</f>
        <v>5.63657372496275</v>
      </c>
    </row>
    <row r="553" customFormat="false" ht="15" hidden="false" customHeight="false" outlineLevel="0" collapsed="false">
      <c r="C553" s="0" t="n">
        <f aca="false">Panel!D532-Panel!D531</f>
        <v>-0.0055759616559854</v>
      </c>
      <c r="D553" s="29" t="n">
        <f aca="false">Panel!D531</f>
        <v>10.1265511006502</v>
      </c>
      <c r="E553" s="30" t="n">
        <f aca="false">Panel!D531-Panel!D530</f>
        <v>0.0103744547036868</v>
      </c>
      <c r="F553" s="30" t="n">
        <f aca="false">Panel!D530-Panel!D529</f>
        <v>-0.00673153642372348</v>
      </c>
      <c r="G553" s="30" t="n">
        <f aca="false">Panel!D529-Panel!D528</f>
        <v>-0.0116910911293111</v>
      </c>
      <c r="H553" s="30" t="n">
        <f aca="false">Panel!D528-Panel!D527</f>
        <v>0.00179128593480904</v>
      </c>
      <c r="I553" s="30" t="n">
        <f aca="false">Panel!D527-Panel!D526</f>
        <v>-0.000997320033633287</v>
      </c>
      <c r="L553" s="30" t="n">
        <f aca="false">Panel!E527-Panel!E526</f>
        <v>0</v>
      </c>
      <c r="M553" s="29" t="n">
        <f aca="false">Panel!E526</f>
        <v>5.63959944587929</v>
      </c>
    </row>
    <row r="554" customFormat="false" ht="15" hidden="false" customHeight="false" outlineLevel="0" collapsed="false">
      <c r="C554" s="0" t="n">
        <f aca="false">Panel!D533-Panel!D532</f>
        <v>-0.00165066365961586</v>
      </c>
      <c r="D554" s="29" t="n">
        <f aca="false">Panel!D532</f>
        <v>10.1209751389942</v>
      </c>
      <c r="E554" s="30" t="n">
        <f aca="false">Panel!D532-Panel!D531</f>
        <v>-0.0055759616559854</v>
      </c>
      <c r="F554" s="30" t="n">
        <f aca="false">Panel!D531-Panel!D530</f>
        <v>0.0103744547036868</v>
      </c>
      <c r="G554" s="30" t="n">
        <f aca="false">Panel!D530-Panel!D529</f>
        <v>-0.00673153642372348</v>
      </c>
      <c r="H554" s="30" t="n">
        <f aca="false">Panel!D529-Panel!D528</f>
        <v>-0.0116910911293111</v>
      </c>
      <c r="I554" s="30" t="n">
        <f aca="false">Panel!D528-Panel!D527</f>
        <v>0.00179128593480904</v>
      </c>
      <c r="L554" s="30" t="n">
        <f aca="false">Panel!E528-Panel!E527</f>
        <v>0.00145619886860793</v>
      </c>
      <c r="M554" s="29" t="n">
        <f aca="false">Panel!E527</f>
        <v>5.63959944587929</v>
      </c>
    </row>
    <row r="555" customFormat="false" ht="15" hidden="false" customHeight="false" outlineLevel="0" collapsed="false">
      <c r="C555" s="0" t="n">
        <f aca="false">Panel!D534-Panel!D533</f>
        <v>-0.00173411613637597</v>
      </c>
      <c r="D555" s="29" t="n">
        <f aca="false">Panel!D533</f>
        <v>10.1193244753346</v>
      </c>
      <c r="E555" s="30" t="n">
        <f aca="false">Panel!D533-Panel!D532</f>
        <v>-0.00165066365961586</v>
      </c>
      <c r="F555" s="30" t="n">
        <f aca="false">Panel!D532-Panel!D531</f>
        <v>-0.0055759616559854</v>
      </c>
      <c r="G555" s="30" t="n">
        <f aca="false">Panel!D531-Panel!D530</f>
        <v>0.0103744547036868</v>
      </c>
      <c r="H555" s="30" t="n">
        <f aca="false">Panel!D530-Panel!D529</f>
        <v>-0.00673153642372348</v>
      </c>
      <c r="I555" s="30" t="n">
        <f aca="false">Panel!D529-Panel!D528</f>
        <v>-0.0116910911293111</v>
      </c>
      <c r="L555" s="30" t="n">
        <f aca="false">Panel!E529-Panel!E528</f>
        <v>-0.0102023501144526</v>
      </c>
      <c r="M555" s="29" t="n">
        <f aca="false">Panel!E528</f>
        <v>5.6410556447479</v>
      </c>
    </row>
    <row r="556" customFormat="false" ht="15" hidden="false" customHeight="false" outlineLevel="0" collapsed="false">
      <c r="C556" s="0" t="n">
        <f aca="false">Panel!D535-Panel!D534</f>
        <v>0.0129530814720642</v>
      </c>
      <c r="D556" s="29" t="n">
        <f aca="false">Panel!D534</f>
        <v>10.1175903591982</v>
      </c>
      <c r="E556" s="30" t="n">
        <f aca="false">Panel!D534-Panel!D533</f>
        <v>-0.00173411613637597</v>
      </c>
      <c r="F556" s="30" t="n">
        <f aca="false">Panel!D533-Panel!D532</f>
        <v>-0.00165066365961586</v>
      </c>
      <c r="G556" s="30" t="n">
        <f aca="false">Panel!D532-Panel!D531</f>
        <v>-0.0055759616559854</v>
      </c>
      <c r="H556" s="30" t="n">
        <f aca="false">Panel!D531-Panel!D530</f>
        <v>0.0103744547036868</v>
      </c>
      <c r="I556" s="30" t="n">
        <f aca="false">Panel!D530-Panel!D529</f>
        <v>-0.00673153642372348</v>
      </c>
      <c r="L556" s="30" t="n">
        <f aca="false">Panel!E530-Panel!E529</f>
        <v>-0.00550093968105792</v>
      </c>
      <c r="M556" s="29" t="n">
        <f aca="false">Panel!E529</f>
        <v>5.63085329463344</v>
      </c>
    </row>
    <row r="557" customFormat="false" ht="15" hidden="false" customHeight="false" outlineLevel="0" collapsed="false">
      <c r="C557" s="0" t="n">
        <f aca="false">Panel!D536-Panel!D535</f>
        <v>-0.00419237602723399</v>
      </c>
      <c r="D557" s="29" t="n">
        <f aca="false">Panel!D535</f>
        <v>10.1305434406703</v>
      </c>
      <c r="E557" s="30" t="n">
        <f aca="false">Panel!D535-Panel!D534</f>
        <v>0.0129530814720642</v>
      </c>
      <c r="F557" s="30" t="n">
        <f aca="false">Panel!D534-Panel!D533</f>
        <v>-0.00173411613637597</v>
      </c>
      <c r="G557" s="30" t="n">
        <f aca="false">Panel!D533-Panel!D532</f>
        <v>-0.00165066365961586</v>
      </c>
      <c r="H557" s="30" t="n">
        <f aca="false">Panel!D532-Panel!D531</f>
        <v>-0.0055759616559854</v>
      </c>
      <c r="I557" s="30" t="n">
        <f aca="false">Panel!D531-Panel!D530</f>
        <v>0.0103744547036868</v>
      </c>
      <c r="L557" s="30" t="n">
        <f aca="false">Panel!E531-Panel!E530</f>
        <v>0.00764993764276856</v>
      </c>
      <c r="M557" s="29" t="n">
        <f aca="false">Panel!E530</f>
        <v>5.62535235495239</v>
      </c>
    </row>
    <row r="558" customFormat="false" ht="15" hidden="false" customHeight="false" outlineLevel="0" collapsed="false">
      <c r="C558" s="0" t="n">
        <f aca="false">Panel!D537-Panel!D536</f>
        <v>0.00371413594159975</v>
      </c>
      <c r="D558" s="29" t="n">
        <f aca="false">Panel!D536</f>
        <v>10.126351064643</v>
      </c>
      <c r="E558" s="30" t="n">
        <f aca="false">Panel!D536-Panel!D535</f>
        <v>-0.00419237602723399</v>
      </c>
      <c r="F558" s="30" t="n">
        <f aca="false">Panel!D535-Panel!D534</f>
        <v>0.0129530814720642</v>
      </c>
      <c r="G558" s="30" t="n">
        <f aca="false">Panel!D534-Panel!D533</f>
        <v>-0.00173411613637597</v>
      </c>
      <c r="H558" s="30" t="n">
        <f aca="false">Panel!D533-Panel!D532</f>
        <v>-0.00165066365961586</v>
      </c>
      <c r="I558" s="30" t="n">
        <f aca="false">Panel!D532-Panel!D531</f>
        <v>-0.0055759616559854</v>
      </c>
      <c r="L558" s="30" t="n">
        <f aca="false">Panel!E532-Panel!E531</f>
        <v>-0.00340471612832882</v>
      </c>
      <c r="M558" s="29" t="n">
        <f aca="false">Panel!E531</f>
        <v>5.63300229259515</v>
      </c>
    </row>
    <row r="559" customFormat="false" ht="15" hidden="false" customHeight="false" outlineLevel="0" collapsed="false">
      <c r="C559" s="0" t="n">
        <f aca="false">Panel!D538-Panel!D537</f>
        <v>0.00651623411888735</v>
      </c>
      <c r="D559" s="29" t="n">
        <f aca="false">Panel!D537</f>
        <v>10.1300652005846</v>
      </c>
      <c r="E559" s="30" t="n">
        <f aca="false">Panel!D537-Panel!D536</f>
        <v>0.00371413594159975</v>
      </c>
      <c r="F559" s="30" t="n">
        <f aca="false">Panel!D536-Panel!D535</f>
        <v>-0.00419237602723399</v>
      </c>
      <c r="G559" s="30" t="n">
        <f aca="false">Panel!D535-Panel!D534</f>
        <v>0.0129530814720642</v>
      </c>
      <c r="H559" s="30" t="n">
        <f aca="false">Panel!D534-Panel!D533</f>
        <v>-0.00173411613637597</v>
      </c>
      <c r="I559" s="30" t="n">
        <f aca="false">Panel!D533-Panel!D532</f>
        <v>-0.00165066365961586</v>
      </c>
      <c r="L559" s="30" t="n">
        <f aca="false">Panel!E533-Panel!E532</f>
        <v>-0.000861976133535336</v>
      </c>
      <c r="M559" s="29" t="n">
        <f aca="false">Panel!E532</f>
        <v>5.62959757646683</v>
      </c>
    </row>
    <row r="560" customFormat="false" ht="15" hidden="false" customHeight="false" outlineLevel="0" collapsed="false">
      <c r="C560" s="0" t="n">
        <f aca="false">Panel!D539-Panel!D538</f>
        <v>0.0118894357512875</v>
      </c>
      <c r="D560" s="29" t="n">
        <f aca="false">Panel!D538</f>
        <v>10.1365814347035</v>
      </c>
      <c r="E560" s="30" t="n">
        <f aca="false">Panel!D538-Panel!D537</f>
        <v>0.00651623411888735</v>
      </c>
      <c r="F560" s="30" t="n">
        <f aca="false">Panel!D537-Panel!D536</f>
        <v>0.00371413594159975</v>
      </c>
      <c r="G560" s="30" t="n">
        <f aca="false">Panel!D536-Panel!D535</f>
        <v>-0.00419237602723399</v>
      </c>
      <c r="H560" s="30" t="n">
        <f aca="false">Panel!D535-Panel!D534</f>
        <v>0.0129530814720642</v>
      </c>
      <c r="I560" s="30" t="n">
        <f aca="false">Panel!D534-Panel!D533</f>
        <v>-0.00173411613637597</v>
      </c>
      <c r="L560" s="30" t="n">
        <f aca="false">Panel!E534-Panel!E533</f>
        <v>-0.00190616684521672</v>
      </c>
      <c r="M560" s="29" t="n">
        <f aca="false">Panel!E533</f>
        <v>5.62873560033329</v>
      </c>
    </row>
    <row r="561" customFormat="false" ht="15" hidden="false" customHeight="false" outlineLevel="0" collapsed="false">
      <c r="C561" s="0" t="n">
        <f aca="false">Panel!D540-Panel!D539</f>
        <v>0.00799084335421796</v>
      </c>
      <c r="D561" s="29" t="n">
        <f aca="false">Panel!D539</f>
        <v>10.1484708704548</v>
      </c>
      <c r="E561" s="30" t="n">
        <f aca="false">Panel!D539-Panel!D538</f>
        <v>0.0118894357512875</v>
      </c>
      <c r="F561" s="30" t="n">
        <f aca="false">Panel!D538-Panel!D537</f>
        <v>0.00651623411888735</v>
      </c>
      <c r="G561" s="30" t="n">
        <f aca="false">Panel!D537-Panel!D536</f>
        <v>0.00371413594159975</v>
      </c>
      <c r="H561" s="30" t="n">
        <f aca="false">Panel!D536-Panel!D535</f>
        <v>-0.00419237602723399</v>
      </c>
      <c r="I561" s="30" t="n">
        <f aca="false">Panel!D535-Panel!D534</f>
        <v>0.0129530814720642</v>
      </c>
      <c r="L561" s="30" t="n">
        <f aca="false">Panel!E535-Panel!E534</f>
        <v>0.0132319636102753</v>
      </c>
      <c r="M561" s="29" t="n">
        <f aca="false">Panel!E534</f>
        <v>5.62682943348807</v>
      </c>
    </row>
    <row r="562" customFormat="false" ht="15" hidden="false" customHeight="false" outlineLevel="0" collapsed="false">
      <c r="C562" s="0" t="n">
        <f aca="false">Panel!D541-Panel!D540</f>
        <v>-0.00545024123329618</v>
      </c>
      <c r="D562" s="29" t="n">
        <f aca="false">Panel!D540</f>
        <v>10.156461713809</v>
      </c>
      <c r="E562" s="30" t="n">
        <f aca="false">Panel!D540-Panel!D539</f>
        <v>0.00799084335421796</v>
      </c>
      <c r="F562" s="30" t="n">
        <f aca="false">Panel!D539-Panel!D538</f>
        <v>0.0118894357512875</v>
      </c>
      <c r="G562" s="30" t="n">
        <f aca="false">Panel!D538-Panel!D537</f>
        <v>0.00651623411888735</v>
      </c>
      <c r="H562" s="30" t="n">
        <f aca="false">Panel!D537-Panel!D536</f>
        <v>0.00371413594159975</v>
      </c>
      <c r="I562" s="30" t="n">
        <f aca="false">Panel!D536-Panel!D535</f>
        <v>-0.00419237602723399</v>
      </c>
      <c r="L562" s="30" t="n">
        <f aca="false">Panel!E536-Panel!E535</f>
        <v>-0.00184908665159611</v>
      </c>
      <c r="M562" s="29" t="n">
        <f aca="false">Panel!E535</f>
        <v>5.64006139709835</v>
      </c>
    </row>
    <row r="563" customFormat="false" ht="15" hidden="false" customHeight="false" outlineLevel="0" collapsed="false">
      <c r="C563" s="0" t="n">
        <f aca="false">Panel!D542-Panel!D541</f>
        <v>0.000819432296363942</v>
      </c>
      <c r="D563" s="29" t="n">
        <f aca="false">Panel!D541</f>
        <v>10.1510114725757</v>
      </c>
      <c r="E563" s="30" t="n">
        <f aca="false">Panel!D541-Panel!D540</f>
        <v>-0.00545024123329618</v>
      </c>
      <c r="F563" s="30" t="n">
        <f aca="false">Panel!D540-Panel!D539</f>
        <v>0.00799084335421796</v>
      </c>
      <c r="G563" s="30" t="n">
        <f aca="false">Panel!D539-Panel!D538</f>
        <v>0.0118894357512875</v>
      </c>
      <c r="H563" s="30" t="n">
        <f aca="false">Panel!D538-Panel!D537</f>
        <v>0.00651623411888735</v>
      </c>
      <c r="I563" s="30" t="n">
        <f aca="false">Panel!D537-Panel!D536</f>
        <v>0.00371413594159975</v>
      </c>
      <c r="L563" s="30" t="n">
        <f aca="false">Panel!E537-Panel!E536</f>
        <v>0.00298528901782813</v>
      </c>
      <c r="M563" s="29" t="n">
        <f aca="false">Panel!E536</f>
        <v>5.63821231044675</v>
      </c>
    </row>
    <row r="564" customFormat="false" ht="15" hidden="false" customHeight="false" outlineLevel="0" collapsed="false">
      <c r="C564" s="0" t="n">
        <f aca="false">Panel!D543-Panel!D542</f>
        <v>-0.00382977528554918</v>
      </c>
      <c r="D564" s="29" t="n">
        <f aca="false">Panel!D542</f>
        <v>10.1518309048721</v>
      </c>
      <c r="E564" s="30" t="n">
        <f aca="false">Panel!D542-Panel!D541</f>
        <v>0.000819432296363942</v>
      </c>
      <c r="F564" s="30" t="n">
        <f aca="false">Panel!D541-Panel!D540</f>
        <v>-0.00545024123329618</v>
      </c>
      <c r="G564" s="30" t="n">
        <f aca="false">Panel!D540-Panel!D539</f>
        <v>0.00799084335421796</v>
      </c>
      <c r="H564" s="30" t="n">
        <f aca="false">Panel!D539-Panel!D538</f>
        <v>0.0118894357512875</v>
      </c>
      <c r="I564" s="30" t="n">
        <f aca="false">Panel!D538-Panel!D537</f>
        <v>0.00651623411888735</v>
      </c>
      <c r="L564" s="30" t="n">
        <f aca="false">Panel!E538-Panel!E537</f>
        <v>0.00541469657658489</v>
      </c>
      <c r="M564" s="29" t="n">
        <f aca="false">Panel!E537</f>
        <v>5.64119759946458</v>
      </c>
    </row>
    <row r="565" customFormat="false" ht="15" hidden="false" customHeight="false" outlineLevel="0" collapsed="false">
      <c r="C565" s="0" t="n">
        <f aca="false">Panel!D544-Panel!D543</f>
        <v>-0.00152818352265349</v>
      </c>
      <c r="D565" s="29" t="n">
        <f aca="false">Panel!D543</f>
        <v>10.1480011295865</v>
      </c>
      <c r="E565" s="30" t="n">
        <f aca="false">Panel!D543-Panel!D542</f>
        <v>-0.00382977528554918</v>
      </c>
      <c r="F565" s="30" t="n">
        <f aca="false">Panel!D542-Panel!D541</f>
        <v>0.000819432296363942</v>
      </c>
      <c r="G565" s="30" t="n">
        <f aca="false">Panel!D541-Panel!D540</f>
        <v>-0.00545024123329618</v>
      </c>
      <c r="H565" s="30" t="n">
        <f aca="false">Panel!D540-Panel!D539</f>
        <v>0.00799084335421796</v>
      </c>
      <c r="I565" s="30" t="n">
        <f aca="false">Panel!D539-Panel!D538</f>
        <v>0.0118894357512875</v>
      </c>
      <c r="L565" s="30" t="n">
        <f aca="false">Panel!E539-Panel!E538</f>
        <v>0.0107771390453255</v>
      </c>
      <c r="M565" s="29" t="n">
        <f aca="false">Panel!E538</f>
        <v>5.64661229604117</v>
      </c>
    </row>
    <row r="566" customFormat="false" ht="15" hidden="false" customHeight="false" outlineLevel="0" collapsed="false">
      <c r="C566" s="0" t="n">
        <f aca="false">Panel!D545-Panel!D544</f>
        <v>0.00174742338760225</v>
      </c>
      <c r="D566" s="29" t="n">
        <f aca="false">Panel!D544</f>
        <v>10.1464729460639</v>
      </c>
      <c r="E566" s="30" t="n">
        <f aca="false">Panel!D544-Panel!D543</f>
        <v>-0.00152818352265349</v>
      </c>
      <c r="F566" s="30" t="n">
        <f aca="false">Panel!D543-Panel!D542</f>
        <v>-0.00382977528554918</v>
      </c>
      <c r="G566" s="30" t="n">
        <f aca="false">Panel!D542-Panel!D541</f>
        <v>0.000819432296363942</v>
      </c>
      <c r="H566" s="30" t="n">
        <f aca="false">Panel!D541-Panel!D540</f>
        <v>-0.00545024123329618</v>
      </c>
      <c r="I566" s="30" t="n">
        <f aca="false">Panel!D540-Panel!D539</f>
        <v>0.00799084335421796</v>
      </c>
      <c r="L566" s="30" t="n">
        <f aca="false">Panel!E540-Panel!E539</f>
        <v>0.00491110511476922</v>
      </c>
      <c r="M566" s="29" t="n">
        <f aca="false">Panel!E539</f>
        <v>5.65738943508649</v>
      </c>
    </row>
    <row r="567" customFormat="false" ht="15" hidden="false" customHeight="false" outlineLevel="0" collapsed="false">
      <c r="C567" s="0" t="n">
        <f aca="false">Panel!D546-Panel!D545</f>
        <v>-0.000176171097825417</v>
      </c>
      <c r="D567" s="29" t="n">
        <f aca="false">Panel!D545</f>
        <v>10.1482203694515</v>
      </c>
      <c r="E567" s="30" t="n">
        <f aca="false">Panel!D545-Panel!D544</f>
        <v>0.00174742338760225</v>
      </c>
      <c r="F567" s="30" t="n">
        <f aca="false">Panel!D544-Panel!D543</f>
        <v>-0.00152818352265349</v>
      </c>
      <c r="G567" s="30" t="n">
        <f aca="false">Panel!D543-Panel!D542</f>
        <v>-0.00382977528554918</v>
      </c>
      <c r="H567" s="30" t="n">
        <f aca="false">Panel!D542-Panel!D541</f>
        <v>0.000819432296363942</v>
      </c>
      <c r="I567" s="30" t="n">
        <f aca="false">Panel!D541-Panel!D540</f>
        <v>-0.00545024123329618</v>
      </c>
      <c r="L567" s="30" t="n">
        <f aca="false">Panel!E541-Panel!E540</f>
        <v>-0.00456200404646534</v>
      </c>
      <c r="M567" s="29" t="n">
        <f aca="false">Panel!E540</f>
        <v>5.66230054020126</v>
      </c>
    </row>
    <row r="568" customFormat="false" ht="15" hidden="false" customHeight="false" outlineLevel="0" collapsed="false">
      <c r="C568" s="0" t="n">
        <f aca="false">Panel!D547-Panel!D546</f>
        <v>0.00320146626060236</v>
      </c>
      <c r="D568" s="29" t="n">
        <f aca="false">Panel!D546</f>
        <v>10.1480441983537</v>
      </c>
      <c r="E568" s="30" t="n">
        <f aca="false">Panel!D546-Panel!D545</f>
        <v>-0.000176171097825417</v>
      </c>
      <c r="F568" s="30" t="n">
        <f aca="false">Panel!D545-Panel!D544</f>
        <v>0.00174742338760225</v>
      </c>
      <c r="G568" s="30" t="n">
        <f aca="false">Panel!D544-Panel!D543</f>
        <v>-0.00152818352265349</v>
      </c>
      <c r="H568" s="30" t="n">
        <f aca="false">Panel!D543-Panel!D542</f>
        <v>-0.00382977528554918</v>
      </c>
      <c r="I568" s="30" t="n">
        <f aca="false">Panel!D542-Panel!D541</f>
        <v>0.000819432296363942</v>
      </c>
      <c r="L568" s="30" t="n">
        <f aca="false">Panel!E542-Panel!E541</f>
        <v>0.00139518683252415</v>
      </c>
      <c r="M568" s="29" t="n">
        <f aca="false">Panel!E541</f>
        <v>5.65773853615479</v>
      </c>
    </row>
    <row r="569" customFormat="false" ht="15" hidden="false" customHeight="false" outlineLevel="0" collapsed="false">
      <c r="C569" s="0" t="n">
        <f aca="false">Panel!D548-Panel!D547</f>
        <v>-0.00297049270604788</v>
      </c>
      <c r="D569" s="29" t="n">
        <f aca="false">Panel!D547</f>
        <v>10.1512456646143</v>
      </c>
      <c r="E569" s="30" t="n">
        <f aca="false">Panel!D547-Panel!D546</f>
        <v>0.00320146626060236</v>
      </c>
      <c r="F569" s="30" t="n">
        <f aca="false">Panel!D546-Panel!D545</f>
        <v>-0.000176171097825417</v>
      </c>
      <c r="G569" s="30" t="n">
        <f aca="false">Panel!D545-Panel!D544</f>
        <v>0.00174742338760225</v>
      </c>
      <c r="H569" s="30" t="n">
        <f aca="false">Panel!D544-Panel!D543</f>
        <v>-0.00152818352265349</v>
      </c>
      <c r="I569" s="30" t="n">
        <f aca="false">Panel!D543-Panel!D542</f>
        <v>-0.00382977528554918</v>
      </c>
      <c r="L569" s="30" t="n">
        <f aca="false">Panel!E543-Panel!E542</f>
        <v>-0.00352660153554929</v>
      </c>
      <c r="M569" s="29" t="n">
        <f aca="false">Panel!E542</f>
        <v>5.65913372298732</v>
      </c>
    </row>
    <row r="570" customFormat="false" ht="15" hidden="false" customHeight="false" outlineLevel="0" collapsed="false">
      <c r="C570" s="0" t="n">
        <f aca="false">Panel!D549-Panel!D548</f>
        <v>-0.0052196896437291</v>
      </c>
      <c r="D570" s="29" t="n">
        <f aca="false">Panel!D548</f>
        <v>10.1482751719082</v>
      </c>
      <c r="E570" s="30" t="n">
        <f aca="false">Panel!D548-Panel!D547</f>
        <v>-0.00297049270604788</v>
      </c>
      <c r="F570" s="30" t="n">
        <f aca="false">Panel!D547-Panel!D546</f>
        <v>0.00320146626060236</v>
      </c>
      <c r="G570" s="30" t="n">
        <f aca="false">Panel!D546-Panel!D545</f>
        <v>-0.000176171097825417</v>
      </c>
      <c r="H570" s="30" t="n">
        <f aca="false">Panel!D545-Panel!D544</f>
        <v>0.00174742338760225</v>
      </c>
      <c r="I570" s="30" t="n">
        <f aca="false">Panel!D544-Panel!D543</f>
        <v>-0.00152818352265349</v>
      </c>
      <c r="L570" s="30" t="n">
        <f aca="false">Panel!E544-Panel!E543</f>
        <v>-0.000384837410945416</v>
      </c>
      <c r="M570" s="29" t="n">
        <f aca="false">Panel!E543</f>
        <v>5.65560712145177</v>
      </c>
    </row>
    <row r="571" customFormat="false" ht="15" hidden="false" customHeight="false" outlineLevel="0" collapsed="false">
      <c r="C571" s="0" t="n">
        <f aca="false">Panel!D550-Panel!D549</f>
        <v>-0.00813879882736934</v>
      </c>
      <c r="D571" s="29" t="n">
        <f aca="false">Panel!D549</f>
        <v>10.1430554822645</v>
      </c>
      <c r="E571" s="30" t="n">
        <f aca="false">Panel!D549-Panel!D548</f>
        <v>-0.0052196896437291</v>
      </c>
      <c r="F571" s="30" t="n">
        <f aca="false">Panel!D548-Panel!D547</f>
        <v>-0.00297049270604788</v>
      </c>
      <c r="G571" s="30" t="n">
        <f aca="false">Panel!D547-Panel!D546</f>
        <v>0.00320146626060236</v>
      </c>
      <c r="H571" s="30" t="n">
        <f aca="false">Panel!D546-Panel!D545</f>
        <v>-0.000176171097825417</v>
      </c>
      <c r="I571" s="30" t="n">
        <f aca="false">Panel!D545-Panel!D544</f>
        <v>0.00174742338760225</v>
      </c>
      <c r="L571" s="30" t="n">
        <f aca="false">Panel!E545-Panel!E544</f>
        <v>0.0023417168137625</v>
      </c>
      <c r="M571" s="29" t="n">
        <f aca="false">Panel!E544</f>
        <v>5.65522228404082</v>
      </c>
    </row>
    <row r="572" customFormat="false" ht="15" hidden="false" customHeight="false" outlineLevel="0" collapsed="false">
      <c r="C572" s="0" t="n">
        <f aca="false">Panel!D551-Panel!D550</f>
        <v>-0.00142913879028583</v>
      </c>
      <c r="D572" s="29" t="n">
        <f aca="false">Panel!D550</f>
        <v>10.1349166834371</v>
      </c>
      <c r="E572" s="30" t="n">
        <f aca="false">Panel!D550-Panel!D549</f>
        <v>-0.00813879882736934</v>
      </c>
      <c r="F572" s="30" t="n">
        <f aca="false">Panel!D549-Panel!D548</f>
        <v>-0.0052196896437291</v>
      </c>
      <c r="G572" s="30" t="n">
        <f aca="false">Panel!D548-Panel!D547</f>
        <v>-0.00297049270604788</v>
      </c>
      <c r="H572" s="30" t="n">
        <f aca="false">Panel!D547-Panel!D546</f>
        <v>0.00320146626060236</v>
      </c>
      <c r="I572" s="30" t="n">
        <f aca="false">Panel!D546-Panel!D545</f>
        <v>-0.000176171097825417</v>
      </c>
      <c r="L572" s="30" t="n">
        <f aca="false">Panel!E546-Panel!E545</f>
        <v>-0.000803254971856404</v>
      </c>
      <c r="M572" s="29" t="n">
        <f aca="false">Panel!E545</f>
        <v>5.65756400085459</v>
      </c>
    </row>
    <row r="573" customFormat="false" ht="15" hidden="false" customHeight="false" outlineLevel="0" collapsed="false">
      <c r="C573" s="0" t="n">
        <f aca="false">Panel!D552-Panel!D551</f>
        <v>0.00428130361397017</v>
      </c>
      <c r="D573" s="29" t="n">
        <f aca="false">Panel!D551</f>
        <v>10.1334875446468</v>
      </c>
      <c r="E573" s="30" t="n">
        <f aca="false">Panel!D551-Panel!D550</f>
        <v>-0.00142913879028583</v>
      </c>
      <c r="F573" s="30" t="n">
        <f aca="false">Panel!D550-Panel!D549</f>
        <v>-0.00813879882736934</v>
      </c>
      <c r="G573" s="30" t="n">
        <f aca="false">Panel!D549-Panel!D548</f>
        <v>-0.0052196896437291</v>
      </c>
      <c r="H573" s="30" t="n">
        <f aca="false">Panel!D548-Panel!D547</f>
        <v>-0.00297049270604788</v>
      </c>
      <c r="I573" s="30" t="n">
        <f aca="false">Panel!D547-Panel!D546</f>
        <v>0.00320146626060236</v>
      </c>
      <c r="L573" s="30" t="n">
        <f aca="false">Panel!E547-Panel!E546</f>
        <v>0.00327880582555196</v>
      </c>
      <c r="M573" s="29" t="n">
        <f aca="false">Panel!E546</f>
        <v>5.65676074588273</v>
      </c>
    </row>
    <row r="574" customFormat="false" ht="15" hidden="false" customHeight="false" outlineLevel="0" collapsed="false">
      <c r="C574" s="0" t="n">
        <f aca="false">Panel!D553-Panel!D552</f>
        <v>-0.00142902690185842</v>
      </c>
      <c r="D574" s="29" t="n">
        <f aca="false">Panel!D552</f>
        <v>10.1377688482608</v>
      </c>
      <c r="E574" s="30" t="n">
        <f aca="false">Panel!D552-Panel!D551</f>
        <v>0.00428130361397017</v>
      </c>
      <c r="F574" s="30" t="n">
        <f aca="false">Panel!D551-Panel!D550</f>
        <v>-0.00142913879028583</v>
      </c>
      <c r="G574" s="30" t="n">
        <f aca="false">Panel!D550-Panel!D549</f>
        <v>-0.00813879882736934</v>
      </c>
      <c r="H574" s="30" t="n">
        <f aca="false">Panel!D549-Panel!D548</f>
        <v>-0.0052196896437291</v>
      </c>
      <c r="I574" s="30" t="n">
        <f aca="false">Panel!D548-Panel!D547</f>
        <v>-0.00297049270604788</v>
      </c>
      <c r="L574" s="30" t="n">
        <f aca="false">Panel!E548-Panel!E547</f>
        <v>-0.00209161339587993</v>
      </c>
      <c r="M574" s="29" t="n">
        <f aca="false">Panel!E547</f>
        <v>5.66003955170828</v>
      </c>
    </row>
    <row r="575" customFormat="false" ht="15" hidden="false" customHeight="false" outlineLevel="0" collapsed="false">
      <c r="C575" s="0" t="n">
        <f aca="false">Panel!D554-Panel!D553</f>
        <v>-0.00278077124389853</v>
      </c>
      <c r="D575" s="29" t="n">
        <f aca="false">Panel!D553</f>
        <v>10.1363398213589</v>
      </c>
      <c r="E575" s="30" t="n">
        <f aca="false">Panel!D553-Panel!D552</f>
        <v>-0.00142902690185842</v>
      </c>
      <c r="F575" s="30" t="n">
        <f aca="false">Panel!D552-Panel!D551</f>
        <v>0.00428130361397017</v>
      </c>
      <c r="G575" s="30" t="n">
        <f aca="false">Panel!D551-Panel!D550</f>
        <v>-0.00142913879028583</v>
      </c>
      <c r="H575" s="30" t="n">
        <f aca="false">Panel!D550-Panel!D549</f>
        <v>-0.00813879882736934</v>
      </c>
      <c r="I575" s="30" t="n">
        <f aca="false">Panel!D549-Panel!D548</f>
        <v>-0.0052196896437291</v>
      </c>
      <c r="L575" s="30" t="n">
        <f aca="false">Panel!E549-Panel!E548</f>
        <v>-0.00433658090256461</v>
      </c>
      <c r="M575" s="29" t="n">
        <f aca="false">Panel!E548</f>
        <v>5.6579479383124</v>
      </c>
    </row>
    <row r="576" customFormat="false" ht="15" hidden="false" customHeight="false" outlineLevel="0" collapsed="false">
      <c r="C576" s="0" t="n">
        <f aca="false">Panel!D555-Panel!D554</f>
        <v>-0.00584852904513511</v>
      </c>
      <c r="D576" s="29" t="n">
        <f aca="false">Panel!D554</f>
        <v>10.133559050115</v>
      </c>
      <c r="E576" s="30" t="n">
        <f aca="false">Panel!D554-Panel!D553</f>
        <v>-0.00278077124389853</v>
      </c>
      <c r="F576" s="30" t="n">
        <f aca="false">Panel!D553-Panel!D552</f>
        <v>-0.00142902690185842</v>
      </c>
      <c r="G576" s="30" t="n">
        <f aca="false">Panel!D552-Panel!D551</f>
        <v>0.00428130361397017</v>
      </c>
      <c r="H576" s="30" t="n">
        <f aca="false">Panel!D551-Panel!D550</f>
        <v>-0.00142913879028583</v>
      </c>
      <c r="I576" s="30" t="n">
        <f aca="false">Panel!D550-Panel!D549</f>
        <v>-0.00813879882736934</v>
      </c>
      <c r="L576" s="30" t="n">
        <f aca="false">Panel!E550-Panel!E549</f>
        <v>-0.00781116529198389</v>
      </c>
      <c r="M576" s="29" t="n">
        <f aca="false">Panel!E549</f>
        <v>5.65361135740984</v>
      </c>
    </row>
    <row r="577" customFormat="false" ht="15" hidden="false" customHeight="false" outlineLevel="0" collapsed="false">
      <c r="C577" s="0" t="n">
        <f aca="false">Panel!D556-Panel!D555</f>
        <v>0.00449302782891081</v>
      </c>
      <c r="D577" s="29" t="n">
        <f aca="false">Panel!D555</f>
        <v>10.1277105210699</v>
      </c>
      <c r="E577" s="30" t="n">
        <f aca="false">Panel!D555-Panel!D554</f>
        <v>-0.00584852904513511</v>
      </c>
      <c r="F577" s="30" t="n">
        <f aca="false">Panel!D554-Panel!D553</f>
        <v>-0.00278077124389853</v>
      </c>
      <c r="G577" s="30" t="n">
        <f aca="false">Panel!D553-Panel!D552</f>
        <v>-0.00142902690185842</v>
      </c>
      <c r="H577" s="30" t="n">
        <f aca="false">Panel!D552-Panel!D551</f>
        <v>0.00428130361397017</v>
      </c>
      <c r="I577" s="30" t="n">
        <f aca="false">Panel!D551-Panel!D550</f>
        <v>-0.00142913879028583</v>
      </c>
      <c r="L577" s="30" t="n">
        <f aca="false">Panel!E551-Panel!E550</f>
        <v>-0.000883470328688851</v>
      </c>
      <c r="M577" s="29" t="n">
        <f aca="false">Panel!E550</f>
        <v>5.64580019211785</v>
      </c>
    </row>
    <row r="578" customFormat="false" ht="15" hidden="false" customHeight="false" outlineLevel="0" collapsed="false">
      <c r="C578" s="0" t="n">
        <f aca="false">Panel!D557-Panel!D556</f>
        <v>-0.00177964680977993</v>
      </c>
      <c r="D578" s="29" t="n">
        <f aca="false">Panel!D556</f>
        <v>10.1322035488988</v>
      </c>
      <c r="E578" s="30" t="n">
        <f aca="false">Panel!D556-Panel!D555</f>
        <v>0.00449302782891081</v>
      </c>
      <c r="F578" s="30" t="n">
        <f aca="false">Panel!D555-Panel!D554</f>
        <v>-0.00584852904513511</v>
      </c>
      <c r="G578" s="30" t="n">
        <f aca="false">Panel!D554-Panel!D553</f>
        <v>-0.00278077124389853</v>
      </c>
      <c r="H578" s="30" t="n">
        <f aca="false">Panel!D553-Panel!D552</f>
        <v>-0.00142902690185842</v>
      </c>
      <c r="I578" s="30" t="n">
        <f aca="false">Panel!D552-Panel!D551</f>
        <v>0.00428130361397017</v>
      </c>
      <c r="L578" s="30" t="n">
        <f aca="false">Panel!E552-Panel!E551</f>
        <v>0.00405751637204155</v>
      </c>
      <c r="M578" s="29" t="n">
        <f aca="false">Panel!E551</f>
        <v>5.64491672178917</v>
      </c>
    </row>
    <row r="579" customFormat="false" ht="15" hidden="false" customHeight="false" outlineLevel="0" collapsed="false">
      <c r="C579" s="0" t="n">
        <f aca="false">Panel!D558-Panel!D557</f>
        <v>0.00635157319332258</v>
      </c>
      <c r="D579" s="29" t="n">
        <f aca="false">Panel!D557</f>
        <v>10.130423902089</v>
      </c>
      <c r="E579" s="30" t="n">
        <f aca="false">Panel!D557-Panel!D556</f>
        <v>-0.00177964680977993</v>
      </c>
      <c r="F579" s="30" t="n">
        <f aca="false">Panel!D556-Panel!D555</f>
        <v>0.00449302782891081</v>
      </c>
      <c r="G579" s="30" t="n">
        <f aca="false">Panel!D555-Panel!D554</f>
        <v>-0.00584852904513511</v>
      </c>
      <c r="H579" s="30" t="n">
        <f aca="false">Panel!D554-Panel!D553</f>
        <v>-0.00278077124389853</v>
      </c>
      <c r="I579" s="30" t="n">
        <f aca="false">Panel!D553-Panel!D552</f>
        <v>-0.00142902690185842</v>
      </c>
      <c r="L579" s="30" t="n">
        <f aca="false">Panel!E553-Panel!E552</f>
        <v>-0.00123315438862992</v>
      </c>
      <c r="M579" s="29" t="n">
        <f aca="false">Panel!E552</f>
        <v>5.64897423816121</v>
      </c>
    </row>
    <row r="580" customFormat="false" ht="15" hidden="false" customHeight="false" outlineLevel="0" collapsed="false">
      <c r="C580" s="0" t="n">
        <f aca="false">Panel!D559-Panel!D558</f>
        <v>-0.0065508359218871</v>
      </c>
      <c r="D580" s="29" t="n">
        <f aca="false">Panel!D558</f>
        <v>10.1367754752824</v>
      </c>
      <c r="E580" s="30" t="n">
        <f aca="false">Panel!D558-Panel!D557</f>
        <v>0.00635157319332258</v>
      </c>
      <c r="F580" s="30" t="n">
        <f aca="false">Panel!D557-Panel!D556</f>
        <v>-0.00177964680977993</v>
      </c>
      <c r="G580" s="30" t="n">
        <f aca="false">Panel!D556-Panel!D555</f>
        <v>0.00449302782891081</v>
      </c>
      <c r="H580" s="30" t="n">
        <f aca="false">Panel!D555-Panel!D554</f>
        <v>-0.00584852904513511</v>
      </c>
      <c r="I580" s="30" t="n">
        <f aca="false">Panel!D554-Panel!D553</f>
        <v>-0.00278077124389853</v>
      </c>
      <c r="L580" s="30" t="n">
        <f aca="false">Panel!E554-Panel!E553</f>
        <v>-0.00250622274178802</v>
      </c>
      <c r="M580" s="29" t="n">
        <f aca="false">Panel!E553</f>
        <v>5.64774108377258</v>
      </c>
    </row>
    <row r="581" customFormat="false" ht="15" hidden="false" customHeight="false" outlineLevel="0" collapsed="false">
      <c r="C581" s="0" t="n">
        <f aca="false">Panel!D560-Panel!D559</f>
        <v>-0.0097524628257144</v>
      </c>
      <c r="D581" s="29" t="n">
        <f aca="false">Panel!D559</f>
        <v>10.1302246393605</v>
      </c>
      <c r="E581" s="30" t="n">
        <f aca="false">Panel!D559-Panel!D558</f>
        <v>-0.0065508359218871</v>
      </c>
      <c r="F581" s="30" t="n">
        <f aca="false">Panel!D558-Panel!D557</f>
        <v>0.00635157319332258</v>
      </c>
      <c r="G581" s="30" t="n">
        <f aca="false">Panel!D557-Panel!D556</f>
        <v>-0.00177964680977993</v>
      </c>
      <c r="H581" s="30" t="n">
        <f aca="false">Panel!D556-Panel!D555</f>
        <v>0.00449302782891081</v>
      </c>
      <c r="I581" s="30" t="n">
        <f aca="false">Panel!D555-Panel!D554</f>
        <v>-0.00584852904513511</v>
      </c>
      <c r="L581" s="30" t="n">
        <f aca="false">Panel!E555-Panel!E554</f>
        <v>-0.00474723674690125</v>
      </c>
      <c r="M581" s="29" t="n">
        <f aca="false">Panel!E554</f>
        <v>5.64523486103079</v>
      </c>
    </row>
    <row r="582" customFormat="false" ht="15" hidden="false" customHeight="false" outlineLevel="0" collapsed="false">
      <c r="C582" s="0" t="n">
        <f aca="false">Panel!D561-Panel!D560</f>
        <v>-0.00565053064391385</v>
      </c>
      <c r="D582" s="29" t="n">
        <f aca="false">Panel!D560</f>
        <v>10.1204721765348</v>
      </c>
      <c r="E582" s="30" t="n">
        <f aca="false">Panel!D560-Panel!D559</f>
        <v>-0.0097524628257144</v>
      </c>
      <c r="F582" s="30" t="n">
        <f aca="false">Panel!D559-Panel!D558</f>
        <v>-0.0065508359218871</v>
      </c>
      <c r="G582" s="30" t="n">
        <f aca="false">Panel!D558-Panel!D557</f>
        <v>0.00635157319332258</v>
      </c>
      <c r="H582" s="30" t="n">
        <f aca="false">Panel!D557-Panel!D556</f>
        <v>-0.00177964680977993</v>
      </c>
      <c r="I582" s="30" t="n">
        <f aca="false">Panel!D556-Panel!D555</f>
        <v>0.00449302782891081</v>
      </c>
      <c r="L582" s="30" t="n">
        <f aca="false">Panel!E556-Panel!E555</f>
        <v>0.00315552744598779</v>
      </c>
      <c r="M582" s="29" t="n">
        <f aca="false">Panel!E555</f>
        <v>5.64048762428389</v>
      </c>
    </row>
    <row r="583" customFormat="false" ht="15" hidden="false" customHeight="false" outlineLevel="0" collapsed="false">
      <c r="C583" s="0" t="n">
        <f aca="false">Panel!D562-Panel!D561</f>
        <v>0.00552173157430858</v>
      </c>
      <c r="D583" s="29" t="n">
        <f aca="false">Panel!D561</f>
        <v>10.1148216458908</v>
      </c>
      <c r="E583" s="30" t="n">
        <f aca="false">Panel!D561-Panel!D560</f>
        <v>-0.00565053064391385</v>
      </c>
      <c r="F583" s="30" t="n">
        <f aca="false">Panel!D560-Panel!D559</f>
        <v>-0.0097524628257144</v>
      </c>
      <c r="G583" s="30" t="n">
        <f aca="false">Panel!D559-Panel!D558</f>
        <v>-0.0065508359218871</v>
      </c>
      <c r="H583" s="30" t="n">
        <f aca="false">Panel!D558-Panel!D557</f>
        <v>0.00635157319332258</v>
      </c>
      <c r="I583" s="30" t="n">
        <f aca="false">Panel!D557-Panel!D556</f>
        <v>-0.00177964680977993</v>
      </c>
      <c r="L583" s="30" t="n">
        <f aca="false">Panel!E557-Panel!E556</f>
        <v>-0.00138153372192384</v>
      </c>
      <c r="M583" s="29" t="n">
        <f aca="false">Panel!E556</f>
        <v>5.64364315172988</v>
      </c>
    </row>
    <row r="584" customFormat="false" ht="15" hidden="false" customHeight="false" outlineLevel="0" collapsed="false">
      <c r="C584" s="0" t="n">
        <f aca="false">Panel!D563-Panel!D562</f>
        <v>0.000631761529032104</v>
      </c>
      <c r="D584" s="29" t="n">
        <f aca="false">Panel!D562</f>
        <v>10.1203433774651</v>
      </c>
      <c r="E584" s="30" t="n">
        <f aca="false">Panel!D562-Panel!D561</f>
        <v>0.00552173157430858</v>
      </c>
      <c r="F584" s="30" t="n">
        <f aca="false">Panel!D561-Panel!D560</f>
        <v>-0.00565053064391385</v>
      </c>
      <c r="G584" s="30" t="n">
        <f aca="false">Panel!D560-Panel!D559</f>
        <v>-0.0097524628257144</v>
      </c>
      <c r="H584" s="30" t="n">
        <f aca="false">Panel!D559-Panel!D558</f>
        <v>-0.0065508359218871</v>
      </c>
      <c r="I584" s="30" t="n">
        <f aca="false">Panel!D558-Panel!D557</f>
        <v>0.00635157319332258</v>
      </c>
      <c r="L584" s="30" t="n">
        <f aca="false">Panel!E558-Panel!E557</f>
        <v>0.00516212297886565</v>
      </c>
      <c r="M584" s="29" t="n">
        <f aca="false">Panel!E557</f>
        <v>5.64226161800795</v>
      </c>
    </row>
    <row r="585" customFormat="false" ht="15" hidden="false" customHeight="false" outlineLevel="0" collapsed="false">
      <c r="C585" s="0" t="n">
        <f aca="false">Panel!D564-Panel!D563</f>
        <v>-0.00371581339085125</v>
      </c>
      <c r="D585" s="29" t="n">
        <f aca="false">Panel!D563</f>
        <v>10.1209751389942</v>
      </c>
      <c r="E585" s="30" t="n">
        <f aca="false">Panel!D563-Panel!D562</f>
        <v>0.000631761529032104</v>
      </c>
      <c r="F585" s="30" t="n">
        <f aca="false">Panel!D562-Panel!D561</f>
        <v>0.00552173157430858</v>
      </c>
      <c r="G585" s="30" t="n">
        <f aca="false">Panel!D561-Panel!D560</f>
        <v>-0.00565053064391385</v>
      </c>
      <c r="H585" s="30" t="n">
        <f aca="false">Panel!D560-Panel!D559</f>
        <v>-0.0097524628257144</v>
      </c>
      <c r="I585" s="30" t="n">
        <f aca="false">Panel!D559-Panel!D558</f>
        <v>-0.0065508359218871</v>
      </c>
      <c r="L585" s="30" t="n">
        <f aca="false">Panel!E559-Panel!E558</f>
        <v>-0.00427630486797082</v>
      </c>
      <c r="M585" s="29" t="n">
        <f aca="false">Panel!E558</f>
        <v>5.64742374098682</v>
      </c>
    </row>
    <row r="586" customFormat="false" ht="15" hidden="false" customHeight="false" outlineLevel="0" collapsed="false">
      <c r="C586" s="0" t="n">
        <f aca="false">Panel!D565-Panel!D564</f>
        <v>-0.00622928798164324</v>
      </c>
      <c r="D586" s="29" t="n">
        <f aca="false">Panel!D564</f>
        <v>10.1172593256033</v>
      </c>
      <c r="E586" s="30" t="n">
        <f aca="false">Panel!D564-Panel!D563</f>
        <v>-0.00371581339085125</v>
      </c>
      <c r="F586" s="30" t="n">
        <f aca="false">Panel!D563-Panel!D562</f>
        <v>0.000631761529032104</v>
      </c>
      <c r="G586" s="30" t="n">
        <f aca="false">Panel!D562-Panel!D561</f>
        <v>0.00552173157430858</v>
      </c>
      <c r="H586" s="30" t="n">
        <f aca="false">Panel!D561-Panel!D560</f>
        <v>-0.00565053064391385</v>
      </c>
      <c r="I586" s="30" t="n">
        <f aca="false">Panel!D560-Panel!D559</f>
        <v>-0.0097524628257144</v>
      </c>
      <c r="L586" s="30" t="n">
        <f aca="false">Panel!E560-Panel!E559</f>
        <v>-0.00835783294959658</v>
      </c>
      <c r="M586" s="29" t="n">
        <f aca="false">Panel!E559</f>
        <v>5.64314743611885</v>
      </c>
    </row>
    <row r="587" customFormat="false" ht="15" hidden="false" customHeight="false" outlineLevel="0" collapsed="false">
      <c r="C587" s="0" t="n">
        <f aca="false">Panel!D566-Panel!D565</f>
        <v>0.00756889453138676</v>
      </c>
      <c r="D587" s="29" t="n">
        <f aca="false">Panel!D565</f>
        <v>10.1110300376217</v>
      </c>
      <c r="E587" s="30" t="n">
        <f aca="false">Panel!D565-Panel!D564</f>
        <v>-0.00622928798164324</v>
      </c>
      <c r="F587" s="30" t="n">
        <f aca="false">Panel!D564-Panel!D563</f>
        <v>-0.00371581339085125</v>
      </c>
      <c r="G587" s="30" t="n">
        <f aca="false">Panel!D563-Panel!D562</f>
        <v>0.000631761529032104</v>
      </c>
      <c r="H587" s="30" t="n">
        <f aca="false">Panel!D562-Panel!D561</f>
        <v>0.00552173157430858</v>
      </c>
      <c r="I587" s="30" t="n">
        <f aca="false">Panel!D561-Panel!D560</f>
        <v>-0.00565053064391385</v>
      </c>
      <c r="L587" s="30" t="n">
        <f aca="false">Panel!E561-Panel!E560</f>
        <v>-0.00443840659893091</v>
      </c>
      <c r="M587" s="29" t="n">
        <f aca="false">Panel!E560</f>
        <v>5.63478960316925</v>
      </c>
    </row>
    <row r="588" customFormat="false" ht="15" hidden="false" customHeight="false" outlineLevel="0" collapsed="false">
      <c r="C588" s="0" t="n">
        <f aca="false">Panel!D567-Panel!D566</f>
        <v>-0.00343330641201334</v>
      </c>
      <c r="D588" s="29" t="n">
        <f aca="false">Panel!D566</f>
        <v>10.1185989321531</v>
      </c>
      <c r="E588" s="30" t="n">
        <f aca="false">Panel!D566-Panel!D565</f>
        <v>0.00756889453138676</v>
      </c>
      <c r="F588" s="30" t="n">
        <f aca="false">Panel!D565-Panel!D564</f>
        <v>-0.00622928798164324</v>
      </c>
      <c r="G588" s="30" t="n">
        <f aca="false">Panel!D564-Panel!D563</f>
        <v>-0.00371581339085125</v>
      </c>
      <c r="H588" s="30" t="n">
        <f aca="false">Panel!D563-Panel!D562</f>
        <v>0.000631761529032104</v>
      </c>
      <c r="I588" s="30" t="n">
        <f aca="false">Panel!D562-Panel!D561</f>
        <v>0.00552173157430858</v>
      </c>
      <c r="L588" s="30" t="n">
        <f aca="false">Panel!E562-Panel!E561</f>
        <v>0.00443840659893091</v>
      </c>
      <c r="M588" s="29" t="n">
        <f aca="false">Panel!E561</f>
        <v>5.63035119657032</v>
      </c>
    </row>
    <row r="589" customFormat="false" ht="15" hidden="false" customHeight="false" outlineLevel="0" collapsed="false">
      <c r="C589" s="0" t="n">
        <f aca="false">Panel!D568-Panel!D567</f>
        <v>-0.00344513462647633</v>
      </c>
      <c r="D589" s="29" t="n">
        <f aca="false">Panel!D567</f>
        <v>10.1151656257411</v>
      </c>
      <c r="E589" s="30" t="n">
        <f aca="false">Panel!D567-Panel!D566</f>
        <v>-0.00343330641201334</v>
      </c>
      <c r="F589" s="30" t="n">
        <f aca="false">Panel!D566-Panel!D565</f>
        <v>0.00756889453138676</v>
      </c>
      <c r="G589" s="30" t="n">
        <f aca="false">Panel!D565-Panel!D564</f>
        <v>-0.00622928798164324</v>
      </c>
      <c r="H589" s="30" t="n">
        <f aca="false">Panel!D564-Panel!D563</f>
        <v>-0.00371581339085125</v>
      </c>
      <c r="I589" s="30" t="n">
        <f aca="false">Panel!D563-Panel!D562</f>
        <v>0.000631761529032104</v>
      </c>
      <c r="L589" s="30" t="n">
        <f aca="false">Panel!E563-Panel!E562</f>
        <v>0.000856775719982217</v>
      </c>
      <c r="M589" s="29" t="n">
        <f aca="false">Panel!E562</f>
        <v>5.63478960316925</v>
      </c>
    </row>
    <row r="590" customFormat="false" ht="15" hidden="false" customHeight="false" outlineLevel="0" collapsed="false">
      <c r="C590" s="0" t="n">
        <f aca="false">Panel!D569-Panel!D568</f>
        <v>0.0032751829004507</v>
      </c>
      <c r="D590" s="29" t="n">
        <f aca="false">Panel!D568</f>
        <v>10.1117204911146</v>
      </c>
      <c r="E590" s="30" t="n">
        <f aca="false">Panel!D568-Panel!D567</f>
        <v>-0.00344513462647633</v>
      </c>
      <c r="F590" s="30" t="n">
        <f aca="false">Panel!D567-Panel!D566</f>
        <v>-0.00343330641201334</v>
      </c>
      <c r="G590" s="30" t="n">
        <f aca="false">Panel!D566-Panel!D565</f>
        <v>0.00756889453138676</v>
      </c>
      <c r="H590" s="30" t="n">
        <f aca="false">Panel!D565-Panel!D564</f>
        <v>-0.00622928798164324</v>
      </c>
      <c r="I590" s="30" t="n">
        <f aca="false">Panel!D564-Panel!D563</f>
        <v>-0.00371581339085125</v>
      </c>
      <c r="L590" s="30" t="n">
        <f aca="false">Panel!E564-Panel!E563</f>
        <v>-0.0032167010116062</v>
      </c>
      <c r="M590" s="29" t="n">
        <f aca="false">Panel!E563</f>
        <v>5.63564637888923</v>
      </c>
    </row>
    <row r="591" customFormat="false" ht="15" hidden="false" customHeight="false" outlineLevel="0" collapsed="false">
      <c r="C591" s="0" t="n">
        <f aca="false">Panel!D570-Panel!D569</f>
        <v>-0.0114694438797933</v>
      </c>
      <c r="D591" s="29" t="n">
        <f aca="false">Panel!D569</f>
        <v>10.114995674015</v>
      </c>
      <c r="E591" s="30" t="n">
        <f aca="false">Panel!D569-Panel!D568</f>
        <v>0.0032751829004507</v>
      </c>
      <c r="F591" s="30" t="n">
        <f aca="false">Panel!D568-Panel!D567</f>
        <v>-0.00344513462647633</v>
      </c>
      <c r="G591" s="30" t="n">
        <f aca="false">Panel!D567-Panel!D566</f>
        <v>-0.00343330641201334</v>
      </c>
      <c r="H591" s="30" t="n">
        <f aca="false">Panel!D566-Panel!D565</f>
        <v>0.00756889453138676</v>
      </c>
      <c r="I591" s="30" t="n">
        <f aca="false">Panel!D565-Panel!D564</f>
        <v>-0.00622928798164324</v>
      </c>
      <c r="L591" s="30" t="n">
        <f aca="false">Panel!E565-Panel!E564</f>
        <v>-0.00675289922504607</v>
      </c>
      <c r="M591" s="29" t="n">
        <f aca="false">Panel!E564</f>
        <v>5.63242967787763</v>
      </c>
    </row>
    <row r="592" customFormat="false" ht="15" hidden="false" customHeight="false" outlineLevel="0" collapsed="false">
      <c r="C592" s="0" t="n">
        <f aca="false">Panel!D571-Panel!D570</f>
        <v>0.00747536682686345</v>
      </c>
      <c r="D592" s="29" t="n">
        <f aca="false">Panel!D570</f>
        <v>10.1035262301352</v>
      </c>
      <c r="E592" s="30" t="n">
        <f aca="false">Panel!D570-Panel!D569</f>
        <v>-0.0114694438797933</v>
      </c>
      <c r="F592" s="30" t="n">
        <f aca="false">Panel!D569-Panel!D568</f>
        <v>0.0032751829004507</v>
      </c>
      <c r="G592" s="30" t="n">
        <f aca="false">Panel!D568-Panel!D567</f>
        <v>-0.00344513462647633</v>
      </c>
      <c r="H592" s="30" t="n">
        <f aca="false">Panel!D567-Panel!D566</f>
        <v>-0.00343330641201334</v>
      </c>
      <c r="I592" s="30" t="n">
        <f aca="false">Panel!D566-Panel!D565</f>
        <v>0.00756889453138676</v>
      </c>
      <c r="L592" s="30" t="n">
        <f aca="false">Panel!E566-Panel!E565</f>
        <v>0.00560668518738261</v>
      </c>
      <c r="M592" s="29" t="n">
        <f aca="false">Panel!E565</f>
        <v>5.62567677865258</v>
      </c>
    </row>
    <row r="593" customFormat="false" ht="15" hidden="false" customHeight="false" outlineLevel="0" collapsed="false">
      <c r="C593" s="0" t="n">
        <f aca="false">Panel!D572-Panel!D571</f>
        <v>-0.00265667079908383</v>
      </c>
      <c r="D593" s="29" t="n">
        <f aca="false">Panel!D571</f>
        <v>10.1110015969621</v>
      </c>
      <c r="E593" s="30" t="n">
        <f aca="false">Panel!D571-Panel!D570</f>
        <v>0.00747536682686345</v>
      </c>
      <c r="F593" s="30" t="n">
        <f aca="false">Panel!D570-Panel!D569</f>
        <v>-0.0114694438797933</v>
      </c>
      <c r="G593" s="30" t="n">
        <f aca="false">Panel!D569-Panel!D568</f>
        <v>0.0032751829004507</v>
      </c>
      <c r="H593" s="30" t="n">
        <f aca="false">Panel!D568-Panel!D567</f>
        <v>-0.00344513462647633</v>
      </c>
      <c r="I593" s="30" t="n">
        <f aca="false">Panel!D567-Panel!D566</f>
        <v>-0.00343330641201334</v>
      </c>
      <c r="L593" s="30" t="n">
        <f aca="false">Panel!E567-Panel!E566</f>
        <v>-0.00261972840070168</v>
      </c>
      <c r="M593" s="29" t="n">
        <f aca="false">Panel!E566</f>
        <v>5.63128346383996</v>
      </c>
    </row>
    <row r="594" customFormat="false" ht="15" hidden="false" customHeight="false" outlineLevel="0" collapsed="false">
      <c r="C594" s="0" t="n">
        <f aca="false">Panel!D573-Panel!D572</f>
        <v>0.00680856112686534</v>
      </c>
      <c r="D594" s="29" t="n">
        <f aca="false">Panel!D572</f>
        <v>10.108344926163</v>
      </c>
      <c r="E594" s="30" t="n">
        <f aca="false">Panel!D572-Panel!D571</f>
        <v>-0.00265667079908383</v>
      </c>
      <c r="F594" s="30" t="n">
        <f aca="false">Panel!D571-Panel!D570</f>
        <v>0.00747536682686345</v>
      </c>
      <c r="G594" s="30" t="n">
        <f aca="false">Panel!D570-Panel!D569</f>
        <v>-0.0114694438797933</v>
      </c>
      <c r="H594" s="30" t="n">
        <f aca="false">Panel!D569-Panel!D568</f>
        <v>0.0032751829004507</v>
      </c>
      <c r="I594" s="30" t="n">
        <f aca="false">Panel!D568-Panel!D567</f>
        <v>-0.00344513462647633</v>
      </c>
      <c r="L594" s="30" t="n">
        <f aca="false">Panel!E568-Panel!E567</f>
        <v>-0.00320322755852942</v>
      </c>
      <c r="M594" s="29" t="n">
        <f aca="false">Panel!E567</f>
        <v>5.62866373543926</v>
      </c>
    </row>
    <row r="595" customFormat="false" ht="15" hidden="false" customHeight="false" outlineLevel="0" collapsed="false">
      <c r="C595" s="0" t="n">
        <f aca="false">Panel!D574-Panel!D573</f>
        <v>-0.00176974352517867</v>
      </c>
      <c r="D595" s="29" t="n">
        <f aca="false">Panel!D573</f>
        <v>10.1151534872899</v>
      </c>
      <c r="E595" s="30" t="n">
        <f aca="false">Panel!D573-Panel!D572</f>
        <v>0.00680856112686534</v>
      </c>
      <c r="F595" s="30" t="n">
        <f aca="false">Panel!D572-Panel!D571</f>
        <v>-0.00265667079908383</v>
      </c>
      <c r="G595" s="30" t="n">
        <f aca="false">Panel!D571-Panel!D570</f>
        <v>0.00747536682686345</v>
      </c>
      <c r="H595" s="30" t="n">
        <f aca="false">Panel!D570-Panel!D569</f>
        <v>-0.0114694438797933</v>
      </c>
      <c r="I595" s="30" t="n">
        <f aca="false">Panel!D569-Panel!D568</f>
        <v>0.0032751829004507</v>
      </c>
      <c r="L595" s="30" t="n">
        <f aca="false">Panel!E569-Panel!E568</f>
        <v>0.00158490055508764</v>
      </c>
      <c r="M595" s="29" t="n">
        <f aca="false">Panel!E568</f>
        <v>5.62546050788073</v>
      </c>
    </row>
    <row r="596" customFormat="false" ht="15" hidden="false" customHeight="false" outlineLevel="0" collapsed="false">
      <c r="C596" s="0" t="n">
        <f aca="false">Panel!D575-Panel!D574</f>
        <v>0.0121707807820393</v>
      </c>
      <c r="D596" s="29" t="n">
        <f aca="false">Panel!D574</f>
        <v>10.1133837437647</v>
      </c>
      <c r="E596" s="30" t="n">
        <f aca="false">Panel!D574-Panel!D573</f>
        <v>-0.00176974352517867</v>
      </c>
      <c r="F596" s="30" t="n">
        <f aca="false">Panel!D573-Panel!D572</f>
        <v>0.00680856112686534</v>
      </c>
      <c r="G596" s="30" t="n">
        <f aca="false">Panel!D572-Panel!D571</f>
        <v>-0.00265667079908383</v>
      </c>
      <c r="H596" s="30" t="n">
        <f aca="false">Panel!D571-Panel!D570</f>
        <v>0.00747536682686345</v>
      </c>
      <c r="I596" s="30" t="n">
        <f aca="false">Panel!D570-Panel!D569</f>
        <v>-0.0114694438797933</v>
      </c>
      <c r="L596" s="30" t="n">
        <f aca="false">Panel!E570-Panel!E569</f>
        <v>-0.00853037775932108</v>
      </c>
      <c r="M596" s="29" t="n">
        <f aca="false">Panel!E569</f>
        <v>5.62704540843582</v>
      </c>
    </row>
    <row r="597" customFormat="false" ht="15" hidden="false" customHeight="false" outlineLevel="0" collapsed="false">
      <c r="C597" s="0" t="n">
        <f aca="false">Panel!D576-Panel!D575</f>
        <v>0.00251554349784477</v>
      </c>
      <c r="D597" s="29" t="n">
        <f aca="false">Panel!D575</f>
        <v>10.1255545245467</v>
      </c>
      <c r="E597" s="30" t="n">
        <f aca="false">Panel!D575-Panel!D574</f>
        <v>0.0121707807820393</v>
      </c>
      <c r="F597" s="30" t="n">
        <f aca="false">Panel!D574-Panel!D573</f>
        <v>-0.00176974352517867</v>
      </c>
      <c r="G597" s="30" t="n">
        <f aca="false">Panel!D573-Panel!D572</f>
        <v>0.00680856112686534</v>
      </c>
      <c r="H597" s="30" t="n">
        <f aca="false">Panel!D572-Panel!D571</f>
        <v>-0.00265667079908383</v>
      </c>
      <c r="I597" s="30" t="n">
        <f aca="false">Panel!D571-Panel!D570</f>
        <v>0.00747536682686345</v>
      </c>
      <c r="L597" s="30" t="n">
        <f aca="false">Panel!E571-Panel!E570</f>
        <v>0.00550247551084127</v>
      </c>
      <c r="M597" s="29" t="n">
        <f aca="false">Panel!E570</f>
        <v>5.6185150306765</v>
      </c>
    </row>
    <row r="598" customFormat="false" ht="15" hidden="false" customHeight="false" outlineLevel="0" collapsed="false">
      <c r="C598" s="0" t="n">
        <f aca="false">Panel!D577-Panel!D576</f>
        <v>0.0015645208255215</v>
      </c>
      <c r="D598" s="29" t="n">
        <f aca="false">Panel!D576</f>
        <v>10.1280700680446</v>
      </c>
      <c r="E598" s="30" t="n">
        <f aca="false">Panel!D576-Panel!D575</f>
        <v>0.00251554349784477</v>
      </c>
      <c r="F598" s="30" t="n">
        <f aca="false">Panel!D575-Panel!D574</f>
        <v>0.0121707807820393</v>
      </c>
      <c r="G598" s="30" t="n">
        <f aca="false">Panel!D574-Panel!D573</f>
        <v>-0.00176974352517867</v>
      </c>
      <c r="H598" s="30" t="n">
        <f aca="false">Panel!D573-Panel!D572</f>
        <v>0.00680856112686534</v>
      </c>
      <c r="I598" s="30" t="n">
        <f aca="false">Panel!D572-Panel!D571</f>
        <v>-0.00265667079908383</v>
      </c>
      <c r="L598" s="30" t="n">
        <f aca="false">Panel!E572-Panel!E571</f>
        <v>-0.00126433684321992</v>
      </c>
      <c r="M598" s="29" t="n">
        <f aca="false">Panel!E571</f>
        <v>5.62401750618734</v>
      </c>
    </row>
    <row r="599" customFormat="false" ht="15" hidden="false" customHeight="false" outlineLevel="0" collapsed="false">
      <c r="C599" s="0" t="n">
        <f aca="false">Panel!D578-Panel!D577</f>
        <v>0.00148243816451199</v>
      </c>
      <c r="D599" s="29" t="n">
        <f aca="false">Panel!D577</f>
        <v>10.1296345888701</v>
      </c>
      <c r="E599" s="30" t="n">
        <f aca="false">Panel!D577-Panel!D576</f>
        <v>0.0015645208255215</v>
      </c>
      <c r="F599" s="30" t="n">
        <f aca="false">Panel!D576-Panel!D575</f>
        <v>0.00251554349784477</v>
      </c>
      <c r="G599" s="30" t="n">
        <f aca="false">Panel!D575-Panel!D574</f>
        <v>0.0121707807820393</v>
      </c>
      <c r="H599" s="30" t="n">
        <f aca="false">Panel!D574-Panel!D573</f>
        <v>-0.00176974352517867</v>
      </c>
      <c r="I599" s="30" t="n">
        <f aca="false">Panel!D573-Panel!D572</f>
        <v>0.00680856112686534</v>
      </c>
      <c r="L599" s="30" t="n">
        <f aca="false">Panel!E573-Panel!E572</f>
        <v>0.00486794434651827</v>
      </c>
      <c r="M599" s="29" t="n">
        <f aca="false">Panel!E572</f>
        <v>5.62275316934412</v>
      </c>
    </row>
    <row r="600" customFormat="false" ht="15" hidden="false" customHeight="false" outlineLevel="0" collapsed="false">
      <c r="C600" s="0" t="n">
        <f aca="false">Panel!D579-Panel!D578</f>
        <v>-0.00873493747370269</v>
      </c>
      <c r="D600" s="29" t="n">
        <f aca="false">Panel!D578</f>
        <v>10.1311170270346</v>
      </c>
      <c r="E600" s="30" t="n">
        <f aca="false">Panel!D578-Panel!D577</f>
        <v>0.00148243816451199</v>
      </c>
      <c r="F600" s="30" t="n">
        <f aca="false">Panel!D577-Panel!D576</f>
        <v>0.0015645208255215</v>
      </c>
      <c r="G600" s="30" t="n">
        <f aca="false">Panel!D576-Panel!D575</f>
        <v>0.00251554349784477</v>
      </c>
      <c r="H600" s="30" t="n">
        <f aca="false">Panel!D575-Panel!D574</f>
        <v>0.0121707807820393</v>
      </c>
      <c r="I600" s="30" t="n">
        <f aca="false">Panel!D574-Panel!D573</f>
        <v>-0.00176974352517867</v>
      </c>
      <c r="L600" s="30" t="n">
        <f aca="false">Panel!E574-Panel!E573</f>
        <v>0.000755110515735069</v>
      </c>
      <c r="M600" s="29" t="n">
        <f aca="false">Panel!E573</f>
        <v>5.62762111369064</v>
      </c>
    </row>
    <row r="601" customFormat="false" ht="15" hidden="false" customHeight="false" outlineLevel="0" collapsed="false">
      <c r="C601" s="0" t="n">
        <f aca="false">Panel!D580-Panel!D579</f>
        <v>0.00393696560728962</v>
      </c>
      <c r="D601" s="29" t="n">
        <f aca="false">Panel!D579</f>
        <v>10.1223820895609</v>
      </c>
      <c r="E601" s="30" t="n">
        <f aca="false">Panel!D579-Panel!D578</f>
        <v>-0.00873493747370269</v>
      </c>
      <c r="F601" s="30" t="n">
        <f aca="false">Panel!D578-Panel!D577</f>
        <v>0.00148243816451199</v>
      </c>
      <c r="G601" s="30" t="n">
        <f aca="false">Panel!D577-Panel!D576</f>
        <v>0.0015645208255215</v>
      </c>
      <c r="H601" s="30" t="n">
        <f aca="false">Panel!D576-Panel!D575</f>
        <v>0.00251554349784477</v>
      </c>
      <c r="I601" s="30" t="n">
        <f aca="false">Panel!D575-Panel!D574</f>
        <v>0.0121707807820393</v>
      </c>
      <c r="L601" s="30" t="n">
        <f aca="false">Panel!E575-Panel!E574</f>
        <v>0.0104054002324148</v>
      </c>
      <c r="M601" s="29" t="n">
        <f aca="false">Panel!E574</f>
        <v>5.62837622420637</v>
      </c>
    </row>
    <row r="602" customFormat="false" ht="15" hidden="false" customHeight="false" outlineLevel="0" collapsed="false">
      <c r="C602" s="0" t="n">
        <f aca="false">Panel!D581-Panel!D580</f>
        <v>-0.0106275713562596</v>
      </c>
      <c r="D602" s="29" t="n">
        <f aca="false">Panel!D580</f>
        <v>10.1263190551682</v>
      </c>
      <c r="E602" s="30" t="n">
        <f aca="false">Panel!D580-Panel!D579</f>
        <v>0.00393696560728962</v>
      </c>
      <c r="F602" s="30" t="n">
        <f aca="false">Panel!D579-Panel!D578</f>
        <v>-0.00873493747370269</v>
      </c>
      <c r="G602" s="30" t="n">
        <f aca="false">Panel!D578-Panel!D577</f>
        <v>0.00148243816451199</v>
      </c>
      <c r="H602" s="30" t="n">
        <f aca="false">Panel!D577-Panel!D576</f>
        <v>0.0015645208255215</v>
      </c>
      <c r="I602" s="30" t="n">
        <f aca="false">Panel!D576-Panel!D575</f>
        <v>0.00251554349784477</v>
      </c>
      <c r="L602" s="30" t="n">
        <f aca="false">Panel!E576-Panel!E575</f>
        <v>0.00344454451830867</v>
      </c>
      <c r="M602" s="29" t="n">
        <f aca="false">Panel!E575</f>
        <v>5.63878162443879</v>
      </c>
    </row>
    <row r="603" customFormat="false" ht="15" hidden="false" customHeight="false" outlineLevel="0" collapsed="false">
      <c r="C603" s="0" t="n">
        <f aca="false">Panel!D582-Panel!D581</f>
        <v>-0.00914064579580654</v>
      </c>
      <c r="D603" s="29" t="n">
        <f aca="false">Panel!D581</f>
        <v>10.115691483812</v>
      </c>
      <c r="E603" s="30" t="n">
        <f aca="false">Panel!D581-Panel!D580</f>
        <v>-0.0106275713562596</v>
      </c>
      <c r="F603" s="30" t="n">
        <f aca="false">Panel!D580-Panel!D579</f>
        <v>0.00393696560728962</v>
      </c>
      <c r="G603" s="30" t="n">
        <f aca="false">Panel!D579-Panel!D578</f>
        <v>-0.00873493747370269</v>
      </c>
      <c r="H603" s="30" t="n">
        <f aca="false">Panel!D578-Panel!D577</f>
        <v>0.00148243816451199</v>
      </c>
      <c r="I603" s="30" t="n">
        <f aca="false">Panel!D577-Panel!D576</f>
        <v>0.0015645208255215</v>
      </c>
      <c r="L603" s="30" t="n">
        <f aca="false">Panel!E577-Panel!E576</f>
        <v>0.00152317558362647</v>
      </c>
      <c r="M603" s="29" t="n">
        <f aca="false">Panel!E576</f>
        <v>5.6422261689571</v>
      </c>
    </row>
    <row r="604" customFormat="false" ht="15" hidden="false" customHeight="false" outlineLevel="0" collapsed="false">
      <c r="C604" s="0" t="n">
        <f aca="false">Panel!D583-Panel!D582</f>
        <v>0.00291783016278657</v>
      </c>
      <c r="D604" s="29" t="n">
        <f aca="false">Panel!D582</f>
        <v>10.1065508380161</v>
      </c>
      <c r="E604" s="30" t="n">
        <f aca="false">Panel!D582-Panel!D581</f>
        <v>-0.00914064579580654</v>
      </c>
      <c r="F604" s="30" t="n">
        <f aca="false">Panel!D581-Panel!D580</f>
        <v>-0.0106275713562596</v>
      </c>
      <c r="G604" s="30" t="n">
        <f aca="false">Panel!D580-Panel!D579</f>
        <v>0.00393696560728962</v>
      </c>
      <c r="H604" s="30" t="n">
        <f aca="false">Panel!D579-Panel!D578</f>
        <v>-0.00873493747370269</v>
      </c>
      <c r="I604" s="30" t="n">
        <f aca="false">Panel!D578-Panel!D577</f>
        <v>0.00148243816451199</v>
      </c>
      <c r="L604" s="30" t="n">
        <f aca="false">Panel!E578-Panel!E577</f>
        <v>0.00155620035650283</v>
      </c>
      <c r="M604" s="29" t="n">
        <f aca="false">Panel!E577</f>
        <v>5.64374934454072</v>
      </c>
    </row>
    <row r="605" customFormat="false" ht="15" hidden="false" customHeight="false" outlineLevel="0" collapsed="false">
      <c r="C605" s="0" t="n">
        <f aca="false">Panel!D584-Panel!D583</f>
        <v>0.00747567008186145</v>
      </c>
      <c r="D605" s="29" t="n">
        <f aca="false">Panel!D583</f>
        <v>10.1094686681789</v>
      </c>
      <c r="E605" s="30" t="n">
        <f aca="false">Panel!D583-Panel!D582</f>
        <v>0.00291783016278657</v>
      </c>
      <c r="F605" s="30" t="n">
        <f aca="false">Panel!D582-Panel!D581</f>
        <v>-0.00914064579580654</v>
      </c>
      <c r="G605" s="30" t="n">
        <f aca="false">Panel!D581-Panel!D580</f>
        <v>-0.0106275713562596</v>
      </c>
      <c r="H605" s="30" t="n">
        <f aca="false">Panel!D580-Panel!D579</f>
        <v>0.00393696560728962</v>
      </c>
      <c r="I605" s="30" t="n">
        <f aca="false">Panel!D579-Panel!D578</f>
        <v>-0.00873493747370269</v>
      </c>
      <c r="L605" s="30" t="n">
        <f aca="false">Panel!E579-Panel!E578</f>
        <v>-0.00752043274817638</v>
      </c>
      <c r="M605" s="29" t="n">
        <f aca="false">Panel!E578</f>
        <v>5.64530554489723</v>
      </c>
    </row>
    <row r="606" customFormat="false" ht="15" hidden="false" customHeight="false" outlineLevel="0" collapsed="false">
      <c r="C606" s="0" t="n">
        <f aca="false">Panel!D585-Panel!D584</f>
        <v>-0.00307431171306938</v>
      </c>
      <c r="D606" s="29" t="n">
        <f aca="false">Panel!D584</f>
        <v>10.1169443382608</v>
      </c>
      <c r="E606" s="30" t="n">
        <f aca="false">Panel!D584-Panel!D583</f>
        <v>0.00747567008186145</v>
      </c>
      <c r="F606" s="30" t="n">
        <f aca="false">Panel!D583-Panel!D582</f>
        <v>0.00291783016278657</v>
      </c>
      <c r="G606" s="30" t="n">
        <f aca="false">Panel!D582-Panel!D581</f>
        <v>-0.00914064579580654</v>
      </c>
      <c r="H606" s="30" t="n">
        <f aca="false">Panel!D581-Panel!D580</f>
        <v>-0.0106275713562596</v>
      </c>
      <c r="I606" s="30" t="n">
        <f aca="false">Panel!D580-Panel!D579</f>
        <v>0.00393696560728962</v>
      </c>
      <c r="L606" s="30" t="n">
        <f aca="false">Panel!E580-Panel!E579</f>
        <v>0.0035544218839334</v>
      </c>
      <c r="M606" s="29" t="n">
        <f aca="false">Panel!E579</f>
        <v>5.63778511214905</v>
      </c>
    </row>
    <row r="607" customFormat="false" ht="15" hidden="false" customHeight="false" outlineLevel="0" collapsed="false">
      <c r="C607" s="0" t="n">
        <f aca="false">Panel!D586-Panel!D585</f>
        <v>0.00553503221087404</v>
      </c>
      <c r="D607" s="29" t="n">
        <f aca="false">Panel!D585</f>
        <v>10.1138700265477</v>
      </c>
      <c r="E607" s="30" t="n">
        <f aca="false">Panel!D585-Panel!D584</f>
        <v>-0.00307431171306938</v>
      </c>
      <c r="F607" s="30" t="n">
        <f aca="false">Panel!D584-Panel!D583</f>
        <v>0.00747567008186145</v>
      </c>
      <c r="G607" s="30" t="n">
        <f aca="false">Panel!D583-Panel!D582</f>
        <v>0.00291783016278657</v>
      </c>
      <c r="H607" s="30" t="n">
        <f aca="false">Panel!D582-Panel!D581</f>
        <v>-0.00914064579580654</v>
      </c>
      <c r="I607" s="30" t="n">
        <f aca="false">Panel!D581-Panel!D580</f>
        <v>-0.0106275713562596</v>
      </c>
      <c r="L607" s="30" t="n">
        <f aca="false">Panel!E581-Panel!E580</f>
        <v>-0.00973356468075526</v>
      </c>
      <c r="M607" s="29" t="n">
        <f aca="false">Panel!E580</f>
        <v>5.64133953403298</v>
      </c>
    </row>
    <row r="608" customFormat="false" ht="15" hidden="false" customHeight="false" outlineLevel="0" collapsed="false">
      <c r="C608" s="0" t="n">
        <f aca="false">Panel!D587-Panel!D586</f>
        <v>0.000604168782851744</v>
      </c>
      <c r="D608" s="29" t="n">
        <f aca="false">Panel!D586</f>
        <v>10.1194050587586</v>
      </c>
      <c r="E608" s="30" t="n">
        <f aca="false">Panel!D586-Panel!D585</f>
        <v>0.00553503221087404</v>
      </c>
      <c r="F608" s="30" t="n">
        <f aca="false">Panel!D585-Panel!D584</f>
        <v>-0.00307431171306938</v>
      </c>
      <c r="G608" s="30" t="n">
        <f aca="false">Panel!D584-Panel!D583</f>
        <v>0.00747567008186145</v>
      </c>
      <c r="H608" s="30" t="n">
        <f aca="false">Panel!D583-Panel!D582</f>
        <v>0.00291783016278657</v>
      </c>
      <c r="I608" s="30" t="n">
        <f aca="false">Panel!D582-Panel!D581</f>
        <v>-0.00914064579580654</v>
      </c>
      <c r="L608" s="30" t="n">
        <f aca="false">Panel!E582-Panel!E581</f>
        <v>-0.00740797403886795</v>
      </c>
      <c r="M608" s="29" t="n">
        <f aca="false">Panel!E581</f>
        <v>5.63160596935223</v>
      </c>
    </row>
    <row r="609" customFormat="false" ht="15" hidden="false" customHeight="false" outlineLevel="0" collapsed="false">
      <c r="C609" s="0" t="n">
        <f aca="false">Panel!D588-Panel!D587</f>
        <v>0.000587707274297245</v>
      </c>
      <c r="D609" s="29" t="n">
        <f aca="false">Panel!D587</f>
        <v>10.1200092275415</v>
      </c>
      <c r="E609" s="30" t="n">
        <f aca="false">Panel!D587-Panel!D586</f>
        <v>0.000604168782851744</v>
      </c>
      <c r="F609" s="30" t="n">
        <f aca="false">Panel!D586-Panel!D585</f>
        <v>0.00553503221087404</v>
      </c>
      <c r="G609" s="30" t="n">
        <f aca="false">Panel!D585-Panel!D584</f>
        <v>-0.00307431171306938</v>
      </c>
      <c r="H609" s="30" t="n">
        <f aca="false">Panel!D584-Panel!D583</f>
        <v>0.00747567008186145</v>
      </c>
      <c r="I609" s="30" t="n">
        <f aca="false">Panel!D583-Panel!D582</f>
        <v>0.00291783016278657</v>
      </c>
      <c r="L609" s="30" t="n">
        <f aca="false">Panel!E583-Panel!E582</f>
        <v>-0.00256600368483539</v>
      </c>
      <c r="M609" s="29" t="n">
        <f aca="false">Panel!E582</f>
        <v>5.62419799531336</v>
      </c>
    </row>
    <row r="610" customFormat="false" ht="15" hidden="false" customHeight="false" outlineLevel="0" collapsed="false">
      <c r="C610" s="0" t="n">
        <f aca="false">Panel!D589-Panel!D588</f>
        <v>0.00207032336811608</v>
      </c>
      <c r="D610" s="29" t="n">
        <f aca="false">Panel!D588</f>
        <v>10.1205969348157</v>
      </c>
      <c r="E610" s="30" t="n">
        <f aca="false">Panel!D588-Panel!D587</f>
        <v>0.000587707274297245</v>
      </c>
      <c r="F610" s="30" t="n">
        <f aca="false">Panel!D587-Panel!D586</f>
        <v>0.000604168782851744</v>
      </c>
      <c r="G610" s="30" t="n">
        <f aca="false">Panel!D586-Panel!D585</f>
        <v>0.00553503221087404</v>
      </c>
      <c r="H610" s="30" t="n">
        <f aca="false">Panel!D585-Panel!D584</f>
        <v>-0.00307431171306938</v>
      </c>
      <c r="I610" s="30" t="n">
        <f aca="false">Panel!D584-Panel!D583</f>
        <v>0.00747567008186145</v>
      </c>
      <c r="L610" s="30" t="n">
        <f aca="false">Panel!E584-Panel!E583</f>
        <v>0.00670828786081934</v>
      </c>
      <c r="M610" s="29" t="n">
        <f aca="false">Panel!E583</f>
        <v>5.62163199162852</v>
      </c>
    </row>
    <row r="611" customFormat="false" ht="15" hidden="false" customHeight="false" outlineLevel="0" collapsed="false">
      <c r="C611" s="0" t="n">
        <f aca="false">Panel!D590-Panel!D589</f>
        <v>0.0023625642995011</v>
      </c>
      <c r="D611" s="29" t="n">
        <f aca="false">Panel!D589</f>
        <v>10.1226672581839</v>
      </c>
      <c r="E611" s="30" t="n">
        <f aca="false">Panel!D589-Panel!D588</f>
        <v>0.00207032336811608</v>
      </c>
      <c r="F611" s="30" t="n">
        <f aca="false">Panel!D588-Panel!D587</f>
        <v>0.000587707274297245</v>
      </c>
      <c r="G611" s="30" t="n">
        <f aca="false">Panel!D587-Panel!D586</f>
        <v>0.000604168782851744</v>
      </c>
      <c r="H611" s="30" t="n">
        <f aca="false">Panel!D586-Panel!D585</f>
        <v>0.00553503221087404</v>
      </c>
      <c r="I611" s="30" t="n">
        <f aca="false">Panel!D585-Panel!D584</f>
        <v>-0.00307431171306938</v>
      </c>
      <c r="L611" s="30" t="n">
        <f aca="false">Panel!E585-Panel!E584</f>
        <v>-0.00215905085669288</v>
      </c>
      <c r="M611" s="29" t="n">
        <f aca="false">Panel!E584</f>
        <v>5.62834027948934</v>
      </c>
    </row>
    <row r="612" customFormat="false" ht="15" hidden="false" customHeight="false" outlineLevel="0" collapsed="false">
      <c r="C612" s="0" t="n">
        <f aca="false">Panel!D591-Panel!D590</f>
        <v>0.00474034933381162</v>
      </c>
      <c r="D612" s="29" t="n">
        <f aca="false">Panel!D590</f>
        <v>10.1250298224834</v>
      </c>
      <c r="E612" s="30" t="n">
        <f aca="false">Panel!D590-Panel!D589</f>
        <v>0.0023625642995011</v>
      </c>
      <c r="F612" s="30" t="n">
        <f aca="false">Panel!D589-Panel!D588</f>
        <v>0.00207032336811608</v>
      </c>
      <c r="G612" s="30" t="n">
        <f aca="false">Panel!D588-Panel!D587</f>
        <v>0.000587707274297245</v>
      </c>
      <c r="H612" s="30" t="n">
        <f aca="false">Panel!D587-Panel!D586</f>
        <v>0.000604168782851744</v>
      </c>
      <c r="I612" s="30" t="n">
        <f aca="false">Panel!D586-Panel!D585</f>
        <v>0.00553503221087404</v>
      </c>
      <c r="L612" s="30" t="n">
        <f aca="false">Panel!E586-Panel!E585</f>
        <v>0.00445691198554865</v>
      </c>
      <c r="M612" s="29" t="n">
        <f aca="false">Panel!E585</f>
        <v>5.62618122863265</v>
      </c>
    </row>
    <row r="613" customFormat="false" ht="15" hidden="false" customHeight="false" outlineLevel="0" collapsed="false">
      <c r="C613" s="0" t="n">
        <f aca="false">Panel!D592-Panel!D591</f>
        <v>0.00120747212678118</v>
      </c>
      <c r="D613" s="29" t="n">
        <f aca="false">Panel!D591</f>
        <v>10.1297701718172</v>
      </c>
      <c r="E613" s="30" t="n">
        <f aca="false">Panel!D591-Panel!D590</f>
        <v>0.00474034933381162</v>
      </c>
      <c r="F613" s="30" t="n">
        <f aca="false">Panel!D590-Panel!D589</f>
        <v>0.0023625642995011</v>
      </c>
      <c r="G613" s="30" t="n">
        <f aca="false">Panel!D589-Panel!D588</f>
        <v>0.00207032336811608</v>
      </c>
      <c r="H613" s="30" t="n">
        <f aca="false">Panel!D588-Panel!D587</f>
        <v>0.000587707274297245</v>
      </c>
      <c r="I613" s="30" t="n">
        <f aca="false">Panel!D587-Panel!D586</f>
        <v>0.000604168782851744</v>
      </c>
      <c r="L613" s="30" t="n">
        <f aca="false">Panel!E587-Panel!E586</f>
        <v>0.00275763448100452</v>
      </c>
      <c r="M613" s="29" t="n">
        <f aca="false">Panel!E586</f>
        <v>5.6306381406182</v>
      </c>
    </row>
    <row r="614" customFormat="false" ht="15" hidden="false" customHeight="false" outlineLevel="0" collapsed="false">
      <c r="C614" s="0" t="n">
        <f aca="false">Panel!D593-Panel!D592</f>
        <v>0.00402234291003012</v>
      </c>
      <c r="D614" s="29" t="n">
        <f aca="false">Panel!D592</f>
        <v>10.130977643944</v>
      </c>
      <c r="E614" s="30" t="n">
        <f aca="false">Panel!D592-Panel!D591</f>
        <v>0.00120747212678118</v>
      </c>
      <c r="F614" s="30" t="n">
        <f aca="false">Panel!D591-Panel!D590</f>
        <v>0.00474034933381162</v>
      </c>
      <c r="G614" s="30" t="n">
        <f aca="false">Panel!D590-Panel!D589</f>
        <v>0.0023625642995011</v>
      </c>
      <c r="H614" s="30" t="n">
        <f aca="false">Panel!D589-Panel!D588</f>
        <v>0.00207032336811608</v>
      </c>
      <c r="I614" s="30" t="n">
        <f aca="false">Panel!D588-Panel!D587</f>
        <v>0.000587707274297245</v>
      </c>
      <c r="L614" s="30" t="n">
        <f aca="false">Panel!E588-Panel!E587</f>
        <v>-3.57647395476945E-005</v>
      </c>
      <c r="M614" s="29" t="n">
        <f aca="false">Panel!E587</f>
        <v>5.6333957750992</v>
      </c>
    </row>
    <row r="615" customFormat="false" ht="15" hidden="false" customHeight="false" outlineLevel="0" collapsed="false">
      <c r="C615" s="0" t="n">
        <f aca="false">Panel!D594-Panel!D593</f>
        <v>-0.00163162935098526</v>
      </c>
      <c r="D615" s="29" t="n">
        <f aca="false">Panel!D593</f>
        <v>10.134999986854</v>
      </c>
      <c r="E615" s="30" t="n">
        <f aca="false">Panel!D593-Panel!D592</f>
        <v>0.00402234291003012</v>
      </c>
      <c r="F615" s="30" t="n">
        <f aca="false">Panel!D592-Panel!D591</f>
        <v>0.00120747212678118</v>
      </c>
      <c r="G615" s="30" t="n">
        <f aca="false">Panel!D591-Panel!D590</f>
        <v>0.00474034933381162</v>
      </c>
      <c r="H615" s="30" t="n">
        <f aca="false">Panel!D590-Panel!D589</f>
        <v>0.0023625642995011</v>
      </c>
      <c r="I615" s="30" t="n">
        <f aca="false">Panel!D589-Panel!D588</f>
        <v>0.00207032336811608</v>
      </c>
      <c r="L615" s="30" t="n">
        <f aca="false">Panel!E589-Panel!E588</f>
        <v>0.00225068419321239</v>
      </c>
      <c r="M615" s="29" t="n">
        <f aca="false">Panel!E588</f>
        <v>5.63336001035966</v>
      </c>
    </row>
    <row r="616" customFormat="false" ht="15" hidden="false" customHeight="false" outlineLevel="0" collapsed="false">
      <c r="C616" s="0" t="n">
        <f aca="false">Panel!D595-Panel!D594</f>
        <v>0.00708675294040617</v>
      </c>
      <c r="D616" s="29" t="n">
        <f aca="false">Panel!D594</f>
        <v>10.133368357503</v>
      </c>
      <c r="E616" s="30" t="n">
        <f aca="false">Panel!D594-Panel!D593</f>
        <v>-0.00163162935098526</v>
      </c>
      <c r="F616" s="30" t="n">
        <f aca="false">Panel!D593-Panel!D592</f>
        <v>0.00402234291003012</v>
      </c>
      <c r="G616" s="30" t="n">
        <f aca="false">Panel!D592-Panel!D591</f>
        <v>0.00120747212678118</v>
      </c>
      <c r="H616" s="30" t="n">
        <f aca="false">Panel!D591-Panel!D590</f>
        <v>0.00474034933381162</v>
      </c>
      <c r="I616" s="30" t="n">
        <f aca="false">Panel!D590-Panel!D589</f>
        <v>0.0023625642995011</v>
      </c>
      <c r="L616" s="30" t="n">
        <f aca="false">Panel!E590-Panel!E589</f>
        <v>0.00174703672209198</v>
      </c>
      <c r="M616" s="29" t="n">
        <f aca="false">Panel!E589</f>
        <v>5.63561069455287</v>
      </c>
    </row>
    <row r="617" customFormat="false" ht="15" hidden="false" customHeight="false" outlineLevel="0" collapsed="false">
      <c r="C617" s="0" t="n">
        <f aca="false">Panel!D596-Panel!D595</f>
        <v>0.00300557813760527</v>
      </c>
      <c r="D617" s="29" t="n">
        <f aca="false">Panel!D595</f>
        <v>10.1404551104434</v>
      </c>
      <c r="E617" s="30" t="n">
        <f aca="false">Panel!D595-Panel!D594</f>
        <v>0.00708675294040617</v>
      </c>
      <c r="F617" s="30" t="n">
        <f aca="false">Panel!D594-Panel!D593</f>
        <v>-0.00163162935098526</v>
      </c>
      <c r="G617" s="30" t="n">
        <f aca="false">Panel!D593-Panel!D592</f>
        <v>0.00402234291003012</v>
      </c>
      <c r="H617" s="30" t="n">
        <f aca="false">Panel!D592-Panel!D591</f>
        <v>0.00120747212678118</v>
      </c>
      <c r="I617" s="30" t="n">
        <f aca="false">Panel!D591-Panel!D590</f>
        <v>0.00474034933381162</v>
      </c>
      <c r="L617" s="30" t="n">
        <f aca="false">Panel!E591-Panel!E590</f>
        <v>0.00490388673299158</v>
      </c>
      <c r="M617" s="29" t="n">
        <f aca="false">Panel!E590</f>
        <v>5.63735773127496</v>
      </c>
    </row>
    <row r="618" customFormat="false" ht="15" hidden="false" customHeight="false" outlineLevel="0" collapsed="false">
      <c r="C618" s="0" t="n">
        <f aca="false">Panel!D597-Panel!D596</f>
        <v>0.00334944230646705</v>
      </c>
      <c r="D618" s="29" t="n">
        <f aca="false">Panel!D596</f>
        <v>10.143460688581</v>
      </c>
      <c r="E618" s="30" t="n">
        <f aca="false">Panel!D596-Panel!D595</f>
        <v>0.00300557813760527</v>
      </c>
      <c r="F618" s="30" t="n">
        <f aca="false">Panel!D595-Panel!D594</f>
        <v>0.00708675294040617</v>
      </c>
      <c r="G618" s="30" t="n">
        <f aca="false">Panel!D594-Panel!D593</f>
        <v>-0.00163162935098526</v>
      </c>
      <c r="H618" s="30" t="n">
        <f aca="false">Panel!D593-Panel!D592</f>
        <v>0.00402234291003012</v>
      </c>
      <c r="I618" s="30" t="n">
        <f aca="false">Panel!D592-Panel!D591</f>
        <v>0.00120747212678118</v>
      </c>
      <c r="L618" s="30" t="n">
        <f aca="false">Panel!E592-Panel!E591</f>
        <v>0.00180623732059271</v>
      </c>
      <c r="M618" s="29" t="n">
        <f aca="false">Panel!E591</f>
        <v>5.64226161800795</v>
      </c>
    </row>
    <row r="619" customFormat="false" ht="15" hidden="false" customHeight="false" outlineLevel="0" collapsed="false">
      <c r="C619" s="0" t="n">
        <f aca="false">Panel!D598-Panel!D597</f>
        <v>-0.00321178820740187</v>
      </c>
      <c r="D619" s="29" t="n">
        <f aca="false">Panel!D597</f>
        <v>10.1468101308875</v>
      </c>
      <c r="E619" s="30" t="n">
        <f aca="false">Panel!D597-Panel!D596</f>
        <v>0.00334944230646705</v>
      </c>
      <c r="F619" s="30" t="n">
        <f aca="false">Panel!D596-Panel!D595</f>
        <v>0.00300557813760527</v>
      </c>
      <c r="G619" s="30" t="n">
        <f aca="false">Panel!D595-Panel!D594</f>
        <v>0.00708675294040617</v>
      </c>
      <c r="H619" s="30" t="n">
        <f aca="false">Panel!D594-Panel!D593</f>
        <v>-0.00163162935098526</v>
      </c>
      <c r="I619" s="30" t="n">
        <f aca="false">Panel!D593-Panel!D592</f>
        <v>0.00402234291003012</v>
      </c>
      <c r="L619" s="30" t="n">
        <f aca="false">Panel!E593-Panel!E592</f>
        <v>0.00261502728708418</v>
      </c>
      <c r="M619" s="29" t="n">
        <f aca="false">Panel!E592</f>
        <v>5.64406785532854</v>
      </c>
    </row>
    <row r="620" customFormat="false" ht="15" hidden="false" customHeight="false" outlineLevel="0" collapsed="false">
      <c r="C620" s="0" t="n">
        <f aca="false">Panel!D599-Panel!D598</f>
        <v>-0.00602334232049984</v>
      </c>
      <c r="D620" s="29" t="n">
        <f aca="false">Panel!D598</f>
        <v>10.1435983426801</v>
      </c>
      <c r="E620" s="30" t="n">
        <f aca="false">Panel!D598-Panel!D597</f>
        <v>-0.00321178820740187</v>
      </c>
      <c r="F620" s="30" t="n">
        <f aca="false">Panel!D597-Panel!D596</f>
        <v>0.00334944230646705</v>
      </c>
      <c r="G620" s="30" t="n">
        <f aca="false">Panel!D596-Panel!D595</f>
        <v>0.00300557813760527</v>
      </c>
      <c r="H620" s="30" t="n">
        <f aca="false">Panel!D595-Panel!D594</f>
        <v>0.00708675294040617</v>
      </c>
      <c r="I620" s="30" t="n">
        <f aca="false">Panel!D594-Panel!D593</f>
        <v>-0.00163162935098526</v>
      </c>
      <c r="L620" s="30" t="n">
        <f aca="false">Panel!E594-Panel!E593</f>
        <v>-0.000176475779157137</v>
      </c>
      <c r="M620" s="29" t="n">
        <f aca="false">Panel!E593</f>
        <v>5.64668288261563</v>
      </c>
    </row>
    <row r="621" customFormat="false" ht="15" hidden="false" customHeight="false" outlineLevel="0" collapsed="false">
      <c r="C621" s="0" t="n">
        <f aca="false">Panel!D600-Panel!D599</f>
        <v>-0.000795565457426761</v>
      </c>
      <c r="D621" s="29" t="n">
        <f aca="false">Panel!D599</f>
        <v>10.1375750003596</v>
      </c>
      <c r="E621" s="30" t="n">
        <f aca="false">Panel!D599-Panel!D598</f>
        <v>-0.00602334232049984</v>
      </c>
      <c r="F621" s="30" t="n">
        <f aca="false">Panel!D598-Panel!D597</f>
        <v>-0.00321178820740187</v>
      </c>
      <c r="G621" s="30" t="n">
        <f aca="false">Panel!D597-Panel!D596</f>
        <v>0.00334944230646705</v>
      </c>
      <c r="H621" s="30" t="n">
        <f aca="false">Panel!D596-Panel!D595</f>
        <v>0.00300557813760527</v>
      </c>
      <c r="I621" s="30" t="n">
        <f aca="false">Panel!D595-Panel!D594</f>
        <v>0.00708675294040617</v>
      </c>
      <c r="L621" s="30" t="n">
        <f aca="false">Panel!E595-Panel!E594</f>
        <v>0.00619327759041433</v>
      </c>
      <c r="M621" s="29" t="n">
        <f aca="false">Panel!E594</f>
        <v>5.64650640683647</v>
      </c>
    </row>
    <row r="622" customFormat="false" ht="15" hidden="false" customHeight="false" outlineLevel="0" collapsed="false">
      <c r="C622" s="0" t="n">
        <f aca="false">Panel!D601-Panel!D600</f>
        <v>-0.00563851557398642</v>
      </c>
      <c r="D622" s="29" t="n">
        <f aca="false">Panel!D600</f>
        <v>10.1367794349022</v>
      </c>
      <c r="E622" s="30" t="n">
        <f aca="false">Panel!D600-Panel!D599</f>
        <v>-0.000795565457426761</v>
      </c>
      <c r="F622" s="30" t="n">
        <f aca="false">Panel!D599-Panel!D598</f>
        <v>-0.00602334232049984</v>
      </c>
      <c r="G622" s="30" t="n">
        <f aca="false">Panel!D598-Panel!D597</f>
        <v>-0.00321178820740187</v>
      </c>
      <c r="H622" s="30" t="n">
        <f aca="false">Panel!D597-Panel!D596</f>
        <v>0.00334944230646705</v>
      </c>
      <c r="I622" s="30" t="n">
        <f aca="false">Panel!D596-Panel!D595</f>
        <v>0.00300557813760527</v>
      </c>
      <c r="L622" s="30" t="n">
        <f aca="false">Panel!E596-Panel!E595</f>
        <v>0.00346693628765316</v>
      </c>
      <c r="M622" s="29" t="n">
        <f aca="false">Panel!E595</f>
        <v>5.65269968442689</v>
      </c>
    </row>
    <row r="623" customFormat="false" ht="15" hidden="false" customHeight="false" outlineLevel="0" collapsed="false">
      <c r="C623" s="0" t="n">
        <f aca="false">Panel!D602-Panel!D601</f>
        <v>-0.00603097184976598</v>
      </c>
      <c r="D623" s="29" t="n">
        <f aca="false">Panel!D601</f>
        <v>10.1311409193282</v>
      </c>
      <c r="E623" s="30" t="n">
        <f aca="false">Panel!D601-Panel!D600</f>
        <v>-0.00563851557398642</v>
      </c>
      <c r="F623" s="30" t="n">
        <f aca="false">Panel!D600-Panel!D599</f>
        <v>-0.000795565457426761</v>
      </c>
      <c r="G623" s="30" t="n">
        <f aca="false">Panel!D599-Panel!D598</f>
        <v>-0.00602334232049984</v>
      </c>
      <c r="H623" s="30" t="n">
        <f aca="false">Panel!D598-Panel!D597</f>
        <v>-0.00321178820740187</v>
      </c>
      <c r="I623" s="30" t="n">
        <f aca="false">Panel!D597-Panel!D596</f>
        <v>0.00334944230646705</v>
      </c>
      <c r="L623" s="30" t="n">
        <f aca="false">Panel!E597-Panel!E596</f>
        <v>0.00192089467953327</v>
      </c>
      <c r="M623" s="29" t="n">
        <f aca="false">Panel!E596</f>
        <v>5.65616662071454</v>
      </c>
    </row>
    <row r="624" customFormat="false" ht="15" hidden="false" customHeight="false" outlineLevel="0" collapsed="false">
      <c r="C624" s="0" t="n">
        <f aca="false">Panel!D603-Panel!D602</f>
        <v>-0.0106809879111314</v>
      </c>
      <c r="D624" s="29" t="n">
        <f aca="false">Panel!D602</f>
        <v>10.1251099474784</v>
      </c>
      <c r="E624" s="30" t="n">
        <f aca="false">Panel!D602-Panel!D601</f>
        <v>-0.00603097184976598</v>
      </c>
      <c r="F624" s="30" t="n">
        <f aca="false">Panel!D601-Panel!D600</f>
        <v>-0.00563851557398642</v>
      </c>
      <c r="G624" s="30" t="n">
        <f aca="false">Panel!D600-Panel!D599</f>
        <v>-0.000795565457426761</v>
      </c>
      <c r="H624" s="30" t="n">
        <f aca="false">Panel!D599-Panel!D598</f>
        <v>-0.00602334232049984</v>
      </c>
      <c r="I624" s="30" t="n">
        <f aca="false">Panel!D598-Panel!D597</f>
        <v>-0.00321178820740187</v>
      </c>
      <c r="L624" s="30" t="n">
        <f aca="false">Panel!E598-Panel!E597</f>
        <v>-0.00241043941271801</v>
      </c>
      <c r="M624" s="29" t="n">
        <f aca="false">Panel!E597</f>
        <v>5.65808751539407</v>
      </c>
    </row>
    <row r="625" customFormat="false" ht="15" hidden="false" customHeight="false" outlineLevel="0" collapsed="false">
      <c r="C625" s="0" t="n">
        <f aca="false">Panel!D604-Panel!D603</f>
        <v>6.47836227223309E-005</v>
      </c>
      <c r="D625" s="29" t="n">
        <f aca="false">Panel!D603</f>
        <v>10.1144289595673</v>
      </c>
      <c r="E625" s="30" t="n">
        <f aca="false">Panel!D603-Panel!D602</f>
        <v>-0.0106809879111314</v>
      </c>
      <c r="F625" s="30" t="n">
        <f aca="false">Panel!D602-Panel!D601</f>
        <v>-0.00603097184976598</v>
      </c>
      <c r="G625" s="30" t="n">
        <f aca="false">Panel!D601-Panel!D600</f>
        <v>-0.00563851557398642</v>
      </c>
      <c r="H625" s="30" t="n">
        <f aca="false">Panel!D600-Panel!D599</f>
        <v>-0.000795565457426761</v>
      </c>
      <c r="I625" s="30" t="n">
        <f aca="false">Panel!D599-Panel!D598</f>
        <v>-0.00602334232049984</v>
      </c>
      <c r="L625" s="30" t="n">
        <f aca="false">Panel!E599-Panel!E598</f>
        <v>-0.00511958478469676</v>
      </c>
      <c r="M625" s="29" t="n">
        <f aca="false">Panel!E598</f>
        <v>5.65567707598135</v>
      </c>
    </row>
    <row r="626" customFormat="false" ht="15" hidden="false" customHeight="false" outlineLevel="0" collapsed="false">
      <c r="C626" s="0" t="n">
        <f aca="false">Panel!D605-Panel!D604</f>
        <v>-0.00359779004578975</v>
      </c>
      <c r="D626" s="29" t="n">
        <f aca="false">Panel!D604</f>
        <v>10.11449374319</v>
      </c>
      <c r="E626" s="30" t="n">
        <f aca="false">Panel!D604-Panel!D603</f>
        <v>6.47836227223309E-005</v>
      </c>
      <c r="F626" s="30" t="n">
        <f aca="false">Panel!D603-Panel!D602</f>
        <v>-0.0106809879111314</v>
      </c>
      <c r="G626" s="30" t="n">
        <f aca="false">Panel!D602-Panel!D601</f>
        <v>-0.00603097184976598</v>
      </c>
      <c r="H626" s="30" t="n">
        <f aca="false">Panel!D601-Panel!D600</f>
        <v>-0.00563851557398642</v>
      </c>
      <c r="I626" s="30" t="n">
        <f aca="false">Panel!D600-Panel!D599</f>
        <v>-0.000795565457426761</v>
      </c>
      <c r="L626" s="30" t="n">
        <f aca="false">Panel!E600-Panel!E599</f>
        <v>0.000351493852476459</v>
      </c>
      <c r="M626" s="29" t="n">
        <f aca="false">Panel!E599</f>
        <v>5.65055749119666</v>
      </c>
    </row>
    <row r="627" customFormat="false" ht="15" hidden="false" customHeight="false" outlineLevel="0" collapsed="false">
      <c r="C627" s="0" t="n">
        <f aca="false">Panel!D606-Panel!D605</f>
        <v>0.0150509166714112</v>
      </c>
      <c r="D627" s="29" t="n">
        <f aca="false">Panel!D605</f>
        <v>10.1108959531442</v>
      </c>
      <c r="E627" s="30" t="n">
        <f aca="false">Panel!D605-Panel!D604</f>
        <v>-0.00359779004578975</v>
      </c>
      <c r="F627" s="30" t="n">
        <f aca="false">Panel!D604-Panel!D603</f>
        <v>6.47836227223309E-005</v>
      </c>
      <c r="G627" s="30" t="n">
        <f aca="false">Panel!D603-Panel!D602</f>
        <v>-0.0106809879111314</v>
      </c>
      <c r="H627" s="30" t="n">
        <f aca="false">Panel!D602-Panel!D601</f>
        <v>-0.00603097184976598</v>
      </c>
      <c r="I627" s="30" t="n">
        <f aca="false">Panel!D601-Panel!D600</f>
        <v>-0.00563851557398642</v>
      </c>
      <c r="L627" s="30" t="n">
        <f aca="false">Panel!E601-Panel!E600</f>
        <v>-0.00553276128132652</v>
      </c>
      <c r="M627" s="29" t="n">
        <f aca="false">Panel!E600</f>
        <v>5.65090898504913</v>
      </c>
    </row>
    <row r="628" customFormat="false" ht="15" hidden="false" customHeight="false" outlineLevel="0" collapsed="false">
      <c r="C628" s="0" t="n">
        <f aca="false">Panel!D607-Panel!D606</f>
        <v>0.000968193714358634</v>
      </c>
      <c r="D628" s="29" t="n">
        <f aca="false">Panel!D606</f>
        <v>10.1259468698156</v>
      </c>
      <c r="E628" s="30" t="n">
        <f aca="false">Panel!D606-Panel!D605</f>
        <v>0.0150509166714112</v>
      </c>
      <c r="F628" s="30" t="n">
        <f aca="false">Panel!D605-Panel!D604</f>
        <v>-0.00359779004578975</v>
      </c>
      <c r="G628" s="30" t="n">
        <f aca="false">Panel!D604-Panel!D603</f>
        <v>6.47836227223309E-005</v>
      </c>
      <c r="H628" s="30" t="n">
        <f aca="false">Panel!D603-Panel!D602</f>
        <v>-0.0106809879111314</v>
      </c>
      <c r="I628" s="30" t="n">
        <f aca="false">Panel!D602-Panel!D601</f>
        <v>-0.00603097184976598</v>
      </c>
      <c r="L628" s="30" t="n">
        <f aca="false">Panel!E602-Panel!E601</f>
        <v>-0.00570569457885028</v>
      </c>
      <c r="M628" s="29" t="n">
        <f aca="false">Panel!E601</f>
        <v>5.64537622376781</v>
      </c>
    </row>
    <row r="629" customFormat="false" ht="15" hidden="false" customHeight="false" outlineLevel="0" collapsed="false">
      <c r="C629" s="0" t="n">
        <f aca="false">Panel!D608-Panel!D607</f>
        <v>0.00702923361459185</v>
      </c>
      <c r="D629" s="29" t="n">
        <f aca="false">Panel!D607</f>
        <v>10.12691506353</v>
      </c>
      <c r="E629" s="30" t="n">
        <f aca="false">Panel!D607-Panel!D606</f>
        <v>0.000968193714358634</v>
      </c>
      <c r="F629" s="30" t="n">
        <f aca="false">Panel!D606-Panel!D605</f>
        <v>0.0150509166714112</v>
      </c>
      <c r="G629" s="30" t="n">
        <f aca="false">Panel!D605-Panel!D604</f>
        <v>-0.00359779004578975</v>
      </c>
      <c r="H629" s="30" t="n">
        <f aca="false">Panel!D604-Panel!D603</f>
        <v>6.47836227223309E-005</v>
      </c>
      <c r="I629" s="30" t="n">
        <f aca="false">Panel!D603-Panel!D602</f>
        <v>-0.0106809879111314</v>
      </c>
      <c r="L629" s="30" t="n">
        <f aca="false">Panel!E603-Panel!E602</f>
        <v>-0.00856628003074089</v>
      </c>
      <c r="M629" s="29" t="n">
        <f aca="false">Panel!E602</f>
        <v>5.63967052918896</v>
      </c>
    </row>
    <row r="630" customFormat="false" ht="15" hidden="false" customHeight="false" outlineLevel="0" collapsed="false">
      <c r="C630" s="0" t="n">
        <f aca="false">Panel!D609-Panel!D608</f>
        <v>0.00184870801815862</v>
      </c>
      <c r="D630" s="29" t="n">
        <f aca="false">Panel!D608</f>
        <v>10.1339442971446</v>
      </c>
      <c r="E630" s="30" t="n">
        <f aca="false">Panel!D608-Panel!D607</f>
        <v>0.00702923361459185</v>
      </c>
      <c r="F630" s="30" t="n">
        <f aca="false">Panel!D607-Panel!D606</f>
        <v>0.000968193714358634</v>
      </c>
      <c r="G630" s="30" t="n">
        <f aca="false">Panel!D606-Panel!D605</f>
        <v>0.0150509166714112</v>
      </c>
      <c r="H630" s="30" t="n">
        <f aca="false">Panel!D605-Panel!D604</f>
        <v>-0.00359779004578975</v>
      </c>
      <c r="I630" s="30" t="n">
        <f aca="false">Panel!D604-Panel!D603</f>
        <v>6.47836227223309E-005</v>
      </c>
      <c r="L630" s="30" t="n">
        <f aca="false">Panel!E604-Panel!E603</f>
        <v>0.000358397251345899</v>
      </c>
      <c r="M630" s="29" t="n">
        <f aca="false">Panel!E603</f>
        <v>5.63110424915822</v>
      </c>
    </row>
    <row r="631" customFormat="false" ht="15" hidden="false" customHeight="false" outlineLevel="0" collapsed="false">
      <c r="C631" s="0" t="n">
        <f aca="false">Panel!D610-Panel!D609</f>
        <v>-0.00457244897857656</v>
      </c>
      <c r="D631" s="29" t="n">
        <f aca="false">Panel!D609</f>
        <v>10.1357930051627</v>
      </c>
      <c r="E631" s="30" t="n">
        <f aca="false">Panel!D609-Panel!D608</f>
        <v>0.00184870801815862</v>
      </c>
      <c r="F631" s="30" t="n">
        <f aca="false">Panel!D608-Panel!D607</f>
        <v>0.00702923361459185</v>
      </c>
      <c r="G631" s="30" t="n">
        <f aca="false">Panel!D607-Panel!D606</f>
        <v>0.000968193714358634</v>
      </c>
      <c r="H631" s="30" t="n">
        <f aca="false">Panel!D606-Panel!D605</f>
        <v>0.0150509166714112</v>
      </c>
      <c r="I631" s="30" t="n">
        <f aca="false">Panel!D605-Panel!D604</f>
        <v>-0.00359779004578975</v>
      </c>
      <c r="L631" s="30" t="n">
        <f aca="false">Panel!E605-Panel!E604</f>
        <v>-0.00391347775294904</v>
      </c>
      <c r="M631" s="29" t="n">
        <f aca="false">Panel!E604</f>
        <v>5.63146264640956</v>
      </c>
    </row>
    <row r="632" customFormat="false" ht="15" hidden="false" customHeight="false" outlineLevel="0" collapsed="false">
      <c r="C632" s="0" t="n">
        <f aca="false">Panel!D611-Panel!D610</f>
        <v>0.00635048770452684</v>
      </c>
      <c r="D632" s="29" t="n">
        <f aca="false">Panel!D610</f>
        <v>10.1312205561841</v>
      </c>
      <c r="E632" s="30" t="n">
        <f aca="false">Panel!D610-Panel!D609</f>
        <v>-0.00457244897857656</v>
      </c>
      <c r="F632" s="30" t="n">
        <f aca="false">Panel!D609-Panel!D608</f>
        <v>0.00184870801815862</v>
      </c>
      <c r="G632" s="30" t="n">
        <f aca="false">Panel!D608-Panel!D607</f>
        <v>0.00702923361459185</v>
      </c>
      <c r="H632" s="30" t="n">
        <f aca="false">Panel!D607-Panel!D606</f>
        <v>0.000968193714358634</v>
      </c>
      <c r="I632" s="30" t="n">
        <f aca="false">Panel!D606-Panel!D605</f>
        <v>0.0150509166714112</v>
      </c>
      <c r="L632" s="30" t="n">
        <f aca="false">Panel!E606-Panel!E605</f>
        <v>0.00930972063401381</v>
      </c>
      <c r="M632" s="29" t="n">
        <f aca="false">Panel!E605</f>
        <v>5.62754916865661</v>
      </c>
    </row>
    <row r="633" customFormat="false" ht="15" hidden="false" customHeight="false" outlineLevel="0" collapsed="false">
      <c r="C633" s="0" t="n">
        <f aca="false">Panel!D612-Panel!D611</f>
        <v>0.00552378599233094</v>
      </c>
      <c r="D633" s="29" t="n">
        <f aca="false">Panel!D611</f>
        <v>10.1375710438887</v>
      </c>
      <c r="E633" s="30" t="n">
        <f aca="false">Panel!D611-Panel!D610</f>
        <v>0.00635048770452684</v>
      </c>
      <c r="F633" s="30" t="n">
        <f aca="false">Panel!D610-Panel!D609</f>
        <v>-0.00457244897857656</v>
      </c>
      <c r="G633" s="30" t="n">
        <f aca="false">Panel!D609-Panel!D608</f>
        <v>0.00184870801815862</v>
      </c>
      <c r="H633" s="30" t="n">
        <f aca="false">Panel!D608-Panel!D607</f>
        <v>0.00702923361459185</v>
      </c>
      <c r="I633" s="30" t="n">
        <f aca="false">Panel!D607-Panel!D606</f>
        <v>0.000968193714358634</v>
      </c>
      <c r="L633" s="30" t="n">
        <f aca="false">Panel!E607-Panel!E606</f>
        <v>0.00256282620518533</v>
      </c>
      <c r="M633" s="29" t="n">
        <f aca="false">Panel!E606</f>
        <v>5.63685888929063</v>
      </c>
    </row>
    <row r="634" customFormat="false" ht="15" hidden="false" customHeight="false" outlineLevel="0" collapsed="false">
      <c r="C634" s="0" t="n">
        <f aca="false">Panel!D613-Panel!D612</f>
        <v>-0.00366596780080464</v>
      </c>
      <c r="D634" s="29" t="n">
        <f aca="false">Panel!D612</f>
        <v>10.143094829881</v>
      </c>
      <c r="E634" s="30" t="n">
        <f aca="false">Panel!D612-Panel!D611</f>
        <v>0.00552378599233094</v>
      </c>
      <c r="F634" s="30" t="n">
        <f aca="false">Panel!D611-Panel!D610</f>
        <v>0.00635048770452684</v>
      </c>
      <c r="G634" s="30" t="n">
        <f aca="false">Panel!D610-Panel!D609</f>
        <v>-0.00457244897857656</v>
      </c>
      <c r="H634" s="30" t="n">
        <f aca="false">Panel!D609-Panel!D608</f>
        <v>0.00184870801815862</v>
      </c>
      <c r="I634" s="30" t="n">
        <f aca="false">Panel!D608-Panel!D607</f>
        <v>0.00702923361459185</v>
      </c>
      <c r="L634" s="30" t="n">
        <f aca="false">Panel!E608-Panel!E607</f>
        <v>0.00570711036654625</v>
      </c>
      <c r="M634" s="29" t="n">
        <f aca="false">Panel!E607</f>
        <v>5.63942171549581</v>
      </c>
    </row>
    <row r="635" customFormat="false" ht="15" hidden="false" customHeight="false" outlineLevel="0" collapsed="false">
      <c r="C635" s="0" t="n">
        <f aca="false">Panel!D614-Panel!D613</f>
        <v>-0.00522649273354148</v>
      </c>
      <c r="D635" s="29" t="n">
        <f aca="false">Panel!D613</f>
        <v>10.1394288620802</v>
      </c>
      <c r="E635" s="30" t="n">
        <f aca="false">Panel!D613-Panel!D612</f>
        <v>-0.00366596780080464</v>
      </c>
      <c r="F635" s="30" t="n">
        <f aca="false">Panel!D612-Panel!D611</f>
        <v>0.00552378599233094</v>
      </c>
      <c r="G635" s="30" t="n">
        <f aca="false">Panel!D611-Panel!D610</f>
        <v>0.00635048770452684</v>
      </c>
      <c r="H635" s="30" t="n">
        <f aca="false">Panel!D610-Panel!D609</f>
        <v>-0.00457244897857656</v>
      </c>
      <c r="I635" s="30" t="n">
        <f aca="false">Panel!D609-Panel!D608</f>
        <v>0.00184870801815862</v>
      </c>
      <c r="L635" s="30" t="n">
        <f aca="false">Panel!E609-Panel!E608</f>
        <v>0.00261225791021857</v>
      </c>
      <c r="M635" s="29" t="n">
        <f aca="false">Panel!E608</f>
        <v>5.64512882586236</v>
      </c>
    </row>
    <row r="636" customFormat="false" ht="15" hidden="false" customHeight="false" outlineLevel="0" collapsed="false">
      <c r="C636" s="0" t="n">
        <f aca="false">Panel!D615-Panel!D614</f>
        <v>0.00962404413073159</v>
      </c>
      <c r="D636" s="29" t="n">
        <f aca="false">Panel!D614</f>
        <v>10.1342023693467</v>
      </c>
      <c r="E636" s="30" t="n">
        <f aca="false">Panel!D614-Panel!D613</f>
        <v>-0.00522649273354148</v>
      </c>
      <c r="F636" s="30" t="n">
        <f aca="false">Panel!D613-Panel!D612</f>
        <v>-0.00366596780080464</v>
      </c>
      <c r="G636" s="30" t="n">
        <f aca="false">Panel!D612-Panel!D611</f>
        <v>0.00552378599233094</v>
      </c>
      <c r="H636" s="30" t="n">
        <f aca="false">Panel!D611-Panel!D610</f>
        <v>0.00635048770452684</v>
      </c>
      <c r="I636" s="30" t="n">
        <f aca="false">Panel!D610-Panel!D609</f>
        <v>-0.00457244897857656</v>
      </c>
      <c r="L636" s="30" t="n">
        <f aca="false">Panel!E610-Panel!E609</f>
        <v>-0.00413333215244549</v>
      </c>
      <c r="M636" s="29" t="n">
        <f aca="false">Panel!E609</f>
        <v>5.64774108377258</v>
      </c>
    </row>
    <row r="637" customFormat="false" ht="15" hidden="false" customHeight="false" outlineLevel="0" collapsed="false">
      <c r="C637" s="0" t="n">
        <f aca="false">Panel!D616-Panel!D615</f>
        <v>0.00851921965293911</v>
      </c>
      <c r="D637" s="29" t="n">
        <f aca="false">Panel!D615</f>
        <v>10.1438264134774</v>
      </c>
      <c r="E637" s="30" t="n">
        <f aca="false">Panel!D615-Panel!D614</f>
        <v>0.00962404413073159</v>
      </c>
      <c r="F637" s="30" t="n">
        <f aca="false">Panel!D614-Panel!D613</f>
        <v>-0.00522649273354148</v>
      </c>
      <c r="G637" s="30" t="n">
        <f aca="false">Panel!D613-Panel!D612</f>
        <v>-0.00366596780080464</v>
      </c>
      <c r="H637" s="30" t="n">
        <f aca="false">Panel!D612-Panel!D611</f>
        <v>0.00552378599233094</v>
      </c>
      <c r="I637" s="30" t="n">
        <f aca="false">Panel!D611-Panel!D610</f>
        <v>0.00635048770452684</v>
      </c>
      <c r="L637" s="30" t="n">
        <f aca="false">Panel!E611-Panel!E610</f>
        <v>0.00554252738300498</v>
      </c>
      <c r="M637" s="29" t="n">
        <f aca="false">Panel!E610</f>
        <v>5.64360775162013</v>
      </c>
    </row>
    <row r="638" customFormat="false" ht="15" hidden="false" customHeight="false" outlineLevel="0" collapsed="false">
      <c r="C638" s="0" t="n">
        <f aca="false">Panel!D617-Panel!D616</f>
        <v>0.00389087381746656</v>
      </c>
      <c r="D638" s="29" t="n">
        <f aca="false">Panel!D616</f>
        <v>10.1523456331303</v>
      </c>
      <c r="E638" s="30" t="n">
        <f aca="false">Panel!D616-Panel!D615</f>
        <v>0.00851921965293911</v>
      </c>
      <c r="F638" s="30" t="n">
        <f aca="false">Panel!D615-Panel!D614</f>
        <v>0.00962404413073159</v>
      </c>
      <c r="G638" s="30" t="n">
        <f aca="false">Panel!D614-Panel!D613</f>
        <v>-0.00522649273354148</v>
      </c>
      <c r="H638" s="30" t="n">
        <f aca="false">Panel!D613-Panel!D612</f>
        <v>-0.00366596780080464</v>
      </c>
      <c r="I638" s="30" t="n">
        <f aca="false">Panel!D612-Panel!D611</f>
        <v>0.00552378599233094</v>
      </c>
      <c r="L638" s="30" t="n">
        <f aca="false">Panel!E612-Panel!E611</f>
        <v>0.00463630488737543</v>
      </c>
      <c r="M638" s="29" t="n">
        <f aca="false">Panel!E611</f>
        <v>5.64915027900314</v>
      </c>
    </row>
    <row r="639" customFormat="false" ht="15" hidden="false" customHeight="false" outlineLevel="0" collapsed="false">
      <c r="C639" s="0" t="n">
        <f aca="false">Panel!D618-Panel!D617</f>
        <v>0.00699649934709257</v>
      </c>
      <c r="D639" s="29" t="n">
        <f aca="false">Panel!D617</f>
        <v>10.1562365069478</v>
      </c>
      <c r="E639" s="30" t="n">
        <f aca="false">Panel!D617-Panel!D616</f>
        <v>0.00389087381746656</v>
      </c>
      <c r="F639" s="30" t="n">
        <f aca="false">Panel!D616-Panel!D615</f>
        <v>0.00851921965293911</v>
      </c>
      <c r="G639" s="30" t="n">
        <f aca="false">Panel!D615-Panel!D614</f>
        <v>0.00962404413073159</v>
      </c>
      <c r="H639" s="30" t="n">
        <f aca="false">Panel!D614-Panel!D613</f>
        <v>-0.00522649273354148</v>
      </c>
      <c r="I639" s="30" t="n">
        <f aca="false">Panel!D613-Panel!D612</f>
        <v>-0.00366596780080464</v>
      </c>
      <c r="L639" s="30" t="n">
        <f aca="false">Panel!E613-Panel!E612</f>
        <v>-0.00178875238407095</v>
      </c>
      <c r="M639" s="29" t="n">
        <f aca="false">Panel!E612</f>
        <v>5.65378658389051</v>
      </c>
    </row>
    <row r="640" customFormat="false" ht="15" hidden="false" customHeight="false" outlineLevel="0" collapsed="false">
      <c r="C640" s="0" t="n">
        <f aca="false">Panel!D619-Panel!D618</f>
        <v>-0.00254836231969691</v>
      </c>
      <c r="D640" s="29" t="n">
        <f aca="false">Panel!D618</f>
        <v>10.1632330062949</v>
      </c>
      <c r="E640" s="30" t="n">
        <f aca="false">Panel!D618-Panel!D617</f>
        <v>0.00699649934709257</v>
      </c>
      <c r="F640" s="30" t="n">
        <f aca="false">Panel!D617-Panel!D616</f>
        <v>0.00389087381746656</v>
      </c>
      <c r="G640" s="30" t="n">
        <f aca="false">Panel!D616-Panel!D615</f>
        <v>0.00851921965293911</v>
      </c>
      <c r="H640" s="30" t="n">
        <f aca="false">Panel!D615-Panel!D614</f>
        <v>0.00962404413073159</v>
      </c>
      <c r="I640" s="30" t="n">
        <f aca="false">Panel!D614-Panel!D613</f>
        <v>-0.00522649273354148</v>
      </c>
      <c r="L640" s="30" t="n">
        <f aca="false">Panel!E614-Panel!E613</f>
        <v>-0.00425674773386398</v>
      </c>
      <c r="M640" s="29" t="n">
        <f aca="false">Panel!E613</f>
        <v>5.65199783150644</v>
      </c>
    </row>
    <row r="641" customFormat="false" ht="15" hidden="false" customHeight="false" outlineLevel="0" collapsed="false">
      <c r="C641" s="0" t="n">
        <f aca="false">Panel!D620-Panel!D619</f>
        <v>0.00324224461884448</v>
      </c>
      <c r="D641" s="29" t="n">
        <f aca="false">Panel!D619</f>
        <v>10.1606846439752</v>
      </c>
      <c r="E641" s="30" t="n">
        <f aca="false">Panel!D619-Panel!D618</f>
        <v>-0.00254836231969691</v>
      </c>
      <c r="F641" s="30" t="n">
        <f aca="false">Panel!D618-Panel!D617</f>
        <v>0.00699649934709257</v>
      </c>
      <c r="G641" s="30" t="n">
        <f aca="false">Panel!D617-Panel!D616</f>
        <v>0.00389087381746656</v>
      </c>
      <c r="H641" s="30" t="n">
        <f aca="false">Panel!D616-Panel!D615</f>
        <v>0.00851921965293911</v>
      </c>
      <c r="I641" s="30" t="n">
        <f aca="false">Panel!D615-Panel!D614</f>
        <v>0.00962404413073159</v>
      </c>
      <c r="L641" s="30" t="n">
        <f aca="false">Panel!E615-Panel!E614</f>
        <v>0.00825072704727603</v>
      </c>
      <c r="M641" s="29" t="n">
        <f aca="false">Panel!E614</f>
        <v>5.64774108377258</v>
      </c>
    </row>
    <row r="642" customFormat="false" ht="15" hidden="false" customHeight="false" outlineLevel="0" collapsed="false">
      <c r="C642" s="0" t="n">
        <f aca="false">Panel!D621-Panel!D620</f>
        <v>-0.00526625086711441</v>
      </c>
      <c r="D642" s="29" t="n">
        <f aca="false">Panel!D620</f>
        <v>10.163926888594</v>
      </c>
      <c r="E642" s="30" t="n">
        <f aca="false">Panel!D620-Panel!D619</f>
        <v>0.00324224461884448</v>
      </c>
      <c r="F642" s="30" t="n">
        <f aca="false">Panel!D619-Panel!D618</f>
        <v>-0.00254836231969691</v>
      </c>
      <c r="G642" s="30" t="n">
        <f aca="false">Panel!D618-Panel!D617</f>
        <v>0.00699649934709257</v>
      </c>
      <c r="H642" s="30" t="n">
        <f aca="false">Panel!D617-Panel!D616</f>
        <v>0.00389087381746656</v>
      </c>
      <c r="I642" s="30" t="n">
        <f aca="false">Panel!D616-Panel!D615</f>
        <v>0.00851921965293911</v>
      </c>
      <c r="L642" s="30" t="n">
        <f aca="false">Panel!E616-Panel!E615</f>
        <v>0.00873793657264788</v>
      </c>
      <c r="M642" s="29" t="n">
        <f aca="false">Panel!E615</f>
        <v>5.65599181081985</v>
      </c>
    </row>
    <row r="643" customFormat="false" ht="15" hidden="false" customHeight="false" outlineLevel="0" collapsed="false">
      <c r="C643" s="0" t="n">
        <f aca="false">Panel!D622-Panel!D621</f>
        <v>0.00857483696535866</v>
      </c>
      <c r="D643" s="29" t="n">
        <f aca="false">Panel!D621</f>
        <v>10.1586606377269</v>
      </c>
      <c r="E643" s="30" t="n">
        <f aca="false">Panel!D621-Panel!D620</f>
        <v>-0.00526625086711441</v>
      </c>
      <c r="F643" s="30" t="n">
        <f aca="false">Panel!D620-Panel!D619</f>
        <v>0.00324224461884448</v>
      </c>
      <c r="G643" s="30" t="n">
        <f aca="false">Panel!D619-Panel!D618</f>
        <v>-0.00254836231969691</v>
      </c>
      <c r="H643" s="30" t="n">
        <f aca="false">Panel!D618-Panel!D617</f>
        <v>0.00699649934709257</v>
      </c>
      <c r="I643" s="30" t="n">
        <f aca="false">Panel!D617-Panel!D616</f>
        <v>0.00389087381746656</v>
      </c>
      <c r="L643" s="30" t="n">
        <f aca="false">Panel!E617-Panel!E616</f>
        <v>0.00590950867044704</v>
      </c>
      <c r="M643" s="29" t="n">
        <f aca="false">Panel!E616</f>
        <v>5.6647297473925</v>
      </c>
    </row>
    <row r="644" customFormat="false" ht="15" hidden="false" customHeight="false" outlineLevel="0" collapsed="false">
      <c r="C644" s="0" t="n">
        <f aca="false">Panel!D623-Panel!D622</f>
        <v>-0.00390221119903345</v>
      </c>
      <c r="D644" s="29" t="n">
        <f aca="false">Panel!D622</f>
        <v>10.1672354746923</v>
      </c>
      <c r="E644" s="30" t="n">
        <f aca="false">Panel!D622-Panel!D621</f>
        <v>0.00857483696535866</v>
      </c>
      <c r="F644" s="30" t="n">
        <f aca="false">Panel!D621-Panel!D620</f>
        <v>-0.00526625086711441</v>
      </c>
      <c r="G644" s="30" t="n">
        <f aca="false">Panel!D620-Panel!D619</f>
        <v>0.00324224461884448</v>
      </c>
      <c r="H644" s="30" t="n">
        <f aca="false">Panel!D619-Panel!D618</f>
        <v>-0.00254836231969691</v>
      </c>
      <c r="I644" s="30" t="n">
        <f aca="false">Panel!D618-Panel!D617</f>
        <v>0.00699649934709257</v>
      </c>
      <c r="L644" s="30" t="n">
        <f aca="false">Panel!E618-Panel!E617</f>
        <v>0.00611454620533447</v>
      </c>
      <c r="M644" s="29" t="n">
        <f aca="false">Panel!E617</f>
        <v>5.67063925606295</v>
      </c>
    </row>
    <row r="645" customFormat="false" ht="15" hidden="false" customHeight="false" outlineLevel="0" collapsed="false">
      <c r="C645" s="0" t="n">
        <f aca="false">Panel!D624-Panel!D623</f>
        <v>0.0124688843635425</v>
      </c>
      <c r="D645" s="29" t="n">
        <f aca="false">Panel!D623</f>
        <v>10.1633332634932</v>
      </c>
      <c r="E645" s="30" t="n">
        <f aca="false">Panel!D623-Panel!D622</f>
        <v>-0.00390221119903345</v>
      </c>
      <c r="F645" s="30" t="n">
        <f aca="false">Panel!D622-Panel!D621</f>
        <v>0.00857483696535866</v>
      </c>
      <c r="G645" s="30" t="n">
        <f aca="false">Panel!D621-Panel!D620</f>
        <v>-0.00526625086711441</v>
      </c>
      <c r="H645" s="30" t="n">
        <f aca="false">Panel!D620-Panel!D619</f>
        <v>0.00324224461884448</v>
      </c>
      <c r="I645" s="30" t="n">
        <f aca="false">Panel!D619-Panel!D618</f>
        <v>-0.00254836231969691</v>
      </c>
      <c r="L645" s="30" t="n">
        <f aca="false">Panel!E619-Panel!E618</f>
        <v>-0.00130221738014225</v>
      </c>
      <c r="M645" s="29" t="n">
        <f aca="false">Panel!E618</f>
        <v>5.67675380226828</v>
      </c>
    </row>
    <row r="646" customFormat="false" ht="15" hidden="false" customHeight="false" outlineLevel="0" collapsed="false">
      <c r="C646" s="0" t="n">
        <f aca="false">Panel!D625-Panel!D624</f>
        <v>-0.00851290290943396</v>
      </c>
      <c r="D646" s="29" t="n">
        <f aca="false">Panel!D624</f>
        <v>10.1758021478568</v>
      </c>
      <c r="E646" s="30" t="n">
        <f aca="false">Panel!D624-Panel!D623</f>
        <v>0.0124688843635425</v>
      </c>
      <c r="F646" s="30" t="n">
        <f aca="false">Panel!D623-Panel!D622</f>
        <v>-0.00390221119903345</v>
      </c>
      <c r="G646" s="30" t="n">
        <f aca="false">Panel!D622-Panel!D621</f>
        <v>0.00857483696535866</v>
      </c>
      <c r="H646" s="30" t="n">
        <f aca="false">Panel!D621-Panel!D620</f>
        <v>-0.00526625086711441</v>
      </c>
      <c r="I646" s="30" t="n">
        <f aca="false">Panel!D620-Panel!D619</f>
        <v>0.00324224461884448</v>
      </c>
      <c r="L646" s="30" t="n">
        <f aca="false">Panel!E620-Panel!E619</f>
        <v>0.00335490369788438</v>
      </c>
      <c r="M646" s="29" t="n">
        <f aca="false">Panel!E619</f>
        <v>5.67545158488814</v>
      </c>
    </row>
    <row r="647" customFormat="false" ht="15" hidden="false" customHeight="false" outlineLevel="0" collapsed="false">
      <c r="C647" s="0" t="n">
        <f aca="false">Panel!D626-Panel!D625</f>
        <v>-0.0050169035527059</v>
      </c>
      <c r="D647" s="29" t="n">
        <f aca="false">Panel!D625</f>
        <v>10.1672892449474</v>
      </c>
      <c r="E647" s="30" t="n">
        <f aca="false">Panel!D625-Panel!D624</f>
        <v>-0.00851290290943396</v>
      </c>
      <c r="F647" s="30" t="n">
        <f aca="false">Panel!D624-Panel!D623</f>
        <v>0.0124688843635425</v>
      </c>
      <c r="G647" s="30" t="n">
        <f aca="false">Panel!D623-Panel!D622</f>
        <v>-0.00390221119903345</v>
      </c>
      <c r="H647" s="30" t="n">
        <f aca="false">Panel!D622-Panel!D621</f>
        <v>0.00857483696535866</v>
      </c>
      <c r="I647" s="30" t="n">
        <f aca="false">Panel!D621-Panel!D620</f>
        <v>-0.00526625086711441</v>
      </c>
      <c r="L647" s="30" t="n">
        <f aca="false">Panel!E621-Panel!E620</f>
        <v>-0.00479617226349305</v>
      </c>
      <c r="M647" s="29" t="n">
        <f aca="false">Panel!E620</f>
        <v>5.67880648858602</v>
      </c>
    </row>
    <row r="648" customFormat="false" ht="15" hidden="false" customHeight="false" outlineLevel="0" collapsed="false">
      <c r="C648" s="0" t="n">
        <f aca="false">Panel!D627-Panel!D626</f>
        <v>-0.000104223965815109</v>
      </c>
      <c r="D648" s="29" t="n">
        <f aca="false">Panel!D626</f>
        <v>10.1622723413946</v>
      </c>
      <c r="E648" s="30" t="n">
        <f aca="false">Panel!D626-Panel!D625</f>
        <v>-0.0050169035527059</v>
      </c>
      <c r="F648" s="30" t="n">
        <f aca="false">Panel!D625-Panel!D624</f>
        <v>-0.00851290290943396</v>
      </c>
      <c r="G648" s="30" t="n">
        <f aca="false">Panel!D624-Panel!D623</f>
        <v>0.0124688843635425</v>
      </c>
      <c r="H648" s="30" t="n">
        <f aca="false">Panel!D623-Panel!D622</f>
        <v>-0.00390221119903345</v>
      </c>
      <c r="I648" s="30" t="n">
        <f aca="false">Panel!D622-Panel!D621</f>
        <v>0.00857483696535866</v>
      </c>
      <c r="L648" s="30" t="n">
        <f aca="false">Panel!E622-Panel!E621</f>
        <v>0.00786732294562054</v>
      </c>
      <c r="M648" s="29" t="n">
        <f aca="false">Panel!E621</f>
        <v>5.67401031632253</v>
      </c>
    </row>
    <row r="649" customFormat="false" ht="15" hidden="false" customHeight="false" outlineLevel="0" collapsed="false">
      <c r="C649" s="0" t="n">
        <f aca="false">Panel!D628-Panel!D627</f>
        <v>-0.00810474264742567</v>
      </c>
      <c r="D649" s="29" t="n">
        <f aca="false">Panel!D627</f>
        <v>10.1621681174288</v>
      </c>
      <c r="E649" s="30" t="n">
        <f aca="false">Panel!D627-Panel!D626</f>
        <v>-0.000104223965815109</v>
      </c>
      <c r="F649" s="30" t="n">
        <f aca="false">Panel!D626-Panel!D625</f>
        <v>-0.0050169035527059</v>
      </c>
      <c r="G649" s="30" t="n">
        <f aca="false">Panel!D625-Panel!D624</f>
        <v>-0.00851290290943396</v>
      </c>
      <c r="H649" s="30" t="n">
        <f aca="false">Panel!D624-Panel!D623</f>
        <v>0.0124688843635425</v>
      </c>
      <c r="I649" s="30" t="n">
        <f aca="false">Panel!D623-Panel!D622</f>
        <v>-0.00390221119903345</v>
      </c>
      <c r="L649" s="30" t="n">
        <f aca="false">Panel!E623-Panel!E622</f>
        <v>-0.00119321585792775</v>
      </c>
      <c r="M649" s="29" t="n">
        <f aca="false">Panel!E622</f>
        <v>5.68187763926815</v>
      </c>
    </row>
    <row r="650" customFormat="false" ht="15" hidden="false" customHeight="false" outlineLevel="0" collapsed="false">
      <c r="C650" s="0" t="n">
        <f aca="false">Panel!D629-Panel!D628</f>
        <v>-0.00224027086026268</v>
      </c>
      <c r="D650" s="29" t="n">
        <f aca="false">Panel!D628</f>
        <v>10.1540633747814</v>
      </c>
      <c r="E650" s="30" t="n">
        <f aca="false">Panel!D628-Panel!D627</f>
        <v>-0.00810474264742567</v>
      </c>
      <c r="F650" s="30" t="n">
        <f aca="false">Panel!D627-Panel!D626</f>
        <v>-0.000104223965815109</v>
      </c>
      <c r="G650" s="30" t="n">
        <f aca="false">Panel!D626-Panel!D625</f>
        <v>-0.0050169035527059</v>
      </c>
      <c r="H650" s="30" t="n">
        <f aca="false">Panel!D625-Panel!D624</f>
        <v>-0.00851290290943396</v>
      </c>
      <c r="I650" s="30" t="n">
        <f aca="false">Panel!D624-Panel!D623</f>
        <v>0.0124688843635425</v>
      </c>
      <c r="L650" s="30" t="n">
        <f aca="false">Panel!E624-Panel!E623</f>
        <v>0.00459457968141752</v>
      </c>
      <c r="M650" s="29" t="n">
        <f aca="false">Panel!E623</f>
        <v>5.68068442341022</v>
      </c>
    </row>
    <row r="651" customFormat="false" ht="15" hidden="false" customHeight="false" outlineLevel="0" collapsed="false">
      <c r="C651" s="0" t="n">
        <f aca="false">Panel!D630-Panel!D629</f>
        <v>-0.00118645272400464</v>
      </c>
      <c r="D651" s="29" t="n">
        <f aca="false">Panel!D629</f>
        <v>10.1518231039211</v>
      </c>
      <c r="E651" s="30" t="n">
        <f aca="false">Panel!D629-Panel!D628</f>
        <v>-0.00224027086026268</v>
      </c>
      <c r="F651" s="30" t="n">
        <f aca="false">Panel!D628-Panel!D627</f>
        <v>-0.00810474264742567</v>
      </c>
      <c r="G651" s="30" t="n">
        <f aca="false">Panel!D627-Panel!D626</f>
        <v>-0.000104223965815109</v>
      </c>
      <c r="H651" s="30" t="n">
        <f aca="false">Panel!D626-Panel!D625</f>
        <v>-0.0050169035527059</v>
      </c>
      <c r="I651" s="30" t="n">
        <f aca="false">Panel!D625-Panel!D624</f>
        <v>-0.00851290290943396</v>
      </c>
      <c r="L651" s="30" t="n">
        <f aca="false">Panel!E625-Panel!E624</f>
        <v>-0.00596000061381474</v>
      </c>
      <c r="M651" s="29" t="n">
        <f aca="false">Panel!E624</f>
        <v>5.68527900309164</v>
      </c>
    </row>
    <row r="652" customFormat="false" ht="15" hidden="false" customHeight="false" outlineLevel="0" collapsed="false">
      <c r="C652" s="0" t="n">
        <f aca="false">Panel!D631-Panel!D630</f>
        <v>0.00348898984259094</v>
      </c>
      <c r="D652" s="29" t="n">
        <f aca="false">Panel!D630</f>
        <v>10.1506366511971</v>
      </c>
      <c r="E652" s="30" t="n">
        <f aca="false">Panel!D630-Panel!D629</f>
        <v>-0.00118645272400464</v>
      </c>
      <c r="F652" s="30" t="n">
        <f aca="false">Panel!D629-Panel!D628</f>
        <v>-0.00224027086026268</v>
      </c>
      <c r="G652" s="30" t="n">
        <f aca="false">Panel!D628-Panel!D627</f>
        <v>-0.00810474264742567</v>
      </c>
      <c r="H652" s="30" t="n">
        <f aca="false">Panel!D627-Panel!D626</f>
        <v>-0.000104223965815109</v>
      </c>
      <c r="I652" s="30" t="n">
        <f aca="false">Panel!D626-Panel!D625</f>
        <v>-0.0050169035527059</v>
      </c>
      <c r="L652" s="30" t="n">
        <f aca="false">Panel!E626-Panel!E625</f>
        <v>-0.00530868615529556</v>
      </c>
      <c r="M652" s="29" t="n">
        <f aca="false">Panel!E625</f>
        <v>5.67931900247783</v>
      </c>
    </row>
    <row r="653" customFormat="false" ht="15" hidden="false" customHeight="false" outlineLevel="0" collapsed="false">
      <c r="C653" s="0" t="n">
        <f aca="false">Panel!D632-Panel!D631</f>
        <v>0.00523980022334314</v>
      </c>
      <c r="D653" s="29" t="n">
        <f aca="false">Panel!D631</f>
        <v>10.1541256410397</v>
      </c>
      <c r="E653" s="30" t="n">
        <f aca="false">Panel!D631-Panel!D630</f>
        <v>0.00348898984259094</v>
      </c>
      <c r="F653" s="30" t="n">
        <f aca="false">Panel!D630-Panel!D629</f>
        <v>-0.00118645272400464</v>
      </c>
      <c r="G653" s="30" t="n">
        <f aca="false">Panel!D629-Panel!D628</f>
        <v>-0.00224027086026268</v>
      </c>
      <c r="H653" s="30" t="n">
        <f aca="false">Panel!D628-Panel!D627</f>
        <v>-0.00810474264742567</v>
      </c>
      <c r="I653" s="30" t="n">
        <f aca="false">Panel!D627-Panel!D626</f>
        <v>-0.000104223965815109</v>
      </c>
      <c r="L653" s="30" t="n">
        <f aca="false">Panel!E627-Panel!E626</f>
        <v>0.000343347642858483</v>
      </c>
      <c r="M653" s="29" t="n">
        <f aca="false">Panel!E626</f>
        <v>5.67401031632253</v>
      </c>
    </row>
    <row r="654" customFormat="false" ht="15" hidden="false" customHeight="false" outlineLevel="0" collapsed="false">
      <c r="C654" s="0" t="n">
        <f aca="false">Panel!D633-Panel!D632</f>
        <v>0.0056822063291353</v>
      </c>
      <c r="D654" s="29" t="n">
        <f aca="false">Panel!D632</f>
        <v>10.1593654412631</v>
      </c>
      <c r="E654" s="30" t="n">
        <f aca="false">Panel!D632-Panel!D631</f>
        <v>0.00523980022334314</v>
      </c>
      <c r="F654" s="30" t="n">
        <f aca="false">Panel!D631-Panel!D630</f>
        <v>0.00348898984259094</v>
      </c>
      <c r="G654" s="30" t="n">
        <f aca="false">Panel!D630-Panel!D629</f>
        <v>-0.00118645272400464</v>
      </c>
      <c r="H654" s="30" t="n">
        <f aca="false">Panel!D629-Panel!D628</f>
        <v>-0.00224027086026268</v>
      </c>
      <c r="I654" s="30" t="n">
        <f aca="false">Panel!D628-Panel!D627</f>
        <v>-0.00810474264742567</v>
      </c>
      <c r="L654" s="30" t="n">
        <f aca="false">Panel!E628-Panel!E627</f>
        <v>-0.00588753443675572</v>
      </c>
      <c r="M654" s="29" t="n">
        <f aca="false">Panel!E627</f>
        <v>5.67435366396539</v>
      </c>
    </row>
    <row r="655" customFormat="false" ht="15" hidden="false" customHeight="false" outlineLevel="0" collapsed="false">
      <c r="C655" s="0" t="n">
        <f aca="false">Panel!D634-Panel!D633</f>
        <v>-0.00108222409518</v>
      </c>
      <c r="D655" s="29" t="n">
        <f aca="false">Panel!D633</f>
        <v>10.1650476475922</v>
      </c>
      <c r="E655" s="30" t="n">
        <f aca="false">Panel!D633-Panel!D632</f>
        <v>0.0056822063291353</v>
      </c>
      <c r="F655" s="30" t="n">
        <f aca="false">Panel!D632-Panel!D631</f>
        <v>0.00523980022334314</v>
      </c>
      <c r="G655" s="30" t="n">
        <f aca="false">Panel!D631-Panel!D630</f>
        <v>0.00348898984259094</v>
      </c>
      <c r="H655" s="30" t="n">
        <f aca="false">Panel!D630-Panel!D629</f>
        <v>-0.00118645272400464</v>
      </c>
      <c r="I655" s="30" t="n">
        <f aca="false">Panel!D629-Panel!D628</f>
        <v>-0.00224027086026268</v>
      </c>
      <c r="L655" s="30" t="n">
        <f aca="false">Panel!E629-Panel!E628</f>
        <v>-0.00394436882573501</v>
      </c>
      <c r="M655" s="29" t="n">
        <f aca="false">Panel!E628</f>
        <v>5.66846612952863</v>
      </c>
    </row>
    <row r="656" customFormat="false" ht="15" hidden="false" customHeight="false" outlineLevel="0" collapsed="false">
      <c r="C656" s="0" t="n">
        <f aca="false">Panel!D635-Panel!D634</f>
        <v>0.000808890131349216</v>
      </c>
      <c r="D656" s="29" t="n">
        <f aca="false">Panel!D634</f>
        <v>10.163965423497</v>
      </c>
      <c r="E656" s="30" t="n">
        <f aca="false">Panel!D634-Panel!D633</f>
        <v>-0.00108222409518</v>
      </c>
      <c r="F656" s="30" t="n">
        <f aca="false">Panel!D633-Panel!D632</f>
        <v>0.0056822063291353</v>
      </c>
      <c r="G656" s="30" t="n">
        <f aca="false">Panel!D632-Panel!D631</f>
        <v>0.00523980022334314</v>
      </c>
      <c r="H656" s="30" t="n">
        <f aca="false">Panel!D631-Panel!D630</f>
        <v>0.00348898984259094</v>
      </c>
      <c r="I656" s="30" t="n">
        <f aca="false">Panel!D630-Panel!D629</f>
        <v>-0.00118645272400464</v>
      </c>
      <c r="L656" s="30" t="n">
        <f aca="false">Panel!E630-Panel!E629</f>
        <v>0.000866325965990455</v>
      </c>
      <c r="M656" s="29" t="n">
        <f aca="false">Panel!E629</f>
        <v>5.6645217607029</v>
      </c>
    </row>
    <row r="657" customFormat="false" ht="15" hidden="false" customHeight="false" outlineLevel="0" collapsed="false">
      <c r="C657" s="0" t="n">
        <f aca="false">Panel!D636-Panel!D635</f>
        <v>0.00345544306504486</v>
      </c>
      <c r="D657" s="29" t="n">
        <f aca="false">Panel!D635</f>
        <v>10.1647743136284</v>
      </c>
      <c r="E657" s="30" t="n">
        <f aca="false">Panel!D635-Panel!D634</f>
        <v>0.000808890131349216</v>
      </c>
      <c r="F657" s="30" t="n">
        <f aca="false">Panel!D634-Panel!D633</f>
        <v>-0.00108222409518</v>
      </c>
      <c r="G657" s="30" t="n">
        <f aca="false">Panel!D633-Panel!D632</f>
        <v>0.0056822063291353</v>
      </c>
      <c r="H657" s="30" t="n">
        <f aca="false">Panel!D632-Panel!D631</f>
        <v>0.00523980022334314</v>
      </c>
      <c r="I657" s="30" t="n">
        <f aca="false">Panel!D631-Panel!D630</f>
        <v>0.00348898984259094</v>
      </c>
      <c r="L657" s="30" t="n">
        <f aca="false">Panel!E631-Panel!E630</f>
        <v>0.00369941819042552</v>
      </c>
      <c r="M657" s="29" t="n">
        <f aca="false">Panel!E630</f>
        <v>5.66538808666889</v>
      </c>
    </row>
    <row r="658" customFormat="false" ht="15" hidden="false" customHeight="false" outlineLevel="0" collapsed="false">
      <c r="C658" s="0" t="n">
        <f aca="false">Panel!D637-Panel!D636</f>
        <v>-0.00492348453403402</v>
      </c>
      <c r="D658" s="29" t="n">
        <f aca="false">Panel!D636</f>
        <v>10.1682297566934</v>
      </c>
      <c r="E658" s="30" t="n">
        <f aca="false">Panel!D636-Panel!D635</f>
        <v>0.00345544306504486</v>
      </c>
      <c r="F658" s="30" t="n">
        <f aca="false">Panel!D635-Panel!D634</f>
        <v>0.000808890131349216</v>
      </c>
      <c r="G658" s="30" t="n">
        <f aca="false">Panel!D634-Panel!D633</f>
        <v>-0.00108222409518</v>
      </c>
      <c r="H658" s="30" t="n">
        <f aca="false">Panel!D633-Panel!D632</f>
        <v>0.0056822063291353</v>
      </c>
      <c r="I658" s="30" t="n">
        <f aca="false">Panel!D632-Panel!D631</f>
        <v>0.00523980022334314</v>
      </c>
      <c r="L658" s="30" t="n">
        <f aca="false">Panel!E632-Panel!E631</f>
        <v>0.00440756885843019</v>
      </c>
      <c r="M658" s="29" t="n">
        <f aca="false">Panel!E631</f>
        <v>5.66908750485932</v>
      </c>
    </row>
    <row r="659" customFormat="false" ht="15" hidden="false" customHeight="false" outlineLevel="0" collapsed="false">
      <c r="C659" s="0" t="n">
        <f aca="false">Panel!D638-Panel!D637</f>
        <v>0.00554105382402881</v>
      </c>
      <c r="D659" s="29" t="n">
        <f aca="false">Panel!D637</f>
        <v>10.1633062721594</v>
      </c>
      <c r="E659" s="30" t="n">
        <f aca="false">Panel!D637-Panel!D636</f>
        <v>-0.00492348453403402</v>
      </c>
      <c r="F659" s="30" t="n">
        <f aca="false">Panel!D636-Panel!D635</f>
        <v>0.00345544306504486</v>
      </c>
      <c r="G659" s="30" t="n">
        <f aca="false">Panel!D635-Panel!D634</f>
        <v>0.000808890131349216</v>
      </c>
      <c r="H659" s="30" t="n">
        <f aca="false">Panel!D634-Panel!D633</f>
        <v>-0.00108222409518</v>
      </c>
      <c r="I659" s="30" t="n">
        <f aca="false">Panel!D633-Panel!D632</f>
        <v>0.0056822063291353</v>
      </c>
      <c r="L659" s="30" t="n">
        <f aca="false">Panel!E633-Panel!E632</f>
        <v>0.00582392876008164</v>
      </c>
      <c r="M659" s="29" t="n">
        <f aca="false">Panel!E632</f>
        <v>5.67349507371775</v>
      </c>
    </row>
    <row r="660" customFormat="false" ht="15" hidden="false" customHeight="false" outlineLevel="0" collapsed="false">
      <c r="C660" s="0" t="n">
        <f aca="false">Panel!D639-Panel!D638</f>
        <v>0.00615480659231515</v>
      </c>
      <c r="D660" s="29" t="n">
        <f aca="false">Panel!D638</f>
        <v>10.1688473259834</v>
      </c>
      <c r="E660" s="30" t="n">
        <f aca="false">Panel!D638-Panel!D637</f>
        <v>0.00554105382402881</v>
      </c>
      <c r="F660" s="30" t="n">
        <f aca="false">Panel!D637-Panel!D636</f>
        <v>-0.00492348453403402</v>
      </c>
      <c r="G660" s="30" t="n">
        <f aca="false">Panel!D636-Panel!D635</f>
        <v>0.00345544306504486</v>
      </c>
      <c r="H660" s="30" t="n">
        <f aca="false">Panel!D635-Panel!D634</f>
        <v>0.000808890131349216</v>
      </c>
      <c r="I660" s="30" t="n">
        <f aca="false">Panel!D634-Panel!D633</f>
        <v>-0.00108222409518</v>
      </c>
      <c r="L660" s="30" t="n">
        <f aca="false">Panel!E634-Panel!E633</f>
        <v>0.000546392118227601</v>
      </c>
      <c r="M660" s="29" t="n">
        <f aca="false">Panel!E633</f>
        <v>5.67931900247783</v>
      </c>
    </row>
    <row r="661" customFormat="false" ht="15" hidden="false" customHeight="false" outlineLevel="0" collapsed="false">
      <c r="C661" s="0" t="n">
        <f aca="false">Panel!D640-Panel!D639</f>
        <v>-0.00646162564818553</v>
      </c>
      <c r="D661" s="29" t="n">
        <f aca="false">Panel!D639</f>
        <v>10.1750021325757</v>
      </c>
      <c r="E661" s="30" t="n">
        <f aca="false">Panel!D639-Panel!D638</f>
        <v>0.00615480659231515</v>
      </c>
      <c r="F661" s="30" t="n">
        <f aca="false">Panel!D638-Panel!D637</f>
        <v>0.00554105382402881</v>
      </c>
      <c r="G661" s="30" t="n">
        <f aca="false">Panel!D637-Panel!D636</f>
        <v>-0.00492348453403402</v>
      </c>
      <c r="H661" s="30" t="n">
        <f aca="false">Panel!D636-Panel!D635</f>
        <v>0.00345544306504486</v>
      </c>
      <c r="I661" s="30" t="n">
        <f aca="false">Panel!D635-Panel!D634</f>
        <v>0.000808890131349216</v>
      </c>
      <c r="L661" s="30" t="n">
        <f aca="false">Panel!E635-Panel!E634</f>
        <v>0.000307214421013668</v>
      </c>
      <c r="M661" s="29" t="n">
        <f aca="false">Panel!E634</f>
        <v>5.67986539459605</v>
      </c>
    </row>
    <row r="662" customFormat="false" ht="15" hidden="false" customHeight="false" outlineLevel="0" collapsed="false">
      <c r="C662" s="0" t="n">
        <f aca="false">Panel!D641-Panel!D640</f>
        <v>-0.0039356208654393</v>
      </c>
      <c r="D662" s="29" t="n">
        <f aca="false">Panel!D640</f>
        <v>10.1685405069275</v>
      </c>
      <c r="E662" s="30" t="n">
        <f aca="false">Panel!D640-Panel!D639</f>
        <v>-0.00646162564818553</v>
      </c>
      <c r="F662" s="30" t="n">
        <f aca="false">Panel!D639-Panel!D638</f>
        <v>0.00615480659231515</v>
      </c>
      <c r="G662" s="30" t="n">
        <f aca="false">Panel!D638-Panel!D637</f>
        <v>0.00554105382402881</v>
      </c>
      <c r="H662" s="30" t="n">
        <f aca="false">Panel!D637-Panel!D636</f>
        <v>-0.00492348453403402</v>
      </c>
      <c r="I662" s="30" t="n">
        <f aca="false">Panel!D636-Panel!D635</f>
        <v>0.00345544306504486</v>
      </c>
      <c r="L662" s="30" t="n">
        <f aca="false">Panel!E636-Panel!E635</f>
        <v>0.00306696440780385</v>
      </c>
      <c r="M662" s="29" t="n">
        <f aca="false">Panel!E635</f>
        <v>5.68017260901707</v>
      </c>
    </row>
    <row r="663" customFormat="false" ht="15" hidden="false" customHeight="false" outlineLevel="0" collapsed="false">
      <c r="C663" s="0" t="n">
        <f aca="false">Panel!D642-Panel!D641</f>
        <v>-0.003224589884951</v>
      </c>
      <c r="D663" s="29" t="n">
        <f aca="false">Panel!D641</f>
        <v>10.1646048860621</v>
      </c>
      <c r="E663" s="30" t="n">
        <f aca="false">Panel!D641-Panel!D640</f>
        <v>-0.0039356208654393</v>
      </c>
      <c r="F663" s="30" t="n">
        <f aca="false">Panel!D640-Panel!D639</f>
        <v>-0.00646162564818553</v>
      </c>
      <c r="G663" s="30" t="n">
        <f aca="false">Panel!D639-Panel!D638</f>
        <v>0.00615480659231515</v>
      </c>
      <c r="H663" s="30" t="n">
        <f aca="false">Panel!D638-Panel!D637</f>
        <v>0.00554105382402881</v>
      </c>
      <c r="I663" s="30" t="n">
        <f aca="false">Panel!D637-Panel!D636</f>
        <v>-0.00492348453403402</v>
      </c>
      <c r="L663" s="30" t="n">
        <f aca="false">Panel!E637-Panel!E636</f>
        <v>-0.0035790408890799</v>
      </c>
      <c r="M663" s="29" t="n">
        <f aca="false">Panel!E636</f>
        <v>5.68323957342487</v>
      </c>
    </row>
    <row r="664" customFormat="false" ht="15" hidden="false" customHeight="false" outlineLevel="0" collapsed="false">
      <c r="C664" s="0" t="n">
        <f aca="false">Panel!D643-Panel!D642</f>
        <v>0.0193601333202125</v>
      </c>
      <c r="D664" s="29" t="n">
        <f aca="false">Panel!D642</f>
        <v>10.1613802961772</v>
      </c>
      <c r="E664" s="30" t="n">
        <f aca="false">Panel!D642-Panel!D641</f>
        <v>-0.003224589884951</v>
      </c>
      <c r="F664" s="30" t="n">
        <f aca="false">Panel!D641-Panel!D640</f>
        <v>-0.0039356208654393</v>
      </c>
      <c r="G664" s="30" t="n">
        <f aca="false">Panel!D640-Panel!D639</f>
        <v>-0.00646162564818553</v>
      </c>
      <c r="H664" s="30" t="n">
        <f aca="false">Panel!D639-Panel!D638</f>
        <v>0.00615480659231515</v>
      </c>
      <c r="I664" s="30" t="n">
        <f aca="false">Panel!D638-Panel!D637</f>
        <v>0.00554105382402881</v>
      </c>
      <c r="L664" s="30" t="n">
        <f aca="false">Panel!E638-Panel!E637</f>
        <v>0.00521091722864941</v>
      </c>
      <c r="M664" s="29" t="n">
        <f aca="false">Panel!E637</f>
        <v>5.67966053253579</v>
      </c>
    </row>
    <row r="665" customFormat="false" ht="15" hidden="false" customHeight="false" outlineLevel="0" collapsed="false">
      <c r="C665" s="0" t="n">
        <f aca="false">Panel!D644-Panel!D643</f>
        <v>0.000189447760346795</v>
      </c>
      <c r="D665" s="29" t="n">
        <f aca="false">Panel!D643</f>
        <v>10.1807404294974</v>
      </c>
      <c r="E665" s="30" t="n">
        <f aca="false">Panel!D643-Panel!D642</f>
        <v>0.0193601333202125</v>
      </c>
      <c r="F665" s="30" t="n">
        <f aca="false">Panel!D642-Panel!D641</f>
        <v>-0.003224589884951</v>
      </c>
      <c r="G665" s="30" t="n">
        <f aca="false">Panel!D641-Panel!D640</f>
        <v>-0.0039356208654393</v>
      </c>
      <c r="H665" s="30" t="n">
        <f aca="false">Panel!D640-Panel!D639</f>
        <v>-0.00646162564818553</v>
      </c>
      <c r="I665" s="30" t="n">
        <f aca="false">Panel!D639-Panel!D638</f>
        <v>0.00615480659231515</v>
      </c>
      <c r="L665" s="30" t="n">
        <f aca="false">Panel!E639-Panel!E638</f>
        <v>0.00531907137229304</v>
      </c>
      <c r="M665" s="29" t="n">
        <f aca="false">Panel!E638</f>
        <v>5.68487144976444</v>
      </c>
    </row>
    <row r="666" customFormat="false" ht="15" hidden="false" customHeight="false" outlineLevel="0" collapsed="false">
      <c r="C666" s="0" t="n">
        <f aca="false">Panel!D645-Panel!D644</f>
        <v>3.78852455966694E-005</v>
      </c>
      <c r="D666" s="29" t="n">
        <f aca="false">Panel!D644</f>
        <v>10.1809298772577</v>
      </c>
      <c r="E666" s="30" t="n">
        <f aca="false">Panel!D644-Panel!D643</f>
        <v>0.000189447760346795</v>
      </c>
      <c r="F666" s="30" t="n">
        <f aca="false">Panel!D643-Panel!D642</f>
        <v>0.0193601333202125</v>
      </c>
      <c r="G666" s="30" t="n">
        <f aca="false">Panel!D642-Panel!D641</f>
        <v>-0.003224589884951</v>
      </c>
      <c r="H666" s="30" t="n">
        <f aca="false">Panel!D641-Panel!D640</f>
        <v>-0.0039356208654393</v>
      </c>
      <c r="I666" s="30" t="n">
        <f aca="false">Panel!D640-Panel!D639</f>
        <v>-0.00646162564818553</v>
      </c>
      <c r="L666" s="30" t="n">
        <f aca="false">Panel!E640-Panel!E639</f>
        <v>-0.00548893429332509</v>
      </c>
      <c r="M666" s="29" t="n">
        <f aca="false">Panel!E639</f>
        <v>5.69019052113673</v>
      </c>
    </row>
    <row r="667" customFormat="false" ht="15" hidden="false" customHeight="false" outlineLevel="0" collapsed="false">
      <c r="C667" s="0" t="n">
        <f aca="false">Panel!D646-Panel!D645</f>
        <v>-0.00231363058582268</v>
      </c>
      <c r="D667" s="29" t="n">
        <f aca="false">Panel!D645</f>
        <v>10.1809677625033</v>
      </c>
      <c r="E667" s="30" t="n">
        <f aca="false">Panel!D645-Panel!D644</f>
        <v>3.78852455966694E-005</v>
      </c>
      <c r="F667" s="30" t="n">
        <f aca="false">Panel!D644-Panel!D643</f>
        <v>0.000189447760346795</v>
      </c>
      <c r="G667" s="30" t="n">
        <f aca="false">Panel!D643-Panel!D642</f>
        <v>0.0193601333202125</v>
      </c>
      <c r="H667" s="30" t="n">
        <f aca="false">Panel!D642-Panel!D641</f>
        <v>-0.003224589884951</v>
      </c>
      <c r="I667" s="30" t="n">
        <f aca="false">Panel!D641-Panel!D640</f>
        <v>-0.0039356208654393</v>
      </c>
      <c r="L667" s="30" t="n">
        <f aca="false">Panel!E641-Panel!E640</f>
        <v>-0.00411950535764394</v>
      </c>
      <c r="M667" s="29" t="n">
        <f aca="false">Panel!E640</f>
        <v>5.68470158684341</v>
      </c>
    </row>
    <row r="668" customFormat="false" ht="15" hidden="false" customHeight="false" outlineLevel="0" collapsed="false">
      <c r="C668" s="0" t="n">
        <f aca="false">Panel!D647-Panel!D646</f>
        <v>-0.00407131053398047</v>
      </c>
      <c r="D668" s="29" t="n">
        <f aca="false">Panel!D646</f>
        <v>10.1786541319175</v>
      </c>
      <c r="E668" s="30" t="n">
        <f aca="false">Panel!D646-Panel!D645</f>
        <v>-0.00231363058582268</v>
      </c>
      <c r="F668" s="30" t="n">
        <f aca="false">Panel!D645-Panel!D644</f>
        <v>3.78852455966694E-005</v>
      </c>
      <c r="G668" s="30" t="n">
        <f aca="false">Panel!D644-Panel!D643</f>
        <v>0.000189447760346795</v>
      </c>
      <c r="H668" s="30" t="n">
        <f aca="false">Panel!D643-Panel!D642</f>
        <v>0.0193601333202125</v>
      </c>
      <c r="I668" s="30" t="n">
        <f aca="false">Panel!D642-Panel!D641</f>
        <v>-0.003224589884951</v>
      </c>
      <c r="L668" s="30" t="n">
        <f aca="false">Panel!E642-Panel!E641</f>
        <v>-0.00109229939860889</v>
      </c>
      <c r="M668" s="29" t="n">
        <f aca="false">Panel!E641</f>
        <v>5.68058208148577</v>
      </c>
    </row>
    <row r="669" customFormat="false" ht="15" hidden="false" customHeight="false" outlineLevel="0" collapsed="false">
      <c r="C669" s="0" t="n">
        <f aca="false">Panel!D648-Panel!D647</f>
        <v>-0.00325754956229218</v>
      </c>
      <c r="D669" s="29" t="n">
        <f aca="false">Panel!D647</f>
        <v>10.1745828213835</v>
      </c>
      <c r="E669" s="30" t="n">
        <f aca="false">Panel!D647-Panel!D646</f>
        <v>-0.00407131053398047</v>
      </c>
      <c r="F669" s="30" t="n">
        <f aca="false">Panel!D646-Panel!D645</f>
        <v>-0.00231363058582268</v>
      </c>
      <c r="G669" s="30" t="n">
        <f aca="false">Panel!D645-Panel!D644</f>
        <v>3.78852455966694E-005</v>
      </c>
      <c r="H669" s="30" t="n">
        <f aca="false">Panel!D644-Panel!D643</f>
        <v>0.000189447760346795</v>
      </c>
      <c r="I669" s="30" t="n">
        <f aca="false">Panel!D643-Panel!D642</f>
        <v>0.0193601333202125</v>
      </c>
      <c r="L669" s="30" t="n">
        <f aca="false">Panel!E643-Panel!E642</f>
        <v>0.0114438317001335</v>
      </c>
      <c r="M669" s="29" t="n">
        <f aca="false">Panel!E642</f>
        <v>5.67948978208716</v>
      </c>
    </row>
    <row r="670" customFormat="false" ht="15" hidden="false" customHeight="false" outlineLevel="0" collapsed="false">
      <c r="C670" s="0" t="n">
        <f aca="false">Panel!D649-Panel!D648</f>
        <v>0.00162055386541127</v>
      </c>
      <c r="D670" s="29" t="n">
        <f aca="false">Panel!D648</f>
        <v>10.1713252718212</v>
      </c>
      <c r="E670" s="30" t="n">
        <f aca="false">Panel!D648-Panel!D647</f>
        <v>-0.00325754956229218</v>
      </c>
      <c r="F670" s="30" t="n">
        <f aca="false">Panel!D647-Panel!D646</f>
        <v>-0.00407131053398047</v>
      </c>
      <c r="G670" s="30" t="n">
        <f aca="false">Panel!D646-Panel!D645</f>
        <v>-0.00231363058582268</v>
      </c>
      <c r="H670" s="30" t="n">
        <f aca="false">Panel!D645-Panel!D644</f>
        <v>3.78852455966694E-005</v>
      </c>
      <c r="I670" s="30" t="n">
        <f aca="false">Panel!D644-Panel!D643</f>
        <v>0.000189447760346795</v>
      </c>
      <c r="L670" s="30" t="n">
        <f aca="false">Panel!E644-Panel!E643</f>
        <v>0.0014508159165425</v>
      </c>
      <c r="M670" s="29" t="n">
        <f aca="false">Panel!E643</f>
        <v>5.69093361378729</v>
      </c>
    </row>
    <row r="671" customFormat="false" ht="15" hidden="false" customHeight="false" outlineLevel="0" collapsed="false">
      <c r="C671" s="0" t="n">
        <f aca="false">Panel!D650-Panel!D649</f>
        <v>0.00574627779016801</v>
      </c>
      <c r="D671" s="29" t="n">
        <f aca="false">Panel!D649</f>
        <v>10.1729458256866</v>
      </c>
      <c r="E671" s="30" t="n">
        <f aca="false">Panel!D649-Panel!D648</f>
        <v>0.00162055386541127</v>
      </c>
      <c r="F671" s="30" t="n">
        <f aca="false">Panel!D648-Panel!D647</f>
        <v>-0.00325754956229218</v>
      </c>
      <c r="G671" s="30" t="n">
        <f aca="false">Panel!D647-Panel!D646</f>
        <v>-0.00407131053398047</v>
      </c>
      <c r="H671" s="30" t="n">
        <f aca="false">Panel!D646-Panel!D645</f>
        <v>-0.00231363058582268</v>
      </c>
      <c r="I671" s="30" t="n">
        <f aca="false">Panel!D645-Panel!D644</f>
        <v>3.78852455966694E-005</v>
      </c>
      <c r="L671" s="30" t="n">
        <f aca="false">Panel!E645-Panel!E644</f>
        <v>-0.000472127618118989</v>
      </c>
      <c r="M671" s="29" t="n">
        <f aca="false">Panel!E644</f>
        <v>5.69238442970383</v>
      </c>
    </row>
    <row r="672" customFormat="false" ht="15" hidden="false" customHeight="false" outlineLevel="0" collapsed="false">
      <c r="C672" s="0" t="n">
        <f aca="false">Panel!D651-Panel!D650</f>
        <v>-0.0109190562952843</v>
      </c>
      <c r="D672" s="29" t="n">
        <f aca="false">Panel!D650</f>
        <v>10.1786921034768</v>
      </c>
      <c r="E672" s="30" t="n">
        <f aca="false">Panel!D650-Panel!D649</f>
        <v>0.00574627779016801</v>
      </c>
      <c r="F672" s="30" t="n">
        <f aca="false">Panel!D649-Panel!D648</f>
        <v>0.00162055386541127</v>
      </c>
      <c r="G672" s="30" t="n">
        <f aca="false">Panel!D648-Panel!D647</f>
        <v>-0.00325754956229218</v>
      </c>
      <c r="H672" s="30" t="n">
        <f aca="false">Panel!D647-Panel!D646</f>
        <v>-0.00407131053398047</v>
      </c>
      <c r="I672" s="30" t="n">
        <f aca="false">Panel!D646-Panel!D645</f>
        <v>-0.00231363058582268</v>
      </c>
      <c r="L672" s="30" t="n">
        <f aca="false">Panel!E646-Panel!E645</f>
        <v>-0.000573597653853675</v>
      </c>
      <c r="M672" s="29" t="n">
        <f aca="false">Panel!E645</f>
        <v>5.69191230208571</v>
      </c>
    </row>
    <row r="673" customFormat="false" ht="15" hidden="false" customHeight="false" outlineLevel="0" collapsed="false">
      <c r="C673" s="0" t="n">
        <f aca="false">Panel!D652-Panel!D651</f>
        <v>-0.00349554568556876</v>
      </c>
      <c r="D673" s="29" t="n">
        <f aca="false">Panel!D651</f>
        <v>10.1677730471815</v>
      </c>
      <c r="E673" s="30" t="n">
        <f aca="false">Panel!D651-Panel!D650</f>
        <v>-0.0109190562952843</v>
      </c>
      <c r="F673" s="30" t="n">
        <f aca="false">Panel!D650-Panel!D649</f>
        <v>0.00574627779016801</v>
      </c>
      <c r="G673" s="30" t="n">
        <f aca="false">Panel!D649-Panel!D648</f>
        <v>0.00162055386541127</v>
      </c>
      <c r="H673" s="30" t="n">
        <f aca="false">Panel!D648-Panel!D647</f>
        <v>-0.00325754956229218</v>
      </c>
      <c r="I673" s="30" t="n">
        <f aca="false">Panel!D647-Panel!D646</f>
        <v>-0.00407131053398047</v>
      </c>
      <c r="L673" s="30" t="n">
        <f aca="false">Panel!E647-Panel!E646</f>
        <v>-0.00449895050597071</v>
      </c>
      <c r="M673" s="29" t="n">
        <f aca="false">Panel!E646</f>
        <v>5.69133870443186</v>
      </c>
    </row>
    <row r="674" customFormat="false" ht="15" hidden="false" customHeight="false" outlineLevel="0" collapsed="false">
      <c r="C674" s="0" t="n">
        <f aca="false">Panel!D653-Panel!D652</f>
        <v>-0.00401821666562263</v>
      </c>
      <c r="D674" s="29" t="n">
        <f aca="false">Panel!D652</f>
        <v>10.1642775014959</v>
      </c>
      <c r="E674" s="30" t="n">
        <f aca="false">Panel!D652-Panel!D651</f>
        <v>-0.00349554568556876</v>
      </c>
      <c r="F674" s="30" t="n">
        <f aca="false">Panel!D651-Panel!D650</f>
        <v>-0.0109190562952843</v>
      </c>
      <c r="G674" s="30" t="n">
        <f aca="false">Panel!D650-Panel!D649</f>
        <v>0.00574627779016801</v>
      </c>
      <c r="H674" s="30" t="n">
        <f aca="false">Panel!D649-Panel!D648</f>
        <v>0.00162055386541127</v>
      </c>
      <c r="I674" s="30" t="n">
        <f aca="false">Panel!D648-Panel!D647</f>
        <v>-0.00325754956229218</v>
      </c>
      <c r="L674" s="30" t="n">
        <f aca="false">Panel!E648-Panel!E647</f>
        <v>-0.00305592577637803</v>
      </c>
      <c r="M674" s="29" t="n">
        <f aca="false">Panel!E647</f>
        <v>5.68683975392589</v>
      </c>
    </row>
    <row r="675" customFormat="false" ht="15" hidden="false" customHeight="false" outlineLevel="0" collapsed="false">
      <c r="C675" s="0" t="n">
        <f aca="false">Panel!D654-Panel!D653</f>
        <v>0.00591555691826429</v>
      </c>
      <c r="D675" s="29" t="n">
        <f aca="false">Panel!D653</f>
        <v>10.1602592848303</v>
      </c>
      <c r="E675" s="30" t="n">
        <f aca="false">Panel!D653-Panel!D652</f>
        <v>-0.00401821666562263</v>
      </c>
      <c r="F675" s="30" t="n">
        <f aca="false">Panel!D652-Panel!D651</f>
        <v>-0.00349554568556876</v>
      </c>
      <c r="G675" s="30" t="n">
        <f aca="false">Panel!D651-Panel!D650</f>
        <v>-0.0109190562952843</v>
      </c>
      <c r="H675" s="30" t="n">
        <f aca="false">Panel!D650-Panel!D649</f>
        <v>0.00574627779016801</v>
      </c>
      <c r="I675" s="30" t="n">
        <f aca="false">Panel!D649-Panel!D648</f>
        <v>0.00162055386541127</v>
      </c>
      <c r="L675" s="30" t="n">
        <f aca="false">Panel!E649-Panel!E648</f>
        <v>0.00112159073700102</v>
      </c>
      <c r="M675" s="29" t="n">
        <f aca="false">Panel!E648</f>
        <v>5.68378382814951</v>
      </c>
    </row>
    <row r="676" customFormat="false" ht="15" hidden="false" customHeight="false" outlineLevel="0" collapsed="false">
      <c r="C676" s="0" t="n">
        <f aca="false">Panel!D655-Panel!D654</f>
        <v>0.00535314298403478</v>
      </c>
      <c r="D676" s="29" t="n">
        <f aca="false">Panel!D654</f>
        <v>10.1661748417486</v>
      </c>
      <c r="E676" s="30" t="n">
        <f aca="false">Panel!D654-Panel!D653</f>
        <v>0.00591555691826429</v>
      </c>
      <c r="F676" s="30" t="n">
        <f aca="false">Panel!D653-Panel!D652</f>
        <v>-0.00401821666562263</v>
      </c>
      <c r="G676" s="30" t="n">
        <f aca="false">Panel!D652-Panel!D651</f>
        <v>-0.00349554568556876</v>
      </c>
      <c r="H676" s="30" t="n">
        <f aca="false">Panel!D651-Panel!D650</f>
        <v>-0.0109190562952843</v>
      </c>
      <c r="I676" s="30" t="n">
        <f aca="false">Panel!D650-Panel!D649</f>
        <v>0.00574627779016801</v>
      </c>
      <c r="L676" s="30" t="n">
        <f aca="false">Panel!E650-Panel!E649</f>
        <v>0.0054540354375483</v>
      </c>
      <c r="M676" s="29" t="n">
        <f aca="false">Panel!E649</f>
        <v>5.68490541888651</v>
      </c>
    </row>
    <row r="677" customFormat="false" ht="15" hidden="false" customHeight="false" outlineLevel="0" collapsed="false">
      <c r="C677" s="0" t="n">
        <f aca="false">Panel!D656-Panel!D655</f>
        <v>-0.00171096263268211</v>
      </c>
      <c r="D677" s="29" t="n">
        <f aca="false">Panel!D655</f>
        <v>10.1715279847326</v>
      </c>
      <c r="E677" s="30" t="n">
        <f aca="false">Panel!D655-Panel!D654</f>
        <v>0.00535314298403478</v>
      </c>
      <c r="F677" s="30" t="n">
        <f aca="false">Panel!D654-Panel!D653</f>
        <v>0.00591555691826429</v>
      </c>
      <c r="G677" s="30" t="n">
        <f aca="false">Panel!D653-Panel!D652</f>
        <v>-0.00401821666562263</v>
      </c>
      <c r="H677" s="30" t="n">
        <f aca="false">Panel!D652-Panel!D651</f>
        <v>-0.00349554568556876</v>
      </c>
      <c r="I677" s="30" t="n">
        <f aca="false">Panel!D651-Panel!D650</f>
        <v>-0.0109190562952843</v>
      </c>
      <c r="L677" s="30" t="n">
        <f aca="false">Panel!E651-Panel!E650</f>
        <v>-0.00933396679047505</v>
      </c>
      <c r="M677" s="29" t="n">
        <f aca="false">Panel!E650</f>
        <v>5.69035945432406</v>
      </c>
    </row>
    <row r="678" customFormat="false" ht="15" hidden="false" customHeight="false" outlineLevel="0" collapsed="false">
      <c r="C678" s="0" t="n">
        <f aca="false">Panel!D657-Panel!D656</f>
        <v>-0.0065801595730921</v>
      </c>
      <c r="D678" s="29" t="n">
        <f aca="false">Panel!D656</f>
        <v>10.1698170220999</v>
      </c>
      <c r="E678" s="30" t="n">
        <f aca="false">Panel!D656-Panel!D655</f>
        <v>-0.00171096263268211</v>
      </c>
      <c r="F678" s="30" t="n">
        <f aca="false">Panel!D655-Panel!D654</f>
        <v>0.00535314298403478</v>
      </c>
      <c r="G678" s="30" t="n">
        <f aca="false">Panel!D654-Panel!D653</f>
        <v>0.00591555691826429</v>
      </c>
      <c r="H678" s="30" t="n">
        <f aca="false">Panel!D653-Panel!D652</f>
        <v>-0.00401821666562263</v>
      </c>
      <c r="I678" s="30" t="n">
        <f aca="false">Panel!D652-Panel!D651</f>
        <v>-0.00349554568556876</v>
      </c>
      <c r="L678" s="30" t="n">
        <f aca="false">Panel!E652-Panel!E651</f>
        <v>-0.00290275965796205</v>
      </c>
      <c r="M678" s="29" t="n">
        <f aca="false">Panel!E651</f>
        <v>5.68102548753359</v>
      </c>
    </row>
    <row r="679" customFormat="false" ht="15" hidden="false" customHeight="false" outlineLevel="0" collapsed="false">
      <c r="C679" s="0" t="n">
        <f aca="false">Panel!D658-Panel!D657</f>
        <v>-0.00074066933658834</v>
      </c>
      <c r="D679" s="29" t="n">
        <f aca="false">Panel!D657</f>
        <v>10.1632368625268</v>
      </c>
      <c r="E679" s="30" t="n">
        <f aca="false">Panel!D657-Panel!D656</f>
        <v>-0.0065801595730921</v>
      </c>
      <c r="F679" s="30" t="n">
        <f aca="false">Panel!D656-Panel!D655</f>
        <v>-0.00171096263268211</v>
      </c>
      <c r="G679" s="30" t="n">
        <f aca="false">Panel!D655-Panel!D654</f>
        <v>0.00535314298403478</v>
      </c>
      <c r="H679" s="30" t="n">
        <f aca="false">Panel!D654-Panel!D653</f>
        <v>0.00591555691826429</v>
      </c>
      <c r="I679" s="30" t="n">
        <f aca="false">Panel!D653-Panel!D652</f>
        <v>-0.00401821666562263</v>
      </c>
      <c r="L679" s="30" t="n">
        <f aca="false">Panel!E653-Panel!E652</f>
        <v>-0.00273972774111986</v>
      </c>
      <c r="M679" s="29" t="n">
        <f aca="false">Panel!E652</f>
        <v>5.67812272787562</v>
      </c>
    </row>
    <row r="680" customFormat="false" ht="15" hidden="false" customHeight="false" outlineLevel="0" collapsed="false">
      <c r="C680" s="0" t="n">
        <f aca="false">Panel!D659-Panel!D658</f>
        <v>-0.00119316780864231</v>
      </c>
      <c r="D680" s="29" t="n">
        <f aca="false">Panel!D658</f>
        <v>10.1624961931903</v>
      </c>
      <c r="E680" s="30" t="n">
        <f aca="false">Panel!D658-Panel!D657</f>
        <v>-0.00074066933658834</v>
      </c>
      <c r="F680" s="30" t="n">
        <f aca="false">Panel!D657-Panel!D656</f>
        <v>-0.0065801595730921</v>
      </c>
      <c r="G680" s="30" t="n">
        <f aca="false">Panel!D656-Panel!D655</f>
        <v>-0.00171096263268211</v>
      </c>
      <c r="H680" s="30" t="n">
        <f aca="false">Panel!D655-Panel!D654</f>
        <v>0.00535314298403478</v>
      </c>
      <c r="I680" s="30" t="n">
        <f aca="false">Panel!D654-Panel!D653</f>
        <v>0.00591555691826429</v>
      </c>
      <c r="L680" s="30" t="n">
        <f aca="false">Panel!E654-Panel!E653</f>
        <v>0.00489199271965823</v>
      </c>
      <c r="M680" s="29" t="n">
        <f aca="false">Panel!E653</f>
        <v>5.6753830001345</v>
      </c>
    </row>
    <row r="681" customFormat="false" ht="15" hidden="false" customHeight="false" outlineLevel="0" collapsed="false">
      <c r="C681" s="0" t="n">
        <f aca="false">Panel!D660-Panel!D659</f>
        <v>0.00608607094089031</v>
      </c>
      <c r="D681" s="29" t="n">
        <f aca="false">Panel!D659</f>
        <v>10.1613030253816</v>
      </c>
      <c r="E681" s="30" t="n">
        <f aca="false">Panel!D659-Panel!D658</f>
        <v>-0.00119316780864231</v>
      </c>
      <c r="F681" s="30" t="n">
        <f aca="false">Panel!D658-Panel!D657</f>
        <v>-0.00074066933658834</v>
      </c>
      <c r="G681" s="30" t="n">
        <f aca="false">Panel!D657-Panel!D656</f>
        <v>-0.0065801595730921</v>
      </c>
      <c r="H681" s="30" t="n">
        <f aca="false">Panel!D656-Panel!D655</f>
        <v>-0.00171096263268211</v>
      </c>
      <c r="I681" s="30" t="n">
        <f aca="false">Panel!D655-Panel!D654</f>
        <v>0.00535314298403478</v>
      </c>
      <c r="L681" s="30" t="n">
        <f aca="false">Panel!E655-Panel!E654</f>
        <v>0.00619175959235196</v>
      </c>
      <c r="M681" s="29" t="n">
        <f aca="false">Panel!E654</f>
        <v>5.68027499285416</v>
      </c>
    </row>
    <row r="682" customFormat="false" ht="15" hidden="false" customHeight="false" outlineLevel="0" collapsed="false">
      <c r="C682" s="0" t="n">
        <f aca="false">Panel!D661-Panel!D660</f>
        <v>0.00620192639111039</v>
      </c>
      <c r="D682" s="29" t="n">
        <f aca="false">Panel!D660</f>
        <v>10.1673890963225</v>
      </c>
      <c r="E682" s="30" t="n">
        <f aca="false">Panel!D660-Panel!D659</f>
        <v>0.00608607094089031</v>
      </c>
      <c r="F682" s="30" t="n">
        <f aca="false">Panel!D659-Panel!D658</f>
        <v>-0.00119316780864231</v>
      </c>
      <c r="G682" s="30" t="n">
        <f aca="false">Panel!D658-Panel!D657</f>
        <v>-0.00074066933658834</v>
      </c>
      <c r="H682" s="30" t="n">
        <f aca="false">Panel!D657-Panel!D656</f>
        <v>-0.0065801595730921</v>
      </c>
      <c r="I682" s="30" t="n">
        <f aca="false">Panel!D656-Panel!D655</f>
        <v>-0.00171096263268211</v>
      </c>
      <c r="L682" s="30" t="n">
        <f aca="false">Panel!E656-Panel!E655</f>
        <v>-0.00111983994599729</v>
      </c>
      <c r="M682" s="29" t="n">
        <f aca="false">Panel!E655</f>
        <v>5.68646675244651</v>
      </c>
    </row>
    <row r="683" customFormat="false" ht="15" hidden="false" customHeight="false" outlineLevel="0" collapsed="false">
      <c r="C683" s="0" t="n">
        <f aca="false">Panel!D662-Panel!D661</f>
        <v>-0.000225199006258947</v>
      </c>
      <c r="D683" s="29" t="n">
        <f aca="false">Panel!D661</f>
        <v>10.1735910227136</v>
      </c>
      <c r="E683" s="30" t="n">
        <f aca="false">Panel!D661-Panel!D660</f>
        <v>0.00620192639111039</v>
      </c>
      <c r="F683" s="30" t="n">
        <f aca="false">Panel!D660-Panel!D659</f>
        <v>0.00608607094089031</v>
      </c>
      <c r="G683" s="30" t="n">
        <f aca="false">Panel!D659-Panel!D658</f>
        <v>-0.00119316780864231</v>
      </c>
      <c r="H683" s="30" t="n">
        <f aca="false">Panel!D658-Panel!D657</f>
        <v>-0.00074066933658834</v>
      </c>
      <c r="I683" s="30" t="n">
        <f aca="false">Panel!D657-Panel!D656</f>
        <v>-0.0065801595730921</v>
      </c>
      <c r="L683" s="30" t="n">
        <f aca="false">Panel!E657-Panel!E656</f>
        <v>-0.00640372785796028</v>
      </c>
      <c r="M683" s="29" t="n">
        <f aca="false">Panel!E656</f>
        <v>5.68534691250052</v>
      </c>
    </row>
    <row r="684" customFormat="false" ht="15" hidden="false" customHeight="false" outlineLevel="0" collapsed="false">
      <c r="C684" s="0" t="n">
        <f aca="false">Panel!D663-Panel!D662</f>
        <v>-0.00122230258799938</v>
      </c>
      <c r="D684" s="29" t="n">
        <f aca="false">Panel!D662</f>
        <v>10.1733658237074</v>
      </c>
      <c r="E684" s="30" t="n">
        <f aca="false">Panel!D662-Panel!D661</f>
        <v>-0.000225199006258947</v>
      </c>
      <c r="F684" s="30" t="n">
        <f aca="false">Panel!D661-Panel!D660</f>
        <v>0.00620192639111039</v>
      </c>
      <c r="G684" s="30" t="n">
        <f aca="false">Panel!D660-Panel!D659</f>
        <v>0.00608607094089031</v>
      </c>
      <c r="H684" s="30" t="n">
        <f aca="false">Panel!D659-Panel!D658</f>
        <v>-0.00119316780864231</v>
      </c>
      <c r="I684" s="30" t="n">
        <f aca="false">Panel!D658-Panel!D657</f>
        <v>-0.00074066933658834</v>
      </c>
      <c r="L684" s="30" t="n">
        <f aca="false">Panel!E658-Panel!E657</f>
        <v>-0.00253190678248671</v>
      </c>
      <c r="M684" s="29" t="n">
        <f aca="false">Panel!E657</f>
        <v>5.67894318464256</v>
      </c>
    </row>
    <row r="685" customFormat="false" ht="15" hidden="false" customHeight="false" outlineLevel="0" collapsed="false">
      <c r="C685" s="0" t="n">
        <f aca="false">Panel!D664-Panel!D663</f>
        <v>-0.00406341935648058</v>
      </c>
      <c r="D685" s="29" t="n">
        <f aca="false">Panel!D663</f>
        <v>10.1721435211194</v>
      </c>
      <c r="E685" s="30" t="n">
        <f aca="false">Panel!D663-Panel!D662</f>
        <v>-0.00122230258799938</v>
      </c>
      <c r="F685" s="30" t="n">
        <f aca="false">Panel!D662-Panel!D661</f>
        <v>-0.000225199006258947</v>
      </c>
      <c r="G685" s="30" t="n">
        <f aca="false">Panel!D661-Panel!D660</f>
        <v>0.00620192639111039</v>
      </c>
      <c r="H685" s="30" t="n">
        <f aca="false">Panel!D660-Panel!D659</f>
        <v>0.00608607094089031</v>
      </c>
      <c r="I685" s="30" t="n">
        <f aca="false">Panel!D659-Panel!D658</f>
        <v>-0.00119316780864231</v>
      </c>
      <c r="L685" s="30" t="n">
        <f aca="false">Panel!E659-Panel!E658</f>
        <v>0.000205528723362214</v>
      </c>
      <c r="M685" s="29" t="n">
        <f aca="false">Panel!E658</f>
        <v>5.67641127786007</v>
      </c>
    </row>
    <row r="686" customFormat="false" ht="15" hidden="false" customHeight="false" outlineLevel="0" collapsed="false">
      <c r="C686" s="0" t="n">
        <f aca="false">Panel!D665-Panel!D664</f>
        <v>-0.00393743683558689</v>
      </c>
      <c r="D686" s="29" t="n">
        <f aca="false">Panel!D664</f>
        <v>10.1680801017629</v>
      </c>
      <c r="E686" s="30" t="n">
        <f aca="false">Panel!D664-Panel!D663</f>
        <v>-0.00406341935648058</v>
      </c>
      <c r="F686" s="30" t="n">
        <f aca="false">Panel!D663-Panel!D662</f>
        <v>-0.00122230258799938</v>
      </c>
      <c r="G686" s="30" t="n">
        <f aca="false">Panel!D662-Panel!D661</f>
        <v>-0.000225199006258947</v>
      </c>
      <c r="H686" s="30" t="n">
        <f aca="false">Panel!D661-Panel!D660</f>
        <v>0.00620192639111039</v>
      </c>
      <c r="I686" s="30" t="n">
        <f aca="false">Panel!D660-Panel!D659</f>
        <v>0.00608607094089031</v>
      </c>
      <c r="L686" s="30" t="n">
        <f aca="false">Panel!E660-Panel!E659</f>
        <v>0.00526083268472011</v>
      </c>
      <c r="M686" s="29" t="n">
        <f aca="false">Panel!E659</f>
        <v>5.67661680658343</v>
      </c>
    </row>
    <row r="687" customFormat="false" ht="15" hidden="false" customHeight="false" outlineLevel="0" collapsed="false">
      <c r="C687" s="0" t="n">
        <f aca="false">Panel!D666-Panel!D665</f>
        <v>-0.000701443383354317</v>
      </c>
      <c r="D687" s="29" t="n">
        <f aca="false">Panel!D665</f>
        <v>10.1641426649273</v>
      </c>
      <c r="E687" s="30" t="n">
        <f aca="false">Panel!D665-Panel!D664</f>
        <v>-0.00393743683558689</v>
      </c>
      <c r="F687" s="30" t="n">
        <f aca="false">Panel!D664-Panel!D663</f>
        <v>-0.00406341935648058</v>
      </c>
      <c r="G687" s="30" t="n">
        <f aca="false">Panel!D663-Panel!D662</f>
        <v>-0.00122230258799938</v>
      </c>
      <c r="H687" s="30" t="n">
        <f aca="false">Panel!D662-Panel!D661</f>
        <v>-0.000225199006258947</v>
      </c>
      <c r="I687" s="30" t="n">
        <f aca="false">Panel!D661-Panel!D660</f>
        <v>0.00620192639111039</v>
      </c>
      <c r="L687" s="30" t="n">
        <f aca="false">Panel!E661-Panel!E660</f>
        <v>0.00740014918516785</v>
      </c>
      <c r="M687" s="29" t="n">
        <f aca="false">Panel!E660</f>
        <v>5.68187763926815</v>
      </c>
    </row>
    <row r="688" customFormat="false" ht="15" hidden="false" customHeight="false" outlineLevel="0" collapsed="false">
      <c r="C688" s="0" t="n">
        <f aca="false">Panel!D667-Panel!D666</f>
        <v>0.0138829966219198</v>
      </c>
      <c r="D688" s="29" t="n">
        <f aca="false">Panel!D666</f>
        <v>10.1634412215439</v>
      </c>
      <c r="E688" s="30" t="n">
        <f aca="false">Panel!D666-Panel!D665</f>
        <v>-0.000701443383354317</v>
      </c>
      <c r="F688" s="30" t="n">
        <f aca="false">Panel!D665-Panel!D664</f>
        <v>-0.00393743683558689</v>
      </c>
      <c r="G688" s="30" t="n">
        <f aca="false">Panel!D664-Panel!D663</f>
        <v>-0.00406341935648058</v>
      </c>
      <c r="H688" s="30" t="n">
        <f aca="false">Panel!D663-Panel!D662</f>
        <v>-0.00122230258799938</v>
      </c>
      <c r="I688" s="30" t="n">
        <f aca="false">Panel!D662-Panel!D661</f>
        <v>-0.000225199006258947</v>
      </c>
      <c r="L688" s="30" t="n">
        <f aca="false">Panel!E662-Panel!E661</f>
        <v>-0.000101466186480437</v>
      </c>
      <c r="M688" s="29" t="n">
        <f aca="false">Panel!E661</f>
        <v>5.68927778845332</v>
      </c>
    </row>
    <row r="689" customFormat="false" ht="15" hidden="false" customHeight="false" outlineLevel="0" collapsed="false">
      <c r="C689" s="0" t="n">
        <f aca="false">Panel!D668-Panel!D667</f>
        <v>-0.000228162909305496</v>
      </c>
      <c r="D689" s="29" t="n">
        <f aca="false">Panel!D667</f>
        <v>10.1773242181659</v>
      </c>
      <c r="E689" s="30" t="n">
        <f aca="false">Panel!D667-Panel!D666</f>
        <v>0.0138829966219198</v>
      </c>
      <c r="F689" s="30" t="n">
        <f aca="false">Panel!D666-Panel!D665</f>
        <v>-0.000701443383354317</v>
      </c>
      <c r="G689" s="30" t="n">
        <f aca="false">Panel!D665-Panel!D664</f>
        <v>-0.00393743683558689</v>
      </c>
      <c r="H689" s="30" t="n">
        <f aca="false">Panel!D664-Panel!D663</f>
        <v>-0.00406341935648058</v>
      </c>
      <c r="I689" s="30" t="n">
        <f aca="false">Panel!D663-Panel!D662</f>
        <v>-0.00122230258799938</v>
      </c>
      <c r="L689" s="30" t="n">
        <f aca="false">Panel!E663-Panel!E662</f>
        <v>-0.000372130791350678</v>
      </c>
      <c r="M689" s="29" t="n">
        <f aca="false">Panel!E662</f>
        <v>5.68917632226684</v>
      </c>
    </row>
    <row r="690" customFormat="false" ht="15" hidden="false" customHeight="false" outlineLevel="0" collapsed="false">
      <c r="C690" s="0" t="n">
        <f aca="false">Panel!D669-Panel!D668</f>
        <v>0.00697342324105144</v>
      </c>
      <c r="D690" s="29" t="n">
        <f aca="false">Panel!D668</f>
        <v>10.1770960552566</v>
      </c>
      <c r="E690" s="30" t="n">
        <f aca="false">Panel!D668-Panel!D667</f>
        <v>-0.000228162909305496</v>
      </c>
      <c r="F690" s="30" t="n">
        <f aca="false">Panel!D667-Panel!D666</f>
        <v>0.0138829966219198</v>
      </c>
      <c r="G690" s="30" t="n">
        <f aca="false">Panel!D666-Panel!D665</f>
        <v>-0.000701443383354317</v>
      </c>
      <c r="H690" s="30" t="n">
        <f aca="false">Panel!D665-Panel!D664</f>
        <v>-0.00393743683558689</v>
      </c>
      <c r="I690" s="30" t="n">
        <f aca="false">Panel!D664-Panel!D663</f>
        <v>-0.00406341935648058</v>
      </c>
      <c r="L690" s="30" t="n">
        <f aca="false">Panel!E664-Panel!E663</f>
        <v>-0.00369498208490882</v>
      </c>
      <c r="M690" s="29" t="n">
        <f aca="false">Panel!E663</f>
        <v>5.68880419147549</v>
      </c>
    </row>
    <row r="691" customFormat="false" ht="15" hidden="false" customHeight="false" outlineLevel="0" collapsed="false">
      <c r="C691" s="0" t="n">
        <f aca="false">Panel!D670-Panel!D669</f>
        <v>-0.00564320621955972</v>
      </c>
      <c r="D691" s="29" t="n">
        <f aca="false">Panel!D669</f>
        <v>10.1840694784976</v>
      </c>
      <c r="E691" s="30" t="n">
        <f aca="false">Panel!D669-Panel!D668</f>
        <v>0.00697342324105144</v>
      </c>
      <c r="F691" s="30" t="n">
        <f aca="false">Panel!D668-Panel!D667</f>
        <v>-0.000228162909305496</v>
      </c>
      <c r="G691" s="30" t="n">
        <f aca="false">Panel!D667-Panel!D666</f>
        <v>0.0138829966219198</v>
      </c>
      <c r="H691" s="30" t="n">
        <f aca="false">Panel!D666-Panel!D665</f>
        <v>-0.000701443383354317</v>
      </c>
      <c r="I691" s="30" t="n">
        <f aca="false">Panel!D665-Panel!D664</f>
        <v>-0.00393743683558689</v>
      </c>
      <c r="L691" s="30" t="n">
        <f aca="false">Panel!E665-Panel!E664</f>
        <v>-0.00370868562750903</v>
      </c>
      <c r="M691" s="29" t="n">
        <f aca="false">Panel!E664</f>
        <v>5.68510920939058</v>
      </c>
    </row>
    <row r="692" customFormat="false" ht="15" hidden="false" customHeight="false" outlineLevel="0" collapsed="false">
      <c r="C692" s="0" t="n">
        <f aca="false">Panel!D671-Panel!D670</f>
        <v>-0.00168016795585757</v>
      </c>
      <c r="D692" s="29" t="n">
        <f aca="false">Panel!D670</f>
        <v>10.178426272278</v>
      </c>
      <c r="E692" s="30" t="n">
        <f aca="false">Panel!D670-Panel!D669</f>
        <v>-0.00564320621955972</v>
      </c>
      <c r="F692" s="30" t="n">
        <f aca="false">Panel!D669-Panel!D668</f>
        <v>0.00697342324105144</v>
      </c>
      <c r="G692" s="30" t="n">
        <f aca="false">Panel!D668-Panel!D667</f>
        <v>-0.000228162909305496</v>
      </c>
      <c r="H692" s="30" t="n">
        <f aca="false">Panel!D667-Panel!D666</f>
        <v>0.0138829966219198</v>
      </c>
      <c r="I692" s="30" t="n">
        <f aca="false">Panel!D666-Panel!D665</f>
        <v>-0.000701443383354317</v>
      </c>
      <c r="L692" s="30" t="n">
        <f aca="false">Panel!E666-Panel!E665</f>
        <v>0.000477115505081116</v>
      </c>
      <c r="M692" s="29" t="n">
        <f aca="false">Panel!E665</f>
        <v>5.68140052376307</v>
      </c>
    </row>
    <row r="693" customFormat="false" ht="15" hidden="false" customHeight="false" outlineLevel="0" collapsed="false">
      <c r="C693" s="0" t="n">
        <f aca="false">Panel!D672-Panel!D671</f>
        <v>-0.00189261650671213</v>
      </c>
      <c r="D693" s="29" t="n">
        <f aca="false">Panel!D671</f>
        <v>10.1767461043222</v>
      </c>
      <c r="E693" s="30" t="n">
        <f aca="false">Panel!D671-Panel!D670</f>
        <v>-0.00168016795585757</v>
      </c>
      <c r="F693" s="30" t="n">
        <f aca="false">Panel!D670-Panel!D669</f>
        <v>-0.00564320621955972</v>
      </c>
      <c r="G693" s="30" t="n">
        <f aca="false">Panel!D669-Panel!D668</f>
        <v>0.00697342324105144</v>
      </c>
      <c r="H693" s="30" t="n">
        <f aca="false">Panel!D668-Panel!D667</f>
        <v>-0.000228162909305496</v>
      </c>
      <c r="I693" s="30" t="n">
        <f aca="false">Panel!D667-Panel!D666</f>
        <v>0.0138829966219198</v>
      </c>
      <c r="L693" s="30" t="n">
        <f aca="false">Panel!E667-Panel!E666</f>
        <v>0.00604641945359141</v>
      </c>
      <c r="M693" s="29" t="n">
        <f aca="false">Panel!E666</f>
        <v>5.68187763926815</v>
      </c>
    </row>
    <row r="694" customFormat="false" ht="15" hidden="false" customHeight="false" outlineLevel="0" collapsed="false">
      <c r="C694" s="0" t="n">
        <f aca="false">Panel!D673-Panel!D672</f>
        <v>-0.0103448802061283</v>
      </c>
      <c r="D694" s="29" t="n">
        <f aca="false">Panel!D672</f>
        <v>10.1748534878155</v>
      </c>
      <c r="E694" s="30" t="n">
        <f aca="false">Panel!D672-Panel!D671</f>
        <v>-0.00189261650671213</v>
      </c>
      <c r="F694" s="30" t="n">
        <f aca="false">Panel!D671-Panel!D670</f>
        <v>-0.00168016795585757</v>
      </c>
      <c r="G694" s="30" t="n">
        <f aca="false">Panel!D670-Panel!D669</f>
        <v>-0.00564320621955972</v>
      </c>
      <c r="H694" s="30" t="n">
        <f aca="false">Panel!D669-Panel!D668</f>
        <v>0.00697342324105144</v>
      </c>
      <c r="I694" s="30" t="n">
        <f aca="false">Panel!D668-Panel!D667</f>
        <v>-0.000228162909305496</v>
      </c>
      <c r="L694" s="30" t="n">
        <f aca="false">Panel!E668-Panel!E667</f>
        <v>0.000338604276421073</v>
      </c>
      <c r="M694" s="29" t="n">
        <f aca="false">Panel!E667</f>
        <v>5.68792405872174</v>
      </c>
    </row>
    <row r="695" customFormat="false" ht="15" hidden="false" customHeight="false" outlineLevel="0" collapsed="false">
      <c r="C695" s="0" t="n">
        <f aca="false">Panel!D674-Panel!D673</f>
        <v>-0.00583634821421164</v>
      </c>
      <c r="D695" s="29" t="n">
        <f aca="false">Panel!D673</f>
        <v>10.1645086076093</v>
      </c>
      <c r="E695" s="30" t="n">
        <f aca="false">Panel!D673-Panel!D672</f>
        <v>-0.0103448802061283</v>
      </c>
      <c r="F695" s="30" t="n">
        <f aca="false">Panel!D672-Panel!D671</f>
        <v>-0.00189261650671213</v>
      </c>
      <c r="G695" s="30" t="n">
        <f aca="false">Panel!D671-Panel!D670</f>
        <v>-0.00168016795585757</v>
      </c>
      <c r="H695" s="30" t="n">
        <f aca="false">Panel!D670-Panel!D669</f>
        <v>-0.00564320621955972</v>
      </c>
      <c r="I695" s="30" t="n">
        <f aca="false">Panel!D669-Panel!D668</f>
        <v>0.00697342324105144</v>
      </c>
      <c r="L695" s="30" t="n">
        <f aca="false">Panel!E669-Panel!E668</f>
        <v>0.00812587710432489</v>
      </c>
      <c r="M695" s="29" t="n">
        <f aca="false">Panel!E668</f>
        <v>5.68826266299816</v>
      </c>
    </row>
    <row r="696" customFormat="false" ht="15" hidden="false" customHeight="false" outlineLevel="0" collapsed="false">
      <c r="C696" s="0" t="n">
        <f aca="false">Panel!D675-Panel!D674</f>
        <v>0.00247620648076641</v>
      </c>
      <c r="D696" s="29" t="n">
        <f aca="false">Panel!D674</f>
        <v>10.1586722593951</v>
      </c>
      <c r="E696" s="30" t="n">
        <f aca="false">Panel!D674-Panel!D673</f>
        <v>-0.00583634821421164</v>
      </c>
      <c r="F696" s="30" t="n">
        <f aca="false">Panel!D673-Panel!D672</f>
        <v>-0.0103448802061283</v>
      </c>
      <c r="G696" s="30" t="n">
        <f aca="false">Panel!D672-Panel!D671</f>
        <v>-0.00189261650671213</v>
      </c>
      <c r="H696" s="30" t="n">
        <f aca="false">Panel!D671-Panel!D670</f>
        <v>-0.00168016795585757</v>
      </c>
      <c r="I696" s="30" t="n">
        <f aca="false">Panel!D670-Panel!D669</f>
        <v>-0.00564320621955972</v>
      </c>
      <c r="L696" s="30" t="n">
        <f aca="false">Panel!E670-Panel!E669</f>
        <v>-0.00467864668055729</v>
      </c>
      <c r="M696" s="29" t="n">
        <f aca="false">Panel!E669</f>
        <v>5.69638854010249</v>
      </c>
    </row>
    <row r="697" customFormat="false" ht="15" hidden="false" customHeight="false" outlineLevel="0" collapsed="false">
      <c r="C697" s="0" t="n">
        <f aca="false">Panel!D676-Panel!D675</f>
        <v>-0.00379418938272025</v>
      </c>
      <c r="D697" s="29" t="n">
        <f aca="false">Panel!D675</f>
        <v>10.1611484658759</v>
      </c>
      <c r="E697" s="30" t="n">
        <f aca="false">Panel!D675-Panel!D674</f>
        <v>0.00247620648076641</v>
      </c>
      <c r="F697" s="30" t="n">
        <f aca="false">Panel!D674-Panel!D673</f>
        <v>-0.00583634821421164</v>
      </c>
      <c r="G697" s="30" t="n">
        <f aca="false">Panel!D673-Panel!D672</f>
        <v>-0.0103448802061283</v>
      </c>
      <c r="H697" s="30" t="n">
        <f aca="false">Panel!D672-Panel!D671</f>
        <v>-0.00189261650671213</v>
      </c>
      <c r="I697" s="30" t="n">
        <f aca="false">Panel!D671-Panel!D670</f>
        <v>-0.00168016795585757</v>
      </c>
      <c r="L697" s="30" t="n">
        <f aca="false">Panel!E671-Panel!E670</f>
        <v>-0.00104643125888337</v>
      </c>
      <c r="M697" s="29" t="n">
        <f aca="false">Panel!E670</f>
        <v>5.69170989342193</v>
      </c>
    </row>
    <row r="698" customFormat="false" ht="15" hidden="false" customHeight="false" outlineLevel="0" collapsed="false">
      <c r="C698" s="0" t="n">
        <f aca="false">Panel!D677-Panel!D676</f>
        <v>-0.00212405405134675</v>
      </c>
      <c r="D698" s="29" t="n">
        <f aca="false">Panel!D676</f>
        <v>10.1573542764932</v>
      </c>
      <c r="E698" s="30" t="n">
        <f aca="false">Panel!D676-Panel!D675</f>
        <v>-0.00379418938272025</v>
      </c>
      <c r="F698" s="30" t="n">
        <f aca="false">Panel!D675-Panel!D674</f>
        <v>0.00247620648076641</v>
      </c>
      <c r="G698" s="30" t="n">
        <f aca="false">Panel!D674-Panel!D673</f>
        <v>-0.00583634821421164</v>
      </c>
      <c r="H698" s="30" t="n">
        <f aca="false">Panel!D673-Panel!D672</f>
        <v>-0.0103448802061283</v>
      </c>
      <c r="I698" s="30" t="n">
        <f aca="false">Panel!D672-Panel!D671</f>
        <v>-0.00189261650671213</v>
      </c>
      <c r="L698" s="30" t="n">
        <f aca="false">Panel!E672-Panel!E671</f>
        <v>-0.00114895930455194</v>
      </c>
      <c r="M698" s="29" t="n">
        <f aca="false">Panel!E671</f>
        <v>5.69066346216305</v>
      </c>
    </row>
    <row r="699" customFormat="false" ht="15" hidden="false" customHeight="false" outlineLevel="0" collapsed="false">
      <c r="C699" s="0" t="n">
        <f aca="false">Panel!D678-Panel!D677</f>
        <v>0.000963567137654664</v>
      </c>
      <c r="D699" s="29" t="n">
        <f aca="false">Panel!D677</f>
        <v>10.1552302224418</v>
      </c>
      <c r="E699" s="30" t="n">
        <f aca="false">Panel!D677-Panel!D676</f>
        <v>-0.00212405405134675</v>
      </c>
      <c r="F699" s="30" t="n">
        <f aca="false">Panel!D676-Panel!D675</f>
        <v>-0.00379418938272025</v>
      </c>
      <c r="G699" s="30" t="n">
        <f aca="false">Panel!D675-Panel!D674</f>
        <v>0.00247620648076641</v>
      </c>
      <c r="H699" s="30" t="n">
        <f aca="false">Panel!D674-Panel!D673</f>
        <v>-0.00583634821421164</v>
      </c>
      <c r="I699" s="30" t="n">
        <f aca="false">Panel!D673-Panel!D672</f>
        <v>-0.0103448802061283</v>
      </c>
      <c r="L699" s="30" t="n">
        <f aca="false">Panel!E673-Panel!E672</f>
        <v>-0.00934189384142847</v>
      </c>
      <c r="M699" s="29" t="n">
        <f aca="false">Panel!E672</f>
        <v>5.6895145028585</v>
      </c>
    </row>
    <row r="700" customFormat="false" ht="15" hidden="false" customHeight="false" outlineLevel="0" collapsed="false">
      <c r="C700" s="0" t="n">
        <f aca="false">Panel!D679-Panel!D678</f>
        <v>-0.00684665944541507</v>
      </c>
      <c r="D700" s="29" t="n">
        <f aca="false">Panel!D678</f>
        <v>10.1561937895795</v>
      </c>
      <c r="E700" s="30" t="n">
        <f aca="false">Panel!D678-Panel!D677</f>
        <v>0.000963567137654664</v>
      </c>
      <c r="F700" s="30" t="n">
        <f aca="false">Panel!D677-Panel!D676</f>
        <v>-0.00212405405134675</v>
      </c>
      <c r="G700" s="30" t="n">
        <f aca="false">Panel!D676-Panel!D675</f>
        <v>-0.00379418938272025</v>
      </c>
      <c r="H700" s="30" t="n">
        <f aca="false">Panel!D675-Panel!D674</f>
        <v>0.00247620648076641</v>
      </c>
      <c r="I700" s="30" t="n">
        <f aca="false">Panel!D674-Panel!D673</f>
        <v>-0.00583634821421164</v>
      </c>
      <c r="L700" s="30" t="n">
        <f aca="false">Panel!E674-Panel!E673</f>
        <v>-0.0063683578805529</v>
      </c>
      <c r="M700" s="29" t="n">
        <f aca="false">Panel!E673</f>
        <v>5.68017260901707</v>
      </c>
    </row>
    <row r="701" customFormat="false" ht="15" hidden="false" customHeight="false" outlineLevel="0" collapsed="false">
      <c r="C701" s="0" t="n">
        <f aca="false">Panel!D680-Panel!D679</f>
        <v>-0.0120689085399732</v>
      </c>
      <c r="D701" s="29" t="n">
        <f aca="false">Panel!D679</f>
        <v>10.1493471301341</v>
      </c>
      <c r="E701" s="30" t="n">
        <f aca="false">Panel!D679-Panel!D678</f>
        <v>-0.00684665944541507</v>
      </c>
      <c r="F701" s="30" t="n">
        <f aca="false">Panel!D678-Panel!D677</f>
        <v>0.000963567137654664</v>
      </c>
      <c r="G701" s="30" t="n">
        <f aca="false">Panel!D677-Panel!D676</f>
        <v>-0.00212405405134675</v>
      </c>
      <c r="H701" s="30" t="n">
        <f aca="false">Panel!D676-Panel!D675</f>
        <v>-0.00379418938272025</v>
      </c>
      <c r="I701" s="30" t="n">
        <f aca="false">Panel!D675-Panel!D674</f>
        <v>0.00247620648076641</v>
      </c>
      <c r="L701" s="30" t="n">
        <f aca="false">Panel!E675-Panel!E674</f>
        <v>0.00294955113176698</v>
      </c>
      <c r="M701" s="29" t="n">
        <f aca="false">Panel!E674</f>
        <v>5.67380425113652</v>
      </c>
    </row>
    <row r="702" customFormat="false" ht="15" hidden="false" customHeight="false" outlineLevel="0" collapsed="false">
      <c r="C702" s="0" t="n">
        <f aca="false">Panel!D681-Panel!D680</f>
        <v>-0.00315525198546496</v>
      </c>
      <c r="D702" s="29" t="n">
        <f aca="false">Panel!D680</f>
        <v>10.1372782215941</v>
      </c>
      <c r="E702" s="30" t="n">
        <f aca="false">Panel!D680-Panel!D679</f>
        <v>-0.0120689085399732</v>
      </c>
      <c r="F702" s="30" t="n">
        <f aca="false">Panel!D679-Panel!D678</f>
        <v>-0.00684665944541507</v>
      </c>
      <c r="G702" s="30" t="n">
        <f aca="false">Panel!D678-Panel!D677</f>
        <v>0.000963567137654664</v>
      </c>
      <c r="H702" s="30" t="n">
        <f aca="false">Panel!D677-Panel!D676</f>
        <v>-0.00212405405134675</v>
      </c>
      <c r="I702" s="30" t="n">
        <f aca="false">Panel!D676-Panel!D675</f>
        <v>-0.00379418938272025</v>
      </c>
      <c r="L702" s="30" t="n">
        <f aca="false">Panel!E676-Panel!E675</f>
        <v>-0.00260613274177146</v>
      </c>
      <c r="M702" s="29" t="n">
        <f aca="false">Panel!E675</f>
        <v>5.67675380226828</v>
      </c>
    </row>
    <row r="703" customFormat="false" ht="15" hidden="false" customHeight="false" outlineLevel="0" collapsed="false">
      <c r="C703" s="0" t="n">
        <f aca="false">Panel!D682-Panel!D681</f>
        <v>0.00733763168770274</v>
      </c>
      <c r="D703" s="29" t="n">
        <f aca="false">Panel!D681</f>
        <v>10.1341229696086</v>
      </c>
      <c r="E703" s="30" t="n">
        <f aca="false">Panel!D681-Panel!D680</f>
        <v>-0.00315525198546496</v>
      </c>
      <c r="F703" s="30" t="n">
        <f aca="false">Panel!D680-Panel!D679</f>
        <v>-0.0120689085399732</v>
      </c>
      <c r="G703" s="30" t="n">
        <f aca="false">Panel!D679-Panel!D678</f>
        <v>-0.00684665944541507</v>
      </c>
      <c r="H703" s="30" t="n">
        <f aca="false">Panel!D678-Panel!D677</f>
        <v>0.000963567137654664</v>
      </c>
      <c r="I703" s="30" t="n">
        <f aca="false">Panel!D677-Panel!D676</f>
        <v>-0.00212405405134675</v>
      </c>
      <c r="L703" s="30" t="n">
        <f aca="false">Panel!E677-Panel!E676</f>
        <v>-0.000480818774932779</v>
      </c>
      <c r="M703" s="29" t="n">
        <f aca="false">Panel!E676</f>
        <v>5.67414766952651</v>
      </c>
    </row>
    <row r="704" customFormat="false" ht="15" hidden="false" customHeight="false" outlineLevel="0" collapsed="false">
      <c r="C704" s="0" t="n">
        <f aca="false">Panel!D683-Panel!D682</f>
        <v>-0.0116346065494781</v>
      </c>
      <c r="D704" s="29" t="n">
        <f aca="false">Panel!D682</f>
        <v>10.1414606012963</v>
      </c>
      <c r="E704" s="30" t="n">
        <f aca="false">Panel!D682-Panel!D681</f>
        <v>0.00733763168770274</v>
      </c>
      <c r="F704" s="30" t="n">
        <f aca="false">Panel!D681-Panel!D680</f>
        <v>-0.00315525198546496</v>
      </c>
      <c r="G704" s="30" t="n">
        <f aca="false">Panel!D680-Panel!D679</f>
        <v>-0.0120689085399732</v>
      </c>
      <c r="H704" s="30" t="n">
        <f aca="false">Panel!D679-Panel!D678</f>
        <v>-0.00684665944541507</v>
      </c>
      <c r="I704" s="30" t="n">
        <f aca="false">Panel!D678-Panel!D677</f>
        <v>0.000963567137654664</v>
      </c>
      <c r="L704" s="30" t="n">
        <f aca="false">Panel!E678-Panel!E677</f>
        <v>-0.00068728525042161</v>
      </c>
      <c r="M704" s="29" t="n">
        <f aca="false">Panel!E677</f>
        <v>5.67366685075158</v>
      </c>
    </row>
    <row r="705" customFormat="false" ht="15" hidden="false" customHeight="false" outlineLevel="0" collapsed="false">
      <c r="C705" s="0" t="n">
        <f aca="false">Panel!D684-Panel!D683</f>
        <v>0.00374100010459344</v>
      </c>
      <c r="D705" s="29" t="n">
        <f aca="false">Panel!D683</f>
        <v>10.1298259947469</v>
      </c>
      <c r="E705" s="30" t="n">
        <f aca="false">Panel!D683-Panel!D682</f>
        <v>-0.0116346065494781</v>
      </c>
      <c r="F705" s="30" t="n">
        <f aca="false">Panel!D682-Panel!D681</f>
        <v>0.00733763168770274</v>
      </c>
      <c r="G705" s="30" t="n">
        <f aca="false">Panel!D681-Panel!D680</f>
        <v>-0.00315525198546496</v>
      </c>
      <c r="H705" s="30" t="n">
        <f aca="false">Panel!D680-Panel!D679</f>
        <v>-0.0120689085399732</v>
      </c>
      <c r="I705" s="30" t="n">
        <f aca="false">Panel!D679-Panel!D678</f>
        <v>-0.00684665944541507</v>
      </c>
      <c r="L705" s="30" t="n">
        <f aca="false">Panel!E679-Panel!E678</f>
        <v>-0.00537709829971167</v>
      </c>
      <c r="M705" s="29" t="n">
        <f aca="false">Panel!E678</f>
        <v>5.67297956550116</v>
      </c>
    </row>
    <row r="706" customFormat="false" ht="15" hidden="false" customHeight="false" outlineLevel="0" collapsed="false">
      <c r="C706" s="0" t="n">
        <f aca="false">Panel!D685-Panel!D684</f>
        <v>0.0109040271272178</v>
      </c>
      <c r="D706" s="29" t="n">
        <f aca="false">Panel!D684</f>
        <v>10.1335669948515</v>
      </c>
      <c r="E706" s="30" t="n">
        <f aca="false">Panel!D684-Panel!D683</f>
        <v>0.00374100010459344</v>
      </c>
      <c r="F706" s="30" t="n">
        <f aca="false">Panel!D683-Panel!D682</f>
        <v>-0.0116346065494781</v>
      </c>
      <c r="G706" s="30" t="n">
        <f aca="false">Panel!D682-Panel!D681</f>
        <v>0.00733763168770274</v>
      </c>
      <c r="H706" s="30" t="n">
        <f aca="false">Panel!D681-Panel!D680</f>
        <v>-0.00315525198546496</v>
      </c>
      <c r="I706" s="30" t="n">
        <f aca="false">Panel!D680-Panel!D679</f>
        <v>-0.0120689085399732</v>
      </c>
      <c r="L706" s="30" t="n">
        <f aca="false">Panel!E680-Panel!E679</f>
        <v>-0.00812025144182282</v>
      </c>
      <c r="M706" s="29" t="n">
        <f aca="false">Panel!E679</f>
        <v>5.66760246720144</v>
      </c>
    </row>
    <row r="707" customFormat="false" ht="15" hidden="false" customHeight="false" outlineLevel="0" collapsed="false">
      <c r="C707" s="0" t="n">
        <f aca="false">Panel!D686-Panel!D685</f>
        <v>0.00345179600595813</v>
      </c>
      <c r="D707" s="29" t="n">
        <f aca="false">Panel!D685</f>
        <v>10.1444710219787</v>
      </c>
      <c r="E707" s="30" t="n">
        <f aca="false">Panel!D685-Panel!D684</f>
        <v>0.0109040271272178</v>
      </c>
      <c r="F707" s="30" t="n">
        <f aca="false">Panel!D684-Panel!D683</f>
        <v>0.00374100010459344</v>
      </c>
      <c r="G707" s="30" t="n">
        <f aca="false">Panel!D683-Panel!D682</f>
        <v>-0.0116346065494781</v>
      </c>
      <c r="H707" s="30" t="n">
        <f aca="false">Panel!D682-Panel!D681</f>
        <v>0.00733763168770274</v>
      </c>
      <c r="I707" s="30" t="n">
        <f aca="false">Panel!D681-Panel!D680</f>
        <v>-0.00315525198546496</v>
      </c>
      <c r="L707" s="30" t="n">
        <f aca="false">Panel!E681-Panel!E680</f>
        <v>-0.00590590733073881</v>
      </c>
      <c r="M707" s="29" t="n">
        <f aca="false">Panel!E680</f>
        <v>5.65948221575962</v>
      </c>
    </row>
    <row r="708" customFormat="false" ht="15" hidden="false" customHeight="false" outlineLevel="0" collapsed="false">
      <c r="C708" s="0" t="n">
        <f aca="false">Panel!D687-Panel!D686</f>
        <v>-0.00445426294462159</v>
      </c>
      <c r="D708" s="29" t="n">
        <f aca="false">Panel!D686</f>
        <v>10.1479228179846</v>
      </c>
      <c r="E708" s="30" t="n">
        <f aca="false">Panel!D686-Panel!D685</f>
        <v>0.00345179600595813</v>
      </c>
      <c r="F708" s="30" t="n">
        <f aca="false">Panel!D685-Panel!D684</f>
        <v>0.0109040271272178</v>
      </c>
      <c r="G708" s="30" t="n">
        <f aca="false">Panel!D684-Panel!D683</f>
        <v>0.00374100010459344</v>
      </c>
      <c r="H708" s="30" t="n">
        <f aca="false">Panel!D683-Panel!D682</f>
        <v>-0.0116346065494781</v>
      </c>
      <c r="I708" s="30" t="n">
        <f aca="false">Panel!D682-Panel!D681</f>
        <v>0.00733763168770274</v>
      </c>
      <c r="L708" s="30" t="n">
        <f aca="false">Panel!E682-Panel!E681</f>
        <v>0.00527853287218338</v>
      </c>
      <c r="M708" s="29" t="n">
        <f aca="false">Panel!E681</f>
        <v>5.65357630842888</v>
      </c>
    </row>
    <row r="709" customFormat="false" ht="15" hidden="false" customHeight="false" outlineLevel="0" collapsed="false">
      <c r="C709" s="0" t="n">
        <f aca="false">Panel!D688-Panel!D687</f>
        <v>-0.0248696228869321</v>
      </c>
      <c r="D709" s="29" t="n">
        <f aca="false">Panel!D687</f>
        <v>10.14346855504</v>
      </c>
      <c r="E709" s="30" t="n">
        <f aca="false">Panel!D687-Panel!D686</f>
        <v>-0.00445426294462159</v>
      </c>
      <c r="F709" s="30" t="n">
        <f aca="false">Panel!D686-Panel!D685</f>
        <v>0.00345179600595813</v>
      </c>
      <c r="G709" s="30" t="n">
        <f aca="false">Panel!D685-Panel!D684</f>
        <v>0.0109040271272178</v>
      </c>
      <c r="H709" s="30" t="n">
        <f aca="false">Panel!D684-Panel!D683</f>
        <v>0.00374100010459344</v>
      </c>
      <c r="I709" s="30" t="n">
        <f aca="false">Panel!D683-Panel!D682</f>
        <v>-0.0116346065494781</v>
      </c>
      <c r="L709" s="30" t="n">
        <f aca="false">Panel!E683-Panel!E682</f>
        <v>-0.00988060313985972</v>
      </c>
      <c r="M709" s="29" t="n">
        <f aca="false">Panel!E682</f>
        <v>5.65885484130107</v>
      </c>
    </row>
    <row r="710" customFormat="false" ht="15" hidden="false" customHeight="false" outlineLevel="0" collapsed="false">
      <c r="C710" s="0" t="n">
        <f aca="false">Panel!D689-Panel!D688</f>
        <v>0.0139824337237613</v>
      </c>
      <c r="D710" s="29" t="n">
        <f aca="false">Panel!D688</f>
        <v>10.1185989321531</v>
      </c>
      <c r="E710" s="30" t="n">
        <f aca="false">Panel!D688-Panel!D687</f>
        <v>-0.0248696228869321</v>
      </c>
      <c r="F710" s="30" t="n">
        <f aca="false">Panel!D687-Panel!D686</f>
        <v>-0.00445426294462159</v>
      </c>
      <c r="G710" s="30" t="n">
        <f aca="false">Panel!D686-Panel!D685</f>
        <v>0.00345179600595813</v>
      </c>
      <c r="H710" s="30" t="n">
        <f aca="false">Panel!D685-Panel!D684</f>
        <v>0.0109040271272178</v>
      </c>
      <c r="I710" s="30" t="n">
        <f aca="false">Panel!D684-Panel!D683</f>
        <v>0.00374100010459344</v>
      </c>
      <c r="L710" s="30" t="n">
        <f aca="false">Panel!E684-Panel!E683</f>
        <v>0.00663288329056311</v>
      </c>
      <c r="M710" s="29" t="n">
        <f aca="false">Panel!E683</f>
        <v>5.64897423816121</v>
      </c>
    </row>
    <row r="711" customFormat="false" ht="15" hidden="false" customHeight="false" outlineLevel="0" collapsed="false">
      <c r="C711" s="0" t="n">
        <f aca="false">Panel!D690-Panel!D689</f>
        <v>0.0264433532844048</v>
      </c>
      <c r="D711" s="29" t="n">
        <f aca="false">Panel!D689</f>
        <v>10.1325813658768</v>
      </c>
      <c r="E711" s="30" t="n">
        <f aca="false">Panel!D689-Panel!D688</f>
        <v>0.0139824337237613</v>
      </c>
      <c r="F711" s="30" t="n">
        <f aca="false">Panel!D688-Panel!D687</f>
        <v>-0.0248696228869321</v>
      </c>
      <c r="G711" s="30" t="n">
        <f aca="false">Panel!D687-Panel!D686</f>
        <v>-0.00445426294462159</v>
      </c>
      <c r="H711" s="30" t="n">
        <f aca="false">Panel!D686-Panel!D685</f>
        <v>0.00345179600595813</v>
      </c>
      <c r="I711" s="30" t="n">
        <f aca="false">Panel!D685-Panel!D684</f>
        <v>0.0109040271272178</v>
      </c>
      <c r="L711" s="30" t="n">
        <f aca="false">Panel!E685-Panel!E684</f>
        <v>0.00296876036635219</v>
      </c>
      <c r="M711" s="29" t="n">
        <f aca="false">Panel!E684</f>
        <v>5.65560712145177</v>
      </c>
    </row>
    <row r="712" customFormat="false" ht="15" hidden="false" customHeight="false" outlineLevel="0" collapsed="false">
      <c r="C712" s="0" t="n">
        <f aca="false">Panel!D691-Panel!D690</f>
        <v>0.00034072210183389</v>
      </c>
      <c r="D712" s="29" t="n">
        <f aca="false">Panel!D690</f>
        <v>10.1590247191612</v>
      </c>
      <c r="E712" s="30" t="n">
        <f aca="false">Panel!D690-Panel!D689</f>
        <v>0.0264433532844048</v>
      </c>
      <c r="F712" s="30" t="n">
        <f aca="false">Panel!D689-Panel!D688</f>
        <v>0.0139824337237613</v>
      </c>
      <c r="G712" s="30" t="n">
        <f aca="false">Panel!D688-Panel!D687</f>
        <v>-0.0248696228869321</v>
      </c>
      <c r="H712" s="30" t="n">
        <f aca="false">Panel!D687-Panel!D686</f>
        <v>-0.00445426294462159</v>
      </c>
      <c r="I712" s="30" t="n">
        <f aca="false">Panel!D686-Panel!D685</f>
        <v>0.00345179600595813</v>
      </c>
      <c r="L712" s="30" t="n">
        <f aca="false">Panel!E686-Panel!E685</f>
        <v>0.00261219520565881</v>
      </c>
      <c r="M712" s="29" t="n">
        <f aca="false">Panel!E685</f>
        <v>5.65857588181812</v>
      </c>
    </row>
    <row r="713" customFormat="false" ht="15" hidden="false" customHeight="false" outlineLevel="0" collapsed="false">
      <c r="C713" s="0" t="n">
        <f aca="false">Panel!D692-Panel!D691</f>
        <v>-0.00442291476749013</v>
      </c>
      <c r="D713" s="29" t="n">
        <f aca="false">Panel!D691</f>
        <v>10.1593654412631</v>
      </c>
      <c r="E713" s="30" t="n">
        <f aca="false">Panel!D691-Panel!D690</f>
        <v>0.00034072210183389</v>
      </c>
      <c r="F713" s="30" t="n">
        <f aca="false">Panel!D690-Panel!D689</f>
        <v>0.0264433532844048</v>
      </c>
      <c r="G713" s="30" t="n">
        <f aca="false">Panel!D689-Panel!D688</f>
        <v>0.0139824337237613</v>
      </c>
      <c r="H713" s="30" t="n">
        <f aca="false">Panel!D688-Panel!D687</f>
        <v>-0.0248696228869321</v>
      </c>
      <c r="I713" s="30" t="n">
        <f aca="false">Panel!D687-Panel!D686</f>
        <v>-0.00445426294462159</v>
      </c>
      <c r="L713" s="30" t="n">
        <f aca="false">Panel!E687-Panel!E686</f>
        <v>-0.00257732101430008</v>
      </c>
      <c r="M713" s="29" t="n">
        <f aca="false">Panel!E686</f>
        <v>5.66118807702378</v>
      </c>
    </row>
    <row r="714" customFormat="false" ht="15" hidden="false" customHeight="false" outlineLevel="0" collapsed="false">
      <c r="C714" s="0" t="n">
        <f aca="false">Panel!D693-Panel!D692</f>
        <v>0.000400419084735759</v>
      </c>
      <c r="D714" s="29" t="n">
        <f aca="false">Panel!D692</f>
        <v>10.1549425264956</v>
      </c>
      <c r="E714" s="30" t="n">
        <f aca="false">Panel!D692-Panel!D691</f>
        <v>-0.00442291476749013</v>
      </c>
      <c r="F714" s="30" t="n">
        <f aca="false">Panel!D691-Panel!D690</f>
        <v>0.00034072210183389</v>
      </c>
      <c r="G714" s="30" t="n">
        <f aca="false">Panel!D690-Panel!D689</f>
        <v>0.0264433532844048</v>
      </c>
      <c r="H714" s="30" t="n">
        <f aca="false">Panel!D689-Panel!D688</f>
        <v>0.0139824337237613</v>
      </c>
      <c r="I714" s="30" t="n">
        <f aca="false">Panel!D688-Panel!D687</f>
        <v>-0.0248696228869321</v>
      </c>
      <c r="L714" s="30" t="n">
        <f aca="false">Panel!E688-Panel!E687</f>
        <v>-0.015392488328061</v>
      </c>
      <c r="M714" s="29" t="n">
        <f aca="false">Panel!E687</f>
        <v>5.65861075600948</v>
      </c>
    </row>
    <row r="715" customFormat="false" ht="15" hidden="false" customHeight="false" outlineLevel="0" collapsed="false">
      <c r="C715" s="0" t="n">
        <f aca="false">Panel!D694-Panel!D693</f>
        <v>0.00700273209401203</v>
      </c>
      <c r="D715" s="29" t="n">
        <f aca="false">Panel!D693</f>
        <v>10.1553429455803</v>
      </c>
      <c r="E715" s="30" t="n">
        <f aca="false">Panel!D693-Panel!D692</f>
        <v>0.000400419084735759</v>
      </c>
      <c r="F715" s="30" t="n">
        <f aca="false">Panel!D692-Panel!D691</f>
        <v>-0.00442291476749013</v>
      </c>
      <c r="G715" s="30" t="n">
        <f aca="false">Panel!D691-Panel!D690</f>
        <v>0.00034072210183389</v>
      </c>
      <c r="H715" s="30" t="n">
        <f aca="false">Panel!D690-Panel!D689</f>
        <v>0.0264433532844048</v>
      </c>
      <c r="I715" s="30" t="n">
        <f aca="false">Panel!D689-Panel!D688</f>
        <v>0.0139824337237613</v>
      </c>
      <c r="L715" s="30" t="n">
        <f aca="false">Panel!E689-Panel!E688</f>
        <v>0.00751498588496613</v>
      </c>
      <c r="M715" s="29" t="n">
        <f aca="false">Panel!E688</f>
        <v>5.64321826768142</v>
      </c>
    </row>
    <row r="716" customFormat="false" ht="15" hidden="false" customHeight="false" outlineLevel="0" collapsed="false">
      <c r="C716" s="0" t="n">
        <f aca="false">Panel!D695-Panel!D694</f>
        <v>0.00234777637820649</v>
      </c>
      <c r="D716" s="29" t="n">
        <f aca="false">Panel!D694</f>
        <v>10.1623456776743</v>
      </c>
      <c r="E716" s="30" t="n">
        <f aca="false">Panel!D694-Panel!D693</f>
        <v>0.00700273209401203</v>
      </c>
      <c r="F716" s="30" t="n">
        <f aca="false">Panel!D693-Panel!D692</f>
        <v>0.000400419084735759</v>
      </c>
      <c r="G716" s="30" t="n">
        <f aca="false">Panel!D692-Panel!D691</f>
        <v>-0.00442291476749013</v>
      </c>
      <c r="H716" s="30" t="n">
        <f aca="false">Panel!D691-Panel!D690</f>
        <v>0.00034072210183389</v>
      </c>
      <c r="I716" s="30" t="n">
        <f aca="false">Panel!D690-Panel!D689</f>
        <v>0.0264433532844048</v>
      </c>
      <c r="L716" s="30" t="n">
        <f aca="false">Panel!E690-Panel!E689</f>
        <v>0.0232770627561454</v>
      </c>
      <c r="M716" s="29" t="n">
        <f aca="false">Panel!E689</f>
        <v>5.65073325356639</v>
      </c>
    </row>
    <row r="717" customFormat="false" ht="15" hidden="false" customHeight="false" outlineLevel="0" collapsed="false">
      <c r="C717" s="0" t="n">
        <f aca="false">Panel!D696-Panel!D695</f>
        <v>0.000762130615262535</v>
      </c>
      <c r="D717" s="29" t="n">
        <f aca="false">Panel!D695</f>
        <v>10.1646934540525</v>
      </c>
      <c r="E717" s="30" t="n">
        <f aca="false">Panel!D695-Panel!D694</f>
        <v>0.00234777637820649</v>
      </c>
      <c r="F717" s="30" t="n">
        <f aca="false">Panel!D694-Panel!D693</f>
        <v>0.00700273209401203</v>
      </c>
      <c r="G717" s="30" t="n">
        <f aca="false">Panel!D693-Panel!D692</f>
        <v>0.000400419084735759</v>
      </c>
      <c r="H717" s="30" t="n">
        <f aca="false">Panel!D692-Panel!D691</f>
        <v>-0.00442291476749013</v>
      </c>
      <c r="I717" s="30" t="n">
        <f aca="false">Panel!D691-Panel!D690</f>
        <v>0.00034072210183389</v>
      </c>
      <c r="L717" s="30" t="n">
        <f aca="false">Panel!E691-Panel!E690</f>
        <v>0.000343347642858483</v>
      </c>
      <c r="M717" s="29" t="n">
        <f aca="false">Panel!E690</f>
        <v>5.67401031632253</v>
      </c>
    </row>
    <row r="718" customFormat="false" ht="15" hidden="false" customHeight="false" outlineLevel="0" collapsed="false">
      <c r="C718" s="0" t="n">
        <f aca="false">Panel!D697-Panel!D696</f>
        <v>-0.00538970473122546</v>
      </c>
      <c r="D718" s="29" t="n">
        <f aca="false">Panel!D696</f>
        <v>10.1654555846678</v>
      </c>
      <c r="E718" s="30" t="n">
        <f aca="false">Panel!D696-Panel!D695</f>
        <v>0.000762130615262535</v>
      </c>
      <c r="F718" s="30" t="n">
        <f aca="false">Panel!D695-Panel!D694</f>
        <v>0.00234777637820649</v>
      </c>
      <c r="G718" s="30" t="n">
        <f aca="false">Panel!D694-Panel!D693</f>
        <v>0.00700273209401203</v>
      </c>
      <c r="H718" s="30" t="n">
        <f aca="false">Panel!D693-Panel!D692</f>
        <v>0.000400419084735759</v>
      </c>
      <c r="I718" s="30" t="n">
        <f aca="false">Panel!D692-Panel!D691</f>
        <v>-0.00442291476749013</v>
      </c>
      <c r="L718" s="30" t="n">
        <f aca="false">Panel!E692-Panel!E691</f>
        <v>-0.00309438101474857</v>
      </c>
      <c r="M718" s="29" t="n">
        <f aca="false">Panel!E691</f>
        <v>5.67435366396539</v>
      </c>
    </row>
    <row r="719" customFormat="false" ht="15" hidden="false" customHeight="false" outlineLevel="0" collapsed="false">
      <c r="C719" s="0" t="n">
        <f aca="false">Panel!D698-Panel!D697</f>
        <v>-0.0141891666407972</v>
      </c>
      <c r="D719" s="29" t="n">
        <f aca="false">Panel!D697</f>
        <v>10.1600658799366</v>
      </c>
      <c r="E719" s="30" t="n">
        <f aca="false">Panel!D697-Panel!D696</f>
        <v>-0.00538970473122546</v>
      </c>
      <c r="F719" s="30" t="n">
        <f aca="false">Panel!D696-Panel!D695</f>
        <v>0.000762130615262535</v>
      </c>
      <c r="G719" s="30" t="n">
        <f aca="false">Panel!D695-Panel!D694</f>
        <v>0.00234777637820649</v>
      </c>
      <c r="H719" s="30" t="n">
        <f aca="false">Panel!D694-Panel!D693</f>
        <v>0.00700273209401203</v>
      </c>
      <c r="I719" s="30" t="n">
        <f aca="false">Panel!D693-Panel!D692</f>
        <v>0.000400419084735759</v>
      </c>
      <c r="L719" s="30" t="n">
        <f aca="false">Panel!E693-Panel!E692</f>
        <v>0.00137646270872338</v>
      </c>
      <c r="M719" s="29" t="n">
        <f aca="false">Panel!E692</f>
        <v>5.67125928295064</v>
      </c>
    </row>
    <row r="720" customFormat="false" ht="15" hidden="false" customHeight="false" outlineLevel="0" collapsed="false">
      <c r="C720" s="0" t="n">
        <f aca="false">Panel!D699-Panel!D698</f>
        <v>0.00945845868291606</v>
      </c>
      <c r="D720" s="29" t="n">
        <f aca="false">Panel!D698</f>
        <v>10.1458767132958</v>
      </c>
      <c r="E720" s="30" t="n">
        <f aca="false">Panel!D698-Panel!D697</f>
        <v>-0.0141891666407972</v>
      </c>
      <c r="F720" s="30" t="n">
        <f aca="false">Panel!D697-Panel!D696</f>
        <v>-0.00538970473122546</v>
      </c>
      <c r="G720" s="30" t="n">
        <f aca="false">Panel!D696-Panel!D695</f>
        <v>0.000762130615262535</v>
      </c>
      <c r="H720" s="30" t="n">
        <f aca="false">Panel!D695-Panel!D694</f>
        <v>0.00234777637820649</v>
      </c>
      <c r="I720" s="30" t="n">
        <f aca="false">Panel!D694-Panel!D693</f>
        <v>0.00700273209401203</v>
      </c>
      <c r="L720" s="30" t="n">
        <f aca="false">Panel!E694-Panel!E693</f>
        <v>0.00548698221625887</v>
      </c>
      <c r="M720" s="29" t="n">
        <f aca="false">Panel!E693</f>
        <v>5.67263574565936</v>
      </c>
    </row>
    <row r="721" customFormat="false" ht="15" hidden="false" customHeight="false" outlineLevel="0" collapsed="false">
      <c r="C721" s="0" t="n">
        <f aca="false">Panel!D700-Panel!D699</f>
        <v>0.000330324789992176</v>
      </c>
      <c r="D721" s="29" t="n">
        <f aca="false">Panel!D699</f>
        <v>10.1553351719787</v>
      </c>
      <c r="E721" s="30" t="n">
        <f aca="false">Panel!D699-Panel!D698</f>
        <v>0.00945845868291606</v>
      </c>
      <c r="F721" s="30" t="n">
        <f aca="false">Panel!D698-Panel!D697</f>
        <v>-0.0141891666407972</v>
      </c>
      <c r="G721" s="30" t="n">
        <f aca="false">Panel!D697-Panel!D696</f>
        <v>-0.00538970473122546</v>
      </c>
      <c r="H721" s="30" t="n">
        <f aca="false">Panel!D696-Panel!D695</f>
        <v>0.000762130615262535</v>
      </c>
      <c r="I721" s="30" t="n">
        <f aca="false">Panel!D695-Panel!D694</f>
        <v>0.00234777637820649</v>
      </c>
      <c r="L721" s="30" t="n">
        <f aca="false">Panel!E695-Panel!E694</f>
        <v>0.00307324810778198</v>
      </c>
      <c r="M721" s="29" t="n">
        <f aca="false">Panel!E694</f>
        <v>5.67812272787562</v>
      </c>
    </row>
    <row r="722" customFormat="false" ht="15" hidden="false" customHeight="false" outlineLevel="0" collapsed="false">
      <c r="C722" s="0" t="n">
        <f aca="false">Panel!D701-Panel!D700</f>
        <v>0.00343279721915302</v>
      </c>
      <c r="D722" s="29" t="n">
        <f aca="false">Panel!D700</f>
        <v>10.1556654967687</v>
      </c>
      <c r="E722" s="30" t="n">
        <f aca="false">Panel!D700-Panel!D699</f>
        <v>0.000330324789992176</v>
      </c>
      <c r="F722" s="30" t="n">
        <f aca="false">Panel!D699-Panel!D698</f>
        <v>0.00945845868291606</v>
      </c>
      <c r="G722" s="30" t="n">
        <f aca="false">Panel!D698-Panel!D697</f>
        <v>-0.0141891666407972</v>
      </c>
      <c r="H722" s="30" t="n">
        <f aca="false">Panel!D697-Panel!D696</f>
        <v>-0.00538970473122546</v>
      </c>
      <c r="I722" s="30" t="n">
        <f aca="false">Panel!D696-Panel!D695</f>
        <v>0.000762130615262535</v>
      </c>
      <c r="L722" s="30" t="n">
        <f aca="false">Panel!E696-Panel!E695</f>
        <v>0.00200957168396521</v>
      </c>
      <c r="M722" s="29" t="n">
        <f aca="false">Panel!E695</f>
        <v>5.68119597598341</v>
      </c>
    </row>
    <row r="723" customFormat="false" ht="15" hidden="false" customHeight="false" outlineLevel="0" collapsed="false">
      <c r="C723" s="0" t="n">
        <f aca="false">Panel!D702-Panel!D701</f>
        <v>-0.0162002176736298</v>
      </c>
      <c r="D723" s="29" t="n">
        <f aca="false">Panel!D701</f>
        <v>10.1590982939878</v>
      </c>
      <c r="E723" s="30" t="n">
        <f aca="false">Panel!D701-Panel!D700</f>
        <v>0.00343279721915302</v>
      </c>
      <c r="F723" s="30" t="n">
        <f aca="false">Panel!D700-Panel!D699</f>
        <v>0.000330324789992176</v>
      </c>
      <c r="G723" s="30" t="n">
        <f aca="false">Panel!D699-Panel!D698</f>
        <v>0.00945845868291606</v>
      </c>
      <c r="H723" s="30" t="n">
        <f aca="false">Panel!D698-Panel!D697</f>
        <v>-0.0141891666407972</v>
      </c>
      <c r="I723" s="30" t="n">
        <f aca="false">Panel!D697-Panel!D696</f>
        <v>-0.00538970473122546</v>
      </c>
      <c r="L723" s="30" t="n">
        <f aca="false">Panel!E697-Panel!E696</f>
        <v>-0.00508281979174718</v>
      </c>
      <c r="M723" s="29" t="n">
        <f aca="false">Panel!E696</f>
        <v>5.68320554766737</v>
      </c>
    </row>
    <row r="724" customFormat="false" ht="15" hidden="false" customHeight="false" outlineLevel="0" collapsed="false">
      <c r="C724" s="0" t="n">
        <f aca="false">Panel!D703-Panel!D702</f>
        <v>0.0065937192812342</v>
      </c>
      <c r="D724" s="29" t="n">
        <f aca="false">Panel!D702</f>
        <v>10.1428980763142</v>
      </c>
      <c r="E724" s="30" t="n">
        <f aca="false">Panel!D702-Panel!D701</f>
        <v>-0.0162002176736298</v>
      </c>
      <c r="F724" s="30" t="n">
        <f aca="false">Panel!D701-Panel!D700</f>
        <v>0.00343279721915302</v>
      </c>
      <c r="G724" s="30" t="n">
        <f aca="false">Panel!D700-Panel!D699</f>
        <v>0.000330324789992176</v>
      </c>
      <c r="H724" s="30" t="n">
        <f aca="false">Panel!D699-Panel!D698</f>
        <v>0.00945845868291606</v>
      </c>
      <c r="I724" s="30" t="n">
        <f aca="false">Panel!D698-Panel!D697</f>
        <v>-0.0141891666407972</v>
      </c>
      <c r="L724" s="30" t="n">
        <f aca="false">Panel!E698-Panel!E697</f>
        <v>-0.012249826292642</v>
      </c>
      <c r="M724" s="29" t="n">
        <f aca="false">Panel!E697</f>
        <v>5.67812272787562</v>
      </c>
    </row>
    <row r="725" customFormat="false" ht="15" hidden="false" customHeight="false" outlineLevel="0" collapsed="false">
      <c r="C725" s="0" t="n">
        <f aca="false">Panel!D704-Panel!D703</f>
        <v>0.00479338503671123</v>
      </c>
      <c r="D725" s="29" t="n">
        <f aca="false">Panel!D703</f>
        <v>10.1494917955954</v>
      </c>
      <c r="E725" s="30" t="n">
        <f aca="false">Panel!D703-Panel!D702</f>
        <v>0.0065937192812342</v>
      </c>
      <c r="F725" s="30" t="n">
        <f aca="false">Panel!D702-Panel!D701</f>
        <v>-0.0162002176736298</v>
      </c>
      <c r="G725" s="30" t="n">
        <f aca="false">Panel!D701-Panel!D700</f>
        <v>0.00343279721915302</v>
      </c>
      <c r="H725" s="30" t="n">
        <f aca="false">Panel!D700-Panel!D699</f>
        <v>0.000330324789992176</v>
      </c>
      <c r="I725" s="30" t="n">
        <f aca="false">Panel!D699-Panel!D698</f>
        <v>0.00945845868291606</v>
      </c>
      <c r="L725" s="30" t="n">
        <f aca="false">Panel!E699-Panel!E698</f>
        <v>0.00707228725305154</v>
      </c>
      <c r="M725" s="29" t="n">
        <f aca="false">Panel!E698</f>
        <v>5.66587290158298</v>
      </c>
    </row>
    <row r="726" customFormat="false" ht="15" hidden="false" customHeight="false" outlineLevel="0" collapsed="false">
      <c r="C726" s="0" t="n">
        <f aca="false">Panel!D705-Panel!D704</f>
        <v>-0.0108598918824043</v>
      </c>
      <c r="D726" s="29" t="n">
        <f aca="false">Panel!D704</f>
        <v>10.1542851806322</v>
      </c>
      <c r="E726" s="30" t="n">
        <f aca="false">Panel!D704-Panel!D703</f>
        <v>0.00479338503671123</v>
      </c>
      <c r="F726" s="30" t="n">
        <f aca="false">Panel!D703-Panel!D702</f>
        <v>0.0065937192812342</v>
      </c>
      <c r="G726" s="30" t="n">
        <f aca="false">Panel!D702-Panel!D701</f>
        <v>-0.0162002176736298</v>
      </c>
      <c r="H726" s="30" t="n">
        <f aca="false">Panel!D701-Panel!D700</f>
        <v>0.00343279721915302</v>
      </c>
      <c r="I726" s="30" t="n">
        <f aca="false">Panel!D700-Panel!D699</f>
        <v>0.000330324789992176</v>
      </c>
      <c r="L726" s="30" t="n">
        <f aca="false">Panel!E700-Panel!E699</f>
        <v>0.00274640565364326</v>
      </c>
      <c r="M726" s="29" t="n">
        <f aca="false">Panel!E699</f>
        <v>5.67294518883603</v>
      </c>
    </row>
    <row r="727" customFormat="false" ht="15" hidden="false" customHeight="false" outlineLevel="0" collapsed="false">
      <c r="C727" s="0" t="n">
        <f aca="false">Panel!D706-Panel!D705</f>
        <v>0.00792574439102545</v>
      </c>
      <c r="D727" s="29" t="n">
        <f aca="false">Panel!D705</f>
        <v>10.1434252887498</v>
      </c>
      <c r="E727" s="30" t="n">
        <f aca="false">Panel!D705-Panel!D704</f>
        <v>-0.0108598918824043</v>
      </c>
      <c r="F727" s="30" t="n">
        <f aca="false">Panel!D704-Panel!D703</f>
        <v>0.00479338503671123</v>
      </c>
      <c r="G727" s="30" t="n">
        <f aca="false">Panel!D703-Panel!D702</f>
        <v>0.0065937192812342</v>
      </c>
      <c r="H727" s="30" t="n">
        <f aca="false">Panel!D702-Panel!D701</f>
        <v>-0.0162002176736298</v>
      </c>
      <c r="I727" s="30" t="n">
        <f aca="false">Panel!D701-Panel!D700</f>
        <v>0.00343279721915302</v>
      </c>
      <c r="L727" s="30" t="n">
        <f aca="false">Panel!E701-Panel!E700</f>
        <v>0.00126766612264984</v>
      </c>
      <c r="M727" s="29" t="n">
        <f aca="false">Panel!E700</f>
        <v>5.67569159448968</v>
      </c>
    </row>
    <row r="728" customFormat="false" ht="15" hidden="false" customHeight="false" outlineLevel="0" collapsed="false">
      <c r="C728" s="0" t="n">
        <f aca="false">Panel!D707-Panel!D706</f>
        <v>0.000362851077024828</v>
      </c>
      <c r="D728" s="29" t="n">
        <f aca="false">Panel!D706</f>
        <v>10.1513510331408</v>
      </c>
      <c r="E728" s="30" t="n">
        <f aca="false">Panel!D706-Panel!D705</f>
        <v>0.00792574439102545</v>
      </c>
      <c r="F728" s="30" t="n">
        <f aca="false">Panel!D705-Panel!D704</f>
        <v>-0.0108598918824043</v>
      </c>
      <c r="G728" s="30" t="n">
        <f aca="false">Panel!D704-Panel!D703</f>
        <v>0.00479338503671123</v>
      </c>
      <c r="H728" s="30" t="n">
        <f aca="false">Panel!D703-Panel!D702</f>
        <v>0.0065937192812342</v>
      </c>
      <c r="I728" s="30" t="n">
        <f aca="false">Panel!D702-Panel!D701</f>
        <v>-0.0162002176736298</v>
      </c>
      <c r="L728" s="30" t="n">
        <f aca="false">Panel!E702-Panel!E701</f>
        <v>-0.0136516185218429</v>
      </c>
      <c r="M728" s="29" t="n">
        <f aca="false">Panel!E701</f>
        <v>5.67695926061233</v>
      </c>
    </row>
    <row r="729" customFormat="false" ht="15" hidden="false" customHeight="false" outlineLevel="0" collapsed="false">
      <c r="C729" s="0" t="n">
        <f aca="false">Panel!D708-Panel!D707</f>
        <v>-0.011752030958819</v>
      </c>
      <c r="D729" s="29" t="n">
        <f aca="false">Panel!D707</f>
        <v>10.1517138842178</v>
      </c>
      <c r="E729" s="30" t="n">
        <f aca="false">Panel!D707-Panel!D706</f>
        <v>0.000362851077024828</v>
      </c>
      <c r="F729" s="30" t="n">
        <f aca="false">Panel!D706-Panel!D705</f>
        <v>0.00792574439102545</v>
      </c>
      <c r="G729" s="30" t="n">
        <f aca="false">Panel!D705-Panel!D704</f>
        <v>-0.0108598918824043</v>
      </c>
      <c r="H729" s="30" t="n">
        <f aca="false">Panel!D704-Panel!D703</f>
        <v>0.00479338503671123</v>
      </c>
      <c r="I729" s="30" t="n">
        <f aca="false">Panel!D703-Panel!D702</f>
        <v>0.0065937192812342</v>
      </c>
      <c r="L729" s="30" t="n">
        <f aca="false">Panel!E703-Panel!E702</f>
        <v>0.00339582432429797</v>
      </c>
      <c r="M729" s="29" t="n">
        <f aca="false">Panel!E702</f>
        <v>5.66330764209048</v>
      </c>
    </row>
    <row r="730" customFormat="false" ht="15" hidden="false" customHeight="false" outlineLevel="0" collapsed="false">
      <c r="C730" s="0" t="n">
        <f aca="false">Panel!D709-Panel!D708</f>
        <v>-0.0138108646455208</v>
      </c>
      <c r="D730" s="29" t="n">
        <f aca="false">Panel!D708</f>
        <v>10.139961853259</v>
      </c>
      <c r="E730" s="30" t="n">
        <f aca="false">Panel!D708-Panel!D707</f>
        <v>-0.011752030958819</v>
      </c>
      <c r="F730" s="30" t="n">
        <f aca="false">Panel!D707-Panel!D706</f>
        <v>0.000362851077024828</v>
      </c>
      <c r="G730" s="30" t="n">
        <f aca="false">Panel!D706-Panel!D705</f>
        <v>0.00792574439102545</v>
      </c>
      <c r="H730" s="30" t="n">
        <f aca="false">Panel!D705-Panel!D704</f>
        <v>-0.0108598918824043</v>
      </c>
      <c r="I730" s="30" t="n">
        <f aca="false">Panel!D704-Panel!D703</f>
        <v>0.00479338503671123</v>
      </c>
      <c r="L730" s="30" t="n">
        <f aca="false">Panel!E704-Panel!E703</f>
        <v>0.00455581653586012</v>
      </c>
      <c r="M730" s="29" t="n">
        <f aca="false">Panel!E703</f>
        <v>5.66670346641478</v>
      </c>
    </row>
    <row r="731" customFormat="false" ht="15" hidden="false" customHeight="false" outlineLevel="0" collapsed="false">
      <c r="C731" s="0" t="n">
        <f aca="false">Panel!D710-Panel!D709</f>
        <v>-0.016531769805491</v>
      </c>
      <c r="D731" s="29" t="n">
        <f aca="false">Panel!D709</f>
        <v>10.1261509886135</v>
      </c>
      <c r="E731" s="30" t="n">
        <f aca="false">Panel!D709-Panel!D708</f>
        <v>-0.0138108646455208</v>
      </c>
      <c r="F731" s="30" t="n">
        <f aca="false">Panel!D708-Panel!D707</f>
        <v>-0.011752030958819</v>
      </c>
      <c r="G731" s="30" t="n">
        <f aca="false">Panel!D707-Panel!D706</f>
        <v>0.000362851077024828</v>
      </c>
      <c r="H731" s="30" t="n">
        <f aca="false">Panel!D706-Panel!D705</f>
        <v>0.00792574439102545</v>
      </c>
      <c r="I731" s="30" t="n">
        <f aca="false">Panel!D705-Panel!D704</f>
        <v>-0.0108598918824043</v>
      </c>
      <c r="L731" s="30" t="n">
        <f aca="false">Panel!E705-Panel!E704</f>
        <v>-0.00829880281469464</v>
      </c>
      <c r="M731" s="29" t="n">
        <f aca="false">Panel!E704</f>
        <v>5.67125928295064</v>
      </c>
    </row>
    <row r="732" customFormat="false" ht="15" hidden="false" customHeight="false" outlineLevel="0" collapsed="false">
      <c r="C732" s="0" t="n">
        <f aca="false">Panel!D711-Panel!D710</f>
        <v>0.0102289327455356</v>
      </c>
      <c r="D732" s="29" t="n">
        <f aca="false">Panel!D710</f>
        <v>10.109619218808</v>
      </c>
      <c r="E732" s="30" t="n">
        <f aca="false">Panel!D710-Panel!D709</f>
        <v>-0.016531769805491</v>
      </c>
      <c r="F732" s="30" t="n">
        <f aca="false">Panel!D709-Panel!D708</f>
        <v>-0.0138108646455208</v>
      </c>
      <c r="G732" s="30" t="n">
        <f aca="false">Panel!D708-Panel!D707</f>
        <v>-0.011752030958819</v>
      </c>
      <c r="H732" s="30" t="n">
        <f aca="false">Panel!D707-Panel!D706</f>
        <v>0.000362851077024828</v>
      </c>
      <c r="I732" s="30" t="n">
        <f aca="false">Panel!D706-Panel!D705</f>
        <v>0.00792574439102545</v>
      </c>
      <c r="L732" s="30" t="n">
        <f aca="false">Panel!E706-Panel!E705</f>
        <v>0.00208116620382448</v>
      </c>
      <c r="M732" s="29" t="n">
        <f aca="false">Panel!E705</f>
        <v>5.66296048013595</v>
      </c>
    </row>
    <row r="733" customFormat="false" ht="15" hidden="false" customHeight="false" outlineLevel="0" collapsed="false">
      <c r="C733" s="0" t="n">
        <f aca="false">Panel!D712-Panel!D711</f>
        <v>-0.0109656260031077</v>
      </c>
      <c r="D733" s="29" t="n">
        <f aca="false">Panel!D711</f>
        <v>10.1198481515535</v>
      </c>
      <c r="E733" s="30" t="n">
        <f aca="false">Panel!D711-Panel!D710</f>
        <v>0.0102289327455356</v>
      </c>
      <c r="F733" s="30" t="n">
        <f aca="false">Panel!D710-Panel!D709</f>
        <v>-0.016531769805491</v>
      </c>
      <c r="G733" s="30" t="n">
        <f aca="false">Panel!D709-Panel!D708</f>
        <v>-0.0138108646455208</v>
      </c>
      <c r="H733" s="30" t="n">
        <f aca="false">Panel!D708-Panel!D707</f>
        <v>-0.011752030958819</v>
      </c>
      <c r="I733" s="30" t="n">
        <f aca="false">Panel!D707-Panel!D706</f>
        <v>0.000362851077024828</v>
      </c>
      <c r="L733" s="30" t="n">
        <f aca="false">Panel!E707-Panel!E706</f>
        <v>0.000173235167172159</v>
      </c>
      <c r="M733" s="29" t="n">
        <f aca="false">Panel!E706</f>
        <v>5.66504164633977</v>
      </c>
    </row>
    <row r="734" customFormat="false" ht="15" hidden="false" customHeight="false" outlineLevel="0" collapsed="false">
      <c r="C734" s="0" t="n">
        <f aca="false">Panel!D713-Panel!D712</f>
        <v>-0.019247411386786</v>
      </c>
      <c r="D734" s="29" t="n">
        <f aca="false">Panel!D712</f>
        <v>10.1088825255504</v>
      </c>
      <c r="E734" s="30" t="n">
        <f aca="false">Panel!D712-Panel!D711</f>
        <v>-0.0109656260031077</v>
      </c>
      <c r="F734" s="30" t="n">
        <f aca="false">Panel!D711-Panel!D710</f>
        <v>0.0102289327455356</v>
      </c>
      <c r="G734" s="30" t="n">
        <f aca="false">Panel!D710-Panel!D709</f>
        <v>-0.016531769805491</v>
      </c>
      <c r="H734" s="30" t="n">
        <f aca="false">Panel!D709-Panel!D708</f>
        <v>-0.0138108646455208</v>
      </c>
      <c r="I734" s="30" t="n">
        <f aca="false">Panel!D708-Panel!D707</f>
        <v>-0.011752030958819</v>
      </c>
      <c r="L734" s="30" t="n">
        <f aca="false">Panel!E708-Panel!E707</f>
        <v>-0.0093279712938612</v>
      </c>
      <c r="M734" s="29" t="n">
        <f aca="false">Panel!E707</f>
        <v>5.66521488150694</v>
      </c>
    </row>
    <row r="735" customFormat="false" ht="15" hidden="false" customHeight="false" outlineLevel="0" collapsed="false">
      <c r="C735" s="0" t="n">
        <f aca="false">Panel!D714-Panel!D713</f>
        <v>0.0129122916702418</v>
      </c>
      <c r="D735" s="29" t="n">
        <f aca="false">Panel!D713</f>
        <v>10.0896351141636</v>
      </c>
      <c r="E735" s="30" t="n">
        <f aca="false">Panel!D713-Panel!D712</f>
        <v>-0.019247411386786</v>
      </c>
      <c r="F735" s="30" t="n">
        <f aca="false">Panel!D712-Panel!D711</f>
        <v>-0.0109656260031077</v>
      </c>
      <c r="G735" s="30" t="n">
        <f aca="false">Panel!D711-Panel!D710</f>
        <v>0.0102289327455356</v>
      </c>
      <c r="H735" s="30" t="n">
        <f aca="false">Panel!D710-Panel!D709</f>
        <v>-0.016531769805491</v>
      </c>
      <c r="I735" s="30" t="n">
        <f aca="false">Panel!D709-Panel!D708</f>
        <v>-0.0138108646455208</v>
      </c>
      <c r="L735" s="30" t="n">
        <f aca="false">Panel!E709-Panel!E708</f>
        <v>-0.0139798392749677</v>
      </c>
      <c r="M735" s="29" t="n">
        <f aca="false">Panel!E708</f>
        <v>5.65588691021308</v>
      </c>
    </row>
    <row r="736" customFormat="false" ht="15" hidden="false" customHeight="false" outlineLevel="0" collapsed="false">
      <c r="C736" s="0" t="n">
        <f aca="false">Panel!D715-Panel!D714</f>
        <v>-0.0201608133051003</v>
      </c>
      <c r="D736" s="29" t="n">
        <f aca="false">Panel!D714</f>
        <v>10.1025474058339</v>
      </c>
      <c r="E736" s="30" t="n">
        <f aca="false">Panel!D714-Panel!D713</f>
        <v>0.0129122916702418</v>
      </c>
      <c r="F736" s="30" t="n">
        <f aca="false">Panel!D713-Panel!D712</f>
        <v>-0.019247411386786</v>
      </c>
      <c r="G736" s="30" t="n">
        <f aca="false">Panel!D712-Panel!D711</f>
        <v>-0.0109656260031077</v>
      </c>
      <c r="H736" s="30" t="n">
        <f aca="false">Panel!D711-Panel!D710</f>
        <v>0.0102289327455356</v>
      </c>
      <c r="I736" s="30" t="n">
        <f aca="false">Panel!D710-Panel!D709</f>
        <v>-0.016531769805491</v>
      </c>
      <c r="L736" s="30" t="n">
        <f aca="false">Panel!E710-Panel!E709</f>
        <v>-0.0153656766253603</v>
      </c>
      <c r="M736" s="29" t="n">
        <f aca="false">Panel!E709</f>
        <v>5.64190707093811</v>
      </c>
    </row>
    <row r="737" customFormat="false" ht="15" hidden="false" customHeight="false" outlineLevel="0" collapsed="false">
      <c r="C737" s="0" t="n">
        <f aca="false">Panel!D716-Panel!D715</f>
        <v>-0.00810196905062455</v>
      </c>
      <c r="D737" s="29" t="n">
        <f aca="false">Panel!D715</f>
        <v>10.0823865925288</v>
      </c>
      <c r="E737" s="30" t="n">
        <f aca="false">Panel!D715-Panel!D714</f>
        <v>-0.0201608133051003</v>
      </c>
      <c r="F737" s="30" t="n">
        <f aca="false">Panel!D714-Panel!D713</f>
        <v>0.0129122916702418</v>
      </c>
      <c r="G737" s="30" t="n">
        <f aca="false">Panel!D713-Panel!D712</f>
        <v>-0.019247411386786</v>
      </c>
      <c r="H737" s="30" t="n">
        <f aca="false">Panel!D712-Panel!D711</f>
        <v>-0.0109656260031077</v>
      </c>
      <c r="I737" s="30" t="n">
        <f aca="false">Panel!D711-Panel!D710</f>
        <v>0.0102289327455356</v>
      </c>
      <c r="L737" s="30" t="n">
        <f aca="false">Panel!E711-Panel!E710</f>
        <v>0.00964009687364076</v>
      </c>
      <c r="M737" s="29" t="n">
        <f aca="false">Panel!E710</f>
        <v>5.62654139431275</v>
      </c>
    </row>
    <row r="738" customFormat="false" ht="15" hidden="false" customHeight="false" outlineLevel="0" collapsed="false">
      <c r="C738" s="0" t="n">
        <f aca="false">Panel!D717-Panel!D716</f>
        <v>-0.0213000597960882</v>
      </c>
      <c r="D738" s="29" t="n">
        <f aca="false">Panel!D716</f>
        <v>10.0742846234781</v>
      </c>
      <c r="E738" s="30" t="n">
        <f aca="false">Panel!D716-Panel!D715</f>
        <v>-0.00810196905062455</v>
      </c>
      <c r="F738" s="30" t="n">
        <f aca="false">Panel!D715-Panel!D714</f>
        <v>-0.0201608133051003</v>
      </c>
      <c r="G738" s="30" t="n">
        <f aca="false">Panel!D714-Panel!D713</f>
        <v>0.0129122916702418</v>
      </c>
      <c r="H738" s="30" t="n">
        <f aca="false">Panel!D713-Panel!D712</f>
        <v>-0.019247411386786</v>
      </c>
      <c r="I738" s="30" t="n">
        <f aca="false">Panel!D712-Panel!D711</f>
        <v>-0.0109656260031077</v>
      </c>
      <c r="L738" s="30" t="n">
        <f aca="false">Panel!E712-Panel!E711</f>
        <v>-0.00784121169705188</v>
      </c>
      <c r="M738" s="29" t="n">
        <f aca="false">Panel!E711</f>
        <v>5.63618149118639</v>
      </c>
    </row>
    <row r="739" customFormat="false" ht="15" hidden="false" customHeight="false" outlineLevel="0" collapsed="false">
      <c r="C739" s="0" t="n">
        <f aca="false">Panel!D718-Panel!D717</f>
        <v>0.00707929589618495</v>
      </c>
      <c r="D739" s="29" t="n">
        <f aca="false">Panel!D717</f>
        <v>10.052984563682</v>
      </c>
      <c r="E739" s="30" t="n">
        <f aca="false">Panel!D717-Panel!D716</f>
        <v>-0.0213000597960882</v>
      </c>
      <c r="F739" s="30" t="n">
        <f aca="false">Panel!D716-Panel!D715</f>
        <v>-0.00810196905062455</v>
      </c>
      <c r="G739" s="30" t="n">
        <f aca="false">Panel!D715-Panel!D714</f>
        <v>-0.0201608133051003</v>
      </c>
      <c r="H739" s="30" t="n">
        <f aca="false">Panel!D714-Panel!D713</f>
        <v>0.0129122916702418</v>
      </c>
      <c r="I739" s="30" t="n">
        <f aca="false">Panel!D713-Panel!D712</f>
        <v>-0.019247411386786</v>
      </c>
      <c r="L739" s="30" t="n">
        <f aca="false">Panel!E713-Panel!E712</f>
        <v>-0.0199679896377996</v>
      </c>
      <c r="M739" s="29" t="n">
        <f aca="false">Panel!E712</f>
        <v>5.62834027948934</v>
      </c>
    </row>
    <row r="740" customFormat="false" ht="15" hidden="false" customHeight="false" outlineLevel="0" collapsed="false">
      <c r="C740" s="0" t="n">
        <f aca="false">Panel!D719-Panel!D718</f>
        <v>0.0095100017847578</v>
      </c>
      <c r="D740" s="29" t="n">
        <f aca="false">Panel!D718</f>
        <v>10.0600638595782</v>
      </c>
      <c r="E740" s="30" t="n">
        <f aca="false">Panel!D718-Panel!D717</f>
        <v>0.00707929589618495</v>
      </c>
      <c r="F740" s="30" t="n">
        <f aca="false">Panel!D717-Panel!D716</f>
        <v>-0.0213000597960882</v>
      </c>
      <c r="G740" s="30" t="n">
        <f aca="false">Panel!D716-Panel!D715</f>
        <v>-0.00810196905062455</v>
      </c>
      <c r="H740" s="30" t="n">
        <f aca="false">Panel!D715-Panel!D714</f>
        <v>-0.0201608133051003</v>
      </c>
      <c r="I740" s="30" t="n">
        <f aca="false">Panel!D714-Panel!D713</f>
        <v>0.0129122916702418</v>
      </c>
      <c r="L740" s="30" t="n">
        <f aca="false">Panel!E714-Panel!E713</f>
        <v>0.00948912229701904</v>
      </c>
      <c r="M740" s="29" t="n">
        <f aca="false">Panel!E713</f>
        <v>5.60837228985154</v>
      </c>
    </row>
    <row r="741" customFormat="false" ht="15" hidden="false" customHeight="false" outlineLevel="0" collapsed="false">
      <c r="C741" s="0" t="n">
        <f aca="false">Panel!D720-Panel!D719</f>
        <v>0.0068160260506076</v>
      </c>
      <c r="D741" s="29" t="n">
        <f aca="false">Panel!D719</f>
        <v>10.069573861363</v>
      </c>
      <c r="E741" s="30" t="n">
        <f aca="false">Panel!D719-Panel!D718</f>
        <v>0.0095100017847578</v>
      </c>
      <c r="F741" s="30" t="n">
        <f aca="false">Panel!D718-Panel!D717</f>
        <v>0.00707929589618495</v>
      </c>
      <c r="G741" s="30" t="n">
        <f aca="false">Panel!D717-Panel!D716</f>
        <v>-0.0213000597960882</v>
      </c>
      <c r="H741" s="30" t="n">
        <f aca="false">Panel!D716-Panel!D715</f>
        <v>-0.00810196905062455</v>
      </c>
      <c r="I741" s="30" t="n">
        <f aca="false">Panel!D715-Panel!D714</f>
        <v>-0.0201608133051003</v>
      </c>
      <c r="L741" s="30" t="n">
        <f aca="false">Panel!E715-Panel!E714</f>
        <v>-0.0178851062179497</v>
      </c>
      <c r="M741" s="29" t="n">
        <f aca="false">Panel!E714</f>
        <v>5.61786141214856</v>
      </c>
    </row>
    <row r="742" customFormat="false" ht="15" hidden="false" customHeight="false" outlineLevel="0" collapsed="false">
      <c r="C742" s="0" t="n">
        <f aca="false">Panel!D721-Panel!D720</f>
        <v>-0.0277246493666379</v>
      </c>
      <c r="D742" s="29" t="n">
        <f aca="false">Panel!D720</f>
        <v>10.0763898874136</v>
      </c>
      <c r="E742" s="30" t="n">
        <f aca="false">Panel!D720-Panel!D719</f>
        <v>0.0068160260506076</v>
      </c>
      <c r="F742" s="30" t="n">
        <f aca="false">Panel!D719-Panel!D718</f>
        <v>0.0095100017847578</v>
      </c>
      <c r="G742" s="30" t="n">
        <f aca="false">Panel!D718-Panel!D717</f>
        <v>0.00707929589618495</v>
      </c>
      <c r="H742" s="30" t="n">
        <f aca="false">Panel!D717-Panel!D716</f>
        <v>-0.0213000597960882</v>
      </c>
      <c r="I742" s="30" t="n">
        <f aca="false">Panel!D716-Panel!D715</f>
        <v>-0.00810196905062455</v>
      </c>
      <c r="L742" s="30" t="n">
        <f aca="false">Panel!E716-Panel!E715</f>
        <v>-0.00872816549512656</v>
      </c>
      <c r="M742" s="29" t="n">
        <f aca="false">Panel!E715</f>
        <v>5.59997630593061</v>
      </c>
    </row>
    <row r="743" customFormat="false" ht="15" hidden="false" customHeight="false" outlineLevel="0" collapsed="false">
      <c r="C743" s="0" t="n">
        <f aca="false">Panel!D722-Panel!D721</f>
        <v>0.000782399932710121</v>
      </c>
      <c r="D743" s="29" t="n">
        <f aca="false">Panel!D721</f>
        <v>10.048665238047</v>
      </c>
      <c r="E743" s="30" t="n">
        <f aca="false">Panel!D721-Panel!D720</f>
        <v>-0.0277246493666379</v>
      </c>
      <c r="F743" s="30" t="n">
        <f aca="false">Panel!D720-Panel!D719</f>
        <v>0.0068160260506076</v>
      </c>
      <c r="G743" s="30" t="n">
        <f aca="false">Panel!D719-Panel!D718</f>
        <v>0.0095100017847578</v>
      </c>
      <c r="H743" s="30" t="n">
        <f aca="false">Panel!D718-Panel!D717</f>
        <v>0.00707929589618495</v>
      </c>
      <c r="I743" s="30" t="n">
        <f aca="false">Panel!D717-Panel!D716</f>
        <v>-0.0213000597960882</v>
      </c>
      <c r="L743" s="30" t="n">
        <f aca="false">Panel!E717-Panel!E716</f>
        <v>-0.0152990372891697</v>
      </c>
      <c r="M743" s="29" t="n">
        <f aca="false">Panel!E716</f>
        <v>5.59124814043549</v>
      </c>
    </row>
    <row r="744" customFormat="false" ht="15" hidden="false" customHeight="false" outlineLevel="0" collapsed="false">
      <c r="C744" s="0" t="n">
        <f aca="false">Panel!D723-Panel!D722</f>
        <v>-0.0283503981444433</v>
      </c>
      <c r="D744" s="29" t="n">
        <f aca="false">Panel!D722</f>
        <v>10.0494476379797</v>
      </c>
      <c r="E744" s="30" t="n">
        <f aca="false">Panel!D722-Panel!D721</f>
        <v>0.000782399932710121</v>
      </c>
      <c r="F744" s="30" t="n">
        <f aca="false">Panel!D721-Panel!D720</f>
        <v>-0.0277246493666379</v>
      </c>
      <c r="G744" s="30" t="n">
        <f aca="false">Panel!D720-Panel!D719</f>
        <v>0.0068160260506076</v>
      </c>
      <c r="H744" s="30" t="n">
        <f aca="false">Panel!D719-Panel!D718</f>
        <v>0.0095100017847578</v>
      </c>
      <c r="I744" s="30" t="n">
        <f aca="false">Panel!D718-Panel!D717</f>
        <v>0.00707929589618495</v>
      </c>
      <c r="L744" s="30" t="n">
        <f aca="false">Panel!E718-Panel!E717</f>
        <v>0.00374298627883451</v>
      </c>
      <c r="M744" s="29" t="n">
        <f aca="false">Panel!E717</f>
        <v>5.57594910314632</v>
      </c>
    </row>
    <row r="745" customFormat="false" ht="15" hidden="false" customHeight="false" outlineLevel="0" collapsed="false">
      <c r="C745" s="0" t="n">
        <f aca="false">Panel!D724-Panel!D723</f>
        <v>0.0211386981224511</v>
      </c>
      <c r="D745" s="29" t="n">
        <f aca="false">Panel!D723</f>
        <v>10.0210972398352</v>
      </c>
      <c r="E745" s="30" t="n">
        <f aca="false">Panel!D723-Panel!D722</f>
        <v>-0.0283503981444433</v>
      </c>
      <c r="F745" s="30" t="n">
        <f aca="false">Panel!D722-Panel!D721</f>
        <v>0.000782399932710121</v>
      </c>
      <c r="G745" s="30" t="n">
        <f aca="false">Panel!D721-Panel!D720</f>
        <v>-0.0277246493666379</v>
      </c>
      <c r="H745" s="30" t="n">
        <f aca="false">Panel!D720-Panel!D719</f>
        <v>0.0068160260506076</v>
      </c>
      <c r="I745" s="30" t="n">
        <f aca="false">Panel!D719-Panel!D718</f>
        <v>0.0095100017847578</v>
      </c>
      <c r="L745" s="30" t="n">
        <f aca="false">Panel!E719-Panel!E718</f>
        <v>0.00830535223733975</v>
      </c>
      <c r="M745" s="29" t="n">
        <f aca="false">Panel!E718</f>
        <v>5.57969208942515</v>
      </c>
    </row>
    <row r="746" customFormat="false" ht="15" hidden="false" customHeight="false" outlineLevel="0" collapsed="false">
      <c r="C746" s="0" t="n">
        <f aca="false">Panel!D725-Panel!D724</f>
        <v>0.0146162712847513</v>
      </c>
      <c r="D746" s="29" t="n">
        <f aca="false">Panel!D724</f>
        <v>10.0422359379577</v>
      </c>
      <c r="E746" s="30" t="n">
        <f aca="false">Panel!D724-Panel!D723</f>
        <v>0.0211386981224511</v>
      </c>
      <c r="F746" s="30" t="n">
        <f aca="false">Panel!D723-Panel!D722</f>
        <v>-0.0283503981444433</v>
      </c>
      <c r="G746" s="30" t="n">
        <f aca="false">Panel!D722-Panel!D721</f>
        <v>0.000782399932710121</v>
      </c>
      <c r="H746" s="30" t="n">
        <f aca="false">Panel!D721-Panel!D720</f>
        <v>-0.0277246493666379</v>
      </c>
      <c r="I746" s="30" t="n">
        <f aca="false">Panel!D720-Panel!D719</f>
        <v>0.0068160260506076</v>
      </c>
      <c r="L746" s="30" t="n">
        <f aca="false">Panel!E720-Panel!E719</f>
        <v>0.00708561607036984</v>
      </c>
      <c r="M746" s="29" t="n">
        <f aca="false">Panel!E719</f>
        <v>5.58799744166249</v>
      </c>
    </row>
    <row r="747" customFormat="false" ht="15" hidden="false" customHeight="false" outlineLevel="0" collapsed="false">
      <c r="C747" s="0" t="n">
        <f aca="false">Panel!D726-Panel!D725</f>
        <v>-0.0222618356759448</v>
      </c>
      <c r="D747" s="29" t="n">
        <f aca="false">Panel!D725</f>
        <v>10.0568522092424</v>
      </c>
      <c r="E747" s="30" t="n">
        <f aca="false">Panel!D725-Panel!D724</f>
        <v>0.0146162712847513</v>
      </c>
      <c r="F747" s="30" t="n">
        <f aca="false">Panel!D724-Panel!D723</f>
        <v>0.0211386981224511</v>
      </c>
      <c r="G747" s="30" t="n">
        <f aca="false">Panel!D723-Panel!D722</f>
        <v>-0.0283503981444433</v>
      </c>
      <c r="H747" s="30" t="n">
        <f aca="false">Panel!D722-Panel!D721</f>
        <v>0.000782399932710121</v>
      </c>
      <c r="I747" s="30" t="n">
        <f aca="false">Panel!D721-Panel!D720</f>
        <v>-0.0277246493666379</v>
      </c>
      <c r="L747" s="30" t="n">
        <f aca="false">Panel!E721-Panel!E720</f>
        <v>-0.0252511111452192</v>
      </c>
      <c r="M747" s="29" t="n">
        <f aca="false">Panel!E720</f>
        <v>5.59508305773286</v>
      </c>
    </row>
    <row r="748" customFormat="false" ht="15" hidden="false" customHeight="false" outlineLevel="0" collapsed="false">
      <c r="C748" s="0" t="n">
        <f aca="false">Panel!D727-Panel!D726</f>
        <v>-0.0209040287322733</v>
      </c>
      <c r="D748" s="29" t="n">
        <f aca="false">Panel!D726</f>
        <v>10.0345903735665</v>
      </c>
      <c r="E748" s="30" t="n">
        <f aca="false">Panel!D726-Panel!D725</f>
        <v>-0.0222618356759448</v>
      </c>
      <c r="F748" s="30" t="n">
        <f aca="false">Panel!D725-Panel!D724</f>
        <v>0.0146162712847513</v>
      </c>
      <c r="G748" s="30" t="n">
        <f aca="false">Panel!D724-Panel!D723</f>
        <v>0.0211386981224511</v>
      </c>
      <c r="H748" s="30" t="n">
        <f aca="false">Panel!D723-Panel!D722</f>
        <v>-0.0283503981444433</v>
      </c>
      <c r="I748" s="30" t="n">
        <f aca="false">Panel!D722-Panel!D721</f>
        <v>0.000782399932710121</v>
      </c>
      <c r="L748" s="30" t="n">
        <f aca="false">Panel!E722-Panel!E721</f>
        <v>0.000419135444037266</v>
      </c>
      <c r="M748" s="29" t="n">
        <f aca="false">Panel!E721</f>
        <v>5.56983194658764</v>
      </c>
    </row>
    <row r="749" customFormat="false" ht="15" hidden="false" customHeight="false" outlineLevel="0" collapsed="false">
      <c r="C749" s="0" t="n">
        <f aca="false">Panel!D728-Panel!D727</f>
        <v>0.0220567868223949</v>
      </c>
      <c r="D749" s="29" t="n">
        <f aca="false">Panel!D727</f>
        <v>10.0136863448342</v>
      </c>
      <c r="E749" s="30" t="n">
        <f aca="false">Panel!D727-Panel!D726</f>
        <v>-0.0209040287322733</v>
      </c>
      <c r="F749" s="30" t="n">
        <f aca="false">Panel!D726-Panel!D725</f>
        <v>-0.0222618356759448</v>
      </c>
      <c r="G749" s="30" t="n">
        <f aca="false">Panel!D725-Panel!D724</f>
        <v>0.0146162712847513</v>
      </c>
      <c r="H749" s="30" t="n">
        <f aca="false">Panel!D724-Panel!D723</f>
        <v>0.0211386981224511</v>
      </c>
      <c r="I749" s="30" t="n">
        <f aca="false">Panel!D723-Panel!D722</f>
        <v>-0.0283503981444433</v>
      </c>
      <c r="L749" s="30" t="n">
        <f aca="false">Panel!E723-Panel!E722</f>
        <v>-0.0258942866925276</v>
      </c>
      <c r="M749" s="29" t="n">
        <f aca="false">Panel!E722</f>
        <v>5.57025108203168</v>
      </c>
    </row>
    <row r="750" customFormat="false" ht="15" hidden="false" customHeight="false" outlineLevel="0" collapsed="false">
      <c r="C750" s="0" t="n">
        <f aca="false">Panel!D729-Panel!D728</f>
        <v>-0.00196443042089989</v>
      </c>
      <c r="D750" s="29" t="n">
        <f aca="false">Panel!D728</f>
        <v>10.0357431316566</v>
      </c>
      <c r="E750" s="30" t="n">
        <f aca="false">Panel!D728-Panel!D727</f>
        <v>0.0220567868223949</v>
      </c>
      <c r="F750" s="30" t="n">
        <f aca="false">Panel!D727-Panel!D726</f>
        <v>-0.0209040287322733</v>
      </c>
      <c r="G750" s="30" t="n">
        <f aca="false">Panel!D726-Panel!D725</f>
        <v>-0.0222618356759448</v>
      </c>
      <c r="H750" s="30" t="n">
        <f aca="false">Panel!D725-Panel!D724</f>
        <v>0.0146162712847513</v>
      </c>
      <c r="I750" s="30" t="n">
        <f aca="false">Panel!D724-Panel!D723</f>
        <v>0.0211386981224511</v>
      </c>
      <c r="L750" s="30" t="n">
        <f aca="false">Panel!E724-Panel!E723</f>
        <v>0.0220774881658272</v>
      </c>
      <c r="M750" s="29" t="n">
        <f aca="false">Panel!E723</f>
        <v>5.54435679533915</v>
      </c>
    </row>
    <row r="751" customFormat="false" ht="15" hidden="false" customHeight="false" outlineLevel="0" collapsed="false">
      <c r="C751" s="0" t="n">
        <f aca="false">Panel!D730-Panel!D729</f>
        <v>0.0116510239410399</v>
      </c>
      <c r="D751" s="29" t="n">
        <f aca="false">Panel!D729</f>
        <v>10.0337787012357</v>
      </c>
      <c r="E751" s="30" t="n">
        <f aca="false">Panel!D729-Panel!D728</f>
        <v>-0.00196443042089989</v>
      </c>
      <c r="F751" s="30" t="n">
        <f aca="false">Panel!D728-Panel!D727</f>
        <v>0.0220567868223949</v>
      </c>
      <c r="G751" s="30" t="n">
        <f aca="false">Panel!D727-Panel!D726</f>
        <v>-0.0209040287322733</v>
      </c>
      <c r="H751" s="30" t="n">
        <f aca="false">Panel!D726-Panel!D725</f>
        <v>-0.0222618356759448</v>
      </c>
      <c r="I751" s="30" t="n">
        <f aca="false">Panel!D725-Panel!D724</f>
        <v>0.0146162712847513</v>
      </c>
      <c r="L751" s="30" t="n">
        <f aca="false">Panel!E725-Panel!E724</f>
        <v>0.00951481964133816</v>
      </c>
      <c r="M751" s="29" t="n">
        <f aca="false">Panel!E724</f>
        <v>5.56643428350498</v>
      </c>
    </row>
    <row r="752" customFormat="false" ht="15" hidden="false" customHeight="false" outlineLevel="0" collapsed="false">
      <c r="C752" s="0" t="n">
        <f aca="false">Panel!D731-Panel!D730</f>
        <v>0.00496807267401067</v>
      </c>
      <c r="D752" s="29" t="n">
        <f aca="false">Panel!D730</f>
        <v>10.0454297251767</v>
      </c>
      <c r="E752" s="30" t="n">
        <f aca="false">Panel!D730-Panel!D729</f>
        <v>0.0116510239410399</v>
      </c>
      <c r="F752" s="30" t="n">
        <f aca="false">Panel!D729-Panel!D728</f>
        <v>-0.00196443042089989</v>
      </c>
      <c r="G752" s="30" t="n">
        <f aca="false">Panel!D728-Panel!D727</f>
        <v>0.0220567868223949</v>
      </c>
      <c r="H752" s="30" t="n">
        <f aca="false">Panel!D727-Panel!D726</f>
        <v>-0.0209040287322733</v>
      </c>
      <c r="I752" s="30" t="n">
        <f aca="false">Panel!D726-Panel!D725</f>
        <v>-0.0222618356759448</v>
      </c>
      <c r="L752" s="30" t="n">
        <f aca="false">Panel!E726-Panel!E725</f>
        <v>-0.0173850973325678</v>
      </c>
      <c r="M752" s="29" t="n">
        <f aca="false">Panel!E725</f>
        <v>5.57594910314632</v>
      </c>
    </row>
    <row r="753" customFormat="false" ht="15" hidden="false" customHeight="false" outlineLevel="0" collapsed="false">
      <c r="C753" s="0" t="n">
        <f aca="false">Panel!D732-Panel!D731</f>
        <v>0.0389467212135717</v>
      </c>
      <c r="D753" s="29" t="n">
        <f aca="false">Panel!D731</f>
        <v>10.0503977978508</v>
      </c>
      <c r="E753" s="30" t="n">
        <f aca="false">Panel!D731-Panel!D730</f>
        <v>0.00496807267401067</v>
      </c>
      <c r="F753" s="30" t="n">
        <f aca="false">Panel!D730-Panel!D729</f>
        <v>0.0116510239410399</v>
      </c>
      <c r="G753" s="30" t="n">
        <f aca="false">Panel!D729-Panel!D728</f>
        <v>-0.00196443042089989</v>
      </c>
      <c r="H753" s="30" t="n">
        <f aca="false">Panel!D728-Panel!D727</f>
        <v>0.0220567868223949</v>
      </c>
      <c r="I753" s="30" t="n">
        <f aca="false">Panel!D727-Panel!D726</f>
        <v>-0.0209040287322733</v>
      </c>
      <c r="L753" s="30" t="n">
        <f aca="false">Panel!E727-Panel!E726</f>
        <v>-0.0162813722592032</v>
      </c>
      <c r="M753" s="29" t="n">
        <f aca="false">Panel!E726</f>
        <v>5.55856400581375</v>
      </c>
    </row>
    <row r="754" customFormat="false" ht="15" hidden="false" customHeight="false" outlineLevel="0" collapsed="false">
      <c r="C754" s="0" t="n">
        <f aca="false">Panel!D733-Panel!D732</f>
        <v>-0.00937325014694856</v>
      </c>
      <c r="D754" s="29" t="n">
        <f aca="false">Panel!D732</f>
        <v>10.0893445190643</v>
      </c>
      <c r="E754" s="30" t="n">
        <f aca="false">Panel!D732-Panel!D731</f>
        <v>0.0389467212135717</v>
      </c>
      <c r="F754" s="30" t="n">
        <f aca="false">Panel!D731-Panel!D730</f>
        <v>0.00496807267401067</v>
      </c>
      <c r="G754" s="30" t="n">
        <f aca="false">Panel!D730-Panel!D729</f>
        <v>0.0116510239410399</v>
      </c>
      <c r="H754" s="30" t="n">
        <f aca="false">Panel!D729-Panel!D728</f>
        <v>-0.00196443042089989</v>
      </c>
      <c r="I754" s="30" t="n">
        <f aca="false">Panel!D728-Panel!D727</f>
        <v>0.0220567868223949</v>
      </c>
      <c r="L754" s="30" t="n">
        <f aca="false">Panel!E728-Panel!E727</f>
        <v>0.0106381909259738</v>
      </c>
      <c r="M754" s="29" t="n">
        <f aca="false">Panel!E727</f>
        <v>5.54228263355455</v>
      </c>
    </row>
    <row r="755" customFormat="false" ht="15" hidden="false" customHeight="false" outlineLevel="0" collapsed="false">
      <c r="C755" s="0" t="n">
        <f aca="false">Panel!D734-Panel!D733</f>
        <v>0.0102530788861195</v>
      </c>
      <c r="D755" s="29" t="n">
        <f aca="false">Panel!D733</f>
        <v>10.0799712689174</v>
      </c>
      <c r="E755" s="30" t="n">
        <f aca="false">Panel!D733-Panel!D732</f>
        <v>-0.00937325014694856</v>
      </c>
      <c r="F755" s="30" t="n">
        <f aca="false">Panel!D732-Panel!D731</f>
        <v>0.0389467212135717</v>
      </c>
      <c r="G755" s="30" t="n">
        <f aca="false">Panel!D731-Panel!D730</f>
        <v>0.00496807267401067</v>
      </c>
      <c r="H755" s="30" t="n">
        <f aca="false">Panel!D730-Panel!D729</f>
        <v>0.0116510239410399</v>
      </c>
      <c r="I755" s="30" t="n">
        <f aca="false">Panel!D729-Panel!D728</f>
        <v>-0.00196443042089989</v>
      </c>
      <c r="L755" s="30" t="n">
        <f aca="false">Panel!E729-Panel!E728</f>
        <v>-3.87619435286979E-005</v>
      </c>
      <c r="M755" s="29" t="n">
        <f aca="false">Panel!E728</f>
        <v>5.55292082448052</v>
      </c>
    </row>
    <row r="756" customFormat="false" ht="15" hidden="false" customHeight="false" outlineLevel="0" collapsed="false">
      <c r="C756" s="0" t="n">
        <f aca="false">Panel!D735-Panel!D734</f>
        <v>-0.0106848514870048</v>
      </c>
      <c r="D756" s="29" t="n">
        <f aca="false">Panel!D734</f>
        <v>10.0902243478035</v>
      </c>
      <c r="E756" s="30" t="n">
        <f aca="false">Panel!D734-Panel!D733</f>
        <v>0.0102530788861195</v>
      </c>
      <c r="F756" s="30" t="n">
        <f aca="false">Panel!D733-Panel!D732</f>
        <v>-0.00937325014694856</v>
      </c>
      <c r="G756" s="30" t="n">
        <f aca="false">Panel!D732-Panel!D731</f>
        <v>0.0389467212135717</v>
      </c>
      <c r="H756" s="30" t="n">
        <f aca="false">Panel!D731-Panel!D730</f>
        <v>0.00496807267401067</v>
      </c>
      <c r="I756" s="30" t="n">
        <f aca="false">Panel!D730-Panel!D729</f>
        <v>0.0116510239410399</v>
      </c>
      <c r="L756" s="30" t="n">
        <f aca="false">Panel!E730-Panel!E729</f>
        <v>0.00856850354141514</v>
      </c>
      <c r="M756" s="29" t="n">
        <f aca="false">Panel!E729</f>
        <v>5.55288206253699</v>
      </c>
    </row>
    <row r="757" customFormat="false" ht="15" hidden="false" customHeight="false" outlineLevel="0" collapsed="false">
      <c r="C757" s="0" t="n">
        <f aca="false">Panel!D736-Panel!D735</f>
        <v>0.0156009404424804</v>
      </c>
      <c r="D757" s="29" t="n">
        <f aca="false">Panel!D735</f>
        <v>10.0795394963165</v>
      </c>
      <c r="E757" s="30" t="n">
        <f aca="false">Panel!D735-Panel!D734</f>
        <v>-0.0106848514870048</v>
      </c>
      <c r="F757" s="30" t="n">
        <f aca="false">Panel!D734-Panel!D733</f>
        <v>0.0102530788861195</v>
      </c>
      <c r="G757" s="30" t="n">
        <f aca="false">Panel!D733-Panel!D732</f>
        <v>-0.00937325014694856</v>
      </c>
      <c r="H757" s="30" t="n">
        <f aca="false">Panel!D732-Panel!D731</f>
        <v>0.0389467212135717</v>
      </c>
      <c r="I757" s="30" t="n">
        <f aca="false">Panel!D731-Panel!D730</f>
        <v>0.00496807267401067</v>
      </c>
      <c r="L757" s="30" t="n">
        <f aca="false">Panel!E731-Panel!E730</f>
        <v>0.00551894701460665</v>
      </c>
      <c r="M757" s="29" t="n">
        <f aca="false">Panel!E730</f>
        <v>5.56145056607841</v>
      </c>
    </row>
    <row r="758" customFormat="false" ht="15" hidden="false" customHeight="false" outlineLevel="0" collapsed="false">
      <c r="C758" s="0" t="n">
        <f aca="false">Panel!D737-Panel!D736</f>
        <v>-0.00165255150188415</v>
      </c>
      <c r="D758" s="29" t="n">
        <f aca="false">Panel!D736</f>
        <v>10.095140436759</v>
      </c>
      <c r="E758" s="30" t="n">
        <f aca="false">Panel!D736-Panel!D735</f>
        <v>0.0156009404424804</v>
      </c>
      <c r="F758" s="30" t="n">
        <f aca="false">Panel!D735-Panel!D734</f>
        <v>-0.0106848514870048</v>
      </c>
      <c r="G758" s="30" t="n">
        <f aca="false">Panel!D734-Panel!D733</f>
        <v>0.0102530788861195</v>
      </c>
      <c r="H758" s="30" t="n">
        <f aca="false">Panel!D733-Panel!D732</f>
        <v>-0.00937325014694856</v>
      </c>
      <c r="I758" s="30" t="n">
        <f aca="false">Panel!D732-Panel!D731</f>
        <v>0.0389467212135717</v>
      </c>
      <c r="L758" s="30" t="n">
        <f aca="false">Panel!E732-Panel!E731</f>
        <v>0.0387957878212646</v>
      </c>
      <c r="M758" s="29" t="n">
        <f aca="false">Panel!E731</f>
        <v>5.56696951309301</v>
      </c>
    </row>
    <row r="759" customFormat="false" ht="15" hidden="false" customHeight="false" outlineLevel="0" collapsed="false">
      <c r="C759" s="0" t="n">
        <f aca="false">Panel!D738-Panel!D737</f>
        <v>0.00844060595288276</v>
      </c>
      <c r="D759" s="29" t="n">
        <f aca="false">Panel!D737</f>
        <v>10.0934878852571</v>
      </c>
      <c r="E759" s="30" t="n">
        <f aca="false">Panel!D737-Panel!D736</f>
        <v>-0.00165255150188415</v>
      </c>
      <c r="F759" s="30" t="n">
        <f aca="false">Panel!D736-Panel!D735</f>
        <v>0.0156009404424804</v>
      </c>
      <c r="G759" s="30" t="n">
        <f aca="false">Panel!D735-Panel!D734</f>
        <v>-0.0106848514870048</v>
      </c>
      <c r="H759" s="30" t="n">
        <f aca="false">Panel!D734-Panel!D733</f>
        <v>0.0102530788861195</v>
      </c>
      <c r="I759" s="30" t="n">
        <f aca="false">Panel!D733-Panel!D732</f>
        <v>-0.00937325014694856</v>
      </c>
      <c r="L759" s="30" t="n">
        <f aca="false">Panel!E733-Panel!E732</f>
        <v>-0.00845507076859242</v>
      </c>
      <c r="M759" s="29" t="n">
        <f aca="false">Panel!E732</f>
        <v>5.60576530091428</v>
      </c>
    </row>
    <row r="760" customFormat="false" ht="15" hidden="false" customHeight="false" outlineLevel="0" collapsed="false">
      <c r="C760" s="0" t="n">
        <f aca="false">Panel!D739-Panel!D738</f>
        <v>-0.00320315661333659</v>
      </c>
      <c r="D760" s="29" t="n">
        <f aca="false">Panel!D738</f>
        <v>10.10192849121</v>
      </c>
      <c r="E760" s="30" t="n">
        <f aca="false">Panel!D738-Panel!D737</f>
        <v>0.00844060595288276</v>
      </c>
      <c r="F760" s="30" t="n">
        <f aca="false">Panel!D737-Panel!D736</f>
        <v>-0.00165255150188415</v>
      </c>
      <c r="G760" s="30" t="n">
        <f aca="false">Panel!D736-Panel!D735</f>
        <v>0.0156009404424804</v>
      </c>
      <c r="H760" s="30" t="n">
        <f aca="false">Panel!D735-Panel!D734</f>
        <v>-0.0106848514870048</v>
      </c>
      <c r="I760" s="30" t="n">
        <f aca="false">Panel!D734-Panel!D733</f>
        <v>0.0102530788861195</v>
      </c>
      <c r="L760" s="30" t="n">
        <f aca="false">Panel!E734-Panel!E733</f>
        <v>0.00904315473452488</v>
      </c>
      <c r="M760" s="29" t="n">
        <f aca="false">Panel!E733</f>
        <v>5.59731023014568</v>
      </c>
    </row>
    <row r="761" customFormat="false" ht="15" hidden="false" customHeight="false" outlineLevel="0" collapsed="false">
      <c r="C761" s="0" t="n">
        <f aca="false">Panel!D740-Panel!D739</f>
        <v>0.0111745802580128</v>
      </c>
      <c r="D761" s="29" t="n">
        <f aca="false">Panel!D739</f>
        <v>10.0987253345966</v>
      </c>
      <c r="E761" s="30" t="n">
        <f aca="false">Panel!D739-Panel!D738</f>
        <v>-0.00320315661333659</v>
      </c>
      <c r="F761" s="30" t="n">
        <f aca="false">Panel!D738-Panel!D737</f>
        <v>0.00844060595288276</v>
      </c>
      <c r="G761" s="30" t="n">
        <f aca="false">Panel!D737-Panel!D736</f>
        <v>-0.00165255150188415</v>
      </c>
      <c r="H761" s="30" t="n">
        <f aca="false">Panel!D736-Panel!D735</f>
        <v>0.0156009404424804</v>
      </c>
      <c r="I761" s="30" t="n">
        <f aca="false">Panel!D735-Panel!D734</f>
        <v>-0.0106848514870048</v>
      </c>
      <c r="L761" s="30" t="n">
        <f aca="false">Panel!E735-Panel!E734</f>
        <v>-0.010378862858313</v>
      </c>
      <c r="M761" s="29" t="n">
        <f aca="false">Panel!E734</f>
        <v>5.60635338488021</v>
      </c>
    </row>
    <row r="762" customFormat="false" ht="15" hidden="false" customHeight="false" outlineLevel="0" collapsed="false">
      <c r="C762" s="0" t="n">
        <f aca="false">Panel!D741-Panel!D740</f>
        <v>-0.00817644671048967</v>
      </c>
      <c r="D762" s="29" t="n">
        <f aca="false">Panel!D740</f>
        <v>10.1098999148546</v>
      </c>
      <c r="E762" s="30" t="n">
        <f aca="false">Panel!D740-Panel!D739</f>
        <v>0.0111745802580128</v>
      </c>
      <c r="F762" s="30" t="n">
        <f aca="false">Panel!D739-Panel!D738</f>
        <v>-0.00320315661333659</v>
      </c>
      <c r="G762" s="30" t="n">
        <f aca="false">Panel!D738-Panel!D737</f>
        <v>0.00844060595288276</v>
      </c>
      <c r="H762" s="30" t="n">
        <f aca="false">Panel!D737-Panel!D736</f>
        <v>-0.00165255150188415</v>
      </c>
      <c r="I762" s="30" t="n">
        <f aca="false">Panel!D736-Panel!D735</f>
        <v>0.0156009404424804</v>
      </c>
      <c r="L762" s="30" t="n">
        <f aca="false">Panel!E736-Panel!E735</f>
        <v>0.0160580940247375</v>
      </c>
      <c r="M762" s="29" t="n">
        <f aca="false">Panel!E735</f>
        <v>5.5959745220219</v>
      </c>
    </row>
    <row r="763" customFormat="false" ht="15" hidden="false" customHeight="false" outlineLevel="0" collapsed="false">
      <c r="C763" s="0" t="n">
        <f aca="false">Panel!D742-Panel!D741</f>
        <v>-0.00902150255689982</v>
      </c>
      <c r="D763" s="29" t="n">
        <f aca="false">Panel!D741</f>
        <v>10.1017234681442</v>
      </c>
      <c r="E763" s="30" t="n">
        <f aca="false">Panel!D741-Panel!D740</f>
        <v>-0.00817644671048967</v>
      </c>
      <c r="F763" s="30" t="n">
        <f aca="false">Panel!D740-Panel!D739</f>
        <v>0.0111745802580128</v>
      </c>
      <c r="G763" s="30" t="n">
        <f aca="false">Panel!D739-Panel!D738</f>
        <v>-0.00320315661333659</v>
      </c>
      <c r="H763" s="30" t="n">
        <f aca="false">Panel!D738-Panel!D737</f>
        <v>0.00844060595288276</v>
      </c>
      <c r="I763" s="30" t="n">
        <f aca="false">Panel!D737-Panel!D736</f>
        <v>-0.00165255150188415</v>
      </c>
      <c r="L763" s="30" t="n">
        <f aca="false">Panel!E737-Panel!E736</f>
        <v>0.000365296807714799</v>
      </c>
      <c r="M763" s="29" t="n">
        <f aca="false">Panel!E736</f>
        <v>5.61203261604663</v>
      </c>
    </row>
    <row r="764" customFormat="false" ht="15" hidden="false" customHeight="false" outlineLevel="0" collapsed="false">
      <c r="C764" s="0" t="n">
        <f aca="false">Panel!D743-Panel!D742</f>
        <v>-0.00981378468483385</v>
      </c>
      <c r="D764" s="29" t="n">
        <f aca="false">Panel!D742</f>
        <v>10.0927019655873</v>
      </c>
      <c r="E764" s="30" t="n">
        <f aca="false">Panel!D742-Panel!D741</f>
        <v>-0.00902150255689982</v>
      </c>
      <c r="F764" s="30" t="n">
        <f aca="false">Panel!D741-Panel!D740</f>
        <v>-0.00817644671048967</v>
      </c>
      <c r="G764" s="30" t="n">
        <f aca="false">Panel!D740-Panel!D739</f>
        <v>0.0111745802580128</v>
      </c>
      <c r="H764" s="30" t="n">
        <f aca="false">Panel!D739-Panel!D738</f>
        <v>-0.00320315661333659</v>
      </c>
      <c r="I764" s="30" t="n">
        <f aca="false">Panel!D738-Panel!D737</f>
        <v>0.00844060595288276</v>
      </c>
      <c r="L764" s="30" t="n">
        <f aca="false">Panel!E738-Panel!E737</f>
        <v>0.00800295286280139</v>
      </c>
      <c r="M764" s="29" t="n">
        <f aca="false">Panel!E737</f>
        <v>5.61239791285435</v>
      </c>
    </row>
    <row r="765" customFormat="false" ht="15" hidden="false" customHeight="false" outlineLevel="0" collapsed="false">
      <c r="C765" s="0" t="n">
        <f aca="false">Panel!D744-Panel!D743</f>
        <v>0.00832297771665935</v>
      </c>
      <c r="D765" s="29" t="n">
        <f aca="false">Panel!D743</f>
        <v>10.0828881809024</v>
      </c>
      <c r="E765" s="30" t="n">
        <f aca="false">Panel!D743-Panel!D742</f>
        <v>-0.00981378468483385</v>
      </c>
      <c r="F765" s="30" t="n">
        <f aca="false">Panel!D742-Panel!D741</f>
        <v>-0.00902150255689982</v>
      </c>
      <c r="G765" s="30" t="n">
        <f aca="false">Panel!D741-Panel!D740</f>
        <v>-0.00817644671048967</v>
      </c>
      <c r="H765" s="30" t="n">
        <f aca="false">Panel!D740-Panel!D739</f>
        <v>0.0111745802580128</v>
      </c>
      <c r="I765" s="30" t="n">
        <f aca="false">Panel!D739-Panel!D738</f>
        <v>-0.00320315661333659</v>
      </c>
      <c r="L765" s="30" t="n">
        <f aca="false">Panel!E739-Panel!E738</f>
        <v>-0.00399347054594923</v>
      </c>
      <c r="M765" s="29" t="n">
        <f aca="false">Panel!E738</f>
        <v>5.62040086571715</v>
      </c>
    </row>
    <row r="766" customFormat="false" ht="15" hidden="false" customHeight="false" outlineLevel="0" collapsed="false">
      <c r="C766" s="0" t="n">
        <f aca="false">Panel!D745-Panel!D744</f>
        <v>-0.00564791284429589</v>
      </c>
      <c r="D766" s="29" t="n">
        <f aca="false">Panel!D744</f>
        <v>10.0912111586191</v>
      </c>
      <c r="E766" s="30" t="n">
        <f aca="false">Panel!D744-Panel!D743</f>
        <v>0.00832297771665935</v>
      </c>
      <c r="F766" s="30" t="n">
        <f aca="false">Panel!D743-Panel!D742</f>
        <v>-0.00981378468483385</v>
      </c>
      <c r="G766" s="30" t="n">
        <f aca="false">Panel!D742-Panel!D741</f>
        <v>-0.00902150255689982</v>
      </c>
      <c r="H766" s="30" t="n">
        <f aca="false">Panel!D741-Panel!D740</f>
        <v>-0.00817644671048967</v>
      </c>
      <c r="I766" s="30" t="n">
        <f aca="false">Panel!D740-Panel!D739</f>
        <v>0.0111745802580128</v>
      </c>
      <c r="L766" s="30" t="n">
        <f aca="false">Panel!E740-Panel!E739</f>
        <v>0.00973780975784777</v>
      </c>
      <c r="M766" s="29" t="n">
        <f aca="false">Panel!E739</f>
        <v>5.6164073951712</v>
      </c>
    </row>
    <row r="767" customFormat="false" ht="15" hidden="false" customHeight="false" outlineLevel="0" collapsed="false">
      <c r="C767" s="0" t="n">
        <f aca="false">Panel!D746-Panel!D745</f>
        <v>0.00986610693229117</v>
      </c>
      <c r="D767" s="29" t="n">
        <f aca="false">Panel!D745</f>
        <v>10.0855632457748</v>
      </c>
      <c r="E767" s="30" t="n">
        <f aca="false">Panel!D745-Panel!D744</f>
        <v>-0.00564791284429589</v>
      </c>
      <c r="F767" s="30" t="n">
        <f aca="false">Panel!D744-Panel!D743</f>
        <v>0.00832297771665935</v>
      </c>
      <c r="G767" s="30" t="n">
        <f aca="false">Panel!D743-Panel!D742</f>
        <v>-0.00981378468483385</v>
      </c>
      <c r="H767" s="30" t="n">
        <f aca="false">Panel!D742-Panel!D741</f>
        <v>-0.00902150255689982</v>
      </c>
      <c r="I767" s="30" t="n">
        <f aca="false">Panel!D741-Panel!D740</f>
        <v>-0.00817644671048967</v>
      </c>
      <c r="L767" s="30" t="n">
        <f aca="false">Panel!E741-Panel!E740</f>
        <v>-0.00668681218556522</v>
      </c>
      <c r="M767" s="29" t="n">
        <f aca="false">Panel!E740</f>
        <v>5.62614520492905</v>
      </c>
    </row>
    <row r="768" customFormat="false" ht="15" hidden="false" customHeight="false" outlineLevel="0" collapsed="false">
      <c r="C768" s="0" t="n">
        <f aca="false">Panel!D747-Panel!D746</f>
        <v>-0.00396957186817737</v>
      </c>
      <c r="D768" s="29" t="n">
        <f aca="false">Panel!D746</f>
        <v>10.0954293527071</v>
      </c>
      <c r="E768" s="30" t="n">
        <f aca="false">Panel!D746-Panel!D745</f>
        <v>0.00986610693229117</v>
      </c>
      <c r="F768" s="30" t="n">
        <f aca="false">Panel!D745-Panel!D744</f>
        <v>-0.00564791284429589</v>
      </c>
      <c r="G768" s="30" t="n">
        <f aca="false">Panel!D744-Panel!D743</f>
        <v>0.00832297771665935</v>
      </c>
      <c r="H768" s="30" t="n">
        <f aca="false">Panel!D743-Panel!D742</f>
        <v>-0.00981378468483385</v>
      </c>
      <c r="I768" s="30" t="n">
        <f aca="false">Panel!D742-Panel!D741</f>
        <v>-0.00902150255689982</v>
      </c>
      <c r="L768" s="30" t="n">
        <f aca="false">Panel!E742-Panel!E741</f>
        <v>-0.00706047988913472</v>
      </c>
      <c r="M768" s="29" t="n">
        <f aca="false">Panel!E741</f>
        <v>5.61945839274348</v>
      </c>
    </row>
    <row r="769" customFormat="false" ht="15" hidden="false" customHeight="false" outlineLevel="0" collapsed="false">
      <c r="C769" s="0" t="n">
        <f aca="false">Panel!D748-Panel!D747</f>
        <v>0.0022348227651765</v>
      </c>
      <c r="D769" s="29" t="n">
        <f aca="false">Panel!D747</f>
        <v>10.0914597808389</v>
      </c>
      <c r="E769" s="30" t="n">
        <f aca="false">Panel!D747-Panel!D746</f>
        <v>-0.00396957186817737</v>
      </c>
      <c r="F769" s="30" t="n">
        <f aca="false">Panel!D746-Panel!D745</f>
        <v>0.00986610693229117</v>
      </c>
      <c r="G769" s="30" t="n">
        <f aca="false">Panel!D745-Panel!D744</f>
        <v>-0.00564791284429589</v>
      </c>
      <c r="H769" s="30" t="n">
        <f aca="false">Panel!D744-Panel!D743</f>
        <v>0.00832297771665935</v>
      </c>
      <c r="I769" s="30" t="n">
        <f aca="false">Panel!D743-Panel!D742</f>
        <v>-0.00981378468483385</v>
      </c>
      <c r="L769" s="30" t="n">
        <f aca="false">Panel!E743-Panel!E742</f>
        <v>-0.00902526579718543</v>
      </c>
      <c r="M769" s="29" t="n">
        <f aca="false">Panel!E742</f>
        <v>5.61239791285435</v>
      </c>
    </row>
    <row r="770" customFormat="false" ht="15" hidden="false" customHeight="false" outlineLevel="0" collapsed="false">
      <c r="C770" s="0" t="n">
        <f aca="false">Panel!D749-Panel!D748</f>
        <v>-0.0025083106070305</v>
      </c>
      <c r="D770" s="29" t="n">
        <f aca="false">Panel!D748</f>
        <v>10.0936946036041</v>
      </c>
      <c r="E770" s="30" t="n">
        <f aca="false">Panel!D748-Panel!D747</f>
        <v>0.0022348227651765</v>
      </c>
      <c r="F770" s="30" t="n">
        <f aca="false">Panel!D747-Panel!D746</f>
        <v>-0.00396957186817737</v>
      </c>
      <c r="G770" s="30" t="n">
        <f aca="false">Panel!D746-Panel!D745</f>
        <v>0.00986610693229117</v>
      </c>
      <c r="H770" s="30" t="n">
        <f aca="false">Panel!D745-Panel!D744</f>
        <v>-0.00564791284429589</v>
      </c>
      <c r="I770" s="30" t="n">
        <f aca="false">Panel!D744-Panel!D743</f>
        <v>0.00832297771665935</v>
      </c>
      <c r="L770" s="30" t="n">
        <f aca="false">Panel!E744-Panel!E743</f>
        <v>0.00507298077248475</v>
      </c>
      <c r="M770" s="29" t="n">
        <f aca="false">Panel!E743</f>
        <v>5.60337264705716</v>
      </c>
    </row>
    <row r="771" customFormat="false" ht="15" hidden="false" customHeight="false" outlineLevel="0" collapsed="false">
      <c r="C771" s="0" t="n">
        <f aca="false">Panel!D750-Panel!D749</f>
        <v>0.0138860825138867</v>
      </c>
      <c r="D771" s="29" t="n">
        <f aca="false">Panel!D749</f>
        <v>10.091186292997</v>
      </c>
      <c r="E771" s="30" t="n">
        <f aca="false">Panel!D749-Panel!D748</f>
        <v>-0.0025083106070305</v>
      </c>
      <c r="F771" s="30" t="n">
        <f aca="false">Panel!D748-Panel!D747</f>
        <v>0.0022348227651765</v>
      </c>
      <c r="G771" s="30" t="n">
        <f aca="false">Panel!D747-Panel!D746</f>
        <v>-0.00396957186817737</v>
      </c>
      <c r="H771" s="30" t="n">
        <f aca="false">Panel!D746-Panel!D745</f>
        <v>0.00986610693229117</v>
      </c>
      <c r="I771" s="30" t="n">
        <f aca="false">Panel!D745-Panel!D744</f>
        <v>-0.00564791284429589</v>
      </c>
      <c r="L771" s="30" t="n">
        <f aca="false">Panel!E745-Panel!E744</f>
        <v>-0.00337912611260371</v>
      </c>
      <c r="M771" s="29" t="n">
        <f aca="false">Panel!E744</f>
        <v>5.60844562782965</v>
      </c>
    </row>
    <row r="772" customFormat="false" ht="15" hidden="false" customHeight="false" outlineLevel="0" collapsed="false">
      <c r="C772" s="0" t="n">
        <f aca="false">Panel!D751-Panel!D750</f>
        <v>-0.00252906718968049</v>
      </c>
      <c r="D772" s="29" t="n">
        <f aca="false">Panel!D750</f>
        <v>10.1050723755109</v>
      </c>
      <c r="E772" s="30" t="n">
        <f aca="false">Panel!D750-Panel!D749</f>
        <v>0.0138860825138867</v>
      </c>
      <c r="F772" s="30" t="n">
        <f aca="false">Panel!D749-Panel!D748</f>
        <v>-0.0025083106070305</v>
      </c>
      <c r="G772" s="30" t="n">
        <f aca="false">Panel!D748-Panel!D747</f>
        <v>0.0022348227651765</v>
      </c>
      <c r="H772" s="30" t="n">
        <f aca="false">Panel!D747-Panel!D746</f>
        <v>-0.00396957186817737</v>
      </c>
      <c r="I772" s="30" t="n">
        <f aca="false">Panel!D746-Panel!D745</f>
        <v>0.00986610693229117</v>
      </c>
      <c r="L772" s="30" t="n">
        <f aca="false">Panel!E746-Panel!E745</f>
        <v>0.00440529346791596</v>
      </c>
      <c r="M772" s="29" t="n">
        <f aca="false">Panel!E745</f>
        <v>5.60506650171704</v>
      </c>
    </row>
    <row r="773" customFormat="false" ht="15" hidden="false" customHeight="false" outlineLevel="0" collapsed="false">
      <c r="C773" s="0" t="n">
        <f aca="false">Panel!D752-Panel!D751</f>
        <v>-0.00725014844692851</v>
      </c>
      <c r="D773" s="29" t="n">
        <f aca="false">Panel!D751</f>
        <v>10.1025433083212</v>
      </c>
      <c r="E773" s="30" t="n">
        <f aca="false">Panel!D751-Panel!D750</f>
        <v>-0.00252906718968049</v>
      </c>
      <c r="F773" s="30" t="n">
        <f aca="false">Panel!D750-Panel!D749</f>
        <v>0.0138860825138867</v>
      </c>
      <c r="G773" s="30" t="n">
        <f aca="false">Panel!D749-Panel!D748</f>
        <v>-0.0025083106070305</v>
      </c>
      <c r="H773" s="30" t="n">
        <f aca="false">Panel!D748-Panel!D747</f>
        <v>0.0022348227651765</v>
      </c>
      <c r="I773" s="30" t="n">
        <f aca="false">Panel!D747-Panel!D746</f>
        <v>-0.00396957186817737</v>
      </c>
      <c r="L773" s="30" t="n">
        <f aca="false">Panel!E747-Panel!E746</f>
        <v>-0.00150296038116071</v>
      </c>
      <c r="M773" s="29" t="n">
        <f aca="false">Panel!E746</f>
        <v>5.60947179518496</v>
      </c>
    </row>
    <row r="774" customFormat="false" ht="15" hidden="false" customHeight="false" outlineLevel="0" collapsed="false">
      <c r="C774" s="0" t="n">
        <f aca="false">Panel!D753-Panel!D752</f>
        <v>-0.0153344642224127</v>
      </c>
      <c r="D774" s="29" t="n">
        <f aca="false">Panel!D752</f>
        <v>10.0952931598743</v>
      </c>
      <c r="E774" s="30" t="n">
        <f aca="false">Panel!D752-Panel!D751</f>
        <v>-0.00725014844692851</v>
      </c>
      <c r="F774" s="30" t="n">
        <f aca="false">Panel!D751-Panel!D750</f>
        <v>-0.00252906718968049</v>
      </c>
      <c r="G774" s="30" t="n">
        <f aca="false">Panel!D750-Panel!D749</f>
        <v>0.0138860825138867</v>
      </c>
      <c r="H774" s="30" t="n">
        <f aca="false">Panel!D749-Panel!D748</f>
        <v>-0.0025083106070305</v>
      </c>
      <c r="I774" s="30" t="n">
        <f aca="false">Panel!D748-Panel!D747</f>
        <v>0.0022348227651765</v>
      </c>
      <c r="L774" s="30" t="n">
        <f aca="false">Panel!E748-Panel!E747</f>
        <v>0.00223529289283597</v>
      </c>
      <c r="M774" s="29" t="n">
        <f aca="false">Panel!E747</f>
        <v>5.6079688348038</v>
      </c>
    </row>
    <row r="775" customFormat="false" ht="15" hidden="false" customHeight="false" outlineLevel="0" collapsed="false">
      <c r="C775" s="0" t="n">
        <f aca="false">Panel!D754-Panel!D753</f>
        <v>-0.0164804068068385</v>
      </c>
      <c r="D775" s="29" t="n">
        <f aca="false">Panel!D753</f>
        <v>10.0799586956519</v>
      </c>
      <c r="E775" s="30" t="n">
        <f aca="false">Panel!D753-Panel!D752</f>
        <v>-0.0153344642224127</v>
      </c>
      <c r="F775" s="30" t="n">
        <f aca="false">Panel!D752-Panel!D751</f>
        <v>-0.00725014844692851</v>
      </c>
      <c r="G775" s="30" t="n">
        <f aca="false">Panel!D751-Panel!D750</f>
        <v>-0.00252906718968049</v>
      </c>
      <c r="H775" s="30" t="n">
        <f aca="false">Panel!D750-Panel!D749</f>
        <v>0.0138860825138867</v>
      </c>
      <c r="I775" s="30" t="n">
        <f aca="false">Panel!D749-Panel!D748</f>
        <v>-0.0025083106070305</v>
      </c>
      <c r="L775" s="30" t="n">
        <f aca="false">Panel!E749-Panel!E748</f>
        <v>-0.00260221151440287</v>
      </c>
      <c r="M775" s="29" t="n">
        <f aca="false">Panel!E748</f>
        <v>5.61020412769664</v>
      </c>
    </row>
    <row r="776" customFormat="false" ht="15" hidden="false" customHeight="false" outlineLevel="0" collapsed="false">
      <c r="C776" s="0" t="n">
        <f aca="false">Panel!D755-Panel!D754</f>
        <v>0.00046857362787911</v>
      </c>
      <c r="D776" s="29" t="n">
        <f aca="false">Panel!D754</f>
        <v>10.0634782888451</v>
      </c>
      <c r="E776" s="30" t="n">
        <f aca="false">Panel!D754-Panel!D753</f>
        <v>-0.0164804068068385</v>
      </c>
      <c r="F776" s="30" t="n">
        <f aca="false">Panel!D753-Panel!D752</f>
        <v>-0.0153344642224127</v>
      </c>
      <c r="G776" s="30" t="n">
        <f aca="false">Panel!D752-Panel!D751</f>
        <v>-0.00725014844692851</v>
      </c>
      <c r="H776" s="30" t="n">
        <f aca="false">Panel!D751-Panel!D750</f>
        <v>-0.00252906718968049</v>
      </c>
      <c r="I776" s="30" t="n">
        <f aca="false">Panel!D750-Panel!D749</f>
        <v>0.0138860825138867</v>
      </c>
      <c r="L776" s="30" t="n">
        <f aca="false">Panel!E750-Panel!E749</f>
        <v>0.0122553235362082</v>
      </c>
      <c r="M776" s="29" t="n">
        <f aca="false">Panel!E749</f>
        <v>5.60760191618223</v>
      </c>
    </row>
    <row r="777" customFormat="false" ht="15" hidden="false" customHeight="false" outlineLevel="0" collapsed="false">
      <c r="C777" s="0" t="n">
        <f aca="false">Panel!D756-Panel!D755</f>
        <v>0.0109276818043558</v>
      </c>
      <c r="D777" s="29" t="n">
        <f aca="false">Panel!D755</f>
        <v>10.0639468624729</v>
      </c>
      <c r="E777" s="30" t="n">
        <f aca="false">Panel!D755-Panel!D754</f>
        <v>0.00046857362787911</v>
      </c>
      <c r="F777" s="30" t="n">
        <f aca="false">Panel!D754-Panel!D753</f>
        <v>-0.0164804068068385</v>
      </c>
      <c r="G777" s="30" t="n">
        <f aca="false">Panel!D753-Panel!D752</f>
        <v>-0.0153344642224127</v>
      </c>
      <c r="H777" s="30" t="n">
        <f aca="false">Panel!D752-Panel!D751</f>
        <v>-0.00725014844692851</v>
      </c>
      <c r="I777" s="30" t="n">
        <f aca="false">Panel!D751-Panel!D750</f>
        <v>-0.00252906718968049</v>
      </c>
      <c r="L777" s="30" t="n">
        <f aca="false">Panel!E751-Panel!E750</f>
        <v>-0.00163265342388552</v>
      </c>
      <c r="M777" s="29" t="n">
        <f aca="false">Panel!E750</f>
        <v>5.61985723971844</v>
      </c>
    </row>
    <row r="778" customFormat="false" ht="15" hidden="false" customHeight="false" outlineLevel="0" collapsed="false">
      <c r="C778" s="0" t="n">
        <f aca="false">Panel!D757-Panel!D756</f>
        <v>-0.00341794117162131</v>
      </c>
      <c r="D778" s="29" t="n">
        <f aca="false">Panel!D756</f>
        <v>10.0748745442773</v>
      </c>
      <c r="E778" s="30" t="n">
        <f aca="false">Panel!D756-Panel!D755</f>
        <v>0.0109276818043558</v>
      </c>
      <c r="F778" s="30" t="n">
        <f aca="false">Panel!D755-Panel!D754</f>
        <v>0.00046857362787911</v>
      </c>
      <c r="G778" s="30" t="n">
        <f aca="false">Panel!D754-Panel!D753</f>
        <v>-0.0164804068068385</v>
      </c>
      <c r="H778" s="30" t="n">
        <f aca="false">Panel!D753-Panel!D752</f>
        <v>-0.0153344642224127</v>
      </c>
      <c r="I778" s="30" t="n">
        <f aca="false">Panel!D752-Panel!D751</f>
        <v>-0.00725014844692851</v>
      </c>
      <c r="L778" s="30" t="n">
        <f aca="false">Panel!E752-Panel!E751</f>
        <v>-0.00509647990648432</v>
      </c>
      <c r="M778" s="29" t="n">
        <f aca="false">Panel!E751</f>
        <v>5.61822458629456</v>
      </c>
    </row>
    <row r="779" customFormat="false" ht="15" hidden="false" customHeight="false" outlineLevel="0" collapsed="false">
      <c r="C779" s="0" t="n">
        <f aca="false">Panel!D758-Panel!D757</f>
        <v>4.22681066059027E-005</v>
      </c>
      <c r="D779" s="29" t="n">
        <f aca="false">Panel!D757</f>
        <v>10.0714566031057</v>
      </c>
      <c r="E779" s="30" t="n">
        <f aca="false">Panel!D757-Panel!D756</f>
        <v>-0.00341794117162131</v>
      </c>
      <c r="F779" s="30" t="n">
        <f aca="false">Panel!D756-Panel!D755</f>
        <v>0.0109276818043558</v>
      </c>
      <c r="G779" s="30" t="n">
        <f aca="false">Panel!D755-Panel!D754</f>
        <v>0.00046857362787911</v>
      </c>
      <c r="H779" s="30" t="n">
        <f aca="false">Panel!D754-Panel!D753</f>
        <v>-0.0164804068068385</v>
      </c>
      <c r="I779" s="30" t="n">
        <f aca="false">Panel!D753-Panel!D752</f>
        <v>-0.0153344642224127</v>
      </c>
      <c r="L779" s="30" t="n">
        <f aca="false">Panel!E753-Panel!E752</f>
        <v>-0.0143358455895006</v>
      </c>
      <c r="M779" s="29" t="n">
        <f aca="false">Panel!E752</f>
        <v>5.61312810638807</v>
      </c>
    </row>
    <row r="780" customFormat="false" ht="15" hidden="false" customHeight="false" outlineLevel="0" collapsed="false">
      <c r="C780" s="0" t="n">
        <f aca="false">Panel!D759-Panel!D758</f>
        <v>-0.00228503823190174</v>
      </c>
      <c r="D780" s="29" t="n">
        <f aca="false">Panel!D758</f>
        <v>10.0714988712123</v>
      </c>
      <c r="E780" s="30" t="n">
        <f aca="false">Panel!D758-Panel!D757</f>
        <v>4.22681066059027E-005</v>
      </c>
      <c r="F780" s="30" t="n">
        <f aca="false">Panel!D757-Panel!D756</f>
        <v>-0.00341794117162131</v>
      </c>
      <c r="G780" s="30" t="n">
        <f aca="false">Panel!D756-Panel!D755</f>
        <v>0.0109276818043558</v>
      </c>
      <c r="H780" s="30" t="n">
        <f aca="false">Panel!D755-Panel!D754</f>
        <v>0.00046857362787911</v>
      </c>
      <c r="I780" s="30" t="n">
        <f aca="false">Panel!D754-Panel!D753</f>
        <v>-0.0164804068068385</v>
      </c>
      <c r="L780" s="30" t="n">
        <f aca="false">Panel!E754-Panel!E753</f>
        <v>-0.0170644321496747</v>
      </c>
      <c r="M780" s="29" t="n">
        <f aca="false">Panel!E753</f>
        <v>5.59879226079857</v>
      </c>
    </row>
    <row r="781" customFormat="false" ht="15" hidden="false" customHeight="false" outlineLevel="0" collapsed="false">
      <c r="C781" s="0" t="n">
        <f aca="false">Panel!D760-Panel!D759</f>
        <v>0.00380550142130254</v>
      </c>
      <c r="D781" s="29" t="n">
        <f aca="false">Panel!D759</f>
        <v>10.0692138329804</v>
      </c>
      <c r="E781" s="30" t="n">
        <f aca="false">Panel!D759-Panel!D758</f>
        <v>-0.00228503823190174</v>
      </c>
      <c r="F781" s="30" t="n">
        <f aca="false">Panel!D758-Panel!D757</f>
        <v>4.22681066059027E-005</v>
      </c>
      <c r="G781" s="30" t="n">
        <f aca="false">Panel!D757-Panel!D756</f>
        <v>-0.00341794117162131</v>
      </c>
      <c r="H781" s="30" t="n">
        <f aca="false">Panel!D756-Panel!D755</f>
        <v>0.0109276818043558</v>
      </c>
      <c r="I781" s="30" t="n">
        <f aca="false">Panel!D755-Panel!D754</f>
        <v>0.00046857362787911</v>
      </c>
      <c r="L781" s="30" t="n">
        <f aca="false">Panel!E755-Panel!E754</f>
        <v>0.000338887323209747</v>
      </c>
      <c r="M781" s="29" t="n">
        <f aca="false">Panel!E754</f>
        <v>5.5817278286489</v>
      </c>
    </row>
    <row r="782" customFormat="false" ht="15" hidden="false" customHeight="false" outlineLevel="0" collapsed="false">
      <c r="C782" s="0" t="n">
        <f aca="false">Panel!D761-Panel!D760</f>
        <v>-0.00253539117435153</v>
      </c>
      <c r="D782" s="29" t="n">
        <f aca="false">Panel!D760</f>
        <v>10.0730193344017</v>
      </c>
      <c r="E782" s="30" t="n">
        <f aca="false">Panel!D760-Panel!D759</f>
        <v>0.00380550142130254</v>
      </c>
      <c r="F782" s="30" t="n">
        <f aca="false">Panel!D759-Panel!D758</f>
        <v>-0.00228503823190174</v>
      </c>
      <c r="G782" s="30" t="n">
        <f aca="false">Panel!D758-Panel!D757</f>
        <v>4.22681066059027E-005</v>
      </c>
      <c r="H782" s="30" t="n">
        <f aca="false">Panel!D757-Panel!D756</f>
        <v>-0.00341794117162131</v>
      </c>
      <c r="I782" s="30" t="n">
        <f aca="false">Panel!D756-Panel!D755</f>
        <v>0.0109276818043558</v>
      </c>
      <c r="L782" s="30" t="n">
        <f aca="false">Panel!E756-Panel!E755</f>
        <v>0.0106724598907721</v>
      </c>
      <c r="M782" s="29" t="n">
        <f aca="false">Panel!E755</f>
        <v>5.58206671597211</v>
      </c>
    </row>
    <row r="783" customFormat="false" ht="15" hidden="false" customHeight="false" outlineLevel="0" collapsed="false">
      <c r="C783" s="0" t="n">
        <f aca="false">Panel!D762-Panel!D761</f>
        <v>0.00611622701743464</v>
      </c>
      <c r="D783" s="29" t="n">
        <f aca="false">Panel!D761</f>
        <v>10.0704839432273</v>
      </c>
      <c r="E783" s="30" t="n">
        <f aca="false">Panel!D761-Panel!D760</f>
        <v>-0.00253539117435153</v>
      </c>
      <c r="F783" s="30" t="n">
        <f aca="false">Panel!D760-Panel!D759</f>
        <v>0.00380550142130254</v>
      </c>
      <c r="G783" s="30" t="n">
        <f aca="false">Panel!D759-Panel!D758</f>
        <v>-0.00228503823190174</v>
      </c>
      <c r="H783" s="30" t="n">
        <f aca="false">Panel!D758-Panel!D757</f>
        <v>4.22681066059027E-005</v>
      </c>
      <c r="I783" s="30" t="n">
        <f aca="false">Panel!D757-Panel!D756</f>
        <v>-0.00341794117162131</v>
      </c>
      <c r="L783" s="30" t="n">
        <f aca="false">Panel!E757-Panel!E756</f>
        <v>-0.0022000568210272</v>
      </c>
      <c r="M783" s="29" t="n">
        <f aca="false">Panel!E756</f>
        <v>5.59273917586288</v>
      </c>
    </row>
    <row r="784" customFormat="false" ht="15" hidden="false" customHeight="false" outlineLevel="0" collapsed="false">
      <c r="C784" s="0" t="n">
        <f aca="false">Panel!D763-Panel!D762</f>
        <v>0.0139891622582997</v>
      </c>
      <c r="D784" s="29" t="n">
        <f aca="false">Panel!D762</f>
        <v>10.0766001702448</v>
      </c>
      <c r="E784" s="30" t="n">
        <f aca="false">Panel!D762-Panel!D761</f>
        <v>0.00611622701743464</v>
      </c>
      <c r="F784" s="30" t="n">
        <f aca="false">Panel!D761-Panel!D760</f>
        <v>-0.00253539117435153</v>
      </c>
      <c r="G784" s="30" t="n">
        <f aca="false">Panel!D760-Panel!D759</f>
        <v>0.00380550142130254</v>
      </c>
      <c r="H784" s="30" t="n">
        <f aca="false">Panel!D759-Panel!D758</f>
        <v>-0.00228503823190174</v>
      </c>
      <c r="I784" s="30" t="n">
        <f aca="false">Panel!D758-Panel!D757</f>
        <v>4.22681066059027E-005</v>
      </c>
      <c r="L784" s="30" t="n">
        <f aca="false">Panel!E758-Panel!E757</f>
        <v>-0.000672168515542637</v>
      </c>
      <c r="M784" s="29" t="n">
        <f aca="false">Panel!E757</f>
        <v>5.59053911904185</v>
      </c>
    </row>
    <row r="785" customFormat="false" ht="15" hidden="false" customHeight="false" outlineLevel="0" collapsed="false">
      <c r="C785" s="0" t="n">
        <f aca="false">Panel!D764-Panel!D763</f>
        <v>-0.00848708510431528</v>
      </c>
      <c r="D785" s="29" t="n">
        <f aca="false">Panel!D763</f>
        <v>10.0905893325031</v>
      </c>
      <c r="E785" s="30" t="n">
        <f aca="false">Panel!D763-Panel!D762</f>
        <v>0.0139891622582997</v>
      </c>
      <c r="F785" s="30" t="n">
        <f aca="false">Panel!D762-Panel!D761</f>
        <v>0.00611622701743464</v>
      </c>
      <c r="G785" s="30" t="n">
        <f aca="false">Panel!D761-Panel!D760</f>
        <v>-0.00253539117435153</v>
      </c>
      <c r="H785" s="30" t="n">
        <f aca="false">Panel!D760-Panel!D759</f>
        <v>0.00380550142130254</v>
      </c>
      <c r="I785" s="30" t="n">
        <f aca="false">Panel!D759-Panel!D758</f>
        <v>-0.00228503823190174</v>
      </c>
      <c r="L785" s="30" t="n">
        <f aca="false">Panel!E759-Panel!E758</f>
        <v>0.000373482730765318</v>
      </c>
      <c r="M785" s="29" t="n">
        <f aca="false">Panel!E758</f>
        <v>5.58986695052631</v>
      </c>
    </row>
    <row r="786" customFormat="false" ht="15" hidden="false" customHeight="false" outlineLevel="0" collapsed="false">
      <c r="C786" s="0" t="n">
        <f aca="false">Panel!D765-Panel!D764</f>
        <v>0.00374852772996093</v>
      </c>
      <c r="D786" s="29" t="n">
        <f aca="false">Panel!D764</f>
        <v>10.0821022473988</v>
      </c>
      <c r="E786" s="30" t="n">
        <f aca="false">Panel!D764-Panel!D763</f>
        <v>-0.00848708510431528</v>
      </c>
      <c r="F786" s="30" t="n">
        <f aca="false">Panel!D763-Panel!D762</f>
        <v>0.0139891622582997</v>
      </c>
      <c r="G786" s="30" t="n">
        <f aca="false">Panel!D762-Panel!D761</f>
        <v>0.00611622701743464</v>
      </c>
      <c r="H786" s="30" t="n">
        <f aca="false">Panel!D761-Panel!D760</f>
        <v>-0.00253539117435153</v>
      </c>
      <c r="I786" s="30" t="n">
        <f aca="false">Panel!D760-Panel!D759</f>
        <v>0.00380550142130254</v>
      </c>
      <c r="L786" s="30" t="n">
        <f aca="false">Panel!E760-Panel!E759</f>
        <v>0.00149253759050527</v>
      </c>
      <c r="M786" s="29" t="n">
        <f aca="false">Panel!E759</f>
        <v>5.59024043325707</v>
      </c>
    </row>
    <row r="787" customFormat="false" ht="15" hidden="false" customHeight="false" outlineLevel="0" collapsed="false">
      <c r="C787" s="0" t="n">
        <f aca="false">Panel!D766-Panel!D765</f>
        <v>-0.0107487829423221</v>
      </c>
      <c r="D787" s="29" t="n">
        <f aca="false">Panel!D765</f>
        <v>10.0858507751287</v>
      </c>
      <c r="E787" s="30" t="n">
        <f aca="false">Panel!D765-Panel!D764</f>
        <v>0.00374852772996093</v>
      </c>
      <c r="F787" s="30" t="n">
        <f aca="false">Panel!D764-Panel!D763</f>
        <v>-0.00848708510431528</v>
      </c>
      <c r="G787" s="30" t="n">
        <f aca="false">Panel!D763-Panel!D762</f>
        <v>0.0139891622582997</v>
      </c>
      <c r="H787" s="30" t="n">
        <f aca="false">Panel!D762-Panel!D761</f>
        <v>0.00611622701743464</v>
      </c>
      <c r="I787" s="30" t="n">
        <f aca="false">Panel!D761-Panel!D760</f>
        <v>-0.00253539117435153</v>
      </c>
      <c r="L787" s="30" t="n">
        <f aca="false">Panel!E761-Panel!E760</f>
        <v>-0.000447527418522498</v>
      </c>
      <c r="M787" s="29" t="n">
        <f aca="false">Panel!E760</f>
        <v>5.59173297084758</v>
      </c>
    </row>
    <row r="788" customFormat="false" ht="15" hidden="false" customHeight="false" outlineLevel="0" collapsed="false">
      <c r="C788" s="0" t="n">
        <f aca="false">Panel!D767-Panel!D766</f>
        <v>-0.0120541325626089</v>
      </c>
      <c r="D788" s="29" t="n">
        <f aca="false">Panel!D766</f>
        <v>10.0751019921864</v>
      </c>
      <c r="E788" s="30" t="n">
        <f aca="false">Panel!D766-Panel!D765</f>
        <v>-0.0107487829423221</v>
      </c>
      <c r="F788" s="30" t="n">
        <f aca="false">Panel!D765-Panel!D764</f>
        <v>0.00374852772996093</v>
      </c>
      <c r="G788" s="30" t="n">
        <f aca="false">Panel!D764-Panel!D763</f>
        <v>-0.00848708510431528</v>
      </c>
      <c r="H788" s="30" t="n">
        <f aca="false">Panel!D763-Panel!D762</f>
        <v>0.0139891622582997</v>
      </c>
      <c r="I788" s="30" t="n">
        <f aca="false">Panel!D762-Panel!D761</f>
        <v>0.00611622701743464</v>
      </c>
      <c r="L788" s="30" t="n">
        <f aca="false">Panel!E762-Panel!E761</f>
        <v>0.00528294691999687</v>
      </c>
      <c r="M788" s="29" t="n">
        <f aca="false">Panel!E761</f>
        <v>5.59128544342906</v>
      </c>
    </row>
    <row r="789" customFormat="false" ht="15" hidden="false" customHeight="false" outlineLevel="0" collapsed="false">
      <c r="C789" s="0" t="n">
        <f aca="false">Panel!D768-Panel!D767</f>
        <v>0.00619986390707084</v>
      </c>
      <c r="D789" s="29" t="n">
        <f aca="false">Panel!D767</f>
        <v>10.0630478596238</v>
      </c>
      <c r="E789" s="30" t="n">
        <f aca="false">Panel!D767-Panel!D766</f>
        <v>-0.0120541325626089</v>
      </c>
      <c r="F789" s="30" t="n">
        <f aca="false">Panel!D766-Panel!D765</f>
        <v>-0.0107487829423221</v>
      </c>
      <c r="G789" s="30" t="n">
        <f aca="false">Panel!D765-Panel!D764</f>
        <v>0.00374852772996093</v>
      </c>
      <c r="H789" s="30" t="n">
        <f aca="false">Panel!D764-Panel!D763</f>
        <v>-0.00848708510431528</v>
      </c>
      <c r="I789" s="30" t="n">
        <f aca="false">Panel!D763-Panel!D762</f>
        <v>0.0139891622582997</v>
      </c>
      <c r="L789" s="30" t="n">
        <f aca="false">Panel!E763-Panel!E762</f>
        <v>0.0110702237542464</v>
      </c>
      <c r="M789" s="29" t="n">
        <f aca="false">Panel!E762</f>
        <v>5.59656839034905</v>
      </c>
    </row>
    <row r="790" customFormat="false" ht="15" hidden="false" customHeight="false" outlineLevel="0" collapsed="false">
      <c r="C790" s="0" t="n">
        <f aca="false">Panel!D769-Panel!D768</f>
        <v>-0.00493467454566066</v>
      </c>
      <c r="D790" s="29" t="n">
        <f aca="false">Panel!D768</f>
        <v>10.0692477235309</v>
      </c>
      <c r="E790" s="30" t="n">
        <f aca="false">Panel!D768-Panel!D767</f>
        <v>0.00619986390707084</v>
      </c>
      <c r="F790" s="30" t="n">
        <f aca="false">Panel!D767-Panel!D766</f>
        <v>-0.0120541325626089</v>
      </c>
      <c r="G790" s="30" t="n">
        <f aca="false">Panel!D766-Panel!D765</f>
        <v>-0.0107487829423221</v>
      </c>
      <c r="H790" s="30" t="n">
        <f aca="false">Panel!D765-Panel!D764</f>
        <v>0.00374852772996093</v>
      </c>
      <c r="I790" s="30" t="n">
        <f aca="false">Panel!D764-Panel!D763</f>
        <v>-0.00848708510431528</v>
      </c>
      <c r="L790" s="30" t="n">
        <f aca="false">Panel!E764-Panel!E763</f>
        <v>-0.00526152399494073</v>
      </c>
      <c r="M790" s="29" t="n">
        <f aca="false">Panel!E763</f>
        <v>5.6076386141033</v>
      </c>
    </row>
    <row r="791" customFormat="false" ht="15" hidden="false" customHeight="false" outlineLevel="0" collapsed="false">
      <c r="C791" s="0" t="n">
        <f aca="false">Panel!D770-Panel!D769</f>
        <v>0.00159092779522219</v>
      </c>
      <c r="D791" s="29" t="n">
        <f aca="false">Panel!D769</f>
        <v>10.0643130489852</v>
      </c>
      <c r="E791" s="30" t="n">
        <f aca="false">Panel!D769-Panel!D768</f>
        <v>-0.00493467454566066</v>
      </c>
      <c r="F791" s="30" t="n">
        <f aca="false">Panel!D768-Panel!D767</f>
        <v>0.00619986390707084</v>
      </c>
      <c r="G791" s="30" t="n">
        <f aca="false">Panel!D767-Panel!D766</f>
        <v>-0.0120541325626089</v>
      </c>
      <c r="H791" s="30" t="n">
        <f aca="false">Panel!D766-Panel!D765</f>
        <v>-0.0107487829423221</v>
      </c>
      <c r="I791" s="30" t="n">
        <f aca="false">Panel!D765-Panel!D764</f>
        <v>0.00374852772996093</v>
      </c>
      <c r="L791" s="30" t="n">
        <f aca="false">Panel!E765-Panel!E764</f>
        <v>0.000147552473616308</v>
      </c>
      <c r="M791" s="29" t="n">
        <f aca="false">Panel!E764</f>
        <v>5.60237709010836</v>
      </c>
    </row>
    <row r="792" customFormat="false" ht="15" hidden="false" customHeight="false" outlineLevel="0" collapsed="false">
      <c r="C792" s="0" t="n">
        <f aca="false">Panel!D771-Panel!D770</f>
        <v>-0.00370473308946906</v>
      </c>
      <c r="D792" s="29" t="n">
        <f aca="false">Panel!D770</f>
        <v>10.0659039767804</v>
      </c>
      <c r="E792" s="30" t="n">
        <f aca="false">Panel!D770-Panel!D769</f>
        <v>0.00159092779522219</v>
      </c>
      <c r="F792" s="30" t="n">
        <f aca="false">Panel!D769-Panel!D768</f>
        <v>-0.00493467454566066</v>
      </c>
      <c r="G792" s="30" t="n">
        <f aca="false">Panel!D768-Panel!D767</f>
        <v>0.00619986390707084</v>
      </c>
      <c r="H792" s="30" t="n">
        <f aca="false">Panel!D767-Panel!D766</f>
        <v>-0.0120541325626089</v>
      </c>
      <c r="I792" s="30" t="n">
        <f aca="false">Panel!D766-Panel!D765</f>
        <v>-0.0107487829423221</v>
      </c>
      <c r="L792" s="30" t="n">
        <f aca="false">Panel!E766-Panel!E765</f>
        <v>-0.0106052610711664</v>
      </c>
      <c r="M792" s="29" t="n">
        <f aca="false">Panel!E765</f>
        <v>5.60252464258197</v>
      </c>
    </row>
    <row r="793" customFormat="false" ht="15" hidden="false" customHeight="false" outlineLevel="0" collapsed="false">
      <c r="C793" s="0" t="n">
        <f aca="false">Panel!D772-Panel!D771</f>
        <v>-0.0125399010342004</v>
      </c>
      <c r="D793" s="29" t="n">
        <f aca="false">Panel!D771</f>
        <v>10.062199243691</v>
      </c>
      <c r="E793" s="30" t="n">
        <f aca="false">Panel!D771-Panel!D770</f>
        <v>-0.00370473308946906</v>
      </c>
      <c r="F793" s="30" t="n">
        <f aca="false">Panel!D770-Panel!D769</f>
        <v>0.00159092779522219</v>
      </c>
      <c r="G793" s="30" t="n">
        <f aca="false">Panel!D769-Panel!D768</f>
        <v>-0.00493467454566066</v>
      </c>
      <c r="H793" s="30" t="n">
        <f aca="false">Panel!D768-Panel!D767</f>
        <v>0.00619986390707084</v>
      </c>
      <c r="I793" s="30" t="n">
        <f aca="false">Panel!D767-Panel!D766</f>
        <v>-0.0120541325626089</v>
      </c>
      <c r="L793" s="30" t="n">
        <f aca="false">Panel!E767-Panel!E766</f>
        <v>-0.00842307272910858</v>
      </c>
      <c r="M793" s="29" t="n">
        <f aca="false">Panel!E766</f>
        <v>5.59191938151081</v>
      </c>
    </row>
    <row r="794" customFormat="false" ht="15" hidden="false" customHeight="false" outlineLevel="0" collapsed="false">
      <c r="C794" s="0" t="n">
        <f aca="false">Panel!D773-Panel!D772</f>
        <v>0.00856443252868822</v>
      </c>
      <c r="D794" s="29" t="n">
        <f aca="false">Panel!D772</f>
        <v>10.0496593426568</v>
      </c>
      <c r="E794" s="30" t="n">
        <f aca="false">Panel!D772-Panel!D771</f>
        <v>-0.0125399010342004</v>
      </c>
      <c r="F794" s="30" t="n">
        <f aca="false">Panel!D771-Panel!D770</f>
        <v>-0.00370473308946906</v>
      </c>
      <c r="G794" s="30" t="n">
        <f aca="false">Panel!D770-Panel!D769</f>
        <v>0.00159092779522219</v>
      </c>
      <c r="H794" s="30" t="n">
        <f aca="false">Panel!D769-Panel!D768</f>
        <v>-0.00493467454566066</v>
      </c>
      <c r="I794" s="30" t="n">
        <f aca="false">Panel!D768-Panel!D767</f>
        <v>0.00619986390707084</v>
      </c>
      <c r="L794" s="30" t="n">
        <f aca="false">Panel!E768-Panel!E767</f>
        <v>0.00131492458130911</v>
      </c>
      <c r="M794" s="29" t="n">
        <f aca="false">Panel!E767</f>
        <v>5.5834963087817</v>
      </c>
    </row>
    <row r="795" customFormat="false" ht="15" hidden="false" customHeight="false" outlineLevel="0" collapsed="false">
      <c r="C795" s="0" t="n">
        <f aca="false">Panel!D774-Panel!D773</f>
        <v>-0.00476569607301514</v>
      </c>
      <c r="D795" s="29" t="n">
        <f aca="false">Panel!D773</f>
        <v>10.0582237751854</v>
      </c>
      <c r="E795" s="30" t="n">
        <f aca="false">Panel!D773-Panel!D772</f>
        <v>0.00856443252868822</v>
      </c>
      <c r="F795" s="30" t="n">
        <f aca="false">Panel!D772-Panel!D771</f>
        <v>-0.0125399010342004</v>
      </c>
      <c r="G795" s="30" t="n">
        <f aca="false">Panel!D771-Panel!D770</f>
        <v>-0.00370473308946906</v>
      </c>
      <c r="H795" s="30" t="n">
        <f aca="false">Panel!D770-Panel!D769</f>
        <v>0.00159092779522219</v>
      </c>
      <c r="I795" s="30" t="n">
        <f aca="false">Panel!D769-Panel!D768</f>
        <v>-0.00493467454566066</v>
      </c>
      <c r="L795" s="30" t="n">
        <f aca="false">Panel!E769-Panel!E768</f>
        <v>-0.00394997221931437</v>
      </c>
      <c r="M795" s="29" t="n">
        <f aca="false">Panel!E768</f>
        <v>5.58481123336301</v>
      </c>
    </row>
    <row r="796" customFormat="false" ht="15" hidden="false" customHeight="false" outlineLevel="0" collapsed="false">
      <c r="C796" s="0" t="n">
        <f aca="false">Panel!D775-Panel!D774</f>
        <v>-0.000348657778706851</v>
      </c>
      <c r="D796" s="29" t="n">
        <f aca="false">Panel!D774</f>
        <v>10.0534580791124</v>
      </c>
      <c r="E796" s="30" t="n">
        <f aca="false">Panel!D774-Panel!D773</f>
        <v>-0.00476569607301514</v>
      </c>
      <c r="F796" s="30" t="n">
        <f aca="false">Panel!D773-Panel!D772</f>
        <v>0.00856443252868822</v>
      </c>
      <c r="G796" s="30" t="n">
        <f aca="false">Panel!D772-Panel!D771</f>
        <v>-0.0125399010342004</v>
      </c>
      <c r="H796" s="30" t="n">
        <f aca="false">Panel!D771-Panel!D770</f>
        <v>-0.00370473308946906</v>
      </c>
      <c r="I796" s="30" t="n">
        <f aca="false">Panel!D770-Panel!D769</f>
        <v>0.00159092779522219</v>
      </c>
      <c r="L796" s="30" t="n">
        <f aca="false">Panel!E770-Panel!E769</f>
        <v>0.00233425052338987</v>
      </c>
      <c r="M796" s="29" t="n">
        <f aca="false">Panel!E769</f>
        <v>5.58086126114369</v>
      </c>
    </row>
    <row r="797" customFormat="false" ht="15" hidden="false" customHeight="false" outlineLevel="0" collapsed="false">
      <c r="C797" s="0" t="n">
        <f aca="false">Panel!D776-Panel!D775</f>
        <v>0.0207494002286168</v>
      </c>
      <c r="D797" s="29" t="n">
        <f aca="false">Panel!D775</f>
        <v>10.0531094213337</v>
      </c>
      <c r="E797" s="30" t="n">
        <f aca="false">Panel!D775-Panel!D774</f>
        <v>-0.000348657778706851</v>
      </c>
      <c r="F797" s="30" t="n">
        <f aca="false">Panel!D774-Panel!D773</f>
        <v>-0.00476569607301514</v>
      </c>
      <c r="G797" s="30" t="n">
        <f aca="false">Panel!D773-Panel!D772</f>
        <v>0.00856443252868822</v>
      </c>
      <c r="H797" s="30" t="n">
        <f aca="false">Panel!D772-Panel!D771</f>
        <v>-0.0125399010342004</v>
      </c>
      <c r="I797" s="30" t="n">
        <f aca="false">Panel!D771-Panel!D770</f>
        <v>-0.00370473308946906</v>
      </c>
      <c r="L797" s="30" t="n">
        <f aca="false">Panel!E771-Panel!E770</f>
        <v>-0.00120409406480526</v>
      </c>
      <c r="M797" s="29" t="n">
        <f aca="false">Panel!E770</f>
        <v>5.58319551166708</v>
      </c>
    </row>
    <row r="798" customFormat="false" ht="15" hidden="false" customHeight="false" outlineLevel="0" collapsed="false">
      <c r="C798" s="0" t="n">
        <f aca="false">Panel!D777-Panel!D776</f>
        <v>0.00902935934008653</v>
      </c>
      <c r="D798" s="29" t="n">
        <f aca="false">Panel!D776</f>
        <v>10.0738588215623</v>
      </c>
      <c r="E798" s="30" t="n">
        <f aca="false">Panel!D776-Panel!D775</f>
        <v>0.0207494002286168</v>
      </c>
      <c r="F798" s="30" t="n">
        <f aca="false">Panel!D775-Panel!D774</f>
        <v>-0.000348657778706851</v>
      </c>
      <c r="G798" s="30" t="n">
        <f aca="false">Panel!D774-Panel!D773</f>
        <v>-0.00476569607301514</v>
      </c>
      <c r="H798" s="30" t="n">
        <f aca="false">Panel!D773-Panel!D772</f>
        <v>0.00856443252868822</v>
      </c>
      <c r="I798" s="30" t="n">
        <f aca="false">Panel!D772-Panel!D771</f>
        <v>-0.0125399010342004</v>
      </c>
      <c r="L798" s="30" t="n">
        <f aca="false">Panel!E772-Panel!E771</f>
        <v>-0.0118165289494323</v>
      </c>
      <c r="M798" s="29" t="n">
        <f aca="false">Panel!E771</f>
        <v>5.58199141760228</v>
      </c>
    </row>
    <row r="799" customFormat="false" ht="15" hidden="false" customHeight="false" outlineLevel="0" collapsed="false">
      <c r="C799" s="0" t="n">
        <f aca="false">Panel!D778-Panel!D777</f>
        <v>0.00321255256787723</v>
      </c>
      <c r="D799" s="29" t="n">
        <f aca="false">Panel!D777</f>
        <v>10.0828881809024</v>
      </c>
      <c r="E799" s="30" t="n">
        <f aca="false">Panel!D777-Panel!D776</f>
        <v>0.00902935934008653</v>
      </c>
      <c r="F799" s="30" t="n">
        <f aca="false">Panel!D776-Panel!D775</f>
        <v>0.0207494002286168</v>
      </c>
      <c r="G799" s="30" t="n">
        <f aca="false">Panel!D775-Panel!D774</f>
        <v>-0.000348657778706851</v>
      </c>
      <c r="H799" s="30" t="n">
        <f aca="false">Panel!D774-Panel!D773</f>
        <v>-0.00476569607301514</v>
      </c>
      <c r="I799" s="30" t="n">
        <f aca="false">Panel!D773-Panel!D772</f>
        <v>0.00856443252868822</v>
      </c>
      <c r="L799" s="30" t="n">
        <f aca="false">Panel!E773-Panel!E772</f>
        <v>0.00596359050009632</v>
      </c>
      <c r="M799" s="29" t="n">
        <f aca="false">Panel!E772</f>
        <v>5.57017488865285</v>
      </c>
    </row>
    <row r="800" customFormat="false" ht="15" hidden="false" customHeight="false" outlineLevel="0" collapsed="false">
      <c r="C800" s="0" t="n">
        <f aca="false">Panel!D779-Panel!D778</f>
        <v>0.00344721102996282</v>
      </c>
      <c r="D800" s="29" t="n">
        <f aca="false">Panel!D778</f>
        <v>10.0861007334703</v>
      </c>
      <c r="E800" s="30" t="n">
        <f aca="false">Panel!D778-Panel!D777</f>
        <v>0.00321255256787723</v>
      </c>
      <c r="F800" s="30" t="n">
        <f aca="false">Panel!D777-Panel!D776</f>
        <v>0.00902935934008653</v>
      </c>
      <c r="G800" s="30" t="n">
        <f aca="false">Panel!D776-Panel!D775</f>
        <v>0.0207494002286168</v>
      </c>
      <c r="H800" s="30" t="n">
        <f aca="false">Panel!D775-Panel!D774</f>
        <v>-0.000348657778706851</v>
      </c>
      <c r="I800" s="30" t="n">
        <f aca="false">Panel!D774-Panel!D773</f>
        <v>-0.00476569607301514</v>
      </c>
      <c r="L800" s="30" t="n">
        <f aca="false">Panel!E774-Panel!E773</f>
        <v>-0.00379435097612646</v>
      </c>
      <c r="M800" s="29" t="n">
        <f aca="false">Panel!E773</f>
        <v>5.57613847915294</v>
      </c>
    </row>
    <row r="801" customFormat="false" ht="15" hidden="false" customHeight="false" outlineLevel="0" collapsed="false">
      <c r="C801" s="0" t="n">
        <f aca="false">Panel!D780-Panel!D779</f>
        <v>0.00480787079828993</v>
      </c>
      <c r="D801" s="29" t="n">
        <f aca="false">Panel!D779</f>
        <v>10.0895479445003</v>
      </c>
      <c r="E801" s="30" t="n">
        <f aca="false">Panel!D779-Panel!D778</f>
        <v>0.00344721102996282</v>
      </c>
      <c r="F801" s="30" t="n">
        <f aca="false">Panel!D778-Panel!D777</f>
        <v>0.00321255256787723</v>
      </c>
      <c r="G801" s="30" t="n">
        <f aca="false">Panel!D777-Panel!D776</f>
        <v>0.00902935934008653</v>
      </c>
      <c r="H801" s="30" t="n">
        <f aca="false">Panel!D776-Panel!D775</f>
        <v>0.0207494002286168</v>
      </c>
      <c r="I801" s="30" t="n">
        <f aca="false">Panel!D775-Panel!D774</f>
        <v>-0.000348657778706851</v>
      </c>
      <c r="L801" s="30" t="n">
        <f aca="false">Panel!E775-Panel!E774</f>
        <v>-0.000418258908357672</v>
      </c>
      <c r="M801" s="29" t="n">
        <f aca="false">Panel!E774</f>
        <v>5.57234412817682</v>
      </c>
    </row>
    <row r="802" customFormat="false" ht="15" hidden="false" customHeight="false" outlineLevel="0" collapsed="false">
      <c r="C802" s="0" t="n">
        <f aca="false">Panel!D781-Panel!D780</f>
        <v>-0.00534350835471997</v>
      </c>
      <c r="D802" s="29" t="n">
        <f aca="false">Panel!D780</f>
        <v>10.0943558152985</v>
      </c>
      <c r="E802" s="30" t="n">
        <f aca="false">Panel!D780-Panel!D779</f>
        <v>0.00480787079828993</v>
      </c>
      <c r="F802" s="30" t="n">
        <f aca="false">Panel!D779-Panel!D778</f>
        <v>0.00344721102996282</v>
      </c>
      <c r="G802" s="30" t="n">
        <f aca="false">Panel!D778-Panel!D777</f>
        <v>0.00321255256787723</v>
      </c>
      <c r="H802" s="30" t="n">
        <f aca="false">Panel!D777-Panel!D776</f>
        <v>0.00902935934008653</v>
      </c>
      <c r="I802" s="30" t="n">
        <f aca="false">Panel!D776-Panel!D775</f>
        <v>0.0207494002286168</v>
      </c>
      <c r="L802" s="30" t="n">
        <f aca="false">Panel!E776-Panel!E775</f>
        <v>0.0194341759734558</v>
      </c>
      <c r="M802" s="29" t="n">
        <f aca="false">Panel!E775</f>
        <v>5.57192586926846</v>
      </c>
    </row>
    <row r="803" customFormat="false" ht="15" hidden="false" customHeight="false" outlineLevel="0" collapsed="false">
      <c r="C803" s="0" t="n">
        <f aca="false">Panel!D782-Panel!D781</f>
        <v>0.00188384143481102</v>
      </c>
      <c r="D803" s="29" t="n">
        <f aca="false">Panel!D781</f>
        <v>10.0890123069438</v>
      </c>
      <c r="E803" s="30" t="n">
        <f aca="false">Panel!D781-Panel!D780</f>
        <v>-0.00534350835471997</v>
      </c>
      <c r="F803" s="30" t="n">
        <f aca="false">Panel!D780-Panel!D779</f>
        <v>0.00480787079828993</v>
      </c>
      <c r="G803" s="30" t="n">
        <f aca="false">Panel!D779-Panel!D778</f>
        <v>0.00344721102996282</v>
      </c>
      <c r="H803" s="30" t="n">
        <f aca="false">Panel!D778-Panel!D777</f>
        <v>0.00321255256787723</v>
      </c>
      <c r="I803" s="30" t="n">
        <f aca="false">Panel!D777-Panel!D776</f>
        <v>0.00902935934008653</v>
      </c>
      <c r="L803" s="30" t="n">
        <f aca="false">Panel!E777-Panel!E776</f>
        <v>0.00965115137834172</v>
      </c>
      <c r="M803" s="29" t="n">
        <f aca="false">Panel!E776</f>
        <v>5.59136004524191</v>
      </c>
    </row>
    <row r="804" customFormat="false" ht="15" hidden="false" customHeight="false" outlineLevel="0" collapsed="false">
      <c r="C804" s="0" t="n">
        <f aca="false">Panel!D783-Panel!D782</f>
        <v>-0.0130352088977315</v>
      </c>
      <c r="D804" s="29" t="n">
        <f aca="false">Panel!D782</f>
        <v>10.0908961483786</v>
      </c>
      <c r="E804" s="30" t="n">
        <f aca="false">Panel!D782-Panel!D781</f>
        <v>0.00188384143481102</v>
      </c>
      <c r="F804" s="30" t="n">
        <f aca="false">Panel!D781-Panel!D780</f>
        <v>-0.00534350835471997</v>
      </c>
      <c r="G804" s="30" t="n">
        <f aca="false">Panel!D780-Panel!D779</f>
        <v>0.00480787079828993</v>
      </c>
      <c r="H804" s="30" t="n">
        <f aca="false">Panel!D779-Panel!D778</f>
        <v>0.00344721102996282</v>
      </c>
      <c r="I804" s="30" t="n">
        <f aca="false">Panel!D778-Panel!D777</f>
        <v>0.00321255256787723</v>
      </c>
      <c r="L804" s="30" t="n">
        <f aca="false">Panel!E778-Panel!E777</f>
        <v>0.00354008777408854</v>
      </c>
      <c r="M804" s="29" t="n">
        <f aca="false">Panel!E777</f>
        <v>5.60101119662026</v>
      </c>
    </row>
    <row r="805" customFormat="false" ht="15" hidden="false" customHeight="false" outlineLevel="0" collapsed="false">
      <c r="C805" s="0" t="n">
        <f aca="false">Panel!D784-Panel!D783</f>
        <v>0.0102247431552129</v>
      </c>
      <c r="D805" s="29" t="n">
        <f aca="false">Panel!D783</f>
        <v>10.0778609394809</v>
      </c>
      <c r="E805" s="30" t="n">
        <f aca="false">Panel!D783-Panel!D782</f>
        <v>-0.0130352088977315</v>
      </c>
      <c r="F805" s="30" t="n">
        <f aca="false">Panel!D782-Panel!D781</f>
        <v>0.00188384143481102</v>
      </c>
      <c r="G805" s="30" t="n">
        <f aca="false">Panel!D781-Panel!D780</f>
        <v>-0.00534350835471997</v>
      </c>
      <c r="H805" s="30" t="n">
        <f aca="false">Panel!D780-Panel!D779</f>
        <v>0.00480787079828993</v>
      </c>
      <c r="I805" s="30" t="n">
        <f aca="false">Panel!D779-Panel!D778</f>
        <v>0.00344721102996282</v>
      </c>
      <c r="L805" s="30" t="n">
        <f aca="false">Panel!E779-Panel!E778</f>
        <v>0.0049205107906154</v>
      </c>
      <c r="M805" s="29" t="n">
        <f aca="false">Panel!E778</f>
        <v>5.60455128439434</v>
      </c>
    </row>
    <row r="806" customFormat="false" ht="15" hidden="false" customHeight="false" outlineLevel="0" collapsed="false">
      <c r="C806" s="0" t="n">
        <f aca="false">Panel!D785-Panel!D784</f>
        <v>0.00208888420360154</v>
      </c>
      <c r="D806" s="29" t="n">
        <f aca="false">Panel!D784</f>
        <v>10.0880856826361</v>
      </c>
      <c r="E806" s="30" t="n">
        <f aca="false">Panel!D784-Panel!D783</f>
        <v>0.0102247431552129</v>
      </c>
      <c r="F806" s="30" t="n">
        <f aca="false">Panel!D783-Panel!D782</f>
        <v>-0.0130352088977315</v>
      </c>
      <c r="G806" s="30" t="n">
        <f aca="false">Panel!D782-Panel!D781</f>
        <v>0.00188384143481102</v>
      </c>
      <c r="H806" s="30" t="n">
        <f aca="false">Panel!D781-Panel!D780</f>
        <v>-0.00534350835471997</v>
      </c>
      <c r="I806" s="30" t="n">
        <f aca="false">Panel!D780-Panel!D779</f>
        <v>0.00480787079828993</v>
      </c>
      <c r="L806" s="30" t="n">
        <f aca="false">Panel!E780-Panel!E779</f>
        <v>0.00402120812378026</v>
      </c>
      <c r="M806" s="29" t="n">
        <f aca="false">Panel!E779</f>
        <v>5.60947179518496</v>
      </c>
    </row>
    <row r="807" customFormat="false" ht="15" hidden="false" customHeight="false" outlineLevel="0" collapsed="false">
      <c r="C807" s="0" t="n">
        <f aca="false">Panel!D786-Panel!D785</f>
        <v>-0.00525752194749884</v>
      </c>
      <c r="D807" s="29" t="n">
        <f aca="false">Panel!D785</f>
        <v>10.0901745668397</v>
      </c>
      <c r="E807" s="30" t="n">
        <f aca="false">Panel!D785-Panel!D784</f>
        <v>0.00208888420360154</v>
      </c>
      <c r="F807" s="30" t="n">
        <f aca="false">Panel!D784-Panel!D783</f>
        <v>0.0102247431552129</v>
      </c>
      <c r="G807" s="30" t="n">
        <f aca="false">Panel!D783-Panel!D782</f>
        <v>-0.0130352088977315</v>
      </c>
      <c r="H807" s="30" t="n">
        <f aca="false">Panel!D782-Panel!D781</f>
        <v>0.00188384143481102</v>
      </c>
      <c r="I807" s="30" t="n">
        <f aca="false">Panel!D781-Panel!D780</f>
        <v>-0.00534350835471997</v>
      </c>
      <c r="L807" s="30" t="n">
        <f aca="false">Panel!E781-Panel!E780</f>
        <v>-0.00336208473399413</v>
      </c>
      <c r="M807" s="29" t="n">
        <f aca="false">Panel!E780</f>
        <v>5.61349300330874</v>
      </c>
    </row>
    <row r="808" customFormat="false" ht="15" hidden="false" customHeight="false" outlineLevel="0" collapsed="false">
      <c r="C808" s="0" t="n">
        <f aca="false">Panel!D787-Panel!D786</f>
        <v>-0.004778147539648</v>
      </c>
      <c r="D808" s="29" t="n">
        <f aca="false">Panel!D786</f>
        <v>10.0849170448922</v>
      </c>
      <c r="E808" s="30" t="n">
        <f aca="false">Panel!D786-Panel!D785</f>
        <v>-0.00525752194749884</v>
      </c>
      <c r="F808" s="30" t="n">
        <f aca="false">Panel!D785-Panel!D784</f>
        <v>0.00208888420360154</v>
      </c>
      <c r="G808" s="30" t="n">
        <f aca="false">Panel!D784-Panel!D783</f>
        <v>0.0102247431552129</v>
      </c>
      <c r="H808" s="30" t="n">
        <f aca="false">Panel!D783-Panel!D782</f>
        <v>-0.0130352088977315</v>
      </c>
      <c r="I808" s="30" t="n">
        <f aca="false">Panel!D782-Panel!D781</f>
        <v>0.00188384143481102</v>
      </c>
      <c r="L808" s="30" t="n">
        <f aca="false">Panel!E782-Panel!E781</f>
        <v>0.00182862209460311</v>
      </c>
      <c r="M808" s="29" t="n">
        <f aca="false">Panel!E781</f>
        <v>5.61013091857475</v>
      </c>
    </row>
    <row r="809" customFormat="false" ht="15" hidden="false" customHeight="false" outlineLevel="0" collapsed="false">
      <c r="C809" s="0" t="n">
        <f aca="false">Panel!D788-Panel!D787</f>
        <v>0.0091641012317627</v>
      </c>
      <c r="D809" s="29" t="n">
        <f aca="false">Panel!D787</f>
        <v>10.0801388973526</v>
      </c>
      <c r="E809" s="30" t="n">
        <f aca="false">Panel!D787-Panel!D786</f>
        <v>-0.004778147539648</v>
      </c>
      <c r="F809" s="30" t="n">
        <f aca="false">Panel!D786-Panel!D785</f>
        <v>-0.00525752194749884</v>
      </c>
      <c r="G809" s="30" t="n">
        <f aca="false">Panel!D785-Panel!D784</f>
        <v>0.00208888420360154</v>
      </c>
      <c r="H809" s="30" t="n">
        <f aca="false">Panel!D784-Panel!D783</f>
        <v>0.0102247431552129</v>
      </c>
      <c r="I809" s="30" t="n">
        <f aca="false">Panel!D783-Panel!D782</f>
        <v>-0.0130352088977315</v>
      </c>
      <c r="L809" s="30" t="n">
        <f aca="false">Panel!E783-Panel!E782</f>
        <v>-0.0115765428022696</v>
      </c>
      <c r="M809" s="29" t="n">
        <f aca="false">Panel!E782</f>
        <v>5.61195954066935</v>
      </c>
    </row>
    <row r="810" customFormat="false" ht="15" hidden="false" customHeight="false" outlineLevel="0" collapsed="false">
      <c r="C810" s="0" t="n">
        <f aca="false">Panel!D789-Panel!D788</f>
        <v>0.00767269835837325</v>
      </c>
      <c r="D810" s="29" t="n">
        <f aca="false">Panel!D788</f>
        <v>10.0893029985843</v>
      </c>
      <c r="E810" s="30" t="n">
        <f aca="false">Panel!D788-Panel!D787</f>
        <v>0.0091641012317627</v>
      </c>
      <c r="F810" s="30" t="n">
        <f aca="false">Panel!D787-Panel!D786</f>
        <v>-0.004778147539648</v>
      </c>
      <c r="G810" s="30" t="n">
        <f aca="false">Panel!D786-Panel!D785</f>
        <v>-0.00525752194749884</v>
      </c>
      <c r="H810" s="30" t="n">
        <f aca="false">Panel!D785-Panel!D784</f>
        <v>0.00208888420360154</v>
      </c>
      <c r="I810" s="30" t="n">
        <f aca="false">Panel!D784-Panel!D783</f>
        <v>0.0102247431552129</v>
      </c>
      <c r="L810" s="30" t="n">
        <f aca="false">Panel!E784-Panel!E783</f>
        <v>0.00813596256260851</v>
      </c>
      <c r="M810" s="29" t="n">
        <f aca="false">Panel!E783</f>
        <v>5.60038299786708</v>
      </c>
    </row>
    <row r="811" customFormat="false" ht="15" hidden="false" customHeight="false" outlineLevel="0" collapsed="false">
      <c r="C811" s="0" t="n">
        <f aca="false">Panel!D790-Panel!D789</f>
        <v>0.00353317289535582</v>
      </c>
      <c r="D811" s="29" t="n">
        <f aca="false">Panel!D789</f>
        <v>10.0969756969427</v>
      </c>
      <c r="E811" s="30" t="n">
        <f aca="false">Panel!D789-Panel!D788</f>
        <v>0.00767269835837325</v>
      </c>
      <c r="F811" s="30" t="n">
        <f aca="false">Panel!D788-Panel!D787</f>
        <v>0.0091641012317627</v>
      </c>
      <c r="G811" s="30" t="n">
        <f aca="false">Panel!D787-Panel!D786</f>
        <v>-0.004778147539648</v>
      </c>
      <c r="H811" s="30" t="n">
        <f aca="false">Panel!D786-Panel!D785</f>
        <v>-0.00525752194749884</v>
      </c>
      <c r="I811" s="30" t="n">
        <f aca="false">Panel!D785-Panel!D784</f>
        <v>0.00208888420360154</v>
      </c>
      <c r="L811" s="30" t="n">
        <f aca="false">Panel!E785-Panel!E784</f>
        <v>0.00296546008014698</v>
      </c>
      <c r="M811" s="29" t="n">
        <f aca="false">Panel!E784</f>
        <v>5.60851896042969</v>
      </c>
    </row>
    <row r="812" customFormat="false" ht="15" hidden="false" customHeight="false" outlineLevel="0" collapsed="false">
      <c r="C812" s="0" t="n">
        <f aca="false">Panel!D791-Panel!D790</f>
        <v>0.00509878181253143</v>
      </c>
      <c r="D812" s="29" t="n">
        <f aca="false">Panel!D790</f>
        <v>10.1005088698381</v>
      </c>
      <c r="E812" s="30" t="n">
        <f aca="false">Panel!D790-Panel!D789</f>
        <v>0.00353317289535582</v>
      </c>
      <c r="F812" s="30" t="n">
        <f aca="false">Panel!D789-Panel!D788</f>
        <v>0.00767269835837325</v>
      </c>
      <c r="G812" s="30" t="n">
        <f aca="false">Panel!D788-Panel!D787</f>
        <v>0.0091641012317627</v>
      </c>
      <c r="H812" s="30" t="n">
        <f aca="false">Panel!D787-Panel!D786</f>
        <v>-0.004778147539648</v>
      </c>
      <c r="I812" s="30" t="n">
        <f aca="false">Panel!D786-Panel!D785</f>
        <v>-0.00525752194749884</v>
      </c>
      <c r="L812" s="30" t="n">
        <f aca="false">Panel!E786-Panel!E785</f>
        <v>-0.00406601413671748</v>
      </c>
      <c r="M812" s="29" t="n">
        <f aca="false">Panel!E785</f>
        <v>5.61148442050984</v>
      </c>
    </row>
    <row r="813" customFormat="false" ht="15" hidden="false" customHeight="false" outlineLevel="0" collapsed="false">
      <c r="C813" s="0" t="n">
        <f aca="false">Panel!D792-Panel!D791</f>
        <v>-0.00285948826359395</v>
      </c>
      <c r="D813" s="29" t="n">
        <f aca="false">Panel!D791</f>
        <v>10.1056076516506</v>
      </c>
      <c r="E813" s="30" t="n">
        <f aca="false">Panel!D791-Panel!D790</f>
        <v>0.00509878181253143</v>
      </c>
      <c r="F813" s="30" t="n">
        <f aca="false">Panel!D790-Panel!D789</f>
        <v>0.00353317289535582</v>
      </c>
      <c r="G813" s="30" t="n">
        <f aca="false">Panel!D789-Panel!D788</f>
        <v>0.00767269835837325</v>
      </c>
      <c r="H813" s="30" t="n">
        <f aca="false">Panel!D788-Panel!D787</f>
        <v>0.0091641012317627</v>
      </c>
      <c r="I813" s="30" t="n">
        <f aca="false">Panel!D787-Panel!D786</f>
        <v>-0.004778147539648</v>
      </c>
      <c r="L813" s="30" t="n">
        <f aca="false">Panel!E787-Panel!E786</f>
        <v>-3.6706003270659E-005</v>
      </c>
      <c r="M813" s="29" t="n">
        <f aca="false">Panel!E786</f>
        <v>5.60741840637312</v>
      </c>
    </row>
    <row r="814" customFormat="false" ht="15" hidden="false" customHeight="false" outlineLevel="0" collapsed="false">
      <c r="C814" s="0" t="n">
        <f aca="false">Panel!D793-Panel!D792</f>
        <v>-0.0214240968415975</v>
      </c>
      <c r="D814" s="29" t="n">
        <f aca="false">Panel!D792</f>
        <v>10.102748163387</v>
      </c>
      <c r="E814" s="30" t="n">
        <f aca="false">Panel!D792-Panel!D791</f>
        <v>-0.00285948826359395</v>
      </c>
      <c r="F814" s="30" t="n">
        <f aca="false">Panel!D791-Panel!D790</f>
        <v>0.00509878181253143</v>
      </c>
      <c r="G814" s="30" t="n">
        <f aca="false">Panel!D790-Panel!D789</f>
        <v>0.00353317289535582</v>
      </c>
      <c r="H814" s="30" t="n">
        <f aca="false">Panel!D789-Panel!D788</f>
        <v>0.00767269835837325</v>
      </c>
      <c r="I814" s="30" t="n">
        <f aca="false">Panel!D788-Panel!D787</f>
        <v>0.0091641012317627</v>
      </c>
      <c r="L814" s="30" t="n">
        <f aca="false">Panel!E788-Panel!E787</f>
        <v>0.00154049326239392</v>
      </c>
      <c r="M814" s="29" t="n">
        <f aca="false">Panel!E787</f>
        <v>5.60738170036985</v>
      </c>
    </row>
    <row r="815" customFormat="false" ht="15" hidden="false" customHeight="false" outlineLevel="0" collapsed="false">
      <c r="C815" s="0" t="n">
        <f aca="false">Panel!D794-Panel!D793</f>
        <v>0.00469335441963281</v>
      </c>
      <c r="D815" s="29" t="n">
        <f aca="false">Panel!D793</f>
        <v>10.0813240665454</v>
      </c>
      <c r="E815" s="30" t="n">
        <f aca="false">Panel!D793-Panel!D792</f>
        <v>-0.0214240968415975</v>
      </c>
      <c r="F815" s="30" t="n">
        <f aca="false">Panel!D792-Panel!D791</f>
        <v>-0.00285948826359395</v>
      </c>
      <c r="G815" s="30" t="n">
        <f aca="false">Panel!D791-Panel!D790</f>
        <v>0.00509878181253143</v>
      </c>
      <c r="H815" s="30" t="n">
        <f aca="false">Panel!D790-Panel!D789</f>
        <v>0.00353317289535582</v>
      </c>
      <c r="I815" s="30" t="n">
        <f aca="false">Panel!D789-Panel!D788</f>
        <v>0.00767269835837325</v>
      </c>
      <c r="L815" s="30" t="n">
        <f aca="false">Panel!E789-Panel!E788</f>
        <v>0.00530020431131728</v>
      </c>
      <c r="M815" s="29" t="n">
        <f aca="false">Panel!E788</f>
        <v>5.60892219363224</v>
      </c>
    </row>
    <row r="816" customFormat="false" ht="15" hidden="false" customHeight="false" outlineLevel="0" collapsed="false">
      <c r="C816" s="0" t="n">
        <f aca="false">Panel!D795-Panel!D794</f>
        <v>0.0101503516807462</v>
      </c>
      <c r="D816" s="29" t="n">
        <f aca="false">Panel!D794</f>
        <v>10.086017420965</v>
      </c>
      <c r="E816" s="30" t="n">
        <f aca="false">Panel!D794-Panel!D793</f>
        <v>0.00469335441963281</v>
      </c>
      <c r="F816" s="30" t="n">
        <f aca="false">Panel!D793-Panel!D792</f>
        <v>-0.0214240968415975</v>
      </c>
      <c r="G816" s="30" t="n">
        <f aca="false">Panel!D792-Panel!D791</f>
        <v>-0.00285948826359395</v>
      </c>
      <c r="H816" s="30" t="n">
        <f aca="false">Panel!D791-Panel!D790</f>
        <v>0.00509878181253143</v>
      </c>
      <c r="I816" s="30" t="n">
        <f aca="false">Panel!D790-Panel!D789</f>
        <v>0.00353317289535582</v>
      </c>
      <c r="L816" s="30" t="n">
        <f aca="false">Panel!E790-Panel!E789</f>
        <v>0.00617846777359166</v>
      </c>
      <c r="M816" s="29" t="n">
        <f aca="false">Panel!E789</f>
        <v>5.61422239794356</v>
      </c>
    </row>
    <row r="817" customFormat="false" ht="15" hidden="false" customHeight="false" outlineLevel="0" collapsed="false">
      <c r="C817" s="0" t="n">
        <f aca="false">Panel!D796-Panel!D795</f>
        <v>-7.83539081474771E-005</v>
      </c>
      <c r="D817" s="29" t="n">
        <f aca="false">Panel!D795</f>
        <v>10.0961677726458</v>
      </c>
      <c r="E817" s="30" t="n">
        <f aca="false">Panel!D795-Panel!D794</f>
        <v>0.0101503516807462</v>
      </c>
      <c r="F817" s="30" t="n">
        <f aca="false">Panel!D794-Panel!D793</f>
        <v>0.00469335441963281</v>
      </c>
      <c r="G817" s="30" t="n">
        <f aca="false">Panel!D793-Panel!D792</f>
        <v>-0.0214240968415975</v>
      </c>
      <c r="H817" s="30" t="n">
        <f aca="false">Panel!D792-Panel!D791</f>
        <v>-0.00285948826359395</v>
      </c>
      <c r="I817" s="30" t="n">
        <f aca="false">Panel!D791-Panel!D790</f>
        <v>0.00509878181253143</v>
      </c>
      <c r="L817" s="30" t="n">
        <f aca="false">Panel!E791-Panel!E790</f>
        <v>0.00523987105476031</v>
      </c>
      <c r="M817" s="29" t="n">
        <f aca="false">Panel!E790</f>
        <v>5.62040086571715</v>
      </c>
    </row>
    <row r="818" customFormat="false" ht="15" hidden="false" customHeight="false" outlineLevel="0" collapsed="false">
      <c r="C818" s="0" t="n">
        <f aca="false">Panel!D797-Panel!D796</f>
        <v>-0.00936406262320411</v>
      </c>
      <c r="D818" s="29" t="n">
        <f aca="false">Panel!D796</f>
        <v>10.0960894187376</v>
      </c>
      <c r="E818" s="30" t="n">
        <f aca="false">Panel!D796-Panel!D795</f>
        <v>-7.83539081474771E-005</v>
      </c>
      <c r="F818" s="30" t="n">
        <f aca="false">Panel!D795-Panel!D794</f>
        <v>0.0101503516807462</v>
      </c>
      <c r="G818" s="30" t="n">
        <f aca="false">Panel!D794-Panel!D793</f>
        <v>0.00469335441963281</v>
      </c>
      <c r="H818" s="30" t="n">
        <f aca="false">Panel!D793-Panel!D792</f>
        <v>-0.0214240968415975</v>
      </c>
      <c r="I818" s="30" t="n">
        <f aca="false">Panel!D792-Panel!D791</f>
        <v>-0.00285948826359395</v>
      </c>
      <c r="L818" s="30" t="n">
        <f aca="false">Panel!E792-Panel!E791</f>
        <v>-0.00252616518316362</v>
      </c>
      <c r="M818" s="29" t="n">
        <f aca="false">Panel!E791</f>
        <v>5.62564073677191</v>
      </c>
    </row>
    <row r="819" customFormat="false" ht="15" hidden="false" customHeight="false" outlineLevel="0" collapsed="false">
      <c r="C819" s="0" t="n">
        <f aca="false">Panel!D798-Panel!D797</f>
        <v>0.00220388055189069</v>
      </c>
      <c r="D819" s="29" t="n">
        <f aca="false">Panel!D797</f>
        <v>10.0867253561144</v>
      </c>
      <c r="E819" s="30" t="n">
        <f aca="false">Panel!D797-Panel!D796</f>
        <v>-0.00936406262320411</v>
      </c>
      <c r="F819" s="30" t="n">
        <f aca="false">Panel!D796-Panel!D795</f>
        <v>-7.83539081474771E-005</v>
      </c>
      <c r="G819" s="30" t="n">
        <f aca="false">Panel!D795-Panel!D794</f>
        <v>0.0101503516807462</v>
      </c>
      <c r="H819" s="30" t="n">
        <f aca="false">Panel!D794-Panel!D793</f>
        <v>0.00469335441963281</v>
      </c>
      <c r="I819" s="30" t="n">
        <f aca="false">Panel!D793-Panel!D792</f>
        <v>-0.0214240968415975</v>
      </c>
      <c r="L819" s="30" t="n">
        <f aca="false">Panel!E793-Panel!E792</f>
        <v>-0.0184160551564441</v>
      </c>
      <c r="M819" s="29" t="n">
        <f aca="false">Panel!E792</f>
        <v>5.62311457158875</v>
      </c>
    </row>
    <row r="820" customFormat="false" ht="15" hidden="false" customHeight="false" outlineLevel="0" collapsed="false">
      <c r="C820" s="0" t="n">
        <f aca="false">Panel!D799-Panel!D798</f>
        <v>0.00103788281242068</v>
      </c>
      <c r="D820" s="29" t="n">
        <f aca="false">Panel!D798</f>
        <v>10.0889292366663</v>
      </c>
      <c r="E820" s="30" t="n">
        <f aca="false">Panel!D798-Panel!D797</f>
        <v>0.00220388055189069</v>
      </c>
      <c r="F820" s="30" t="n">
        <f aca="false">Panel!D797-Panel!D796</f>
        <v>-0.00936406262320411</v>
      </c>
      <c r="G820" s="30" t="n">
        <f aca="false">Panel!D796-Panel!D795</f>
        <v>-7.83539081474771E-005</v>
      </c>
      <c r="H820" s="30" t="n">
        <f aca="false">Panel!D795-Panel!D794</f>
        <v>0.0101503516807462</v>
      </c>
      <c r="I820" s="30" t="n">
        <f aca="false">Panel!D794-Panel!D793</f>
        <v>0.00469335441963281</v>
      </c>
      <c r="L820" s="30" t="n">
        <f aca="false">Panel!E794-Panel!E793</f>
        <v>0.00459011179546476</v>
      </c>
      <c r="M820" s="29" t="n">
        <f aca="false">Panel!E793</f>
        <v>5.6046985164323</v>
      </c>
    </row>
    <row r="821" customFormat="false" ht="15" hidden="false" customHeight="false" outlineLevel="0" collapsed="false">
      <c r="C821" s="0" t="n">
        <f aca="false">Panel!D800-Panel!D799</f>
        <v>0.0100735720980598</v>
      </c>
      <c r="D821" s="29" t="n">
        <f aca="false">Panel!D799</f>
        <v>10.0899671194787</v>
      </c>
      <c r="E821" s="30" t="n">
        <f aca="false">Panel!D799-Panel!D798</f>
        <v>0.00103788281242068</v>
      </c>
      <c r="F821" s="30" t="n">
        <f aca="false">Panel!D798-Panel!D797</f>
        <v>0.00220388055189069</v>
      </c>
      <c r="G821" s="30" t="n">
        <f aca="false">Panel!D797-Panel!D796</f>
        <v>-0.00936406262320411</v>
      </c>
      <c r="H821" s="30" t="n">
        <f aca="false">Panel!D796-Panel!D795</f>
        <v>-7.83539081474771E-005</v>
      </c>
      <c r="I821" s="30" t="n">
        <f aca="false">Panel!D795-Panel!D794</f>
        <v>0.0101503516807462</v>
      </c>
      <c r="L821" s="30" t="n">
        <f aca="false">Panel!E795-Panel!E794</f>
        <v>0.00853645925089097</v>
      </c>
      <c r="M821" s="29" t="n">
        <f aca="false">Panel!E794</f>
        <v>5.60928862822777</v>
      </c>
    </row>
    <row r="822" customFormat="false" ht="15" hidden="false" customHeight="false" outlineLevel="0" collapsed="false">
      <c r="C822" s="0" t="n">
        <f aca="false">Panel!D801-Panel!D800</f>
        <v>-0.00308559683647047</v>
      </c>
      <c r="D822" s="29" t="n">
        <f aca="false">Panel!D800</f>
        <v>10.1000406915768</v>
      </c>
      <c r="E822" s="30" t="n">
        <f aca="false">Panel!D800-Panel!D799</f>
        <v>0.0100735720980598</v>
      </c>
      <c r="F822" s="30" t="n">
        <f aca="false">Panel!D799-Panel!D798</f>
        <v>0.00103788281242068</v>
      </c>
      <c r="G822" s="30" t="n">
        <f aca="false">Panel!D798-Panel!D797</f>
        <v>0.00220388055189069</v>
      </c>
      <c r="H822" s="30" t="n">
        <f aca="false">Panel!D797-Panel!D796</f>
        <v>-0.00936406262320411</v>
      </c>
      <c r="I822" s="30" t="n">
        <f aca="false">Panel!D796-Panel!D795</f>
        <v>-7.83539081474771E-005</v>
      </c>
      <c r="L822" s="30" t="n">
        <f aca="false">Panel!E796-Panel!E795</f>
        <v>-0.000508683972889834</v>
      </c>
      <c r="M822" s="29" t="n">
        <f aca="false">Panel!E795</f>
        <v>5.61782508747866</v>
      </c>
    </row>
    <row r="823" customFormat="false" ht="15" hidden="false" customHeight="false" outlineLevel="0" collapsed="false">
      <c r="C823" s="0" t="n">
        <f aca="false">Panel!D802-Panel!D801</f>
        <v>-0.00346720948325263</v>
      </c>
      <c r="D823" s="29" t="n">
        <f aca="false">Panel!D801</f>
        <v>10.0969550947403</v>
      </c>
      <c r="E823" s="30" t="n">
        <f aca="false">Panel!D801-Panel!D800</f>
        <v>-0.00308559683647047</v>
      </c>
      <c r="F823" s="30" t="n">
        <f aca="false">Panel!D800-Panel!D799</f>
        <v>0.0100735720980598</v>
      </c>
      <c r="G823" s="30" t="n">
        <f aca="false">Panel!D799-Panel!D798</f>
        <v>0.00103788281242068</v>
      </c>
      <c r="H823" s="30" t="n">
        <f aca="false">Panel!D798-Panel!D797</f>
        <v>0.00220388055189069</v>
      </c>
      <c r="I823" s="30" t="n">
        <f aca="false">Panel!D797-Panel!D796</f>
        <v>-0.00936406262320411</v>
      </c>
      <c r="L823" s="30" t="n">
        <f aca="false">Panel!E797-Panel!E796</f>
        <v>-0.00619761371298644</v>
      </c>
      <c r="M823" s="29" t="n">
        <f aca="false">Panel!E796</f>
        <v>5.61731640350577</v>
      </c>
    </row>
    <row r="824" customFormat="false" ht="15" hidden="false" customHeight="false" outlineLevel="0" collapsed="false">
      <c r="C824" s="0" t="n">
        <f aca="false">Panel!D803-Panel!D802</f>
        <v>-0.0083790210413941</v>
      </c>
      <c r="D824" s="29" t="n">
        <f aca="false">Panel!D802</f>
        <v>10.0934878852571</v>
      </c>
      <c r="E824" s="30" t="n">
        <f aca="false">Panel!D802-Panel!D801</f>
        <v>-0.00346720948325263</v>
      </c>
      <c r="F824" s="30" t="n">
        <f aca="false">Panel!D801-Panel!D800</f>
        <v>-0.00308559683647047</v>
      </c>
      <c r="G824" s="30" t="n">
        <f aca="false">Panel!D800-Panel!D799</f>
        <v>0.0100735720980598</v>
      </c>
      <c r="H824" s="30" t="n">
        <f aca="false">Panel!D799-Panel!D798</f>
        <v>0.00103788281242068</v>
      </c>
      <c r="I824" s="30" t="n">
        <f aca="false">Panel!D798-Panel!D797</f>
        <v>0.00220388055189069</v>
      </c>
      <c r="L824" s="30" t="n">
        <f aca="false">Panel!E798-Panel!E797</f>
        <v>0.000913826253851724</v>
      </c>
      <c r="M824" s="29" t="n">
        <f aca="false">Panel!E797</f>
        <v>5.61111878979278</v>
      </c>
    </row>
    <row r="825" customFormat="false" ht="15" hidden="false" customHeight="false" outlineLevel="0" collapsed="false">
      <c r="C825" s="0" t="n">
        <f aca="false">Panel!D804-Panel!D803</f>
        <v>-0.00406107198731753</v>
      </c>
      <c r="D825" s="29" t="n">
        <f aca="false">Panel!D803</f>
        <v>10.0851088642157</v>
      </c>
      <c r="E825" s="30" t="n">
        <f aca="false">Panel!D803-Panel!D802</f>
        <v>-0.0083790210413941</v>
      </c>
      <c r="F825" s="30" t="n">
        <f aca="false">Panel!D802-Panel!D801</f>
        <v>-0.00346720948325263</v>
      </c>
      <c r="G825" s="30" t="n">
        <f aca="false">Panel!D801-Panel!D800</f>
        <v>-0.00308559683647047</v>
      </c>
      <c r="H825" s="30" t="n">
        <f aca="false">Panel!D800-Panel!D799</f>
        <v>0.0100735720980598</v>
      </c>
      <c r="I825" s="30" t="n">
        <f aca="false">Panel!D799-Panel!D798</f>
        <v>0.00103788281242068</v>
      </c>
      <c r="L825" s="30" t="n">
        <f aca="false">Panel!E799-Panel!E798</f>
        <v>0.00175220896112105</v>
      </c>
      <c r="M825" s="29" t="n">
        <f aca="false">Panel!E798</f>
        <v>5.61203261604663</v>
      </c>
    </row>
    <row r="826" customFormat="false" ht="15" hidden="false" customHeight="false" outlineLevel="0" collapsed="false">
      <c r="C826" s="0" t="n">
        <f aca="false">Panel!D805-Panel!D804</f>
        <v>-0.00230945532882565</v>
      </c>
      <c r="D826" s="29" t="n">
        <f aca="false">Panel!D804</f>
        <v>10.0810477922284</v>
      </c>
      <c r="E826" s="30" t="n">
        <f aca="false">Panel!D804-Panel!D803</f>
        <v>-0.00406107198731753</v>
      </c>
      <c r="F826" s="30" t="n">
        <f aca="false">Panel!D803-Panel!D802</f>
        <v>-0.0083790210413941</v>
      </c>
      <c r="G826" s="30" t="n">
        <f aca="false">Panel!D802-Panel!D801</f>
        <v>-0.00346720948325263</v>
      </c>
      <c r="H826" s="30" t="n">
        <f aca="false">Panel!D801-Panel!D800</f>
        <v>-0.00308559683647047</v>
      </c>
      <c r="I826" s="30" t="n">
        <f aca="false">Panel!D800-Panel!D799</f>
        <v>0.0100735720980598</v>
      </c>
      <c r="L826" s="30" t="n">
        <f aca="false">Panel!E800-Panel!E799</f>
        <v>0.00878759422290365</v>
      </c>
      <c r="M826" s="29" t="n">
        <f aca="false">Panel!E799</f>
        <v>5.61378482500775</v>
      </c>
    </row>
    <row r="827" customFormat="false" ht="15" hidden="false" customHeight="false" outlineLevel="0" collapsed="false">
      <c r="C827" s="0" t="n">
        <f aca="false">Panel!D806-Panel!D805</f>
        <v>0.00871525286441788</v>
      </c>
      <c r="D827" s="29" t="n">
        <f aca="false">Panel!D805</f>
        <v>10.0787383368995</v>
      </c>
      <c r="E827" s="30" t="n">
        <f aca="false">Panel!D805-Panel!D804</f>
        <v>-0.00230945532882565</v>
      </c>
      <c r="F827" s="30" t="n">
        <f aca="false">Panel!D804-Panel!D803</f>
        <v>-0.00406107198731753</v>
      </c>
      <c r="G827" s="30" t="n">
        <f aca="false">Panel!D803-Panel!D802</f>
        <v>-0.0083790210413941</v>
      </c>
      <c r="H827" s="30" t="n">
        <f aca="false">Panel!D802-Panel!D801</f>
        <v>-0.00346720948325263</v>
      </c>
      <c r="I827" s="30" t="n">
        <f aca="false">Panel!D801-Panel!D800</f>
        <v>-0.00308559683647047</v>
      </c>
      <c r="L827" s="30" t="n">
        <f aca="false">Panel!E801-Panel!E800</f>
        <v>-0.0032953731681209</v>
      </c>
      <c r="M827" s="29" t="n">
        <f aca="false">Panel!E800</f>
        <v>5.62257241923066</v>
      </c>
    </row>
    <row r="828" customFormat="false" ht="15" hidden="false" customHeight="false" outlineLevel="0" collapsed="false">
      <c r="C828" s="0" t="n">
        <f aca="false">Panel!D807-Panel!D806</f>
        <v>-0.0023447255482747</v>
      </c>
      <c r="D828" s="29" t="n">
        <f aca="false">Panel!D806</f>
        <v>10.087453589764</v>
      </c>
      <c r="E828" s="30" t="n">
        <f aca="false">Panel!D806-Panel!D805</f>
        <v>0.00871525286441788</v>
      </c>
      <c r="F828" s="30" t="n">
        <f aca="false">Panel!D805-Panel!D804</f>
        <v>-0.00230945532882565</v>
      </c>
      <c r="G828" s="30" t="n">
        <f aca="false">Panel!D804-Panel!D803</f>
        <v>-0.00406107198731753</v>
      </c>
      <c r="H828" s="30" t="n">
        <f aca="false">Panel!D803-Panel!D802</f>
        <v>-0.0083790210413941</v>
      </c>
      <c r="I828" s="30" t="n">
        <f aca="false">Panel!D802-Panel!D801</f>
        <v>-0.00346720948325263</v>
      </c>
      <c r="L828" s="30" t="n">
        <f aca="false">Panel!E802-Panel!E801</f>
        <v>-0.00185161706286685</v>
      </c>
      <c r="M828" s="29" t="n">
        <f aca="false">Panel!E801</f>
        <v>5.61927704606254</v>
      </c>
    </row>
    <row r="829" customFormat="false" ht="15" hidden="false" customHeight="false" outlineLevel="0" collapsed="false">
      <c r="C829" s="0" t="n">
        <f aca="false">Panel!D808-Panel!D807</f>
        <v>0.013262673020856</v>
      </c>
      <c r="D829" s="29" t="n">
        <f aca="false">Panel!D807</f>
        <v>10.0851088642157</v>
      </c>
      <c r="E829" s="30" t="n">
        <f aca="false">Panel!D807-Panel!D806</f>
        <v>-0.0023447255482747</v>
      </c>
      <c r="F829" s="30" t="n">
        <f aca="false">Panel!D806-Panel!D805</f>
        <v>0.00871525286441788</v>
      </c>
      <c r="G829" s="30" t="n">
        <f aca="false">Panel!D805-Panel!D804</f>
        <v>-0.00230945532882565</v>
      </c>
      <c r="H829" s="30" t="n">
        <f aca="false">Panel!D804-Panel!D803</f>
        <v>-0.00406107198731753</v>
      </c>
      <c r="I829" s="30" t="n">
        <f aca="false">Panel!D803-Panel!D802</f>
        <v>-0.0083790210413941</v>
      </c>
      <c r="L829" s="30" t="n">
        <f aca="false">Panel!E803-Panel!E802</f>
        <v>-0.00634320963238988</v>
      </c>
      <c r="M829" s="29" t="n">
        <f aca="false">Panel!E802</f>
        <v>5.61742542899967</v>
      </c>
    </row>
    <row r="830" customFormat="false" ht="15" hidden="false" customHeight="false" outlineLevel="0" collapsed="false">
      <c r="C830" s="0" t="n">
        <f aca="false">Panel!D809-Panel!D808</f>
        <v>0.00221534100594134</v>
      </c>
      <c r="D830" s="29" t="n">
        <f aca="false">Panel!D808</f>
        <v>10.0983715372365</v>
      </c>
      <c r="E830" s="30" t="n">
        <f aca="false">Panel!D808-Panel!D807</f>
        <v>0.013262673020856</v>
      </c>
      <c r="F830" s="30" t="n">
        <f aca="false">Panel!D807-Panel!D806</f>
        <v>-0.0023447255482747</v>
      </c>
      <c r="G830" s="30" t="n">
        <f aca="false">Panel!D806-Panel!D805</f>
        <v>0.00871525286441788</v>
      </c>
      <c r="H830" s="30" t="n">
        <f aca="false">Panel!D805-Panel!D804</f>
        <v>-0.00230945532882565</v>
      </c>
      <c r="I830" s="30" t="n">
        <f aca="false">Panel!D804-Panel!D803</f>
        <v>-0.00406107198731753</v>
      </c>
      <c r="L830" s="30" t="n">
        <f aca="false">Panel!E804-Panel!E803</f>
        <v>-0.00458186751763368</v>
      </c>
      <c r="M830" s="29" t="n">
        <f aca="false">Panel!E803</f>
        <v>5.61108221936728</v>
      </c>
    </row>
    <row r="831" customFormat="false" ht="15" hidden="false" customHeight="false" outlineLevel="0" collapsed="false">
      <c r="C831" s="0" t="n">
        <f aca="false">Panel!D810-Panel!D809</f>
        <v>0.00298028600929889</v>
      </c>
      <c r="D831" s="29" t="n">
        <f aca="false">Panel!D809</f>
        <v>10.1005868782425</v>
      </c>
      <c r="E831" s="30" t="n">
        <f aca="false">Panel!D809-Panel!D808</f>
        <v>0.00221534100594134</v>
      </c>
      <c r="F831" s="30" t="n">
        <f aca="false">Panel!D808-Panel!D807</f>
        <v>0.013262673020856</v>
      </c>
      <c r="G831" s="30" t="n">
        <f aca="false">Panel!D807-Panel!D806</f>
        <v>-0.0023447255482747</v>
      </c>
      <c r="H831" s="30" t="n">
        <f aca="false">Panel!D806-Panel!D805</f>
        <v>0.00871525286441788</v>
      </c>
      <c r="I831" s="30" t="n">
        <f aca="false">Panel!D805-Panel!D804</f>
        <v>-0.00230945532882565</v>
      </c>
      <c r="L831" s="30" t="n">
        <f aca="false">Panel!E805-Panel!E804</f>
        <v>-0.00261188001408907</v>
      </c>
      <c r="M831" s="29" t="n">
        <f aca="false">Panel!E804</f>
        <v>5.60650035184965</v>
      </c>
    </row>
    <row r="832" customFormat="false" ht="15" hidden="false" customHeight="false" outlineLevel="0" collapsed="false">
      <c r="C832" s="0" t="n">
        <f aca="false">Panel!D811-Panel!D810</f>
        <v>0.00880273024628231</v>
      </c>
      <c r="D832" s="29" t="n">
        <f aca="false">Panel!D810</f>
        <v>10.1035671642518</v>
      </c>
      <c r="E832" s="30" t="n">
        <f aca="false">Panel!D810-Panel!D809</f>
        <v>0.00298028600929889</v>
      </c>
      <c r="F832" s="30" t="n">
        <f aca="false">Panel!D809-Panel!D808</f>
        <v>0.00221534100594134</v>
      </c>
      <c r="G832" s="30" t="n">
        <f aca="false">Panel!D808-Panel!D807</f>
        <v>0.013262673020856</v>
      </c>
      <c r="H832" s="30" t="n">
        <f aca="false">Panel!D807-Panel!D806</f>
        <v>-0.0023447255482747</v>
      </c>
      <c r="I832" s="30" t="n">
        <f aca="false">Panel!D806-Panel!D805</f>
        <v>0.00871525286441788</v>
      </c>
      <c r="L832" s="30" t="n">
        <f aca="false">Panel!E806-Panel!E805</f>
        <v>0.00814414421107568</v>
      </c>
      <c r="M832" s="29" t="n">
        <f aca="false">Panel!E805</f>
        <v>5.60388847183556</v>
      </c>
    </row>
    <row r="833" customFormat="false" ht="15" hidden="false" customHeight="false" outlineLevel="0" collapsed="false">
      <c r="C833" s="0" t="n">
        <f aca="false">Panel!D812-Panel!D811</f>
        <v>-0.00325124239902763</v>
      </c>
      <c r="D833" s="29" t="n">
        <f aca="false">Panel!D811</f>
        <v>10.1123698944981</v>
      </c>
      <c r="E833" s="30" t="n">
        <f aca="false">Panel!D811-Panel!D810</f>
        <v>0.00880273024628231</v>
      </c>
      <c r="F833" s="30" t="n">
        <f aca="false">Panel!D810-Panel!D809</f>
        <v>0.00298028600929889</v>
      </c>
      <c r="G833" s="30" t="n">
        <f aca="false">Panel!D809-Panel!D808</f>
        <v>0.00221534100594134</v>
      </c>
      <c r="H833" s="30" t="n">
        <f aca="false">Panel!D808-Panel!D807</f>
        <v>0.013262673020856</v>
      </c>
      <c r="I833" s="30" t="n">
        <f aca="false">Panel!D807-Panel!D806</f>
        <v>-0.0023447255482747</v>
      </c>
      <c r="L833" s="30" t="n">
        <f aca="false">Panel!E807-Panel!E806</f>
        <v>0.000401819150262384</v>
      </c>
      <c r="M833" s="29" t="n">
        <f aca="false">Panel!E806</f>
        <v>5.61203261604663</v>
      </c>
    </row>
    <row r="834" customFormat="false" ht="15" hidden="false" customHeight="false" outlineLevel="0" collapsed="false">
      <c r="C834" s="0" t="n">
        <f aca="false">Panel!D813-Panel!D812</f>
        <v>0.00341352737179612</v>
      </c>
      <c r="D834" s="29" t="n">
        <f aca="false">Panel!D812</f>
        <v>10.109118652099</v>
      </c>
      <c r="E834" s="30" t="n">
        <f aca="false">Panel!D812-Panel!D811</f>
        <v>-0.00325124239902763</v>
      </c>
      <c r="F834" s="30" t="n">
        <f aca="false">Panel!D811-Panel!D810</f>
        <v>0.00880273024628231</v>
      </c>
      <c r="G834" s="30" t="n">
        <f aca="false">Panel!D810-Panel!D809</f>
        <v>0.00298028600929889</v>
      </c>
      <c r="H834" s="30" t="n">
        <f aca="false">Panel!D809-Panel!D808</f>
        <v>0.00221534100594134</v>
      </c>
      <c r="I834" s="30" t="n">
        <f aca="false">Panel!D808-Panel!D807</f>
        <v>0.013262673020856</v>
      </c>
      <c r="L834" s="30" t="n">
        <f aca="false">Panel!E808-Panel!E807</f>
        <v>0.00651610394260782</v>
      </c>
      <c r="M834" s="29" t="n">
        <f aca="false">Panel!E807</f>
        <v>5.6124344351969</v>
      </c>
    </row>
    <row r="835" customFormat="false" ht="15" hidden="false" customHeight="false" outlineLevel="0" collapsed="false">
      <c r="C835" s="0" t="n">
        <f aca="false">Panel!D814-Panel!D813</f>
        <v>0.00384654791515082</v>
      </c>
      <c r="D835" s="29" t="n">
        <f aca="false">Panel!D813</f>
        <v>10.1125321794708</v>
      </c>
      <c r="E835" s="30" t="n">
        <f aca="false">Panel!D813-Panel!D812</f>
        <v>0.00341352737179612</v>
      </c>
      <c r="F835" s="30" t="n">
        <f aca="false">Panel!D812-Panel!D811</f>
        <v>-0.00325124239902763</v>
      </c>
      <c r="G835" s="30" t="n">
        <f aca="false">Panel!D811-Panel!D810</f>
        <v>0.00880273024628231</v>
      </c>
      <c r="H835" s="30" t="n">
        <f aca="false">Panel!D810-Panel!D809</f>
        <v>0.00298028600929889</v>
      </c>
      <c r="I835" s="30" t="n">
        <f aca="false">Panel!D809-Panel!D808</f>
        <v>0.00221534100594134</v>
      </c>
      <c r="L835" s="30" t="n">
        <f aca="false">Panel!E809-Panel!E808</f>
        <v>0.00307943364443819</v>
      </c>
      <c r="M835" s="29" t="n">
        <f aca="false">Panel!E808</f>
        <v>5.6189505391395</v>
      </c>
    </row>
    <row r="836" customFormat="false" ht="15" hidden="false" customHeight="false" outlineLevel="0" collapsed="false">
      <c r="C836" s="0" t="n">
        <f aca="false">Panel!D815-Panel!D814</f>
        <v>-0.00361533732386476</v>
      </c>
      <c r="D836" s="29" t="n">
        <f aca="false">Panel!D814</f>
        <v>10.116378727386</v>
      </c>
      <c r="E836" s="30" t="n">
        <f aca="false">Panel!D814-Panel!D813</f>
        <v>0.00384654791515082</v>
      </c>
      <c r="F836" s="30" t="n">
        <f aca="false">Panel!D813-Panel!D812</f>
        <v>0.00341352737179612</v>
      </c>
      <c r="G836" s="30" t="n">
        <f aca="false">Panel!D812-Panel!D811</f>
        <v>-0.00325124239902763</v>
      </c>
      <c r="H836" s="30" t="n">
        <f aca="false">Panel!D811-Panel!D810</f>
        <v>0.00880273024628231</v>
      </c>
      <c r="I836" s="30" t="n">
        <f aca="false">Panel!D810-Panel!D809</f>
        <v>0.00298028600929889</v>
      </c>
      <c r="L836" s="30" t="n">
        <f aca="false">Panel!E810-Panel!E809</f>
        <v>0.00325027371730169</v>
      </c>
      <c r="M836" s="29" t="n">
        <f aca="false">Panel!E809</f>
        <v>5.62202997278394</v>
      </c>
    </row>
    <row r="837" customFormat="false" ht="15" hidden="false" customHeight="false" outlineLevel="0" collapsed="false">
      <c r="L837" s="0" t="n">
        <f aca="false">Panel!E811-Panel!E810</f>
        <v>0.00947364174452137</v>
      </c>
      <c r="M837" s="29" t="n">
        <f aca="false">Panel!E810</f>
        <v>5.62528024650124</v>
      </c>
    </row>
    <row r="838" customFormat="false" ht="15" hidden="false" customHeight="false" outlineLevel="0" collapsed="false">
      <c r="L838" s="0" t="n">
        <f aca="false">Panel!E812-Panel!E811</f>
        <v>-0.00425920935939583</v>
      </c>
      <c r="M838" s="29" t="n">
        <f aca="false">Panel!E811</f>
        <v>5.63475388824577</v>
      </c>
    </row>
    <row r="839" customFormat="false" ht="15" hidden="false" customHeight="false" outlineLevel="0" collapsed="false">
      <c r="L839" s="0" t="n">
        <f aca="false">Panel!E813-Panel!E812</f>
        <v>0.00429492428288025</v>
      </c>
      <c r="M839" s="29" t="n">
        <f aca="false">Panel!E812</f>
        <v>5.63049467888637</v>
      </c>
    </row>
    <row r="840" customFormat="false" ht="15" hidden="false" customHeight="false" outlineLevel="0" collapsed="false">
      <c r="L840" s="0" t="n">
        <f aca="false">Panel!E814-Panel!E813</f>
        <v>0.00178412179350218</v>
      </c>
      <c r="M840" s="29" t="n">
        <f aca="false">Panel!E813</f>
        <v>5.63478960316925</v>
      </c>
    </row>
    <row r="841" customFormat="false" ht="15" hidden="false" customHeight="false" outlineLevel="0" collapsed="false">
      <c r="L841" s="0" t="n">
        <f aca="false">Panel!E815-Panel!E814</f>
        <v>-0.0028561247548371</v>
      </c>
      <c r="M841" s="29" t="n">
        <f aca="false">Panel!E814</f>
        <v>5.63657372496275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5" customFormat="false" ht="15" hidden="false" customHeight="false" outlineLevel="0" collapsed="false">
      <c r="A5" s="33" t="s">
        <v>197</v>
      </c>
      <c r="B5" s="37" t="n">
        <f aca="false">INDEX(LINEST(Panel!$D$5:$D$815,Panel!$E$5:$E$815,TRUE(),TRUE()),1,1)</f>
        <v>0.916126759246726</v>
      </c>
      <c r="C5" s="2" t="s">
        <v>198</v>
      </c>
    </row>
    <row r="6" customFormat="false" ht="15" hidden="false" customHeight="false" outlineLevel="0" collapsed="false">
      <c r="A6" s="22" t="s">
        <v>199</v>
      </c>
      <c r="B6" s="11" t="n">
        <f aca="false">INDEX(LINEST(Panel!$D$5:$D$815,Panel!$E$5:$E$815,TRUE(),TRUE()),1,2)</f>
        <v>4.96182008134816</v>
      </c>
      <c r="C6" s="2" t="s">
        <v>200</v>
      </c>
    </row>
    <row r="7" customFormat="false" ht="15" hidden="false" customHeight="false" outlineLevel="0" collapsed="false">
      <c r="A7" s="22" t="s">
        <v>201</v>
      </c>
      <c r="B7" s="11" t="n">
        <f aca="false">INDEX(LINEST(Panel!$D$5:$D$815,Panel!$E$5:$E$815,TRUE(),TRUE()),2,1)</f>
        <v>0.00213251467571065</v>
      </c>
      <c r="C7" s="2" t="s">
        <v>202</v>
      </c>
    </row>
    <row r="8" customFormat="false" ht="15" hidden="false" customHeight="false" outlineLevel="0" collapsed="false">
      <c r="A8" s="33" t="s">
        <v>203</v>
      </c>
      <c r="B8" s="37" t="n">
        <f aca="false">INDEX(LINEST(Panel!$D$5:$D$815,Panel!$E$5:$E$815,TRUE(),TRUE()),3,1)</f>
        <v>0.995635626902396</v>
      </c>
      <c r="C8" s="2" t="s">
        <v>204</v>
      </c>
    </row>
    <row r="9" customFormat="false" ht="15" hidden="false" customHeight="false" outlineLevel="0" collapsed="false">
      <c r="A9" s="22" t="s">
        <v>205</v>
      </c>
      <c r="B9" s="13" t="n">
        <f aca="false">SUMPRODUCT(Panel!$B$5:$B$815/Panel!$C$5:$C$815)/COUNT(Panel!$B$5:$B$815)</f>
        <v>89.6795322235331</v>
      </c>
      <c r="C9" s="2" t="s">
        <v>206</v>
      </c>
    </row>
    <row r="10" customFormat="false" ht="15" hidden="false" customHeight="false" outlineLevel="0" collapsed="false">
      <c r="A10" s="22" t="s">
        <v>207</v>
      </c>
      <c r="B10" s="38" t="n">
        <f aca="false">100/B9-1</f>
        <v>0.11508164149142</v>
      </c>
    </row>
    <row r="11" customFormat="false" ht="15" hidden="false" customHeight="false" outlineLevel="0" collapsed="false">
      <c r="A11" s="22" t="s">
        <v>208</v>
      </c>
      <c r="B11" s="13" t="n">
        <f aca="false">CORREL(Panel!I6:I815,Panel!J6:J815)</f>
        <v>0.945867440931246</v>
      </c>
      <c r="C11" s="2" t="s">
        <v>209</v>
      </c>
    </row>
    <row r="12" customFormat="false" ht="15" hidden="false" customHeight="false" outlineLevel="0" collapsed="false">
      <c r="A12" s="22" t="s">
        <v>210</v>
      </c>
      <c r="B12" s="13" t="n">
        <f aca="false">CORREL(Panel!M6:M815,Panel!J6:J815)</f>
        <v>0.955874994200408</v>
      </c>
      <c r="C12" s="2" t="s">
        <v>211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">
        <v>213</v>
      </c>
    </row>
    <row r="5" customFormat="false" ht="15" hidden="false" customHeight="false" outlineLevel="0" collapsed="false">
      <c r="A5" s="22" t="s">
        <v>214</v>
      </c>
      <c r="B5" s="34" t="n">
        <f aca="false">INDEX(LINEST(C14:C820,D14:G820,FALSE(),TRUE()),1,4)</f>
        <v>-0.048794575062483</v>
      </c>
    </row>
    <row r="6" customFormat="false" ht="15" hidden="false" customHeight="false" outlineLevel="0" collapsed="false">
      <c r="A6" s="22" t="s">
        <v>215</v>
      </c>
      <c r="B6" s="34" t="n">
        <f aca="false">INDEX(LINEST(C14:C820,D14:G820,FALSE(),TRUE()),2,4)</f>
        <v>0.0157598855645994</v>
      </c>
    </row>
    <row r="7" customFormat="false" ht="15" hidden="false" customHeight="false" outlineLevel="0" collapsed="false">
      <c r="A7" s="33" t="s">
        <v>216</v>
      </c>
      <c r="B7" s="35" t="n">
        <f aca="false">B5/B6</f>
        <v>-3.09612495994817</v>
      </c>
      <c r="C7" s="2" t="s">
        <v>217</v>
      </c>
    </row>
    <row r="8" customFormat="false" ht="15" hidden="false" customHeight="false" outlineLevel="0" collapsed="false">
      <c r="A8" s="22" t="s">
        <v>218</v>
      </c>
      <c r="B8" s="5" t="n">
        <v>-3.344</v>
      </c>
      <c r="C8" s="2" t="s">
        <v>219</v>
      </c>
    </row>
    <row r="9" customFormat="false" ht="15" hidden="false" customHeight="false" outlineLevel="0" collapsed="false">
      <c r="A9" s="22" t="s">
        <v>183</v>
      </c>
      <c r="B9" s="36" t="str">
        <f aca="false">IF(B7&lt;B8,"Reject H0 → cointegrated","Fail to reject H0 → no cointegration")</f>
        <v>Fail to reject H0 → no cointegration</v>
      </c>
    </row>
    <row r="13" customFormat="false" ht="15" hidden="false" customHeight="false" outlineLevel="0" collapsed="false">
      <c r="C13" s="3" t="s">
        <v>220</v>
      </c>
      <c r="D13" s="3" t="s">
        <v>221</v>
      </c>
      <c r="E13" s="3" t="s">
        <v>222</v>
      </c>
      <c r="F13" s="3" t="s">
        <v>223</v>
      </c>
      <c r="G13" s="3" t="s">
        <v>224</v>
      </c>
    </row>
    <row r="14" customFormat="false" ht="15" hidden="false" customHeight="false" outlineLevel="0" collapsed="false">
      <c r="C14" s="0" t="n">
        <f aca="false">Panel!P9-Panel!P8</f>
        <v>0.00102504215881538</v>
      </c>
      <c r="D14" s="29" t="n">
        <f aca="false">Panel!P8</f>
        <v>-0.000705098015503225</v>
      </c>
      <c r="E14" s="30" t="n">
        <f aca="false">Panel!P8-Panel!P7</f>
        <v>-0.00183670829489735</v>
      </c>
      <c r="F14" s="30" t="n">
        <f aca="false">Panel!P7-Panel!P6</f>
        <v>-0.000547802987927781</v>
      </c>
      <c r="G14" s="30" t="n">
        <f aca="false">Panel!P6-Panel!P5</f>
        <v>-0.000139412144868345</v>
      </c>
    </row>
    <row r="15" customFormat="false" ht="15" hidden="false" customHeight="false" outlineLevel="0" collapsed="false">
      <c r="C15" s="0" t="n">
        <f aca="false">Panel!P10-Panel!P9</f>
        <v>-6.05016512835732E-005</v>
      </c>
      <c r="D15" s="29" t="n">
        <f aca="false">Panel!P9</f>
        <v>0.000319944143312156</v>
      </c>
      <c r="E15" s="30" t="n">
        <f aca="false">Panel!P9-Panel!P8</f>
        <v>0.00102504215881538</v>
      </c>
      <c r="F15" s="30" t="n">
        <f aca="false">Panel!P8-Panel!P7</f>
        <v>-0.00183670829489735</v>
      </c>
      <c r="G15" s="30" t="n">
        <f aca="false">Panel!P7-Panel!P6</f>
        <v>-0.000547802987927781</v>
      </c>
    </row>
    <row r="16" customFormat="false" ht="15" hidden="false" customHeight="false" outlineLevel="0" collapsed="false">
      <c r="C16" s="0" t="n">
        <f aca="false">Panel!P11-Panel!P10</f>
        <v>3.20385622973873E-005</v>
      </c>
      <c r="D16" s="29" t="n">
        <f aca="false">Panel!P10</f>
        <v>0.000259442492028583</v>
      </c>
      <c r="E16" s="30" t="n">
        <f aca="false">Panel!P10-Panel!P9</f>
        <v>-6.05016512835732E-005</v>
      </c>
      <c r="F16" s="30" t="n">
        <f aca="false">Panel!P9-Panel!P8</f>
        <v>0.00102504215881538</v>
      </c>
      <c r="G16" s="30" t="n">
        <f aca="false">Panel!P8-Panel!P7</f>
        <v>-0.00183670829489735</v>
      </c>
    </row>
    <row r="17" customFormat="false" ht="15" hidden="false" customHeight="false" outlineLevel="0" collapsed="false">
      <c r="C17" s="0" t="n">
        <f aca="false">Panel!P12-Panel!P11</f>
        <v>2.89187709689998E-006</v>
      </c>
      <c r="D17" s="29" t="n">
        <f aca="false">Panel!P11</f>
        <v>0.000291481054325971</v>
      </c>
      <c r="E17" s="30" t="n">
        <f aca="false">Panel!P11-Panel!P10</f>
        <v>3.20385622973873E-005</v>
      </c>
      <c r="F17" s="30" t="n">
        <f aca="false">Panel!P10-Panel!P9</f>
        <v>-6.05016512835732E-005</v>
      </c>
      <c r="G17" s="30" t="n">
        <f aca="false">Panel!P9-Panel!P8</f>
        <v>0.00102504215881538</v>
      </c>
    </row>
    <row r="18" customFormat="false" ht="15" hidden="false" customHeight="false" outlineLevel="0" collapsed="false">
      <c r="C18" s="0" t="n">
        <f aca="false">Panel!P13-Panel!P12</f>
        <v>9.81686389955883E-006</v>
      </c>
      <c r="D18" s="29" t="n">
        <f aca="false">Panel!P12</f>
        <v>0.00029437293142287</v>
      </c>
      <c r="E18" s="30" t="n">
        <f aca="false">Panel!P12-Panel!P11</f>
        <v>2.89187709689998E-006</v>
      </c>
      <c r="F18" s="30" t="n">
        <f aca="false">Panel!P11-Panel!P10</f>
        <v>3.20385622973873E-005</v>
      </c>
      <c r="G18" s="30" t="n">
        <f aca="false">Panel!P10-Panel!P9</f>
        <v>-6.05016512835732E-005</v>
      </c>
    </row>
    <row r="19" customFormat="false" ht="15" hidden="false" customHeight="false" outlineLevel="0" collapsed="false">
      <c r="C19" s="0" t="n">
        <f aca="false">Panel!P14-Panel!P13</f>
        <v>-0.00181352394820955</v>
      </c>
      <c r="D19" s="29" t="n">
        <f aca="false">Panel!P13</f>
        <v>0.000304189795322429</v>
      </c>
      <c r="E19" s="30" t="n">
        <f aca="false">Panel!P13-Panel!P12</f>
        <v>9.81686389955883E-006</v>
      </c>
      <c r="F19" s="30" t="n">
        <f aca="false">Panel!P12-Panel!P11</f>
        <v>2.89187709689998E-006</v>
      </c>
      <c r="G19" s="30" t="n">
        <f aca="false">Panel!P11-Panel!P10</f>
        <v>3.20385622973873E-005</v>
      </c>
    </row>
    <row r="20" customFormat="false" ht="15" hidden="false" customHeight="false" outlineLevel="0" collapsed="false">
      <c r="C20" s="0" t="n">
        <f aca="false">Panel!P15-Panel!P14</f>
        <v>-0.000446972197718054</v>
      </c>
      <c r="D20" s="29" t="n">
        <f aca="false">Panel!P14</f>
        <v>-0.00150933415288712</v>
      </c>
      <c r="E20" s="30" t="n">
        <f aca="false">Panel!P14-Panel!P13</f>
        <v>-0.00181352394820955</v>
      </c>
      <c r="F20" s="30" t="n">
        <f aca="false">Panel!P13-Panel!P12</f>
        <v>9.81686389955883E-006</v>
      </c>
      <c r="G20" s="30" t="n">
        <f aca="false">Panel!P12-Panel!P11</f>
        <v>2.89187709689998E-006</v>
      </c>
    </row>
    <row r="21" customFormat="false" ht="15" hidden="false" customHeight="false" outlineLevel="0" collapsed="false">
      <c r="C21" s="0" t="n">
        <f aca="false">Panel!P16-Panel!P15</f>
        <v>-0.00240508704933262</v>
      </c>
      <c r="D21" s="29" t="n">
        <f aca="false">Panel!P15</f>
        <v>-0.00195630635060517</v>
      </c>
      <c r="E21" s="30" t="n">
        <f aca="false">Panel!P15-Panel!P14</f>
        <v>-0.000446972197718054</v>
      </c>
      <c r="F21" s="30" t="n">
        <f aca="false">Panel!P14-Panel!P13</f>
        <v>-0.00181352394820955</v>
      </c>
      <c r="G21" s="30" t="n">
        <f aca="false">Panel!P13-Panel!P12</f>
        <v>9.81686389955883E-006</v>
      </c>
    </row>
    <row r="22" customFormat="false" ht="15" hidden="false" customHeight="false" outlineLevel="0" collapsed="false">
      <c r="C22" s="0" t="n">
        <f aca="false">Panel!P17-Panel!P16</f>
        <v>0.000406208414437614</v>
      </c>
      <c r="D22" s="29" t="n">
        <f aca="false">Panel!P16</f>
        <v>-0.0043613933999378</v>
      </c>
      <c r="E22" s="30" t="n">
        <f aca="false">Panel!P16-Panel!P15</f>
        <v>-0.00240508704933262</v>
      </c>
      <c r="F22" s="30" t="n">
        <f aca="false">Panel!P15-Panel!P14</f>
        <v>-0.000446972197718054</v>
      </c>
      <c r="G22" s="30" t="n">
        <f aca="false">Panel!P14-Panel!P13</f>
        <v>-0.00181352394820955</v>
      </c>
    </row>
    <row r="23" customFormat="false" ht="15" hidden="false" customHeight="false" outlineLevel="0" collapsed="false">
      <c r="C23" s="0" t="n">
        <f aca="false">Panel!P18-Panel!P17</f>
        <v>0.000688132251060125</v>
      </c>
      <c r="D23" s="29" t="n">
        <f aca="false">Panel!P17</f>
        <v>-0.00395518498550018</v>
      </c>
      <c r="E23" s="30" t="n">
        <f aca="false">Panel!P17-Panel!P16</f>
        <v>0.000406208414437614</v>
      </c>
      <c r="F23" s="30" t="n">
        <f aca="false">Panel!P16-Panel!P15</f>
        <v>-0.00240508704933262</v>
      </c>
      <c r="G23" s="30" t="n">
        <f aca="false">Panel!P15-Panel!P14</f>
        <v>-0.000446972197718054</v>
      </c>
    </row>
    <row r="24" customFormat="false" ht="15" hidden="false" customHeight="false" outlineLevel="0" collapsed="false">
      <c r="C24" s="0" t="n">
        <f aca="false">Panel!P19-Panel!P18</f>
        <v>0.000331877184352791</v>
      </c>
      <c r="D24" s="29" t="n">
        <f aca="false">Panel!P18</f>
        <v>-0.00326705273444006</v>
      </c>
      <c r="E24" s="30" t="n">
        <f aca="false">Panel!P18-Panel!P17</f>
        <v>0.000688132251060125</v>
      </c>
      <c r="F24" s="30" t="n">
        <f aca="false">Panel!P17-Panel!P16</f>
        <v>0.000406208414437614</v>
      </c>
      <c r="G24" s="30" t="n">
        <f aca="false">Panel!P16-Panel!P15</f>
        <v>-0.00240508704933262</v>
      </c>
    </row>
    <row r="25" customFormat="false" ht="15" hidden="false" customHeight="false" outlineLevel="0" collapsed="false">
      <c r="C25" s="0" t="n">
        <f aca="false">Panel!P20-Panel!P19</f>
        <v>0.000897626339355639</v>
      </c>
      <c r="D25" s="29" t="n">
        <f aca="false">Panel!P19</f>
        <v>-0.00293517555008727</v>
      </c>
      <c r="E25" s="30" t="n">
        <f aca="false">Panel!P19-Panel!P18</f>
        <v>0.000331877184352791</v>
      </c>
      <c r="F25" s="30" t="n">
        <f aca="false">Panel!P18-Panel!P17</f>
        <v>0.000688132251060125</v>
      </c>
      <c r="G25" s="30" t="n">
        <f aca="false">Panel!P17-Panel!P16</f>
        <v>0.000406208414437614</v>
      </c>
    </row>
    <row r="26" customFormat="false" ht="15" hidden="false" customHeight="false" outlineLevel="0" collapsed="false">
      <c r="C26" s="0" t="n">
        <f aca="false">Panel!P21-Panel!P20</f>
        <v>-0.00124363398582084</v>
      </c>
      <c r="D26" s="29" t="n">
        <f aca="false">Panel!P20</f>
        <v>-0.00203754921073163</v>
      </c>
      <c r="E26" s="30" t="n">
        <f aca="false">Panel!P20-Panel!P19</f>
        <v>0.000897626339355639</v>
      </c>
      <c r="F26" s="30" t="n">
        <f aca="false">Panel!P19-Panel!P18</f>
        <v>0.000331877184352791</v>
      </c>
      <c r="G26" s="30" t="n">
        <f aca="false">Panel!P18-Panel!P17</f>
        <v>0.000688132251060125</v>
      </c>
    </row>
    <row r="27" customFormat="false" ht="15" hidden="false" customHeight="false" outlineLevel="0" collapsed="false">
      <c r="C27" s="0" t="n">
        <f aca="false">Panel!P22-Panel!P21</f>
        <v>-0.000748855655938741</v>
      </c>
      <c r="D27" s="29" t="n">
        <f aca="false">Panel!P21</f>
        <v>-0.00328118319655246</v>
      </c>
      <c r="E27" s="30" t="n">
        <f aca="false">Panel!P21-Panel!P20</f>
        <v>-0.00124363398582084</v>
      </c>
      <c r="F27" s="30" t="n">
        <f aca="false">Panel!P20-Panel!P19</f>
        <v>0.000897626339355639</v>
      </c>
      <c r="G27" s="30" t="n">
        <f aca="false">Panel!P19-Panel!P18</f>
        <v>0.000331877184352791</v>
      </c>
    </row>
    <row r="28" customFormat="false" ht="15" hidden="false" customHeight="false" outlineLevel="0" collapsed="false">
      <c r="C28" s="0" t="n">
        <f aca="false">Panel!P23-Panel!P22</f>
        <v>0.00350202421202717</v>
      </c>
      <c r="D28" s="29" t="n">
        <f aca="false">Panel!P22</f>
        <v>-0.0040300388524912</v>
      </c>
      <c r="E28" s="30" t="n">
        <f aca="false">Panel!P22-Panel!P21</f>
        <v>-0.000748855655938741</v>
      </c>
      <c r="F28" s="30" t="n">
        <f aca="false">Panel!P21-Panel!P20</f>
        <v>-0.00124363398582084</v>
      </c>
      <c r="G28" s="30" t="n">
        <f aca="false">Panel!P20-Panel!P19</f>
        <v>0.000897626339355639</v>
      </c>
    </row>
    <row r="29" customFormat="false" ht="15" hidden="false" customHeight="false" outlineLevel="0" collapsed="false">
      <c r="C29" s="0" t="n">
        <f aca="false">Panel!P24-Panel!P23</f>
        <v>0.00112793633597086</v>
      </c>
      <c r="D29" s="29" t="n">
        <f aca="false">Panel!P23</f>
        <v>-0.000528014640464036</v>
      </c>
      <c r="E29" s="30" t="n">
        <f aca="false">Panel!P23-Panel!P22</f>
        <v>0.00350202421202717</v>
      </c>
      <c r="F29" s="30" t="n">
        <f aca="false">Panel!P22-Panel!P21</f>
        <v>-0.000748855655938741</v>
      </c>
      <c r="G29" s="30" t="n">
        <f aca="false">Panel!P21-Panel!P20</f>
        <v>-0.00124363398582084</v>
      </c>
    </row>
    <row r="30" customFormat="false" ht="15" hidden="false" customHeight="false" outlineLevel="0" collapsed="false">
      <c r="C30" s="0" t="n">
        <f aca="false">Panel!P25-Panel!P24</f>
        <v>0.000389085762622088</v>
      </c>
      <c r="D30" s="29" t="n">
        <f aca="false">Panel!P24</f>
        <v>0.000599921695506822</v>
      </c>
      <c r="E30" s="30" t="n">
        <f aca="false">Panel!P24-Panel!P23</f>
        <v>0.00112793633597086</v>
      </c>
      <c r="F30" s="30" t="n">
        <f aca="false">Panel!P23-Panel!P22</f>
        <v>0.00350202421202717</v>
      </c>
      <c r="G30" s="30" t="n">
        <f aca="false">Panel!P22-Panel!P21</f>
        <v>-0.000748855655938741</v>
      </c>
    </row>
    <row r="31" customFormat="false" ht="15" hidden="false" customHeight="false" outlineLevel="0" collapsed="false">
      <c r="C31" s="0" t="n">
        <f aca="false">Panel!P26-Panel!P25</f>
        <v>-0.000825674982326774</v>
      </c>
      <c r="D31" s="29" t="n">
        <f aca="false">Panel!P25</f>
        <v>0.00098900745812891</v>
      </c>
      <c r="E31" s="30" t="n">
        <f aca="false">Panel!P25-Panel!P24</f>
        <v>0.000389085762622088</v>
      </c>
      <c r="F31" s="30" t="n">
        <f aca="false">Panel!P24-Panel!P23</f>
        <v>0.00112793633597086</v>
      </c>
      <c r="G31" s="30" t="n">
        <f aca="false">Panel!P23-Panel!P22</f>
        <v>0.00350202421202717</v>
      </c>
    </row>
    <row r="32" customFormat="false" ht="15" hidden="false" customHeight="false" outlineLevel="0" collapsed="false">
      <c r="C32" s="0" t="n">
        <f aca="false">Panel!P27-Panel!P26</f>
        <v>-0.000399212271281257</v>
      </c>
      <c r="D32" s="29" t="n">
        <f aca="false">Panel!P26</f>
        <v>0.000163332475802136</v>
      </c>
      <c r="E32" s="30" t="n">
        <f aca="false">Panel!P26-Panel!P25</f>
        <v>-0.000825674982326774</v>
      </c>
      <c r="F32" s="30" t="n">
        <f aca="false">Panel!P25-Panel!P24</f>
        <v>0.000389085762622088</v>
      </c>
      <c r="G32" s="30" t="n">
        <f aca="false">Panel!P24-Panel!P23</f>
        <v>0.00112793633597086</v>
      </c>
    </row>
    <row r="33" customFormat="false" ht="15" hidden="false" customHeight="false" outlineLevel="0" collapsed="false">
      <c r="C33" s="0" t="n">
        <f aca="false">Panel!P28-Panel!P27</f>
        <v>0.000756196483219895</v>
      </c>
      <c r="D33" s="29" t="n">
        <f aca="false">Panel!P27</f>
        <v>-0.000235879795479121</v>
      </c>
      <c r="E33" s="30" t="n">
        <f aca="false">Panel!P27-Panel!P26</f>
        <v>-0.000399212271281257</v>
      </c>
      <c r="F33" s="30" t="n">
        <f aca="false">Panel!P26-Panel!P25</f>
        <v>-0.000825674982326774</v>
      </c>
      <c r="G33" s="30" t="n">
        <f aca="false">Panel!P25-Panel!P24</f>
        <v>0.000389085762622088</v>
      </c>
    </row>
    <row r="34" customFormat="false" ht="15" hidden="false" customHeight="false" outlineLevel="0" collapsed="false">
      <c r="C34" s="0" t="n">
        <f aca="false">Panel!P29-Panel!P28</f>
        <v>0.000680528918559631</v>
      </c>
      <c r="D34" s="29" t="n">
        <f aca="false">Panel!P28</f>
        <v>0.000520316687740774</v>
      </c>
      <c r="E34" s="30" t="n">
        <f aca="false">Panel!P28-Panel!P27</f>
        <v>0.000756196483219895</v>
      </c>
      <c r="F34" s="30" t="n">
        <f aca="false">Panel!P27-Panel!P26</f>
        <v>-0.000399212271281257</v>
      </c>
      <c r="G34" s="30" t="n">
        <f aca="false">Panel!P26-Panel!P25</f>
        <v>-0.000825674982326774</v>
      </c>
    </row>
    <row r="35" customFormat="false" ht="15" hidden="false" customHeight="false" outlineLevel="0" collapsed="false">
      <c r="C35" s="0" t="n">
        <f aca="false">Panel!P30-Panel!P29</f>
        <v>-0.000576521952586617</v>
      </c>
      <c r="D35" s="29" t="n">
        <f aca="false">Panel!P29</f>
        <v>0.0012008456063004</v>
      </c>
      <c r="E35" s="30" t="n">
        <f aca="false">Panel!P29-Panel!P28</f>
        <v>0.000680528918559631</v>
      </c>
      <c r="F35" s="30" t="n">
        <f aca="false">Panel!P28-Panel!P27</f>
        <v>0.000756196483219895</v>
      </c>
      <c r="G35" s="30" t="n">
        <f aca="false">Panel!P27-Panel!P26</f>
        <v>-0.000399212271281257</v>
      </c>
    </row>
    <row r="36" customFormat="false" ht="15" hidden="false" customHeight="false" outlineLevel="0" collapsed="false">
      <c r="C36" s="0" t="n">
        <f aca="false">Panel!P31-Panel!P30</f>
        <v>0.0012761689083618</v>
      </c>
      <c r="D36" s="29" t="n">
        <f aca="false">Panel!P30</f>
        <v>0.000624323653713788</v>
      </c>
      <c r="E36" s="30" t="n">
        <f aca="false">Panel!P30-Panel!P29</f>
        <v>-0.000576521952586617</v>
      </c>
      <c r="F36" s="30" t="n">
        <f aca="false">Panel!P29-Panel!P28</f>
        <v>0.000680528918559631</v>
      </c>
      <c r="G36" s="30" t="n">
        <f aca="false">Panel!P28-Panel!P27</f>
        <v>0.000756196483219895</v>
      </c>
    </row>
    <row r="37" customFormat="false" ht="15" hidden="false" customHeight="false" outlineLevel="0" collapsed="false">
      <c r="C37" s="0" t="n">
        <f aca="false">Panel!P32-Panel!P31</f>
        <v>-0.00102856295913867</v>
      </c>
      <c r="D37" s="29" t="n">
        <f aca="false">Panel!P31</f>
        <v>0.00190049256207558</v>
      </c>
      <c r="E37" s="30" t="n">
        <f aca="false">Panel!P31-Panel!P30</f>
        <v>0.0012761689083618</v>
      </c>
      <c r="F37" s="30" t="n">
        <f aca="false">Panel!P30-Panel!P29</f>
        <v>-0.000576521952586617</v>
      </c>
      <c r="G37" s="30" t="n">
        <f aca="false">Panel!P29-Panel!P28</f>
        <v>0.000680528918559631</v>
      </c>
    </row>
    <row r="38" customFormat="false" ht="15" hidden="false" customHeight="false" outlineLevel="0" collapsed="false">
      <c r="C38" s="0" t="n">
        <f aca="false">Panel!P33-Panel!P32</f>
        <v>-0.00219067332598399</v>
      </c>
      <c r="D38" s="29" t="n">
        <f aca="false">Panel!P32</f>
        <v>0.000871929602936916</v>
      </c>
      <c r="E38" s="30" t="n">
        <f aca="false">Panel!P32-Panel!P31</f>
        <v>-0.00102856295913867</v>
      </c>
      <c r="F38" s="30" t="n">
        <f aca="false">Panel!P31-Panel!P30</f>
        <v>0.0012761689083618</v>
      </c>
      <c r="G38" s="30" t="n">
        <f aca="false">Panel!P30-Panel!P29</f>
        <v>-0.000576521952586617</v>
      </c>
    </row>
    <row r="39" customFormat="false" ht="15" hidden="false" customHeight="false" outlineLevel="0" collapsed="false">
      <c r="C39" s="0" t="n">
        <f aca="false">Panel!P34-Panel!P33</f>
        <v>0.000725303189341275</v>
      </c>
      <c r="D39" s="29" t="n">
        <f aca="false">Panel!P33</f>
        <v>-0.00131874372304708</v>
      </c>
      <c r="E39" s="30" t="n">
        <f aca="false">Panel!P33-Panel!P32</f>
        <v>-0.00219067332598399</v>
      </c>
      <c r="F39" s="30" t="n">
        <f aca="false">Panel!P32-Panel!P31</f>
        <v>-0.00102856295913867</v>
      </c>
      <c r="G39" s="30" t="n">
        <f aca="false">Panel!P31-Panel!P30</f>
        <v>0.0012761689083618</v>
      </c>
    </row>
    <row r="40" customFormat="false" ht="15" hidden="false" customHeight="false" outlineLevel="0" collapsed="false">
      <c r="C40" s="0" t="n">
        <f aca="false">Panel!P35-Panel!P34</f>
        <v>0.000229997724101594</v>
      </c>
      <c r="D40" s="29" t="n">
        <f aca="false">Panel!P34</f>
        <v>-0.000593440533705802</v>
      </c>
      <c r="E40" s="30" t="n">
        <f aca="false">Panel!P34-Panel!P33</f>
        <v>0.000725303189341275</v>
      </c>
      <c r="F40" s="30" t="n">
        <f aca="false">Panel!P33-Panel!P32</f>
        <v>-0.00219067332598399</v>
      </c>
      <c r="G40" s="30" t="n">
        <f aca="false">Panel!P32-Panel!P31</f>
        <v>-0.00102856295913867</v>
      </c>
    </row>
    <row r="41" customFormat="false" ht="15" hidden="false" customHeight="false" outlineLevel="0" collapsed="false">
      <c r="C41" s="0" t="n">
        <f aca="false">Panel!P36-Panel!P35</f>
        <v>0.000521366009445856</v>
      </c>
      <c r="D41" s="29" t="n">
        <f aca="false">Panel!P35</f>
        <v>-0.000363442809604209</v>
      </c>
      <c r="E41" s="30" t="n">
        <f aca="false">Panel!P35-Panel!P34</f>
        <v>0.000229997724101594</v>
      </c>
      <c r="F41" s="30" t="n">
        <f aca="false">Panel!P34-Panel!P33</f>
        <v>0.000725303189341275</v>
      </c>
      <c r="G41" s="30" t="n">
        <f aca="false">Panel!P33-Panel!P32</f>
        <v>-0.00219067332598399</v>
      </c>
    </row>
    <row r="42" customFormat="false" ht="15" hidden="false" customHeight="false" outlineLevel="0" collapsed="false">
      <c r="C42" s="0" t="n">
        <f aca="false">Panel!P37-Panel!P36</f>
        <v>-0.00150738688014052</v>
      </c>
      <c r="D42" s="29" t="n">
        <f aca="false">Panel!P36</f>
        <v>0.000157923199841648</v>
      </c>
      <c r="E42" s="30" t="n">
        <f aca="false">Panel!P36-Panel!P35</f>
        <v>0.000521366009445856</v>
      </c>
      <c r="F42" s="30" t="n">
        <f aca="false">Panel!P35-Panel!P34</f>
        <v>0.000229997724101594</v>
      </c>
      <c r="G42" s="30" t="n">
        <f aca="false">Panel!P34-Panel!P33</f>
        <v>0.000725303189341275</v>
      </c>
    </row>
    <row r="43" customFormat="false" ht="15" hidden="false" customHeight="false" outlineLevel="0" collapsed="false">
      <c r="C43" s="0" t="n">
        <f aca="false">Panel!P38-Panel!P37</f>
        <v>0.00210861769251736</v>
      </c>
      <c r="D43" s="29" t="n">
        <f aca="false">Panel!P37</f>
        <v>-0.00134946368029887</v>
      </c>
      <c r="E43" s="30" t="n">
        <f aca="false">Panel!P37-Panel!P36</f>
        <v>-0.00150738688014052</v>
      </c>
      <c r="F43" s="30" t="n">
        <f aca="false">Panel!P36-Panel!P35</f>
        <v>0.000521366009445856</v>
      </c>
      <c r="G43" s="30" t="n">
        <f aca="false">Panel!P35-Panel!P34</f>
        <v>0.000229997724101594</v>
      </c>
    </row>
    <row r="44" customFormat="false" ht="15" hidden="false" customHeight="false" outlineLevel="0" collapsed="false">
      <c r="C44" s="0" t="n">
        <f aca="false">Panel!P39-Panel!P38</f>
        <v>0.000699365772074856</v>
      </c>
      <c r="D44" s="29" t="n">
        <f aca="false">Panel!P38</f>
        <v>0.000759154012218488</v>
      </c>
      <c r="E44" s="30" t="n">
        <f aca="false">Panel!P38-Panel!P37</f>
        <v>0.00210861769251736</v>
      </c>
      <c r="F44" s="30" t="n">
        <f aca="false">Panel!P37-Panel!P36</f>
        <v>-0.00150738688014052</v>
      </c>
      <c r="G44" s="30" t="n">
        <f aca="false">Panel!P36-Panel!P35</f>
        <v>0.000521366009445856</v>
      </c>
    </row>
    <row r="45" customFormat="false" ht="15" hidden="false" customHeight="false" outlineLevel="0" collapsed="false">
      <c r="C45" s="0" t="n">
        <f aca="false">Panel!P40-Panel!P39</f>
        <v>-0.00159083199829624</v>
      </c>
      <c r="D45" s="29" t="n">
        <f aca="false">Panel!P39</f>
        <v>0.00145851978429334</v>
      </c>
      <c r="E45" s="30" t="n">
        <f aca="false">Panel!P39-Panel!P38</f>
        <v>0.000699365772074856</v>
      </c>
      <c r="F45" s="30" t="n">
        <f aca="false">Panel!P38-Panel!P37</f>
        <v>0.00210861769251736</v>
      </c>
      <c r="G45" s="30" t="n">
        <f aca="false">Panel!P37-Panel!P36</f>
        <v>-0.00150738688014052</v>
      </c>
    </row>
    <row r="46" customFormat="false" ht="15" hidden="false" customHeight="false" outlineLevel="0" collapsed="false">
      <c r="C46" s="0" t="n">
        <f aca="false">Panel!P41-Panel!P40</f>
        <v>-0.000523149462066996</v>
      </c>
      <c r="D46" s="29" t="n">
        <f aca="false">Panel!P40</f>
        <v>-0.000132312214002894</v>
      </c>
      <c r="E46" s="30" t="n">
        <f aca="false">Panel!P40-Panel!P39</f>
        <v>-0.00159083199829624</v>
      </c>
      <c r="F46" s="30" t="n">
        <f aca="false">Panel!P39-Panel!P38</f>
        <v>0.000699365772074856</v>
      </c>
      <c r="G46" s="30" t="n">
        <f aca="false">Panel!P38-Panel!P37</f>
        <v>0.00210861769251736</v>
      </c>
    </row>
    <row r="47" customFormat="false" ht="15" hidden="false" customHeight="false" outlineLevel="0" collapsed="false">
      <c r="C47" s="0" t="n">
        <f aca="false">Panel!P42-Panel!P41</f>
        <v>-5.95143494450667E-005</v>
      </c>
      <c r="D47" s="29" t="n">
        <f aca="false">Panel!P41</f>
        <v>-0.000655461676069891</v>
      </c>
      <c r="E47" s="30" t="n">
        <f aca="false">Panel!P41-Panel!P40</f>
        <v>-0.000523149462066996</v>
      </c>
      <c r="F47" s="30" t="n">
        <f aca="false">Panel!P40-Panel!P39</f>
        <v>-0.00159083199829624</v>
      </c>
      <c r="G47" s="30" t="n">
        <f aca="false">Panel!P39-Panel!P38</f>
        <v>0.000699365772074856</v>
      </c>
    </row>
    <row r="48" customFormat="false" ht="15" hidden="false" customHeight="false" outlineLevel="0" collapsed="false">
      <c r="C48" s="0" t="n">
        <f aca="false">Panel!P43-Panel!P42</f>
        <v>-0.00158400832797412</v>
      </c>
      <c r="D48" s="29" t="n">
        <f aca="false">Panel!P42</f>
        <v>-0.000714976025514957</v>
      </c>
      <c r="E48" s="30" t="n">
        <f aca="false">Panel!P42-Panel!P41</f>
        <v>-5.95143494450667E-005</v>
      </c>
      <c r="F48" s="30" t="n">
        <f aca="false">Panel!P41-Panel!P40</f>
        <v>-0.000523149462066996</v>
      </c>
      <c r="G48" s="30" t="n">
        <f aca="false">Panel!P40-Panel!P39</f>
        <v>-0.00159083199829624</v>
      </c>
    </row>
    <row r="49" customFormat="false" ht="15" hidden="false" customHeight="false" outlineLevel="0" collapsed="false">
      <c r="C49" s="0" t="n">
        <f aca="false">Panel!P44-Panel!P43</f>
        <v>-0.000235086659319705</v>
      </c>
      <c r="D49" s="29" t="n">
        <f aca="false">Panel!P43</f>
        <v>-0.00229898435348908</v>
      </c>
      <c r="E49" s="30" t="n">
        <f aca="false">Panel!P43-Panel!P42</f>
        <v>-0.00158400832797412</v>
      </c>
      <c r="F49" s="30" t="n">
        <f aca="false">Panel!P42-Panel!P41</f>
        <v>-5.95143494450667E-005</v>
      </c>
      <c r="G49" s="30" t="n">
        <f aca="false">Panel!P41-Panel!P40</f>
        <v>-0.000523149462066996</v>
      </c>
    </row>
    <row r="50" customFormat="false" ht="15" hidden="false" customHeight="false" outlineLevel="0" collapsed="false">
      <c r="C50" s="0" t="n">
        <f aca="false">Panel!P45-Panel!P44</f>
        <v>0.000514163593877015</v>
      </c>
      <c r="D50" s="29" t="n">
        <f aca="false">Panel!P44</f>
        <v>-0.00253407101280878</v>
      </c>
      <c r="E50" s="30" t="n">
        <f aca="false">Panel!P44-Panel!P43</f>
        <v>-0.000235086659319705</v>
      </c>
      <c r="F50" s="30" t="n">
        <f aca="false">Panel!P43-Panel!P42</f>
        <v>-0.00158400832797412</v>
      </c>
      <c r="G50" s="30" t="n">
        <f aca="false">Panel!P42-Panel!P41</f>
        <v>-5.95143494450667E-005</v>
      </c>
    </row>
    <row r="51" customFormat="false" ht="15" hidden="false" customHeight="false" outlineLevel="0" collapsed="false">
      <c r="C51" s="0" t="n">
        <f aca="false">Panel!P46-Panel!P45</f>
        <v>-0.000479778703860845</v>
      </c>
      <c r="D51" s="29" t="n">
        <f aca="false">Panel!P45</f>
        <v>-0.00201990741893177</v>
      </c>
      <c r="E51" s="30" t="n">
        <f aca="false">Panel!P45-Panel!P44</f>
        <v>0.000514163593877015</v>
      </c>
      <c r="F51" s="30" t="n">
        <f aca="false">Panel!P44-Panel!P43</f>
        <v>-0.000235086659319705</v>
      </c>
      <c r="G51" s="30" t="n">
        <f aca="false">Panel!P43-Panel!P42</f>
        <v>-0.00158400832797412</v>
      </c>
    </row>
    <row r="52" customFormat="false" ht="15" hidden="false" customHeight="false" outlineLevel="0" collapsed="false">
      <c r="C52" s="0" t="n">
        <f aca="false">Panel!P47-Panel!P46</f>
        <v>0.00532563775306905</v>
      </c>
      <c r="D52" s="29" t="n">
        <f aca="false">Panel!P46</f>
        <v>-0.00249968612279261</v>
      </c>
      <c r="E52" s="30" t="n">
        <f aca="false">Panel!P46-Panel!P45</f>
        <v>-0.000479778703860845</v>
      </c>
      <c r="F52" s="30" t="n">
        <f aca="false">Panel!P45-Panel!P44</f>
        <v>0.000514163593877015</v>
      </c>
      <c r="G52" s="30" t="n">
        <f aca="false">Panel!P44-Panel!P43</f>
        <v>-0.000235086659319705</v>
      </c>
    </row>
    <row r="53" customFormat="false" ht="15" hidden="false" customHeight="false" outlineLevel="0" collapsed="false">
      <c r="C53" s="0" t="n">
        <f aca="false">Panel!P48-Panel!P47</f>
        <v>0.00127326124397698</v>
      </c>
      <c r="D53" s="29" t="n">
        <f aca="false">Panel!P47</f>
        <v>0.00282595163027644</v>
      </c>
      <c r="E53" s="30" t="n">
        <f aca="false">Panel!P47-Panel!P46</f>
        <v>0.00532563775306905</v>
      </c>
      <c r="F53" s="30" t="n">
        <f aca="false">Panel!P46-Panel!P45</f>
        <v>-0.000479778703860845</v>
      </c>
      <c r="G53" s="30" t="n">
        <f aca="false">Panel!P45-Panel!P44</f>
        <v>0.000514163593877015</v>
      </c>
    </row>
    <row r="54" customFormat="false" ht="15" hidden="false" customHeight="false" outlineLevel="0" collapsed="false">
      <c r="C54" s="0" t="n">
        <f aca="false">Panel!P49-Panel!P48</f>
        <v>-0.00181642598050757</v>
      </c>
      <c r="D54" s="29" t="n">
        <f aca="false">Panel!P48</f>
        <v>0.00409921287425341</v>
      </c>
      <c r="E54" s="30" t="n">
        <f aca="false">Panel!P48-Panel!P47</f>
        <v>0.00127326124397698</v>
      </c>
      <c r="F54" s="30" t="n">
        <f aca="false">Panel!P47-Panel!P46</f>
        <v>0.00532563775306905</v>
      </c>
      <c r="G54" s="30" t="n">
        <f aca="false">Panel!P46-Panel!P45</f>
        <v>-0.000479778703860845</v>
      </c>
    </row>
    <row r="55" customFormat="false" ht="15" hidden="false" customHeight="false" outlineLevel="0" collapsed="false">
      <c r="C55" s="0" t="n">
        <f aca="false">Panel!P50-Panel!P49</f>
        <v>0.00123393386351012</v>
      </c>
      <c r="D55" s="29" t="n">
        <f aca="false">Panel!P49</f>
        <v>0.00228278689374584</v>
      </c>
      <c r="E55" s="30" t="n">
        <f aca="false">Panel!P49-Panel!P48</f>
        <v>-0.00181642598050757</v>
      </c>
      <c r="F55" s="30" t="n">
        <f aca="false">Panel!P48-Panel!P47</f>
        <v>0.00127326124397698</v>
      </c>
      <c r="G55" s="30" t="n">
        <f aca="false">Panel!P47-Panel!P46</f>
        <v>0.00532563775306905</v>
      </c>
    </row>
    <row r="56" customFormat="false" ht="15" hidden="false" customHeight="false" outlineLevel="0" collapsed="false">
      <c r="C56" s="0" t="n">
        <f aca="false">Panel!P51-Panel!P50</f>
        <v>-0.00070625605994401</v>
      </c>
      <c r="D56" s="29" t="n">
        <f aca="false">Panel!P50</f>
        <v>0.00351672075725595</v>
      </c>
      <c r="E56" s="30" t="n">
        <f aca="false">Panel!P50-Panel!P49</f>
        <v>0.00123393386351012</v>
      </c>
      <c r="F56" s="30" t="n">
        <f aca="false">Panel!P49-Panel!P48</f>
        <v>-0.00181642598050757</v>
      </c>
      <c r="G56" s="30" t="n">
        <f aca="false">Panel!P48-Panel!P47</f>
        <v>0.00127326124397698</v>
      </c>
    </row>
    <row r="57" customFormat="false" ht="15" hidden="false" customHeight="false" outlineLevel="0" collapsed="false">
      <c r="C57" s="0" t="n">
        <f aca="false">Panel!P52-Panel!P51</f>
        <v>-0.00342279584785921</v>
      </c>
      <c r="D57" s="29" t="n">
        <f aca="false">Panel!P51</f>
        <v>0.00281046469731194</v>
      </c>
      <c r="E57" s="30" t="n">
        <f aca="false">Panel!P51-Panel!P50</f>
        <v>-0.00070625605994401</v>
      </c>
      <c r="F57" s="30" t="n">
        <f aca="false">Panel!P50-Panel!P49</f>
        <v>0.00123393386351012</v>
      </c>
      <c r="G57" s="30" t="n">
        <f aca="false">Panel!P49-Panel!P48</f>
        <v>-0.00181642598050757</v>
      </c>
    </row>
    <row r="58" customFormat="false" ht="15" hidden="false" customHeight="false" outlineLevel="0" collapsed="false">
      <c r="C58" s="0" t="n">
        <f aca="false">Panel!P53-Panel!P52</f>
        <v>0.00274177695750666</v>
      </c>
      <c r="D58" s="29" t="n">
        <f aca="false">Panel!P52</f>
        <v>-0.000612331150547263</v>
      </c>
      <c r="E58" s="30" t="n">
        <f aca="false">Panel!P52-Panel!P51</f>
        <v>-0.00342279584785921</v>
      </c>
      <c r="F58" s="30" t="n">
        <f aca="false">Panel!P51-Panel!P50</f>
        <v>-0.00070625605994401</v>
      </c>
      <c r="G58" s="30" t="n">
        <f aca="false">Panel!P50-Panel!P49</f>
        <v>0.00123393386351012</v>
      </c>
    </row>
    <row r="59" customFormat="false" ht="15" hidden="false" customHeight="false" outlineLevel="0" collapsed="false">
      <c r="C59" s="0" t="n">
        <f aca="false">Panel!P54-Panel!P53</f>
        <v>0.000668622510453076</v>
      </c>
      <c r="D59" s="29" t="n">
        <f aca="false">Panel!P53</f>
        <v>0.0021294458069594</v>
      </c>
      <c r="E59" s="30" t="n">
        <f aca="false">Panel!P53-Panel!P52</f>
        <v>0.00274177695750666</v>
      </c>
      <c r="F59" s="30" t="n">
        <f aca="false">Panel!P52-Panel!P51</f>
        <v>-0.00342279584785921</v>
      </c>
      <c r="G59" s="30" t="n">
        <f aca="false">Panel!P51-Panel!P50</f>
        <v>-0.00070625605994401</v>
      </c>
    </row>
    <row r="60" customFormat="false" ht="15" hidden="false" customHeight="false" outlineLevel="0" collapsed="false">
      <c r="C60" s="0" t="n">
        <f aca="false">Panel!P55-Panel!P54</f>
        <v>-0.00170880196317036</v>
      </c>
      <c r="D60" s="29" t="n">
        <f aca="false">Panel!P54</f>
        <v>0.00279806831741247</v>
      </c>
      <c r="E60" s="30" t="n">
        <f aca="false">Panel!P54-Panel!P53</f>
        <v>0.000668622510453076</v>
      </c>
      <c r="F60" s="30" t="n">
        <f aca="false">Panel!P53-Panel!P52</f>
        <v>0.00274177695750666</v>
      </c>
      <c r="G60" s="30" t="n">
        <f aca="false">Panel!P52-Panel!P51</f>
        <v>-0.00342279584785921</v>
      </c>
    </row>
    <row r="61" customFormat="false" ht="15" hidden="false" customHeight="false" outlineLevel="0" collapsed="false">
      <c r="C61" s="0" t="n">
        <f aca="false">Panel!P56-Panel!P55</f>
        <v>0.00033242821666768</v>
      </c>
      <c r="D61" s="29" t="n">
        <f aca="false">Panel!P55</f>
        <v>0.00108926635424211</v>
      </c>
      <c r="E61" s="30" t="n">
        <f aca="false">Panel!P55-Panel!P54</f>
        <v>-0.00170880196317036</v>
      </c>
      <c r="F61" s="30" t="n">
        <f aca="false">Panel!P54-Panel!P53</f>
        <v>0.000668622510453076</v>
      </c>
      <c r="G61" s="30" t="n">
        <f aca="false">Panel!P53-Panel!P52</f>
        <v>0.00274177695750666</v>
      </c>
    </row>
    <row r="62" customFormat="false" ht="15" hidden="false" customHeight="false" outlineLevel="0" collapsed="false">
      <c r="C62" s="0" t="n">
        <f aca="false">Panel!P57-Panel!P56</f>
        <v>0.000655591817594114</v>
      </c>
      <c r="D62" s="29" t="n">
        <f aca="false">Panel!P56</f>
        <v>0.00142169457090979</v>
      </c>
      <c r="E62" s="30" t="n">
        <f aca="false">Panel!P56-Panel!P55</f>
        <v>0.00033242821666768</v>
      </c>
      <c r="F62" s="30" t="n">
        <f aca="false">Panel!P55-Panel!P54</f>
        <v>-0.00170880196317036</v>
      </c>
      <c r="G62" s="30" t="n">
        <f aca="false">Panel!P54-Panel!P53</f>
        <v>0.000668622510453076</v>
      </c>
    </row>
    <row r="63" customFormat="false" ht="15" hidden="false" customHeight="false" outlineLevel="0" collapsed="false">
      <c r="C63" s="0" t="n">
        <f aca="false">Panel!P58-Panel!P57</f>
        <v>-0.000994630432819221</v>
      </c>
      <c r="D63" s="29" t="n">
        <f aca="false">Panel!P57</f>
        <v>0.00207728638850391</v>
      </c>
      <c r="E63" s="30" t="n">
        <f aca="false">Panel!P57-Panel!P56</f>
        <v>0.000655591817594114</v>
      </c>
      <c r="F63" s="30" t="n">
        <f aca="false">Panel!P56-Panel!P55</f>
        <v>0.00033242821666768</v>
      </c>
      <c r="G63" s="30" t="n">
        <f aca="false">Panel!P55-Panel!P54</f>
        <v>-0.00170880196317036</v>
      </c>
    </row>
    <row r="64" customFormat="false" ht="15" hidden="false" customHeight="false" outlineLevel="0" collapsed="false">
      <c r="C64" s="0" t="n">
        <f aca="false">Panel!P59-Panel!P58</f>
        <v>0.00024793120136124</v>
      </c>
      <c r="D64" s="29" t="n">
        <f aca="false">Panel!P58</f>
        <v>0.00108265595568469</v>
      </c>
      <c r="E64" s="30" t="n">
        <f aca="false">Panel!P58-Panel!P57</f>
        <v>-0.000994630432819221</v>
      </c>
      <c r="F64" s="30" t="n">
        <f aca="false">Panel!P57-Panel!P56</f>
        <v>0.000655591817594114</v>
      </c>
      <c r="G64" s="30" t="n">
        <f aca="false">Panel!P56-Panel!P55</f>
        <v>0.00033242821666768</v>
      </c>
    </row>
    <row r="65" customFormat="false" ht="15" hidden="false" customHeight="false" outlineLevel="0" collapsed="false">
      <c r="C65" s="0" t="n">
        <f aca="false">Panel!P60-Panel!P59</f>
        <v>0.000677746351113839</v>
      </c>
      <c r="D65" s="29" t="n">
        <f aca="false">Panel!P59</f>
        <v>0.00133058715704593</v>
      </c>
      <c r="E65" s="30" t="n">
        <f aca="false">Panel!P59-Panel!P58</f>
        <v>0.00024793120136124</v>
      </c>
      <c r="F65" s="30" t="n">
        <f aca="false">Panel!P58-Panel!P57</f>
        <v>-0.000994630432819221</v>
      </c>
      <c r="G65" s="30" t="n">
        <f aca="false">Panel!P57-Panel!P56</f>
        <v>0.000655591817594114</v>
      </c>
    </row>
    <row r="66" customFormat="false" ht="15" hidden="false" customHeight="false" outlineLevel="0" collapsed="false">
      <c r="C66" s="0" t="n">
        <f aca="false">Panel!P61-Panel!P60</f>
        <v>0.000898132679665764</v>
      </c>
      <c r="D66" s="29" t="n">
        <f aca="false">Panel!P60</f>
        <v>0.00200833350815977</v>
      </c>
      <c r="E66" s="30" t="n">
        <f aca="false">Panel!P60-Panel!P59</f>
        <v>0.000677746351113839</v>
      </c>
      <c r="F66" s="30" t="n">
        <f aca="false">Panel!P59-Panel!P58</f>
        <v>0.00024793120136124</v>
      </c>
      <c r="G66" s="30" t="n">
        <f aca="false">Panel!P58-Panel!P57</f>
        <v>-0.000994630432819221</v>
      </c>
    </row>
    <row r="67" customFormat="false" ht="15" hidden="false" customHeight="false" outlineLevel="0" collapsed="false">
      <c r="C67" s="0" t="n">
        <f aca="false">Panel!P62-Panel!P61</f>
        <v>-0.00257699636447306</v>
      </c>
      <c r="D67" s="29" t="n">
        <f aca="false">Panel!P61</f>
        <v>0.00290646618782553</v>
      </c>
      <c r="E67" s="30" t="n">
        <f aca="false">Panel!P61-Panel!P60</f>
        <v>0.000898132679665764</v>
      </c>
      <c r="F67" s="30" t="n">
        <f aca="false">Panel!P60-Panel!P59</f>
        <v>0.000677746351113839</v>
      </c>
      <c r="G67" s="30" t="n">
        <f aca="false">Panel!P59-Panel!P58</f>
        <v>0.00024793120136124</v>
      </c>
    </row>
    <row r="68" customFormat="false" ht="15" hidden="false" customHeight="false" outlineLevel="0" collapsed="false">
      <c r="C68" s="0" t="n">
        <f aca="false">Panel!P63-Panel!P62</f>
        <v>-0.002127470831363</v>
      </c>
      <c r="D68" s="29" t="n">
        <f aca="false">Panel!P62</f>
        <v>0.000329469823352468</v>
      </c>
      <c r="E68" s="30" t="n">
        <f aca="false">Panel!P62-Panel!P61</f>
        <v>-0.00257699636447306</v>
      </c>
      <c r="F68" s="30" t="n">
        <f aca="false">Panel!P61-Panel!P60</f>
        <v>0.000898132679665764</v>
      </c>
      <c r="G68" s="30" t="n">
        <f aca="false">Panel!P60-Panel!P59</f>
        <v>0.000677746351113839</v>
      </c>
    </row>
    <row r="69" customFormat="false" ht="15" hidden="false" customHeight="false" outlineLevel="0" collapsed="false">
      <c r="C69" s="0" t="n">
        <f aca="false">Panel!P64-Panel!P63</f>
        <v>0.000528388996073659</v>
      </c>
      <c r="D69" s="29" t="n">
        <f aca="false">Panel!P63</f>
        <v>-0.00179800100801053</v>
      </c>
      <c r="E69" s="30" t="n">
        <f aca="false">Panel!P63-Panel!P62</f>
        <v>-0.002127470831363</v>
      </c>
      <c r="F69" s="30" t="n">
        <f aca="false">Panel!P62-Panel!P61</f>
        <v>-0.00257699636447306</v>
      </c>
      <c r="G69" s="30" t="n">
        <f aca="false">Panel!P61-Panel!P60</f>
        <v>0.000898132679665764</v>
      </c>
    </row>
    <row r="70" customFormat="false" ht="15" hidden="false" customHeight="false" outlineLevel="0" collapsed="false">
      <c r="C70" s="0" t="n">
        <f aca="false">Panel!P65-Panel!P64</f>
        <v>-0.000567537918223948</v>
      </c>
      <c r="D70" s="29" t="n">
        <f aca="false">Panel!P64</f>
        <v>-0.00126961201193687</v>
      </c>
      <c r="E70" s="30" t="n">
        <f aca="false">Panel!P64-Panel!P63</f>
        <v>0.000528388996073659</v>
      </c>
      <c r="F70" s="30" t="n">
        <f aca="false">Panel!P63-Panel!P62</f>
        <v>-0.002127470831363</v>
      </c>
      <c r="G70" s="30" t="n">
        <f aca="false">Panel!P62-Panel!P61</f>
        <v>-0.00257699636447306</v>
      </c>
    </row>
    <row r="71" customFormat="false" ht="15" hidden="false" customHeight="false" outlineLevel="0" collapsed="false">
      <c r="C71" s="0" t="n">
        <f aca="false">Panel!P66-Panel!P65</f>
        <v>-0.00248545770247688</v>
      </c>
      <c r="D71" s="29" t="n">
        <f aca="false">Panel!P65</f>
        <v>-0.00183714993016082</v>
      </c>
      <c r="E71" s="30" t="n">
        <f aca="false">Panel!P65-Panel!P64</f>
        <v>-0.000567537918223948</v>
      </c>
      <c r="F71" s="30" t="n">
        <f aca="false">Panel!P64-Panel!P63</f>
        <v>0.000528388996073659</v>
      </c>
      <c r="G71" s="30" t="n">
        <f aca="false">Panel!P63-Panel!P62</f>
        <v>-0.002127470831363</v>
      </c>
    </row>
    <row r="72" customFormat="false" ht="15" hidden="false" customHeight="false" outlineLevel="0" collapsed="false">
      <c r="C72" s="0" t="n">
        <f aca="false">Panel!P67-Panel!P66</f>
        <v>0.00664571835471151</v>
      </c>
      <c r="D72" s="29" t="n">
        <f aca="false">Panel!P66</f>
        <v>-0.0043226076326377</v>
      </c>
      <c r="E72" s="30" t="n">
        <f aca="false">Panel!P66-Panel!P65</f>
        <v>-0.00248545770247688</v>
      </c>
      <c r="F72" s="30" t="n">
        <f aca="false">Panel!P65-Panel!P64</f>
        <v>-0.000567537918223948</v>
      </c>
      <c r="G72" s="30" t="n">
        <f aca="false">Panel!P64-Panel!P63</f>
        <v>0.000528388996073659</v>
      </c>
    </row>
    <row r="73" customFormat="false" ht="15" hidden="false" customHeight="false" outlineLevel="0" collapsed="false">
      <c r="C73" s="0" t="n">
        <f aca="false">Panel!P68-Panel!P67</f>
        <v>0.000146271101456819</v>
      </c>
      <c r="D73" s="29" t="n">
        <f aca="false">Panel!P67</f>
        <v>0.00232311072207381</v>
      </c>
      <c r="E73" s="30" t="n">
        <f aca="false">Panel!P67-Panel!P66</f>
        <v>0.00664571835471151</v>
      </c>
      <c r="F73" s="30" t="n">
        <f aca="false">Panel!P66-Panel!P65</f>
        <v>-0.00248545770247688</v>
      </c>
      <c r="G73" s="30" t="n">
        <f aca="false">Panel!P65-Panel!P64</f>
        <v>-0.000567537918223948</v>
      </c>
    </row>
    <row r="74" customFormat="false" ht="15" hidden="false" customHeight="false" outlineLevel="0" collapsed="false">
      <c r="C74" s="0" t="n">
        <f aca="false">Panel!P69-Panel!P68</f>
        <v>-0.00013200746675146</v>
      </c>
      <c r="D74" s="29" t="n">
        <f aca="false">Panel!P68</f>
        <v>0.00246938182353063</v>
      </c>
      <c r="E74" s="30" t="n">
        <f aca="false">Panel!P68-Panel!P67</f>
        <v>0.000146271101456819</v>
      </c>
      <c r="F74" s="30" t="n">
        <f aca="false">Panel!P67-Panel!P66</f>
        <v>0.00664571835471151</v>
      </c>
      <c r="G74" s="30" t="n">
        <f aca="false">Panel!P66-Panel!P65</f>
        <v>-0.00248545770247688</v>
      </c>
    </row>
    <row r="75" customFormat="false" ht="15" hidden="false" customHeight="false" outlineLevel="0" collapsed="false">
      <c r="C75" s="0" t="n">
        <f aca="false">Panel!P70-Panel!P69</f>
        <v>-0.00261141388944175</v>
      </c>
      <c r="D75" s="29" t="n">
        <f aca="false">Panel!P69</f>
        <v>0.00233737435677917</v>
      </c>
      <c r="E75" s="30" t="n">
        <f aca="false">Panel!P69-Panel!P68</f>
        <v>-0.00013200746675146</v>
      </c>
      <c r="F75" s="30" t="n">
        <f aca="false">Panel!P68-Panel!P67</f>
        <v>0.000146271101456819</v>
      </c>
      <c r="G75" s="30" t="n">
        <f aca="false">Panel!P67-Panel!P66</f>
        <v>0.00664571835471151</v>
      </c>
    </row>
    <row r="76" customFormat="false" ht="15" hidden="false" customHeight="false" outlineLevel="0" collapsed="false">
      <c r="C76" s="0" t="n">
        <f aca="false">Panel!P71-Panel!P70</f>
        <v>0.000403668220556597</v>
      </c>
      <c r="D76" s="29" t="n">
        <f aca="false">Panel!P70</f>
        <v>-0.000274039532662584</v>
      </c>
      <c r="E76" s="30" t="n">
        <f aca="false">Panel!P70-Panel!P69</f>
        <v>-0.00261141388944175</v>
      </c>
      <c r="F76" s="30" t="n">
        <f aca="false">Panel!P69-Panel!P68</f>
        <v>-0.00013200746675146</v>
      </c>
      <c r="G76" s="30" t="n">
        <f aca="false">Panel!P68-Panel!P67</f>
        <v>0.000146271101456819</v>
      </c>
    </row>
    <row r="77" customFormat="false" ht="15" hidden="false" customHeight="false" outlineLevel="0" collapsed="false">
      <c r="C77" s="0" t="n">
        <f aca="false">Panel!P72-Panel!P71</f>
        <v>-0.000516584506815576</v>
      </c>
      <c r="D77" s="29" t="n">
        <f aca="false">Panel!P71</f>
        <v>0.000129628687894012</v>
      </c>
      <c r="E77" s="30" t="n">
        <f aca="false">Panel!P71-Panel!P70</f>
        <v>0.000403668220556597</v>
      </c>
      <c r="F77" s="30" t="n">
        <f aca="false">Panel!P70-Panel!P69</f>
        <v>-0.00261141388944175</v>
      </c>
      <c r="G77" s="30" t="n">
        <f aca="false">Panel!P69-Panel!P68</f>
        <v>-0.00013200746675146</v>
      </c>
    </row>
    <row r="78" customFormat="false" ht="15" hidden="false" customHeight="false" outlineLevel="0" collapsed="false">
      <c r="C78" s="0" t="n">
        <f aca="false">Panel!P73-Panel!P72</f>
        <v>0.000802567260572928</v>
      </c>
      <c r="D78" s="29" t="n">
        <f aca="false">Panel!P72</f>
        <v>-0.000386955818921564</v>
      </c>
      <c r="E78" s="30" t="n">
        <f aca="false">Panel!P72-Panel!P71</f>
        <v>-0.000516584506815576</v>
      </c>
      <c r="F78" s="30" t="n">
        <f aca="false">Panel!P71-Panel!P70</f>
        <v>0.000403668220556597</v>
      </c>
      <c r="G78" s="30" t="n">
        <f aca="false">Panel!P70-Panel!P69</f>
        <v>-0.00261141388944175</v>
      </c>
    </row>
    <row r="79" customFormat="false" ht="15" hidden="false" customHeight="false" outlineLevel="0" collapsed="false">
      <c r="C79" s="0" t="n">
        <f aca="false">Panel!P74-Panel!P73</f>
        <v>-0.00239373601181825</v>
      </c>
      <c r="D79" s="29" t="n">
        <f aca="false">Panel!P73</f>
        <v>0.000415611441651365</v>
      </c>
      <c r="E79" s="30" t="n">
        <f aca="false">Panel!P73-Panel!P72</f>
        <v>0.000802567260572928</v>
      </c>
      <c r="F79" s="30" t="n">
        <f aca="false">Panel!P72-Panel!P71</f>
        <v>-0.000516584506815576</v>
      </c>
      <c r="G79" s="30" t="n">
        <f aca="false">Panel!P71-Panel!P70</f>
        <v>0.000403668220556597</v>
      </c>
    </row>
    <row r="80" customFormat="false" ht="15" hidden="false" customHeight="false" outlineLevel="0" collapsed="false">
      <c r="C80" s="0" t="n">
        <f aca="false">Panel!P75-Panel!P74</f>
        <v>0.00163719779324012</v>
      </c>
      <c r="D80" s="29" t="n">
        <f aca="false">Panel!P74</f>
        <v>-0.00197812457016688</v>
      </c>
      <c r="E80" s="30" t="n">
        <f aca="false">Panel!P74-Panel!P73</f>
        <v>-0.00239373601181825</v>
      </c>
      <c r="F80" s="30" t="n">
        <f aca="false">Panel!P73-Panel!P72</f>
        <v>0.000802567260572928</v>
      </c>
      <c r="G80" s="30" t="n">
        <f aca="false">Panel!P72-Panel!P71</f>
        <v>-0.000516584506815576</v>
      </c>
    </row>
    <row r="81" customFormat="false" ht="15" hidden="false" customHeight="false" outlineLevel="0" collapsed="false">
      <c r="C81" s="0" t="n">
        <f aca="false">Panel!P76-Panel!P75</f>
        <v>-0.00019634848758443</v>
      </c>
      <c r="D81" s="29" t="n">
        <f aca="false">Panel!P75</f>
        <v>-0.000340926776926764</v>
      </c>
      <c r="E81" s="30" t="n">
        <f aca="false">Panel!P75-Panel!P74</f>
        <v>0.00163719779324012</v>
      </c>
      <c r="F81" s="30" t="n">
        <f aca="false">Panel!P74-Panel!P73</f>
        <v>-0.00239373601181825</v>
      </c>
      <c r="G81" s="30" t="n">
        <f aca="false">Panel!P73-Panel!P72</f>
        <v>0.000802567260572928</v>
      </c>
    </row>
    <row r="82" customFormat="false" ht="15" hidden="false" customHeight="false" outlineLevel="0" collapsed="false">
      <c r="C82" s="0" t="n">
        <f aca="false">Panel!P77-Panel!P76</f>
        <v>-0.00106783362472562</v>
      </c>
      <c r="D82" s="29" t="n">
        <f aca="false">Panel!P76</f>
        <v>-0.000537275264511195</v>
      </c>
      <c r="E82" s="30" t="n">
        <f aca="false">Panel!P76-Panel!P75</f>
        <v>-0.00019634848758443</v>
      </c>
      <c r="F82" s="30" t="n">
        <f aca="false">Panel!P75-Panel!P74</f>
        <v>0.00163719779324012</v>
      </c>
      <c r="G82" s="30" t="n">
        <f aca="false">Panel!P74-Panel!P73</f>
        <v>-0.00239373601181825</v>
      </c>
    </row>
    <row r="83" customFormat="false" ht="15" hidden="false" customHeight="false" outlineLevel="0" collapsed="false">
      <c r="C83" s="0" t="n">
        <f aca="false">Panel!P78-Panel!P77</f>
        <v>-0.00136443959798349</v>
      </c>
      <c r="D83" s="29" t="n">
        <f aca="false">Panel!P77</f>
        <v>-0.00160510888923682</v>
      </c>
      <c r="E83" s="30" t="n">
        <f aca="false">Panel!P77-Panel!P76</f>
        <v>-0.00106783362472562</v>
      </c>
      <c r="F83" s="30" t="n">
        <f aca="false">Panel!P76-Panel!P75</f>
        <v>-0.00019634848758443</v>
      </c>
      <c r="G83" s="30" t="n">
        <f aca="false">Panel!P75-Panel!P74</f>
        <v>0.00163719779324012</v>
      </c>
    </row>
    <row r="84" customFormat="false" ht="15" hidden="false" customHeight="false" outlineLevel="0" collapsed="false">
      <c r="C84" s="0" t="n">
        <f aca="false">Panel!P79-Panel!P78</f>
        <v>-0.00081971839557049</v>
      </c>
      <c r="D84" s="29" t="n">
        <f aca="false">Panel!P78</f>
        <v>-0.00296954848722031</v>
      </c>
      <c r="E84" s="30" t="n">
        <f aca="false">Panel!P78-Panel!P77</f>
        <v>-0.00136443959798349</v>
      </c>
      <c r="F84" s="30" t="n">
        <f aca="false">Panel!P77-Panel!P76</f>
        <v>-0.00106783362472562</v>
      </c>
      <c r="G84" s="30" t="n">
        <f aca="false">Panel!P76-Panel!P75</f>
        <v>-0.00019634848758443</v>
      </c>
    </row>
    <row r="85" customFormat="false" ht="15" hidden="false" customHeight="false" outlineLevel="0" collapsed="false">
      <c r="C85" s="0" t="n">
        <f aca="false">Panel!P80-Panel!P79</f>
        <v>9.344667662603E-005</v>
      </c>
      <c r="D85" s="29" t="n">
        <f aca="false">Panel!P79</f>
        <v>-0.0037892668827908</v>
      </c>
      <c r="E85" s="30" t="n">
        <f aca="false">Panel!P79-Panel!P78</f>
        <v>-0.00081971839557049</v>
      </c>
      <c r="F85" s="30" t="n">
        <f aca="false">Panel!P78-Panel!P77</f>
        <v>-0.00136443959798349</v>
      </c>
      <c r="G85" s="30" t="n">
        <f aca="false">Panel!P77-Panel!P76</f>
        <v>-0.00106783362472562</v>
      </c>
    </row>
    <row r="86" customFormat="false" ht="15" hidden="false" customHeight="false" outlineLevel="0" collapsed="false">
      <c r="C86" s="0" t="n">
        <f aca="false">Panel!P81-Panel!P80</f>
        <v>-0.000628223839489905</v>
      </c>
      <c r="D86" s="29" t="n">
        <f aca="false">Panel!P80</f>
        <v>-0.00369582020616477</v>
      </c>
      <c r="E86" s="30" t="n">
        <f aca="false">Panel!P80-Panel!P79</f>
        <v>9.344667662603E-005</v>
      </c>
      <c r="F86" s="30" t="n">
        <f aca="false">Panel!P79-Panel!P78</f>
        <v>-0.00081971839557049</v>
      </c>
      <c r="G86" s="30" t="n">
        <f aca="false">Panel!P78-Panel!P77</f>
        <v>-0.00136443959798349</v>
      </c>
    </row>
    <row r="87" customFormat="false" ht="15" hidden="false" customHeight="false" outlineLevel="0" collapsed="false">
      <c r="C87" s="0" t="n">
        <f aca="false">Panel!P82-Panel!P81</f>
        <v>0.00276400236518626</v>
      </c>
      <c r="D87" s="29" t="n">
        <f aca="false">Panel!P81</f>
        <v>-0.00432404404565467</v>
      </c>
      <c r="E87" s="30" t="n">
        <f aca="false">Panel!P81-Panel!P80</f>
        <v>-0.000628223839489905</v>
      </c>
      <c r="F87" s="30" t="n">
        <f aca="false">Panel!P80-Panel!P79</f>
        <v>9.344667662603E-005</v>
      </c>
      <c r="G87" s="30" t="n">
        <f aca="false">Panel!P79-Panel!P78</f>
        <v>-0.00081971839557049</v>
      </c>
    </row>
    <row r="88" customFormat="false" ht="15" hidden="false" customHeight="false" outlineLevel="0" collapsed="false">
      <c r="C88" s="0" t="n">
        <f aca="false">Panel!P83-Panel!P82</f>
        <v>-0.00189696139922724</v>
      </c>
      <c r="D88" s="29" t="n">
        <f aca="false">Panel!P82</f>
        <v>-0.00156004168046842</v>
      </c>
      <c r="E88" s="30" t="n">
        <f aca="false">Panel!P82-Panel!P81</f>
        <v>0.00276400236518626</v>
      </c>
      <c r="F88" s="30" t="n">
        <f aca="false">Panel!P81-Panel!P80</f>
        <v>-0.000628223839489905</v>
      </c>
      <c r="G88" s="30" t="n">
        <f aca="false">Panel!P80-Panel!P79</f>
        <v>9.344667662603E-005</v>
      </c>
    </row>
    <row r="89" customFormat="false" ht="15" hidden="false" customHeight="false" outlineLevel="0" collapsed="false">
      <c r="C89" s="0" t="n">
        <f aca="false">Panel!P84-Panel!P83</f>
        <v>-0.000704496554034151</v>
      </c>
      <c r="D89" s="29" t="n">
        <f aca="false">Panel!P83</f>
        <v>-0.00345700307969565</v>
      </c>
      <c r="E89" s="30" t="n">
        <f aca="false">Panel!P83-Panel!P82</f>
        <v>-0.00189696139922724</v>
      </c>
      <c r="F89" s="30" t="n">
        <f aca="false">Panel!P82-Panel!P81</f>
        <v>0.00276400236518626</v>
      </c>
      <c r="G89" s="30" t="n">
        <f aca="false">Panel!P81-Panel!P80</f>
        <v>-0.000628223839489905</v>
      </c>
    </row>
    <row r="90" customFormat="false" ht="15" hidden="false" customHeight="false" outlineLevel="0" collapsed="false">
      <c r="C90" s="0" t="n">
        <f aca="false">Panel!P85-Panel!P84</f>
        <v>0.000593271003053175</v>
      </c>
      <c r="D90" s="29" t="n">
        <f aca="false">Panel!P84</f>
        <v>-0.0041614996337298</v>
      </c>
      <c r="E90" s="30" t="n">
        <f aca="false">Panel!P84-Panel!P83</f>
        <v>-0.000704496554034151</v>
      </c>
      <c r="F90" s="30" t="n">
        <f aca="false">Panel!P83-Panel!P82</f>
        <v>-0.00189696139922724</v>
      </c>
      <c r="G90" s="30" t="n">
        <f aca="false">Panel!P82-Panel!P81</f>
        <v>0.00276400236518626</v>
      </c>
    </row>
    <row r="91" customFormat="false" ht="15" hidden="false" customHeight="false" outlineLevel="0" collapsed="false">
      <c r="C91" s="0" t="n">
        <f aca="false">Panel!P86-Panel!P85</f>
        <v>-0.00807579738310515</v>
      </c>
      <c r="D91" s="29" t="n">
        <f aca="false">Panel!P85</f>
        <v>-0.00356822863067663</v>
      </c>
      <c r="E91" s="30" t="n">
        <f aca="false">Panel!P85-Panel!P84</f>
        <v>0.000593271003053175</v>
      </c>
      <c r="F91" s="30" t="n">
        <f aca="false">Panel!P84-Panel!P83</f>
        <v>-0.000704496554034151</v>
      </c>
      <c r="G91" s="30" t="n">
        <f aca="false">Panel!P83-Panel!P82</f>
        <v>-0.00189696139922724</v>
      </c>
    </row>
    <row r="92" customFormat="false" ht="15" hidden="false" customHeight="false" outlineLevel="0" collapsed="false">
      <c r="C92" s="0" t="n">
        <f aca="false">Panel!P87-Panel!P86</f>
        <v>0.00781906553923761</v>
      </c>
      <c r="D92" s="29" t="n">
        <f aca="false">Panel!P86</f>
        <v>-0.0116440260137818</v>
      </c>
      <c r="E92" s="30" t="n">
        <f aca="false">Panel!P86-Panel!P85</f>
        <v>-0.00807579738310515</v>
      </c>
      <c r="F92" s="30" t="n">
        <f aca="false">Panel!P85-Panel!P84</f>
        <v>0.000593271003053175</v>
      </c>
      <c r="G92" s="30" t="n">
        <f aca="false">Panel!P84-Panel!P83</f>
        <v>-0.000704496554034151</v>
      </c>
    </row>
    <row r="93" customFormat="false" ht="15" hidden="false" customHeight="false" outlineLevel="0" collapsed="false">
      <c r="C93" s="0" t="n">
        <f aca="false">Panel!P88-Panel!P87</f>
        <v>-0.000937378163495595</v>
      </c>
      <c r="D93" s="29" t="n">
        <f aca="false">Panel!P87</f>
        <v>-0.00382496047454417</v>
      </c>
      <c r="E93" s="30" t="n">
        <f aca="false">Panel!P87-Panel!P86</f>
        <v>0.00781906553923761</v>
      </c>
      <c r="F93" s="30" t="n">
        <f aca="false">Panel!P86-Panel!P85</f>
        <v>-0.00807579738310515</v>
      </c>
      <c r="G93" s="30" t="n">
        <f aca="false">Panel!P85-Panel!P84</f>
        <v>0.000593271003053175</v>
      </c>
    </row>
    <row r="94" customFormat="false" ht="15" hidden="false" customHeight="false" outlineLevel="0" collapsed="false">
      <c r="C94" s="0" t="n">
        <f aca="false">Panel!P89-Panel!P88</f>
        <v>-0.00197032337090519</v>
      </c>
      <c r="D94" s="29" t="n">
        <f aca="false">Panel!P88</f>
        <v>-0.00476233863803977</v>
      </c>
      <c r="E94" s="30" t="n">
        <f aca="false">Panel!P88-Panel!P87</f>
        <v>-0.000937378163495595</v>
      </c>
      <c r="F94" s="30" t="n">
        <f aca="false">Panel!P87-Panel!P86</f>
        <v>0.00781906553923761</v>
      </c>
      <c r="G94" s="30" t="n">
        <f aca="false">Panel!P86-Panel!P85</f>
        <v>-0.00807579738310515</v>
      </c>
    </row>
    <row r="95" customFormat="false" ht="15" hidden="false" customHeight="false" outlineLevel="0" collapsed="false">
      <c r="C95" s="0" t="n">
        <f aca="false">Panel!P90-Panel!P89</f>
        <v>-0.0020963354638166</v>
      </c>
      <c r="D95" s="29" t="n">
        <f aca="false">Panel!P89</f>
        <v>-0.00673266200894496</v>
      </c>
      <c r="E95" s="30" t="n">
        <f aca="false">Panel!P89-Panel!P88</f>
        <v>-0.00197032337090519</v>
      </c>
      <c r="F95" s="30" t="n">
        <f aca="false">Panel!P88-Panel!P87</f>
        <v>-0.000937378163495595</v>
      </c>
      <c r="G95" s="30" t="n">
        <f aca="false">Panel!P87-Panel!P86</f>
        <v>0.00781906553923761</v>
      </c>
    </row>
    <row r="96" customFormat="false" ht="15" hidden="false" customHeight="false" outlineLevel="0" collapsed="false">
      <c r="C96" s="0" t="n">
        <f aca="false">Panel!P91-Panel!P90</f>
        <v>0.00858389409562577</v>
      </c>
      <c r="D96" s="29" t="n">
        <f aca="false">Panel!P90</f>
        <v>-0.00882899747276156</v>
      </c>
      <c r="E96" s="30" t="n">
        <f aca="false">Panel!P90-Panel!P89</f>
        <v>-0.0020963354638166</v>
      </c>
      <c r="F96" s="30" t="n">
        <f aca="false">Panel!P89-Panel!P88</f>
        <v>-0.00197032337090519</v>
      </c>
      <c r="G96" s="30" t="n">
        <f aca="false">Panel!P88-Panel!P87</f>
        <v>-0.000937378163495595</v>
      </c>
    </row>
    <row r="97" customFormat="false" ht="15" hidden="false" customHeight="false" outlineLevel="0" collapsed="false">
      <c r="C97" s="0" t="n">
        <f aca="false">Panel!P92-Panel!P91</f>
        <v>-0.000721362756049615</v>
      </c>
      <c r="D97" s="29" t="n">
        <f aca="false">Panel!P91</f>
        <v>-0.000245103377135791</v>
      </c>
      <c r="E97" s="30" t="n">
        <f aca="false">Panel!P91-Panel!P90</f>
        <v>0.00858389409562577</v>
      </c>
      <c r="F97" s="30" t="n">
        <f aca="false">Panel!P90-Panel!P89</f>
        <v>-0.0020963354638166</v>
      </c>
      <c r="G97" s="30" t="n">
        <f aca="false">Panel!P89-Panel!P88</f>
        <v>-0.00197032337090519</v>
      </c>
    </row>
    <row r="98" customFormat="false" ht="15" hidden="false" customHeight="false" outlineLevel="0" collapsed="false">
      <c r="C98" s="0" t="n">
        <f aca="false">Panel!P93-Panel!P92</f>
        <v>0.000557881460865772</v>
      </c>
      <c r="D98" s="29" t="n">
        <f aca="false">Panel!P92</f>
        <v>-0.000966466133185406</v>
      </c>
      <c r="E98" s="30" t="n">
        <f aca="false">Panel!P92-Panel!P91</f>
        <v>-0.000721362756049615</v>
      </c>
      <c r="F98" s="30" t="n">
        <f aca="false">Panel!P91-Panel!P90</f>
        <v>0.00858389409562577</v>
      </c>
      <c r="G98" s="30" t="n">
        <f aca="false">Panel!P90-Panel!P89</f>
        <v>-0.0020963354638166</v>
      </c>
    </row>
    <row r="99" customFormat="false" ht="15" hidden="false" customHeight="false" outlineLevel="0" collapsed="false">
      <c r="C99" s="0" t="n">
        <f aca="false">Panel!P94-Panel!P93</f>
        <v>-0.000523714974649536</v>
      </c>
      <c r="D99" s="29" t="n">
        <f aca="false">Panel!P93</f>
        <v>-0.000408584672319634</v>
      </c>
      <c r="E99" s="30" t="n">
        <f aca="false">Panel!P93-Panel!P92</f>
        <v>0.000557881460865772</v>
      </c>
      <c r="F99" s="30" t="n">
        <f aca="false">Panel!P92-Panel!P91</f>
        <v>-0.000721362756049615</v>
      </c>
      <c r="G99" s="30" t="n">
        <f aca="false">Panel!P91-Panel!P90</f>
        <v>0.00858389409562577</v>
      </c>
    </row>
    <row r="100" customFormat="false" ht="15" hidden="false" customHeight="false" outlineLevel="0" collapsed="false">
      <c r="C100" s="0" t="n">
        <f aca="false">Panel!P95-Panel!P94</f>
        <v>0.000360276277719507</v>
      </c>
      <c r="D100" s="29" t="n">
        <f aca="false">Panel!P94</f>
        <v>-0.00093229964696917</v>
      </c>
      <c r="E100" s="30" t="n">
        <f aca="false">Panel!P94-Panel!P93</f>
        <v>-0.000523714974649536</v>
      </c>
      <c r="F100" s="30" t="n">
        <f aca="false">Panel!P93-Panel!P92</f>
        <v>0.000557881460865772</v>
      </c>
      <c r="G100" s="30" t="n">
        <f aca="false">Panel!P92-Panel!P91</f>
        <v>-0.000721362756049615</v>
      </c>
    </row>
    <row r="101" customFormat="false" ht="15" hidden="false" customHeight="false" outlineLevel="0" collapsed="false">
      <c r="C101" s="0" t="n">
        <f aca="false">Panel!P96-Panel!P95</f>
        <v>0.0010246113945751</v>
      </c>
      <c r="D101" s="29" t="n">
        <f aca="false">Panel!P95</f>
        <v>-0.000572023369249664</v>
      </c>
      <c r="E101" s="30" t="n">
        <f aca="false">Panel!P95-Panel!P94</f>
        <v>0.000360276277719507</v>
      </c>
      <c r="F101" s="30" t="n">
        <f aca="false">Panel!P94-Panel!P93</f>
        <v>-0.000523714974649536</v>
      </c>
      <c r="G101" s="30" t="n">
        <f aca="false">Panel!P93-Panel!P92</f>
        <v>0.000557881460865772</v>
      </c>
    </row>
    <row r="102" customFormat="false" ht="15" hidden="false" customHeight="false" outlineLevel="0" collapsed="false">
      <c r="C102" s="0" t="n">
        <f aca="false">Panel!P97-Panel!P96</f>
        <v>0.000776128180088875</v>
      </c>
      <c r="D102" s="29" t="n">
        <f aca="false">Panel!P96</f>
        <v>0.00045258802532544</v>
      </c>
      <c r="E102" s="30" t="n">
        <f aca="false">Panel!P96-Panel!P95</f>
        <v>0.0010246113945751</v>
      </c>
      <c r="F102" s="30" t="n">
        <f aca="false">Panel!P95-Panel!P94</f>
        <v>0.000360276277719507</v>
      </c>
      <c r="G102" s="30" t="n">
        <f aca="false">Panel!P94-Panel!P93</f>
        <v>-0.000523714974649536</v>
      </c>
    </row>
    <row r="103" customFormat="false" ht="15" hidden="false" customHeight="false" outlineLevel="0" collapsed="false">
      <c r="C103" s="0" t="n">
        <f aca="false">Panel!P98-Panel!P97</f>
        <v>0.000847306435282746</v>
      </c>
      <c r="D103" s="29" t="n">
        <f aca="false">Panel!P97</f>
        <v>0.00122871620541432</v>
      </c>
      <c r="E103" s="30" t="n">
        <f aca="false">Panel!P97-Panel!P96</f>
        <v>0.000776128180088875</v>
      </c>
      <c r="F103" s="30" t="n">
        <f aca="false">Panel!P96-Panel!P95</f>
        <v>0.0010246113945751</v>
      </c>
      <c r="G103" s="30" t="n">
        <f aca="false">Panel!P95-Panel!P94</f>
        <v>0.000360276277719507</v>
      </c>
    </row>
    <row r="104" customFormat="false" ht="15" hidden="false" customHeight="false" outlineLevel="0" collapsed="false">
      <c r="C104" s="0" t="n">
        <f aca="false">Panel!P99-Panel!P98</f>
        <v>-0.00131267763431353</v>
      </c>
      <c r="D104" s="29" t="n">
        <f aca="false">Panel!P98</f>
        <v>0.00207602264069706</v>
      </c>
      <c r="E104" s="30" t="n">
        <f aca="false">Panel!P98-Panel!P97</f>
        <v>0.000847306435282746</v>
      </c>
      <c r="F104" s="30" t="n">
        <f aca="false">Panel!P97-Panel!P96</f>
        <v>0.000776128180088875</v>
      </c>
      <c r="G104" s="30" t="n">
        <f aca="false">Panel!P96-Panel!P95</f>
        <v>0.0010246113945751</v>
      </c>
    </row>
    <row r="105" customFormat="false" ht="15" hidden="false" customHeight="false" outlineLevel="0" collapsed="false">
      <c r="C105" s="0" t="n">
        <f aca="false">Panel!P100-Panel!P99</f>
        <v>0.00259515313369896</v>
      </c>
      <c r="D105" s="29" t="n">
        <f aca="false">Panel!P99</f>
        <v>0.000763345006383531</v>
      </c>
      <c r="E105" s="30" t="n">
        <f aca="false">Panel!P99-Panel!P98</f>
        <v>-0.00131267763431353</v>
      </c>
      <c r="F105" s="30" t="n">
        <f aca="false">Panel!P98-Panel!P97</f>
        <v>0.000847306435282746</v>
      </c>
      <c r="G105" s="30" t="n">
        <f aca="false">Panel!P97-Panel!P96</f>
        <v>0.000776128180088875</v>
      </c>
    </row>
    <row r="106" customFormat="false" ht="15" hidden="false" customHeight="false" outlineLevel="0" collapsed="false">
      <c r="C106" s="0" t="n">
        <f aca="false">Panel!P101-Panel!P100</f>
        <v>-0.000687053790027647</v>
      </c>
      <c r="D106" s="29" t="n">
        <f aca="false">Panel!P100</f>
        <v>0.00335849814008249</v>
      </c>
      <c r="E106" s="30" t="n">
        <f aca="false">Panel!P100-Panel!P99</f>
        <v>0.00259515313369896</v>
      </c>
      <c r="F106" s="30" t="n">
        <f aca="false">Panel!P99-Panel!P98</f>
        <v>-0.00131267763431353</v>
      </c>
      <c r="G106" s="30" t="n">
        <f aca="false">Panel!P98-Panel!P97</f>
        <v>0.000847306435282746</v>
      </c>
    </row>
    <row r="107" customFormat="false" ht="15" hidden="false" customHeight="false" outlineLevel="0" collapsed="false">
      <c r="C107" s="0" t="n">
        <f aca="false">Panel!P102-Panel!P101</f>
        <v>-0.00158187831947387</v>
      </c>
      <c r="D107" s="29" t="n">
        <f aca="false">Panel!P101</f>
        <v>0.00267144435005484</v>
      </c>
      <c r="E107" s="30" t="n">
        <f aca="false">Panel!P101-Panel!P100</f>
        <v>-0.000687053790027647</v>
      </c>
      <c r="F107" s="30" t="n">
        <f aca="false">Panel!P100-Panel!P99</f>
        <v>0.00259515313369896</v>
      </c>
      <c r="G107" s="30" t="n">
        <f aca="false">Panel!P99-Panel!P98</f>
        <v>-0.00131267763431353</v>
      </c>
    </row>
    <row r="108" customFormat="false" ht="15" hidden="false" customHeight="false" outlineLevel="0" collapsed="false">
      <c r="C108" s="0" t="n">
        <f aca="false">Panel!P103-Panel!P102</f>
        <v>-0.00119645328577889</v>
      </c>
      <c r="D108" s="29" t="n">
        <f aca="false">Panel!P102</f>
        <v>0.00108956603058097</v>
      </c>
      <c r="E108" s="30" t="n">
        <f aca="false">Panel!P102-Panel!P101</f>
        <v>-0.00158187831947387</v>
      </c>
      <c r="F108" s="30" t="n">
        <f aca="false">Panel!P101-Panel!P100</f>
        <v>-0.000687053790027647</v>
      </c>
      <c r="G108" s="30" t="n">
        <f aca="false">Panel!P100-Panel!P99</f>
        <v>0.00259515313369896</v>
      </c>
    </row>
    <row r="109" customFormat="false" ht="15" hidden="false" customHeight="false" outlineLevel="0" collapsed="false">
      <c r="C109" s="0" t="n">
        <f aca="false">Panel!P104-Panel!P103</f>
        <v>-0.00118959702581556</v>
      </c>
      <c r="D109" s="29" t="n">
        <f aca="false">Panel!P103</f>
        <v>-0.000106887255197918</v>
      </c>
      <c r="E109" s="30" t="n">
        <f aca="false">Panel!P103-Panel!P102</f>
        <v>-0.00119645328577889</v>
      </c>
      <c r="F109" s="30" t="n">
        <f aca="false">Panel!P102-Panel!P101</f>
        <v>-0.00158187831947387</v>
      </c>
      <c r="G109" s="30" t="n">
        <f aca="false">Panel!P101-Panel!P100</f>
        <v>-0.000687053790027647</v>
      </c>
    </row>
    <row r="110" customFormat="false" ht="15" hidden="false" customHeight="false" outlineLevel="0" collapsed="false">
      <c r="C110" s="0" t="n">
        <f aca="false">Panel!P105-Panel!P104</f>
        <v>-0.000274610163060629</v>
      </c>
      <c r="D110" s="29" t="n">
        <f aca="false">Panel!P104</f>
        <v>-0.00129648428101348</v>
      </c>
      <c r="E110" s="30" t="n">
        <f aca="false">Panel!P104-Panel!P103</f>
        <v>-0.00118959702581556</v>
      </c>
      <c r="F110" s="30" t="n">
        <f aca="false">Panel!P103-Panel!P102</f>
        <v>-0.00119645328577889</v>
      </c>
      <c r="G110" s="30" t="n">
        <f aca="false">Panel!P102-Panel!P101</f>
        <v>-0.00158187831947387</v>
      </c>
    </row>
    <row r="111" customFormat="false" ht="15" hidden="false" customHeight="false" outlineLevel="0" collapsed="false">
      <c r="C111" s="0" t="n">
        <f aca="false">Panel!P106-Panel!P105</f>
        <v>9.04865601523142E-005</v>
      </c>
      <c r="D111" s="29" t="n">
        <f aca="false">Panel!P105</f>
        <v>-0.00157109444407411</v>
      </c>
      <c r="E111" s="30" t="n">
        <f aca="false">Panel!P105-Panel!P104</f>
        <v>-0.000274610163060629</v>
      </c>
      <c r="F111" s="30" t="n">
        <f aca="false">Panel!P104-Panel!P103</f>
        <v>-0.00118959702581556</v>
      </c>
      <c r="G111" s="30" t="n">
        <f aca="false">Panel!P103-Panel!P102</f>
        <v>-0.00119645328577889</v>
      </c>
    </row>
    <row r="112" customFormat="false" ht="15" hidden="false" customHeight="false" outlineLevel="0" collapsed="false">
      <c r="C112" s="0" t="n">
        <f aca="false">Panel!P107-Panel!P106</f>
        <v>-0.00105117747550132</v>
      </c>
      <c r="D112" s="29" t="n">
        <f aca="false">Panel!P106</f>
        <v>-0.00148060788392179</v>
      </c>
      <c r="E112" s="30" t="n">
        <f aca="false">Panel!P106-Panel!P105</f>
        <v>9.04865601523142E-005</v>
      </c>
      <c r="F112" s="30" t="n">
        <f aca="false">Panel!P105-Panel!P104</f>
        <v>-0.000274610163060629</v>
      </c>
      <c r="G112" s="30" t="n">
        <f aca="false">Panel!P104-Panel!P103</f>
        <v>-0.00118959702581556</v>
      </c>
    </row>
    <row r="113" customFormat="false" ht="15" hidden="false" customHeight="false" outlineLevel="0" collapsed="false">
      <c r="C113" s="0" t="n">
        <f aca="false">Panel!P108-Panel!P107</f>
        <v>-0.000896885092755539</v>
      </c>
      <c r="D113" s="29" t="n">
        <f aca="false">Panel!P107</f>
        <v>-0.00253178535942311</v>
      </c>
      <c r="E113" s="30" t="n">
        <f aca="false">Panel!P107-Panel!P106</f>
        <v>-0.00105117747550132</v>
      </c>
      <c r="F113" s="30" t="n">
        <f aca="false">Panel!P106-Panel!P105</f>
        <v>9.04865601523142E-005</v>
      </c>
      <c r="G113" s="30" t="n">
        <f aca="false">Panel!P105-Panel!P104</f>
        <v>-0.000274610163060629</v>
      </c>
    </row>
    <row r="114" customFormat="false" ht="15" hidden="false" customHeight="false" outlineLevel="0" collapsed="false">
      <c r="C114" s="0" t="n">
        <f aca="false">Panel!P109-Panel!P108</f>
        <v>-0.00397041738367143</v>
      </c>
      <c r="D114" s="29" t="n">
        <f aca="false">Panel!P108</f>
        <v>-0.00342867045217865</v>
      </c>
      <c r="E114" s="30" t="n">
        <f aca="false">Panel!P108-Panel!P107</f>
        <v>-0.000896885092755539</v>
      </c>
      <c r="F114" s="30" t="n">
        <f aca="false">Panel!P107-Panel!P106</f>
        <v>-0.00105117747550132</v>
      </c>
      <c r="G114" s="30" t="n">
        <f aca="false">Panel!P106-Panel!P105</f>
        <v>9.04865601523142E-005</v>
      </c>
    </row>
    <row r="115" customFormat="false" ht="15" hidden="false" customHeight="false" outlineLevel="0" collapsed="false">
      <c r="C115" s="0" t="n">
        <f aca="false">Panel!P110-Panel!P109</f>
        <v>0.00430824272117469</v>
      </c>
      <c r="D115" s="29" t="n">
        <f aca="false">Panel!P109</f>
        <v>-0.00739908783585008</v>
      </c>
      <c r="E115" s="30" t="n">
        <f aca="false">Panel!P109-Panel!P108</f>
        <v>-0.00397041738367143</v>
      </c>
      <c r="F115" s="30" t="n">
        <f aca="false">Panel!P108-Panel!P107</f>
        <v>-0.000896885092755539</v>
      </c>
      <c r="G115" s="30" t="n">
        <f aca="false">Panel!P107-Panel!P106</f>
        <v>-0.00105117747550132</v>
      </c>
    </row>
    <row r="116" customFormat="false" ht="15" hidden="false" customHeight="false" outlineLevel="0" collapsed="false">
      <c r="C116" s="0" t="n">
        <f aca="false">Panel!P111-Panel!P110</f>
        <v>-0.000335767415398536</v>
      </c>
      <c r="D116" s="29" t="n">
        <f aca="false">Panel!P110</f>
        <v>-0.00309084511467539</v>
      </c>
      <c r="E116" s="30" t="n">
        <f aca="false">Panel!P110-Panel!P109</f>
        <v>0.00430824272117469</v>
      </c>
      <c r="F116" s="30" t="n">
        <f aca="false">Panel!P109-Panel!P108</f>
        <v>-0.00397041738367143</v>
      </c>
      <c r="G116" s="30" t="n">
        <f aca="false">Panel!P108-Panel!P107</f>
        <v>-0.000896885092755539</v>
      </c>
    </row>
    <row r="117" customFormat="false" ht="15" hidden="false" customHeight="false" outlineLevel="0" collapsed="false">
      <c r="C117" s="0" t="n">
        <f aca="false">Panel!P112-Panel!P111</f>
        <v>0.000600364443428703</v>
      </c>
      <c r="D117" s="29" t="n">
        <f aca="false">Panel!P111</f>
        <v>-0.00342661253007392</v>
      </c>
      <c r="E117" s="30" t="n">
        <f aca="false">Panel!P111-Panel!P110</f>
        <v>-0.000335767415398536</v>
      </c>
      <c r="F117" s="30" t="n">
        <f aca="false">Panel!P110-Panel!P109</f>
        <v>0.00430824272117469</v>
      </c>
      <c r="G117" s="30" t="n">
        <f aca="false">Panel!P109-Panel!P108</f>
        <v>-0.00397041738367143</v>
      </c>
    </row>
    <row r="118" customFormat="false" ht="15" hidden="false" customHeight="false" outlineLevel="0" collapsed="false">
      <c r="C118" s="0" t="n">
        <f aca="false">Panel!P113-Panel!P112</f>
        <v>0.000403018838674996</v>
      </c>
      <c r="D118" s="29" t="n">
        <f aca="false">Panel!P112</f>
        <v>-0.00282624808664522</v>
      </c>
      <c r="E118" s="30" t="n">
        <f aca="false">Panel!P112-Panel!P111</f>
        <v>0.000600364443428703</v>
      </c>
      <c r="F118" s="30" t="n">
        <f aca="false">Panel!P111-Panel!P110</f>
        <v>-0.000335767415398536</v>
      </c>
      <c r="G118" s="30" t="n">
        <f aca="false">Panel!P110-Panel!P109</f>
        <v>0.00430824272117469</v>
      </c>
    </row>
    <row r="119" customFormat="false" ht="15" hidden="false" customHeight="false" outlineLevel="0" collapsed="false">
      <c r="C119" s="0" t="n">
        <f aca="false">Panel!P114-Panel!P113</f>
        <v>-0.000366219857518502</v>
      </c>
      <c r="D119" s="29" t="n">
        <f aca="false">Panel!P113</f>
        <v>-0.00242322924797023</v>
      </c>
      <c r="E119" s="30" t="n">
        <f aca="false">Panel!P113-Panel!P112</f>
        <v>0.000403018838674996</v>
      </c>
      <c r="F119" s="30" t="n">
        <f aca="false">Panel!P112-Panel!P111</f>
        <v>0.000600364443428703</v>
      </c>
      <c r="G119" s="30" t="n">
        <f aca="false">Panel!P111-Panel!P110</f>
        <v>-0.000335767415398536</v>
      </c>
    </row>
    <row r="120" customFormat="false" ht="15" hidden="false" customHeight="false" outlineLevel="0" collapsed="false">
      <c r="C120" s="0" t="n">
        <f aca="false">Panel!P115-Panel!P114</f>
        <v>-0.00167777926292523</v>
      </c>
      <c r="D120" s="29" t="n">
        <f aca="false">Panel!P114</f>
        <v>-0.00278944910548873</v>
      </c>
      <c r="E120" s="30" t="n">
        <f aca="false">Panel!P114-Panel!P113</f>
        <v>-0.000366219857518502</v>
      </c>
      <c r="F120" s="30" t="n">
        <f aca="false">Panel!P113-Panel!P112</f>
        <v>0.000403018838674996</v>
      </c>
      <c r="G120" s="30" t="n">
        <f aca="false">Panel!P112-Panel!P111</f>
        <v>0.000600364443428703</v>
      </c>
    </row>
    <row r="121" customFormat="false" ht="15" hidden="false" customHeight="false" outlineLevel="0" collapsed="false">
      <c r="C121" s="0" t="n">
        <f aca="false">Panel!P116-Panel!P115</f>
        <v>0.00338432675499334</v>
      </c>
      <c r="D121" s="29" t="n">
        <f aca="false">Panel!P115</f>
        <v>-0.00446722836841396</v>
      </c>
      <c r="E121" s="30" t="n">
        <f aca="false">Panel!P115-Panel!P114</f>
        <v>-0.00167777926292523</v>
      </c>
      <c r="F121" s="30" t="n">
        <f aca="false">Panel!P114-Panel!P113</f>
        <v>-0.000366219857518502</v>
      </c>
      <c r="G121" s="30" t="n">
        <f aca="false">Panel!P113-Panel!P112</f>
        <v>0.000403018838674996</v>
      </c>
    </row>
    <row r="122" customFormat="false" ht="15" hidden="false" customHeight="false" outlineLevel="0" collapsed="false">
      <c r="C122" s="0" t="n">
        <f aca="false">Panel!P117-Panel!P116</f>
        <v>-0.000418158193969731</v>
      </c>
      <c r="D122" s="29" t="n">
        <f aca="false">Panel!P116</f>
        <v>-0.00108290161342062</v>
      </c>
      <c r="E122" s="30" t="n">
        <f aca="false">Panel!P116-Panel!P115</f>
        <v>0.00338432675499334</v>
      </c>
      <c r="F122" s="30" t="n">
        <f aca="false">Panel!P115-Panel!P114</f>
        <v>-0.00167777926292523</v>
      </c>
      <c r="G122" s="30" t="n">
        <f aca="false">Panel!P114-Panel!P113</f>
        <v>-0.000366219857518502</v>
      </c>
    </row>
    <row r="123" customFormat="false" ht="15" hidden="false" customHeight="false" outlineLevel="0" collapsed="false">
      <c r="C123" s="0" t="n">
        <f aca="false">Panel!P118-Panel!P117</f>
        <v>0.000409529424269195</v>
      </c>
      <c r="D123" s="29" t="n">
        <f aca="false">Panel!P117</f>
        <v>-0.00150105980739035</v>
      </c>
      <c r="E123" s="30" t="n">
        <f aca="false">Panel!P117-Panel!P116</f>
        <v>-0.000418158193969731</v>
      </c>
      <c r="F123" s="30" t="n">
        <f aca="false">Panel!P116-Panel!P115</f>
        <v>0.00338432675499334</v>
      </c>
      <c r="G123" s="30" t="n">
        <f aca="false">Panel!P115-Panel!P114</f>
        <v>-0.00167777926292523</v>
      </c>
    </row>
    <row r="124" customFormat="false" ht="15" hidden="false" customHeight="false" outlineLevel="0" collapsed="false">
      <c r="C124" s="0" t="n">
        <f aca="false">Panel!P119-Panel!P118</f>
        <v>-0.0036268045099348</v>
      </c>
      <c r="D124" s="29" t="n">
        <f aca="false">Panel!P118</f>
        <v>-0.00109153038312115</v>
      </c>
      <c r="E124" s="30" t="n">
        <f aca="false">Panel!P118-Panel!P117</f>
        <v>0.000409529424269195</v>
      </c>
      <c r="F124" s="30" t="n">
        <f aca="false">Panel!P117-Panel!P116</f>
        <v>-0.000418158193969731</v>
      </c>
      <c r="G124" s="30" t="n">
        <f aca="false">Panel!P116-Panel!P115</f>
        <v>0.00338432675499334</v>
      </c>
    </row>
    <row r="125" customFormat="false" ht="15" hidden="false" customHeight="false" outlineLevel="0" collapsed="false">
      <c r="C125" s="0" t="n">
        <f aca="false">Panel!P120-Panel!P119</f>
        <v>0.000142332334911899</v>
      </c>
      <c r="D125" s="29" t="n">
        <f aca="false">Panel!P119</f>
        <v>-0.00471833489305595</v>
      </c>
      <c r="E125" s="30" t="n">
        <f aca="false">Panel!P119-Panel!P118</f>
        <v>-0.0036268045099348</v>
      </c>
      <c r="F125" s="30" t="n">
        <f aca="false">Panel!P118-Panel!P117</f>
        <v>0.000409529424269195</v>
      </c>
      <c r="G125" s="30" t="n">
        <f aca="false">Panel!P117-Panel!P116</f>
        <v>-0.000418158193969731</v>
      </c>
    </row>
    <row r="126" customFormat="false" ht="15" hidden="false" customHeight="false" outlineLevel="0" collapsed="false">
      <c r="C126" s="0" t="n">
        <f aca="false">Panel!P121-Panel!P120</f>
        <v>0.000906275101318244</v>
      </c>
      <c r="D126" s="29" t="n">
        <f aca="false">Panel!P120</f>
        <v>-0.00457600255814405</v>
      </c>
      <c r="E126" s="30" t="n">
        <f aca="false">Panel!P120-Panel!P119</f>
        <v>0.000142332334911899</v>
      </c>
      <c r="F126" s="30" t="n">
        <f aca="false">Panel!P119-Panel!P118</f>
        <v>-0.0036268045099348</v>
      </c>
      <c r="G126" s="30" t="n">
        <f aca="false">Panel!P118-Panel!P117</f>
        <v>0.000409529424269195</v>
      </c>
    </row>
    <row r="127" customFormat="false" ht="15" hidden="false" customHeight="false" outlineLevel="0" collapsed="false">
      <c r="C127" s="0" t="n">
        <f aca="false">Panel!P122-Panel!P121</f>
        <v>-0.000591284658311153</v>
      </c>
      <c r="D127" s="29" t="n">
        <f aca="false">Panel!P121</f>
        <v>-0.00366972745682581</v>
      </c>
      <c r="E127" s="30" t="n">
        <f aca="false">Panel!P121-Panel!P120</f>
        <v>0.000906275101318244</v>
      </c>
      <c r="F127" s="30" t="n">
        <f aca="false">Panel!P120-Panel!P119</f>
        <v>0.000142332334911899</v>
      </c>
      <c r="G127" s="30" t="n">
        <f aca="false">Panel!P119-Panel!P118</f>
        <v>-0.0036268045099348</v>
      </c>
    </row>
    <row r="128" customFormat="false" ht="15" hidden="false" customHeight="false" outlineLevel="0" collapsed="false">
      <c r="C128" s="0" t="n">
        <f aca="false">Panel!P123-Panel!P122</f>
        <v>-0.000402673084106908</v>
      </c>
      <c r="D128" s="29" t="n">
        <f aca="false">Panel!P122</f>
        <v>-0.00426101211513696</v>
      </c>
      <c r="E128" s="30" t="n">
        <f aca="false">Panel!P122-Panel!P121</f>
        <v>-0.000591284658311153</v>
      </c>
      <c r="F128" s="30" t="n">
        <f aca="false">Panel!P121-Panel!P120</f>
        <v>0.000906275101318244</v>
      </c>
      <c r="G128" s="30" t="n">
        <f aca="false">Panel!P120-Panel!P119</f>
        <v>0.000142332334911899</v>
      </c>
    </row>
    <row r="129" customFormat="false" ht="15" hidden="false" customHeight="false" outlineLevel="0" collapsed="false">
      <c r="C129" s="0" t="n">
        <f aca="false">Panel!P124-Panel!P123</f>
        <v>-0.0022712930681017</v>
      </c>
      <c r="D129" s="29" t="n">
        <f aca="false">Panel!P123</f>
        <v>-0.00466368519924387</v>
      </c>
      <c r="E129" s="30" t="n">
        <f aca="false">Panel!P123-Panel!P122</f>
        <v>-0.000402673084106908</v>
      </c>
      <c r="F129" s="30" t="n">
        <f aca="false">Panel!P122-Panel!P121</f>
        <v>-0.000591284658311153</v>
      </c>
      <c r="G129" s="30" t="n">
        <f aca="false">Panel!P121-Panel!P120</f>
        <v>0.000906275101318244</v>
      </c>
    </row>
    <row r="130" customFormat="false" ht="15" hidden="false" customHeight="false" outlineLevel="0" collapsed="false">
      <c r="C130" s="0" t="n">
        <f aca="false">Panel!P125-Panel!P124</f>
        <v>-0.00443487809892851</v>
      </c>
      <c r="D130" s="29" t="n">
        <f aca="false">Panel!P124</f>
        <v>-0.00693497826734557</v>
      </c>
      <c r="E130" s="30" t="n">
        <f aca="false">Panel!P124-Panel!P123</f>
        <v>-0.0022712930681017</v>
      </c>
      <c r="F130" s="30" t="n">
        <f aca="false">Panel!P123-Panel!P122</f>
        <v>-0.000402673084106908</v>
      </c>
      <c r="G130" s="30" t="n">
        <f aca="false">Panel!P122-Panel!P121</f>
        <v>-0.000591284658311153</v>
      </c>
    </row>
    <row r="131" customFormat="false" ht="15" hidden="false" customHeight="false" outlineLevel="0" collapsed="false">
      <c r="C131" s="0" t="n">
        <f aca="false">Panel!P126-Panel!P125</f>
        <v>0.00240786700490325</v>
      </c>
      <c r="D131" s="29" t="n">
        <f aca="false">Panel!P125</f>
        <v>-0.0113698563662741</v>
      </c>
      <c r="E131" s="30" t="n">
        <f aca="false">Panel!P125-Panel!P124</f>
        <v>-0.00443487809892851</v>
      </c>
      <c r="F131" s="30" t="n">
        <f aca="false">Panel!P124-Panel!P123</f>
        <v>-0.0022712930681017</v>
      </c>
      <c r="G131" s="30" t="n">
        <f aca="false">Panel!P123-Panel!P122</f>
        <v>-0.000402673084106908</v>
      </c>
    </row>
    <row r="132" customFormat="false" ht="15" hidden="false" customHeight="false" outlineLevel="0" collapsed="false">
      <c r="C132" s="0" t="n">
        <f aca="false">Panel!P127-Panel!P126</f>
        <v>-0.00149082848494508</v>
      </c>
      <c r="D132" s="29" t="n">
        <f aca="false">Panel!P126</f>
        <v>-0.00896198936137083</v>
      </c>
      <c r="E132" s="30" t="n">
        <f aca="false">Panel!P126-Panel!P125</f>
        <v>0.00240786700490325</v>
      </c>
      <c r="F132" s="30" t="n">
        <f aca="false">Panel!P125-Panel!P124</f>
        <v>-0.00443487809892851</v>
      </c>
      <c r="G132" s="30" t="n">
        <f aca="false">Panel!P124-Panel!P123</f>
        <v>-0.0022712930681017</v>
      </c>
    </row>
    <row r="133" customFormat="false" ht="15" hidden="false" customHeight="false" outlineLevel="0" collapsed="false">
      <c r="C133" s="0" t="n">
        <f aca="false">Panel!P128-Panel!P127</f>
        <v>0.00641362319417205</v>
      </c>
      <c r="D133" s="29" t="n">
        <f aca="false">Panel!P127</f>
        <v>-0.0104528178463159</v>
      </c>
      <c r="E133" s="30" t="n">
        <f aca="false">Panel!P127-Panel!P126</f>
        <v>-0.00149082848494508</v>
      </c>
      <c r="F133" s="30" t="n">
        <f aca="false">Panel!P126-Panel!P125</f>
        <v>0.00240786700490325</v>
      </c>
      <c r="G133" s="30" t="n">
        <f aca="false">Panel!P125-Panel!P124</f>
        <v>-0.00443487809892851</v>
      </c>
    </row>
    <row r="134" customFormat="false" ht="15" hidden="false" customHeight="false" outlineLevel="0" collapsed="false">
      <c r="C134" s="0" t="n">
        <f aca="false">Panel!P129-Panel!P128</f>
        <v>0.000206592594595989</v>
      </c>
      <c r="D134" s="29" t="n">
        <f aca="false">Panel!P128</f>
        <v>-0.00403919465214386</v>
      </c>
      <c r="E134" s="30" t="n">
        <f aca="false">Panel!P128-Panel!P127</f>
        <v>0.00641362319417205</v>
      </c>
      <c r="F134" s="30" t="n">
        <f aca="false">Panel!P127-Panel!P126</f>
        <v>-0.00149082848494508</v>
      </c>
      <c r="G134" s="30" t="n">
        <f aca="false">Panel!P126-Panel!P125</f>
        <v>0.00240786700490325</v>
      </c>
    </row>
    <row r="135" customFormat="false" ht="15" hidden="false" customHeight="false" outlineLevel="0" collapsed="false">
      <c r="C135" s="0" t="n">
        <f aca="false">Panel!P130-Panel!P129</f>
        <v>-0.000561029689297499</v>
      </c>
      <c r="D135" s="29" t="n">
        <f aca="false">Panel!P129</f>
        <v>-0.00383260205754787</v>
      </c>
      <c r="E135" s="30" t="n">
        <f aca="false">Panel!P129-Panel!P128</f>
        <v>0.000206592594595989</v>
      </c>
      <c r="F135" s="30" t="n">
        <f aca="false">Panel!P128-Panel!P127</f>
        <v>0.00641362319417205</v>
      </c>
      <c r="G135" s="30" t="n">
        <f aca="false">Panel!P127-Panel!P126</f>
        <v>-0.00149082848494508</v>
      </c>
    </row>
    <row r="136" customFormat="false" ht="15" hidden="false" customHeight="false" outlineLevel="0" collapsed="false">
      <c r="C136" s="0" t="n">
        <f aca="false">Panel!P131-Panel!P130</f>
        <v>-0.00118802920898986</v>
      </c>
      <c r="D136" s="29" t="n">
        <f aca="false">Panel!P130</f>
        <v>-0.00439363174684537</v>
      </c>
      <c r="E136" s="30" t="n">
        <f aca="false">Panel!P130-Panel!P129</f>
        <v>-0.000561029689297499</v>
      </c>
      <c r="F136" s="30" t="n">
        <f aca="false">Panel!P129-Panel!P128</f>
        <v>0.000206592594595989</v>
      </c>
      <c r="G136" s="30" t="n">
        <f aca="false">Panel!P128-Panel!P127</f>
        <v>0.00641362319417205</v>
      </c>
    </row>
    <row r="137" customFormat="false" ht="15" hidden="false" customHeight="false" outlineLevel="0" collapsed="false">
      <c r="C137" s="0" t="n">
        <f aca="false">Panel!P132-Panel!P131</f>
        <v>0.00166559856292814</v>
      </c>
      <c r="D137" s="29" t="n">
        <f aca="false">Panel!P131</f>
        <v>-0.00558166095583523</v>
      </c>
      <c r="E137" s="30" t="n">
        <f aca="false">Panel!P131-Panel!P130</f>
        <v>-0.00118802920898986</v>
      </c>
      <c r="F137" s="30" t="n">
        <f aca="false">Panel!P130-Panel!P129</f>
        <v>-0.000561029689297499</v>
      </c>
      <c r="G137" s="30" t="n">
        <f aca="false">Panel!P129-Panel!P128</f>
        <v>0.000206592594595989</v>
      </c>
    </row>
    <row r="138" customFormat="false" ht="15" hidden="false" customHeight="false" outlineLevel="0" collapsed="false">
      <c r="C138" s="0" t="n">
        <f aca="false">Panel!P133-Panel!P132</f>
        <v>-0.000160250434392495</v>
      </c>
      <c r="D138" s="29" t="n">
        <f aca="false">Panel!P132</f>
        <v>-0.00391606239290709</v>
      </c>
      <c r="E138" s="30" t="n">
        <f aca="false">Panel!P132-Panel!P131</f>
        <v>0.00166559856292814</v>
      </c>
      <c r="F138" s="30" t="n">
        <f aca="false">Panel!P131-Panel!P130</f>
        <v>-0.00118802920898986</v>
      </c>
      <c r="G138" s="30" t="n">
        <f aca="false">Panel!P130-Panel!P129</f>
        <v>-0.000561029689297499</v>
      </c>
    </row>
    <row r="139" customFormat="false" ht="15" hidden="false" customHeight="false" outlineLevel="0" collapsed="false">
      <c r="C139" s="0" t="n">
        <f aca="false">Panel!P134-Panel!P133</f>
        <v>0.00112592396541089</v>
      </c>
      <c r="D139" s="29" t="n">
        <f aca="false">Panel!P133</f>
        <v>-0.00407631282729959</v>
      </c>
      <c r="E139" s="30" t="n">
        <f aca="false">Panel!P133-Panel!P132</f>
        <v>-0.000160250434392495</v>
      </c>
      <c r="F139" s="30" t="n">
        <f aca="false">Panel!P132-Panel!P131</f>
        <v>0.00166559856292814</v>
      </c>
      <c r="G139" s="30" t="n">
        <f aca="false">Panel!P131-Panel!P130</f>
        <v>-0.00118802920898986</v>
      </c>
    </row>
    <row r="140" customFormat="false" ht="15" hidden="false" customHeight="false" outlineLevel="0" collapsed="false">
      <c r="C140" s="0" t="n">
        <f aca="false">Panel!P135-Panel!P134</f>
        <v>-0.000102653595531521</v>
      </c>
      <c r="D140" s="29" t="n">
        <f aca="false">Panel!P134</f>
        <v>-0.0029503888618887</v>
      </c>
      <c r="E140" s="30" t="n">
        <f aca="false">Panel!P134-Panel!P133</f>
        <v>0.00112592396541089</v>
      </c>
      <c r="F140" s="30" t="n">
        <f aca="false">Panel!P133-Panel!P132</f>
        <v>-0.000160250434392495</v>
      </c>
      <c r="G140" s="30" t="n">
        <f aca="false">Panel!P132-Panel!P131</f>
        <v>0.00166559856292814</v>
      </c>
    </row>
    <row r="141" customFormat="false" ht="15" hidden="false" customHeight="false" outlineLevel="0" collapsed="false">
      <c r="C141" s="0" t="n">
        <f aca="false">Panel!P136-Panel!P135</f>
        <v>-0.00102319052797739</v>
      </c>
      <c r="D141" s="29" t="n">
        <f aca="false">Panel!P135</f>
        <v>-0.00305304245742022</v>
      </c>
      <c r="E141" s="30" t="n">
        <f aca="false">Panel!P135-Panel!P134</f>
        <v>-0.000102653595531521</v>
      </c>
      <c r="F141" s="30" t="n">
        <f aca="false">Panel!P134-Panel!P133</f>
        <v>0.00112592396541089</v>
      </c>
      <c r="G141" s="30" t="n">
        <f aca="false">Panel!P133-Panel!P132</f>
        <v>-0.000160250434392495</v>
      </c>
    </row>
    <row r="142" customFormat="false" ht="15" hidden="false" customHeight="false" outlineLevel="0" collapsed="false">
      <c r="C142" s="0" t="n">
        <f aca="false">Panel!P137-Panel!P136</f>
        <v>0.00202857179943905</v>
      </c>
      <c r="D142" s="29" t="n">
        <f aca="false">Panel!P136</f>
        <v>-0.00407623298539761</v>
      </c>
      <c r="E142" s="30" t="n">
        <f aca="false">Panel!P136-Panel!P135</f>
        <v>-0.00102319052797739</v>
      </c>
      <c r="F142" s="30" t="n">
        <f aca="false">Panel!P135-Panel!P134</f>
        <v>-0.000102653595531521</v>
      </c>
      <c r="G142" s="30" t="n">
        <f aca="false">Panel!P134-Panel!P133</f>
        <v>0.00112592396541089</v>
      </c>
    </row>
    <row r="143" customFormat="false" ht="15" hidden="false" customHeight="false" outlineLevel="0" collapsed="false">
      <c r="C143" s="0" t="n">
        <f aca="false">Panel!P138-Panel!P137</f>
        <v>-6.64935534828715E-005</v>
      </c>
      <c r="D143" s="29" t="n">
        <f aca="false">Panel!P137</f>
        <v>-0.00204766118595856</v>
      </c>
      <c r="E143" s="30" t="n">
        <f aca="false">Panel!P137-Panel!P136</f>
        <v>0.00202857179943905</v>
      </c>
      <c r="F143" s="30" t="n">
        <f aca="false">Panel!P136-Panel!P135</f>
        <v>-0.00102319052797739</v>
      </c>
      <c r="G143" s="30" t="n">
        <f aca="false">Panel!P135-Panel!P134</f>
        <v>-0.000102653595531521</v>
      </c>
    </row>
    <row r="144" customFormat="false" ht="15" hidden="false" customHeight="false" outlineLevel="0" collapsed="false">
      <c r="C144" s="0" t="n">
        <f aca="false">Panel!P139-Panel!P138</f>
        <v>-0.000161248475050613</v>
      </c>
      <c r="D144" s="29" t="n">
        <f aca="false">Panel!P138</f>
        <v>-0.00211415473944143</v>
      </c>
      <c r="E144" s="30" t="n">
        <f aca="false">Panel!P138-Panel!P137</f>
        <v>-6.64935534828715E-005</v>
      </c>
      <c r="F144" s="30" t="n">
        <f aca="false">Panel!P137-Panel!P136</f>
        <v>0.00202857179943905</v>
      </c>
      <c r="G144" s="30" t="n">
        <f aca="false">Panel!P136-Panel!P135</f>
        <v>-0.00102319052797739</v>
      </c>
    </row>
    <row r="145" customFormat="false" ht="15" hidden="false" customHeight="false" outlineLevel="0" collapsed="false">
      <c r="C145" s="0" t="n">
        <f aca="false">Panel!P140-Panel!P139</f>
        <v>0.00112214610075689</v>
      </c>
      <c r="D145" s="29" t="n">
        <f aca="false">Panel!P139</f>
        <v>-0.00227540321449204</v>
      </c>
      <c r="E145" s="30" t="n">
        <f aca="false">Panel!P139-Panel!P138</f>
        <v>-0.000161248475050613</v>
      </c>
      <c r="F145" s="30" t="n">
        <f aca="false">Panel!P138-Panel!P137</f>
        <v>-6.64935534828715E-005</v>
      </c>
      <c r="G145" s="30" t="n">
        <f aca="false">Panel!P137-Panel!P136</f>
        <v>0.00202857179943905</v>
      </c>
    </row>
    <row r="146" customFormat="false" ht="15" hidden="false" customHeight="false" outlineLevel="0" collapsed="false">
      <c r="C146" s="0" t="n">
        <f aca="false">Panel!P141-Panel!P140</f>
        <v>-0.000182665488720701</v>
      </c>
      <c r="D146" s="29" t="n">
        <f aca="false">Panel!P140</f>
        <v>-0.00115325711373515</v>
      </c>
      <c r="E146" s="30" t="n">
        <f aca="false">Panel!P140-Panel!P139</f>
        <v>0.00112214610075689</v>
      </c>
      <c r="F146" s="30" t="n">
        <f aca="false">Panel!P139-Panel!P138</f>
        <v>-0.000161248475050613</v>
      </c>
      <c r="G146" s="30" t="n">
        <f aca="false">Panel!P138-Panel!P137</f>
        <v>-6.64935534828715E-005</v>
      </c>
    </row>
    <row r="147" customFormat="false" ht="15" hidden="false" customHeight="false" outlineLevel="0" collapsed="false">
      <c r="C147" s="0" t="n">
        <f aca="false">Panel!P142-Panel!P141</f>
        <v>-2.79693189160213E-005</v>
      </c>
      <c r="D147" s="29" t="n">
        <f aca="false">Panel!P141</f>
        <v>-0.00133592260245585</v>
      </c>
      <c r="E147" s="30" t="n">
        <f aca="false">Panel!P141-Panel!P140</f>
        <v>-0.000182665488720701</v>
      </c>
      <c r="F147" s="30" t="n">
        <f aca="false">Panel!P140-Panel!P139</f>
        <v>0.00112214610075689</v>
      </c>
      <c r="G147" s="30" t="n">
        <f aca="false">Panel!P139-Panel!P138</f>
        <v>-0.000161248475050613</v>
      </c>
    </row>
    <row r="148" customFormat="false" ht="15" hidden="false" customHeight="false" outlineLevel="0" collapsed="false">
      <c r="C148" s="0" t="n">
        <f aca="false">Panel!P143-Panel!P142</f>
        <v>0.000384166353589066</v>
      </c>
      <c r="D148" s="29" t="n">
        <f aca="false">Panel!P142</f>
        <v>-0.00136389192137187</v>
      </c>
      <c r="E148" s="30" t="n">
        <f aca="false">Panel!P142-Panel!P141</f>
        <v>-2.79693189160213E-005</v>
      </c>
      <c r="F148" s="30" t="n">
        <f aca="false">Panel!P141-Panel!P140</f>
        <v>-0.000182665488720701</v>
      </c>
      <c r="G148" s="30" t="n">
        <f aca="false">Panel!P140-Panel!P139</f>
        <v>0.00112214610075689</v>
      </c>
    </row>
    <row r="149" customFormat="false" ht="15" hidden="false" customHeight="false" outlineLevel="0" collapsed="false">
      <c r="C149" s="0" t="n">
        <f aca="false">Panel!P144-Panel!P143</f>
        <v>0.000575956154694524</v>
      </c>
      <c r="D149" s="29" t="n">
        <f aca="false">Panel!P143</f>
        <v>-0.000979725567782808</v>
      </c>
      <c r="E149" s="30" t="n">
        <f aca="false">Panel!P143-Panel!P142</f>
        <v>0.000384166353589066</v>
      </c>
      <c r="F149" s="30" t="n">
        <f aca="false">Panel!P142-Panel!P141</f>
        <v>-2.79693189160213E-005</v>
      </c>
      <c r="G149" s="30" t="n">
        <f aca="false">Panel!P141-Panel!P140</f>
        <v>-0.000182665488720701</v>
      </c>
    </row>
    <row r="150" customFormat="false" ht="15" hidden="false" customHeight="false" outlineLevel="0" collapsed="false">
      <c r="C150" s="0" t="n">
        <f aca="false">Panel!P145-Panel!P144</f>
        <v>0.00115806159528198</v>
      </c>
      <c r="D150" s="29" t="n">
        <f aca="false">Panel!P144</f>
        <v>-0.000403769413088284</v>
      </c>
      <c r="E150" s="30" t="n">
        <f aca="false">Panel!P144-Panel!P143</f>
        <v>0.000575956154694524</v>
      </c>
      <c r="F150" s="30" t="n">
        <f aca="false">Panel!P143-Panel!P142</f>
        <v>0.000384166353589066</v>
      </c>
      <c r="G150" s="30" t="n">
        <f aca="false">Panel!P142-Panel!P141</f>
        <v>-2.79693189160213E-005</v>
      </c>
    </row>
    <row r="151" customFormat="false" ht="15" hidden="false" customHeight="false" outlineLevel="0" collapsed="false">
      <c r="C151" s="0" t="n">
        <f aca="false">Panel!P146-Panel!P145</f>
        <v>-0.000729275409218744</v>
      </c>
      <c r="D151" s="29" t="n">
        <f aca="false">Panel!P145</f>
        <v>0.000754292182193694</v>
      </c>
      <c r="E151" s="30" t="n">
        <f aca="false">Panel!P145-Panel!P144</f>
        <v>0.00115806159528198</v>
      </c>
      <c r="F151" s="30" t="n">
        <f aca="false">Panel!P144-Panel!P143</f>
        <v>0.000575956154694524</v>
      </c>
      <c r="G151" s="30" t="n">
        <f aca="false">Panel!P143-Panel!P142</f>
        <v>0.000384166353589066</v>
      </c>
    </row>
    <row r="152" customFormat="false" ht="15" hidden="false" customHeight="false" outlineLevel="0" collapsed="false">
      <c r="C152" s="0" t="n">
        <f aca="false">Panel!P147-Panel!P146</f>
        <v>-0.00261738766063502</v>
      </c>
      <c r="D152" s="29" t="n">
        <f aca="false">Panel!P146</f>
        <v>2.50167729749506E-005</v>
      </c>
      <c r="E152" s="30" t="n">
        <f aca="false">Panel!P146-Panel!P145</f>
        <v>-0.000729275409218744</v>
      </c>
      <c r="F152" s="30" t="n">
        <f aca="false">Panel!P145-Panel!P144</f>
        <v>0.00115806159528198</v>
      </c>
      <c r="G152" s="30" t="n">
        <f aca="false">Panel!P144-Panel!P143</f>
        <v>0.000575956154694524</v>
      </c>
    </row>
    <row r="153" customFormat="false" ht="15" hidden="false" customHeight="false" outlineLevel="0" collapsed="false">
      <c r="C153" s="0" t="n">
        <f aca="false">Panel!P148-Panel!P147</f>
        <v>0.00153545413565226</v>
      </c>
      <c r="D153" s="29" t="n">
        <f aca="false">Panel!P147</f>
        <v>-0.00259237088766007</v>
      </c>
      <c r="E153" s="30" t="n">
        <f aca="false">Panel!P147-Panel!P146</f>
        <v>-0.00261738766063502</v>
      </c>
      <c r="F153" s="30" t="n">
        <f aca="false">Panel!P146-Panel!P145</f>
        <v>-0.000729275409218744</v>
      </c>
      <c r="G153" s="30" t="n">
        <f aca="false">Panel!P145-Panel!P144</f>
        <v>0.00115806159528198</v>
      </c>
    </row>
    <row r="154" customFormat="false" ht="15" hidden="false" customHeight="false" outlineLevel="0" collapsed="false">
      <c r="C154" s="0" t="n">
        <f aca="false">Panel!P149-Panel!P148</f>
        <v>0.000879383438737946</v>
      </c>
      <c r="D154" s="29" t="n">
        <f aca="false">Panel!P148</f>
        <v>-0.00105691675200781</v>
      </c>
      <c r="E154" s="30" t="n">
        <f aca="false">Panel!P148-Panel!P147</f>
        <v>0.00153545413565226</v>
      </c>
      <c r="F154" s="30" t="n">
        <f aca="false">Panel!P147-Panel!P146</f>
        <v>-0.00261738766063502</v>
      </c>
      <c r="G154" s="30" t="n">
        <f aca="false">Panel!P146-Panel!P145</f>
        <v>-0.000729275409218744</v>
      </c>
    </row>
    <row r="155" customFormat="false" ht="15" hidden="false" customHeight="false" outlineLevel="0" collapsed="false">
      <c r="C155" s="0" t="n">
        <f aca="false">Panel!P150-Panel!P149</f>
        <v>-0.00196331085945012</v>
      </c>
      <c r="D155" s="29" t="n">
        <f aca="false">Panel!P149</f>
        <v>-0.000177533313269862</v>
      </c>
      <c r="E155" s="30" t="n">
        <f aca="false">Panel!P149-Panel!P148</f>
        <v>0.000879383438737946</v>
      </c>
      <c r="F155" s="30" t="n">
        <f aca="false">Panel!P148-Panel!P147</f>
        <v>0.00153545413565226</v>
      </c>
      <c r="G155" s="30" t="n">
        <f aca="false">Panel!P147-Panel!P146</f>
        <v>-0.00261738766063502</v>
      </c>
    </row>
    <row r="156" customFormat="false" ht="15" hidden="false" customHeight="false" outlineLevel="0" collapsed="false">
      <c r="C156" s="0" t="n">
        <f aca="false">Panel!P151-Panel!P150</f>
        <v>0.00590069620519707</v>
      </c>
      <c r="D156" s="29" t="n">
        <f aca="false">Panel!P150</f>
        <v>-0.00214084417271998</v>
      </c>
      <c r="E156" s="30" t="n">
        <f aca="false">Panel!P150-Panel!P149</f>
        <v>-0.00196331085945012</v>
      </c>
      <c r="F156" s="30" t="n">
        <f aca="false">Panel!P149-Panel!P148</f>
        <v>0.000879383438737946</v>
      </c>
      <c r="G156" s="30" t="n">
        <f aca="false">Panel!P148-Panel!P147</f>
        <v>0.00153545413565226</v>
      </c>
    </row>
    <row r="157" customFormat="false" ht="15" hidden="false" customHeight="false" outlineLevel="0" collapsed="false">
      <c r="C157" s="0" t="n">
        <f aca="false">Panel!P152-Panel!P151</f>
        <v>0.0033518056279167</v>
      </c>
      <c r="D157" s="29" t="n">
        <f aca="false">Panel!P151</f>
        <v>0.00375985203247708</v>
      </c>
      <c r="E157" s="30" t="n">
        <f aca="false">Panel!P151-Panel!P150</f>
        <v>0.00590069620519707</v>
      </c>
      <c r="F157" s="30" t="n">
        <f aca="false">Panel!P150-Panel!P149</f>
        <v>-0.00196331085945012</v>
      </c>
      <c r="G157" s="30" t="n">
        <f aca="false">Panel!P149-Panel!P148</f>
        <v>0.000879383438737946</v>
      </c>
    </row>
    <row r="158" customFormat="false" ht="15" hidden="false" customHeight="false" outlineLevel="0" collapsed="false">
      <c r="C158" s="0" t="n">
        <f aca="false">Panel!P153-Panel!P152</f>
        <v>-0.0015016836328261</v>
      </c>
      <c r="D158" s="29" t="n">
        <f aca="false">Panel!P152</f>
        <v>0.00711165766039379</v>
      </c>
      <c r="E158" s="30" t="n">
        <f aca="false">Panel!P152-Panel!P151</f>
        <v>0.0033518056279167</v>
      </c>
      <c r="F158" s="30" t="n">
        <f aca="false">Panel!P151-Panel!P150</f>
        <v>0.00590069620519707</v>
      </c>
      <c r="G158" s="30" t="n">
        <f aca="false">Panel!P150-Panel!P149</f>
        <v>-0.00196331085945012</v>
      </c>
    </row>
    <row r="159" customFormat="false" ht="15" hidden="false" customHeight="false" outlineLevel="0" collapsed="false">
      <c r="C159" s="0" t="n">
        <f aca="false">Panel!P154-Panel!P153</f>
        <v>0.000901164385187059</v>
      </c>
      <c r="D159" s="29" t="n">
        <f aca="false">Panel!P153</f>
        <v>0.00560997402756769</v>
      </c>
      <c r="E159" s="30" t="n">
        <f aca="false">Panel!P153-Panel!P152</f>
        <v>-0.0015016836328261</v>
      </c>
      <c r="F159" s="30" t="n">
        <f aca="false">Panel!P152-Panel!P151</f>
        <v>0.0033518056279167</v>
      </c>
      <c r="G159" s="30" t="n">
        <f aca="false">Panel!P151-Panel!P150</f>
        <v>0.00590069620519707</v>
      </c>
    </row>
    <row r="160" customFormat="false" ht="15" hidden="false" customHeight="false" outlineLevel="0" collapsed="false">
      <c r="C160" s="0" t="n">
        <f aca="false">Panel!P155-Panel!P154</f>
        <v>4.89591150731883E-005</v>
      </c>
      <c r="D160" s="29" t="n">
        <f aca="false">Panel!P154</f>
        <v>0.00651113841275475</v>
      </c>
      <c r="E160" s="30" t="n">
        <f aca="false">Panel!P154-Panel!P153</f>
        <v>0.000901164385187059</v>
      </c>
      <c r="F160" s="30" t="n">
        <f aca="false">Panel!P153-Panel!P152</f>
        <v>-0.0015016836328261</v>
      </c>
      <c r="G160" s="30" t="n">
        <f aca="false">Panel!P152-Panel!P151</f>
        <v>0.0033518056279167</v>
      </c>
    </row>
    <row r="161" customFormat="false" ht="15" hidden="false" customHeight="false" outlineLevel="0" collapsed="false">
      <c r="C161" s="0" t="n">
        <f aca="false">Panel!P156-Panel!P155</f>
        <v>0.00062920283652268</v>
      </c>
      <c r="D161" s="29" t="n">
        <f aca="false">Panel!P155</f>
        <v>0.00656009752782794</v>
      </c>
      <c r="E161" s="30" t="n">
        <f aca="false">Panel!P155-Panel!P154</f>
        <v>4.89591150731883E-005</v>
      </c>
      <c r="F161" s="30" t="n">
        <f aca="false">Panel!P154-Panel!P153</f>
        <v>0.000901164385187059</v>
      </c>
      <c r="G161" s="30" t="n">
        <f aca="false">Panel!P153-Panel!P152</f>
        <v>-0.0015016836328261</v>
      </c>
    </row>
    <row r="162" customFormat="false" ht="15" hidden="false" customHeight="false" outlineLevel="0" collapsed="false">
      <c r="C162" s="0" t="n">
        <f aca="false">Panel!P157-Panel!P156</f>
        <v>-0.00157619616859073</v>
      </c>
      <c r="D162" s="29" t="n">
        <f aca="false">Panel!P156</f>
        <v>0.00718930036435062</v>
      </c>
      <c r="E162" s="30" t="n">
        <f aca="false">Panel!P156-Panel!P155</f>
        <v>0.00062920283652268</v>
      </c>
      <c r="F162" s="30" t="n">
        <f aca="false">Panel!P155-Panel!P154</f>
        <v>4.89591150731883E-005</v>
      </c>
      <c r="G162" s="30" t="n">
        <f aca="false">Panel!P154-Panel!P153</f>
        <v>0.000901164385187059</v>
      </c>
    </row>
    <row r="163" customFormat="false" ht="15" hidden="false" customHeight="false" outlineLevel="0" collapsed="false">
      <c r="C163" s="0" t="n">
        <f aca="false">Panel!P158-Panel!P157</f>
        <v>-0.000952252633100059</v>
      </c>
      <c r="D163" s="29" t="n">
        <f aca="false">Panel!P157</f>
        <v>0.00561310419575989</v>
      </c>
      <c r="E163" s="30" t="n">
        <f aca="false">Panel!P157-Panel!P156</f>
        <v>-0.00157619616859073</v>
      </c>
      <c r="F163" s="30" t="n">
        <f aca="false">Panel!P156-Panel!P155</f>
        <v>0.00062920283652268</v>
      </c>
      <c r="G163" s="30" t="n">
        <f aca="false">Panel!P155-Panel!P154</f>
        <v>4.89591150731883E-005</v>
      </c>
    </row>
    <row r="164" customFormat="false" ht="15" hidden="false" customHeight="false" outlineLevel="0" collapsed="false">
      <c r="C164" s="0" t="n">
        <f aca="false">Panel!P159-Panel!P158</f>
        <v>0.000904629176156746</v>
      </c>
      <c r="D164" s="29" t="n">
        <f aca="false">Panel!P158</f>
        <v>0.00466085156265983</v>
      </c>
      <c r="E164" s="30" t="n">
        <f aca="false">Panel!P158-Panel!P157</f>
        <v>-0.000952252633100059</v>
      </c>
      <c r="F164" s="30" t="n">
        <f aca="false">Panel!P157-Panel!P156</f>
        <v>-0.00157619616859073</v>
      </c>
      <c r="G164" s="30" t="n">
        <f aca="false">Panel!P156-Panel!P155</f>
        <v>0.00062920283652268</v>
      </c>
    </row>
    <row r="165" customFormat="false" ht="15" hidden="false" customHeight="false" outlineLevel="0" collapsed="false">
      <c r="C165" s="0" t="n">
        <f aca="false">Panel!P160-Panel!P159</f>
        <v>0.00363971837655797</v>
      </c>
      <c r="D165" s="29" t="n">
        <f aca="false">Panel!P159</f>
        <v>0.00556548073881658</v>
      </c>
      <c r="E165" s="30" t="n">
        <f aca="false">Panel!P159-Panel!P158</f>
        <v>0.000904629176156746</v>
      </c>
      <c r="F165" s="30" t="n">
        <f aca="false">Panel!P158-Panel!P157</f>
        <v>-0.000952252633100059</v>
      </c>
      <c r="G165" s="30" t="n">
        <f aca="false">Panel!P157-Panel!P156</f>
        <v>-0.00157619616859073</v>
      </c>
    </row>
    <row r="166" customFormat="false" ht="15" hidden="false" customHeight="false" outlineLevel="0" collapsed="false">
      <c r="C166" s="0" t="n">
        <f aca="false">Panel!P161-Panel!P160</f>
        <v>0.000643598618069063</v>
      </c>
      <c r="D166" s="29" t="n">
        <f aca="false">Panel!P160</f>
        <v>0.00920519911537454</v>
      </c>
      <c r="E166" s="30" t="n">
        <f aca="false">Panel!P160-Panel!P159</f>
        <v>0.00363971837655797</v>
      </c>
      <c r="F166" s="30" t="n">
        <f aca="false">Panel!P159-Panel!P158</f>
        <v>0.000904629176156746</v>
      </c>
      <c r="G166" s="30" t="n">
        <f aca="false">Panel!P158-Panel!P157</f>
        <v>-0.000952252633100059</v>
      </c>
    </row>
    <row r="167" customFormat="false" ht="15" hidden="false" customHeight="false" outlineLevel="0" collapsed="false">
      <c r="C167" s="0" t="n">
        <f aca="false">Panel!P162-Panel!P161</f>
        <v>-0.00536115052894637</v>
      </c>
      <c r="D167" s="29" t="n">
        <f aca="false">Panel!P161</f>
        <v>0.0098487977334436</v>
      </c>
      <c r="E167" s="30" t="n">
        <f aca="false">Panel!P161-Panel!P160</f>
        <v>0.000643598618069063</v>
      </c>
      <c r="F167" s="30" t="n">
        <f aca="false">Panel!P160-Panel!P159</f>
        <v>0.00363971837655797</v>
      </c>
      <c r="G167" s="30" t="n">
        <f aca="false">Panel!P159-Panel!P158</f>
        <v>0.000904629176156746</v>
      </c>
    </row>
    <row r="168" customFormat="false" ht="15" hidden="false" customHeight="false" outlineLevel="0" collapsed="false">
      <c r="C168" s="0" t="n">
        <f aca="false">Panel!P163-Panel!P162</f>
        <v>0.00223360493645508</v>
      </c>
      <c r="D168" s="29" t="n">
        <f aca="false">Panel!P162</f>
        <v>0.00448764720449724</v>
      </c>
      <c r="E168" s="30" t="n">
        <f aca="false">Panel!P162-Panel!P161</f>
        <v>-0.00536115052894637</v>
      </c>
      <c r="F168" s="30" t="n">
        <f aca="false">Panel!P161-Panel!P160</f>
        <v>0.000643598618069063</v>
      </c>
      <c r="G168" s="30" t="n">
        <f aca="false">Panel!P160-Panel!P159</f>
        <v>0.00363971837655797</v>
      </c>
    </row>
    <row r="169" customFormat="false" ht="15" hidden="false" customHeight="false" outlineLevel="0" collapsed="false">
      <c r="C169" s="0" t="n">
        <f aca="false">Panel!P164-Panel!P163</f>
        <v>-0.00340264386541023</v>
      </c>
      <c r="D169" s="29" t="n">
        <f aca="false">Panel!P163</f>
        <v>0.00672125214095232</v>
      </c>
      <c r="E169" s="30" t="n">
        <f aca="false">Panel!P163-Panel!P162</f>
        <v>0.00223360493645508</v>
      </c>
      <c r="F169" s="30" t="n">
        <f aca="false">Panel!P162-Panel!P161</f>
        <v>-0.00536115052894637</v>
      </c>
      <c r="G169" s="30" t="n">
        <f aca="false">Panel!P161-Panel!P160</f>
        <v>0.000643598618069063</v>
      </c>
    </row>
    <row r="170" customFormat="false" ht="15" hidden="false" customHeight="false" outlineLevel="0" collapsed="false">
      <c r="C170" s="0" t="n">
        <f aca="false">Panel!P165-Panel!P164</f>
        <v>0.00336114405596355</v>
      </c>
      <c r="D170" s="29" t="n">
        <f aca="false">Panel!P164</f>
        <v>0.00331860827554209</v>
      </c>
      <c r="E170" s="30" t="n">
        <f aca="false">Panel!P164-Panel!P163</f>
        <v>-0.00340264386541023</v>
      </c>
      <c r="F170" s="30" t="n">
        <f aca="false">Panel!P163-Panel!P162</f>
        <v>0.00223360493645508</v>
      </c>
      <c r="G170" s="30" t="n">
        <f aca="false">Panel!P162-Panel!P161</f>
        <v>-0.00536115052894637</v>
      </c>
    </row>
    <row r="171" customFormat="false" ht="15" hidden="false" customHeight="false" outlineLevel="0" collapsed="false">
      <c r="C171" s="0" t="n">
        <f aca="false">Panel!P166-Panel!P165</f>
        <v>-0.00189532867764974</v>
      </c>
      <c r="D171" s="29" t="n">
        <f aca="false">Panel!P165</f>
        <v>0.00667975233150564</v>
      </c>
      <c r="E171" s="30" t="n">
        <f aca="false">Panel!P165-Panel!P164</f>
        <v>0.00336114405596355</v>
      </c>
      <c r="F171" s="30" t="n">
        <f aca="false">Panel!P164-Panel!P163</f>
        <v>-0.00340264386541023</v>
      </c>
      <c r="G171" s="30" t="n">
        <f aca="false">Panel!P163-Panel!P162</f>
        <v>0.00223360493645508</v>
      </c>
    </row>
    <row r="172" customFormat="false" ht="15" hidden="false" customHeight="false" outlineLevel="0" collapsed="false">
      <c r="C172" s="0" t="n">
        <f aca="false">Panel!P167-Panel!P166</f>
        <v>-0.00065851286304941</v>
      </c>
      <c r="D172" s="29" t="n">
        <f aca="false">Panel!P166</f>
        <v>0.0047844236538559</v>
      </c>
      <c r="E172" s="30" t="n">
        <f aca="false">Panel!P166-Panel!P165</f>
        <v>-0.00189532867764974</v>
      </c>
      <c r="F172" s="30" t="n">
        <f aca="false">Panel!P165-Panel!P164</f>
        <v>0.00336114405596355</v>
      </c>
      <c r="G172" s="30" t="n">
        <f aca="false">Panel!P164-Panel!P163</f>
        <v>-0.00340264386541023</v>
      </c>
    </row>
    <row r="173" customFormat="false" ht="15" hidden="false" customHeight="false" outlineLevel="0" collapsed="false">
      <c r="C173" s="0" t="n">
        <f aca="false">Panel!P168-Panel!P167</f>
        <v>-0.000130668262359634</v>
      </c>
      <c r="D173" s="29" t="n">
        <f aca="false">Panel!P167</f>
        <v>0.00412591079080649</v>
      </c>
      <c r="E173" s="30" t="n">
        <f aca="false">Panel!P167-Panel!P166</f>
        <v>-0.00065851286304941</v>
      </c>
      <c r="F173" s="30" t="n">
        <f aca="false">Panel!P166-Panel!P165</f>
        <v>-0.00189532867764974</v>
      </c>
      <c r="G173" s="30" t="n">
        <f aca="false">Panel!P165-Panel!P164</f>
        <v>0.00336114405596355</v>
      </c>
    </row>
    <row r="174" customFormat="false" ht="15" hidden="false" customHeight="false" outlineLevel="0" collapsed="false">
      <c r="C174" s="0" t="n">
        <f aca="false">Panel!P169-Panel!P168</f>
        <v>0.00109086283539384</v>
      </c>
      <c r="D174" s="29" t="n">
        <f aca="false">Panel!P168</f>
        <v>0.00399524252844685</v>
      </c>
      <c r="E174" s="30" t="n">
        <f aca="false">Panel!P168-Panel!P167</f>
        <v>-0.000130668262359634</v>
      </c>
      <c r="F174" s="30" t="n">
        <f aca="false">Panel!P167-Panel!P166</f>
        <v>-0.00065851286304941</v>
      </c>
      <c r="G174" s="30" t="n">
        <f aca="false">Panel!P166-Panel!P165</f>
        <v>-0.00189532867764974</v>
      </c>
    </row>
    <row r="175" customFormat="false" ht="15" hidden="false" customHeight="false" outlineLevel="0" collapsed="false">
      <c r="C175" s="0" t="n">
        <f aca="false">Panel!P170-Panel!P169</f>
        <v>0.00346262383703966</v>
      </c>
      <c r="D175" s="29" t="n">
        <f aca="false">Panel!P169</f>
        <v>0.00508610536384069</v>
      </c>
      <c r="E175" s="30" t="n">
        <f aca="false">Panel!P169-Panel!P168</f>
        <v>0.00109086283539384</v>
      </c>
      <c r="F175" s="30" t="n">
        <f aca="false">Panel!P168-Panel!P167</f>
        <v>-0.000130668262359634</v>
      </c>
      <c r="G175" s="30" t="n">
        <f aca="false">Panel!P167-Panel!P166</f>
        <v>-0.00065851286304941</v>
      </c>
    </row>
    <row r="176" customFormat="false" ht="15" hidden="false" customHeight="false" outlineLevel="0" collapsed="false">
      <c r="C176" s="0" t="n">
        <f aca="false">Panel!P171-Panel!P170</f>
        <v>-0.000364677163601002</v>
      </c>
      <c r="D176" s="29" t="n">
        <f aca="false">Panel!P170</f>
        <v>0.00854872920088035</v>
      </c>
      <c r="E176" s="30" t="n">
        <f aca="false">Panel!P170-Panel!P169</f>
        <v>0.00346262383703966</v>
      </c>
      <c r="F176" s="30" t="n">
        <f aca="false">Panel!P169-Panel!P168</f>
        <v>0.00109086283539384</v>
      </c>
      <c r="G176" s="30" t="n">
        <f aca="false">Panel!P168-Panel!P167</f>
        <v>-0.000130668262359634</v>
      </c>
    </row>
    <row r="177" customFormat="false" ht="15" hidden="false" customHeight="false" outlineLevel="0" collapsed="false">
      <c r="C177" s="0" t="n">
        <f aca="false">Panel!P172-Panel!P171</f>
        <v>-0.000467216015037408</v>
      </c>
      <c r="D177" s="29" t="n">
        <f aca="false">Panel!P171</f>
        <v>0.00818405203727934</v>
      </c>
      <c r="E177" s="30" t="n">
        <f aca="false">Panel!P171-Panel!P170</f>
        <v>-0.000364677163601002</v>
      </c>
      <c r="F177" s="30" t="n">
        <f aca="false">Panel!P170-Panel!P169</f>
        <v>0.00346262383703966</v>
      </c>
      <c r="G177" s="30" t="n">
        <f aca="false">Panel!P169-Panel!P168</f>
        <v>0.00109086283539384</v>
      </c>
    </row>
    <row r="178" customFormat="false" ht="15" hidden="false" customHeight="false" outlineLevel="0" collapsed="false">
      <c r="C178" s="0" t="n">
        <f aca="false">Panel!P173-Panel!P172</f>
        <v>-0.00171823077162259</v>
      </c>
      <c r="D178" s="29" t="n">
        <f aca="false">Panel!P172</f>
        <v>0.00771683602224194</v>
      </c>
      <c r="E178" s="30" t="n">
        <f aca="false">Panel!P172-Panel!P171</f>
        <v>-0.000467216015037408</v>
      </c>
      <c r="F178" s="30" t="n">
        <f aca="false">Panel!P171-Panel!P170</f>
        <v>-0.000364677163601002</v>
      </c>
      <c r="G178" s="30" t="n">
        <f aca="false">Panel!P170-Panel!P169</f>
        <v>0.00346262383703966</v>
      </c>
    </row>
    <row r="179" customFormat="false" ht="15" hidden="false" customHeight="false" outlineLevel="0" collapsed="false">
      <c r="C179" s="0" t="n">
        <f aca="false">Panel!P174-Panel!P173</f>
        <v>0.00319702372622999</v>
      </c>
      <c r="D179" s="29" t="n">
        <f aca="false">Panel!P173</f>
        <v>0.00599860525061935</v>
      </c>
      <c r="E179" s="30" t="n">
        <f aca="false">Panel!P173-Panel!P172</f>
        <v>-0.00171823077162259</v>
      </c>
      <c r="F179" s="30" t="n">
        <f aca="false">Panel!P172-Panel!P171</f>
        <v>-0.000467216015037408</v>
      </c>
      <c r="G179" s="30" t="n">
        <f aca="false">Panel!P171-Panel!P170</f>
        <v>-0.000364677163601002</v>
      </c>
    </row>
    <row r="180" customFormat="false" ht="15" hidden="false" customHeight="false" outlineLevel="0" collapsed="false">
      <c r="C180" s="0" t="n">
        <f aca="false">Panel!P175-Panel!P174</f>
        <v>-0.00240286933055423</v>
      </c>
      <c r="D180" s="29" t="n">
        <f aca="false">Panel!P174</f>
        <v>0.00919562897684934</v>
      </c>
      <c r="E180" s="30" t="n">
        <f aca="false">Panel!P174-Panel!P173</f>
        <v>0.00319702372622999</v>
      </c>
      <c r="F180" s="30" t="n">
        <f aca="false">Panel!P173-Panel!P172</f>
        <v>-0.00171823077162259</v>
      </c>
      <c r="G180" s="30" t="n">
        <f aca="false">Panel!P172-Panel!P171</f>
        <v>-0.000467216015037408</v>
      </c>
    </row>
    <row r="181" customFormat="false" ht="15" hidden="false" customHeight="false" outlineLevel="0" collapsed="false">
      <c r="C181" s="0" t="n">
        <f aca="false">Panel!P176-Panel!P175</f>
        <v>-0.00278644144988149</v>
      </c>
      <c r="D181" s="29" t="n">
        <f aca="false">Panel!P175</f>
        <v>0.00679275964629511</v>
      </c>
      <c r="E181" s="30" t="n">
        <f aca="false">Panel!P175-Panel!P174</f>
        <v>-0.00240286933055423</v>
      </c>
      <c r="F181" s="30" t="n">
        <f aca="false">Panel!P174-Panel!P173</f>
        <v>0.00319702372622999</v>
      </c>
      <c r="G181" s="30" t="n">
        <f aca="false">Panel!P173-Panel!P172</f>
        <v>-0.00171823077162259</v>
      </c>
    </row>
    <row r="182" customFormat="false" ht="15" hidden="false" customHeight="false" outlineLevel="0" collapsed="false">
      <c r="C182" s="0" t="n">
        <f aca="false">Panel!P177-Panel!P176</f>
        <v>0.0034697453440824</v>
      </c>
      <c r="D182" s="29" t="n">
        <f aca="false">Panel!P176</f>
        <v>0.00400631819641362</v>
      </c>
      <c r="E182" s="30" t="n">
        <f aca="false">Panel!P176-Panel!P175</f>
        <v>-0.00278644144988149</v>
      </c>
      <c r="F182" s="30" t="n">
        <f aca="false">Panel!P175-Panel!P174</f>
        <v>-0.00240286933055423</v>
      </c>
      <c r="G182" s="30" t="n">
        <f aca="false">Panel!P174-Panel!P173</f>
        <v>0.00319702372622999</v>
      </c>
    </row>
    <row r="183" customFormat="false" ht="15" hidden="false" customHeight="false" outlineLevel="0" collapsed="false">
      <c r="C183" s="0" t="n">
        <f aca="false">Panel!P178-Panel!P177</f>
        <v>0.00015372897154009</v>
      </c>
      <c r="D183" s="29" t="n">
        <f aca="false">Panel!P177</f>
        <v>0.00747606354049601</v>
      </c>
      <c r="E183" s="30" t="n">
        <f aca="false">Panel!P177-Panel!P176</f>
        <v>0.0034697453440824</v>
      </c>
      <c r="F183" s="30" t="n">
        <f aca="false">Panel!P176-Panel!P175</f>
        <v>-0.00278644144988149</v>
      </c>
      <c r="G183" s="30" t="n">
        <f aca="false">Panel!P175-Panel!P174</f>
        <v>-0.00240286933055423</v>
      </c>
    </row>
    <row r="184" customFormat="false" ht="15" hidden="false" customHeight="false" outlineLevel="0" collapsed="false">
      <c r="C184" s="0" t="n">
        <f aca="false">Panel!P179-Panel!P178</f>
        <v>-0.00236131246937177</v>
      </c>
      <c r="D184" s="29" t="n">
        <f aca="false">Panel!P178</f>
        <v>0.0076297925120361</v>
      </c>
      <c r="E184" s="30" t="n">
        <f aca="false">Panel!P178-Panel!P177</f>
        <v>0.00015372897154009</v>
      </c>
      <c r="F184" s="30" t="n">
        <f aca="false">Panel!P177-Panel!P176</f>
        <v>0.0034697453440824</v>
      </c>
      <c r="G184" s="30" t="n">
        <f aca="false">Panel!P176-Panel!P175</f>
        <v>-0.00278644144988149</v>
      </c>
    </row>
    <row r="185" customFormat="false" ht="15" hidden="false" customHeight="false" outlineLevel="0" collapsed="false">
      <c r="C185" s="0" t="n">
        <f aca="false">Panel!P180-Panel!P179</f>
        <v>0.000801626761271379</v>
      </c>
      <c r="D185" s="29" t="n">
        <f aca="false">Panel!P179</f>
        <v>0.00526848004266434</v>
      </c>
      <c r="E185" s="30" t="n">
        <f aca="false">Panel!P179-Panel!P178</f>
        <v>-0.00236131246937177</v>
      </c>
      <c r="F185" s="30" t="n">
        <f aca="false">Panel!P178-Panel!P177</f>
        <v>0.00015372897154009</v>
      </c>
      <c r="G185" s="30" t="n">
        <f aca="false">Panel!P177-Panel!P176</f>
        <v>0.0034697453440824</v>
      </c>
    </row>
    <row r="186" customFormat="false" ht="15" hidden="false" customHeight="false" outlineLevel="0" collapsed="false">
      <c r="C186" s="0" t="n">
        <f aca="false">Panel!P181-Panel!P180</f>
        <v>6.75794601558977E-005</v>
      </c>
      <c r="D186" s="29" t="n">
        <f aca="false">Panel!P180</f>
        <v>0.00607010680393572</v>
      </c>
      <c r="E186" s="30" t="n">
        <f aca="false">Panel!P180-Panel!P179</f>
        <v>0.000801626761271379</v>
      </c>
      <c r="F186" s="30" t="n">
        <f aca="false">Panel!P179-Panel!P178</f>
        <v>-0.00236131246937177</v>
      </c>
      <c r="G186" s="30" t="n">
        <f aca="false">Panel!P178-Panel!P177</f>
        <v>0.00015372897154009</v>
      </c>
    </row>
    <row r="187" customFormat="false" ht="15" hidden="false" customHeight="false" outlineLevel="0" collapsed="false">
      <c r="C187" s="0" t="n">
        <f aca="false">Panel!P182-Panel!P181</f>
        <v>-0.00116492743583763</v>
      </c>
      <c r="D187" s="29" t="n">
        <f aca="false">Panel!P181</f>
        <v>0.00613768626409161</v>
      </c>
      <c r="E187" s="30" t="n">
        <f aca="false">Panel!P181-Panel!P180</f>
        <v>6.75794601558977E-005</v>
      </c>
      <c r="F187" s="30" t="n">
        <f aca="false">Panel!P180-Panel!P179</f>
        <v>0.000801626761271379</v>
      </c>
      <c r="G187" s="30" t="n">
        <f aca="false">Panel!P179-Panel!P178</f>
        <v>-0.00236131246937177</v>
      </c>
    </row>
    <row r="188" customFormat="false" ht="15" hidden="false" customHeight="false" outlineLevel="0" collapsed="false">
      <c r="C188" s="0" t="n">
        <f aca="false">Panel!P183-Panel!P182</f>
        <v>-0.00216249473242414</v>
      </c>
      <c r="D188" s="29" t="n">
        <f aca="false">Panel!P182</f>
        <v>0.00497275882825399</v>
      </c>
      <c r="E188" s="30" t="n">
        <f aca="false">Panel!P182-Panel!P181</f>
        <v>-0.00116492743583763</v>
      </c>
      <c r="F188" s="30" t="n">
        <f aca="false">Panel!P181-Panel!P180</f>
        <v>6.75794601558977E-005</v>
      </c>
      <c r="G188" s="30" t="n">
        <f aca="false">Panel!P180-Panel!P179</f>
        <v>0.000801626761271379</v>
      </c>
    </row>
    <row r="189" customFormat="false" ht="15" hidden="false" customHeight="false" outlineLevel="0" collapsed="false">
      <c r="C189" s="0" t="n">
        <f aca="false">Panel!P184-Panel!P183</f>
        <v>0.00143510760732646</v>
      </c>
      <c r="D189" s="29" t="n">
        <f aca="false">Panel!P183</f>
        <v>0.00281026409582985</v>
      </c>
      <c r="E189" s="30" t="n">
        <f aca="false">Panel!P183-Panel!P182</f>
        <v>-0.00216249473242414</v>
      </c>
      <c r="F189" s="30" t="n">
        <f aca="false">Panel!P182-Panel!P181</f>
        <v>-0.00116492743583763</v>
      </c>
      <c r="G189" s="30" t="n">
        <f aca="false">Panel!P181-Panel!P180</f>
        <v>6.75794601558977E-005</v>
      </c>
    </row>
    <row r="190" customFormat="false" ht="15" hidden="false" customHeight="false" outlineLevel="0" collapsed="false">
      <c r="C190" s="0" t="n">
        <f aca="false">Panel!P185-Panel!P184</f>
        <v>-0.000549529778821167</v>
      </c>
      <c r="D190" s="29" t="n">
        <f aca="false">Panel!P184</f>
        <v>0.00424537170315631</v>
      </c>
      <c r="E190" s="30" t="n">
        <f aca="false">Panel!P184-Panel!P183</f>
        <v>0.00143510760732646</v>
      </c>
      <c r="F190" s="30" t="n">
        <f aca="false">Panel!P183-Panel!P182</f>
        <v>-0.00216249473242414</v>
      </c>
      <c r="G190" s="30" t="n">
        <f aca="false">Panel!P182-Panel!P181</f>
        <v>-0.00116492743583763</v>
      </c>
    </row>
    <row r="191" customFormat="false" ht="15" hidden="false" customHeight="false" outlineLevel="0" collapsed="false">
      <c r="C191" s="0" t="n">
        <f aca="false">Panel!P186-Panel!P185</f>
        <v>-0.00114775989013083</v>
      </c>
      <c r="D191" s="29" t="n">
        <f aca="false">Panel!P185</f>
        <v>0.00369584192433514</v>
      </c>
      <c r="E191" s="30" t="n">
        <f aca="false">Panel!P185-Panel!P184</f>
        <v>-0.000549529778821167</v>
      </c>
      <c r="F191" s="30" t="n">
        <f aca="false">Panel!P184-Panel!P183</f>
        <v>0.00143510760732646</v>
      </c>
      <c r="G191" s="30" t="n">
        <f aca="false">Panel!P183-Panel!P182</f>
        <v>-0.00216249473242414</v>
      </c>
    </row>
    <row r="192" customFormat="false" ht="15" hidden="false" customHeight="false" outlineLevel="0" collapsed="false">
      <c r="C192" s="0" t="n">
        <f aca="false">Panel!P187-Panel!P186</f>
        <v>-0.00575958194426818</v>
      </c>
      <c r="D192" s="29" t="n">
        <f aca="false">Panel!P186</f>
        <v>0.00254808203420431</v>
      </c>
      <c r="E192" s="30" t="n">
        <f aca="false">Panel!P186-Panel!P185</f>
        <v>-0.00114775989013083</v>
      </c>
      <c r="F192" s="30" t="n">
        <f aca="false">Panel!P185-Panel!P184</f>
        <v>-0.000549529778821167</v>
      </c>
      <c r="G192" s="30" t="n">
        <f aca="false">Panel!P184-Panel!P183</f>
        <v>0.00143510760732646</v>
      </c>
    </row>
    <row r="193" customFormat="false" ht="15" hidden="false" customHeight="false" outlineLevel="0" collapsed="false">
      <c r="C193" s="0" t="n">
        <f aca="false">Panel!P188-Panel!P187</f>
        <v>0.0053324596577653</v>
      </c>
      <c r="D193" s="29" t="n">
        <f aca="false">Panel!P187</f>
        <v>-0.00321149991006386</v>
      </c>
      <c r="E193" s="30" t="n">
        <f aca="false">Panel!P187-Panel!P186</f>
        <v>-0.00575958194426818</v>
      </c>
      <c r="F193" s="30" t="n">
        <f aca="false">Panel!P186-Panel!P185</f>
        <v>-0.00114775989013083</v>
      </c>
      <c r="G193" s="30" t="n">
        <f aca="false">Panel!P185-Panel!P184</f>
        <v>-0.000549529778821167</v>
      </c>
    </row>
    <row r="194" customFormat="false" ht="15" hidden="false" customHeight="false" outlineLevel="0" collapsed="false">
      <c r="C194" s="0" t="n">
        <f aca="false">Panel!P189-Panel!P188</f>
        <v>-0.00336301288890439</v>
      </c>
      <c r="D194" s="29" t="n">
        <f aca="false">Panel!P188</f>
        <v>0.00212095974770143</v>
      </c>
      <c r="E194" s="30" t="n">
        <f aca="false">Panel!P188-Panel!P187</f>
        <v>0.0053324596577653</v>
      </c>
      <c r="F194" s="30" t="n">
        <f aca="false">Panel!P187-Panel!P186</f>
        <v>-0.00575958194426818</v>
      </c>
      <c r="G194" s="30" t="n">
        <f aca="false">Panel!P186-Panel!P185</f>
        <v>-0.00114775989013083</v>
      </c>
    </row>
    <row r="195" customFormat="false" ht="15" hidden="false" customHeight="false" outlineLevel="0" collapsed="false">
      <c r="C195" s="0" t="n">
        <f aca="false">Panel!P190-Panel!P189</f>
        <v>0.010761036686203</v>
      </c>
      <c r="D195" s="29" t="n">
        <f aca="false">Panel!P189</f>
        <v>-0.00124205314120296</v>
      </c>
      <c r="E195" s="30" t="n">
        <f aca="false">Panel!P189-Panel!P188</f>
        <v>-0.00336301288890439</v>
      </c>
      <c r="F195" s="30" t="n">
        <f aca="false">Panel!P188-Panel!P187</f>
        <v>0.0053324596577653</v>
      </c>
      <c r="G195" s="30" t="n">
        <f aca="false">Panel!P187-Panel!P186</f>
        <v>-0.00575958194426818</v>
      </c>
    </row>
    <row r="196" customFormat="false" ht="15" hidden="false" customHeight="false" outlineLevel="0" collapsed="false">
      <c r="C196" s="0" t="n">
        <f aca="false">Panel!P191-Panel!P190</f>
        <v>-0.00384310606081506</v>
      </c>
      <c r="D196" s="29" t="n">
        <f aca="false">Panel!P190</f>
        <v>0.00951898354500003</v>
      </c>
      <c r="E196" s="30" t="n">
        <f aca="false">Panel!P190-Panel!P189</f>
        <v>0.010761036686203</v>
      </c>
      <c r="F196" s="30" t="n">
        <f aca="false">Panel!P189-Panel!P188</f>
        <v>-0.00336301288890439</v>
      </c>
      <c r="G196" s="30" t="n">
        <f aca="false">Panel!P188-Panel!P187</f>
        <v>0.0053324596577653</v>
      </c>
    </row>
    <row r="197" customFormat="false" ht="15" hidden="false" customHeight="false" outlineLevel="0" collapsed="false">
      <c r="C197" s="0" t="n">
        <f aca="false">Panel!P192-Panel!P191</f>
        <v>-0.000340995670638833</v>
      </c>
      <c r="D197" s="29" t="n">
        <f aca="false">Panel!P191</f>
        <v>0.00567587748418497</v>
      </c>
      <c r="E197" s="30" t="n">
        <f aca="false">Panel!P191-Panel!P190</f>
        <v>-0.00384310606081506</v>
      </c>
      <c r="F197" s="30" t="n">
        <f aca="false">Panel!P190-Panel!P189</f>
        <v>0.010761036686203</v>
      </c>
      <c r="G197" s="30" t="n">
        <f aca="false">Panel!P189-Panel!P188</f>
        <v>-0.00336301288890439</v>
      </c>
    </row>
    <row r="198" customFormat="false" ht="15" hidden="false" customHeight="false" outlineLevel="0" collapsed="false">
      <c r="C198" s="0" t="n">
        <f aca="false">Panel!P193-Panel!P192</f>
        <v>-0.000994663455479383</v>
      </c>
      <c r="D198" s="29" t="n">
        <f aca="false">Panel!P192</f>
        <v>0.00533488181354613</v>
      </c>
      <c r="E198" s="30" t="n">
        <f aca="false">Panel!P192-Panel!P191</f>
        <v>-0.000340995670638833</v>
      </c>
      <c r="F198" s="30" t="n">
        <f aca="false">Panel!P191-Panel!P190</f>
        <v>-0.00384310606081506</v>
      </c>
      <c r="G198" s="30" t="n">
        <f aca="false">Panel!P190-Panel!P189</f>
        <v>0.010761036686203</v>
      </c>
    </row>
    <row r="199" customFormat="false" ht="15" hidden="false" customHeight="false" outlineLevel="0" collapsed="false">
      <c r="C199" s="0" t="n">
        <f aca="false">Panel!P194-Panel!P193</f>
        <v>0.00372483870946994</v>
      </c>
      <c r="D199" s="29" t="n">
        <f aca="false">Panel!P193</f>
        <v>0.00434021835806675</v>
      </c>
      <c r="E199" s="30" t="n">
        <f aca="false">Panel!P193-Panel!P192</f>
        <v>-0.000994663455479383</v>
      </c>
      <c r="F199" s="30" t="n">
        <f aca="false">Panel!P192-Panel!P191</f>
        <v>-0.000340995670638833</v>
      </c>
      <c r="G199" s="30" t="n">
        <f aca="false">Panel!P191-Panel!P190</f>
        <v>-0.00384310606081506</v>
      </c>
    </row>
    <row r="200" customFormat="false" ht="15" hidden="false" customHeight="false" outlineLevel="0" collapsed="false">
      <c r="C200" s="0" t="n">
        <f aca="false">Panel!P195-Panel!P194</f>
        <v>-0.0022569799522234</v>
      </c>
      <c r="D200" s="29" t="n">
        <f aca="false">Panel!P194</f>
        <v>0.00806505706753669</v>
      </c>
      <c r="E200" s="30" t="n">
        <f aca="false">Panel!P194-Panel!P193</f>
        <v>0.00372483870946994</v>
      </c>
      <c r="F200" s="30" t="n">
        <f aca="false">Panel!P193-Panel!P192</f>
        <v>-0.000994663455479383</v>
      </c>
      <c r="G200" s="30" t="n">
        <f aca="false">Panel!P192-Panel!P191</f>
        <v>-0.000340995670638833</v>
      </c>
    </row>
    <row r="201" customFormat="false" ht="15" hidden="false" customHeight="false" outlineLevel="0" collapsed="false">
      <c r="C201" s="0" t="n">
        <f aca="false">Panel!P196-Panel!P195</f>
        <v>0.00220869811717783</v>
      </c>
      <c r="D201" s="29" t="n">
        <f aca="false">Panel!P195</f>
        <v>0.00580807711531328</v>
      </c>
      <c r="E201" s="30" t="n">
        <f aca="false">Panel!P195-Panel!P194</f>
        <v>-0.0022569799522234</v>
      </c>
      <c r="F201" s="30" t="n">
        <f aca="false">Panel!P194-Panel!P193</f>
        <v>0.00372483870946994</v>
      </c>
      <c r="G201" s="30" t="n">
        <f aca="false">Panel!P193-Panel!P192</f>
        <v>-0.000994663455479383</v>
      </c>
    </row>
    <row r="202" customFormat="false" ht="15" hidden="false" customHeight="false" outlineLevel="0" collapsed="false">
      <c r="C202" s="0" t="n">
        <f aca="false">Panel!P197-Panel!P196</f>
        <v>-0.00137109509596201</v>
      </c>
      <c r="D202" s="29" t="n">
        <f aca="false">Panel!P196</f>
        <v>0.00801677523249111</v>
      </c>
      <c r="E202" s="30" t="n">
        <f aca="false">Panel!P196-Panel!P195</f>
        <v>0.00220869811717783</v>
      </c>
      <c r="F202" s="30" t="n">
        <f aca="false">Panel!P195-Panel!P194</f>
        <v>-0.0022569799522234</v>
      </c>
      <c r="G202" s="30" t="n">
        <f aca="false">Panel!P194-Panel!P193</f>
        <v>0.00372483870946994</v>
      </c>
    </row>
    <row r="203" customFormat="false" ht="15" hidden="false" customHeight="false" outlineLevel="0" collapsed="false">
      <c r="C203" s="0" t="n">
        <f aca="false">Panel!P198-Panel!P197</f>
        <v>-0.000619777585951553</v>
      </c>
      <c r="D203" s="29" t="n">
        <f aca="false">Panel!P197</f>
        <v>0.00664568013652911</v>
      </c>
      <c r="E203" s="30" t="n">
        <f aca="false">Panel!P197-Panel!P196</f>
        <v>-0.00137109509596201</v>
      </c>
      <c r="F203" s="30" t="n">
        <f aca="false">Panel!P196-Panel!P195</f>
        <v>0.00220869811717783</v>
      </c>
      <c r="G203" s="30" t="n">
        <f aca="false">Panel!P195-Panel!P194</f>
        <v>-0.0022569799522234</v>
      </c>
    </row>
    <row r="204" customFormat="false" ht="15" hidden="false" customHeight="false" outlineLevel="0" collapsed="false">
      <c r="C204" s="0" t="n">
        <f aca="false">Panel!P199-Panel!P198</f>
        <v>0.00043174944370783</v>
      </c>
      <c r="D204" s="29" t="n">
        <f aca="false">Panel!P198</f>
        <v>0.00602590255057756</v>
      </c>
      <c r="E204" s="30" t="n">
        <f aca="false">Panel!P198-Panel!P197</f>
        <v>-0.000619777585951553</v>
      </c>
      <c r="F204" s="30" t="n">
        <f aca="false">Panel!P197-Panel!P196</f>
        <v>-0.00137109509596201</v>
      </c>
      <c r="G204" s="30" t="n">
        <f aca="false">Panel!P196-Panel!P195</f>
        <v>0.00220869811717783</v>
      </c>
    </row>
    <row r="205" customFormat="false" ht="15" hidden="false" customHeight="false" outlineLevel="0" collapsed="false">
      <c r="C205" s="0" t="n">
        <f aca="false">Panel!P200-Panel!P199</f>
        <v>-0.00181567505615021</v>
      </c>
      <c r="D205" s="29" t="n">
        <f aca="false">Panel!P199</f>
        <v>0.00645765199428539</v>
      </c>
      <c r="E205" s="30" t="n">
        <f aca="false">Panel!P199-Panel!P198</f>
        <v>0.00043174944370783</v>
      </c>
      <c r="F205" s="30" t="n">
        <f aca="false">Panel!P198-Panel!P197</f>
        <v>-0.000619777585951553</v>
      </c>
      <c r="G205" s="30" t="n">
        <f aca="false">Panel!P197-Panel!P196</f>
        <v>-0.00137109509596201</v>
      </c>
    </row>
    <row r="206" customFormat="false" ht="15" hidden="false" customHeight="false" outlineLevel="0" collapsed="false">
      <c r="C206" s="0" t="n">
        <f aca="false">Panel!P201-Panel!P200</f>
        <v>0.00148566169747077</v>
      </c>
      <c r="D206" s="29" t="n">
        <f aca="false">Panel!P200</f>
        <v>0.00464197693813517</v>
      </c>
      <c r="E206" s="30" t="n">
        <f aca="false">Panel!P200-Panel!P199</f>
        <v>-0.00181567505615021</v>
      </c>
      <c r="F206" s="30" t="n">
        <f aca="false">Panel!P199-Panel!P198</f>
        <v>0.00043174944370783</v>
      </c>
      <c r="G206" s="30" t="n">
        <f aca="false">Panel!P198-Panel!P197</f>
        <v>-0.000619777585951553</v>
      </c>
    </row>
    <row r="207" customFormat="false" ht="15" hidden="false" customHeight="false" outlineLevel="0" collapsed="false">
      <c r="C207" s="0" t="n">
        <f aca="false">Panel!P202-Panel!P201</f>
        <v>8.76534032023812E-006</v>
      </c>
      <c r="D207" s="29" t="n">
        <f aca="false">Panel!P201</f>
        <v>0.00612763863560595</v>
      </c>
      <c r="E207" s="30" t="n">
        <f aca="false">Panel!P201-Panel!P200</f>
        <v>0.00148566169747077</v>
      </c>
      <c r="F207" s="30" t="n">
        <f aca="false">Panel!P200-Panel!P199</f>
        <v>-0.00181567505615021</v>
      </c>
      <c r="G207" s="30" t="n">
        <f aca="false">Panel!P199-Panel!P198</f>
        <v>0.00043174944370783</v>
      </c>
    </row>
    <row r="208" customFormat="false" ht="15" hidden="false" customHeight="false" outlineLevel="0" collapsed="false">
      <c r="C208" s="0" t="n">
        <f aca="false">Panel!P203-Panel!P202</f>
        <v>-0.000345276115554682</v>
      </c>
      <c r="D208" s="29" t="n">
        <f aca="false">Panel!P202</f>
        <v>0.00613640397592619</v>
      </c>
      <c r="E208" s="30" t="n">
        <f aca="false">Panel!P202-Panel!P201</f>
        <v>8.76534032023812E-006</v>
      </c>
      <c r="F208" s="30" t="n">
        <f aca="false">Panel!P201-Panel!P200</f>
        <v>0.00148566169747077</v>
      </c>
      <c r="G208" s="30" t="n">
        <f aca="false">Panel!P200-Panel!P199</f>
        <v>-0.00181567505615021</v>
      </c>
    </row>
    <row r="209" customFormat="false" ht="15" hidden="false" customHeight="false" outlineLevel="0" collapsed="false">
      <c r="C209" s="0" t="n">
        <f aca="false">Panel!P204-Panel!P203</f>
        <v>-0.00165783992045654</v>
      </c>
      <c r="D209" s="29" t="n">
        <f aca="false">Panel!P203</f>
        <v>0.0057911278603715</v>
      </c>
      <c r="E209" s="30" t="n">
        <f aca="false">Panel!P203-Panel!P202</f>
        <v>-0.000345276115554682</v>
      </c>
      <c r="F209" s="30" t="n">
        <f aca="false">Panel!P202-Panel!P201</f>
        <v>8.76534032023812E-006</v>
      </c>
      <c r="G209" s="30" t="n">
        <f aca="false">Panel!P201-Panel!P200</f>
        <v>0.00148566169747077</v>
      </c>
    </row>
    <row r="210" customFormat="false" ht="15" hidden="false" customHeight="false" outlineLevel="0" collapsed="false">
      <c r="C210" s="0" t="n">
        <f aca="false">Panel!P205-Panel!P204</f>
        <v>-3.35983031725107E-005</v>
      </c>
      <c r="D210" s="29" t="n">
        <f aca="false">Panel!P204</f>
        <v>0.00413328793991497</v>
      </c>
      <c r="E210" s="30" t="n">
        <f aca="false">Panel!P204-Panel!P203</f>
        <v>-0.00165783992045654</v>
      </c>
      <c r="F210" s="30" t="n">
        <f aca="false">Panel!P203-Panel!P202</f>
        <v>-0.000345276115554682</v>
      </c>
      <c r="G210" s="30" t="n">
        <f aca="false">Panel!P202-Panel!P201</f>
        <v>8.76534032023812E-006</v>
      </c>
    </row>
    <row r="211" customFormat="false" ht="15" hidden="false" customHeight="false" outlineLevel="0" collapsed="false">
      <c r="C211" s="0" t="n">
        <f aca="false">Panel!P206-Panel!P205</f>
        <v>0.00194693681180347</v>
      </c>
      <c r="D211" s="29" t="n">
        <f aca="false">Panel!P205</f>
        <v>0.00409968963674245</v>
      </c>
      <c r="E211" s="30" t="n">
        <f aca="false">Panel!P205-Panel!P204</f>
        <v>-3.35983031725107E-005</v>
      </c>
      <c r="F211" s="30" t="n">
        <f aca="false">Panel!P204-Panel!P203</f>
        <v>-0.00165783992045654</v>
      </c>
      <c r="G211" s="30" t="n">
        <f aca="false">Panel!P203-Panel!P202</f>
        <v>-0.000345276115554682</v>
      </c>
    </row>
    <row r="212" customFormat="false" ht="15" hidden="false" customHeight="false" outlineLevel="0" collapsed="false">
      <c r="C212" s="0" t="n">
        <f aca="false">Panel!P207-Panel!P206</f>
        <v>-0.00238642075957074</v>
      </c>
      <c r="D212" s="29" t="n">
        <f aca="false">Panel!P206</f>
        <v>0.00604662644854592</v>
      </c>
      <c r="E212" s="30" t="n">
        <f aca="false">Panel!P206-Panel!P205</f>
        <v>0.00194693681180347</v>
      </c>
      <c r="F212" s="30" t="n">
        <f aca="false">Panel!P205-Panel!P204</f>
        <v>-3.35983031725107E-005</v>
      </c>
      <c r="G212" s="30" t="n">
        <f aca="false">Panel!P204-Panel!P203</f>
        <v>-0.00165783992045654</v>
      </c>
    </row>
    <row r="213" customFormat="false" ht="15" hidden="false" customHeight="false" outlineLevel="0" collapsed="false">
      <c r="C213" s="0" t="n">
        <f aca="false">Panel!P208-Panel!P207</f>
        <v>0.00229743885510381</v>
      </c>
      <c r="D213" s="29" t="n">
        <f aca="false">Panel!P207</f>
        <v>0.00366020568897518</v>
      </c>
      <c r="E213" s="30" t="n">
        <f aca="false">Panel!P207-Panel!P206</f>
        <v>-0.00238642075957074</v>
      </c>
      <c r="F213" s="30" t="n">
        <f aca="false">Panel!P206-Panel!P205</f>
        <v>0.00194693681180347</v>
      </c>
      <c r="G213" s="30" t="n">
        <f aca="false">Panel!P205-Panel!P204</f>
        <v>-3.35983031725107E-005</v>
      </c>
    </row>
    <row r="214" customFormat="false" ht="15" hidden="false" customHeight="false" outlineLevel="0" collapsed="false">
      <c r="C214" s="0" t="n">
        <f aca="false">Panel!P209-Panel!P208</f>
        <v>-0.000254345908061282</v>
      </c>
      <c r="D214" s="29" t="n">
        <f aca="false">Panel!P208</f>
        <v>0.00595764454407899</v>
      </c>
      <c r="E214" s="30" t="n">
        <f aca="false">Panel!P208-Panel!P207</f>
        <v>0.00229743885510381</v>
      </c>
      <c r="F214" s="30" t="n">
        <f aca="false">Panel!P207-Panel!P206</f>
        <v>-0.00238642075957074</v>
      </c>
      <c r="G214" s="30" t="n">
        <f aca="false">Panel!P206-Panel!P205</f>
        <v>0.00194693681180347</v>
      </c>
    </row>
    <row r="215" customFormat="false" ht="15" hidden="false" customHeight="false" outlineLevel="0" collapsed="false">
      <c r="C215" s="0" t="n">
        <f aca="false">Panel!P210-Panel!P209</f>
        <v>-0.00317418908966083</v>
      </c>
      <c r="D215" s="29" t="n">
        <f aca="false">Panel!P209</f>
        <v>0.00570329863601771</v>
      </c>
      <c r="E215" s="30" t="n">
        <f aca="false">Panel!P209-Panel!P208</f>
        <v>-0.000254345908061282</v>
      </c>
      <c r="F215" s="30" t="n">
        <f aca="false">Panel!P208-Panel!P207</f>
        <v>0.00229743885510381</v>
      </c>
      <c r="G215" s="30" t="n">
        <f aca="false">Panel!P207-Panel!P206</f>
        <v>-0.00238642075957074</v>
      </c>
    </row>
    <row r="216" customFormat="false" ht="15" hidden="false" customHeight="false" outlineLevel="0" collapsed="false">
      <c r="C216" s="0" t="n">
        <f aca="false">Panel!P211-Panel!P210</f>
        <v>0.00200794518550929</v>
      </c>
      <c r="D216" s="29" t="n">
        <f aca="false">Panel!P210</f>
        <v>0.00252910954635688</v>
      </c>
      <c r="E216" s="30" t="n">
        <f aca="false">Panel!P210-Panel!P209</f>
        <v>-0.00317418908966083</v>
      </c>
      <c r="F216" s="30" t="n">
        <f aca="false">Panel!P209-Panel!P208</f>
        <v>-0.000254345908061282</v>
      </c>
      <c r="G216" s="30" t="n">
        <f aca="false">Panel!P208-Panel!P207</f>
        <v>0.00229743885510381</v>
      </c>
    </row>
    <row r="217" customFormat="false" ht="15" hidden="false" customHeight="false" outlineLevel="0" collapsed="false">
      <c r="C217" s="0" t="n">
        <f aca="false">Panel!P212-Panel!P211</f>
        <v>-0.00553026030612003</v>
      </c>
      <c r="D217" s="29" t="n">
        <f aca="false">Panel!P211</f>
        <v>0.00453705473186616</v>
      </c>
      <c r="E217" s="30" t="n">
        <f aca="false">Panel!P211-Panel!P210</f>
        <v>0.00200794518550929</v>
      </c>
      <c r="F217" s="30" t="n">
        <f aca="false">Panel!P210-Panel!P209</f>
        <v>-0.00317418908966083</v>
      </c>
      <c r="G217" s="30" t="n">
        <f aca="false">Panel!P209-Panel!P208</f>
        <v>-0.000254345908061282</v>
      </c>
    </row>
    <row r="218" customFormat="false" ht="15" hidden="false" customHeight="false" outlineLevel="0" collapsed="false">
      <c r="C218" s="0" t="n">
        <f aca="false">Panel!P213-Panel!P212</f>
        <v>0.00159327269951781</v>
      </c>
      <c r="D218" s="29" t="n">
        <f aca="false">Panel!P212</f>
        <v>-0.000993205574253864</v>
      </c>
      <c r="E218" s="30" t="n">
        <f aca="false">Panel!P212-Panel!P211</f>
        <v>-0.00553026030612003</v>
      </c>
      <c r="F218" s="30" t="n">
        <f aca="false">Panel!P211-Panel!P210</f>
        <v>0.00200794518550929</v>
      </c>
      <c r="G218" s="30" t="n">
        <f aca="false">Panel!P210-Panel!P209</f>
        <v>-0.00317418908966083</v>
      </c>
    </row>
    <row r="219" customFormat="false" ht="15" hidden="false" customHeight="false" outlineLevel="0" collapsed="false">
      <c r="C219" s="0" t="n">
        <f aca="false">Panel!P214-Panel!P213</f>
        <v>0.0103281820742751</v>
      </c>
      <c r="D219" s="29" t="n">
        <f aca="false">Panel!P213</f>
        <v>0.000600067125263948</v>
      </c>
      <c r="E219" s="30" t="n">
        <f aca="false">Panel!P213-Panel!P212</f>
        <v>0.00159327269951781</v>
      </c>
      <c r="F219" s="30" t="n">
        <f aca="false">Panel!P212-Panel!P211</f>
        <v>-0.00553026030612003</v>
      </c>
      <c r="G219" s="30" t="n">
        <f aca="false">Panel!P211-Panel!P210</f>
        <v>0.00200794518550929</v>
      </c>
    </row>
    <row r="220" customFormat="false" ht="15" hidden="false" customHeight="false" outlineLevel="0" collapsed="false">
      <c r="C220" s="0" t="n">
        <f aca="false">Panel!P215-Panel!P214</f>
        <v>0.00038616431407057</v>
      </c>
      <c r="D220" s="29" t="n">
        <f aca="false">Panel!P214</f>
        <v>0.0109282491995391</v>
      </c>
      <c r="E220" s="30" t="n">
        <f aca="false">Panel!P214-Panel!P213</f>
        <v>0.0103281820742751</v>
      </c>
      <c r="F220" s="30" t="n">
        <f aca="false">Panel!P213-Panel!P212</f>
        <v>0.00159327269951781</v>
      </c>
      <c r="G220" s="30" t="n">
        <f aca="false">Panel!P212-Panel!P211</f>
        <v>-0.00553026030612003</v>
      </c>
    </row>
    <row r="221" customFormat="false" ht="15" hidden="false" customHeight="false" outlineLevel="0" collapsed="false">
      <c r="C221" s="0" t="n">
        <f aca="false">Panel!P216-Panel!P215</f>
        <v>-0.00210965757338677</v>
      </c>
      <c r="D221" s="29" t="n">
        <f aca="false">Panel!P215</f>
        <v>0.0113144135136096</v>
      </c>
      <c r="E221" s="30" t="n">
        <f aca="false">Panel!P215-Panel!P214</f>
        <v>0.00038616431407057</v>
      </c>
      <c r="F221" s="30" t="n">
        <f aca="false">Panel!P214-Panel!P213</f>
        <v>0.0103281820742751</v>
      </c>
      <c r="G221" s="30" t="n">
        <f aca="false">Panel!P213-Panel!P212</f>
        <v>0.00159327269951781</v>
      </c>
    </row>
    <row r="222" customFormat="false" ht="15" hidden="false" customHeight="false" outlineLevel="0" collapsed="false">
      <c r="C222" s="0" t="n">
        <f aca="false">Panel!P217-Panel!P216</f>
        <v>-0.00073624695336072</v>
      </c>
      <c r="D222" s="29" t="n">
        <f aca="false">Panel!P216</f>
        <v>0.00920475594022285</v>
      </c>
      <c r="E222" s="30" t="n">
        <f aca="false">Panel!P216-Panel!P215</f>
        <v>-0.00210965757338677</v>
      </c>
      <c r="F222" s="30" t="n">
        <f aca="false">Panel!P215-Panel!P214</f>
        <v>0.00038616431407057</v>
      </c>
      <c r="G222" s="30" t="n">
        <f aca="false">Panel!P214-Panel!P213</f>
        <v>0.0103281820742751</v>
      </c>
    </row>
    <row r="223" customFormat="false" ht="15" hidden="false" customHeight="false" outlineLevel="0" collapsed="false">
      <c r="C223" s="0" t="n">
        <f aca="false">Panel!P218-Panel!P217</f>
        <v>0.00199695408884537</v>
      </c>
      <c r="D223" s="29" t="n">
        <f aca="false">Panel!P217</f>
        <v>0.00846850898686213</v>
      </c>
      <c r="E223" s="30" t="n">
        <f aca="false">Panel!P217-Panel!P216</f>
        <v>-0.00073624695336072</v>
      </c>
      <c r="F223" s="30" t="n">
        <f aca="false">Panel!P216-Panel!P215</f>
        <v>-0.00210965757338677</v>
      </c>
      <c r="G223" s="30" t="n">
        <f aca="false">Panel!P215-Panel!P214</f>
        <v>0.00038616431407057</v>
      </c>
    </row>
    <row r="224" customFormat="false" ht="15" hidden="false" customHeight="false" outlineLevel="0" collapsed="false">
      <c r="C224" s="0" t="n">
        <f aca="false">Panel!P219-Panel!P218</f>
        <v>-0.00275576248015774</v>
      </c>
      <c r="D224" s="29" t="n">
        <f aca="false">Panel!P218</f>
        <v>0.0104654630757075</v>
      </c>
      <c r="E224" s="30" t="n">
        <f aca="false">Panel!P218-Panel!P217</f>
        <v>0.00199695408884537</v>
      </c>
      <c r="F224" s="30" t="n">
        <f aca="false">Panel!P217-Panel!P216</f>
        <v>-0.00073624695336072</v>
      </c>
      <c r="G224" s="30" t="n">
        <f aca="false">Panel!P216-Panel!P215</f>
        <v>-0.00210965757338677</v>
      </c>
    </row>
    <row r="225" customFormat="false" ht="15" hidden="false" customHeight="false" outlineLevel="0" collapsed="false">
      <c r="C225" s="0" t="n">
        <f aca="false">Panel!P220-Panel!P219</f>
        <v>-0.00119454806840302</v>
      </c>
      <c r="D225" s="29" t="n">
        <f aca="false">Panel!P219</f>
        <v>0.00770970059554976</v>
      </c>
      <c r="E225" s="30" t="n">
        <f aca="false">Panel!P219-Panel!P218</f>
        <v>-0.00275576248015774</v>
      </c>
      <c r="F225" s="30" t="n">
        <f aca="false">Panel!P218-Panel!P217</f>
        <v>0.00199695408884537</v>
      </c>
      <c r="G225" s="30" t="n">
        <f aca="false">Panel!P217-Panel!P216</f>
        <v>-0.00073624695336072</v>
      </c>
    </row>
    <row r="226" customFormat="false" ht="15" hidden="false" customHeight="false" outlineLevel="0" collapsed="false">
      <c r="C226" s="0" t="n">
        <f aca="false">Panel!P221-Panel!P220</f>
        <v>0.00090842751843212</v>
      </c>
      <c r="D226" s="29" t="n">
        <f aca="false">Panel!P220</f>
        <v>0.00651515252714674</v>
      </c>
      <c r="E226" s="30" t="n">
        <f aca="false">Panel!P220-Panel!P219</f>
        <v>-0.00119454806840302</v>
      </c>
      <c r="F226" s="30" t="n">
        <f aca="false">Panel!P219-Panel!P218</f>
        <v>-0.00275576248015774</v>
      </c>
      <c r="G226" s="30" t="n">
        <f aca="false">Panel!P218-Panel!P217</f>
        <v>0.00199695408884537</v>
      </c>
    </row>
    <row r="227" customFormat="false" ht="15" hidden="false" customHeight="false" outlineLevel="0" collapsed="false">
      <c r="C227" s="0" t="n">
        <f aca="false">Panel!P222-Panel!P221</f>
        <v>-0.00214072852325664</v>
      </c>
      <c r="D227" s="29" t="n">
        <f aca="false">Panel!P221</f>
        <v>0.00742358004557886</v>
      </c>
      <c r="E227" s="30" t="n">
        <f aca="false">Panel!P221-Panel!P220</f>
        <v>0.00090842751843212</v>
      </c>
      <c r="F227" s="30" t="n">
        <f aca="false">Panel!P220-Panel!P219</f>
        <v>-0.00119454806840302</v>
      </c>
      <c r="G227" s="30" t="n">
        <f aca="false">Panel!P219-Panel!P218</f>
        <v>-0.00275576248015774</v>
      </c>
    </row>
    <row r="228" customFormat="false" ht="15" hidden="false" customHeight="false" outlineLevel="0" collapsed="false">
      <c r="C228" s="0" t="n">
        <f aca="false">Panel!P223-Panel!P222</f>
        <v>0.00127675728149157</v>
      </c>
      <c r="D228" s="29" t="n">
        <f aca="false">Panel!P222</f>
        <v>0.00528285152232222</v>
      </c>
      <c r="E228" s="30" t="n">
        <f aca="false">Panel!P222-Panel!P221</f>
        <v>-0.00214072852325664</v>
      </c>
      <c r="F228" s="30" t="n">
        <f aca="false">Panel!P221-Panel!P220</f>
        <v>0.00090842751843212</v>
      </c>
      <c r="G228" s="30" t="n">
        <f aca="false">Panel!P220-Panel!P219</f>
        <v>-0.00119454806840302</v>
      </c>
    </row>
    <row r="229" customFormat="false" ht="15" hidden="false" customHeight="false" outlineLevel="0" collapsed="false">
      <c r="C229" s="0" t="n">
        <f aca="false">Panel!P224-Panel!P223</f>
        <v>0.000600171808608607</v>
      </c>
      <c r="D229" s="29" t="n">
        <f aca="false">Panel!P223</f>
        <v>0.00655960880381379</v>
      </c>
      <c r="E229" s="30" t="n">
        <f aca="false">Panel!P223-Panel!P222</f>
        <v>0.00127675728149157</v>
      </c>
      <c r="F229" s="30" t="n">
        <f aca="false">Panel!P222-Panel!P221</f>
        <v>-0.00214072852325664</v>
      </c>
      <c r="G229" s="30" t="n">
        <f aca="false">Panel!P221-Panel!P220</f>
        <v>0.00090842751843212</v>
      </c>
    </row>
    <row r="230" customFormat="false" ht="15" hidden="false" customHeight="false" outlineLevel="0" collapsed="false">
      <c r="C230" s="0" t="n">
        <f aca="false">Panel!P225-Panel!P224</f>
        <v>-0.000550459710527917</v>
      </c>
      <c r="D230" s="29" t="n">
        <f aca="false">Panel!P224</f>
        <v>0.0071597806124224</v>
      </c>
      <c r="E230" s="30" t="n">
        <f aca="false">Panel!P224-Panel!P223</f>
        <v>0.000600171808608607</v>
      </c>
      <c r="F230" s="30" t="n">
        <f aca="false">Panel!P223-Panel!P222</f>
        <v>0.00127675728149157</v>
      </c>
      <c r="G230" s="30" t="n">
        <f aca="false">Panel!P222-Panel!P221</f>
        <v>-0.00214072852325664</v>
      </c>
    </row>
    <row r="231" customFormat="false" ht="15" hidden="false" customHeight="false" outlineLevel="0" collapsed="false">
      <c r="C231" s="0" t="n">
        <f aca="false">Panel!P226-Panel!P225</f>
        <v>-0.00217342041144519</v>
      </c>
      <c r="D231" s="29" t="n">
        <f aca="false">Panel!P225</f>
        <v>0.00660932090189448</v>
      </c>
      <c r="E231" s="30" t="n">
        <f aca="false">Panel!P225-Panel!P224</f>
        <v>-0.000550459710527917</v>
      </c>
      <c r="F231" s="30" t="n">
        <f aca="false">Panel!P224-Panel!P223</f>
        <v>0.000600171808608607</v>
      </c>
      <c r="G231" s="30" t="n">
        <f aca="false">Panel!P223-Panel!P222</f>
        <v>0.00127675728149157</v>
      </c>
    </row>
    <row r="232" customFormat="false" ht="15" hidden="false" customHeight="false" outlineLevel="0" collapsed="false">
      <c r="C232" s="0" t="n">
        <f aca="false">Panel!P227-Panel!P226</f>
        <v>0.000956600361122995</v>
      </c>
      <c r="D232" s="29" t="n">
        <f aca="false">Panel!P226</f>
        <v>0.00443590049044929</v>
      </c>
      <c r="E232" s="30" t="n">
        <f aca="false">Panel!P226-Panel!P225</f>
        <v>-0.00217342041144519</v>
      </c>
      <c r="F232" s="30" t="n">
        <f aca="false">Panel!P225-Panel!P224</f>
        <v>-0.000550459710527917</v>
      </c>
      <c r="G232" s="30" t="n">
        <f aca="false">Panel!P224-Panel!P223</f>
        <v>0.000600171808608607</v>
      </c>
    </row>
    <row r="233" customFormat="false" ht="15" hidden="false" customHeight="false" outlineLevel="0" collapsed="false">
      <c r="C233" s="0" t="n">
        <f aca="false">Panel!P228-Panel!P227</f>
        <v>0.000914300134157386</v>
      </c>
      <c r="D233" s="29" t="n">
        <f aca="false">Panel!P227</f>
        <v>0.00539250085157228</v>
      </c>
      <c r="E233" s="30" t="n">
        <f aca="false">Panel!P227-Panel!P226</f>
        <v>0.000956600361122995</v>
      </c>
      <c r="F233" s="30" t="n">
        <f aca="false">Panel!P226-Panel!P225</f>
        <v>-0.00217342041144519</v>
      </c>
      <c r="G233" s="30" t="n">
        <f aca="false">Panel!P225-Panel!P224</f>
        <v>-0.000550459710527917</v>
      </c>
    </row>
    <row r="234" customFormat="false" ht="15" hidden="false" customHeight="false" outlineLevel="0" collapsed="false">
      <c r="C234" s="0" t="n">
        <f aca="false">Panel!P229-Panel!P228</f>
        <v>-0.000436563386351452</v>
      </c>
      <c r="D234" s="29" t="n">
        <f aca="false">Panel!P228</f>
        <v>0.00630680098572967</v>
      </c>
      <c r="E234" s="30" t="n">
        <f aca="false">Panel!P228-Panel!P227</f>
        <v>0.000914300134157386</v>
      </c>
      <c r="F234" s="30" t="n">
        <f aca="false">Panel!P227-Panel!P226</f>
        <v>0.000956600361122995</v>
      </c>
      <c r="G234" s="30" t="n">
        <f aca="false">Panel!P226-Panel!P225</f>
        <v>-0.00217342041144519</v>
      </c>
    </row>
    <row r="235" customFormat="false" ht="15" hidden="false" customHeight="false" outlineLevel="0" collapsed="false">
      <c r="C235" s="0" t="n">
        <f aca="false">Panel!P230-Panel!P229</f>
        <v>0.000327695467746025</v>
      </c>
      <c r="D235" s="29" t="n">
        <f aca="false">Panel!P229</f>
        <v>0.00587023759937821</v>
      </c>
      <c r="E235" s="30" t="n">
        <f aca="false">Panel!P229-Panel!P228</f>
        <v>-0.000436563386351452</v>
      </c>
      <c r="F235" s="30" t="n">
        <f aca="false">Panel!P228-Panel!P227</f>
        <v>0.000914300134157386</v>
      </c>
      <c r="G235" s="30" t="n">
        <f aca="false">Panel!P227-Panel!P226</f>
        <v>0.000956600361122995</v>
      </c>
    </row>
    <row r="236" customFormat="false" ht="15" hidden="false" customHeight="false" outlineLevel="0" collapsed="false">
      <c r="C236" s="0" t="n">
        <f aca="false">Panel!P231-Panel!P230</f>
        <v>-0.000263575592377663</v>
      </c>
      <c r="D236" s="29" t="n">
        <f aca="false">Panel!P230</f>
        <v>0.00619793306712424</v>
      </c>
      <c r="E236" s="30" t="n">
        <f aca="false">Panel!P230-Panel!P229</f>
        <v>0.000327695467746025</v>
      </c>
      <c r="F236" s="30" t="n">
        <f aca="false">Panel!P229-Panel!P228</f>
        <v>-0.000436563386351452</v>
      </c>
      <c r="G236" s="30" t="n">
        <f aca="false">Panel!P228-Panel!P227</f>
        <v>0.000914300134157386</v>
      </c>
    </row>
    <row r="237" customFormat="false" ht="15" hidden="false" customHeight="false" outlineLevel="0" collapsed="false">
      <c r="C237" s="0" t="n">
        <f aca="false">Panel!P232-Panel!P231</f>
        <v>-0.00180417917773745</v>
      </c>
      <c r="D237" s="29" t="n">
        <f aca="false">Panel!P231</f>
        <v>0.00593435747474658</v>
      </c>
      <c r="E237" s="30" t="n">
        <f aca="false">Panel!P231-Panel!P230</f>
        <v>-0.000263575592377663</v>
      </c>
      <c r="F237" s="30" t="n">
        <f aca="false">Panel!P230-Panel!P229</f>
        <v>0.000327695467746025</v>
      </c>
      <c r="G237" s="30" t="n">
        <f aca="false">Panel!P229-Panel!P228</f>
        <v>-0.000436563386351452</v>
      </c>
    </row>
    <row r="238" customFormat="false" ht="15" hidden="false" customHeight="false" outlineLevel="0" collapsed="false">
      <c r="C238" s="0" t="n">
        <f aca="false">Panel!P233-Panel!P232</f>
        <v>0.00738939274455674</v>
      </c>
      <c r="D238" s="29" t="n">
        <f aca="false">Panel!P232</f>
        <v>0.00413017829700912</v>
      </c>
      <c r="E238" s="30" t="n">
        <f aca="false">Panel!P232-Panel!P231</f>
        <v>-0.00180417917773745</v>
      </c>
      <c r="F238" s="30" t="n">
        <f aca="false">Panel!P231-Panel!P230</f>
        <v>-0.000263575592377663</v>
      </c>
      <c r="G238" s="30" t="n">
        <f aca="false">Panel!P230-Panel!P229</f>
        <v>0.000327695467746025</v>
      </c>
    </row>
    <row r="239" customFormat="false" ht="15" hidden="false" customHeight="false" outlineLevel="0" collapsed="false">
      <c r="C239" s="0" t="n">
        <f aca="false">Panel!P234-Panel!P233</f>
        <v>-0.00300720762969675</v>
      </c>
      <c r="D239" s="29" t="n">
        <f aca="false">Panel!P233</f>
        <v>0.0115195710415659</v>
      </c>
      <c r="E239" s="30" t="n">
        <f aca="false">Panel!P233-Panel!P232</f>
        <v>0.00738939274455674</v>
      </c>
      <c r="F239" s="30" t="n">
        <f aca="false">Panel!P232-Panel!P231</f>
        <v>-0.00180417917773745</v>
      </c>
      <c r="G239" s="30" t="n">
        <f aca="false">Panel!P231-Panel!P230</f>
        <v>-0.000263575592377663</v>
      </c>
    </row>
    <row r="240" customFormat="false" ht="15" hidden="false" customHeight="false" outlineLevel="0" collapsed="false">
      <c r="C240" s="0" t="n">
        <f aca="false">Panel!P235-Panel!P234</f>
        <v>-0.000936335254403176</v>
      </c>
      <c r="D240" s="29" t="n">
        <f aca="false">Panel!P234</f>
        <v>0.00851236341186912</v>
      </c>
      <c r="E240" s="30" t="n">
        <f aca="false">Panel!P234-Panel!P233</f>
        <v>-0.00300720762969675</v>
      </c>
      <c r="F240" s="30" t="n">
        <f aca="false">Panel!P233-Panel!P232</f>
        <v>0.00738939274455674</v>
      </c>
      <c r="G240" s="30" t="n">
        <f aca="false">Panel!P232-Panel!P231</f>
        <v>-0.00180417917773745</v>
      </c>
    </row>
    <row r="241" customFormat="false" ht="15" hidden="false" customHeight="false" outlineLevel="0" collapsed="false">
      <c r="C241" s="0" t="n">
        <f aca="false">Panel!P236-Panel!P235</f>
        <v>0.00036376737729249</v>
      </c>
      <c r="D241" s="29" t="n">
        <f aca="false">Panel!P235</f>
        <v>0.00757602815746594</v>
      </c>
      <c r="E241" s="30" t="n">
        <f aca="false">Panel!P235-Panel!P234</f>
        <v>-0.000936335254403176</v>
      </c>
      <c r="F241" s="30" t="n">
        <f aca="false">Panel!P234-Panel!P233</f>
        <v>-0.00300720762969675</v>
      </c>
      <c r="G241" s="30" t="n">
        <f aca="false">Panel!P233-Panel!P232</f>
        <v>0.00738939274455674</v>
      </c>
    </row>
    <row r="242" customFormat="false" ht="15" hidden="false" customHeight="false" outlineLevel="0" collapsed="false">
      <c r="C242" s="0" t="n">
        <f aca="false">Panel!P237-Panel!P236</f>
        <v>0.000385371855237793</v>
      </c>
      <c r="D242" s="29" t="n">
        <f aca="false">Panel!P236</f>
        <v>0.00793979553475843</v>
      </c>
      <c r="E242" s="30" t="n">
        <f aca="false">Panel!P236-Panel!P235</f>
        <v>0.00036376737729249</v>
      </c>
      <c r="F242" s="30" t="n">
        <f aca="false">Panel!P235-Panel!P234</f>
        <v>-0.000936335254403176</v>
      </c>
      <c r="G242" s="30" t="n">
        <f aca="false">Panel!P234-Panel!P233</f>
        <v>-0.00300720762969675</v>
      </c>
    </row>
    <row r="243" customFormat="false" ht="15" hidden="false" customHeight="false" outlineLevel="0" collapsed="false">
      <c r="C243" s="0" t="n">
        <f aca="false">Panel!P238-Panel!P237</f>
        <v>0.00125550825379328</v>
      </c>
      <c r="D243" s="29" t="n">
        <f aca="false">Panel!P237</f>
        <v>0.00832516738999622</v>
      </c>
      <c r="E243" s="30" t="n">
        <f aca="false">Panel!P237-Panel!P236</f>
        <v>0.000385371855237793</v>
      </c>
      <c r="F243" s="30" t="n">
        <f aca="false">Panel!P236-Panel!P235</f>
        <v>0.00036376737729249</v>
      </c>
      <c r="G243" s="30" t="n">
        <f aca="false">Panel!P235-Panel!P234</f>
        <v>-0.000936335254403176</v>
      </c>
    </row>
    <row r="244" customFormat="false" ht="15" hidden="false" customHeight="false" outlineLevel="0" collapsed="false">
      <c r="C244" s="0" t="n">
        <f aca="false">Panel!P239-Panel!P238</f>
        <v>-0.00101123506504841</v>
      </c>
      <c r="D244" s="29" t="n">
        <f aca="false">Panel!P238</f>
        <v>0.00958067564378951</v>
      </c>
      <c r="E244" s="30" t="n">
        <f aca="false">Panel!P238-Panel!P237</f>
        <v>0.00125550825379328</v>
      </c>
      <c r="F244" s="30" t="n">
        <f aca="false">Panel!P237-Panel!P236</f>
        <v>0.000385371855237793</v>
      </c>
      <c r="G244" s="30" t="n">
        <f aca="false">Panel!P236-Panel!P235</f>
        <v>0.00036376737729249</v>
      </c>
    </row>
    <row r="245" customFormat="false" ht="15" hidden="false" customHeight="false" outlineLevel="0" collapsed="false">
      <c r="C245" s="0" t="n">
        <f aca="false">Panel!P240-Panel!P239</f>
        <v>0.000663814372304117</v>
      </c>
      <c r="D245" s="29" t="n">
        <f aca="false">Panel!P239</f>
        <v>0.00856944057874109</v>
      </c>
      <c r="E245" s="30" t="n">
        <f aca="false">Panel!P239-Panel!P238</f>
        <v>-0.00101123506504841</v>
      </c>
      <c r="F245" s="30" t="n">
        <f aca="false">Panel!P238-Panel!P237</f>
        <v>0.00125550825379328</v>
      </c>
      <c r="G245" s="30" t="n">
        <f aca="false">Panel!P237-Panel!P236</f>
        <v>0.000385371855237793</v>
      </c>
    </row>
    <row r="246" customFormat="false" ht="15" hidden="false" customHeight="false" outlineLevel="0" collapsed="false">
      <c r="C246" s="0" t="n">
        <f aca="false">Panel!P241-Panel!P240</f>
        <v>-0.00327492513131311</v>
      </c>
      <c r="D246" s="29" t="n">
        <f aca="false">Panel!P240</f>
        <v>0.00923325495104521</v>
      </c>
      <c r="E246" s="30" t="n">
        <f aca="false">Panel!P240-Panel!P239</f>
        <v>0.000663814372304117</v>
      </c>
      <c r="F246" s="30" t="n">
        <f aca="false">Panel!P239-Panel!P238</f>
        <v>-0.00101123506504841</v>
      </c>
      <c r="G246" s="30" t="n">
        <f aca="false">Panel!P238-Panel!P237</f>
        <v>0.00125550825379328</v>
      </c>
    </row>
    <row r="247" customFormat="false" ht="15" hidden="false" customHeight="false" outlineLevel="0" collapsed="false">
      <c r="C247" s="0" t="n">
        <f aca="false">Panel!P242-Panel!P241</f>
        <v>-0.000536914855704396</v>
      </c>
      <c r="D247" s="29" t="n">
        <f aca="false">Panel!P241</f>
        <v>0.0059583298197321</v>
      </c>
      <c r="E247" s="30" t="n">
        <f aca="false">Panel!P241-Panel!P240</f>
        <v>-0.00327492513131311</v>
      </c>
      <c r="F247" s="30" t="n">
        <f aca="false">Panel!P240-Panel!P239</f>
        <v>0.000663814372304117</v>
      </c>
      <c r="G247" s="30" t="n">
        <f aca="false">Panel!P239-Panel!P238</f>
        <v>-0.00101123506504841</v>
      </c>
    </row>
    <row r="248" customFormat="false" ht="15" hidden="false" customHeight="false" outlineLevel="0" collapsed="false">
      <c r="C248" s="0" t="n">
        <f aca="false">Panel!P243-Panel!P242</f>
        <v>-0.00248009426619689</v>
      </c>
      <c r="D248" s="29" t="n">
        <f aca="false">Panel!P242</f>
        <v>0.0054214149640277</v>
      </c>
      <c r="E248" s="30" t="n">
        <f aca="false">Panel!P242-Panel!P241</f>
        <v>-0.000536914855704396</v>
      </c>
      <c r="F248" s="30" t="n">
        <f aca="false">Panel!P241-Panel!P240</f>
        <v>-0.00327492513131311</v>
      </c>
      <c r="G248" s="30" t="n">
        <f aca="false">Panel!P240-Panel!P239</f>
        <v>0.000663814372304117</v>
      </c>
    </row>
    <row r="249" customFormat="false" ht="15" hidden="false" customHeight="false" outlineLevel="0" collapsed="false">
      <c r="C249" s="0" t="n">
        <f aca="false">Panel!P244-Panel!P243</f>
        <v>-0.000124834866898738</v>
      </c>
      <c r="D249" s="29" t="n">
        <f aca="false">Panel!P243</f>
        <v>0.00294132069783082</v>
      </c>
      <c r="E249" s="30" t="n">
        <f aca="false">Panel!P243-Panel!P242</f>
        <v>-0.00248009426619689</v>
      </c>
      <c r="F249" s="30" t="n">
        <f aca="false">Panel!P242-Panel!P241</f>
        <v>-0.000536914855704396</v>
      </c>
      <c r="G249" s="30" t="n">
        <f aca="false">Panel!P241-Panel!P240</f>
        <v>-0.00327492513131311</v>
      </c>
    </row>
    <row r="250" customFormat="false" ht="15" hidden="false" customHeight="false" outlineLevel="0" collapsed="false">
      <c r="C250" s="0" t="n">
        <f aca="false">Panel!P245-Panel!P244</f>
        <v>-0.00220496758903366</v>
      </c>
      <c r="D250" s="29" t="n">
        <f aca="false">Panel!P244</f>
        <v>0.00281648583093208</v>
      </c>
      <c r="E250" s="30" t="n">
        <f aca="false">Panel!P244-Panel!P243</f>
        <v>-0.000124834866898738</v>
      </c>
      <c r="F250" s="30" t="n">
        <f aca="false">Panel!P243-Panel!P242</f>
        <v>-0.00248009426619689</v>
      </c>
      <c r="G250" s="30" t="n">
        <f aca="false">Panel!P242-Panel!P241</f>
        <v>-0.000536914855704396</v>
      </c>
    </row>
    <row r="251" customFormat="false" ht="15" hidden="false" customHeight="false" outlineLevel="0" collapsed="false">
      <c r="C251" s="0" t="n">
        <f aca="false">Panel!P246-Panel!P245</f>
        <v>0.00364015337471457</v>
      </c>
      <c r="D251" s="29" t="n">
        <f aca="false">Panel!P245</f>
        <v>0.000611518241898423</v>
      </c>
      <c r="E251" s="30" t="n">
        <f aca="false">Panel!P245-Panel!P244</f>
        <v>-0.00220496758903366</v>
      </c>
      <c r="F251" s="30" t="n">
        <f aca="false">Panel!P244-Panel!P243</f>
        <v>-0.000124834866898738</v>
      </c>
      <c r="G251" s="30" t="n">
        <f aca="false">Panel!P243-Panel!P242</f>
        <v>-0.00248009426619689</v>
      </c>
    </row>
    <row r="252" customFormat="false" ht="15" hidden="false" customHeight="false" outlineLevel="0" collapsed="false">
      <c r="C252" s="0" t="n">
        <f aca="false">Panel!P247-Panel!P246</f>
        <v>-0.00127260774046079</v>
      </c>
      <c r="D252" s="29" t="n">
        <f aca="false">Panel!P246</f>
        <v>0.004251671616613</v>
      </c>
      <c r="E252" s="30" t="n">
        <f aca="false">Panel!P246-Panel!P245</f>
        <v>0.00364015337471457</v>
      </c>
      <c r="F252" s="30" t="n">
        <f aca="false">Panel!P245-Panel!P244</f>
        <v>-0.00220496758903366</v>
      </c>
      <c r="G252" s="30" t="n">
        <f aca="false">Panel!P244-Panel!P243</f>
        <v>-0.000124834866898738</v>
      </c>
    </row>
    <row r="253" customFormat="false" ht="15" hidden="false" customHeight="false" outlineLevel="0" collapsed="false">
      <c r="C253" s="0" t="n">
        <f aca="false">Panel!P248-Panel!P247</f>
        <v>0.00154061034565522</v>
      </c>
      <c r="D253" s="29" t="n">
        <f aca="false">Panel!P247</f>
        <v>0.00297906387615221</v>
      </c>
      <c r="E253" s="30" t="n">
        <f aca="false">Panel!P247-Panel!P246</f>
        <v>-0.00127260774046079</v>
      </c>
      <c r="F253" s="30" t="n">
        <f aca="false">Panel!P246-Panel!P245</f>
        <v>0.00364015337471457</v>
      </c>
      <c r="G253" s="30" t="n">
        <f aca="false">Panel!P245-Panel!P244</f>
        <v>-0.00220496758903366</v>
      </c>
    </row>
    <row r="254" customFormat="false" ht="15" hidden="false" customHeight="false" outlineLevel="0" collapsed="false">
      <c r="C254" s="0" t="n">
        <f aca="false">Panel!P249-Panel!P248</f>
        <v>0.0021620529042945</v>
      </c>
      <c r="D254" s="29" t="n">
        <f aca="false">Panel!P248</f>
        <v>0.00451967422180744</v>
      </c>
      <c r="E254" s="30" t="n">
        <f aca="false">Panel!P248-Panel!P247</f>
        <v>0.00154061034565522</v>
      </c>
      <c r="F254" s="30" t="n">
        <f aca="false">Panel!P247-Panel!P246</f>
        <v>-0.00127260774046079</v>
      </c>
      <c r="G254" s="30" t="n">
        <f aca="false">Panel!P246-Panel!P245</f>
        <v>0.00364015337471457</v>
      </c>
    </row>
    <row r="255" customFormat="false" ht="15" hidden="false" customHeight="false" outlineLevel="0" collapsed="false">
      <c r="C255" s="0" t="n">
        <f aca="false">Panel!P250-Panel!P249</f>
        <v>0.00230154621156942</v>
      </c>
      <c r="D255" s="29" t="n">
        <f aca="false">Panel!P249</f>
        <v>0.00668172712610193</v>
      </c>
      <c r="E255" s="30" t="n">
        <f aca="false">Panel!P249-Panel!P248</f>
        <v>0.0021620529042945</v>
      </c>
      <c r="F255" s="30" t="n">
        <f aca="false">Panel!P248-Panel!P247</f>
        <v>0.00154061034565522</v>
      </c>
      <c r="G255" s="30" t="n">
        <f aca="false">Panel!P247-Panel!P246</f>
        <v>-0.00127260774046079</v>
      </c>
    </row>
    <row r="256" customFormat="false" ht="15" hidden="false" customHeight="false" outlineLevel="0" collapsed="false">
      <c r="C256" s="0" t="n">
        <f aca="false">Panel!P251-Panel!P250</f>
        <v>0.00181046971903598</v>
      </c>
      <c r="D256" s="29" t="n">
        <f aca="false">Panel!P250</f>
        <v>0.00898327333767135</v>
      </c>
      <c r="E256" s="30" t="n">
        <f aca="false">Panel!P250-Panel!P249</f>
        <v>0.00230154621156942</v>
      </c>
      <c r="F256" s="30" t="n">
        <f aca="false">Panel!P249-Panel!P248</f>
        <v>0.0021620529042945</v>
      </c>
      <c r="G256" s="30" t="n">
        <f aca="false">Panel!P248-Panel!P247</f>
        <v>0.00154061034565522</v>
      </c>
    </row>
    <row r="257" customFormat="false" ht="15" hidden="false" customHeight="false" outlineLevel="0" collapsed="false">
      <c r="C257" s="0" t="n">
        <f aca="false">Panel!P252-Panel!P251</f>
        <v>-0.000558184788909344</v>
      </c>
      <c r="D257" s="29" t="n">
        <f aca="false">Panel!P251</f>
        <v>0.0107937430567073</v>
      </c>
      <c r="E257" s="30" t="n">
        <f aca="false">Panel!P251-Panel!P250</f>
        <v>0.00181046971903598</v>
      </c>
      <c r="F257" s="30" t="n">
        <f aca="false">Panel!P250-Panel!P249</f>
        <v>0.00230154621156942</v>
      </c>
      <c r="G257" s="30" t="n">
        <f aca="false">Panel!P249-Panel!P248</f>
        <v>0.0021620529042945</v>
      </c>
    </row>
    <row r="258" customFormat="false" ht="15" hidden="false" customHeight="false" outlineLevel="0" collapsed="false">
      <c r="C258" s="0" t="n">
        <f aca="false">Panel!P253-Panel!P252</f>
        <v>-3.33142057300506E-005</v>
      </c>
      <c r="D258" s="29" t="n">
        <f aca="false">Panel!P252</f>
        <v>0.010235558267798</v>
      </c>
      <c r="E258" s="30" t="n">
        <f aca="false">Panel!P252-Panel!P251</f>
        <v>-0.000558184788909344</v>
      </c>
      <c r="F258" s="30" t="n">
        <f aca="false">Panel!P251-Panel!P250</f>
        <v>0.00181046971903598</v>
      </c>
      <c r="G258" s="30" t="n">
        <f aca="false">Panel!P250-Panel!P249</f>
        <v>0.00230154621156942</v>
      </c>
    </row>
    <row r="259" customFormat="false" ht="15" hidden="false" customHeight="false" outlineLevel="0" collapsed="false">
      <c r="C259" s="0" t="n">
        <f aca="false">Panel!P254-Panel!P253</f>
        <v>-0.00204980228971507</v>
      </c>
      <c r="D259" s="29" t="n">
        <f aca="false">Panel!P253</f>
        <v>0.0102022440620679</v>
      </c>
      <c r="E259" s="30" t="n">
        <f aca="false">Panel!P253-Panel!P252</f>
        <v>-3.33142057300506E-005</v>
      </c>
      <c r="F259" s="30" t="n">
        <f aca="false">Panel!P252-Panel!P251</f>
        <v>-0.000558184788909344</v>
      </c>
      <c r="G259" s="30" t="n">
        <f aca="false">Panel!P251-Panel!P250</f>
        <v>0.00181046971903598</v>
      </c>
    </row>
    <row r="260" customFormat="false" ht="15" hidden="false" customHeight="false" outlineLevel="0" collapsed="false">
      <c r="C260" s="0" t="n">
        <f aca="false">Panel!P255-Panel!P254</f>
        <v>0.00107207537584664</v>
      </c>
      <c r="D260" s="29" t="n">
        <f aca="false">Panel!P254</f>
        <v>0.00815244177235286</v>
      </c>
      <c r="E260" s="30" t="n">
        <f aca="false">Panel!P254-Panel!P253</f>
        <v>-0.00204980228971507</v>
      </c>
      <c r="F260" s="30" t="n">
        <f aca="false">Panel!P253-Panel!P252</f>
        <v>-3.33142057300506E-005</v>
      </c>
      <c r="G260" s="30" t="n">
        <f aca="false">Panel!P252-Panel!P251</f>
        <v>-0.000558184788909344</v>
      </c>
    </row>
    <row r="261" customFormat="false" ht="15" hidden="false" customHeight="false" outlineLevel="0" collapsed="false">
      <c r="C261" s="0" t="n">
        <f aca="false">Panel!P256-Panel!P255</f>
        <v>-0.00445875475669055</v>
      </c>
      <c r="D261" s="29" t="n">
        <f aca="false">Panel!P255</f>
        <v>0.0092245171481995</v>
      </c>
      <c r="E261" s="30" t="n">
        <f aca="false">Panel!P255-Panel!P254</f>
        <v>0.00107207537584664</v>
      </c>
      <c r="F261" s="30" t="n">
        <f aca="false">Panel!P254-Panel!P253</f>
        <v>-0.00204980228971507</v>
      </c>
      <c r="G261" s="30" t="n">
        <f aca="false">Panel!P253-Panel!P252</f>
        <v>-3.33142057300506E-005</v>
      </c>
    </row>
    <row r="262" customFormat="false" ht="15" hidden="false" customHeight="false" outlineLevel="0" collapsed="false">
      <c r="C262" s="0" t="n">
        <f aca="false">Panel!P257-Panel!P256</f>
        <v>0.000390353879215155</v>
      </c>
      <c r="D262" s="29" t="n">
        <f aca="false">Panel!P256</f>
        <v>0.00476576239150894</v>
      </c>
      <c r="E262" s="30" t="n">
        <f aca="false">Panel!P256-Panel!P255</f>
        <v>-0.00445875475669055</v>
      </c>
      <c r="F262" s="30" t="n">
        <f aca="false">Panel!P255-Panel!P254</f>
        <v>0.00107207537584664</v>
      </c>
      <c r="G262" s="30" t="n">
        <f aca="false">Panel!P254-Panel!P253</f>
        <v>-0.00204980228971507</v>
      </c>
    </row>
    <row r="263" customFormat="false" ht="15" hidden="false" customHeight="false" outlineLevel="0" collapsed="false">
      <c r="C263" s="0" t="n">
        <f aca="false">Panel!P258-Panel!P257</f>
        <v>-0.000188939387099296</v>
      </c>
      <c r="D263" s="29" t="n">
        <f aca="false">Panel!P257</f>
        <v>0.0051561162707241</v>
      </c>
      <c r="E263" s="30" t="n">
        <f aca="false">Panel!P257-Panel!P256</f>
        <v>0.000390353879215155</v>
      </c>
      <c r="F263" s="30" t="n">
        <f aca="false">Panel!P256-Panel!P255</f>
        <v>-0.00445875475669055</v>
      </c>
      <c r="G263" s="30" t="n">
        <f aca="false">Panel!P255-Panel!P254</f>
        <v>0.00107207537584664</v>
      </c>
    </row>
    <row r="264" customFormat="false" ht="15" hidden="false" customHeight="false" outlineLevel="0" collapsed="false">
      <c r="C264" s="0" t="n">
        <f aca="false">Panel!P259-Panel!P258</f>
        <v>-0.00197682919811548</v>
      </c>
      <c r="D264" s="29" t="n">
        <f aca="false">Panel!P258</f>
        <v>0.0049671768836248</v>
      </c>
      <c r="E264" s="30" t="n">
        <f aca="false">Panel!P258-Panel!P257</f>
        <v>-0.000188939387099296</v>
      </c>
      <c r="F264" s="30" t="n">
        <f aca="false">Panel!P257-Panel!P256</f>
        <v>0.000390353879215155</v>
      </c>
      <c r="G264" s="30" t="n">
        <f aca="false">Panel!P256-Panel!P255</f>
        <v>-0.00445875475669055</v>
      </c>
    </row>
    <row r="265" customFormat="false" ht="15" hidden="false" customHeight="false" outlineLevel="0" collapsed="false">
      <c r="C265" s="0" t="n">
        <f aca="false">Panel!P260-Panel!P259</f>
        <v>0.00293612117854991</v>
      </c>
      <c r="D265" s="29" t="n">
        <f aca="false">Panel!P259</f>
        <v>0.00299034768550932</v>
      </c>
      <c r="E265" s="30" t="n">
        <f aca="false">Panel!P259-Panel!P258</f>
        <v>-0.00197682919811548</v>
      </c>
      <c r="F265" s="30" t="n">
        <f aca="false">Panel!P258-Panel!P257</f>
        <v>-0.000188939387099296</v>
      </c>
      <c r="G265" s="30" t="n">
        <f aca="false">Panel!P257-Panel!P256</f>
        <v>0.000390353879215155</v>
      </c>
    </row>
    <row r="266" customFormat="false" ht="15" hidden="false" customHeight="false" outlineLevel="0" collapsed="false">
      <c r="C266" s="0" t="n">
        <f aca="false">Panel!P261-Panel!P260</f>
        <v>-0.00156210469920559</v>
      </c>
      <c r="D266" s="29" t="n">
        <f aca="false">Panel!P260</f>
        <v>0.00592646886405923</v>
      </c>
      <c r="E266" s="30" t="n">
        <f aca="false">Panel!P260-Panel!P259</f>
        <v>0.00293612117854991</v>
      </c>
      <c r="F266" s="30" t="n">
        <f aca="false">Panel!P259-Panel!P258</f>
        <v>-0.00197682919811548</v>
      </c>
      <c r="G266" s="30" t="n">
        <f aca="false">Panel!P258-Panel!P257</f>
        <v>-0.000188939387099296</v>
      </c>
    </row>
    <row r="267" customFormat="false" ht="15" hidden="false" customHeight="false" outlineLevel="0" collapsed="false">
      <c r="C267" s="0" t="n">
        <f aca="false">Panel!P262-Panel!P261</f>
        <v>-0.000513136020844129</v>
      </c>
      <c r="D267" s="29" t="n">
        <f aca="false">Panel!P261</f>
        <v>0.00436436416485364</v>
      </c>
      <c r="E267" s="30" t="n">
        <f aca="false">Panel!P261-Panel!P260</f>
        <v>-0.00156210469920559</v>
      </c>
      <c r="F267" s="30" t="n">
        <f aca="false">Panel!P260-Panel!P259</f>
        <v>0.00293612117854991</v>
      </c>
      <c r="G267" s="30" t="n">
        <f aca="false">Panel!P259-Panel!P258</f>
        <v>-0.00197682919811548</v>
      </c>
    </row>
    <row r="268" customFormat="false" ht="15" hidden="false" customHeight="false" outlineLevel="0" collapsed="false">
      <c r="C268" s="0" t="n">
        <f aca="false">Panel!P263-Panel!P262</f>
        <v>0.00171810388921756</v>
      </c>
      <c r="D268" s="29" t="n">
        <f aca="false">Panel!P262</f>
        <v>0.00385122814400951</v>
      </c>
      <c r="E268" s="30" t="n">
        <f aca="false">Panel!P262-Panel!P261</f>
        <v>-0.000513136020844129</v>
      </c>
      <c r="F268" s="30" t="n">
        <f aca="false">Panel!P261-Panel!P260</f>
        <v>-0.00156210469920559</v>
      </c>
      <c r="G268" s="30" t="n">
        <f aca="false">Panel!P260-Panel!P259</f>
        <v>0.00293612117854991</v>
      </c>
    </row>
    <row r="269" customFormat="false" ht="15" hidden="false" customHeight="false" outlineLevel="0" collapsed="false">
      <c r="C269" s="0" t="n">
        <f aca="false">Panel!P264-Panel!P263</f>
        <v>8.94577959584808E-005</v>
      </c>
      <c r="D269" s="29" t="n">
        <f aca="false">Panel!P263</f>
        <v>0.00556933203322707</v>
      </c>
      <c r="E269" s="30" t="n">
        <f aca="false">Panel!P263-Panel!P262</f>
        <v>0.00171810388921756</v>
      </c>
      <c r="F269" s="30" t="n">
        <f aca="false">Panel!P262-Panel!P261</f>
        <v>-0.000513136020844129</v>
      </c>
      <c r="G269" s="30" t="n">
        <f aca="false">Panel!P261-Panel!P260</f>
        <v>-0.00156210469920559</v>
      </c>
    </row>
    <row r="270" customFormat="false" ht="15" hidden="false" customHeight="false" outlineLevel="0" collapsed="false">
      <c r="C270" s="0" t="n">
        <f aca="false">Panel!P265-Panel!P264</f>
        <v>0.000719914892762574</v>
      </c>
      <c r="D270" s="29" t="n">
        <f aca="false">Panel!P264</f>
        <v>0.00565878982918555</v>
      </c>
      <c r="E270" s="30" t="n">
        <f aca="false">Panel!P264-Panel!P263</f>
        <v>8.94577959584808E-005</v>
      </c>
      <c r="F270" s="30" t="n">
        <f aca="false">Panel!P263-Panel!P262</f>
        <v>0.00171810388921756</v>
      </c>
      <c r="G270" s="30" t="n">
        <f aca="false">Panel!P262-Panel!P261</f>
        <v>-0.000513136020844129</v>
      </c>
    </row>
    <row r="271" customFormat="false" ht="15" hidden="false" customHeight="false" outlineLevel="0" collapsed="false">
      <c r="C271" s="0" t="n">
        <f aca="false">Panel!P266-Panel!P265</f>
        <v>0.000955766226649502</v>
      </c>
      <c r="D271" s="29" t="n">
        <f aca="false">Panel!P265</f>
        <v>0.00637870472194813</v>
      </c>
      <c r="E271" s="30" t="n">
        <f aca="false">Panel!P265-Panel!P264</f>
        <v>0.000719914892762574</v>
      </c>
      <c r="F271" s="30" t="n">
        <f aca="false">Panel!P264-Panel!P263</f>
        <v>8.94577959584808E-005</v>
      </c>
      <c r="G271" s="30" t="n">
        <f aca="false">Panel!P263-Panel!P262</f>
        <v>0.00171810388921756</v>
      </c>
    </row>
    <row r="272" customFormat="false" ht="15" hidden="false" customHeight="false" outlineLevel="0" collapsed="false">
      <c r="C272" s="0" t="n">
        <f aca="false">Panel!P267-Panel!P266</f>
        <v>-0.000623452425193349</v>
      </c>
      <c r="D272" s="29" t="n">
        <f aca="false">Panel!P266</f>
        <v>0.00733447094859763</v>
      </c>
      <c r="E272" s="30" t="n">
        <f aca="false">Panel!P266-Panel!P265</f>
        <v>0.000955766226649502</v>
      </c>
      <c r="F272" s="30" t="n">
        <f aca="false">Panel!P265-Panel!P264</f>
        <v>0.000719914892762574</v>
      </c>
      <c r="G272" s="30" t="n">
        <f aca="false">Panel!P264-Panel!P263</f>
        <v>8.94577959584808E-005</v>
      </c>
    </row>
    <row r="273" customFormat="false" ht="15" hidden="false" customHeight="false" outlineLevel="0" collapsed="false">
      <c r="C273" s="0" t="n">
        <f aca="false">Panel!P268-Panel!P267</f>
        <v>0.000991475807071041</v>
      </c>
      <c r="D273" s="29" t="n">
        <f aca="false">Panel!P267</f>
        <v>0.00671101852340428</v>
      </c>
      <c r="E273" s="30" t="n">
        <f aca="false">Panel!P267-Panel!P266</f>
        <v>-0.000623452425193349</v>
      </c>
      <c r="F273" s="30" t="n">
        <f aca="false">Panel!P266-Panel!P265</f>
        <v>0.000955766226649502</v>
      </c>
      <c r="G273" s="30" t="n">
        <f aca="false">Panel!P265-Panel!P264</f>
        <v>0.000719914892762574</v>
      </c>
    </row>
    <row r="274" customFormat="false" ht="15" hidden="false" customHeight="false" outlineLevel="0" collapsed="false">
      <c r="C274" s="0" t="n">
        <f aca="false">Panel!P269-Panel!P268</f>
        <v>-0.00103503599580534</v>
      </c>
      <c r="D274" s="29" t="n">
        <f aca="false">Panel!P268</f>
        <v>0.00770249433047532</v>
      </c>
      <c r="E274" s="30" t="n">
        <f aca="false">Panel!P268-Panel!P267</f>
        <v>0.000991475807071041</v>
      </c>
      <c r="F274" s="30" t="n">
        <f aca="false">Panel!P267-Panel!P266</f>
        <v>-0.000623452425193349</v>
      </c>
      <c r="G274" s="30" t="n">
        <f aca="false">Panel!P266-Panel!P265</f>
        <v>0.000955766226649502</v>
      </c>
    </row>
    <row r="275" customFormat="false" ht="15" hidden="false" customHeight="false" outlineLevel="0" collapsed="false">
      <c r="C275" s="0" t="n">
        <f aca="false">Panel!P270-Panel!P269</f>
        <v>-0.00176188384776843</v>
      </c>
      <c r="D275" s="29" t="n">
        <f aca="false">Panel!P269</f>
        <v>0.00666745833466997</v>
      </c>
      <c r="E275" s="30" t="n">
        <f aca="false">Panel!P269-Panel!P268</f>
        <v>-0.00103503599580534</v>
      </c>
      <c r="F275" s="30" t="n">
        <f aca="false">Panel!P268-Panel!P267</f>
        <v>0.000991475807071041</v>
      </c>
      <c r="G275" s="30" t="n">
        <f aca="false">Panel!P267-Panel!P266</f>
        <v>-0.000623452425193349</v>
      </c>
    </row>
    <row r="276" customFormat="false" ht="15" hidden="false" customHeight="false" outlineLevel="0" collapsed="false">
      <c r="C276" s="0" t="n">
        <f aca="false">Panel!P271-Panel!P270</f>
        <v>0.000227384533221908</v>
      </c>
      <c r="D276" s="29" t="n">
        <f aca="false">Panel!P270</f>
        <v>0.00490557448690154</v>
      </c>
      <c r="E276" s="30" t="n">
        <f aca="false">Panel!P270-Panel!P269</f>
        <v>-0.00176188384776843</v>
      </c>
      <c r="F276" s="30" t="n">
        <f aca="false">Panel!P269-Panel!P268</f>
        <v>-0.00103503599580534</v>
      </c>
      <c r="G276" s="30" t="n">
        <f aca="false">Panel!P268-Panel!P267</f>
        <v>0.000991475807071041</v>
      </c>
    </row>
    <row r="277" customFormat="false" ht="15" hidden="false" customHeight="false" outlineLevel="0" collapsed="false">
      <c r="C277" s="0" t="n">
        <f aca="false">Panel!P272-Panel!P271</f>
        <v>-0.00319593165252563</v>
      </c>
      <c r="D277" s="29" t="n">
        <f aca="false">Panel!P271</f>
        <v>0.00513295902012345</v>
      </c>
      <c r="E277" s="30" t="n">
        <f aca="false">Panel!P271-Panel!P270</f>
        <v>0.000227384533221908</v>
      </c>
      <c r="F277" s="30" t="n">
        <f aca="false">Panel!P270-Panel!P269</f>
        <v>-0.00176188384776843</v>
      </c>
      <c r="G277" s="30" t="n">
        <f aca="false">Panel!P269-Panel!P268</f>
        <v>-0.00103503599580534</v>
      </c>
    </row>
    <row r="278" customFormat="false" ht="15" hidden="false" customHeight="false" outlineLevel="0" collapsed="false">
      <c r="C278" s="0" t="n">
        <f aca="false">Panel!P273-Panel!P272</f>
        <v>-0.00504640772848219</v>
      </c>
      <c r="D278" s="29" t="n">
        <f aca="false">Panel!P272</f>
        <v>0.00193702736759782</v>
      </c>
      <c r="E278" s="30" t="n">
        <f aca="false">Panel!P272-Panel!P271</f>
        <v>-0.00319593165252563</v>
      </c>
      <c r="F278" s="30" t="n">
        <f aca="false">Panel!P271-Panel!P270</f>
        <v>0.000227384533221908</v>
      </c>
      <c r="G278" s="30" t="n">
        <f aca="false">Panel!P270-Panel!P269</f>
        <v>-0.00176188384776843</v>
      </c>
    </row>
    <row r="279" customFormat="false" ht="15" hidden="false" customHeight="false" outlineLevel="0" collapsed="false">
      <c r="C279" s="0" t="n">
        <f aca="false">Panel!P274-Panel!P273</f>
        <v>0.00752701572029935</v>
      </c>
      <c r="D279" s="29" t="n">
        <f aca="false">Panel!P273</f>
        <v>-0.00310938036088437</v>
      </c>
      <c r="E279" s="30" t="n">
        <f aca="false">Panel!P273-Panel!P272</f>
        <v>-0.00504640772848219</v>
      </c>
      <c r="F279" s="30" t="n">
        <f aca="false">Panel!P272-Panel!P271</f>
        <v>-0.00319593165252563</v>
      </c>
      <c r="G279" s="30" t="n">
        <f aca="false">Panel!P271-Panel!P270</f>
        <v>0.000227384533221908</v>
      </c>
    </row>
    <row r="280" customFormat="false" ht="15" hidden="false" customHeight="false" outlineLevel="0" collapsed="false">
      <c r="C280" s="0" t="n">
        <f aca="false">Panel!P275-Panel!P274</f>
        <v>0.00810854359067648</v>
      </c>
      <c r="D280" s="29" t="n">
        <f aca="false">Panel!P274</f>
        <v>0.00441763535941497</v>
      </c>
      <c r="E280" s="30" t="n">
        <f aca="false">Panel!P274-Panel!P273</f>
        <v>0.00752701572029935</v>
      </c>
      <c r="F280" s="30" t="n">
        <f aca="false">Panel!P273-Panel!P272</f>
        <v>-0.00504640772848219</v>
      </c>
      <c r="G280" s="30" t="n">
        <f aca="false">Panel!P272-Panel!P271</f>
        <v>-0.00319593165252563</v>
      </c>
    </row>
    <row r="281" customFormat="false" ht="15" hidden="false" customHeight="false" outlineLevel="0" collapsed="false">
      <c r="C281" s="0" t="n">
        <f aca="false">Panel!P276-Panel!P275</f>
        <v>-0.042273195499094</v>
      </c>
      <c r="D281" s="29" t="n">
        <f aca="false">Panel!P275</f>
        <v>0.0125261789500914</v>
      </c>
      <c r="E281" s="30" t="n">
        <f aca="false">Panel!P275-Panel!P274</f>
        <v>0.00810854359067648</v>
      </c>
      <c r="F281" s="30" t="n">
        <f aca="false">Panel!P274-Panel!P273</f>
        <v>0.00752701572029935</v>
      </c>
      <c r="G281" s="30" t="n">
        <f aca="false">Panel!P273-Panel!P272</f>
        <v>-0.00504640772848219</v>
      </c>
    </row>
    <row r="282" customFormat="false" ht="15" hidden="false" customHeight="false" outlineLevel="0" collapsed="false">
      <c r="C282" s="0" t="n">
        <f aca="false">Panel!P277-Panel!P276</f>
        <v>0.0311796785369722</v>
      </c>
      <c r="D282" s="29" t="n">
        <f aca="false">Panel!P276</f>
        <v>-0.0297470165490026</v>
      </c>
      <c r="E282" s="30" t="n">
        <f aca="false">Panel!P276-Panel!P275</f>
        <v>-0.042273195499094</v>
      </c>
      <c r="F282" s="30" t="n">
        <f aca="false">Panel!P275-Panel!P274</f>
        <v>0.00810854359067648</v>
      </c>
      <c r="G282" s="30" t="n">
        <f aca="false">Panel!P274-Panel!P273</f>
        <v>0.00752701572029935</v>
      </c>
    </row>
    <row r="283" customFormat="false" ht="15" hidden="false" customHeight="false" outlineLevel="0" collapsed="false">
      <c r="C283" s="0" t="n">
        <f aca="false">Panel!P278-Panel!P277</f>
        <v>0.0066073070220547</v>
      </c>
      <c r="D283" s="29" t="n">
        <f aca="false">Panel!P277</f>
        <v>0.00143266198796965</v>
      </c>
      <c r="E283" s="30" t="n">
        <f aca="false">Panel!P277-Panel!P276</f>
        <v>0.0311796785369722</v>
      </c>
      <c r="F283" s="30" t="n">
        <f aca="false">Panel!P276-Panel!P275</f>
        <v>-0.042273195499094</v>
      </c>
      <c r="G283" s="30" t="n">
        <f aca="false">Panel!P275-Panel!P274</f>
        <v>0.00810854359067648</v>
      </c>
    </row>
    <row r="284" customFormat="false" ht="15" hidden="false" customHeight="false" outlineLevel="0" collapsed="false">
      <c r="C284" s="0" t="n">
        <f aca="false">Panel!P279-Panel!P278</f>
        <v>-0.000222084849680115</v>
      </c>
      <c r="D284" s="29" t="n">
        <f aca="false">Panel!P278</f>
        <v>0.00803996901002435</v>
      </c>
      <c r="E284" s="30" t="n">
        <f aca="false">Panel!P278-Panel!P277</f>
        <v>0.0066073070220547</v>
      </c>
      <c r="F284" s="30" t="n">
        <f aca="false">Panel!P277-Panel!P276</f>
        <v>0.0311796785369722</v>
      </c>
      <c r="G284" s="30" t="n">
        <f aca="false">Panel!P276-Panel!P275</f>
        <v>-0.042273195499094</v>
      </c>
    </row>
    <row r="285" customFormat="false" ht="15" hidden="false" customHeight="false" outlineLevel="0" collapsed="false">
      <c r="C285" s="0" t="n">
        <f aca="false">Panel!P280-Panel!P279</f>
        <v>-0.00339257955396555</v>
      </c>
      <c r="D285" s="29" t="n">
        <f aca="false">Panel!P279</f>
        <v>0.00781788416034424</v>
      </c>
      <c r="E285" s="30" t="n">
        <f aca="false">Panel!P279-Panel!P278</f>
        <v>-0.000222084849680115</v>
      </c>
      <c r="F285" s="30" t="n">
        <f aca="false">Panel!P278-Panel!P277</f>
        <v>0.0066073070220547</v>
      </c>
      <c r="G285" s="30" t="n">
        <f aca="false">Panel!P277-Panel!P276</f>
        <v>0.0311796785369722</v>
      </c>
    </row>
    <row r="286" customFormat="false" ht="15" hidden="false" customHeight="false" outlineLevel="0" collapsed="false">
      <c r="C286" s="0" t="n">
        <f aca="false">Panel!P281-Panel!P280</f>
        <v>0.000624405267949157</v>
      </c>
      <c r="D286" s="29" t="n">
        <f aca="false">Panel!P280</f>
        <v>0.00442530460637869</v>
      </c>
      <c r="E286" s="30" t="n">
        <f aca="false">Panel!P280-Panel!P279</f>
        <v>-0.00339257955396555</v>
      </c>
      <c r="F286" s="30" t="n">
        <f aca="false">Panel!P279-Panel!P278</f>
        <v>-0.000222084849680115</v>
      </c>
      <c r="G286" s="30" t="n">
        <f aca="false">Panel!P278-Panel!P277</f>
        <v>0.0066073070220547</v>
      </c>
    </row>
    <row r="287" customFormat="false" ht="15" hidden="false" customHeight="false" outlineLevel="0" collapsed="false">
      <c r="C287" s="0" t="n">
        <f aca="false">Panel!P282-Panel!P281</f>
        <v>-0.000262014279998724</v>
      </c>
      <c r="D287" s="29" t="n">
        <f aca="false">Panel!P281</f>
        <v>0.00504970987432785</v>
      </c>
      <c r="E287" s="30" t="n">
        <f aca="false">Panel!P281-Panel!P280</f>
        <v>0.000624405267949157</v>
      </c>
      <c r="F287" s="30" t="n">
        <f aca="false">Panel!P280-Panel!P279</f>
        <v>-0.00339257955396555</v>
      </c>
      <c r="G287" s="30" t="n">
        <f aca="false">Panel!P279-Panel!P278</f>
        <v>-0.000222084849680115</v>
      </c>
    </row>
    <row r="288" customFormat="false" ht="15" hidden="false" customHeight="false" outlineLevel="0" collapsed="false">
      <c r="C288" s="0" t="n">
        <f aca="false">Panel!P283-Panel!P282</f>
        <v>-0.000960935019717724</v>
      </c>
      <c r="D288" s="29" t="n">
        <f aca="false">Panel!P282</f>
        <v>0.00478769559432912</v>
      </c>
      <c r="E288" s="30" t="n">
        <f aca="false">Panel!P282-Panel!P281</f>
        <v>-0.000262014279998724</v>
      </c>
      <c r="F288" s="30" t="n">
        <f aca="false">Panel!P281-Panel!P280</f>
        <v>0.000624405267949157</v>
      </c>
      <c r="G288" s="30" t="n">
        <f aca="false">Panel!P280-Panel!P279</f>
        <v>-0.00339257955396555</v>
      </c>
    </row>
    <row r="289" customFormat="false" ht="15" hidden="false" customHeight="false" outlineLevel="0" collapsed="false">
      <c r="C289" s="0" t="n">
        <f aca="false">Panel!P284-Panel!P283</f>
        <v>0.000457020383882067</v>
      </c>
      <c r="D289" s="29" t="n">
        <f aca="false">Panel!P283</f>
        <v>0.0038267605746114</v>
      </c>
      <c r="E289" s="30" t="n">
        <f aca="false">Panel!P283-Panel!P282</f>
        <v>-0.000960935019717724</v>
      </c>
      <c r="F289" s="30" t="n">
        <f aca="false">Panel!P282-Panel!P281</f>
        <v>-0.000262014279998724</v>
      </c>
      <c r="G289" s="30" t="n">
        <f aca="false">Panel!P281-Panel!P280</f>
        <v>0.000624405267949157</v>
      </c>
    </row>
    <row r="290" customFormat="false" ht="15" hidden="false" customHeight="false" outlineLevel="0" collapsed="false">
      <c r="C290" s="0" t="n">
        <f aca="false">Panel!P285-Panel!P284</f>
        <v>0.00171646460409391</v>
      </c>
      <c r="D290" s="29" t="n">
        <f aca="false">Panel!P284</f>
        <v>0.00428378095849347</v>
      </c>
      <c r="E290" s="30" t="n">
        <f aca="false">Panel!P284-Panel!P283</f>
        <v>0.000457020383882067</v>
      </c>
      <c r="F290" s="30" t="n">
        <f aca="false">Panel!P283-Panel!P282</f>
        <v>-0.000960935019717724</v>
      </c>
      <c r="G290" s="30" t="n">
        <f aca="false">Panel!P282-Panel!P281</f>
        <v>-0.000262014279998724</v>
      </c>
    </row>
    <row r="291" customFormat="false" ht="15" hidden="false" customHeight="false" outlineLevel="0" collapsed="false">
      <c r="C291" s="0" t="n">
        <f aca="false">Panel!P286-Panel!P285</f>
        <v>-0.00194020332291878</v>
      </c>
      <c r="D291" s="29" t="n">
        <f aca="false">Panel!P285</f>
        <v>0.00600024556258738</v>
      </c>
      <c r="E291" s="30" t="n">
        <f aca="false">Panel!P285-Panel!P284</f>
        <v>0.00171646460409391</v>
      </c>
      <c r="F291" s="30" t="n">
        <f aca="false">Panel!P284-Panel!P283</f>
        <v>0.000457020383882067</v>
      </c>
      <c r="G291" s="30" t="n">
        <f aca="false">Panel!P283-Panel!P282</f>
        <v>-0.000960935019717724</v>
      </c>
    </row>
    <row r="292" customFormat="false" ht="15" hidden="false" customHeight="false" outlineLevel="0" collapsed="false">
      <c r="C292" s="0" t="n">
        <f aca="false">Panel!P287-Panel!P286</f>
        <v>0.00220259455748284</v>
      </c>
      <c r="D292" s="29" t="n">
        <f aca="false">Panel!P286</f>
        <v>0.0040600422396686</v>
      </c>
      <c r="E292" s="30" t="n">
        <f aca="false">Panel!P286-Panel!P285</f>
        <v>-0.00194020332291878</v>
      </c>
      <c r="F292" s="30" t="n">
        <f aca="false">Panel!P285-Panel!P284</f>
        <v>0.00171646460409391</v>
      </c>
      <c r="G292" s="30" t="n">
        <f aca="false">Panel!P284-Panel!P283</f>
        <v>0.000457020383882067</v>
      </c>
    </row>
    <row r="293" customFormat="false" ht="15" hidden="false" customHeight="false" outlineLevel="0" collapsed="false">
      <c r="C293" s="0" t="n">
        <f aca="false">Panel!P288-Panel!P287</f>
        <v>-0.00233657751550709</v>
      </c>
      <c r="D293" s="29" t="n">
        <f aca="false">Panel!P287</f>
        <v>0.00626263679715144</v>
      </c>
      <c r="E293" s="30" t="n">
        <f aca="false">Panel!P287-Panel!P286</f>
        <v>0.00220259455748284</v>
      </c>
      <c r="F293" s="30" t="n">
        <f aca="false">Panel!P286-Panel!P285</f>
        <v>-0.00194020332291878</v>
      </c>
      <c r="G293" s="30" t="n">
        <f aca="false">Panel!P285-Panel!P284</f>
        <v>0.00171646460409391</v>
      </c>
    </row>
    <row r="294" customFormat="false" ht="15" hidden="false" customHeight="false" outlineLevel="0" collapsed="false">
      <c r="C294" s="0" t="n">
        <f aca="false">Panel!P289-Panel!P288</f>
        <v>0.00124551585934896</v>
      </c>
      <c r="D294" s="29" t="n">
        <f aca="false">Panel!P288</f>
        <v>0.00392605928164436</v>
      </c>
      <c r="E294" s="30" t="n">
        <f aca="false">Panel!P288-Panel!P287</f>
        <v>-0.00233657751550709</v>
      </c>
      <c r="F294" s="30" t="n">
        <f aca="false">Panel!P287-Panel!P286</f>
        <v>0.00220259455748284</v>
      </c>
      <c r="G294" s="30" t="n">
        <f aca="false">Panel!P286-Panel!P285</f>
        <v>-0.00194020332291878</v>
      </c>
    </row>
    <row r="295" customFormat="false" ht="15" hidden="false" customHeight="false" outlineLevel="0" collapsed="false">
      <c r="C295" s="0" t="n">
        <f aca="false">Panel!P290-Panel!P289</f>
        <v>0.000633583327932286</v>
      </c>
      <c r="D295" s="29" t="n">
        <f aca="false">Panel!P289</f>
        <v>0.00517157514099331</v>
      </c>
      <c r="E295" s="30" t="n">
        <f aca="false">Panel!P289-Panel!P288</f>
        <v>0.00124551585934896</v>
      </c>
      <c r="F295" s="30" t="n">
        <f aca="false">Panel!P288-Panel!P287</f>
        <v>-0.00233657751550709</v>
      </c>
      <c r="G295" s="30" t="n">
        <f aca="false">Panel!P287-Panel!P286</f>
        <v>0.00220259455748284</v>
      </c>
    </row>
    <row r="296" customFormat="false" ht="15" hidden="false" customHeight="false" outlineLevel="0" collapsed="false">
      <c r="C296" s="0" t="n">
        <f aca="false">Panel!P291-Panel!P290</f>
        <v>0.00101388678261571</v>
      </c>
      <c r="D296" s="29" t="n">
        <f aca="false">Panel!P290</f>
        <v>0.0058051584689256</v>
      </c>
      <c r="E296" s="30" t="n">
        <f aca="false">Panel!P290-Panel!P289</f>
        <v>0.000633583327932286</v>
      </c>
      <c r="F296" s="30" t="n">
        <f aca="false">Panel!P289-Panel!P288</f>
        <v>0.00124551585934896</v>
      </c>
      <c r="G296" s="30" t="n">
        <f aca="false">Panel!P288-Panel!P287</f>
        <v>-0.00233657751550709</v>
      </c>
    </row>
    <row r="297" customFormat="false" ht="15" hidden="false" customHeight="false" outlineLevel="0" collapsed="false">
      <c r="C297" s="0" t="n">
        <f aca="false">Panel!P292-Panel!P291</f>
        <v>0.000674128401000118</v>
      </c>
      <c r="D297" s="29" t="n">
        <f aca="false">Panel!P291</f>
        <v>0.00681904525154131</v>
      </c>
      <c r="E297" s="30" t="n">
        <f aca="false">Panel!P291-Panel!P290</f>
        <v>0.00101388678261571</v>
      </c>
      <c r="F297" s="30" t="n">
        <f aca="false">Panel!P290-Panel!P289</f>
        <v>0.000633583327932286</v>
      </c>
      <c r="G297" s="30" t="n">
        <f aca="false">Panel!P289-Panel!P288</f>
        <v>0.00124551585934896</v>
      </c>
    </row>
    <row r="298" customFormat="false" ht="15" hidden="false" customHeight="false" outlineLevel="0" collapsed="false">
      <c r="C298" s="0" t="n">
        <f aca="false">Panel!P293-Panel!P292</f>
        <v>0.00176102606168982</v>
      </c>
      <c r="D298" s="29" t="n">
        <f aca="false">Panel!P292</f>
        <v>0.00749317365254143</v>
      </c>
      <c r="E298" s="30" t="n">
        <f aca="false">Panel!P292-Panel!P291</f>
        <v>0.000674128401000118</v>
      </c>
      <c r="F298" s="30" t="n">
        <f aca="false">Panel!P291-Panel!P290</f>
        <v>0.00101388678261571</v>
      </c>
      <c r="G298" s="30" t="n">
        <f aca="false">Panel!P290-Panel!P289</f>
        <v>0.000633583327932286</v>
      </c>
    </row>
    <row r="299" customFormat="false" ht="15" hidden="false" customHeight="false" outlineLevel="0" collapsed="false">
      <c r="C299" s="0" t="n">
        <f aca="false">Panel!P294-Panel!P293</f>
        <v>6.35078016877344E-005</v>
      </c>
      <c r="D299" s="29" t="n">
        <f aca="false">Panel!P293</f>
        <v>0.00925419971423125</v>
      </c>
      <c r="E299" s="30" t="n">
        <f aca="false">Panel!P293-Panel!P292</f>
        <v>0.00176102606168982</v>
      </c>
      <c r="F299" s="30" t="n">
        <f aca="false">Panel!P292-Panel!P291</f>
        <v>0.000674128401000118</v>
      </c>
      <c r="G299" s="30" t="n">
        <f aca="false">Panel!P291-Panel!P290</f>
        <v>0.00101388678261571</v>
      </c>
    </row>
    <row r="300" customFormat="false" ht="15" hidden="false" customHeight="false" outlineLevel="0" collapsed="false">
      <c r="C300" s="0" t="n">
        <f aca="false">Panel!P295-Panel!P294</f>
        <v>-0.00243643862317455</v>
      </c>
      <c r="D300" s="29" t="n">
        <f aca="false">Panel!P294</f>
        <v>0.00931770751591898</v>
      </c>
      <c r="E300" s="30" t="n">
        <f aca="false">Panel!P294-Panel!P293</f>
        <v>6.35078016877344E-005</v>
      </c>
      <c r="F300" s="30" t="n">
        <f aca="false">Panel!P293-Panel!P292</f>
        <v>0.00176102606168982</v>
      </c>
      <c r="G300" s="30" t="n">
        <f aca="false">Panel!P292-Panel!P291</f>
        <v>0.000674128401000118</v>
      </c>
    </row>
    <row r="301" customFormat="false" ht="15" hidden="false" customHeight="false" outlineLevel="0" collapsed="false">
      <c r="C301" s="0" t="n">
        <f aca="false">Panel!P296-Panel!P295</f>
        <v>0.00218862773645867</v>
      </c>
      <c r="D301" s="29" t="n">
        <f aca="false">Panel!P295</f>
        <v>0.00688126889274443</v>
      </c>
      <c r="E301" s="30" t="n">
        <f aca="false">Panel!P295-Panel!P294</f>
        <v>-0.00243643862317455</v>
      </c>
      <c r="F301" s="30" t="n">
        <f aca="false">Panel!P294-Panel!P293</f>
        <v>6.35078016877344E-005</v>
      </c>
      <c r="G301" s="30" t="n">
        <f aca="false">Panel!P293-Panel!P292</f>
        <v>0.00176102606168982</v>
      </c>
    </row>
    <row r="302" customFormat="false" ht="15" hidden="false" customHeight="false" outlineLevel="0" collapsed="false">
      <c r="C302" s="0" t="n">
        <f aca="false">Panel!P297-Panel!P296</f>
        <v>-0.000809831277109652</v>
      </c>
      <c r="D302" s="29" t="n">
        <f aca="false">Panel!P296</f>
        <v>0.0090698966292031</v>
      </c>
      <c r="E302" s="30" t="n">
        <f aca="false">Panel!P296-Panel!P295</f>
        <v>0.00218862773645867</v>
      </c>
      <c r="F302" s="30" t="n">
        <f aca="false">Panel!P295-Panel!P294</f>
        <v>-0.00243643862317455</v>
      </c>
      <c r="G302" s="30" t="n">
        <f aca="false">Panel!P294-Panel!P293</f>
        <v>6.35078016877344E-005</v>
      </c>
    </row>
    <row r="303" customFormat="false" ht="15" hidden="false" customHeight="false" outlineLevel="0" collapsed="false">
      <c r="C303" s="0" t="n">
        <f aca="false">Panel!P298-Panel!P297</f>
        <v>-0.000203860877386219</v>
      </c>
      <c r="D303" s="29" t="n">
        <f aca="false">Panel!P297</f>
        <v>0.00826006535209345</v>
      </c>
      <c r="E303" s="30" t="n">
        <f aca="false">Panel!P297-Panel!P296</f>
        <v>-0.000809831277109652</v>
      </c>
      <c r="F303" s="30" t="n">
        <f aca="false">Panel!P296-Panel!P295</f>
        <v>0.00218862773645867</v>
      </c>
      <c r="G303" s="30" t="n">
        <f aca="false">Panel!P295-Panel!P294</f>
        <v>-0.00243643862317455</v>
      </c>
    </row>
    <row r="304" customFormat="false" ht="15" hidden="false" customHeight="false" outlineLevel="0" collapsed="false">
      <c r="C304" s="0" t="n">
        <f aca="false">Panel!P299-Panel!P298</f>
        <v>0.00168394432313868</v>
      </c>
      <c r="D304" s="29" t="n">
        <f aca="false">Panel!P298</f>
        <v>0.00805620447470723</v>
      </c>
      <c r="E304" s="30" t="n">
        <f aca="false">Panel!P298-Panel!P297</f>
        <v>-0.000203860877386219</v>
      </c>
      <c r="F304" s="30" t="n">
        <f aca="false">Panel!P297-Panel!P296</f>
        <v>-0.000809831277109652</v>
      </c>
      <c r="G304" s="30" t="n">
        <f aca="false">Panel!P296-Panel!P295</f>
        <v>0.00218862773645867</v>
      </c>
    </row>
    <row r="305" customFormat="false" ht="15" hidden="false" customHeight="false" outlineLevel="0" collapsed="false">
      <c r="C305" s="0" t="n">
        <f aca="false">Panel!P300-Panel!P299</f>
        <v>0.000820305487751583</v>
      </c>
      <c r="D305" s="29" t="n">
        <f aca="false">Panel!P299</f>
        <v>0.0097401487978459</v>
      </c>
      <c r="E305" s="30" t="n">
        <f aca="false">Panel!P299-Panel!P298</f>
        <v>0.00168394432313868</v>
      </c>
      <c r="F305" s="30" t="n">
        <f aca="false">Panel!P298-Panel!P297</f>
        <v>-0.000203860877386219</v>
      </c>
      <c r="G305" s="30" t="n">
        <f aca="false">Panel!P297-Panel!P296</f>
        <v>-0.000809831277109652</v>
      </c>
    </row>
    <row r="306" customFormat="false" ht="15" hidden="false" customHeight="false" outlineLevel="0" collapsed="false">
      <c r="C306" s="0" t="n">
        <f aca="false">Panel!P301-Panel!P300</f>
        <v>-0.00336805782001726</v>
      </c>
      <c r="D306" s="29" t="n">
        <f aca="false">Panel!P300</f>
        <v>0.0105604542855975</v>
      </c>
      <c r="E306" s="30" t="n">
        <f aca="false">Panel!P300-Panel!P299</f>
        <v>0.000820305487751583</v>
      </c>
      <c r="F306" s="30" t="n">
        <f aca="false">Panel!P299-Panel!P298</f>
        <v>0.00168394432313868</v>
      </c>
      <c r="G306" s="30" t="n">
        <f aca="false">Panel!P298-Panel!P297</f>
        <v>-0.000203860877386219</v>
      </c>
    </row>
    <row r="307" customFormat="false" ht="15" hidden="false" customHeight="false" outlineLevel="0" collapsed="false">
      <c r="C307" s="0" t="n">
        <f aca="false">Panel!P302-Panel!P301</f>
        <v>0.00184353996201203</v>
      </c>
      <c r="D307" s="29" t="n">
        <f aca="false">Panel!P301</f>
        <v>0.00719239646558023</v>
      </c>
      <c r="E307" s="30" t="n">
        <f aca="false">Panel!P301-Panel!P300</f>
        <v>-0.00336805782001726</v>
      </c>
      <c r="F307" s="30" t="n">
        <f aca="false">Panel!P300-Panel!P299</f>
        <v>0.000820305487751583</v>
      </c>
      <c r="G307" s="30" t="n">
        <f aca="false">Panel!P299-Panel!P298</f>
        <v>0.00168394432313868</v>
      </c>
    </row>
    <row r="308" customFormat="false" ht="15" hidden="false" customHeight="false" outlineLevel="0" collapsed="false">
      <c r="C308" s="0" t="n">
        <f aca="false">Panel!P303-Panel!P302</f>
        <v>0.00113007226297768</v>
      </c>
      <c r="D308" s="29" t="n">
        <f aca="false">Panel!P302</f>
        <v>0.00903593642759226</v>
      </c>
      <c r="E308" s="30" t="n">
        <f aca="false">Panel!P302-Panel!P301</f>
        <v>0.00184353996201203</v>
      </c>
      <c r="F308" s="30" t="n">
        <f aca="false">Panel!P301-Panel!P300</f>
        <v>-0.00336805782001726</v>
      </c>
      <c r="G308" s="30" t="n">
        <f aca="false">Panel!P300-Panel!P299</f>
        <v>0.000820305487751583</v>
      </c>
    </row>
    <row r="309" customFormat="false" ht="15" hidden="false" customHeight="false" outlineLevel="0" collapsed="false">
      <c r="C309" s="0" t="n">
        <f aca="false">Panel!P304-Panel!P303</f>
        <v>-0.000102321885183443</v>
      </c>
      <c r="D309" s="29" t="n">
        <f aca="false">Panel!P303</f>
        <v>0.0101660086905699</v>
      </c>
      <c r="E309" s="30" t="n">
        <f aca="false">Panel!P303-Panel!P302</f>
        <v>0.00113007226297768</v>
      </c>
      <c r="F309" s="30" t="n">
        <f aca="false">Panel!P302-Panel!P301</f>
        <v>0.00184353996201203</v>
      </c>
      <c r="G309" s="30" t="n">
        <f aca="false">Panel!P301-Panel!P300</f>
        <v>-0.00336805782001726</v>
      </c>
    </row>
    <row r="310" customFormat="false" ht="15" hidden="false" customHeight="false" outlineLevel="0" collapsed="false">
      <c r="C310" s="0" t="n">
        <f aca="false">Panel!P305-Panel!P304</f>
        <v>-0.00102365752324651</v>
      </c>
      <c r="D310" s="29" t="n">
        <f aca="false">Panel!P304</f>
        <v>0.0100636868053865</v>
      </c>
      <c r="E310" s="30" t="n">
        <f aca="false">Panel!P304-Panel!P303</f>
        <v>-0.000102321885183443</v>
      </c>
      <c r="F310" s="30" t="n">
        <f aca="false">Panel!P303-Panel!P302</f>
        <v>0.00113007226297768</v>
      </c>
      <c r="G310" s="30" t="n">
        <f aca="false">Panel!P302-Panel!P301</f>
        <v>0.00184353996201203</v>
      </c>
    </row>
    <row r="311" customFormat="false" ht="15" hidden="false" customHeight="false" outlineLevel="0" collapsed="false">
      <c r="C311" s="0" t="n">
        <f aca="false">Panel!P306-Panel!P305</f>
        <v>0.00105546718767613</v>
      </c>
      <c r="D311" s="29" t="n">
        <f aca="false">Panel!P305</f>
        <v>0.00904002928213998</v>
      </c>
      <c r="E311" s="30" t="n">
        <f aca="false">Panel!P305-Panel!P304</f>
        <v>-0.00102365752324651</v>
      </c>
      <c r="F311" s="30" t="n">
        <f aca="false">Panel!P304-Panel!P303</f>
        <v>-0.000102321885183443</v>
      </c>
      <c r="G311" s="30" t="n">
        <f aca="false">Panel!P303-Panel!P302</f>
        <v>0.00113007226297768</v>
      </c>
    </row>
    <row r="312" customFormat="false" ht="15" hidden="false" customHeight="false" outlineLevel="0" collapsed="false">
      <c r="C312" s="0" t="n">
        <f aca="false">Panel!P307-Panel!P306</f>
        <v>-0.00395621883234831</v>
      </c>
      <c r="D312" s="29" t="n">
        <f aca="false">Panel!P306</f>
        <v>0.0100954964698161</v>
      </c>
      <c r="E312" s="30" t="n">
        <f aca="false">Panel!P306-Panel!P305</f>
        <v>0.00105546718767613</v>
      </c>
      <c r="F312" s="30" t="n">
        <f aca="false">Panel!P305-Panel!P304</f>
        <v>-0.00102365752324651</v>
      </c>
      <c r="G312" s="30" t="n">
        <f aca="false">Panel!P304-Panel!P303</f>
        <v>-0.000102321885183443</v>
      </c>
    </row>
    <row r="313" customFormat="false" ht="15" hidden="false" customHeight="false" outlineLevel="0" collapsed="false">
      <c r="C313" s="0" t="n">
        <f aca="false">Panel!P308-Panel!P307</f>
        <v>0.00131004535622203</v>
      </c>
      <c r="D313" s="29" t="n">
        <f aca="false">Panel!P307</f>
        <v>0.0061392776374678</v>
      </c>
      <c r="E313" s="30" t="n">
        <f aca="false">Panel!P307-Panel!P306</f>
        <v>-0.00395621883234831</v>
      </c>
      <c r="F313" s="30" t="n">
        <f aca="false">Panel!P306-Panel!P305</f>
        <v>0.00105546718767613</v>
      </c>
      <c r="G313" s="30" t="n">
        <f aca="false">Panel!P305-Panel!P304</f>
        <v>-0.00102365752324651</v>
      </c>
    </row>
    <row r="314" customFormat="false" ht="15" hidden="false" customHeight="false" outlineLevel="0" collapsed="false">
      <c r="C314" s="0" t="n">
        <f aca="false">Panel!P309-Panel!P308</f>
        <v>-0.00223708937778788</v>
      </c>
      <c r="D314" s="29" t="n">
        <f aca="false">Panel!P308</f>
        <v>0.00744932299368983</v>
      </c>
      <c r="E314" s="30" t="n">
        <f aca="false">Panel!P308-Panel!P307</f>
        <v>0.00131004535622203</v>
      </c>
      <c r="F314" s="30" t="n">
        <f aca="false">Panel!P307-Panel!P306</f>
        <v>-0.00395621883234831</v>
      </c>
      <c r="G314" s="30" t="n">
        <f aca="false">Panel!P306-Panel!P305</f>
        <v>0.00105546718767613</v>
      </c>
    </row>
    <row r="315" customFormat="false" ht="15" hidden="false" customHeight="false" outlineLevel="0" collapsed="false">
      <c r="C315" s="0" t="n">
        <f aca="false">Panel!P310-Panel!P309</f>
        <v>-0.000753094770088225</v>
      </c>
      <c r="D315" s="29" t="n">
        <f aca="false">Panel!P309</f>
        <v>0.00521223361590195</v>
      </c>
      <c r="E315" s="30" t="n">
        <f aca="false">Panel!P309-Panel!P308</f>
        <v>-0.00223708937778788</v>
      </c>
      <c r="F315" s="30" t="n">
        <f aca="false">Panel!P308-Panel!P307</f>
        <v>0.00131004535622203</v>
      </c>
      <c r="G315" s="30" t="n">
        <f aca="false">Panel!P307-Panel!P306</f>
        <v>-0.00395621883234831</v>
      </c>
    </row>
    <row r="316" customFormat="false" ht="15" hidden="false" customHeight="false" outlineLevel="0" collapsed="false">
      <c r="C316" s="0" t="n">
        <f aca="false">Panel!P311-Panel!P310</f>
        <v>0.000424976818306888</v>
      </c>
      <c r="D316" s="29" t="n">
        <f aca="false">Panel!P310</f>
        <v>0.00445913884581373</v>
      </c>
      <c r="E316" s="30" t="n">
        <f aca="false">Panel!P310-Panel!P309</f>
        <v>-0.000753094770088225</v>
      </c>
      <c r="F316" s="30" t="n">
        <f aca="false">Panel!P309-Panel!P308</f>
        <v>-0.00223708937778788</v>
      </c>
      <c r="G316" s="30" t="n">
        <f aca="false">Panel!P308-Panel!P307</f>
        <v>0.00131004535622203</v>
      </c>
    </row>
    <row r="317" customFormat="false" ht="15" hidden="false" customHeight="false" outlineLevel="0" collapsed="false">
      <c r="C317" s="0" t="n">
        <f aca="false">Panel!P312-Panel!P311</f>
        <v>0.00788264587488463</v>
      </c>
      <c r="D317" s="29" t="n">
        <f aca="false">Panel!P311</f>
        <v>0.00488411566412061</v>
      </c>
      <c r="E317" s="30" t="n">
        <f aca="false">Panel!P311-Panel!P310</f>
        <v>0.000424976818306888</v>
      </c>
      <c r="F317" s="30" t="n">
        <f aca="false">Panel!P310-Panel!P309</f>
        <v>-0.000753094770088225</v>
      </c>
      <c r="G317" s="30" t="n">
        <f aca="false">Panel!P309-Panel!P308</f>
        <v>-0.00223708937778788</v>
      </c>
    </row>
    <row r="318" customFormat="false" ht="15" hidden="false" customHeight="false" outlineLevel="0" collapsed="false">
      <c r="C318" s="0" t="n">
        <f aca="false">Panel!P313-Panel!P312</f>
        <v>-0.00322307949611655</v>
      </c>
      <c r="D318" s="29" t="n">
        <f aca="false">Panel!P312</f>
        <v>0.0127667615390052</v>
      </c>
      <c r="E318" s="30" t="n">
        <f aca="false">Panel!P312-Panel!P311</f>
        <v>0.00788264587488463</v>
      </c>
      <c r="F318" s="30" t="n">
        <f aca="false">Panel!P311-Panel!P310</f>
        <v>0.000424976818306888</v>
      </c>
      <c r="G318" s="30" t="n">
        <f aca="false">Panel!P310-Panel!P309</f>
        <v>-0.000753094770088225</v>
      </c>
    </row>
    <row r="319" customFormat="false" ht="15" hidden="false" customHeight="false" outlineLevel="0" collapsed="false">
      <c r="C319" s="0" t="n">
        <f aca="false">Panel!P314-Panel!P313</f>
        <v>0.000714899803906377</v>
      </c>
      <c r="D319" s="29" t="n">
        <f aca="false">Panel!P313</f>
        <v>0.00954368204288869</v>
      </c>
      <c r="E319" s="30" t="n">
        <f aca="false">Panel!P313-Panel!P312</f>
        <v>-0.00322307949611655</v>
      </c>
      <c r="F319" s="30" t="n">
        <f aca="false">Panel!P312-Panel!P311</f>
        <v>0.00788264587488463</v>
      </c>
      <c r="G319" s="30" t="n">
        <f aca="false">Panel!P311-Panel!P310</f>
        <v>0.000424976818306888</v>
      </c>
    </row>
    <row r="320" customFormat="false" ht="15" hidden="false" customHeight="false" outlineLevel="0" collapsed="false">
      <c r="C320" s="0" t="n">
        <f aca="false">Panel!P315-Panel!P314</f>
        <v>0.000191361900222731</v>
      </c>
      <c r="D320" s="29" t="n">
        <f aca="false">Panel!P314</f>
        <v>0.0102585818467951</v>
      </c>
      <c r="E320" s="30" t="n">
        <f aca="false">Panel!P314-Panel!P313</f>
        <v>0.000714899803906377</v>
      </c>
      <c r="F320" s="30" t="n">
        <f aca="false">Panel!P313-Panel!P312</f>
        <v>-0.00322307949611655</v>
      </c>
      <c r="G320" s="30" t="n">
        <f aca="false">Panel!P312-Panel!P311</f>
        <v>0.00788264587488463</v>
      </c>
    </row>
    <row r="321" customFormat="false" ht="15" hidden="false" customHeight="false" outlineLevel="0" collapsed="false">
      <c r="C321" s="0" t="n">
        <f aca="false">Panel!P316-Panel!P315</f>
        <v>-0.00108449527571963</v>
      </c>
      <c r="D321" s="29" t="n">
        <f aca="false">Panel!P315</f>
        <v>0.0104499437470178</v>
      </c>
      <c r="E321" s="30" t="n">
        <f aca="false">Panel!P315-Panel!P314</f>
        <v>0.000191361900222731</v>
      </c>
      <c r="F321" s="30" t="n">
        <f aca="false">Panel!P314-Panel!P313</f>
        <v>0.000714899803906377</v>
      </c>
      <c r="G321" s="30" t="n">
        <f aca="false">Panel!P313-Panel!P312</f>
        <v>-0.00322307949611655</v>
      </c>
    </row>
    <row r="322" customFormat="false" ht="15" hidden="false" customHeight="false" outlineLevel="0" collapsed="false">
      <c r="C322" s="0" t="n">
        <f aca="false">Panel!P317-Panel!P316</f>
        <v>-0.0047632132692943</v>
      </c>
      <c r="D322" s="29" t="n">
        <f aca="false">Panel!P316</f>
        <v>0.00936544847129817</v>
      </c>
      <c r="E322" s="30" t="n">
        <f aca="false">Panel!P316-Panel!P315</f>
        <v>-0.00108449527571963</v>
      </c>
      <c r="F322" s="30" t="n">
        <f aca="false">Panel!P315-Panel!P314</f>
        <v>0.000191361900222731</v>
      </c>
      <c r="G322" s="30" t="n">
        <f aca="false">Panel!P314-Panel!P313</f>
        <v>0.000714899803906377</v>
      </c>
    </row>
    <row r="323" customFormat="false" ht="15" hidden="false" customHeight="false" outlineLevel="0" collapsed="false">
      <c r="C323" s="0" t="n">
        <f aca="false">Panel!P318-Panel!P317</f>
        <v>-0.0066043789164798</v>
      </c>
      <c r="D323" s="29" t="n">
        <f aca="false">Panel!P317</f>
        <v>0.00460223520200387</v>
      </c>
      <c r="E323" s="30" t="n">
        <f aca="false">Panel!P317-Panel!P316</f>
        <v>-0.0047632132692943</v>
      </c>
      <c r="F323" s="30" t="n">
        <f aca="false">Panel!P316-Panel!P315</f>
        <v>-0.00108449527571963</v>
      </c>
      <c r="G323" s="30" t="n">
        <f aca="false">Panel!P315-Panel!P314</f>
        <v>0.000191361900222731</v>
      </c>
    </row>
    <row r="324" customFormat="false" ht="15" hidden="false" customHeight="false" outlineLevel="0" collapsed="false">
      <c r="C324" s="0" t="n">
        <f aca="false">Panel!P319-Panel!P318</f>
        <v>0.00676623696199741</v>
      </c>
      <c r="D324" s="29" t="n">
        <f aca="false">Panel!P318</f>
        <v>-0.00200214371447593</v>
      </c>
      <c r="E324" s="30" t="n">
        <f aca="false">Panel!P318-Panel!P317</f>
        <v>-0.0066043789164798</v>
      </c>
      <c r="F324" s="30" t="n">
        <f aca="false">Panel!P317-Panel!P316</f>
        <v>-0.0047632132692943</v>
      </c>
      <c r="G324" s="30" t="n">
        <f aca="false">Panel!P316-Panel!P315</f>
        <v>-0.00108449527571963</v>
      </c>
    </row>
    <row r="325" customFormat="false" ht="15" hidden="false" customHeight="false" outlineLevel="0" collapsed="false">
      <c r="C325" s="0" t="n">
        <f aca="false">Panel!P320-Panel!P319</f>
        <v>0.00175717281369181</v>
      </c>
      <c r="D325" s="29" t="n">
        <f aca="false">Panel!P319</f>
        <v>0.00476409324752147</v>
      </c>
      <c r="E325" s="30" t="n">
        <f aca="false">Panel!P319-Panel!P318</f>
        <v>0.00676623696199741</v>
      </c>
      <c r="F325" s="30" t="n">
        <f aca="false">Panel!P318-Panel!P317</f>
        <v>-0.0066043789164798</v>
      </c>
      <c r="G325" s="30" t="n">
        <f aca="false">Panel!P317-Panel!P316</f>
        <v>-0.0047632132692943</v>
      </c>
    </row>
    <row r="326" customFormat="false" ht="15" hidden="false" customHeight="false" outlineLevel="0" collapsed="false">
      <c r="C326" s="0" t="n">
        <f aca="false">Panel!P321-Panel!P320</f>
        <v>-0.00348343905350923</v>
      </c>
      <c r="D326" s="29" t="n">
        <f aca="false">Panel!P320</f>
        <v>0.00652126606121328</v>
      </c>
      <c r="E326" s="30" t="n">
        <f aca="false">Panel!P320-Panel!P319</f>
        <v>0.00175717281369181</v>
      </c>
      <c r="F326" s="30" t="n">
        <f aca="false">Panel!P319-Panel!P318</f>
        <v>0.00676623696199741</v>
      </c>
      <c r="G326" s="30" t="n">
        <f aca="false">Panel!P318-Panel!P317</f>
        <v>-0.0066043789164798</v>
      </c>
    </row>
    <row r="327" customFormat="false" ht="15" hidden="false" customHeight="false" outlineLevel="0" collapsed="false">
      <c r="C327" s="0" t="n">
        <f aca="false">Panel!P322-Panel!P321</f>
        <v>0.0024676160454824</v>
      </c>
      <c r="D327" s="29" t="n">
        <f aca="false">Panel!P321</f>
        <v>0.00303782700770405</v>
      </c>
      <c r="E327" s="30" t="n">
        <f aca="false">Panel!P321-Panel!P320</f>
        <v>-0.00348343905350923</v>
      </c>
      <c r="F327" s="30" t="n">
        <f aca="false">Panel!P320-Panel!P319</f>
        <v>0.00175717281369181</v>
      </c>
      <c r="G327" s="30" t="n">
        <f aca="false">Panel!P319-Panel!P318</f>
        <v>0.00676623696199741</v>
      </c>
    </row>
    <row r="328" customFormat="false" ht="15" hidden="false" customHeight="false" outlineLevel="0" collapsed="false">
      <c r="C328" s="0" t="n">
        <f aca="false">Panel!P323-Panel!P322</f>
        <v>-0.000725394279671221</v>
      </c>
      <c r="D328" s="29" t="n">
        <f aca="false">Panel!P322</f>
        <v>0.00550544305318645</v>
      </c>
      <c r="E328" s="30" t="n">
        <f aca="false">Panel!P322-Panel!P321</f>
        <v>0.0024676160454824</v>
      </c>
      <c r="F328" s="30" t="n">
        <f aca="false">Panel!P321-Panel!P320</f>
        <v>-0.00348343905350923</v>
      </c>
      <c r="G328" s="30" t="n">
        <f aca="false">Panel!P320-Panel!P319</f>
        <v>0.00175717281369181</v>
      </c>
    </row>
    <row r="329" customFormat="false" ht="15" hidden="false" customHeight="false" outlineLevel="0" collapsed="false">
      <c r="C329" s="0" t="n">
        <f aca="false">Panel!P324-Panel!P323</f>
        <v>-0.00241456527296613</v>
      </c>
      <c r="D329" s="29" t="n">
        <f aca="false">Panel!P323</f>
        <v>0.00478004877351523</v>
      </c>
      <c r="E329" s="30" t="n">
        <f aca="false">Panel!P323-Panel!P322</f>
        <v>-0.000725394279671221</v>
      </c>
      <c r="F329" s="30" t="n">
        <f aca="false">Panel!P322-Panel!P321</f>
        <v>0.0024676160454824</v>
      </c>
      <c r="G329" s="30" t="n">
        <f aca="false">Panel!P321-Panel!P320</f>
        <v>-0.00348343905350923</v>
      </c>
    </row>
    <row r="330" customFormat="false" ht="15" hidden="false" customHeight="false" outlineLevel="0" collapsed="false">
      <c r="C330" s="0" t="n">
        <f aca="false">Panel!P325-Panel!P324</f>
        <v>0.00166657994597941</v>
      </c>
      <c r="D330" s="29" t="n">
        <f aca="false">Panel!P324</f>
        <v>0.0023654835005491</v>
      </c>
      <c r="E330" s="30" t="n">
        <f aca="false">Panel!P324-Panel!P323</f>
        <v>-0.00241456527296613</v>
      </c>
      <c r="F330" s="30" t="n">
        <f aca="false">Panel!P323-Panel!P322</f>
        <v>-0.000725394279671221</v>
      </c>
      <c r="G330" s="30" t="n">
        <f aca="false">Panel!P322-Panel!P321</f>
        <v>0.0024676160454824</v>
      </c>
    </row>
    <row r="331" customFormat="false" ht="15" hidden="false" customHeight="false" outlineLevel="0" collapsed="false">
      <c r="C331" s="0" t="n">
        <f aca="false">Panel!P326-Panel!P325</f>
        <v>0.00223344434917117</v>
      </c>
      <c r="D331" s="29" t="n">
        <f aca="false">Panel!P325</f>
        <v>0.00403206344652851</v>
      </c>
      <c r="E331" s="30" t="n">
        <f aca="false">Panel!P325-Panel!P324</f>
        <v>0.00166657994597941</v>
      </c>
      <c r="F331" s="30" t="n">
        <f aca="false">Panel!P324-Panel!P323</f>
        <v>-0.00241456527296613</v>
      </c>
      <c r="G331" s="30" t="n">
        <f aca="false">Panel!P323-Panel!P322</f>
        <v>-0.000725394279671221</v>
      </c>
    </row>
    <row r="332" customFormat="false" ht="15" hidden="false" customHeight="false" outlineLevel="0" collapsed="false">
      <c r="C332" s="0" t="n">
        <f aca="false">Panel!P327-Panel!P326</f>
        <v>-0.00199145593362182</v>
      </c>
      <c r="D332" s="29" t="n">
        <f aca="false">Panel!P326</f>
        <v>0.00626550779569968</v>
      </c>
      <c r="E332" s="30" t="n">
        <f aca="false">Panel!P326-Panel!P325</f>
        <v>0.00223344434917117</v>
      </c>
      <c r="F332" s="30" t="n">
        <f aca="false">Panel!P325-Panel!P324</f>
        <v>0.00166657994597941</v>
      </c>
      <c r="G332" s="30" t="n">
        <f aca="false">Panel!P324-Panel!P323</f>
        <v>-0.00241456527296613</v>
      </c>
    </row>
    <row r="333" customFormat="false" ht="15" hidden="false" customHeight="false" outlineLevel="0" collapsed="false">
      <c r="C333" s="0" t="n">
        <f aca="false">Panel!P328-Panel!P327</f>
        <v>0.00144974787892593</v>
      </c>
      <c r="D333" s="29" t="n">
        <f aca="false">Panel!P327</f>
        <v>0.00427405186207785</v>
      </c>
      <c r="E333" s="30" t="n">
        <f aca="false">Panel!P327-Panel!P326</f>
        <v>-0.00199145593362182</v>
      </c>
      <c r="F333" s="30" t="n">
        <f aca="false">Panel!P326-Panel!P325</f>
        <v>0.00223344434917117</v>
      </c>
      <c r="G333" s="30" t="n">
        <f aca="false">Panel!P325-Panel!P324</f>
        <v>0.00166657994597941</v>
      </c>
    </row>
    <row r="334" customFormat="false" ht="15" hidden="false" customHeight="false" outlineLevel="0" collapsed="false">
      <c r="C334" s="0" t="n">
        <f aca="false">Panel!P329-Panel!P328</f>
        <v>0.000748101311209837</v>
      </c>
      <c r="D334" s="29" t="n">
        <f aca="false">Panel!P328</f>
        <v>0.00572379974100379</v>
      </c>
      <c r="E334" s="30" t="n">
        <f aca="false">Panel!P328-Panel!P327</f>
        <v>0.00144974787892593</v>
      </c>
      <c r="F334" s="30" t="n">
        <f aca="false">Panel!P327-Panel!P326</f>
        <v>-0.00199145593362182</v>
      </c>
      <c r="G334" s="30" t="n">
        <f aca="false">Panel!P326-Panel!P325</f>
        <v>0.00223344434917117</v>
      </c>
    </row>
    <row r="335" customFormat="false" ht="15" hidden="false" customHeight="false" outlineLevel="0" collapsed="false">
      <c r="C335" s="0" t="n">
        <f aca="false">Panel!P330-Panel!P329</f>
        <v>0.00152587659000858</v>
      </c>
      <c r="D335" s="29" t="n">
        <f aca="false">Panel!P329</f>
        <v>0.00647190105221362</v>
      </c>
      <c r="E335" s="30" t="n">
        <f aca="false">Panel!P329-Panel!P328</f>
        <v>0.000748101311209837</v>
      </c>
      <c r="F335" s="30" t="n">
        <f aca="false">Panel!P328-Panel!P327</f>
        <v>0.00144974787892593</v>
      </c>
      <c r="G335" s="30" t="n">
        <f aca="false">Panel!P327-Panel!P326</f>
        <v>-0.00199145593362182</v>
      </c>
    </row>
    <row r="336" customFormat="false" ht="15" hidden="false" customHeight="false" outlineLevel="0" collapsed="false">
      <c r="C336" s="0" t="n">
        <f aca="false">Panel!P331-Panel!P330</f>
        <v>0.000414301418464547</v>
      </c>
      <c r="D336" s="29" t="n">
        <f aca="false">Panel!P330</f>
        <v>0.0079977776422222</v>
      </c>
      <c r="E336" s="30" t="n">
        <f aca="false">Panel!P330-Panel!P329</f>
        <v>0.00152587659000858</v>
      </c>
      <c r="F336" s="30" t="n">
        <f aca="false">Panel!P329-Panel!P328</f>
        <v>0.000748101311209837</v>
      </c>
      <c r="G336" s="30" t="n">
        <f aca="false">Panel!P328-Panel!P327</f>
        <v>0.00144974787892593</v>
      </c>
    </row>
    <row r="337" customFormat="false" ht="15" hidden="false" customHeight="false" outlineLevel="0" collapsed="false">
      <c r="C337" s="0" t="n">
        <f aca="false">Panel!P332-Panel!P331</f>
        <v>1.62038958144706E-005</v>
      </c>
      <c r="D337" s="29" t="n">
        <f aca="false">Panel!P331</f>
        <v>0.00841207906068675</v>
      </c>
      <c r="E337" s="30" t="n">
        <f aca="false">Panel!P331-Panel!P330</f>
        <v>0.000414301418464547</v>
      </c>
      <c r="F337" s="30" t="n">
        <f aca="false">Panel!P330-Panel!P329</f>
        <v>0.00152587659000858</v>
      </c>
      <c r="G337" s="30" t="n">
        <f aca="false">Panel!P329-Panel!P328</f>
        <v>0.000748101311209837</v>
      </c>
    </row>
    <row r="338" customFormat="false" ht="15" hidden="false" customHeight="false" outlineLevel="0" collapsed="false">
      <c r="C338" s="0" t="n">
        <f aca="false">Panel!P333-Panel!P332</f>
        <v>-0.00130259621267115</v>
      </c>
      <c r="D338" s="29" t="n">
        <f aca="false">Panel!P332</f>
        <v>0.00842828295650122</v>
      </c>
      <c r="E338" s="30" t="n">
        <f aca="false">Panel!P332-Panel!P331</f>
        <v>1.62038958144706E-005</v>
      </c>
      <c r="F338" s="30" t="n">
        <f aca="false">Panel!P331-Panel!P330</f>
        <v>0.000414301418464547</v>
      </c>
      <c r="G338" s="30" t="n">
        <f aca="false">Panel!P330-Panel!P329</f>
        <v>0.00152587659000858</v>
      </c>
    </row>
    <row r="339" customFormat="false" ht="15" hidden="false" customHeight="false" outlineLevel="0" collapsed="false">
      <c r="C339" s="0" t="n">
        <f aca="false">Panel!P334-Panel!P333</f>
        <v>0.0015375025615203</v>
      </c>
      <c r="D339" s="29" t="n">
        <f aca="false">Panel!P333</f>
        <v>0.00712568674383007</v>
      </c>
      <c r="E339" s="30" t="n">
        <f aca="false">Panel!P333-Panel!P332</f>
        <v>-0.00130259621267115</v>
      </c>
      <c r="F339" s="30" t="n">
        <f aca="false">Panel!P332-Panel!P331</f>
        <v>1.62038958144706E-005</v>
      </c>
      <c r="G339" s="30" t="n">
        <f aca="false">Panel!P331-Panel!P330</f>
        <v>0.000414301418464547</v>
      </c>
    </row>
    <row r="340" customFormat="false" ht="15" hidden="false" customHeight="false" outlineLevel="0" collapsed="false">
      <c r="C340" s="0" t="n">
        <f aca="false">Panel!P335-Panel!P334</f>
        <v>0.000172993542758348</v>
      </c>
      <c r="D340" s="29" t="n">
        <f aca="false">Panel!P334</f>
        <v>0.00866318930535037</v>
      </c>
      <c r="E340" s="30" t="n">
        <f aca="false">Panel!P334-Panel!P333</f>
        <v>0.0015375025615203</v>
      </c>
      <c r="F340" s="30" t="n">
        <f aca="false">Panel!P333-Panel!P332</f>
        <v>-0.00130259621267115</v>
      </c>
      <c r="G340" s="30" t="n">
        <f aca="false">Panel!P332-Panel!P331</f>
        <v>1.62038958144706E-005</v>
      </c>
    </row>
    <row r="341" customFormat="false" ht="15" hidden="false" customHeight="false" outlineLevel="0" collapsed="false">
      <c r="C341" s="0" t="n">
        <f aca="false">Panel!P336-Panel!P335</f>
        <v>0.00537006888357894</v>
      </c>
      <c r="D341" s="29" t="n">
        <f aca="false">Panel!P335</f>
        <v>0.00883618284810872</v>
      </c>
      <c r="E341" s="30" t="n">
        <f aca="false">Panel!P335-Panel!P334</f>
        <v>0.000172993542758348</v>
      </c>
      <c r="F341" s="30" t="n">
        <f aca="false">Panel!P334-Panel!P333</f>
        <v>0.0015375025615203</v>
      </c>
      <c r="G341" s="30" t="n">
        <f aca="false">Panel!P333-Panel!P332</f>
        <v>-0.00130259621267115</v>
      </c>
    </row>
    <row r="342" customFormat="false" ht="15" hidden="false" customHeight="false" outlineLevel="0" collapsed="false">
      <c r="C342" s="0" t="n">
        <f aca="false">Panel!P337-Panel!P336</f>
        <v>-0.0028803480021562</v>
      </c>
      <c r="D342" s="29" t="n">
        <f aca="false">Panel!P336</f>
        <v>0.0142062517316877</v>
      </c>
      <c r="E342" s="30" t="n">
        <f aca="false">Panel!P336-Panel!P335</f>
        <v>0.00537006888357894</v>
      </c>
      <c r="F342" s="30" t="n">
        <f aca="false">Panel!P335-Panel!P334</f>
        <v>0.000172993542758348</v>
      </c>
      <c r="G342" s="30" t="n">
        <f aca="false">Panel!P334-Panel!P333</f>
        <v>0.0015375025615203</v>
      </c>
    </row>
    <row r="343" customFormat="false" ht="15" hidden="false" customHeight="false" outlineLevel="0" collapsed="false">
      <c r="C343" s="0" t="n">
        <f aca="false">Panel!P338-Panel!P337</f>
        <v>-0.000531366601579819</v>
      </c>
      <c r="D343" s="29" t="n">
        <f aca="false">Panel!P337</f>
        <v>0.0113259037295315</v>
      </c>
      <c r="E343" s="30" t="n">
        <f aca="false">Panel!P337-Panel!P336</f>
        <v>-0.0028803480021562</v>
      </c>
      <c r="F343" s="30" t="n">
        <f aca="false">Panel!P336-Panel!P335</f>
        <v>0.00537006888357894</v>
      </c>
      <c r="G343" s="30" t="n">
        <f aca="false">Panel!P335-Panel!P334</f>
        <v>0.000172993542758348</v>
      </c>
    </row>
    <row r="344" customFormat="false" ht="15" hidden="false" customHeight="false" outlineLevel="0" collapsed="false">
      <c r="C344" s="0" t="n">
        <f aca="false">Panel!P339-Panel!P338</f>
        <v>-0.00262114757562948</v>
      </c>
      <c r="D344" s="29" t="n">
        <f aca="false">Panel!P338</f>
        <v>0.0107945371279516</v>
      </c>
      <c r="E344" s="30" t="n">
        <f aca="false">Panel!P338-Panel!P337</f>
        <v>-0.000531366601579819</v>
      </c>
      <c r="F344" s="30" t="n">
        <f aca="false">Panel!P337-Panel!P336</f>
        <v>-0.0028803480021562</v>
      </c>
      <c r="G344" s="30" t="n">
        <f aca="false">Panel!P336-Panel!P335</f>
        <v>0.00537006888357894</v>
      </c>
    </row>
    <row r="345" customFormat="false" ht="15" hidden="false" customHeight="false" outlineLevel="0" collapsed="false">
      <c r="C345" s="0" t="n">
        <f aca="false">Panel!P340-Panel!P339</f>
        <v>0.00230139669077722</v>
      </c>
      <c r="D345" s="29" t="n">
        <f aca="false">Panel!P339</f>
        <v>0.00817338955232216</v>
      </c>
      <c r="E345" s="30" t="n">
        <f aca="false">Panel!P339-Panel!P338</f>
        <v>-0.00262114757562948</v>
      </c>
      <c r="F345" s="30" t="n">
        <f aca="false">Panel!P338-Panel!P337</f>
        <v>-0.000531366601579819</v>
      </c>
      <c r="G345" s="30" t="n">
        <f aca="false">Panel!P337-Panel!P336</f>
        <v>-0.0028803480021562</v>
      </c>
    </row>
    <row r="346" customFormat="false" ht="15" hidden="false" customHeight="false" outlineLevel="0" collapsed="false">
      <c r="C346" s="0" t="n">
        <f aca="false">Panel!P341-Panel!P340</f>
        <v>-0.00537051641686226</v>
      </c>
      <c r="D346" s="29" t="n">
        <f aca="false">Panel!P340</f>
        <v>0.0104747862430994</v>
      </c>
      <c r="E346" s="30" t="n">
        <f aca="false">Panel!P340-Panel!P339</f>
        <v>0.00230139669077722</v>
      </c>
      <c r="F346" s="30" t="n">
        <f aca="false">Panel!P339-Panel!P338</f>
        <v>-0.00262114757562948</v>
      </c>
      <c r="G346" s="30" t="n">
        <f aca="false">Panel!P338-Panel!P337</f>
        <v>-0.000531366601579819</v>
      </c>
    </row>
    <row r="347" customFormat="false" ht="15" hidden="false" customHeight="false" outlineLevel="0" collapsed="false">
      <c r="C347" s="0" t="n">
        <f aca="false">Panel!P342-Panel!P341</f>
        <v>0.00398920942284597</v>
      </c>
      <c r="D347" s="29" t="n">
        <f aca="false">Panel!P341</f>
        <v>0.00510426982623713</v>
      </c>
      <c r="E347" s="30" t="n">
        <f aca="false">Panel!P341-Panel!P340</f>
        <v>-0.00537051641686226</v>
      </c>
      <c r="F347" s="30" t="n">
        <f aca="false">Panel!P340-Panel!P339</f>
        <v>0.00230139669077722</v>
      </c>
      <c r="G347" s="30" t="n">
        <f aca="false">Panel!P339-Panel!P338</f>
        <v>-0.00262114757562948</v>
      </c>
    </row>
    <row r="348" customFormat="false" ht="15" hidden="false" customHeight="false" outlineLevel="0" collapsed="false">
      <c r="C348" s="0" t="n">
        <f aca="false">Panel!P343-Panel!P342</f>
        <v>-0.000363917427984362</v>
      </c>
      <c r="D348" s="29" t="n">
        <f aca="false">Panel!P342</f>
        <v>0.0090934792490831</v>
      </c>
      <c r="E348" s="30" t="n">
        <f aca="false">Panel!P342-Panel!P341</f>
        <v>0.00398920942284597</v>
      </c>
      <c r="F348" s="30" t="n">
        <f aca="false">Panel!P341-Panel!P340</f>
        <v>-0.00537051641686226</v>
      </c>
      <c r="G348" s="30" t="n">
        <f aca="false">Panel!P340-Panel!P339</f>
        <v>0.00230139669077722</v>
      </c>
    </row>
    <row r="349" customFormat="false" ht="15" hidden="false" customHeight="false" outlineLevel="0" collapsed="false">
      <c r="C349" s="0" t="n">
        <f aca="false">Panel!P344-Panel!P343</f>
        <v>-0.0012078370385975</v>
      </c>
      <c r="D349" s="29" t="n">
        <f aca="false">Panel!P343</f>
        <v>0.00872956182109874</v>
      </c>
      <c r="E349" s="30" t="n">
        <f aca="false">Panel!P343-Panel!P342</f>
        <v>-0.000363917427984362</v>
      </c>
      <c r="F349" s="30" t="n">
        <f aca="false">Panel!P342-Panel!P341</f>
        <v>0.00398920942284597</v>
      </c>
      <c r="G349" s="30" t="n">
        <f aca="false">Panel!P341-Panel!P340</f>
        <v>-0.00537051641686226</v>
      </c>
    </row>
    <row r="350" customFormat="false" ht="15" hidden="false" customHeight="false" outlineLevel="0" collapsed="false">
      <c r="C350" s="0" t="n">
        <f aca="false">Panel!P345-Panel!P344</f>
        <v>0.00156951373500291</v>
      </c>
      <c r="D350" s="29" t="n">
        <f aca="false">Panel!P344</f>
        <v>0.00752172478250124</v>
      </c>
      <c r="E350" s="30" t="n">
        <f aca="false">Panel!P344-Panel!P343</f>
        <v>-0.0012078370385975</v>
      </c>
      <c r="F350" s="30" t="n">
        <f aca="false">Panel!P343-Panel!P342</f>
        <v>-0.000363917427984362</v>
      </c>
      <c r="G350" s="30" t="n">
        <f aca="false">Panel!P342-Panel!P341</f>
        <v>0.00398920942284597</v>
      </c>
    </row>
    <row r="351" customFormat="false" ht="15" hidden="false" customHeight="false" outlineLevel="0" collapsed="false">
      <c r="C351" s="0" t="n">
        <f aca="false">Panel!P346-Panel!P345</f>
        <v>-0.00211354157854515</v>
      </c>
      <c r="D351" s="29" t="n">
        <f aca="false">Panel!P345</f>
        <v>0.00909123851750415</v>
      </c>
      <c r="E351" s="30" t="n">
        <f aca="false">Panel!P345-Panel!P344</f>
        <v>0.00156951373500291</v>
      </c>
      <c r="F351" s="30" t="n">
        <f aca="false">Panel!P344-Panel!P343</f>
        <v>-0.0012078370385975</v>
      </c>
      <c r="G351" s="30" t="n">
        <f aca="false">Panel!P343-Panel!P342</f>
        <v>-0.000363917427984362</v>
      </c>
    </row>
    <row r="352" customFormat="false" ht="15" hidden="false" customHeight="false" outlineLevel="0" collapsed="false">
      <c r="C352" s="0" t="n">
        <f aca="false">Panel!P347-Panel!P346</f>
        <v>0.00204130376522116</v>
      </c>
      <c r="D352" s="29" t="n">
        <f aca="false">Panel!P346</f>
        <v>0.006977696938959</v>
      </c>
      <c r="E352" s="30" t="n">
        <f aca="false">Panel!P346-Panel!P345</f>
        <v>-0.00211354157854515</v>
      </c>
      <c r="F352" s="30" t="n">
        <f aca="false">Panel!P345-Panel!P344</f>
        <v>0.00156951373500291</v>
      </c>
      <c r="G352" s="30" t="n">
        <f aca="false">Panel!P344-Panel!P343</f>
        <v>-0.0012078370385975</v>
      </c>
    </row>
    <row r="353" customFormat="false" ht="15" hidden="false" customHeight="false" outlineLevel="0" collapsed="false">
      <c r="C353" s="0" t="n">
        <f aca="false">Panel!P348-Panel!P347</f>
        <v>-0.00105631825934083</v>
      </c>
      <c r="D353" s="29" t="n">
        <f aca="false">Panel!P347</f>
        <v>0.00901900070418016</v>
      </c>
      <c r="E353" s="30" t="n">
        <f aca="false">Panel!P347-Panel!P346</f>
        <v>0.00204130376522116</v>
      </c>
      <c r="F353" s="30" t="n">
        <f aca="false">Panel!P346-Panel!P345</f>
        <v>-0.00211354157854515</v>
      </c>
      <c r="G353" s="30" t="n">
        <f aca="false">Panel!P345-Panel!P344</f>
        <v>0.00156951373500291</v>
      </c>
    </row>
    <row r="354" customFormat="false" ht="15" hidden="false" customHeight="false" outlineLevel="0" collapsed="false">
      <c r="C354" s="0" t="n">
        <f aca="false">Panel!P349-Panel!P348</f>
        <v>-0.000347929551251625</v>
      </c>
      <c r="D354" s="29" t="n">
        <f aca="false">Panel!P348</f>
        <v>0.00796268244483933</v>
      </c>
      <c r="E354" s="30" t="n">
        <f aca="false">Panel!P348-Panel!P347</f>
        <v>-0.00105631825934083</v>
      </c>
      <c r="F354" s="30" t="n">
        <f aca="false">Panel!P347-Panel!P346</f>
        <v>0.00204130376522116</v>
      </c>
      <c r="G354" s="30" t="n">
        <f aca="false">Panel!P346-Panel!P345</f>
        <v>-0.00211354157854515</v>
      </c>
    </row>
    <row r="355" customFormat="false" ht="15" hidden="false" customHeight="false" outlineLevel="0" collapsed="false">
      <c r="C355" s="0" t="n">
        <f aca="false">Panel!P350-Panel!P349</f>
        <v>0.00153038130998517</v>
      </c>
      <c r="D355" s="29" t="n">
        <f aca="false">Panel!P349</f>
        <v>0.00761475289358771</v>
      </c>
      <c r="E355" s="30" t="n">
        <f aca="false">Panel!P349-Panel!P348</f>
        <v>-0.000347929551251625</v>
      </c>
      <c r="F355" s="30" t="n">
        <f aca="false">Panel!P348-Panel!P347</f>
        <v>-0.00105631825934083</v>
      </c>
      <c r="G355" s="30" t="n">
        <f aca="false">Panel!P347-Panel!P346</f>
        <v>0.00204130376522116</v>
      </c>
    </row>
    <row r="356" customFormat="false" ht="15" hidden="false" customHeight="false" outlineLevel="0" collapsed="false">
      <c r="C356" s="0" t="n">
        <f aca="false">Panel!P351-Panel!P350</f>
        <v>0.00121150166759954</v>
      </c>
      <c r="D356" s="29" t="n">
        <f aca="false">Panel!P350</f>
        <v>0.00914513420357288</v>
      </c>
      <c r="E356" s="30" t="n">
        <f aca="false">Panel!P350-Panel!P349</f>
        <v>0.00153038130998517</v>
      </c>
      <c r="F356" s="30" t="n">
        <f aca="false">Panel!P349-Panel!P348</f>
        <v>-0.000347929551251625</v>
      </c>
      <c r="G356" s="30" t="n">
        <f aca="false">Panel!P348-Panel!P347</f>
        <v>-0.00105631825934083</v>
      </c>
    </row>
    <row r="357" customFormat="false" ht="15" hidden="false" customHeight="false" outlineLevel="0" collapsed="false">
      <c r="C357" s="0" t="n">
        <f aca="false">Panel!P352-Panel!P351</f>
        <v>-0.00123388911062783</v>
      </c>
      <c r="D357" s="29" t="n">
        <f aca="false">Panel!P351</f>
        <v>0.0103566358711724</v>
      </c>
      <c r="E357" s="30" t="n">
        <f aca="false">Panel!P351-Panel!P350</f>
        <v>0.00121150166759954</v>
      </c>
      <c r="F357" s="30" t="n">
        <f aca="false">Panel!P350-Panel!P349</f>
        <v>0.00153038130998517</v>
      </c>
      <c r="G357" s="30" t="n">
        <f aca="false">Panel!P349-Panel!P348</f>
        <v>-0.000347929551251625</v>
      </c>
    </row>
    <row r="358" customFormat="false" ht="15" hidden="false" customHeight="false" outlineLevel="0" collapsed="false">
      <c r="C358" s="0" t="n">
        <f aca="false">Panel!P353-Panel!P352</f>
        <v>-0.000365867693910005</v>
      </c>
      <c r="D358" s="29" t="n">
        <f aca="false">Panel!P352</f>
        <v>0.00912274676054459</v>
      </c>
      <c r="E358" s="30" t="n">
        <f aca="false">Panel!P352-Panel!P351</f>
        <v>-0.00123388911062783</v>
      </c>
      <c r="F358" s="30" t="n">
        <f aca="false">Panel!P351-Panel!P350</f>
        <v>0.00121150166759954</v>
      </c>
      <c r="G358" s="30" t="n">
        <f aca="false">Panel!P350-Panel!P349</f>
        <v>0.00153038130998517</v>
      </c>
    </row>
    <row r="359" customFormat="false" ht="15" hidden="false" customHeight="false" outlineLevel="0" collapsed="false">
      <c r="C359" s="0" t="n">
        <f aca="false">Panel!P354-Panel!P353</f>
        <v>-0.000296789495548566</v>
      </c>
      <c r="D359" s="29" t="n">
        <f aca="false">Panel!P353</f>
        <v>0.00875687906663458</v>
      </c>
      <c r="E359" s="30" t="n">
        <f aca="false">Panel!P353-Panel!P352</f>
        <v>-0.000365867693910005</v>
      </c>
      <c r="F359" s="30" t="n">
        <f aca="false">Panel!P352-Panel!P351</f>
        <v>-0.00123388911062783</v>
      </c>
      <c r="G359" s="30" t="n">
        <f aca="false">Panel!P351-Panel!P350</f>
        <v>0.00121150166759954</v>
      </c>
    </row>
    <row r="360" customFormat="false" ht="15" hidden="false" customHeight="false" outlineLevel="0" collapsed="false">
      <c r="C360" s="0" t="n">
        <f aca="false">Panel!P355-Panel!P354</f>
        <v>0.00557416728530491</v>
      </c>
      <c r="D360" s="29" t="n">
        <f aca="false">Panel!P354</f>
        <v>0.00846008957108602</v>
      </c>
      <c r="E360" s="30" t="n">
        <f aca="false">Panel!P354-Panel!P353</f>
        <v>-0.000296789495548566</v>
      </c>
      <c r="F360" s="30" t="n">
        <f aca="false">Panel!P353-Panel!P352</f>
        <v>-0.000365867693910005</v>
      </c>
      <c r="G360" s="30" t="n">
        <f aca="false">Panel!P352-Panel!P351</f>
        <v>-0.00123388911062783</v>
      </c>
    </row>
    <row r="361" customFormat="false" ht="15" hidden="false" customHeight="false" outlineLevel="0" collapsed="false">
      <c r="C361" s="0" t="n">
        <f aca="false">Panel!P356-Panel!P355</f>
        <v>0.00202479682133827</v>
      </c>
      <c r="D361" s="29" t="n">
        <f aca="false">Panel!P355</f>
        <v>0.0140342568563909</v>
      </c>
      <c r="E361" s="30" t="n">
        <f aca="false">Panel!P355-Panel!P354</f>
        <v>0.00557416728530491</v>
      </c>
      <c r="F361" s="30" t="n">
        <f aca="false">Panel!P354-Panel!P353</f>
        <v>-0.000296789495548566</v>
      </c>
      <c r="G361" s="30" t="n">
        <f aca="false">Panel!P353-Panel!P352</f>
        <v>-0.000365867693910005</v>
      </c>
    </row>
    <row r="362" customFormat="false" ht="15" hidden="false" customHeight="false" outlineLevel="0" collapsed="false">
      <c r="C362" s="0" t="n">
        <f aca="false">Panel!P357-Panel!P356</f>
        <v>-0.0025362031404228</v>
      </c>
      <c r="D362" s="29" t="n">
        <f aca="false">Panel!P356</f>
        <v>0.0160590536777292</v>
      </c>
      <c r="E362" s="30" t="n">
        <f aca="false">Panel!P356-Panel!P355</f>
        <v>0.00202479682133827</v>
      </c>
      <c r="F362" s="30" t="n">
        <f aca="false">Panel!P355-Panel!P354</f>
        <v>0.00557416728530491</v>
      </c>
      <c r="G362" s="30" t="n">
        <f aca="false">Panel!P354-Panel!P353</f>
        <v>-0.000296789495548566</v>
      </c>
    </row>
    <row r="363" customFormat="false" ht="15" hidden="false" customHeight="false" outlineLevel="0" collapsed="false">
      <c r="C363" s="0" t="n">
        <f aca="false">Panel!P358-Panel!P357</f>
        <v>0.000643838843146227</v>
      </c>
      <c r="D363" s="29" t="n">
        <f aca="false">Panel!P357</f>
        <v>0.0135228505373064</v>
      </c>
      <c r="E363" s="30" t="n">
        <f aca="false">Panel!P357-Panel!P356</f>
        <v>-0.0025362031404228</v>
      </c>
      <c r="F363" s="30" t="n">
        <f aca="false">Panel!P356-Panel!P355</f>
        <v>0.00202479682133827</v>
      </c>
      <c r="G363" s="30" t="n">
        <f aca="false">Panel!P355-Panel!P354</f>
        <v>0.00557416728530491</v>
      </c>
    </row>
    <row r="364" customFormat="false" ht="15" hidden="false" customHeight="false" outlineLevel="0" collapsed="false">
      <c r="C364" s="0" t="n">
        <f aca="false">Panel!P359-Panel!P358</f>
        <v>-0.00186953219427721</v>
      </c>
      <c r="D364" s="29" t="n">
        <f aca="false">Panel!P358</f>
        <v>0.0141666893804526</v>
      </c>
      <c r="E364" s="30" t="n">
        <f aca="false">Panel!P358-Panel!P357</f>
        <v>0.000643838843146227</v>
      </c>
      <c r="F364" s="30" t="n">
        <f aca="false">Panel!P357-Panel!P356</f>
        <v>-0.0025362031404228</v>
      </c>
      <c r="G364" s="30" t="n">
        <f aca="false">Panel!P356-Panel!P355</f>
        <v>0.00202479682133827</v>
      </c>
    </row>
    <row r="365" customFormat="false" ht="15" hidden="false" customHeight="false" outlineLevel="0" collapsed="false">
      <c r="C365" s="0" t="n">
        <f aca="false">Panel!P360-Panel!P359</f>
        <v>-0.0041873788954927</v>
      </c>
      <c r="D365" s="29" t="n">
        <f aca="false">Panel!P359</f>
        <v>0.0122971571861754</v>
      </c>
      <c r="E365" s="30" t="n">
        <f aca="false">Panel!P359-Panel!P358</f>
        <v>-0.00186953219427721</v>
      </c>
      <c r="F365" s="30" t="n">
        <f aca="false">Panel!P358-Panel!P357</f>
        <v>0.000643838843146227</v>
      </c>
      <c r="G365" s="30" t="n">
        <f aca="false">Panel!P357-Panel!P356</f>
        <v>-0.0025362031404228</v>
      </c>
    </row>
    <row r="366" customFormat="false" ht="15" hidden="false" customHeight="false" outlineLevel="0" collapsed="false">
      <c r="C366" s="0" t="n">
        <f aca="false">Panel!P361-Panel!P360</f>
        <v>-0.00180013913265853</v>
      </c>
      <c r="D366" s="29" t="n">
        <f aca="false">Panel!P360</f>
        <v>0.00810977829068271</v>
      </c>
      <c r="E366" s="30" t="n">
        <f aca="false">Panel!P360-Panel!P359</f>
        <v>-0.0041873788954927</v>
      </c>
      <c r="F366" s="30" t="n">
        <f aca="false">Panel!P359-Panel!P358</f>
        <v>-0.00186953219427721</v>
      </c>
      <c r="G366" s="30" t="n">
        <f aca="false">Panel!P358-Panel!P357</f>
        <v>0.000643838843146227</v>
      </c>
    </row>
    <row r="367" customFormat="false" ht="15" hidden="false" customHeight="false" outlineLevel="0" collapsed="false">
      <c r="C367" s="0" t="n">
        <f aca="false">Panel!P362-Panel!P361</f>
        <v>0.00382400507753466</v>
      </c>
      <c r="D367" s="29" t="n">
        <f aca="false">Panel!P361</f>
        <v>0.00630963915802418</v>
      </c>
      <c r="E367" s="30" t="n">
        <f aca="false">Panel!P361-Panel!P360</f>
        <v>-0.00180013913265853</v>
      </c>
      <c r="F367" s="30" t="n">
        <f aca="false">Panel!P360-Panel!P359</f>
        <v>-0.0041873788954927</v>
      </c>
      <c r="G367" s="30" t="n">
        <f aca="false">Panel!P359-Panel!P358</f>
        <v>-0.00186953219427721</v>
      </c>
    </row>
    <row r="368" customFormat="false" ht="15" hidden="false" customHeight="false" outlineLevel="0" collapsed="false">
      <c r="C368" s="0" t="n">
        <f aca="false">Panel!P363-Panel!P362</f>
        <v>-0.00108819242498548</v>
      </c>
      <c r="D368" s="29" t="n">
        <f aca="false">Panel!P362</f>
        <v>0.0101336442355588</v>
      </c>
      <c r="E368" s="30" t="n">
        <f aca="false">Panel!P362-Panel!P361</f>
        <v>0.00382400507753466</v>
      </c>
      <c r="F368" s="30" t="n">
        <f aca="false">Panel!P361-Panel!P360</f>
        <v>-0.00180013913265853</v>
      </c>
      <c r="G368" s="30" t="n">
        <f aca="false">Panel!P360-Panel!P359</f>
        <v>-0.0041873788954927</v>
      </c>
    </row>
    <row r="369" customFormat="false" ht="15" hidden="false" customHeight="false" outlineLevel="0" collapsed="false">
      <c r="C369" s="0" t="n">
        <f aca="false">Panel!P364-Panel!P363</f>
        <v>0.000321353810218028</v>
      </c>
      <c r="D369" s="29" t="n">
        <f aca="false">Panel!P363</f>
        <v>0.00904545181057337</v>
      </c>
      <c r="E369" s="30" t="n">
        <f aca="false">Panel!P363-Panel!P362</f>
        <v>-0.00108819242498548</v>
      </c>
      <c r="F369" s="30" t="n">
        <f aca="false">Panel!P362-Panel!P361</f>
        <v>0.00382400507753466</v>
      </c>
      <c r="G369" s="30" t="n">
        <f aca="false">Panel!P361-Panel!P360</f>
        <v>-0.00180013913265853</v>
      </c>
    </row>
    <row r="370" customFormat="false" ht="15" hidden="false" customHeight="false" outlineLevel="0" collapsed="false">
      <c r="C370" s="0" t="n">
        <f aca="false">Panel!P365-Panel!P364</f>
        <v>-0.00144291072449398</v>
      </c>
      <c r="D370" s="29" t="n">
        <f aca="false">Panel!P364</f>
        <v>0.0093668056207914</v>
      </c>
      <c r="E370" s="30" t="n">
        <f aca="false">Panel!P364-Panel!P363</f>
        <v>0.000321353810218028</v>
      </c>
      <c r="F370" s="30" t="n">
        <f aca="false">Panel!P363-Panel!P362</f>
        <v>-0.00108819242498548</v>
      </c>
      <c r="G370" s="30" t="n">
        <f aca="false">Panel!P362-Panel!P361</f>
        <v>0.00382400507753466</v>
      </c>
    </row>
    <row r="371" customFormat="false" ht="15" hidden="false" customHeight="false" outlineLevel="0" collapsed="false">
      <c r="C371" s="0" t="n">
        <f aca="false">Panel!P366-Panel!P365</f>
        <v>0.000958658212960373</v>
      </c>
      <c r="D371" s="29" t="n">
        <f aca="false">Panel!P365</f>
        <v>0.00792389489629741</v>
      </c>
      <c r="E371" s="30" t="n">
        <f aca="false">Panel!P365-Panel!P364</f>
        <v>-0.00144291072449398</v>
      </c>
      <c r="F371" s="30" t="n">
        <f aca="false">Panel!P364-Panel!P363</f>
        <v>0.000321353810218028</v>
      </c>
      <c r="G371" s="30" t="n">
        <f aca="false">Panel!P363-Panel!P362</f>
        <v>-0.00108819242498548</v>
      </c>
    </row>
    <row r="372" customFormat="false" ht="15" hidden="false" customHeight="false" outlineLevel="0" collapsed="false">
      <c r="C372" s="0" t="n">
        <f aca="false">Panel!P367-Panel!P366</f>
        <v>-0.00101680200042509</v>
      </c>
      <c r="D372" s="29" t="n">
        <f aca="false">Panel!P366</f>
        <v>0.00888255310925779</v>
      </c>
      <c r="E372" s="30" t="n">
        <f aca="false">Panel!P366-Panel!P365</f>
        <v>0.000958658212960373</v>
      </c>
      <c r="F372" s="30" t="n">
        <f aca="false">Panel!P365-Panel!P364</f>
        <v>-0.00144291072449398</v>
      </c>
      <c r="G372" s="30" t="n">
        <f aca="false">Panel!P364-Panel!P363</f>
        <v>0.000321353810218028</v>
      </c>
    </row>
    <row r="373" customFormat="false" ht="15" hidden="false" customHeight="false" outlineLevel="0" collapsed="false">
      <c r="C373" s="0" t="n">
        <f aca="false">Panel!P368-Panel!P367</f>
        <v>0.000461729300083036</v>
      </c>
      <c r="D373" s="29" t="n">
        <f aca="false">Panel!P367</f>
        <v>0.0078657511088327</v>
      </c>
      <c r="E373" s="30" t="n">
        <f aca="false">Panel!P367-Panel!P366</f>
        <v>-0.00101680200042509</v>
      </c>
      <c r="F373" s="30" t="n">
        <f aca="false">Panel!P366-Panel!P365</f>
        <v>0.000958658212960373</v>
      </c>
      <c r="G373" s="30" t="n">
        <f aca="false">Panel!P365-Panel!P364</f>
        <v>-0.00144291072449398</v>
      </c>
    </row>
    <row r="374" customFormat="false" ht="15" hidden="false" customHeight="false" outlineLevel="0" collapsed="false">
      <c r="C374" s="0" t="n">
        <f aca="false">Panel!P369-Panel!P368</f>
        <v>-0.00168078755930345</v>
      </c>
      <c r="D374" s="29" t="n">
        <f aca="false">Panel!P368</f>
        <v>0.00832748040891573</v>
      </c>
      <c r="E374" s="30" t="n">
        <f aca="false">Panel!P368-Panel!P367</f>
        <v>0.000461729300083036</v>
      </c>
      <c r="F374" s="30" t="n">
        <f aca="false">Panel!P367-Panel!P366</f>
        <v>-0.00101680200042509</v>
      </c>
      <c r="G374" s="30" t="n">
        <f aca="false">Panel!P366-Panel!P365</f>
        <v>0.000958658212960373</v>
      </c>
    </row>
    <row r="375" customFormat="false" ht="15" hidden="false" customHeight="false" outlineLevel="0" collapsed="false">
      <c r="C375" s="0" t="n">
        <f aca="false">Panel!P370-Panel!P369</f>
        <v>0.0026780736580978</v>
      </c>
      <c r="D375" s="29" t="n">
        <f aca="false">Panel!P369</f>
        <v>0.00664669284961228</v>
      </c>
      <c r="E375" s="30" t="n">
        <f aca="false">Panel!P369-Panel!P368</f>
        <v>-0.00168078755930345</v>
      </c>
      <c r="F375" s="30" t="n">
        <f aca="false">Panel!P368-Panel!P367</f>
        <v>0.000461729300083036</v>
      </c>
      <c r="G375" s="30" t="n">
        <f aca="false">Panel!P367-Panel!P366</f>
        <v>-0.00101680200042509</v>
      </c>
    </row>
    <row r="376" customFormat="false" ht="15" hidden="false" customHeight="false" outlineLevel="0" collapsed="false">
      <c r="C376" s="0" t="n">
        <f aca="false">Panel!P371-Panel!P370</f>
        <v>-0.00450824081146273</v>
      </c>
      <c r="D376" s="29" t="n">
        <f aca="false">Panel!P370</f>
        <v>0.00932476650771008</v>
      </c>
      <c r="E376" s="30" t="n">
        <f aca="false">Panel!P370-Panel!P369</f>
        <v>0.0026780736580978</v>
      </c>
      <c r="F376" s="30" t="n">
        <f aca="false">Panel!P369-Panel!P368</f>
        <v>-0.00168078755930345</v>
      </c>
      <c r="G376" s="30" t="n">
        <f aca="false">Panel!P368-Panel!P367</f>
        <v>0.000461729300083036</v>
      </c>
    </row>
    <row r="377" customFormat="false" ht="15" hidden="false" customHeight="false" outlineLevel="0" collapsed="false">
      <c r="C377" s="0" t="n">
        <f aca="false">Panel!P372-Panel!P371</f>
        <v>-0.000941971260695951</v>
      </c>
      <c r="D377" s="29" t="n">
        <f aca="false">Panel!P371</f>
        <v>0.00481652569624735</v>
      </c>
      <c r="E377" s="30" t="n">
        <f aca="false">Panel!P371-Panel!P370</f>
        <v>-0.00450824081146273</v>
      </c>
      <c r="F377" s="30" t="n">
        <f aca="false">Panel!P370-Panel!P369</f>
        <v>0.0026780736580978</v>
      </c>
      <c r="G377" s="30" t="n">
        <f aca="false">Panel!P369-Panel!P368</f>
        <v>-0.00168078755930345</v>
      </c>
    </row>
    <row r="378" customFormat="false" ht="15" hidden="false" customHeight="false" outlineLevel="0" collapsed="false">
      <c r="C378" s="0" t="n">
        <f aca="false">Panel!P373-Panel!P372</f>
        <v>0.000191910697333597</v>
      </c>
      <c r="D378" s="29" t="n">
        <f aca="false">Panel!P372</f>
        <v>0.0038745544355514</v>
      </c>
      <c r="E378" s="30" t="n">
        <f aca="false">Panel!P372-Panel!P371</f>
        <v>-0.000941971260695951</v>
      </c>
      <c r="F378" s="30" t="n">
        <f aca="false">Panel!P371-Panel!P370</f>
        <v>-0.00450824081146273</v>
      </c>
      <c r="G378" s="30" t="n">
        <f aca="false">Panel!P370-Panel!P369</f>
        <v>0.0026780736580978</v>
      </c>
    </row>
    <row r="379" customFormat="false" ht="15" hidden="false" customHeight="false" outlineLevel="0" collapsed="false">
      <c r="C379" s="0" t="n">
        <f aca="false">Panel!P374-Panel!P373</f>
        <v>0.00385478209021528</v>
      </c>
      <c r="D379" s="29" t="n">
        <f aca="false">Panel!P373</f>
        <v>0.004066465132885</v>
      </c>
      <c r="E379" s="30" t="n">
        <f aca="false">Panel!P373-Panel!P372</f>
        <v>0.000191910697333597</v>
      </c>
      <c r="F379" s="30" t="n">
        <f aca="false">Panel!P372-Panel!P371</f>
        <v>-0.000941971260695951</v>
      </c>
      <c r="G379" s="30" t="n">
        <f aca="false">Panel!P371-Panel!P370</f>
        <v>-0.00450824081146273</v>
      </c>
    </row>
    <row r="380" customFormat="false" ht="15" hidden="false" customHeight="false" outlineLevel="0" collapsed="false">
      <c r="C380" s="0" t="n">
        <f aca="false">Panel!P375-Panel!P374</f>
        <v>-0.00646383815789342</v>
      </c>
      <c r="D380" s="29" t="n">
        <f aca="false">Panel!P374</f>
        <v>0.00792124722310028</v>
      </c>
      <c r="E380" s="30" t="n">
        <f aca="false">Panel!P374-Panel!P373</f>
        <v>0.00385478209021528</v>
      </c>
      <c r="F380" s="30" t="n">
        <f aca="false">Panel!P373-Panel!P372</f>
        <v>0.000191910697333597</v>
      </c>
      <c r="G380" s="30" t="n">
        <f aca="false">Panel!P372-Panel!P371</f>
        <v>-0.000941971260695951</v>
      </c>
    </row>
    <row r="381" customFormat="false" ht="15" hidden="false" customHeight="false" outlineLevel="0" collapsed="false">
      <c r="C381" s="0" t="n">
        <f aca="false">Panel!P376-Panel!P375</f>
        <v>0.00157396983364499</v>
      </c>
      <c r="D381" s="29" t="n">
        <f aca="false">Panel!P375</f>
        <v>0.00145740906520686</v>
      </c>
      <c r="E381" s="30" t="n">
        <f aca="false">Panel!P375-Panel!P374</f>
        <v>-0.00646383815789342</v>
      </c>
      <c r="F381" s="30" t="n">
        <f aca="false">Panel!P374-Panel!P373</f>
        <v>0.00385478209021528</v>
      </c>
      <c r="G381" s="30" t="n">
        <f aca="false">Panel!P373-Panel!P372</f>
        <v>0.000191910697333597</v>
      </c>
    </row>
    <row r="382" customFormat="false" ht="15" hidden="false" customHeight="false" outlineLevel="0" collapsed="false">
      <c r="C382" s="0" t="n">
        <f aca="false">Panel!P377-Panel!P376</f>
        <v>-0.000490700297772762</v>
      </c>
      <c r="D382" s="29" t="n">
        <f aca="false">Panel!P376</f>
        <v>0.00303137889885186</v>
      </c>
      <c r="E382" s="30" t="n">
        <f aca="false">Panel!P376-Panel!P375</f>
        <v>0.00157396983364499</v>
      </c>
      <c r="F382" s="30" t="n">
        <f aca="false">Panel!P375-Panel!P374</f>
        <v>-0.00646383815789342</v>
      </c>
      <c r="G382" s="30" t="n">
        <f aca="false">Panel!P374-Panel!P373</f>
        <v>0.00385478209021528</v>
      </c>
    </row>
    <row r="383" customFormat="false" ht="15" hidden="false" customHeight="false" outlineLevel="0" collapsed="false">
      <c r="C383" s="0" t="n">
        <f aca="false">Panel!P378-Panel!P377</f>
        <v>-0.000519505490522931</v>
      </c>
      <c r="D383" s="29" t="n">
        <f aca="false">Panel!P377</f>
        <v>0.00254067860107909</v>
      </c>
      <c r="E383" s="30" t="n">
        <f aca="false">Panel!P377-Panel!P376</f>
        <v>-0.000490700297772762</v>
      </c>
      <c r="F383" s="30" t="n">
        <f aca="false">Panel!P376-Panel!P375</f>
        <v>0.00157396983364499</v>
      </c>
      <c r="G383" s="30" t="n">
        <f aca="false">Panel!P375-Panel!P374</f>
        <v>-0.00646383815789342</v>
      </c>
    </row>
    <row r="384" customFormat="false" ht="15" hidden="false" customHeight="false" outlineLevel="0" collapsed="false">
      <c r="C384" s="0" t="n">
        <f aca="false">Panel!P379-Panel!P378</f>
        <v>-0.00148297623883487</v>
      </c>
      <c r="D384" s="29" t="n">
        <f aca="false">Panel!P378</f>
        <v>0.00202117311055616</v>
      </c>
      <c r="E384" s="30" t="n">
        <f aca="false">Panel!P378-Panel!P377</f>
        <v>-0.000519505490522931</v>
      </c>
      <c r="F384" s="30" t="n">
        <f aca="false">Panel!P377-Panel!P376</f>
        <v>-0.000490700297772762</v>
      </c>
      <c r="G384" s="30" t="n">
        <f aca="false">Panel!P376-Panel!P375</f>
        <v>0.00157396983364499</v>
      </c>
    </row>
    <row r="385" customFormat="false" ht="15" hidden="false" customHeight="false" outlineLevel="0" collapsed="false">
      <c r="C385" s="0" t="n">
        <f aca="false">Panel!P380-Panel!P379</f>
        <v>0.00371198796888983</v>
      </c>
      <c r="D385" s="29" t="n">
        <f aca="false">Panel!P379</f>
        <v>0.000538196871721297</v>
      </c>
      <c r="E385" s="30" t="n">
        <f aca="false">Panel!P379-Panel!P378</f>
        <v>-0.00148297623883487</v>
      </c>
      <c r="F385" s="30" t="n">
        <f aca="false">Panel!P378-Panel!P377</f>
        <v>-0.000519505490522931</v>
      </c>
      <c r="G385" s="30" t="n">
        <f aca="false">Panel!P377-Panel!P376</f>
        <v>-0.000490700297772762</v>
      </c>
    </row>
    <row r="386" customFormat="false" ht="15" hidden="false" customHeight="false" outlineLevel="0" collapsed="false">
      <c r="C386" s="0" t="n">
        <f aca="false">Panel!P381-Panel!P380</f>
        <v>0.000192693268012079</v>
      </c>
      <c r="D386" s="29" t="n">
        <f aca="false">Panel!P380</f>
        <v>0.00425018484061113</v>
      </c>
      <c r="E386" s="30" t="n">
        <f aca="false">Panel!P380-Panel!P379</f>
        <v>0.00371198796888983</v>
      </c>
      <c r="F386" s="30" t="n">
        <f aca="false">Panel!P379-Panel!P378</f>
        <v>-0.00148297623883487</v>
      </c>
      <c r="G386" s="30" t="n">
        <f aca="false">Panel!P378-Panel!P377</f>
        <v>-0.000519505490522931</v>
      </c>
    </row>
    <row r="387" customFormat="false" ht="15" hidden="false" customHeight="false" outlineLevel="0" collapsed="false">
      <c r="C387" s="0" t="n">
        <f aca="false">Panel!P382-Panel!P381</f>
        <v>0.000857352420434054</v>
      </c>
      <c r="D387" s="29" t="n">
        <f aca="false">Panel!P381</f>
        <v>0.00444287810862321</v>
      </c>
      <c r="E387" s="30" t="n">
        <f aca="false">Panel!P381-Panel!P380</f>
        <v>0.000192693268012079</v>
      </c>
      <c r="F387" s="30" t="n">
        <f aca="false">Panel!P380-Panel!P379</f>
        <v>0.00371198796888983</v>
      </c>
      <c r="G387" s="30" t="n">
        <f aca="false">Panel!P379-Panel!P378</f>
        <v>-0.00148297623883487</v>
      </c>
    </row>
    <row r="388" customFormat="false" ht="15" hidden="false" customHeight="false" outlineLevel="0" collapsed="false">
      <c r="C388" s="0" t="n">
        <f aca="false">Panel!P383-Panel!P382</f>
        <v>-0.000979537418761112</v>
      </c>
      <c r="D388" s="29" t="n">
        <f aca="false">Panel!P382</f>
        <v>0.00530023052905726</v>
      </c>
      <c r="E388" s="30" t="n">
        <f aca="false">Panel!P382-Panel!P381</f>
        <v>0.000857352420434054</v>
      </c>
      <c r="F388" s="30" t="n">
        <f aca="false">Panel!P381-Panel!P380</f>
        <v>0.000192693268012079</v>
      </c>
      <c r="G388" s="30" t="n">
        <f aca="false">Panel!P380-Panel!P379</f>
        <v>0.00371198796888983</v>
      </c>
    </row>
    <row r="389" customFormat="false" ht="15" hidden="false" customHeight="false" outlineLevel="0" collapsed="false">
      <c r="C389" s="0" t="n">
        <f aca="false">Panel!P384-Panel!P383</f>
        <v>0.000284665865457612</v>
      </c>
      <c r="D389" s="29" t="n">
        <f aca="false">Panel!P383</f>
        <v>0.00432069311029615</v>
      </c>
      <c r="E389" s="30" t="n">
        <f aca="false">Panel!P383-Panel!P382</f>
        <v>-0.000979537418761112</v>
      </c>
      <c r="F389" s="30" t="n">
        <f aca="false">Panel!P382-Panel!P381</f>
        <v>0.000857352420434054</v>
      </c>
      <c r="G389" s="30" t="n">
        <f aca="false">Panel!P381-Panel!P380</f>
        <v>0.000192693268012079</v>
      </c>
    </row>
    <row r="390" customFormat="false" ht="15" hidden="false" customHeight="false" outlineLevel="0" collapsed="false">
      <c r="C390" s="0" t="n">
        <f aca="false">Panel!P385-Panel!P384</f>
        <v>-0.000163868750641782</v>
      </c>
      <c r="D390" s="29" t="n">
        <f aca="false">Panel!P384</f>
        <v>0.00460535897575376</v>
      </c>
      <c r="E390" s="30" t="n">
        <f aca="false">Panel!P384-Panel!P383</f>
        <v>0.000284665865457612</v>
      </c>
      <c r="F390" s="30" t="n">
        <f aca="false">Panel!P383-Panel!P382</f>
        <v>-0.000979537418761112</v>
      </c>
      <c r="G390" s="30" t="n">
        <f aca="false">Panel!P382-Panel!P381</f>
        <v>0.000857352420434054</v>
      </c>
    </row>
    <row r="391" customFormat="false" ht="15" hidden="false" customHeight="false" outlineLevel="0" collapsed="false">
      <c r="C391" s="0" t="n">
        <f aca="false">Panel!P386-Panel!P385</f>
        <v>-0.00245584058571247</v>
      </c>
      <c r="D391" s="29" t="n">
        <f aca="false">Panel!P385</f>
        <v>0.00444149022511198</v>
      </c>
      <c r="E391" s="30" t="n">
        <f aca="false">Panel!P385-Panel!P384</f>
        <v>-0.000163868750641782</v>
      </c>
      <c r="F391" s="30" t="n">
        <f aca="false">Panel!P384-Panel!P383</f>
        <v>0.000284665865457612</v>
      </c>
      <c r="G391" s="30" t="n">
        <f aca="false">Panel!P383-Panel!P382</f>
        <v>-0.000979537418761112</v>
      </c>
    </row>
    <row r="392" customFormat="false" ht="15" hidden="false" customHeight="false" outlineLevel="0" collapsed="false">
      <c r="C392" s="0" t="n">
        <f aca="false">Panel!P387-Panel!P386</f>
        <v>-0.000552460868394888</v>
      </c>
      <c r="D392" s="29" t="n">
        <f aca="false">Panel!P386</f>
        <v>0.00198564963939951</v>
      </c>
      <c r="E392" s="30" t="n">
        <f aca="false">Panel!P386-Panel!P385</f>
        <v>-0.00245584058571247</v>
      </c>
      <c r="F392" s="30" t="n">
        <f aca="false">Panel!P385-Panel!P384</f>
        <v>-0.000163868750641782</v>
      </c>
      <c r="G392" s="30" t="n">
        <f aca="false">Panel!P384-Panel!P383</f>
        <v>0.000284665865457612</v>
      </c>
    </row>
    <row r="393" customFormat="false" ht="15" hidden="false" customHeight="false" outlineLevel="0" collapsed="false">
      <c r="C393" s="0" t="n">
        <f aca="false">Panel!P388-Panel!P387</f>
        <v>-0.00157396326293835</v>
      </c>
      <c r="D393" s="29" t="n">
        <f aca="false">Panel!P387</f>
        <v>0.00143318877100462</v>
      </c>
      <c r="E393" s="30" t="n">
        <f aca="false">Panel!P387-Panel!P386</f>
        <v>-0.000552460868394888</v>
      </c>
      <c r="F393" s="30" t="n">
        <f aca="false">Panel!P386-Panel!P385</f>
        <v>-0.00245584058571247</v>
      </c>
      <c r="G393" s="30" t="n">
        <f aca="false">Panel!P385-Panel!P384</f>
        <v>-0.000163868750641782</v>
      </c>
    </row>
    <row r="394" customFormat="false" ht="15" hidden="false" customHeight="false" outlineLevel="0" collapsed="false">
      <c r="C394" s="0" t="n">
        <f aca="false">Panel!P389-Panel!P388</f>
        <v>-0.000438955250302797</v>
      </c>
      <c r="D394" s="29" t="n">
        <f aca="false">Panel!P388</f>
        <v>-0.000140774491933726</v>
      </c>
      <c r="E394" s="30" t="n">
        <f aca="false">Panel!P388-Panel!P387</f>
        <v>-0.00157396326293835</v>
      </c>
      <c r="F394" s="30" t="n">
        <f aca="false">Panel!P387-Panel!P386</f>
        <v>-0.000552460868394888</v>
      </c>
      <c r="G394" s="30" t="n">
        <f aca="false">Panel!P386-Panel!P385</f>
        <v>-0.00245584058571247</v>
      </c>
    </row>
    <row r="395" customFormat="false" ht="15" hidden="false" customHeight="false" outlineLevel="0" collapsed="false">
      <c r="C395" s="0" t="n">
        <f aca="false">Panel!P390-Panel!P389</f>
        <v>-0.00114446425830472</v>
      </c>
      <c r="D395" s="29" t="n">
        <f aca="false">Panel!P389</f>
        <v>-0.000579729742236523</v>
      </c>
      <c r="E395" s="30" t="n">
        <f aca="false">Panel!P389-Panel!P388</f>
        <v>-0.000438955250302797</v>
      </c>
      <c r="F395" s="30" t="n">
        <f aca="false">Panel!P388-Panel!P387</f>
        <v>-0.00157396326293835</v>
      </c>
      <c r="G395" s="30" t="n">
        <f aca="false">Panel!P387-Panel!P386</f>
        <v>-0.000552460868394888</v>
      </c>
    </row>
    <row r="396" customFormat="false" ht="15" hidden="false" customHeight="false" outlineLevel="0" collapsed="false">
      <c r="C396" s="0" t="n">
        <f aca="false">Panel!P391-Panel!P390</f>
        <v>-0.00141591680427133</v>
      </c>
      <c r="D396" s="29" t="n">
        <f aca="false">Panel!P390</f>
        <v>-0.00172419400054125</v>
      </c>
      <c r="E396" s="30" t="n">
        <f aca="false">Panel!P390-Panel!P389</f>
        <v>-0.00114446425830472</v>
      </c>
      <c r="F396" s="30" t="n">
        <f aca="false">Panel!P389-Panel!P388</f>
        <v>-0.000438955250302797</v>
      </c>
      <c r="G396" s="30" t="n">
        <f aca="false">Panel!P388-Panel!P387</f>
        <v>-0.00157396326293835</v>
      </c>
    </row>
    <row r="397" customFormat="false" ht="15" hidden="false" customHeight="false" outlineLevel="0" collapsed="false">
      <c r="C397" s="0" t="n">
        <f aca="false">Panel!P392-Panel!P391</f>
        <v>0.00560228181526057</v>
      </c>
      <c r="D397" s="29" t="n">
        <f aca="false">Panel!P391</f>
        <v>-0.00314011080481258</v>
      </c>
      <c r="E397" s="30" t="n">
        <f aca="false">Panel!P391-Panel!P390</f>
        <v>-0.00141591680427133</v>
      </c>
      <c r="F397" s="30" t="n">
        <f aca="false">Panel!P390-Panel!P389</f>
        <v>-0.00114446425830472</v>
      </c>
      <c r="G397" s="30" t="n">
        <f aca="false">Panel!P389-Panel!P388</f>
        <v>-0.000438955250302797</v>
      </c>
    </row>
    <row r="398" customFormat="false" ht="15" hidden="false" customHeight="false" outlineLevel="0" collapsed="false">
      <c r="C398" s="0" t="n">
        <f aca="false">Panel!P393-Panel!P392</f>
        <v>0.000574444023001774</v>
      </c>
      <c r="D398" s="29" t="n">
        <f aca="false">Panel!P392</f>
        <v>0.00246217101044799</v>
      </c>
      <c r="E398" s="30" t="n">
        <f aca="false">Panel!P392-Panel!P391</f>
        <v>0.00560228181526057</v>
      </c>
      <c r="F398" s="30" t="n">
        <f aca="false">Panel!P391-Panel!P390</f>
        <v>-0.00141591680427133</v>
      </c>
      <c r="G398" s="30" t="n">
        <f aca="false">Panel!P390-Panel!P389</f>
        <v>-0.00114446425830472</v>
      </c>
    </row>
    <row r="399" customFormat="false" ht="15" hidden="false" customHeight="false" outlineLevel="0" collapsed="false">
      <c r="C399" s="0" t="n">
        <f aca="false">Panel!P394-Panel!P393</f>
        <v>-0.00142502287578594</v>
      </c>
      <c r="D399" s="29" t="n">
        <f aca="false">Panel!P393</f>
        <v>0.00303661503344976</v>
      </c>
      <c r="E399" s="30" t="n">
        <f aca="false">Panel!P393-Panel!P392</f>
        <v>0.000574444023001774</v>
      </c>
      <c r="F399" s="30" t="n">
        <f aca="false">Panel!P392-Panel!P391</f>
        <v>0.00560228181526057</v>
      </c>
      <c r="G399" s="30" t="n">
        <f aca="false">Panel!P391-Panel!P390</f>
        <v>-0.00141591680427133</v>
      </c>
    </row>
    <row r="400" customFormat="false" ht="15" hidden="false" customHeight="false" outlineLevel="0" collapsed="false">
      <c r="C400" s="0" t="n">
        <f aca="false">Panel!P395-Panel!P394</f>
        <v>-0.000413886170008482</v>
      </c>
      <c r="D400" s="29" t="n">
        <f aca="false">Panel!P394</f>
        <v>0.00161159215766382</v>
      </c>
      <c r="E400" s="30" t="n">
        <f aca="false">Panel!P394-Panel!P393</f>
        <v>-0.00142502287578594</v>
      </c>
      <c r="F400" s="30" t="n">
        <f aca="false">Panel!P393-Panel!P392</f>
        <v>0.000574444023001774</v>
      </c>
      <c r="G400" s="30" t="n">
        <f aca="false">Panel!P392-Panel!P391</f>
        <v>0.00560228181526057</v>
      </c>
    </row>
    <row r="401" customFormat="false" ht="15" hidden="false" customHeight="false" outlineLevel="0" collapsed="false">
      <c r="C401" s="0" t="n">
        <f aca="false">Panel!P396-Panel!P395</f>
        <v>-0.00427820005217683</v>
      </c>
      <c r="D401" s="29" t="n">
        <f aca="false">Panel!P395</f>
        <v>0.00119770598765534</v>
      </c>
      <c r="E401" s="30" t="n">
        <f aca="false">Panel!P395-Panel!P394</f>
        <v>-0.000413886170008482</v>
      </c>
      <c r="F401" s="30" t="n">
        <f aca="false">Panel!P394-Panel!P393</f>
        <v>-0.00142502287578594</v>
      </c>
      <c r="G401" s="30" t="n">
        <f aca="false">Panel!P393-Panel!P392</f>
        <v>0.000574444023001774</v>
      </c>
    </row>
    <row r="402" customFormat="false" ht="15" hidden="false" customHeight="false" outlineLevel="0" collapsed="false">
      <c r="C402" s="0" t="n">
        <f aca="false">Panel!P397-Panel!P396</f>
        <v>0.0117037065616721</v>
      </c>
      <c r="D402" s="29" t="n">
        <f aca="false">Panel!P396</f>
        <v>-0.00308049406452149</v>
      </c>
      <c r="E402" s="30" t="n">
        <f aca="false">Panel!P396-Panel!P395</f>
        <v>-0.00427820005217683</v>
      </c>
      <c r="F402" s="30" t="n">
        <f aca="false">Panel!P395-Panel!P394</f>
        <v>-0.000413886170008482</v>
      </c>
      <c r="G402" s="30" t="n">
        <f aca="false">Panel!P394-Panel!P393</f>
        <v>-0.00142502287578594</v>
      </c>
    </row>
    <row r="403" customFormat="false" ht="15" hidden="false" customHeight="false" outlineLevel="0" collapsed="false">
      <c r="C403" s="0" t="n">
        <f aca="false">Panel!P398-Panel!P397</f>
        <v>-0.000649240662196959</v>
      </c>
      <c r="D403" s="29" t="n">
        <f aca="false">Panel!P397</f>
        <v>0.00862321249715059</v>
      </c>
      <c r="E403" s="30" t="n">
        <f aca="false">Panel!P397-Panel!P396</f>
        <v>0.0117037065616721</v>
      </c>
      <c r="F403" s="30" t="n">
        <f aca="false">Panel!P396-Panel!P395</f>
        <v>-0.00427820005217683</v>
      </c>
      <c r="G403" s="30" t="n">
        <f aca="false">Panel!P395-Panel!P394</f>
        <v>-0.000413886170008482</v>
      </c>
    </row>
    <row r="404" customFormat="false" ht="15" hidden="false" customHeight="false" outlineLevel="0" collapsed="false">
      <c r="C404" s="0" t="n">
        <f aca="false">Panel!P399-Panel!P398</f>
        <v>-0.000798276248234586</v>
      </c>
      <c r="D404" s="29" t="n">
        <f aca="false">Panel!P398</f>
        <v>0.00797397183495363</v>
      </c>
      <c r="E404" s="30" t="n">
        <f aca="false">Panel!P398-Panel!P397</f>
        <v>-0.000649240662196959</v>
      </c>
      <c r="F404" s="30" t="n">
        <f aca="false">Panel!P397-Panel!P396</f>
        <v>0.0117037065616721</v>
      </c>
      <c r="G404" s="30" t="n">
        <f aca="false">Panel!P396-Panel!P395</f>
        <v>-0.00427820005217683</v>
      </c>
    </row>
    <row r="405" customFormat="false" ht="15" hidden="false" customHeight="false" outlineLevel="0" collapsed="false">
      <c r="C405" s="0" t="n">
        <f aca="false">Panel!P400-Panel!P399</f>
        <v>0.000179761665553002</v>
      </c>
      <c r="D405" s="29" t="n">
        <f aca="false">Panel!P399</f>
        <v>0.00717569558671904</v>
      </c>
      <c r="E405" s="30" t="n">
        <f aca="false">Panel!P399-Panel!P398</f>
        <v>-0.000798276248234586</v>
      </c>
      <c r="F405" s="30" t="n">
        <f aca="false">Panel!P398-Panel!P397</f>
        <v>-0.000649240662196959</v>
      </c>
      <c r="G405" s="30" t="n">
        <f aca="false">Panel!P397-Panel!P396</f>
        <v>0.0117037065616721</v>
      </c>
    </row>
    <row r="406" customFormat="false" ht="15" hidden="false" customHeight="false" outlineLevel="0" collapsed="false">
      <c r="C406" s="0" t="n">
        <f aca="false">Panel!P401-Panel!P400</f>
        <v>-7.72552375867264E-005</v>
      </c>
      <c r="D406" s="29" t="n">
        <f aca="false">Panel!P400</f>
        <v>0.00735545725227205</v>
      </c>
      <c r="E406" s="30" t="n">
        <f aca="false">Panel!P400-Panel!P399</f>
        <v>0.000179761665553002</v>
      </c>
      <c r="F406" s="30" t="n">
        <f aca="false">Panel!P399-Panel!P398</f>
        <v>-0.000798276248234586</v>
      </c>
      <c r="G406" s="30" t="n">
        <f aca="false">Panel!P398-Panel!P397</f>
        <v>-0.000649240662196959</v>
      </c>
    </row>
    <row r="407" customFormat="false" ht="15" hidden="false" customHeight="false" outlineLevel="0" collapsed="false">
      <c r="C407" s="0" t="n">
        <f aca="false">Panel!P402-Panel!P401</f>
        <v>-4.40308270643897E-005</v>
      </c>
      <c r="D407" s="29" t="n">
        <f aca="false">Panel!P401</f>
        <v>0.00727820201468532</v>
      </c>
      <c r="E407" s="30" t="n">
        <f aca="false">Panel!P401-Panel!P400</f>
        <v>-7.72552375867264E-005</v>
      </c>
      <c r="F407" s="30" t="n">
        <f aca="false">Panel!P400-Panel!P399</f>
        <v>0.000179761665553002</v>
      </c>
      <c r="G407" s="30" t="n">
        <f aca="false">Panel!P399-Panel!P398</f>
        <v>-0.000798276248234586</v>
      </c>
    </row>
    <row r="408" customFormat="false" ht="15" hidden="false" customHeight="false" outlineLevel="0" collapsed="false">
      <c r="C408" s="0" t="n">
        <f aca="false">Panel!P403-Panel!P402</f>
        <v>-0.000859456572026573</v>
      </c>
      <c r="D408" s="29" t="n">
        <f aca="false">Panel!P402</f>
        <v>0.00723417118762093</v>
      </c>
      <c r="E408" s="30" t="n">
        <f aca="false">Panel!P402-Panel!P401</f>
        <v>-4.40308270643897E-005</v>
      </c>
      <c r="F408" s="30" t="n">
        <f aca="false">Panel!P401-Panel!P400</f>
        <v>-7.72552375867264E-005</v>
      </c>
      <c r="G408" s="30" t="n">
        <f aca="false">Panel!P400-Panel!P399</f>
        <v>0.000179761665553002</v>
      </c>
    </row>
    <row r="409" customFormat="false" ht="15" hidden="false" customHeight="false" outlineLevel="0" collapsed="false">
      <c r="C409" s="0" t="n">
        <f aca="false">Panel!P404-Panel!P403</f>
        <v>0.000652107128820134</v>
      </c>
      <c r="D409" s="29" t="n">
        <f aca="false">Panel!P403</f>
        <v>0.00637471461559436</v>
      </c>
      <c r="E409" s="30" t="n">
        <f aca="false">Panel!P403-Panel!P402</f>
        <v>-0.000859456572026573</v>
      </c>
      <c r="F409" s="30" t="n">
        <f aca="false">Panel!P402-Panel!P401</f>
        <v>-4.40308270643897E-005</v>
      </c>
      <c r="G409" s="30" t="n">
        <f aca="false">Panel!P401-Panel!P400</f>
        <v>-7.72552375867264E-005</v>
      </c>
    </row>
    <row r="410" customFormat="false" ht="15" hidden="false" customHeight="false" outlineLevel="0" collapsed="false">
      <c r="C410" s="0" t="n">
        <f aca="false">Panel!P405-Panel!P404</f>
        <v>0.00160791001248306</v>
      </c>
      <c r="D410" s="29" t="n">
        <f aca="false">Panel!P404</f>
        <v>0.00702682174441449</v>
      </c>
      <c r="E410" s="30" t="n">
        <f aca="false">Panel!P404-Panel!P403</f>
        <v>0.000652107128820134</v>
      </c>
      <c r="F410" s="30" t="n">
        <f aca="false">Panel!P403-Panel!P402</f>
        <v>-0.000859456572026573</v>
      </c>
      <c r="G410" s="30" t="n">
        <f aca="false">Panel!P402-Panel!P401</f>
        <v>-4.40308270643897E-005</v>
      </c>
    </row>
    <row r="411" customFormat="false" ht="15" hidden="false" customHeight="false" outlineLevel="0" collapsed="false">
      <c r="C411" s="0" t="n">
        <f aca="false">Panel!P406-Panel!P405</f>
        <v>-0.00118330180165849</v>
      </c>
      <c r="D411" s="29" t="n">
        <f aca="false">Panel!P405</f>
        <v>0.00863473175689755</v>
      </c>
      <c r="E411" s="30" t="n">
        <f aca="false">Panel!P405-Panel!P404</f>
        <v>0.00160791001248306</v>
      </c>
      <c r="F411" s="30" t="n">
        <f aca="false">Panel!P404-Panel!P403</f>
        <v>0.000652107128820134</v>
      </c>
      <c r="G411" s="30" t="n">
        <f aca="false">Panel!P403-Panel!P402</f>
        <v>-0.000859456572026573</v>
      </c>
    </row>
    <row r="412" customFormat="false" ht="15" hidden="false" customHeight="false" outlineLevel="0" collapsed="false">
      <c r="C412" s="0" t="n">
        <f aca="false">Panel!P407-Panel!P406</f>
        <v>0.00155005367438754</v>
      </c>
      <c r="D412" s="29" t="n">
        <f aca="false">Panel!P406</f>
        <v>0.00745142995523906</v>
      </c>
      <c r="E412" s="30" t="n">
        <f aca="false">Panel!P406-Panel!P405</f>
        <v>-0.00118330180165849</v>
      </c>
      <c r="F412" s="30" t="n">
        <f aca="false">Panel!P405-Panel!P404</f>
        <v>0.00160791001248306</v>
      </c>
      <c r="G412" s="30" t="n">
        <f aca="false">Panel!P404-Panel!P403</f>
        <v>0.000652107128820134</v>
      </c>
    </row>
    <row r="413" customFormat="false" ht="15" hidden="false" customHeight="false" outlineLevel="0" collapsed="false">
      <c r="C413" s="0" t="n">
        <f aca="false">Panel!P408-Panel!P407</f>
        <v>-0.00271752965668171</v>
      </c>
      <c r="D413" s="29" t="n">
        <f aca="false">Panel!P407</f>
        <v>0.00900148362962661</v>
      </c>
      <c r="E413" s="30" t="n">
        <f aca="false">Panel!P407-Panel!P406</f>
        <v>0.00155005367438754</v>
      </c>
      <c r="F413" s="30" t="n">
        <f aca="false">Panel!P406-Panel!P405</f>
        <v>-0.00118330180165849</v>
      </c>
      <c r="G413" s="30" t="n">
        <f aca="false">Panel!P405-Panel!P404</f>
        <v>0.00160791001248306</v>
      </c>
    </row>
    <row r="414" customFormat="false" ht="15" hidden="false" customHeight="false" outlineLevel="0" collapsed="false">
      <c r="C414" s="0" t="n">
        <f aca="false">Panel!P409-Panel!P408</f>
        <v>-0.0018160668825189</v>
      </c>
      <c r="D414" s="29" t="n">
        <f aca="false">Panel!P408</f>
        <v>0.0062839539729449</v>
      </c>
      <c r="E414" s="30" t="n">
        <f aca="false">Panel!P408-Panel!P407</f>
        <v>-0.00271752965668171</v>
      </c>
      <c r="F414" s="30" t="n">
        <f aca="false">Panel!P407-Panel!P406</f>
        <v>0.00155005367438754</v>
      </c>
      <c r="G414" s="30" t="n">
        <f aca="false">Panel!P406-Panel!P405</f>
        <v>-0.00118330180165849</v>
      </c>
    </row>
    <row r="415" customFormat="false" ht="15" hidden="false" customHeight="false" outlineLevel="0" collapsed="false">
      <c r="C415" s="0" t="n">
        <f aca="false">Panel!P410-Panel!P409</f>
        <v>-0.000971877934798471</v>
      </c>
      <c r="D415" s="29" t="n">
        <f aca="false">Panel!P409</f>
        <v>0.004467887090426</v>
      </c>
      <c r="E415" s="30" t="n">
        <f aca="false">Panel!P409-Panel!P408</f>
        <v>-0.0018160668825189</v>
      </c>
      <c r="F415" s="30" t="n">
        <f aca="false">Panel!P408-Panel!P407</f>
        <v>-0.00271752965668171</v>
      </c>
      <c r="G415" s="30" t="n">
        <f aca="false">Panel!P407-Panel!P406</f>
        <v>0.00155005367438754</v>
      </c>
    </row>
    <row r="416" customFormat="false" ht="15" hidden="false" customHeight="false" outlineLevel="0" collapsed="false">
      <c r="C416" s="0" t="n">
        <f aca="false">Panel!P411-Panel!P410</f>
        <v>-0.00237193160568694</v>
      </c>
      <c r="D416" s="29" t="n">
        <f aca="false">Panel!P410</f>
        <v>0.00349600915562753</v>
      </c>
      <c r="E416" s="30" t="n">
        <f aca="false">Panel!P410-Panel!P409</f>
        <v>-0.000971877934798471</v>
      </c>
      <c r="F416" s="30" t="n">
        <f aca="false">Panel!P409-Panel!P408</f>
        <v>-0.0018160668825189</v>
      </c>
      <c r="G416" s="30" t="n">
        <f aca="false">Panel!P408-Panel!P407</f>
        <v>-0.00271752965668171</v>
      </c>
    </row>
    <row r="417" customFormat="false" ht="15" hidden="false" customHeight="false" outlineLevel="0" collapsed="false">
      <c r="C417" s="0" t="n">
        <f aca="false">Panel!P412-Panel!P411</f>
        <v>-0.00716955755204118</v>
      </c>
      <c r="D417" s="29" t="n">
        <f aca="false">Panel!P411</f>
        <v>0.00112407754994059</v>
      </c>
      <c r="E417" s="30" t="n">
        <f aca="false">Panel!P411-Panel!P410</f>
        <v>-0.00237193160568694</v>
      </c>
      <c r="F417" s="30" t="n">
        <f aca="false">Panel!P410-Panel!P409</f>
        <v>-0.000971877934798471</v>
      </c>
      <c r="G417" s="30" t="n">
        <f aca="false">Panel!P409-Panel!P408</f>
        <v>-0.0018160668825189</v>
      </c>
    </row>
    <row r="418" customFormat="false" ht="15" hidden="false" customHeight="false" outlineLevel="0" collapsed="false">
      <c r="C418" s="0" t="n">
        <f aca="false">Panel!P413-Panel!P412</f>
        <v>0.00530265763084259</v>
      </c>
      <c r="D418" s="29" t="n">
        <f aca="false">Panel!P412</f>
        <v>-0.00604548000210059</v>
      </c>
      <c r="E418" s="30" t="n">
        <f aca="false">Panel!P412-Panel!P411</f>
        <v>-0.00716955755204118</v>
      </c>
      <c r="F418" s="30" t="n">
        <f aca="false">Panel!P411-Panel!P410</f>
        <v>-0.00237193160568694</v>
      </c>
      <c r="G418" s="30" t="n">
        <f aca="false">Panel!P410-Panel!P409</f>
        <v>-0.000971877934798471</v>
      </c>
    </row>
    <row r="419" customFormat="false" ht="15" hidden="false" customHeight="false" outlineLevel="0" collapsed="false">
      <c r="C419" s="0" t="n">
        <f aca="false">Panel!P414-Panel!P413</f>
        <v>0.00106855464444422</v>
      </c>
      <c r="D419" s="29" t="n">
        <f aca="false">Panel!P413</f>
        <v>-0.000742822371258001</v>
      </c>
      <c r="E419" s="30" t="n">
        <f aca="false">Panel!P413-Panel!P412</f>
        <v>0.00530265763084259</v>
      </c>
      <c r="F419" s="30" t="n">
        <f aca="false">Panel!P412-Panel!P411</f>
        <v>-0.00716955755204118</v>
      </c>
      <c r="G419" s="30" t="n">
        <f aca="false">Panel!P411-Panel!P410</f>
        <v>-0.00237193160568694</v>
      </c>
    </row>
    <row r="420" customFormat="false" ht="15" hidden="false" customHeight="false" outlineLevel="0" collapsed="false">
      <c r="C420" s="0" t="n">
        <f aca="false">Panel!P415-Panel!P414</f>
        <v>-0.00143087050458668</v>
      </c>
      <c r="D420" s="29" t="n">
        <f aca="false">Panel!P414</f>
        <v>0.000325732273186219</v>
      </c>
      <c r="E420" s="30" t="n">
        <f aca="false">Panel!P414-Panel!P413</f>
        <v>0.00106855464444422</v>
      </c>
      <c r="F420" s="30" t="n">
        <f aca="false">Panel!P413-Panel!P412</f>
        <v>0.00530265763084259</v>
      </c>
      <c r="G420" s="30" t="n">
        <f aca="false">Panel!P412-Panel!P411</f>
        <v>-0.00716955755204118</v>
      </c>
    </row>
    <row r="421" customFormat="false" ht="15" hidden="false" customHeight="false" outlineLevel="0" collapsed="false">
      <c r="C421" s="0" t="n">
        <f aca="false">Panel!P416-Panel!P415</f>
        <v>0.00786164057262972</v>
      </c>
      <c r="D421" s="29" t="n">
        <f aca="false">Panel!P415</f>
        <v>-0.00110513823140046</v>
      </c>
      <c r="E421" s="30" t="n">
        <f aca="false">Panel!P415-Panel!P414</f>
        <v>-0.00143087050458668</v>
      </c>
      <c r="F421" s="30" t="n">
        <f aca="false">Panel!P414-Panel!P413</f>
        <v>0.00106855464444422</v>
      </c>
      <c r="G421" s="30" t="n">
        <f aca="false">Panel!P413-Panel!P412</f>
        <v>0.00530265763084259</v>
      </c>
    </row>
    <row r="422" customFormat="false" ht="15" hidden="false" customHeight="false" outlineLevel="0" collapsed="false">
      <c r="C422" s="0" t="n">
        <f aca="false">Panel!P417-Panel!P416</f>
        <v>-0.00128480408399057</v>
      </c>
      <c r="D422" s="29" t="n">
        <f aca="false">Panel!P416</f>
        <v>0.00675650234122927</v>
      </c>
      <c r="E422" s="30" t="n">
        <f aca="false">Panel!P416-Panel!P415</f>
        <v>0.00786164057262972</v>
      </c>
      <c r="F422" s="30" t="n">
        <f aca="false">Panel!P415-Panel!P414</f>
        <v>-0.00143087050458668</v>
      </c>
      <c r="G422" s="30" t="n">
        <f aca="false">Panel!P414-Panel!P413</f>
        <v>0.00106855464444422</v>
      </c>
    </row>
    <row r="423" customFormat="false" ht="15" hidden="false" customHeight="false" outlineLevel="0" collapsed="false">
      <c r="C423" s="0" t="n">
        <f aca="false">Panel!P418-Panel!P417</f>
        <v>-2.13523484919875E-005</v>
      </c>
      <c r="D423" s="29" t="n">
        <f aca="false">Panel!P417</f>
        <v>0.0054716982572387</v>
      </c>
      <c r="E423" s="30" t="n">
        <f aca="false">Panel!P417-Panel!P416</f>
        <v>-0.00128480408399057</v>
      </c>
      <c r="F423" s="30" t="n">
        <f aca="false">Panel!P416-Panel!P415</f>
        <v>0.00786164057262972</v>
      </c>
      <c r="G423" s="30" t="n">
        <f aca="false">Panel!P415-Panel!P414</f>
        <v>-0.00143087050458668</v>
      </c>
    </row>
    <row r="424" customFormat="false" ht="15" hidden="false" customHeight="false" outlineLevel="0" collapsed="false">
      <c r="C424" s="0" t="n">
        <f aca="false">Panel!P419-Panel!P418</f>
        <v>-0.000585809241494317</v>
      </c>
      <c r="D424" s="29" t="n">
        <f aca="false">Panel!P418</f>
        <v>0.00545034590874671</v>
      </c>
      <c r="E424" s="30" t="n">
        <f aca="false">Panel!P418-Panel!P417</f>
        <v>-2.13523484919875E-005</v>
      </c>
      <c r="F424" s="30" t="n">
        <f aca="false">Panel!P417-Panel!P416</f>
        <v>-0.00128480408399057</v>
      </c>
      <c r="G424" s="30" t="n">
        <f aca="false">Panel!P416-Panel!P415</f>
        <v>0.00786164057262972</v>
      </c>
    </row>
    <row r="425" customFormat="false" ht="15" hidden="false" customHeight="false" outlineLevel="0" collapsed="false">
      <c r="C425" s="0" t="n">
        <f aca="false">Panel!P420-Panel!P419</f>
        <v>0.00177864290923502</v>
      </c>
      <c r="D425" s="29" t="n">
        <f aca="false">Panel!P419</f>
        <v>0.0048645366672524</v>
      </c>
      <c r="E425" s="30" t="n">
        <f aca="false">Panel!P419-Panel!P418</f>
        <v>-0.000585809241494317</v>
      </c>
      <c r="F425" s="30" t="n">
        <f aca="false">Panel!P418-Panel!P417</f>
        <v>-2.13523484919875E-005</v>
      </c>
      <c r="G425" s="30" t="n">
        <f aca="false">Panel!P417-Panel!P416</f>
        <v>-0.00128480408399057</v>
      </c>
    </row>
    <row r="426" customFormat="false" ht="15" hidden="false" customHeight="false" outlineLevel="0" collapsed="false">
      <c r="C426" s="0" t="n">
        <f aca="false">Panel!P421-Panel!P420</f>
        <v>-0.00412445400870709</v>
      </c>
      <c r="D426" s="29" t="n">
        <f aca="false">Panel!P420</f>
        <v>0.00664317957648741</v>
      </c>
      <c r="E426" s="30" t="n">
        <f aca="false">Panel!P420-Panel!P419</f>
        <v>0.00177864290923502</v>
      </c>
      <c r="F426" s="30" t="n">
        <f aca="false">Panel!P419-Panel!P418</f>
        <v>-0.000585809241494317</v>
      </c>
      <c r="G426" s="30" t="n">
        <f aca="false">Panel!P418-Panel!P417</f>
        <v>-2.13523484919875E-005</v>
      </c>
    </row>
    <row r="427" customFormat="false" ht="15" hidden="false" customHeight="false" outlineLevel="0" collapsed="false">
      <c r="C427" s="0" t="n">
        <f aca="false">Panel!P422-Panel!P421</f>
        <v>0.000113200200837937</v>
      </c>
      <c r="D427" s="29" t="n">
        <f aca="false">Panel!P421</f>
        <v>0.00251872556778032</v>
      </c>
      <c r="E427" s="30" t="n">
        <f aca="false">Panel!P421-Panel!P420</f>
        <v>-0.00412445400870709</v>
      </c>
      <c r="F427" s="30" t="n">
        <f aca="false">Panel!P420-Panel!P419</f>
        <v>0.00177864290923502</v>
      </c>
      <c r="G427" s="30" t="n">
        <f aca="false">Panel!P419-Panel!P418</f>
        <v>-0.000585809241494317</v>
      </c>
    </row>
    <row r="428" customFormat="false" ht="15" hidden="false" customHeight="false" outlineLevel="0" collapsed="false">
      <c r="C428" s="0" t="n">
        <f aca="false">Panel!P423-Panel!P422</f>
        <v>-0.00143438649330818</v>
      </c>
      <c r="D428" s="29" t="n">
        <f aca="false">Panel!P422</f>
        <v>0.00263192576861826</v>
      </c>
      <c r="E428" s="30" t="n">
        <f aca="false">Panel!P422-Panel!P421</f>
        <v>0.000113200200837937</v>
      </c>
      <c r="F428" s="30" t="n">
        <f aca="false">Panel!P421-Panel!P420</f>
        <v>-0.00412445400870709</v>
      </c>
      <c r="G428" s="30" t="n">
        <f aca="false">Panel!P420-Panel!P419</f>
        <v>0.00177864290923502</v>
      </c>
    </row>
    <row r="429" customFormat="false" ht="15" hidden="false" customHeight="false" outlineLevel="0" collapsed="false">
      <c r="C429" s="0" t="n">
        <f aca="false">Panel!P424-Panel!P423</f>
        <v>0.001838541444938</v>
      </c>
      <c r="D429" s="29" t="n">
        <f aca="false">Panel!P423</f>
        <v>0.00119753927531008</v>
      </c>
      <c r="E429" s="30" t="n">
        <f aca="false">Panel!P423-Panel!P422</f>
        <v>-0.00143438649330818</v>
      </c>
      <c r="F429" s="30" t="n">
        <f aca="false">Panel!P422-Panel!P421</f>
        <v>0.000113200200837937</v>
      </c>
      <c r="G429" s="30" t="n">
        <f aca="false">Panel!P421-Panel!P420</f>
        <v>-0.00412445400870709</v>
      </c>
    </row>
    <row r="430" customFormat="false" ht="15" hidden="false" customHeight="false" outlineLevel="0" collapsed="false">
      <c r="C430" s="0" t="n">
        <f aca="false">Panel!P425-Panel!P424</f>
        <v>0.000401200732319751</v>
      </c>
      <c r="D430" s="29" t="n">
        <f aca="false">Panel!P424</f>
        <v>0.00303608072024808</v>
      </c>
      <c r="E430" s="30" t="n">
        <f aca="false">Panel!P424-Panel!P423</f>
        <v>0.001838541444938</v>
      </c>
      <c r="F430" s="30" t="n">
        <f aca="false">Panel!P423-Panel!P422</f>
        <v>-0.00143438649330818</v>
      </c>
      <c r="G430" s="30" t="n">
        <f aca="false">Panel!P422-Panel!P421</f>
        <v>0.000113200200837937</v>
      </c>
    </row>
    <row r="431" customFormat="false" ht="15" hidden="false" customHeight="false" outlineLevel="0" collapsed="false">
      <c r="C431" s="0" t="n">
        <f aca="false">Panel!P426-Panel!P425</f>
        <v>-0.00546984541634998</v>
      </c>
      <c r="D431" s="29" t="n">
        <f aca="false">Panel!P425</f>
        <v>0.00343728145256783</v>
      </c>
      <c r="E431" s="30" t="n">
        <f aca="false">Panel!P425-Panel!P424</f>
        <v>0.000401200732319751</v>
      </c>
      <c r="F431" s="30" t="n">
        <f aca="false">Panel!P424-Panel!P423</f>
        <v>0.001838541444938</v>
      </c>
      <c r="G431" s="30" t="n">
        <f aca="false">Panel!P423-Panel!P422</f>
        <v>-0.00143438649330818</v>
      </c>
    </row>
    <row r="432" customFormat="false" ht="15" hidden="false" customHeight="false" outlineLevel="0" collapsed="false">
      <c r="C432" s="0" t="n">
        <f aca="false">Panel!P427-Panel!P426</f>
        <v>0.000983026095637385</v>
      </c>
      <c r="D432" s="29" t="n">
        <f aca="false">Panel!P426</f>
        <v>-0.00203256396378215</v>
      </c>
      <c r="E432" s="30" t="n">
        <f aca="false">Panel!P426-Panel!P425</f>
        <v>-0.00546984541634998</v>
      </c>
      <c r="F432" s="30" t="n">
        <f aca="false">Panel!P425-Panel!P424</f>
        <v>0.000401200732319751</v>
      </c>
      <c r="G432" s="30" t="n">
        <f aca="false">Panel!P424-Panel!P423</f>
        <v>0.001838541444938</v>
      </c>
    </row>
    <row r="433" customFormat="false" ht="15" hidden="false" customHeight="false" outlineLevel="0" collapsed="false">
      <c r="C433" s="0" t="n">
        <f aca="false">Panel!P428-Panel!P427</f>
        <v>0.00141405606620815</v>
      </c>
      <c r="D433" s="29" t="n">
        <f aca="false">Panel!P427</f>
        <v>-0.00104953786814477</v>
      </c>
      <c r="E433" s="30" t="n">
        <f aca="false">Panel!P427-Panel!P426</f>
        <v>0.000983026095637385</v>
      </c>
      <c r="F433" s="30" t="n">
        <f aca="false">Panel!P426-Panel!P425</f>
        <v>-0.00546984541634998</v>
      </c>
      <c r="G433" s="30" t="n">
        <f aca="false">Panel!P425-Panel!P424</f>
        <v>0.000401200732319751</v>
      </c>
    </row>
    <row r="434" customFormat="false" ht="15" hidden="false" customHeight="false" outlineLevel="0" collapsed="false">
      <c r="C434" s="0" t="n">
        <f aca="false">Panel!P429-Panel!P428</f>
        <v>-0.000294853193729239</v>
      </c>
      <c r="D434" s="29" t="n">
        <f aca="false">Panel!P428</f>
        <v>0.000364518198063379</v>
      </c>
      <c r="E434" s="30" t="n">
        <f aca="false">Panel!P428-Panel!P427</f>
        <v>0.00141405606620815</v>
      </c>
      <c r="F434" s="30" t="n">
        <f aca="false">Panel!P427-Panel!P426</f>
        <v>0.000983026095637385</v>
      </c>
      <c r="G434" s="30" t="n">
        <f aca="false">Panel!P426-Panel!P425</f>
        <v>-0.00546984541634998</v>
      </c>
    </row>
    <row r="435" customFormat="false" ht="15" hidden="false" customHeight="false" outlineLevel="0" collapsed="false">
      <c r="C435" s="0" t="n">
        <f aca="false">Panel!P430-Panel!P429</f>
        <v>0.00140896577293681</v>
      </c>
      <c r="D435" s="29" t="n">
        <f aca="false">Panel!P429</f>
        <v>6.96650043341407E-005</v>
      </c>
      <c r="E435" s="30" t="n">
        <f aca="false">Panel!P429-Panel!P428</f>
        <v>-0.000294853193729239</v>
      </c>
      <c r="F435" s="30" t="n">
        <f aca="false">Panel!P428-Panel!P427</f>
        <v>0.00141405606620815</v>
      </c>
      <c r="G435" s="30" t="n">
        <f aca="false">Panel!P427-Panel!P426</f>
        <v>0.000983026095637385</v>
      </c>
    </row>
    <row r="436" customFormat="false" ht="15" hidden="false" customHeight="false" outlineLevel="0" collapsed="false">
      <c r="C436" s="0" t="n">
        <f aca="false">Panel!P431-Panel!P430</f>
        <v>-0.00261011747038076</v>
      </c>
      <c r="D436" s="29" t="n">
        <f aca="false">Panel!P430</f>
        <v>0.00147863077727095</v>
      </c>
      <c r="E436" s="30" t="n">
        <f aca="false">Panel!P430-Panel!P429</f>
        <v>0.00140896577293681</v>
      </c>
      <c r="F436" s="30" t="n">
        <f aca="false">Panel!P429-Panel!P428</f>
        <v>-0.000294853193729239</v>
      </c>
      <c r="G436" s="30" t="n">
        <f aca="false">Panel!P428-Panel!P427</f>
        <v>0.00141405606620815</v>
      </c>
    </row>
    <row r="437" customFormat="false" ht="15" hidden="false" customHeight="false" outlineLevel="0" collapsed="false">
      <c r="C437" s="0" t="n">
        <f aca="false">Panel!P432-Panel!P431</f>
        <v>0.00047576143304795</v>
      </c>
      <c r="D437" s="29" t="n">
        <f aca="false">Panel!P431</f>
        <v>-0.00113148669310981</v>
      </c>
      <c r="E437" s="30" t="n">
        <f aca="false">Panel!P431-Panel!P430</f>
        <v>-0.00261011747038076</v>
      </c>
      <c r="F437" s="30" t="n">
        <f aca="false">Panel!P430-Panel!P429</f>
        <v>0.00140896577293681</v>
      </c>
      <c r="G437" s="30" t="n">
        <f aca="false">Panel!P429-Panel!P428</f>
        <v>-0.000294853193729239</v>
      </c>
    </row>
    <row r="438" customFormat="false" ht="15" hidden="false" customHeight="false" outlineLevel="0" collapsed="false">
      <c r="C438" s="0" t="n">
        <f aca="false">Panel!P433-Panel!P432</f>
        <v>-0.00158882510752001</v>
      </c>
      <c r="D438" s="29" t="n">
        <f aca="false">Panel!P432</f>
        <v>-0.000655725260061857</v>
      </c>
      <c r="E438" s="30" t="n">
        <f aca="false">Panel!P432-Panel!P431</f>
        <v>0.00047576143304795</v>
      </c>
      <c r="F438" s="30" t="n">
        <f aca="false">Panel!P431-Panel!P430</f>
        <v>-0.00261011747038076</v>
      </c>
      <c r="G438" s="30" t="n">
        <f aca="false">Panel!P430-Panel!P429</f>
        <v>0.00140896577293681</v>
      </c>
    </row>
    <row r="439" customFormat="false" ht="15" hidden="false" customHeight="false" outlineLevel="0" collapsed="false">
      <c r="C439" s="0" t="n">
        <f aca="false">Panel!P434-Panel!P433</f>
        <v>0.00148693220518048</v>
      </c>
      <c r="D439" s="29" t="n">
        <f aca="false">Panel!P433</f>
        <v>-0.00224455036758187</v>
      </c>
      <c r="E439" s="30" t="n">
        <f aca="false">Panel!P433-Panel!P432</f>
        <v>-0.00158882510752001</v>
      </c>
      <c r="F439" s="30" t="n">
        <f aca="false">Panel!P432-Panel!P431</f>
        <v>0.00047576143304795</v>
      </c>
      <c r="G439" s="30" t="n">
        <f aca="false">Panel!P431-Panel!P430</f>
        <v>-0.00261011747038076</v>
      </c>
    </row>
    <row r="440" customFormat="false" ht="15" hidden="false" customHeight="false" outlineLevel="0" collapsed="false">
      <c r="C440" s="0" t="n">
        <f aca="false">Panel!P435-Panel!P434</f>
        <v>0.000885423303387256</v>
      </c>
      <c r="D440" s="29" t="n">
        <f aca="false">Panel!P434</f>
        <v>-0.000757618162401386</v>
      </c>
      <c r="E440" s="30" t="n">
        <f aca="false">Panel!P434-Panel!P433</f>
        <v>0.00148693220518048</v>
      </c>
      <c r="F440" s="30" t="n">
        <f aca="false">Panel!P433-Panel!P432</f>
        <v>-0.00158882510752001</v>
      </c>
      <c r="G440" s="30" t="n">
        <f aca="false">Panel!P432-Panel!P431</f>
        <v>0.00047576143304795</v>
      </c>
    </row>
    <row r="441" customFormat="false" ht="15" hidden="false" customHeight="false" outlineLevel="0" collapsed="false">
      <c r="C441" s="0" t="n">
        <f aca="false">Panel!P436-Panel!P435</f>
        <v>-0.00214002299474814</v>
      </c>
      <c r="D441" s="29" t="n">
        <f aca="false">Panel!P435</f>
        <v>0.00012780514098587</v>
      </c>
      <c r="E441" s="30" t="n">
        <f aca="false">Panel!P435-Panel!P434</f>
        <v>0.000885423303387256</v>
      </c>
      <c r="F441" s="30" t="n">
        <f aca="false">Panel!P434-Panel!P433</f>
        <v>0.00148693220518048</v>
      </c>
      <c r="G441" s="30" t="n">
        <f aca="false">Panel!P433-Panel!P432</f>
        <v>-0.00158882510752001</v>
      </c>
    </row>
    <row r="442" customFormat="false" ht="15" hidden="false" customHeight="false" outlineLevel="0" collapsed="false">
      <c r="C442" s="0" t="n">
        <f aca="false">Panel!P437-Panel!P436</f>
        <v>-0.00487356374351577</v>
      </c>
      <c r="D442" s="29" t="n">
        <f aca="false">Panel!P436</f>
        <v>-0.00201221785376227</v>
      </c>
      <c r="E442" s="30" t="n">
        <f aca="false">Panel!P436-Panel!P435</f>
        <v>-0.00214002299474814</v>
      </c>
      <c r="F442" s="30" t="n">
        <f aca="false">Panel!P435-Panel!P434</f>
        <v>0.000885423303387256</v>
      </c>
      <c r="G442" s="30" t="n">
        <f aca="false">Panel!P434-Panel!P433</f>
        <v>0.00148693220518048</v>
      </c>
    </row>
    <row r="443" customFormat="false" ht="15" hidden="false" customHeight="false" outlineLevel="0" collapsed="false">
      <c r="C443" s="0" t="n">
        <f aca="false">Panel!P438-Panel!P437</f>
        <v>0.00391217438107105</v>
      </c>
      <c r="D443" s="29" t="n">
        <f aca="false">Panel!P437</f>
        <v>-0.00688578159727804</v>
      </c>
      <c r="E443" s="30" t="n">
        <f aca="false">Panel!P437-Panel!P436</f>
        <v>-0.00487356374351577</v>
      </c>
      <c r="F443" s="30" t="n">
        <f aca="false">Panel!P436-Panel!P435</f>
        <v>-0.00214002299474814</v>
      </c>
      <c r="G443" s="30" t="n">
        <f aca="false">Panel!P435-Panel!P434</f>
        <v>0.000885423303387256</v>
      </c>
    </row>
    <row r="444" customFormat="false" ht="15" hidden="false" customHeight="false" outlineLevel="0" collapsed="false">
      <c r="C444" s="0" t="n">
        <f aca="false">Panel!P439-Panel!P438</f>
        <v>-0.000456550928793931</v>
      </c>
      <c r="D444" s="29" t="n">
        <f aca="false">Panel!P438</f>
        <v>-0.00297360721620699</v>
      </c>
      <c r="E444" s="30" t="n">
        <f aca="false">Panel!P438-Panel!P437</f>
        <v>0.00391217438107105</v>
      </c>
      <c r="F444" s="30" t="n">
        <f aca="false">Panel!P437-Panel!P436</f>
        <v>-0.00487356374351577</v>
      </c>
      <c r="G444" s="30" t="n">
        <f aca="false">Panel!P436-Panel!P435</f>
        <v>-0.00214002299474814</v>
      </c>
    </row>
    <row r="445" customFormat="false" ht="15" hidden="false" customHeight="false" outlineLevel="0" collapsed="false">
      <c r="C445" s="0" t="n">
        <f aca="false">Panel!P440-Panel!P439</f>
        <v>-0.00112494647701666</v>
      </c>
      <c r="D445" s="29" t="n">
        <f aca="false">Panel!P439</f>
        <v>-0.00343015814500092</v>
      </c>
      <c r="E445" s="30" t="n">
        <f aca="false">Panel!P439-Panel!P438</f>
        <v>-0.000456550928793931</v>
      </c>
      <c r="F445" s="30" t="n">
        <f aca="false">Panel!P438-Panel!P437</f>
        <v>0.00391217438107105</v>
      </c>
      <c r="G445" s="30" t="n">
        <f aca="false">Panel!P437-Panel!P436</f>
        <v>-0.00487356374351577</v>
      </c>
    </row>
    <row r="446" customFormat="false" ht="15" hidden="false" customHeight="false" outlineLevel="0" collapsed="false">
      <c r="C446" s="0" t="n">
        <f aca="false">Panel!P441-Panel!P440</f>
        <v>0.00888986320504337</v>
      </c>
      <c r="D446" s="29" t="n">
        <f aca="false">Panel!P440</f>
        <v>-0.00455510462201758</v>
      </c>
      <c r="E446" s="30" t="n">
        <f aca="false">Panel!P440-Panel!P439</f>
        <v>-0.00112494647701666</v>
      </c>
      <c r="F446" s="30" t="n">
        <f aca="false">Panel!P439-Panel!P438</f>
        <v>-0.000456550928793931</v>
      </c>
      <c r="G446" s="30" t="n">
        <f aca="false">Panel!P438-Panel!P437</f>
        <v>0.00391217438107105</v>
      </c>
    </row>
    <row r="447" customFormat="false" ht="15" hidden="false" customHeight="false" outlineLevel="0" collapsed="false">
      <c r="C447" s="0" t="n">
        <f aca="false">Panel!P442-Panel!P441</f>
        <v>-0.0015562069745183</v>
      </c>
      <c r="D447" s="29" t="n">
        <f aca="false">Panel!P441</f>
        <v>0.00433475858302579</v>
      </c>
      <c r="E447" s="30" t="n">
        <f aca="false">Panel!P441-Panel!P440</f>
        <v>0.00888986320504337</v>
      </c>
      <c r="F447" s="30" t="n">
        <f aca="false">Panel!P440-Panel!P439</f>
        <v>-0.00112494647701666</v>
      </c>
      <c r="G447" s="30" t="n">
        <f aca="false">Panel!P439-Panel!P438</f>
        <v>-0.000456550928793931</v>
      </c>
    </row>
    <row r="448" customFormat="false" ht="15" hidden="false" customHeight="false" outlineLevel="0" collapsed="false">
      <c r="C448" s="0" t="n">
        <f aca="false">Panel!P443-Panel!P442</f>
        <v>-0.00195878997300447</v>
      </c>
      <c r="D448" s="29" t="n">
        <f aca="false">Panel!P442</f>
        <v>0.00277855160850748</v>
      </c>
      <c r="E448" s="30" t="n">
        <f aca="false">Panel!P442-Panel!P441</f>
        <v>-0.0015562069745183</v>
      </c>
      <c r="F448" s="30" t="n">
        <f aca="false">Panel!P441-Panel!P440</f>
        <v>0.00888986320504337</v>
      </c>
      <c r="G448" s="30" t="n">
        <f aca="false">Panel!P440-Panel!P439</f>
        <v>-0.00112494647701666</v>
      </c>
    </row>
    <row r="449" customFormat="false" ht="15" hidden="false" customHeight="false" outlineLevel="0" collapsed="false">
      <c r="C449" s="0" t="n">
        <f aca="false">Panel!P444-Panel!P443</f>
        <v>0.0021939977942953</v>
      </c>
      <c r="D449" s="29" t="n">
        <f aca="false">Panel!P443</f>
        <v>0.000819761635503014</v>
      </c>
      <c r="E449" s="30" t="n">
        <f aca="false">Panel!P443-Panel!P442</f>
        <v>-0.00195878997300447</v>
      </c>
      <c r="F449" s="30" t="n">
        <f aca="false">Panel!P442-Panel!P441</f>
        <v>-0.0015562069745183</v>
      </c>
      <c r="G449" s="30" t="n">
        <f aca="false">Panel!P441-Panel!P440</f>
        <v>0.00888986320504337</v>
      </c>
    </row>
    <row r="450" customFormat="false" ht="15" hidden="false" customHeight="false" outlineLevel="0" collapsed="false">
      <c r="C450" s="0" t="n">
        <f aca="false">Panel!P445-Panel!P444</f>
        <v>-0.00180500396152539</v>
      </c>
      <c r="D450" s="29" t="n">
        <f aca="false">Panel!P444</f>
        <v>0.00301375942979831</v>
      </c>
      <c r="E450" s="30" t="n">
        <f aca="false">Panel!P444-Panel!P443</f>
        <v>0.0021939977942953</v>
      </c>
      <c r="F450" s="30" t="n">
        <f aca="false">Panel!P443-Panel!P442</f>
        <v>-0.00195878997300447</v>
      </c>
      <c r="G450" s="30" t="n">
        <f aca="false">Panel!P442-Panel!P441</f>
        <v>-0.0015562069745183</v>
      </c>
    </row>
    <row r="451" customFormat="false" ht="15" hidden="false" customHeight="false" outlineLevel="0" collapsed="false">
      <c r="C451" s="0" t="n">
        <f aca="false">Panel!P446-Panel!P445</f>
        <v>2.02933474664491E-005</v>
      </c>
      <c r="D451" s="29" t="n">
        <f aca="false">Panel!P445</f>
        <v>0.00120875546827293</v>
      </c>
      <c r="E451" s="30" t="n">
        <f aca="false">Panel!P445-Panel!P444</f>
        <v>-0.00180500396152539</v>
      </c>
      <c r="F451" s="30" t="n">
        <f aca="false">Panel!P444-Panel!P443</f>
        <v>0.0021939977942953</v>
      </c>
      <c r="G451" s="30" t="n">
        <f aca="false">Panel!P443-Panel!P442</f>
        <v>-0.00195878997300447</v>
      </c>
    </row>
    <row r="452" customFormat="false" ht="15" hidden="false" customHeight="false" outlineLevel="0" collapsed="false">
      <c r="C452" s="0" t="n">
        <f aca="false">Panel!P447-Panel!P446</f>
        <v>-0.0012096017863108</v>
      </c>
      <c r="D452" s="29" t="n">
        <f aca="false">Panel!P446</f>
        <v>0.00122904881573938</v>
      </c>
      <c r="E452" s="30" t="n">
        <f aca="false">Panel!P446-Panel!P445</f>
        <v>2.02933474664491E-005</v>
      </c>
      <c r="F452" s="30" t="n">
        <f aca="false">Panel!P445-Panel!P444</f>
        <v>-0.00180500396152539</v>
      </c>
      <c r="G452" s="30" t="n">
        <f aca="false">Panel!P444-Panel!P443</f>
        <v>0.0021939977942953</v>
      </c>
    </row>
    <row r="453" customFormat="false" ht="15" hidden="false" customHeight="false" outlineLevel="0" collapsed="false">
      <c r="C453" s="0" t="n">
        <f aca="false">Panel!P448-Panel!P447</f>
        <v>-0.000661693947598963</v>
      </c>
      <c r="D453" s="29" t="n">
        <f aca="false">Panel!P447</f>
        <v>1.94470294285765E-005</v>
      </c>
      <c r="E453" s="30" t="n">
        <f aca="false">Panel!P447-Panel!P446</f>
        <v>-0.0012096017863108</v>
      </c>
      <c r="F453" s="30" t="n">
        <f aca="false">Panel!P446-Panel!P445</f>
        <v>2.02933474664491E-005</v>
      </c>
      <c r="G453" s="30" t="n">
        <f aca="false">Panel!P445-Panel!P444</f>
        <v>-0.00180500396152539</v>
      </c>
    </row>
    <row r="454" customFormat="false" ht="15" hidden="false" customHeight="false" outlineLevel="0" collapsed="false">
      <c r="C454" s="0" t="n">
        <f aca="false">Panel!P449-Panel!P448</f>
        <v>-0.0019088497080535</v>
      </c>
      <c r="D454" s="29" t="n">
        <f aca="false">Panel!P448</f>
        <v>-0.000642246918170386</v>
      </c>
      <c r="E454" s="30" t="n">
        <f aca="false">Panel!P448-Panel!P447</f>
        <v>-0.000661693947598963</v>
      </c>
      <c r="F454" s="30" t="n">
        <f aca="false">Panel!P447-Panel!P446</f>
        <v>-0.0012096017863108</v>
      </c>
      <c r="G454" s="30" t="n">
        <f aca="false">Panel!P446-Panel!P445</f>
        <v>2.02933474664491E-005</v>
      </c>
    </row>
    <row r="455" customFormat="false" ht="15" hidden="false" customHeight="false" outlineLevel="0" collapsed="false">
      <c r="C455" s="0" t="n">
        <f aca="false">Panel!P450-Panel!P449</f>
        <v>0.000537461107025905</v>
      </c>
      <c r="D455" s="29" t="n">
        <f aca="false">Panel!P449</f>
        <v>-0.00255109662622388</v>
      </c>
      <c r="E455" s="30" t="n">
        <f aca="false">Panel!P449-Panel!P448</f>
        <v>-0.0019088497080535</v>
      </c>
      <c r="F455" s="30" t="n">
        <f aca="false">Panel!P448-Panel!P447</f>
        <v>-0.000661693947598963</v>
      </c>
      <c r="G455" s="30" t="n">
        <f aca="false">Panel!P447-Panel!P446</f>
        <v>-0.0012096017863108</v>
      </c>
    </row>
    <row r="456" customFormat="false" ht="15" hidden="false" customHeight="false" outlineLevel="0" collapsed="false">
      <c r="C456" s="0" t="n">
        <f aca="false">Panel!P451-Panel!P450</f>
        <v>-0.000311431261188488</v>
      </c>
      <c r="D456" s="29" t="n">
        <f aca="false">Panel!P450</f>
        <v>-0.00201363551919798</v>
      </c>
      <c r="E456" s="30" t="n">
        <f aca="false">Panel!P450-Panel!P449</f>
        <v>0.000537461107025905</v>
      </c>
      <c r="F456" s="30" t="n">
        <f aca="false">Panel!P449-Panel!P448</f>
        <v>-0.0019088497080535</v>
      </c>
      <c r="G456" s="30" t="n">
        <f aca="false">Panel!P448-Panel!P447</f>
        <v>-0.000661693947598963</v>
      </c>
    </row>
    <row r="457" customFormat="false" ht="15" hidden="false" customHeight="false" outlineLevel="0" collapsed="false">
      <c r="C457" s="0" t="n">
        <f aca="false">Panel!P452-Panel!P451</f>
        <v>-0.000584407761342831</v>
      </c>
      <c r="D457" s="29" t="n">
        <f aca="false">Panel!P451</f>
        <v>-0.00232506678038646</v>
      </c>
      <c r="E457" s="30" t="n">
        <f aca="false">Panel!P451-Panel!P450</f>
        <v>-0.000311431261188488</v>
      </c>
      <c r="F457" s="30" t="n">
        <f aca="false">Panel!P450-Panel!P449</f>
        <v>0.000537461107025905</v>
      </c>
      <c r="G457" s="30" t="n">
        <f aca="false">Panel!P449-Panel!P448</f>
        <v>-0.0019088497080535</v>
      </c>
    </row>
    <row r="458" customFormat="false" ht="15" hidden="false" customHeight="false" outlineLevel="0" collapsed="false">
      <c r="C458" s="0" t="n">
        <f aca="false">Panel!P453-Panel!P452</f>
        <v>0.00150253073472939</v>
      </c>
      <c r="D458" s="29" t="n">
        <f aca="false">Panel!P452</f>
        <v>-0.0029094745417293</v>
      </c>
      <c r="E458" s="30" t="n">
        <f aca="false">Panel!P452-Panel!P451</f>
        <v>-0.000584407761342831</v>
      </c>
      <c r="F458" s="30" t="n">
        <f aca="false">Panel!P451-Panel!P450</f>
        <v>-0.000311431261188488</v>
      </c>
      <c r="G458" s="30" t="n">
        <f aca="false">Panel!P450-Panel!P449</f>
        <v>0.000537461107025905</v>
      </c>
    </row>
    <row r="459" customFormat="false" ht="15" hidden="false" customHeight="false" outlineLevel="0" collapsed="false">
      <c r="C459" s="0" t="n">
        <f aca="false">Panel!P454-Panel!P453</f>
        <v>-0.0020340387886435</v>
      </c>
      <c r="D459" s="29" t="n">
        <f aca="false">Panel!P453</f>
        <v>-0.00140694380699991</v>
      </c>
      <c r="E459" s="30" t="n">
        <f aca="false">Panel!P453-Panel!P452</f>
        <v>0.00150253073472939</v>
      </c>
      <c r="F459" s="30" t="n">
        <f aca="false">Panel!P452-Panel!P451</f>
        <v>-0.000584407761342831</v>
      </c>
      <c r="G459" s="30" t="n">
        <f aca="false">Panel!P451-Panel!P450</f>
        <v>-0.000311431261188488</v>
      </c>
    </row>
    <row r="460" customFormat="false" ht="15" hidden="false" customHeight="false" outlineLevel="0" collapsed="false">
      <c r="C460" s="0" t="n">
        <f aca="false">Panel!P455-Panel!P454</f>
        <v>-0.000658009345512411</v>
      </c>
      <c r="D460" s="29" t="n">
        <f aca="false">Panel!P454</f>
        <v>-0.00344098259564341</v>
      </c>
      <c r="E460" s="30" t="n">
        <f aca="false">Panel!P454-Panel!P453</f>
        <v>-0.0020340387886435</v>
      </c>
      <c r="F460" s="30" t="n">
        <f aca="false">Panel!P453-Panel!P452</f>
        <v>0.00150253073472939</v>
      </c>
      <c r="G460" s="30" t="n">
        <f aca="false">Panel!P452-Panel!P451</f>
        <v>-0.000584407761342831</v>
      </c>
    </row>
    <row r="461" customFormat="false" ht="15" hidden="false" customHeight="false" outlineLevel="0" collapsed="false">
      <c r="C461" s="0" t="n">
        <f aca="false">Panel!P456-Panel!P455</f>
        <v>-0.000606594075875933</v>
      </c>
      <c r="D461" s="29" t="n">
        <f aca="false">Panel!P455</f>
        <v>-0.00409899194115582</v>
      </c>
      <c r="E461" s="30" t="n">
        <f aca="false">Panel!P455-Panel!P454</f>
        <v>-0.000658009345512411</v>
      </c>
      <c r="F461" s="30" t="n">
        <f aca="false">Panel!P454-Panel!P453</f>
        <v>-0.0020340387886435</v>
      </c>
      <c r="G461" s="30" t="n">
        <f aca="false">Panel!P453-Panel!P452</f>
        <v>0.00150253073472939</v>
      </c>
    </row>
    <row r="462" customFormat="false" ht="15" hidden="false" customHeight="false" outlineLevel="0" collapsed="false">
      <c r="C462" s="0" t="n">
        <f aca="false">Panel!P457-Panel!P456</f>
        <v>-0.000614159981157769</v>
      </c>
      <c r="D462" s="29" t="n">
        <f aca="false">Panel!P456</f>
        <v>-0.00470558601703175</v>
      </c>
      <c r="E462" s="30" t="n">
        <f aca="false">Panel!P456-Panel!P455</f>
        <v>-0.000606594075875933</v>
      </c>
      <c r="F462" s="30" t="n">
        <f aca="false">Panel!P455-Panel!P454</f>
        <v>-0.000658009345512411</v>
      </c>
      <c r="G462" s="30" t="n">
        <f aca="false">Panel!P454-Panel!P453</f>
        <v>-0.0020340387886435</v>
      </c>
    </row>
    <row r="463" customFormat="false" ht="15" hidden="false" customHeight="false" outlineLevel="0" collapsed="false">
      <c r="C463" s="0" t="n">
        <f aca="false">Panel!P458-Panel!P457</f>
        <v>0.000505107967962104</v>
      </c>
      <c r="D463" s="29" t="n">
        <f aca="false">Panel!P457</f>
        <v>-0.00531974599818952</v>
      </c>
      <c r="E463" s="30" t="n">
        <f aca="false">Panel!P457-Panel!P456</f>
        <v>-0.000614159981157769</v>
      </c>
      <c r="F463" s="30" t="n">
        <f aca="false">Panel!P456-Panel!P455</f>
        <v>-0.000606594075875933</v>
      </c>
      <c r="G463" s="30" t="n">
        <f aca="false">Panel!P455-Panel!P454</f>
        <v>-0.000658009345512411</v>
      </c>
    </row>
    <row r="464" customFormat="false" ht="15" hidden="false" customHeight="false" outlineLevel="0" collapsed="false">
      <c r="C464" s="0" t="n">
        <f aca="false">Panel!P459-Panel!P458</f>
        <v>-0.000779435621337754</v>
      </c>
      <c r="D464" s="29" t="n">
        <f aca="false">Panel!P458</f>
        <v>-0.00481463803022741</v>
      </c>
      <c r="E464" s="30" t="n">
        <f aca="false">Panel!P458-Panel!P457</f>
        <v>0.000505107967962104</v>
      </c>
      <c r="F464" s="30" t="n">
        <f aca="false">Panel!P457-Panel!P456</f>
        <v>-0.000614159981157769</v>
      </c>
      <c r="G464" s="30" t="n">
        <f aca="false">Panel!P456-Panel!P455</f>
        <v>-0.000606594075875933</v>
      </c>
    </row>
    <row r="465" customFormat="false" ht="15" hidden="false" customHeight="false" outlineLevel="0" collapsed="false">
      <c r="C465" s="0" t="n">
        <f aca="false">Panel!P460-Panel!P459</f>
        <v>-0.000790243948927127</v>
      </c>
      <c r="D465" s="29" t="n">
        <f aca="false">Panel!P459</f>
        <v>-0.00559407365156517</v>
      </c>
      <c r="E465" s="30" t="n">
        <f aca="false">Panel!P459-Panel!P458</f>
        <v>-0.000779435621337754</v>
      </c>
      <c r="F465" s="30" t="n">
        <f aca="false">Panel!P458-Panel!P457</f>
        <v>0.000505107967962104</v>
      </c>
      <c r="G465" s="30" t="n">
        <f aca="false">Panel!P457-Panel!P456</f>
        <v>-0.000614159981157769</v>
      </c>
    </row>
    <row r="466" customFormat="false" ht="15" hidden="false" customHeight="false" outlineLevel="0" collapsed="false">
      <c r="C466" s="0" t="n">
        <f aca="false">Panel!P461-Panel!P460</f>
        <v>0.000530282171645524</v>
      </c>
      <c r="D466" s="29" t="n">
        <f aca="false">Panel!P460</f>
        <v>-0.0063843176004923</v>
      </c>
      <c r="E466" s="30" t="n">
        <f aca="false">Panel!P460-Panel!P459</f>
        <v>-0.000790243948927127</v>
      </c>
      <c r="F466" s="30" t="n">
        <f aca="false">Panel!P459-Panel!P458</f>
        <v>-0.000779435621337754</v>
      </c>
      <c r="G466" s="30" t="n">
        <f aca="false">Panel!P458-Panel!P457</f>
        <v>0.000505107967962104</v>
      </c>
    </row>
    <row r="467" customFormat="false" ht="15" hidden="false" customHeight="false" outlineLevel="0" collapsed="false">
      <c r="C467" s="0" t="n">
        <f aca="false">Panel!P462-Panel!P461</f>
        <v>0.00267715601978935</v>
      </c>
      <c r="D467" s="29" t="n">
        <f aca="false">Panel!P461</f>
        <v>-0.00585403542884677</v>
      </c>
      <c r="E467" s="30" t="n">
        <f aca="false">Panel!P461-Panel!P460</f>
        <v>0.000530282171645524</v>
      </c>
      <c r="F467" s="30" t="n">
        <f aca="false">Panel!P460-Panel!P459</f>
        <v>-0.000790243948927127</v>
      </c>
      <c r="G467" s="30" t="n">
        <f aca="false">Panel!P459-Panel!P458</f>
        <v>-0.000779435621337754</v>
      </c>
    </row>
    <row r="468" customFormat="false" ht="15" hidden="false" customHeight="false" outlineLevel="0" collapsed="false">
      <c r="C468" s="0" t="n">
        <f aca="false">Panel!P463-Panel!P462</f>
        <v>-0.000446173830752628</v>
      </c>
      <c r="D468" s="29" t="n">
        <f aca="false">Panel!P462</f>
        <v>-0.00317687940905742</v>
      </c>
      <c r="E468" s="30" t="n">
        <f aca="false">Panel!P462-Panel!P461</f>
        <v>0.00267715601978935</v>
      </c>
      <c r="F468" s="30" t="n">
        <f aca="false">Panel!P461-Panel!P460</f>
        <v>0.000530282171645524</v>
      </c>
      <c r="G468" s="30" t="n">
        <f aca="false">Panel!P460-Panel!P459</f>
        <v>-0.000790243948927127</v>
      </c>
    </row>
    <row r="469" customFormat="false" ht="15" hidden="false" customHeight="false" outlineLevel="0" collapsed="false">
      <c r="C469" s="0" t="n">
        <f aca="false">Panel!P464-Panel!P463</f>
        <v>-0.00134461902924699</v>
      </c>
      <c r="D469" s="29" t="n">
        <f aca="false">Panel!P463</f>
        <v>-0.00362305323981005</v>
      </c>
      <c r="E469" s="30" t="n">
        <f aca="false">Panel!P463-Panel!P462</f>
        <v>-0.000446173830752628</v>
      </c>
      <c r="F469" s="30" t="n">
        <f aca="false">Panel!P462-Panel!P461</f>
        <v>0.00267715601978935</v>
      </c>
      <c r="G469" s="30" t="n">
        <f aca="false">Panel!P461-Panel!P460</f>
        <v>0.000530282171645524</v>
      </c>
    </row>
    <row r="470" customFormat="false" ht="15" hidden="false" customHeight="false" outlineLevel="0" collapsed="false">
      <c r="C470" s="0" t="n">
        <f aca="false">Panel!P465-Panel!P464</f>
        <v>0.00183703738919405</v>
      </c>
      <c r="D470" s="29" t="n">
        <f aca="false">Panel!P464</f>
        <v>-0.00496767226905703</v>
      </c>
      <c r="E470" s="30" t="n">
        <f aca="false">Panel!P464-Panel!P463</f>
        <v>-0.00134461902924699</v>
      </c>
      <c r="F470" s="30" t="n">
        <f aca="false">Panel!P463-Panel!P462</f>
        <v>-0.000446173830752628</v>
      </c>
      <c r="G470" s="30" t="n">
        <f aca="false">Panel!P462-Panel!P461</f>
        <v>0.00267715601978935</v>
      </c>
    </row>
    <row r="471" customFormat="false" ht="15" hidden="false" customHeight="false" outlineLevel="0" collapsed="false">
      <c r="C471" s="0" t="n">
        <f aca="false">Panel!P466-Panel!P465</f>
        <v>0.00060069790257522</v>
      </c>
      <c r="D471" s="29" t="n">
        <f aca="false">Panel!P465</f>
        <v>-0.00313063487986298</v>
      </c>
      <c r="E471" s="30" t="n">
        <f aca="false">Panel!P465-Panel!P464</f>
        <v>0.00183703738919405</v>
      </c>
      <c r="F471" s="30" t="n">
        <f aca="false">Panel!P464-Panel!P463</f>
        <v>-0.00134461902924699</v>
      </c>
      <c r="G471" s="30" t="n">
        <f aca="false">Panel!P463-Panel!P462</f>
        <v>-0.000446173830752628</v>
      </c>
    </row>
    <row r="472" customFormat="false" ht="15" hidden="false" customHeight="false" outlineLevel="0" collapsed="false">
      <c r="C472" s="0" t="n">
        <f aca="false">Panel!P467-Panel!P466</f>
        <v>-0.00236337394251862</v>
      </c>
      <c r="D472" s="29" t="n">
        <f aca="false">Panel!P466</f>
        <v>-0.00252993697728776</v>
      </c>
      <c r="E472" s="30" t="n">
        <f aca="false">Panel!P466-Panel!P465</f>
        <v>0.00060069790257522</v>
      </c>
      <c r="F472" s="30" t="n">
        <f aca="false">Panel!P465-Panel!P464</f>
        <v>0.00183703738919405</v>
      </c>
      <c r="G472" s="30" t="n">
        <f aca="false">Panel!P464-Panel!P463</f>
        <v>-0.00134461902924699</v>
      </c>
    </row>
    <row r="473" customFormat="false" ht="15" hidden="false" customHeight="false" outlineLevel="0" collapsed="false">
      <c r="C473" s="0" t="n">
        <f aca="false">Panel!P468-Panel!P467</f>
        <v>0.00158791018096061</v>
      </c>
      <c r="D473" s="29" t="n">
        <f aca="false">Panel!P467</f>
        <v>-0.00489331091980638</v>
      </c>
      <c r="E473" s="30" t="n">
        <f aca="false">Panel!P467-Panel!P466</f>
        <v>-0.00236337394251862</v>
      </c>
      <c r="F473" s="30" t="n">
        <f aca="false">Panel!P466-Panel!P465</f>
        <v>0.00060069790257522</v>
      </c>
      <c r="G473" s="30" t="n">
        <f aca="false">Panel!P465-Panel!P464</f>
        <v>0.00183703738919405</v>
      </c>
    </row>
    <row r="474" customFormat="false" ht="15" hidden="false" customHeight="false" outlineLevel="0" collapsed="false">
      <c r="C474" s="0" t="n">
        <f aca="false">Panel!P469-Panel!P468</f>
        <v>7.01434104524168E-005</v>
      </c>
      <c r="D474" s="29" t="n">
        <f aca="false">Panel!P468</f>
        <v>-0.00330540073884578</v>
      </c>
      <c r="E474" s="30" t="n">
        <f aca="false">Panel!P468-Panel!P467</f>
        <v>0.00158791018096061</v>
      </c>
      <c r="F474" s="30" t="n">
        <f aca="false">Panel!P467-Panel!P466</f>
        <v>-0.00236337394251862</v>
      </c>
      <c r="G474" s="30" t="n">
        <f aca="false">Panel!P466-Panel!P465</f>
        <v>0.00060069790257522</v>
      </c>
    </row>
    <row r="475" customFormat="false" ht="15" hidden="false" customHeight="false" outlineLevel="0" collapsed="false">
      <c r="C475" s="0" t="n">
        <f aca="false">Panel!P470-Panel!P469</f>
        <v>-0.00254880423649695</v>
      </c>
      <c r="D475" s="29" t="n">
        <f aca="false">Panel!P469</f>
        <v>-0.00323525732839336</v>
      </c>
      <c r="E475" s="30" t="n">
        <f aca="false">Panel!P469-Panel!P468</f>
        <v>7.01434104524168E-005</v>
      </c>
      <c r="F475" s="30" t="n">
        <f aca="false">Panel!P468-Panel!P467</f>
        <v>0.00158791018096061</v>
      </c>
      <c r="G475" s="30" t="n">
        <f aca="false">Panel!P467-Panel!P466</f>
        <v>-0.00236337394251862</v>
      </c>
    </row>
    <row r="476" customFormat="false" ht="15" hidden="false" customHeight="false" outlineLevel="0" collapsed="false">
      <c r="C476" s="0" t="n">
        <f aca="false">Panel!P471-Panel!P470</f>
        <v>0.002784174832696</v>
      </c>
      <c r="D476" s="29" t="n">
        <f aca="false">Panel!P470</f>
        <v>-0.00578406156489031</v>
      </c>
      <c r="E476" s="30" t="n">
        <f aca="false">Panel!P470-Panel!P469</f>
        <v>-0.00254880423649695</v>
      </c>
      <c r="F476" s="30" t="n">
        <f aca="false">Panel!P469-Panel!P468</f>
        <v>7.01434104524168E-005</v>
      </c>
      <c r="G476" s="30" t="n">
        <f aca="false">Panel!P468-Panel!P467</f>
        <v>0.00158791018096061</v>
      </c>
    </row>
    <row r="477" customFormat="false" ht="15" hidden="false" customHeight="false" outlineLevel="0" collapsed="false">
      <c r="C477" s="0" t="n">
        <f aca="false">Panel!P472-Panel!P471</f>
        <v>0.00020487004577241</v>
      </c>
      <c r="D477" s="29" t="n">
        <f aca="false">Panel!P471</f>
        <v>-0.00299988673219431</v>
      </c>
      <c r="E477" s="30" t="n">
        <f aca="false">Panel!P471-Panel!P470</f>
        <v>0.002784174832696</v>
      </c>
      <c r="F477" s="30" t="n">
        <f aca="false">Panel!P470-Panel!P469</f>
        <v>-0.00254880423649695</v>
      </c>
      <c r="G477" s="30" t="n">
        <f aca="false">Panel!P469-Panel!P468</f>
        <v>7.01434104524168E-005</v>
      </c>
    </row>
    <row r="478" customFormat="false" ht="15" hidden="false" customHeight="false" outlineLevel="0" collapsed="false">
      <c r="C478" s="0" t="n">
        <f aca="false">Panel!P473-Panel!P472</f>
        <v>0.000103777355942469</v>
      </c>
      <c r="D478" s="29" t="n">
        <f aca="false">Panel!P472</f>
        <v>-0.0027950166864219</v>
      </c>
      <c r="E478" s="30" t="n">
        <f aca="false">Panel!P472-Panel!P471</f>
        <v>0.00020487004577241</v>
      </c>
      <c r="F478" s="30" t="n">
        <f aca="false">Panel!P471-Panel!P470</f>
        <v>0.002784174832696</v>
      </c>
      <c r="G478" s="30" t="n">
        <f aca="false">Panel!P470-Panel!P469</f>
        <v>-0.00254880423649695</v>
      </c>
    </row>
    <row r="479" customFormat="false" ht="15" hidden="false" customHeight="false" outlineLevel="0" collapsed="false">
      <c r="C479" s="0" t="n">
        <f aca="false">Panel!P474-Panel!P473</f>
        <v>0.000500630080145115</v>
      </c>
      <c r="D479" s="29" t="n">
        <f aca="false">Panel!P473</f>
        <v>-0.00269123933047943</v>
      </c>
      <c r="E479" s="30" t="n">
        <f aca="false">Panel!P473-Panel!P472</f>
        <v>0.000103777355942469</v>
      </c>
      <c r="F479" s="30" t="n">
        <f aca="false">Panel!P472-Panel!P471</f>
        <v>0.00020487004577241</v>
      </c>
      <c r="G479" s="30" t="n">
        <f aca="false">Panel!P471-Panel!P470</f>
        <v>0.002784174832696</v>
      </c>
    </row>
    <row r="480" customFormat="false" ht="15" hidden="false" customHeight="false" outlineLevel="0" collapsed="false">
      <c r="C480" s="0" t="n">
        <f aca="false">Panel!P475-Panel!P474</f>
        <v>0.00146005457457932</v>
      </c>
      <c r="D480" s="29" t="n">
        <f aca="false">Panel!P474</f>
        <v>-0.00219060925033432</v>
      </c>
      <c r="E480" s="30" t="n">
        <f aca="false">Panel!P474-Panel!P473</f>
        <v>0.000500630080145115</v>
      </c>
      <c r="F480" s="30" t="n">
        <f aca="false">Panel!P473-Panel!P472</f>
        <v>0.000103777355942469</v>
      </c>
      <c r="G480" s="30" t="n">
        <f aca="false">Panel!P472-Panel!P471</f>
        <v>0.00020487004577241</v>
      </c>
    </row>
    <row r="481" customFormat="false" ht="15" hidden="false" customHeight="false" outlineLevel="0" collapsed="false">
      <c r="C481" s="0" t="n">
        <f aca="false">Panel!P476-Panel!P475</f>
        <v>0.00086432335806208</v>
      </c>
      <c r="D481" s="29" t="n">
        <f aca="false">Panel!P475</f>
        <v>-0.000730554675755002</v>
      </c>
      <c r="E481" s="30" t="n">
        <f aca="false">Panel!P475-Panel!P474</f>
        <v>0.00146005457457932</v>
      </c>
      <c r="F481" s="30" t="n">
        <f aca="false">Panel!P474-Panel!P473</f>
        <v>0.000500630080145115</v>
      </c>
      <c r="G481" s="30" t="n">
        <f aca="false">Panel!P473-Panel!P472</f>
        <v>0.000103777355942469</v>
      </c>
    </row>
    <row r="482" customFormat="false" ht="15" hidden="false" customHeight="false" outlineLevel="0" collapsed="false">
      <c r="C482" s="0" t="n">
        <f aca="false">Panel!P477-Panel!P476</f>
        <v>0.000739786372950135</v>
      </c>
      <c r="D482" s="29" t="n">
        <f aca="false">Panel!P476</f>
        <v>0.000133768682307078</v>
      </c>
      <c r="E482" s="30" t="n">
        <f aca="false">Panel!P476-Panel!P475</f>
        <v>0.00086432335806208</v>
      </c>
      <c r="F482" s="30" t="n">
        <f aca="false">Panel!P475-Panel!P474</f>
        <v>0.00146005457457932</v>
      </c>
      <c r="G482" s="30" t="n">
        <f aca="false">Panel!P474-Panel!P473</f>
        <v>0.000500630080145115</v>
      </c>
    </row>
    <row r="483" customFormat="false" ht="15" hidden="false" customHeight="false" outlineLevel="0" collapsed="false">
      <c r="C483" s="0" t="n">
        <f aca="false">Panel!P478-Panel!P477</f>
        <v>-0.00188989468329304</v>
      </c>
      <c r="D483" s="29" t="n">
        <f aca="false">Panel!P477</f>
        <v>0.000873555055257214</v>
      </c>
      <c r="E483" s="30" t="n">
        <f aca="false">Panel!P477-Panel!P476</f>
        <v>0.000739786372950135</v>
      </c>
      <c r="F483" s="30" t="n">
        <f aca="false">Panel!P476-Panel!P475</f>
        <v>0.00086432335806208</v>
      </c>
      <c r="G483" s="30" t="n">
        <f aca="false">Panel!P475-Panel!P474</f>
        <v>0.00146005457457932</v>
      </c>
    </row>
    <row r="484" customFormat="false" ht="15" hidden="false" customHeight="false" outlineLevel="0" collapsed="false">
      <c r="C484" s="0" t="n">
        <f aca="false">Panel!P479-Panel!P478</f>
        <v>-0.000255914236086952</v>
      </c>
      <c r="D484" s="29" t="n">
        <f aca="false">Panel!P478</f>
        <v>-0.00101633962803582</v>
      </c>
      <c r="E484" s="30" t="n">
        <f aca="false">Panel!P478-Panel!P477</f>
        <v>-0.00188989468329304</v>
      </c>
      <c r="F484" s="30" t="n">
        <f aca="false">Panel!P477-Panel!P476</f>
        <v>0.000739786372950135</v>
      </c>
      <c r="G484" s="30" t="n">
        <f aca="false">Panel!P476-Panel!P475</f>
        <v>0.00086432335806208</v>
      </c>
    </row>
    <row r="485" customFormat="false" ht="15" hidden="false" customHeight="false" outlineLevel="0" collapsed="false">
      <c r="C485" s="0" t="n">
        <f aca="false">Panel!P480-Panel!P479</f>
        <v>0.00499506212831591</v>
      </c>
      <c r="D485" s="29" t="n">
        <f aca="false">Panel!P479</f>
        <v>-0.00127225386412277</v>
      </c>
      <c r="E485" s="30" t="n">
        <f aca="false">Panel!P479-Panel!P478</f>
        <v>-0.000255914236086952</v>
      </c>
      <c r="F485" s="30" t="n">
        <f aca="false">Panel!P478-Panel!P477</f>
        <v>-0.00188989468329304</v>
      </c>
      <c r="G485" s="30" t="n">
        <f aca="false">Panel!P477-Panel!P476</f>
        <v>0.000739786372950135</v>
      </c>
    </row>
    <row r="486" customFormat="false" ht="15" hidden="false" customHeight="false" outlineLevel="0" collapsed="false">
      <c r="C486" s="0" t="n">
        <f aca="false">Panel!P481-Panel!P480</f>
        <v>-0.00181640738293964</v>
      </c>
      <c r="D486" s="29" t="n">
        <f aca="false">Panel!P480</f>
        <v>0.00372280826419313</v>
      </c>
      <c r="E486" s="30" t="n">
        <f aca="false">Panel!P480-Panel!P479</f>
        <v>0.00499506212831591</v>
      </c>
      <c r="F486" s="30" t="n">
        <f aca="false">Panel!P479-Panel!P478</f>
        <v>-0.000255914236086952</v>
      </c>
      <c r="G486" s="30" t="n">
        <f aca="false">Panel!P478-Panel!P477</f>
        <v>-0.00188989468329304</v>
      </c>
    </row>
    <row r="487" customFormat="false" ht="15" hidden="false" customHeight="false" outlineLevel="0" collapsed="false">
      <c r="C487" s="0" t="n">
        <f aca="false">Panel!P482-Panel!P481</f>
        <v>-0.00165024089203669</v>
      </c>
      <c r="D487" s="29" t="n">
        <f aca="false">Panel!P481</f>
        <v>0.00190640088125349</v>
      </c>
      <c r="E487" s="30" t="n">
        <f aca="false">Panel!P481-Panel!P480</f>
        <v>-0.00181640738293964</v>
      </c>
      <c r="F487" s="30" t="n">
        <f aca="false">Panel!P480-Panel!P479</f>
        <v>0.00499506212831591</v>
      </c>
      <c r="G487" s="30" t="n">
        <f aca="false">Panel!P479-Panel!P478</f>
        <v>-0.000255914236086952</v>
      </c>
    </row>
    <row r="488" customFormat="false" ht="15" hidden="false" customHeight="false" outlineLevel="0" collapsed="false">
      <c r="C488" s="0" t="n">
        <f aca="false">Panel!P483-Panel!P482</f>
        <v>-0.00253856596155622</v>
      </c>
      <c r="D488" s="29" t="n">
        <f aca="false">Panel!P482</f>
        <v>0.000256159989216798</v>
      </c>
      <c r="E488" s="30" t="n">
        <f aca="false">Panel!P482-Panel!P481</f>
        <v>-0.00165024089203669</v>
      </c>
      <c r="F488" s="30" t="n">
        <f aca="false">Panel!P481-Panel!P480</f>
        <v>-0.00181640738293964</v>
      </c>
      <c r="G488" s="30" t="n">
        <f aca="false">Panel!P480-Panel!P479</f>
        <v>0.00499506212831591</v>
      </c>
    </row>
    <row r="489" customFormat="false" ht="15" hidden="false" customHeight="false" outlineLevel="0" collapsed="false">
      <c r="C489" s="0" t="n">
        <f aca="false">Panel!P484-Panel!P483</f>
        <v>-0.00473859480769612</v>
      </c>
      <c r="D489" s="29" t="n">
        <f aca="false">Panel!P483</f>
        <v>-0.00228240597233942</v>
      </c>
      <c r="E489" s="30" t="n">
        <f aca="false">Panel!P483-Panel!P482</f>
        <v>-0.00253856596155622</v>
      </c>
      <c r="F489" s="30" t="n">
        <f aca="false">Panel!P482-Panel!P481</f>
        <v>-0.00165024089203669</v>
      </c>
      <c r="G489" s="30" t="n">
        <f aca="false">Panel!P481-Panel!P480</f>
        <v>-0.00181640738293964</v>
      </c>
    </row>
    <row r="490" customFormat="false" ht="15" hidden="false" customHeight="false" outlineLevel="0" collapsed="false">
      <c r="C490" s="0" t="n">
        <f aca="false">Panel!P485-Panel!P484</f>
        <v>0.000814433662934988</v>
      </c>
      <c r="D490" s="29" t="n">
        <f aca="false">Panel!P484</f>
        <v>-0.00702100078003554</v>
      </c>
      <c r="E490" s="30" t="n">
        <f aca="false">Panel!P484-Panel!P483</f>
        <v>-0.00473859480769612</v>
      </c>
      <c r="F490" s="30" t="n">
        <f aca="false">Panel!P483-Panel!P482</f>
        <v>-0.00253856596155622</v>
      </c>
      <c r="G490" s="30" t="n">
        <f aca="false">Panel!P482-Panel!P481</f>
        <v>-0.00165024089203669</v>
      </c>
    </row>
    <row r="491" customFormat="false" ht="15" hidden="false" customHeight="false" outlineLevel="0" collapsed="false">
      <c r="C491" s="0" t="n">
        <f aca="false">Panel!P486-Panel!P485</f>
        <v>0.00334881361604289</v>
      </c>
      <c r="D491" s="29" t="n">
        <f aca="false">Panel!P485</f>
        <v>-0.00620656711710055</v>
      </c>
      <c r="E491" s="30" t="n">
        <f aca="false">Panel!P485-Panel!P484</f>
        <v>0.000814433662934988</v>
      </c>
      <c r="F491" s="30" t="n">
        <f aca="false">Panel!P484-Panel!P483</f>
        <v>-0.00473859480769612</v>
      </c>
      <c r="G491" s="30" t="n">
        <f aca="false">Panel!P483-Panel!P482</f>
        <v>-0.00253856596155622</v>
      </c>
    </row>
    <row r="492" customFormat="false" ht="15" hidden="false" customHeight="false" outlineLevel="0" collapsed="false">
      <c r="C492" s="0" t="n">
        <f aca="false">Panel!P487-Panel!P486</f>
        <v>-0.00128135747463709</v>
      </c>
      <c r="D492" s="29" t="n">
        <f aca="false">Panel!P486</f>
        <v>-0.00285775350105766</v>
      </c>
      <c r="E492" s="30" t="n">
        <f aca="false">Panel!P486-Panel!P485</f>
        <v>0.00334881361604289</v>
      </c>
      <c r="F492" s="30" t="n">
        <f aca="false">Panel!P485-Panel!P484</f>
        <v>0.000814433662934988</v>
      </c>
      <c r="G492" s="30" t="n">
        <f aca="false">Panel!P484-Panel!P483</f>
        <v>-0.00473859480769612</v>
      </c>
    </row>
    <row r="493" customFormat="false" ht="15" hidden="false" customHeight="false" outlineLevel="0" collapsed="false">
      <c r="C493" s="0" t="n">
        <f aca="false">Panel!P488-Panel!P487</f>
        <v>0.00226620168494485</v>
      </c>
      <c r="D493" s="29" t="n">
        <f aca="false">Panel!P487</f>
        <v>-0.00413911097569475</v>
      </c>
      <c r="E493" s="30" t="n">
        <f aca="false">Panel!P487-Panel!P486</f>
        <v>-0.00128135747463709</v>
      </c>
      <c r="F493" s="30" t="n">
        <f aca="false">Panel!P486-Panel!P485</f>
        <v>0.00334881361604289</v>
      </c>
      <c r="G493" s="30" t="n">
        <f aca="false">Panel!P485-Panel!P484</f>
        <v>0.000814433662934988</v>
      </c>
    </row>
    <row r="494" customFormat="false" ht="15" hidden="false" customHeight="false" outlineLevel="0" collapsed="false">
      <c r="C494" s="0" t="n">
        <f aca="false">Panel!P489-Panel!P488</f>
        <v>-1.19298605252283E-005</v>
      </c>
      <c r="D494" s="29" t="n">
        <f aca="false">Panel!P488</f>
        <v>-0.0018729092907499</v>
      </c>
      <c r="E494" s="30" t="n">
        <f aca="false">Panel!P488-Panel!P487</f>
        <v>0.00226620168494485</v>
      </c>
      <c r="F494" s="30" t="n">
        <f aca="false">Panel!P487-Panel!P486</f>
        <v>-0.00128135747463709</v>
      </c>
      <c r="G494" s="30" t="n">
        <f aca="false">Panel!P486-Panel!P485</f>
        <v>0.00334881361604289</v>
      </c>
    </row>
    <row r="495" customFormat="false" ht="15" hidden="false" customHeight="false" outlineLevel="0" collapsed="false">
      <c r="C495" s="0" t="n">
        <f aca="false">Panel!P490-Panel!P489</f>
        <v>0.00227664998181254</v>
      </c>
      <c r="D495" s="29" t="n">
        <f aca="false">Panel!P489</f>
        <v>-0.00188483915127513</v>
      </c>
      <c r="E495" s="30" t="n">
        <f aca="false">Panel!P489-Panel!P488</f>
        <v>-1.19298605252283E-005</v>
      </c>
      <c r="F495" s="30" t="n">
        <f aca="false">Panel!P488-Panel!P487</f>
        <v>0.00226620168494485</v>
      </c>
      <c r="G495" s="30" t="n">
        <f aca="false">Panel!P487-Panel!P486</f>
        <v>-0.00128135747463709</v>
      </c>
    </row>
    <row r="496" customFormat="false" ht="15" hidden="false" customHeight="false" outlineLevel="0" collapsed="false">
      <c r="C496" s="0" t="n">
        <f aca="false">Panel!P491-Panel!P490</f>
        <v>0.000730464009238929</v>
      </c>
      <c r="D496" s="29" t="n">
        <f aca="false">Panel!P490</f>
        <v>0.000391810830537409</v>
      </c>
      <c r="E496" s="30" t="n">
        <f aca="false">Panel!P490-Panel!P489</f>
        <v>0.00227664998181254</v>
      </c>
      <c r="F496" s="30" t="n">
        <f aca="false">Panel!P489-Panel!P488</f>
        <v>-1.19298605252283E-005</v>
      </c>
      <c r="G496" s="30" t="n">
        <f aca="false">Panel!P488-Panel!P487</f>
        <v>0.00226620168494485</v>
      </c>
    </row>
    <row r="497" customFormat="false" ht="15" hidden="false" customHeight="false" outlineLevel="0" collapsed="false">
      <c r="C497" s="0" t="n">
        <f aca="false">Panel!P492-Panel!P491</f>
        <v>0.000800167826971787</v>
      </c>
      <c r="D497" s="29" t="n">
        <f aca="false">Panel!P491</f>
        <v>0.00112227483977634</v>
      </c>
      <c r="E497" s="30" t="n">
        <f aca="false">Panel!P491-Panel!P490</f>
        <v>0.000730464009238929</v>
      </c>
      <c r="F497" s="30" t="n">
        <f aca="false">Panel!P490-Panel!P489</f>
        <v>0.00227664998181254</v>
      </c>
      <c r="G497" s="30" t="n">
        <f aca="false">Panel!P489-Panel!P488</f>
        <v>-1.19298605252283E-005</v>
      </c>
    </row>
    <row r="498" customFormat="false" ht="15" hidden="false" customHeight="false" outlineLevel="0" collapsed="false">
      <c r="C498" s="0" t="n">
        <f aca="false">Panel!P493-Panel!P492</f>
        <v>0.000223562885510731</v>
      </c>
      <c r="D498" s="29" t="n">
        <f aca="false">Panel!P492</f>
        <v>0.00192244266674813</v>
      </c>
      <c r="E498" s="30" t="n">
        <f aca="false">Panel!P492-Panel!P491</f>
        <v>0.000800167826971787</v>
      </c>
      <c r="F498" s="30" t="n">
        <f aca="false">Panel!P491-Panel!P490</f>
        <v>0.000730464009238929</v>
      </c>
      <c r="G498" s="30" t="n">
        <f aca="false">Panel!P490-Panel!P489</f>
        <v>0.00227664998181254</v>
      </c>
    </row>
    <row r="499" customFormat="false" ht="15" hidden="false" customHeight="false" outlineLevel="0" collapsed="false">
      <c r="C499" s="0" t="n">
        <f aca="false">Panel!P494-Panel!P493</f>
        <v>0.000643522833270183</v>
      </c>
      <c r="D499" s="29" t="n">
        <f aca="false">Panel!P493</f>
        <v>0.00214600555225886</v>
      </c>
      <c r="E499" s="30" t="n">
        <f aca="false">Panel!P493-Panel!P492</f>
        <v>0.000223562885510731</v>
      </c>
      <c r="F499" s="30" t="n">
        <f aca="false">Panel!P492-Panel!P491</f>
        <v>0.000800167826971787</v>
      </c>
      <c r="G499" s="30" t="n">
        <f aca="false">Panel!P491-Panel!P490</f>
        <v>0.000730464009238929</v>
      </c>
    </row>
    <row r="500" customFormat="false" ht="15" hidden="false" customHeight="false" outlineLevel="0" collapsed="false">
      <c r="C500" s="0" t="n">
        <f aca="false">Panel!P495-Panel!P494</f>
        <v>-0.000602108611486685</v>
      </c>
      <c r="D500" s="29" t="n">
        <f aca="false">Panel!P494</f>
        <v>0.00278952838552904</v>
      </c>
      <c r="E500" s="30" t="n">
        <f aca="false">Panel!P494-Panel!P493</f>
        <v>0.000643522833270183</v>
      </c>
      <c r="F500" s="30" t="n">
        <f aca="false">Panel!P493-Panel!P492</f>
        <v>0.000223562885510731</v>
      </c>
      <c r="G500" s="30" t="n">
        <f aca="false">Panel!P492-Panel!P491</f>
        <v>0.000800167826971787</v>
      </c>
    </row>
    <row r="501" customFormat="false" ht="15" hidden="false" customHeight="false" outlineLevel="0" collapsed="false">
      <c r="C501" s="0" t="n">
        <f aca="false">Panel!P496-Panel!P495</f>
        <v>0.00371389958278989</v>
      </c>
      <c r="D501" s="29" t="n">
        <f aca="false">Panel!P495</f>
        <v>0.00218741977404235</v>
      </c>
      <c r="E501" s="30" t="n">
        <f aca="false">Panel!P495-Panel!P494</f>
        <v>-0.000602108611486685</v>
      </c>
      <c r="F501" s="30" t="n">
        <f aca="false">Panel!P494-Panel!P493</f>
        <v>0.000643522833270183</v>
      </c>
      <c r="G501" s="30" t="n">
        <f aca="false">Panel!P493-Panel!P492</f>
        <v>0.000223562885510731</v>
      </c>
    </row>
    <row r="502" customFormat="false" ht="15" hidden="false" customHeight="false" outlineLevel="0" collapsed="false">
      <c r="C502" s="0" t="n">
        <f aca="false">Panel!P497-Panel!P496</f>
        <v>0.00139009914873789</v>
      </c>
      <c r="D502" s="29" t="n">
        <f aca="false">Panel!P496</f>
        <v>0.00590131935683225</v>
      </c>
      <c r="E502" s="30" t="n">
        <f aca="false">Panel!P496-Panel!P495</f>
        <v>0.00371389958278989</v>
      </c>
      <c r="F502" s="30" t="n">
        <f aca="false">Panel!P495-Panel!P494</f>
        <v>-0.000602108611486685</v>
      </c>
      <c r="G502" s="30" t="n">
        <f aca="false">Panel!P494-Panel!P493</f>
        <v>0.000643522833270183</v>
      </c>
    </row>
    <row r="503" customFormat="false" ht="15" hidden="false" customHeight="false" outlineLevel="0" collapsed="false">
      <c r="C503" s="0" t="n">
        <f aca="false">Panel!P498-Panel!P497</f>
        <v>-0.000694432586643146</v>
      </c>
      <c r="D503" s="29" t="n">
        <f aca="false">Panel!P497</f>
        <v>0.00729141850557014</v>
      </c>
      <c r="E503" s="30" t="n">
        <f aca="false">Panel!P497-Panel!P496</f>
        <v>0.00139009914873789</v>
      </c>
      <c r="F503" s="30" t="n">
        <f aca="false">Panel!P496-Panel!P495</f>
        <v>0.00371389958278989</v>
      </c>
      <c r="G503" s="30" t="n">
        <f aca="false">Panel!P495-Panel!P494</f>
        <v>-0.000602108611486685</v>
      </c>
    </row>
    <row r="504" customFormat="false" ht="15" hidden="false" customHeight="false" outlineLevel="0" collapsed="false">
      <c r="C504" s="0" t="n">
        <f aca="false">Panel!P499-Panel!P498</f>
        <v>-0.000428606923684072</v>
      </c>
      <c r="D504" s="29" t="n">
        <f aca="false">Panel!P498</f>
        <v>0.00659698591892699</v>
      </c>
      <c r="E504" s="30" t="n">
        <f aca="false">Panel!P498-Panel!P497</f>
        <v>-0.000694432586643146</v>
      </c>
      <c r="F504" s="30" t="n">
        <f aca="false">Panel!P497-Panel!P496</f>
        <v>0.00139009914873789</v>
      </c>
      <c r="G504" s="30" t="n">
        <f aca="false">Panel!P496-Panel!P495</f>
        <v>0.00371389958278989</v>
      </c>
    </row>
    <row r="505" customFormat="false" ht="15" hidden="false" customHeight="false" outlineLevel="0" collapsed="false">
      <c r="C505" s="0" t="n">
        <f aca="false">Panel!P500-Panel!P499</f>
        <v>-0.00123806404340598</v>
      </c>
      <c r="D505" s="29" t="n">
        <f aca="false">Panel!P499</f>
        <v>0.00616837899524292</v>
      </c>
      <c r="E505" s="30" t="n">
        <f aca="false">Panel!P499-Panel!P498</f>
        <v>-0.000428606923684072</v>
      </c>
      <c r="F505" s="30" t="n">
        <f aca="false">Panel!P498-Panel!P497</f>
        <v>-0.000694432586643146</v>
      </c>
      <c r="G505" s="30" t="n">
        <f aca="false">Panel!P497-Panel!P496</f>
        <v>0.00139009914873789</v>
      </c>
    </row>
    <row r="506" customFormat="false" ht="15" hidden="false" customHeight="false" outlineLevel="0" collapsed="false">
      <c r="C506" s="0" t="n">
        <f aca="false">Panel!P501-Panel!P500</f>
        <v>-0.000525466711708944</v>
      </c>
      <c r="D506" s="29" t="n">
        <f aca="false">Panel!P500</f>
        <v>0.00493031495183693</v>
      </c>
      <c r="E506" s="30" t="n">
        <f aca="false">Panel!P500-Panel!P499</f>
        <v>-0.00123806404340598</v>
      </c>
      <c r="F506" s="30" t="n">
        <f aca="false">Panel!P499-Panel!P498</f>
        <v>-0.000428606923684072</v>
      </c>
      <c r="G506" s="30" t="n">
        <f aca="false">Panel!P498-Panel!P497</f>
        <v>-0.000694432586643146</v>
      </c>
    </row>
    <row r="507" customFormat="false" ht="15" hidden="false" customHeight="false" outlineLevel="0" collapsed="false">
      <c r="C507" s="0" t="n">
        <f aca="false">Panel!P502-Panel!P501</f>
        <v>0.000318797981362806</v>
      </c>
      <c r="D507" s="29" t="n">
        <f aca="false">Panel!P501</f>
        <v>0.00440484824012799</v>
      </c>
      <c r="E507" s="30" t="n">
        <f aca="false">Panel!P501-Panel!P500</f>
        <v>-0.000525466711708944</v>
      </c>
      <c r="F507" s="30" t="n">
        <f aca="false">Panel!P500-Panel!P499</f>
        <v>-0.00123806404340598</v>
      </c>
      <c r="G507" s="30" t="n">
        <f aca="false">Panel!P499-Panel!P498</f>
        <v>-0.000428606923684072</v>
      </c>
    </row>
    <row r="508" customFormat="false" ht="15" hidden="false" customHeight="false" outlineLevel="0" collapsed="false">
      <c r="C508" s="0" t="n">
        <f aca="false">Panel!P503-Panel!P502</f>
        <v>-0.000228590408658746</v>
      </c>
      <c r="D508" s="29" t="n">
        <f aca="false">Panel!P502</f>
        <v>0.0047236462214908</v>
      </c>
      <c r="E508" s="30" t="n">
        <f aca="false">Panel!P502-Panel!P501</f>
        <v>0.000318797981362806</v>
      </c>
      <c r="F508" s="30" t="n">
        <f aca="false">Panel!P501-Panel!P500</f>
        <v>-0.000525466711708944</v>
      </c>
      <c r="G508" s="30" t="n">
        <f aca="false">Panel!P500-Panel!P499</f>
        <v>-0.00123806404340598</v>
      </c>
    </row>
    <row r="509" customFormat="false" ht="15" hidden="false" customHeight="false" outlineLevel="0" collapsed="false">
      <c r="C509" s="0" t="n">
        <f aca="false">Panel!P504-Panel!P503</f>
        <v>-0.00164827462922545</v>
      </c>
      <c r="D509" s="29" t="n">
        <f aca="false">Panel!P503</f>
        <v>0.00449505581283205</v>
      </c>
      <c r="E509" s="30" t="n">
        <f aca="false">Panel!P503-Panel!P502</f>
        <v>-0.000228590408658746</v>
      </c>
      <c r="F509" s="30" t="n">
        <f aca="false">Panel!P502-Panel!P501</f>
        <v>0.000318797981362806</v>
      </c>
      <c r="G509" s="30" t="n">
        <f aca="false">Panel!P501-Panel!P500</f>
        <v>-0.000525466711708944</v>
      </c>
    </row>
    <row r="510" customFormat="false" ht="15" hidden="false" customHeight="false" outlineLevel="0" collapsed="false">
      <c r="C510" s="0" t="n">
        <f aca="false">Panel!P505-Panel!P504</f>
        <v>0.000272242769035813</v>
      </c>
      <c r="D510" s="29" t="n">
        <f aca="false">Panel!P504</f>
        <v>0.0028467811836066</v>
      </c>
      <c r="E510" s="30" t="n">
        <f aca="false">Panel!P504-Panel!P503</f>
        <v>-0.00164827462922545</v>
      </c>
      <c r="F510" s="30" t="n">
        <f aca="false">Panel!P503-Panel!P502</f>
        <v>-0.000228590408658746</v>
      </c>
      <c r="G510" s="30" t="n">
        <f aca="false">Panel!P502-Panel!P501</f>
        <v>0.000318797981362806</v>
      </c>
    </row>
    <row r="511" customFormat="false" ht="15" hidden="false" customHeight="false" outlineLevel="0" collapsed="false">
      <c r="C511" s="0" t="n">
        <f aca="false">Panel!P506-Panel!P505</f>
        <v>0.0045777012734689</v>
      </c>
      <c r="D511" s="29" t="n">
        <f aca="false">Panel!P505</f>
        <v>0.00311902395264241</v>
      </c>
      <c r="E511" s="30" t="n">
        <f aca="false">Panel!P505-Panel!P504</f>
        <v>0.000272242769035813</v>
      </c>
      <c r="F511" s="30" t="n">
        <f aca="false">Panel!P504-Panel!P503</f>
        <v>-0.00164827462922545</v>
      </c>
      <c r="G511" s="30" t="n">
        <f aca="false">Panel!P503-Panel!P502</f>
        <v>-0.000228590408658746</v>
      </c>
    </row>
    <row r="512" customFormat="false" ht="15" hidden="false" customHeight="false" outlineLevel="0" collapsed="false">
      <c r="C512" s="0" t="n">
        <f aca="false">Panel!P507-Panel!P506</f>
        <v>-0.00547914228897994</v>
      </c>
      <c r="D512" s="29" t="n">
        <f aca="false">Panel!P506</f>
        <v>0.00769672522611131</v>
      </c>
      <c r="E512" s="30" t="n">
        <f aca="false">Panel!P506-Panel!P505</f>
        <v>0.0045777012734689</v>
      </c>
      <c r="F512" s="30" t="n">
        <f aca="false">Panel!P505-Panel!P504</f>
        <v>0.000272242769035813</v>
      </c>
      <c r="G512" s="30" t="n">
        <f aca="false">Panel!P504-Panel!P503</f>
        <v>-0.00164827462922545</v>
      </c>
    </row>
    <row r="513" customFormat="false" ht="15" hidden="false" customHeight="false" outlineLevel="0" collapsed="false">
      <c r="C513" s="0" t="n">
        <f aca="false">Panel!P508-Panel!P507</f>
        <v>0.000204769406565219</v>
      </c>
      <c r="D513" s="29" t="n">
        <f aca="false">Panel!P507</f>
        <v>0.00221758293713137</v>
      </c>
      <c r="E513" s="30" t="n">
        <f aca="false">Panel!P507-Panel!P506</f>
        <v>-0.00547914228897994</v>
      </c>
      <c r="F513" s="30" t="n">
        <f aca="false">Panel!P506-Panel!P505</f>
        <v>0.0045777012734689</v>
      </c>
      <c r="G513" s="30" t="n">
        <f aca="false">Panel!P505-Panel!P504</f>
        <v>0.000272242769035813</v>
      </c>
    </row>
    <row r="514" customFormat="false" ht="15" hidden="false" customHeight="false" outlineLevel="0" collapsed="false">
      <c r="C514" s="0" t="n">
        <f aca="false">Panel!P509-Panel!P508</f>
        <v>0.00346442885238396</v>
      </c>
      <c r="D514" s="29" t="n">
        <f aca="false">Panel!P508</f>
        <v>0.00242235234369659</v>
      </c>
      <c r="E514" s="30" t="n">
        <f aca="false">Panel!P508-Panel!P507</f>
        <v>0.000204769406565219</v>
      </c>
      <c r="F514" s="30" t="n">
        <f aca="false">Panel!P507-Panel!P506</f>
        <v>-0.00547914228897994</v>
      </c>
      <c r="G514" s="30" t="n">
        <f aca="false">Panel!P506-Panel!P505</f>
        <v>0.0045777012734689</v>
      </c>
    </row>
    <row r="515" customFormat="false" ht="15" hidden="false" customHeight="false" outlineLevel="0" collapsed="false">
      <c r="C515" s="0" t="n">
        <f aca="false">Panel!P510-Panel!P509</f>
        <v>-0.000389535701732058</v>
      </c>
      <c r="D515" s="29" t="n">
        <f aca="false">Panel!P509</f>
        <v>0.00588678119608055</v>
      </c>
      <c r="E515" s="30" t="n">
        <f aca="false">Panel!P509-Panel!P508</f>
        <v>0.00346442885238396</v>
      </c>
      <c r="F515" s="30" t="n">
        <f aca="false">Panel!P508-Panel!P507</f>
        <v>0.000204769406565219</v>
      </c>
      <c r="G515" s="30" t="n">
        <f aca="false">Panel!P507-Panel!P506</f>
        <v>-0.00547914228897994</v>
      </c>
    </row>
    <row r="516" customFormat="false" ht="15" hidden="false" customHeight="false" outlineLevel="0" collapsed="false">
      <c r="C516" s="0" t="n">
        <f aca="false">Panel!P511-Panel!P510</f>
        <v>-0.00309010697802847</v>
      </c>
      <c r="D516" s="29" t="n">
        <f aca="false">Panel!P510</f>
        <v>0.00549724549434849</v>
      </c>
      <c r="E516" s="30" t="n">
        <f aca="false">Panel!P510-Panel!P509</f>
        <v>-0.000389535701732058</v>
      </c>
      <c r="F516" s="30" t="n">
        <f aca="false">Panel!P509-Panel!P508</f>
        <v>0.00346442885238396</v>
      </c>
      <c r="G516" s="30" t="n">
        <f aca="false">Panel!P508-Panel!P507</f>
        <v>0.000204769406565219</v>
      </c>
    </row>
    <row r="517" customFormat="false" ht="15" hidden="false" customHeight="false" outlineLevel="0" collapsed="false">
      <c r="C517" s="0" t="n">
        <f aca="false">Panel!P512-Panel!P511</f>
        <v>0.000671485738177324</v>
      </c>
      <c r="D517" s="29" t="n">
        <f aca="false">Panel!P511</f>
        <v>0.00240713851632002</v>
      </c>
      <c r="E517" s="30" t="n">
        <f aca="false">Panel!P511-Panel!P510</f>
        <v>-0.00309010697802847</v>
      </c>
      <c r="F517" s="30" t="n">
        <f aca="false">Panel!P510-Panel!P509</f>
        <v>-0.000389535701732058</v>
      </c>
      <c r="G517" s="30" t="n">
        <f aca="false">Panel!P509-Panel!P508</f>
        <v>0.00346442885238396</v>
      </c>
    </row>
    <row r="518" customFormat="false" ht="15" hidden="false" customHeight="false" outlineLevel="0" collapsed="false">
      <c r="C518" s="0" t="n">
        <f aca="false">Panel!P513-Panel!P512</f>
        <v>0.000493684281140716</v>
      </c>
      <c r="D518" s="29" t="n">
        <f aca="false">Panel!P512</f>
        <v>0.00307862425449734</v>
      </c>
      <c r="E518" s="30" t="n">
        <f aca="false">Panel!P512-Panel!P511</f>
        <v>0.000671485738177324</v>
      </c>
      <c r="F518" s="30" t="n">
        <f aca="false">Panel!P511-Panel!P510</f>
        <v>-0.00309010697802847</v>
      </c>
      <c r="G518" s="30" t="n">
        <f aca="false">Panel!P510-Panel!P509</f>
        <v>-0.000389535701732058</v>
      </c>
    </row>
    <row r="519" customFormat="false" ht="15" hidden="false" customHeight="false" outlineLevel="0" collapsed="false">
      <c r="C519" s="0" t="n">
        <f aca="false">Panel!P514-Panel!P513</f>
        <v>-0.00197740775515243</v>
      </c>
      <c r="D519" s="29" t="n">
        <f aca="false">Panel!P513</f>
        <v>0.00357230853563806</v>
      </c>
      <c r="E519" s="30" t="n">
        <f aca="false">Panel!P513-Panel!P512</f>
        <v>0.000493684281140716</v>
      </c>
      <c r="F519" s="30" t="n">
        <f aca="false">Panel!P512-Panel!P511</f>
        <v>0.000671485738177324</v>
      </c>
      <c r="G519" s="30" t="n">
        <f aca="false">Panel!P511-Panel!P510</f>
        <v>-0.00309010697802847</v>
      </c>
    </row>
    <row r="520" customFormat="false" ht="15" hidden="false" customHeight="false" outlineLevel="0" collapsed="false">
      <c r="C520" s="0" t="n">
        <f aca="false">Panel!P515-Panel!P514</f>
        <v>0.00201115999657553</v>
      </c>
      <c r="D520" s="29" t="n">
        <f aca="false">Panel!P514</f>
        <v>0.00159490078048563</v>
      </c>
      <c r="E520" s="30" t="n">
        <f aca="false">Panel!P514-Panel!P513</f>
        <v>-0.00197740775515243</v>
      </c>
      <c r="F520" s="30" t="n">
        <f aca="false">Panel!P513-Panel!P512</f>
        <v>0.000493684281140716</v>
      </c>
      <c r="G520" s="30" t="n">
        <f aca="false">Panel!P512-Panel!P511</f>
        <v>0.000671485738177324</v>
      </c>
    </row>
    <row r="521" customFormat="false" ht="15" hidden="false" customHeight="false" outlineLevel="0" collapsed="false">
      <c r="C521" s="0" t="n">
        <f aca="false">Panel!P516-Panel!P515</f>
        <v>0.00140453504910454</v>
      </c>
      <c r="D521" s="29" t="n">
        <f aca="false">Panel!P515</f>
        <v>0.00360606077706116</v>
      </c>
      <c r="E521" s="30" t="n">
        <f aca="false">Panel!P515-Panel!P514</f>
        <v>0.00201115999657553</v>
      </c>
      <c r="F521" s="30" t="n">
        <f aca="false">Panel!P514-Panel!P513</f>
        <v>-0.00197740775515243</v>
      </c>
      <c r="G521" s="30" t="n">
        <f aca="false">Panel!P513-Panel!P512</f>
        <v>0.000493684281140716</v>
      </c>
    </row>
    <row r="522" customFormat="false" ht="15" hidden="false" customHeight="false" outlineLevel="0" collapsed="false">
      <c r="C522" s="0" t="n">
        <f aca="false">Panel!P517-Panel!P516</f>
        <v>-0.00241769821482407</v>
      </c>
      <c r="D522" s="29" t="n">
        <f aca="false">Panel!P516</f>
        <v>0.0050105958261657</v>
      </c>
      <c r="E522" s="30" t="n">
        <f aca="false">Panel!P516-Panel!P515</f>
        <v>0.00140453504910454</v>
      </c>
      <c r="F522" s="30" t="n">
        <f aca="false">Panel!P515-Panel!P514</f>
        <v>0.00201115999657553</v>
      </c>
      <c r="G522" s="30" t="n">
        <f aca="false">Panel!P514-Panel!P513</f>
        <v>-0.00197740775515243</v>
      </c>
    </row>
    <row r="523" customFormat="false" ht="15" hidden="false" customHeight="false" outlineLevel="0" collapsed="false">
      <c r="C523" s="0" t="n">
        <f aca="false">Panel!P518-Panel!P517</f>
        <v>-0.00275824481625442</v>
      </c>
      <c r="D523" s="29" t="n">
        <f aca="false">Panel!P517</f>
        <v>0.00259289761134163</v>
      </c>
      <c r="E523" s="30" t="n">
        <f aca="false">Panel!P517-Panel!P516</f>
        <v>-0.00241769821482407</v>
      </c>
      <c r="F523" s="30" t="n">
        <f aca="false">Panel!P516-Panel!P515</f>
        <v>0.00140453504910454</v>
      </c>
      <c r="G523" s="30" t="n">
        <f aca="false">Panel!P515-Panel!P514</f>
        <v>0.00201115999657553</v>
      </c>
    </row>
    <row r="524" customFormat="false" ht="15" hidden="false" customHeight="false" outlineLevel="0" collapsed="false">
      <c r="C524" s="0" t="n">
        <f aca="false">Panel!P519-Panel!P518</f>
        <v>-0.000678165628439587</v>
      </c>
      <c r="D524" s="29" t="n">
        <f aca="false">Panel!P518</f>
        <v>-0.000165347204912791</v>
      </c>
      <c r="E524" s="30" t="n">
        <f aca="false">Panel!P518-Panel!P517</f>
        <v>-0.00275824481625442</v>
      </c>
      <c r="F524" s="30" t="n">
        <f aca="false">Panel!P517-Panel!P516</f>
        <v>-0.00241769821482407</v>
      </c>
      <c r="G524" s="30" t="n">
        <f aca="false">Panel!P516-Panel!P515</f>
        <v>0.00140453504910454</v>
      </c>
    </row>
    <row r="525" customFormat="false" ht="15" hidden="false" customHeight="false" outlineLevel="0" collapsed="false">
      <c r="C525" s="0" t="n">
        <f aca="false">Panel!P520-Panel!P519</f>
        <v>0.00432393518556573</v>
      </c>
      <c r="D525" s="29" t="n">
        <f aca="false">Panel!P519</f>
        <v>-0.000843512833352378</v>
      </c>
      <c r="E525" s="30" t="n">
        <f aca="false">Panel!P519-Panel!P518</f>
        <v>-0.000678165628439587</v>
      </c>
      <c r="F525" s="30" t="n">
        <f aca="false">Panel!P518-Panel!P517</f>
        <v>-0.00275824481625442</v>
      </c>
      <c r="G525" s="30" t="n">
        <f aca="false">Panel!P517-Panel!P516</f>
        <v>-0.00241769821482407</v>
      </c>
    </row>
    <row r="526" customFormat="false" ht="15" hidden="false" customHeight="false" outlineLevel="0" collapsed="false">
      <c r="C526" s="0" t="n">
        <f aca="false">Panel!P521-Panel!P520</f>
        <v>-0.000732695944408945</v>
      </c>
      <c r="D526" s="29" t="n">
        <f aca="false">Panel!P520</f>
        <v>0.00348042235221335</v>
      </c>
      <c r="E526" s="30" t="n">
        <f aca="false">Panel!P520-Panel!P519</f>
        <v>0.00432393518556573</v>
      </c>
      <c r="F526" s="30" t="n">
        <f aca="false">Panel!P519-Panel!P518</f>
        <v>-0.000678165628439587</v>
      </c>
      <c r="G526" s="30" t="n">
        <f aca="false">Panel!P518-Panel!P517</f>
        <v>-0.00275824481625442</v>
      </c>
    </row>
    <row r="527" customFormat="false" ht="15" hidden="false" customHeight="false" outlineLevel="0" collapsed="false">
      <c r="C527" s="0" t="n">
        <f aca="false">Panel!P522-Panel!P521</f>
        <v>-0.00033488391659553</v>
      </c>
      <c r="D527" s="29" t="n">
        <f aca="false">Panel!P521</f>
        <v>0.00274772640780441</v>
      </c>
      <c r="E527" s="30" t="n">
        <f aca="false">Panel!P521-Panel!P520</f>
        <v>-0.000732695944408945</v>
      </c>
      <c r="F527" s="30" t="n">
        <f aca="false">Panel!P520-Panel!P519</f>
        <v>0.00432393518556573</v>
      </c>
      <c r="G527" s="30" t="n">
        <f aca="false">Panel!P519-Panel!P518</f>
        <v>-0.000678165628439587</v>
      </c>
    </row>
    <row r="528" customFormat="false" ht="15" hidden="false" customHeight="false" outlineLevel="0" collapsed="false">
      <c r="C528" s="0" t="n">
        <f aca="false">Panel!P523-Panel!P522</f>
        <v>0.000808598201702537</v>
      </c>
      <c r="D528" s="29" t="n">
        <f aca="false">Panel!P522</f>
        <v>0.00241284249120888</v>
      </c>
      <c r="E528" s="30" t="n">
        <f aca="false">Panel!P522-Panel!P521</f>
        <v>-0.00033488391659553</v>
      </c>
      <c r="F528" s="30" t="n">
        <f aca="false">Panel!P521-Panel!P520</f>
        <v>-0.000732695944408945</v>
      </c>
      <c r="G528" s="30" t="n">
        <f aca="false">Panel!P520-Panel!P519</f>
        <v>0.00432393518556573</v>
      </c>
    </row>
    <row r="529" customFormat="false" ht="15" hidden="false" customHeight="false" outlineLevel="0" collapsed="false">
      <c r="C529" s="0" t="n">
        <f aca="false">Panel!P524-Panel!P523</f>
        <v>0.000884714698477396</v>
      </c>
      <c r="D529" s="29" t="n">
        <f aca="false">Panel!P523</f>
        <v>0.00322144069291141</v>
      </c>
      <c r="E529" s="30" t="n">
        <f aca="false">Panel!P523-Panel!P522</f>
        <v>0.000808598201702537</v>
      </c>
      <c r="F529" s="30" t="n">
        <f aca="false">Panel!P522-Panel!P521</f>
        <v>-0.00033488391659553</v>
      </c>
      <c r="G529" s="30" t="n">
        <f aca="false">Panel!P521-Panel!P520</f>
        <v>-0.000732695944408945</v>
      </c>
    </row>
    <row r="530" customFormat="false" ht="15" hidden="false" customHeight="false" outlineLevel="0" collapsed="false">
      <c r="C530" s="0" t="n">
        <f aca="false">Panel!P525-Panel!P524</f>
        <v>0.000510281887939001</v>
      </c>
      <c r="D530" s="29" t="n">
        <f aca="false">Panel!P524</f>
        <v>0.00410615539138881</v>
      </c>
      <c r="E530" s="30" t="n">
        <f aca="false">Panel!P524-Panel!P523</f>
        <v>0.000884714698477396</v>
      </c>
      <c r="F530" s="30" t="n">
        <f aca="false">Panel!P523-Panel!P522</f>
        <v>0.000808598201702537</v>
      </c>
      <c r="G530" s="30" t="n">
        <f aca="false">Panel!P522-Panel!P521</f>
        <v>-0.00033488391659553</v>
      </c>
    </row>
    <row r="531" customFormat="false" ht="15" hidden="false" customHeight="false" outlineLevel="0" collapsed="false">
      <c r="C531" s="0" t="n">
        <f aca="false">Panel!P526-Panel!P525</f>
        <v>0.000780825167826293</v>
      </c>
      <c r="D531" s="29" t="n">
        <f aca="false">Panel!P525</f>
        <v>0.00461643727932781</v>
      </c>
      <c r="E531" s="30" t="n">
        <f aca="false">Panel!P525-Panel!P524</f>
        <v>0.000510281887939001</v>
      </c>
      <c r="F531" s="30" t="n">
        <f aca="false">Panel!P524-Panel!P523</f>
        <v>0.000884714698477396</v>
      </c>
      <c r="G531" s="30" t="n">
        <f aca="false">Panel!P523-Panel!P522</f>
        <v>0.000808598201702537</v>
      </c>
    </row>
    <row r="532" customFormat="false" ht="15" hidden="false" customHeight="false" outlineLevel="0" collapsed="false">
      <c r="C532" s="0" t="n">
        <f aca="false">Panel!P527-Panel!P526</f>
        <v>-0.000997320033633287</v>
      </c>
      <c r="D532" s="29" t="n">
        <f aca="false">Panel!P526</f>
        <v>0.00539726244715411</v>
      </c>
      <c r="E532" s="30" t="n">
        <f aca="false">Panel!P526-Panel!P525</f>
        <v>0.000780825167826293</v>
      </c>
      <c r="F532" s="30" t="n">
        <f aca="false">Panel!P525-Panel!P524</f>
        <v>0.000510281887939001</v>
      </c>
      <c r="G532" s="30" t="n">
        <f aca="false">Panel!P524-Panel!P523</f>
        <v>0.000884714698477396</v>
      </c>
    </row>
    <row r="533" customFormat="false" ht="15" hidden="false" customHeight="false" outlineLevel="0" collapsed="false">
      <c r="C533" s="0" t="n">
        <f aca="false">Panel!P528-Panel!P527</f>
        <v>0.00045722318449215</v>
      </c>
      <c r="D533" s="29" t="n">
        <f aca="false">Panel!P527</f>
        <v>0.00439994241352082</v>
      </c>
      <c r="E533" s="30" t="n">
        <f aca="false">Panel!P527-Panel!P526</f>
        <v>-0.000997320033633287</v>
      </c>
      <c r="F533" s="30" t="n">
        <f aca="false">Panel!P526-Panel!P525</f>
        <v>0.000780825167826293</v>
      </c>
      <c r="G533" s="30" t="n">
        <f aca="false">Panel!P525-Panel!P524</f>
        <v>0.000510281887939001</v>
      </c>
    </row>
    <row r="534" customFormat="false" ht="15" hidden="false" customHeight="false" outlineLevel="0" collapsed="false">
      <c r="C534" s="0" t="n">
        <f aca="false">Panel!P529-Panel!P528</f>
        <v>-0.00234444518225807</v>
      </c>
      <c r="D534" s="29" t="n">
        <f aca="false">Panel!P528</f>
        <v>0.00485716559801297</v>
      </c>
      <c r="E534" s="30" t="n">
        <f aca="false">Panel!P528-Panel!P527</f>
        <v>0.00045722318449215</v>
      </c>
      <c r="F534" s="30" t="n">
        <f aca="false">Panel!P527-Panel!P526</f>
        <v>-0.000997320033633287</v>
      </c>
      <c r="G534" s="30" t="n">
        <f aca="false">Panel!P526-Panel!P525</f>
        <v>0.000780825167826293</v>
      </c>
    </row>
    <row r="535" customFormat="false" ht="15" hidden="false" customHeight="false" outlineLevel="0" collapsed="false">
      <c r="C535" s="0" t="n">
        <f aca="false">Panel!P530-Panel!P529</f>
        <v>-0.00169197838090263</v>
      </c>
      <c r="D535" s="29" t="n">
        <f aca="false">Panel!P529</f>
        <v>0.0025127204157549</v>
      </c>
      <c r="E535" s="30" t="n">
        <f aca="false">Panel!P529-Panel!P528</f>
        <v>-0.00234444518225807</v>
      </c>
      <c r="F535" s="30" t="n">
        <f aca="false">Panel!P528-Panel!P527</f>
        <v>0.00045722318449215</v>
      </c>
      <c r="G535" s="30" t="n">
        <f aca="false">Panel!P527-Panel!P526</f>
        <v>-0.000997320033633287</v>
      </c>
    </row>
    <row r="536" customFormat="false" ht="15" hidden="false" customHeight="false" outlineLevel="0" collapsed="false">
      <c r="C536" s="0" t="n">
        <f aca="false">Panel!P531-Panel!P530</f>
        <v>0.00336614212257658</v>
      </c>
      <c r="D536" s="29" t="n">
        <f aca="false">Panel!P530</f>
        <v>0.000820742034852273</v>
      </c>
      <c r="E536" s="30" t="n">
        <f aca="false">Panel!P530-Panel!P529</f>
        <v>-0.00169197838090263</v>
      </c>
      <c r="F536" s="30" t="n">
        <f aca="false">Panel!P529-Panel!P528</f>
        <v>-0.00234444518225807</v>
      </c>
      <c r="G536" s="30" t="n">
        <f aca="false">Panel!P528-Panel!P527</f>
        <v>0.00045722318449215</v>
      </c>
    </row>
    <row r="537" customFormat="false" ht="15" hidden="false" customHeight="false" outlineLevel="0" collapsed="false">
      <c r="C537" s="0" t="n">
        <f aca="false">Panel!P532-Panel!P531</f>
        <v>-0.00245681010318322</v>
      </c>
      <c r="D537" s="29" t="n">
        <f aca="false">Panel!P531</f>
        <v>0.00418688415742885</v>
      </c>
      <c r="E537" s="30" t="n">
        <f aca="false">Panel!P531-Panel!P530</f>
        <v>0.00336614212257658</v>
      </c>
      <c r="F537" s="30" t="n">
        <f aca="false">Panel!P530-Panel!P529</f>
        <v>-0.00169197838090263</v>
      </c>
      <c r="G537" s="30" t="n">
        <f aca="false">Panel!P529-Panel!P528</f>
        <v>-0.00234444518225807</v>
      </c>
    </row>
    <row r="538" customFormat="false" ht="15" hidden="false" customHeight="false" outlineLevel="0" collapsed="false">
      <c r="C538" s="0" t="n">
        <f aca="false">Panel!P533-Panel!P532</f>
        <v>-0.000860984257853303</v>
      </c>
      <c r="D538" s="29" t="n">
        <f aca="false">Panel!P532</f>
        <v>0.00173007405424563</v>
      </c>
      <c r="E538" s="30" t="n">
        <f aca="false">Panel!P532-Panel!P531</f>
        <v>-0.00245681010318322</v>
      </c>
      <c r="F538" s="30" t="n">
        <f aca="false">Panel!P531-Panel!P530</f>
        <v>0.00336614212257658</v>
      </c>
      <c r="G538" s="30" t="n">
        <f aca="false">Panel!P530-Panel!P529</f>
        <v>-0.00169197838090263</v>
      </c>
    </row>
    <row r="539" customFormat="false" ht="15" hidden="false" customHeight="false" outlineLevel="0" collapsed="false">
      <c r="C539" s="0" t="n">
        <f aca="false">Panel!P534-Panel!P533</f>
        <v>1.21743181171752E-005</v>
      </c>
      <c r="D539" s="29" t="n">
        <f aca="false">Panel!P533</f>
        <v>0.000869089796392331</v>
      </c>
      <c r="E539" s="30" t="n">
        <f aca="false">Panel!P533-Panel!P532</f>
        <v>-0.000860984257853303</v>
      </c>
      <c r="F539" s="30" t="n">
        <f aca="false">Panel!P532-Panel!P531</f>
        <v>-0.00245681010318322</v>
      </c>
      <c r="G539" s="30" t="n">
        <f aca="false">Panel!P531-Panel!P530</f>
        <v>0.00336614212257658</v>
      </c>
    </row>
    <row r="540" customFormat="false" ht="15" hidden="false" customHeight="false" outlineLevel="0" collapsed="false">
      <c r="C540" s="0" t="n">
        <f aca="false">Panel!P535-Panel!P534</f>
        <v>0.000830925531310811</v>
      </c>
      <c r="D540" s="29" t="n">
        <f aca="false">Panel!P534</f>
        <v>0.000881264114509506</v>
      </c>
      <c r="E540" s="30" t="n">
        <f aca="false">Panel!P534-Panel!P533</f>
        <v>1.21743181171752E-005</v>
      </c>
      <c r="F540" s="30" t="n">
        <f aca="false">Panel!P533-Panel!P532</f>
        <v>-0.000860984257853303</v>
      </c>
      <c r="G540" s="30" t="n">
        <f aca="false">Panel!P532-Panel!P531</f>
        <v>-0.00245681010318322</v>
      </c>
    </row>
    <row r="541" customFormat="false" ht="15" hidden="false" customHeight="false" outlineLevel="0" collapsed="false">
      <c r="C541" s="0" t="n">
        <f aca="false">Panel!P536-Panel!P535</f>
        <v>-0.002498378265539</v>
      </c>
      <c r="D541" s="29" t="n">
        <f aca="false">Panel!P535</f>
        <v>0.00171218964582032</v>
      </c>
      <c r="E541" s="30" t="n">
        <f aca="false">Panel!P535-Panel!P534</f>
        <v>0.000830925531310811</v>
      </c>
      <c r="F541" s="30" t="n">
        <f aca="false">Panel!P534-Panel!P533</f>
        <v>1.21743181171752E-005</v>
      </c>
      <c r="G541" s="30" t="n">
        <f aca="false">Panel!P533-Panel!P532</f>
        <v>-0.000860984257853303</v>
      </c>
    </row>
    <row r="542" customFormat="false" ht="15" hidden="false" customHeight="false" outlineLevel="0" collapsed="false">
      <c r="C542" s="0" t="n">
        <f aca="false">Panel!P537-Panel!P536</f>
        <v>0.000979232788282047</v>
      </c>
      <c r="D542" s="29" t="n">
        <f aca="false">Panel!P536</f>
        <v>-0.000786188619718686</v>
      </c>
      <c r="E542" s="30" t="n">
        <f aca="false">Panel!P536-Panel!P535</f>
        <v>-0.002498378265539</v>
      </c>
      <c r="F542" s="30" t="n">
        <f aca="false">Panel!P535-Panel!P534</f>
        <v>0.000830925531310811</v>
      </c>
      <c r="G542" s="30" t="n">
        <f aca="false">Panel!P534-Panel!P533</f>
        <v>1.21743181171752E-005</v>
      </c>
    </row>
    <row r="543" customFormat="false" ht="15" hidden="false" customHeight="false" outlineLevel="0" collapsed="false">
      <c r="C543" s="0" t="n">
        <f aca="false">Panel!P538-Panel!P537</f>
        <v>0.00155568569187636</v>
      </c>
      <c r="D543" s="29" t="n">
        <f aca="false">Panel!P537</f>
        <v>0.000193044168563361</v>
      </c>
      <c r="E543" s="30" t="n">
        <f aca="false">Panel!P537-Panel!P536</f>
        <v>0.000979232788282047</v>
      </c>
      <c r="F543" s="30" t="n">
        <f aca="false">Panel!P536-Panel!P535</f>
        <v>-0.002498378265539</v>
      </c>
      <c r="G543" s="30" t="n">
        <f aca="false">Panel!P535-Panel!P534</f>
        <v>0.000830925531310811</v>
      </c>
    </row>
    <row r="544" customFormat="false" ht="15" hidden="false" customHeight="false" outlineLevel="0" collapsed="false">
      <c r="C544" s="0" t="n">
        <f aca="false">Panel!P539-Panel!P538</f>
        <v>0.00201621028373999</v>
      </c>
      <c r="D544" s="29" t="n">
        <f aca="false">Panel!P538</f>
        <v>0.00174872986043972</v>
      </c>
      <c r="E544" s="30" t="n">
        <f aca="false">Panel!P538-Panel!P537</f>
        <v>0.00155568569187636</v>
      </c>
      <c r="F544" s="30" t="n">
        <f aca="false">Panel!P537-Panel!P536</f>
        <v>0.000979232788282047</v>
      </c>
      <c r="G544" s="30" t="n">
        <f aca="false">Panel!P536-Panel!P535</f>
        <v>-0.002498378265539</v>
      </c>
    </row>
    <row r="545" customFormat="false" ht="15" hidden="false" customHeight="false" outlineLevel="0" collapsed="false">
      <c r="C545" s="0" t="n">
        <f aca="false">Panel!P540-Panel!P539</f>
        <v>0.00349164854110562</v>
      </c>
      <c r="D545" s="29" t="n">
        <f aca="false">Panel!P539</f>
        <v>0.00376494014417972</v>
      </c>
      <c r="E545" s="30" t="n">
        <f aca="false">Panel!P539-Panel!P538</f>
        <v>0.00201621028373999</v>
      </c>
      <c r="F545" s="30" t="n">
        <f aca="false">Panel!P538-Panel!P537</f>
        <v>0.00155568569187636</v>
      </c>
      <c r="G545" s="30" t="n">
        <f aca="false">Panel!P537-Panel!P536</f>
        <v>0.000979232788282047</v>
      </c>
    </row>
    <row r="546" customFormat="false" ht="15" hidden="false" customHeight="false" outlineLevel="0" collapsed="false">
      <c r="C546" s="0" t="n">
        <f aca="false">Panel!P541-Panel!P540</f>
        <v>-0.00127086725053793</v>
      </c>
      <c r="D546" s="29" t="n">
        <f aca="false">Panel!P540</f>
        <v>0.00725658868528534</v>
      </c>
      <c r="E546" s="30" t="n">
        <f aca="false">Panel!P540-Panel!P539</f>
        <v>0.00349164854110562</v>
      </c>
      <c r="F546" s="30" t="n">
        <f aca="false">Panel!P539-Panel!P538</f>
        <v>0.00201621028373999</v>
      </c>
      <c r="G546" s="30" t="n">
        <f aca="false">Panel!P538-Panel!P537</f>
        <v>0.00155568569187636</v>
      </c>
    </row>
    <row r="547" customFormat="false" ht="15" hidden="false" customHeight="false" outlineLevel="0" collapsed="false">
      <c r="C547" s="0" t="n">
        <f aca="false">Panel!P542-Panel!P541</f>
        <v>-0.000458735695060497</v>
      </c>
      <c r="D547" s="29" t="n">
        <f aca="false">Panel!P541</f>
        <v>0.0059857214347474</v>
      </c>
      <c r="E547" s="30" t="n">
        <f aca="false">Panel!P541-Panel!P540</f>
        <v>-0.00127086725053793</v>
      </c>
      <c r="F547" s="30" t="n">
        <f aca="false">Panel!P540-Panel!P539</f>
        <v>0.00349164854110562</v>
      </c>
      <c r="G547" s="30" t="n">
        <f aca="false">Panel!P539-Panel!P538</f>
        <v>0.00201621028373999</v>
      </c>
    </row>
    <row r="548" customFormat="false" ht="15" hidden="false" customHeight="false" outlineLevel="0" collapsed="false">
      <c r="C548" s="0" t="n">
        <f aca="false">Panel!P543-Panel!P542</f>
        <v>-0.000598961249631103</v>
      </c>
      <c r="D548" s="29" t="n">
        <f aca="false">Panel!P542</f>
        <v>0.00552698573968691</v>
      </c>
      <c r="E548" s="30" t="n">
        <f aca="false">Panel!P542-Panel!P541</f>
        <v>-0.000458735695060497</v>
      </c>
      <c r="F548" s="30" t="n">
        <f aca="false">Panel!P541-Panel!P540</f>
        <v>-0.00127086725053793</v>
      </c>
      <c r="G548" s="30" t="n">
        <f aca="false">Panel!P540-Panel!P539</f>
        <v>0.00349164854110562</v>
      </c>
    </row>
    <row r="549" customFormat="false" ht="15" hidden="false" customHeight="false" outlineLevel="0" collapsed="false">
      <c r="C549" s="0" t="n">
        <f aca="false">Panel!P544-Panel!P543</f>
        <v>-0.00117562367252688</v>
      </c>
      <c r="D549" s="29" t="n">
        <f aca="false">Panel!P543</f>
        <v>0.0049280244900558</v>
      </c>
      <c r="E549" s="30" t="n">
        <f aca="false">Panel!P543-Panel!P542</f>
        <v>-0.000598961249631103</v>
      </c>
      <c r="F549" s="30" t="n">
        <f aca="false">Panel!P542-Panel!P541</f>
        <v>-0.000458735695060497</v>
      </c>
      <c r="G549" s="30" t="n">
        <f aca="false">Panel!P541-Panel!P540</f>
        <v>-0.00127086725053793</v>
      </c>
    </row>
    <row r="550" customFormat="false" ht="15" hidden="false" customHeight="false" outlineLevel="0" collapsed="false">
      <c r="C550" s="0" t="n">
        <f aca="false">Panel!P545-Panel!P544</f>
        <v>-0.000397886048062901</v>
      </c>
      <c r="D550" s="29" t="n">
        <f aca="false">Panel!P544</f>
        <v>0.00375240081752892</v>
      </c>
      <c r="E550" s="30" t="n">
        <f aca="false">Panel!P544-Panel!P543</f>
        <v>-0.00117562367252688</v>
      </c>
      <c r="F550" s="30" t="n">
        <f aca="false">Panel!P543-Panel!P542</f>
        <v>-0.000598961249631103</v>
      </c>
      <c r="G550" s="30" t="n">
        <f aca="false">Panel!P542-Panel!P541</f>
        <v>-0.000458735695060497</v>
      </c>
    </row>
    <row r="551" customFormat="false" ht="15" hidden="false" customHeight="false" outlineLevel="0" collapsed="false">
      <c r="C551" s="0" t="n">
        <f aca="false">Panel!P546-Panel!P545</f>
        <v>0.000559712276389845</v>
      </c>
      <c r="D551" s="29" t="n">
        <f aca="false">Panel!P545</f>
        <v>0.00335451476946602</v>
      </c>
      <c r="E551" s="30" t="n">
        <f aca="false">Panel!P545-Panel!P544</f>
        <v>-0.000397886048062901</v>
      </c>
      <c r="F551" s="30" t="n">
        <f aca="false">Panel!P544-Panel!P543</f>
        <v>-0.00117562367252688</v>
      </c>
      <c r="G551" s="30" t="n">
        <f aca="false">Panel!P543-Panel!P542</f>
        <v>-0.000598961249631103</v>
      </c>
    </row>
    <row r="552" customFormat="false" ht="15" hidden="false" customHeight="false" outlineLevel="0" collapsed="false">
      <c r="C552" s="0" t="n">
        <f aca="false">Panel!P547-Panel!P546</f>
        <v>0.000197664505439121</v>
      </c>
      <c r="D552" s="29" t="n">
        <f aca="false">Panel!P546</f>
        <v>0.00391422704585587</v>
      </c>
      <c r="E552" s="30" t="n">
        <f aca="false">Panel!P546-Panel!P545</f>
        <v>0.000559712276389845</v>
      </c>
      <c r="F552" s="30" t="n">
        <f aca="false">Panel!P545-Panel!P544</f>
        <v>-0.000397886048062901</v>
      </c>
      <c r="G552" s="30" t="n">
        <f aca="false">Panel!P544-Panel!P543</f>
        <v>-0.00117562367252688</v>
      </c>
    </row>
    <row r="553" customFormat="false" ht="15" hidden="false" customHeight="false" outlineLevel="0" collapsed="false">
      <c r="C553" s="0" t="n">
        <f aca="false">Panel!P548-Panel!P547</f>
        <v>-0.00105430970408271</v>
      </c>
      <c r="D553" s="29" t="n">
        <f aca="false">Panel!P547</f>
        <v>0.00411189155129499</v>
      </c>
      <c r="E553" s="30" t="n">
        <f aca="false">Panel!P547-Panel!P546</f>
        <v>0.000197664505439121</v>
      </c>
      <c r="F553" s="30" t="n">
        <f aca="false">Panel!P546-Panel!P545</f>
        <v>0.000559712276389845</v>
      </c>
      <c r="G553" s="30" t="n">
        <f aca="false">Panel!P545-Panel!P544</f>
        <v>-0.000397886048062901</v>
      </c>
    </row>
    <row r="554" customFormat="false" ht="15" hidden="false" customHeight="false" outlineLevel="0" collapsed="false">
      <c r="C554" s="0" t="n">
        <f aca="false">Panel!P549-Panel!P548</f>
        <v>-0.00124683183525143</v>
      </c>
      <c r="D554" s="29" t="n">
        <f aca="false">Panel!P548</f>
        <v>0.00305758184721228</v>
      </c>
      <c r="E554" s="30" t="n">
        <f aca="false">Panel!P548-Panel!P547</f>
        <v>-0.00105430970408271</v>
      </c>
      <c r="F554" s="30" t="n">
        <f aca="false">Panel!P547-Panel!P546</f>
        <v>0.000197664505439121</v>
      </c>
      <c r="G554" s="30" t="n">
        <f aca="false">Panel!P546-Panel!P545</f>
        <v>0.000559712276389845</v>
      </c>
    </row>
    <row r="555" customFormat="false" ht="15" hidden="false" customHeight="false" outlineLevel="0" collapsed="false">
      <c r="C555" s="0" t="n">
        <f aca="false">Panel!P550-Panel!P549</f>
        <v>-0.000982781282484524</v>
      </c>
      <c r="D555" s="29" t="n">
        <f aca="false">Panel!P549</f>
        <v>0.00181075001196085</v>
      </c>
      <c r="E555" s="30" t="n">
        <f aca="false">Panel!P549-Panel!P548</f>
        <v>-0.00124683183525143</v>
      </c>
      <c r="F555" s="30" t="n">
        <f aca="false">Panel!P548-Panel!P547</f>
        <v>-0.00105430970408271</v>
      </c>
      <c r="G555" s="30" t="n">
        <f aca="false">Panel!P547-Panel!P546</f>
        <v>0.000197664505439121</v>
      </c>
    </row>
    <row r="556" customFormat="false" ht="15" hidden="false" customHeight="false" outlineLevel="0" collapsed="false">
      <c r="C556" s="0" t="n">
        <f aca="false">Panel!P551-Panel!P550</f>
        <v>-0.000619767981172359</v>
      </c>
      <c r="D556" s="29" t="n">
        <f aca="false">Panel!P550</f>
        <v>0.000827968729476325</v>
      </c>
      <c r="E556" s="30" t="n">
        <f aca="false">Panel!P550-Panel!P549</f>
        <v>-0.000982781282484524</v>
      </c>
      <c r="F556" s="30" t="n">
        <f aca="false">Panel!P549-Panel!P548</f>
        <v>-0.00124683183525143</v>
      </c>
      <c r="G556" s="30" t="n">
        <f aca="false">Panel!P548-Panel!P547</f>
        <v>-0.00105430970408271</v>
      </c>
    </row>
    <row r="557" customFormat="false" ht="15" hidden="false" customHeight="false" outlineLevel="0" collapsed="false">
      <c r="C557" s="0" t="n">
        <f aca="false">Panel!P552-Panel!P551</f>
        <v>0.000564104289459522</v>
      </c>
      <c r="D557" s="29" t="n">
        <f aca="false">Panel!P551</f>
        <v>0.000208200748303966</v>
      </c>
      <c r="E557" s="30" t="n">
        <f aca="false">Panel!P551-Panel!P550</f>
        <v>-0.000619767981172359</v>
      </c>
      <c r="F557" s="30" t="n">
        <f aca="false">Panel!P550-Panel!P549</f>
        <v>-0.000982781282484524</v>
      </c>
      <c r="G557" s="30" t="n">
        <f aca="false">Panel!P549-Panel!P548</f>
        <v>-0.00124683183525143</v>
      </c>
    </row>
    <row r="558" customFormat="false" ht="15" hidden="false" customHeight="false" outlineLevel="0" collapsed="false">
      <c r="C558" s="0" t="n">
        <f aca="false">Panel!P553-Panel!P552</f>
        <v>-0.000299301168150024</v>
      </c>
      <c r="D558" s="29" t="n">
        <f aca="false">Panel!P552</f>
        <v>0.000772305037763488</v>
      </c>
      <c r="E558" s="30" t="n">
        <f aca="false">Panel!P552-Panel!P551</f>
        <v>0.000564104289459522</v>
      </c>
      <c r="F558" s="30" t="n">
        <f aca="false">Panel!P551-Panel!P550</f>
        <v>-0.000619767981172359</v>
      </c>
      <c r="G558" s="30" t="n">
        <f aca="false">Panel!P550-Panel!P549</f>
        <v>-0.000982781282484524</v>
      </c>
    </row>
    <row r="559" customFormat="false" ht="15" hidden="false" customHeight="false" outlineLevel="0" collapsed="false">
      <c r="C559" s="0" t="n">
        <f aca="false">Panel!P554-Panel!P553</f>
        <v>-0.000484753525514137</v>
      </c>
      <c r="D559" s="29" t="n">
        <f aca="false">Panel!P553</f>
        <v>0.000473003869613464</v>
      </c>
      <c r="E559" s="30" t="n">
        <f aca="false">Panel!P553-Panel!P552</f>
        <v>-0.000299301168150024</v>
      </c>
      <c r="F559" s="30" t="n">
        <f aca="false">Panel!P552-Panel!P551</f>
        <v>0.000564104289459522</v>
      </c>
      <c r="G559" s="30" t="n">
        <f aca="false">Panel!P551-Panel!P550</f>
        <v>-0.000619767981172359</v>
      </c>
    </row>
    <row r="560" customFormat="false" ht="15" hidden="false" customHeight="false" outlineLevel="0" collapsed="false">
      <c r="C560" s="0" t="n">
        <f aca="false">Panel!P555-Panel!P554</f>
        <v>-0.00149945842881927</v>
      </c>
      <c r="D560" s="29" t="n">
        <f aca="false">Panel!P554</f>
        <v>-1.17496559006725E-005</v>
      </c>
      <c r="E560" s="30" t="n">
        <f aca="false">Panel!P554-Panel!P553</f>
        <v>-0.000484753525514137</v>
      </c>
      <c r="F560" s="30" t="n">
        <f aca="false">Panel!P553-Panel!P552</f>
        <v>-0.000299301168150024</v>
      </c>
      <c r="G560" s="30" t="n">
        <f aca="false">Panel!P552-Panel!P551</f>
        <v>0.000564104289459522</v>
      </c>
    </row>
    <row r="561" customFormat="false" ht="15" hidden="false" customHeight="false" outlineLevel="0" collapsed="false">
      <c r="C561" s="0" t="n">
        <f aca="false">Panel!P556-Panel!P555</f>
        <v>0.00160216469610219</v>
      </c>
      <c r="D561" s="29" t="n">
        <f aca="false">Panel!P555</f>
        <v>-0.00151120808471994</v>
      </c>
      <c r="E561" s="30" t="n">
        <f aca="false">Panel!P555-Panel!P554</f>
        <v>-0.00149945842881927</v>
      </c>
      <c r="F561" s="30" t="n">
        <f aca="false">Panel!P554-Panel!P553</f>
        <v>-0.000484753525514137</v>
      </c>
      <c r="G561" s="30" t="n">
        <f aca="false">Panel!P553-Panel!P552</f>
        <v>-0.000299301168150024</v>
      </c>
    </row>
    <row r="562" customFormat="false" ht="15" hidden="false" customHeight="false" outlineLevel="0" collapsed="false">
      <c r="C562" s="0" t="n">
        <f aca="false">Panel!P557-Panel!P556</f>
        <v>-0.000513986798322819</v>
      </c>
      <c r="D562" s="29" t="n">
        <f aca="false">Panel!P556</f>
        <v>9.09566113822535E-005</v>
      </c>
      <c r="E562" s="30" t="n">
        <f aca="false">Panel!P556-Panel!P555</f>
        <v>0.00160216469610219</v>
      </c>
      <c r="F562" s="30" t="n">
        <f aca="false">Panel!P555-Panel!P554</f>
        <v>-0.00149945842881927</v>
      </c>
      <c r="G562" s="30" t="n">
        <f aca="false">Panel!P554-Panel!P553</f>
        <v>-0.000484753525514137</v>
      </c>
    </row>
    <row r="563" customFormat="false" ht="15" hidden="false" customHeight="false" outlineLevel="0" collapsed="false">
      <c r="C563" s="0" t="n">
        <f aca="false">Panel!P558-Panel!P557</f>
        <v>0.00162241419786113</v>
      </c>
      <c r="D563" s="29" t="n">
        <f aca="false">Panel!P557</f>
        <v>-0.000423030186940565</v>
      </c>
      <c r="E563" s="30" t="n">
        <f aca="false">Panel!P557-Panel!P556</f>
        <v>-0.000513986798322819</v>
      </c>
      <c r="F563" s="30" t="n">
        <f aca="false">Panel!P556-Panel!P555</f>
        <v>0.00160216469610219</v>
      </c>
      <c r="G563" s="30" t="n">
        <f aca="false">Panel!P555-Panel!P554</f>
        <v>-0.00149945842881927</v>
      </c>
    </row>
    <row r="564" customFormat="false" ht="15" hidden="false" customHeight="false" outlineLevel="0" collapsed="false">
      <c r="C564" s="0" t="n">
        <f aca="false">Panel!P559-Panel!P558</f>
        <v>-0.00263319860164124</v>
      </c>
      <c r="D564" s="29" t="n">
        <f aca="false">Panel!P558</f>
        <v>0.00119938401092057</v>
      </c>
      <c r="E564" s="30" t="n">
        <f aca="false">Panel!P558-Panel!P557</f>
        <v>0.00162241419786113</v>
      </c>
      <c r="F564" s="30" t="n">
        <f aca="false">Panel!P557-Panel!P556</f>
        <v>-0.000513986798322819</v>
      </c>
      <c r="G564" s="30" t="n">
        <f aca="false">Panel!P556-Panel!P555</f>
        <v>0.00160216469610219</v>
      </c>
    </row>
    <row r="565" customFormat="false" ht="15" hidden="false" customHeight="false" outlineLevel="0" collapsed="false">
      <c r="C565" s="0" t="n">
        <f aca="false">Panel!P560-Panel!P559</f>
        <v>-0.00209562841127564</v>
      </c>
      <c r="D565" s="29" t="n">
        <f aca="false">Panel!P559</f>
        <v>-0.00143381459072067</v>
      </c>
      <c r="E565" s="30" t="n">
        <f aca="false">Panel!P559-Panel!P558</f>
        <v>-0.00263319860164124</v>
      </c>
      <c r="F565" s="30" t="n">
        <f aca="false">Panel!P558-Panel!P557</f>
        <v>0.00162241419786113</v>
      </c>
      <c r="G565" s="30" t="n">
        <f aca="false">Panel!P557-Panel!P556</f>
        <v>-0.000513986798322819</v>
      </c>
    </row>
    <row r="566" customFormat="false" ht="15" hidden="false" customHeight="false" outlineLevel="0" collapsed="false">
      <c r="C566" s="0" t="n">
        <f aca="false">Panel!P561-Panel!P560</f>
        <v>-0.00158438759021706</v>
      </c>
      <c r="D566" s="29" t="n">
        <f aca="false">Panel!P560</f>
        <v>-0.00352944300199631</v>
      </c>
      <c r="E566" s="30" t="n">
        <f aca="false">Panel!P560-Panel!P559</f>
        <v>-0.00209562841127564</v>
      </c>
      <c r="F566" s="30" t="n">
        <f aca="false">Panel!P559-Panel!P558</f>
        <v>-0.00263319860164124</v>
      </c>
      <c r="G566" s="30" t="n">
        <f aca="false">Panel!P558-Panel!P557</f>
        <v>0.00162241419786113</v>
      </c>
    </row>
    <row r="567" customFormat="false" ht="15" hidden="false" customHeight="false" outlineLevel="0" collapsed="false">
      <c r="C567" s="0" t="n">
        <f aca="false">Panel!P562-Panel!P561</f>
        <v>0.00145558852061178</v>
      </c>
      <c r="D567" s="29" t="n">
        <f aca="false">Panel!P561</f>
        <v>-0.00511383059221338</v>
      </c>
      <c r="E567" s="30" t="n">
        <f aca="false">Panel!P561-Panel!P560</f>
        <v>-0.00158438759021706</v>
      </c>
      <c r="F567" s="30" t="n">
        <f aca="false">Panel!P560-Panel!P559</f>
        <v>-0.00209562841127564</v>
      </c>
      <c r="G567" s="30" t="n">
        <f aca="false">Panel!P559-Panel!P558</f>
        <v>-0.00263319860164124</v>
      </c>
    </row>
    <row r="568" customFormat="false" ht="15" hidden="false" customHeight="false" outlineLevel="0" collapsed="false">
      <c r="C568" s="0" t="n">
        <f aca="false">Panel!P563-Panel!P562</f>
        <v>-0.000153153634716574</v>
      </c>
      <c r="D568" s="29" t="n">
        <f aca="false">Panel!P562</f>
        <v>-0.00365824207160159</v>
      </c>
      <c r="E568" s="30" t="n">
        <f aca="false">Panel!P562-Panel!P561</f>
        <v>0.00145558852061178</v>
      </c>
      <c r="F568" s="30" t="n">
        <f aca="false">Panel!P561-Panel!P560</f>
        <v>-0.00158438759021706</v>
      </c>
      <c r="G568" s="30" t="n">
        <f aca="false">Panel!P560-Panel!P559</f>
        <v>-0.00209562841127564</v>
      </c>
    </row>
    <row r="569" customFormat="false" ht="15" hidden="false" customHeight="false" outlineLevel="0" collapsed="false">
      <c r="C569" s="0" t="n">
        <f aca="false">Panel!P564-Panel!P563</f>
        <v>-0.000768907517622708</v>
      </c>
      <c r="D569" s="29" t="n">
        <f aca="false">Panel!P563</f>
        <v>-0.00381139570631817</v>
      </c>
      <c r="E569" s="30" t="n">
        <f aca="false">Panel!P563-Panel!P562</f>
        <v>-0.000153153634716574</v>
      </c>
      <c r="F569" s="30" t="n">
        <f aca="false">Panel!P562-Panel!P561</f>
        <v>0.00145558852061178</v>
      </c>
      <c r="G569" s="30" t="n">
        <f aca="false">Panel!P561-Panel!P560</f>
        <v>-0.00158438759021706</v>
      </c>
    </row>
    <row r="570" customFormat="false" ht="15" hidden="false" customHeight="false" outlineLevel="0" collapsed="false">
      <c r="C570" s="0" t="n">
        <f aca="false">Panel!P565-Panel!P564</f>
        <v>-4.27762990824476E-005</v>
      </c>
      <c r="D570" s="29" t="n">
        <f aca="false">Panel!P564</f>
        <v>-0.00458030322394087</v>
      </c>
      <c r="E570" s="30" t="n">
        <f aca="false">Panel!P564-Panel!P563</f>
        <v>-0.000768907517622708</v>
      </c>
      <c r="F570" s="30" t="n">
        <f aca="false">Panel!P563-Panel!P562</f>
        <v>-0.000153153634716574</v>
      </c>
      <c r="G570" s="30" t="n">
        <f aca="false">Panel!P562-Panel!P561</f>
        <v>0.00145558852061178</v>
      </c>
    </row>
    <row r="571" customFormat="false" ht="15" hidden="false" customHeight="false" outlineLevel="0" collapsed="false">
      <c r="C571" s="0" t="n">
        <f aca="false">Panel!P566-Panel!P565</f>
        <v>0.00243246020055388</v>
      </c>
      <c r="D571" s="29" t="n">
        <f aca="false">Panel!P565</f>
        <v>-0.00462307952302332</v>
      </c>
      <c r="E571" s="30" t="n">
        <f aca="false">Panel!P565-Panel!P564</f>
        <v>-4.27762990824476E-005</v>
      </c>
      <c r="F571" s="30" t="n">
        <f aca="false">Panel!P564-Panel!P563</f>
        <v>-0.000768907517622708</v>
      </c>
      <c r="G571" s="30" t="n">
        <f aca="false">Panel!P563-Panel!P562</f>
        <v>-0.000153153634716574</v>
      </c>
    </row>
    <row r="572" customFormat="false" ht="15" hidden="false" customHeight="false" outlineLevel="0" collapsed="false">
      <c r="C572" s="0" t="n">
        <f aca="false">Panel!P567-Panel!P566</f>
        <v>-0.00103330312217054</v>
      </c>
      <c r="D572" s="29" t="n">
        <f aca="false">Panel!P566</f>
        <v>-0.00219061932246945</v>
      </c>
      <c r="E572" s="30" t="n">
        <f aca="false">Panel!P566-Panel!P565</f>
        <v>0.00243246020055388</v>
      </c>
      <c r="F572" s="30" t="n">
        <f aca="false">Panel!P565-Panel!P564</f>
        <v>-4.27762990824476E-005</v>
      </c>
      <c r="G572" s="30" t="n">
        <f aca="false">Panel!P564-Panel!P563</f>
        <v>-0.000768907517622708</v>
      </c>
    </row>
    <row r="573" customFormat="false" ht="15" hidden="false" customHeight="false" outlineLevel="0" collapsed="false">
      <c r="C573" s="0" t="n">
        <f aca="false">Panel!P568-Panel!P567</f>
        <v>-0.000510572144152732</v>
      </c>
      <c r="D573" s="29" t="n">
        <f aca="false">Panel!P567</f>
        <v>-0.00322392244463998</v>
      </c>
      <c r="E573" s="30" t="n">
        <f aca="false">Panel!P567-Panel!P566</f>
        <v>-0.00103330312217054</v>
      </c>
      <c r="F573" s="30" t="n">
        <f aca="false">Panel!P566-Panel!P565</f>
        <v>0.00243246020055388</v>
      </c>
      <c r="G573" s="30" t="n">
        <f aca="false">Panel!P565-Panel!P564</f>
        <v>-4.27762990824476E-005</v>
      </c>
    </row>
    <row r="574" customFormat="false" ht="15" hidden="false" customHeight="false" outlineLevel="0" collapsed="false">
      <c r="C574" s="0" t="n">
        <f aca="false">Panel!P569-Panel!P568</f>
        <v>0.00182321309119082</v>
      </c>
      <c r="D574" s="29" t="n">
        <f aca="false">Panel!P568</f>
        <v>-0.00373449458879271</v>
      </c>
      <c r="E574" s="30" t="n">
        <f aca="false">Panel!P568-Panel!P567</f>
        <v>-0.000510572144152732</v>
      </c>
      <c r="F574" s="30" t="n">
        <f aca="false">Panel!P567-Panel!P566</f>
        <v>-0.00103330312217054</v>
      </c>
      <c r="G574" s="30" t="n">
        <f aca="false">Panel!P566-Panel!P565</f>
        <v>0.00243246020055388</v>
      </c>
    </row>
    <row r="575" customFormat="false" ht="15" hidden="false" customHeight="false" outlineLevel="0" collapsed="false">
      <c r="C575" s="0" t="n">
        <f aca="false">Panel!P570-Panel!P569</f>
        <v>-0.0036545365479963</v>
      </c>
      <c r="D575" s="29" t="n">
        <f aca="false">Panel!P569</f>
        <v>-0.00191128149760189</v>
      </c>
      <c r="E575" s="30" t="n">
        <f aca="false">Panel!P569-Panel!P568</f>
        <v>0.00182321309119082</v>
      </c>
      <c r="F575" s="30" t="n">
        <f aca="false">Panel!P568-Panel!P567</f>
        <v>-0.000510572144152732</v>
      </c>
      <c r="G575" s="30" t="n">
        <f aca="false">Panel!P567-Panel!P566</f>
        <v>-0.00103330312217054</v>
      </c>
    </row>
    <row r="576" customFormat="false" ht="15" hidden="false" customHeight="false" outlineLevel="0" collapsed="false">
      <c r="C576" s="0" t="n">
        <f aca="false">Panel!P571-Panel!P570</f>
        <v>0.00243440176928189</v>
      </c>
      <c r="D576" s="29" t="n">
        <f aca="false">Panel!P570</f>
        <v>-0.00556581804559819</v>
      </c>
      <c r="E576" s="30" t="n">
        <f aca="false">Panel!P570-Panel!P569</f>
        <v>-0.0036545365479963</v>
      </c>
      <c r="F576" s="30" t="n">
        <f aca="false">Panel!P569-Panel!P568</f>
        <v>0.00182321309119082</v>
      </c>
      <c r="G576" s="30" t="n">
        <f aca="false">Panel!P568-Panel!P567</f>
        <v>-0.000510572144152732</v>
      </c>
    </row>
    <row r="577" customFormat="false" ht="15" hidden="false" customHeight="false" outlineLevel="0" collapsed="false">
      <c r="C577" s="0" t="n">
        <f aca="false">Panel!P572-Panel!P571</f>
        <v>-0.00149837798430852</v>
      </c>
      <c r="D577" s="29" t="n">
        <f aca="false">Panel!P571</f>
        <v>-0.0031314162763163</v>
      </c>
      <c r="E577" s="30" t="n">
        <f aca="false">Panel!P571-Panel!P570</f>
        <v>0.00243440176928189</v>
      </c>
      <c r="F577" s="30" t="n">
        <f aca="false">Panel!P570-Panel!P569</f>
        <v>-0.0036545365479963</v>
      </c>
      <c r="G577" s="30" t="n">
        <f aca="false">Panel!P569-Panel!P568</f>
        <v>0.00182321309119082</v>
      </c>
    </row>
    <row r="578" customFormat="false" ht="15" hidden="false" customHeight="false" outlineLevel="0" collapsed="false">
      <c r="C578" s="0" t="n">
        <f aca="false">Panel!P573-Panel!P572</f>
        <v>0.00234890704849633</v>
      </c>
      <c r="D578" s="29" t="n">
        <f aca="false">Panel!P572</f>
        <v>-0.00462979426062482</v>
      </c>
      <c r="E578" s="30" t="n">
        <f aca="false">Panel!P572-Panel!P571</f>
        <v>-0.00149837798430852</v>
      </c>
      <c r="F578" s="30" t="n">
        <f aca="false">Panel!P571-Panel!P570</f>
        <v>0.00243440176928189</v>
      </c>
      <c r="G578" s="30" t="n">
        <f aca="false">Panel!P570-Panel!P569</f>
        <v>-0.0036545365479963</v>
      </c>
    </row>
    <row r="579" customFormat="false" ht="15" hidden="false" customHeight="false" outlineLevel="0" collapsed="false">
      <c r="C579" s="0" t="n">
        <f aca="false">Panel!P574-Panel!P573</f>
        <v>-0.00246152047483328</v>
      </c>
      <c r="D579" s="29" t="n">
        <f aca="false">Panel!P573</f>
        <v>-0.00228088721212849</v>
      </c>
      <c r="E579" s="30" t="n">
        <f aca="false">Panel!P573-Panel!P572</f>
        <v>0.00234890704849633</v>
      </c>
      <c r="F579" s="30" t="n">
        <f aca="false">Panel!P572-Panel!P571</f>
        <v>-0.00149837798430852</v>
      </c>
      <c r="G579" s="30" t="n">
        <f aca="false">Panel!P571-Panel!P570</f>
        <v>0.00243440176928189</v>
      </c>
    </row>
    <row r="580" customFormat="false" ht="15" hidden="false" customHeight="false" outlineLevel="0" collapsed="false">
      <c r="C580" s="0" t="n">
        <f aca="false">Panel!P575-Panel!P574</f>
        <v>0.00263811518845358</v>
      </c>
      <c r="D580" s="29" t="n">
        <f aca="false">Panel!P574</f>
        <v>-0.00474240768696177</v>
      </c>
      <c r="E580" s="30" t="n">
        <f aca="false">Panel!P574-Panel!P573</f>
        <v>-0.00246152047483328</v>
      </c>
      <c r="F580" s="30" t="n">
        <f aca="false">Panel!P573-Panel!P572</f>
        <v>0.00234890704849633</v>
      </c>
      <c r="G580" s="30" t="n">
        <f aca="false">Panel!P572-Panel!P571</f>
        <v>-0.00149837798430852</v>
      </c>
    </row>
    <row r="581" customFormat="false" ht="15" hidden="false" customHeight="false" outlineLevel="0" collapsed="false">
      <c r="C581" s="0" t="n">
        <f aca="false">Panel!P576-Panel!P575</f>
        <v>-0.000640095908794436</v>
      </c>
      <c r="D581" s="29" t="n">
        <f aca="false">Panel!P575</f>
        <v>-0.00210429249850819</v>
      </c>
      <c r="E581" s="30" t="n">
        <f aca="false">Panel!P575-Panel!P574</f>
        <v>0.00263811518845358</v>
      </c>
      <c r="F581" s="30" t="n">
        <f aca="false">Panel!P574-Panel!P573</f>
        <v>-0.00246152047483328</v>
      </c>
      <c r="G581" s="30" t="n">
        <f aca="false">Panel!P573-Panel!P572</f>
        <v>0.00234890704849633</v>
      </c>
    </row>
    <row r="582" customFormat="false" ht="15" hidden="false" customHeight="false" outlineLevel="0" collapsed="false">
      <c r="C582" s="0" t="n">
        <f aca="false">Panel!P577-Panel!P576</f>
        <v>0.000169098914328814</v>
      </c>
      <c r="D582" s="29" t="n">
        <f aca="false">Panel!P576</f>
        <v>-0.00274438840730262</v>
      </c>
      <c r="E582" s="30" t="n">
        <f aca="false">Panel!P576-Panel!P575</f>
        <v>-0.000640095908794436</v>
      </c>
      <c r="F582" s="30" t="n">
        <f aca="false">Panel!P575-Panel!P574</f>
        <v>0.00263811518845358</v>
      </c>
      <c r="G582" s="30" t="n">
        <f aca="false">Panel!P574-Panel!P573</f>
        <v>-0.00246152047483328</v>
      </c>
    </row>
    <row r="583" customFormat="false" ht="15" hidden="false" customHeight="false" outlineLevel="0" collapsed="false">
      <c r="C583" s="0" t="n">
        <f aca="false">Panel!P578-Panel!P577</f>
        <v>5.67613751716323E-005</v>
      </c>
      <c r="D583" s="29" t="n">
        <f aca="false">Panel!P577</f>
        <v>-0.00257528949297381</v>
      </c>
      <c r="E583" s="30" t="n">
        <f aca="false">Panel!P577-Panel!P576</f>
        <v>0.000169098914328814</v>
      </c>
      <c r="F583" s="30" t="n">
        <f aca="false">Panel!P576-Panel!P575</f>
        <v>-0.000640095908794436</v>
      </c>
      <c r="G583" s="30" t="n">
        <f aca="false">Panel!P575-Panel!P574</f>
        <v>0.00263811518845358</v>
      </c>
    </row>
    <row r="584" customFormat="false" ht="15" hidden="false" customHeight="false" outlineLevel="0" collapsed="false">
      <c r="C584" s="0" t="n">
        <f aca="false">Panel!P579-Panel!P578</f>
        <v>-0.00184526779198357</v>
      </c>
      <c r="D584" s="29" t="n">
        <f aca="false">Panel!P578</f>
        <v>-0.00251852811780218</v>
      </c>
      <c r="E584" s="30" t="n">
        <f aca="false">Panel!P578-Panel!P577</f>
        <v>5.67613751716323E-005</v>
      </c>
      <c r="F584" s="30" t="n">
        <f aca="false">Panel!P577-Panel!P576</f>
        <v>0.000169098914328814</v>
      </c>
      <c r="G584" s="30" t="n">
        <f aca="false">Panel!P576-Panel!P575</f>
        <v>-0.000640095908794436</v>
      </c>
    </row>
    <row r="585" customFormat="false" ht="15" hidden="false" customHeight="false" outlineLevel="0" collapsed="false">
      <c r="C585" s="0" t="n">
        <f aca="false">Panel!P580-Panel!P579</f>
        <v>0.000680664605765102</v>
      </c>
      <c r="D585" s="29" t="n">
        <f aca="false">Panel!P579</f>
        <v>-0.00436379590978575</v>
      </c>
      <c r="E585" s="30" t="n">
        <f aca="false">Panel!P579-Panel!P578</f>
        <v>-0.00184526779198357</v>
      </c>
      <c r="F585" s="30" t="n">
        <f aca="false">Panel!P578-Panel!P577</f>
        <v>5.67613751716323E-005</v>
      </c>
      <c r="G585" s="30" t="n">
        <f aca="false">Panel!P577-Panel!P576</f>
        <v>0.000169098914328814</v>
      </c>
    </row>
    <row r="586" customFormat="false" ht="15" hidden="false" customHeight="false" outlineLevel="0" collapsed="false">
      <c r="C586" s="0" t="n">
        <f aca="false">Panel!P581-Panel!P580</f>
        <v>-0.0017103922893611</v>
      </c>
      <c r="D586" s="29" t="n">
        <f aca="false">Panel!P580</f>
        <v>-0.00368313130402065</v>
      </c>
      <c r="E586" s="30" t="n">
        <f aca="false">Panel!P580-Panel!P579</f>
        <v>0.000680664605765102</v>
      </c>
      <c r="F586" s="30" t="n">
        <f aca="false">Panel!P579-Panel!P578</f>
        <v>-0.00184526779198357</v>
      </c>
      <c r="G586" s="30" t="n">
        <f aca="false">Panel!P578-Panel!P577</f>
        <v>5.67613751716323E-005</v>
      </c>
    </row>
    <row r="587" customFormat="false" ht="15" hidden="false" customHeight="false" outlineLevel="0" collapsed="false">
      <c r="C587" s="0" t="n">
        <f aca="false">Panel!P582-Panel!P581</f>
        <v>-0.00235400254699414</v>
      </c>
      <c r="D587" s="29" t="n">
        <f aca="false">Panel!P581</f>
        <v>-0.00539352359338174</v>
      </c>
      <c r="E587" s="30" t="n">
        <f aca="false">Panel!P581-Panel!P580</f>
        <v>-0.0017103922893611</v>
      </c>
      <c r="F587" s="30" t="n">
        <f aca="false">Panel!P580-Panel!P579</f>
        <v>0.000680664605765102</v>
      </c>
      <c r="G587" s="30" t="n">
        <f aca="false">Panel!P579-Panel!P578</f>
        <v>-0.00184526779198357</v>
      </c>
    </row>
    <row r="588" customFormat="false" ht="15" hidden="false" customHeight="false" outlineLevel="0" collapsed="false">
      <c r="C588" s="0" t="n">
        <f aca="false">Panel!P583-Panel!P582</f>
        <v>0.00526861480279095</v>
      </c>
      <c r="D588" s="29" t="n">
        <f aca="false">Panel!P582</f>
        <v>-0.00774752614037588</v>
      </c>
      <c r="E588" s="30" t="n">
        <f aca="false">Panel!P582-Panel!P581</f>
        <v>-0.00235400254699414</v>
      </c>
      <c r="F588" s="30" t="n">
        <f aca="false">Panel!P581-Panel!P580</f>
        <v>-0.0017103922893611</v>
      </c>
      <c r="G588" s="30" t="n">
        <f aca="false">Panel!P580-Panel!P579</f>
        <v>0.000680664605765102</v>
      </c>
    </row>
    <row r="589" customFormat="false" ht="15" hidden="false" customHeight="false" outlineLevel="0" collapsed="false">
      <c r="C589" s="0" t="n">
        <f aca="false">Panel!P584-Panel!P583</f>
        <v>0.00133002806383509</v>
      </c>
      <c r="D589" s="29" t="n">
        <f aca="false">Panel!P583</f>
        <v>-0.00247891133758493</v>
      </c>
      <c r="E589" s="30" t="n">
        <f aca="false">Panel!P583-Panel!P582</f>
        <v>0.00526861480279095</v>
      </c>
      <c r="F589" s="30" t="n">
        <f aca="false">Panel!P582-Panel!P581</f>
        <v>-0.00235400254699414</v>
      </c>
      <c r="G589" s="30" t="n">
        <f aca="false">Panel!P581-Panel!P580</f>
        <v>-0.0017103922893611</v>
      </c>
    </row>
    <row r="590" customFormat="false" ht="15" hidden="false" customHeight="false" outlineLevel="0" collapsed="false">
      <c r="C590" s="0" t="n">
        <f aca="false">Panel!P585-Panel!P584</f>
        <v>-0.00109634744867826</v>
      </c>
      <c r="D590" s="29" t="n">
        <f aca="false">Panel!P584</f>
        <v>-0.00114888327374985</v>
      </c>
      <c r="E590" s="30" t="n">
        <f aca="false">Panel!P584-Panel!P583</f>
        <v>0.00133002806383509</v>
      </c>
      <c r="F590" s="30" t="n">
        <f aca="false">Panel!P583-Panel!P582</f>
        <v>0.00526861480279095</v>
      </c>
      <c r="G590" s="30" t="n">
        <f aca="false">Panel!P582-Panel!P581</f>
        <v>-0.00235400254699414</v>
      </c>
    </row>
    <row r="591" customFormat="false" ht="15" hidden="false" customHeight="false" outlineLevel="0" collapsed="false">
      <c r="C591" s="0" t="n">
        <f aca="false">Panel!P586-Panel!P585</f>
        <v>0.00145193587730397</v>
      </c>
      <c r="D591" s="29" t="n">
        <f aca="false">Panel!P585</f>
        <v>-0.0022452307224281</v>
      </c>
      <c r="E591" s="30" t="n">
        <f aca="false">Panel!P585-Panel!P584</f>
        <v>-0.00109634744867826</v>
      </c>
      <c r="F591" s="30" t="n">
        <f aca="false">Panel!P584-Panel!P583</f>
        <v>0.00133002806383509</v>
      </c>
      <c r="G591" s="30" t="n">
        <f aca="false">Panel!P583-Panel!P582</f>
        <v>0.00526861480279095</v>
      </c>
    </row>
    <row r="592" customFormat="false" ht="15" hidden="false" customHeight="false" outlineLevel="0" collapsed="false">
      <c r="C592" s="0" t="n">
        <f aca="false">Panel!P587-Panel!P586</f>
        <v>-0.00192217395741601</v>
      </c>
      <c r="D592" s="29" t="n">
        <f aca="false">Panel!P586</f>
        <v>-0.000793294845124137</v>
      </c>
      <c r="E592" s="30" t="n">
        <f aca="false">Panel!P586-Panel!P585</f>
        <v>0.00145193587730397</v>
      </c>
      <c r="F592" s="30" t="n">
        <f aca="false">Panel!P585-Panel!P584</f>
        <v>-0.00109634744867826</v>
      </c>
      <c r="G592" s="30" t="n">
        <f aca="false">Panel!P584-Panel!P583</f>
        <v>0.00133002806383509</v>
      </c>
    </row>
    <row r="593" customFormat="false" ht="15" hidden="false" customHeight="false" outlineLevel="0" collapsed="false">
      <c r="C593" s="0" t="n">
        <f aca="false">Panel!P588-Panel!P587</f>
        <v>0.000620472309233122</v>
      </c>
      <c r="D593" s="29" t="n">
        <f aca="false">Panel!P587</f>
        <v>-0.00271546880254014</v>
      </c>
      <c r="E593" s="30" t="n">
        <f aca="false">Panel!P587-Panel!P586</f>
        <v>-0.00192217395741601</v>
      </c>
      <c r="F593" s="30" t="n">
        <f aca="false">Panel!P586-Panel!P585</f>
        <v>0.00145193587730397</v>
      </c>
      <c r="G593" s="30" t="n">
        <f aca="false">Panel!P585-Panel!P584</f>
        <v>-0.00109634744867826</v>
      </c>
    </row>
    <row r="594" customFormat="false" ht="15" hidden="false" customHeight="false" outlineLevel="0" collapsed="false">
      <c r="C594" s="0" t="n">
        <f aca="false">Panel!P589-Panel!P588</f>
        <v>8.4113521001683E-006</v>
      </c>
      <c r="D594" s="29" t="n">
        <f aca="false">Panel!P588</f>
        <v>-0.00209499649330702</v>
      </c>
      <c r="E594" s="30" t="n">
        <f aca="false">Panel!P588-Panel!P587</f>
        <v>0.000620472309233122</v>
      </c>
      <c r="F594" s="30" t="n">
        <f aca="false">Panel!P587-Panel!P586</f>
        <v>-0.00192217395741601</v>
      </c>
      <c r="G594" s="30" t="n">
        <f aca="false">Panel!P586-Panel!P585</f>
        <v>0.00145193587730397</v>
      </c>
    </row>
    <row r="595" customFormat="false" ht="15" hidden="false" customHeight="false" outlineLevel="0" collapsed="false">
      <c r="C595" s="0" t="n">
        <f aca="false">Panel!P590-Panel!P589</f>
        <v>0.000762057209007239</v>
      </c>
      <c r="D595" s="29" t="n">
        <f aca="false">Panel!P589</f>
        <v>-0.00208658514120685</v>
      </c>
      <c r="E595" s="30" t="n">
        <f aca="false">Panel!P589-Panel!P588</f>
        <v>8.4113521001683E-006</v>
      </c>
      <c r="F595" s="30" t="n">
        <f aca="false">Panel!P588-Panel!P587</f>
        <v>0.000620472309233122</v>
      </c>
      <c r="G595" s="30" t="n">
        <f aca="false">Panel!P587-Panel!P586</f>
        <v>-0.00192217395741601</v>
      </c>
    </row>
    <row r="596" customFormat="false" ht="15" hidden="false" customHeight="false" outlineLevel="0" collapsed="false">
      <c r="C596" s="0" t="n">
        <f aca="false">Panel!P591-Panel!P590</f>
        <v>0.00024776747340205</v>
      </c>
      <c r="D596" s="29" t="n">
        <f aca="false">Panel!P590</f>
        <v>-0.00132452793219962</v>
      </c>
      <c r="E596" s="30" t="n">
        <f aca="false">Panel!P590-Panel!P589</f>
        <v>0.000762057209007239</v>
      </c>
      <c r="F596" s="30" t="n">
        <f aca="false">Panel!P589-Panel!P588</f>
        <v>8.4113521001683E-006</v>
      </c>
      <c r="G596" s="30" t="n">
        <f aca="false">Panel!P588-Panel!P587</f>
        <v>0.000620472309233122</v>
      </c>
    </row>
    <row r="597" customFormat="false" ht="15" hidden="false" customHeight="false" outlineLevel="0" collapsed="false">
      <c r="C597" s="0" t="n">
        <f aca="false">Panel!P592-Panel!P591</f>
        <v>-0.000447270216163531</v>
      </c>
      <c r="D597" s="29" t="n">
        <f aca="false">Panel!P591</f>
        <v>-0.00107676045879757</v>
      </c>
      <c r="E597" s="30" t="n">
        <f aca="false">Panel!P591-Panel!P590</f>
        <v>0.00024776747340205</v>
      </c>
      <c r="F597" s="30" t="n">
        <f aca="false">Panel!P590-Panel!P589</f>
        <v>0.000762057209007239</v>
      </c>
      <c r="G597" s="30" t="n">
        <f aca="false">Panel!P589-Panel!P588</f>
        <v>8.4113521001683E-006</v>
      </c>
    </row>
    <row r="598" customFormat="false" ht="15" hidden="false" customHeight="false" outlineLevel="0" collapsed="false">
      <c r="C598" s="0" t="n">
        <f aca="false">Panel!P593-Panel!P592</f>
        <v>0.00162664643617205</v>
      </c>
      <c r="D598" s="29" t="n">
        <f aca="false">Panel!P592</f>
        <v>-0.0015240306749611</v>
      </c>
      <c r="E598" s="30" t="n">
        <f aca="false">Panel!P592-Panel!P591</f>
        <v>-0.000447270216163531</v>
      </c>
      <c r="F598" s="30" t="n">
        <f aca="false">Panel!P591-Panel!P590</f>
        <v>0.00024776747340205</v>
      </c>
      <c r="G598" s="30" t="n">
        <f aca="false">Panel!P590-Panel!P589</f>
        <v>0.000762057209007239</v>
      </c>
    </row>
    <row r="599" customFormat="false" ht="15" hidden="false" customHeight="false" outlineLevel="0" collapsed="false">
      <c r="C599" s="0" t="n">
        <f aca="false">Panel!P594-Panel!P593</f>
        <v>-0.00146995516734094</v>
      </c>
      <c r="D599" s="29" t="n">
        <f aca="false">Panel!P593</f>
        <v>0.000102615761210956</v>
      </c>
      <c r="E599" s="30" t="n">
        <f aca="false">Panel!P593-Panel!P592</f>
        <v>0.00162664643617205</v>
      </c>
      <c r="F599" s="30" t="n">
        <f aca="false">Panel!P592-Panel!P591</f>
        <v>-0.000447270216163531</v>
      </c>
      <c r="G599" s="30" t="n">
        <f aca="false">Panel!P591-Panel!P590</f>
        <v>0.00024776747340205</v>
      </c>
    </row>
    <row r="600" customFormat="false" ht="15" hidden="false" customHeight="false" outlineLevel="0" collapsed="false">
      <c r="C600" s="0" t="n">
        <f aca="false">Panel!P595-Panel!P594</f>
        <v>0.00141292561238515</v>
      </c>
      <c r="D600" s="29" t="n">
        <f aca="false">Panel!P594</f>
        <v>-0.00136733940612999</v>
      </c>
      <c r="E600" s="30" t="n">
        <f aca="false">Panel!P594-Panel!P593</f>
        <v>-0.00146995516734094</v>
      </c>
      <c r="F600" s="30" t="n">
        <f aca="false">Panel!P593-Panel!P592</f>
        <v>0.00162664643617205</v>
      </c>
      <c r="G600" s="30" t="n">
        <f aca="false">Panel!P592-Panel!P591</f>
        <v>-0.000447270216163531</v>
      </c>
    </row>
    <row r="601" customFormat="false" ht="15" hidden="false" customHeight="false" outlineLevel="0" collapsed="false">
      <c r="C601" s="0" t="n">
        <f aca="false">Panel!P596-Panel!P595</f>
        <v>-0.000170574968118231</v>
      </c>
      <c r="D601" s="29" t="n">
        <f aca="false">Panel!P595</f>
        <v>4.5586206255166E-005</v>
      </c>
      <c r="E601" s="30" t="n">
        <f aca="false">Panel!P595-Panel!P594</f>
        <v>0.00141292561238515</v>
      </c>
      <c r="F601" s="30" t="n">
        <f aca="false">Panel!P594-Panel!P593</f>
        <v>-0.00146995516734094</v>
      </c>
      <c r="G601" s="30" t="n">
        <f aca="false">Panel!P593-Panel!P592</f>
        <v>0.00162664643617205</v>
      </c>
    </row>
    <row r="602" customFormat="false" ht="15" hidden="false" customHeight="false" outlineLevel="0" collapsed="false">
      <c r="C602" s="0" t="n">
        <f aca="false">Panel!P597-Panel!P596</f>
        <v>0.00158965928885202</v>
      </c>
      <c r="D602" s="29" t="n">
        <f aca="false">Panel!P596</f>
        <v>-0.000124988761863065</v>
      </c>
      <c r="E602" s="30" t="n">
        <f aca="false">Panel!P596-Panel!P595</f>
        <v>-0.000170574968118231</v>
      </c>
      <c r="F602" s="30" t="n">
        <f aca="false">Panel!P595-Panel!P594</f>
        <v>0.00141292561238515</v>
      </c>
      <c r="G602" s="30" t="n">
        <f aca="false">Panel!P594-Panel!P593</f>
        <v>-0.00146995516734094</v>
      </c>
    </row>
    <row r="603" customFormat="false" ht="15" hidden="false" customHeight="false" outlineLevel="0" collapsed="false">
      <c r="C603" s="0" t="n">
        <f aca="false">Panel!P598-Panel!P597</f>
        <v>-0.00100352015986793</v>
      </c>
      <c r="D603" s="29" t="n">
        <f aca="false">Panel!P597</f>
        <v>0.00146467052698895</v>
      </c>
      <c r="E603" s="30" t="n">
        <f aca="false">Panel!P597-Panel!P596</f>
        <v>0.00158965928885202</v>
      </c>
      <c r="F603" s="30" t="n">
        <f aca="false">Panel!P596-Panel!P595</f>
        <v>-0.000170574968118231</v>
      </c>
      <c r="G603" s="30" t="n">
        <f aca="false">Panel!P595-Panel!P594</f>
        <v>0.00141292561238515</v>
      </c>
    </row>
    <row r="604" customFormat="false" ht="15" hidden="false" customHeight="false" outlineLevel="0" collapsed="false">
      <c r="C604" s="0" t="n">
        <f aca="false">Panel!P599-Panel!P598</f>
        <v>-0.00133315370300657</v>
      </c>
      <c r="D604" s="29" t="n">
        <f aca="false">Panel!P598</f>
        <v>0.000461150367121022</v>
      </c>
      <c r="E604" s="30" t="n">
        <f aca="false">Panel!P598-Panel!P597</f>
        <v>-0.00100352015986793</v>
      </c>
      <c r="F604" s="30" t="n">
        <f aca="false">Panel!P597-Panel!P596</f>
        <v>0.00158965928885202</v>
      </c>
      <c r="G604" s="30" t="n">
        <f aca="false">Panel!P596-Panel!P595</f>
        <v>-0.000170574968118231</v>
      </c>
    </row>
    <row r="605" customFormat="false" ht="15" hidden="false" customHeight="false" outlineLevel="0" collapsed="false">
      <c r="C605" s="0" t="n">
        <f aca="false">Panel!P600-Panel!P599</f>
        <v>-0.00111757838138971</v>
      </c>
      <c r="D605" s="29" t="n">
        <f aca="false">Panel!P599</f>
        <v>-0.000872003335885552</v>
      </c>
      <c r="E605" s="30" t="n">
        <f aca="false">Panel!P599-Panel!P598</f>
        <v>-0.00133315370300657</v>
      </c>
      <c r="F605" s="30" t="n">
        <f aca="false">Panel!P598-Panel!P597</f>
        <v>-0.00100352015986793</v>
      </c>
      <c r="G605" s="30" t="n">
        <f aca="false">Panel!P597-Panel!P596</f>
        <v>0.00158965928885202</v>
      </c>
    </row>
    <row r="606" customFormat="false" ht="15" hidden="false" customHeight="false" outlineLevel="0" collapsed="false">
      <c r="C606" s="0" t="n">
        <f aca="false">Panel!P601-Panel!P600</f>
        <v>-0.000569804911640048</v>
      </c>
      <c r="D606" s="29" t="n">
        <f aca="false">Panel!P600</f>
        <v>-0.00198958171727526</v>
      </c>
      <c r="E606" s="30" t="n">
        <f aca="false">Panel!P600-Panel!P599</f>
        <v>-0.00111757838138971</v>
      </c>
      <c r="F606" s="30" t="n">
        <f aca="false">Panel!P599-Panel!P598</f>
        <v>-0.00133315370300657</v>
      </c>
      <c r="G606" s="30" t="n">
        <f aca="false">Panel!P598-Panel!P597</f>
        <v>-0.00100352015986793</v>
      </c>
    </row>
    <row r="607" customFormat="false" ht="15" hidden="false" customHeight="false" outlineLevel="0" collapsed="false">
      <c r="C607" s="0" t="n">
        <f aca="false">Panel!P602-Panel!P601</f>
        <v>-0.000803832365992463</v>
      </c>
      <c r="D607" s="29" t="n">
        <f aca="false">Panel!P601</f>
        <v>-0.00255938662891531</v>
      </c>
      <c r="E607" s="30" t="n">
        <f aca="false">Panel!P601-Panel!P600</f>
        <v>-0.000569804911640048</v>
      </c>
      <c r="F607" s="30" t="n">
        <f aca="false">Panel!P600-Panel!P599</f>
        <v>-0.00111757838138971</v>
      </c>
      <c r="G607" s="30" t="n">
        <f aca="false">Panel!P599-Panel!P598</f>
        <v>-0.00133315370300657</v>
      </c>
    </row>
    <row r="608" customFormat="false" ht="15" hidden="false" customHeight="false" outlineLevel="0" collapsed="false">
      <c r="C608" s="0" t="n">
        <f aca="false">Panel!P603-Panel!P602</f>
        <v>-0.00283318954776846</v>
      </c>
      <c r="D608" s="29" t="n">
        <f aca="false">Panel!P602</f>
        <v>-0.00336321899490777</v>
      </c>
      <c r="E608" s="30" t="n">
        <f aca="false">Panel!P602-Panel!P601</f>
        <v>-0.000803832365992463</v>
      </c>
      <c r="F608" s="30" t="n">
        <f aca="false">Panel!P601-Panel!P600</f>
        <v>-0.000569804911640048</v>
      </c>
      <c r="G608" s="30" t="n">
        <f aca="false">Panel!P600-Panel!P599</f>
        <v>-0.00111757838138971</v>
      </c>
    </row>
    <row r="609" customFormat="false" ht="15" hidden="false" customHeight="false" outlineLevel="0" collapsed="false">
      <c r="C609" s="0" t="n">
        <f aca="false">Panel!P604-Panel!P603</f>
        <v>-0.000263553689677565</v>
      </c>
      <c r="D609" s="29" t="n">
        <f aca="false">Panel!P603</f>
        <v>-0.00619640854267622</v>
      </c>
      <c r="E609" s="30" t="n">
        <f aca="false">Panel!P603-Panel!P602</f>
        <v>-0.00283318954776846</v>
      </c>
      <c r="F609" s="30" t="n">
        <f aca="false">Panel!P602-Panel!P601</f>
        <v>-0.000803832365992463</v>
      </c>
      <c r="G609" s="30" t="n">
        <f aca="false">Panel!P601-Panel!P600</f>
        <v>-0.000569804911640048</v>
      </c>
    </row>
    <row r="610" customFormat="false" ht="15" hidden="false" customHeight="false" outlineLevel="0" collapsed="false">
      <c r="C610" s="0" t="n">
        <f aca="false">Panel!P605-Panel!P604</f>
        <v>-1.25483545954097E-005</v>
      </c>
      <c r="D610" s="29" t="n">
        <f aca="false">Panel!P604</f>
        <v>-0.00645996223235379</v>
      </c>
      <c r="E610" s="30" t="n">
        <f aca="false">Panel!P604-Panel!P603</f>
        <v>-0.000263553689677565</v>
      </c>
      <c r="F610" s="30" t="n">
        <f aca="false">Panel!P603-Panel!P602</f>
        <v>-0.00283318954776846</v>
      </c>
      <c r="G610" s="30" t="n">
        <f aca="false">Panel!P602-Panel!P601</f>
        <v>-0.000803832365992463</v>
      </c>
    </row>
    <row r="611" customFormat="false" ht="15" hidden="false" customHeight="false" outlineLevel="0" collapsed="false">
      <c r="C611" s="0" t="n">
        <f aca="false">Panel!P606-Panel!P605</f>
        <v>0.00652203247747885</v>
      </c>
      <c r="D611" s="29" t="n">
        <f aca="false">Panel!P605</f>
        <v>-0.0064725105869492</v>
      </c>
      <c r="E611" s="30" t="n">
        <f aca="false">Panel!P605-Panel!P604</f>
        <v>-1.25483545954097E-005</v>
      </c>
      <c r="F611" s="30" t="n">
        <f aca="false">Panel!P604-Panel!P603</f>
        <v>-0.000263553689677565</v>
      </c>
      <c r="G611" s="30" t="n">
        <f aca="false">Panel!P603-Panel!P602</f>
        <v>-0.00283318954776846</v>
      </c>
    </row>
    <row r="612" customFormat="false" ht="15" hidden="false" customHeight="false" outlineLevel="0" collapsed="false">
      <c r="C612" s="0" t="n">
        <f aca="false">Panel!P607-Panel!P606</f>
        <v>-0.00137967995151023</v>
      </c>
      <c r="D612" s="29" t="n">
        <f aca="false">Panel!P606</f>
        <v>4.95218905296468E-005</v>
      </c>
      <c r="E612" s="30" t="n">
        <f aca="false">Panel!P606-Panel!P605</f>
        <v>0.00652203247747885</v>
      </c>
      <c r="F612" s="30" t="n">
        <f aca="false">Panel!P605-Panel!P604</f>
        <v>-1.25483545954097E-005</v>
      </c>
      <c r="G612" s="30" t="n">
        <f aca="false">Panel!P604-Panel!P603</f>
        <v>-0.000263553689677565</v>
      </c>
    </row>
    <row r="613" customFormat="false" ht="15" hidden="false" customHeight="false" outlineLevel="0" collapsed="false">
      <c r="C613" s="0" t="n">
        <f aca="false">Panel!P608-Panel!P607</f>
        <v>0.00180079708982461</v>
      </c>
      <c r="D613" s="29" t="n">
        <f aca="false">Panel!P607</f>
        <v>-0.00133015806098058</v>
      </c>
      <c r="E613" s="30" t="n">
        <f aca="false">Panel!P607-Panel!P606</f>
        <v>-0.00137967995151023</v>
      </c>
      <c r="F613" s="30" t="n">
        <f aca="false">Panel!P606-Panel!P605</f>
        <v>0.00652203247747885</v>
      </c>
      <c r="G613" s="30" t="n">
        <f aca="false">Panel!P605-Panel!P604</f>
        <v>-1.25483545954097E-005</v>
      </c>
    </row>
    <row r="614" customFormat="false" ht="15" hidden="false" customHeight="false" outlineLevel="0" collapsed="false">
      <c r="C614" s="0" t="n">
        <f aca="false">Panel!P609-Panel!P608</f>
        <v>-0.000544451355445119</v>
      </c>
      <c r="D614" s="29" t="n">
        <f aca="false">Panel!P608</f>
        <v>0.000470639028844033</v>
      </c>
      <c r="E614" s="30" t="n">
        <f aca="false">Panel!P608-Panel!P607</f>
        <v>0.00180079708982461</v>
      </c>
      <c r="F614" s="30" t="n">
        <f aca="false">Panel!P607-Panel!P606</f>
        <v>-0.00137967995151023</v>
      </c>
      <c r="G614" s="30" t="n">
        <f aca="false">Panel!P606-Panel!P605</f>
        <v>0.00652203247747885</v>
      </c>
    </row>
    <row r="615" customFormat="false" ht="15" hidden="false" customHeight="false" outlineLevel="0" collapsed="false">
      <c r="C615" s="0" t="n">
        <f aca="false">Panel!P610-Panel!P609</f>
        <v>-0.000785792788866147</v>
      </c>
      <c r="D615" s="29" t="n">
        <f aca="false">Panel!P609</f>
        <v>-7.38123266010859E-005</v>
      </c>
      <c r="E615" s="30" t="n">
        <f aca="false">Panel!P609-Panel!P608</f>
        <v>-0.000544451355445119</v>
      </c>
      <c r="F615" s="30" t="n">
        <f aca="false">Panel!P608-Panel!P607</f>
        <v>0.00180079708982461</v>
      </c>
      <c r="G615" s="30" t="n">
        <f aca="false">Panel!P607-Panel!P606</f>
        <v>-0.00137967995151023</v>
      </c>
    </row>
    <row r="616" customFormat="false" ht="15" hidden="false" customHeight="false" outlineLevel="0" collapsed="false">
      <c r="C616" s="0" t="n">
        <f aca="false">Panel!P611-Panel!P610</f>
        <v>0.00127283005509682</v>
      </c>
      <c r="D616" s="29" t="n">
        <f aca="false">Panel!P610</f>
        <v>-0.000859605115467232</v>
      </c>
      <c r="E616" s="30" t="n">
        <f aca="false">Panel!P610-Panel!P609</f>
        <v>-0.000785792788866147</v>
      </c>
      <c r="F616" s="30" t="n">
        <f aca="false">Panel!P609-Panel!P608</f>
        <v>-0.000544451355445119</v>
      </c>
      <c r="G616" s="30" t="n">
        <f aca="false">Panel!P608-Panel!P607</f>
        <v>0.00180079708982461</v>
      </c>
    </row>
    <row r="617" customFormat="false" ht="15" hidden="false" customHeight="false" outlineLevel="0" collapsed="false">
      <c r="C617" s="0" t="n">
        <f aca="false">Panel!P612-Panel!P611</f>
        <v>0.00127634302097945</v>
      </c>
      <c r="D617" s="29" t="n">
        <f aca="false">Panel!P611</f>
        <v>0.000413224939629586</v>
      </c>
      <c r="E617" s="30" t="n">
        <f aca="false">Panel!P611-Panel!P610</f>
        <v>0.00127283005509682</v>
      </c>
      <c r="F617" s="30" t="n">
        <f aca="false">Panel!P610-Panel!P609</f>
        <v>-0.000785792788866147</v>
      </c>
      <c r="G617" s="30" t="n">
        <f aca="false">Panel!P609-Panel!P608</f>
        <v>-0.000544451355445119</v>
      </c>
    </row>
    <row r="618" customFormat="false" ht="15" hidden="false" customHeight="false" outlineLevel="0" collapsed="false">
      <c r="C618" s="0" t="n">
        <f aca="false">Panel!P613-Panel!P612</f>
        <v>-0.00202724387609088</v>
      </c>
      <c r="D618" s="29" t="n">
        <f aca="false">Panel!P612</f>
        <v>0.00168956796060904</v>
      </c>
      <c r="E618" s="30" t="n">
        <f aca="false">Panel!P612-Panel!P611</f>
        <v>0.00127634302097945</v>
      </c>
      <c r="F618" s="30" t="n">
        <f aca="false">Panel!P611-Panel!P610</f>
        <v>0.00127283005509682</v>
      </c>
      <c r="G618" s="30" t="n">
        <f aca="false">Panel!P610-Panel!P609</f>
        <v>-0.000785792788866147</v>
      </c>
    </row>
    <row r="619" customFormat="false" ht="15" hidden="false" customHeight="false" outlineLevel="0" collapsed="false">
      <c r="C619" s="0" t="n">
        <f aca="false">Panel!P614-Panel!P613</f>
        <v>-0.00132677222718414</v>
      </c>
      <c r="D619" s="29" t="n">
        <f aca="false">Panel!P613</f>
        <v>-0.000337675915481839</v>
      </c>
      <c r="E619" s="30" t="n">
        <f aca="false">Panel!P613-Panel!P612</f>
        <v>-0.00202724387609088</v>
      </c>
      <c r="F619" s="30" t="n">
        <f aca="false">Panel!P612-Panel!P611</f>
        <v>0.00127634302097945</v>
      </c>
      <c r="G619" s="30" t="n">
        <f aca="false">Panel!P611-Panel!P610</f>
        <v>0.00127283005509682</v>
      </c>
    </row>
    <row r="620" customFormat="false" ht="15" hidden="false" customHeight="false" outlineLevel="0" collapsed="false">
      <c r="C620" s="0" t="n">
        <f aca="false">Panel!P615-Panel!P614</f>
        <v>0.00206533229948036</v>
      </c>
      <c r="D620" s="29" t="n">
        <f aca="false">Panel!P614</f>
        <v>-0.00166444814266598</v>
      </c>
      <c r="E620" s="30" t="n">
        <f aca="false">Panel!P614-Panel!P613</f>
        <v>-0.00132677222718414</v>
      </c>
      <c r="F620" s="30" t="n">
        <f aca="false">Panel!P613-Panel!P612</f>
        <v>-0.00202724387609088</v>
      </c>
      <c r="G620" s="30" t="n">
        <f aca="false">Panel!P612-Panel!P611</f>
        <v>0.00127634302097945</v>
      </c>
    </row>
    <row r="621" customFormat="false" ht="15" hidden="false" customHeight="false" outlineLevel="0" collapsed="false">
      <c r="C621" s="0" t="n">
        <f aca="false">Panel!P616-Panel!P615</f>
        <v>0.000514162138134822</v>
      </c>
      <c r="D621" s="29" t="n">
        <f aca="false">Panel!P615</f>
        <v>0.000400884156814385</v>
      </c>
      <c r="E621" s="30" t="n">
        <f aca="false">Panel!P615-Panel!P614</f>
        <v>0.00206533229948036</v>
      </c>
      <c r="F621" s="30" t="n">
        <f aca="false">Panel!P614-Panel!P613</f>
        <v>-0.00132677222718414</v>
      </c>
      <c r="G621" s="30" t="n">
        <f aca="false">Panel!P613-Panel!P612</f>
        <v>-0.00202724387609088</v>
      </c>
    </row>
    <row r="622" customFormat="false" ht="15" hidden="false" customHeight="false" outlineLevel="0" collapsed="false">
      <c r="C622" s="0" t="n">
        <f aca="false">Panel!P617-Panel!P616</f>
        <v>-0.00152298520952954</v>
      </c>
      <c r="D622" s="29" t="n">
        <f aca="false">Panel!P616</f>
        <v>0.000915046294949207</v>
      </c>
      <c r="E622" s="30" t="n">
        <f aca="false">Panel!P616-Panel!P615</f>
        <v>0.000514162138134822</v>
      </c>
      <c r="F622" s="30" t="n">
        <f aca="false">Panel!P615-Panel!P614</f>
        <v>0.00206533229948036</v>
      </c>
      <c r="G622" s="30" t="n">
        <f aca="false">Panel!P614-Panel!P613</f>
        <v>-0.00132677222718414</v>
      </c>
    </row>
    <row r="623" customFormat="false" ht="15" hidden="false" customHeight="false" outlineLevel="0" collapsed="false">
      <c r="C623" s="0" t="n">
        <f aca="false">Panel!P618-Panel!P617</f>
        <v>0.00139479994773417</v>
      </c>
      <c r="D623" s="29" t="n">
        <f aca="false">Panel!P617</f>
        <v>-0.00060793891458033</v>
      </c>
      <c r="E623" s="30" t="n">
        <f aca="false">Panel!P617-Panel!P616</f>
        <v>-0.00152298520952954</v>
      </c>
      <c r="F623" s="30" t="n">
        <f aca="false">Panel!P616-Panel!P615</f>
        <v>0.000514162138134822</v>
      </c>
      <c r="G623" s="30" t="n">
        <f aca="false">Panel!P615-Panel!P614</f>
        <v>0.00206533229948036</v>
      </c>
    </row>
    <row r="624" customFormat="false" ht="15" hidden="false" customHeight="false" outlineLevel="0" collapsed="false">
      <c r="C624" s="0" t="n">
        <f aca="false">Panel!P619-Panel!P618</f>
        <v>-0.00135536613139209</v>
      </c>
      <c r="D624" s="29" t="n">
        <f aca="false">Panel!P618</f>
        <v>0.000786861033153841</v>
      </c>
      <c r="E624" s="30" t="n">
        <f aca="false">Panel!P618-Panel!P617</f>
        <v>0.00139479994773417</v>
      </c>
      <c r="F624" s="30" t="n">
        <f aca="false">Panel!P617-Panel!P616</f>
        <v>-0.00152298520952954</v>
      </c>
      <c r="G624" s="30" t="n">
        <f aca="false">Panel!P616-Panel!P615</f>
        <v>0.000514162138134822</v>
      </c>
    </row>
    <row r="625" customFormat="false" ht="15" hidden="false" customHeight="false" outlineLevel="0" collapsed="false">
      <c r="C625" s="0" t="n">
        <f aca="false">Panel!P620-Panel!P619</f>
        <v>0.000168727566517646</v>
      </c>
      <c r="D625" s="29" t="n">
        <f aca="false">Panel!P619</f>
        <v>-0.000568505098238248</v>
      </c>
      <c r="E625" s="30" t="n">
        <f aca="false">Panel!P619-Panel!P618</f>
        <v>-0.00135536613139209</v>
      </c>
      <c r="F625" s="30" t="n">
        <f aca="false">Panel!P618-Panel!P617</f>
        <v>0.00139479994773417</v>
      </c>
      <c r="G625" s="30" t="n">
        <f aca="false">Panel!P617-Panel!P616</f>
        <v>-0.00152298520952954</v>
      </c>
    </row>
    <row r="626" customFormat="false" ht="15" hidden="false" customHeight="false" outlineLevel="0" collapsed="false">
      <c r="C626" s="0" t="n">
        <f aca="false">Panel!P621-Panel!P620</f>
        <v>-0.000872349114571236</v>
      </c>
      <c r="D626" s="29" t="n">
        <f aca="false">Panel!P620</f>
        <v>-0.000399777531720602</v>
      </c>
      <c r="E626" s="30" t="n">
        <f aca="false">Panel!P620-Panel!P619</f>
        <v>0.000168727566517646</v>
      </c>
      <c r="F626" s="30" t="n">
        <f aca="false">Panel!P619-Panel!P618</f>
        <v>-0.00135536613139209</v>
      </c>
      <c r="G626" s="30" t="n">
        <f aca="false">Panel!P618-Panel!P617</f>
        <v>0.00139479994773417</v>
      </c>
    </row>
    <row r="627" customFormat="false" ht="15" hidden="false" customHeight="false" outlineLevel="0" collapsed="false">
      <c r="C627" s="0" t="n">
        <f aca="false">Panel!P622-Panel!P621</f>
        <v>0.0013673718912397</v>
      </c>
      <c r="D627" s="29" t="n">
        <f aca="false">Panel!P621</f>
        <v>-0.00127212664629184</v>
      </c>
      <c r="E627" s="30" t="n">
        <f aca="false">Panel!P621-Panel!P620</f>
        <v>-0.000872349114571236</v>
      </c>
      <c r="F627" s="30" t="n">
        <f aca="false">Panel!P620-Panel!P619</f>
        <v>0.000168727566517646</v>
      </c>
      <c r="G627" s="30" t="n">
        <f aca="false">Panel!P619-Panel!P618</f>
        <v>-0.00135536613139209</v>
      </c>
    </row>
    <row r="628" customFormat="false" ht="15" hidden="false" customHeight="false" outlineLevel="0" collapsed="false">
      <c r="C628" s="0" t="n">
        <f aca="false">Panel!P623-Panel!P622</f>
        <v>-0.00280907422202858</v>
      </c>
      <c r="D628" s="29" t="n">
        <f aca="false">Panel!P622</f>
        <v>9.52452449478614E-005</v>
      </c>
      <c r="E628" s="30" t="n">
        <f aca="false">Panel!P622-Panel!P621</f>
        <v>0.0013673718912397</v>
      </c>
      <c r="F628" s="30" t="n">
        <f aca="false">Panel!P621-Panel!P620</f>
        <v>-0.000872349114571236</v>
      </c>
      <c r="G628" s="30" t="n">
        <f aca="false">Panel!P620-Panel!P619</f>
        <v>0.000168727566517646</v>
      </c>
    </row>
    <row r="629" customFormat="false" ht="15" hidden="false" customHeight="false" outlineLevel="0" collapsed="false">
      <c r="C629" s="0" t="n">
        <f aca="false">Panel!P624-Panel!P623</f>
        <v>0.00825966696990577</v>
      </c>
      <c r="D629" s="29" t="n">
        <f aca="false">Panel!P623</f>
        <v>-0.00271382897708072</v>
      </c>
      <c r="E629" s="30" t="n">
        <f aca="false">Panel!P623-Panel!P622</f>
        <v>-0.00280907422202858</v>
      </c>
      <c r="F629" s="30" t="n">
        <f aca="false">Panel!P622-Panel!P621</f>
        <v>0.0013673718912397</v>
      </c>
      <c r="G629" s="30" t="n">
        <f aca="false">Panel!P621-Panel!P620</f>
        <v>-0.000872349114571236</v>
      </c>
    </row>
    <row r="630" customFormat="false" ht="15" hidden="false" customHeight="false" outlineLevel="0" collapsed="false">
      <c r="C630" s="0" t="n">
        <f aca="false">Panel!P625-Panel!P624</f>
        <v>-0.00305278686199273</v>
      </c>
      <c r="D630" s="29" t="n">
        <f aca="false">Panel!P624</f>
        <v>0.00554583799282504</v>
      </c>
      <c r="E630" s="30" t="n">
        <f aca="false">Panel!P624-Panel!P623</f>
        <v>0.00825966696990577</v>
      </c>
      <c r="F630" s="30" t="n">
        <f aca="false">Panel!P623-Panel!P622</f>
        <v>-0.00280907422202858</v>
      </c>
      <c r="G630" s="30" t="n">
        <f aca="false">Panel!P622-Panel!P621</f>
        <v>0.0013673718912397</v>
      </c>
    </row>
    <row r="631" customFormat="false" ht="15" hidden="false" customHeight="false" outlineLevel="0" collapsed="false">
      <c r="C631" s="0" t="n">
        <f aca="false">Panel!P626-Panel!P625</f>
        <v>-0.000153474109396257</v>
      </c>
      <c r="D631" s="29" t="n">
        <f aca="false">Panel!P625</f>
        <v>0.00249305113083231</v>
      </c>
      <c r="E631" s="30" t="n">
        <f aca="false">Panel!P625-Panel!P624</f>
        <v>-0.00305278686199273</v>
      </c>
      <c r="F631" s="30" t="n">
        <f aca="false">Panel!P624-Panel!P623</f>
        <v>0.00825966696990577</v>
      </c>
      <c r="G631" s="30" t="n">
        <f aca="false">Panel!P623-Panel!P622</f>
        <v>-0.00280907422202858</v>
      </c>
    </row>
    <row r="632" customFormat="false" ht="15" hidden="false" customHeight="false" outlineLevel="0" collapsed="false">
      <c r="C632" s="0" t="n">
        <f aca="false">Panel!P627-Panel!P626</f>
        <v>-0.000418773929162342</v>
      </c>
      <c r="D632" s="29" t="n">
        <f aca="false">Panel!P626</f>
        <v>0.00233957702143606</v>
      </c>
      <c r="E632" s="30" t="n">
        <f aca="false">Panel!P626-Panel!P625</f>
        <v>-0.000153474109396257</v>
      </c>
      <c r="F632" s="30" t="n">
        <f aca="false">Panel!P625-Panel!P624</f>
        <v>-0.00305278686199273</v>
      </c>
      <c r="G632" s="30" t="n">
        <f aca="false">Panel!P624-Panel!P623</f>
        <v>0.00825966696990577</v>
      </c>
    </row>
    <row r="633" customFormat="false" ht="15" hidden="false" customHeight="false" outlineLevel="0" collapsed="false">
      <c r="C633" s="0" t="n">
        <f aca="false">Panel!P628-Panel!P627</f>
        <v>-0.00271101480392844</v>
      </c>
      <c r="D633" s="29" t="n">
        <f aca="false">Panel!P627</f>
        <v>0.00192080309227372</v>
      </c>
      <c r="E633" s="30" t="n">
        <f aca="false">Panel!P627-Panel!P626</f>
        <v>-0.000418773929162342</v>
      </c>
      <c r="F633" s="30" t="n">
        <f aca="false">Panel!P626-Panel!P625</f>
        <v>-0.000153474109396257</v>
      </c>
      <c r="G633" s="30" t="n">
        <f aca="false">Panel!P625-Panel!P624</f>
        <v>-0.00305278686199273</v>
      </c>
    </row>
    <row r="634" customFormat="false" ht="15" hidden="false" customHeight="false" outlineLevel="0" collapsed="false">
      <c r="C634" s="0" t="n">
        <f aca="false">Panel!P629-Panel!P628</f>
        <v>0.00137327096933326</v>
      </c>
      <c r="D634" s="29" t="n">
        <f aca="false">Panel!P628</f>
        <v>-0.00079021171165472</v>
      </c>
      <c r="E634" s="30" t="n">
        <f aca="false">Panel!P628-Panel!P627</f>
        <v>-0.00271101480392844</v>
      </c>
      <c r="F634" s="30" t="n">
        <f aca="false">Panel!P627-Panel!P626</f>
        <v>-0.000418773929162342</v>
      </c>
      <c r="G634" s="30" t="n">
        <f aca="false">Panel!P626-Panel!P625</f>
        <v>-0.000153474109396257</v>
      </c>
    </row>
    <row r="635" customFormat="false" ht="15" hidden="false" customHeight="false" outlineLevel="0" collapsed="false">
      <c r="C635" s="0" t="n">
        <f aca="false">Panel!P630-Panel!P629</f>
        <v>-0.00198011712367929</v>
      </c>
      <c r="D635" s="29" t="n">
        <f aca="false">Panel!P629</f>
        <v>0.000583059257678542</v>
      </c>
      <c r="E635" s="30" t="n">
        <f aca="false">Panel!P629-Panel!P628</f>
        <v>0.00137327096933326</v>
      </c>
      <c r="F635" s="30" t="n">
        <f aca="false">Panel!P628-Panel!P627</f>
        <v>-0.00271101480392844</v>
      </c>
      <c r="G635" s="30" t="n">
        <f aca="false">Panel!P627-Panel!P626</f>
        <v>-0.000418773929162342</v>
      </c>
    </row>
    <row r="636" customFormat="false" ht="15" hidden="false" customHeight="false" outlineLevel="0" collapsed="false">
      <c r="C636" s="0" t="n">
        <f aca="false">Panel!P631-Panel!P630</f>
        <v>9.9853844698572E-005</v>
      </c>
      <c r="D636" s="29" t="n">
        <f aca="false">Panel!P630</f>
        <v>-0.00139705786600075</v>
      </c>
      <c r="E636" s="30" t="n">
        <f aca="false">Panel!P630-Panel!P629</f>
        <v>-0.00198011712367929</v>
      </c>
      <c r="F636" s="30" t="n">
        <f aca="false">Panel!P629-Panel!P628</f>
        <v>0.00137327096933326</v>
      </c>
      <c r="G636" s="30" t="n">
        <f aca="false">Panel!P628-Panel!P627</f>
        <v>-0.00271101480392844</v>
      </c>
    </row>
    <row r="637" customFormat="false" ht="15" hidden="false" customHeight="false" outlineLevel="0" collapsed="false">
      <c r="C637" s="0" t="n">
        <f aca="false">Panel!P632-Panel!P631</f>
        <v>0.00120190844891255</v>
      </c>
      <c r="D637" s="29" t="n">
        <f aca="false">Panel!P631</f>
        <v>-0.00129720402130218</v>
      </c>
      <c r="E637" s="30" t="n">
        <f aca="false">Panel!P631-Panel!P630</f>
        <v>9.9853844698572E-005</v>
      </c>
      <c r="F637" s="30" t="n">
        <f aca="false">Panel!P630-Panel!P629</f>
        <v>-0.00198011712367929</v>
      </c>
      <c r="G637" s="30" t="n">
        <f aca="false">Panel!P629-Panel!P628</f>
        <v>0.00137327096933326</v>
      </c>
    </row>
    <row r="638" customFormat="false" ht="15" hidden="false" customHeight="false" outlineLevel="0" collapsed="false">
      <c r="C638" s="0" t="n">
        <f aca="false">Panel!P633-Panel!P632</f>
        <v>0.000346749348077324</v>
      </c>
      <c r="D638" s="29" t="n">
        <f aca="false">Panel!P632</f>
        <v>-9.52955723896309E-005</v>
      </c>
      <c r="E638" s="30" t="n">
        <f aca="false">Panel!P632-Panel!P631</f>
        <v>0.00120190844891255</v>
      </c>
      <c r="F638" s="30" t="n">
        <f aca="false">Panel!P631-Panel!P630</f>
        <v>9.9853844698572E-005</v>
      </c>
      <c r="G638" s="30" t="n">
        <f aca="false">Panel!P630-Panel!P629</f>
        <v>-0.00198011712367929</v>
      </c>
    </row>
    <row r="639" customFormat="false" ht="15" hidden="false" customHeight="false" outlineLevel="0" collapsed="false">
      <c r="C639" s="0" t="n">
        <f aca="false">Panel!P634-Panel!P633</f>
        <v>-0.00158278853573002</v>
      </c>
      <c r="D639" s="29" t="n">
        <f aca="false">Panel!P633</f>
        <v>0.000251453775687693</v>
      </c>
      <c r="E639" s="30" t="n">
        <f aca="false">Panel!P633-Panel!P632</f>
        <v>0.000346749348077324</v>
      </c>
      <c r="F639" s="30" t="n">
        <f aca="false">Panel!P632-Panel!P631</f>
        <v>0.00120190844891255</v>
      </c>
      <c r="G639" s="30" t="n">
        <f aca="false">Panel!P631-Panel!P630</f>
        <v>9.9853844698572E-005</v>
      </c>
    </row>
    <row r="640" customFormat="false" ht="15" hidden="false" customHeight="false" outlineLevel="0" collapsed="false">
      <c r="C640" s="0" t="n">
        <f aca="false">Panel!P635-Panel!P634</f>
        <v>0.000527442779432619</v>
      </c>
      <c r="D640" s="29" t="n">
        <f aca="false">Panel!P634</f>
        <v>-0.00133133476004232</v>
      </c>
      <c r="E640" s="30" t="n">
        <f aca="false">Panel!P634-Panel!P633</f>
        <v>-0.00158278853573002</v>
      </c>
      <c r="F640" s="30" t="n">
        <f aca="false">Panel!P633-Panel!P632</f>
        <v>0.000346749348077324</v>
      </c>
      <c r="G640" s="30" t="n">
        <f aca="false">Panel!P632-Panel!P631</f>
        <v>0.00120190844891255</v>
      </c>
    </row>
    <row r="641" customFormat="false" ht="15" hidden="false" customHeight="false" outlineLevel="0" collapsed="false">
      <c r="C641" s="0" t="n">
        <f aca="false">Panel!P636-Panel!P635</f>
        <v>0.000645714901398975</v>
      </c>
      <c r="D641" s="29" t="n">
        <f aca="false">Panel!P635</f>
        <v>-0.000803891980609706</v>
      </c>
      <c r="E641" s="30" t="n">
        <f aca="false">Panel!P635-Panel!P634</f>
        <v>0.000527442779432619</v>
      </c>
      <c r="F641" s="30" t="n">
        <f aca="false">Panel!P634-Panel!P633</f>
        <v>-0.00158278853573002</v>
      </c>
      <c r="G641" s="30" t="n">
        <f aca="false">Panel!P633-Panel!P632</f>
        <v>0.000346749348077324</v>
      </c>
    </row>
    <row r="642" customFormat="false" ht="15" hidden="false" customHeight="false" outlineLevel="0" collapsed="false">
      <c r="C642" s="0" t="n">
        <f aca="false">Panel!P637-Panel!P636</f>
        <v>-0.00164462940310983</v>
      </c>
      <c r="D642" s="29" t="n">
        <f aca="false">Panel!P636</f>
        <v>-0.000158177079210731</v>
      </c>
      <c r="E642" s="30" t="n">
        <f aca="false">Panel!P636-Panel!P635</f>
        <v>0.000645714901398975</v>
      </c>
      <c r="F642" s="30" t="n">
        <f aca="false">Panel!P635-Panel!P634</f>
        <v>0.000527442779432619</v>
      </c>
      <c r="G642" s="30" t="n">
        <f aca="false">Panel!P634-Panel!P633</f>
        <v>-0.00158278853573002</v>
      </c>
    </row>
    <row r="643" customFormat="false" ht="15" hidden="false" customHeight="false" outlineLevel="0" collapsed="false">
      <c r="C643" s="0" t="n">
        <f aca="false">Panel!P638-Panel!P637</f>
        <v>0.00076719311064366</v>
      </c>
      <c r="D643" s="29" t="n">
        <f aca="false">Panel!P637</f>
        <v>-0.00180280648232056</v>
      </c>
      <c r="E643" s="30" t="n">
        <f aca="false">Panel!P637-Panel!P636</f>
        <v>-0.00164462940310983</v>
      </c>
      <c r="F643" s="30" t="n">
        <f aca="false">Panel!P636-Panel!P635</f>
        <v>0.000645714901398975</v>
      </c>
      <c r="G643" s="30" t="n">
        <f aca="false">Panel!P635-Panel!P634</f>
        <v>0.000527442779432619</v>
      </c>
    </row>
    <row r="644" customFormat="false" ht="15" hidden="false" customHeight="false" outlineLevel="0" collapsed="false">
      <c r="C644" s="0" t="n">
        <f aca="false">Panel!P639-Panel!P638</f>
        <v>0.00128186297381383</v>
      </c>
      <c r="D644" s="29" t="n">
        <f aca="false">Panel!P638</f>
        <v>-0.0010356133716769</v>
      </c>
      <c r="E644" s="30" t="n">
        <f aca="false">Panel!P638-Panel!P637</f>
        <v>0.00076719311064366</v>
      </c>
      <c r="F644" s="30" t="n">
        <f aca="false">Panel!P637-Panel!P636</f>
        <v>-0.00164462940310983</v>
      </c>
      <c r="G644" s="30" t="n">
        <f aca="false">Panel!P636-Panel!P635</f>
        <v>0.000645714901398975</v>
      </c>
    </row>
    <row r="645" customFormat="false" ht="15" hidden="false" customHeight="false" outlineLevel="0" collapsed="false">
      <c r="C645" s="0" t="n">
        <f aca="false">Panel!P640-Panel!P639</f>
        <v>-0.0014330660623223</v>
      </c>
      <c r="D645" s="29" t="n">
        <f aca="false">Panel!P639</f>
        <v>0.000246249602136928</v>
      </c>
      <c r="E645" s="30" t="n">
        <f aca="false">Panel!P639-Panel!P638</f>
        <v>0.00128186297381383</v>
      </c>
      <c r="F645" s="30" t="n">
        <f aca="false">Panel!P638-Panel!P637</f>
        <v>0.00076719311064366</v>
      </c>
      <c r="G645" s="30" t="n">
        <f aca="false">Panel!P637-Panel!P636</f>
        <v>-0.00164462940310983</v>
      </c>
    </row>
    <row r="646" customFormat="false" ht="15" hidden="false" customHeight="false" outlineLevel="0" collapsed="false">
      <c r="C646" s="0" t="n">
        <f aca="false">Panel!P641-Panel!P640</f>
        <v>-0.000161631772442661</v>
      </c>
      <c r="D646" s="29" t="n">
        <f aca="false">Panel!P640</f>
        <v>-0.00118681646018537</v>
      </c>
      <c r="E646" s="30" t="n">
        <f aca="false">Panel!P640-Panel!P639</f>
        <v>-0.0014330660623223</v>
      </c>
      <c r="F646" s="30" t="n">
        <f aca="false">Panel!P639-Panel!P638</f>
        <v>0.00128186297381383</v>
      </c>
      <c r="G646" s="30" t="n">
        <f aca="false">Panel!P638-Panel!P637</f>
        <v>0.00076719311064366</v>
      </c>
    </row>
    <row r="647" customFormat="false" ht="15" hidden="false" customHeight="false" outlineLevel="0" collapsed="false">
      <c r="C647" s="0" t="n">
        <f aca="false">Panel!P642-Panel!P641</f>
        <v>-0.00222390517677518</v>
      </c>
      <c r="D647" s="29" t="n">
        <f aca="false">Panel!P641</f>
        <v>-0.00134844823262803</v>
      </c>
      <c r="E647" s="30" t="n">
        <f aca="false">Panel!P641-Panel!P640</f>
        <v>-0.000161631772442661</v>
      </c>
      <c r="F647" s="30" t="n">
        <f aca="false">Panel!P640-Panel!P639</f>
        <v>-0.0014330660623223</v>
      </c>
      <c r="G647" s="30" t="n">
        <f aca="false">Panel!P639-Panel!P638</f>
        <v>0.00128186297381383</v>
      </c>
    </row>
    <row r="648" customFormat="false" ht="15" hidden="false" customHeight="false" outlineLevel="0" collapsed="false">
      <c r="C648" s="0" t="n">
        <f aca="false">Panel!P643-Panel!P642</f>
        <v>0.00887613287140354</v>
      </c>
      <c r="D648" s="29" t="n">
        <f aca="false">Panel!P642</f>
        <v>-0.00357235340940321</v>
      </c>
      <c r="E648" s="30" t="n">
        <f aca="false">Panel!P642-Panel!P641</f>
        <v>-0.00222390517677518</v>
      </c>
      <c r="F648" s="30" t="n">
        <f aca="false">Panel!P641-Panel!P640</f>
        <v>-0.000161631772442661</v>
      </c>
      <c r="G648" s="30" t="n">
        <f aca="false">Panel!P640-Panel!P639</f>
        <v>-0.0014330660623223</v>
      </c>
    </row>
    <row r="649" customFormat="false" ht="15" hidden="false" customHeight="false" outlineLevel="0" collapsed="false">
      <c r="C649" s="0" t="n">
        <f aca="false">Panel!P644-Panel!P643</f>
        <v>-0.00113968352353844</v>
      </c>
      <c r="D649" s="29" t="n">
        <f aca="false">Panel!P643</f>
        <v>0.00530377946200034</v>
      </c>
      <c r="E649" s="30" t="n">
        <f aca="false">Panel!P643-Panel!P642</f>
        <v>0.00887613287140354</v>
      </c>
      <c r="F649" s="30" t="n">
        <f aca="false">Panel!P642-Panel!P641</f>
        <v>-0.00222390517677518</v>
      </c>
      <c r="G649" s="30" t="n">
        <f aca="false">Panel!P641-Panel!P640</f>
        <v>-0.000161631772442661</v>
      </c>
    </row>
    <row r="650" customFormat="false" ht="15" hidden="false" customHeight="false" outlineLevel="0" collapsed="false">
      <c r="C650" s="0" t="n">
        <f aca="false">Panel!P645-Panel!P644</f>
        <v>0.000470413990335317</v>
      </c>
      <c r="D650" s="29" t="n">
        <f aca="false">Panel!P644</f>
        <v>0.0041640959384619</v>
      </c>
      <c r="E650" s="30" t="n">
        <f aca="false">Panel!P644-Panel!P643</f>
        <v>-0.00113968352353844</v>
      </c>
      <c r="F650" s="30" t="n">
        <f aca="false">Panel!P643-Panel!P642</f>
        <v>0.00887613287140354</v>
      </c>
      <c r="G650" s="30" t="n">
        <f aca="false">Panel!P642-Panel!P641</f>
        <v>-0.00222390517677518</v>
      </c>
    </row>
    <row r="651" customFormat="false" ht="15" hidden="false" customHeight="false" outlineLevel="0" collapsed="false">
      <c r="C651" s="0" t="n">
        <f aca="false">Panel!P646-Panel!P645</f>
        <v>-0.00178814242608816</v>
      </c>
      <c r="D651" s="29" t="n">
        <f aca="false">Panel!P645</f>
        <v>0.00463450992879722</v>
      </c>
      <c r="E651" s="30" t="n">
        <f aca="false">Panel!P645-Panel!P644</f>
        <v>0.000470413990335317</v>
      </c>
      <c r="F651" s="30" t="n">
        <f aca="false">Panel!P644-Panel!P643</f>
        <v>-0.00113968352353844</v>
      </c>
      <c r="G651" s="30" t="n">
        <f aca="false">Panel!P643-Panel!P642</f>
        <v>0.00887613287140354</v>
      </c>
    </row>
    <row r="652" customFormat="false" ht="15" hidden="false" customHeight="false" outlineLevel="0" collapsed="false">
      <c r="C652" s="0" t="n">
        <f aca="false">Panel!P647-Panel!P646</f>
        <v>5.02984130665851E-005</v>
      </c>
      <c r="D652" s="29" t="n">
        <f aca="false">Panel!P646</f>
        <v>0.00284636750270906</v>
      </c>
      <c r="E652" s="30" t="n">
        <f aca="false">Panel!P646-Panel!P645</f>
        <v>-0.00178814242608816</v>
      </c>
      <c r="F652" s="30" t="n">
        <f aca="false">Panel!P645-Panel!P644</f>
        <v>0.000470413990335317</v>
      </c>
      <c r="G652" s="30" t="n">
        <f aca="false">Panel!P644-Panel!P643</f>
        <v>-0.00113968352353844</v>
      </c>
    </row>
    <row r="653" customFormat="false" ht="15" hidden="false" customHeight="false" outlineLevel="0" collapsed="false">
      <c r="C653" s="0" t="n">
        <f aca="false">Panel!P648-Panel!P647</f>
        <v>-0.000457934184280973</v>
      </c>
      <c r="D653" s="29" t="n">
        <f aca="false">Panel!P647</f>
        <v>0.00289666591577564</v>
      </c>
      <c r="E653" s="30" t="n">
        <f aca="false">Panel!P647-Panel!P646</f>
        <v>5.02984130665851E-005</v>
      </c>
      <c r="F653" s="30" t="n">
        <f aca="false">Panel!P646-Panel!P645</f>
        <v>-0.00178814242608816</v>
      </c>
      <c r="G653" s="30" t="n">
        <f aca="false">Panel!P645-Panel!P644</f>
        <v>0.000470413990335317</v>
      </c>
    </row>
    <row r="654" customFormat="false" ht="15" hidden="false" customHeight="false" outlineLevel="0" collapsed="false">
      <c r="C654" s="0" t="n">
        <f aca="false">Panel!P649-Panel!P648</f>
        <v>0.000593034578322715</v>
      </c>
      <c r="D654" s="29" t="n">
        <f aca="false">Panel!P648</f>
        <v>0.00243873173149467</v>
      </c>
      <c r="E654" s="30" t="n">
        <f aca="false">Panel!P648-Panel!P647</f>
        <v>-0.000457934184280973</v>
      </c>
      <c r="F654" s="30" t="n">
        <f aca="false">Panel!P647-Panel!P646</f>
        <v>5.02984130665851E-005</v>
      </c>
      <c r="G654" s="30" t="n">
        <f aca="false">Panel!P646-Panel!P645</f>
        <v>-0.00178814242608816</v>
      </c>
    </row>
    <row r="655" customFormat="false" ht="15" hidden="false" customHeight="false" outlineLevel="0" collapsed="false">
      <c r="C655" s="0" t="n">
        <f aca="false">Panel!P650-Panel!P649</f>
        <v>0.000749689979949508</v>
      </c>
      <c r="D655" s="29" t="n">
        <f aca="false">Panel!P649</f>
        <v>0.00303176630981739</v>
      </c>
      <c r="E655" s="30" t="n">
        <f aca="false">Panel!P649-Panel!P648</f>
        <v>0.000593034578322715</v>
      </c>
      <c r="F655" s="30" t="n">
        <f aca="false">Panel!P648-Panel!P647</f>
        <v>-0.000457934184280973</v>
      </c>
      <c r="G655" s="30" t="n">
        <f aca="false">Panel!P647-Panel!P646</f>
        <v>5.02984130665851E-005</v>
      </c>
    </row>
    <row r="656" customFormat="false" ht="15" hidden="false" customHeight="false" outlineLevel="0" collapsed="false">
      <c r="C656" s="0" t="n">
        <f aca="false">Panel!P651-Panel!P650</f>
        <v>-0.00236795954860902</v>
      </c>
      <c r="D656" s="29" t="n">
        <f aca="false">Panel!P650</f>
        <v>0.00378145628976689</v>
      </c>
      <c r="E656" s="30" t="n">
        <f aca="false">Panel!P650-Panel!P649</f>
        <v>0.000749689979949508</v>
      </c>
      <c r="F656" s="30" t="n">
        <f aca="false">Panel!P649-Panel!P648</f>
        <v>0.000593034578322715</v>
      </c>
      <c r="G656" s="30" t="n">
        <f aca="false">Panel!P648-Panel!P647</f>
        <v>-0.000457934184280973</v>
      </c>
    </row>
    <row r="657" customFormat="false" ht="15" hidden="false" customHeight="false" outlineLevel="0" collapsed="false">
      <c r="C657" s="0" t="n">
        <f aca="false">Panel!P652-Panel!P651</f>
        <v>-0.000836249887248286</v>
      </c>
      <c r="D657" s="29" t="n">
        <f aca="false">Panel!P651</f>
        <v>0.00141349674115787</v>
      </c>
      <c r="E657" s="30" t="n">
        <f aca="false">Panel!P651-Panel!P650</f>
        <v>-0.00236795954860902</v>
      </c>
      <c r="F657" s="30" t="n">
        <f aca="false">Panel!P650-Panel!P649</f>
        <v>0.000749689979949508</v>
      </c>
      <c r="G657" s="30" t="n">
        <f aca="false">Panel!P649-Panel!P648</f>
        <v>0.000593034578322715</v>
      </c>
    </row>
    <row r="658" customFormat="false" ht="15" hidden="false" customHeight="false" outlineLevel="0" collapsed="false">
      <c r="C658" s="0" t="n">
        <f aca="false">Panel!P653-Panel!P652</f>
        <v>-0.00150827876893267</v>
      </c>
      <c r="D658" s="29" t="n">
        <f aca="false">Panel!P652</f>
        <v>0.000577246853909585</v>
      </c>
      <c r="E658" s="30" t="n">
        <f aca="false">Panel!P652-Panel!P651</f>
        <v>-0.000836249887248286</v>
      </c>
      <c r="F658" s="30" t="n">
        <f aca="false">Panel!P651-Panel!P650</f>
        <v>-0.00236795954860902</v>
      </c>
      <c r="G658" s="30" t="n">
        <f aca="false">Panel!P650-Panel!P649</f>
        <v>0.000749689979949508</v>
      </c>
    </row>
    <row r="659" customFormat="false" ht="15" hidden="false" customHeight="false" outlineLevel="0" collapsed="false">
      <c r="C659" s="0" t="n">
        <f aca="false">Panel!P654-Panel!P653</f>
        <v>0.00143387148174412</v>
      </c>
      <c r="D659" s="29" t="n">
        <f aca="false">Panel!P653</f>
        <v>-0.000931031915023084</v>
      </c>
      <c r="E659" s="30" t="n">
        <f aca="false">Panel!P653-Panel!P652</f>
        <v>-0.00150827876893267</v>
      </c>
      <c r="F659" s="30" t="n">
        <f aca="false">Panel!P652-Panel!P651</f>
        <v>-0.000836249887248286</v>
      </c>
      <c r="G659" s="30" t="n">
        <f aca="false">Panel!P651-Panel!P650</f>
        <v>-0.00236795954860902</v>
      </c>
    </row>
    <row r="660" customFormat="false" ht="15" hidden="false" customHeight="false" outlineLevel="0" collapsed="false">
      <c r="C660" s="0" t="n">
        <f aca="false">Panel!P655-Panel!P654</f>
        <v>-0.000319293665340226</v>
      </c>
      <c r="D660" s="29" t="n">
        <f aca="false">Panel!P654</f>
        <v>0.000502839566721036</v>
      </c>
      <c r="E660" s="30" t="n">
        <f aca="false">Panel!P654-Panel!P653</f>
        <v>0.00143387148174412</v>
      </c>
      <c r="F660" s="30" t="n">
        <f aca="false">Panel!P653-Panel!P652</f>
        <v>-0.00150827876893267</v>
      </c>
      <c r="G660" s="30" t="n">
        <f aca="false">Panel!P652-Panel!P651</f>
        <v>-0.000836249887248286</v>
      </c>
    </row>
    <row r="661" customFormat="false" ht="15" hidden="false" customHeight="false" outlineLevel="0" collapsed="false">
      <c r="C661" s="0" t="n">
        <f aca="false">Panel!P656-Panel!P655</f>
        <v>-0.000685047292082075</v>
      </c>
      <c r="D661" s="29" t="n">
        <f aca="false">Panel!P655</f>
        <v>0.000183545901380811</v>
      </c>
      <c r="E661" s="30" t="n">
        <f aca="false">Panel!P655-Panel!P654</f>
        <v>-0.000319293665340226</v>
      </c>
      <c r="F661" s="30" t="n">
        <f aca="false">Panel!P654-Panel!P653</f>
        <v>0.00143387148174412</v>
      </c>
      <c r="G661" s="30" t="n">
        <f aca="false">Panel!P653-Panel!P652</f>
        <v>-0.00150827876893267</v>
      </c>
    </row>
    <row r="662" customFormat="false" ht="15" hidden="false" customHeight="false" outlineLevel="0" collapsed="false">
      <c r="C662" s="0" t="n">
        <f aca="false">Panel!P657-Panel!P656</f>
        <v>-0.000713533123478882</v>
      </c>
      <c r="D662" s="29" t="n">
        <f aca="false">Panel!P656</f>
        <v>-0.000501501390701264</v>
      </c>
      <c r="E662" s="30" t="n">
        <f aca="false">Panel!P656-Panel!P655</f>
        <v>-0.000685047292082075</v>
      </c>
      <c r="F662" s="30" t="n">
        <f aca="false">Panel!P655-Panel!P654</f>
        <v>-0.000319293665340226</v>
      </c>
      <c r="G662" s="30" t="n">
        <f aca="false">Panel!P654-Panel!P653</f>
        <v>0.00143387148174412</v>
      </c>
    </row>
    <row r="663" customFormat="false" ht="15" hidden="false" customHeight="false" outlineLevel="0" collapsed="false">
      <c r="C663" s="0" t="n">
        <f aca="false">Panel!P658-Panel!P657</f>
        <v>0.00157887821876557</v>
      </c>
      <c r="D663" s="29" t="n">
        <f aca="false">Panel!P657</f>
        <v>-0.00121503451418015</v>
      </c>
      <c r="E663" s="30" t="n">
        <f aca="false">Panel!P657-Panel!P656</f>
        <v>-0.000713533123478882</v>
      </c>
      <c r="F663" s="30" t="n">
        <f aca="false">Panel!P656-Panel!P655</f>
        <v>-0.000685047292082075</v>
      </c>
      <c r="G663" s="30" t="n">
        <f aca="false">Panel!P655-Panel!P654</f>
        <v>-0.000319293665340226</v>
      </c>
    </row>
    <row r="664" customFormat="false" ht="15" hidden="false" customHeight="false" outlineLevel="0" collapsed="false">
      <c r="C664" s="0" t="n">
        <f aca="false">Panel!P659-Panel!P658</f>
        <v>-0.0013814581719096</v>
      </c>
      <c r="D664" s="29" t="n">
        <f aca="false">Panel!P658</f>
        <v>0.00036384370458542</v>
      </c>
      <c r="E664" s="30" t="n">
        <f aca="false">Panel!P658-Panel!P657</f>
        <v>0.00157887821876557</v>
      </c>
      <c r="F664" s="30" t="n">
        <f aca="false">Panel!P657-Panel!P656</f>
        <v>-0.000713533123478882</v>
      </c>
      <c r="G664" s="30" t="n">
        <f aca="false">Panel!P656-Panel!P655</f>
        <v>-0.000685047292082075</v>
      </c>
    </row>
    <row r="665" customFormat="false" ht="15" hidden="false" customHeight="false" outlineLevel="0" collapsed="false">
      <c r="C665" s="0" t="n">
        <f aca="false">Panel!P660-Panel!P659</f>
        <v>0.0012664813424994</v>
      </c>
      <c r="D665" s="29" t="n">
        <f aca="false">Panel!P659</f>
        <v>-0.00101761446732418</v>
      </c>
      <c r="E665" s="30" t="n">
        <f aca="false">Panel!P659-Panel!P658</f>
        <v>-0.0013814581719096</v>
      </c>
      <c r="F665" s="30" t="n">
        <f aca="false">Panel!P658-Panel!P657</f>
        <v>0.00157887821876557</v>
      </c>
      <c r="G665" s="30" t="n">
        <f aca="false">Panel!P657-Panel!P656</f>
        <v>-0.000713533123478882</v>
      </c>
    </row>
    <row r="666" customFormat="false" ht="15" hidden="false" customHeight="false" outlineLevel="0" collapsed="false">
      <c r="C666" s="0" t="n">
        <f aca="false">Panel!P661-Panel!P660</f>
        <v>-0.000577548299840913</v>
      </c>
      <c r="D666" s="29" t="n">
        <f aca="false">Panel!P660</f>
        <v>0.000248866875175224</v>
      </c>
      <c r="E666" s="30" t="n">
        <f aca="false">Panel!P660-Panel!P659</f>
        <v>0.0012664813424994</v>
      </c>
      <c r="F666" s="30" t="n">
        <f aca="false">Panel!P659-Panel!P658</f>
        <v>-0.0013814581719096</v>
      </c>
      <c r="G666" s="30" t="n">
        <f aca="false">Panel!P658-Panel!P657</f>
        <v>0.00157887821876557</v>
      </c>
    </row>
    <row r="667" customFormat="false" ht="15" hidden="false" customHeight="false" outlineLevel="0" collapsed="false">
      <c r="C667" s="0" t="n">
        <f aca="false">Panel!P662-Panel!P661</f>
        <v>-0.000132243117665354</v>
      </c>
      <c r="D667" s="29" t="n">
        <f aca="false">Panel!P661</f>
        <v>-0.000328681424665689</v>
      </c>
      <c r="E667" s="30" t="n">
        <f aca="false">Panel!P661-Panel!P660</f>
        <v>-0.000577548299840913</v>
      </c>
      <c r="F667" s="30" t="n">
        <f aca="false">Panel!P660-Panel!P659</f>
        <v>0.0012664813424994</v>
      </c>
      <c r="G667" s="30" t="n">
        <f aca="false">Panel!P659-Panel!P658</f>
        <v>-0.0013814581719096</v>
      </c>
    </row>
    <row r="668" customFormat="false" ht="15" hidden="false" customHeight="false" outlineLevel="0" collapsed="false">
      <c r="C668" s="0" t="n">
        <f aca="false">Panel!P663-Panel!P662</f>
        <v>-0.000881383612101772</v>
      </c>
      <c r="D668" s="29" t="n">
        <f aca="false">Panel!P662</f>
        <v>-0.000460924542331043</v>
      </c>
      <c r="E668" s="30" t="n">
        <f aca="false">Panel!P662-Panel!P661</f>
        <v>-0.000132243117665354</v>
      </c>
      <c r="F668" s="30" t="n">
        <f aca="false">Panel!P661-Panel!P660</f>
        <v>-0.000577548299840913</v>
      </c>
      <c r="G668" s="30" t="n">
        <f aca="false">Panel!P660-Panel!P659</f>
        <v>0.0012664813424994</v>
      </c>
    </row>
    <row r="669" customFormat="false" ht="15" hidden="false" customHeight="false" outlineLevel="0" collapsed="false">
      <c r="C669" s="0" t="n">
        <f aca="false">Panel!P664-Panel!P663</f>
        <v>-0.000678347393559875</v>
      </c>
      <c r="D669" s="29" t="n">
        <f aca="false">Panel!P663</f>
        <v>-0.00134230815443281</v>
      </c>
      <c r="E669" s="30" t="n">
        <f aca="false">Panel!P663-Panel!P662</f>
        <v>-0.000881383612101772</v>
      </c>
      <c r="F669" s="30" t="n">
        <f aca="false">Panel!P662-Panel!P661</f>
        <v>-0.000132243117665354</v>
      </c>
      <c r="G669" s="30" t="n">
        <f aca="false">Panel!P661-Panel!P660</f>
        <v>-0.000577548299840913</v>
      </c>
    </row>
    <row r="670" customFormat="false" ht="15" hidden="false" customHeight="false" outlineLevel="0" collapsed="false">
      <c r="C670" s="0" t="n">
        <f aca="false">Panel!P665-Panel!P664</f>
        <v>-0.000539810690591835</v>
      </c>
      <c r="D670" s="29" t="n">
        <f aca="false">Panel!P664</f>
        <v>-0.00202065554799269</v>
      </c>
      <c r="E670" s="30" t="n">
        <f aca="false">Panel!P664-Panel!P663</f>
        <v>-0.000678347393559875</v>
      </c>
      <c r="F670" s="30" t="n">
        <f aca="false">Panel!P663-Panel!P662</f>
        <v>-0.000881383612101772</v>
      </c>
      <c r="G670" s="30" t="n">
        <f aca="false">Panel!P662-Panel!P661</f>
        <v>-0.000132243117665354</v>
      </c>
    </row>
    <row r="671" customFormat="false" ht="15" hidden="false" customHeight="false" outlineLevel="0" collapsed="false">
      <c r="C671" s="0" t="n">
        <f aca="false">Panel!P666-Panel!P665</f>
        <v>-0.00113854166480998</v>
      </c>
      <c r="D671" s="29" t="n">
        <f aca="false">Panel!P665</f>
        <v>-0.00256046623858452</v>
      </c>
      <c r="E671" s="30" t="n">
        <f aca="false">Panel!P665-Panel!P664</f>
        <v>-0.000539810690591835</v>
      </c>
      <c r="F671" s="30" t="n">
        <f aca="false">Panel!P664-Panel!P663</f>
        <v>-0.000678347393559875</v>
      </c>
      <c r="G671" s="30" t="n">
        <f aca="false">Panel!P663-Panel!P662</f>
        <v>-0.000881383612101772</v>
      </c>
    </row>
    <row r="672" customFormat="false" ht="15" hidden="false" customHeight="false" outlineLevel="0" collapsed="false">
      <c r="C672" s="0" t="n">
        <f aca="false">Panel!P667-Panel!P666</f>
        <v>0.00834370996285472</v>
      </c>
      <c r="D672" s="29" t="n">
        <f aca="false">Panel!P666</f>
        <v>-0.0036990079033945</v>
      </c>
      <c r="E672" s="30" t="n">
        <f aca="false">Panel!P666-Panel!P665</f>
        <v>-0.00113854166480998</v>
      </c>
      <c r="F672" s="30" t="n">
        <f aca="false">Panel!P665-Panel!P664</f>
        <v>-0.000539810690591835</v>
      </c>
      <c r="G672" s="30" t="n">
        <f aca="false">Panel!P664-Panel!P663</f>
        <v>-0.000678347393559875</v>
      </c>
    </row>
    <row r="673" customFormat="false" ht="15" hidden="false" customHeight="false" outlineLevel="0" collapsed="false">
      <c r="C673" s="0" t="n">
        <f aca="false">Panel!P668-Panel!P667</f>
        <v>-0.000538367347729718</v>
      </c>
      <c r="D673" s="29" t="n">
        <f aca="false">Panel!P667</f>
        <v>0.00464470205946022</v>
      </c>
      <c r="E673" s="30" t="n">
        <f aca="false">Panel!P667-Panel!P666</f>
        <v>0.00834370996285472</v>
      </c>
      <c r="F673" s="30" t="n">
        <f aca="false">Panel!P666-Panel!P665</f>
        <v>-0.00113854166480998</v>
      </c>
      <c r="G673" s="30" t="n">
        <f aca="false">Panel!P665-Panel!P664</f>
        <v>-0.000539810690591835</v>
      </c>
    </row>
    <row r="674" customFormat="false" ht="15" hidden="false" customHeight="false" outlineLevel="0" collapsed="false">
      <c r="C674" s="0" t="n">
        <f aca="false">Panel!P669-Panel!P668</f>
        <v>-0.000470910216572307</v>
      </c>
      <c r="D674" s="29" t="n">
        <f aca="false">Panel!P668</f>
        <v>0.0041063347117305</v>
      </c>
      <c r="E674" s="30" t="n">
        <f aca="false">Panel!P668-Panel!P667</f>
        <v>-0.000538367347729718</v>
      </c>
      <c r="F674" s="30" t="n">
        <f aca="false">Panel!P667-Panel!P666</f>
        <v>0.00834370996285472</v>
      </c>
      <c r="G674" s="30" t="n">
        <f aca="false">Panel!P666-Panel!P665</f>
        <v>-0.00113854166480998</v>
      </c>
    </row>
    <row r="675" customFormat="false" ht="15" hidden="false" customHeight="false" outlineLevel="0" collapsed="false">
      <c r="C675" s="0" t="n">
        <f aca="false">Panel!P670-Panel!P669</f>
        <v>-0.00135697279844038</v>
      </c>
      <c r="D675" s="29" t="n">
        <f aca="false">Panel!P669</f>
        <v>0.00363542449515819</v>
      </c>
      <c r="E675" s="30" t="n">
        <f aca="false">Panel!P669-Panel!P668</f>
        <v>-0.000470910216572307</v>
      </c>
      <c r="F675" s="30" t="n">
        <f aca="false">Panel!P668-Panel!P667</f>
        <v>-0.000538367347729718</v>
      </c>
      <c r="G675" s="30" t="n">
        <f aca="false">Panel!P667-Panel!P666</f>
        <v>0.00834370996285472</v>
      </c>
    </row>
    <row r="676" customFormat="false" ht="15" hidden="false" customHeight="false" outlineLevel="0" collapsed="false">
      <c r="C676" s="0" t="n">
        <f aca="false">Panel!P671-Panel!P670</f>
        <v>-0.000721504277880314</v>
      </c>
      <c r="D676" s="29" t="n">
        <f aca="false">Panel!P670</f>
        <v>0.00227845169671781</v>
      </c>
      <c r="E676" s="30" t="n">
        <f aca="false">Panel!P670-Panel!P669</f>
        <v>-0.00135697279844038</v>
      </c>
      <c r="F676" s="30" t="n">
        <f aca="false">Panel!P669-Panel!P668</f>
        <v>-0.000470910216572307</v>
      </c>
      <c r="G676" s="30" t="n">
        <f aca="false">Panel!P668-Panel!P667</f>
        <v>-0.000538367347729718</v>
      </c>
    </row>
    <row r="677" customFormat="false" ht="15" hidden="false" customHeight="false" outlineLevel="0" collapsed="false">
      <c r="C677" s="0" t="n">
        <f aca="false">Panel!P672-Panel!P671</f>
        <v>-0.000840024142526374</v>
      </c>
      <c r="D677" s="29" t="n">
        <f aca="false">Panel!P671</f>
        <v>0.0015569474188375</v>
      </c>
      <c r="E677" s="30" t="n">
        <f aca="false">Panel!P671-Panel!P670</f>
        <v>-0.000721504277880314</v>
      </c>
      <c r="F677" s="30" t="n">
        <f aca="false">Panel!P670-Panel!P669</f>
        <v>-0.00135697279844038</v>
      </c>
      <c r="G677" s="30" t="n">
        <f aca="false">Panel!P669-Panel!P668</f>
        <v>-0.000470910216572307</v>
      </c>
    </row>
    <row r="678" customFormat="false" ht="15" hidden="false" customHeight="false" outlineLevel="0" collapsed="false">
      <c r="C678" s="0" t="n">
        <f aca="false">Panel!P673-Panel!P672</f>
        <v>-0.00178652127595491</v>
      </c>
      <c r="D678" s="29" t="n">
        <f aca="false">Panel!P672</f>
        <v>0.000716923276311121</v>
      </c>
      <c r="E678" s="30" t="n">
        <f aca="false">Panel!P672-Panel!P671</f>
        <v>-0.000840024142526374</v>
      </c>
      <c r="F678" s="30" t="n">
        <f aca="false">Panel!P671-Panel!P670</f>
        <v>-0.000721504277880314</v>
      </c>
      <c r="G678" s="30" t="n">
        <f aca="false">Panel!P670-Panel!P669</f>
        <v>-0.00135697279844038</v>
      </c>
    </row>
    <row r="679" customFormat="false" ht="15" hidden="false" customHeight="false" outlineLevel="0" collapsed="false">
      <c r="C679" s="0" t="n">
        <f aca="false">Panel!P674-Panel!P673</f>
        <v>-2.1251473771855E-006</v>
      </c>
      <c r="D679" s="29" t="n">
        <f aca="false">Panel!P673</f>
        <v>-0.00106959799964379</v>
      </c>
      <c r="E679" s="30" t="n">
        <f aca="false">Panel!P673-Panel!P672</f>
        <v>-0.00178652127595491</v>
      </c>
      <c r="F679" s="30" t="n">
        <f aca="false">Panel!P672-Panel!P671</f>
        <v>-0.000840024142526374</v>
      </c>
      <c r="G679" s="30" t="n">
        <f aca="false">Panel!P671-Panel!P670</f>
        <v>-0.000721504277880314</v>
      </c>
    </row>
    <row r="680" customFormat="false" ht="15" hidden="false" customHeight="false" outlineLevel="0" collapsed="false">
      <c r="C680" s="0" t="n">
        <f aca="false">Panel!P675-Panel!P674</f>
        <v>-0.000225956238812941</v>
      </c>
      <c r="D680" s="29" t="n">
        <f aca="false">Panel!P674</f>
        <v>-0.00107172314702098</v>
      </c>
      <c r="E680" s="30" t="n">
        <f aca="false">Panel!P674-Panel!P673</f>
        <v>-2.1251473771855E-006</v>
      </c>
      <c r="F680" s="30" t="n">
        <f aca="false">Panel!P673-Panel!P672</f>
        <v>-0.00178652127595491</v>
      </c>
      <c r="G680" s="30" t="n">
        <f aca="false">Panel!P672-Panel!P671</f>
        <v>-0.000840024142526374</v>
      </c>
    </row>
    <row r="681" customFormat="false" ht="15" hidden="false" customHeight="false" outlineLevel="0" collapsed="false">
      <c r="C681" s="0" t="n">
        <f aca="false">Panel!P676-Panel!P675</f>
        <v>-0.00140664143983216</v>
      </c>
      <c r="D681" s="29" t="n">
        <f aca="false">Panel!P675</f>
        <v>-0.00129767938583392</v>
      </c>
      <c r="E681" s="30" t="n">
        <f aca="false">Panel!P675-Panel!P674</f>
        <v>-0.000225956238812941</v>
      </c>
      <c r="F681" s="30" t="n">
        <f aca="false">Panel!P674-Panel!P673</f>
        <v>-2.1251473771855E-006</v>
      </c>
      <c r="G681" s="30" t="n">
        <f aca="false">Panel!P673-Panel!P672</f>
        <v>-0.00178652127595491</v>
      </c>
    </row>
    <row r="682" customFormat="false" ht="15" hidden="false" customHeight="false" outlineLevel="0" collapsed="false">
      <c r="C682" s="0" t="n">
        <f aca="false">Panel!P677-Panel!P676</f>
        <v>-0.00168356310528495</v>
      </c>
      <c r="D682" s="29" t="n">
        <f aca="false">Panel!P676</f>
        <v>-0.00270432082566607</v>
      </c>
      <c r="E682" s="30" t="n">
        <f aca="false">Panel!P676-Panel!P675</f>
        <v>-0.00140664143983216</v>
      </c>
      <c r="F682" s="30" t="n">
        <f aca="false">Panel!P675-Panel!P674</f>
        <v>-0.000225956238812941</v>
      </c>
      <c r="G682" s="30" t="n">
        <f aca="false">Panel!P674-Panel!P673</f>
        <v>-2.1251473771855E-006</v>
      </c>
    </row>
    <row r="683" customFormat="false" ht="15" hidden="false" customHeight="false" outlineLevel="0" collapsed="false">
      <c r="C683" s="0" t="n">
        <f aca="false">Panel!P678-Panel!P677</f>
        <v>0.00159320754680259</v>
      </c>
      <c r="D683" s="29" t="n">
        <f aca="false">Panel!P677</f>
        <v>-0.00438788393095102</v>
      </c>
      <c r="E683" s="30" t="n">
        <f aca="false">Panel!P677-Panel!P676</f>
        <v>-0.00168356310528495</v>
      </c>
      <c r="F683" s="30" t="n">
        <f aca="false">Panel!P676-Panel!P675</f>
        <v>-0.00140664143983216</v>
      </c>
      <c r="G683" s="30" t="n">
        <f aca="false">Panel!P675-Panel!P674</f>
        <v>-0.000225956238812941</v>
      </c>
    </row>
    <row r="684" customFormat="false" ht="15" hidden="false" customHeight="false" outlineLevel="0" collapsed="false">
      <c r="C684" s="0" t="n">
        <f aca="false">Panel!P679-Panel!P678</f>
        <v>-0.00192055580594896</v>
      </c>
      <c r="D684" s="29" t="n">
        <f aca="false">Panel!P678</f>
        <v>-0.00279467638414843</v>
      </c>
      <c r="E684" s="30" t="n">
        <f aca="false">Panel!P678-Panel!P677</f>
        <v>0.00159320754680259</v>
      </c>
      <c r="F684" s="30" t="n">
        <f aca="false">Panel!P677-Panel!P676</f>
        <v>-0.00168356310528495</v>
      </c>
      <c r="G684" s="30" t="n">
        <f aca="false">Panel!P676-Panel!P675</f>
        <v>-0.00140664143983216</v>
      </c>
    </row>
    <row r="685" customFormat="false" ht="15" hidden="false" customHeight="false" outlineLevel="0" collapsed="false">
      <c r="C685" s="0" t="n">
        <f aca="false">Panel!P680-Panel!P679</f>
        <v>-0.00462972890230873</v>
      </c>
      <c r="D685" s="29" t="n">
        <f aca="false">Panel!P679</f>
        <v>-0.0047152321900974</v>
      </c>
      <c r="E685" s="30" t="n">
        <f aca="false">Panel!P679-Panel!P678</f>
        <v>-0.00192055580594896</v>
      </c>
      <c r="F685" s="30" t="n">
        <f aca="false">Panel!P678-Panel!P677</f>
        <v>0.00159320754680259</v>
      </c>
      <c r="G685" s="30" t="n">
        <f aca="false">Panel!P677-Panel!P676</f>
        <v>-0.00168356310528495</v>
      </c>
    </row>
    <row r="686" customFormat="false" ht="15" hidden="false" customHeight="false" outlineLevel="0" collapsed="false">
      <c r="C686" s="0" t="n">
        <f aca="false">Panel!P681-Panel!P680</f>
        <v>0.00225530775785643</v>
      </c>
      <c r="D686" s="29" t="n">
        <f aca="false">Panel!P680</f>
        <v>-0.00934496109240612</v>
      </c>
      <c r="E686" s="30" t="n">
        <f aca="false">Panel!P680-Panel!P679</f>
        <v>-0.00462972890230873</v>
      </c>
      <c r="F686" s="30" t="n">
        <f aca="false">Panel!P679-Panel!P678</f>
        <v>-0.00192055580594896</v>
      </c>
      <c r="G686" s="30" t="n">
        <f aca="false">Panel!P678-Panel!P677</f>
        <v>0.00159320754680259</v>
      </c>
    </row>
    <row r="687" customFormat="false" ht="15" hidden="false" customHeight="false" outlineLevel="0" collapsed="false">
      <c r="C687" s="0" t="n">
        <f aca="false">Panel!P682-Panel!P681</f>
        <v>0.00250182647393338</v>
      </c>
      <c r="D687" s="29" t="n">
        <f aca="false">Panel!P681</f>
        <v>-0.0070896533345497</v>
      </c>
      <c r="E687" s="30" t="n">
        <f aca="false">Panel!P681-Panel!P680</f>
        <v>0.00225530775785643</v>
      </c>
      <c r="F687" s="30" t="n">
        <f aca="false">Panel!P680-Panel!P679</f>
        <v>-0.00462972890230873</v>
      </c>
      <c r="G687" s="30" t="n">
        <f aca="false">Panel!P679-Panel!P678</f>
        <v>-0.00192055580594896</v>
      </c>
    </row>
    <row r="688" customFormat="false" ht="15" hidden="false" customHeight="false" outlineLevel="0" collapsed="false">
      <c r="C688" s="0" t="n">
        <f aca="false">Panel!P683-Panel!P682</f>
        <v>-0.00258272161555695</v>
      </c>
      <c r="D688" s="29" t="n">
        <f aca="false">Panel!P682</f>
        <v>-0.00458782686061632</v>
      </c>
      <c r="E688" s="30" t="n">
        <f aca="false">Panel!P682-Panel!P681</f>
        <v>0.00250182647393338</v>
      </c>
      <c r="F688" s="30" t="n">
        <f aca="false">Panel!P681-Panel!P680</f>
        <v>0.00225530775785643</v>
      </c>
      <c r="G688" s="30" t="n">
        <f aca="false">Panel!P680-Panel!P679</f>
        <v>-0.00462972890230873</v>
      </c>
    </row>
    <row r="689" customFormat="false" ht="15" hidden="false" customHeight="false" outlineLevel="0" collapsed="false">
      <c r="C689" s="0" t="n">
        <f aca="false">Panel!P684-Panel!P683</f>
        <v>-0.00233556176885053</v>
      </c>
      <c r="D689" s="29" t="n">
        <f aca="false">Panel!P683</f>
        <v>-0.00717054847617327</v>
      </c>
      <c r="E689" s="30" t="n">
        <f aca="false">Panel!P683-Panel!P682</f>
        <v>-0.00258272161555695</v>
      </c>
      <c r="F689" s="30" t="n">
        <f aca="false">Panel!P682-Panel!P681</f>
        <v>0.00250182647393338</v>
      </c>
      <c r="G689" s="30" t="n">
        <f aca="false">Panel!P681-Panel!P680</f>
        <v>0.00225530775785643</v>
      </c>
    </row>
    <row r="690" customFormat="false" ht="15" hidden="false" customHeight="false" outlineLevel="0" collapsed="false">
      <c r="C690" s="0" t="n">
        <f aca="false">Panel!P685-Panel!P684</f>
        <v>0.00818426631381009</v>
      </c>
      <c r="D690" s="29" t="n">
        <f aca="false">Panel!P684</f>
        <v>-0.00950611024502379</v>
      </c>
      <c r="E690" s="30" t="n">
        <f aca="false">Panel!P684-Panel!P683</f>
        <v>-0.00233556176885053</v>
      </c>
      <c r="F690" s="30" t="n">
        <f aca="false">Panel!P683-Panel!P682</f>
        <v>-0.00258272161555695</v>
      </c>
      <c r="G690" s="30" t="n">
        <f aca="false">Panel!P682-Panel!P681</f>
        <v>0.00250182647393338</v>
      </c>
    </row>
    <row r="691" customFormat="false" ht="15" hidden="false" customHeight="false" outlineLevel="0" collapsed="false">
      <c r="C691" s="0" t="n">
        <f aca="false">Panel!P686-Panel!P685</f>
        <v>0.00105869407767933</v>
      </c>
      <c r="D691" s="29" t="n">
        <f aca="false">Panel!P685</f>
        <v>-0.00132184393121371</v>
      </c>
      <c r="E691" s="30" t="n">
        <f aca="false">Panel!P685-Panel!P684</f>
        <v>0.00818426631381009</v>
      </c>
      <c r="F691" s="30" t="n">
        <f aca="false">Panel!P684-Panel!P683</f>
        <v>-0.00233556176885053</v>
      </c>
      <c r="G691" s="30" t="n">
        <f aca="false">Panel!P683-Panel!P682</f>
        <v>-0.00258272161555695</v>
      </c>
    </row>
    <row r="692" customFormat="false" ht="15" hidden="false" customHeight="false" outlineLevel="0" collapsed="false">
      <c r="C692" s="0" t="n">
        <f aca="false">Panel!P687-Panel!P686</f>
        <v>-0.00209311019625247</v>
      </c>
      <c r="D692" s="29" t="n">
        <f aca="false">Panel!P686</f>
        <v>-0.000263149853534372</v>
      </c>
      <c r="E692" s="30" t="n">
        <f aca="false">Panel!P686-Panel!P685</f>
        <v>0.00105869407767933</v>
      </c>
      <c r="F692" s="30" t="n">
        <f aca="false">Panel!P685-Panel!P684</f>
        <v>0.00818426631381009</v>
      </c>
      <c r="G692" s="30" t="n">
        <f aca="false">Panel!P684-Panel!P683</f>
        <v>-0.00233556176885053</v>
      </c>
    </row>
    <row r="693" customFormat="false" ht="15" hidden="false" customHeight="false" outlineLevel="0" collapsed="false">
      <c r="C693" s="0" t="n">
        <f aca="false">Panel!P688-Panel!P687</f>
        <v>-0.0107681524382031</v>
      </c>
      <c r="D693" s="29" t="n">
        <f aca="false">Panel!P687</f>
        <v>-0.00235626004978684</v>
      </c>
      <c r="E693" s="30" t="n">
        <f aca="false">Panel!P687-Panel!P686</f>
        <v>-0.00209311019625247</v>
      </c>
      <c r="F693" s="30" t="n">
        <f aca="false">Panel!P686-Panel!P685</f>
        <v>0.00105869407767933</v>
      </c>
      <c r="G693" s="30" t="n">
        <f aca="false">Panel!P685-Panel!P684</f>
        <v>0.00818426631381009</v>
      </c>
    </row>
    <row r="694" customFormat="false" ht="15" hidden="false" customHeight="false" outlineLevel="0" collapsed="false">
      <c r="C694" s="0" t="n">
        <f aca="false">Panel!P689-Panel!P688</f>
        <v>0.007097754059183</v>
      </c>
      <c r="D694" s="29" t="n">
        <f aca="false">Panel!P688</f>
        <v>-0.0131244124879899</v>
      </c>
      <c r="E694" s="30" t="n">
        <f aca="false">Panel!P688-Panel!P687</f>
        <v>-0.0107681524382031</v>
      </c>
      <c r="F694" s="30" t="n">
        <f aca="false">Panel!P687-Panel!P686</f>
        <v>-0.00209311019625247</v>
      </c>
      <c r="G694" s="30" t="n">
        <f aca="false">Panel!P686-Panel!P685</f>
        <v>0.00105869407767933</v>
      </c>
    </row>
    <row r="695" customFormat="false" ht="15" hidden="false" customHeight="false" outlineLevel="0" collapsed="false">
      <c r="C695" s="0" t="n">
        <f aca="false">Panel!P690-Panel!P689</f>
        <v>0.00511861321683504</v>
      </c>
      <c r="D695" s="29" t="n">
        <f aca="false">Panel!P689</f>
        <v>-0.0060266584288069</v>
      </c>
      <c r="E695" s="30" t="n">
        <f aca="false">Panel!P689-Panel!P688</f>
        <v>0.007097754059183</v>
      </c>
      <c r="F695" s="30" t="n">
        <f aca="false">Panel!P688-Panel!P687</f>
        <v>-0.0107681524382031</v>
      </c>
      <c r="G695" s="30" t="n">
        <f aca="false">Panel!P687-Panel!P686</f>
        <v>-0.00209311019625247</v>
      </c>
    </row>
    <row r="696" customFormat="false" ht="15" hidden="false" customHeight="false" outlineLevel="0" collapsed="false">
      <c r="C696" s="0" t="n">
        <f aca="false">Panel!P691-Panel!P690</f>
        <v>2.61721384866576E-005</v>
      </c>
      <c r="D696" s="29" t="n">
        <f aca="false">Panel!P690</f>
        <v>-0.000908045211971853</v>
      </c>
      <c r="E696" s="30" t="n">
        <f aca="false">Panel!P690-Panel!P689</f>
        <v>0.00511861321683504</v>
      </c>
      <c r="F696" s="30" t="n">
        <f aca="false">Panel!P689-Panel!P688</f>
        <v>0.007097754059183</v>
      </c>
      <c r="G696" s="30" t="n">
        <f aca="false">Panel!P688-Panel!P687</f>
        <v>-0.0107681524382031</v>
      </c>
    </row>
    <row r="697" customFormat="false" ht="15" hidden="false" customHeight="false" outlineLevel="0" collapsed="false">
      <c r="C697" s="0" t="n">
        <f aca="false">Panel!P692-Panel!P691</f>
        <v>-0.00158806951657375</v>
      </c>
      <c r="D697" s="29" t="n">
        <f aca="false">Panel!P691</f>
        <v>-0.000881873073485195</v>
      </c>
      <c r="E697" s="30" t="n">
        <f aca="false">Panel!P691-Panel!P690</f>
        <v>2.61721384866576E-005</v>
      </c>
      <c r="F697" s="30" t="n">
        <f aca="false">Panel!P690-Panel!P689</f>
        <v>0.00511861321683504</v>
      </c>
      <c r="G697" s="30" t="n">
        <f aca="false">Panel!P689-Panel!P688</f>
        <v>0.007097754059183</v>
      </c>
    </row>
    <row r="698" customFormat="false" ht="15" hidden="false" customHeight="false" outlineLevel="0" collapsed="false">
      <c r="C698" s="0" t="n">
        <f aca="false">Panel!P693-Panel!P692</f>
        <v>-0.00086059523582982</v>
      </c>
      <c r="D698" s="29" t="n">
        <f aca="false">Panel!P692</f>
        <v>-0.00246994259005895</v>
      </c>
      <c r="E698" s="30" t="n">
        <f aca="false">Panel!P692-Panel!P691</f>
        <v>-0.00158806951657375</v>
      </c>
      <c r="F698" s="30" t="n">
        <f aca="false">Panel!P691-Panel!P690</f>
        <v>2.61721384866576E-005</v>
      </c>
      <c r="G698" s="30" t="n">
        <f aca="false">Panel!P690-Panel!P689</f>
        <v>0.00511861321683504</v>
      </c>
    </row>
    <row r="699" customFormat="false" ht="15" hidden="false" customHeight="false" outlineLevel="0" collapsed="false">
      <c r="C699" s="0" t="n">
        <f aca="false">Panel!P694-Panel!P693</f>
        <v>0.00197596085818574</v>
      </c>
      <c r="D699" s="29" t="n">
        <f aca="false">Panel!P693</f>
        <v>-0.00333053782588877</v>
      </c>
      <c r="E699" s="30" t="n">
        <f aca="false">Panel!P693-Panel!P692</f>
        <v>-0.00086059523582982</v>
      </c>
      <c r="F699" s="30" t="n">
        <f aca="false">Panel!P692-Panel!P691</f>
        <v>-0.00158806951657375</v>
      </c>
      <c r="G699" s="30" t="n">
        <f aca="false">Panel!P691-Panel!P690</f>
        <v>2.61721384866576E-005</v>
      </c>
    </row>
    <row r="700" customFormat="false" ht="15" hidden="false" customHeight="false" outlineLevel="0" collapsed="false">
      <c r="C700" s="0" t="n">
        <f aca="false">Panel!P695-Panel!P694</f>
        <v>-0.000467708451138194</v>
      </c>
      <c r="D700" s="29" t="n">
        <f aca="false">Panel!P694</f>
        <v>-0.00135457696770303</v>
      </c>
      <c r="E700" s="30" t="n">
        <f aca="false">Panel!P694-Panel!P693</f>
        <v>0.00197596085818574</v>
      </c>
      <c r="F700" s="30" t="n">
        <f aca="false">Panel!P693-Panel!P692</f>
        <v>-0.00086059523582982</v>
      </c>
      <c r="G700" s="30" t="n">
        <f aca="false">Panel!P692-Panel!P691</f>
        <v>-0.00158806951657375</v>
      </c>
    </row>
    <row r="701" customFormat="false" ht="15" hidden="false" customHeight="false" outlineLevel="0" collapsed="false">
      <c r="C701" s="0" t="n">
        <f aca="false">Panel!P696-Panel!P695</f>
        <v>-0.00107889177904319</v>
      </c>
      <c r="D701" s="29" t="n">
        <f aca="false">Panel!P695</f>
        <v>-0.00182228541884122</v>
      </c>
      <c r="E701" s="30" t="n">
        <f aca="false">Panel!P695-Panel!P694</f>
        <v>-0.000467708451138194</v>
      </c>
      <c r="F701" s="30" t="n">
        <f aca="false">Panel!P694-Panel!P693</f>
        <v>0.00197596085818574</v>
      </c>
      <c r="G701" s="30" t="n">
        <f aca="false">Panel!P693-Panel!P692</f>
        <v>-0.00086059523582982</v>
      </c>
    </row>
    <row r="702" customFormat="false" ht="15" hidden="false" customHeight="false" outlineLevel="0" collapsed="false">
      <c r="C702" s="0" t="n">
        <f aca="false">Panel!P697-Panel!P696</f>
        <v>-0.000733197507575056</v>
      </c>
      <c r="D702" s="29" t="n">
        <f aca="false">Panel!P696</f>
        <v>-0.00290117719788441</v>
      </c>
      <c r="E702" s="30" t="n">
        <f aca="false">Panel!P696-Panel!P695</f>
        <v>-0.00107889177904319</v>
      </c>
      <c r="F702" s="30" t="n">
        <f aca="false">Panel!P695-Panel!P694</f>
        <v>-0.000467708451138194</v>
      </c>
      <c r="G702" s="30" t="n">
        <f aca="false">Panel!P694-Panel!P693</f>
        <v>0.00197596085818574</v>
      </c>
    </row>
    <row r="703" customFormat="false" ht="15" hidden="false" customHeight="false" outlineLevel="0" collapsed="false">
      <c r="C703" s="0" t="n">
        <f aca="false">Panel!P698-Panel!P697</f>
        <v>-0.00296677297798453</v>
      </c>
      <c r="D703" s="29" t="n">
        <f aca="false">Panel!P697</f>
        <v>-0.00363437470545946</v>
      </c>
      <c r="E703" s="30" t="n">
        <f aca="false">Panel!P697-Panel!P696</f>
        <v>-0.000733197507575056</v>
      </c>
      <c r="F703" s="30" t="n">
        <f aca="false">Panel!P696-Panel!P695</f>
        <v>-0.00107889177904319</v>
      </c>
      <c r="G703" s="30" t="n">
        <f aca="false">Panel!P695-Panel!P694</f>
        <v>-0.000467708451138194</v>
      </c>
    </row>
    <row r="704" customFormat="false" ht="15" hidden="false" customHeight="false" outlineLevel="0" collapsed="false">
      <c r="C704" s="0" t="n">
        <f aca="false">Panel!P699-Panel!P698</f>
        <v>0.00297934708131642</v>
      </c>
      <c r="D704" s="29" t="n">
        <f aca="false">Panel!P698</f>
        <v>-0.006601147683444</v>
      </c>
      <c r="E704" s="30" t="n">
        <f aca="false">Panel!P698-Panel!P697</f>
        <v>-0.00296677297798453</v>
      </c>
      <c r="F704" s="30" t="n">
        <f aca="false">Panel!P697-Panel!P696</f>
        <v>-0.000733197507575056</v>
      </c>
      <c r="G704" s="30" t="n">
        <f aca="false">Panel!P696-Panel!P695</f>
        <v>-0.00107889177904319</v>
      </c>
    </row>
    <row r="705" customFormat="false" ht="15" hidden="false" customHeight="false" outlineLevel="0" collapsed="false">
      <c r="C705" s="0" t="n">
        <f aca="false">Panel!P700-Panel!P699</f>
        <v>-0.00218573092105601</v>
      </c>
      <c r="D705" s="29" t="n">
        <f aca="false">Panel!P699</f>
        <v>-0.00362180060212758</v>
      </c>
      <c r="E705" s="30" t="n">
        <f aca="false">Panel!P699-Panel!P698</f>
        <v>0.00297934708131642</v>
      </c>
      <c r="F705" s="30" t="n">
        <f aca="false">Panel!P698-Panel!P697</f>
        <v>-0.00296677297798453</v>
      </c>
      <c r="G705" s="30" t="n">
        <f aca="false">Panel!P697-Panel!P696</f>
        <v>-0.000733197507575056</v>
      </c>
    </row>
    <row r="706" customFormat="false" ht="15" hidden="false" customHeight="false" outlineLevel="0" collapsed="false">
      <c r="C706" s="0" t="n">
        <f aca="false">Panel!P701-Panel!P700</f>
        <v>0.00227145436240228</v>
      </c>
      <c r="D706" s="29" t="n">
        <f aca="false">Panel!P700</f>
        <v>-0.00580753152318358</v>
      </c>
      <c r="E706" s="30" t="n">
        <f aca="false">Panel!P700-Panel!P699</f>
        <v>-0.00218573092105601</v>
      </c>
      <c r="F706" s="30" t="n">
        <f aca="false">Panel!P699-Panel!P698</f>
        <v>0.00297934708131642</v>
      </c>
      <c r="G706" s="30" t="n">
        <f aca="false">Panel!P698-Panel!P697</f>
        <v>-0.00296677297798453</v>
      </c>
    </row>
    <row r="707" customFormat="false" ht="15" hidden="false" customHeight="false" outlineLevel="0" collapsed="false">
      <c r="C707" s="0" t="n">
        <f aca="false">Panel!P702-Panel!P701</f>
        <v>-0.0036936046387428</v>
      </c>
      <c r="D707" s="29" t="n">
        <f aca="false">Panel!P701</f>
        <v>-0.0035360771607813</v>
      </c>
      <c r="E707" s="30" t="n">
        <f aca="false">Panel!P701-Panel!P700</f>
        <v>0.00227145436240228</v>
      </c>
      <c r="F707" s="30" t="n">
        <f aca="false">Panel!P700-Panel!P699</f>
        <v>-0.00218573092105601</v>
      </c>
      <c r="G707" s="30" t="n">
        <f aca="false">Panel!P699-Panel!P698</f>
        <v>0.00297934708131642</v>
      </c>
    </row>
    <row r="708" customFormat="false" ht="15" hidden="false" customHeight="false" outlineLevel="0" collapsed="false">
      <c r="C708" s="0" t="n">
        <f aca="false">Panel!P703-Panel!P702</f>
        <v>0.00348271374804554</v>
      </c>
      <c r="D708" s="29" t="n">
        <f aca="false">Panel!P702</f>
        <v>-0.0072296817995241</v>
      </c>
      <c r="E708" s="30" t="n">
        <f aca="false">Panel!P702-Panel!P701</f>
        <v>-0.0036936046387428</v>
      </c>
      <c r="F708" s="30" t="n">
        <f aca="false">Panel!P701-Panel!P700</f>
        <v>0.00227145436240228</v>
      </c>
      <c r="G708" s="30" t="n">
        <f aca="false">Panel!P700-Panel!P699</f>
        <v>-0.00218573092105601</v>
      </c>
    </row>
    <row r="709" customFormat="false" ht="15" hidden="false" customHeight="false" outlineLevel="0" collapsed="false">
      <c r="C709" s="0" t="n">
        <f aca="false">Panel!P704-Panel!P703</f>
        <v>0.000619679597990697</v>
      </c>
      <c r="D709" s="29" t="n">
        <f aca="false">Panel!P703</f>
        <v>-0.00374696805147856</v>
      </c>
      <c r="E709" s="30" t="n">
        <f aca="false">Panel!P703-Panel!P702</f>
        <v>0.00348271374804554</v>
      </c>
      <c r="F709" s="30" t="n">
        <f aca="false">Panel!P702-Panel!P701</f>
        <v>-0.0036936046387428</v>
      </c>
      <c r="G709" s="30" t="n">
        <f aca="false">Panel!P701-Panel!P700</f>
        <v>0.00227145436240228</v>
      </c>
    </row>
    <row r="710" customFormat="false" ht="15" hidden="false" customHeight="false" outlineLevel="0" collapsed="false">
      <c r="C710" s="0" t="n">
        <f aca="false">Panel!P705-Panel!P704</f>
        <v>-0.00325713655415072</v>
      </c>
      <c r="D710" s="29" t="n">
        <f aca="false">Panel!P704</f>
        <v>-0.00312728845348786</v>
      </c>
      <c r="E710" s="30" t="n">
        <f aca="false">Panel!P704-Panel!P703</f>
        <v>0.000619679597990697</v>
      </c>
      <c r="F710" s="30" t="n">
        <f aca="false">Panel!P703-Panel!P702</f>
        <v>0.00348271374804554</v>
      </c>
      <c r="G710" s="30" t="n">
        <f aca="false">Panel!P702-Panel!P701</f>
        <v>-0.0036936046387428</v>
      </c>
    </row>
    <row r="711" customFormat="false" ht="15" hidden="false" customHeight="false" outlineLevel="0" collapsed="false">
      <c r="C711" s="0" t="n">
        <f aca="false">Panel!P706-Panel!P705</f>
        <v>0.00601913234126172</v>
      </c>
      <c r="D711" s="29" t="n">
        <f aca="false">Panel!P705</f>
        <v>-0.00638442500763858</v>
      </c>
      <c r="E711" s="30" t="n">
        <f aca="false">Panel!P705-Panel!P704</f>
        <v>-0.00325713655415072</v>
      </c>
      <c r="F711" s="30" t="n">
        <f aca="false">Panel!P704-Panel!P703</f>
        <v>0.000619679597990697</v>
      </c>
      <c r="G711" s="30" t="n">
        <f aca="false">Panel!P703-Panel!P702</f>
        <v>0.00348271374804554</v>
      </c>
    </row>
    <row r="712" customFormat="false" ht="15" hidden="false" customHeight="false" outlineLevel="0" collapsed="false">
      <c r="C712" s="0" t="n">
        <f aca="false">Panel!P707-Panel!P706</f>
        <v>0.000204145704737257</v>
      </c>
      <c r="D712" s="29" t="n">
        <f aca="false">Panel!P706</f>
        <v>-0.00036529266637686</v>
      </c>
      <c r="E712" s="30" t="n">
        <f aca="false">Panel!P706-Panel!P705</f>
        <v>0.00601913234126172</v>
      </c>
      <c r="F712" s="30" t="n">
        <f aca="false">Panel!P705-Panel!P704</f>
        <v>-0.00325713655415072</v>
      </c>
      <c r="G712" s="30" t="n">
        <f aca="false">Panel!P704-Panel!P703</f>
        <v>0.000619679597990697</v>
      </c>
    </row>
    <row r="713" customFormat="false" ht="15" hidden="false" customHeight="false" outlineLevel="0" collapsed="false">
      <c r="C713" s="0" t="n">
        <f aca="false">Panel!P708-Panel!P707</f>
        <v>-0.00320642684702754</v>
      </c>
      <c r="D713" s="29" t="n">
        <f aca="false">Panel!P707</f>
        <v>-0.000161146961639602</v>
      </c>
      <c r="E713" s="30" t="n">
        <f aca="false">Panel!P707-Panel!P706</f>
        <v>0.000204145704737257</v>
      </c>
      <c r="F713" s="30" t="n">
        <f aca="false">Panel!P706-Panel!P705</f>
        <v>0.00601913234126172</v>
      </c>
      <c r="G713" s="30" t="n">
        <f aca="false">Panel!P705-Panel!P704</f>
        <v>-0.00325713655415072</v>
      </c>
    </row>
    <row r="714" customFormat="false" ht="15" hidden="false" customHeight="false" outlineLevel="0" collapsed="false">
      <c r="C714" s="0" t="n">
        <f aca="false">Panel!P709-Panel!P708</f>
        <v>-0.00100355979575539</v>
      </c>
      <c r="D714" s="29" t="n">
        <f aca="false">Panel!P708</f>
        <v>-0.00336757380866715</v>
      </c>
      <c r="E714" s="30" t="n">
        <f aca="false">Panel!P708-Panel!P707</f>
        <v>-0.00320642684702754</v>
      </c>
      <c r="F714" s="30" t="n">
        <f aca="false">Panel!P707-Panel!P706</f>
        <v>0.000204145704737257</v>
      </c>
      <c r="G714" s="30" t="n">
        <f aca="false">Panel!P706-Panel!P705</f>
        <v>0.00601913234126172</v>
      </c>
    </row>
    <row r="715" customFormat="false" ht="15" hidden="false" customHeight="false" outlineLevel="0" collapsed="false">
      <c r="C715" s="0" t="n">
        <f aca="false">Panel!P710-Panel!P709</f>
        <v>-0.00245486227506753</v>
      </c>
      <c r="D715" s="29" t="n">
        <f aca="false">Panel!P709</f>
        <v>-0.00437113360442254</v>
      </c>
      <c r="E715" s="30" t="n">
        <f aca="false">Panel!P709-Panel!P708</f>
        <v>-0.00100355979575539</v>
      </c>
      <c r="F715" s="30" t="n">
        <f aca="false">Panel!P708-Panel!P707</f>
        <v>-0.00320642684702754</v>
      </c>
      <c r="G715" s="30" t="n">
        <f aca="false">Panel!P707-Panel!P706</f>
        <v>0.000204145704737257</v>
      </c>
    </row>
    <row r="716" customFormat="false" ht="15" hidden="false" customHeight="false" outlineLevel="0" collapsed="false">
      <c r="C716" s="0" t="n">
        <f aca="false">Panel!P711-Panel!P710</f>
        <v>0.00139738203786344</v>
      </c>
      <c r="D716" s="29" t="n">
        <f aca="false">Panel!P710</f>
        <v>-0.00682599587949007</v>
      </c>
      <c r="E716" s="30" t="n">
        <f aca="false">Panel!P710-Panel!P709</f>
        <v>-0.00245486227506753</v>
      </c>
      <c r="F716" s="30" t="n">
        <f aca="false">Panel!P709-Panel!P708</f>
        <v>-0.00100355979575539</v>
      </c>
      <c r="G716" s="30" t="n">
        <f aca="false">Panel!P708-Panel!P707</f>
        <v>-0.00320642684702754</v>
      </c>
    </row>
    <row r="717" customFormat="false" ht="15" hidden="false" customHeight="false" outlineLevel="0" collapsed="false">
      <c r="C717" s="0" t="n">
        <f aca="false">Panel!P712-Panel!P711</f>
        <v>-0.00378208214251963</v>
      </c>
      <c r="D717" s="29" t="n">
        <f aca="false">Panel!P711</f>
        <v>-0.00542861384162663</v>
      </c>
      <c r="E717" s="30" t="n">
        <f aca="false">Panel!P711-Panel!P710</f>
        <v>0.00139738203786344</v>
      </c>
      <c r="F717" s="30" t="n">
        <f aca="false">Panel!P710-Panel!P709</f>
        <v>-0.00245486227506753</v>
      </c>
      <c r="G717" s="30" t="n">
        <f aca="false">Panel!P709-Panel!P708</f>
        <v>-0.00100355979575539</v>
      </c>
    </row>
    <row r="718" customFormat="false" ht="15" hidden="false" customHeight="false" outlineLevel="0" collapsed="false">
      <c r="C718" s="0" t="n">
        <f aca="false">Panel!P713-Panel!P712</f>
        <v>-0.00095420175123806</v>
      </c>
      <c r="D718" s="29" t="n">
        <f aca="false">Panel!P712</f>
        <v>-0.00921069598414626</v>
      </c>
      <c r="E718" s="30" t="n">
        <f aca="false">Panel!P712-Panel!P711</f>
        <v>-0.00378208214251963</v>
      </c>
      <c r="F718" s="30" t="n">
        <f aca="false">Panel!P711-Panel!P710</f>
        <v>0.00139738203786344</v>
      </c>
      <c r="G718" s="30" t="n">
        <f aca="false">Panel!P710-Panel!P709</f>
        <v>-0.00245486227506753</v>
      </c>
    </row>
    <row r="719" customFormat="false" ht="15" hidden="false" customHeight="false" outlineLevel="0" collapsed="false">
      <c r="C719" s="0" t="n">
        <f aca="false">Panel!P714-Panel!P713</f>
        <v>0.0042190528121786</v>
      </c>
      <c r="D719" s="29" t="n">
        <f aca="false">Panel!P713</f>
        <v>-0.0101648977353843</v>
      </c>
      <c r="E719" s="30" t="n">
        <f aca="false">Panel!P713-Panel!P712</f>
        <v>-0.00095420175123806</v>
      </c>
      <c r="F719" s="30" t="n">
        <f aca="false">Panel!P712-Panel!P711</f>
        <v>-0.00378208214251963</v>
      </c>
      <c r="G719" s="30" t="n">
        <f aca="false">Panel!P711-Panel!P710</f>
        <v>0.00139738203786344</v>
      </c>
    </row>
    <row r="720" customFormat="false" ht="15" hidden="false" customHeight="false" outlineLevel="0" collapsed="false">
      <c r="C720" s="0" t="n">
        <f aca="false">Panel!P715-Panel!P714</f>
        <v>-0.00377578890686614</v>
      </c>
      <c r="D720" s="29" t="n">
        <f aca="false">Panel!P714</f>
        <v>-0.00594584492320571</v>
      </c>
      <c r="E720" s="30" t="n">
        <f aca="false">Panel!P714-Panel!P713</f>
        <v>0.0042190528121786</v>
      </c>
      <c r="F720" s="30" t="n">
        <f aca="false">Panel!P713-Panel!P712</f>
        <v>-0.00095420175123806</v>
      </c>
      <c r="G720" s="30" t="n">
        <f aca="false">Panel!P712-Panel!P711</f>
        <v>-0.00378208214251963</v>
      </c>
    </row>
    <row r="721" customFormat="false" ht="15" hidden="false" customHeight="false" outlineLevel="0" collapsed="false">
      <c r="C721" s="0" t="n">
        <f aca="false">Panel!P716-Panel!P715</f>
        <v>-0.000105863081405033</v>
      </c>
      <c r="D721" s="29" t="n">
        <f aca="false">Panel!P715</f>
        <v>-0.00972163383007185</v>
      </c>
      <c r="E721" s="30" t="n">
        <f aca="false">Panel!P715-Panel!P714</f>
        <v>-0.00377578890686614</v>
      </c>
      <c r="F721" s="30" t="n">
        <f aca="false">Panel!P714-Panel!P713</f>
        <v>0.0042190528121786</v>
      </c>
      <c r="G721" s="30" t="n">
        <f aca="false">Panel!P713-Panel!P712</f>
        <v>-0.00095420175123806</v>
      </c>
    </row>
    <row r="722" customFormat="false" ht="15" hidden="false" customHeight="false" outlineLevel="0" collapsed="false">
      <c r="C722" s="0" t="n">
        <f aca="false">Panel!P717-Panel!P716</f>
        <v>-0.00728420234476701</v>
      </c>
      <c r="D722" s="29" t="n">
        <f aca="false">Panel!P716</f>
        <v>-0.00982749691147689</v>
      </c>
      <c r="E722" s="30" t="n">
        <f aca="false">Panel!P716-Panel!P715</f>
        <v>-0.000105863081405033</v>
      </c>
      <c r="F722" s="30" t="n">
        <f aca="false">Panel!P715-Panel!P714</f>
        <v>-0.00377578890686614</v>
      </c>
      <c r="G722" s="30" t="n">
        <f aca="false">Panel!P714-Panel!P713</f>
        <v>0.0042190528121786</v>
      </c>
    </row>
    <row r="723" customFormat="false" ht="15" hidden="false" customHeight="false" outlineLevel="0" collapsed="false">
      <c r="C723" s="0" t="n">
        <f aca="false">Panel!P718-Panel!P717</f>
        <v>0.00365024600665187</v>
      </c>
      <c r="D723" s="29" t="n">
        <f aca="false">Panel!P717</f>
        <v>-0.0171116992562439</v>
      </c>
      <c r="E723" s="30" t="n">
        <f aca="false">Panel!P717-Panel!P716</f>
        <v>-0.00728420234476701</v>
      </c>
      <c r="F723" s="30" t="n">
        <f aca="false">Panel!P716-Panel!P715</f>
        <v>-0.000105863081405033</v>
      </c>
      <c r="G723" s="30" t="n">
        <f aca="false">Panel!P715-Panel!P714</f>
        <v>-0.00377578890686614</v>
      </c>
    </row>
    <row r="724" customFormat="false" ht="15" hidden="false" customHeight="false" outlineLevel="0" collapsed="false">
      <c r="C724" s="0" t="n">
        <f aca="false">Panel!P719-Panel!P718</f>
        <v>0.0019012463551622</v>
      </c>
      <c r="D724" s="29" t="n">
        <f aca="false">Panel!P718</f>
        <v>-0.013461453249592</v>
      </c>
      <c r="E724" s="30" t="n">
        <f aca="false">Panel!P718-Panel!P717</f>
        <v>0.00365024600665187</v>
      </c>
      <c r="F724" s="30" t="n">
        <f aca="false">Panel!P717-Panel!P716</f>
        <v>-0.00728420234476701</v>
      </c>
      <c r="G724" s="30" t="n">
        <f aca="false">Panel!P716-Panel!P715</f>
        <v>-0.000105863081405033</v>
      </c>
    </row>
    <row r="725" customFormat="false" ht="15" hidden="false" customHeight="false" outlineLevel="0" collapsed="false">
      <c r="C725" s="0" t="n">
        <f aca="false">Panel!P720-Panel!P719</f>
        <v>0.000324703562792905</v>
      </c>
      <c r="D725" s="29" t="n">
        <f aca="false">Panel!P719</f>
        <v>-0.0115602068944298</v>
      </c>
      <c r="E725" s="30" t="n">
        <f aca="false">Panel!P719-Panel!P718</f>
        <v>0.0019012463551622</v>
      </c>
      <c r="F725" s="30" t="n">
        <f aca="false">Panel!P718-Panel!P717</f>
        <v>0.00365024600665187</v>
      </c>
      <c r="G725" s="30" t="n">
        <f aca="false">Panel!P717-Panel!P716</f>
        <v>-0.00728420234476701</v>
      </c>
    </row>
    <row r="726" customFormat="false" ht="15" hidden="false" customHeight="false" outlineLevel="0" collapsed="false">
      <c r="C726" s="0" t="n">
        <f aca="false">Panel!P721-Panel!P720</f>
        <v>-0.0045914307457906</v>
      </c>
      <c r="D726" s="29" t="n">
        <f aca="false">Panel!P720</f>
        <v>-0.0112355033316369</v>
      </c>
      <c r="E726" s="30" t="n">
        <f aca="false">Panel!P720-Panel!P719</f>
        <v>0.000324703562792905</v>
      </c>
      <c r="F726" s="30" t="n">
        <f aca="false">Panel!P719-Panel!P718</f>
        <v>0.0019012463551622</v>
      </c>
      <c r="G726" s="30" t="n">
        <f aca="false">Panel!P718-Panel!P717</f>
        <v>0.00365024600665187</v>
      </c>
    </row>
    <row r="727" customFormat="false" ht="15" hidden="false" customHeight="false" outlineLevel="0" collapsed="false">
      <c r="C727" s="0" t="n">
        <f aca="false">Panel!P722-Panel!P721</f>
        <v>0.000398418736677897</v>
      </c>
      <c r="D727" s="29" t="n">
        <f aca="false">Panel!P721</f>
        <v>-0.0158269340774275</v>
      </c>
      <c r="E727" s="30" t="n">
        <f aca="false">Panel!P721-Panel!P720</f>
        <v>-0.0045914307457906</v>
      </c>
      <c r="F727" s="30" t="n">
        <f aca="false">Panel!P720-Panel!P719</f>
        <v>0.000324703562792905</v>
      </c>
      <c r="G727" s="30" t="n">
        <f aca="false">Panel!P719-Panel!P718</f>
        <v>0.0019012463551622</v>
      </c>
    </row>
    <row r="728" customFormat="false" ht="15" hidden="false" customHeight="false" outlineLevel="0" collapsed="false">
      <c r="C728" s="0" t="n">
        <f aca="false">Panel!P723-Panel!P722</f>
        <v>-0.00462794919381082</v>
      </c>
      <c r="D728" s="29" t="n">
        <f aca="false">Panel!P722</f>
        <v>-0.0154285153407496</v>
      </c>
      <c r="E728" s="30" t="n">
        <f aca="false">Panel!P722-Panel!P721</f>
        <v>0.000398418736677897</v>
      </c>
      <c r="F728" s="30" t="n">
        <f aca="false">Panel!P721-Panel!P720</f>
        <v>-0.0045914307457906</v>
      </c>
      <c r="G728" s="30" t="n">
        <f aca="false">Panel!P720-Panel!P719</f>
        <v>0.000324703562792905</v>
      </c>
    </row>
    <row r="729" customFormat="false" ht="15" hidden="false" customHeight="false" outlineLevel="0" collapsed="false">
      <c r="C729" s="0" t="n">
        <f aca="false">Panel!P724-Panel!P723</f>
        <v>0.000912920436784148</v>
      </c>
      <c r="D729" s="29" t="n">
        <f aca="false">Panel!P723</f>
        <v>-0.0200564645345604</v>
      </c>
      <c r="E729" s="30" t="n">
        <f aca="false">Panel!P723-Panel!P722</f>
        <v>-0.00462794919381082</v>
      </c>
      <c r="F729" s="30" t="n">
        <f aca="false">Panel!P722-Panel!P721</f>
        <v>0.000398418736677897</v>
      </c>
      <c r="G729" s="30" t="n">
        <f aca="false">Panel!P721-Panel!P720</f>
        <v>-0.0045914307457906</v>
      </c>
    </row>
    <row r="730" customFormat="false" ht="15" hidden="false" customHeight="false" outlineLevel="0" collapsed="false">
      <c r="C730" s="0" t="n">
        <f aca="false">Panel!P725-Panel!P724</f>
        <v>0.00589949040191407</v>
      </c>
      <c r="D730" s="29" t="n">
        <f aca="false">Panel!P724</f>
        <v>-0.0191435440977763</v>
      </c>
      <c r="E730" s="30" t="n">
        <f aca="false">Panel!P724-Panel!P723</f>
        <v>0.000912920436784148</v>
      </c>
      <c r="F730" s="30" t="n">
        <f aca="false">Panel!P723-Panel!P722</f>
        <v>-0.00462794919381082</v>
      </c>
      <c r="G730" s="30" t="n">
        <f aca="false">Panel!P722-Panel!P721</f>
        <v>0.000398418736677897</v>
      </c>
    </row>
    <row r="731" customFormat="false" ht="15" hidden="false" customHeight="false" outlineLevel="0" collapsed="false">
      <c r="C731" s="0" t="n">
        <f aca="false">Panel!P726-Panel!P725</f>
        <v>-0.00633488279746963</v>
      </c>
      <c r="D731" s="29" t="n">
        <f aca="false">Panel!P725</f>
        <v>-0.0132440536958622</v>
      </c>
      <c r="E731" s="30" t="n">
        <f aca="false">Panel!P725-Panel!P724</f>
        <v>0.00589949040191407</v>
      </c>
      <c r="F731" s="30" t="n">
        <f aca="false">Panel!P724-Panel!P723</f>
        <v>0.000912920436784148</v>
      </c>
      <c r="G731" s="30" t="n">
        <f aca="false">Panel!P723-Panel!P722</f>
        <v>-0.00462794919381082</v>
      </c>
    </row>
    <row r="732" customFormat="false" ht="15" hidden="false" customHeight="false" outlineLevel="0" collapsed="false">
      <c r="C732" s="0" t="n">
        <f aca="false">Panel!P727-Panel!P726</f>
        <v>-0.00598822792836096</v>
      </c>
      <c r="D732" s="29" t="n">
        <f aca="false">Panel!P726</f>
        <v>-0.0195789364933319</v>
      </c>
      <c r="E732" s="30" t="n">
        <f aca="false">Panel!P726-Panel!P725</f>
        <v>-0.00633488279746963</v>
      </c>
      <c r="F732" s="30" t="n">
        <f aca="false">Panel!P725-Panel!P724</f>
        <v>0.00589949040191407</v>
      </c>
      <c r="G732" s="30" t="n">
        <f aca="false">Panel!P724-Panel!P723</f>
        <v>0.000912920436784148</v>
      </c>
    </row>
    <row r="733" customFormat="false" ht="15" hidden="false" customHeight="false" outlineLevel="0" collapsed="false">
      <c r="C733" s="0" t="n">
        <f aca="false">Panel!P728-Panel!P727</f>
        <v>0.0123108554451346</v>
      </c>
      <c r="D733" s="29" t="n">
        <f aca="false">Panel!P727</f>
        <v>-0.0255671644216928</v>
      </c>
      <c r="E733" s="30" t="n">
        <f aca="false">Panel!P727-Panel!P726</f>
        <v>-0.00598822792836096</v>
      </c>
      <c r="F733" s="30" t="n">
        <f aca="false">Panel!P726-Panel!P725</f>
        <v>-0.00633488279746963</v>
      </c>
      <c r="G733" s="30" t="n">
        <f aca="false">Panel!P725-Panel!P724</f>
        <v>0.00589949040191407</v>
      </c>
    </row>
    <row r="734" customFormat="false" ht="15" hidden="false" customHeight="false" outlineLevel="0" collapsed="false">
      <c r="C734" s="0" t="n">
        <f aca="false">Panel!P729-Panel!P728</f>
        <v>-0.00192891956719343</v>
      </c>
      <c r="D734" s="29" t="n">
        <f aca="false">Panel!P728</f>
        <v>-0.0132563089765583</v>
      </c>
      <c r="E734" s="30" t="n">
        <f aca="false">Panel!P728-Panel!P727</f>
        <v>0.0123108554451346</v>
      </c>
      <c r="F734" s="30" t="n">
        <f aca="false">Panel!P727-Panel!P726</f>
        <v>-0.00598822792836096</v>
      </c>
      <c r="G734" s="30" t="n">
        <f aca="false">Panel!P726-Panel!P725</f>
        <v>-0.00633488279746963</v>
      </c>
    </row>
    <row r="735" customFormat="false" ht="15" hidden="false" customHeight="false" outlineLevel="0" collapsed="false">
      <c r="C735" s="0" t="n">
        <f aca="false">Panel!P730-Panel!P729</f>
        <v>0.00380118856005041</v>
      </c>
      <c r="D735" s="29" t="n">
        <f aca="false">Panel!P729</f>
        <v>-0.0151852285437517</v>
      </c>
      <c r="E735" s="30" t="n">
        <f aca="false">Panel!P729-Panel!P728</f>
        <v>-0.00192891956719343</v>
      </c>
      <c r="F735" s="30" t="n">
        <f aca="false">Panel!P728-Panel!P727</f>
        <v>0.0123108554451346</v>
      </c>
      <c r="G735" s="30" t="n">
        <f aca="false">Panel!P727-Panel!P726</f>
        <v>-0.00598822792836096</v>
      </c>
    </row>
    <row r="736" customFormat="false" ht="15" hidden="false" customHeight="false" outlineLevel="0" collapsed="false">
      <c r="C736" s="0" t="n">
        <f aca="false">Panel!P731-Panel!P730</f>
        <v>-8.79823689352577E-005</v>
      </c>
      <c r="D736" s="29" t="n">
        <f aca="false">Panel!P730</f>
        <v>-0.0113840399837013</v>
      </c>
      <c r="E736" s="30" t="n">
        <f aca="false">Panel!P730-Panel!P729</f>
        <v>0.00380118856005041</v>
      </c>
      <c r="F736" s="30" t="n">
        <f aca="false">Panel!P729-Panel!P728</f>
        <v>-0.00192891956719343</v>
      </c>
      <c r="G736" s="30" t="n">
        <f aca="false">Panel!P728-Panel!P727</f>
        <v>0.0123108554451346</v>
      </c>
    </row>
    <row r="737" customFormat="false" ht="15" hidden="false" customHeight="false" outlineLevel="0" collapsed="false">
      <c r="C737" s="0" t="n">
        <f aca="false">Panel!P732-Panel!P731</f>
        <v>0.00340486184445155</v>
      </c>
      <c r="D737" s="29" t="n">
        <f aca="false">Panel!P731</f>
        <v>-0.0114720223526366</v>
      </c>
      <c r="E737" s="30" t="n">
        <f aca="false">Panel!P731-Panel!P730</f>
        <v>-8.79823689352577E-005</v>
      </c>
      <c r="F737" s="30" t="n">
        <f aca="false">Panel!P730-Panel!P729</f>
        <v>0.00380118856005041</v>
      </c>
      <c r="G737" s="30" t="n">
        <f aca="false">Panel!P729-Panel!P728</f>
        <v>-0.00192891956719343</v>
      </c>
    </row>
    <row r="738" customFormat="false" ht="15" hidden="false" customHeight="false" outlineLevel="0" collapsed="false">
      <c r="C738" s="0" t="n">
        <f aca="false">Panel!P733-Panel!P732</f>
        <v>-0.00162733356451561</v>
      </c>
      <c r="D738" s="29" t="n">
        <f aca="false">Panel!P732</f>
        <v>-0.00806716050818501</v>
      </c>
      <c r="E738" s="30" t="n">
        <f aca="false">Panel!P732-Panel!P731</f>
        <v>0.00340486184445155</v>
      </c>
      <c r="F738" s="30" t="n">
        <f aca="false">Panel!P731-Panel!P730</f>
        <v>-8.79823689352577E-005</v>
      </c>
      <c r="G738" s="30" t="n">
        <f aca="false">Panel!P730-Panel!P729</f>
        <v>0.00380118856005041</v>
      </c>
    </row>
    <row r="739" customFormat="false" ht="15" hidden="false" customHeight="false" outlineLevel="0" collapsed="false">
      <c r="C739" s="0" t="n">
        <f aca="false">Panel!P734-Panel!P733</f>
        <v>0.00196840284581334</v>
      </c>
      <c r="D739" s="29" t="n">
        <f aca="false">Panel!P733</f>
        <v>-0.00969449407270062</v>
      </c>
      <c r="E739" s="30" t="n">
        <f aca="false">Panel!P733-Panel!P732</f>
        <v>-0.00162733356451561</v>
      </c>
      <c r="F739" s="30" t="n">
        <f aca="false">Panel!P732-Panel!P731</f>
        <v>0.00340486184445155</v>
      </c>
      <c r="G739" s="30" t="n">
        <f aca="false">Panel!P731-Panel!P730</f>
        <v>-8.79823689352577E-005</v>
      </c>
    </row>
    <row r="740" customFormat="false" ht="15" hidden="false" customHeight="false" outlineLevel="0" collapsed="false">
      <c r="C740" s="0" t="n">
        <f aca="false">Panel!P735-Panel!P734</f>
        <v>-0.00117649749195259</v>
      </c>
      <c r="D740" s="29" t="n">
        <f aca="false">Panel!P734</f>
        <v>-0.00772609122688728</v>
      </c>
      <c r="E740" s="30" t="n">
        <f aca="false">Panel!P734-Panel!P733</f>
        <v>0.00196840284581334</v>
      </c>
      <c r="F740" s="30" t="n">
        <f aca="false">Panel!P733-Panel!P732</f>
        <v>-0.00162733356451561</v>
      </c>
      <c r="G740" s="30" t="n">
        <f aca="false">Panel!P732-Panel!P731</f>
        <v>0.00340486184445155</v>
      </c>
    </row>
    <row r="741" customFormat="false" ht="15" hidden="false" customHeight="false" outlineLevel="0" collapsed="false">
      <c r="C741" s="0" t="n">
        <f aca="false">Panel!P736-Panel!P735</f>
        <v>0.000889690803919763</v>
      </c>
      <c r="D741" s="29" t="n">
        <f aca="false">Panel!P735</f>
        <v>-0.00890258871883987</v>
      </c>
      <c r="E741" s="30" t="n">
        <f aca="false">Panel!P735-Panel!P734</f>
        <v>-0.00117649749195259</v>
      </c>
      <c r="F741" s="30" t="n">
        <f aca="false">Panel!P734-Panel!P733</f>
        <v>0.00196840284581334</v>
      </c>
      <c r="G741" s="30" t="n">
        <f aca="false">Panel!P733-Panel!P732</f>
        <v>-0.00162733356451561</v>
      </c>
    </row>
    <row r="742" customFormat="false" ht="15" hidden="false" customHeight="false" outlineLevel="0" collapsed="false">
      <c r="C742" s="0" t="n">
        <f aca="false">Panel!P737-Panel!P736</f>
        <v>-0.00198720968250044</v>
      </c>
      <c r="D742" s="29" t="n">
        <f aca="false">Panel!P736</f>
        <v>-0.0080128979149201</v>
      </c>
      <c r="E742" s="30" t="n">
        <f aca="false">Panel!P736-Panel!P735</f>
        <v>0.000889690803919763</v>
      </c>
      <c r="F742" s="30" t="n">
        <f aca="false">Panel!P735-Panel!P734</f>
        <v>-0.00117649749195259</v>
      </c>
      <c r="G742" s="30" t="n">
        <f aca="false">Panel!P734-Panel!P733</f>
        <v>0.00196840284581334</v>
      </c>
    </row>
    <row r="743" customFormat="false" ht="15" hidden="false" customHeight="false" outlineLevel="0" collapsed="false">
      <c r="C743" s="0" t="n">
        <f aca="false">Panel!P738-Panel!P737</f>
        <v>0.00110888668227993</v>
      </c>
      <c r="D743" s="29" t="n">
        <f aca="false">Panel!P737</f>
        <v>-0.0100001075974205</v>
      </c>
      <c r="E743" s="30" t="n">
        <f aca="false">Panel!P737-Panel!P736</f>
        <v>-0.00198720968250044</v>
      </c>
      <c r="F743" s="30" t="n">
        <f aca="false">Panel!P736-Panel!P735</f>
        <v>0.000889690803919763</v>
      </c>
      <c r="G743" s="30" t="n">
        <f aca="false">Panel!P735-Panel!P734</f>
        <v>-0.00117649749195259</v>
      </c>
    </row>
    <row r="744" customFormat="false" ht="15" hidden="false" customHeight="false" outlineLevel="0" collapsed="false">
      <c r="C744" s="0" t="n">
        <f aca="false">Panel!P739-Panel!P738</f>
        <v>0.000455368616071539</v>
      </c>
      <c r="D744" s="29" t="n">
        <f aca="false">Panel!P738</f>
        <v>-0.00889122091514061</v>
      </c>
      <c r="E744" s="30" t="n">
        <f aca="false">Panel!P738-Panel!P737</f>
        <v>0.00110888668227993</v>
      </c>
      <c r="F744" s="30" t="n">
        <f aca="false">Panel!P737-Panel!P736</f>
        <v>-0.00198720968250044</v>
      </c>
      <c r="G744" s="30" t="n">
        <f aca="false">Panel!P736-Panel!P735</f>
        <v>0.000889690803919763</v>
      </c>
    </row>
    <row r="745" customFormat="false" ht="15" hidden="false" customHeight="false" outlineLevel="0" collapsed="false">
      <c r="C745" s="0" t="n">
        <f aca="false">Panel!P740-Panel!P739</f>
        <v>0.00225351216239567</v>
      </c>
      <c r="D745" s="29" t="n">
        <f aca="false">Panel!P739</f>
        <v>-0.00843585229906907</v>
      </c>
      <c r="E745" s="30" t="n">
        <f aca="false">Panel!P739-Panel!P738</f>
        <v>0.000455368616071539</v>
      </c>
      <c r="F745" s="30" t="n">
        <f aca="false">Panel!P738-Panel!P737</f>
        <v>0.00110888668227993</v>
      </c>
      <c r="G745" s="30" t="n">
        <f aca="false">Panel!P737-Panel!P736</f>
        <v>-0.00198720968250044</v>
      </c>
    </row>
    <row r="746" customFormat="false" ht="15" hidden="false" customHeight="false" outlineLevel="0" collapsed="false">
      <c r="C746" s="0" t="n">
        <f aca="false">Panel!P741-Panel!P740</f>
        <v>-0.00205047913323853</v>
      </c>
      <c r="D746" s="29" t="n">
        <f aca="false">Panel!P740</f>
        <v>-0.0061823401366734</v>
      </c>
      <c r="E746" s="30" t="n">
        <f aca="false">Panel!P740-Panel!P739</f>
        <v>0.00225351216239567</v>
      </c>
      <c r="F746" s="30" t="n">
        <f aca="false">Panel!P739-Panel!P738</f>
        <v>0.000455368616071539</v>
      </c>
      <c r="G746" s="30" t="n">
        <f aca="false">Panel!P738-Panel!P737</f>
        <v>0.00110888668227993</v>
      </c>
    </row>
    <row r="747" customFormat="false" ht="15" hidden="false" customHeight="false" outlineLevel="0" collapsed="false">
      <c r="C747" s="0" t="n">
        <f aca="false">Panel!P742-Panel!P741</f>
        <v>-0.00255320799733916</v>
      </c>
      <c r="D747" s="29" t="n">
        <f aca="false">Panel!P741</f>
        <v>-0.00823281926991193</v>
      </c>
      <c r="E747" s="30" t="n">
        <f aca="false">Panel!P741-Panel!P740</f>
        <v>-0.00205047913323853</v>
      </c>
      <c r="F747" s="30" t="n">
        <f aca="false">Panel!P740-Panel!P739</f>
        <v>0.00225351216239567</v>
      </c>
      <c r="G747" s="30" t="n">
        <f aca="false">Panel!P739-Panel!P738</f>
        <v>0.000455368616071539</v>
      </c>
    </row>
    <row r="748" customFormat="false" ht="15" hidden="false" customHeight="false" outlineLevel="0" collapsed="false">
      <c r="C748" s="0" t="n">
        <f aca="false">Panel!P743-Panel!P742</f>
        <v>-0.00154549717871788</v>
      </c>
      <c r="D748" s="29" t="n">
        <f aca="false">Panel!P742</f>
        <v>-0.0107860272672511</v>
      </c>
      <c r="E748" s="30" t="n">
        <f aca="false">Panel!P742-Panel!P741</f>
        <v>-0.00255320799733916</v>
      </c>
      <c r="F748" s="30" t="n">
        <f aca="false">Panel!P741-Panel!P740</f>
        <v>-0.00205047913323853</v>
      </c>
      <c r="G748" s="30" t="n">
        <f aca="false">Panel!P740-Panel!P739</f>
        <v>0.00225351216239567</v>
      </c>
    </row>
    <row r="749" customFormat="false" ht="15" hidden="false" customHeight="false" outlineLevel="0" collapsed="false">
      <c r="C749" s="0" t="n">
        <f aca="false">Panel!P744-Panel!P743</f>
        <v>0.0036754842818425</v>
      </c>
      <c r="D749" s="29" t="n">
        <f aca="false">Panel!P743</f>
        <v>-0.012331524445969</v>
      </c>
      <c r="E749" s="30" t="n">
        <f aca="false">Panel!P743-Panel!P742</f>
        <v>-0.00154549717871788</v>
      </c>
      <c r="F749" s="30" t="n">
        <f aca="false">Panel!P742-Panel!P741</f>
        <v>-0.00255320799733916</v>
      </c>
      <c r="G749" s="30" t="n">
        <f aca="false">Panel!P741-Panel!P740</f>
        <v>-0.00205047913323853</v>
      </c>
    </row>
    <row r="750" customFormat="false" ht="15" hidden="false" customHeight="false" outlineLevel="0" collapsed="false">
      <c r="C750" s="0" t="n">
        <f aca="false">Panel!P745-Panel!P744</f>
        <v>-0.00255220498967113</v>
      </c>
      <c r="D750" s="29" t="n">
        <f aca="false">Panel!P744</f>
        <v>-0.00865604016412647</v>
      </c>
      <c r="E750" s="30" t="n">
        <f aca="false">Panel!P744-Panel!P743</f>
        <v>0.0036754842818425</v>
      </c>
      <c r="F750" s="30" t="n">
        <f aca="false">Panel!P743-Panel!P742</f>
        <v>-0.00154549717871788</v>
      </c>
      <c r="G750" s="30" t="n">
        <f aca="false">Panel!P742-Panel!P741</f>
        <v>-0.00255320799733916</v>
      </c>
    </row>
    <row r="751" customFormat="false" ht="15" hidden="false" customHeight="false" outlineLevel="0" collapsed="false">
      <c r="C751" s="0" t="n">
        <f aca="false">Panel!P746-Panel!P745</f>
        <v>0.00583029970399807</v>
      </c>
      <c r="D751" s="29" t="n">
        <f aca="false">Panel!P745</f>
        <v>-0.0112082451537976</v>
      </c>
      <c r="E751" s="30" t="n">
        <f aca="false">Panel!P745-Panel!P744</f>
        <v>-0.00255220498967113</v>
      </c>
      <c r="F751" s="30" t="n">
        <f aca="false">Panel!P744-Panel!P743</f>
        <v>0.0036754842818425</v>
      </c>
      <c r="G751" s="30" t="n">
        <f aca="false">Panel!P743-Panel!P742</f>
        <v>-0.00154549717871788</v>
      </c>
    </row>
    <row r="752" customFormat="false" ht="15" hidden="false" customHeight="false" outlineLevel="0" collapsed="false">
      <c r="C752" s="0" t="n">
        <f aca="false">Panel!P747-Panel!P746</f>
        <v>-0.00259266964490656</v>
      </c>
      <c r="D752" s="29" t="n">
        <f aca="false">Panel!P746</f>
        <v>-0.00537794544979953</v>
      </c>
      <c r="E752" s="30" t="n">
        <f aca="false">Panel!P746-Panel!P745</f>
        <v>0.00583029970399807</v>
      </c>
      <c r="F752" s="30" t="n">
        <f aca="false">Panel!P745-Panel!P744</f>
        <v>-0.00255220498967113</v>
      </c>
      <c r="G752" s="30" t="n">
        <f aca="false">Panel!P744-Panel!P743</f>
        <v>0.0036754842818425</v>
      </c>
    </row>
    <row r="753" customFormat="false" ht="15" hidden="false" customHeight="false" outlineLevel="0" collapsed="false">
      <c r="C753" s="0" t="n">
        <f aca="false">Panel!P748-Panel!P747</f>
        <v>0.000187011131293602</v>
      </c>
      <c r="D753" s="29" t="n">
        <f aca="false">Panel!P747</f>
        <v>-0.00797061509470609</v>
      </c>
      <c r="E753" s="30" t="n">
        <f aca="false">Panel!P747-Panel!P746</f>
        <v>-0.00259266964490656</v>
      </c>
      <c r="F753" s="30" t="n">
        <f aca="false">Panel!P746-Panel!P745</f>
        <v>0.00583029970399807</v>
      </c>
      <c r="G753" s="30" t="n">
        <f aca="false">Panel!P745-Panel!P744</f>
        <v>-0.00255220498967113</v>
      </c>
    </row>
    <row r="754" customFormat="false" ht="15" hidden="false" customHeight="false" outlineLevel="0" collapsed="false">
      <c r="C754" s="0" t="n">
        <f aca="false">Panel!P749-Panel!P748</f>
        <v>-0.000124355005464594</v>
      </c>
      <c r="D754" s="29" t="n">
        <f aca="false">Panel!P748</f>
        <v>-0.00778360396341249</v>
      </c>
      <c r="E754" s="30" t="n">
        <f aca="false">Panel!P748-Panel!P747</f>
        <v>0.000187011131293602</v>
      </c>
      <c r="F754" s="30" t="n">
        <f aca="false">Panel!P747-Panel!P746</f>
        <v>-0.00259266964490656</v>
      </c>
      <c r="G754" s="30" t="n">
        <f aca="false">Panel!P746-Panel!P745</f>
        <v>0.00583029970399807</v>
      </c>
    </row>
    <row r="755" customFormat="false" ht="15" hidden="false" customHeight="false" outlineLevel="0" collapsed="false">
      <c r="C755" s="0" t="n">
        <f aca="false">Panel!P750-Panel!P749</f>
        <v>0.00265865267913945</v>
      </c>
      <c r="D755" s="29" t="n">
        <f aca="false">Panel!P749</f>
        <v>-0.00790795896887708</v>
      </c>
      <c r="E755" s="30" t="n">
        <f aca="false">Panel!P749-Panel!P748</f>
        <v>-0.000124355005464594</v>
      </c>
      <c r="F755" s="30" t="n">
        <f aca="false">Panel!P748-Panel!P747</f>
        <v>0.000187011131293602</v>
      </c>
      <c r="G755" s="30" t="n">
        <f aca="false">Panel!P747-Panel!P746</f>
        <v>-0.00259266964490656</v>
      </c>
    </row>
    <row r="756" customFormat="false" ht="15" hidden="false" customHeight="false" outlineLevel="0" collapsed="false">
      <c r="C756" s="0" t="n">
        <f aca="false">Panel!P751-Panel!P750</f>
        <v>-0.00103334969948321</v>
      </c>
      <c r="D756" s="29" t="n">
        <f aca="false">Panel!P750</f>
        <v>-0.00524930628973763</v>
      </c>
      <c r="E756" s="30" t="n">
        <f aca="false">Panel!P750-Panel!P749</f>
        <v>0.00265865267913945</v>
      </c>
      <c r="F756" s="30" t="n">
        <f aca="false">Panel!P749-Panel!P748</f>
        <v>-0.000124355005464594</v>
      </c>
      <c r="G756" s="30" t="n">
        <f aca="false">Panel!P748-Panel!P747</f>
        <v>0.000187011131293602</v>
      </c>
    </row>
    <row r="757" customFormat="false" ht="15" hidden="false" customHeight="false" outlineLevel="0" collapsed="false">
      <c r="C757" s="0" t="n">
        <f aca="false">Panel!P752-Panel!P751</f>
        <v>-0.00258112682663381</v>
      </c>
      <c r="D757" s="29" t="n">
        <f aca="false">Panel!P751</f>
        <v>-0.00628265598922084</v>
      </c>
      <c r="E757" s="30" t="n">
        <f aca="false">Panel!P751-Panel!P750</f>
        <v>-0.00103334969948321</v>
      </c>
      <c r="F757" s="30" t="n">
        <f aca="false">Panel!P750-Panel!P749</f>
        <v>0.00265865267913945</v>
      </c>
      <c r="G757" s="30" t="n">
        <f aca="false">Panel!P749-Panel!P748</f>
        <v>-0.000124355005464594</v>
      </c>
    </row>
    <row r="758" customFormat="false" ht="15" hidden="false" customHeight="false" outlineLevel="0" collapsed="false">
      <c r="C758" s="0" t="n">
        <f aca="false">Panel!P753-Panel!P752</f>
        <v>-0.00220101246144289</v>
      </c>
      <c r="D758" s="29" t="n">
        <f aca="false">Panel!P752</f>
        <v>-0.00886378281585465</v>
      </c>
      <c r="E758" s="30" t="n">
        <f aca="false">Panel!P752-Panel!P751</f>
        <v>-0.00258112682663381</v>
      </c>
      <c r="F758" s="30" t="n">
        <f aca="false">Panel!P751-Panel!P750</f>
        <v>-0.00103334969948321</v>
      </c>
      <c r="G758" s="30" t="n">
        <f aca="false">Panel!P750-Panel!P749</f>
        <v>0.00265865267913945</v>
      </c>
    </row>
    <row r="759" customFormat="false" ht="15" hidden="false" customHeight="false" outlineLevel="0" collapsed="false">
      <c r="C759" s="0" t="n">
        <f aca="false">Panel!P754-Panel!P753</f>
        <v>-0.000847223883171822</v>
      </c>
      <c r="D759" s="29" t="n">
        <f aca="false">Panel!P753</f>
        <v>-0.0110647952772975</v>
      </c>
      <c r="E759" s="30" t="n">
        <f aca="false">Panel!P753-Panel!P752</f>
        <v>-0.00220101246144289</v>
      </c>
      <c r="F759" s="30" t="n">
        <f aca="false">Panel!P752-Panel!P751</f>
        <v>-0.00258112682663381</v>
      </c>
      <c r="G759" s="30" t="n">
        <f aca="false">Panel!P751-Panel!P750</f>
        <v>-0.00103334969948321</v>
      </c>
    </row>
    <row r="760" customFormat="false" ht="15" hidden="false" customHeight="false" outlineLevel="0" collapsed="false">
      <c r="C760" s="0" t="n">
        <f aca="false">Panel!P755-Panel!P754</f>
        <v>0.000158109882717028</v>
      </c>
      <c r="D760" s="29" t="n">
        <f aca="false">Panel!P754</f>
        <v>-0.0119120191604694</v>
      </c>
      <c r="E760" s="30" t="n">
        <f aca="false">Panel!P754-Panel!P753</f>
        <v>-0.000847223883171822</v>
      </c>
      <c r="F760" s="30" t="n">
        <f aca="false">Panel!P753-Panel!P752</f>
        <v>-0.00220101246144289</v>
      </c>
      <c r="G760" s="30" t="n">
        <f aca="false">Panel!P752-Panel!P751</f>
        <v>-0.00258112682663381</v>
      </c>
    </row>
    <row r="761" customFormat="false" ht="15" hidden="false" customHeight="false" outlineLevel="0" collapsed="false">
      <c r="C761" s="0" t="n">
        <f aca="false">Panel!P756-Panel!P755</f>
        <v>0.00115035571143274</v>
      </c>
      <c r="D761" s="29" t="n">
        <f aca="false">Panel!P755</f>
        <v>-0.0117539092777523</v>
      </c>
      <c r="E761" s="30" t="n">
        <f aca="false">Panel!P755-Panel!P754</f>
        <v>0.000158109882717028</v>
      </c>
      <c r="F761" s="30" t="n">
        <f aca="false">Panel!P754-Panel!P753</f>
        <v>-0.000847223883171822</v>
      </c>
      <c r="G761" s="30" t="n">
        <f aca="false">Panel!P753-Panel!P752</f>
        <v>-0.00220101246144289</v>
      </c>
    </row>
    <row r="762" customFormat="false" ht="15" hidden="false" customHeight="false" outlineLevel="0" collapsed="false">
      <c r="C762" s="0" t="n">
        <f aca="false">Panel!P757-Panel!P756</f>
        <v>-0.00140241024601551</v>
      </c>
      <c r="D762" s="29" t="n">
        <f aca="false">Panel!P756</f>
        <v>-0.0106035535663196</v>
      </c>
      <c r="E762" s="30" t="n">
        <f aca="false">Panel!P756-Panel!P755</f>
        <v>0.00115035571143274</v>
      </c>
      <c r="F762" s="30" t="n">
        <f aca="false">Panel!P755-Panel!P754</f>
        <v>0.000158109882717028</v>
      </c>
      <c r="G762" s="30" t="n">
        <f aca="false">Panel!P754-Panel!P753</f>
        <v>-0.000847223883171822</v>
      </c>
    </row>
    <row r="763" customFormat="false" ht="15" hidden="false" customHeight="false" outlineLevel="0" collapsed="false">
      <c r="C763" s="0" t="n">
        <f aca="false">Panel!P758-Panel!P757</f>
        <v>0.000658059670417543</v>
      </c>
      <c r="D763" s="29" t="n">
        <f aca="false">Panel!P757</f>
        <v>-0.0120059638123351</v>
      </c>
      <c r="E763" s="30" t="n">
        <f aca="false">Panel!P757-Panel!P756</f>
        <v>-0.00140241024601551</v>
      </c>
      <c r="F763" s="30" t="n">
        <f aca="false">Panel!P756-Panel!P755</f>
        <v>0.00115035571143274</v>
      </c>
      <c r="G763" s="30" t="n">
        <f aca="false">Panel!P755-Panel!P754</f>
        <v>0.000158109882717028</v>
      </c>
    </row>
    <row r="764" customFormat="false" ht="15" hidden="false" customHeight="false" outlineLevel="0" collapsed="false">
      <c r="C764" s="0" t="n">
        <f aca="false">Panel!P759-Panel!P758</f>
        <v>-0.00262719575567338</v>
      </c>
      <c r="D764" s="29" t="n">
        <f aca="false">Panel!P758</f>
        <v>-0.0113479041419176</v>
      </c>
      <c r="E764" s="30" t="n">
        <f aca="false">Panel!P758-Panel!P757</f>
        <v>0.000658059670417543</v>
      </c>
      <c r="F764" s="30" t="n">
        <f aca="false">Panel!P757-Panel!P756</f>
        <v>-0.00140241024601551</v>
      </c>
      <c r="G764" s="30" t="n">
        <f aca="false">Panel!P756-Panel!P755</f>
        <v>0.00115035571143274</v>
      </c>
    </row>
    <row r="765" customFormat="false" ht="15" hidden="false" customHeight="false" outlineLevel="0" collapsed="false">
      <c r="C765" s="0" t="n">
        <f aca="false">Panel!P760-Panel!P759</f>
        <v>0.00243814779546092</v>
      </c>
      <c r="D765" s="29" t="n">
        <f aca="false">Panel!P759</f>
        <v>-0.0139750998975909</v>
      </c>
      <c r="E765" s="30" t="n">
        <f aca="false">Panel!P759-Panel!P758</f>
        <v>-0.00262719575567338</v>
      </c>
      <c r="F765" s="30" t="n">
        <f aca="false">Panel!P758-Panel!P757</f>
        <v>0.000658059670417543</v>
      </c>
      <c r="G765" s="30" t="n">
        <f aca="false">Panel!P757-Panel!P756</f>
        <v>-0.00140241024601551</v>
      </c>
    </row>
    <row r="766" customFormat="false" ht="15" hidden="false" customHeight="false" outlineLevel="0" collapsed="false">
      <c r="C766" s="0" t="n">
        <f aca="false">Panel!P761-Panel!P760</f>
        <v>-0.00212539933074751</v>
      </c>
      <c r="D766" s="29" t="n">
        <f aca="false">Panel!P760</f>
        <v>-0.01153695210213</v>
      </c>
      <c r="E766" s="30" t="n">
        <f aca="false">Panel!P760-Panel!P759</f>
        <v>0.00243814779546092</v>
      </c>
      <c r="F766" s="30" t="n">
        <f aca="false">Panel!P759-Panel!P758</f>
        <v>-0.00262719575567338</v>
      </c>
      <c r="G766" s="30" t="n">
        <f aca="false">Panel!P758-Panel!P757</f>
        <v>0.000658059670417543</v>
      </c>
    </row>
    <row r="767" customFormat="false" ht="15" hidden="false" customHeight="false" outlineLevel="0" collapsed="false">
      <c r="C767" s="0" t="n">
        <f aca="false">Panel!P762-Panel!P761</f>
        <v>0.00127637797634605</v>
      </c>
      <c r="D767" s="29" t="n">
        <f aca="false">Panel!P761</f>
        <v>-0.0136623514328775</v>
      </c>
      <c r="E767" s="30" t="n">
        <f aca="false">Panel!P761-Panel!P760</f>
        <v>-0.00212539933074751</v>
      </c>
      <c r="F767" s="30" t="n">
        <f aca="false">Panel!P760-Panel!P759</f>
        <v>0.00243814779546092</v>
      </c>
      <c r="G767" s="30" t="n">
        <f aca="false">Panel!P759-Panel!P758</f>
        <v>-0.00262719575567338</v>
      </c>
    </row>
    <row r="768" customFormat="false" ht="15" hidden="false" customHeight="false" outlineLevel="0" collapsed="false">
      <c r="C768" s="0" t="n">
        <f aca="false">Panel!P763-Panel!P762</f>
        <v>0.00384743404618604</v>
      </c>
      <c r="D768" s="29" t="n">
        <f aca="false">Panel!P762</f>
        <v>-0.0123859734565315</v>
      </c>
      <c r="E768" s="30" t="n">
        <f aca="false">Panel!P762-Panel!P761</f>
        <v>0.00127637797634605</v>
      </c>
      <c r="F768" s="30" t="n">
        <f aca="false">Panel!P761-Panel!P760</f>
        <v>-0.00212539933074751</v>
      </c>
      <c r="G768" s="30" t="n">
        <f aca="false">Panel!P760-Panel!P759</f>
        <v>0.00243814779546092</v>
      </c>
    </row>
    <row r="769" customFormat="false" ht="15" hidden="false" customHeight="false" outlineLevel="0" collapsed="false">
      <c r="C769" s="0" t="n">
        <f aca="false">Panel!P764-Panel!P763</f>
        <v>-0.00366686217813061</v>
      </c>
      <c r="D769" s="29" t="n">
        <f aca="false">Panel!P763</f>
        <v>-0.00853853941034544</v>
      </c>
      <c r="E769" s="30" t="n">
        <f aca="false">Panel!P763-Panel!P762</f>
        <v>0.00384743404618604</v>
      </c>
      <c r="F769" s="30" t="n">
        <f aca="false">Panel!P762-Panel!P761</f>
        <v>0.00127637797634605</v>
      </c>
      <c r="G769" s="30" t="n">
        <f aca="false">Panel!P761-Panel!P760</f>
        <v>-0.00212539933074751</v>
      </c>
    </row>
    <row r="770" customFormat="false" ht="15" hidden="false" customHeight="false" outlineLevel="0" collapsed="false">
      <c r="C770" s="0" t="n">
        <f aca="false">Panel!P765-Panel!P764</f>
        <v>0.00361335096048698</v>
      </c>
      <c r="D770" s="29" t="n">
        <f aca="false">Panel!P764</f>
        <v>-0.0122054015884761</v>
      </c>
      <c r="E770" s="30" t="n">
        <f aca="false">Panel!P764-Panel!P763</f>
        <v>-0.00366686217813061</v>
      </c>
      <c r="F770" s="30" t="n">
        <f aca="false">Panel!P763-Panel!P762</f>
        <v>0.00384743404618604</v>
      </c>
      <c r="G770" s="30" t="n">
        <f aca="false">Panel!P762-Panel!P761</f>
        <v>0.00127637797634605</v>
      </c>
    </row>
    <row r="771" customFormat="false" ht="15" hidden="false" customHeight="false" outlineLevel="0" collapsed="false">
      <c r="C771" s="0" t="n">
        <f aca="false">Panel!P766-Panel!P765</f>
        <v>-0.00103301948622914</v>
      </c>
      <c r="D771" s="29" t="n">
        <f aca="false">Panel!P765</f>
        <v>-0.00859205062798907</v>
      </c>
      <c r="E771" s="30" t="n">
        <f aca="false">Panel!P765-Panel!P764</f>
        <v>0.00361335096048698</v>
      </c>
      <c r="F771" s="30" t="n">
        <f aca="false">Panel!P764-Panel!P763</f>
        <v>-0.00366686217813061</v>
      </c>
      <c r="G771" s="30" t="n">
        <f aca="false">Panel!P763-Panel!P762</f>
        <v>0.00384743404618604</v>
      </c>
    </row>
    <row r="772" customFormat="false" ht="15" hidden="false" customHeight="false" outlineLevel="0" collapsed="false">
      <c r="C772" s="0" t="n">
        <f aca="false">Panel!P767-Panel!P766</f>
        <v>-0.00433753024039163</v>
      </c>
      <c r="D772" s="29" t="n">
        <f aca="false">Panel!P766</f>
        <v>-0.0096250701142182</v>
      </c>
      <c r="E772" s="30" t="n">
        <f aca="false">Panel!P766-Panel!P765</f>
        <v>-0.00103301948622914</v>
      </c>
      <c r="F772" s="30" t="n">
        <f aca="false">Panel!P765-Panel!P764</f>
        <v>0.00361335096048698</v>
      </c>
      <c r="G772" s="30" t="n">
        <f aca="false">Panel!P764-Panel!P763</f>
        <v>-0.00366686217813061</v>
      </c>
    </row>
    <row r="773" customFormat="false" ht="15" hidden="false" customHeight="false" outlineLevel="0" collapsed="false">
      <c r="C773" s="0" t="n">
        <f aca="false">Panel!P768-Panel!P767</f>
        <v>0.00499522631174187</v>
      </c>
      <c r="D773" s="29" t="n">
        <f aca="false">Panel!P767</f>
        <v>-0.0139626003546098</v>
      </c>
      <c r="E773" s="30" t="n">
        <f aca="false">Panel!P767-Panel!P766</f>
        <v>-0.00433753024039163</v>
      </c>
      <c r="F773" s="30" t="n">
        <f aca="false">Panel!P766-Panel!P765</f>
        <v>-0.00103301948622914</v>
      </c>
      <c r="G773" s="30" t="n">
        <f aca="false">Panel!P765-Panel!P764</f>
        <v>0.00361335096048698</v>
      </c>
    </row>
    <row r="774" customFormat="false" ht="15" hidden="false" customHeight="false" outlineLevel="0" collapsed="false">
      <c r="C774" s="0" t="n">
        <f aca="false">Panel!P769-Panel!P768</f>
        <v>-0.00131599929726356</v>
      </c>
      <c r="D774" s="29" t="n">
        <f aca="false">Panel!P768</f>
        <v>-0.00896737404286796</v>
      </c>
      <c r="E774" s="30" t="n">
        <f aca="false">Panel!P768-Panel!P767</f>
        <v>0.00499522631174187</v>
      </c>
      <c r="F774" s="30" t="n">
        <f aca="false">Panel!P767-Panel!P766</f>
        <v>-0.00433753024039163</v>
      </c>
      <c r="G774" s="30" t="n">
        <f aca="false">Panel!P766-Panel!P765</f>
        <v>-0.00103301948622914</v>
      </c>
    </row>
    <row r="775" customFormat="false" ht="15" hidden="false" customHeight="false" outlineLevel="0" collapsed="false">
      <c r="C775" s="0" t="n">
        <f aca="false">Panel!P770-Panel!P769</f>
        <v>-0.00054754157204151</v>
      </c>
      <c r="D775" s="29" t="n">
        <f aca="false">Panel!P769</f>
        <v>-0.0102833733401315</v>
      </c>
      <c r="E775" s="30" t="n">
        <f aca="false">Panel!P769-Panel!P768</f>
        <v>-0.00131599929726356</v>
      </c>
      <c r="F775" s="30" t="n">
        <f aca="false">Panel!P768-Panel!P767</f>
        <v>0.00499522631174187</v>
      </c>
      <c r="G775" s="30" t="n">
        <f aca="false">Panel!P767-Panel!P766</f>
        <v>-0.00433753024039163</v>
      </c>
    </row>
    <row r="776" customFormat="false" ht="15" hidden="false" customHeight="false" outlineLevel="0" collapsed="false">
      <c r="C776" s="0" t="n">
        <f aca="false">Panel!P771-Panel!P770</f>
        <v>-0.00260163029605032</v>
      </c>
      <c r="D776" s="29" t="n">
        <f aca="false">Panel!P770</f>
        <v>-0.010830914912173</v>
      </c>
      <c r="E776" s="30" t="n">
        <f aca="false">Panel!P770-Panel!P769</f>
        <v>-0.00054754157204151</v>
      </c>
      <c r="F776" s="30" t="n">
        <f aca="false">Panel!P769-Panel!P768</f>
        <v>-0.00131599929726356</v>
      </c>
      <c r="G776" s="30" t="n">
        <f aca="false">Panel!P768-Panel!P767</f>
        <v>0.00499522631174187</v>
      </c>
    </row>
    <row r="777" customFormat="false" ht="15" hidden="false" customHeight="false" outlineLevel="0" collapsed="false">
      <c r="C777" s="0" t="n">
        <f aca="false">Panel!P772-Panel!P771</f>
        <v>-0.00171446266221231</v>
      </c>
      <c r="D777" s="29" t="n">
        <f aca="false">Panel!P771</f>
        <v>-0.0134325452082233</v>
      </c>
      <c r="E777" s="30" t="n">
        <f aca="false">Panel!P771-Panel!P770</f>
        <v>-0.00260163029605032</v>
      </c>
      <c r="F777" s="30" t="n">
        <f aca="false">Panel!P770-Panel!P769</f>
        <v>-0.00054754157204151</v>
      </c>
      <c r="G777" s="30" t="n">
        <f aca="false">Panel!P769-Panel!P768</f>
        <v>-0.00131599929726356</v>
      </c>
    </row>
    <row r="778" customFormat="false" ht="15" hidden="false" customHeight="false" outlineLevel="0" collapsed="false">
      <c r="C778" s="0" t="n">
        <f aca="false">Panel!P773-Panel!P772</f>
        <v>0.00310102769036114</v>
      </c>
      <c r="D778" s="29" t="n">
        <f aca="false">Panel!P772</f>
        <v>-0.0151470078704357</v>
      </c>
      <c r="E778" s="30" t="n">
        <f aca="false">Panel!P772-Panel!P771</f>
        <v>-0.00171446266221231</v>
      </c>
      <c r="F778" s="30" t="n">
        <f aca="false">Panel!P771-Panel!P770</f>
        <v>-0.00260163029605032</v>
      </c>
      <c r="G778" s="30" t="n">
        <f aca="false">Panel!P770-Panel!P769</f>
        <v>-0.00054754157204151</v>
      </c>
    </row>
    <row r="779" customFormat="false" ht="15" hidden="false" customHeight="false" outlineLevel="0" collapsed="false">
      <c r="C779" s="0" t="n">
        <f aca="false">Panel!P774-Panel!P773</f>
        <v>-0.00128958960981329</v>
      </c>
      <c r="D779" s="29" t="n">
        <f aca="false">Panel!P773</f>
        <v>-0.0120459801800745</v>
      </c>
      <c r="E779" s="30" t="n">
        <f aca="false">Panel!P773-Panel!P772</f>
        <v>0.00310102769036114</v>
      </c>
      <c r="F779" s="30" t="n">
        <f aca="false">Panel!P772-Panel!P771</f>
        <v>-0.00171446266221231</v>
      </c>
      <c r="G779" s="30" t="n">
        <f aca="false">Panel!P771-Panel!P770</f>
        <v>-0.00260163029605032</v>
      </c>
    </row>
    <row r="780" customFormat="false" ht="15" hidden="false" customHeight="false" outlineLevel="0" collapsed="false">
      <c r="C780" s="0" t="n">
        <f aca="false">Panel!P775-Panel!P774</f>
        <v>3.45203995344434E-005</v>
      </c>
      <c r="D780" s="29" t="n">
        <f aca="false">Panel!P774</f>
        <v>-0.0133355697898878</v>
      </c>
      <c r="E780" s="30" t="n">
        <f aca="false">Panel!P774-Panel!P773</f>
        <v>-0.00128958960981329</v>
      </c>
      <c r="F780" s="30" t="n">
        <f aca="false">Panel!P773-Panel!P772</f>
        <v>0.00310102769036114</v>
      </c>
      <c r="G780" s="30" t="n">
        <f aca="false">Panel!P772-Panel!P771</f>
        <v>-0.00171446266221231</v>
      </c>
    </row>
    <row r="781" customFormat="false" ht="15" hidden="false" customHeight="false" outlineLevel="0" collapsed="false">
      <c r="C781" s="0" t="n">
        <f aca="false">Panel!P776-Panel!P775</f>
        <v>0.00294523157542415</v>
      </c>
      <c r="D781" s="29" t="n">
        <f aca="false">Panel!P775</f>
        <v>-0.0133010493903534</v>
      </c>
      <c r="E781" s="30" t="n">
        <f aca="false">Panel!P775-Panel!P774</f>
        <v>3.45203995344434E-005</v>
      </c>
      <c r="F781" s="30" t="n">
        <f aca="false">Panel!P774-Panel!P773</f>
        <v>-0.00128958960981329</v>
      </c>
      <c r="G781" s="30" t="n">
        <f aca="false">Panel!P773-Panel!P772</f>
        <v>0.00310102769036114</v>
      </c>
    </row>
    <row r="782" customFormat="false" ht="15" hidden="false" customHeight="false" outlineLevel="0" collapsed="false">
      <c r="C782" s="0" t="n">
        <f aca="false">Panel!P777-Panel!P776</f>
        <v>0.00018768130484581</v>
      </c>
      <c r="D782" s="29" t="n">
        <f aca="false">Panel!P776</f>
        <v>-0.0103558178149292</v>
      </c>
      <c r="E782" s="30" t="n">
        <f aca="false">Panel!P776-Panel!P775</f>
        <v>0.00294523157542415</v>
      </c>
      <c r="F782" s="30" t="n">
        <f aca="false">Panel!P775-Panel!P774</f>
        <v>3.45203995344434E-005</v>
      </c>
      <c r="G782" s="30" t="n">
        <f aca="false">Panel!P774-Panel!P773</f>
        <v>-0.00128958960981329</v>
      </c>
    </row>
    <row r="783" customFormat="false" ht="15" hidden="false" customHeight="false" outlineLevel="0" collapsed="false">
      <c r="C783" s="0" t="n">
        <f aca="false">Panel!P778-Panel!P777</f>
        <v>-3.06165720473928E-005</v>
      </c>
      <c r="D783" s="29" t="n">
        <f aca="false">Panel!P777</f>
        <v>-0.0101681365100834</v>
      </c>
      <c r="E783" s="30" t="n">
        <f aca="false">Panel!P777-Panel!P776</f>
        <v>0.00018768130484581</v>
      </c>
      <c r="F783" s="30" t="n">
        <f aca="false">Panel!P776-Panel!P775</f>
        <v>0.00294523157542415</v>
      </c>
      <c r="G783" s="30" t="n">
        <f aca="false">Panel!P775-Panel!P774</f>
        <v>3.45203995344434E-005</v>
      </c>
    </row>
    <row r="784" customFormat="false" ht="15" hidden="false" customHeight="false" outlineLevel="0" collapsed="false">
      <c r="C784" s="0" t="n">
        <f aca="false">Panel!P779-Panel!P778</f>
        <v>-0.00106060057448332</v>
      </c>
      <c r="D784" s="29" t="n">
        <f aca="false">Panel!P778</f>
        <v>-0.0101987530821308</v>
      </c>
      <c r="E784" s="30" t="n">
        <f aca="false">Panel!P778-Panel!P777</f>
        <v>-3.06165720473928E-005</v>
      </c>
      <c r="F784" s="30" t="n">
        <f aca="false">Panel!P777-Panel!P776</f>
        <v>0.00018768130484581</v>
      </c>
      <c r="G784" s="30" t="n">
        <f aca="false">Panel!P776-Panel!P775</f>
        <v>0.00294523157542415</v>
      </c>
    </row>
    <row r="785" customFormat="false" ht="15" hidden="false" customHeight="false" outlineLevel="0" collapsed="false">
      <c r="C785" s="0" t="n">
        <f aca="false">Panel!P780-Panel!P779</f>
        <v>0.00112393443159498</v>
      </c>
      <c r="D785" s="29" t="n">
        <f aca="false">Panel!P779</f>
        <v>-0.0112593536566141</v>
      </c>
      <c r="E785" s="30" t="n">
        <f aca="false">Panel!P779-Panel!P778</f>
        <v>-0.00106060057448332</v>
      </c>
      <c r="F785" s="30" t="n">
        <f aca="false">Panel!P778-Panel!P777</f>
        <v>-3.06165720473928E-005</v>
      </c>
      <c r="G785" s="30" t="n">
        <f aca="false">Panel!P777-Panel!P776</f>
        <v>0.00018768130484581</v>
      </c>
    </row>
    <row r="786" customFormat="false" ht="15" hidden="false" customHeight="false" outlineLevel="0" collapsed="false">
      <c r="C786" s="0" t="n">
        <f aca="false">Panel!P781-Panel!P780</f>
        <v>-0.00226341256305318</v>
      </c>
      <c r="D786" s="29" t="n">
        <f aca="false">Panel!P780</f>
        <v>-0.0101354192250191</v>
      </c>
      <c r="E786" s="30" t="n">
        <f aca="false">Panel!P780-Panel!P779</f>
        <v>0.00112393443159498</v>
      </c>
      <c r="F786" s="30" t="n">
        <f aca="false">Panel!P779-Panel!P778</f>
        <v>-0.00106060057448332</v>
      </c>
      <c r="G786" s="30" t="n">
        <f aca="false">Panel!P778-Panel!P777</f>
        <v>-3.06165720473928E-005</v>
      </c>
    </row>
    <row r="787" customFormat="false" ht="15" hidden="false" customHeight="false" outlineLevel="0" collapsed="false">
      <c r="C787" s="0" t="n">
        <f aca="false">Panel!P782-Panel!P781</f>
        <v>0.000208591801396096</v>
      </c>
      <c r="D787" s="29" t="n">
        <f aca="false">Panel!P781</f>
        <v>-0.0123988317880723</v>
      </c>
      <c r="E787" s="30" t="n">
        <f aca="false">Panel!P781-Panel!P780</f>
        <v>-0.00226341256305318</v>
      </c>
      <c r="F787" s="30" t="n">
        <f aca="false">Panel!P780-Panel!P779</f>
        <v>0.00112393443159498</v>
      </c>
      <c r="G787" s="30" t="n">
        <f aca="false">Panel!P779-Panel!P778</f>
        <v>-0.00106060057448332</v>
      </c>
    </row>
    <row r="788" customFormat="false" ht="15" hidden="false" customHeight="false" outlineLevel="0" collapsed="false">
      <c r="C788" s="0" t="n">
        <f aca="false">Panel!P783-Panel!P782</f>
        <v>-0.00242962825700666</v>
      </c>
      <c r="D788" s="29" t="n">
        <f aca="false">Panel!P782</f>
        <v>-0.0121902399866762</v>
      </c>
      <c r="E788" s="30" t="n">
        <f aca="false">Panel!P782-Panel!P781</f>
        <v>0.000208591801396096</v>
      </c>
      <c r="F788" s="30" t="n">
        <f aca="false">Panel!P781-Panel!P780</f>
        <v>-0.00226341256305318</v>
      </c>
      <c r="G788" s="30" t="n">
        <f aca="false">Panel!P780-Panel!P779</f>
        <v>0.00112393443159498</v>
      </c>
    </row>
    <row r="789" customFormat="false" ht="15" hidden="false" customHeight="false" outlineLevel="0" collapsed="false">
      <c r="C789" s="0" t="n">
        <f aca="false">Panel!P784-Panel!P783</f>
        <v>0.00277117013937556</v>
      </c>
      <c r="D789" s="29" t="n">
        <f aca="false">Panel!P783</f>
        <v>-0.0146198682436829</v>
      </c>
      <c r="E789" s="30" t="n">
        <f aca="false">Panel!P783-Panel!P782</f>
        <v>-0.00242962825700666</v>
      </c>
      <c r="F789" s="30" t="n">
        <f aca="false">Panel!P782-Panel!P781</f>
        <v>0.000208591801396096</v>
      </c>
      <c r="G789" s="30" t="n">
        <f aca="false">Panel!P781-Panel!P780</f>
        <v>-0.00226341256305318</v>
      </c>
    </row>
    <row r="790" customFormat="false" ht="15" hidden="false" customHeight="false" outlineLevel="0" collapsed="false">
      <c r="C790" s="0" t="n">
        <f aca="false">Panel!P785-Panel!P784</f>
        <v>-0.000627853129298472</v>
      </c>
      <c r="D790" s="29" t="n">
        <f aca="false">Panel!P784</f>
        <v>-0.0118486981043073</v>
      </c>
      <c r="E790" s="30" t="n">
        <f aca="false">Panel!P784-Panel!P783</f>
        <v>0.00277117013937556</v>
      </c>
      <c r="F790" s="30" t="n">
        <f aca="false">Panel!P783-Panel!P782</f>
        <v>-0.00242962825700666</v>
      </c>
      <c r="G790" s="30" t="n">
        <f aca="false">Panel!P782-Panel!P781</f>
        <v>0.000208591801396096</v>
      </c>
    </row>
    <row r="791" customFormat="false" ht="15" hidden="false" customHeight="false" outlineLevel="0" collapsed="false">
      <c r="C791" s="0" t="n">
        <f aca="false">Panel!P786-Panel!P785</f>
        <v>-0.00153253759337701</v>
      </c>
      <c r="D791" s="29" t="n">
        <f aca="false">Panel!P785</f>
        <v>-0.0124765512336058</v>
      </c>
      <c r="E791" s="30" t="n">
        <f aca="false">Panel!P785-Panel!P784</f>
        <v>-0.000627853129298472</v>
      </c>
      <c r="F791" s="30" t="n">
        <f aca="false">Panel!P784-Panel!P783</f>
        <v>0.00277117013937556</v>
      </c>
      <c r="G791" s="30" t="n">
        <f aca="false">Panel!P783-Panel!P782</f>
        <v>-0.00242962825700666</v>
      </c>
    </row>
    <row r="792" customFormat="false" ht="15" hidden="false" customHeight="false" outlineLevel="0" collapsed="false">
      <c r="C792" s="0" t="n">
        <f aca="false">Panel!P787-Panel!P786</f>
        <v>-0.00474452018782579</v>
      </c>
      <c r="D792" s="29" t="n">
        <f aca="false">Panel!P786</f>
        <v>-0.0140090888269828</v>
      </c>
      <c r="E792" s="30" t="n">
        <f aca="false">Panel!P786-Panel!P785</f>
        <v>-0.00153253759337701</v>
      </c>
      <c r="F792" s="30" t="n">
        <f aca="false">Panel!P785-Panel!P784</f>
        <v>-0.000627853129298472</v>
      </c>
      <c r="G792" s="30" t="n">
        <f aca="false">Panel!P784-Panel!P783</f>
        <v>0.00277117013937556</v>
      </c>
    </row>
    <row r="793" customFormat="false" ht="15" hidden="false" customHeight="false" outlineLevel="0" collapsed="false">
      <c r="C793" s="0" t="n">
        <f aca="false">Panel!P788-Panel!P787</f>
        <v>0.00775281413164386</v>
      </c>
      <c r="D793" s="29" t="n">
        <f aca="false">Panel!P787</f>
        <v>-0.0187536090148086</v>
      </c>
      <c r="E793" s="30" t="n">
        <f aca="false">Panel!P787-Panel!P786</f>
        <v>-0.00474452018782579</v>
      </c>
      <c r="F793" s="30" t="n">
        <f aca="false">Panel!P786-Panel!P785</f>
        <v>-0.00153253759337701</v>
      </c>
      <c r="G793" s="30" t="n">
        <f aca="false">Panel!P785-Panel!P784</f>
        <v>-0.000627853129298472</v>
      </c>
    </row>
    <row r="794" customFormat="false" ht="15" hidden="false" customHeight="false" outlineLevel="0" collapsed="false">
      <c r="C794" s="0" t="n">
        <f aca="false">Panel!P789-Panel!P788</f>
        <v>0.00281703935930011</v>
      </c>
      <c r="D794" s="29" t="n">
        <f aca="false">Panel!P788</f>
        <v>-0.0110007948831647</v>
      </c>
      <c r="E794" s="30" t="n">
        <f aca="false">Panel!P788-Panel!P787</f>
        <v>0.00775281413164386</v>
      </c>
      <c r="F794" s="30" t="n">
        <f aca="false">Panel!P787-Panel!P786</f>
        <v>-0.00474452018782579</v>
      </c>
      <c r="G794" s="30" t="n">
        <f aca="false">Panel!P786-Panel!P785</f>
        <v>-0.00153253759337701</v>
      </c>
    </row>
    <row r="795" customFormat="false" ht="15" hidden="false" customHeight="false" outlineLevel="0" collapsed="false">
      <c r="C795" s="0" t="n">
        <f aca="false">Panel!P790-Panel!P789</f>
        <v>-0.00212708676317419</v>
      </c>
      <c r="D795" s="29" t="n">
        <f aca="false">Panel!P789</f>
        <v>-0.00818375552386463</v>
      </c>
      <c r="E795" s="30" t="n">
        <f aca="false">Panel!P789-Panel!P788</f>
        <v>0.00281703935930011</v>
      </c>
      <c r="F795" s="30" t="n">
        <f aca="false">Panel!P788-Panel!P787</f>
        <v>0.00775281413164386</v>
      </c>
      <c r="G795" s="30" t="n">
        <f aca="false">Panel!P787-Panel!P786</f>
        <v>-0.00474452018782579</v>
      </c>
    </row>
    <row r="796" customFormat="false" ht="15" hidden="false" customHeight="false" outlineLevel="0" collapsed="false">
      <c r="C796" s="0" t="n">
        <f aca="false">Panel!P791-Panel!P790</f>
        <v>0.000298395724264822</v>
      </c>
      <c r="D796" s="29" t="n">
        <f aca="false">Panel!P790</f>
        <v>-0.0103108422870388</v>
      </c>
      <c r="E796" s="30" t="n">
        <f aca="false">Panel!P790-Panel!P789</f>
        <v>-0.00212708676317419</v>
      </c>
      <c r="F796" s="30" t="n">
        <f aca="false">Panel!P789-Panel!P788</f>
        <v>0.00281703935930011</v>
      </c>
      <c r="G796" s="30" t="n">
        <f aca="false">Panel!P788-Panel!P787</f>
        <v>0.00775281413164386</v>
      </c>
    </row>
    <row r="797" customFormat="false" ht="15" hidden="false" customHeight="false" outlineLevel="0" collapsed="false">
      <c r="C797" s="0" t="n">
        <f aca="false">Panel!P792-Panel!P791</f>
        <v>-0.000545200741020935</v>
      </c>
      <c r="D797" s="29" t="n">
        <f aca="false">Panel!P791</f>
        <v>-0.010012446562774</v>
      </c>
      <c r="E797" s="30" t="n">
        <f aca="false">Panel!P791-Panel!P790</f>
        <v>0.000298395724264822</v>
      </c>
      <c r="F797" s="30" t="n">
        <f aca="false">Panel!P790-Panel!P789</f>
        <v>-0.00212708676317419</v>
      </c>
      <c r="G797" s="30" t="n">
        <f aca="false">Panel!P789-Panel!P788</f>
        <v>0.00281703935930011</v>
      </c>
    </row>
    <row r="798" customFormat="false" ht="15" hidden="false" customHeight="false" outlineLevel="0" collapsed="false">
      <c r="C798" s="0" t="n">
        <f aca="false">Panel!P793-Panel!P792</f>
        <v>-0.0045526559130149</v>
      </c>
      <c r="D798" s="29" t="n">
        <f aca="false">Panel!P792</f>
        <v>-0.0105576473037949</v>
      </c>
      <c r="E798" s="30" t="n">
        <f aca="false">Panel!P792-Panel!P791</f>
        <v>-0.000545200741020935</v>
      </c>
      <c r="F798" s="30" t="n">
        <f aca="false">Panel!P791-Panel!P790</f>
        <v>0.000298395724264822</v>
      </c>
      <c r="G798" s="30" t="n">
        <f aca="false">Panel!P790-Panel!P789</f>
        <v>-0.00212708676317419</v>
      </c>
    </row>
    <row r="799" customFormat="false" ht="15" hidden="false" customHeight="false" outlineLevel="0" collapsed="false">
      <c r="C799" s="0" t="n">
        <f aca="false">Panel!P794-Panel!P793</f>
        <v>0.000488230175871962</v>
      </c>
      <c r="D799" s="29" t="n">
        <f aca="false">Panel!P793</f>
        <v>-0.0151103032168098</v>
      </c>
      <c r="E799" s="30" t="n">
        <f aca="false">Panel!P793-Panel!P792</f>
        <v>-0.0045526559130149</v>
      </c>
      <c r="F799" s="30" t="n">
        <f aca="false">Panel!P792-Panel!P791</f>
        <v>-0.000545200741020935</v>
      </c>
      <c r="G799" s="30" t="n">
        <f aca="false">Panel!P791-Panel!P790</f>
        <v>0.000298395724264822</v>
      </c>
    </row>
    <row r="800" customFormat="false" ht="15" hidden="false" customHeight="false" outlineLevel="0" collapsed="false">
      <c r="C800" s="0" t="n">
        <f aca="false">Panel!P795-Panel!P794</f>
        <v>0.0023298729317851</v>
      </c>
      <c r="D800" s="29" t="n">
        <f aca="false">Panel!P794</f>
        <v>-0.0146220730409379</v>
      </c>
      <c r="E800" s="30" t="n">
        <f aca="false">Panel!P794-Panel!P793</f>
        <v>0.000488230175871962</v>
      </c>
      <c r="F800" s="30" t="n">
        <f aca="false">Panel!P793-Panel!P792</f>
        <v>-0.0045526559130149</v>
      </c>
      <c r="G800" s="30" t="n">
        <f aca="false">Panel!P792-Panel!P791</f>
        <v>-0.000545200741020935</v>
      </c>
    </row>
    <row r="801" customFormat="false" ht="15" hidden="false" customHeight="false" outlineLevel="0" collapsed="false">
      <c r="C801" s="0" t="n">
        <f aca="false">Panel!P796-Panel!P795</f>
        <v>0.000387665091416523</v>
      </c>
      <c r="D801" s="29" t="n">
        <f aca="false">Panel!P795</f>
        <v>-0.0122922001091528</v>
      </c>
      <c r="E801" s="30" t="n">
        <f aca="false">Panel!P795-Panel!P794</f>
        <v>0.0023298729317851</v>
      </c>
      <c r="F801" s="30" t="n">
        <f aca="false">Panel!P794-Panel!P793</f>
        <v>0.000488230175871962</v>
      </c>
      <c r="G801" s="30" t="n">
        <f aca="false">Panel!P793-Panel!P792</f>
        <v>-0.0045526559130149</v>
      </c>
    </row>
    <row r="802" customFormat="false" ht="15" hidden="false" customHeight="false" outlineLevel="0" collapsed="false">
      <c r="C802" s="0" t="n">
        <f aca="false">Panel!P797-Panel!P796</f>
        <v>-0.00368626285726137</v>
      </c>
      <c r="D802" s="29" t="n">
        <f aca="false">Panel!P796</f>
        <v>-0.0119045350177363</v>
      </c>
      <c r="E802" s="30" t="n">
        <f aca="false">Panel!P796-Panel!P795</f>
        <v>0.000387665091416523</v>
      </c>
      <c r="F802" s="30" t="n">
        <f aca="false">Panel!P795-Panel!P794</f>
        <v>0.0023298729317851</v>
      </c>
      <c r="G802" s="30" t="n">
        <f aca="false">Panel!P794-Panel!P793</f>
        <v>0.000488230175871962</v>
      </c>
    </row>
    <row r="803" customFormat="false" ht="15" hidden="false" customHeight="false" outlineLevel="0" collapsed="false">
      <c r="C803" s="0" t="n">
        <f aca="false">Panel!P798-Panel!P797</f>
        <v>0.00136669986743598</v>
      </c>
      <c r="D803" s="29" t="n">
        <f aca="false">Panel!P797</f>
        <v>-0.0155907978749976</v>
      </c>
      <c r="E803" s="30" t="n">
        <f aca="false">Panel!P797-Panel!P796</f>
        <v>-0.00368626285726137</v>
      </c>
      <c r="F803" s="30" t="n">
        <f aca="false">Panel!P796-Panel!P795</f>
        <v>0.000387665091416523</v>
      </c>
      <c r="G803" s="30" t="n">
        <f aca="false">Panel!P795-Panel!P794</f>
        <v>0.0023298729317851</v>
      </c>
    </row>
    <row r="804" customFormat="false" ht="15" hidden="false" customHeight="false" outlineLevel="0" collapsed="false">
      <c r="C804" s="0" t="n">
        <f aca="false">Panel!P799-Panel!P798</f>
        <v>-0.000567362704655849</v>
      </c>
      <c r="D804" s="29" t="n">
        <f aca="false">Panel!P798</f>
        <v>-0.0142240980075616</v>
      </c>
      <c r="E804" s="30" t="n">
        <f aca="false">Panel!P798-Panel!P797</f>
        <v>0.00136669986743598</v>
      </c>
      <c r="F804" s="30" t="n">
        <f aca="false">Panel!P797-Panel!P796</f>
        <v>-0.00368626285726137</v>
      </c>
      <c r="G804" s="30" t="n">
        <f aca="false">Panel!P796-Panel!P795</f>
        <v>0.000387665091416523</v>
      </c>
    </row>
    <row r="805" customFormat="false" ht="15" hidden="false" customHeight="false" outlineLevel="0" collapsed="false">
      <c r="C805" s="0" t="n">
        <f aca="false">Panel!P800-Panel!P799</f>
        <v>0.00202302188105641</v>
      </c>
      <c r="D805" s="29" t="n">
        <f aca="false">Panel!P799</f>
        <v>-0.0147914607122175</v>
      </c>
      <c r="E805" s="30" t="n">
        <f aca="false">Panel!P799-Panel!P798</f>
        <v>-0.000567362704655849</v>
      </c>
      <c r="F805" s="30" t="n">
        <f aca="false">Panel!P798-Panel!P797</f>
        <v>0.00136669986743598</v>
      </c>
      <c r="G805" s="30" t="n">
        <f aca="false">Panel!P797-Panel!P796</f>
        <v>-0.00368626285726137</v>
      </c>
    </row>
    <row r="806" customFormat="false" ht="15" hidden="false" customHeight="false" outlineLevel="0" collapsed="false">
      <c r="C806" s="0" t="n">
        <f aca="false">Panel!P801-Panel!P800</f>
        <v>-6.66172954524313E-005</v>
      </c>
      <c r="D806" s="29" t="n">
        <f aca="false">Panel!P800</f>
        <v>-0.0127684388311611</v>
      </c>
      <c r="E806" s="30" t="n">
        <f aca="false">Panel!P800-Panel!P799</f>
        <v>0.00202302188105641</v>
      </c>
      <c r="F806" s="30" t="n">
        <f aca="false">Panel!P799-Panel!P798</f>
        <v>-0.000567362704655849</v>
      </c>
      <c r="G806" s="30" t="n">
        <f aca="false">Panel!P798-Panel!P797</f>
        <v>0.00136669986743598</v>
      </c>
    </row>
    <row r="807" customFormat="false" ht="15" hidden="false" customHeight="false" outlineLevel="0" collapsed="false">
      <c r="C807" s="0" t="n">
        <f aca="false">Panel!P802-Panel!P801</f>
        <v>-0.00177089354408189</v>
      </c>
      <c r="D807" s="29" t="n">
        <f aca="false">Panel!P801</f>
        <v>-0.0128350561266135</v>
      </c>
      <c r="E807" s="30" t="n">
        <f aca="false">Panel!P801-Panel!P800</f>
        <v>-6.66172954524313E-005</v>
      </c>
      <c r="F807" s="30" t="n">
        <f aca="false">Panel!P800-Panel!P799</f>
        <v>0.00202302188105641</v>
      </c>
      <c r="G807" s="30" t="n">
        <f aca="false">Panel!P799-Panel!P798</f>
        <v>-0.000567362704655849</v>
      </c>
    </row>
    <row r="808" customFormat="false" ht="15" hidden="false" customHeight="false" outlineLevel="0" collapsed="false">
      <c r="C808" s="0" t="n">
        <f aca="false">Panel!P803-Panel!P802</f>
        <v>-0.00256783695765073</v>
      </c>
      <c r="D808" s="29" t="n">
        <f aca="false">Panel!P802</f>
        <v>-0.0146059496706954</v>
      </c>
      <c r="E808" s="30" t="n">
        <f aca="false">Panel!P802-Panel!P801</f>
        <v>-0.00177089354408189</v>
      </c>
      <c r="F808" s="30" t="n">
        <f aca="false">Panel!P801-Panel!P800</f>
        <v>-6.66172954524313E-005</v>
      </c>
      <c r="G808" s="30" t="n">
        <f aca="false">Panel!P800-Panel!P799</f>
        <v>0.00202302188105641</v>
      </c>
    </row>
    <row r="809" customFormat="false" ht="15" hidden="false" customHeight="false" outlineLevel="0" collapsed="false">
      <c r="C809" s="0" t="n">
        <f aca="false">Panel!P804-Panel!P803</f>
        <v>0.000136499452912275</v>
      </c>
      <c r="D809" s="29" t="n">
        <f aca="false">Panel!P803</f>
        <v>-0.0171737866283461</v>
      </c>
      <c r="E809" s="30" t="n">
        <f aca="false">Panel!P803-Panel!P802</f>
        <v>-0.00256783695765073</v>
      </c>
      <c r="F809" s="30" t="n">
        <f aca="false">Panel!P802-Panel!P801</f>
        <v>-0.00177089354408189</v>
      </c>
      <c r="G809" s="30" t="n">
        <f aca="false">Panel!P801-Panel!P800</f>
        <v>-6.66172954524313E-005</v>
      </c>
    </row>
    <row r="810" customFormat="false" ht="15" hidden="false" customHeight="false" outlineLevel="0" collapsed="false">
      <c r="C810" s="0" t="n">
        <f aca="false">Panel!P805-Panel!P804</f>
        <v>8.33578440211369E-005</v>
      </c>
      <c r="D810" s="29" t="n">
        <f aca="false">Panel!P804</f>
        <v>-0.0170372871754338</v>
      </c>
      <c r="E810" s="30" t="n">
        <f aca="false">Panel!P804-Panel!P803</f>
        <v>0.000136499452912275</v>
      </c>
      <c r="F810" s="30" t="n">
        <f aca="false">Panel!P803-Panel!P802</f>
        <v>-0.00256783695765073</v>
      </c>
      <c r="G810" s="30" t="n">
        <f aca="false">Panel!P802-Panel!P801</f>
        <v>-0.00177089354408189</v>
      </c>
    </row>
    <row r="811" customFormat="false" ht="15" hidden="false" customHeight="false" outlineLevel="0" collapsed="false">
      <c r="C811" s="0" t="n">
        <f aca="false">Panel!P806-Panel!P805</f>
        <v>0.00125418442148906</v>
      </c>
      <c r="D811" s="29" t="n">
        <f aca="false">Panel!P805</f>
        <v>-0.0169539293314127</v>
      </c>
      <c r="E811" s="30" t="n">
        <f aca="false">Panel!P805-Panel!P804</f>
        <v>8.33578440211369E-005</v>
      </c>
      <c r="F811" s="30" t="n">
        <f aca="false">Panel!P804-Panel!P803</f>
        <v>0.000136499452912275</v>
      </c>
      <c r="G811" s="30" t="n">
        <f aca="false">Panel!P803-Panel!P802</f>
        <v>-0.00256783695765073</v>
      </c>
    </row>
    <row r="812" customFormat="false" ht="15" hidden="false" customHeight="false" outlineLevel="0" collapsed="false">
      <c r="C812" s="0" t="n">
        <f aca="false">Panel!P807-Panel!P806</f>
        <v>-0.00271284282420936</v>
      </c>
      <c r="D812" s="29" t="n">
        <f aca="false">Panel!P806</f>
        <v>-0.0156997449099237</v>
      </c>
      <c r="E812" s="30" t="n">
        <f aca="false">Panel!P806-Panel!P805</f>
        <v>0.00125418442148906</v>
      </c>
      <c r="F812" s="30" t="n">
        <f aca="false">Panel!P805-Panel!P804</f>
        <v>8.33578440211369E-005</v>
      </c>
      <c r="G812" s="30" t="n">
        <f aca="false">Panel!P804-Panel!P803</f>
        <v>0.000136499452912275</v>
      </c>
    </row>
    <row r="813" customFormat="false" ht="15" hidden="false" customHeight="false" outlineLevel="0" collapsed="false">
      <c r="C813" s="0" t="n">
        <f aca="false">Panel!P808-Panel!P807</f>
        <v>0.00729309583299909</v>
      </c>
      <c r="D813" s="29" t="n">
        <f aca="false">Panel!P807</f>
        <v>-0.018412587734133</v>
      </c>
      <c r="E813" s="30" t="n">
        <f aca="false">Panel!P807-Panel!P806</f>
        <v>-0.00271284282420936</v>
      </c>
      <c r="F813" s="30" t="n">
        <f aca="false">Panel!P806-Panel!P805</f>
        <v>0.00125418442148906</v>
      </c>
      <c r="G813" s="30" t="n">
        <f aca="false">Panel!P805-Panel!P804</f>
        <v>8.33578440211369E-005</v>
      </c>
    </row>
    <row r="814" customFormat="false" ht="15" hidden="false" customHeight="false" outlineLevel="0" collapsed="false">
      <c r="C814" s="0" t="n">
        <f aca="false">Panel!P809-Panel!P808</f>
        <v>-0.000605810559052955</v>
      </c>
      <c r="D814" s="29" t="n">
        <f aca="false">Panel!P808</f>
        <v>-0.0111194919011339</v>
      </c>
      <c r="E814" s="30" t="n">
        <f aca="false">Panel!P808-Panel!P807</f>
        <v>0.00729309583299909</v>
      </c>
      <c r="F814" s="30" t="n">
        <f aca="false">Panel!P807-Panel!P806</f>
        <v>-0.00271284282420936</v>
      </c>
      <c r="G814" s="30" t="n">
        <f aca="false">Panel!P806-Panel!P805</f>
        <v>0.00125418442148906</v>
      </c>
    </row>
    <row r="815" customFormat="false" ht="15" hidden="false" customHeight="false" outlineLevel="0" collapsed="false">
      <c r="C815" s="0" t="n">
        <f aca="false">Panel!P810-Panel!P809</f>
        <v>2.62328200228978E-006</v>
      </c>
      <c r="D815" s="29" t="n">
        <f aca="false">Panel!P809</f>
        <v>-0.0117253024601869</v>
      </c>
      <c r="E815" s="30" t="n">
        <f aca="false">Panel!P809-Panel!P808</f>
        <v>-0.000605810559052955</v>
      </c>
      <c r="F815" s="30" t="n">
        <f aca="false">Panel!P808-Panel!P807</f>
        <v>0.00729309583299909</v>
      </c>
      <c r="G815" s="30" t="n">
        <f aca="false">Panel!P807-Panel!P806</f>
        <v>-0.00271284282420936</v>
      </c>
    </row>
    <row r="816" customFormat="false" ht="15" hidden="false" customHeight="false" outlineLevel="0" collapsed="false">
      <c r="C816" s="0" t="n">
        <f aca="false">Panel!P811-Panel!P810</f>
        <v>0.00012367353661169</v>
      </c>
      <c r="D816" s="29" t="n">
        <f aca="false">Panel!P810</f>
        <v>-0.0117226791781846</v>
      </c>
      <c r="E816" s="30" t="n">
        <f aca="false">Panel!P810-Panel!P809</f>
        <v>2.62328200228978E-006</v>
      </c>
      <c r="F816" s="30" t="n">
        <f aca="false">Panel!P809-Panel!P808</f>
        <v>-0.000605810559052955</v>
      </c>
      <c r="G816" s="30" t="n">
        <f aca="false">Panel!P808-Panel!P807</f>
        <v>0.00729309583299909</v>
      </c>
    </row>
    <row r="817" customFormat="false" ht="15" hidden="false" customHeight="false" outlineLevel="0" collapsed="false">
      <c r="C817" s="0" t="n">
        <f aca="false">Panel!P812-Panel!P811</f>
        <v>0.000650733268347636</v>
      </c>
      <c r="D817" s="29" t="n">
        <f aca="false">Panel!P811</f>
        <v>-0.0115990056415729</v>
      </c>
      <c r="E817" s="30" t="n">
        <f aca="false">Panel!P811-Panel!P810</f>
        <v>0.00012367353661169</v>
      </c>
      <c r="F817" s="30" t="n">
        <f aca="false">Panel!P810-Panel!P809</f>
        <v>2.62328200228978E-006</v>
      </c>
      <c r="G817" s="30" t="n">
        <f aca="false">Panel!P809-Panel!P808</f>
        <v>-0.000605810559052955</v>
      </c>
    </row>
    <row r="818" customFormat="false" ht="15" hidden="false" customHeight="false" outlineLevel="0" collapsed="false">
      <c r="C818" s="0" t="n">
        <f aca="false">Panel!P813-Panel!P812</f>
        <v>-0.000521167692689062</v>
      </c>
      <c r="D818" s="29" t="n">
        <f aca="false">Panel!P812</f>
        <v>-0.0109482723732253</v>
      </c>
      <c r="E818" s="30" t="n">
        <f aca="false">Panel!P812-Panel!P811</f>
        <v>0.000650733268347636</v>
      </c>
      <c r="F818" s="30" t="n">
        <f aca="false">Panel!P811-Panel!P810</f>
        <v>0.00012367353661169</v>
      </c>
      <c r="G818" s="30" t="n">
        <f aca="false">Panel!P810-Panel!P809</f>
        <v>2.62328200228978E-006</v>
      </c>
    </row>
    <row r="819" customFormat="false" ht="15" hidden="false" customHeight="false" outlineLevel="0" collapsed="false">
      <c r="C819" s="0" t="n">
        <f aca="false">Panel!P814-Panel!P813</f>
        <v>0.00221206619836778</v>
      </c>
      <c r="D819" s="29" t="n">
        <f aca="false">Panel!P813</f>
        <v>-0.0114694400659143</v>
      </c>
      <c r="E819" s="30" t="n">
        <f aca="false">Panel!P813-Panel!P812</f>
        <v>-0.000521167692689062</v>
      </c>
      <c r="F819" s="30" t="n">
        <f aca="false">Panel!P812-Panel!P811</f>
        <v>0.000650733268347636</v>
      </c>
      <c r="G819" s="30" t="n">
        <f aca="false">Panel!P811-Panel!P810</f>
        <v>0.00012367353661169</v>
      </c>
    </row>
    <row r="820" customFormat="false" ht="15" hidden="false" customHeight="false" outlineLevel="0" collapsed="false">
      <c r="C820" s="0" t="n">
        <f aca="false">Panel!P815-Panel!P814</f>
        <v>-0.000998765008210611</v>
      </c>
      <c r="D820" s="29" t="n">
        <f aca="false">Panel!P814</f>
        <v>-0.00925737386754655</v>
      </c>
      <c r="E820" s="30" t="n">
        <f aca="false">Panel!P814-Panel!P813</f>
        <v>0.00221206619836778</v>
      </c>
      <c r="F820" s="30" t="n">
        <f aca="false">Panel!P813-Panel!P812</f>
        <v>-0.000521167692689062</v>
      </c>
      <c r="G820" s="30" t="n">
        <f aca="false">Panel!P812-Panel!P811</f>
        <v>0.000650733268347636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22" t="s">
        <v>227</v>
      </c>
      <c r="B4" s="39" t="n">
        <f aca="false">INDEX(LINEST(Panel!$H$5:$H$815,Panel!$F$5:$F$815,TRUE(),TRUE()),1,1)</f>
        <v>-4.60875240305508E-005</v>
      </c>
    </row>
    <row r="5" customFormat="false" ht="15" hidden="false" customHeight="false" outlineLevel="0" collapsed="false">
      <c r="A5" s="33" t="s">
        <v>228</v>
      </c>
      <c r="B5" s="40" t="n">
        <f aca="false">B4*Inputs!$B$16</f>
        <v>-0.0116140560556988</v>
      </c>
      <c r="C5" s="2" t="s">
        <v>229</v>
      </c>
    </row>
    <row r="6" customFormat="false" ht="15" hidden="false" customHeight="false" outlineLevel="0" collapsed="false">
      <c r="A6" s="22" t="s">
        <v>230</v>
      </c>
      <c r="B6" s="13" t="n">
        <f aca="false">INDEX(LINEST(Panel!$H$5:$H$815,Panel!$F$5:$F$815,TRUE(),TRUE()),3,1)</f>
        <v>0.93339439774843</v>
      </c>
      <c r="C6" s="2" t="s">
        <v>231</v>
      </c>
    </row>
    <row r="7" customFormat="false" ht="15" hidden="false" customHeight="false" outlineLevel="0" collapsed="false">
      <c r="A7" s="22" t="s">
        <v>232</v>
      </c>
      <c r="B7" s="15" t="n">
        <f aca="false">INDEX(LINEST(Panel!$H$5:$H$815,Panel!$F$5:$G$815,TRUE(),TRUE()),1,1)*365</f>
        <v>0.0537458933099172</v>
      </c>
      <c r="C7" s="2" t="s">
        <v>233</v>
      </c>
    </row>
    <row r="8" customFormat="false" ht="15" hidden="false" customHeight="false" outlineLevel="0" collapsed="false">
      <c r="A8" s="22" t="s">
        <v>234</v>
      </c>
      <c r="B8" s="15" t="n">
        <f aca="false">-INDEX(LINEST(Panel!$H$5:$H$815,Panel!$F$5:$G$815,TRUE(),TRUE()),1,2)*Inputs!$B$16</f>
        <v>0.011637568483808</v>
      </c>
      <c r="C8" s="2" t="s">
        <v>235</v>
      </c>
    </row>
    <row r="9" customFormat="false" ht="15" hidden="false" customHeight="false" outlineLevel="0" collapsed="false">
      <c r="A9" s="33" t="s">
        <v>22</v>
      </c>
      <c r="B9" s="40" t="n">
        <f aca="false">B7+B8</f>
        <v>0.0653834617937252</v>
      </c>
      <c r="C9" s="2" t="s">
        <v>236</v>
      </c>
    </row>
    <row r="10" customFormat="false" ht="15" hidden="false" customHeight="false" outlineLevel="0" collapsed="false">
      <c r="A10" s="22" t="s">
        <v>237</v>
      </c>
      <c r="B10" s="13" t="n">
        <f aca="false">INDEX(LINEST(Panel!$H$5:$H$815,Panel!$F$5:$G$815,TRUE(),TRUE()),3,1)</f>
        <v>0.94760241035082</v>
      </c>
      <c r="C10" s="2" t="s">
        <v>238</v>
      </c>
    </row>
    <row r="11" customFormat="false" ht="15" hidden="false" customHeight="false" outlineLevel="0" collapsed="false">
      <c r="A11" s="22" t="s">
        <v>239</v>
      </c>
      <c r="B11" s="15" t="n">
        <f aca="false">AVERAGE(Panel!$N$5:$N$815)</f>
        <v>0.0605425400739827</v>
      </c>
      <c r="C11" s="2" t="s">
        <v>240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8" min="3" style="0" width="14"/>
  </cols>
  <sheetData>
    <row r="1" customFormat="false" ht="16.1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5" customFormat="false" ht="15" hidden="false" customHeight="false" outlineLevel="0" collapsed="false">
      <c r="A5" s="33" t="s">
        <v>243</v>
      </c>
      <c r="B5" s="37" t="n">
        <f aca="false">INDEX(LINEST(Panel!$D$5:$D$815,Panel!$E$5:$F$815,TRUE(),TRUE()),1,2)</f>
        <v>0.996969499978785</v>
      </c>
      <c r="C5" s="2" t="s">
        <v>244</v>
      </c>
    </row>
    <row r="6" customFormat="false" ht="15" hidden="false" customHeight="false" outlineLevel="0" collapsed="false">
      <c r="A6" s="22" t="s">
        <v>245</v>
      </c>
      <c r="B6" s="39" t="n">
        <f aca="false">INDEX(LINEST(Panel!$D$5:$D$815,Panel!$E$5:$F$815,TRUE(),TRUE()),1,1)</f>
        <v>-4.49293180967533E-005</v>
      </c>
      <c r="C6" s="2" t="s">
        <v>246</v>
      </c>
    </row>
    <row r="7" customFormat="false" ht="15" hidden="false" customHeight="false" outlineLevel="0" collapsed="false">
      <c r="A7" s="22" t="s">
        <v>247</v>
      </c>
      <c r="B7" s="11" t="n">
        <f aca="false">INDEX(LINEST(Panel!$D$5:$D$815,Panel!$E$5:$F$815,TRUE(),TRUE()),1,3)</f>
        <v>4.53120102094802</v>
      </c>
      <c r="C7" s="2" t="s">
        <v>248</v>
      </c>
    </row>
    <row r="8" customFormat="false" ht="15" hidden="false" customHeight="false" outlineLevel="0" collapsed="false">
      <c r="A8" s="33" t="s">
        <v>249</v>
      </c>
      <c r="B8" s="40" t="n">
        <f aca="false">B6*Inputs!$B$16</f>
        <v>-0.0113221881603818</v>
      </c>
      <c r="C8" s="2" t="s">
        <v>250</v>
      </c>
    </row>
    <row r="9" customFormat="false" ht="15" hidden="false" customHeight="false" outlineLevel="0" collapsed="false">
      <c r="A9" s="22" t="s">
        <v>203</v>
      </c>
      <c r="B9" s="11" t="n">
        <f aca="false">INDEX(LINEST(Panel!$D$5:$D$815,Panel!$E$5:$F$815,TRUE(),TRUE()),3,1)</f>
        <v>0.999156874727445</v>
      </c>
      <c r="C9" s="2" t="s">
        <v>251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5" customFormat="false" ht="15" hidden="false" customHeight="false" outlineLevel="0" collapsed="false">
      <c r="A5" s="22" t="s">
        <v>214</v>
      </c>
      <c r="B5" s="34" t="n">
        <f aca="false">INDEX(LINEST(C14:C820,D14:G820,FALSE(),TRUE()),1,4)</f>
        <v>-0.313960936580692</v>
      </c>
    </row>
    <row r="6" customFormat="false" ht="15" hidden="false" customHeight="false" outlineLevel="0" collapsed="false">
      <c r="A6" s="22" t="s">
        <v>215</v>
      </c>
      <c r="B6" s="34" t="n">
        <f aca="false">INDEX(LINEST(C14:C820,D14:G820,FALSE(),TRUE()),2,4)</f>
        <v>0.0389509166674392</v>
      </c>
    </row>
    <row r="7" customFormat="false" ht="15" hidden="false" customHeight="false" outlineLevel="0" collapsed="false">
      <c r="A7" s="33" t="s">
        <v>216</v>
      </c>
      <c r="B7" s="35" t="n">
        <f aca="false">B5/B6</f>
        <v>-8.06042484856706</v>
      </c>
      <c r="C7" s="2" t="s">
        <v>254</v>
      </c>
    </row>
    <row r="8" customFormat="false" ht="15" hidden="false" customHeight="false" outlineLevel="0" collapsed="false">
      <c r="A8" s="22" t="s">
        <v>218</v>
      </c>
      <c r="B8" s="5" t="n">
        <v>-3.792</v>
      </c>
      <c r="C8" s="2" t="s">
        <v>219</v>
      </c>
    </row>
    <row r="9" customFormat="false" ht="15" hidden="false" customHeight="false" outlineLevel="0" collapsed="false">
      <c r="A9" s="22" t="s">
        <v>183</v>
      </c>
      <c r="B9" s="36" t="str">
        <f aca="false">IF(B7&lt;B8,"Reject H0 → cointegrated","Fail to reject H0 → no cointegration")</f>
        <v>Reject H0 → cointegrated</v>
      </c>
    </row>
    <row r="13" customFormat="false" ht="15" hidden="false" customHeight="false" outlineLevel="0" collapsed="false">
      <c r="C13" s="3" t="s">
        <v>220</v>
      </c>
      <c r="D13" s="3" t="s">
        <v>221</v>
      </c>
      <c r="E13" s="3" t="s">
        <v>222</v>
      </c>
      <c r="F13" s="3" t="s">
        <v>223</v>
      </c>
      <c r="G13" s="3" t="s">
        <v>224</v>
      </c>
    </row>
    <row r="14" customFormat="false" ht="15" hidden="false" customHeight="false" outlineLevel="0" collapsed="false">
      <c r="C14" s="0" t="n">
        <f aca="false">Panel!Q9-Panel!Q8</f>
        <v>0.000252981146221742</v>
      </c>
      <c r="D14" s="29" t="n">
        <f aca="false">Panel!Q8</f>
        <v>0.00257567496868383</v>
      </c>
      <c r="E14" s="30" t="n">
        <f aca="false">Panel!Q8-Panel!Q7</f>
        <v>-0.00119346873735005</v>
      </c>
      <c r="F14" s="30" t="n">
        <f aca="false">Panel!Q7-Panel!Q6</f>
        <v>-0.00122792553196049</v>
      </c>
      <c r="G14" s="30" t="n">
        <f aca="false">Panel!Q6-Panel!Q5</f>
        <v>0.000158802029737615</v>
      </c>
    </row>
    <row r="15" customFormat="false" ht="15" hidden="false" customHeight="false" outlineLevel="0" collapsed="false">
      <c r="C15" s="0" t="n">
        <f aca="false">Panel!Q10-Panel!Q9</f>
        <v>4.51128247203059E-005</v>
      </c>
      <c r="D15" s="29" t="n">
        <f aca="false">Panel!Q9</f>
        <v>0.00282865611490557</v>
      </c>
      <c r="E15" s="30" t="n">
        <f aca="false">Panel!Q9-Panel!Q8</f>
        <v>0.000252981146221742</v>
      </c>
      <c r="F15" s="30" t="n">
        <f aca="false">Panel!Q8-Panel!Q7</f>
        <v>-0.00119346873735005</v>
      </c>
      <c r="G15" s="30" t="n">
        <f aca="false">Panel!Q7-Panel!Q6</f>
        <v>-0.00122792553196049</v>
      </c>
    </row>
    <row r="16" customFormat="false" ht="15" hidden="false" customHeight="false" outlineLevel="0" collapsed="false">
      <c r="C16" s="0" t="n">
        <f aca="false">Panel!Q11-Panel!Q10</f>
        <v>-0.000108989100970902</v>
      </c>
      <c r="D16" s="29" t="n">
        <f aca="false">Panel!Q10</f>
        <v>0.00287376893962588</v>
      </c>
      <c r="E16" s="30" t="n">
        <f aca="false">Panel!Q10-Panel!Q9</f>
        <v>4.51128247203059E-005</v>
      </c>
      <c r="F16" s="30" t="n">
        <f aca="false">Panel!Q9-Panel!Q8</f>
        <v>0.000252981146221742</v>
      </c>
      <c r="G16" s="30" t="n">
        <f aca="false">Panel!Q8-Panel!Q7</f>
        <v>-0.00119346873735005</v>
      </c>
    </row>
    <row r="17" customFormat="false" ht="15" hidden="false" customHeight="false" outlineLevel="0" collapsed="false">
      <c r="C17" s="0" t="n">
        <f aca="false">Panel!Q12-Panel!Q11</f>
        <v>-2.88624716660024E-005</v>
      </c>
      <c r="D17" s="29" t="n">
        <f aca="false">Panel!Q11</f>
        <v>0.00276477983865497</v>
      </c>
      <c r="E17" s="30" t="n">
        <f aca="false">Panel!Q11-Panel!Q10</f>
        <v>-0.000108989100970902</v>
      </c>
      <c r="F17" s="30" t="n">
        <f aca="false">Panel!Q10-Panel!Q9</f>
        <v>4.51128247203059E-005</v>
      </c>
      <c r="G17" s="30" t="n">
        <f aca="false">Panel!Q9-Panel!Q8</f>
        <v>0.000252981146221742</v>
      </c>
    </row>
    <row r="18" customFormat="false" ht="15" hidden="false" customHeight="false" outlineLevel="0" collapsed="false">
      <c r="C18" s="0" t="n">
        <f aca="false">Panel!Q13-Panel!Q12</f>
        <v>0.000175858924848171</v>
      </c>
      <c r="D18" s="29" t="n">
        <f aca="false">Panel!Q12</f>
        <v>0.00273591736698897</v>
      </c>
      <c r="E18" s="30" t="n">
        <f aca="false">Panel!Q12-Panel!Q11</f>
        <v>-2.88624716660024E-005</v>
      </c>
      <c r="F18" s="30" t="n">
        <f aca="false">Panel!Q11-Panel!Q10</f>
        <v>-0.000108989100970902</v>
      </c>
      <c r="G18" s="30" t="n">
        <f aca="false">Panel!Q10-Panel!Q9</f>
        <v>4.51128247203059E-005</v>
      </c>
    </row>
    <row r="19" customFormat="false" ht="15" hidden="false" customHeight="false" outlineLevel="0" collapsed="false">
      <c r="C19" s="0" t="n">
        <f aca="false">Panel!Q14-Panel!Q13</f>
        <v>-0.00228408261829571</v>
      </c>
      <c r="D19" s="29" t="n">
        <f aca="false">Panel!Q13</f>
        <v>0.00291177629183714</v>
      </c>
      <c r="E19" s="30" t="n">
        <f aca="false">Panel!Q13-Panel!Q12</f>
        <v>0.000175858924848171</v>
      </c>
      <c r="F19" s="30" t="n">
        <f aca="false">Panel!Q12-Panel!Q11</f>
        <v>-2.88624716660024E-005</v>
      </c>
      <c r="G19" s="30" t="n">
        <f aca="false">Panel!Q11-Panel!Q10</f>
        <v>-0.000108989100970902</v>
      </c>
    </row>
    <row r="20" customFormat="false" ht="15" hidden="false" customHeight="false" outlineLevel="0" collapsed="false">
      <c r="C20" s="0" t="n">
        <f aca="false">Panel!Q15-Panel!Q14</f>
        <v>-4.79982615839703E-005</v>
      </c>
      <c r="D20" s="29" t="n">
        <f aca="false">Panel!Q14</f>
        <v>0.00062769367354143</v>
      </c>
      <c r="E20" s="30" t="n">
        <f aca="false">Panel!Q14-Panel!Q13</f>
        <v>-0.00228408261829571</v>
      </c>
      <c r="F20" s="30" t="n">
        <f aca="false">Panel!Q13-Panel!Q12</f>
        <v>0.000175858924848171</v>
      </c>
      <c r="G20" s="30" t="n">
        <f aca="false">Panel!Q12-Panel!Q11</f>
        <v>-2.88624716660024E-005</v>
      </c>
    </row>
    <row r="21" customFormat="false" ht="15" hidden="false" customHeight="false" outlineLevel="0" collapsed="false">
      <c r="C21" s="0" t="n">
        <f aca="false">Panel!Q16-Panel!Q15</f>
        <v>-0.00211787161362409</v>
      </c>
      <c r="D21" s="29" t="n">
        <f aca="false">Panel!Q15</f>
        <v>0.000579695411957459</v>
      </c>
      <c r="E21" s="30" t="n">
        <f aca="false">Panel!Q15-Panel!Q14</f>
        <v>-4.79982615839703E-005</v>
      </c>
      <c r="F21" s="30" t="n">
        <f aca="false">Panel!Q14-Panel!Q13</f>
        <v>-0.00228408261829571</v>
      </c>
      <c r="G21" s="30" t="n">
        <f aca="false">Panel!Q13-Panel!Q12</f>
        <v>0.000175858924848171</v>
      </c>
    </row>
    <row r="22" customFormat="false" ht="15" hidden="false" customHeight="false" outlineLevel="0" collapsed="false">
      <c r="C22" s="0" t="n">
        <f aca="false">Panel!Q17-Panel!Q16</f>
        <v>0.000738784160533967</v>
      </c>
      <c r="D22" s="29" t="n">
        <f aca="false">Panel!Q16</f>
        <v>-0.00153817620166663</v>
      </c>
      <c r="E22" s="30" t="n">
        <f aca="false">Panel!Q16-Panel!Q15</f>
        <v>-0.00211787161362409</v>
      </c>
      <c r="F22" s="30" t="n">
        <f aca="false">Panel!Q15-Panel!Q14</f>
        <v>-4.79982615839703E-005</v>
      </c>
      <c r="G22" s="30" t="n">
        <f aca="false">Panel!Q14-Panel!Q13</f>
        <v>-0.00228408261829571</v>
      </c>
    </row>
    <row r="23" customFormat="false" ht="15" hidden="false" customHeight="false" outlineLevel="0" collapsed="false">
      <c r="C23" s="0" t="n">
        <f aca="false">Panel!Q18-Panel!Q17</f>
        <v>0.000546582393416983</v>
      </c>
      <c r="D23" s="29" t="n">
        <f aca="false">Panel!Q17</f>
        <v>-0.000799392041132663</v>
      </c>
      <c r="E23" s="30" t="n">
        <f aca="false">Panel!Q17-Panel!Q16</f>
        <v>0.000738784160533967</v>
      </c>
      <c r="F23" s="30" t="n">
        <f aca="false">Panel!Q16-Panel!Q15</f>
        <v>-0.00211787161362409</v>
      </c>
      <c r="G23" s="30" t="n">
        <f aca="false">Panel!Q15-Panel!Q14</f>
        <v>-4.79982615839703E-005</v>
      </c>
    </row>
    <row r="24" customFormat="false" ht="15" hidden="false" customHeight="false" outlineLevel="0" collapsed="false">
      <c r="C24" s="0" t="n">
        <f aca="false">Panel!Q19-Panel!Q18</f>
        <v>-4.72478120183695E-005</v>
      </c>
      <c r="D24" s="29" t="n">
        <f aca="false">Panel!Q18</f>
        <v>-0.000252809647715679</v>
      </c>
      <c r="E24" s="30" t="n">
        <f aca="false">Panel!Q18-Panel!Q17</f>
        <v>0.000546582393416983</v>
      </c>
      <c r="F24" s="30" t="n">
        <f aca="false">Panel!Q17-Panel!Q16</f>
        <v>0.000738784160533967</v>
      </c>
      <c r="G24" s="30" t="n">
        <f aca="false">Panel!Q16-Panel!Q15</f>
        <v>-0.00211787161362409</v>
      </c>
    </row>
    <row r="25" customFormat="false" ht="15" hidden="false" customHeight="false" outlineLevel="0" collapsed="false">
      <c r="C25" s="0" t="n">
        <f aca="false">Panel!Q20-Panel!Q19</f>
        <v>0.00086203499269466</v>
      </c>
      <c r="D25" s="29" t="n">
        <f aca="false">Panel!Q19</f>
        <v>-0.000300057459734049</v>
      </c>
      <c r="E25" s="30" t="n">
        <f aca="false">Panel!Q19-Panel!Q18</f>
        <v>-4.72478120183695E-005</v>
      </c>
      <c r="F25" s="30" t="n">
        <f aca="false">Panel!Q18-Panel!Q17</f>
        <v>0.000546582393416983</v>
      </c>
      <c r="G25" s="30" t="n">
        <f aca="false">Panel!Q17-Panel!Q16</f>
        <v>0.000738784160533967</v>
      </c>
    </row>
    <row r="26" customFormat="false" ht="15" hidden="false" customHeight="false" outlineLevel="0" collapsed="false">
      <c r="C26" s="0" t="n">
        <f aca="false">Panel!Q21-Panel!Q20</f>
        <v>-0.00103355090092272</v>
      </c>
      <c r="D26" s="29" t="n">
        <f aca="false">Panel!Q20</f>
        <v>0.000561977532960611</v>
      </c>
      <c r="E26" s="30" t="n">
        <f aca="false">Panel!Q20-Panel!Q19</f>
        <v>0.00086203499269466</v>
      </c>
      <c r="F26" s="30" t="n">
        <f aca="false">Panel!Q19-Panel!Q18</f>
        <v>-4.72478120183695E-005</v>
      </c>
      <c r="G26" s="30" t="n">
        <f aca="false">Panel!Q18-Panel!Q17</f>
        <v>0.000546582393416983</v>
      </c>
    </row>
    <row r="27" customFormat="false" ht="15" hidden="false" customHeight="false" outlineLevel="0" collapsed="false">
      <c r="C27" s="0" t="n">
        <f aca="false">Panel!Q22-Panel!Q21</f>
        <v>-0.000885174618078466</v>
      </c>
      <c r="D27" s="29" t="n">
        <f aca="false">Panel!Q21</f>
        <v>-0.000471573367962108</v>
      </c>
      <c r="E27" s="30" t="n">
        <f aca="false">Panel!Q21-Panel!Q20</f>
        <v>-0.00103355090092272</v>
      </c>
      <c r="F27" s="30" t="n">
        <f aca="false">Panel!Q20-Panel!Q19</f>
        <v>0.00086203499269466</v>
      </c>
      <c r="G27" s="30" t="n">
        <f aca="false">Panel!Q19-Panel!Q18</f>
        <v>-4.72478120183695E-005</v>
      </c>
    </row>
    <row r="28" customFormat="false" ht="15" hidden="false" customHeight="false" outlineLevel="0" collapsed="false">
      <c r="C28" s="0" t="n">
        <f aca="false">Panel!Q23-Panel!Q22</f>
        <v>0.00268257384719028</v>
      </c>
      <c r="D28" s="29" t="n">
        <f aca="false">Panel!Q22</f>
        <v>-0.00135674798604057</v>
      </c>
      <c r="E28" s="30" t="n">
        <f aca="false">Panel!Q22-Panel!Q21</f>
        <v>-0.000885174618078466</v>
      </c>
      <c r="F28" s="30" t="n">
        <f aca="false">Panel!Q21-Panel!Q20</f>
        <v>-0.00103355090092272</v>
      </c>
      <c r="G28" s="30" t="n">
        <f aca="false">Panel!Q20-Panel!Q19</f>
        <v>0.00086203499269466</v>
      </c>
    </row>
    <row r="29" customFormat="false" ht="15" hidden="false" customHeight="false" outlineLevel="0" collapsed="false">
      <c r="C29" s="0" t="n">
        <f aca="false">Panel!Q24-Panel!Q23</f>
        <v>0.000775798349295087</v>
      </c>
      <c r="D29" s="29" t="n">
        <f aca="false">Panel!Q23</f>
        <v>0.00132582586114971</v>
      </c>
      <c r="E29" s="30" t="n">
        <f aca="false">Panel!Q23-Panel!Q22</f>
        <v>0.00268257384719028</v>
      </c>
      <c r="F29" s="30" t="n">
        <f aca="false">Panel!Q22-Panel!Q21</f>
        <v>-0.000885174618078466</v>
      </c>
      <c r="G29" s="30" t="n">
        <f aca="false">Panel!Q21-Panel!Q20</f>
        <v>-0.00103355090092272</v>
      </c>
    </row>
    <row r="30" customFormat="false" ht="15" hidden="false" customHeight="false" outlineLevel="0" collapsed="false">
      <c r="C30" s="0" t="n">
        <f aca="false">Panel!Q25-Panel!Q24</f>
        <v>0.000255969085200647</v>
      </c>
      <c r="D30" s="29" t="n">
        <f aca="false">Panel!Q24</f>
        <v>0.0021016242104448</v>
      </c>
      <c r="E30" s="30" t="n">
        <f aca="false">Panel!Q24-Panel!Q23</f>
        <v>0.000775798349295087</v>
      </c>
      <c r="F30" s="30" t="n">
        <f aca="false">Panel!Q23-Panel!Q22</f>
        <v>0.00268257384719028</v>
      </c>
      <c r="G30" s="30" t="n">
        <f aca="false">Panel!Q22-Panel!Q21</f>
        <v>-0.000885174618078466</v>
      </c>
    </row>
    <row r="31" customFormat="false" ht="15" hidden="false" customHeight="false" outlineLevel="0" collapsed="false">
      <c r="C31" s="0" t="n">
        <f aca="false">Panel!Q26-Panel!Q25</f>
        <v>-0.000404409795613958</v>
      </c>
      <c r="D31" s="29" t="n">
        <f aca="false">Panel!Q25</f>
        <v>0.00235759329564544</v>
      </c>
      <c r="E31" s="30" t="n">
        <f aca="false">Panel!Q25-Panel!Q24</f>
        <v>0.000255969085200647</v>
      </c>
      <c r="F31" s="30" t="n">
        <f aca="false">Panel!Q24-Panel!Q23</f>
        <v>0.000775798349295087</v>
      </c>
      <c r="G31" s="30" t="n">
        <f aca="false">Panel!Q23-Panel!Q22</f>
        <v>0.00268257384719028</v>
      </c>
    </row>
    <row r="32" customFormat="false" ht="15" hidden="false" customHeight="false" outlineLevel="0" collapsed="false">
      <c r="C32" s="0" t="n">
        <f aca="false">Panel!Q27-Panel!Q26</f>
        <v>-0.000147544249090359</v>
      </c>
      <c r="D32" s="29" t="n">
        <f aca="false">Panel!Q26</f>
        <v>0.00195318350003149</v>
      </c>
      <c r="E32" s="30" t="n">
        <f aca="false">Panel!Q26-Panel!Q25</f>
        <v>-0.000404409795613958</v>
      </c>
      <c r="F32" s="30" t="n">
        <f aca="false">Panel!Q25-Panel!Q24</f>
        <v>0.000255969085200647</v>
      </c>
      <c r="G32" s="30" t="n">
        <f aca="false">Panel!Q24-Panel!Q23</f>
        <v>0.000775798349295087</v>
      </c>
    </row>
    <row r="33" customFormat="false" ht="15" hidden="false" customHeight="false" outlineLevel="0" collapsed="false">
      <c r="C33" s="0" t="n">
        <f aca="false">Panel!Q28-Panel!Q27</f>
        <v>0.000594387097223148</v>
      </c>
      <c r="D33" s="29" t="n">
        <f aca="false">Panel!Q27</f>
        <v>0.00180563925094113</v>
      </c>
      <c r="E33" s="30" t="n">
        <f aca="false">Panel!Q27-Panel!Q26</f>
        <v>-0.000147544249090359</v>
      </c>
      <c r="F33" s="30" t="n">
        <f aca="false">Panel!Q26-Panel!Q25</f>
        <v>-0.000404409795613958</v>
      </c>
      <c r="G33" s="30" t="n">
        <f aca="false">Panel!Q25-Panel!Q24</f>
        <v>0.000255969085200647</v>
      </c>
    </row>
    <row r="34" customFormat="false" ht="15" hidden="false" customHeight="false" outlineLevel="0" collapsed="false">
      <c r="C34" s="0" t="n">
        <f aca="false">Panel!Q29-Panel!Q28</f>
        <v>0.000447988395690047</v>
      </c>
      <c r="D34" s="29" t="n">
        <f aca="false">Panel!Q28</f>
        <v>0.00240002634816427</v>
      </c>
      <c r="E34" s="30" t="n">
        <f aca="false">Panel!Q28-Panel!Q27</f>
        <v>0.000594387097223148</v>
      </c>
      <c r="F34" s="30" t="n">
        <f aca="false">Panel!Q27-Panel!Q26</f>
        <v>-0.000147544249090359</v>
      </c>
      <c r="G34" s="30" t="n">
        <f aca="false">Panel!Q26-Panel!Q25</f>
        <v>-0.000404409795613958</v>
      </c>
    </row>
    <row r="35" customFormat="false" ht="15" hidden="false" customHeight="false" outlineLevel="0" collapsed="false">
      <c r="C35" s="0" t="n">
        <f aca="false">Panel!Q30-Panel!Q29</f>
        <v>-0.000488053249462439</v>
      </c>
      <c r="D35" s="29" t="n">
        <f aca="false">Panel!Q29</f>
        <v>0.00284801474385432</v>
      </c>
      <c r="E35" s="30" t="n">
        <f aca="false">Panel!Q29-Panel!Q28</f>
        <v>0.000447988395690047</v>
      </c>
      <c r="F35" s="30" t="n">
        <f aca="false">Panel!Q28-Panel!Q27</f>
        <v>0.000594387097223148</v>
      </c>
      <c r="G35" s="30" t="n">
        <f aca="false">Panel!Q27-Panel!Q26</f>
        <v>-0.000147544249090359</v>
      </c>
    </row>
    <row r="36" customFormat="false" ht="15" hidden="false" customHeight="false" outlineLevel="0" collapsed="false">
      <c r="C36" s="0" t="n">
        <f aca="false">Panel!Q31-Panel!Q30</f>
        <v>0.000882818112167172</v>
      </c>
      <c r="D36" s="29" t="n">
        <f aca="false">Panel!Q30</f>
        <v>0.00235996149439188</v>
      </c>
      <c r="E36" s="30" t="n">
        <f aca="false">Panel!Q30-Panel!Q29</f>
        <v>-0.000488053249462439</v>
      </c>
      <c r="F36" s="30" t="n">
        <f aca="false">Panel!Q29-Panel!Q28</f>
        <v>0.000447988395690047</v>
      </c>
      <c r="G36" s="30" t="n">
        <f aca="false">Panel!Q28-Panel!Q27</f>
        <v>0.000594387097223148</v>
      </c>
    </row>
    <row r="37" customFormat="false" ht="15" hidden="false" customHeight="false" outlineLevel="0" collapsed="false">
      <c r="C37" s="0" t="n">
        <f aca="false">Panel!Q32-Panel!Q31</f>
        <v>-0.000707517644336519</v>
      </c>
      <c r="D37" s="29" t="n">
        <f aca="false">Panel!Q31</f>
        <v>0.00324277960655905</v>
      </c>
      <c r="E37" s="30" t="n">
        <f aca="false">Panel!Q31-Panel!Q30</f>
        <v>0.000882818112167172</v>
      </c>
      <c r="F37" s="30" t="n">
        <f aca="false">Panel!Q30-Panel!Q29</f>
        <v>-0.000488053249462439</v>
      </c>
      <c r="G37" s="30" t="n">
        <f aca="false">Panel!Q29-Panel!Q28</f>
        <v>0.000447988395690047</v>
      </c>
    </row>
    <row r="38" customFormat="false" ht="15" hidden="false" customHeight="false" outlineLevel="0" collapsed="false">
      <c r="C38" s="0" t="n">
        <f aca="false">Panel!Q33-Panel!Q32</f>
        <v>-0.00190435724617011</v>
      </c>
      <c r="D38" s="29" t="n">
        <f aca="false">Panel!Q32</f>
        <v>0.00253526196222253</v>
      </c>
      <c r="E38" s="30" t="n">
        <f aca="false">Panel!Q32-Panel!Q31</f>
        <v>-0.000707517644336519</v>
      </c>
      <c r="F38" s="30" t="n">
        <f aca="false">Panel!Q31-Panel!Q30</f>
        <v>0.000882818112167172</v>
      </c>
      <c r="G38" s="30" t="n">
        <f aca="false">Panel!Q30-Panel!Q29</f>
        <v>-0.000488053249462439</v>
      </c>
    </row>
    <row r="39" customFormat="false" ht="15" hidden="false" customHeight="false" outlineLevel="0" collapsed="false">
      <c r="C39" s="0" t="n">
        <f aca="false">Panel!Q34-Panel!Q33</f>
        <v>0.000548604450630208</v>
      </c>
      <c r="D39" s="29" t="n">
        <f aca="false">Panel!Q33</f>
        <v>0.000630904716052427</v>
      </c>
      <c r="E39" s="30" t="n">
        <f aca="false">Panel!Q33-Panel!Q32</f>
        <v>-0.00190435724617011</v>
      </c>
      <c r="F39" s="30" t="n">
        <f aca="false">Panel!Q32-Panel!Q31</f>
        <v>-0.000707517644336519</v>
      </c>
      <c r="G39" s="30" t="n">
        <f aca="false">Panel!Q31-Panel!Q30</f>
        <v>0.000882818112167172</v>
      </c>
    </row>
    <row r="40" customFormat="false" ht="15" hidden="false" customHeight="false" outlineLevel="0" collapsed="false">
      <c r="C40" s="0" t="n">
        <f aca="false">Panel!Q35-Panel!Q34</f>
        <v>-0.000107532561129275</v>
      </c>
      <c r="D40" s="29" t="n">
        <f aca="false">Panel!Q34</f>
        <v>0.00117950916668264</v>
      </c>
      <c r="E40" s="30" t="n">
        <f aca="false">Panel!Q34-Panel!Q33</f>
        <v>0.000548604450630208</v>
      </c>
      <c r="F40" s="30" t="n">
        <f aca="false">Panel!Q33-Panel!Q32</f>
        <v>-0.00190435724617011</v>
      </c>
      <c r="G40" s="30" t="n">
        <f aca="false">Panel!Q32-Panel!Q31</f>
        <v>-0.000707517644336519</v>
      </c>
    </row>
    <row r="41" customFormat="false" ht="15" hidden="false" customHeight="false" outlineLevel="0" collapsed="false">
      <c r="C41" s="0" t="n">
        <f aca="false">Panel!Q36-Panel!Q35</f>
        <v>0.000460158627081597</v>
      </c>
      <c r="D41" s="29" t="n">
        <f aca="false">Panel!Q35</f>
        <v>0.00107197660555336</v>
      </c>
      <c r="E41" s="30" t="n">
        <f aca="false">Panel!Q35-Panel!Q34</f>
        <v>-0.000107532561129275</v>
      </c>
      <c r="F41" s="30" t="n">
        <f aca="false">Panel!Q34-Panel!Q33</f>
        <v>0.000548604450630208</v>
      </c>
      <c r="G41" s="30" t="n">
        <f aca="false">Panel!Q33-Panel!Q32</f>
        <v>-0.00190435724617011</v>
      </c>
    </row>
    <row r="42" customFormat="false" ht="15" hidden="false" customHeight="false" outlineLevel="0" collapsed="false">
      <c r="C42" s="0" t="n">
        <f aca="false">Panel!Q37-Panel!Q36</f>
        <v>-0.00126973595986968</v>
      </c>
      <c r="D42" s="29" t="n">
        <f aca="false">Panel!Q36</f>
        <v>0.00153213523263496</v>
      </c>
      <c r="E42" s="30" t="n">
        <f aca="false">Panel!Q36-Panel!Q35</f>
        <v>0.000460158627081597</v>
      </c>
      <c r="F42" s="30" t="n">
        <f aca="false">Panel!Q35-Panel!Q34</f>
        <v>-0.000107532561129275</v>
      </c>
      <c r="G42" s="30" t="n">
        <f aca="false">Panel!Q34-Panel!Q33</f>
        <v>0.000548604450630208</v>
      </c>
    </row>
    <row r="43" customFormat="false" ht="15" hidden="false" customHeight="false" outlineLevel="0" collapsed="false">
      <c r="C43" s="0" t="n">
        <f aca="false">Panel!Q38-Panel!Q37</f>
        <v>0.0016080394206508</v>
      </c>
      <c r="D43" s="29" t="n">
        <f aca="false">Panel!Q37</f>
        <v>0.000262399272765279</v>
      </c>
      <c r="E43" s="30" t="n">
        <f aca="false">Panel!Q37-Panel!Q36</f>
        <v>-0.00126973595986968</v>
      </c>
      <c r="F43" s="30" t="n">
        <f aca="false">Panel!Q36-Panel!Q35</f>
        <v>0.000460158627081597</v>
      </c>
      <c r="G43" s="30" t="n">
        <f aca="false">Panel!Q35-Panel!Q34</f>
        <v>-0.000107532561129275</v>
      </c>
    </row>
    <row r="44" customFormat="false" ht="15" hidden="false" customHeight="false" outlineLevel="0" collapsed="false">
      <c r="C44" s="0" t="n">
        <f aca="false">Panel!Q39-Panel!Q38</f>
        <v>0.00105388011756702</v>
      </c>
      <c r="D44" s="29" t="n">
        <f aca="false">Panel!Q38</f>
        <v>0.00187043869341608</v>
      </c>
      <c r="E44" s="30" t="n">
        <f aca="false">Panel!Q38-Panel!Q37</f>
        <v>0.0016080394206508</v>
      </c>
      <c r="F44" s="30" t="n">
        <f aca="false">Panel!Q37-Panel!Q36</f>
        <v>-0.00126973595986968</v>
      </c>
      <c r="G44" s="30" t="n">
        <f aca="false">Panel!Q36-Panel!Q35</f>
        <v>0.000460158627081597</v>
      </c>
    </row>
    <row r="45" customFormat="false" ht="15" hidden="false" customHeight="false" outlineLevel="0" collapsed="false">
      <c r="C45" s="0" t="n">
        <f aca="false">Panel!Q40-Panel!Q39</f>
        <v>-0.0018593989169009</v>
      </c>
      <c r="D45" s="29" t="n">
        <f aca="false">Panel!Q39</f>
        <v>0.0029243188109831</v>
      </c>
      <c r="E45" s="30" t="n">
        <f aca="false">Panel!Q39-Panel!Q38</f>
        <v>0.00105388011756702</v>
      </c>
      <c r="F45" s="30" t="n">
        <f aca="false">Panel!Q38-Panel!Q37</f>
        <v>0.0016080394206508</v>
      </c>
      <c r="G45" s="30" t="n">
        <f aca="false">Panel!Q37-Panel!Q36</f>
        <v>-0.00126973595986968</v>
      </c>
    </row>
    <row r="46" customFormat="false" ht="15" hidden="false" customHeight="false" outlineLevel="0" collapsed="false">
      <c r="C46" s="0" t="n">
        <f aca="false">Panel!Q41-Panel!Q40</f>
        <v>-0.000599373871542852</v>
      </c>
      <c r="D46" s="29" t="n">
        <f aca="false">Panel!Q40</f>
        <v>0.00106491989408219</v>
      </c>
      <c r="E46" s="30" t="n">
        <f aca="false">Panel!Q40-Panel!Q39</f>
        <v>-0.0018593989169009</v>
      </c>
      <c r="F46" s="30" t="n">
        <f aca="false">Panel!Q39-Panel!Q38</f>
        <v>0.00105388011756702</v>
      </c>
      <c r="G46" s="30" t="n">
        <f aca="false">Panel!Q38-Panel!Q37</f>
        <v>0.0016080394206508</v>
      </c>
    </row>
    <row r="47" customFormat="false" ht="15" hidden="false" customHeight="false" outlineLevel="0" collapsed="false">
      <c r="C47" s="0" t="n">
        <f aca="false">Panel!Q42-Panel!Q41</f>
        <v>0.000263164853143039</v>
      </c>
      <c r="D47" s="29" t="n">
        <f aca="false">Panel!Q41</f>
        <v>0.000465546022539343</v>
      </c>
      <c r="E47" s="30" t="n">
        <f aca="false">Panel!Q41-Panel!Q40</f>
        <v>-0.000599373871542852</v>
      </c>
      <c r="F47" s="30" t="n">
        <f aca="false">Panel!Q40-Panel!Q39</f>
        <v>-0.0018593989169009</v>
      </c>
      <c r="G47" s="30" t="n">
        <f aca="false">Panel!Q39-Panel!Q38</f>
        <v>0.00105388011756702</v>
      </c>
    </row>
    <row r="48" customFormat="false" ht="15" hidden="false" customHeight="false" outlineLevel="0" collapsed="false">
      <c r="C48" s="0" t="n">
        <f aca="false">Panel!Q43-Panel!Q42</f>
        <v>-0.00105563652535956</v>
      </c>
      <c r="D48" s="29" t="n">
        <f aca="false">Panel!Q42</f>
        <v>0.000728710875682381</v>
      </c>
      <c r="E48" s="30" t="n">
        <f aca="false">Panel!Q42-Panel!Q41</f>
        <v>0.000263164853143039</v>
      </c>
      <c r="F48" s="30" t="n">
        <f aca="false">Panel!Q41-Panel!Q40</f>
        <v>-0.000599373871542852</v>
      </c>
      <c r="G48" s="30" t="n">
        <f aca="false">Panel!Q40-Panel!Q39</f>
        <v>-0.0018593989169009</v>
      </c>
    </row>
    <row r="49" customFormat="false" ht="15" hidden="false" customHeight="false" outlineLevel="0" collapsed="false">
      <c r="C49" s="0" t="n">
        <f aca="false">Panel!Q44-Panel!Q43</f>
        <v>-0.000284714873203029</v>
      </c>
      <c r="D49" s="29" t="n">
        <f aca="false">Panel!Q43</f>
        <v>-0.000326925649677179</v>
      </c>
      <c r="E49" s="30" t="n">
        <f aca="false">Panel!Q43-Panel!Q42</f>
        <v>-0.00105563652535956</v>
      </c>
      <c r="F49" s="30" t="n">
        <f aca="false">Panel!Q42-Panel!Q41</f>
        <v>0.000263164853143039</v>
      </c>
      <c r="G49" s="30" t="n">
        <f aca="false">Panel!Q41-Panel!Q40</f>
        <v>-0.000599373871542852</v>
      </c>
    </row>
    <row r="50" customFormat="false" ht="15" hidden="false" customHeight="false" outlineLevel="0" collapsed="false">
      <c r="C50" s="0" t="n">
        <f aca="false">Panel!Q45-Panel!Q44</f>
        <v>0.000146699189611965</v>
      </c>
      <c r="D50" s="29" t="n">
        <f aca="false">Panel!Q44</f>
        <v>-0.000611640522880208</v>
      </c>
      <c r="E50" s="30" t="n">
        <f aca="false">Panel!Q44-Panel!Q43</f>
        <v>-0.000284714873203029</v>
      </c>
      <c r="F50" s="30" t="n">
        <f aca="false">Panel!Q43-Panel!Q42</f>
        <v>-0.00105563652535956</v>
      </c>
      <c r="G50" s="30" t="n">
        <f aca="false">Panel!Q42-Panel!Q41</f>
        <v>0.000263164853143039</v>
      </c>
    </row>
    <row r="51" customFormat="false" ht="15" hidden="false" customHeight="false" outlineLevel="0" collapsed="false">
      <c r="C51" s="0" t="n">
        <f aca="false">Panel!Q46-Panel!Q45</f>
        <v>-0.00121070860717154</v>
      </c>
      <c r="D51" s="29" t="n">
        <f aca="false">Panel!Q45</f>
        <v>-0.000464941333268243</v>
      </c>
      <c r="E51" s="30" t="n">
        <f aca="false">Panel!Q45-Panel!Q44</f>
        <v>0.000146699189611965</v>
      </c>
      <c r="F51" s="30" t="n">
        <f aca="false">Panel!Q44-Panel!Q43</f>
        <v>-0.000284714873203029</v>
      </c>
      <c r="G51" s="30" t="n">
        <f aca="false">Panel!Q43-Panel!Q42</f>
        <v>-0.00105563652535956</v>
      </c>
    </row>
    <row r="52" customFormat="false" ht="15" hidden="false" customHeight="false" outlineLevel="0" collapsed="false">
      <c r="C52" s="0" t="n">
        <f aca="false">Panel!Q47-Panel!Q46</f>
        <v>0.0044791868030849</v>
      </c>
      <c r="D52" s="29" t="n">
        <f aca="false">Panel!Q46</f>
        <v>-0.00167564994043978</v>
      </c>
      <c r="E52" s="30" t="n">
        <f aca="false">Panel!Q46-Panel!Q45</f>
        <v>-0.00121070860717154</v>
      </c>
      <c r="F52" s="30" t="n">
        <f aca="false">Panel!Q45-Panel!Q44</f>
        <v>0.000146699189611965</v>
      </c>
      <c r="G52" s="30" t="n">
        <f aca="false">Panel!Q44-Panel!Q43</f>
        <v>-0.000284714873203029</v>
      </c>
    </row>
    <row r="53" customFormat="false" ht="15" hidden="false" customHeight="false" outlineLevel="0" collapsed="false">
      <c r="C53" s="0" t="n">
        <f aca="false">Panel!Q48-Panel!Q47</f>
        <v>0.000759834581836927</v>
      </c>
      <c r="D53" s="29" t="n">
        <f aca="false">Panel!Q47</f>
        <v>0.00280353686264512</v>
      </c>
      <c r="E53" s="30" t="n">
        <f aca="false">Panel!Q47-Panel!Q46</f>
        <v>0.0044791868030849</v>
      </c>
      <c r="F53" s="30" t="n">
        <f aca="false">Panel!Q46-Panel!Q45</f>
        <v>-0.00121070860717154</v>
      </c>
      <c r="G53" s="30" t="n">
        <f aca="false">Panel!Q45-Panel!Q44</f>
        <v>0.000146699189611965</v>
      </c>
    </row>
    <row r="54" customFormat="false" ht="15" hidden="false" customHeight="false" outlineLevel="0" collapsed="false">
      <c r="C54" s="0" t="n">
        <f aca="false">Panel!Q49-Panel!Q48</f>
        <v>-0.00213654446567269</v>
      </c>
      <c r="D54" s="29" t="n">
        <f aca="false">Panel!Q48</f>
        <v>0.00356337144448204</v>
      </c>
      <c r="E54" s="30" t="n">
        <f aca="false">Panel!Q48-Panel!Q47</f>
        <v>0.000759834581836927</v>
      </c>
      <c r="F54" s="30" t="n">
        <f aca="false">Panel!Q47-Panel!Q46</f>
        <v>0.0044791868030849</v>
      </c>
      <c r="G54" s="30" t="n">
        <f aca="false">Panel!Q46-Panel!Q45</f>
        <v>-0.00121070860717154</v>
      </c>
    </row>
    <row r="55" customFormat="false" ht="15" hidden="false" customHeight="false" outlineLevel="0" collapsed="false">
      <c r="C55" s="0" t="n">
        <f aca="false">Panel!Q50-Panel!Q49</f>
        <v>0.00130163044035392</v>
      </c>
      <c r="D55" s="29" t="n">
        <f aca="false">Panel!Q49</f>
        <v>0.00142682697880936</v>
      </c>
      <c r="E55" s="30" t="n">
        <f aca="false">Panel!Q49-Panel!Q48</f>
        <v>-0.00213654446567269</v>
      </c>
      <c r="F55" s="30" t="n">
        <f aca="false">Panel!Q48-Panel!Q47</f>
        <v>0.000759834581836927</v>
      </c>
      <c r="G55" s="30" t="n">
        <f aca="false">Panel!Q47-Panel!Q46</f>
        <v>0.0044791868030849</v>
      </c>
    </row>
    <row r="56" customFormat="false" ht="15" hidden="false" customHeight="false" outlineLevel="0" collapsed="false">
      <c r="C56" s="0" t="n">
        <f aca="false">Panel!Q51-Panel!Q50</f>
        <v>-0.000994605635323609</v>
      </c>
      <c r="D56" s="29" t="n">
        <f aca="false">Panel!Q50</f>
        <v>0.00272845741916328</v>
      </c>
      <c r="E56" s="30" t="n">
        <f aca="false">Panel!Q50-Panel!Q49</f>
        <v>0.00130163044035392</v>
      </c>
      <c r="F56" s="30" t="n">
        <f aca="false">Panel!Q49-Panel!Q48</f>
        <v>-0.00213654446567269</v>
      </c>
      <c r="G56" s="30" t="n">
        <f aca="false">Panel!Q48-Panel!Q47</f>
        <v>0.000759834581836927</v>
      </c>
    </row>
    <row r="57" customFormat="false" ht="15" hidden="false" customHeight="false" outlineLevel="0" collapsed="false">
      <c r="C57" s="0" t="n">
        <f aca="false">Panel!Q52-Panel!Q51</f>
        <v>-0.00301801772806698</v>
      </c>
      <c r="D57" s="29" t="n">
        <f aca="false">Panel!Q51</f>
        <v>0.00173385178383967</v>
      </c>
      <c r="E57" s="30" t="n">
        <f aca="false">Panel!Q51-Panel!Q50</f>
        <v>-0.000994605635323609</v>
      </c>
      <c r="F57" s="30" t="n">
        <f aca="false">Panel!Q50-Panel!Q49</f>
        <v>0.00130163044035392</v>
      </c>
      <c r="G57" s="30" t="n">
        <f aca="false">Panel!Q49-Panel!Q48</f>
        <v>-0.00213654446567269</v>
      </c>
    </row>
    <row r="58" customFormat="false" ht="15" hidden="false" customHeight="false" outlineLevel="0" collapsed="false">
      <c r="C58" s="0" t="n">
        <f aca="false">Panel!Q53-Panel!Q52</f>
        <v>0.00287406893765585</v>
      </c>
      <c r="D58" s="29" t="n">
        <f aca="false">Panel!Q52</f>
        <v>-0.00128416594422731</v>
      </c>
      <c r="E58" s="30" t="n">
        <f aca="false">Panel!Q52-Panel!Q51</f>
        <v>-0.00301801772806698</v>
      </c>
      <c r="F58" s="30" t="n">
        <f aca="false">Panel!Q51-Panel!Q50</f>
        <v>-0.000994605635323609</v>
      </c>
      <c r="G58" s="30" t="n">
        <f aca="false">Panel!Q50-Panel!Q49</f>
        <v>0.00130163044035392</v>
      </c>
    </row>
    <row r="59" customFormat="false" ht="15" hidden="false" customHeight="false" outlineLevel="0" collapsed="false">
      <c r="C59" s="0" t="n">
        <f aca="false">Panel!Q54-Panel!Q53</f>
        <v>0.000364666206506215</v>
      </c>
      <c r="D59" s="29" t="n">
        <f aca="false">Panel!Q53</f>
        <v>0.00158990299342854</v>
      </c>
      <c r="E59" s="30" t="n">
        <f aca="false">Panel!Q53-Panel!Q52</f>
        <v>0.00287406893765585</v>
      </c>
      <c r="F59" s="30" t="n">
        <f aca="false">Panel!Q52-Panel!Q51</f>
        <v>-0.00301801772806698</v>
      </c>
      <c r="G59" s="30" t="n">
        <f aca="false">Panel!Q51-Panel!Q50</f>
        <v>-0.000994605635323609</v>
      </c>
    </row>
    <row r="60" customFormat="false" ht="15" hidden="false" customHeight="false" outlineLevel="0" collapsed="false">
      <c r="C60" s="0" t="n">
        <f aca="false">Panel!Q55-Panel!Q54</f>
        <v>-0.00155406024470217</v>
      </c>
      <c r="D60" s="29" t="n">
        <f aca="false">Panel!Q54</f>
        <v>0.00195456919993475</v>
      </c>
      <c r="E60" s="30" t="n">
        <f aca="false">Panel!Q54-Panel!Q53</f>
        <v>0.000364666206506215</v>
      </c>
      <c r="F60" s="30" t="n">
        <f aca="false">Panel!Q53-Panel!Q52</f>
        <v>0.00287406893765585</v>
      </c>
      <c r="G60" s="30" t="n">
        <f aca="false">Panel!Q52-Panel!Q51</f>
        <v>-0.00301801772806698</v>
      </c>
    </row>
    <row r="61" customFormat="false" ht="15" hidden="false" customHeight="false" outlineLevel="0" collapsed="false">
      <c r="C61" s="0" t="n">
        <f aca="false">Panel!Q56-Panel!Q55</f>
        <v>0.000225931143999603</v>
      </c>
      <c r="D61" s="29" t="n">
        <f aca="false">Panel!Q55</f>
        <v>0.000400508955232581</v>
      </c>
      <c r="E61" s="30" t="n">
        <f aca="false">Panel!Q55-Panel!Q54</f>
        <v>-0.00155406024470217</v>
      </c>
      <c r="F61" s="30" t="n">
        <f aca="false">Panel!Q54-Panel!Q53</f>
        <v>0.000364666206506215</v>
      </c>
      <c r="G61" s="30" t="n">
        <f aca="false">Panel!Q53-Panel!Q52</f>
        <v>0.00287406893765585</v>
      </c>
    </row>
    <row r="62" customFormat="false" ht="15" hidden="false" customHeight="false" outlineLevel="0" collapsed="false">
      <c r="C62" s="0" t="n">
        <f aca="false">Panel!Q57-Panel!Q56</f>
        <v>0.000191541023792041</v>
      </c>
      <c r="D62" s="29" t="n">
        <f aca="false">Panel!Q56</f>
        <v>0.000626440099232184</v>
      </c>
      <c r="E62" s="30" t="n">
        <f aca="false">Panel!Q56-Panel!Q55</f>
        <v>0.000225931143999603</v>
      </c>
      <c r="F62" s="30" t="n">
        <f aca="false">Panel!Q55-Panel!Q54</f>
        <v>-0.00155406024470217</v>
      </c>
      <c r="G62" s="30" t="n">
        <f aca="false">Panel!Q54-Panel!Q53</f>
        <v>0.000364666206506215</v>
      </c>
    </row>
    <row r="63" customFormat="false" ht="15" hidden="false" customHeight="false" outlineLevel="0" collapsed="false">
      <c r="C63" s="0" t="n">
        <f aca="false">Panel!Q58-Panel!Q57</f>
        <v>-0.00151150143491208</v>
      </c>
      <c r="D63" s="29" t="n">
        <f aca="false">Panel!Q57</f>
        <v>0.000817981123024225</v>
      </c>
      <c r="E63" s="30" t="n">
        <f aca="false">Panel!Q57-Panel!Q56</f>
        <v>0.000191541023792041</v>
      </c>
      <c r="F63" s="30" t="n">
        <f aca="false">Panel!Q56-Panel!Q55</f>
        <v>0.000225931143999603</v>
      </c>
      <c r="G63" s="30" t="n">
        <f aca="false">Panel!Q55-Panel!Q54</f>
        <v>-0.00155406024470217</v>
      </c>
    </row>
    <row r="64" customFormat="false" ht="15" hidden="false" customHeight="false" outlineLevel="0" collapsed="false">
      <c r="C64" s="0" t="n">
        <f aca="false">Panel!Q59-Panel!Q58</f>
        <v>0.0001250789149978</v>
      </c>
      <c r="D64" s="29" t="n">
        <f aca="false">Panel!Q58</f>
        <v>-0.000693520311887852</v>
      </c>
      <c r="E64" s="30" t="n">
        <f aca="false">Panel!Q58-Panel!Q57</f>
        <v>-0.00151150143491208</v>
      </c>
      <c r="F64" s="30" t="n">
        <f aca="false">Panel!Q57-Panel!Q56</f>
        <v>0.000191541023792041</v>
      </c>
      <c r="G64" s="30" t="n">
        <f aca="false">Panel!Q56-Panel!Q55</f>
        <v>0.000225931143999603</v>
      </c>
    </row>
    <row r="65" customFormat="false" ht="15" hidden="false" customHeight="false" outlineLevel="0" collapsed="false">
      <c r="C65" s="0" t="n">
        <f aca="false">Panel!Q60-Panel!Q59</f>
        <v>0.000351069679426885</v>
      </c>
      <c r="D65" s="29" t="n">
        <f aca="false">Panel!Q59</f>
        <v>-0.000568441396890052</v>
      </c>
      <c r="E65" s="30" t="n">
        <f aca="false">Panel!Q59-Panel!Q58</f>
        <v>0.0001250789149978</v>
      </c>
      <c r="F65" s="30" t="n">
        <f aca="false">Panel!Q58-Panel!Q57</f>
        <v>-0.00151150143491208</v>
      </c>
      <c r="G65" s="30" t="n">
        <f aca="false">Panel!Q57-Panel!Q56</f>
        <v>0.000191541023792041</v>
      </c>
    </row>
    <row r="66" customFormat="false" ht="15" hidden="false" customHeight="false" outlineLevel="0" collapsed="false">
      <c r="C66" s="0" t="n">
        <f aca="false">Panel!Q61-Panel!Q60</f>
        <v>0.000587920113748197</v>
      </c>
      <c r="D66" s="29" t="n">
        <f aca="false">Panel!Q60</f>
        <v>-0.000217371717463166</v>
      </c>
      <c r="E66" s="30" t="n">
        <f aca="false">Panel!Q60-Panel!Q59</f>
        <v>0.000351069679426885</v>
      </c>
      <c r="F66" s="30" t="n">
        <f aca="false">Panel!Q59-Panel!Q58</f>
        <v>0.0001250789149978</v>
      </c>
      <c r="G66" s="30" t="n">
        <f aca="false">Panel!Q58-Panel!Q57</f>
        <v>-0.00151150143491208</v>
      </c>
    </row>
    <row r="67" customFormat="false" ht="15" hidden="false" customHeight="false" outlineLevel="0" collapsed="false">
      <c r="C67" s="0" t="n">
        <f aca="false">Panel!Q62-Panel!Q61</f>
        <v>-0.00204705727783328</v>
      </c>
      <c r="D67" s="29" t="n">
        <f aca="false">Panel!Q61</f>
        <v>0.000370548396285031</v>
      </c>
      <c r="E67" s="30" t="n">
        <f aca="false">Panel!Q61-Panel!Q60</f>
        <v>0.000587920113748197</v>
      </c>
      <c r="F67" s="30" t="n">
        <f aca="false">Panel!Q60-Panel!Q59</f>
        <v>0.000351069679426885</v>
      </c>
      <c r="G67" s="30" t="n">
        <f aca="false">Panel!Q59-Panel!Q58</f>
        <v>0.0001250789149978</v>
      </c>
    </row>
    <row r="68" customFormat="false" ht="15" hidden="false" customHeight="false" outlineLevel="0" collapsed="false">
      <c r="C68" s="0" t="n">
        <f aca="false">Panel!Q63-Panel!Q62</f>
        <v>-0.00171406725217516</v>
      </c>
      <c r="D68" s="29" t="n">
        <f aca="false">Panel!Q62</f>
        <v>-0.00167650888154824</v>
      </c>
      <c r="E68" s="30" t="n">
        <f aca="false">Panel!Q62-Panel!Q61</f>
        <v>-0.00204705727783328</v>
      </c>
      <c r="F68" s="30" t="n">
        <f aca="false">Panel!Q61-Panel!Q60</f>
        <v>0.000587920113748197</v>
      </c>
      <c r="G68" s="30" t="n">
        <f aca="false">Panel!Q60-Panel!Q59</f>
        <v>0.000351069679426885</v>
      </c>
    </row>
    <row r="69" customFormat="false" ht="15" hidden="false" customHeight="false" outlineLevel="0" collapsed="false">
      <c r="C69" s="0" t="n">
        <f aca="false">Panel!Q64-Panel!Q63</f>
        <v>0.000562127716751348</v>
      </c>
      <c r="D69" s="29" t="n">
        <f aca="false">Panel!Q63</f>
        <v>-0.0033905761337234</v>
      </c>
      <c r="E69" s="30" t="n">
        <f aca="false">Panel!Q63-Panel!Q62</f>
        <v>-0.00171406725217516</v>
      </c>
      <c r="F69" s="30" t="n">
        <f aca="false">Panel!Q62-Panel!Q61</f>
        <v>-0.00204705727783328</v>
      </c>
      <c r="G69" s="30" t="n">
        <f aca="false">Panel!Q61-Panel!Q60</f>
        <v>0.000587920113748197</v>
      </c>
    </row>
    <row r="70" customFormat="false" ht="15" hidden="false" customHeight="false" outlineLevel="0" collapsed="false">
      <c r="C70" s="0" t="n">
        <f aca="false">Panel!Q65-Panel!Q64</f>
        <v>-0.000917018666628522</v>
      </c>
      <c r="D70" s="29" t="n">
        <f aca="false">Panel!Q64</f>
        <v>-0.00282844841697205</v>
      </c>
      <c r="E70" s="30" t="n">
        <f aca="false">Panel!Q64-Panel!Q63</f>
        <v>0.000562127716751348</v>
      </c>
      <c r="F70" s="30" t="n">
        <f aca="false">Panel!Q63-Panel!Q62</f>
        <v>-0.00171406725217516</v>
      </c>
      <c r="G70" s="30" t="n">
        <f aca="false">Panel!Q62-Panel!Q61</f>
        <v>-0.00204705727783328</v>
      </c>
    </row>
    <row r="71" customFormat="false" ht="15" hidden="false" customHeight="false" outlineLevel="0" collapsed="false">
      <c r="C71" s="0" t="n">
        <f aca="false">Panel!Q66-Panel!Q65</f>
        <v>-0.00215048926286521</v>
      </c>
      <c r="D71" s="29" t="n">
        <f aca="false">Panel!Q65</f>
        <v>-0.00374546708360057</v>
      </c>
      <c r="E71" s="30" t="n">
        <f aca="false">Panel!Q65-Panel!Q64</f>
        <v>-0.000917018666628522</v>
      </c>
      <c r="F71" s="30" t="n">
        <f aca="false">Panel!Q64-Panel!Q63</f>
        <v>0.000562127716751348</v>
      </c>
      <c r="G71" s="30" t="n">
        <f aca="false">Panel!Q63-Panel!Q62</f>
        <v>-0.00171406725217516</v>
      </c>
    </row>
    <row r="72" customFormat="false" ht="15" hidden="false" customHeight="false" outlineLevel="0" collapsed="false">
      <c r="C72" s="0" t="n">
        <f aca="false">Panel!Q67-Panel!Q66</f>
        <v>0.00694061734973595</v>
      </c>
      <c r="D72" s="29" t="n">
        <f aca="false">Panel!Q66</f>
        <v>-0.00589595634646578</v>
      </c>
      <c r="E72" s="30" t="n">
        <f aca="false">Panel!Q66-Panel!Q65</f>
        <v>-0.00215048926286521</v>
      </c>
      <c r="F72" s="30" t="n">
        <f aca="false">Panel!Q65-Panel!Q64</f>
        <v>-0.000917018666628522</v>
      </c>
      <c r="G72" s="30" t="n">
        <f aca="false">Panel!Q64-Panel!Q63</f>
        <v>0.000562127716751348</v>
      </c>
    </row>
    <row r="73" customFormat="false" ht="15" hidden="false" customHeight="false" outlineLevel="0" collapsed="false">
      <c r="C73" s="0" t="n">
        <f aca="false">Panel!Q68-Panel!Q67</f>
        <v>-0.000255960383460874</v>
      </c>
      <c r="D73" s="29" t="n">
        <f aca="false">Panel!Q67</f>
        <v>0.00104466100327016</v>
      </c>
      <c r="E73" s="30" t="n">
        <f aca="false">Panel!Q67-Panel!Q66</f>
        <v>0.00694061734973595</v>
      </c>
      <c r="F73" s="30" t="n">
        <f aca="false">Panel!Q66-Panel!Q65</f>
        <v>-0.00215048926286521</v>
      </c>
      <c r="G73" s="30" t="n">
        <f aca="false">Panel!Q65-Panel!Q64</f>
        <v>-0.000917018666628522</v>
      </c>
    </row>
    <row r="74" customFormat="false" ht="15" hidden="false" customHeight="false" outlineLevel="0" collapsed="false">
      <c r="C74" s="0" t="n">
        <f aca="false">Panel!Q69-Panel!Q68</f>
        <v>5.87660544226765E-006</v>
      </c>
      <c r="D74" s="29" t="n">
        <f aca="false">Panel!Q68</f>
        <v>0.000788700619809291</v>
      </c>
      <c r="E74" s="30" t="n">
        <f aca="false">Panel!Q68-Panel!Q67</f>
        <v>-0.000255960383460874</v>
      </c>
      <c r="F74" s="30" t="n">
        <f aca="false">Panel!Q67-Panel!Q66</f>
        <v>0.00694061734973595</v>
      </c>
      <c r="G74" s="30" t="n">
        <f aca="false">Panel!Q66-Panel!Q65</f>
        <v>-0.00215048926286521</v>
      </c>
    </row>
    <row r="75" customFormat="false" ht="15" hidden="false" customHeight="false" outlineLevel="0" collapsed="false">
      <c r="C75" s="0" t="n">
        <f aca="false">Panel!Q70-Panel!Q69</f>
        <v>-0.00178141594841463</v>
      </c>
      <c r="D75" s="29" t="n">
        <f aca="false">Panel!Q69</f>
        <v>0.000794577225251558</v>
      </c>
      <c r="E75" s="30" t="n">
        <f aca="false">Panel!Q69-Panel!Q68</f>
        <v>5.87660544226765E-006</v>
      </c>
      <c r="F75" s="30" t="n">
        <f aca="false">Panel!Q68-Panel!Q67</f>
        <v>-0.000255960383460874</v>
      </c>
      <c r="G75" s="30" t="n">
        <f aca="false">Panel!Q67-Panel!Q66</f>
        <v>0.00694061734973595</v>
      </c>
    </row>
    <row r="76" customFormat="false" ht="15" hidden="false" customHeight="false" outlineLevel="0" collapsed="false">
      <c r="C76" s="0" t="n">
        <f aca="false">Panel!Q71-Panel!Q70</f>
        <v>0.0010140655055686</v>
      </c>
      <c r="D76" s="29" t="n">
        <f aca="false">Panel!Q70</f>
        <v>-0.000986838723163075</v>
      </c>
      <c r="E76" s="30" t="n">
        <f aca="false">Panel!Q70-Panel!Q69</f>
        <v>-0.00178141594841463</v>
      </c>
      <c r="F76" s="30" t="n">
        <f aca="false">Panel!Q69-Panel!Q68</f>
        <v>5.87660544226765E-006</v>
      </c>
      <c r="G76" s="30" t="n">
        <f aca="false">Panel!Q68-Panel!Q67</f>
        <v>-0.000255960383460874</v>
      </c>
    </row>
    <row r="77" customFormat="false" ht="15" hidden="false" customHeight="false" outlineLevel="0" collapsed="false">
      <c r="C77" s="0" t="n">
        <f aca="false">Panel!Q72-Panel!Q71</f>
        <v>-0.000988272170832971</v>
      </c>
      <c r="D77" s="29" t="n">
        <f aca="false">Panel!Q71</f>
        <v>2.72267824055206E-005</v>
      </c>
      <c r="E77" s="30" t="n">
        <f aca="false">Panel!Q71-Panel!Q70</f>
        <v>0.0010140655055686</v>
      </c>
      <c r="F77" s="30" t="n">
        <f aca="false">Panel!Q70-Panel!Q69</f>
        <v>-0.00178141594841463</v>
      </c>
      <c r="G77" s="30" t="n">
        <f aca="false">Panel!Q69-Panel!Q68</f>
        <v>5.87660544226765E-006</v>
      </c>
    </row>
    <row r="78" customFormat="false" ht="15" hidden="false" customHeight="false" outlineLevel="0" collapsed="false">
      <c r="C78" s="0" t="n">
        <f aca="false">Panel!Q73-Panel!Q72</f>
        <v>0.000509901123988854</v>
      </c>
      <c r="D78" s="29" t="n">
        <f aca="false">Panel!Q72</f>
        <v>-0.000961045388427451</v>
      </c>
      <c r="E78" s="30" t="n">
        <f aca="false">Panel!Q72-Panel!Q71</f>
        <v>-0.000988272170832971</v>
      </c>
      <c r="F78" s="30" t="n">
        <f aca="false">Panel!Q71-Panel!Q70</f>
        <v>0.0010140655055686</v>
      </c>
      <c r="G78" s="30" t="n">
        <f aca="false">Panel!Q70-Panel!Q69</f>
        <v>-0.00178141594841463</v>
      </c>
    </row>
    <row r="79" customFormat="false" ht="15" hidden="false" customHeight="false" outlineLevel="0" collapsed="false">
      <c r="C79" s="0" t="n">
        <f aca="false">Panel!Q74-Panel!Q73</f>
        <v>-0.00230387533742871</v>
      </c>
      <c r="D79" s="29" t="n">
        <f aca="false">Panel!Q73</f>
        <v>-0.000451144264438597</v>
      </c>
      <c r="E79" s="30" t="n">
        <f aca="false">Panel!Q73-Panel!Q72</f>
        <v>0.000509901123988854</v>
      </c>
      <c r="F79" s="30" t="n">
        <f aca="false">Panel!Q72-Panel!Q71</f>
        <v>-0.000988272170832971</v>
      </c>
      <c r="G79" s="30" t="n">
        <f aca="false">Panel!Q71-Panel!Q70</f>
        <v>0.0010140655055686</v>
      </c>
    </row>
    <row r="80" customFormat="false" ht="15" hidden="false" customHeight="false" outlineLevel="0" collapsed="false">
      <c r="C80" s="0" t="n">
        <f aca="false">Panel!Q75-Panel!Q74</f>
        <v>0.00143904710177978</v>
      </c>
      <c r="D80" s="29" t="n">
        <f aca="false">Panel!Q74</f>
        <v>-0.0027550196018673</v>
      </c>
      <c r="E80" s="30" t="n">
        <f aca="false">Panel!Q74-Panel!Q73</f>
        <v>-0.00230387533742871</v>
      </c>
      <c r="F80" s="30" t="n">
        <f aca="false">Panel!Q73-Panel!Q72</f>
        <v>0.000509901123988854</v>
      </c>
      <c r="G80" s="30" t="n">
        <f aca="false">Panel!Q72-Panel!Q71</f>
        <v>-0.000988272170832971</v>
      </c>
    </row>
    <row r="81" customFormat="false" ht="15" hidden="false" customHeight="false" outlineLevel="0" collapsed="false">
      <c r="C81" s="0" t="n">
        <f aca="false">Panel!Q76-Panel!Q75</f>
        <v>0.000245365000543174</v>
      </c>
      <c r="D81" s="29" t="n">
        <f aca="false">Panel!Q75</f>
        <v>-0.00131597250008753</v>
      </c>
      <c r="E81" s="30" t="n">
        <f aca="false">Panel!Q75-Panel!Q74</f>
        <v>0.00143904710177978</v>
      </c>
      <c r="F81" s="30" t="n">
        <f aca="false">Panel!Q74-Panel!Q73</f>
        <v>-0.00230387533742871</v>
      </c>
      <c r="G81" s="30" t="n">
        <f aca="false">Panel!Q73-Panel!Q72</f>
        <v>0.000509901123988854</v>
      </c>
    </row>
    <row r="82" customFormat="false" ht="15" hidden="false" customHeight="false" outlineLevel="0" collapsed="false">
      <c r="C82" s="0" t="n">
        <f aca="false">Panel!Q77-Panel!Q76</f>
        <v>-0.000669402434867905</v>
      </c>
      <c r="D82" s="29" t="n">
        <f aca="false">Panel!Q76</f>
        <v>-0.00107060749954435</v>
      </c>
      <c r="E82" s="30" t="n">
        <f aca="false">Panel!Q76-Panel!Q75</f>
        <v>0.000245365000543174</v>
      </c>
      <c r="F82" s="30" t="n">
        <f aca="false">Panel!Q75-Panel!Q74</f>
        <v>0.00143904710177978</v>
      </c>
      <c r="G82" s="30" t="n">
        <f aca="false">Panel!Q74-Panel!Q73</f>
        <v>-0.00230387533742871</v>
      </c>
    </row>
    <row r="83" customFormat="false" ht="15" hidden="false" customHeight="false" outlineLevel="0" collapsed="false">
      <c r="C83" s="0" t="n">
        <f aca="false">Panel!Q78-Panel!Q77</f>
        <v>-0.00130066362151204</v>
      </c>
      <c r="D83" s="29" t="n">
        <f aca="false">Panel!Q77</f>
        <v>-0.00174000993441226</v>
      </c>
      <c r="E83" s="30" t="n">
        <f aca="false">Panel!Q77-Panel!Q76</f>
        <v>-0.000669402434867905</v>
      </c>
      <c r="F83" s="30" t="n">
        <f aca="false">Panel!Q76-Panel!Q75</f>
        <v>0.000245365000543174</v>
      </c>
      <c r="G83" s="30" t="n">
        <f aca="false">Panel!Q75-Panel!Q74</f>
        <v>0.00143904710177978</v>
      </c>
    </row>
    <row r="84" customFormat="false" ht="15" hidden="false" customHeight="false" outlineLevel="0" collapsed="false">
      <c r="C84" s="0" t="n">
        <f aca="false">Panel!Q79-Panel!Q78</f>
        <v>-0.000823781253387779</v>
      </c>
      <c r="D84" s="29" t="n">
        <f aca="false">Panel!Q78</f>
        <v>-0.0030406735559243</v>
      </c>
      <c r="E84" s="30" t="n">
        <f aca="false">Panel!Q78-Panel!Q77</f>
        <v>-0.00130066362151204</v>
      </c>
      <c r="F84" s="30" t="n">
        <f aca="false">Panel!Q77-Panel!Q76</f>
        <v>-0.000669402434867905</v>
      </c>
      <c r="G84" s="30" t="n">
        <f aca="false">Panel!Q76-Panel!Q75</f>
        <v>0.000245365000543174</v>
      </c>
    </row>
    <row r="85" customFormat="false" ht="15" hidden="false" customHeight="false" outlineLevel="0" collapsed="false">
      <c r="C85" s="0" t="n">
        <f aca="false">Panel!Q80-Panel!Q79</f>
        <v>0.000508435428868026</v>
      </c>
      <c r="D85" s="29" t="n">
        <f aca="false">Panel!Q79</f>
        <v>-0.00386445480931208</v>
      </c>
      <c r="E85" s="30" t="n">
        <f aca="false">Panel!Q79-Panel!Q78</f>
        <v>-0.000823781253387779</v>
      </c>
      <c r="F85" s="30" t="n">
        <f aca="false">Panel!Q78-Panel!Q77</f>
        <v>-0.00130066362151204</v>
      </c>
      <c r="G85" s="30" t="n">
        <f aca="false">Panel!Q77-Panel!Q76</f>
        <v>-0.000669402434867905</v>
      </c>
    </row>
    <row r="86" customFormat="false" ht="15" hidden="false" customHeight="false" outlineLevel="0" collapsed="false">
      <c r="C86" s="0" t="n">
        <f aca="false">Panel!Q81-Panel!Q80</f>
        <v>-0.000317925380356243</v>
      </c>
      <c r="D86" s="29" t="n">
        <f aca="false">Panel!Q80</f>
        <v>-0.00335601938044405</v>
      </c>
      <c r="E86" s="30" t="n">
        <f aca="false">Panel!Q80-Panel!Q79</f>
        <v>0.000508435428868026</v>
      </c>
      <c r="F86" s="30" t="n">
        <f aca="false">Panel!Q79-Panel!Q78</f>
        <v>-0.000823781253387779</v>
      </c>
      <c r="G86" s="30" t="n">
        <f aca="false">Panel!Q78-Panel!Q77</f>
        <v>-0.00130066362151204</v>
      </c>
    </row>
    <row r="87" customFormat="false" ht="15" hidden="false" customHeight="false" outlineLevel="0" collapsed="false">
      <c r="C87" s="0" t="n">
        <f aca="false">Panel!Q82-Panel!Q81</f>
        <v>0.00266855661424259</v>
      </c>
      <c r="D87" s="29" t="n">
        <f aca="false">Panel!Q81</f>
        <v>-0.0036739447608003</v>
      </c>
      <c r="E87" s="30" t="n">
        <f aca="false">Panel!Q81-Panel!Q80</f>
        <v>-0.000317925380356243</v>
      </c>
      <c r="F87" s="30" t="n">
        <f aca="false">Panel!Q80-Panel!Q79</f>
        <v>0.000508435428868026</v>
      </c>
      <c r="G87" s="30" t="n">
        <f aca="false">Panel!Q79-Panel!Q78</f>
        <v>-0.000823781253387779</v>
      </c>
    </row>
    <row r="88" customFormat="false" ht="15" hidden="false" customHeight="false" outlineLevel="0" collapsed="false">
      <c r="C88" s="0" t="n">
        <f aca="false">Panel!Q83-Panel!Q82</f>
        <v>-0.00193159612061145</v>
      </c>
      <c r="D88" s="29" t="n">
        <f aca="false">Panel!Q82</f>
        <v>-0.00100538814655771</v>
      </c>
      <c r="E88" s="30" t="n">
        <f aca="false">Panel!Q82-Panel!Q81</f>
        <v>0.00266855661424259</v>
      </c>
      <c r="F88" s="30" t="n">
        <f aca="false">Panel!Q81-Panel!Q80</f>
        <v>-0.000317925380356243</v>
      </c>
      <c r="G88" s="30" t="n">
        <f aca="false">Panel!Q80-Panel!Q79</f>
        <v>0.000508435428868026</v>
      </c>
    </row>
    <row r="89" customFormat="false" ht="15" hidden="false" customHeight="false" outlineLevel="0" collapsed="false">
      <c r="C89" s="0" t="n">
        <f aca="false">Panel!Q84-Panel!Q83</f>
        <v>-0.000958180153727284</v>
      </c>
      <c r="D89" s="29" t="n">
        <f aca="false">Panel!Q83</f>
        <v>-0.00293698426716915</v>
      </c>
      <c r="E89" s="30" t="n">
        <f aca="false">Panel!Q83-Panel!Q82</f>
        <v>-0.00193159612061145</v>
      </c>
      <c r="F89" s="30" t="n">
        <f aca="false">Panel!Q82-Panel!Q81</f>
        <v>0.00266855661424259</v>
      </c>
      <c r="G89" s="30" t="n">
        <f aca="false">Panel!Q81-Panel!Q80</f>
        <v>-0.000317925380356243</v>
      </c>
    </row>
    <row r="90" customFormat="false" ht="15" hidden="false" customHeight="false" outlineLevel="0" collapsed="false">
      <c r="C90" s="0" t="n">
        <f aca="false">Panel!Q85-Panel!Q84</f>
        <v>0.000876245533740772</v>
      </c>
      <c r="D90" s="29" t="n">
        <f aca="false">Panel!Q84</f>
        <v>-0.00389516442089644</v>
      </c>
      <c r="E90" s="30" t="n">
        <f aca="false">Panel!Q84-Panel!Q83</f>
        <v>-0.000958180153727284</v>
      </c>
      <c r="F90" s="30" t="n">
        <f aca="false">Panel!Q83-Panel!Q82</f>
        <v>-0.00193159612061145</v>
      </c>
      <c r="G90" s="30" t="n">
        <f aca="false">Panel!Q82-Panel!Q81</f>
        <v>0.00266855661424259</v>
      </c>
    </row>
    <row r="91" customFormat="false" ht="15" hidden="false" customHeight="false" outlineLevel="0" collapsed="false">
      <c r="C91" s="0" t="n">
        <f aca="false">Panel!Q86-Panel!Q85</f>
        <v>-0.00797408717109605</v>
      </c>
      <c r="D91" s="29" t="n">
        <f aca="false">Panel!Q85</f>
        <v>-0.00301891888715566</v>
      </c>
      <c r="E91" s="30" t="n">
        <f aca="false">Panel!Q85-Panel!Q84</f>
        <v>0.000876245533740772</v>
      </c>
      <c r="F91" s="30" t="n">
        <f aca="false">Panel!Q84-Panel!Q83</f>
        <v>-0.000958180153727284</v>
      </c>
      <c r="G91" s="30" t="n">
        <f aca="false">Panel!Q83-Panel!Q82</f>
        <v>-0.00193159612061145</v>
      </c>
    </row>
    <row r="92" customFormat="false" ht="15" hidden="false" customHeight="false" outlineLevel="0" collapsed="false">
      <c r="C92" s="0" t="n">
        <f aca="false">Panel!Q87-Panel!Q86</f>
        <v>0.00814089929572681</v>
      </c>
      <c r="D92" s="29" t="n">
        <f aca="false">Panel!Q86</f>
        <v>-0.0109930060582517</v>
      </c>
      <c r="E92" s="30" t="n">
        <f aca="false">Panel!Q86-Panel!Q85</f>
        <v>-0.00797408717109605</v>
      </c>
      <c r="F92" s="30" t="n">
        <f aca="false">Panel!Q85-Panel!Q84</f>
        <v>0.000876245533740772</v>
      </c>
      <c r="G92" s="30" t="n">
        <f aca="false">Panel!Q84-Panel!Q83</f>
        <v>-0.000958180153727284</v>
      </c>
    </row>
    <row r="93" customFormat="false" ht="15" hidden="false" customHeight="false" outlineLevel="0" collapsed="false">
      <c r="C93" s="0" t="n">
        <f aca="false">Panel!Q88-Panel!Q87</f>
        <v>-0.00112011089597175</v>
      </c>
      <c r="D93" s="29" t="n">
        <f aca="false">Panel!Q87</f>
        <v>-0.0028521067625249</v>
      </c>
      <c r="E93" s="30" t="n">
        <f aca="false">Panel!Q87-Panel!Q86</f>
        <v>0.00814089929572681</v>
      </c>
      <c r="F93" s="30" t="n">
        <f aca="false">Panel!Q86-Panel!Q85</f>
        <v>-0.00797408717109605</v>
      </c>
      <c r="G93" s="30" t="n">
        <f aca="false">Panel!Q85-Panel!Q84</f>
        <v>0.000876245533740772</v>
      </c>
    </row>
    <row r="94" customFormat="false" ht="15" hidden="false" customHeight="false" outlineLevel="0" collapsed="false">
      <c r="C94" s="0" t="n">
        <f aca="false">Panel!Q89-Panel!Q88</f>
        <v>-0.00207303132493308</v>
      </c>
      <c r="D94" s="29" t="n">
        <f aca="false">Panel!Q88</f>
        <v>-0.00397221765849665</v>
      </c>
      <c r="E94" s="30" t="n">
        <f aca="false">Panel!Q88-Panel!Q87</f>
        <v>-0.00112011089597175</v>
      </c>
      <c r="F94" s="30" t="n">
        <f aca="false">Panel!Q87-Panel!Q86</f>
        <v>0.00814089929572681</v>
      </c>
      <c r="G94" s="30" t="n">
        <f aca="false">Panel!Q86-Panel!Q85</f>
        <v>-0.00797408717109605</v>
      </c>
    </row>
    <row r="95" customFormat="false" ht="15" hidden="false" customHeight="false" outlineLevel="0" collapsed="false">
      <c r="C95" s="0" t="n">
        <f aca="false">Panel!Q90-Panel!Q89</f>
        <v>-0.00184312165339762</v>
      </c>
      <c r="D95" s="29" t="n">
        <f aca="false">Panel!Q89</f>
        <v>-0.00604524898342973</v>
      </c>
      <c r="E95" s="30" t="n">
        <f aca="false">Panel!Q89-Panel!Q88</f>
        <v>-0.00207303132493308</v>
      </c>
      <c r="F95" s="30" t="n">
        <f aca="false">Panel!Q88-Panel!Q87</f>
        <v>-0.00112011089597175</v>
      </c>
      <c r="G95" s="30" t="n">
        <f aca="false">Panel!Q87-Panel!Q86</f>
        <v>0.00814089929572681</v>
      </c>
    </row>
    <row r="96" customFormat="false" ht="15" hidden="false" customHeight="false" outlineLevel="0" collapsed="false">
      <c r="C96" s="0" t="n">
        <f aca="false">Panel!Q91-Panel!Q90</f>
        <v>0.0081750743793183</v>
      </c>
      <c r="D96" s="29" t="n">
        <f aca="false">Panel!Q90</f>
        <v>-0.00788837063682735</v>
      </c>
      <c r="E96" s="30" t="n">
        <f aca="false">Panel!Q90-Panel!Q89</f>
        <v>-0.00184312165339762</v>
      </c>
      <c r="F96" s="30" t="n">
        <f aca="false">Panel!Q89-Panel!Q88</f>
        <v>-0.00207303132493308</v>
      </c>
      <c r="G96" s="30" t="n">
        <f aca="false">Panel!Q88-Panel!Q87</f>
        <v>-0.00112011089597175</v>
      </c>
    </row>
    <row r="97" customFormat="false" ht="15" hidden="false" customHeight="false" outlineLevel="0" collapsed="false">
      <c r="C97" s="0" t="n">
        <f aca="false">Panel!Q92-Panel!Q91</f>
        <v>-0.00116513784622363</v>
      </c>
      <c r="D97" s="29" t="n">
        <f aca="false">Panel!Q91</f>
        <v>0.000286703742490957</v>
      </c>
      <c r="E97" s="30" t="n">
        <f aca="false">Panel!Q91-Panel!Q90</f>
        <v>0.0081750743793183</v>
      </c>
      <c r="F97" s="30" t="n">
        <f aca="false">Panel!Q90-Panel!Q89</f>
        <v>-0.00184312165339762</v>
      </c>
      <c r="G97" s="30" t="n">
        <f aca="false">Panel!Q89-Panel!Q88</f>
        <v>-0.00207303132493308</v>
      </c>
    </row>
    <row r="98" customFormat="false" ht="15" hidden="false" customHeight="false" outlineLevel="0" collapsed="false">
      <c r="C98" s="0" t="n">
        <f aca="false">Panel!Q93-Panel!Q92</f>
        <v>0.000490451149017801</v>
      </c>
      <c r="D98" s="29" t="n">
        <f aca="false">Panel!Q92</f>
        <v>-0.000878434103732673</v>
      </c>
      <c r="E98" s="30" t="n">
        <f aca="false">Panel!Q92-Panel!Q91</f>
        <v>-0.00116513784622363</v>
      </c>
      <c r="F98" s="30" t="n">
        <f aca="false">Panel!Q91-Panel!Q90</f>
        <v>0.0081750743793183</v>
      </c>
      <c r="G98" s="30" t="n">
        <f aca="false">Panel!Q90-Panel!Q89</f>
        <v>-0.00184312165339762</v>
      </c>
    </row>
    <row r="99" customFormat="false" ht="15" hidden="false" customHeight="false" outlineLevel="0" collapsed="false">
      <c r="C99" s="0" t="n">
        <f aca="false">Panel!Q94-Panel!Q93</f>
        <v>-0.000590989339704251</v>
      </c>
      <c r="D99" s="29" t="n">
        <f aca="false">Panel!Q93</f>
        <v>-0.000387982954714872</v>
      </c>
      <c r="E99" s="30" t="n">
        <f aca="false">Panel!Q93-Panel!Q92</f>
        <v>0.000490451149017801</v>
      </c>
      <c r="F99" s="30" t="n">
        <f aca="false">Panel!Q92-Panel!Q91</f>
        <v>-0.00116513784622363</v>
      </c>
      <c r="G99" s="30" t="n">
        <f aca="false">Panel!Q91-Panel!Q90</f>
        <v>0.0081750743793183</v>
      </c>
    </row>
    <row r="100" customFormat="false" ht="15" hidden="false" customHeight="false" outlineLevel="0" collapsed="false">
      <c r="C100" s="0" t="n">
        <f aca="false">Panel!Q95-Panel!Q94</f>
        <v>-1.97537653203739E-005</v>
      </c>
      <c r="D100" s="29" t="n">
        <f aca="false">Panel!Q94</f>
        <v>-0.000978972294419123</v>
      </c>
      <c r="E100" s="30" t="n">
        <f aca="false">Panel!Q94-Panel!Q93</f>
        <v>-0.000590989339704251</v>
      </c>
      <c r="F100" s="30" t="n">
        <f aca="false">Panel!Q93-Panel!Q92</f>
        <v>0.000490451149017801</v>
      </c>
      <c r="G100" s="30" t="n">
        <f aca="false">Panel!Q92-Panel!Q91</f>
        <v>-0.00116513784622363</v>
      </c>
    </row>
    <row r="101" customFormat="false" ht="15" hidden="false" customHeight="false" outlineLevel="0" collapsed="false">
      <c r="C101" s="0" t="n">
        <f aca="false">Panel!Q96-Panel!Q95</f>
        <v>0.000683797411706877</v>
      </c>
      <c r="D101" s="29" t="n">
        <f aca="false">Panel!Q95</f>
        <v>-0.000998726059739497</v>
      </c>
      <c r="E101" s="30" t="n">
        <f aca="false">Panel!Q95-Panel!Q94</f>
        <v>-1.97537653203739E-005</v>
      </c>
      <c r="F101" s="30" t="n">
        <f aca="false">Panel!Q94-Panel!Q93</f>
        <v>-0.000590989339704251</v>
      </c>
      <c r="G101" s="30" t="n">
        <f aca="false">Panel!Q93-Panel!Q92</f>
        <v>0.000490451149017801</v>
      </c>
    </row>
    <row r="102" customFormat="false" ht="15" hidden="false" customHeight="false" outlineLevel="0" collapsed="false">
      <c r="C102" s="0" t="n">
        <f aca="false">Panel!Q97-Panel!Q96</f>
        <v>0.000113715844712203</v>
      </c>
      <c r="D102" s="29" t="n">
        <f aca="false">Panel!Q96</f>
        <v>-0.00031492864803262</v>
      </c>
      <c r="E102" s="30" t="n">
        <f aca="false">Panel!Q96-Panel!Q95</f>
        <v>0.000683797411706877</v>
      </c>
      <c r="F102" s="30" t="n">
        <f aca="false">Panel!Q95-Panel!Q94</f>
        <v>-1.97537653203739E-005</v>
      </c>
      <c r="G102" s="30" t="n">
        <f aca="false">Panel!Q94-Panel!Q93</f>
        <v>-0.000590989339704251</v>
      </c>
    </row>
    <row r="103" customFormat="false" ht="15" hidden="false" customHeight="false" outlineLevel="0" collapsed="false">
      <c r="C103" s="0" t="n">
        <f aca="false">Panel!Q98-Panel!Q97</f>
        <v>0.00102071782949587</v>
      </c>
      <c r="D103" s="29" t="n">
        <f aca="false">Panel!Q97</f>
        <v>-0.000201212803320416</v>
      </c>
      <c r="E103" s="30" t="n">
        <f aca="false">Panel!Q97-Panel!Q96</f>
        <v>0.000113715844712203</v>
      </c>
      <c r="F103" s="30" t="n">
        <f aca="false">Panel!Q96-Panel!Q95</f>
        <v>0.000683797411706877</v>
      </c>
      <c r="G103" s="30" t="n">
        <f aca="false">Panel!Q95-Panel!Q94</f>
        <v>-1.97537653203739E-005</v>
      </c>
    </row>
    <row r="104" customFormat="false" ht="15" hidden="false" customHeight="false" outlineLevel="0" collapsed="false">
      <c r="C104" s="0" t="n">
        <f aca="false">Panel!Q99-Panel!Q98</f>
        <v>-0.0017950570963432</v>
      </c>
      <c r="D104" s="29" t="n">
        <f aca="false">Panel!Q98</f>
        <v>0.000819505026175449</v>
      </c>
      <c r="E104" s="30" t="n">
        <f aca="false">Panel!Q98-Panel!Q97</f>
        <v>0.00102071782949587</v>
      </c>
      <c r="F104" s="30" t="n">
        <f aca="false">Panel!Q97-Panel!Q96</f>
        <v>0.000113715844712203</v>
      </c>
      <c r="G104" s="30" t="n">
        <f aca="false">Panel!Q96-Panel!Q95</f>
        <v>0.000683797411706877</v>
      </c>
    </row>
    <row r="105" customFormat="false" ht="15" hidden="false" customHeight="false" outlineLevel="0" collapsed="false">
      <c r="C105" s="0" t="n">
        <f aca="false">Panel!Q100-Panel!Q99</f>
        <v>0.00262548397029327</v>
      </c>
      <c r="D105" s="29" t="n">
        <f aca="false">Panel!Q99</f>
        <v>-0.000975552070167751</v>
      </c>
      <c r="E105" s="30" t="n">
        <f aca="false">Panel!Q99-Panel!Q98</f>
        <v>-0.0017950570963432</v>
      </c>
      <c r="F105" s="30" t="n">
        <f aca="false">Panel!Q98-Panel!Q97</f>
        <v>0.00102071782949587</v>
      </c>
      <c r="G105" s="30" t="n">
        <f aca="false">Panel!Q97-Panel!Q96</f>
        <v>0.000113715844712203</v>
      </c>
    </row>
    <row r="106" customFormat="false" ht="15" hidden="false" customHeight="false" outlineLevel="0" collapsed="false">
      <c r="C106" s="0" t="n">
        <f aca="false">Panel!Q101-Panel!Q100</f>
        <v>-0.000948085198540838</v>
      </c>
      <c r="D106" s="29" t="n">
        <f aca="false">Panel!Q100</f>
        <v>0.00164993190012552</v>
      </c>
      <c r="E106" s="30" t="n">
        <f aca="false">Panel!Q100-Panel!Q99</f>
        <v>0.00262548397029327</v>
      </c>
      <c r="F106" s="30" t="n">
        <f aca="false">Panel!Q99-Panel!Q98</f>
        <v>-0.0017950570963432</v>
      </c>
      <c r="G106" s="30" t="n">
        <f aca="false">Panel!Q98-Panel!Q97</f>
        <v>0.00102071782949587</v>
      </c>
    </row>
    <row r="107" customFormat="false" ht="15" hidden="false" customHeight="false" outlineLevel="0" collapsed="false">
      <c r="C107" s="0" t="n">
        <f aca="false">Panel!Q102-Panel!Q101</f>
        <v>-0.00135861266363158</v>
      </c>
      <c r="D107" s="29" t="n">
        <f aca="false">Panel!Q101</f>
        <v>0.000701846701584685</v>
      </c>
      <c r="E107" s="30" t="n">
        <f aca="false">Panel!Q101-Panel!Q100</f>
        <v>-0.000948085198540838</v>
      </c>
      <c r="F107" s="30" t="n">
        <f aca="false">Panel!Q100-Panel!Q99</f>
        <v>0.00262548397029327</v>
      </c>
      <c r="G107" s="30" t="n">
        <f aca="false">Panel!Q99-Panel!Q98</f>
        <v>-0.0017950570963432</v>
      </c>
    </row>
    <row r="108" customFormat="false" ht="15" hidden="false" customHeight="false" outlineLevel="0" collapsed="false">
      <c r="C108" s="0" t="n">
        <f aca="false">Panel!Q103-Panel!Q102</f>
        <v>-0.000379059433452511</v>
      </c>
      <c r="D108" s="29" t="n">
        <f aca="false">Panel!Q102</f>
        <v>-0.00065676596204689</v>
      </c>
      <c r="E108" s="30" t="n">
        <f aca="false">Panel!Q102-Panel!Q101</f>
        <v>-0.00135861266363158</v>
      </c>
      <c r="F108" s="30" t="n">
        <f aca="false">Panel!Q101-Panel!Q100</f>
        <v>-0.000948085198540838</v>
      </c>
      <c r="G108" s="30" t="n">
        <f aca="false">Panel!Q100-Panel!Q99</f>
        <v>0.00262548397029327</v>
      </c>
    </row>
    <row r="109" customFormat="false" ht="15" hidden="false" customHeight="false" outlineLevel="0" collapsed="false">
      <c r="C109" s="0" t="n">
        <f aca="false">Panel!Q104-Panel!Q103</f>
        <v>-0.000342462769681973</v>
      </c>
      <c r="D109" s="29" t="n">
        <f aca="false">Panel!Q103</f>
        <v>-0.0010358253954994</v>
      </c>
      <c r="E109" s="30" t="n">
        <f aca="false">Panel!Q103-Panel!Q102</f>
        <v>-0.000379059433452511</v>
      </c>
      <c r="F109" s="30" t="n">
        <f aca="false">Panel!Q102-Panel!Q101</f>
        <v>-0.00135861266363158</v>
      </c>
      <c r="G109" s="30" t="n">
        <f aca="false">Panel!Q101-Panel!Q100</f>
        <v>-0.000948085198540838</v>
      </c>
    </row>
    <row r="110" customFormat="false" ht="15" hidden="false" customHeight="false" outlineLevel="0" collapsed="false">
      <c r="C110" s="0" t="n">
        <f aca="false">Panel!Q105-Panel!Q104</f>
        <v>-6.46098644097037E-006</v>
      </c>
      <c r="D110" s="29" t="n">
        <f aca="false">Panel!Q104</f>
        <v>-0.00137828816518137</v>
      </c>
      <c r="E110" s="30" t="n">
        <f aca="false">Panel!Q104-Panel!Q103</f>
        <v>-0.000342462769681973</v>
      </c>
      <c r="F110" s="30" t="n">
        <f aca="false">Panel!Q103-Panel!Q102</f>
        <v>-0.000379059433452511</v>
      </c>
      <c r="G110" s="30" t="n">
        <f aca="false">Panel!Q102-Panel!Q101</f>
        <v>-0.00135861266363158</v>
      </c>
    </row>
    <row r="111" customFormat="false" ht="15" hidden="false" customHeight="false" outlineLevel="0" collapsed="false">
      <c r="C111" s="0" t="n">
        <f aca="false">Panel!Q106-Panel!Q105</f>
        <v>0.000191317280082259</v>
      </c>
      <c r="D111" s="29" t="n">
        <f aca="false">Panel!Q105</f>
        <v>-0.00138474915162234</v>
      </c>
      <c r="E111" s="30" t="n">
        <f aca="false">Panel!Q105-Panel!Q104</f>
        <v>-6.46098644097037E-006</v>
      </c>
      <c r="F111" s="30" t="n">
        <f aca="false">Panel!Q104-Panel!Q103</f>
        <v>-0.000342462769681973</v>
      </c>
      <c r="G111" s="30" t="n">
        <f aca="false">Panel!Q103-Panel!Q102</f>
        <v>-0.000379059433452511</v>
      </c>
    </row>
    <row r="112" customFormat="false" ht="15" hidden="false" customHeight="false" outlineLevel="0" collapsed="false">
      <c r="C112" s="0" t="n">
        <f aca="false">Panel!Q107-Panel!Q106</f>
        <v>-0.000946577358380552</v>
      </c>
      <c r="D112" s="29" t="n">
        <f aca="false">Panel!Q106</f>
        <v>-0.00119343187154009</v>
      </c>
      <c r="E112" s="30" t="n">
        <f aca="false">Panel!Q106-Panel!Q105</f>
        <v>0.000191317280082259</v>
      </c>
      <c r="F112" s="30" t="n">
        <f aca="false">Panel!Q105-Panel!Q104</f>
        <v>-6.46098644097037E-006</v>
      </c>
      <c r="G112" s="30" t="n">
        <f aca="false">Panel!Q104-Panel!Q103</f>
        <v>-0.000342462769681973</v>
      </c>
    </row>
    <row r="113" customFormat="false" ht="15" hidden="false" customHeight="false" outlineLevel="0" collapsed="false">
      <c r="C113" s="0" t="n">
        <f aca="false">Panel!Q108-Panel!Q107</f>
        <v>-0.00119074783403939</v>
      </c>
      <c r="D113" s="29" t="n">
        <f aca="false">Panel!Q107</f>
        <v>-0.00214000922992064</v>
      </c>
      <c r="E113" s="30" t="n">
        <f aca="false">Panel!Q107-Panel!Q106</f>
        <v>-0.000946577358380552</v>
      </c>
      <c r="F113" s="30" t="n">
        <f aca="false">Panel!Q106-Panel!Q105</f>
        <v>0.000191317280082259</v>
      </c>
      <c r="G113" s="30" t="n">
        <f aca="false">Panel!Q105-Panel!Q104</f>
        <v>-6.46098644097037E-006</v>
      </c>
    </row>
    <row r="114" customFormat="false" ht="15" hidden="false" customHeight="false" outlineLevel="0" collapsed="false">
      <c r="C114" s="0" t="n">
        <f aca="false">Panel!Q109-Panel!Q108</f>
        <v>-0.00338124106391113</v>
      </c>
      <c r="D114" s="29" t="n">
        <f aca="false">Panel!Q108</f>
        <v>-0.00333075706396002</v>
      </c>
      <c r="E114" s="30" t="n">
        <f aca="false">Panel!Q108-Panel!Q107</f>
        <v>-0.00119074783403939</v>
      </c>
      <c r="F114" s="30" t="n">
        <f aca="false">Panel!Q107-Panel!Q106</f>
        <v>-0.000946577358380552</v>
      </c>
      <c r="G114" s="30" t="n">
        <f aca="false">Panel!Q106-Panel!Q105</f>
        <v>0.000191317280082259</v>
      </c>
    </row>
    <row r="115" customFormat="false" ht="15" hidden="false" customHeight="false" outlineLevel="0" collapsed="false">
      <c r="C115" s="0" t="n">
        <f aca="false">Panel!Q110-Panel!Q109</f>
        <v>0.00388326319524346</v>
      </c>
      <c r="D115" s="29" t="n">
        <f aca="false">Panel!Q109</f>
        <v>-0.00671199812787116</v>
      </c>
      <c r="E115" s="30" t="n">
        <f aca="false">Panel!Q109-Panel!Q108</f>
        <v>-0.00338124106391113</v>
      </c>
      <c r="F115" s="30" t="n">
        <f aca="false">Panel!Q108-Panel!Q107</f>
        <v>-0.00119074783403939</v>
      </c>
      <c r="G115" s="30" t="n">
        <f aca="false">Panel!Q107-Panel!Q106</f>
        <v>-0.000946577358380552</v>
      </c>
    </row>
    <row r="116" customFormat="false" ht="15" hidden="false" customHeight="false" outlineLevel="0" collapsed="false">
      <c r="C116" s="0" t="n">
        <f aca="false">Panel!Q111-Panel!Q110</f>
        <v>0.000362553272784893</v>
      </c>
      <c r="D116" s="29" t="n">
        <f aca="false">Panel!Q110</f>
        <v>-0.0028287349326277</v>
      </c>
      <c r="E116" s="30" t="n">
        <f aca="false">Panel!Q110-Panel!Q109</f>
        <v>0.00388326319524346</v>
      </c>
      <c r="F116" s="30" t="n">
        <f aca="false">Panel!Q109-Panel!Q108</f>
        <v>-0.00338124106391113</v>
      </c>
      <c r="G116" s="30" t="n">
        <f aca="false">Panel!Q108-Panel!Q107</f>
        <v>-0.00119074783403939</v>
      </c>
    </row>
    <row r="117" customFormat="false" ht="15" hidden="false" customHeight="false" outlineLevel="0" collapsed="false">
      <c r="C117" s="0" t="n">
        <f aca="false">Panel!Q112-Panel!Q111</f>
        <v>0.00107755866140913</v>
      </c>
      <c r="D117" s="29" t="n">
        <f aca="false">Panel!Q111</f>
        <v>-0.0024661816598428</v>
      </c>
      <c r="E117" s="30" t="n">
        <f aca="false">Panel!Q111-Panel!Q110</f>
        <v>0.000362553272784893</v>
      </c>
      <c r="F117" s="30" t="n">
        <f aca="false">Panel!Q110-Panel!Q109</f>
        <v>0.00388326319524346</v>
      </c>
      <c r="G117" s="30" t="n">
        <f aca="false">Panel!Q109-Panel!Q108</f>
        <v>-0.00338124106391113</v>
      </c>
    </row>
    <row r="118" customFormat="false" ht="15" hidden="false" customHeight="false" outlineLevel="0" collapsed="false">
      <c r="C118" s="0" t="n">
        <f aca="false">Panel!Q113-Panel!Q112</f>
        <v>9.06939240454818E-005</v>
      </c>
      <c r="D118" s="29" t="n">
        <f aca="false">Panel!Q112</f>
        <v>-0.00138862299843368</v>
      </c>
      <c r="E118" s="30" t="n">
        <f aca="false">Panel!Q112-Panel!Q111</f>
        <v>0.00107755866140913</v>
      </c>
      <c r="F118" s="30" t="n">
        <f aca="false">Panel!Q111-Panel!Q110</f>
        <v>0.000362553272784893</v>
      </c>
      <c r="G118" s="30" t="n">
        <f aca="false">Panel!Q110-Panel!Q109</f>
        <v>0.00388326319524346</v>
      </c>
    </row>
    <row r="119" customFormat="false" ht="15" hidden="false" customHeight="false" outlineLevel="0" collapsed="false">
      <c r="C119" s="0" t="n">
        <f aca="false">Panel!Q114-Panel!Q113</f>
        <v>-0.000900810875778646</v>
      </c>
      <c r="D119" s="29" t="n">
        <f aca="false">Panel!Q113</f>
        <v>-0.00129792907438819</v>
      </c>
      <c r="E119" s="30" t="n">
        <f aca="false">Panel!Q113-Panel!Q112</f>
        <v>9.06939240454818E-005</v>
      </c>
      <c r="F119" s="30" t="n">
        <f aca="false">Panel!Q112-Panel!Q111</f>
        <v>0.00107755866140913</v>
      </c>
      <c r="G119" s="30" t="n">
        <f aca="false">Panel!Q111-Panel!Q110</f>
        <v>0.000362553272784893</v>
      </c>
    </row>
    <row r="120" customFormat="false" ht="15" hidden="false" customHeight="false" outlineLevel="0" collapsed="false">
      <c r="C120" s="0" t="n">
        <f aca="false">Panel!Q115-Panel!Q114</f>
        <v>-0.00105332960847093</v>
      </c>
      <c r="D120" s="29" t="n">
        <f aca="false">Panel!Q114</f>
        <v>-0.00219873995016684</v>
      </c>
      <c r="E120" s="30" t="n">
        <f aca="false">Panel!Q114-Panel!Q113</f>
        <v>-0.000900810875778646</v>
      </c>
      <c r="F120" s="30" t="n">
        <f aca="false">Panel!Q113-Panel!Q112</f>
        <v>9.06939240454818E-005</v>
      </c>
      <c r="G120" s="30" t="n">
        <f aca="false">Panel!Q112-Panel!Q111</f>
        <v>0.00107755866140913</v>
      </c>
    </row>
    <row r="121" customFormat="false" ht="15" hidden="false" customHeight="false" outlineLevel="0" collapsed="false">
      <c r="C121" s="0" t="n">
        <f aca="false">Panel!Q116-Panel!Q115</f>
        <v>0.00273804876423789</v>
      </c>
      <c r="D121" s="29" t="n">
        <f aca="false">Panel!Q115</f>
        <v>-0.00325206955863777</v>
      </c>
      <c r="E121" s="30" t="n">
        <f aca="false">Panel!Q115-Panel!Q114</f>
        <v>-0.00105332960847093</v>
      </c>
      <c r="F121" s="30" t="n">
        <f aca="false">Panel!Q114-Panel!Q113</f>
        <v>-0.000900810875778646</v>
      </c>
      <c r="G121" s="30" t="n">
        <f aca="false">Panel!Q113-Panel!Q112</f>
        <v>9.06939240454818E-005</v>
      </c>
    </row>
    <row r="122" customFormat="false" ht="15" hidden="false" customHeight="false" outlineLevel="0" collapsed="false">
      <c r="C122" s="0" t="n">
        <f aca="false">Panel!Q117-Panel!Q116</f>
        <v>-0.000873919546121371</v>
      </c>
      <c r="D122" s="29" t="n">
        <f aca="false">Panel!Q116</f>
        <v>-0.000514020794399883</v>
      </c>
      <c r="E122" s="30" t="n">
        <f aca="false">Panel!Q116-Panel!Q115</f>
        <v>0.00273804876423789</v>
      </c>
      <c r="F122" s="30" t="n">
        <f aca="false">Panel!Q115-Panel!Q114</f>
        <v>-0.00105332960847093</v>
      </c>
      <c r="G122" s="30" t="n">
        <f aca="false">Panel!Q114-Panel!Q113</f>
        <v>-0.000900810875778646</v>
      </c>
    </row>
    <row r="123" customFormat="false" ht="15" hidden="false" customHeight="false" outlineLevel="0" collapsed="false">
      <c r="C123" s="0" t="n">
        <f aca="false">Panel!Q118-Panel!Q117</f>
        <v>0.000509938150283773</v>
      </c>
      <c r="D123" s="29" t="n">
        <f aca="false">Panel!Q117</f>
        <v>-0.00138794034052125</v>
      </c>
      <c r="E123" s="30" t="n">
        <f aca="false">Panel!Q117-Panel!Q116</f>
        <v>-0.000873919546121371</v>
      </c>
      <c r="F123" s="30" t="n">
        <f aca="false">Panel!Q116-Panel!Q115</f>
        <v>0.00273804876423789</v>
      </c>
      <c r="G123" s="30" t="n">
        <f aca="false">Panel!Q115-Panel!Q114</f>
        <v>-0.00105332960847093</v>
      </c>
    </row>
    <row r="124" customFormat="false" ht="15" hidden="false" customHeight="false" outlineLevel="0" collapsed="false">
      <c r="C124" s="0" t="n">
        <f aca="false">Panel!Q119-Panel!Q118</f>
        <v>-0.00339666837376207</v>
      </c>
      <c r="D124" s="29" t="n">
        <f aca="false">Panel!Q118</f>
        <v>-0.000878002190237481</v>
      </c>
      <c r="E124" s="30" t="n">
        <f aca="false">Panel!Q118-Panel!Q117</f>
        <v>0.000509938150283773</v>
      </c>
      <c r="F124" s="30" t="n">
        <f aca="false">Panel!Q117-Panel!Q116</f>
        <v>-0.000873919546121371</v>
      </c>
      <c r="G124" s="30" t="n">
        <f aca="false">Panel!Q116-Panel!Q115</f>
        <v>0.00273804876423789</v>
      </c>
    </row>
    <row r="125" customFormat="false" ht="15" hidden="false" customHeight="false" outlineLevel="0" collapsed="false">
      <c r="C125" s="0" t="n">
        <f aca="false">Panel!Q120-Panel!Q119</f>
        <v>0.000194678758452582</v>
      </c>
      <c r="D125" s="29" t="n">
        <f aca="false">Panel!Q119</f>
        <v>-0.00427467056399955</v>
      </c>
      <c r="E125" s="30" t="n">
        <f aca="false">Panel!Q119-Panel!Q118</f>
        <v>-0.00339666837376207</v>
      </c>
      <c r="F125" s="30" t="n">
        <f aca="false">Panel!Q118-Panel!Q117</f>
        <v>0.000509938150283773</v>
      </c>
      <c r="G125" s="30" t="n">
        <f aca="false">Panel!Q117-Panel!Q116</f>
        <v>-0.000873919546121371</v>
      </c>
    </row>
    <row r="126" customFormat="false" ht="15" hidden="false" customHeight="false" outlineLevel="0" collapsed="false">
      <c r="C126" s="0" t="n">
        <f aca="false">Panel!Q121-Panel!Q120</f>
        <v>0.000703101087976776</v>
      </c>
      <c r="D126" s="29" t="n">
        <f aca="false">Panel!Q120</f>
        <v>-0.00407999180554697</v>
      </c>
      <c r="E126" s="30" t="n">
        <f aca="false">Panel!Q120-Panel!Q119</f>
        <v>0.000194678758452582</v>
      </c>
      <c r="F126" s="30" t="n">
        <f aca="false">Panel!Q119-Panel!Q118</f>
        <v>-0.00339666837376207</v>
      </c>
      <c r="G126" s="30" t="n">
        <f aca="false">Panel!Q118-Panel!Q117</f>
        <v>0.000509938150283773</v>
      </c>
    </row>
    <row r="127" customFormat="false" ht="15" hidden="false" customHeight="false" outlineLevel="0" collapsed="false">
      <c r="C127" s="0" t="n">
        <f aca="false">Panel!Q122-Panel!Q121</f>
        <v>2.87761646990958E-005</v>
      </c>
      <c r="D127" s="29" t="n">
        <f aca="false">Panel!Q121</f>
        <v>-0.00337689071757019</v>
      </c>
      <c r="E127" s="30" t="n">
        <f aca="false">Panel!Q121-Panel!Q120</f>
        <v>0.000703101087976776</v>
      </c>
      <c r="F127" s="30" t="n">
        <f aca="false">Panel!Q120-Panel!Q119</f>
        <v>0.000194678758452582</v>
      </c>
      <c r="G127" s="30" t="n">
        <f aca="false">Panel!Q119-Panel!Q118</f>
        <v>-0.00339666837376207</v>
      </c>
    </row>
    <row r="128" customFormat="false" ht="15" hidden="false" customHeight="false" outlineLevel="0" collapsed="false">
      <c r="C128" s="0" t="n">
        <f aca="false">Panel!Q123-Panel!Q122</f>
        <v>-0.000190000843213411</v>
      </c>
      <c r="D128" s="29" t="n">
        <f aca="false">Panel!Q122</f>
        <v>-0.0033481145528711</v>
      </c>
      <c r="E128" s="30" t="n">
        <f aca="false">Panel!Q122-Panel!Q121</f>
        <v>2.87761646990958E-005</v>
      </c>
      <c r="F128" s="30" t="n">
        <f aca="false">Panel!Q121-Panel!Q120</f>
        <v>0.000703101087976776</v>
      </c>
      <c r="G128" s="30" t="n">
        <f aca="false">Panel!Q120-Panel!Q119</f>
        <v>0.000194678758452582</v>
      </c>
    </row>
    <row r="129" customFormat="false" ht="15" hidden="false" customHeight="false" outlineLevel="0" collapsed="false">
      <c r="C129" s="0" t="n">
        <f aca="false">Panel!Q124-Panel!Q123</f>
        <v>-0.00198719492549948</v>
      </c>
      <c r="D129" s="29" t="n">
        <f aca="false">Panel!Q123</f>
        <v>-0.00353811539608451</v>
      </c>
      <c r="E129" s="30" t="n">
        <f aca="false">Panel!Q123-Panel!Q122</f>
        <v>-0.000190000843213411</v>
      </c>
      <c r="F129" s="30" t="n">
        <f aca="false">Panel!Q122-Panel!Q121</f>
        <v>2.87761646990958E-005</v>
      </c>
      <c r="G129" s="30" t="n">
        <f aca="false">Panel!Q121-Panel!Q120</f>
        <v>0.000703101087976776</v>
      </c>
    </row>
    <row r="130" customFormat="false" ht="15" hidden="false" customHeight="false" outlineLevel="0" collapsed="false">
      <c r="C130" s="0" t="n">
        <f aca="false">Panel!Q125-Panel!Q124</f>
        <v>-0.00359638941900364</v>
      </c>
      <c r="D130" s="29" t="n">
        <f aca="false">Panel!Q124</f>
        <v>-0.00552531032158399</v>
      </c>
      <c r="E130" s="30" t="n">
        <f aca="false">Panel!Q124-Panel!Q123</f>
        <v>-0.00198719492549948</v>
      </c>
      <c r="F130" s="30" t="n">
        <f aca="false">Panel!Q123-Panel!Q122</f>
        <v>-0.000190000843213411</v>
      </c>
      <c r="G130" s="30" t="n">
        <f aca="false">Panel!Q122-Panel!Q121</f>
        <v>2.87761646990958E-005</v>
      </c>
    </row>
    <row r="131" customFormat="false" ht="15" hidden="false" customHeight="false" outlineLevel="0" collapsed="false">
      <c r="C131" s="0" t="n">
        <f aca="false">Panel!Q126-Panel!Q125</f>
        <v>0.0032771285711064</v>
      </c>
      <c r="D131" s="29" t="n">
        <f aca="false">Panel!Q125</f>
        <v>-0.00912169974058763</v>
      </c>
      <c r="E131" s="30" t="n">
        <f aca="false">Panel!Q125-Panel!Q124</f>
        <v>-0.00359638941900364</v>
      </c>
      <c r="F131" s="30" t="n">
        <f aca="false">Panel!Q124-Panel!Q123</f>
        <v>-0.00198719492549948</v>
      </c>
      <c r="G131" s="30" t="n">
        <f aca="false">Panel!Q123-Panel!Q122</f>
        <v>-0.000190000843213411</v>
      </c>
    </row>
    <row r="132" customFormat="false" ht="15" hidden="false" customHeight="false" outlineLevel="0" collapsed="false">
      <c r="C132" s="0" t="n">
        <f aca="false">Panel!Q127-Panel!Q126</f>
        <v>-0.000319353791407906</v>
      </c>
      <c r="D132" s="29" t="n">
        <f aca="false">Panel!Q126</f>
        <v>-0.00584457116948123</v>
      </c>
      <c r="E132" s="30" t="n">
        <f aca="false">Panel!Q126-Panel!Q125</f>
        <v>0.0032771285711064</v>
      </c>
      <c r="F132" s="30" t="n">
        <f aca="false">Panel!Q125-Panel!Q124</f>
        <v>-0.00359638941900364</v>
      </c>
      <c r="G132" s="30" t="n">
        <f aca="false">Panel!Q124-Panel!Q123</f>
        <v>-0.00198719492549948</v>
      </c>
    </row>
    <row r="133" customFormat="false" ht="15" hidden="false" customHeight="false" outlineLevel="0" collapsed="false">
      <c r="C133" s="0" t="n">
        <f aca="false">Panel!Q128-Panel!Q127</f>
        <v>0.00569171698092141</v>
      </c>
      <c r="D133" s="29" t="n">
        <f aca="false">Panel!Q127</f>
        <v>-0.00616392496088913</v>
      </c>
      <c r="E133" s="30" t="n">
        <f aca="false">Panel!Q127-Panel!Q126</f>
        <v>-0.000319353791407906</v>
      </c>
      <c r="F133" s="30" t="n">
        <f aca="false">Panel!Q126-Panel!Q125</f>
        <v>0.0032771285711064</v>
      </c>
      <c r="G133" s="30" t="n">
        <f aca="false">Panel!Q125-Panel!Q124</f>
        <v>-0.00359638941900364</v>
      </c>
    </row>
    <row r="134" customFormat="false" ht="15" hidden="false" customHeight="false" outlineLevel="0" collapsed="false">
      <c r="C134" s="0" t="n">
        <f aca="false">Panel!Q129-Panel!Q128</f>
        <v>-0.000134910911603114</v>
      </c>
      <c r="D134" s="29" t="n">
        <f aca="false">Panel!Q128</f>
        <v>-0.00047220797996772</v>
      </c>
      <c r="E134" s="30" t="n">
        <f aca="false">Panel!Q128-Panel!Q127</f>
        <v>0.00569171698092141</v>
      </c>
      <c r="F134" s="30" t="n">
        <f aca="false">Panel!Q127-Panel!Q126</f>
        <v>-0.000319353791407906</v>
      </c>
      <c r="G134" s="30" t="n">
        <f aca="false">Panel!Q126-Panel!Q125</f>
        <v>0.0032771285711064</v>
      </c>
    </row>
    <row r="135" customFormat="false" ht="15" hidden="false" customHeight="false" outlineLevel="0" collapsed="false">
      <c r="C135" s="0" t="n">
        <f aca="false">Panel!Q130-Panel!Q129</f>
        <v>-0.000248472231243468</v>
      </c>
      <c r="D135" s="29" t="n">
        <f aca="false">Panel!Q129</f>
        <v>-0.000607118891570835</v>
      </c>
      <c r="E135" s="30" t="n">
        <f aca="false">Panel!Q129-Panel!Q128</f>
        <v>-0.000134910911603114</v>
      </c>
      <c r="F135" s="30" t="n">
        <f aca="false">Panel!Q128-Panel!Q127</f>
        <v>0.00569171698092141</v>
      </c>
      <c r="G135" s="30" t="n">
        <f aca="false">Panel!Q127-Panel!Q126</f>
        <v>-0.000319353791407906</v>
      </c>
    </row>
    <row r="136" customFormat="false" ht="15" hidden="false" customHeight="false" outlineLevel="0" collapsed="false">
      <c r="C136" s="0" t="n">
        <f aca="false">Panel!Q131-Panel!Q130</f>
        <v>-0.000739989105431604</v>
      </c>
      <c r="D136" s="29" t="n">
        <f aca="false">Panel!Q130</f>
        <v>-0.000855591122814303</v>
      </c>
      <c r="E136" s="30" t="n">
        <f aca="false">Panel!Q130-Panel!Q129</f>
        <v>-0.000248472231243468</v>
      </c>
      <c r="F136" s="30" t="n">
        <f aca="false">Panel!Q129-Panel!Q128</f>
        <v>-0.000134910911603114</v>
      </c>
      <c r="G136" s="30" t="n">
        <f aca="false">Panel!Q128-Panel!Q127</f>
        <v>0.00569171698092141</v>
      </c>
    </row>
    <row r="137" customFormat="false" ht="15" hidden="false" customHeight="false" outlineLevel="0" collapsed="false">
      <c r="C137" s="0" t="n">
        <f aca="false">Panel!Q132-Panel!Q131</f>
        <v>0.0009672996483161</v>
      </c>
      <c r="D137" s="29" t="n">
        <f aca="false">Panel!Q131</f>
        <v>-0.00159558022824591</v>
      </c>
      <c r="E137" s="30" t="n">
        <f aca="false">Panel!Q131-Panel!Q130</f>
        <v>-0.000739989105431604</v>
      </c>
      <c r="F137" s="30" t="n">
        <f aca="false">Panel!Q130-Panel!Q129</f>
        <v>-0.000248472231243468</v>
      </c>
      <c r="G137" s="30" t="n">
        <f aca="false">Panel!Q129-Panel!Q128</f>
        <v>-0.000134910911603114</v>
      </c>
    </row>
    <row r="138" customFormat="false" ht="15" hidden="false" customHeight="false" outlineLevel="0" collapsed="false">
      <c r="C138" s="0" t="n">
        <f aca="false">Panel!Q133-Panel!Q132</f>
        <v>-0.000366622227108593</v>
      </c>
      <c r="D138" s="29" t="n">
        <f aca="false">Panel!Q132</f>
        <v>-0.000628280579929808</v>
      </c>
      <c r="E138" s="30" t="n">
        <f aca="false">Panel!Q132-Panel!Q131</f>
        <v>0.0009672996483161</v>
      </c>
      <c r="F138" s="30" t="n">
        <f aca="false">Panel!Q131-Panel!Q130</f>
        <v>-0.000739989105431604</v>
      </c>
      <c r="G138" s="30" t="n">
        <f aca="false">Panel!Q130-Panel!Q129</f>
        <v>-0.000248472231243468</v>
      </c>
    </row>
    <row r="139" customFormat="false" ht="15" hidden="false" customHeight="false" outlineLevel="0" collapsed="false">
      <c r="C139" s="0" t="n">
        <f aca="false">Panel!Q134-Panel!Q133</f>
        <v>0.000432903890640546</v>
      </c>
      <c r="D139" s="29" t="n">
        <f aca="false">Panel!Q133</f>
        <v>-0.0009949028070384</v>
      </c>
      <c r="E139" s="30" t="n">
        <f aca="false">Panel!Q133-Panel!Q132</f>
        <v>-0.000366622227108593</v>
      </c>
      <c r="F139" s="30" t="n">
        <f aca="false">Panel!Q132-Panel!Q131</f>
        <v>0.0009672996483161</v>
      </c>
      <c r="G139" s="30" t="n">
        <f aca="false">Panel!Q131-Panel!Q130</f>
        <v>-0.000739989105431604</v>
      </c>
    </row>
    <row r="140" customFormat="false" ht="15" hidden="false" customHeight="false" outlineLevel="0" collapsed="false">
      <c r="C140" s="0" t="n">
        <f aca="false">Panel!Q135-Panel!Q134</f>
        <v>-5.77242774362219E-005</v>
      </c>
      <c r="D140" s="29" t="n">
        <f aca="false">Panel!Q134</f>
        <v>-0.000561998916397855</v>
      </c>
      <c r="E140" s="30" t="n">
        <f aca="false">Panel!Q134-Panel!Q133</f>
        <v>0.000432903890640546</v>
      </c>
      <c r="F140" s="30" t="n">
        <f aca="false">Panel!Q133-Panel!Q132</f>
        <v>-0.000366622227108593</v>
      </c>
      <c r="G140" s="30" t="n">
        <f aca="false">Panel!Q132-Panel!Q131</f>
        <v>0.0009672996483161</v>
      </c>
    </row>
    <row r="141" customFormat="false" ht="15" hidden="false" customHeight="false" outlineLevel="0" collapsed="false">
      <c r="C141" s="0" t="n">
        <f aca="false">Panel!Q136-Panel!Q135</f>
        <v>-0.00109119637246025</v>
      </c>
      <c r="D141" s="29" t="n">
        <f aca="false">Panel!Q135</f>
        <v>-0.000619723193834076</v>
      </c>
      <c r="E141" s="30" t="n">
        <f aca="false">Panel!Q135-Panel!Q134</f>
        <v>-5.77242774362219E-005</v>
      </c>
      <c r="F141" s="30" t="n">
        <f aca="false">Panel!Q134-Panel!Q133</f>
        <v>0.000432903890640546</v>
      </c>
      <c r="G141" s="30" t="n">
        <f aca="false">Panel!Q133-Panel!Q132</f>
        <v>-0.000366622227108593</v>
      </c>
    </row>
    <row r="142" customFormat="false" ht="15" hidden="false" customHeight="false" outlineLevel="0" collapsed="false">
      <c r="C142" s="0" t="n">
        <f aca="false">Panel!Q137-Panel!Q136</f>
        <v>0.00228444119998628</v>
      </c>
      <c r="D142" s="29" t="n">
        <f aca="false">Panel!Q136</f>
        <v>-0.00171091956629432</v>
      </c>
      <c r="E142" s="30" t="n">
        <f aca="false">Panel!Q136-Panel!Q135</f>
        <v>-0.00109119637246025</v>
      </c>
      <c r="F142" s="30" t="n">
        <f aca="false">Panel!Q135-Panel!Q134</f>
        <v>-5.77242774362219E-005</v>
      </c>
      <c r="G142" s="30" t="n">
        <f aca="false">Panel!Q134-Panel!Q133</f>
        <v>0.000432903890640546</v>
      </c>
    </row>
    <row r="143" customFormat="false" ht="15" hidden="false" customHeight="false" outlineLevel="0" collapsed="false">
      <c r="C143" s="0" t="n">
        <f aca="false">Panel!Q138-Panel!Q137</f>
        <v>-0.000119569155256016</v>
      </c>
      <c r="D143" s="29" t="n">
        <f aca="false">Panel!Q137</f>
        <v>0.000573521633691954</v>
      </c>
      <c r="E143" s="30" t="n">
        <f aca="false">Panel!Q137-Panel!Q136</f>
        <v>0.00228444119998628</v>
      </c>
      <c r="F143" s="30" t="n">
        <f aca="false">Panel!Q136-Panel!Q135</f>
        <v>-0.00109119637246025</v>
      </c>
      <c r="G143" s="30" t="n">
        <f aca="false">Panel!Q135-Panel!Q134</f>
        <v>-5.77242774362219E-005</v>
      </c>
    </row>
    <row r="144" customFormat="false" ht="15" hidden="false" customHeight="false" outlineLevel="0" collapsed="false">
      <c r="C144" s="0" t="n">
        <f aca="false">Panel!Q139-Panel!Q138</f>
        <v>-7.48700359061161E-005</v>
      </c>
      <c r="D144" s="29" t="n">
        <f aca="false">Panel!Q138</f>
        <v>0.000453952478435937</v>
      </c>
      <c r="E144" s="30" t="n">
        <f aca="false">Panel!Q138-Panel!Q137</f>
        <v>-0.000119569155256016</v>
      </c>
      <c r="F144" s="30" t="n">
        <f aca="false">Panel!Q137-Panel!Q136</f>
        <v>0.00228444119998628</v>
      </c>
      <c r="G144" s="30" t="n">
        <f aca="false">Panel!Q136-Panel!Q135</f>
        <v>-0.00109119637246025</v>
      </c>
    </row>
    <row r="145" customFormat="false" ht="15" hidden="false" customHeight="false" outlineLevel="0" collapsed="false">
      <c r="C145" s="0" t="n">
        <f aca="false">Panel!Q140-Panel!Q139</f>
        <v>0.000207906655637302</v>
      </c>
      <c r="D145" s="29" t="n">
        <f aca="false">Panel!Q139</f>
        <v>0.000379082442529821</v>
      </c>
      <c r="E145" s="30" t="n">
        <f aca="false">Panel!Q139-Panel!Q138</f>
        <v>-7.48700359061161E-005</v>
      </c>
      <c r="F145" s="30" t="n">
        <f aca="false">Panel!Q138-Panel!Q137</f>
        <v>-0.000119569155256016</v>
      </c>
      <c r="G145" s="30" t="n">
        <f aca="false">Panel!Q137-Panel!Q136</f>
        <v>0.00228444119998628</v>
      </c>
    </row>
    <row r="146" customFormat="false" ht="15" hidden="false" customHeight="false" outlineLevel="0" collapsed="false">
      <c r="C146" s="0" t="n">
        <f aca="false">Panel!Q141-Panel!Q140</f>
        <v>-0.000635300080897849</v>
      </c>
      <c r="D146" s="29" t="n">
        <f aca="false">Panel!Q140</f>
        <v>0.000586989098167123</v>
      </c>
      <c r="E146" s="30" t="n">
        <f aca="false">Panel!Q140-Panel!Q139</f>
        <v>0.000207906655637302</v>
      </c>
      <c r="F146" s="30" t="n">
        <f aca="false">Panel!Q139-Panel!Q138</f>
        <v>-7.48700359061161E-005</v>
      </c>
      <c r="G146" s="30" t="n">
        <f aca="false">Panel!Q138-Panel!Q137</f>
        <v>-0.000119569155256016</v>
      </c>
    </row>
    <row r="147" customFormat="false" ht="15" hidden="false" customHeight="false" outlineLevel="0" collapsed="false">
      <c r="C147" s="0" t="n">
        <f aca="false">Panel!Q142-Panel!Q141</f>
        <v>0.000161457706640888</v>
      </c>
      <c r="D147" s="29" t="n">
        <f aca="false">Panel!Q141</f>
        <v>-4.8310982730726E-005</v>
      </c>
      <c r="E147" s="30" t="n">
        <f aca="false">Panel!Q141-Panel!Q140</f>
        <v>-0.000635300080897849</v>
      </c>
      <c r="F147" s="30" t="n">
        <f aca="false">Panel!Q140-Panel!Q139</f>
        <v>0.000207906655637302</v>
      </c>
      <c r="G147" s="30" t="n">
        <f aca="false">Panel!Q139-Panel!Q138</f>
        <v>-7.48700359061161E-005</v>
      </c>
    </row>
    <row r="148" customFormat="false" ht="15" hidden="false" customHeight="false" outlineLevel="0" collapsed="false">
      <c r="C148" s="0" t="n">
        <f aca="false">Panel!Q143-Panel!Q142</f>
        <v>0.000670500612640623</v>
      </c>
      <c r="D148" s="29" t="n">
        <f aca="false">Panel!Q142</f>
        <v>0.000113146723910162</v>
      </c>
      <c r="E148" s="30" t="n">
        <f aca="false">Panel!Q142-Panel!Q141</f>
        <v>0.000161457706640888</v>
      </c>
      <c r="F148" s="30" t="n">
        <f aca="false">Panel!Q141-Panel!Q140</f>
        <v>-0.000635300080897849</v>
      </c>
      <c r="G148" s="30" t="n">
        <f aca="false">Panel!Q140-Panel!Q139</f>
        <v>0.000207906655637302</v>
      </c>
    </row>
    <row r="149" customFormat="false" ht="15" hidden="false" customHeight="false" outlineLevel="0" collapsed="false">
      <c r="C149" s="0" t="n">
        <f aca="false">Panel!Q144-Panel!Q143</f>
        <v>0.000268305532790336</v>
      </c>
      <c r="D149" s="29" t="n">
        <f aca="false">Panel!Q143</f>
        <v>0.000783647336550786</v>
      </c>
      <c r="E149" s="30" t="n">
        <f aca="false">Panel!Q143-Panel!Q142</f>
        <v>0.000670500612640623</v>
      </c>
      <c r="F149" s="30" t="n">
        <f aca="false">Panel!Q142-Panel!Q141</f>
        <v>0.000161457706640888</v>
      </c>
      <c r="G149" s="30" t="n">
        <f aca="false">Panel!Q141-Panel!Q140</f>
        <v>-0.000635300080897849</v>
      </c>
    </row>
    <row r="150" customFormat="false" ht="15" hidden="false" customHeight="false" outlineLevel="0" collapsed="false">
      <c r="C150" s="0" t="n">
        <f aca="false">Panel!Q145-Panel!Q144</f>
        <v>0.0010919685923394</v>
      </c>
      <c r="D150" s="29" t="n">
        <f aca="false">Panel!Q144</f>
        <v>0.00105195286934112</v>
      </c>
      <c r="E150" s="30" t="n">
        <f aca="false">Panel!Q144-Panel!Q143</f>
        <v>0.000268305532790336</v>
      </c>
      <c r="F150" s="30" t="n">
        <f aca="false">Panel!Q143-Panel!Q142</f>
        <v>0.000670500612640623</v>
      </c>
      <c r="G150" s="30" t="n">
        <f aca="false">Panel!Q142-Panel!Q141</f>
        <v>0.000161457706640888</v>
      </c>
    </row>
    <row r="151" customFormat="false" ht="15" hidden="false" customHeight="false" outlineLevel="0" collapsed="false">
      <c r="C151" s="0" t="n">
        <f aca="false">Panel!Q146-Panel!Q145</f>
        <v>-0.000684346091123445</v>
      </c>
      <c r="D151" s="29" t="n">
        <f aca="false">Panel!Q145</f>
        <v>0.00214392146168052</v>
      </c>
      <c r="E151" s="30" t="n">
        <f aca="false">Panel!Q145-Panel!Q144</f>
        <v>0.0010919685923394</v>
      </c>
      <c r="F151" s="30" t="n">
        <f aca="false">Panel!Q144-Panel!Q143</f>
        <v>0.000268305532790336</v>
      </c>
      <c r="G151" s="30" t="n">
        <f aca="false">Panel!Q143-Panel!Q142</f>
        <v>0.000670500612640623</v>
      </c>
    </row>
    <row r="152" customFormat="false" ht="15" hidden="false" customHeight="false" outlineLevel="0" collapsed="false">
      <c r="C152" s="0" t="n">
        <f aca="false">Panel!Q147-Panel!Q146</f>
        <v>-0.00259094724844644</v>
      </c>
      <c r="D152" s="29" t="n">
        <f aca="false">Panel!Q146</f>
        <v>0.00145957537055708</v>
      </c>
      <c r="E152" s="30" t="n">
        <f aca="false">Panel!Q146-Panel!Q145</f>
        <v>-0.000684346091123445</v>
      </c>
      <c r="F152" s="30" t="n">
        <f aca="false">Panel!Q145-Panel!Q144</f>
        <v>0.0010919685923394</v>
      </c>
      <c r="G152" s="30" t="n">
        <f aca="false">Panel!Q144-Panel!Q143</f>
        <v>0.000268305532790336</v>
      </c>
    </row>
    <row r="153" customFormat="false" ht="15" hidden="false" customHeight="false" outlineLevel="0" collapsed="false">
      <c r="C153" s="0" t="n">
        <f aca="false">Panel!Q148-Panel!Q147</f>
        <v>0.00115997960316605</v>
      </c>
      <c r="D153" s="29" t="n">
        <f aca="false">Panel!Q147</f>
        <v>-0.00113137187788936</v>
      </c>
      <c r="E153" s="30" t="n">
        <f aca="false">Panel!Q147-Panel!Q146</f>
        <v>-0.00259094724844644</v>
      </c>
      <c r="F153" s="30" t="n">
        <f aca="false">Panel!Q146-Panel!Q145</f>
        <v>-0.000684346091123445</v>
      </c>
      <c r="G153" s="30" t="n">
        <f aca="false">Panel!Q145-Panel!Q144</f>
        <v>0.0010919685923394</v>
      </c>
    </row>
    <row r="154" customFormat="false" ht="15" hidden="false" customHeight="false" outlineLevel="0" collapsed="false">
      <c r="C154" s="0" t="n">
        <f aca="false">Panel!Q149-Panel!Q148</f>
        <v>0.00017742464421211</v>
      </c>
      <c r="D154" s="29" t="n">
        <f aca="false">Panel!Q148</f>
        <v>2.86077252766859E-005</v>
      </c>
      <c r="E154" s="30" t="n">
        <f aca="false">Panel!Q148-Panel!Q147</f>
        <v>0.00115997960316605</v>
      </c>
      <c r="F154" s="30" t="n">
        <f aca="false">Panel!Q147-Panel!Q146</f>
        <v>-0.00259094724844644</v>
      </c>
      <c r="G154" s="30" t="n">
        <f aca="false">Panel!Q146-Panel!Q145</f>
        <v>-0.000684346091123445</v>
      </c>
    </row>
    <row r="155" customFormat="false" ht="15" hidden="false" customHeight="false" outlineLevel="0" collapsed="false">
      <c r="C155" s="0" t="n">
        <f aca="false">Panel!Q150-Panel!Q149</f>
        <v>-0.0020640244951835</v>
      </c>
      <c r="D155" s="29" t="n">
        <f aca="false">Panel!Q149</f>
        <v>0.000206032369488796</v>
      </c>
      <c r="E155" s="30" t="n">
        <f aca="false">Panel!Q149-Panel!Q148</f>
        <v>0.00017742464421211</v>
      </c>
      <c r="F155" s="30" t="n">
        <f aca="false">Panel!Q148-Panel!Q147</f>
        <v>0.00115997960316605</v>
      </c>
      <c r="G155" s="30" t="n">
        <f aca="false">Panel!Q147-Panel!Q146</f>
        <v>-0.00259094724844644</v>
      </c>
    </row>
    <row r="156" customFormat="false" ht="15" hidden="false" customHeight="false" outlineLevel="0" collapsed="false">
      <c r="C156" s="0" t="n">
        <f aca="false">Panel!Q151-Panel!Q150</f>
        <v>0.00548132349710961</v>
      </c>
      <c r="D156" s="29" t="n">
        <f aca="false">Panel!Q150</f>
        <v>-0.00185799212569471</v>
      </c>
      <c r="E156" s="30" t="n">
        <f aca="false">Panel!Q150-Panel!Q149</f>
        <v>-0.0020640244951835</v>
      </c>
      <c r="F156" s="30" t="n">
        <f aca="false">Panel!Q149-Panel!Q148</f>
        <v>0.00017742464421211</v>
      </c>
      <c r="G156" s="30" t="n">
        <f aca="false">Panel!Q148-Panel!Q147</f>
        <v>0.00115997960316605</v>
      </c>
    </row>
    <row r="157" customFormat="false" ht="15" hidden="false" customHeight="false" outlineLevel="0" collapsed="false">
      <c r="C157" s="0" t="n">
        <f aca="false">Panel!Q152-Panel!Q151</f>
        <v>0.00178881542303522</v>
      </c>
      <c r="D157" s="29" t="n">
        <f aca="false">Panel!Q151</f>
        <v>0.00362333137141491</v>
      </c>
      <c r="E157" s="30" t="n">
        <f aca="false">Panel!Q151-Panel!Q150</f>
        <v>0.00548132349710961</v>
      </c>
      <c r="F157" s="30" t="n">
        <f aca="false">Panel!Q150-Panel!Q149</f>
        <v>-0.0020640244951835</v>
      </c>
      <c r="G157" s="30" t="n">
        <f aca="false">Panel!Q149-Panel!Q148</f>
        <v>0.00017742464421211</v>
      </c>
    </row>
    <row r="158" customFormat="false" ht="15" hidden="false" customHeight="false" outlineLevel="0" collapsed="false">
      <c r="C158" s="0" t="n">
        <f aca="false">Panel!Q153-Panel!Q152</f>
        <v>-0.00221902781628813</v>
      </c>
      <c r="D158" s="29" t="n">
        <f aca="false">Panel!Q152</f>
        <v>0.00541214679445012</v>
      </c>
      <c r="E158" s="30" t="n">
        <f aca="false">Panel!Q152-Panel!Q151</f>
        <v>0.00178881542303522</v>
      </c>
      <c r="F158" s="30" t="n">
        <f aca="false">Panel!Q151-Panel!Q150</f>
        <v>0.00548132349710961</v>
      </c>
      <c r="G158" s="30" t="n">
        <f aca="false">Panel!Q150-Panel!Q149</f>
        <v>-0.0020640244951835</v>
      </c>
    </row>
    <row r="159" customFormat="false" ht="15" hidden="false" customHeight="false" outlineLevel="0" collapsed="false">
      <c r="C159" s="0" t="n">
        <f aca="false">Panel!Q154-Panel!Q153</f>
        <v>0.000651584303867026</v>
      </c>
      <c r="D159" s="29" t="n">
        <f aca="false">Panel!Q153</f>
        <v>0.00319311897816199</v>
      </c>
      <c r="E159" s="30" t="n">
        <f aca="false">Panel!Q153-Panel!Q152</f>
        <v>-0.00221902781628813</v>
      </c>
      <c r="F159" s="30" t="n">
        <f aca="false">Panel!Q152-Panel!Q151</f>
        <v>0.00178881542303522</v>
      </c>
      <c r="G159" s="30" t="n">
        <f aca="false">Panel!Q151-Panel!Q150</f>
        <v>0.00548132349710961</v>
      </c>
    </row>
    <row r="160" customFormat="false" ht="15" hidden="false" customHeight="false" outlineLevel="0" collapsed="false">
      <c r="C160" s="0" t="n">
        <f aca="false">Panel!Q155-Panel!Q154</f>
        <v>0.000132394145129666</v>
      </c>
      <c r="D160" s="29" t="n">
        <f aca="false">Panel!Q154</f>
        <v>0.00384470328202902</v>
      </c>
      <c r="E160" s="30" t="n">
        <f aca="false">Panel!Q154-Panel!Q153</f>
        <v>0.000651584303867026</v>
      </c>
      <c r="F160" s="30" t="n">
        <f aca="false">Panel!Q153-Panel!Q152</f>
        <v>-0.00221902781628813</v>
      </c>
      <c r="G160" s="30" t="n">
        <f aca="false">Panel!Q152-Panel!Q151</f>
        <v>0.00178881542303522</v>
      </c>
    </row>
    <row r="161" customFormat="false" ht="15" hidden="false" customHeight="false" outlineLevel="0" collapsed="false">
      <c r="C161" s="0" t="n">
        <f aca="false">Panel!Q156-Panel!Q155</f>
        <v>0.000478293780483696</v>
      </c>
      <c r="D161" s="29" t="n">
        <f aca="false">Panel!Q155</f>
        <v>0.00397709742715868</v>
      </c>
      <c r="E161" s="30" t="n">
        <f aca="false">Panel!Q155-Panel!Q154</f>
        <v>0.000132394145129666</v>
      </c>
      <c r="F161" s="30" t="n">
        <f aca="false">Panel!Q154-Panel!Q153</f>
        <v>0.000651584303867026</v>
      </c>
      <c r="G161" s="30" t="n">
        <f aca="false">Panel!Q153-Panel!Q152</f>
        <v>-0.00221902781628813</v>
      </c>
    </row>
    <row r="162" customFormat="false" ht="15" hidden="false" customHeight="false" outlineLevel="0" collapsed="false">
      <c r="C162" s="0" t="n">
        <f aca="false">Panel!Q157-Panel!Q156</f>
        <v>-0.00160109431390154</v>
      </c>
      <c r="D162" s="29" t="n">
        <f aca="false">Panel!Q156</f>
        <v>0.00445539120764238</v>
      </c>
      <c r="E162" s="30" t="n">
        <f aca="false">Panel!Q156-Panel!Q155</f>
        <v>0.000478293780483696</v>
      </c>
      <c r="F162" s="30" t="n">
        <f aca="false">Panel!Q155-Panel!Q154</f>
        <v>0.000132394145129666</v>
      </c>
      <c r="G162" s="30" t="n">
        <f aca="false">Panel!Q154-Panel!Q153</f>
        <v>0.000651584303867026</v>
      </c>
    </row>
    <row r="163" customFormat="false" ht="15" hidden="false" customHeight="false" outlineLevel="0" collapsed="false">
      <c r="C163" s="0" t="n">
        <f aca="false">Panel!Q158-Panel!Q157</f>
        <v>-0.000701158577340877</v>
      </c>
      <c r="D163" s="29" t="n">
        <f aca="false">Panel!Q157</f>
        <v>0.00285429689374084</v>
      </c>
      <c r="E163" s="30" t="n">
        <f aca="false">Panel!Q157-Panel!Q156</f>
        <v>-0.00160109431390154</v>
      </c>
      <c r="F163" s="30" t="n">
        <f aca="false">Panel!Q156-Panel!Q155</f>
        <v>0.000478293780483696</v>
      </c>
      <c r="G163" s="30" t="n">
        <f aca="false">Panel!Q155-Panel!Q154</f>
        <v>0.000132394145129666</v>
      </c>
    </row>
    <row r="164" customFormat="false" ht="15" hidden="false" customHeight="false" outlineLevel="0" collapsed="false">
      <c r="C164" s="0" t="n">
        <f aca="false">Panel!Q159-Panel!Q158</f>
        <v>0.000914578293487622</v>
      </c>
      <c r="D164" s="29" t="n">
        <f aca="false">Panel!Q158</f>
        <v>0.00215313831639996</v>
      </c>
      <c r="E164" s="30" t="n">
        <f aca="false">Panel!Q158-Panel!Q157</f>
        <v>-0.000701158577340877</v>
      </c>
      <c r="F164" s="30" t="n">
        <f aca="false">Panel!Q157-Panel!Q156</f>
        <v>-0.00160109431390154</v>
      </c>
      <c r="G164" s="30" t="n">
        <f aca="false">Panel!Q156-Panel!Q155</f>
        <v>0.000478293780483696</v>
      </c>
    </row>
    <row r="165" customFormat="false" ht="15" hidden="false" customHeight="false" outlineLevel="0" collapsed="false">
      <c r="C165" s="0" t="n">
        <f aca="false">Panel!Q160-Panel!Q159</f>
        <v>0.00268365858071107</v>
      </c>
      <c r="D165" s="29" t="n">
        <f aca="false">Panel!Q159</f>
        <v>0.00306771660988758</v>
      </c>
      <c r="E165" s="30" t="n">
        <f aca="false">Panel!Q159-Panel!Q158</f>
        <v>0.000914578293487622</v>
      </c>
      <c r="F165" s="30" t="n">
        <f aca="false">Panel!Q158-Panel!Q157</f>
        <v>-0.000701158577340877</v>
      </c>
      <c r="G165" s="30" t="n">
        <f aca="false">Panel!Q157-Panel!Q156</f>
        <v>-0.00160109431390154</v>
      </c>
    </row>
    <row r="166" customFormat="false" ht="15" hidden="false" customHeight="false" outlineLevel="0" collapsed="false">
      <c r="C166" s="0" t="n">
        <f aca="false">Panel!Q161-Panel!Q160</f>
        <v>-9.86453060445314E-005</v>
      </c>
      <c r="D166" s="29" t="n">
        <f aca="false">Panel!Q160</f>
        <v>0.00575137519059865</v>
      </c>
      <c r="E166" s="30" t="n">
        <f aca="false">Panel!Q160-Panel!Q159</f>
        <v>0.00268365858071107</v>
      </c>
      <c r="F166" s="30" t="n">
        <f aca="false">Panel!Q159-Panel!Q158</f>
        <v>0.000914578293487622</v>
      </c>
      <c r="G166" s="30" t="n">
        <f aca="false">Panel!Q158-Panel!Q157</f>
        <v>-0.000701158577340877</v>
      </c>
    </row>
    <row r="167" customFormat="false" ht="15" hidden="false" customHeight="false" outlineLevel="0" collapsed="false">
      <c r="C167" s="0" t="n">
        <f aca="false">Panel!Q162-Panel!Q161</f>
        <v>-0.0053948603524443</v>
      </c>
      <c r="D167" s="29" t="n">
        <f aca="false">Panel!Q161</f>
        <v>0.00565272988455412</v>
      </c>
      <c r="E167" s="30" t="n">
        <f aca="false">Panel!Q161-Panel!Q160</f>
        <v>-9.86453060445314E-005</v>
      </c>
      <c r="F167" s="30" t="n">
        <f aca="false">Panel!Q160-Panel!Q159</f>
        <v>0.00268365858071107</v>
      </c>
      <c r="G167" s="30" t="n">
        <f aca="false">Panel!Q159-Panel!Q158</f>
        <v>0.000914578293487622</v>
      </c>
    </row>
    <row r="168" customFormat="false" ht="15" hidden="false" customHeight="false" outlineLevel="0" collapsed="false">
      <c r="C168" s="0" t="n">
        <f aca="false">Panel!Q163-Panel!Q162</f>
        <v>0.00219997153422824</v>
      </c>
      <c r="D168" s="29" t="n">
        <f aca="false">Panel!Q162</f>
        <v>0.000257869532109822</v>
      </c>
      <c r="E168" s="30" t="n">
        <f aca="false">Panel!Q162-Panel!Q161</f>
        <v>-0.0053948603524443</v>
      </c>
      <c r="F168" s="30" t="n">
        <f aca="false">Panel!Q161-Panel!Q160</f>
        <v>-9.86453060445314E-005</v>
      </c>
      <c r="G168" s="30" t="n">
        <f aca="false">Panel!Q160-Panel!Q159</f>
        <v>0.00268365858071107</v>
      </c>
    </row>
    <row r="169" customFormat="false" ht="15" hidden="false" customHeight="false" outlineLevel="0" collapsed="false">
      <c r="C169" s="0" t="n">
        <f aca="false">Panel!Q164-Panel!Q163</f>
        <v>-0.00217118119582516</v>
      </c>
      <c r="D169" s="29" t="n">
        <f aca="false">Panel!Q163</f>
        <v>0.00245784106633806</v>
      </c>
      <c r="E169" s="30" t="n">
        <f aca="false">Panel!Q163-Panel!Q162</f>
        <v>0.00219997153422824</v>
      </c>
      <c r="F169" s="30" t="n">
        <f aca="false">Panel!Q162-Panel!Q161</f>
        <v>-0.0053948603524443</v>
      </c>
      <c r="G169" s="30" t="n">
        <f aca="false">Panel!Q161-Panel!Q160</f>
        <v>-9.86453060445314E-005</v>
      </c>
    </row>
    <row r="170" customFormat="false" ht="15" hidden="false" customHeight="false" outlineLevel="0" collapsed="false">
      <c r="C170" s="0" t="n">
        <f aca="false">Panel!Q165-Panel!Q164</f>
        <v>0.00283986805819403</v>
      </c>
      <c r="D170" s="29" t="n">
        <f aca="false">Panel!Q164</f>
        <v>0.000286659870512906</v>
      </c>
      <c r="E170" s="30" t="n">
        <f aca="false">Panel!Q164-Panel!Q163</f>
        <v>-0.00217118119582516</v>
      </c>
      <c r="F170" s="30" t="n">
        <f aca="false">Panel!Q163-Panel!Q162</f>
        <v>0.00219997153422824</v>
      </c>
      <c r="G170" s="30" t="n">
        <f aca="false">Panel!Q162-Panel!Q161</f>
        <v>-0.0053948603524443</v>
      </c>
    </row>
    <row r="171" customFormat="false" ht="15" hidden="false" customHeight="false" outlineLevel="0" collapsed="false">
      <c r="C171" s="0" t="n">
        <f aca="false">Panel!Q166-Panel!Q165</f>
        <v>-0.00208057879087775</v>
      </c>
      <c r="D171" s="29" t="n">
        <f aca="false">Panel!Q165</f>
        <v>0.00312652792870693</v>
      </c>
      <c r="E171" s="30" t="n">
        <f aca="false">Panel!Q165-Panel!Q164</f>
        <v>0.00283986805819403</v>
      </c>
      <c r="F171" s="30" t="n">
        <f aca="false">Panel!Q164-Panel!Q163</f>
        <v>-0.00217118119582516</v>
      </c>
      <c r="G171" s="30" t="n">
        <f aca="false">Panel!Q163-Panel!Q162</f>
        <v>0.00219997153422824</v>
      </c>
    </row>
    <row r="172" customFormat="false" ht="15" hidden="false" customHeight="false" outlineLevel="0" collapsed="false">
      <c r="C172" s="0" t="n">
        <f aca="false">Panel!Q167-Panel!Q166</f>
        <v>-0.00110950037901247</v>
      </c>
      <c r="D172" s="29" t="n">
        <f aca="false">Panel!Q166</f>
        <v>0.00104594913782918</v>
      </c>
      <c r="E172" s="30" t="n">
        <f aca="false">Panel!Q166-Panel!Q165</f>
        <v>-0.00208057879087775</v>
      </c>
      <c r="F172" s="30" t="n">
        <f aca="false">Panel!Q165-Panel!Q164</f>
        <v>0.00283986805819403</v>
      </c>
      <c r="G172" s="30" t="n">
        <f aca="false">Panel!Q164-Panel!Q163</f>
        <v>-0.00217118119582516</v>
      </c>
    </row>
    <row r="173" customFormat="false" ht="15" hidden="false" customHeight="false" outlineLevel="0" collapsed="false">
      <c r="C173" s="0" t="n">
        <f aca="false">Panel!Q168-Panel!Q167</f>
        <v>-0.000866178598986522</v>
      </c>
      <c r="D173" s="29" t="n">
        <f aca="false">Panel!Q167</f>
        <v>-6.35512411832906E-005</v>
      </c>
      <c r="E173" s="30" t="n">
        <f aca="false">Panel!Q167-Panel!Q166</f>
        <v>-0.00110950037901247</v>
      </c>
      <c r="F173" s="30" t="n">
        <f aca="false">Panel!Q166-Panel!Q165</f>
        <v>-0.00208057879087775</v>
      </c>
      <c r="G173" s="30" t="n">
        <f aca="false">Panel!Q165-Panel!Q164</f>
        <v>0.00283986805819403</v>
      </c>
    </row>
    <row r="174" customFormat="false" ht="15" hidden="false" customHeight="false" outlineLevel="0" collapsed="false">
      <c r="C174" s="0" t="n">
        <f aca="false">Panel!Q169-Panel!Q168</f>
        <v>0.000852629899958046</v>
      </c>
      <c r="D174" s="29" t="n">
        <f aca="false">Panel!Q168</f>
        <v>-0.000929729840169813</v>
      </c>
      <c r="E174" s="30" t="n">
        <f aca="false">Panel!Q168-Panel!Q167</f>
        <v>-0.000866178598986522</v>
      </c>
      <c r="F174" s="30" t="n">
        <f aca="false">Panel!Q167-Panel!Q166</f>
        <v>-0.00110950037901247</v>
      </c>
      <c r="G174" s="30" t="n">
        <f aca="false">Panel!Q166-Panel!Q165</f>
        <v>-0.00208057879087775</v>
      </c>
    </row>
    <row r="175" customFormat="false" ht="15" hidden="false" customHeight="false" outlineLevel="0" collapsed="false">
      <c r="C175" s="0" t="n">
        <f aca="false">Panel!Q170-Panel!Q169</f>
        <v>0.00348736518131787</v>
      </c>
      <c r="D175" s="29" t="n">
        <f aca="false">Panel!Q169</f>
        <v>-7.70999402117667E-005</v>
      </c>
      <c r="E175" s="30" t="n">
        <f aca="false">Panel!Q169-Panel!Q168</f>
        <v>0.000852629899958046</v>
      </c>
      <c r="F175" s="30" t="n">
        <f aca="false">Panel!Q168-Panel!Q167</f>
        <v>-0.000866178598986522</v>
      </c>
      <c r="G175" s="30" t="n">
        <f aca="false">Panel!Q167-Panel!Q166</f>
        <v>-0.00110950037901247</v>
      </c>
    </row>
    <row r="176" customFormat="false" ht="15" hidden="false" customHeight="false" outlineLevel="0" collapsed="false">
      <c r="C176" s="0" t="n">
        <f aca="false">Panel!Q171-Panel!Q170</f>
        <v>-0.000225494139769467</v>
      </c>
      <c r="D176" s="29" t="n">
        <f aca="false">Panel!Q170</f>
        <v>0.0034102652411061</v>
      </c>
      <c r="E176" s="30" t="n">
        <f aca="false">Panel!Q170-Panel!Q169</f>
        <v>0.00348736518131787</v>
      </c>
      <c r="F176" s="30" t="n">
        <f aca="false">Panel!Q169-Panel!Q168</f>
        <v>0.000852629899958046</v>
      </c>
      <c r="G176" s="30" t="n">
        <f aca="false">Panel!Q168-Panel!Q167</f>
        <v>-0.000866178598986522</v>
      </c>
    </row>
    <row r="177" customFormat="false" ht="15" hidden="false" customHeight="false" outlineLevel="0" collapsed="false">
      <c r="C177" s="0" t="n">
        <f aca="false">Panel!Q172-Panel!Q171</f>
        <v>-0.000155762657190195</v>
      </c>
      <c r="D177" s="29" t="n">
        <f aca="false">Panel!Q171</f>
        <v>0.00318477110133664</v>
      </c>
      <c r="E177" s="30" t="n">
        <f aca="false">Panel!Q171-Panel!Q170</f>
        <v>-0.000225494139769467</v>
      </c>
      <c r="F177" s="30" t="n">
        <f aca="false">Panel!Q170-Panel!Q169</f>
        <v>0.00348736518131787</v>
      </c>
      <c r="G177" s="30" t="n">
        <f aca="false">Panel!Q169-Panel!Q168</f>
        <v>0.000852629899958046</v>
      </c>
    </row>
    <row r="178" customFormat="false" ht="15" hidden="false" customHeight="false" outlineLevel="0" collapsed="false">
      <c r="C178" s="0" t="n">
        <f aca="false">Panel!Q173-Panel!Q172</f>
        <v>-0.00118861300401107</v>
      </c>
      <c r="D178" s="29" t="n">
        <f aca="false">Panel!Q172</f>
        <v>0.00302900844414644</v>
      </c>
      <c r="E178" s="30" t="n">
        <f aca="false">Panel!Q172-Panel!Q171</f>
        <v>-0.000155762657190195</v>
      </c>
      <c r="F178" s="30" t="n">
        <f aca="false">Panel!Q171-Panel!Q170</f>
        <v>-0.000225494139769467</v>
      </c>
      <c r="G178" s="30" t="n">
        <f aca="false">Panel!Q170-Panel!Q169</f>
        <v>0.00348736518131787</v>
      </c>
    </row>
    <row r="179" customFormat="false" ht="15" hidden="false" customHeight="false" outlineLevel="0" collapsed="false">
      <c r="C179" s="0" t="n">
        <f aca="false">Panel!Q174-Panel!Q173</f>
        <v>0.00267282647143574</v>
      </c>
      <c r="D179" s="29" t="n">
        <f aca="false">Panel!Q173</f>
        <v>0.00184039544013537</v>
      </c>
      <c r="E179" s="30" t="n">
        <f aca="false">Panel!Q173-Panel!Q172</f>
        <v>-0.00118861300401107</v>
      </c>
      <c r="F179" s="30" t="n">
        <f aca="false">Panel!Q172-Panel!Q171</f>
        <v>-0.000155762657190195</v>
      </c>
      <c r="G179" s="30" t="n">
        <f aca="false">Panel!Q171-Panel!Q170</f>
        <v>-0.000225494139769467</v>
      </c>
    </row>
    <row r="180" customFormat="false" ht="15" hidden="false" customHeight="false" outlineLevel="0" collapsed="false">
      <c r="C180" s="0" t="n">
        <f aca="false">Panel!Q175-Panel!Q174</f>
        <v>-0.00249285783538156</v>
      </c>
      <c r="D180" s="29" t="n">
        <f aca="false">Panel!Q174</f>
        <v>0.00451322191157111</v>
      </c>
      <c r="E180" s="30" t="n">
        <f aca="false">Panel!Q174-Panel!Q173</f>
        <v>0.00267282647143574</v>
      </c>
      <c r="F180" s="30" t="n">
        <f aca="false">Panel!Q173-Panel!Q172</f>
        <v>-0.00118861300401107</v>
      </c>
      <c r="G180" s="30" t="n">
        <f aca="false">Panel!Q172-Panel!Q171</f>
        <v>-0.000155762657190195</v>
      </c>
    </row>
    <row r="181" customFormat="false" ht="15" hidden="false" customHeight="false" outlineLevel="0" collapsed="false">
      <c r="C181" s="0" t="n">
        <f aca="false">Panel!Q176-Panel!Q175</f>
        <v>-0.00209184321522393</v>
      </c>
      <c r="D181" s="29" t="n">
        <f aca="false">Panel!Q175</f>
        <v>0.00202036407618955</v>
      </c>
      <c r="E181" s="30" t="n">
        <f aca="false">Panel!Q175-Panel!Q174</f>
        <v>-0.00249285783538156</v>
      </c>
      <c r="F181" s="30" t="n">
        <f aca="false">Panel!Q174-Panel!Q173</f>
        <v>0.00267282647143574</v>
      </c>
      <c r="G181" s="30" t="n">
        <f aca="false">Panel!Q173-Panel!Q172</f>
        <v>-0.00118861300401107</v>
      </c>
    </row>
    <row r="182" customFormat="false" ht="15" hidden="false" customHeight="false" outlineLevel="0" collapsed="false">
      <c r="C182" s="0" t="n">
        <f aca="false">Panel!Q177-Panel!Q176</f>
        <v>0.0035724498235421</v>
      </c>
      <c r="D182" s="29" t="n">
        <f aca="false">Panel!Q176</f>
        <v>-7.14791390343805E-005</v>
      </c>
      <c r="E182" s="30" t="n">
        <f aca="false">Panel!Q176-Panel!Q175</f>
        <v>-0.00209184321522393</v>
      </c>
      <c r="F182" s="30" t="n">
        <f aca="false">Panel!Q175-Panel!Q174</f>
        <v>-0.00249285783538156</v>
      </c>
      <c r="G182" s="30" t="n">
        <f aca="false">Panel!Q174-Panel!Q173</f>
        <v>0.00267282647143574</v>
      </c>
    </row>
    <row r="183" customFormat="false" ht="15" hidden="false" customHeight="false" outlineLevel="0" collapsed="false">
      <c r="C183" s="0" t="n">
        <f aca="false">Panel!Q178-Panel!Q177</f>
        <v>-0.000171068108032912</v>
      </c>
      <c r="D183" s="29" t="n">
        <f aca="false">Panel!Q177</f>
        <v>0.00350097068450772</v>
      </c>
      <c r="E183" s="30" t="n">
        <f aca="false">Panel!Q177-Panel!Q176</f>
        <v>0.0035724498235421</v>
      </c>
      <c r="F183" s="30" t="n">
        <f aca="false">Panel!Q176-Panel!Q175</f>
        <v>-0.00209184321522393</v>
      </c>
      <c r="G183" s="30" t="n">
        <f aca="false">Panel!Q175-Panel!Q174</f>
        <v>-0.00249285783538156</v>
      </c>
    </row>
    <row r="184" customFormat="false" ht="15" hidden="false" customHeight="false" outlineLevel="0" collapsed="false">
      <c r="C184" s="0" t="n">
        <f aca="false">Panel!Q179-Panel!Q178</f>
        <v>-0.00239080218226739</v>
      </c>
      <c r="D184" s="29" t="n">
        <f aca="false">Panel!Q178</f>
        <v>0.00332990257647481</v>
      </c>
      <c r="E184" s="30" t="n">
        <f aca="false">Panel!Q178-Panel!Q177</f>
        <v>-0.000171068108032912</v>
      </c>
      <c r="F184" s="30" t="n">
        <f aca="false">Panel!Q177-Panel!Q176</f>
        <v>0.0035724498235421</v>
      </c>
      <c r="G184" s="30" t="n">
        <f aca="false">Panel!Q176-Panel!Q175</f>
        <v>-0.00209184321522393</v>
      </c>
    </row>
    <row r="185" customFormat="false" ht="15" hidden="false" customHeight="false" outlineLevel="0" collapsed="false">
      <c r="C185" s="0" t="n">
        <f aca="false">Panel!Q180-Panel!Q179</f>
        <v>-0.000228228219468107</v>
      </c>
      <c r="D185" s="29" t="n">
        <f aca="false">Panel!Q179</f>
        <v>0.000939100394207415</v>
      </c>
      <c r="E185" s="30" t="n">
        <f aca="false">Panel!Q179-Panel!Q178</f>
        <v>-0.00239080218226739</v>
      </c>
      <c r="F185" s="30" t="n">
        <f aca="false">Panel!Q178-Panel!Q177</f>
        <v>-0.000171068108032912</v>
      </c>
      <c r="G185" s="30" t="n">
        <f aca="false">Panel!Q177-Panel!Q176</f>
        <v>0.0035724498235421</v>
      </c>
    </row>
    <row r="186" customFormat="false" ht="15" hidden="false" customHeight="false" outlineLevel="0" collapsed="false">
      <c r="C186" s="0" t="n">
        <f aca="false">Panel!Q181-Panel!Q180</f>
        <v>-0.000552046881191259</v>
      </c>
      <c r="D186" s="29" t="n">
        <f aca="false">Panel!Q180</f>
        <v>0.000710872174739308</v>
      </c>
      <c r="E186" s="30" t="n">
        <f aca="false">Panel!Q180-Panel!Q179</f>
        <v>-0.000228228219468107</v>
      </c>
      <c r="F186" s="30" t="n">
        <f aca="false">Panel!Q179-Panel!Q178</f>
        <v>-0.00239080218226739</v>
      </c>
      <c r="G186" s="30" t="n">
        <f aca="false">Panel!Q178-Panel!Q177</f>
        <v>-0.000171068108032912</v>
      </c>
    </row>
    <row r="187" customFormat="false" ht="15" hidden="false" customHeight="false" outlineLevel="0" collapsed="false">
      <c r="C187" s="0" t="n">
        <f aca="false">Panel!Q182-Panel!Q181</f>
        <v>-0.000751844525693102</v>
      </c>
      <c r="D187" s="29" t="n">
        <f aca="false">Panel!Q181</f>
        <v>0.000158825293548048</v>
      </c>
      <c r="E187" s="30" t="n">
        <f aca="false">Panel!Q181-Panel!Q180</f>
        <v>-0.000552046881191259</v>
      </c>
      <c r="F187" s="30" t="n">
        <f aca="false">Panel!Q180-Panel!Q179</f>
        <v>-0.000228228219468107</v>
      </c>
      <c r="G187" s="30" t="n">
        <f aca="false">Panel!Q179-Panel!Q178</f>
        <v>-0.00239080218226739</v>
      </c>
    </row>
    <row r="188" customFormat="false" ht="15" hidden="false" customHeight="false" outlineLevel="0" collapsed="false">
      <c r="C188" s="0" t="n">
        <f aca="false">Panel!Q183-Panel!Q182</f>
        <v>-0.000543256477085308</v>
      </c>
      <c r="D188" s="29" t="n">
        <f aca="false">Panel!Q182</f>
        <v>-0.000593019232145053</v>
      </c>
      <c r="E188" s="30" t="n">
        <f aca="false">Panel!Q182-Panel!Q181</f>
        <v>-0.000751844525693102</v>
      </c>
      <c r="F188" s="30" t="n">
        <f aca="false">Panel!Q181-Panel!Q180</f>
        <v>-0.000552046881191259</v>
      </c>
      <c r="G188" s="30" t="n">
        <f aca="false">Panel!Q180-Panel!Q179</f>
        <v>-0.000228228219468107</v>
      </c>
    </row>
    <row r="189" customFormat="false" ht="15" hidden="false" customHeight="false" outlineLevel="0" collapsed="false">
      <c r="C189" s="0" t="n">
        <f aca="false">Panel!Q184-Panel!Q183</f>
        <v>0.00175846572515148</v>
      </c>
      <c r="D189" s="29" t="n">
        <f aca="false">Panel!Q183</f>
        <v>-0.00113627570923036</v>
      </c>
      <c r="E189" s="30" t="n">
        <f aca="false">Panel!Q183-Panel!Q182</f>
        <v>-0.000543256477085308</v>
      </c>
      <c r="F189" s="30" t="n">
        <f aca="false">Panel!Q182-Panel!Q181</f>
        <v>-0.000751844525693102</v>
      </c>
      <c r="G189" s="30" t="n">
        <f aca="false">Panel!Q181-Panel!Q180</f>
        <v>-0.000552046881191259</v>
      </c>
    </row>
    <row r="190" customFormat="false" ht="15" hidden="false" customHeight="false" outlineLevel="0" collapsed="false">
      <c r="C190" s="0" t="n">
        <f aca="false">Panel!Q185-Panel!Q184</f>
        <v>-0.00106388036772209</v>
      </c>
      <c r="D190" s="29" t="n">
        <f aca="false">Panel!Q184</f>
        <v>0.00062219001592112</v>
      </c>
      <c r="E190" s="30" t="n">
        <f aca="false">Panel!Q184-Panel!Q183</f>
        <v>0.00175846572515148</v>
      </c>
      <c r="F190" s="30" t="n">
        <f aca="false">Panel!Q183-Panel!Q182</f>
        <v>-0.000543256477085308</v>
      </c>
      <c r="G190" s="30" t="n">
        <f aca="false">Panel!Q182-Panel!Q181</f>
        <v>-0.000751844525693102</v>
      </c>
    </row>
    <row r="191" customFormat="false" ht="15" hidden="false" customHeight="false" outlineLevel="0" collapsed="false">
      <c r="C191" s="0" t="n">
        <f aca="false">Panel!Q186-Panel!Q185</f>
        <v>-0.000981135434424019</v>
      </c>
      <c r="D191" s="29" t="n">
        <f aca="false">Panel!Q185</f>
        <v>-0.000441690351800972</v>
      </c>
      <c r="E191" s="30" t="n">
        <f aca="false">Panel!Q185-Panel!Q184</f>
        <v>-0.00106388036772209</v>
      </c>
      <c r="F191" s="30" t="n">
        <f aca="false">Panel!Q184-Panel!Q183</f>
        <v>0.00175846572515148</v>
      </c>
      <c r="G191" s="30" t="n">
        <f aca="false">Panel!Q183-Panel!Q182</f>
        <v>-0.000543256477085308</v>
      </c>
    </row>
    <row r="192" customFormat="false" ht="15" hidden="false" customHeight="false" outlineLevel="0" collapsed="false">
      <c r="C192" s="0" t="n">
        <f aca="false">Panel!Q187-Panel!Q186</f>
        <v>-0.00449782174199953</v>
      </c>
      <c r="D192" s="29" t="n">
        <f aca="false">Panel!Q186</f>
        <v>-0.00142282578622499</v>
      </c>
      <c r="E192" s="30" t="n">
        <f aca="false">Panel!Q186-Panel!Q185</f>
        <v>-0.000981135434424019</v>
      </c>
      <c r="F192" s="30" t="n">
        <f aca="false">Panel!Q185-Panel!Q184</f>
        <v>-0.00106388036772209</v>
      </c>
      <c r="G192" s="30" t="n">
        <f aca="false">Panel!Q184-Panel!Q183</f>
        <v>0.00175846572515148</v>
      </c>
    </row>
    <row r="193" customFormat="false" ht="15" hidden="false" customHeight="false" outlineLevel="0" collapsed="false">
      <c r="C193" s="0" t="n">
        <f aca="false">Panel!Q188-Panel!Q187</f>
        <v>0.00463556611889793</v>
      </c>
      <c r="D193" s="29" t="n">
        <f aca="false">Panel!Q187</f>
        <v>-0.00592064752822452</v>
      </c>
      <c r="E193" s="30" t="n">
        <f aca="false">Panel!Q187-Panel!Q186</f>
        <v>-0.00449782174199953</v>
      </c>
      <c r="F193" s="30" t="n">
        <f aca="false">Panel!Q186-Panel!Q185</f>
        <v>-0.000981135434424019</v>
      </c>
      <c r="G193" s="30" t="n">
        <f aca="false">Panel!Q185-Panel!Q184</f>
        <v>-0.00106388036772209</v>
      </c>
    </row>
    <row r="194" customFormat="false" ht="15" hidden="false" customHeight="false" outlineLevel="0" collapsed="false">
      <c r="C194" s="0" t="n">
        <f aca="false">Panel!Q189-Panel!Q188</f>
        <v>-0.00302148769365829</v>
      </c>
      <c r="D194" s="29" t="n">
        <f aca="false">Panel!Q188</f>
        <v>-0.00128508140932659</v>
      </c>
      <c r="E194" s="30" t="n">
        <f aca="false">Panel!Q188-Panel!Q187</f>
        <v>0.00463556611889793</v>
      </c>
      <c r="F194" s="30" t="n">
        <f aca="false">Panel!Q187-Panel!Q186</f>
        <v>-0.00449782174199953</v>
      </c>
      <c r="G194" s="30" t="n">
        <f aca="false">Panel!Q186-Panel!Q185</f>
        <v>-0.000981135434424019</v>
      </c>
    </row>
    <row r="195" customFormat="false" ht="15" hidden="false" customHeight="false" outlineLevel="0" collapsed="false">
      <c r="C195" s="0" t="n">
        <f aca="false">Panel!Q190-Panel!Q189</f>
        <v>0.00960249801154944</v>
      </c>
      <c r="D195" s="29" t="n">
        <f aca="false">Panel!Q189</f>
        <v>-0.00430656910298488</v>
      </c>
      <c r="E195" s="30" t="n">
        <f aca="false">Panel!Q189-Panel!Q188</f>
        <v>-0.00302148769365829</v>
      </c>
      <c r="F195" s="30" t="n">
        <f aca="false">Panel!Q188-Panel!Q187</f>
        <v>0.00463556611889793</v>
      </c>
      <c r="G195" s="30" t="n">
        <f aca="false">Panel!Q187-Panel!Q186</f>
        <v>-0.00449782174199953</v>
      </c>
    </row>
    <row r="196" customFormat="false" ht="15" hidden="false" customHeight="false" outlineLevel="0" collapsed="false">
      <c r="C196" s="0" t="n">
        <f aca="false">Panel!Q191-Panel!Q190</f>
        <v>-0.00310540369359735</v>
      </c>
      <c r="D196" s="29" t="n">
        <f aca="false">Panel!Q190</f>
        <v>0.00529592890856456</v>
      </c>
      <c r="E196" s="30" t="n">
        <f aca="false">Panel!Q190-Panel!Q189</f>
        <v>0.00960249801154944</v>
      </c>
      <c r="F196" s="30" t="n">
        <f aca="false">Panel!Q189-Panel!Q188</f>
        <v>-0.00302148769365829</v>
      </c>
      <c r="G196" s="30" t="n">
        <f aca="false">Panel!Q188-Panel!Q187</f>
        <v>0.00463556611889793</v>
      </c>
    </row>
    <row r="197" customFormat="false" ht="15" hidden="false" customHeight="false" outlineLevel="0" collapsed="false">
      <c r="C197" s="0" t="n">
        <f aca="false">Panel!Q192-Panel!Q191</f>
        <v>-0.000988839401662389</v>
      </c>
      <c r="D197" s="29" t="n">
        <f aca="false">Panel!Q191</f>
        <v>0.00219052521496721</v>
      </c>
      <c r="E197" s="30" t="n">
        <f aca="false">Panel!Q191-Panel!Q190</f>
        <v>-0.00310540369359735</v>
      </c>
      <c r="F197" s="30" t="n">
        <f aca="false">Panel!Q190-Panel!Q189</f>
        <v>0.00960249801154944</v>
      </c>
      <c r="G197" s="30" t="n">
        <f aca="false">Panel!Q189-Panel!Q188</f>
        <v>-0.00302148769365829</v>
      </c>
    </row>
    <row r="198" customFormat="false" ht="15" hidden="false" customHeight="false" outlineLevel="0" collapsed="false">
      <c r="C198" s="0" t="n">
        <f aca="false">Panel!Q193-Panel!Q192</f>
        <v>-0.000855460804450203</v>
      </c>
      <c r="D198" s="29" t="n">
        <f aca="false">Panel!Q192</f>
        <v>0.00120168581330482</v>
      </c>
      <c r="E198" s="30" t="n">
        <f aca="false">Panel!Q192-Panel!Q191</f>
        <v>-0.000988839401662389</v>
      </c>
      <c r="F198" s="30" t="n">
        <f aca="false">Panel!Q191-Panel!Q190</f>
        <v>-0.00310540369359735</v>
      </c>
      <c r="G198" s="30" t="n">
        <f aca="false">Panel!Q190-Panel!Q189</f>
        <v>0.00960249801154944</v>
      </c>
    </row>
    <row r="199" customFormat="false" ht="15" hidden="false" customHeight="false" outlineLevel="0" collapsed="false">
      <c r="C199" s="0" t="n">
        <f aca="false">Panel!Q194-Panel!Q193</f>
        <v>0.00322249900904836</v>
      </c>
      <c r="D199" s="29" t="n">
        <f aca="false">Panel!Q193</f>
        <v>0.000346225008854617</v>
      </c>
      <c r="E199" s="30" t="n">
        <f aca="false">Panel!Q193-Panel!Q192</f>
        <v>-0.000855460804450203</v>
      </c>
      <c r="F199" s="30" t="n">
        <f aca="false">Panel!Q192-Panel!Q191</f>
        <v>-0.000988839401662389</v>
      </c>
      <c r="G199" s="30" t="n">
        <f aca="false">Panel!Q191-Panel!Q190</f>
        <v>-0.00310540369359735</v>
      </c>
    </row>
    <row r="200" customFormat="false" ht="15" hidden="false" customHeight="false" outlineLevel="0" collapsed="false">
      <c r="C200" s="0" t="n">
        <f aca="false">Panel!Q195-Panel!Q194</f>
        <v>-0.00172539851977227</v>
      </c>
      <c r="D200" s="29" t="n">
        <f aca="false">Panel!Q194</f>
        <v>0.00356872401790298</v>
      </c>
      <c r="E200" s="30" t="n">
        <f aca="false">Panel!Q194-Panel!Q193</f>
        <v>0.00322249900904836</v>
      </c>
      <c r="F200" s="30" t="n">
        <f aca="false">Panel!Q193-Panel!Q192</f>
        <v>-0.000855460804450203</v>
      </c>
      <c r="G200" s="30" t="n">
        <f aca="false">Panel!Q192-Panel!Q191</f>
        <v>-0.000988839401662389</v>
      </c>
    </row>
    <row r="201" customFormat="false" ht="15" hidden="false" customHeight="false" outlineLevel="0" collapsed="false">
      <c r="C201" s="0" t="n">
        <f aca="false">Panel!Q196-Panel!Q195</f>
        <v>0.00159650204953365</v>
      </c>
      <c r="D201" s="29" t="n">
        <f aca="false">Panel!Q195</f>
        <v>0.00184332549813071</v>
      </c>
      <c r="E201" s="30" t="n">
        <f aca="false">Panel!Q195-Panel!Q194</f>
        <v>-0.00172539851977227</v>
      </c>
      <c r="F201" s="30" t="n">
        <f aca="false">Panel!Q194-Panel!Q193</f>
        <v>0.00322249900904836</v>
      </c>
      <c r="G201" s="30" t="n">
        <f aca="false">Panel!Q193-Panel!Q192</f>
        <v>-0.000855460804450203</v>
      </c>
    </row>
    <row r="202" customFormat="false" ht="15" hidden="false" customHeight="false" outlineLevel="0" collapsed="false">
      <c r="C202" s="0" t="n">
        <f aca="false">Panel!Q197-Panel!Q196</f>
        <v>-0.00152293251361257</v>
      </c>
      <c r="D202" s="29" t="n">
        <f aca="false">Panel!Q196</f>
        <v>0.00343982754766436</v>
      </c>
      <c r="E202" s="30" t="n">
        <f aca="false">Panel!Q196-Panel!Q195</f>
        <v>0.00159650204953365</v>
      </c>
      <c r="F202" s="30" t="n">
        <f aca="false">Panel!Q195-Panel!Q194</f>
        <v>-0.00172539851977227</v>
      </c>
      <c r="G202" s="30" t="n">
        <f aca="false">Panel!Q194-Panel!Q193</f>
        <v>0.00322249900904836</v>
      </c>
    </row>
    <row r="203" customFormat="false" ht="15" hidden="false" customHeight="false" outlineLevel="0" collapsed="false">
      <c r="C203" s="0" t="n">
        <f aca="false">Panel!Q198-Panel!Q197</f>
        <v>0.00014450212799666</v>
      </c>
      <c r="D203" s="29" t="n">
        <f aca="false">Panel!Q197</f>
        <v>0.00191689503405179</v>
      </c>
      <c r="E203" s="30" t="n">
        <f aca="false">Panel!Q197-Panel!Q196</f>
        <v>-0.00152293251361257</v>
      </c>
      <c r="F203" s="30" t="n">
        <f aca="false">Panel!Q196-Panel!Q195</f>
        <v>0.00159650204953365</v>
      </c>
      <c r="G203" s="30" t="n">
        <f aca="false">Panel!Q195-Panel!Q194</f>
        <v>-0.00172539851977227</v>
      </c>
    </row>
    <row r="204" customFormat="false" ht="15" hidden="false" customHeight="false" outlineLevel="0" collapsed="false">
      <c r="C204" s="0" t="n">
        <f aca="false">Panel!Q199-Panel!Q198</f>
        <v>0.000426283285433371</v>
      </c>
      <c r="D204" s="29" t="n">
        <f aca="false">Panel!Q198</f>
        <v>0.00206139716204845</v>
      </c>
      <c r="E204" s="30" t="n">
        <f aca="false">Panel!Q198-Panel!Q197</f>
        <v>0.00014450212799666</v>
      </c>
      <c r="F204" s="30" t="n">
        <f aca="false">Panel!Q197-Panel!Q196</f>
        <v>-0.00152293251361257</v>
      </c>
      <c r="G204" s="30" t="n">
        <f aca="false">Panel!Q196-Panel!Q195</f>
        <v>0.00159650204953365</v>
      </c>
    </row>
    <row r="205" customFormat="false" ht="15" hidden="false" customHeight="false" outlineLevel="0" collapsed="false">
      <c r="C205" s="0" t="n">
        <f aca="false">Panel!Q200-Panel!Q199</f>
        <v>-0.00132956073858281</v>
      </c>
      <c r="D205" s="29" t="n">
        <f aca="false">Panel!Q199</f>
        <v>0.00248768044748182</v>
      </c>
      <c r="E205" s="30" t="n">
        <f aca="false">Panel!Q199-Panel!Q198</f>
        <v>0.000426283285433371</v>
      </c>
      <c r="F205" s="30" t="n">
        <f aca="false">Panel!Q198-Panel!Q197</f>
        <v>0.00014450212799666</v>
      </c>
      <c r="G205" s="30" t="n">
        <f aca="false">Panel!Q197-Panel!Q196</f>
        <v>-0.00152293251361257</v>
      </c>
    </row>
    <row r="206" customFormat="false" ht="15" hidden="false" customHeight="false" outlineLevel="0" collapsed="false">
      <c r="C206" s="0" t="n">
        <f aca="false">Panel!Q201-Panel!Q200</f>
        <v>0.0011902284038019</v>
      </c>
      <c r="D206" s="29" t="n">
        <f aca="false">Panel!Q200</f>
        <v>0.00115811970889901</v>
      </c>
      <c r="E206" s="30" t="n">
        <f aca="false">Panel!Q200-Panel!Q199</f>
        <v>-0.00132956073858281</v>
      </c>
      <c r="F206" s="30" t="n">
        <f aca="false">Panel!Q199-Panel!Q198</f>
        <v>0.000426283285433371</v>
      </c>
      <c r="G206" s="30" t="n">
        <f aca="false">Panel!Q198-Panel!Q197</f>
        <v>0.00014450212799666</v>
      </c>
    </row>
    <row r="207" customFormat="false" ht="15" hidden="false" customHeight="false" outlineLevel="0" collapsed="false">
      <c r="C207" s="0" t="n">
        <f aca="false">Panel!Q202-Panel!Q201</f>
        <v>-0.000382297117894836</v>
      </c>
      <c r="D207" s="29" t="n">
        <f aca="false">Panel!Q201</f>
        <v>0.0023483481127009</v>
      </c>
      <c r="E207" s="30" t="n">
        <f aca="false">Panel!Q201-Panel!Q200</f>
        <v>0.0011902284038019</v>
      </c>
      <c r="F207" s="30" t="n">
        <f aca="false">Panel!Q200-Panel!Q199</f>
        <v>-0.00132956073858281</v>
      </c>
      <c r="G207" s="30" t="n">
        <f aca="false">Panel!Q199-Panel!Q198</f>
        <v>0.000426283285433371</v>
      </c>
    </row>
    <row r="208" customFormat="false" ht="15" hidden="false" customHeight="false" outlineLevel="0" collapsed="false">
      <c r="C208" s="0" t="n">
        <f aca="false">Panel!Q203-Panel!Q202</f>
        <v>-0.000700724375532147</v>
      </c>
      <c r="D208" s="29" t="n">
        <f aca="false">Panel!Q202</f>
        <v>0.00196605099480607</v>
      </c>
      <c r="E208" s="30" t="n">
        <f aca="false">Panel!Q202-Panel!Q201</f>
        <v>-0.000382297117894836</v>
      </c>
      <c r="F208" s="30" t="n">
        <f aca="false">Panel!Q201-Panel!Q200</f>
        <v>0.0011902284038019</v>
      </c>
      <c r="G208" s="30" t="n">
        <f aca="false">Panel!Q200-Panel!Q199</f>
        <v>-0.00132956073858281</v>
      </c>
    </row>
    <row r="209" customFormat="false" ht="15" hidden="false" customHeight="false" outlineLevel="0" collapsed="false">
      <c r="C209" s="0" t="n">
        <f aca="false">Panel!Q204-Panel!Q203</f>
        <v>-0.0020411163933467</v>
      </c>
      <c r="D209" s="29" t="n">
        <f aca="false">Panel!Q203</f>
        <v>0.00126532661927392</v>
      </c>
      <c r="E209" s="30" t="n">
        <f aca="false">Panel!Q203-Panel!Q202</f>
        <v>-0.000700724375532147</v>
      </c>
      <c r="F209" s="30" t="n">
        <f aca="false">Panel!Q202-Panel!Q201</f>
        <v>-0.000382297117894836</v>
      </c>
      <c r="G209" s="30" t="n">
        <f aca="false">Panel!Q201-Panel!Q200</f>
        <v>0.0011902284038019</v>
      </c>
    </row>
    <row r="210" customFormat="false" ht="15" hidden="false" customHeight="false" outlineLevel="0" collapsed="false">
      <c r="C210" s="0" t="n">
        <f aca="false">Panel!Q205-Panel!Q204</f>
        <v>-0.000312463295312426</v>
      </c>
      <c r="D210" s="29" t="n">
        <f aca="false">Panel!Q204</f>
        <v>-0.000775789774072777</v>
      </c>
      <c r="E210" s="30" t="n">
        <f aca="false">Panel!Q204-Panel!Q203</f>
        <v>-0.0020411163933467</v>
      </c>
      <c r="F210" s="30" t="n">
        <f aca="false">Panel!Q203-Panel!Q202</f>
        <v>-0.000700724375532147</v>
      </c>
      <c r="G210" s="30" t="n">
        <f aca="false">Panel!Q202-Panel!Q201</f>
        <v>-0.000382297117894836</v>
      </c>
    </row>
    <row r="211" customFormat="false" ht="15" hidden="false" customHeight="false" outlineLevel="0" collapsed="false">
      <c r="C211" s="0" t="n">
        <f aca="false">Panel!Q206-Panel!Q205</f>
        <v>0.00190947273854469</v>
      </c>
      <c r="D211" s="29" t="n">
        <f aca="false">Panel!Q205</f>
        <v>-0.0010882530693852</v>
      </c>
      <c r="E211" s="30" t="n">
        <f aca="false">Panel!Q205-Panel!Q204</f>
        <v>-0.000312463295312426</v>
      </c>
      <c r="F211" s="30" t="n">
        <f aca="false">Panel!Q204-Panel!Q203</f>
        <v>-0.0020411163933467</v>
      </c>
      <c r="G211" s="30" t="n">
        <f aca="false">Panel!Q203-Panel!Q202</f>
        <v>-0.000700724375532147</v>
      </c>
    </row>
    <row r="212" customFormat="false" ht="15" hidden="false" customHeight="false" outlineLevel="0" collapsed="false">
      <c r="C212" s="0" t="n">
        <f aca="false">Panel!Q207-Panel!Q206</f>
        <v>-0.00178287025999069</v>
      </c>
      <c r="D212" s="29" t="n">
        <f aca="false">Panel!Q206</f>
        <v>0.00082121966915949</v>
      </c>
      <c r="E212" s="30" t="n">
        <f aca="false">Panel!Q206-Panel!Q205</f>
        <v>0.00190947273854469</v>
      </c>
      <c r="F212" s="30" t="n">
        <f aca="false">Panel!Q205-Panel!Q204</f>
        <v>-0.000312463295312426</v>
      </c>
      <c r="G212" s="30" t="n">
        <f aca="false">Panel!Q204-Panel!Q203</f>
        <v>-0.0020411163933467</v>
      </c>
    </row>
    <row r="213" customFormat="false" ht="15" hidden="false" customHeight="false" outlineLevel="0" collapsed="false">
      <c r="C213" s="0" t="n">
        <f aca="false">Panel!Q208-Panel!Q207</f>
        <v>0.00162578668927971</v>
      </c>
      <c r="D213" s="29" t="n">
        <f aca="false">Panel!Q207</f>
        <v>-0.000961650590831198</v>
      </c>
      <c r="E213" s="30" t="n">
        <f aca="false">Panel!Q207-Panel!Q206</f>
        <v>-0.00178287025999069</v>
      </c>
      <c r="F213" s="30" t="n">
        <f aca="false">Panel!Q206-Panel!Q205</f>
        <v>0.00190947273854469</v>
      </c>
      <c r="G213" s="30" t="n">
        <f aca="false">Panel!Q205-Panel!Q204</f>
        <v>-0.000312463295312426</v>
      </c>
    </row>
    <row r="214" customFormat="false" ht="15" hidden="false" customHeight="false" outlineLevel="0" collapsed="false">
      <c r="C214" s="0" t="n">
        <f aca="false">Panel!Q209-Panel!Q208</f>
        <v>-3.82789866471001E-005</v>
      </c>
      <c r="D214" s="29" t="n">
        <f aca="false">Panel!Q208</f>
        <v>0.000664136098448509</v>
      </c>
      <c r="E214" s="30" t="n">
        <f aca="false">Panel!Q208-Panel!Q207</f>
        <v>0.00162578668927971</v>
      </c>
      <c r="F214" s="30" t="n">
        <f aca="false">Panel!Q207-Panel!Q206</f>
        <v>-0.00178287025999069</v>
      </c>
      <c r="G214" s="30" t="n">
        <f aca="false">Panel!Q206-Panel!Q205</f>
        <v>0.00190947273854469</v>
      </c>
    </row>
    <row r="215" customFormat="false" ht="15" hidden="false" customHeight="false" outlineLevel="0" collapsed="false">
      <c r="C215" s="0" t="n">
        <f aca="false">Panel!Q210-Panel!Q209</f>
        <v>-0.00308312229649133</v>
      </c>
      <c r="D215" s="29" t="n">
        <f aca="false">Panel!Q209</f>
        <v>0.000625857111801409</v>
      </c>
      <c r="E215" s="30" t="n">
        <f aca="false">Panel!Q209-Panel!Q208</f>
        <v>-3.82789866471001E-005</v>
      </c>
      <c r="F215" s="30" t="n">
        <f aca="false">Panel!Q208-Panel!Q207</f>
        <v>0.00162578668927971</v>
      </c>
      <c r="G215" s="30" t="n">
        <f aca="false">Panel!Q207-Panel!Q206</f>
        <v>-0.00178287025999069</v>
      </c>
    </row>
    <row r="216" customFormat="false" ht="15" hidden="false" customHeight="false" outlineLevel="0" collapsed="false">
      <c r="C216" s="0" t="n">
        <f aca="false">Panel!Q211-Panel!Q210</f>
        <v>0.00200673702853393</v>
      </c>
      <c r="D216" s="29" t="n">
        <f aca="false">Panel!Q210</f>
        <v>-0.00245726518468992</v>
      </c>
      <c r="E216" s="30" t="n">
        <f aca="false">Panel!Q210-Panel!Q209</f>
        <v>-0.00308312229649133</v>
      </c>
      <c r="F216" s="30" t="n">
        <f aca="false">Panel!Q209-Panel!Q208</f>
        <v>-3.82789866471001E-005</v>
      </c>
      <c r="G216" s="30" t="n">
        <f aca="false">Panel!Q208-Panel!Q207</f>
        <v>0.00162578668927971</v>
      </c>
    </row>
    <row r="217" customFormat="false" ht="15" hidden="false" customHeight="false" outlineLevel="0" collapsed="false">
      <c r="C217" s="0" t="n">
        <f aca="false">Panel!Q212-Panel!Q211</f>
        <v>-0.00478051905075283</v>
      </c>
      <c r="D217" s="29" t="n">
        <f aca="false">Panel!Q211</f>
        <v>-0.000450528156155983</v>
      </c>
      <c r="E217" s="30" t="n">
        <f aca="false">Panel!Q211-Panel!Q210</f>
        <v>0.00200673702853393</v>
      </c>
      <c r="F217" s="30" t="n">
        <f aca="false">Panel!Q210-Panel!Q209</f>
        <v>-0.00308312229649133</v>
      </c>
      <c r="G217" s="30" t="n">
        <f aca="false">Panel!Q209-Panel!Q208</f>
        <v>-3.82789866471001E-005</v>
      </c>
    </row>
    <row r="218" customFormat="false" ht="15" hidden="false" customHeight="false" outlineLevel="0" collapsed="false">
      <c r="C218" s="0" t="n">
        <f aca="false">Panel!Q213-Panel!Q212</f>
        <v>0.00142246636059085</v>
      </c>
      <c r="D218" s="29" t="n">
        <f aca="false">Panel!Q212</f>
        <v>-0.00523104720690881</v>
      </c>
      <c r="E218" s="30" t="n">
        <f aca="false">Panel!Q212-Panel!Q211</f>
        <v>-0.00478051905075283</v>
      </c>
      <c r="F218" s="30" t="n">
        <f aca="false">Panel!Q211-Panel!Q210</f>
        <v>0.00200673702853393</v>
      </c>
      <c r="G218" s="30" t="n">
        <f aca="false">Panel!Q210-Panel!Q209</f>
        <v>-0.00308312229649133</v>
      </c>
    </row>
    <row r="219" customFormat="false" ht="15" hidden="false" customHeight="false" outlineLevel="0" collapsed="false">
      <c r="C219" s="0" t="n">
        <f aca="false">Panel!Q214-Panel!Q213</f>
        <v>0.0094470373800668</v>
      </c>
      <c r="D219" s="29" t="n">
        <f aca="false">Panel!Q213</f>
        <v>-0.00380858084631797</v>
      </c>
      <c r="E219" s="30" t="n">
        <f aca="false">Panel!Q213-Panel!Q212</f>
        <v>0.00142246636059085</v>
      </c>
      <c r="F219" s="30" t="n">
        <f aca="false">Panel!Q212-Panel!Q211</f>
        <v>-0.00478051905075283</v>
      </c>
      <c r="G219" s="30" t="n">
        <f aca="false">Panel!Q211-Panel!Q210</f>
        <v>0.00200673702853393</v>
      </c>
    </row>
    <row r="220" customFormat="false" ht="15" hidden="false" customHeight="false" outlineLevel="0" collapsed="false">
      <c r="C220" s="0" t="n">
        <f aca="false">Panel!Q215-Panel!Q214</f>
        <v>0.00023472235857902</v>
      </c>
      <c r="D220" s="29" t="n">
        <f aca="false">Panel!Q214</f>
        <v>0.00563845653374884</v>
      </c>
      <c r="E220" s="30" t="n">
        <f aca="false">Panel!Q214-Panel!Q213</f>
        <v>0.0094470373800668</v>
      </c>
      <c r="F220" s="30" t="n">
        <f aca="false">Panel!Q213-Panel!Q212</f>
        <v>0.00142246636059085</v>
      </c>
      <c r="G220" s="30" t="n">
        <f aca="false">Panel!Q212-Panel!Q211</f>
        <v>-0.00478051905075283</v>
      </c>
    </row>
    <row r="221" customFormat="false" ht="15" hidden="false" customHeight="false" outlineLevel="0" collapsed="false">
      <c r="C221" s="0" t="n">
        <f aca="false">Panel!Q216-Panel!Q215</f>
        <v>-0.00222148255829602</v>
      </c>
      <c r="D221" s="29" t="n">
        <f aca="false">Panel!Q215</f>
        <v>0.00587317889232786</v>
      </c>
      <c r="E221" s="30" t="n">
        <f aca="false">Panel!Q215-Panel!Q214</f>
        <v>0.00023472235857902</v>
      </c>
      <c r="F221" s="30" t="n">
        <f aca="false">Panel!Q214-Panel!Q213</f>
        <v>0.0094470373800668</v>
      </c>
      <c r="G221" s="30" t="n">
        <f aca="false">Panel!Q213-Panel!Q212</f>
        <v>0.00142246636059085</v>
      </c>
    </row>
    <row r="222" customFormat="false" ht="15" hidden="false" customHeight="false" outlineLevel="0" collapsed="false">
      <c r="C222" s="0" t="n">
        <f aca="false">Panel!Q217-Panel!Q216</f>
        <v>-0.000514947655826603</v>
      </c>
      <c r="D222" s="29" t="n">
        <f aca="false">Panel!Q216</f>
        <v>0.00365169633403184</v>
      </c>
      <c r="E222" s="30" t="n">
        <f aca="false">Panel!Q216-Panel!Q215</f>
        <v>-0.00222148255829602</v>
      </c>
      <c r="F222" s="30" t="n">
        <f aca="false">Panel!Q215-Panel!Q214</f>
        <v>0.00023472235857902</v>
      </c>
      <c r="G222" s="30" t="n">
        <f aca="false">Panel!Q214-Panel!Q213</f>
        <v>0.0094470373800668</v>
      </c>
    </row>
    <row r="223" customFormat="false" ht="15" hidden="false" customHeight="false" outlineLevel="0" collapsed="false">
      <c r="C223" s="0" t="n">
        <f aca="false">Panel!Q218-Panel!Q217</f>
        <v>0.0015756666439124</v>
      </c>
      <c r="D223" s="29" t="n">
        <f aca="false">Panel!Q217</f>
        <v>0.00313674867820524</v>
      </c>
      <c r="E223" s="30" t="n">
        <f aca="false">Panel!Q217-Panel!Q216</f>
        <v>-0.000514947655826603</v>
      </c>
      <c r="F223" s="30" t="n">
        <f aca="false">Panel!Q216-Panel!Q215</f>
        <v>-0.00222148255829602</v>
      </c>
      <c r="G223" s="30" t="n">
        <f aca="false">Panel!Q215-Panel!Q214</f>
        <v>0.00023472235857902</v>
      </c>
    </row>
    <row r="224" customFormat="false" ht="15" hidden="false" customHeight="false" outlineLevel="0" collapsed="false">
      <c r="C224" s="0" t="n">
        <f aca="false">Panel!Q219-Panel!Q218</f>
        <v>-0.00271083316206067</v>
      </c>
      <c r="D224" s="29" t="n">
        <f aca="false">Panel!Q218</f>
        <v>0.00471241532211764</v>
      </c>
      <c r="E224" s="30" t="n">
        <f aca="false">Panel!Q218-Panel!Q217</f>
        <v>0.0015756666439124</v>
      </c>
      <c r="F224" s="30" t="n">
        <f aca="false">Panel!Q217-Panel!Q216</f>
        <v>-0.000514947655826603</v>
      </c>
      <c r="G224" s="30" t="n">
        <f aca="false">Panel!Q216-Panel!Q215</f>
        <v>-0.00222148255829602</v>
      </c>
    </row>
    <row r="225" customFormat="false" ht="15" hidden="false" customHeight="false" outlineLevel="0" collapsed="false">
      <c r="C225" s="0" t="n">
        <f aca="false">Panel!Q220-Panel!Q219</f>
        <v>-0.000725896605626275</v>
      </c>
      <c r="D225" s="29" t="n">
        <f aca="false">Panel!Q219</f>
        <v>0.00200158216005697</v>
      </c>
      <c r="E225" s="30" t="n">
        <f aca="false">Panel!Q219-Panel!Q218</f>
        <v>-0.00271083316206067</v>
      </c>
      <c r="F225" s="30" t="n">
        <f aca="false">Panel!Q218-Panel!Q217</f>
        <v>0.0015756666439124</v>
      </c>
      <c r="G225" s="30" t="n">
        <f aca="false">Panel!Q217-Panel!Q216</f>
        <v>-0.000514947655826603</v>
      </c>
    </row>
    <row r="226" customFormat="false" ht="15" hidden="false" customHeight="false" outlineLevel="0" collapsed="false">
      <c r="C226" s="0" t="n">
        <f aca="false">Panel!Q221-Panel!Q220</f>
        <v>0.000901086413158225</v>
      </c>
      <c r="D226" s="29" t="n">
        <f aca="false">Panel!Q220</f>
        <v>0.00127568555443069</v>
      </c>
      <c r="E226" s="30" t="n">
        <f aca="false">Panel!Q220-Panel!Q219</f>
        <v>-0.000725896605626275</v>
      </c>
      <c r="F226" s="30" t="n">
        <f aca="false">Panel!Q219-Panel!Q218</f>
        <v>-0.00271083316206067</v>
      </c>
      <c r="G226" s="30" t="n">
        <f aca="false">Panel!Q218-Panel!Q217</f>
        <v>0.0015756666439124</v>
      </c>
    </row>
    <row r="227" customFormat="false" ht="15" hidden="false" customHeight="false" outlineLevel="0" collapsed="false">
      <c r="C227" s="0" t="n">
        <f aca="false">Panel!Q222-Panel!Q221</f>
        <v>-0.000848470476290331</v>
      </c>
      <c r="D227" s="29" t="n">
        <f aca="false">Panel!Q221</f>
        <v>0.00217677196758892</v>
      </c>
      <c r="E227" s="30" t="n">
        <f aca="false">Panel!Q221-Panel!Q220</f>
        <v>0.000901086413158225</v>
      </c>
      <c r="F227" s="30" t="n">
        <f aca="false">Panel!Q220-Panel!Q219</f>
        <v>-0.000725896605626275</v>
      </c>
      <c r="G227" s="30" t="n">
        <f aca="false">Panel!Q219-Panel!Q218</f>
        <v>-0.00271083316206067</v>
      </c>
    </row>
    <row r="228" customFormat="false" ht="15" hidden="false" customHeight="false" outlineLevel="0" collapsed="false">
      <c r="C228" s="0" t="n">
        <f aca="false">Panel!Q223-Panel!Q222</f>
        <v>0.000743350780926022</v>
      </c>
      <c r="D228" s="29" t="n">
        <f aca="false">Panel!Q222</f>
        <v>0.00132830149129859</v>
      </c>
      <c r="E228" s="30" t="n">
        <f aca="false">Panel!Q222-Panel!Q221</f>
        <v>-0.000848470476290331</v>
      </c>
      <c r="F228" s="30" t="n">
        <f aca="false">Panel!Q221-Panel!Q220</f>
        <v>0.000901086413158225</v>
      </c>
      <c r="G228" s="30" t="n">
        <f aca="false">Panel!Q220-Panel!Q219</f>
        <v>-0.000725896605626275</v>
      </c>
    </row>
    <row r="229" customFormat="false" ht="15" hidden="false" customHeight="false" outlineLevel="0" collapsed="false">
      <c r="C229" s="0" t="n">
        <f aca="false">Panel!Q224-Panel!Q223</f>
        <v>0.00121017153273861</v>
      </c>
      <c r="D229" s="29" t="n">
        <f aca="false">Panel!Q223</f>
        <v>0.00207165227222461</v>
      </c>
      <c r="E229" s="30" t="n">
        <f aca="false">Panel!Q223-Panel!Q222</f>
        <v>0.000743350780926022</v>
      </c>
      <c r="F229" s="30" t="n">
        <f aca="false">Panel!Q222-Panel!Q221</f>
        <v>-0.000848470476290331</v>
      </c>
      <c r="G229" s="30" t="n">
        <f aca="false">Panel!Q221-Panel!Q220</f>
        <v>0.000901086413158225</v>
      </c>
    </row>
    <row r="230" customFormat="false" ht="15" hidden="false" customHeight="false" outlineLevel="0" collapsed="false">
      <c r="C230" s="0" t="n">
        <f aca="false">Panel!Q225-Panel!Q224</f>
        <v>-0.000604951665190256</v>
      </c>
      <c r="D230" s="29" t="n">
        <f aca="false">Panel!Q224</f>
        <v>0.00328182380496322</v>
      </c>
      <c r="E230" s="30" t="n">
        <f aca="false">Panel!Q224-Panel!Q223</f>
        <v>0.00121017153273861</v>
      </c>
      <c r="F230" s="30" t="n">
        <f aca="false">Panel!Q223-Panel!Q222</f>
        <v>0.000743350780926022</v>
      </c>
      <c r="G230" s="30" t="n">
        <f aca="false">Panel!Q222-Panel!Q221</f>
        <v>-0.000848470476290331</v>
      </c>
    </row>
    <row r="231" customFormat="false" ht="15" hidden="false" customHeight="false" outlineLevel="0" collapsed="false">
      <c r="C231" s="0" t="n">
        <f aca="false">Panel!Q226-Panel!Q225</f>
        <v>-0.00131629548851464</v>
      </c>
      <c r="D231" s="29" t="n">
        <f aca="false">Panel!Q225</f>
        <v>0.00267687213977297</v>
      </c>
      <c r="E231" s="30" t="n">
        <f aca="false">Panel!Q225-Panel!Q224</f>
        <v>-0.000604951665190256</v>
      </c>
      <c r="F231" s="30" t="n">
        <f aca="false">Panel!Q224-Panel!Q223</f>
        <v>0.00121017153273861</v>
      </c>
      <c r="G231" s="30" t="n">
        <f aca="false">Panel!Q223-Panel!Q222</f>
        <v>0.000743350780926022</v>
      </c>
    </row>
    <row r="232" customFormat="false" ht="15" hidden="false" customHeight="false" outlineLevel="0" collapsed="false">
      <c r="C232" s="0" t="n">
        <f aca="false">Panel!Q227-Panel!Q226</f>
        <v>0.000951363533811644</v>
      </c>
      <c r="D232" s="29" t="n">
        <f aca="false">Panel!Q226</f>
        <v>0.00136057665125833</v>
      </c>
      <c r="E232" s="30" t="n">
        <f aca="false">Panel!Q226-Panel!Q225</f>
        <v>-0.00131629548851464</v>
      </c>
      <c r="F232" s="30" t="n">
        <f aca="false">Panel!Q225-Panel!Q224</f>
        <v>-0.000604951665190256</v>
      </c>
      <c r="G232" s="30" t="n">
        <f aca="false">Panel!Q224-Panel!Q223</f>
        <v>0.00121017153273861</v>
      </c>
    </row>
    <row r="233" customFormat="false" ht="15" hidden="false" customHeight="false" outlineLevel="0" collapsed="false">
      <c r="C233" s="0" t="n">
        <f aca="false">Panel!Q228-Panel!Q227</f>
        <v>0.00023032683345825</v>
      </c>
      <c r="D233" s="29" t="n">
        <f aca="false">Panel!Q227</f>
        <v>0.00231194018506997</v>
      </c>
      <c r="E233" s="30" t="n">
        <f aca="false">Panel!Q227-Panel!Q226</f>
        <v>0.000951363533811644</v>
      </c>
      <c r="F233" s="30" t="n">
        <f aca="false">Panel!Q226-Panel!Q225</f>
        <v>-0.00131629548851464</v>
      </c>
      <c r="G233" s="30" t="n">
        <f aca="false">Panel!Q225-Panel!Q224</f>
        <v>-0.000604951665190256</v>
      </c>
    </row>
    <row r="234" customFormat="false" ht="15" hidden="false" customHeight="false" outlineLevel="0" collapsed="false">
      <c r="C234" s="0" t="n">
        <f aca="false">Panel!Q229-Panel!Q228</f>
        <v>-0.000573663938228108</v>
      </c>
      <c r="D234" s="29" t="n">
        <f aca="false">Panel!Q228</f>
        <v>0.00254226701852822</v>
      </c>
      <c r="E234" s="30" t="n">
        <f aca="false">Panel!Q228-Panel!Q227</f>
        <v>0.00023032683345825</v>
      </c>
      <c r="F234" s="30" t="n">
        <f aca="false">Panel!Q227-Panel!Q226</f>
        <v>0.000951363533811644</v>
      </c>
      <c r="G234" s="30" t="n">
        <f aca="false">Panel!Q226-Panel!Q225</f>
        <v>-0.00131629548851464</v>
      </c>
    </row>
    <row r="235" customFormat="false" ht="15" hidden="false" customHeight="false" outlineLevel="0" collapsed="false">
      <c r="C235" s="0" t="n">
        <f aca="false">Panel!Q230-Panel!Q229</f>
        <v>0.000640848023243379</v>
      </c>
      <c r="D235" s="29" t="n">
        <f aca="false">Panel!Q229</f>
        <v>0.00196860308030011</v>
      </c>
      <c r="E235" s="30" t="n">
        <f aca="false">Panel!Q229-Panel!Q228</f>
        <v>-0.000573663938228108</v>
      </c>
      <c r="F235" s="30" t="n">
        <f aca="false">Panel!Q228-Panel!Q227</f>
        <v>0.00023032683345825</v>
      </c>
      <c r="G235" s="30" t="n">
        <f aca="false">Panel!Q227-Panel!Q226</f>
        <v>0.000951363533811644</v>
      </c>
    </row>
    <row r="236" customFormat="false" ht="15" hidden="false" customHeight="false" outlineLevel="0" collapsed="false">
      <c r="C236" s="0" t="n">
        <f aca="false">Panel!Q231-Panel!Q230</f>
        <v>-0.000638798553971753</v>
      </c>
      <c r="D236" s="29" t="n">
        <f aca="false">Panel!Q230</f>
        <v>0.00260945110354349</v>
      </c>
      <c r="E236" s="30" t="n">
        <f aca="false">Panel!Q230-Panel!Q229</f>
        <v>0.000640848023243379</v>
      </c>
      <c r="F236" s="30" t="n">
        <f aca="false">Panel!Q229-Panel!Q228</f>
        <v>-0.000573663938228108</v>
      </c>
      <c r="G236" s="30" t="n">
        <f aca="false">Panel!Q228-Panel!Q227</f>
        <v>0.00023032683345825</v>
      </c>
    </row>
    <row r="237" customFormat="false" ht="15" hidden="false" customHeight="false" outlineLevel="0" collapsed="false">
      <c r="C237" s="0" t="n">
        <f aca="false">Panel!Q232-Panel!Q231</f>
        <v>-0.00244923476556558</v>
      </c>
      <c r="D237" s="29" t="n">
        <f aca="false">Panel!Q231</f>
        <v>0.00197065254957174</v>
      </c>
      <c r="E237" s="30" t="n">
        <f aca="false">Panel!Q231-Panel!Q230</f>
        <v>-0.000638798553971753</v>
      </c>
      <c r="F237" s="30" t="n">
        <f aca="false">Panel!Q230-Panel!Q229</f>
        <v>0.000640848023243379</v>
      </c>
      <c r="G237" s="30" t="n">
        <f aca="false">Panel!Q229-Panel!Q228</f>
        <v>-0.000573663938228108</v>
      </c>
    </row>
    <row r="238" customFormat="false" ht="15" hidden="false" customHeight="false" outlineLevel="0" collapsed="false">
      <c r="C238" s="0" t="n">
        <f aca="false">Panel!Q233-Panel!Q232</f>
        <v>0.00698083549400685</v>
      </c>
      <c r="D238" s="29" t="n">
        <f aca="false">Panel!Q232</f>
        <v>-0.000478582215993839</v>
      </c>
      <c r="E238" s="30" t="n">
        <f aca="false">Panel!Q232-Panel!Q231</f>
        <v>-0.00244923476556558</v>
      </c>
      <c r="F238" s="30" t="n">
        <f aca="false">Panel!Q231-Panel!Q230</f>
        <v>-0.000638798553971753</v>
      </c>
      <c r="G238" s="30" t="n">
        <f aca="false">Panel!Q230-Panel!Q229</f>
        <v>0.000640848023243379</v>
      </c>
    </row>
    <row r="239" customFormat="false" ht="15" hidden="false" customHeight="false" outlineLevel="0" collapsed="false">
      <c r="C239" s="0" t="n">
        <f aca="false">Panel!Q234-Panel!Q233</f>
        <v>-0.00309230808064775</v>
      </c>
      <c r="D239" s="29" t="n">
        <f aca="false">Panel!Q233</f>
        <v>0.00650225327801302</v>
      </c>
      <c r="E239" s="30" t="n">
        <f aca="false">Panel!Q233-Panel!Q232</f>
        <v>0.00698083549400685</v>
      </c>
      <c r="F239" s="30" t="n">
        <f aca="false">Panel!Q232-Panel!Q231</f>
        <v>-0.00244923476556558</v>
      </c>
      <c r="G239" s="30" t="n">
        <f aca="false">Panel!Q231-Panel!Q230</f>
        <v>-0.000638798553971753</v>
      </c>
    </row>
    <row r="240" customFormat="false" ht="15" hidden="false" customHeight="false" outlineLevel="0" collapsed="false">
      <c r="C240" s="0" t="n">
        <f aca="false">Panel!Q235-Panel!Q234</f>
        <v>-0.000862167467600372</v>
      </c>
      <c r="D240" s="29" t="n">
        <f aca="false">Panel!Q234</f>
        <v>0.00340994519736526</v>
      </c>
      <c r="E240" s="30" t="n">
        <f aca="false">Panel!Q234-Panel!Q233</f>
        <v>-0.00309230808064775</v>
      </c>
      <c r="F240" s="30" t="n">
        <f aca="false">Panel!Q233-Panel!Q232</f>
        <v>0.00698083549400685</v>
      </c>
      <c r="G240" s="30" t="n">
        <f aca="false">Panel!Q232-Panel!Q231</f>
        <v>-0.00244923476556558</v>
      </c>
    </row>
    <row r="241" customFormat="false" ht="15" hidden="false" customHeight="false" outlineLevel="0" collapsed="false">
      <c r="C241" s="0" t="n">
        <f aca="false">Panel!Q236-Panel!Q235</f>
        <v>9.41267956662273E-005</v>
      </c>
      <c r="D241" s="29" t="n">
        <f aca="false">Panel!Q235</f>
        <v>0.00254777772976489</v>
      </c>
      <c r="E241" s="30" t="n">
        <f aca="false">Panel!Q235-Panel!Q234</f>
        <v>-0.000862167467600372</v>
      </c>
      <c r="F241" s="30" t="n">
        <f aca="false">Panel!Q234-Panel!Q233</f>
        <v>-0.00309230808064775</v>
      </c>
      <c r="G241" s="30" t="n">
        <f aca="false">Panel!Q233-Panel!Q232</f>
        <v>0.00698083549400685</v>
      </c>
    </row>
    <row r="242" customFormat="false" ht="15" hidden="false" customHeight="false" outlineLevel="0" collapsed="false">
      <c r="C242" s="0" t="n">
        <f aca="false">Panel!Q237-Panel!Q236</f>
        <v>0.000559872448787857</v>
      </c>
      <c r="D242" s="29" t="n">
        <f aca="false">Panel!Q236</f>
        <v>0.00264190452543112</v>
      </c>
      <c r="E242" s="30" t="n">
        <f aca="false">Panel!Q236-Panel!Q235</f>
        <v>9.41267956662273E-005</v>
      </c>
      <c r="F242" s="30" t="n">
        <f aca="false">Panel!Q235-Panel!Q234</f>
        <v>-0.000862167467600372</v>
      </c>
      <c r="G242" s="30" t="n">
        <f aca="false">Panel!Q234-Panel!Q233</f>
        <v>-0.00309230808064775</v>
      </c>
    </row>
    <row r="243" customFormat="false" ht="15" hidden="false" customHeight="false" outlineLevel="0" collapsed="false">
      <c r="C243" s="0" t="n">
        <f aca="false">Panel!Q238-Panel!Q237</f>
        <v>0.000870413380496871</v>
      </c>
      <c r="D243" s="29" t="n">
        <f aca="false">Panel!Q237</f>
        <v>0.00320177697421897</v>
      </c>
      <c r="E243" s="30" t="n">
        <f aca="false">Panel!Q237-Panel!Q236</f>
        <v>0.000559872448787857</v>
      </c>
      <c r="F243" s="30" t="n">
        <f aca="false">Panel!Q236-Panel!Q235</f>
        <v>9.41267956662273E-005</v>
      </c>
      <c r="G243" s="30" t="n">
        <f aca="false">Panel!Q235-Panel!Q234</f>
        <v>-0.000862167467600372</v>
      </c>
    </row>
    <row r="244" customFormat="false" ht="15" hidden="false" customHeight="false" outlineLevel="0" collapsed="false">
      <c r="C244" s="0" t="n">
        <f aca="false">Panel!Q239-Panel!Q238</f>
        <v>-0.000992099075952879</v>
      </c>
      <c r="D244" s="29" t="n">
        <f aca="false">Panel!Q238</f>
        <v>0.00407219035471584</v>
      </c>
      <c r="E244" s="30" t="n">
        <f aca="false">Panel!Q238-Panel!Q237</f>
        <v>0.000870413380496871</v>
      </c>
      <c r="F244" s="30" t="n">
        <f aca="false">Panel!Q237-Panel!Q236</f>
        <v>0.000559872448787857</v>
      </c>
      <c r="G244" s="30" t="n">
        <f aca="false">Panel!Q236-Panel!Q235</f>
        <v>9.41267956662273E-005</v>
      </c>
    </row>
    <row r="245" customFormat="false" ht="15" hidden="false" customHeight="false" outlineLevel="0" collapsed="false">
      <c r="C245" s="0" t="n">
        <f aca="false">Panel!Q240-Panel!Q239</f>
        <v>0.000489832025504455</v>
      </c>
      <c r="D245" s="29" t="n">
        <f aca="false">Panel!Q239</f>
        <v>0.00308009127876296</v>
      </c>
      <c r="E245" s="30" t="n">
        <f aca="false">Panel!Q239-Panel!Q238</f>
        <v>-0.000992099075952879</v>
      </c>
      <c r="F245" s="30" t="n">
        <f aca="false">Panel!Q238-Panel!Q237</f>
        <v>0.000870413380496871</v>
      </c>
      <c r="G245" s="30" t="n">
        <f aca="false">Panel!Q237-Panel!Q236</f>
        <v>0.000559872448787857</v>
      </c>
    </row>
    <row r="246" customFormat="false" ht="15" hidden="false" customHeight="false" outlineLevel="0" collapsed="false">
      <c r="C246" s="0" t="n">
        <f aca="false">Panel!Q241-Panel!Q240</f>
        <v>-0.00275924745850098</v>
      </c>
      <c r="D246" s="29" t="n">
        <f aca="false">Panel!Q240</f>
        <v>0.00356992330426742</v>
      </c>
      <c r="E246" s="30" t="n">
        <f aca="false">Panel!Q240-Panel!Q239</f>
        <v>0.000489832025504455</v>
      </c>
      <c r="F246" s="30" t="n">
        <f aca="false">Panel!Q239-Panel!Q238</f>
        <v>-0.000992099075952879</v>
      </c>
      <c r="G246" s="30" t="n">
        <f aca="false">Panel!Q238-Panel!Q237</f>
        <v>0.000870413380496871</v>
      </c>
    </row>
    <row r="247" customFormat="false" ht="15" hidden="false" customHeight="false" outlineLevel="0" collapsed="false">
      <c r="C247" s="0" t="n">
        <f aca="false">Panel!Q242-Panel!Q241</f>
        <v>0.000451271786225504</v>
      </c>
      <c r="D247" s="29" t="n">
        <f aca="false">Panel!Q241</f>
        <v>0.00081067584576644</v>
      </c>
      <c r="E247" s="30" t="n">
        <f aca="false">Panel!Q241-Panel!Q240</f>
        <v>-0.00275924745850098</v>
      </c>
      <c r="F247" s="30" t="n">
        <f aca="false">Panel!Q240-Panel!Q239</f>
        <v>0.000489832025504455</v>
      </c>
      <c r="G247" s="30" t="n">
        <f aca="false">Panel!Q239-Panel!Q238</f>
        <v>-0.000992099075952879</v>
      </c>
    </row>
    <row r="248" customFormat="false" ht="15" hidden="false" customHeight="false" outlineLevel="0" collapsed="false">
      <c r="C248" s="0" t="n">
        <f aca="false">Panel!Q243-Panel!Q242</f>
        <v>-0.00207447883040501</v>
      </c>
      <c r="D248" s="29" t="n">
        <f aca="false">Panel!Q242</f>
        <v>0.00126194763199194</v>
      </c>
      <c r="E248" s="30" t="n">
        <f aca="false">Panel!Q242-Panel!Q241</f>
        <v>0.000451271786225504</v>
      </c>
      <c r="F248" s="30" t="n">
        <f aca="false">Panel!Q241-Panel!Q240</f>
        <v>-0.00275924745850098</v>
      </c>
      <c r="G248" s="30" t="n">
        <f aca="false">Panel!Q240-Panel!Q239</f>
        <v>0.000489832025504455</v>
      </c>
    </row>
    <row r="249" customFormat="false" ht="15" hidden="false" customHeight="false" outlineLevel="0" collapsed="false">
      <c r="C249" s="0" t="n">
        <f aca="false">Panel!Q244-Panel!Q243</f>
        <v>0.000431080954690799</v>
      </c>
      <c r="D249" s="29" t="n">
        <f aca="false">Panel!Q243</f>
        <v>-0.000812531198413069</v>
      </c>
      <c r="E249" s="30" t="n">
        <f aca="false">Panel!Q243-Panel!Q242</f>
        <v>-0.00207447883040501</v>
      </c>
      <c r="F249" s="30" t="n">
        <f aca="false">Panel!Q242-Panel!Q241</f>
        <v>0.000451271786225504</v>
      </c>
      <c r="G249" s="30" t="n">
        <f aca="false">Panel!Q241-Panel!Q240</f>
        <v>-0.00275924745850098</v>
      </c>
    </row>
    <row r="250" customFormat="false" ht="15" hidden="false" customHeight="false" outlineLevel="0" collapsed="false">
      <c r="C250" s="0" t="n">
        <f aca="false">Panel!Q245-Panel!Q244</f>
        <v>-0.00252629853379993</v>
      </c>
      <c r="D250" s="29" t="n">
        <f aca="false">Panel!Q244</f>
        <v>-0.00038145024372227</v>
      </c>
      <c r="E250" s="30" t="n">
        <f aca="false">Panel!Q244-Panel!Q243</f>
        <v>0.000431080954690799</v>
      </c>
      <c r="F250" s="30" t="n">
        <f aca="false">Panel!Q243-Panel!Q242</f>
        <v>-0.00207447883040501</v>
      </c>
      <c r="G250" s="30" t="n">
        <f aca="false">Panel!Q242-Panel!Q241</f>
        <v>0.000451271786225504</v>
      </c>
    </row>
    <row r="251" customFormat="false" ht="15" hidden="false" customHeight="false" outlineLevel="0" collapsed="false">
      <c r="C251" s="0" t="n">
        <f aca="false">Panel!Q246-Panel!Q245</f>
        <v>0.00293466739699255</v>
      </c>
      <c r="D251" s="29" t="n">
        <f aca="false">Panel!Q245</f>
        <v>-0.0029077487775222</v>
      </c>
      <c r="E251" s="30" t="n">
        <f aca="false">Panel!Q245-Panel!Q244</f>
        <v>-0.00252629853379993</v>
      </c>
      <c r="F251" s="30" t="n">
        <f aca="false">Panel!Q244-Panel!Q243</f>
        <v>0.000431080954690799</v>
      </c>
      <c r="G251" s="30" t="n">
        <f aca="false">Panel!Q243-Panel!Q242</f>
        <v>-0.00207447883040501</v>
      </c>
    </row>
    <row r="252" customFormat="false" ht="15" hidden="false" customHeight="false" outlineLevel="0" collapsed="false">
      <c r="C252" s="0" t="n">
        <f aca="false">Panel!Q247-Panel!Q246</f>
        <v>-0.00118852781468171</v>
      </c>
      <c r="D252" s="29" t="n">
        <f aca="false">Panel!Q246</f>
        <v>2.69186194703508E-005</v>
      </c>
      <c r="E252" s="30" t="n">
        <f aca="false">Panel!Q246-Panel!Q245</f>
        <v>0.00293466739699255</v>
      </c>
      <c r="F252" s="30" t="n">
        <f aca="false">Panel!Q245-Panel!Q244</f>
        <v>-0.00252629853379993</v>
      </c>
      <c r="G252" s="30" t="n">
        <f aca="false">Panel!Q244-Panel!Q243</f>
        <v>0.000431080954690799</v>
      </c>
    </row>
    <row r="253" customFormat="false" ht="15" hidden="false" customHeight="false" outlineLevel="0" collapsed="false">
      <c r="C253" s="0" t="n">
        <f aca="false">Panel!Q248-Panel!Q247</f>
        <v>0.00146488613482987</v>
      </c>
      <c r="D253" s="29" t="n">
        <f aca="false">Panel!Q247</f>
        <v>-0.00116160919521136</v>
      </c>
      <c r="E253" s="30" t="n">
        <f aca="false">Panel!Q247-Panel!Q246</f>
        <v>-0.00118852781468171</v>
      </c>
      <c r="F253" s="30" t="n">
        <f aca="false">Panel!Q246-Panel!Q245</f>
        <v>0.00293466739699255</v>
      </c>
      <c r="G253" s="30" t="n">
        <f aca="false">Panel!Q245-Panel!Q244</f>
        <v>-0.00252629853379993</v>
      </c>
    </row>
    <row r="254" customFormat="false" ht="15" hidden="false" customHeight="false" outlineLevel="0" collapsed="false">
      <c r="C254" s="0" t="n">
        <f aca="false">Panel!Q249-Panel!Q248</f>
        <v>0.00179096977370286</v>
      </c>
      <c r="D254" s="29" t="n">
        <f aca="false">Panel!Q248</f>
        <v>0.000303276939618513</v>
      </c>
      <c r="E254" s="30" t="n">
        <f aca="false">Panel!Q248-Panel!Q247</f>
        <v>0.00146488613482987</v>
      </c>
      <c r="F254" s="30" t="n">
        <f aca="false">Panel!Q247-Panel!Q246</f>
        <v>-0.00118852781468171</v>
      </c>
      <c r="G254" s="30" t="n">
        <f aca="false">Panel!Q246-Panel!Q245</f>
        <v>0.00293466739699255</v>
      </c>
    </row>
    <row r="255" customFormat="false" ht="15" hidden="false" customHeight="false" outlineLevel="0" collapsed="false">
      <c r="C255" s="0" t="n">
        <f aca="false">Panel!Q250-Panel!Q249</f>
        <v>0.00256071459856599</v>
      </c>
      <c r="D255" s="29" t="n">
        <f aca="false">Panel!Q249</f>
        <v>0.00209424671332137</v>
      </c>
      <c r="E255" s="30" t="n">
        <f aca="false">Panel!Q249-Panel!Q248</f>
        <v>0.00179096977370286</v>
      </c>
      <c r="F255" s="30" t="n">
        <f aca="false">Panel!Q248-Panel!Q247</f>
        <v>0.00146488613482987</v>
      </c>
      <c r="G255" s="30" t="n">
        <f aca="false">Panel!Q247-Panel!Q246</f>
        <v>-0.00118852781468171</v>
      </c>
    </row>
    <row r="256" customFormat="false" ht="15" hidden="false" customHeight="false" outlineLevel="0" collapsed="false">
      <c r="C256" s="0" t="n">
        <f aca="false">Panel!Q251-Panel!Q250</f>
        <v>0.00134023805388317</v>
      </c>
      <c r="D256" s="29" t="n">
        <f aca="false">Panel!Q250</f>
        <v>0.00465496131188736</v>
      </c>
      <c r="E256" s="30" t="n">
        <f aca="false">Panel!Q250-Panel!Q249</f>
        <v>0.00256071459856599</v>
      </c>
      <c r="F256" s="30" t="n">
        <f aca="false">Panel!Q249-Panel!Q248</f>
        <v>0.00179096977370286</v>
      </c>
      <c r="G256" s="30" t="n">
        <f aca="false">Panel!Q248-Panel!Q247</f>
        <v>0.00146488613482987</v>
      </c>
    </row>
    <row r="257" customFormat="false" ht="15" hidden="false" customHeight="false" outlineLevel="0" collapsed="false">
      <c r="C257" s="0" t="n">
        <f aca="false">Panel!Q252-Panel!Q251</f>
        <v>-0.000406604894902074</v>
      </c>
      <c r="D257" s="29" t="n">
        <f aca="false">Panel!Q251</f>
        <v>0.00599519936577053</v>
      </c>
      <c r="E257" s="30" t="n">
        <f aca="false">Panel!Q251-Panel!Q250</f>
        <v>0.00134023805388317</v>
      </c>
      <c r="F257" s="30" t="n">
        <f aca="false">Panel!Q250-Panel!Q249</f>
        <v>0.00256071459856599</v>
      </c>
      <c r="G257" s="30" t="n">
        <f aca="false">Panel!Q249-Panel!Q248</f>
        <v>0.00179096977370286</v>
      </c>
    </row>
    <row r="258" customFormat="false" ht="15" hidden="false" customHeight="false" outlineLevel="0" collapsed="false">
      <c r="C258" s="0" t="n">
        <f aca="false">Panel!Q253-Panel!Q252</f>
        <v>-0.000282141650913559</v>
      </c>
      <c r="D258" s="29" t="n">
        <f aca="false">Panel!Q252</f>
        <v>0.00558859447086846</v>
      </c>
      <c r="E258" s="30" t="n">
        <f aca="false">Panel!Q252-Panel!Q251</f>
        <v>-0.000406604894902074</v>
      </c>
      <c r="F258" s="30" t="n">
        <f aca="false">Panel!Q251-Panel!Q250</f>
        <v>0.00134023805388317</v>
      </c>
      <c r="G258" s="30" t="n">
        <f aca="false">Panel!Q250-Panel!Q249</f>
        <v>0.00256071459856599</v>
      </c>
    </row>
    <row r="259" customFormat="false" ht="15" hidden="false" customHeight="false" outlineLevel="0" collapsed="false">
      <c r="C259" s="0" t="n">
        <f aca="false">Panel!Q254-Panel!Q253</f>
        <v>-0.00132860443146399</v>
      </c>
      <c r="D259" s="29" t="n">
        <f aca="false">Panel!Q253</f>
        <v>0.0053064528199549</v>
      </c>
      <c r="E259" s="30" t="n">
        <f aca="false">Panel!Q253-Panel!Q252</f>
        <v>-0.000282141650913559</v>
      </c>
      <c r="F259" s="30" t="n">
        <f aca="false">Panel!Q252-Panel!Q251</f>
        <v>-0.000406604894902074</v>
      </c>
      <c r="G259" s="30" t="n">
        <f aca="false">Panel!Q251-Panel!Q250</f>
        <v>0.00134023805388317</v>
      </c>
    </row>
    <row r="260" customFormat="false" ht="15" hidden="false" customHeight="false" outlineLevel="0" collapsed="false">
      <c r="C260" s="0" t="n">
        <f aca="false">Panel!Q255-Panel!Q254</f>
        <v>0.0012145426998238</v>
      </c>
      <c r="D260" s="29" t="n">
        <f aca="false">Panel!Q254</f>
        <v>0.00397784838849091</v>
      </c>
      <c r="E260" s="30" t="n">
        <f aca="false">Panel!Q254-Panel!Q253</f>
        <v>-0.00132860443146399</v>
      </c>
      <c r="F260" s="30" t="n">
        <f aca="false">Panel!Q253-Panel!Q252</f>
        <v>-0.000282141650913559</v>
      </c>
      <c r="G260" s="30" t="n">
        <f aca="false">Panel!Q252-Panel!Q251</f>
        <v>-0.000406604894902074</v>
      </c>
    </row>
    <row r="261" customFormat="false" ht="15" hidden="false" customHeight="false" outlineLevel="0" collapsed="false">
      <c r="C261" s="0" t="n">
        <f aca="false">Panel!Q256-Panel!Q255</f>
        <v>-0.00408457976429055</v>
      </c>
      <c r="D261" s="29" t="n">
        <f aca="false">Panel!Q255</f>
        <v>0.00519239108831471</v>
      </c>
      <c r="E261" s="30" t="n">
        <f aca="false">Panel!Q255-Panel!Q254</f>
        <v>0.0012145426998238</v>
      </c>
      <c r="F261" s="30" t="n">
        <f aca="false">Panel!Q254-Panel!Q253</f>
        <v>-0.00132860443146399</v>
      </c>
      <c r="G261" s="30" t="n">
        <f aca="false">Panel!Q253-Panel!Q252</f>
        <v>-0.000282141650913559</v>
      </c>
    </row>
    <row r="262" customFormat="false" ht="15" hidden="false" customHeight="false" outlineLevel="0" collapsed="false">
      <c r="C262" s="0" t="n">
        <f aca="false">Panel!Q257-Panel!Q256</f>
        <v>0.000399359621287232</v>
      </c>
      <c r="D262" s="29" t="n">
        <f aca="false">Panel!Q256</f>
        <v>0.00110781132402416</v>
      </c>
      <c r="E262" s="30" t="n">
        <f aca="false">Panel!Q256-Panel!Q255</f>
        <v>-0.00408457976429055</v>
      </c>
      <c r="F262" s="30" t="n">
        <f aca="false">Panel!Q255-Panel!Q254</f>
        <v>0.0012145426998238</v>
      </c>
      <c r="G262" s="30" t="n">
        <f aca="false">Panel!Q254-Panel!Q253</f>
        <v>-0.00132860443146399</v>
      </c>
    </row>
    <row r="263" customFormat="false" ht="15" hidden="false" customHeight="false" outlineLevel="0" collapsed="false">
      <c r="C263" s="0" t="n">
        <f aca="false">Panel!Q258-Panel!Q257</f>
        <v>0.00110964594614416</v>
      </c>
      <c r="D263" s="29" t="n">
        <f aca="false">Panel!Q257</f>
        <v>0.00150717094531139</v>
      </c>
      <c r="E263" s="30" t="n">
        <f aca="false">Panel!Q257-Panel!Q256</f>
        <v>0.000399359621287232</v>
      </c>
      <c r="F263" s="30" t="n">
        <f aca="false">Panel!Q256-Panel!Q255</f>
        <v>-0.00408457976429055</v>
      </c>
      <c r="G263" s="30" t="n">
        <f aca="false">Panel!Q255-Panel!Q254</f>
        <v>0.0012145426998238</v>
      </c>
    </row>
    <row r="264" customFormat="false" ht="15" hidden="false" customHeight="false" outlineLevel="0" collapsed="false">
      <c r="C264" s="0" t="n">
        <f aca="false">Panel!Q259-Panel!Q258</f>
        <v>-0.00232555354762809</v>
      </c>
      <c r="D264" s="29" t="n">
        <f aca="false">Panel!Q258</f>
        <v>0.00261681689145554</v>
      </c>
      <c r="E264" s="30" t="n">
        <f aca="false">Panel!Q258-Panel!Q257</f>
        <v>0.00110964594614416</v>
      </c>
      <c r="F264" s="30" t="n">
        <f aca="false">Panel!Q257-Panel!Q256</f>
        <v>0.000399359621287232</v>
      </c>
      <c r="G264" s="30" t="n">
        <f aca="false">Panel!Q256-Panel!Q255</f>
        <v>-0.00408457976429055</v>
      </c>
    </row>
    <row r="265" customFormat="false" ht="15" hidden="false" customHeight="false" outlineLevel="0" collapsed="false">
      <c r="C265" s="0" t="n">
        <f aca="false">Panel!Q260-Panel!Q259</f>
        <v>0.00285574867493921</v>
      </c>
      <c r="D265" s="29" t="n">
        <f aca="false">Panel!Q259</f>
        <v>0.000291263343827453</v>
      </c>
      <c r="E265" s="30" t="n">
        <f aca="false">Panel!Q259-Panel!Q258</f>
        <v>-0.00232555354762809</v>
      </c>
      <c r="F265" s="30" t="n">
        <f aca="false">Panel!Q258-Panel!Q257</f>
        <v>0.00110964594614416</v>
      </c>
      <c r="G265" s="30" t="n">
        <f aca="false">Panel!Q257-Panel!Q256</f>
        <v>0.000399359621287232</v>
      </c>
    </row>
    <row r="266" customFormat="false" ht="15" hidden="false" customHeight="false" outlineLevel="0" collapsed="false">
      <c r="C266" s="0" t="n">
        <f aca="false">Panel!Q261-Panel!Q260</f>
        <v>-0.00200335017542663</v>
      </c>
      <c r="D266" s="29" t="n">
        <f aca="false">Panel!Q260</f>
        <v>0.00314701201876666</v>
      </c>
      <c r="E266" s="30" t="n">
        <f aca="false">Panel!Q260-Panel!Q259</f>
        <v>0.00285574867493921</v>
      </c>
      <c r="F266" s="30" t="n">
        <f aca="false">Panel!Q259-Panel!Q258</f>
        <v>-0.00232555354762809</v>
      </c>
      <c r="G266" s="30" t="n">
        <f aca="false">Panel!Q258-Panel!Q257</f>
        <v>0.00110964594614416</v>
      </c>
    </row>
    <row r="267" customFormat="false" ht="15" hidden="false" customHeight="false" outlineLevel="0" collapsed="false">
      <c r="C267" s="0" t="n">
        <f aca="false">Panel!Q262-Panel!Q261</f>
        <v>-0.000373172764032148</v>
      </c>
      <c r="D267" s="29" t="n">
        <f aca="false">Panel!Q261</f>
        <v>0.00114366184334003</v>
      </c>
      <c r="E267" s="30" t="n">
        <f aca="false">Panel!Q261-Panel!Q260</f>
        <v>-0.00200335017542663</v>
      </c>
      <c r="F267" s="30" t="n">
        <f aca="false">Panel!Q260-Panel!Q259</f>
        <v>0.00285574867493921</v>
      </c>
      <c r="G267" s="30" t="n">
        <f aca="false">Panel!Q259-Panel!Q258</f>
        <v>-0.00232555354762809</v>
      </c>
    </row>
    <row r="268" customFormat="false" ht="15" hidden="false" customHeight="false" outlineLevel="0" collapsed="false">
      <c r="C268" s="0" t="n">
        <f aca="false">Panel!Q263-Panel!Q262</f>
        <v>0.00114241922047498</v>
      </c>
      <c r="D268" s="29" t="n">
        <f aca="false">Panel!Q262</f>
        <v>0.000770489079307879</v>
      </c>
      <c r="E268" s="30" t="n">
        <f aca="false">Panel!Q262-Panel!Q261</f>
        <v>-0.000373172764032148</v>
      </c>
      <c r="F268" s="30" t="n">
        <f aca="false">Panel!Q261-Panel!Q260</f>
        <v>-0.00200335017542663</v>
      </c>
      <c r="G268" s="30" t="n">
        <f aca="false">Panel!Q260-Panel!Q259</f>
        <v>0.00285574867493921</v>
      </c>
    </row>
    <row r="269" customFormat="false" ht="15" hidden="false" customHeight="false" outlineLevel="0" collapsed="false">
      <c r="C269" s="0" t="n">
        <f aca="false">Panel!Q264-Panel!Q263</f>
        <v>-1.19052082787618E-005</v>
      </c>
      <c r="D269" s="29" t="n">
        <f aca="false">Panel!Q263</f>
        <v>0.00191290829978286</v>
      </c>
      <c r="E269" s="30" t="n">
        <f aca="false">Panel!Q263-Panel!Q262</f>
        <v>0.00114241922047498</v>
      </c>
      <c r="F269" s="30" t="n">
        <f aca="false">Panel!Q262-Panel!Q261</f>
        <v>-0.000373172764032148</v>
      </c>
      <c r="G269" s="30" t="n">
        <f aca="false">Panel!Q261-Panel!Q260</f>
        <v>-0.00200335017542663</v>
      </c>
    </row>
    <row r="270" customFormat="false" ht="15" hidden="false" customHeight="false" outlineLevel="0" collapsed="false">
      <c r="C270" s="0" t="n">
        <f aca="false">Panel!Q265-Panel!Q264</f>
        <v>0.000716138873068317</v>
      </c>
      <c r="D270" s="29" t="n">
        <f aca="false">Panel!Q264</f>
        <v>0.00190100309150409</v>
      </c>
      <c r="E270" s="30" t="n">
        <f aca="false">Panel!Q264-Panel!Q263</f>
        <v>-1.19052082787618E-005</v>
      </c>
      <c r="F270" s="30" t="n">
        <f aca="false">Panel!Q263-Panel!Q262</f>
        <v>0.00114241922047498</v>
      </c>
      <c r="G270" s="30" t="n">
        <f aca="false">Panel!Q262-Panel!Q261</f>
        <v>-0.000373172764032148</v>
      </c>
    </row>
    <row r="271" customFormat="false" ht="15" hidden="false" customHeight="false" outlineLevel="0" collapsed="false">
      <c r="C271" s="0" t="n">
        <f aca="false">Panel!Q266-Panel!Q265</f>
        <v>0.000887163740525665</v>
      </c>
      <c r="D271" s="29" t="n">
        <f aca="false">Panel!Q265</f>
        <v>0.00261714196457241</v>
      </c>
      <c r="E271" s="30" t="n">
        <f aca="false">Panel!Q265-Panel!Q264</f>
        <v>0.000716138873068317</v>
      </c>
      <c r="F271" s="30" t="n">
        <f aca="false">Panel!Q264-Panel!Q263</f>
        <v>-1.19052082787618E-005</v>
      </c>
      <c r="G271" s="30" t="n">
        <f aca="false">Panel!Q263-Panel!Q262</f>
        <v>0.00114241922047498</v>
      </c>
    </row>
    <row r="272" customFormat="false" ht="15" hidden="false" customHeight="false" outlineLevel="0" collapsed="false">
      <c r="C272" s="0" t="n">
        <f aca="false">Panel!Q267-Panel!Q266</f>
        <v>-0.000931075576845686</v>
      </c>
      <c r="D272" s="29" t="n">
        <f aca="false">Panel!Q266</f>
        <v>0.00350430570509808</v>
      </c>
      <c r="E272" s="30" t="n">
        <f aca="false">Panel!Q266-Panel!Q265</f>
        <v>0.000887163740525665</v>
      </c>
      <c r="F272" s="30" t="n">
        <f aca="false">Panel!Q265-Panel!Q264</f>
        <v>0.000716138873068317</v>
      </c>
      <c r="G272" s="30" t="n">
        <f aca="false">Panel!Q264-Panel!Q263</f>
        <v>-1.19052082787618E-005</v>
      </c>
    </row>
    <row r="273" customFormat="false" ht="15" hidden="false" customHeight="false" outlineLevel="0" collapsed="false">
      <c r="C273" s="0" t="n">
        <f aca="false">Panel!Q268-Panel!Q267</f>
        <v>-0.000199864031110053</v>
      </c>
      <c r="D273" s="29" t="n">
        <f aca="false">Panel!Q267</f>
        <v>0.00257323012825239</v>
      </c>
      <c r="E273" s="30" t="n">
        <f aca="false">Panel!Q267-Panel!Q266</f>
        <v>-0.000931075576845686</v>
      </c>
      <c r="F273" s="30" t="n">
        <f aca="false">Panel!Q266-Panel!Q265</f>
        <v>0.000887163740525665</v>
      </c>
      <c r="G273" s="30" t="n">
        <f aca="false">Panel!Q265-Panel!Q264</f>
        <v>0.000716138873068317</v>
      </c>
    </row>
    <row r="274" customFormat="false" ht="15" hidden="false" customHeight="false" outlineLevel="0" collapsed="false">
      <c r="C274" s="0" t="n">
        <f aca="false">Panel!Q269-Panel!Q268</f>
        <v>-0.00113300854474829</v>
      </c>
      <c r="D274" s="29" t="n">
        <f aca="false">Panel!Q268</f>
        <v>0.00237336609714234</v>
      </c>
      <c r="E274" s="30" t="n">
        <f aca="false">Panel!Q268-Panel!Q267</f>
        <v>-0.000199864031110053</v>
      </c>
      <c r="F274" s="30" t="n">
        <f aca="false">Panel!Q267-Panel!Q266</f>
        <v>-0.000931075576845686</v>
      </c>
      <c r="G274" s="30" t="n">
        <f aca="false">Panel!Q266-Panel!Q265</f>
        <v>0.000887163740525665</v>
      </c>
    </row>
    <row r="275" customFormat="false" ht="15" hidden="false" customHeight="false" outlineLevel="0" collapsed="false">
      <c r="C275" s="0" t="n">
        <f aca="false">Panel!Q270-Panel!Q269</f>
        <v>-0.00178672583744621</v>
      </c>
      <c r="D275" s="29" t="n">
        <f aca="false">Panel!Q269</f>
        <v>0.00124035755239404</v>
      </c>
      <c r="E275" s="30" t="n">
        <f aca="false">Panel!Q269-Panel!Q268</f>
        <v>-0.00113300854474829</v>
      </c>
      <c r="F275" s="30" t="n">
        <f aca="false">Panel!Q268-Panel!Q267</f>
        <v>-0.000199864031110053</v>
      </c>
      <c r="G275" s="30" t="n">
        <f aca="false">Panel!Q267-Panel!Q266</f>
        <v>-0.000931075576845686</v>
      </c>
    </row>
    <row r="276" customFormat="false" ht="15" hidden="false" customHeight="false" outlineLevel="0" collapsed="false">
      <c r="C276" s="0" t="n">
        <f aca="false">Panel!Q271-Panel!Q270</f>
        <v>0.000580395464508499</v>
      </c>
      <c r="D276" s="29" t="n">
        <f aca="false">Panel!Q270</f>
        <v>-0.000546368285052168</v>
      </c>
      <c r="E276" s="30" t="n">
        <f aca="false">Panel!Q270-Panel!Q269</f>
        <v>-0.00178672583744621</v>
      </c>
      <c r="F276" s="30" t="n">
        <f aca="false">Panel!Q269-Panel!Q268</f>
        <v>-0.00113300854474829</v>
      </c>
      <c r="G276" s="30" t="n">
        <f aca="false">Panel!Q268-Panel!Q267</f>
        <v>-0.000199864031110053</v>
      </c>
    </row>
    <row r="277" customFormat="false" ht="15" hidden="false" customHeight="false" outlineLevel="0" collapsed="false">
      <c r="C277" s="0" t="n">
        <f aca="false">Panel!Q272-Panel!Q271</f>
        <v>-0.00267866568507991</v>
      </c>
      <c r="D277" s="29" t="n">
        <f aca="false">Panel!Q271</f>
        <v>3.40271794563307E-005</v>
      </c>
      <c r="E277" s="30" t="n">
        <f aca="false">Panel!Q271-Panel!Q270</f>
        <v>0.000580395464508499</v>
      </c>
      <c r="F277" s="30" t="n">
        <f aca="false">Panel!Q270-Panel!Q269</f>
        <v>-0.00178672583744621</v>
      </c>
      <c r="G277" s="30" t="n">
        <f aca="false">Panel!Q269-Panel!Q268</f>
        <v>-0.00113300854474829</v>
      </c>
    </row>
    <row r="278" customFormat="false" ht="15" hidden="false" customHeight="false" outlineLevel="0" collapsed="false">
      <c r="C278" s="0" t="n">
        <f aca="false">Panel!Q273-Panel!Q272</f>
        <v>-0.00449738359061946</v>
      </c>
      <c r="D278" s="29" t="n">
        <f aca="false">Panel!Q272</f>
        <v>-0.00264463850562358</v>
      </c>
      <c r="E278" s="30" t="n">
        <f aca="false">Panel!Q272-Panel!Q271</f>
        <v>-0.00267866568507991</v>
      </c>
      <c r="F278" s="30" t="n">
        <f aca="false">Panel!Q271-Panel!Q270</f>
        <v>0.000580395464508499</v>
      </c>
      <c r="G278" s="30" t="n">
        <f aca="false">Panel!Q270-Panel!Q269</f>
        <v>-0.00178672583744621</v>
      </c>
    </row>
    <row r="279" customFormat="false" ht="15" hidden="false" customHeight="false" outlineLevel="0" collapsed="false">
      <c r="C279" s="0" t="n">
        <f aca="false">Panel!Q274-Panel!Q273</f>
        <v>0.00741106390921864</v>
      </c>
      <c r="D279" s="29" t="n">
        <f aca="false">Panel!Q273</f>
        <v>-0.00714202209624304</v>
      </c>
      <c r="E279" s="30" t="n">
        <f aca="false">Panel!Q273-Panel!Q272</f>
        <v>-0.00449738359061946</v>
      </c>
      <c r="F279" s="30" t="n">
        <f aca="false">Panel!Q272-Panel!Q271</f>
        <v>-0.00267866568507991</v>
      </c>
      <c r="G279" s="30" t="n">
        <f aca="false">Panel!Q271-Panel!Q270</f>
        <v>0.000580395464508499</v>
      </c>
    </row>
    <row r="280" customFormat="false" ht="15" hidden="false" customHeight="false" outlineLevel="0" collapsed="false">
      <c r="C280" s="0" t="n">
        <f aca="false">Panel!Q275-Panel!Q274</f>
        <v>0.00599669282774151</v>
      </c>
      <c r="D280" s="29" t="n">
        <f aca="false">Panel!Q274</f>
        <v>0.000269041812975601</v>
      </c>
      <c r="E280" s="30" t="n">
        <f aca="false">Panel!Q274-Panel!Q273</f>
        <v>0.00741106390921864</v>
      </c>
      <c r="F280" s="30" t="n">
        <f aca="false">Panel!Q273-Panel!Q272</f>
        <v>-0.00449738359061946</v>
      </c>
      <c r="G280" s="30" t="n">
        <f aca="false">Panel!Q272-Panel!Q271</f>
        <v>-0.00267866568507991</v>
      </c>
    </row>
    <row r="281" customFormat="false" ht="15" hidden="false" customHeight="false" outlineLevel="0" collapsed="false">
      <c r="C281" s="0" t="n">
        <f aca="false">Panel!Q276-Panel!Q275</f>
        <v>-0.040216005885517</v>
      </c>
      <c r="D281" s="29" t="n">
        <f aca="false">Panel!Q275</f>
        <v>0.00626573464071711</v>
      </c>
      <c r="E281" s="30" t="n">
        <f aca="false">Panel!Q275-Panel!Q274</f>
        <v>0.00599669282774151</v>
      </c>
      <c r="F281" s="30" t="n">
        <f aca="false">Panel!Q274-Panel!Q273</f>
        <v>0.00741106390921864</v>
      </c>
      <c r="G281" s="30" t="n">
        <f aca="false">Panel!Q273-Panel!Q272</f>
        <v>-0.00449738359061946</v>
      </c>
    </row>
    <row r="282" customFormat="false" ht="15" hidden="false" customHeight="false" outlineLevel="0" collapsed="false">
      <c r="C282" s="0" t="n">
        <f aca="false">Panel!Q277-Panel!Q276</f>
        <v>0.0315461145056286</v>
      </c>
      <c r="D282" s="29" t="n">
        <f aca="false">Panel!Q276</f>
        <v>-0.0339502712447999</v>
      </c>
      <c r="E282" s="30" t="n">
        <f aca="false">Panel!Q276-Panel!Q275</f>
        <v>-0.040216005885517</v>
      </c>
      <c r="F282" s="30" t="n">
        <f aca="false">Panel!Q275-Panel!Q274</f>
        <v>0.00599669282774151</v>
      </c>
      <c r="G282" s="30" t="n">
        <f aca="false">Panel!Q274-Panel!Q273</f>
        <v>0.00741106390921864</v>
      </c>
    </row>
    <row r="283" customFormat="false" ht="15" hidden="false" customHeight="false" outlineLevel="0" collapsed="false">
      <c r="C283" s="0" t="n">
        <f aca="false">Panel!Q278-Panel!Q277</f>
        <v>0.00589871401532704</v>
      </c>
      <c r="D283" s="29" t="n">
        <f aca="false">Panel!Q277</f>
        <v>-0.00240415673917127</v>
      </c>
      <c r="E283" s="30" t="n">
        <f aca="false">Panel!Q277-Panel!Q276</f>
        <v>0.0315461145056286</v>
      </c>
      <c r="F283" s="30" t="n">
        <f aca="false">Panel!Q276-Panel!Q275</f>
        <v>-0.040216005885517</v>
      </c>
      <c r="G283" s="30" t="n">
        <f aca="false">Panel!Q275-Panel!Q274</f>
        <v>0.00599669282774151</v>
      </c>
    </row>
    <row r="284" customFormat="false" ht="15" hidden="false" customHeight="false" outlineLevel="0" collapsed="false">
      <c r="C284" s="0" t="n">
        <f aca="false">Panel!Q279-Panel!Q278</f>
        <v>-0.00175740015279935</v>
      </c>
      <c r="D284" s="29" t="n">
        <f aca="false">Panel!Q278</f>
        <v>0.00349455727615577</v>
      </c>
      <c r="E284" s="30" t="n">
        <f aca="false">Panel!Q278-Panel!Q277</f>
        <v>0.00589871401532704</v>
      </c>
      <c r="F284" s="30" t="n">
        <f aca="false">Panel!Q277-Panel!Q276</f>
        <v>0.0315461145056286</v>
      </c>
      <c r="G284" s="30" t="n">
        <f aca="false">Panel!Q276-Panel!Q275</f>
        <v>-0.040216005885517</v>
      </c>
    </row>
    <row r="285" customFormat="false" ht="15" hidden="false" customHeight="false" outlineLevel="0" collapsed="false">
      <c r="C285" s="0" t="n">
        <f aca="false">Panel!Q280-Panel!Q279</f>
        <v>-0.00323489883581551</v>
      </c>
      <c r="D285" s="29" t="n">
        <f aca="false">Panel!Q279</f>
        <v>0.00173715712335643</v>
      </c>
      <c r="E285" s="30" t="n">
        <f aca="false">Panel!Q279-Panel!Q278</f>
        <v>-0.00175740015279935</v>
      </c>
      <c r="F285" s="30" t="n">
        <f aca="false">Panel!Q278-Panel!Q277</f>
        <v>0.00589871401532704</v>
      </c>
      <c r="G285" s="30" t="n">
        <f aca="false">Panel!Q277-Panel!Q276</f>
        <v>0.0315461145056286</v>
      </c>
    </row>
    <row r="286" customFormat="false" ht="15" hidden="false" customHeight="false" outlineLevel="0" collapsed="false">
      <c r="C286" s="0" t="n">
        <f aca="false">Panel!Q281-Panel!Q280</f>
        <v>0.0004252383305694</v>
      </c>
      <c r="D286" s="29" t="n">
        <f aca="false">Panel!Q280</f>
        <v>-0.00149774171245909</v>
      </c>
      <c r="E286" s="30" t="n">
        <f aca="false">Panel!Q280-Panel!Q279</f>
        <v>-0.00323489883581551</v>
      </c>
      <c r="F286" s="30" t="n">
        <f aca="false">Panel!Q279-Panel!Q278</f>
        <v>-0.00175740015279935</v>
      </c>
      <c r="G286" s="30" t="n">
        <f aca="false">Panel!Q278-Panel!Q277</f>
        <v>0.00589871401532704</v>
      </c>
    </row>
    <row r="287" customFormat="false" ht="15" hidden="false" customHeight="false" outlineLevel="0" collapsed="false">
      <c r="C287" s="0" t="n">
        <f aca="false">Panel!Q282-Panel!Q281</f>
        <v>-0.000429287136153533</v>
      </c>
      <c r="D287" s="29" t="n">
        <f aca="false">Panel!Q281</f>
        <v>-0.00107250338188969</v>
      </c>
      <c r="E287" s="30" t="n">
        <f aca="false">Panel!Q281-Panel!Q280</f>
        <v>0.0004252383305694</v>
      </c>
      <c r="F287" s="30" t="n">
        <f aca="false">Panel!Q280-Panel!Q279</f>
        <v>-0.00323489883581551</v>
      </c>
      <c r="G287" s="30" t="n">
        <f aca="false">Panel!Q279-Panel!Q278</f>
        <v>-0.00175740015279935</v>
      </c>
    </row>
    <row r="288" customFormat="false" ht="15" hidden="false" customHeight="false" outlineLevel="0" collapsed="false">
      <c r="C288" s="0" t="n">
        <f aca="false">Panel!Q283-Panel!Q282</f>
        <v>-0.00114008489238593</v>
      </c>
      <c r="D288" s="29" t="n">
        <f aca="false">Panel!Q282</f>
        <v>-0.00150179051804322</v>
      </c>
      <c r="E288" s="30" t="n">
        <f aca="false">Panel!Q282-Panel!Q281</f>
        <v>-0.000429287136153533</v>
      </c>
      <c r="F288" s="30" t="n">
        <f aca="false">Panel!Q281-Panel!Q280</f>
        <v>0.0004252383305694</v>
      </c>
      <c r="G288" s="30" t="n">
        <f aca="false">Panel!Q280-Panel!Q279</f>
        <v>-0.00323489883581551</v>
      </c>
    </row>
    <row r="289" customFormat="false" ht="15" hidden="false" customHeight="false" outlineLevel="0" collapsed="false">
      <c r="C289" s="0" t="n">
        <f aca="false">Panel!Q284-Panel!Q283</f>
        <v>0.000297087972528587</v>
      </c>
      <c r="D289" s="29" t="n">
        <f aca="false">Panel!Q283</f>
        <v>-0.00264187541042915</v>
      </c>
      <c r="E289" s="30" t="n">
        <f aca="false">Panel!Q283-Panel!Q282</f>
        <v>-0.00114008489238593</v>
      </c>
      <c r="F289" s="30" t="n">
        <f aca="false">Panel!Q282-Panel!Q281</f>
        <v>-0.000429287136153533</v>
      </c>
      <c r="G289" s="30" t="n">
        <f aca="false">Panel!Q281-Panel!Q280</f>
        <v>0.0004252383305694</v>
      </c>
    </row>
    <row r="290" customFormat="false" ht="15" hidden="false" customHeight="false" outlineLevel="0" collapsed="false">
      <c r="C290" s="0" t="n">
        <f aca="false">Panel!Q285-Panel!Q284</f>
        <v>0.00150758978784715</v>
      </c>
      <c r="D290" s="29" t="n">
        <f aca="false">Panel!Q284</f>
        <v>-0.00234478743790056</v>
      </c>
      <c r="E290" s="30" t="n">
        <f aca="false">Panel!Q284-Panel!Q283</f>
        <v>0.000297087972528587</v>
      </c>
      <c r="F290" s="30" t="n">
        <f aca="false">Panel!Q283-Panel!Q282</f>
        <v>-0.00114008489238593</v>
      </c>
      <c r="G290" s="30" t="n">
        <f aca="false">Panel!Q282-Panel!Q281</f>
        <v>-0.000429287136153533</v>
      </c>
    </row>
    <row r="291" customFormat="false" ht="15" hidden="false" customHeight="false" outlineLevel="0" collapsed="false">
      <c r="C291" s="0" t="n">
        <f aca="false">Panel!Q286-Panel!Q285</f>
        <v>-0.00179632326941892</v>
      </c>
      <c r="D291" s="29" t="n">
        <f aca="false">Panel!Q285</f>
        <v>-0.000837197650053412</v>
      </c>
      <c r="E291" s="30" t="n">
        <f aca="false">Panel!Q285-Panel!Q284</f>
        <v>0.00150758978784715</v>
      </c>
      <c r="F291" s="30" t="n">
        <f aca="false">Panel!Q284-Panel!Q283</f>
        <v>0.000297087972528587</v>
      </c>
      <c r="G291" s="30" t="n">
        <f aca="false">Panel!Q283-Panel!Q282</f>
        <v>-0.00114008489238593</v>
      </c>
    </row>
    <row r="292" customFormat="false" ht="15" hidden="false" customHeight="false" outlineLevel="0" collapsed="false">
      <c r="C292" s="0" t="n">
        <f aca="false">Panel!Q287-Panel!Q286</f>
        <v>0.00207443948919384</v>
      </c>
      <c r="D292" s="29" t="n">
        <f aca="false">Panel!Q286</f>
        <v>-0.00263352091947233</v>
      </c>
      <c r="E292" s="30" t="n">
        <f aca="false">Panel!Q286-Panel!Q285</f>
        <v>-0.00179632326941892</v>
      </c>
      <c r="F292" s="30" t="n">
        <f aca="false">Panel!Q285-Panel!Q284</f>
        <v>0.00150758978784715</v>
      </c>
      <c r="G292" s="30" t="n">
        <f aca="false">Panel!Q284-Panel!Q283</f>
        <v>0.000297087972528587</v>
      </c>
    </row>
    <row r="293" customFormat="false" ht="15" hidden="false" customHeight="false" outlineLevel="0" collapsed="false">
      <c r="C293" s="0" t="n">
        <f aca="false">Panel!Q288-Panel!Q287</f>
        <v>-0.00198850689743679</v>
      </c>
      <c r="D293" s="29" t="n">
        <f aca="false">Panel!Q287</f>
        <v>-0.000559081430278496</v>
      </c>
      <c r="E293" s="30" t="n">
        <f aca="false">Panel!Q287-Panel!Q286</f>
        <v>0.00207443948919384</v>
      </c>
      <c r="F293" s="30" t="n">
        <f aca="false">Panel!Q286-Panel!Q285</f>
        <v>-0.00179632326941892</v>
      </c>
      <c r="G293" s="30" t="n">
        <f aca="false">Panel!Q285-Panel!Q284</f>
        <v>0.00150758978784715</v>
      </c>
    </row>
    <row r="294" customFormat="false" ht="15" hidden="false" customHeight="false" outlineLevel="0" collapsed="false">
      <c r="C294" s="0" t="n">
        <f aca="false">Panel!Q289-Panel!Q288</f>
        <v>0.00104598741073048</v>
      </c>
      <c r="D294" s="29" t="n">
        <f aca="false">Panel!Q288</f>
        <v>-0.00254758832771529</v>
      </c>
      <c r="E294" s="30" t="n">
        <f aca="false">Panel!Q288-Panel!Q287</f>
        <v>-0.00198850689743679</v>
      </c>
      <c r="F294" s="30" t="n">
        <f aca="false">Panel!Q287-Panel!Q286</f>
        <v>0.00207443948919384</v>
      </c>
      <c r="G294" s="30" t="n">
        <f aca="false">Panel!Q286-Panel!Q285</f>
        <v>-0.00179632326941892</v>
      </c>
    </row>
    <row r="295" customFormat="false" ht="15" hidden="false" customHeight="false" outlineLevel="0" collapsed="false">
      <c r="C295" s="0" t="n">
        <f aca="false">Panel!Q290-Panel!Q289</f>
        <v>5.3718400335967E-005</v>
      </c>
      <c r="D295" s="29" t="n">
        <f aca="false">Panel!Q289</f>
        <v>-0.00150160091698481</v>
      </c>
      <c r="E295" s="30" t="n">
        <f aca="false">Panel!Q289-Panel!Q288</f>
        <v>0.00104598741073048</v>
      </c>
      <c r="F295" s="30" t="n">
        <f aca="false">Panel!Q288-Panel!Q287</f>
        <v>-0.00198850689743679</v>
      </c>
      <c r="G295" s="30" t="n">
        <f aca="false">Panel!Q287-Panel!Q286</f>
        <v>0.00207443948919384</v>
      </c>
    </row>
    <row r="296" customFormat="false" ht="15" hidden="false" customHeight="false" outlineLevel="0" collapsed="false">
      <c r="C296" s="0" t="n">
        <f aca="false">Panel!Q291-Panel!Q290</f>
        <v>0.000706999489604954</v>
      </c>
      <c r="D296" s="29" t="n">
        <f aca="false">Panel!Q290</f>
        <v>-0.00144788251664885</v>
      </c>
      <c r="E296" s="30" t="n">
        <f aca="false">Panel!Q290-Panel!Q289</f>
        <v>5.3718400335967E-005</v>
      </c>
      <c r="F296" s="30" t="n">
        <f aca="false">Panel!Q289-Panel!Q288</f>
        <v>0.00104598741073048</v>
      </c>
      <c r="G296" s="30" t="n">
        <f aca="false">Panel!Q288-Panel!Q287</f>
        <v>-0.00198850689743679</v>
      </c>
    </row>
    <row r="297" customFormat="false" ht="15" hidden="false" customHeight="false" outlineLevel="0" collapsed="false">
      <c r="C297" s="0" t="n">
        <f aca="false">Panel!Q292-Panel!Q291</f>
        <v>7.44771846132863E-005</v>
      </c>
      <c r="D297" s="29" t="n">
        <f aca="false">Panel!Q291</f>
        <v>-0.000740883027043893</v>
      </c>
      <c r="E297" s="30" t="n">
        <f aca="false">Panel!Q291-Panel!Q290</f>
        <v>0.000706999489604954</v>
      </c>
      <c r="F297" s="30" t="n">
        <f aca="false">Panel!Q290-Panel!Q289</f>
        <v>5.3718400335967E-005</v>
      </c>
      <c r="G297" s="30" t="n">
        <f aca="false">Panel!Q289-Panel!Q288</f>
        <v>0.00104598741073048</v>
      </c>
    </row>
    <row r="298" customFormat="false" ht="15" hidden="false" customHeight="false" outlineLevel="0" collapsed="false">
      <c r="C298" s="0" t="n">
        <f aca="false">Panel!Q293-Panel!Q292</f>
        <v>0.0016395655468795</v>
      </c>
      <c r="D298" s="29" t="n">
        <f aca="false">Panel!Q292</f>
        <v>-0.000666405842430606</v>
      </c>
      <c r="E298" s="30" t="n">
        <f aca="false">Panel!Q292-Panel!Q291</f>
        <v>7.44771846132863E-005</v>
      </c>
      <c r="F298" s="30" t="n">
        <f aca="false">Panel!Q291-Panel!Q290</f>
        <v>0.000706999489604954</v>
      </c>
      <c r="G298" s="30" t="n">
        <f aca="false">Panel!Q290-Panel!Q289</f>
        <v>5.3718400335967E-005</v>
      </c>
    </row>
    <row r="299" customFormat="false" ht="15" hidden="false" customHeight="false" outlineLevel="0" collapsed="false">
      <c r="C299" s="0" t="n">
        <f aca="false">Panel!Q294-Panel!Q293</f>
        <v>-0.000178159331861494</v>
      </c>
      <c r="D299" s="29" t="n">
        <f aca="false">Panel!Q293</f>
        <v>0.000973159704448889</v>
      </c>
      <c r="E299" s="30" t="n">
        <f aca="false">Panel!Q293-Panel!Q292</f>
        <v>0.0016395655468795</v>
      </c>
      <c r="F299" s="30" t="n">
        <f aca="false">Panel!Q292-Panel!Q291</f>
        <v>7.44771846132863E-005</v>
      </c>
      <c r="G299" s="30" t="n">
        <f aca="false">Panel!Q291-Panel!Q290</f>
        <v>0.000706999489604954</v>
      </c>
    </row>
    <row r="300" customFormat="false" ht="15" hidden="false" customHeight="false" outlineLevel="0" collapsed="false">
      <c r="C300" s="0" t="n">
        <f aca="false">Panel!Q295-Panel!Q294</f>
        <v>-0.00259302599811306</v>
      </c>
      <c r="D300" s="29" t="n">
        <f aca="false">Panel!Q294</f>
        <v>0.000795000372587396</v>
      </c>
      <c r="E300" s="30" t="n">
        <f aca="false">Panel!Q294-Panel!Q293</f>
        <v>-0.000178159331861494</v>
      </c>
      <c r="F300" s="30" t="n">
        <f aca="false">Panel!Q293-Panel!Q292</f>
        <v>0.0016395655468795</v>
      </c>
      <c r="G300" s="30" t="n">
        <f aca="false">Panel!Q292-Panel!Q291</f>
        <v>7.44771846132863E-005</v>
      </c>
    </row>
    <row r="301" customFormat="false" ht="15" hidden="false" customHeight="false" outlineLevel="0" collapsed="false">
      <c r="C301" s="0" t="n">
        <f aca="false">Panel!Q296-Panel!Q295</f>
        <v>0.00186790135501447</v>
      </c>
      <c r="D301" s="29" t="n">
        <f aca="false">Panel!Q295</f>
        <v>-0.00179802562552567</v>
      </c>
      <c r="E301" s="30" t="n">
        <f aca="false">Panel!Q295-Panel!Q294</f>
        <v>-0.00259302599811306</v>
      </c>
      <c r="F301" s="30" t="n">
        <f aca="false">Panel!Q294-Panel!Q293</f>
        <v>-0.000178159331861494</v>
      </c>
      <c r="G301" s="30" t="n">
        <f aca="false">Panel!Q293-Panel!Q292</f>
        <v>0.0016395655468795</v>
      </c>
    </row>
    <row r="302" customFormat="false" ht="15" hidden="false" customHeight="false" outlineLevel="0" collapsed="false">
      <c r="C302" s="0" t="n">
        <f aca="false">Panel!Q297-Panel!Q296</f>
        <v>-0.000881443901260326</v>
      </c>
      <c r="D302" s="29" t="n">
        <f aca="false">Panel!Q296</f>
        <v>6.98757294887997E-005</v>
      </c>
      <c r="E302" s="30" t="n">
        <f aca="false">Panel!Q296-Panel!Q295</f>
        <v>0.00186790135501447</v>
      </c>
      <c r="F302" s="30" t="n">
        <f aca="false">Panel!Q295-Panel!Q294</f>
        <v>-0.00259302599811306</v>
      </c>
      <c r="G302" s="30" t="n">
        <f aca="false">Panel!Q294-Panel!Q293</f>
        <v>-0.000178159331861494</v>
      </c>
    </row>
    <row r="303" customFormat="false" ht="15" hidden="false" customHeight="false" outlineLevel="0" collapsed="false">
      <c r="C303" s="0" t="n">
        <f aca="false">Panel!Q298-Panel!Q297</f>
        <v>-0.000221615394110586</v>
      </c>
      <c r="D303" s="29" t="n">
        <f aca="false">Panel!Q297</f>
        <v>-0.000811568171771526</v>
      </c>
      <c r="E303" s="30" t="n">
        <f aca="false">Panel!Q297-Panel!Q296</f>
        <v>-0.000881443901260326</v>
      </c>
      <c r="F303" s="30" t="n">
        <f aca="false">Panel!Q296-Panel!Q295</f>
        <v>0.00186790135501447</v>
      </c>
      <c r="G303" s="30" t="n">
        <f aca="false">Panel!Q295-Panel!Q294</f>
        <v>-0.00259302599811306</v>
      </c>
    </row>
    <row r="304" customFormat="false" ht="15" hidden="false" customHeight="false" outlineLevel="0" collapsed="false">
      <c r="C304" s="0" t="n">
        <f aca="false">Panel!Q299-Panel!Q298</f>
        <v>0.00193501758820602</v>
      </c>
      <c r="D304" s="29" t="n">
        <f aca="false">Panel!Q298</f>
        <v>-0.00103318356588211</v>
      </c>
      <c r="E304" s="30" t="n">
        <f aca="false">Panel!Q298-Panel!Q297</f>
        <v>-0.000221615394110586</v>
      </c>
      <c r="F304" s="30" t="n">
        <f aca="false">Panel!Q297-Panel!Q296</f>
        <v>-0.000881443901260326</v>
      </c>
      <c r="G304" s="30" t="n">
        <f aca="false">Panel!Q296-Panel!Q295</f>
        <v>0.00186790135501447</v>
      </c>
    </row>
    <row r="305" customFormat="false" ht="15" hidden="false" customHeight="false" outlineLevel="0" collapsed="false">
      <c r="C305" s="0" t="n">
        <f aca="false">Panel!Q300-Panel!Q299</f>
        <v>0.00053684803671139</v>
      </c>
      <c r="D305" s="29" t="n">
        <f aca="false">Panel!Q299</f>
        <v>0.000901834022323911</v>
      </c>
      <c r="E305" s="30" t="n">
        <f aca="false">Panel!Q299-Panel!Q298</f>
        <v>0.00193501758820602</v>
      </c>
      <c r="F305" s="30" t="n">
        <f aca="false">Panel!Q298-Panel!Q297</f>
        <v>-0.000221615394110586</v>
      </c>
      <c r="G305" s="30" t="n">
        <f aca="false">Panel!Q297-Panel!Q296</f>
        <v>-0.000881443901260326</v>
      </c>
    </row>
    <row r="306" customFormat="false" ht="15" hidden="false" customHeight="false" outlineLevel="0" collapsed="false">
      <c r="C306" s="0" t="n">
        <f aca="false">Panel!Q301-Panel!Q300</f>
        <v>-0.00309638560331926</v>
      </c>
      <c r="D306" s="29" t="n">
        <f aca="false">Panel!Q300</f>
        <v>0.0014386820590353</v>
      </c>
      <c r="E306" s="30" t="n">
        <f aca="false">Panel!Q300-Panel!Q299</f>
        <v>0.00053684803671139</v>
      </c>
      <c r="F306" s="30" t="n">
        <f aca="false">Panel!Q299-Panel!Q298</f>
        <v>0.00193501758820602</v>
      </c>
      <c r="G306" s="30" t="n">
        <f aca="false">Panel!Q298-Panel!Q297</f>
        <v>-0.000221615394110586</v>
      </c>
    </row>
    <row r="307" customFormat="false" ht="15" hidden="false" customHeight="false" outlineLevel="0" collapsed="false">
      <c r="C307" s="0" t="n">
        <f aca="false">Panel!Q302-Panel!Q301</f>
        <v>0.00182575302600441</v>
      </c>
      <c r="D307" s="29" t="n">
        <f aca="false">Panel!Q301</f>
        <v>-0.00165770354428396</v>
      </c>
      <c r="E307" s="30" t="n">
        <f aca="false">Panel!Q301-Panel!Q300</f>
        <v>-0.00309638560331926</v>
      </c>
      <c r="F307" s="30" t="n">
        <f aca="false">Panel!Q300-Panel!Q299</f>
        <v>0.00053684803671139</v>
      </c>
      <c r="G307" s="30" t="n">
        <f aca="false">Panel!Q299-Panel!Q298</f>
        <v>0.00193501758820602</v>
      </c>
    </row>
    <row r="308" customFormat="false" ht="15" hidden="false" customHeight="false" outlineLevel="0" collapsed="false">
      <c r="C308" s="0" t="n">
        <f aca="false">Panel!Q303-Panel!Q302</f>
        <v>0.000817553361009971</v>
      </c>
      <c r="D308" s="29" t="n">
        <f aca="false">Panel!Q302</f>
        <v>0.000168049481720445</v>
      </c>
      <c r="E308" s="30" t="n">
        <f aca="false">Panel!Q302-Panel!Q301</f>
        <v>0.00182575302600441</v>
      </c>
      <c r="F308" s="30" t="n">
        <f aca="false">Panel!Q301-Panel!Q300</f>
        <v>-0.00309638560331926</v>
      </c>
      <c r="G308" s="30" t="n">
        <f aca="false">Panel!Q300-Panel!Q299</f>
        <v>0.00053684803671139</v>
      </c>
    </row>
    <row r="309" customFormat="false" ht="15" hidden="false" customHeight="false" outlineLevel="0" collapsed="false">
      <c r="C309" s="0" t="n">
        <f aca="false">Panel!Q304-Panel!Q303</f>
        <v>-0.000407348849524425</v>
      </c>
      <c r="D309" s="29" t="n">
        <f aca="false">Panel!Q303</f>
        <v>0.000985602842730415</v>
      </c>
      <c r="E309" s="30" t="n">
        <f aca="false">Panel!Q303-Panel!Q302</f>
        <v>0.000817553361009971</v>
      </c>
      <c r="F309" s="30" t="n">
        <f aca="false">Panel!Q302-Panel!Q301</f>
        <v>0.00182575302600441</v>
      </c>
      <c r="G309" s="30" t="n">
        <f aca="false">Panel!Q301-Panel!Q300</f>
        <v>-0.00309638560331926</v>
      </c>
    </row>
    <row r="310" customFormat="false" ht="15" hidden="false" customHeight="false" outlineLevel="0" collapsed="false">
      <c r="C310" s="0" t="n">
        <f aca="false">Panel!Q305-Panel!Q304</f>
        <v>-0.00112655902704084</v>
      </c>
      <c r="D310" s="29" t="n">
        <f aca="false">Panel!Q304</f>
        <v>0.000578253993205991</v>
      </c>
      <c r="E310" s="30" t="n">
        <f aca="false">Panel!Q304-Panel!Q303</f>
        <v>-0.000407348849524425</v>
      </c>
      <c r="F310" s="30" t="n">
        <f aca="false">Panel!Q303-Panel!Q302</f>
        <v>0.000817553361009971</v>
      </c>
      <c r="G310" s="30" t="n">
        <f aca="false">Panel!Q302-Panel!Q301</f>
        <v>0.00182575302600441</v>
      </c>
    </row>
    <row r="311" customFormat="false" ht="15" hidden="false" customHeight="false" outlineLevel="0" collapsed="false">
      <c r="C311" s="0" t="n">
        <f aca="false">Panel!Q306-Panel!Q305</f>
        <v>0.000593913046619932</v>
      </c>
      <c r="D311" s="29" t="n">
        <f aca="false">Panel!Q305</f>
        <v>-0.000548305033834851</v>
      </c>
      <c r="E311" s="30" t="n">
        <f aca="false">Panel!Q305-Panel!Q304</f>
        <v>-0.00112655902704084</v>
      </c>
      <c r="F311" s="30" t="n">
        <f aca="false">Panel!Q304-Panel!Q303</f>
        <v>-0.000407348849524425</v>
      </c>
      <c r="G311" s="30" t="n">
        <f aca="false">Panel!Q303-Panel!Q302</f>
        <v>0.000817553361009971</v>
      </c>
    </row>
    <row r="312" customFormat="false" ht="15" hidden="false" customHeight="false" outlineLevel="0" collapsed="false">
      <c r="C312" s="0" t="n">
        <f aca="false">Panel!Q307-Panel!Q306</f>
        <v>-0.00326289365926691</v>
      </c>
      <c r="D312" s="29" t="n">
        <f aca="false">Panel!Q306</f>
        <v>4.56080127850811E-005</v>
      </c>
      <c r="E312" s="30" t="n">
        <f aca="false">Panel!Q306-Panel!Q305</f>
        <v>0.000593913046619932</v>
      </c>
      <c r="F312" s="30" t="n">
        <f aca="false">Panel!Q305-Panel!Q304</f>
        <v>-0.00112655902704084</v>
      </c>
      <c r="G312" s="30" t="n">
        <f aca="false">Panel!Q304-Panel!Q303</f>
        <v>-0.000407348849524425</v>
      </c>
    </row>
    <row r="313" customFormat="false" ht="15" hidden="false" customHeight="false" outlineLevel="0" collapsed="false">
      <c r="C313" s="0" t="n">
        <f aca="false">Panel!Q308-Panel!Q307</f>
        <v>0.00151195954636485</v>
      </c>
      <c r="D313" s="29" t="n">
        <f aca="false">Panel!Q307</f>
        <v>-0.00321728564648183</v>
      </c>
      <c r="E313" s="30" t="n">
        <f aca="false">Panel!Q307-Panel!Q306</f>
        <v>-0.00326289365926691</v>
      </c>
      <c r="F313" s="30" t="n">
        <f aca="false">Panel!Q306-Panel!Q305</f>
        <v>0.000593913046619932</v>
      </c>
      <c r="G313" s="30" t="n">
        <f aca="false">Panel!Q305-Panel!Q304</f>
        <v>-0.00112655902704084</v>
      </c>
    </row>
    <row r="314" customFormat="false" ht="15" hidden="false" customHeight="false" outlineLevel="0" collapsed="false">
      <c r="C314" s="0" t="n">
        <f aca="false">Panel!Q309-Panel!Q308</f>
        <v>-0.00215657395116864</v>
      </c>
      <c r="D314" s="29" t="n">
        <f aca="false">Panel!Q308</f>
        <v>-0.00170532610011698</v>
      </c>
      <c r="E314" s="30" t="n">
        <f aca="false">Panel!Q308-Panel!Q307</f>
        <v>0.00151195954636485</v>
      </c>
      <c r="F314" s="30" t="n">
        <f aca="false">Panel!Q307-Panel!Q306</f>
        <v>-0.00326289365926691</v>
      </c>
      <c r="G314" s="30" t="n">
        <f aca="false">Panel!Q306-Panel!Q305</f>
        <v>0.000593913046619932</v>
      </c>
    </row>
    <row r="315" customFormat="false" ht="15" hidden="false" customHeight="false" outlineLevel="0" collapsed="false">
      <c r="C315" s="0" t="n">
        <f aca="false">Panel!Q310-Panel!Q309</f>
        <v>-0.000660692926985007</v>
      </c>
      <c r="D315" s="29" t="n">
        <f aca="false">Panel!Q309</f>
        <v>-0.00386190005128562</v>
      </c>
      <c r="E315" s="30" t="n">
        <f aca="false">Panel!Q309-Panel!Q308</f>
        <v>-0.00215657395116864</v>
      </c>
      <c r="F315" s="30" t="n">
        <f aca="false">Panel!Q308-Panel!Q307</f>
        <v>0.00151195954636485</v>
      </c>
      <c r="G315" s="30" t="n">
        <f aca="false">Panel!Q307-Panel!Q306</f>
        <v>-0.00326289365926691</v>
      </c>
    </row>
    <row r="316" customFormat="false" ht="15" hidden="false" customHeight="false" outlineLevel="0" collapsed="false">
      <c r="C316" s="0" t="n">
        <f aca="false">Panel!Q311-Panel!Q310</f>
        <v>0.000556021205657231</v>
      </c>
      <c r="D316" s="29" t="n">
        <f aca="false">Panel!Q310</f>
        <v>-0.00452259297827062</v>
      </c>
      <c r="E316" s="30" t="n">
        <f aca="false">Panel!Q310-Panel!Q309</f>
        <v>-0.000660692926985007</v>
      </c>
      <c r="F316" s="30" t="n">
        <f aca="false">Panel!Q309-Panel!Q308</f>
        <v>-0.00215657395116864</v>
      </c>
      <c r="G316" s="30" t="n">
        <f aca="false">Panel!Q308-Panel!Q307</f>
        <v>0.00151195954636485</v>
      </c>
    </row>
    <row r="317" customFormat="false" ht="15" hidden="false" customHeight="false" outlineLevel="0" collapsed="false">
      <c r="C317" s="0" t="n">
        <f aca="false">Panel!Q312-Panel!Q311</f>
        <v>0.00677708437004654</v>
      </c>
      <c r="D317" s="29" t="n">
        <f aca="false">Panel!Q311</f>
        <v>-0.00396657177261339</v>
      </c>
      <c r="E317" s="30" t="n">
        <f aca="false">Panel!Q311-Panel!Q310</f>
        <v>0.000556021205657231</v>
      </c>
      <c r="F317" s="30" t="n">
        <f aca="false">Panel!Q310-Panel!Q309</f>
        <v>-0.000660692926985007</v>
      </c>
      <c r="G317" s="30" t="n">
        <f aca="false">Panel!Q309-Panel!Q308</f>
        <v>-0.00215657395116864</v>
      </c>
    </row>
    <row r="318" customFormat="false" ht="15" hidden="false" customHeight="false" outlineLevel="0" collapsed="false">
      <c r="C318" s="0" t="n">
        <f aca="false">Panel!Q313-Panel!Q312</f>
        <v>-0.00346469207414835</v>
      </c>
      <c r="D318" s="29" t="n">
        <f aca="false">Panel!Q312</f>
        <v>0.00281051259743315</v>
      </c>
      <c r="E318" s="30" t="n">
        <f aca="false">Panel!Q312-Panel!Q311</f>
        <v>0.00677708437004654</v>
      </c>
      <c r="F318" s="30" t="n">
        <f aca="false">Panel!Q311-Panel!Q310</f>
        <v>0.000556021205657231</v>
      </c>
      <c r="G318" s="30" t="n">
        <f aca="false">Panel!Q310-Panel!Q309</f>
        <v>-0.000660692926985007</v>
      </c>
    </row>
    <row r="319" customFormat="false" ht="15" hidden="false" customHeight="false" outlineLevel="0" collapsed="false">
      <c r="C319" s="0" t="n">
        <f aca="false">Panel!Q314-Panel!Q313</f>
        <v>0.000786101881782741</v>
      </c>
      <c r="D319" s="29" t="n">
        <f aca="false">Panel!Q313</f>
        <v>-0.0006541794767152</v>
      </c>
      <c r="E319" s="30" t="n">
        <f aca="false">Panel!Q313-Panel!Q312</f>
        <v>-0.00346469207414835</v>
      </c>
      <c r="F319" s="30" t="n">
        <f aca="false">Panel!Q312-Panel!Q311</f>
        <v>0.00677708437004654</v>
      </c>
      <c r="G319" s="30" t="n">
        <f aca="false">Panel!Q311-Panel!Q310</f>
        <v>0.000556021205657231</v>
      </c>
    </row>
    <row r="320" customFormat="false" ht="15" hidden="false" customHeight="false" outlineLevel="0" collapsed="false">
      <c r="C320" s="0" t="n">
        <f aca="false">Panel!Q315-Panel!Q314</f>
        <v>-8.71442802736766E-005</v>
      </c>
      <c r="D320" s="29" t="n">
        <f aca="false">Panel!Q314</f>
        <v>0.000131922405067542</v>
      </c>
      <c r="E320" s="30" t="n">
        <f aca="false">Panel!Q314-Panel!Q313</f>
        <v>0.000786101881782741</v>
      </c>
      <c r="F320" s="30" t="n">
        <f aca="false">Panel!Q313-Panel!Q312</f>
        <v>-0.00346469207414835</v>
      </c>
      <c r="G320" s="30" t="n">
        <f aca="false">Panel!Q312-Panel!Q311</f>
        <v>0.00677708437004654</v>
      </c>
    </row>
    <row r="321" customFormat="false" ht="15" hidden="false" customHeight="false" outlineLevel="0" collapsed="false">
      <c r="C321" s="0" t="n">
        <f aca="false">Panel!Q316-Panel!Q315</f>
        <v>-0.00115870662619066</v>
      </c>
      <c r="D321" s="29" t="n">
        <f aca="false">Panel!Q315</f>
        <v>4.4778124793865E-005</v>
      </c>
      <c r="E321" s="30" t="n">
        <f aca="false">Panel!Q315-Panel!Q314</f>
        <v>-8.71442802736766E-005</v>
      </c>
      <c r="F321" s="30" t="n">
        <f aca="false">Panel!Q314-Panel!Q313</f>
        <v>0.000786101881782741</v>
      </c>
      <c r="G321" s="30" t="n">
        <f aca="false">Panel!Q313-Panel!Q312</f>
        <v>-0.00346469207414835</v>
      </c>
    </row>
    <row r="322" customFormat="false" ht="15" hidden="false" customHeight="false" outlineLevel="0" collapsed="false">
      <c r="C322" s="0" t="n">
        <f aca="false">Panel!Q317-Panel!Q316</f>
        <v>-0.00393924654943056</v>
      </c>
      <c r="D322" s="29" t="n">
        <f aca="false">Panel!Q316</f>
        <v>-0.0011139285013968</v>
      </c>
      <c r="E322" s="30" t="n">
        <f aca="false">Panel!Q316-Panel!Q315</f>
        <v>-0.00115870662619066</v>
      </c>
      <c r="F322" s="30" t="n">
        <f aca="false">Panel!Q315-Panel!Q314</f>
        <v>-8.71442802736766E-005</v>
      </c>
      <c r="G322" s="30" t="n">
        <f aca="false">Panel!Q314-Panel!Q313</f>
        <v>0.000786101881782741</v>
      </c>
    </row>
    <row r="323" customFormat="false" ht="15" hidden="false" customHeight="false" outlineLevel="0" collapsed="false">
      <c r="C323" s="0" t="n">
        <f aca="false">Panel!Q318-Panel!Q317</f>
        <v>-0.00495755410004328</v>
      </c>
      <c r="D323" s="29" t="n">
        <f aca="false">Panel!Q317</f>
        <v>-0.00505317505082736</v>
      </c>
      <c r="E323" s="30" t="n">
        <f aca="false">Panel!Q317-Panel!Q316</f>
        <v>-0.00393924654943056</v>
      </c>
      <c r="F323" s="30" t="n">
        <f aca="false">Panel!Q316-Panel!Q315</f>
        <v>-0.00115870662619066</v>
      </c>
      <c r="G323" s="30" t="n">
        <f aca="false">Panel!Q315-Panel!Q314</f>
        <v>-8.71442802736766E-005</v>
      </c>
    </row>
    <row r="324" customFormat="false" ht="15" hidden="false" customHeight="false" outlineLevel="0" collapsed="false">
      <c r="C324" s="0" t="n">
        <f aca="false">Panel!Q319-Panel!Q318</f>
        <v>0.00742655930573655</v>
      </c>
      <c r="D324" s="29" t="n">
        <f aca="false">Panel!Q318</f>
        <v>-0.0100107291508706</v>
      </c>
      <c r="E324" s="30" t="n">
        <f aca="false">Panel!Q318-Panel!Q317</f>
        <v>-0.00495755410004328</v>
      </c>
      <c r="F324" s="30" t="n">
        <f aca="false">Panel!Q317-Panel!Q316</f>
        <v>-0.00393924654943056</v>
      </c>
      <c r="G324" s="30" t="n">
        <f aca="false">Panel!Q316-Panel!Q315</f>
        <v>-0.00115870662619066</v>
      </c>
    </row>
    <row r="325" customFormat="false" ht="15" hidden="false" customHeight="false" outlineLevel="0" collapsed="false">
      <c r="C325" s="0" t="n">
        <f aca="false">Panel!Q320-Panel!Q319</f>
        <v>0.000926951585981328</v>
      </c>
      <c r="D325" s="29" t="n">
        <f aca="false">Panel!Q319</f>
        <v>-0.0025841698451341</v>
      </c>
      <c r="E325" s="30" t="n">
        <f aca="false">Panel!Q319-Panel!Q318</f>
        <v>0.00742655930573655</v>
      </c>
      <c r="F325" s="30" t="n">
        <f aca="false">Panel!Q318-Panel!Q317</f>
        <v>-0.00495755410004328</v>
      </c>
      <c r="G325" s="30" t="n">
        <f aca="false">Panel!Q317-Panel!Q316</f>
        <v>-0.00393924654943056</v>
      </c>
    </row>
    <row r="326" customFormat="false" ht="15" hidden="false" customHeight="false" outlineLevel="0" collapsed="false">
      <c r="C326" s="0" t="n">
        <f aca="false">Panel!Q321-Panel!Q320</f>
        <v>-0.00283410876972745</v>
      </c>
      <c r="D326" s="29" t="n">
        <f aca="false">Panel!Q320</f>
        <v>-0.00165721825915277</v>
      </c>
      <c r="E326" s="30" t="n">
        <f aca="false">Panel!Q320-Panel!Q319</f>
        <v>0.000926951585981328</v>
      </c>
      <c r="F326" s="30" t="n">
        <f aca="false">Panel!Q319-Panel!Q318</f>
        <v>0.00742655930573655</v>
      </c>
      <c r="G326" s="30" t="n">
        <f aca="false">Panel!Q318-Panel!Q317</f>
        <v>-0.00495755410004328</v>
      </c>
    </row>
    <row r="327" customFormat="false" ht="15" hidden="false" customHeight="false" outlineLevel="0" collapsed="false">
      <c r="C327" s="0" t="n">
        <f aca="false">Panel!Q322-Panel!Q321</f>
        <v>0.00172948633461445</v>
      </c>
      <c r="D327" s="29" t="n">
        <f aca="false">Panel!Q321</f>
        <v>-0.00449132702888022</v>
      </c>
      <c r="E327" s="30" t="n">
        <f aca="false">Panel!Q321-Panel!Q320</f>
        <v>-0.00283410876972745</v>
      </c>
      <c r="F327" s="30" t="n">
        <f aca="false">Panel!Q320-Panel!Q319</f>
        <v>0.000926951585981328</v>
      </c>
      <c r="G327" s="30" t="n">
        <f aca="false">Panel!Q319-Panel!Q318</f>
        <v>0.00742655930573655</v>
      </c>
    </row>
    <row r="328" customFormat="false" ht="15" hidden="false" customHeight="false" outlineLevel="0" collapsed="false">
      <c r="C328" s="0" t="n">
        <f aca="false">Panel!Q323-Panel!Q322</f>
        <v>-0.000617979540795233</v>
      </c>
      <c r="D328" s="29" t="n">
        <f aca="false">Panel!Q322</f>
        <v>-0.00276184069426577</v>
      </c>
      <c r="E328" s="30" t="n">
        <f aca="false">Panel!Q322-Panel!Q321</f>
        <v>0.00172948633461445</v>
      </c>
      <c r="F328" s="30" t="n">
        <f aca="false">Panel!Q321-Panel!Q320</f>
        <v>-0.00283410876972745</v>
      </c>
      <c r="G328" s="30" t="n">
        <f aca="false">Panel!Q320-Panel!Q319</f>
        <v>0.000926951585981328</v>
      </c>
    </row>
    <row r="329" customFormat="false" ht="15" hidden="false" customHeight="false" outlineLevel="0" collapsed="false">
      <c r="C329" s="0" t="n">
        <f aca="false">Panel!Q324-Panel!Q323</f>
        <v>-0.00183505262966932</v>
      </c>
      <c r="D329" s="29" t="n">
        <f aca="false">Panel!Q323</f>
        <v>-0.003379820235061</v>
      </c>
      <c r="E329" s="30" t="n">
        <f aca="false">Panel!Q323-Panel!Q322</f>
        <v>-0.000617979540795233</v>
      </c>
      <c r="F329" s="30" t="n">
        <f aca="false">Panel!Q322-Panel!Q321</f>
        <v>0.00172948633461445</v>
      </c>
      <c r="G329" s="30" t="n">
        <f aca="false">Panel!Q321-Panel!Q320</f>
        <v>-0.00283410876972745</v>
      </c>
    </row>
    <row r="330" customFormat="false" ht="15" hidden="false" customHeight="false" outlineLevel="0" collapsed="false">
      <c r="C330" s="0" t="n">
        <f aca="false">Panel!Q325-Panel!Q324</f>
        <v>0.00180745081603639</v>
      </c>
      <c r="D330" s="29" t="n">
        <f aca="false">Panel!Q324</f>
        <v>-0.00521487286473032</v>
      </c>
      <c r="E330" s="30" t="n">
        <f aca="false">Panel!Q324-Panel!Q323</f>
        <v>-0.00183505262966932</v>
      </c>
      <c r="F330" s="30" t="n">
        <f aca="false">Panel!Q323-Panel!Q322</f>
        <v>-0.000617979540795233</v>
      </c>
      <c r="G330" s="30" t="n">
        <f aca="false">Panel!Q322-Panel!Q321</f>
        <v>0.00172948633461445</v>
      </c>
    </row>
    <row r="331" customFormat="false" ht="15" hidden="false" customHeight="false" outlineLevel="0" collapsed="false">
      <c r="C331" s="0" t="n">
        <f aca="false">Panel!Q326-Panel!Q325</f>
        <v>0.000933641153023856</v>
      </c>
      <c r="D331" s="29" t="n">
        <f aca="false">Panel!Q325</f>
        <v>-0.00340742204869393</v>
      </c>
      <c r="E331" s="30" t="n">
        <f aca="false">Panel!Q325-Panel!Q324</f>
        <v>0.00180745081603639</v>
      </c>
      <c r="F331" s="30" t="n">
        <f aca="false">Panel!Q324-Panel!Q323</f>
        <v>-0.00183505262966932</v>
      </c>
      <c r="G331" s="30" t="n">
        <f aca="false">Panel!Q323-Panel!Q322</f>
        <v>-0.000617979540795233</v>
      </c>
    </row>
    <row r="332" customFormat="false" ht="15" hidden="false" customHeight="false" outlineLevel="0" collapsed="false">
      <c r="C332" s="0" t="n">
        <f aca="false">Panel!Q327-Panel!Q326</f>
        <v>-0.00209391542705539</v>
      </c>
      <c r="D332" s="29" t="n">
        <f aca="false">Panel!Q326</f>
        <v>-0.00247378089567007</v>
      </c>
      <c r="E332" s="30" t="n">
        <f aca="false">Panel!Q326-Panel!Q325</f>
        <v>0.000933641153023856</v>
      </c>
      <c r="F332" s="30" t="n">
        <f aca="false">Panel!Q325-Panel!Q324</f>
        <v>0.00180745081603639</v>
      </c>
      <c r="G332" s="30" t="n">
        <f aca="false">Panel!Q324-Panel!Q323</f>
        <v>-0.00183505262966932</v>
      </c>
    </row>
    <row r="333" customFormat="false" ht="15" hidden="false" customHeight="false" outlineLevel="0" collapsed="false">
      <c r="C333" s="0" t="n">
        <f aca="false">Panel!Q328-Panel!Q327</f>
        <v>0.00120070327042043</v>
      </c>
      <c r="D333" s="29" t="n">
        <f aca="false">Panel!Q327</f>
        <v>-0.00456769632272547</v>
      </c>
      <c r="E333" s="30" t="n">
        <f aca="false">Panel!Q327-Panel!Q326</f>
        <v>-0.00209391542705539</v>
      </c>
      <c r="F333" s="30" t="n">
        <f aca="false">Panel!Q326-Panel!Q325</f>
        <v>0.000933641153023856</v>
      </c>
      <c r="G333" s="30" t="n">
        <f aca="false">Panel!Q325-Panel!Q324</f>
        <v>0.00180745081603639</v>
      </c>
    </row>
    <row r="334" customFormat="false" ht="15" hidden="false" customHeight="false" outlineLevel="0" collapsed="false">
      <c r="C334" s="0" t="n">
        <f aca="false">Panel!Q329-Panel!Q328</f>
        <v>0.000546915977729157</v>
      </c>
      <c r="D334" s="29" t="n">
        <f aca="false">Panel!Q328</f>
        <v>-0.00336699305230503</v>
      </c>
      <c r="E334" s="30" t="n">
        <f aca="false">Panel!Q328-Panel!Q327</f>
        <v>0.00120070327042043</v>
      </c>
      <c r="F334" s="30" t="n">
        <f aca="false">Panel!Q327-Panel!Q326</f>
        <v>-0.00209391542705539</v>
      </c>
      <c r="G334" s="30" t="n">
        <f aca="false">Panel!Q326-Panel!Q325</f>
        <v>0.000933641153023856</v>
      </c>
    </row>
    <row r="335" customFormat="false" ht="15" hidden="false" customHeight="false" outlineLevel="0" collapsed="false">
      <c r="C335" s="0" t="n">
        <f aca="false">Panel!Q330-Panel!Q329</f>
        <v>0.00154740544749643</v>
      </c>
      <c r="D335" s="29" t="n">
        <f aca="false">Panel!Q329</f>
        <v>-0.00282007707457588</v>
      </c>
      <c r="E335" s="30" t="n">
        <f aca="false">Panel!Q329-Panel!Q328</f>
        <v>0.000546915977729157</v>
      </c>
      <c r="F335" s="30" t="n">
        <f aca="false">Panel!Q328-Panel!Q327</f>
        <v>0.00120070327042043</v>
      </c>
      <c r="G335" s="30" t="n">
        <f aca="false">Panel!Q327-Panel!Q326</f>
        <v>-0.00209391542705539</v>
      </c>
    </row>
    <row r="336" customFormat="false" ht="15" hidden="false" customHeight="false" outlineLevel="0" collapsed="false">
      <c r="C336" s="0" t="n">
        <f aca="false">Panel!Q331-Panel!Q330</f>
        <v>0.000421219428574204</v>
      </c>
      <c r="D336" s="29" t="n">
        <f aca="false">Panel!Q330</f>
        <v>-0.00127267162707945</v>
      </c>
      <c r="E336" s="30" t="n">
        <f aca="false">Panel!Q330-Panel!Q329</f>
        <v>0.00154740544749643</v>
      </c>
      <c r="F336" s="30" t="n">
        <f aca="false">Panel!Q329-Panel!Q328</f>
        <v>0.000546915977729157</v>
      </c>
      <c r="G336" s="30" t="n">
        <f aca="false">Panel!Q328-Panel!Q327</f>
        <v>0.00120070327042043</v>
      </c>
    </row>
    <row r="337" customFormat="false" ht="15" hidden="false" customHeight="false" outlineLevel="0" collapsed="false">
      <c r="C337" s="0" t="n">
        <f aca="false">Panel!Q332-Panel!Q331</f>
        <v>-0.00058813940187008</v>
      </c>
      <c r="D337" s="29" t="n">
        <f aca="false">Panel!Q331</f>
        <v>-0.000851452198505243</v>
      </c>
      <c r="E337" s="30" t="n">
        <f aca="false">Panel!Q331-Panel!Q330</f>
        <v>0.000421219428574204</v>
      </c>
      <c r="F337" s="30" t="n">
        <f aca="false">Panel!Q330-Panel!Q329</f>
        <v>0.00154740544749643</v>
      </c>
      <c r="G337" s="30" t="n">
        <f aca="false">Panel!Q329-Panel!Q328</f>
        <v>0.000546915977729157</v>
      </c>
    </row>
    <row r="338" customFormat="false" ht="15" hidden="false" customHeight="false" outlineLevel="0" collapsed="false">
      <c r="C338" s="0" t="n">
        <f aca="false">Panel!Q333-Panel!Q332</f>
        <v>-0.00123156379762257</v>
      </c>
      <c r="D338" s="29" t="n">
        <f aca="false">Panel!Q332</f>
        <v>-0.00143959160037532</v>
      </c>
      <c r="E338" s="30" t="n">
        <f aca="false">Panel!Q332-Panel!Q331</f>
        <v>-0.00058813940187008</v>
      </c>
      <c r="F338" s="30" t="n">
        <f aca="false">Panel!Q331-Panel!Q330</f>
        <v>0.000421219428574204</v>
      </c>
      <c r="G338" s="30" t="n">
        <f aca="false">Panel!Q330-Panel!Q329</f>
        <v>0.00154740544749643</v>
      </c>
    </row>
    <row r="339" customFormat="false" ht="15" hidden="false" customHeight="false" outlineLevel="0" collapsed="false">
      <c r="C339" s="0" t="n">
        <f aca="false">Panel!Q334-Panel!Q333</f>
        <v>0.00154183070319114</v>
      </c>
      <c r="D339" s="29" t="n">
        <f aca="false">Panel!Q333</f>
        <v>-0.00267115539799789</v>
      </c>
      <c r="E339" s="30" t="n">
        <f aca="false">Panel!Q333-Panel!Q332</f>
        <v>-0.00123156379762257</v>
      </c>
      <c r="F339" s="30" t="n">
        <f aca="false">Panel!Q332-Panel!Q331</f>
        <v>-0.00058813940187008</v>
      </c>
      <c r="G339" s="30" t="n">
        <f aca="false">Panel!Q331-Panel!Q330</f>
        <v>0.000421219428574204</v>
      </c>
    </row>
    <row r="340" customFormat="false" ht="15" hidden="false" customHeight="false" outlineLevel="0" collapsed="false">
      <c r="C340" s="0" t="n">
        <f aca="false">Panel!Q335-Panel!Q334</f>
        <v>-0.000120592053733048</v>
      </c>
      <c r="D340" s="29" t="n">
        <f aca="false">Panel!Q334</f>
        <v>-0.00112932469480675</v>
      </c>
      <c r="E340" s="30" t="n">
        <f aca="false">Panel!Q334-Panel!Q333</f>
        <v>0.00154183070319114</v>
      </c>
      <c r="F340" s="30" t="n">
        <f aca="false">Panel!Q333-Panel!Q332</f>
        <v>-0.00123156379762257</v>
      </c>
      <c r="G340" s="30" t="n">
        <f aca="false">Panel!Q332-Panel!Q331</f>
        <v>-0.00058813940187008</v>
      </c>
    </row>
    <row r="341" customFormat="false" ht="15" hidden="false" customHeight="false" outlineLevel="0" collapsed="false">
      <c r="C341" s="0" t="n">
        <f aca="false">Panel!Q336-Panel!Q335</f>
        <v>0.00504627354544596</v>
      </c>
      <c r="D341" s="29" t="n">
        <f aca="false">Panel!Q335</f>
        <v>-0.0012499167485398</v>
      </c>
      <c r="E341" s="30" t="n">
        <f aca="false">Panel!Q335-Panel!Q334</f>
        <v>-0.000120592053733048</v>
      </c>
      <c r="F341" s="30" t="n">
        <f aca="false">Panel!Q334-Panel!Q333</f>
        <v>0.00154183070319114</v>
      </c>
      <c r="G341" s="30" t="n">
        <f aca="false">Panel!Q333-Panel!Q332</f>
        <v>-0.00123156379762257</v>
      </c>
    </row>
    <row r="342" customFormat="false" ht="15" hidden="false" customHeight="false" outlineLevel="0" collapsed="false">
      <c r="C342" s="0" t="n">
        <f aca="false">Panel!Q337-Panel!Q336</f>
        <v>-0.00287564610163749</v>
      </c>
      <c r="D342" s="29" t="n">
        <f aca="false">Panel!Q336</f>
        <v>0.00379635679690615</v>
      </c>
      <c r="E342" s="30" t="n">
        <f aca="false">Panel!Q336-Panel!Q335</f>
        <v>0.00504627354544596</v>
      </c>
      <c r="F342" s="30" t="n">
        <f aca="false">Panel!Q335-Panel!Q334</f>
        <v>-0.000120592053733048</v>
      </c>
      <c r="G342" s="30" t="n">
        <f aca="false">Panel!Q334-Panel!Q333</f>
        <v>0.00154183070319114</v>
      </c>
    </row>
    <row r="343" customFormat="false" ht="15" hidden="false" customHeight="false" outlineLevel="0" collapsed="false">
      <c r="C343" s="0" t="n">
        <f aca="false">Panel!Q338-Panel!Q337</f>
        <v>-0.000552481758957057</v>
      </c>
      <c r="D343" s="29" t="n">
        <f aca="false">Panel!Q337</f>
        <v>0.000920710695268667</v>
      </c>
      <c r="E343" s="30" t="n">
        <f aca="false">Panel!Q337-Panel!Q336</f>
        <v>-0.00287564610163749</v>
      </c>
      <c r="F343" s="30" t="n">
        <f aca="false">Panel!Q336-Panel!Q335</f>
        <v>0.00504627354544596</v>
      </c>
      <c r="G343" s="30" t="n">
        <f aca="false">Panel!Q335-Panel!Q334</f>
        <v>-0.000120592053733048</v>
      </c>
    </row>
    <row r="344" customFormat="false" ht="15" hidden="false" customHeight="false" outlineLevel="0" collapsed="false">
      <c r="C344" s="0" t="n">
        <f aca="false">Panel!Q339-Panel!Q338</f>
        <v>-0.00249006257542028</v>
      </c>
      <c r="D344" s="29" t="n">
        <f aca="false">Panel!Q338</f>
        <v>0.00036822893631161</v>
      </c>
      <c r="E344" s="30" t="n">
        <f aca="false">Panel!Q338-Panel!Q337</f>
        <v>-0.000552481758957057</v>
      </c>
      <c r="F344" s="30" t="n">
        <f aca="false">Panel!Q337-Panel!Q336</f>
        <v>-0.00287564610163749</v>
      </c>
      <c r="G344" s="30" t="n">
        <f aca="false">Panel!Q336-Panel!Q335</f>
        <v>0.00504627354544596</v>
      </c>
    </row>
    <row r="345" customFormat="false" ht="15" hidden="false" customHeight="false" outlineLevel="0" collapsed="false">
      <c r="C345" s="0" t="n">
        <f aca="false">Panel!Q340-Panel!Q339</f>
        <v>0.00260534533568269</v>
      </c>
      <c r="D345" s="29" t="n">
        <f aca="false">Panel!Q339</f>
        <v>-0.00212183363910867</v>
      </c>
      <c r="E345" s="30" t="n">
        <f aca="false">Panel!Q339-Panel!Q338</f>
        <v>-0.00249006257542028</v>
      </c>
      <c r="F345" s="30" t="n">
        <f aca="false">Panel!Q338-Panel!Q337</f>
        <v>-0.000552481758957057</v>
      </c>
      <c r="G345" s="30" t="n">
        <f aca="false">Panel!Q337-Panel!Q336</f>
        <v>-0.00287564610163749</v>
      </c>
    </row>
    <row r="346" customFormat="false" ht="15" hidden="false" customHeight="false" outlineLevel="0" collapsed="false">
      <c r="C346" s="0" t="n">
        <f aca="false">Panel!Q341-Panel!Q340</f>
        <v>-0.00463078397592476</v>
      </c>
      <c r="D346" s="29" t="n">
        <f aca="false">Panel!Q340</f>
        <v>0.000483511696574013</v>
      </c>
      <c r="E346" s="30" t="n">
        <f aca="false">Panel!Q340-Panel!Q339</f>
        <v>0.00260534533568269</v>
      </c>
      <c r="F346" s="30" t="n">
        <f aca="false">Panel!Q339-Panel!Q338</f>
        <v>-0.00249006257542028</v>
      </c>
      <c r="G346" s="30" t="n">
        <f aca="false">Panel!Q338-Panel!Q337</f>
        <v>-0.000552481758957057</v>
      </c>
    </row>
    <row r="347" customFormat="false" ht="15" hidden="false" customHeight="false" outlineLevel="0" collapsed="false">
      <c r="C347" s="0" t="n">
        <f aca="false">Panel!Q342-Panel!Q341</f>
        <v>0.00406321886382344</v>
      </c>
      <c r="D347" s="29" t="n">
        <f aca="false">Panel!Q341</f>
        <v>-0.00414727227935074</v>
      </c>
      <c r="E347" s="30" t="n">
        <f aca="false">Panel!Q341-Panel!Q340</f>
        <v>-0.00463078397592476</v>
      </c>
      <c r="F347" s="30" t="n">
        <f aca="false">Panel!Q340-Panel!Q339</f>
        <v>0.00260534533568269</v>
      </c>
      <c r="G347" s="30" t="n">
        <f aca="false">Panel!Q339-Panel!Q338</f>
        <v>-0.00249006257542028</v>
      </c>
    </row>
    <row r="348" customFormat="false" ht="15" hidden="false" customHeight="false" outlineLevel="0" collapsed="false">
      <c r="C348" s="0" t="n">
        <f aca="false">Panel!Q343-Panel!Q342</f>
        <v>-0.000716478654615216</v>
      </c>
      <c r="D348" s="29" t="n">
        <f aca="false">Panel!Q342</f>
        <v>-8.40534155273076E-005</v>
      </c>
      <c r="E348" s="30" t="n">
        <f aca="false">Panel!Q342-Panel!Q341</f>
        <v>0.00406321886382344</v>
      </c>
      <c r="F348" s="30" t="n">
        <f aca="false">Panel!Q341-Panel!Q340</f>
        <v>-0.00463078397592476</v>
      </c>
      <c r="G348" s="30" t="n">
        <f aca="false">Panel!Q340-Panel!Q339</f>
        <v>0.00260534533568269</v>
      </c>
    </row>
    <row r="349" customFormat="false" ht="15" hidden="false" customHeight="false" outlineLevel="0" collapsed="false">
      <c r="C349" s="0" t="n">
        <f aca="false">Panel!Q344-Panel!Q343</f>
        <v>-0.000733416954119548</v>
      </c>
      <c r="D349" s="29" t="n">
        <f aca="false">Panel!Q343</f>
        <v>-0.000800532070142523</v>
      </c>
      <c r="E349" s="30" t="n">
        <f aca="false">Panel!Q343-Panel!Q342</f>
        <v>-0.000716478654615216</v>
      </c>
      <c r="F349" s="30" t="n">
        <f aca="false">Panel!Q342-Panel!Q341</f>
        <v>0.00406321886382344</v>
      </c>
      <c r="G349" s="30" t="n">
        <f aca="false">Panel!Q341-Panel!Q340</f>
        <v>-0.00463078397592476</v>
      </c>
    </row>
    <row r="350" customFormat="false" ht="15" hidden="false" customHeight="false" outlineLevel="0" collapsed="false">
      <c r="C350" s="0" t="n">
        <f aca="false">Panel!Q345-Panel!Q344</f>
        <v>0.000384322967734718</v>
      </c>
      <c r="D350" s="29" t="n">
        <f aca="false">Panel!Q344</f>
        <v>-0.00153394902426207</v>
      </c>
      <c r="E350" s="30" t="n">
        <f aca="false">Panel!Q344-Panel!Q343</f>
        <v>-0.000733416954119548</v>
      </c>
      <c r="F350" s="30" t="n">
        <f aca="false">Panel!Q343-Panel!Q342</f>
        <v>-0.000716478654615216</v>
      </c>
      <c r="G350" s="30" t="n">
        <f aca="false">Panel!Q342-Panel!Q341</f>
        <v>0.00406321886382344</v>
      </c>
    </row>
    <row r="351" customFormat="false" ht="15" hidden="false" customHeight="false" outlineLevel="0" collapsed="false">
      <c r="C351" s="0" t="n">
        <f aca="false">Panel!Q346-Panel!Q345</f>
        <v>-0.00235468028977515</v>
      </c>
      <c r="D351" s="29" t="n">
        <f aca="false">Panel!Q345</f>
        <v>-0.00114962605652735</v>
      </c>
      <c r="E351" s="30" t="n">
        <f aca="false">Panel!Q345-Panel!Q344</f>
        <v>0.000384322967734718</v>
      </c>
      <c r="F351" s="30" t="n">
        <f aca="false">Panel!Q344-Panel!Q343</f>
        <v>-0.000733416954119548</v>
      </c>
      <c r="G351" s="30" t="n">
        <f aca="false">Panel!Q343-Panel!Q342</f>
        <v>-0.000716478654615216</v>
      </c>
    </row>
    <row r="352" customFormat="false" ht="15" hidden="false" customHeight="false" outlineLevel="0" collapsed="false">
      <c r="C352" s="0" t="n">
        <f aca="false">Panel!Q347-Panel!Q346</f>
        <v>0.00200060969589444</v>
      </c>
      <c r="D352" s="29" t="n">
        <f aca="false">Panel!Q346</f>
        <v>-0.0035043063463025</v>
      </c>
      <c r="E352" s="30" t="n">
        <f aca="false">Panel!Q346-Panel!Q345</f>
        <v>-0.00235468028977515</v>
      </c>
      <c r="F352" s="30" t="n">
        <f aca="false">Panel!Q345-Panel!Q344</f>
        <v>0.000384322967734718</v>
      </c>
      <c r="G352" s="30" t="n">
        <f aca="false">Panel!Q344-Panel!Q343</f>
        <v>-0.000733416954119548</v>
      </c>
    </row>
    <row r="353" customFormat="false" ht="15" hidden="false" customHeight="false" outlineLevel="0" collapsed="false">
      <c r="C353" s="0" t="n">
        <f aca="false">Panel!Q348-Panel!Q347</f>
        <v>-0.00112541257189491</v>
      </c>
      <c r="D353" s="29" t="n">
        <f aca="false">Panel!Q347</f>
        <v>-0.00150369665040806</v>
      </c>
      <c r="E353" s="30" t="n">
        <f aca="false">Panel!Q347-Panel!Q346</f>
        <v>0.00200060969589444</v>
      </c>
      <c r="F353" s="30" t="n">
        <f aca="false">Panel!Q346-Panel!Q345</f>
        <v>-0.00235468028977515</v>
      </c>
      <c r="G353" s="30" t="n">
        <f aca="false">Panel!Q345-Panel!Q344</f>
        <v>0.000384322967734718</v>
      </c>
    </row>
    <row r="354" customFormat="false" ht="15" hidden="false" customHeight="false" outlineLevel="0" collapsed="false">
      <c r="C354" s="0" t="n">
        <f aca="false">Panel!Q349-Panel!Q348</f>
        <v>-7.47919214685311E-005</v>
      </c>
      <c r="D354" s="29" t="n">
        <f aca="false">Panel!Q348</f>
        <v>-0.00262910922230297</v>
      </c>
      <c r="E354" s="30" t="n">
        <f aca="false">Panel!Q348-Panel!Q347</f>
        <v>-0.00112541257189491</v>
      </c>
      <c r="F354" s="30" t="n">
        <f aca="false">Panel!Q347-Panel!Q346</f>
        <v>0.00200060969589444</v>
      </c>
      <c r="G354" s="30" t="n">
        <f aca="false">Panel!Q346-Panel!Q345</f>
        <v>-0.00235468028977515</v>
      </c>
    </row>
    <row r="355" customFormat="false" ht="15" hidden="false" customHeight="false" outlineLevel="0" collapsed="false">
      <c r="C355" s="0" t="n">
        <f aca="false">Panel!Q350-Panel!Q349</f>
        <v>0.00123323928245433</v>
      </c>
      <c r="D355" s="29" t="n">
        <f aca="false">Panel!Q349</f>
        <v>-0.0027039011437715</v>
      </c>
      <c r="E355" s="30" t="n">
        <f aca="false">Panel!Q349-Panel!Q348</f>
        <v>-7.47919214685311E-005</v>
      </c>
      <c r="F355" s="30" t="n">
        <f aca="false">Panel!Q348-Panel!Q347</f>
        <v>-0.00112541257189491</v>
      </c>
      <c r="G355" s="30" t="n">
        <f aca="false">Panel!Q347-Panel!Q346</f>
        <v>0.00200060969589444</v>
      </c>
    </row>
    <row r="356" customFormat="false" ht="15" hidden="false" customHeight="false" outlineLevel="0" collapsed="false">
      <c r="C356" s="0" t="n">
        <f aca="false">Panel!Q351-Panel!Q350</f>
        <v>0.000407531963350749</v>
      </c>
      <c r="D356" s="29" t="n">
        <f aca="false">Panel!Q350</f>
        <v>-0.00147066186131717</v>
      </c>
      <c r="E356" s="30" t="n">
        <f aca="false">Panel!Q350-Panel!Q349</f>
        <v>0.00123323928245433</v>
      </c>
      <c r="F356" s="30" t="n">
        <f aca="false">Panel!Q349-Panel!Q348</f>
        <v>-7.47919214685311E-005</v>
      </c>
      <c r="G356" s="30" t="n">
        <f aca="false">Panel!Q348-Panel!Q347</f>
        <v>-0.00112541257189491</v>
      </c>
    </row>
    <row r="357" customFormat="false" ht="15" hidden="false" customHeight="false" outlineLevel="0" collapsed="false">
      <c r="C357" s="0" t="n">
        <f aca="false">Panel!Q352-Panel!Q351</f>
        <v>-0.00174159375829319</v>
      </c>
      <c r="D357" s="29" t="n">
        <f aca="false">Panel!Q351</f>
        <v>-0.00106312989796642</v>
      </c>
      <c r="E357" s="30" t="n">
        <f aca="false">Panel!Q351-Panel!Q350</f>
        <v>0.000407531963350749</v>
      </c>
      <c r="F357" s="30" t="n">
        <f aca="false">Panel!Q350-Panel!Q349</f>
        <v>0.00123323928245433</v>
      </c>
      <c r="G357" s="30" t="n">
        <f aca="false">Panel!Q349-Panel!Q348</f>
        <v>-7.47919214685311E-005</v>
      </c>
    </row>
    <row r="358" customFormat="false" ht="15" hidden="false" customHeight="false" outlineLevel="0" collapsed="false">
      <c r="C358" s="0" t="n">
        <f aca="false">Panel!Q353-Panel!Q352</f>
        <v>-0.00048013540854086</v>
      </c>
      <c r="D358" s="29" t="n">
        <f aca="false">Panel!Q352</f>
        <v>-0.00280472365625961</v>
      </c>
      <c r="E358" s="30" t="n">
        <f aca="false">Panel!Q352-Panel!Q351</f>
        <v>-0.00174159375829319</v>
      </c>
      <c r="F358" s="30" t="n">
        <f aca="false">Panel!Q351-Panel!Q350</f>
        <v>0.000407531963350749</v>
      </c>
      <c r="G358" s="30" t="n">
        <f aca="false">Panel!Q350-Panel!Q349</f>
        <v>0.00123323928245433</v>
      </c>
    </row>
    <row r="359" customFormat="false" ht="15" hidden="false" customHeight="false" outlineLevel="0" collapsed="false">
      <c r="C359" s="0" t="n">
        <f aca="false">Panel!Q354-Panel!Q353</f>
        <v>-0.000444153875523767</v>
      </c>
      <c r="D359" s="29" t="n">
        <f aca="false">Panel!Q353</f>
        <v>-0.00328485906480047</v>
      </c>
      <c r="E359" s="30" t="n">
        <f aca="false">Panel!Q353-Panel!Q352</f>
        <v>-0.00048013540854086</v>
      </c>
      <c r="F359" s="30" t="n">
        <f aca="false">Panel!Q352-Panel!Q351</f>
        <v>-0.00174159375829319</v>
      </c>
      <c r="G359" s="30" t="n">
        <f aca="false">Panel!Q351-Panel!Q350</f>
        <v>0.000407531963350749</v>
      </c>
    </row>
    <row r="360" customFormat="false" ht="15" hidden="false" customHeight="false" outlineLevel="0" collapsed="false">
      <c r="C360" s="0" t="n">
        <f aca="false">Panel!Q355-Panel!Q354</f>
        <v>0.00537728945275262</v>
      </c>
      <c r="D360" s="29" t="n">
        <f aca="false">Panel!Q354</f>
        <v>-0.00372901294032424</v>
      </c>
      <c r="E360" s="30" t="n">
        <f aca="false">Panel!Q354-Panel!Q353</f>
        <v>-0.000444153875523767</v>
      </c>
      <c r="F360" s="30" t="n">
        <f aca="false">Panel!Q353-Panel!Q352</f>
        <v>-0.00048013540854086</v>
      </c>
      <c r="G360" s="30" t="n">
        <f aca="false">Panel!Q352-Panel!Q351</f>
        <v>-0.00174159375829319</v>
      </c>
    </row>
    <row r="361" customFormat="false" ht="15" hidden="false" customHeight="false" outlineLevel="0" collapsed="false">
      <c r="C361" s="0" t="n">
        <f aca="false">Panel!Q356-Panel!Q355</f>
        <v>0.00182033959493388</v>
      </c>
      <c r="D361" s="29" t="n">
        <f aca="false">Panel!Q355</f>
        <v>0.00164827651242838</v>
      </c>
      <c r="E361" s="30" t="n">
        <f aca="false">Panel!Q355-Panel!Q354</f>
        <v>0.00537728945275262</v>
      </c>
      <c r="F361" s="30" t="n">
        <f aca="false">Panel!Q354-Panel!Q353</f>
        <v>-0.000444153875523767</v>
      </c>
      <c r="G361" s="30" t="n">
        <f aca="false">Panel!Q353-Panel!Q352</f>
        <v>-0.00048013540854086</v>
      </c>
    </row>
    <row r="362" customFormat="false" ht="15" hidden="false" customHeight="false" outlineLevel="0" collapsed="false">
      <c r="C362" s="0" t="n">
        <f aca="false">Panel!Q357-Panel!Q356</f>
        <v>-0.00150868429996898</v>
      </c>
      <c r="D362" s="29" t="n">
        <f aca="false">Panel!Q356</f>
        <v>0.00346861610736227</v>
      </c>
      <c r="E362" s="30" t="n">
        <f aca="false">Panel!Q356-Panel!Q355</f>
        <v>0.00182033959493388</v>
      </c>
      <c r="F362" s="30" t="n">
        <f aca="false">Panel!Q355-Panel!Q354</f>
        <v>0.00537728945275262</v>
      </c>
      <c r="G362" s="30" t="n">
        <f aca="false">Panel!Q354-Panel!Q353</f>
        <v>-0.000444153875523767</v>
      </c>
    </row>
    <row r="363" customFormat="false" ht="15" hidden="false" customHeight="false" outlineLevel="0" collapsed="false">
      <c r="C363" s="0" t="n">
        <f aca="false">Panel!Q358-Panel!Q357</f>
        <v>0.000786845988335116</v>
      </c>
      <c r="D363" s="29" t="n">
        <f aca="false">Panel!Q357</f>
        <v>0.00195993180739329</v>
      </c>
      <c r="E363" s="30" t="n">
        <f aca="false">Panel!Q357-Panel!Q356</f>
        <v>-0.00150868429996898</v>
      </c>
      <c r="F363" s="30" t="n">
        <f aca="false">Panel!Q356-Panel!Q355</f>
        <v>0.00182033959493388</v>
      </c>
      <c r="G363" s="30" t="n">
        <f aca="false">Panel!Q355-Panel!Q354</f>
        <v>0.00537728945275262</v>
      </c>
    </row>
    <row r="364" customFormat="false" ht="15" hidden="false" customHeight="false" outlineLevel="0" collapsed="false">
      <c r="C364" s="0" t="n">
        <f aca="false">Panel!Q359-Panel!Q358</f>
        <v>-0.000276120596831575</v>
      </c>
      <c r="D364" s="29" t="n">
        <f aca="false">Panel!Q358</f>
        <v>0.00274677779572841</v>
      </c>
      <c r="E364" s="30" t="n">
        <f aca="false">Panel!Q358-Panel!Q357</f>
        <v>0.000786845988335116</v>
      </c>
      <c r="F364" s="30" t="n">
        <f aca="false">Panel!Q357-Panel!Q356</f>
        <v>-0.00150868429996898</v>
      </c>
      <c r="G364" s="30" t="n">
        <f aca="false">Panel!Q356-Panel!Q355</f>
        <v>0.00182033959493388</v>
      </c>
    </row>
    <row r="365" customFormat="false" ht="15" hidden="false" customHeight="false" outlineLevel="0" collapsed="false">
      <c r="C365" s="0" t="n">
        <f aca="false">Panel!Q360-Panel!Q359</f>
        <v>-0.00352560019097758</v>
      </c>
      <c r="D365" s="29" t="n">
        <f aca="false">Panel!Q359</f>
        <v>0.00247065719889683</v>
      </c>
      <c r="E365" s="30" t="n">
        <f aca="false">Panel!Q359-Panel!Q358</f>
        <v>-0.000276120596831575</v>
      </c>
      <c r="F365" s="30" t="n">
        <f aca="false">Panel!Q358-Panel!Q357</f>
        <v>0.000786845988335116</v>
      </c>
      <c r="G365" s="30" t="n">
        <f aca="false">Panel!Q357-Panel!Q356</f>
        <v>-0.00150868429996898</v>
      </c>
    </row>
    <row r="366" customFormat="false" ht="15" hidden="false" customHeight="false" outlineLevel="0" collapsed="false">
      <c r="C366" s="0" t="n">
        <f aca="false">Panel!Q361-Panel!Q360</f>
        <v>-0.00123513320562552</v>
      </c>
      <c r="D366" s="29" t="n">
        <f aca="false">Panel!Q360</f>
        <v>-0.00105494299208075</v>
      </c>
      <c r="E366" s="30" t="n">
        <f aca="false">Panel!Q360-Panel!Q359</f>
        <v>-0.00352560019097758</v>
      </c>
      <c r="F366" s="30" t="n">
        <f aca="false">Panel!Q359-Panel!Q358</f>
        <v>-0.000276120596831575</v>
      </c>
      <c r="G366" s="30" t="n">
        <f aca="false">Panel!Q358-Panel!Q357</f>
        <v>0.000786845988335116</v>
      </c>
    </row>
    <row r="367" customFormat="false" ht="15" hidden="false" customHeight="false" outlineLevel="0" collapsed="false">
      <c r="C367" s="0" t="n">
        <f aca="false">Panel!Q362-Panel!Q361</f>
        <v>0.0036952035105795</v>
      </c>
      <c r="D367" s="29" t="n">
        <f aca="false">Panel!Q361</f>
        <v>-0.00229007619770627</v>
      </c>
      <c r="E367" s="30" t="n">
        <f aca="false">Panel!Q361-Panel!Q360</f>
        <v>-0.00123513320562552</v>
      </c>
      <c r="F367" s="30" t="n">
        <f aca="false">Panel!Q360-Panel!Q359</f>
        <v>-0.00352560019097758</v>
      </c>
      <c r="G367" s="30" t="n">
        <f aca="false">Panel!Q359-Panel!Q358</f>
        <v>-0.000276120596831575</v>
      </c>
    </row>
    <row r="368" customFormat="false" ht="15" hidden="false" customHeight="false" outlineLevel="0" collapsed="false">
      <c r="C368" s="0" t="n">
        <f aca="false">Panel!Q363-Panel!Q362</f>
        <v>-0.0010432631068884</v>
      </c>
      <c r="D368" s="29" t="n">
        <f aca="false">Panel!Q362</f>
        <v>0.00140512731287323</v>
      </c>
      <c r="E368" s="30" t="n">
        <f aca="false">Panel!Q362-Panel!Q361</f>
        <v>0.0036952035105795</v>
      </c>
      <c r="F368" s="30" t="n">
        <f aca="false">Panel!Q361-Panel!Q360</f>
        <v>-0.00123513320562552</v>
      </c>
      <c r="G368" s="30" t="n">
        <f aca="false">Panel!Q360-Panel!Q359</f>
        <v>-0.00352560019097758</v>
      </c>
    </row>
    <row r="369" customFormat="false" ht="15" hidden="false" customHeight="false" outlineLevel="0" collapsed="false">
      <c r="C369" s="0" t="n">
        <f aca="false">Panel!Q364-Panel!Q363</f>
        <v>0.000369175585808179</v>
      </c>
      <c r="D369" s="29" t="n">
        <f aca="false">Panel!Q363</f>
        <v>0.00036186420598483</v>
      </c>
      <c r="E369" s="30" t="n">
        <f aca="false">Panel!Q363-Panel!Q362</f>
        <v>-0.0010432631068884</v>
      </c>
      <c r="F369" s="30" t="n">
        <f aca="false">Panel!Q362-Panel!Q361</f>
        <v>0.0036952035105795</v>
      </c>
      <c r="G369" s="30" t="n">
        <f aca="false">Panel!Q361-Panel!Q360</f>
        <v>-0.00123513320562552</v>
      </c>
    </row>
    <row r="370" customFormat="false" ht="15" hidden="false" customHeight="false" outlineLevel="0" collapsed="false">
      <c r="C370" s="0" t="n">
        <f aca="false">Panel!Q365-Panel!Q364</f>
        <v>-0.00124743083042134</v>
      </c>
      <c r="D370" s="29" t="n">
        <f aca="false">Panel!Q364</f>
        <v>0.000731039791793009</v>
      </c>
      <c r="E370" s="30" t="n">
        <f aca="false">Panel!Q364-Panel!Q363</f>
        <v>0.000369175585808179</v>
      </c>
      <c r="F370" s="30" t="n">
        <f aca="false">Panel!Q363-Panel!Q362</f>
        <v>-0.0010432631068884</v>
      </c>
      <c r="G370" s="30" t="n">
        <f aca="false">Panel!Q362-Panel!Q361</f>
        <v>0.0036952035105795</v>
      </c>
    </row>
    <row r="371" customFormat="false" ht="15" hidden="false" customHeight="false" outlineLevel="0" collapsed="false">
      <c r="C371" s="0" t="n">
        <f aca="false">Panel!Q366-Panel!Q365</f>
        <v>0.000431829801861738</v>
      </c>
      <c r="D371" s="29" t="n">
        <f aca="false">Panel!Q365</f>
        <v>-0.000516391038628328</v>
      </c>
      <c r="E371" s="30" t="n">
        <f aca="false">Panel!Q365-Panel!Q364</f>
        <v>-0.00124743083042134</v>
      </c>
      <c r="F371" s="30" t="n">
        <f aca="false">Panel!Q364-Panel!Q363</f>
        <v>0.000369175585808179</v>
      </c>
      <c r="G371" s="30" t="n">
        <f aca="false">Panel!Q363-Panel!Q362</f>
        <v>-0.0010432631068884</v>
      </c>
    </row>
    <row r="372" customFormat="false" ht="15" hidden="false" customHeight="false" outlineLevel="0" collapsed="false">
      <c r="C372" s="0" t="n">
        <f aca="false">Panel!Q367-Panel!Q366</f>
        <v>-0.000698049071953477</v>
      </c>
      <c r="D372" s="29" t="n">
        <f aca="false">Panel!Q366</f>
        <v>-8.45612367665893E-005</v>
      </c>
      <c r="E372" s="30" t="n">
        <f aca="false">Panel!Q366-Panel!Q365</f>
        <v>0.000431829801861738</v>
      </c>
      <c r="F372" s="30" t="n">
        <f aca="false">Panel!Q365-Panel!Q364</f>
        <v>-0.00124743083042134</v>
      </c>
      <c r="G372" s="30" t="n">
        <f aca="false">Panel!Q364-Panel!Q363</f>
        <v>0.000369175585808179</v>
      </c>
    </row>
    <row r="373" customFormat="false" ht="15" hidden="false" customHeight="false" outlineLevel="0" collapsed="false">
      <c r="C373" s="0" t="n">
        <f aca="false">Panel!Q368-Panel!Q367</f>
        <v>0.000894477614819422</v>
      </c>
      <c r="D373" s="29" t="n">
        <f aca="false">Panel!Q367</f>
        <v>-0.000782610308720066</v>
      </c>
      <c r="E373" s="30" t="n">
        <f aca="false">Panel!Q367-Panel!Q366</f>
        <v>-0.000698049071953477</v>
      </c>
      <c r="F373" s="30" t="n">
        <f aca="false">Panel!Q366-Panel!Q365</f>
        <v>0.000431829801861738</v>
      </c>
      <c r="G373" s="30" t="n">
        <f aca="false">Panel!Q365-Panel!Q364</f>
        <v>-0.00124743083042134</v>
      </c>
    </row>
    <row r="374" customFormat="false" ht="15" hidden="false" customHeight="false" outlineLevel="0" collapsed="false">
      <c r="C374" s="0" t="n">
        <f aca="false">Panel!Q369-Panel!Q368</f>
        <v>-0.00112072140289321</v>
      </c>
      <c r="D374" s="29" t="n">
        <f aca="false">Panel!Q368</f>
        <v>0.000111867306099356</v>
      </c>
      <c r="E374" s="30" t="n">
        <f aca="false">Panel!Q368-Panel!Q367</f>
        <v>0.000894477614819422</v>
      </c>
      <c r="F374" s="30" t="n">
        <f aca="false">Panel!Q367-Panel!Q366</f>
        <v>-0.000698049071953477</v>
      </c>
      <c r="G374" s="30" t="n">
        <f aca="false">Panel!Q366-Panel!Q365</f>
        <v>0.000431829801861738</v>
      </c>
    </row>
    <row r="375" customFormat="false" ht="15" hidden="false" customHeight="false" outlineLevel="0" collapsed="false">
      <c r="C375" s="0" t="n">
        <f aca="false">Panel!Q370-Panel!Q369</f>
        <v>0.00254509900336863</v>
      </c>
      <c r="D375" s="29" t="n">
        <f aca="false">Panel!Q369</f>
        <v>-0.00100885409679385</v>
      </c>
      <c r="E375" s="30" t="n">
        <f aca="false">Panel!Q369-Panel!Q368</f>
        <v>-0.00112072140289321</v>
      </c>
      <c r="F375" s="30" t="n">
        <f aca="false">Panel!Q368-Panel!Q367</f>
        <v>0.000894477614819422</v>
      </c>
      <c r="G375" s="30" t="n">
        <f aca="false">Panel!Q367-Panel!Q366</f>
        <v>-0.000698049071953477</v>
      </c>
    </row>
    <row r="376" customFormat="false" ht="15" hidden="false" customHeight="false" outlineLevel="0" collapsed="false">
      <c r="C376" s="0" t="n">
        <f aca="false">Panel!Q371-Panel!Q370</f>
        <v>-0.00413344194355858</v>
      </c>
      <c r="D376" s="29" t="n">
        <f aca="false">Panel!Q370</f>
        <v>0.00153624490657478</v>
      </c>
      <c r="E376" s="30" t="n">
        <f aca="false">Panel!Q370-Panel!Q369</f>
        <v>0.00254509900336863</v>
      </c>
      <c r="F376" s="30" t="n">
        <f aca="false">Panel!Q369-Panel!Q368</f>
        <v>-0.00112072140289321</v>
      </c>
      <c r="G376" s="30" t="n">
        <f aca="false">Panel!Q368-Panel!Q367</f>
        <v>0.000894477614819422</v>
      </c>
    </row>
    <row r="377" customFormat="false" ht="15" hidden="false" customHeight="false" outlineLevel="0" collapsed="false">
      <c r="C377" s="0" t="n">
        <f aca="false">Panel!Q372-Panel!Q371</f>
        <v>-0.000156519492971796</v>
      </c>
      <c r="D377" s="29" t="n">
        <f aca="false">Panel!Q371</f>
        <v>-0.0025971970369838</v>
      </c>
      <c r="E377" s="30" t="n">
        <f aca="false">Panel!Q371-Panel!Q370</f>
        <v>-0.00413344194355858</v>
      </c>
      <c r="F377" s="30" t="n">
        <f aca="false">Panel!Q370-Panel!Q369</f>
        <v>0.00254509900336863</v>
      </c>
      <c r="G377" s="30" t="n">
        <f aca="false">Panel!Q369-Panel!Q368</f>
        <v>-0.00112072140289321</v>
      </c>
    </row>
    <row r="378" customFormat="false" ht="15" hidden="false" customHeight="false" outlineLevel="0" collapsed="false">
      <c r="C378" s="0" t="n">
        <f aca="false">Panel!Q373-Panel!Q372</f>
        <v>0.000423035380466175</v>
      </c>
      <c r="D378" s="29" t="n">
        <f aca="false">Panel!Q372</f>
        <v>-0.0027537165299556</v>
      </c>
      <c r="E378" s="30" t="n">
        <f aca="false">Panel!Q372-Panel!Q371</f>
        <v>-0.000156519492971796</v>
      </c>
      <c r="F378" s="30" t="n">
        <f aca="false">Panel!Q371-Panel!Q370</f>
        <v>-0.00413344194355858</v>
      </c>
      <c r="G378" s="30" t="n">
        <f aca="false">Panel!Q370-Panel!Q369</f>
        <v>0.00254509900336863</v>
      </c>
    </row>
    <row r="379" customFormat="false" ht="15" hidden="false" customHeight="false" outlineLevel="0" collapsed="false">
      <c r="C379" s="0" t="n">
        <f aca="false">Panel!Q374-Panel!Q373</f>
        <v>0.00426150410961945</v>
      </c>
      <c r="D379" s="29" t="n">
        <f aca="false">Panel!Q373</f>
        <v>-0.00233068114948942</v>
      </c>
      <c r="E379" s="30" t="n">
        <f aca="false">Panel!Q373-Panel!Q372</f>
        <v>0.000423035380466175</v>
      </c>
      <c r="F379" s="30" t="n">
        <f aca="false">Panel!Q372-Panel!Q371</f>
        <v>-0.000156519492971796</v>
      </c>
      <c r="G379" s="30" t="n">
        <f aca="false">Panel!Q371-Panel!Q370</f>
        <v>-0.00413344194355858</v>
      </c>
    </row>
    <row r="380" customFormat="false" ht="15" hidden="false" customHeight="false" outlineLevel="0" collapsed="false">
      <c r="C380" s="0" t="n">
        <f aca="false">Panel!Q375-Panel!Q374</f>
        <v>-0.00604354665413887</v>
      </c>
      <c r="D380" s="29" t="n">
        <f aca="false">Panel!Q374</f>
        <v>0.00193082296013003</v>
      </c>
      <c r="E380" s="30" t="n">
        <f aca="false">Panel!Q374-Panel!Q373</f>
        <v>0.00426150410961945</v>
      </c>
      <c r="F380" s="30" t="n">
        <f aca="false">Panel!Q373-Panel!Q372</f>
        <v>0.000423035380466175</v>
      </c>
      <c r="G380" s="30" t="n">
        <f aca="false">Panel!Q372-Panel!Q371</f>
        <v>-0.000156519492971796</v>
      </c>
    </row>
    <row r="381" customFormat="false" ht="15" hidden="false" customHeight="false" outlineLevel="0" collapsed="false">
      <c r="C381" s="0" t="n">
        <f aca="false">Panel!Q376-Panel!Q375</f>
        <v>0.00121679195429714</v>
      </c>
      <c r="D381" s="29" t="n">
        <f aca="false">Panel!Q375</f>
        <v>-0.00411272369400884</v>
      </c>
      <c r="E381" s="30" t="n">
        <f aca="false">Panel!Q375-Panel!Q374</f>
        <v>-0.00604354665413887</v>
      </c>
      <c r="F381" s="30" t="n">
        <f aca="false">Panel!Q374-Panel!Q373</f>
        <v>0.00426150410961945</v>
      </c>
      <c r="G381" s="30" t="n">
        <f aca="false">Panel!Q373-Panel!Q372</f>
        <v>0.000423035380466175</v>
      </c>
    </row>
    <row r="382" customFormat="false" ht="15" hidden="false" customHeight="false" outlineLevel="0" collapsed="false">
      <c r="C382" s="0" t="n">
        <f aca="false">Panel!Q377-Panel!Q376</f>
        <v>-0.000890223466605278</v>
      </c>
      <c r="D382" s="29" t="n">
        <f aca="false">Panel!Q376</f>
        <v>-0.0028959317397117</v>
      </c>
      <c r="E382" s="30" t="n">
        <f aca="false">Panel!Q376-Panel!Q375</f>
        <v>0.00121679195429714</v>
      </c>
      <c r="F382" s="30" t="n">
        <f aca="false">Panel!Q375-Panel!Q374</f>
        <v>-0.00604354665413887</v>
      </c>
      <c r="G382" s="30" t="n">
        <f aca="false">Panel!Q374-Panel!Q373</f>
        <v>0.00426150410961945</v>
      </c>
    </row>
    <row r="383" customFormat="false" ht="15" hidden="false" customHeight="false" outlineLevel="0" collapsed="false">
      <c r="C383" s="0" t="n">
        <f aca="false">Panel!Q378-Panel!Q377</f>
        <v>-0.000137015340486713</v>
      </c>
      <c r="D383" s="29" t="n">
        <f aca="false">Panel!Q377</f>
        <v>-0.00378615520631698</v>
      </c>
      <c r="E383" s="30" t="n">
        <f aca="false">Panel!Q377-Panel!Q376</f>
        <v>-0.000890223466605278</v>
      </c>
      <c r="F383" s="30" t="n">
        <f aca="false">Panel!Q376-Panel!Q375</f>
        <v>0.00121679195429714</v>
      </c>
      <c r="G383" s="30" t="n">
        <f aca="false">Panel!Q375-Panel!Q374</f>
        <v>-0.00604354665413887</v>
      </c>
    </row>
    <row r="384" customFormat="false" ht="15" hidden="false" customHeight="false" outlineLevel="0" collapsed="false">
      <c r="C384" s="0" t="n">
        <f aca="false">Panel!Q379-Panel!Q378</f>
        <v>-0.000976809824795311</v>
      </c>
      <c r="D384" s="29" t="n">
        <f aca="false">Panel!Q378</f>
        <v>-0.00392317054680369</v>
      </c>
      <c r="E384" s="30" t="n">
        <f aca="false">Panel!Q378-Panel!Q377</f>
        <v>-0.000137015340486713</v>
      </c>
      <c r="F384" s="30" t="n">
        <f aca="false">Panel!Q377-Panel!Q376</f>
        <v>-0.000890223466605278</v>
      </c>
      <c r="G384" s="30" t="n">
        <f aca="false">Panel!Q376-Panel!Q375</f>
        <v>0.00121679195429714</v>
      </c>
    </row>
    <row r="385" customFormat="false" ht="15" hidden="false" customHeight="false" outlineLevel="0" collapsed="false">
      <c r="C385" s="0" t="n">
        <f aca="false">Panel!Q380-Panel!Q379</f>
        <v>0.00446428079492911</v>
      </c>
      <c r="D385" s="29" t="n">
        <f aca="false">Panel!Q379</f>
        <v>-0.004899980371599</v>
      </c>
      <c r="E385" s="30" t="n">
        <f aca="false">Panel!Q379-Panel!Q378</f>
        <v>-0.000976809824795311</v>
      </c>
      <c r="F385" s="30" t="n">
        <f aca="false">Panel!Q378-Panel!Q377</f>
        <v>-0.000137015340486713</v>
      </c>
      <c r="G385" s="30" t="n">
        <f aca="false">Panel!Q377-Panel!Q376</f>
        <v>-0.000890223466605278</v>
      </c>
    </row>
    <row r="386" customFormat="false" ht="15" hidden="false" customHeight="false" outlineLevel="0" collapsed="false">
      <c r="C386" s="0" t="n">
        <f aca="false">Panel!Q381-Panel!Q380</f>
        <v>-0.000463772245193894</v>
      </c>
      <c r="D386" s="29" t="n">
        <f aca="false">Panel!Q380</f>
        <v>-0.00043569957666989</v>
      </c>
      <c r="E386" s="30" t="n">
        <f aca="false">Panel!Q380-Panel!Q379</f>
        <v>0.00446428079492911</v>
      </c>
      <c r="F386" s="30" t="n">
        <f aca="false">Panel!Q379-Panel!Q378</f>
        <v>-0.000976809824795311</v>
      </c>
      <c r="G386" s="30" t="n">
        <f aca="false">Panel!Q378-Panel!Q377</f>
        <v>-0.000137015340486713</v>
      </c>
    </row>
    <row r="387" customFormat="false" ht="15" hidden="false" customHeight="false" outlineLevel="0" collapsed="false">
      <c r="C387" s="0" t="n">
        <f aca="false">Panel!Q382-Panel!Q381</f>
        <v>-8.25323010662515E-005</v>
      </c>
      <c r="D387" s="29" t="n">
        <f aca="false">Panel!Q381</f>
        <v>-0.000899471821863784</v>
      </c>
      <c r="E387" s="30" t="n">
        <f aca="false">Panel!Q381-Panel!Q380</f>
        <v>-0.000463772245193894</v>
      </c>
      <c r="F387" s="30" t="n">
        <f aca="false">Panel!Q380-Panel!Q379</f>
        <v>0.00446428079492911</v>
      </c>
      <c r="G387" s="30" t="n">
        <f aca="false">Panel!Q379-Panel!Q378</f>
        <v>-0.000976809824795311</v>
      </c>
    </row>
    <row r="388" customFormat="false" ht="15" hidden="false" customHeight="false" outlineLevel="0" collapsed="false">
      <c r="C388" s="0" t="n">
        <f aca="false">Panel!Q383-Panel!Q382</f>
        <v>8.90130821726842E-005</v>
      </c>
      <c r="D388" s="29" t="n">
        <f aca="false">Panel!Q382</f>
        <v>-0.000982004122930036</v>
      </c>
      <c r="E388" s="30" t="n">
        <f aca="false">Panel!Q382-Panel!Q381</f>
        <v>-8.25323010662515E-005</v>
      </c>
      <c r="F388" s="30" t="n">
        <f aca="false">Panel!Q381-Panel!Q380</f>
        <v>-0.000463772245193894</v>
      </c>
      <c r="G388" s="30" t="n">
        <f aca="false">Panel!Q380-Panel!Q379</f>
        <v>0.00446428079492911</v>
      </c>
    </row>
    <row r="389" customFormat="false" ht="15" hidden="false" customHeight="false" outlineLevel="0" collapsed="false">
      <c r="C389" s="0" t="n">
        <f aca="false">Panel!Q384-Panel!Q383</f>
        <v>0.000643722242749334</v>
      </c>
      <c r="D389" s="29" t="n">
        <f aca="false">Panel!Q383</f>
        <v>-0.000892991040757352</v>
      </c>
      <c r="E389" s="30" t="n">
        <f aca="false">Panel!Q383-Panel!Q382</f>
        <v>8.90130821726842E-005</v>
      </c>
      <c r="F389" s="30" t="n">
        <f aca="false">Panel!Q382-Panel!Q381</f>
        <v>-8.25323010662515E-005</v>
      </c>
      <c r="G389" s="30" t="n">
        <f aca="false">Panel!Q381-Panel!Q380</f>
        <v>-0.000463772245193894</v>
      </c>
    </row>
    <row r="390" customFormat="false" ht="15" hidden="false" customHeight="false" outlineLevel="0" collapsed="false">
      <c r="C390" s="0" t="n">
        <f aca="false">Panel!Q385-Panel!Q384</f>
        <v>-0.000202826066981743</v>
      </c>
      <c r="D390" s="29" t="n">
        <f aca="false">Panel!Q384</f>
        <v>-0.000249268798008018</v>
      </c>
      <c r="E390" s="30" t="n">
        <f aca="false">Panel!Q384-Panel!Q383</f>
        <v>0.000643722242749334</v>
      </c>
      <c r="F390" s="30" t="n">
        <f aca="false">Panel!Q383-Panel!Q382</f>
        <v>8.90130821726842E-005</v>
      </c>
      <c r="G390" s="30" t="n">
        <f aca="false">Panel!Q382-Panel!Q381</f>
        <v>-8.25323010662515E-005</v>
      </c>
    </row>
    <row r="391" customFormat="false" ht="15" hidden="false" customHeight="false" outlineLevel="0" collapsed="false">
      <c r="C391" s="0" t="n">
        <f aca="false">Panel!Q386-Panel!Q385</f>
        <v>-0.00156810195851698</v>
      </c>
      <c r="D391" s="29" t="n">
        <f aca="false">Panel!Q385</f>
        <v>-0.000452094864989761</v>
      </c>
      <c r="E391" s="30" t="n">
        <f aca="false">Panel!Q385-Panel!Q384</f>
        <v>-0.000202826066981743</v>
      </c>
      <c r="F391" s="30" t="n">
        <f aca="false">Panel!Q384-Panel!Q383</f>
        <v>0.000643722242749334</v>
      </c>
      <c r="G391" s="30" t="n">
        <f aca="false">Panel!Q383-Panel!Q382</f>
        <v>8.90130821726842E-005</v>
      </c>
    </row>
    <row r="392" customFormat="false" ht="15" hidden="false" customHeight="false" outlineLevel="0" collapsed="false">
      <c r="C392" s="0" t="n">
        <f aca="false">Panel!Q387-Panel!Q386</f>
        <v>0.000347214824122588</v>
      </c>
      <c r="D392" s="29" t="n">
        <f aca="false">Panel!Q386</f>
        <v>-0.00202019682350674</v>
      </c>
      <c r="E392" s="30" t="n">
        <f aca="false">Panel!Q386-Panel!Q385</f>
        <v>-0.00156810195851698</v>
      </c>
      <c r="F392" s="30" t="n">
        <f aca="false">Panel!Q385-Panel!Q384</f>
        <v>-0.000202826066981743</v>
      </c>
      <c r="G392" s="30" t="n">
        <f aca="false">Panel!Q384-Panel!Q383</f>
        <v>0.000643722242749334</v>
      </c>
    </row>
    <row r="393" customFormat="false" ht="15" hidden="false" customHeight="false" outlineLevel="0" collapsed="false">
      <c r="C393" s="0" t="n">
        <f aca="false">Panel!Q388-Panel!Q387</f>
        <v>-0.00145254929351069</v>
      </c>
      <c r="D393" s="29" t="n">
        <f aca="false">Panel!Q387</f>
        <v>-0.00167298199938415</v>
      </c>
      <c r="E393" s="30" t="n">
        <f aca="false">Panel!Q387-Panel!Q386</f>
        <v>0.000347214824122588</v>
      </c>
      <c r="F393" s="30" t="n">
        <f aca="false">Panel!Q386-Panel!Q385</f>
        <v>-0.00156810195851698</v>
      </c>
      <c r="G393" s="30" t="n">
        <f aca="false">Panel!Q385-Panel!Q384</f>
        <v>-0.000202826066981743</v>
      </c>
    </row>
    <row r="394" customFormat="false" ht="15" hidden="false" customHeight="false" outlineLevel="0" collapsed="false">
      <c r="C394" s="0" t="n">
        <f aca="false">Panel!Q389-Panel!Q388</f>
        <v>-4.36246178558974E-006</v>
      </c>
      <c r="D394" s="29" t="n">
        <f aca="false">Panel!Q388</f>
        <v>-0.00312553129289483</v>
      </c>
      <c r="E394" s="30" t="n">
        <f aca="false">Panel!Q388-Panel!Q387</f>
        <v>-0.00145254929351069</v>
      </c>
      <c r="F394" s="30" t="n">
        <f aca="false">Panel!Q387-Panel!Q386</f>
        <v>0.000347214824122588</v>
      </c>
      <c r="G394" s="30" t="n">
        <f aca="false">Panel!Q386-Panel!Q385</f>
        <v>-0.00156810195851698</v>
      </c>
    </row>
    <row r="395" customFormat="false" ht="15" hidden="false" customHeight="false" outlineLevel="0" collapsed="false">
      <c r="C395" s="0" t="n">
        <f aca="false">Panel!Q390-Panel!Q389</f>
        <v>-0.00109953494020765</v>
      </c>
      <c r="D395" s="29" t="n">
        <f aca="false">Panel!Q389</f>
        <v>-0.00312989375468042</v>
      </c>
      <c r="E395" s="30" t="n">
        <f aca="false">Panel!Q389-Panel!Q388</f>
        <v>-4.36246178558974E-006</v>
      </c>
      <c r="F395" s="30" t="n">
        <f aca="false">Panel!Q388-Panel!Q387</f>
        <v>-0.00145254929351069</v>
      </c>
      <c r="G395" s="30" t="n">
        <f aca="false">Panel!Q387-Panel!Q386</f>
        <v>0.000347214824122588</v>
      </c>
    </row>
    <row r="396" customFormat="false" ht="15" hidden="false" customHeight="false" outlineLevel="0" collapsed="false">
      <c r="C396" s="0" t="n">
        <f aca="false">Panel!Q391-Panel!Q390</f>
        <v>-0.00096089127265131</v>
      </c>
      <c r="D396" s="29" t="n">
        <f aca="false">Panel!Q390</f>
        <v>-0.00422942869488807</v>
      </c>
      <c r="E396" s="30" t="n">
        <f aca="false">Panel!Q390-Panel!Q389</f>
        <v>-0.00109953494020765</v>
      </c>
      <c r="F396" s="30" t="n">
        <f aca="false">Panel!Q389-Panel!Q388</f>
        <v>-4.36246178558974E-006</v>
      </c>
      <c r="G396" s="30" t="n">
        <f aca="false">Panel!Q388-Panel!Q387</f>
        <v>-0.00145254929351069</v>
      </c>
    </row>
    <row r="397" customFormat="false" ht="15" hidden="false" customHeight="false" outlineLevel="0" collapsed="false">
      <c r="C397" s="0" t="n">
        <f aca="false">Panel!Q392-Panel!Q391</f>
        <v>0.00404643369517821</v>
      </c>
      <c r="D397" s="29" t="n">
        <f aca="false">Panel!Q391</f>
        <v>-0.00519031996753938</v>
      </c>
      <c r="E397" s="30" t="n">
        <f aca="false">Panel!Q391-Panel!Q390</f>
        <v>-0.00096089127265131</v>
      </c>
      <c r="F397" s="30" t="n">
        <f aca="false">Panel!Q390-Panel!Q389</f>
        <v>-0.00109953494020765</v>
      </c>
      <c r="G397" s="30" t="n">
        <f aca="false">Panel!Q389-Panel!Q388</f>
        <v>-4.36246178558974E-006</v>
      </c>
    </row>
    <row r="398" customFormat="false" ht="15" hidden="false" customHeight="false" outlineLevel="0" collapsed="false">
      <c r="C398" s="0" t="n">
        <f aca="false">Panel!Q393-Panel!Q392</f>
        <v>-0.000759865003665539</v>
      </c>
      <c r="D398" s="29" t="n">
        <f aca="false">Panel!Q392</f>
        <v>-0.00114388627236117</v>
      </c>
      <c r="E398" s="30" t="n">
        <f aca="false">Panel!Q392-Panel!Q391</f>
        <v>0.00404643369517821</v>
      </c>
      <c r="F398" s="30" t="n">
        <f aca="false">Panel!Q391-Panel!Q390</f>
        <v>-0.00096089127265131</v>
      </c>
      <c r="G398" s="30" t="n">
        <f aca="false">Panel!Q390-Panel!Q389</f>
        <v>-0.00109953494020765</v>
      </c>
    </row>
    <row r="399" customFormat="false" ht="15" hidden="false" customHeight="false" outlineLevel="0" collapsed="false">
      <c r="C399" s="0" t="n">
        <f aca="false">Panel!Q394-Panel!Q393</f>
        <v>-0.00116529243742036</v>
      </c>
      <c r="D399" s="29" t="n">
        <f aca="false">Panel!Q393</f>
        <v>-0.00190375127602671</v>
      </c>
      <c r="E399" s="30" t="n">
        <f aca="false">Panel!Q393-Panel!Q392</f>
        <v>-0.000759865003665539</v>
      </c>
      <c r="F399" s="30" t="n">
        <f aca="false">Panel!Q392-Panel!Q391</f>
        <v>0.00404643369517821</v>
      </c>
      <c r="G399" s="30" t="n">
        <f aca="false">Panel!Q391-Panel!Q390</f>
        <v>-0.00096089127265131</v>
      </c>
    </row>
    <row r="400" customFormat="false" ht="15" hidden="false" customHeight="false" outlineLevel="0" collapsed="false">
      <c r="C400" s="0" t="n">
        <f aca="false">Panel!Q395-Panel!Q394</f>
        <v>-0.000780158881836357</v>
      </c>
      <c r="D400" s="29" t="n">
        <f aca="false">Panel!Q394</f>
        <v>-0.00306904371344707</v>
      </c>
      <c r="E400" s="30" t="n">
        <f aca="false">Panel!Q394-Panel!Q393</f>
        <v>-0.00116529243742036</v>
      </c>
      <c r="F400" s="30" t="n">
        <f aca="false">Panel!Q393-Panel!Q392</f>
        <v>-0.000759865003665539</v>
      </c>
      <c r="G400" s="30" t="n">
        <f aca="false">Panel!Q392-Panel!Q391</f>
        <v>0.00404643369517821</v>
      </c>
    </row>
    <row r="401" customFormat="false" ht="15" hidden="false" customHeight="false" outlineLevel="0" collapsed="false">
      <c r="C401" s="0" t="n">
        <f aca="false">Panel!Q396-Panel!Q395</f>
        <v>-0.0031561494462089</v>
      </c>
      <c r="D401" s="29" t="n">
        <f aca="false">Panel!Q395</f>
        <v>-0.00384920259528343</v>
      </c>
      <c r="E401" s="30" t="n">
        <f aca="false">Panel!Q395-Panel!Q394</f>
        <v>-0.000780158881836357</v>
      </c>
      <c r="F401" s="30" t="n">
        <f aca="false">Panel!Q394-Panel!Q393</f>
        <v>-0.00116529243742036</v>
      </c>
      <c r="G401" s="30" t="n">
        <f aca="false">Panel!Q393-Panel!Q392</f>
        <v>-0.000759865003665539</v>
      </c>
    </row>
    <row r="402" customFormat="false" ht="15" hidden="false" customHeight="false" outlineLevel="0" collapsed="false">
      <c r="C402" s="0" t="n">
        <f aca="false">Panel!Q397-Panel!Q396</f>
        <v>0.0113160637022798</v>
      </c>
      <c r="D402" s="29" t="n">
        <f aca="false">Panel!Q396</f>
        <v>-0.00700535204149233</v>
      </c>
      <c r="E402" s="30" t="n">
        <f aca="false">Panel!Q396-Panel!Q395</f>
        <v>-0.0031561494462089</v>
      </c>
      <c r="F402" s="30" t="n">
        <f aca="false">Panel!Q395-Panel!Q394</f>
        <v>-0.000780158881836357</v>
      </c>
      <c r="G402" s="30" t="n">
        <f aca="false">Panel!Q394-Panel!Q393</f>
        <v>-0.00116529243742036</v>
      </c>
    </row>
    <row r="403" customFormat="false" ht="15" hidden="false" customHeight="false" outlineLevel="0" collapsed="false">
      <c r="C403" s="0" t="n">
        <f aca="false">Panel!Q398-Panel!Q397</f>
        <v>-0.00106735511738876</v>
      </c>
      <c r="D403" s="29" t="n">
        <f aca="false">Panel!Q397</f>
        <v>0.00431071166078745</v>
      </c>
      <c r="E403" s="30" t="n">
        <f aca="false">Panel!Q397-Panel!Q396</f>
        <v>0.0113160637022798</v>
      </c>
      <c r="F403" s="30" t="n">
        <f aca="false">Panel!Q396-Panel!Q395</f>
        <v>-0.0031561494462089</v>
      </c>
      <c r="G403" s="30" t="n">
        <f aca="false">Panel!Q395-Panel!Q394</f>
        <v>-0.000780158881836357</v>
      </c>
    </row>
    <row r="404" customFormat="false" ht="15" hidden="false" customHeight="false" outlineLevel="0" collapsed="false">
      <c r="C404" s="0" t="n">
        <f aca="false">Panel!Q399-Panel!Q398</f>
        <v>-0.00121671548952484</v>
      </c>
      <c r="D404" s="29" t="n">
        <f aca="false">Panel!Q398</f>
        <v>0.00324335654339869</v>
      </c>
      <c r="E404" s="30" t="n">
        <f aca="false">Panel!Q398-Panel!Q397</f>
        <v>-0.00106735511738876</v>
      </c>
      <c r="F404" s="30" t="n">
        <f aca="false">Panel!Q397-Panel!Q396</f>
        <v>0.0113160637022798</v>
      </c>
      <c r="G404" s="30" t="n">
        <f aca="false">Panel!Q396-Panel!Q395</f>
        <v>-0.0031561494462089</v>
      </c>
    </row>
    <row r="405" customFormat="false" ht="15" hidden="false" customHeight="false" outlineLevel="0" collapsed="false">
      <c r="C405" s="0" t="n">
        <f aca="false">Panel!Q400-Panel!Q399</f>
        <v>0.000150679497446404</v>
      </c>
      <c r="D405" s="29" t="n">
        <f aca="false">Panel!Q399</f>
        <v>0.00202664105387385</v>
      </c>
      <c r="E405" s="30" t="n">
        <f aca="false">Panel!Q399-Panel!Q398</f>
        <v>-0.00121671548952484</v>
      </c>
      <c r="F405" s="30" t="n">
        <f aca="false">Panel!Q398-Panel!Q397</f>
        <v>-0.00106735511738876</v>
      </c>
      <c r="G405" s="30" t="n">
        <f aca="false">Panel!Q397-Panel!Q396</f>
        <v>0.0113160637022798</v>
      </c>
    </row>
    <row r="406" customFormat="false" ht="15" hidden="false" customHeight="false" outlineLevel="0" collapsed="false">
      <c r="C406" s="0" t="n">
        <f aca="false">Panel!Q401-Panel!Q400</f>
        <v>-0.000827362011909472</v>
      </c>
      <c r="D406" s="29" t="n">
        <f aca="false">Panel!Q400</f>
        <v>0.00217732055132025</v>
      </c>
      <c r="E406" s="30" t="n">
        <f aca="false">Panel!Q400-Panel!Q399</f>
        <v>0.000150679497446404</v>
      </c>
      <c r="F406" s="30" t="n">
        <f aca="false">Panel!Q399-Panel!Q398</f>
        <v>-0.00121671548952484</v>
      </c>
      <c r="G406" s="30" t="n">
        <f aca="false">Panel!Q398-Panel!Q397</f>
        <v>-0.00106735511738876</v>
      </c>
    </row>
    <row r="407" customFormat="false" ht="15" hidden="false" customHeight="false" outlineLevel="0" collapsed="false">
      <c r="C407" s="0" t="n">
        <f aca="false">Panel!Q402-Panel!Q401</f>
        <v>-1.0821245249204E-005</v>
      </c>
      <c r="D407" s="29" t="n">
        <f aca="false">Panel!Q401</f>
        <v>0.00134995853941078</v>
      </c>
      <c r="E407" s="30" t="n">
        <f aca="false">Panel!Q401-Panel!Q400</f>
        <v>-0.000827362011909472</v>
      </c>
      <c r="F407" s="30" t="n">
        <f aca="false">Panel!Q400-Panel!Q399</f>
        <v>0.000150679497446404</v>
      </c>
      <c r="G407" s="30" t="n">
        <f aca="false">Panel!Q399-Panel!Q398</f>
        <v>-0.00121671548952484</v>
      </c>
    </row>
    <row r="408" customFormat="false" ht="15" hidden="false" customHeight="false" outlineLevel="0" collapsed="false">
      <c r="C408" s="0" t="n">
        <f aca="false">Panel!Q403-Panel!Q402</f>
        <v>-0.00059449897393371</v>
      </c>
      <c r="D408" s="29" t="n">
        <f aca="false">Panel!Q402</f>
        <v>0.00133913729416157</v>
      </c>
      <c r="E408" s="30" t="n">
        <f aca="false">Panel!Q402-Panel!Q401</f>
        <v>-1.0821245249204E-005</v>
      </c>
      <c r="F408" s="30" t="n">
        <f aca="false">Panel!Q401-Panel!Q400</f>
        <v>-0.000827362011909472</v>
      </c>
      <c r="G408" s="30" t="n">
        <f aca="false">Panel!Q400-Panel!Q399</f>
        <v>0.000150679497446404</v>
      </c>
    </row>
    <row r="409" customFormat="false" ht="15" hidden="false" customHeight="false" outlineLevel="0" collapsed="false">
      <c r="C409" s="0" t="n">
        <f aca="false">Panel!Q404-Panel!Q403</f>
        <v>0.000782274851484743</v>
      </c>
      <c r="D409" s="29" t="n">
        <f aca="false">Panel!Q403</f>
        <v>0.000744638320227864</v>
      </c>
      <c r="E409" s="30" t="n">
        <f aca="false">Panel!Q403-Panel!Q402</f>
        <v>-0.00059449897393371</v>
      </c>
      <c r="F409" s="30" t="n">
        <f aca="false">Panel!Q402-Panel!Q401</f>
        <v>-1.0821245249204E-005</v>
      </c>
      <c r="G409" s="30" t="n">
        <f aca="false">Panel!Q401-Panel!Q400</f>
        <v>-0.000827362011909472</v>
      </c>
    </row>
    <row r="410" customFormat="false" ht="15" hidden="false" customHeight="false" outlineLevel="0" collapsed="false">
      <c r="C410" s="0" t="n">
        <f aca="false">Panel!Q405-Panel!Q404</f>
        <v>0.00162637641351893</v>
      </c>
      <c r="D410" s="29" t="n">
        <f aca="false">Panel!Q404</f>
        <v>0.00152691317171261</v>
      </c>
      <c r="E410" s="30" t="n">
        <f aca="false">Panel!Q404-Panel!Q403</f>
        <v>0.000782274851484743</v>
      </c>
      <c r="F410" s="30" t="n">
        <f aca="false">Panel!Q403-Panel!Q402</f>
        <v>-0.00059449897393371</v>
      </c>
      <c r="G410" s="30" t="n">
        <f aca="false">Panel!Q402-Panel!Q401</f>
        <v>-1.0821245249204E-005</v>
      </c>
    </row>
    <row r="411" customFormat="false" ht="15" hidden="false" customHeight="false" outlineLevel="0" collapsed="false">
      <c r="C411" s="0" t="n">
        <f aca="false">Panel!Q406-Panel!Q405</f>
        <v>-0.000917583039299785</v>
      </c>
      <c r="D411" s="29" t="n">
        <f aca="false">Panel!Q405</f>
        <v>0.00315328958523153</v>
      </c>
      <c r="E411" s="30" t="n">
        <f aca="false">Panel!Q405-Panel!Q404</f>
        <v>0.00162637641351893</v>
      </c>
      <c r="F411" s="30" t="n">
        <f aca="false">Panel!Q404-Panel!Q403</f>
        <v>0.000782274851484743</v>
      </c>
      <c r="G411" s="30" t="n">
        <f aca="false">Panel!Q403-Panel!Q402</f>
        <v>-0.00059449897393371</v>
      </c>
    </row>
    <row r="412" customFormat="false" ht="15" hidden="false" customHeight="false" outlineLevel="0" collapsed="false">
      <c r="C412" s="0" t="n">
        <f aca="false">Panel!Q407-Panel!Q406</f>
        <v>0.000972435018262274</v>
      </c>
      <c r="D412" s="29" t="n">
        <f aca="false">Panel!Q406</f>
        <v>0.00223570654593175</v>
      </c>
      <c r="E412" s="30" t="n">
        <f aca="false">Panel!Q406-Panel!Q405</f>
        <v>-0.000917583039299785</v>
      </c>
      <c r="F412" s="30" t="n">
        <f aca="false">Panel!Q405-Panel!Q404</f>
        <v>0.00162637641351893</v>
      </c>
      <c r="G412" s="30" t="n">
        <f aca="false">Panel!Q404-Panel!Q403</f>
        <v>0.000782274851484743</v>
      </c>
    </row>
    <row r="413" customFormat="false" ht="15" hidden="false" customHeight="false" outlineLevel="0" collapsed="false">
      <c r="C413" s="0" t="n">
        <f aca="false">Panel!Q408-Panel!Q407</f>
        <v>-0.00241476592227663</v>
      </c>
      <c r="D413" s="29" t="n">
        <f aca="false">Panel!Q407</f>
        <v>0.00320814156419402</v>
      </c>
      <c r="E413" s="30" t="n">
        <f aca="false">Panel!Q407-Panel!Q406</f>
        <v>0.000972435018262274</v>
      </c>
      <c r="F413" s="30" t="n">
        <f aca="false">Panel!Q406-Panel!Q405</f>
        <v>-0.000917583039299785</v>
      </c>
      <c r="G413" s="30" t="n">
        <f aca="false">Panel!Q405-Panel!Q404</f>
        <v>0.00162637641351893</v>
      </c>
    </row>
    <row r="414" customFormat="false" ht="15" hidden="false" customHeight="false" outlineLevel="0" collapsed="false">
      <c r="C414" s="0" t="n">
        <f aca="false">Panel!Q409-Panel!Q408</f>
        <v>-0.000787956786439281</v>
      </c>
      <c r="D414" s="29" t="n">
        <f aca="false">Panel!Q408</f>
        <v>0.000793375641917393</v>
      </c>
      <c r="E414" s="30" t="n">
        <f aca="false">Panel!Q408-Panel!Q407</f>
        <v>-0.00241476592227663</v>
      </c>
      <c r="F414" s="30" t="n">
        <f aca="false">Panel!Q407-Panel!Q406</f>
        <v>0.000972435018262274</v>
      </c>
      <c r="G414" s="30" t="n">
        <f aca="false">Panel!Q406-Panel!Q405</f>
        <v>-0.000917583039299785</v>
      </c>
    </row>
    <row r="415" customFormat="false" ht="15" hidden="false" customHeight="false" outlineLevel="0" collapsed="false">
      <c r="C415" s="0" t="n">
        <f aca="false">Panel!Q410-Panel!Q409</f>
        <v>-0.000533885785705124</v>
      </c>
      <c r="D415" s="29" t="n">
        <f aca="false">Panel!Q409</f>
        <v>5.41885547811205E-006</v>
      </c>
      <c r="E415" s="30" t="n">
        <f aca="false">Panel!Q409-Panel!Q408</f>
        <v>-0.000787956786439281</v>
      </c>
      <c r="F415" s="30" t="n">
        <f aca="false">Panel!Q408-Panel!Q407</f>
        <v>-0.00241476592227663</v>
      </c>
      <c r="G415" s="30" t="n">
        <f aca="false">Panel!Q407-Panel!Q406</f>
        <v>0.000972435018262274</v>
      </c>
    </row>
    <row r="416" customFormat="false" ht="15" hidden="false" customHeight="false" outlineLevel="0" collapsed="false">
      <c r="C416" s="0" t="n">
        <f aca="false">Panel!Q411-Panel!Q410</f>
        <v>-0.00162848836184715</v>
      </c>
      <c r="D416" s="29" t="n">
        <f aca="false">Panel!Q410</f>
        <v>-0.000528466930227012</v>
      </c>
      <c r="E416" s="30" t="n">
        <f aca="false">Panel!Q410-Panel!Q409</f>
        <v>-0.000533885785705124</v>
      </c>
      <c r="F416" s="30" t="n">
        <f aca="false">Panel!Q409-Panel!Q408</f>
        <v>-0.000787956786439281</v>
      </c>
      <c r="G416" s="30" t="n">
        <f aca="false">Panel!Q408-Panel!Q407</f>
        <v>-0.00241476592227663</v>
      </c>
    </row>
    <row r="417" customFormat="false" ht="15" hidden="false" customHeight="false" outlineLevel="0" collapsed="false">
      <c r="C417" s="0" t="n">
        <f aca="false">Panel!Q412-Panel!Q411</f>
        <v>-0.00635317888148634</v>
      </c>
      <c r="D417" s="29" t="n">
        <f aca="false">Panel!Q411</f>
        <v>-0.00215695529207416</v>
      </c>
      <c r="E417" s="30" t="n">
        <f aca="false">Panel!Q411-Panel!Q410</f>
        <v>-0.00162848836184715</v>
      </c>
      <c r="F417" s="30" t="n">
        <f aca="false">Panel!Q410-Panel!Q409</f>
        <v>-0.000533885785705124</v>
      </c>
      <c r="G417" s="30" t="n">
        <f aca="false">Panel!Q409-Panel!Q408</f>
        <v>-0.000787956786439281</v>
      </c>
    </row>
    <row r="418" customFormat="false" ht="15" hidden="false" customHeight="false" outlineLevel="0" collapsed="false">
      <c r="C418" s="0" t="n">
        <f aca="false">Panel!Q413-Panel!Q412</f>
        <v>0.00534758694893966</v>
      </c>
      <c r="D418" s="29" t="n">
        <f aca="false">Panel!Q412</f>
        <v>-0.0085101341735605</v>
      </c>
      <c r="E418" s="30" t="n">
        <f aca="false">Panel!Q412-Panel!Q411</f>
        <v>-0.00635317888148634</v>
      </c>
      <c r="F418" s="30" t="n">
        <f aca="false">Panel!Q411-Panel!Q410</f>
        <v>-0.00162848836184715</v>
      </c>
      <c r="G418" s="30" t="n">
        <f aca="false">Panel!Q410-Panel!Q409</f>
        <v>-0.000533885785705124</v>
      </c>
    </row>
    <row r="419" customFormat="false" ht="15" hidden="false" customHeight="false" outlineLevel="0" collapsed="false">
      <c r="C419" s="0" t="n">
        <f aca="false">Panel!Q414-Panel!Q413</f>
        <v>0.00119255669697083</v>
      </c>
      <c r="D419" s="29" t="n">
        <f aca="false">Panel!Q413</f>
        <v>-0.00316254722462084</v>
      </c>
      <c r="E419" s="30" t="n">
        <f aca="false">Panel!Q413-Panel!Q412</f>
        <v>0.00534758694893966</v>
      </c>
      <c r="F419" s="30" t="n">
        <f aca="false">Panel!Q412-Panel!Q411</f>
        <v>-0.00635317888148634</v>
      </c>
      <c r="G419" s="30" t="n">
        <f aca="false">Panel!Q411-Panel!Q410</f>
        <v>-0.00162848836184715</v>
      </c>
    </row>
    <row r="420" customFormat="false" ht="15" hidden="false" customHeight="false" outlineLevel="0" collapsed="false">
      <c r="C420" s="0" t="n">
        <f aca="false">Panel!Q415-Panel!Q414</f>
        <v>-0.00142548722138969</v>
      </c>
      <c r="D420" s="29" t="n">
        <f aca="false">Panel!Q414</f>
        <v>-0.00196999052765001</v>
      </c>
      <c r="E420" s="30" t="n">
        <f aca="false">Panel!Q414-Panel!Q413</f>
        <v>0.00119255669697083</v>
      </c>
      <c r="F420" s="30" t="n">
        <f aca="false">Panel!Q413-Panel!Q412</f>
        <v>0.00534758694893966</v>
      </c>
      <c r="G420" s="30" t="n">
        <f aca="false">Panel!Q412-Panel!Q411</f>
        <v>-0.00635317888148634</v>
      </c>
    </row>
    <row r="421" customFormat="false" ht="15" hidden="false" customHeight="false" outlineLevel="0" collapsed="false">
      <c r="C421" s="0" t="n">
        <f aca="false">Panel!Q416-Panel!Q415</f>
        <v>0.00764241242132613</v>
      </c>
      <c r="D421" s="29" t="n">
        <f aca="false">Panel!Q415</f>
        <v>-0.0033954777490397</v>
      </c>
      <c r="E421" s="30" t="n">
        <f aca="false">Panel!Q415-Panel!Q414</f>
        <v>-0.00142548722138969</v>
      </c>
      <c r="F421" s="30" t="n">
        <f aca="false">Panel!Q414-Panel!Q413</f>
        <v>0.00119255669697083</v>
      </c>
      <c r="G421" s="30" t="n">
        <f aca="false">Panel!Q413-Panel!Q412</f>
        <v>0.00534758694893966</v>
      </c>
    </row>
    <row r="422" customFormat="false" ht="15" hidden="false" customHeight="false" outlineLevel="0" collapsed="false">
      <c r="C422" s="0" t="n">
        <f aca="false">Panel!Q417-Panel!Q416</f>
        <v>-0.000689332311536006</v>
      </c>
      <c r="D422" s="29" t="n">
        <f aca="false">Panel!Q416</f>
        <v>0.00424693467228643</v>
      </c>
      <c r="E422" s="30" t="n">
        <f aca="false">Panel!Q416-Panel!Q415</f>
        <v>0.00764241242132613</v>
      </c>
      <c r="F422" s="30" t="n">
        <f aca="false">Panel!Q415-Panel!Q414</f>
        <v>-0.00142548722138969</v>
      </c>
      <c r="G422" s="30" t="n">
        <f aca="false">Panel!Q414-Panel!Q413</f>
        <v>0.00119255669697083</v>
      </c>
    </row>
    <row r="423" customFormat="false" ht="15" hidden="false" customHeight="false" outlineLevel="0" collapsed="false">
      <c r="C423" s="0" t="n">
        <f aca="false">Panel!Q418-Panel!Q417</f>
        <v>5.41032474767889E-005</v>
      </c>
      <c r="D423" s="29" t="n">
        <f aca="false">Panel!Q417</f>
        <v>0.00355760236075042</v>
      </c>
      <c r="E423" s="30" t="n">
        <f aca="false">Panel!Q417-Panel!Q416</f>
        <v>-0.000689332311536006</v>
      </c>
      <c r="F423" s="30" t="n">
        <f aca="false">Panel!Q416-Panel!Q415</f>
        <v>0.00764241242132613</v>
      </c>
      <c r="G423" s="30" t="n">
        <f aca="false">Panel!Q415-Panel!Q414</f>
        <v>-0.00142548722138969</v>
      </c>
    </row>
    <row r="424" customFormat="false" ht="15" hidden="false" customHeight="false" outlineLevel="0" collapsed="false">
      <c r="C424" s="0" t="n">
        <f aca="false">Panel!Q419-Panel!Q418</f>
        <v>-0.000942901614472191</v>
      </c>
      <c r="D424" s="29" t="n">
        <f aca="false">Panel!Q418</f>
        <v>0.00361170560822721</v>
      </c>
      <c r="E424" s="30" t="n">
        <f aca="false">Panel!Q418-Panel!Q417</f>
        <v>5.41032474767889E-005</v>
      </c>
      <c r="F424" s="30" t="n">
        <f aca="false">Panel!Q417-Panel!Q416</f>
        <v>-0.000689332311536006</v>
      </c>
      <c r="G424" s="30" t="n">
        <f aca="false">Panel!Q416-Panel!Q415</f>
        <v>0.00764241242132613</v>
      </c>
    </row>
    <row r="425" customFormat="false" ht="15" hidden="false" customHeight="false" outlineLevel="0" collapsed="false">
      <c r="C425" s="0" t="n">
        <f aca="false">Panel!Q420-Panel!Q419</f>
        <v>0.000677275355014828</v>
      </c>
      <c r="D425" s="29" t="n">
        <f aca="false">Panel!Q419</f>
        <v>0.00266880399375502</v>
      </c>
      <c r="E425" s="30" t="n">
        <f aca="false">Panel!Q419-Panel!Q418</f>
        <v>-0.000942901614472191</v>
      </c>
      <c r="F425" s="30" t="n">
        <f aca="false">Panel!Q418-Panel!Q417</f>
        <v>5.41032474767889E-005</v>
      </c>
      <c r="G425" s="30" t="n">
        <f aca="false">Panel!Q417-Panel!Q416</f>
        <v>-0.000689332311536006</v>
      </c>
    </row>
    <row r="426" customFormat="false" ht="15" hidden="false" customHeight="false" outlineLevel="0" collapsed="false">
      <c r="C426" s="0" t="n">
        <f aca="false">Panel!Q421-Panel!Q420</f>
        <v>-0.00376440641591458</v>
      </c>
      <c r="D426" s="29" t="n">
        <f aca="false">Panel!Q420</f>
        <v>0.00334607934876985</v>
      </c>
      <c r="E426" s="30" t="n">
        <f aca="false">Panel!Q420-Panel!Q419</f>
        <v>0.000677275355014828</v>
      </c>
      <c r="F426" s="30" t="n">
        <f aca="false">Panel!Q419-Panel!Q418</f>
        <v>-0.000942901614472191</v>
      </c>
      <c r="G426" s="30" t="n">
        <f aca="false">Panel!Q418-Panel!Q417</f>
        <v>5.41032474767889E-005</v>
      </c>
    </row>
    <row r="427" customFormat="false" ht="15" hidden="false" customHeight="false" outlineLevel="0" collapsed="false">
      <c r="C427" s="0" t="n">
        <f aca="false">Panel!Q422-Panel!Q421</f>
        <v>0.00147686475894915</v>
      </c>
      <c r="D427" s="29" t="n">
        <f aca="false">Panel!Q421</f>
        <v>-0.00041832706714473</v>
      </c>
      <c r="E427" s="30" t="n">
        <f aca="false">Panel!Q421-Panel!Q420</f>
        <v>-0.00376440641591458</v>
      </c>
      <c r="F427" s="30" t="n">
        <f aca="false">Panel!Q420-Panel!Q419</f>
        <v>0.000677275355014828</v>
      </c>
      <c r="G427" s="30" t="n">
        <f aca="false">Panel!Q419-Panel!Q418</f>
        <v>-0.000942901614472191</v>
      </c>
    </row>
    <row r="428" customFormat="false" ht="15" hidden="false" customHeight="false" outlineLevel="0" collapsed="false">
      <c r="C428" s="0" t="n">
        <f aca="false">Panel!Q423-Panel!Q422</f>
        <v>-0.00172496799371658</v>
      </c>
      <c r="D428" s="29" t="n">
        <f aca="false">Panel!Q422</f>
        <v>0.00105853769180442</v>
      </c>
      <c r="E428" s="30" t="n">
        <f aca="false">Panel!Q422-Panel!Q421</f>
        <v>0.00147686475894915</v>
      </c>
      <c r="F428" s="30" t="n">
        <f aca="false">Panel!Q421-Panel!Q420</f>
        <v>-0.00376440641591458</v>
      </c>
      <c r="G428" s="30" t="n">
        <f aca="false">Panel!Q420-Panel!Q419</f>
        <v>0.000677275355014828</v>
      </c>
    </row>
    <row r="429" customFormat="false" ht="15" hidden="false" customHeight="false" outlineLevel="0" collapsed="false">
      <c r="C429" s="0" t="n">
        <f aca="false">Panel!Q424-Panel!Q423</f>
        <v>0.00206630402769648</v>
      </c>
      <c r="D429" s="29" t="n">
        <f aca="false">Panel!Q423</f>
        <v>-0.000666430301912158</v>
      </c>
      <c r="E429" s="30" t="n">
        <f aca="false">Panel!Q423-Panel!Q422</f>
        <v>-0.00172496799371658</v>
      </c>
      <c r="F429" s="30" t="n">
        <f aca="false">Panel!Q422-Panel!Q421</f>
        <v>0.00147686475894915</v>
      </c>
      <c r="G429" s="30" t="n">
        <f aca="false">Panel!Q421-Panel!Q420</f>
        <v>-0.00376440641591458</v>
      </c>
    </row>
    <row r="430" customFormat="false" ht="15" hidden="false" customHeight="false" outlineLevel="0" collapsed="false">
      <c r="C430" s="0" t="n">
        <f aca="false">Panel!Q425-Panel!Q424</f>
        <v>0.000905030473173696</v>
      </c>
      <c r="D430" s="29" t="n">
        <f aca="false">Panel!Q424</f>
        <v>0.00139987372578432</v>
      </c>
      <c r="E430" s="30" t="n">
        <f aca="false">Panel!Q424-Panel!Q423</f>
        <v>0.00206630402769648</v>
      </c>
      <c r="F430" s="30" t="n">
        <f aca="false">Panel!Q423-Panel!Q422</f>
        <v>-0.00172496799371658</v>
      </c>
      <c r="G430" s="30" t="n">
        <f aca="false">Panel!Q422-Panel!Q421</f>
        <v>0.00147686475894915</v>
      </c>
    </row>
    <row r="431" customFormat="false" ht="15" hidden="false" customHeight="false" outlineLevel="0" collapsed="false">
      <c r="C431" s="0" t="n">
        <f aca="false">Panel!Q426-Panel!Q425</f>
        <v>-0.0053573911201017</v>
      </c>
      <c r="D431" s="29" t="n">
        <f aca="false">Panel!Q425</f>
        <v>0.00230490419895801</v>
      </c>
      <c r="E431" s="30" t="n">
        <f aca="false">Panel!Q425-Panel!Q424</f>
        <v>0.000905030473173696</v>
      </c>
      <c r="F431" s="30" t="n">
        <f aca="false">Panel!Q424-Panel!Q423</f>
        <v>0.00206630402769648</v>
      </c>
      <c r="G431" s="30" t="n">
        <f aca="false">Panel!Q423-Panel!Q422</f>
        <v>-0.00172496799371658</v>
      </c>
    </row>
    <row r="432" customFormat="false" ht="15" hidden="false" customHeight="false" outlineLevel="0" collapsed="false">
      <c r="C432" s="0" t="n">
        <f aca="false">Panel!Q427-Panel!Q426</f>
        <v>0.00243416704161348</v>
      </c>
      <c r="D432" s="29" t="n">
        <f aca="false">Panel!Q426</f>
        <v>-0.00305248692114368</v>
      </c>
      <c r="E432" s="30" t="n">
        <f aca="false">Panel!Q426-Panel!Q425</f>
        <v>-0.0053573911201017</v>
      </c>
      <c r="F432" s="30" t="n">
        <f aca="false">Panel!Q425-Panel!Q424</f>
        <v>0.000905030473173696</v>
      </c>
      <c r="G432" s="30" t="n">
        <f aca="false">Panel!Q424-Panel!Q423</f>
        <v>0.00206630402769648</v>
      </c>
    </row>
    <row r="433" customFormat="false" ht="15" hidden="false" customHeight="false" outlineLevel="0" collapsed="false">
      <c r="C433" s="0" t="n">
        <f aca="false">Panel!Q428-Panel!Q427</f>
        <v>0.00116581668106086</v>
      </c>
      <c r="D433" s="29" t="n">
        <f aca="false">Panel!Q427</f>
        <v>-0.000618319879530205</v>
      </c>
      <c r="E433" s="30" t="n">
        <f aca="false">Panel!Q427-Panel!Q426</f>
        <v>0.00243416704161348</v>
      </c>
      <c r="F433" s="30" t="n">
        <f aca="false">Panel!Q426-Panel!Q425</f>
        <v>-0.0053573911201017</v>
      </c>
      <c r="G433" s="30" t="n">
        <f aca="false">Panel!Q425-Panel!Q424</f>
        <v>0.000905030473173696</v>
      </c>
    </row>
    <row r="434" customFormat="false" ht="15" hidden="false" customHeight="false" outlineLevel="0" collapsed="false">
      <c r="C434" s="0" t="n">
        <f aca="false">Panel!Q429-Panel!Q428</f>
        <v>-0.000259262839513497</v>
      </c>
      <c r="D434" s="29" t="n">
        <f aca="false">Panel!Q428</f>
        <v>0.000547496801530656</v>
      </c>
      <c r="E434" s="30" t="n">
        <f aca="false">Panel!Q428-Panel!Q427</f>
        <v>0.00116581668106086</v>
      </c>
      <c r="F434" s="30" t="n">
        <f aca="false">Panel!Q427-Panel!Q426</f>
        <v>0.00243416704161348</v>
      </c>
      <c r="G434" s="30" t="n">
        <f aca="false">Panel!Q426-Panel!Q425</f>
        <v>-0.0053573911201017</v>
      </c>
    </row>
    <row r="435" customFormat="false" ht="15" hidden="false" customHeight="false" outlineLevel="0" collapsed="false">
      <c r="C435" s="0" t="n">
        <f aca="false">Panel!Q430-Panel!Q429</f>
        <v>0.00106882541778219</v>
      </c>
      <c r="D435" s="29" t="n">
        <f aca="false">Panel!Q429</f>
        <v>0.000288233962017159</v>
      </c>
      <c r="E435" s="30" t="n">
        <f aca="false">Panel!Q429-Panel!Q428</f>
        <v>-0.000259262839513497</v>
      </c>
      <c r="F435" s="30" t="n">
        <f aca="false">Panel!Q428-Panel!Q427</f>
        <v>0.00116581668106086</v>
      </c>
      <c r="G435" s="30" t="n">
        <f aca="false">Panel!Q427-Panel!Q426</f>
        <v>0.00243416704161348</v>
      </c>
    </row>
    <row r="436" customFormat="false" ht="15" hidden="false" customHeight="false" outlineLevel="0" collapsed="false">
      <c r="C436" s="0" t="n">
        <f aca="false">Panel!Q431-Panel!Q430</f>
        <v>-0.00224857126951505</v>
      </c>
      <c r="D436" s="29" t="n">
        <f aca="false">Panel!Q430</f>
        <v>0.00135705937979935</v>
      </c>
      <c r="E436" s="30" t="n">
        <f aca="false">Panel!Q430-Panel!Q429</f>
        <v>0.00106882541778219</v>
      </c>
      <c r="F436" s="30" t="n">
        <f aca="false">Panel!Q429-Panel!Q428</f>
        <v>-0.000259262839513497</v>
      </c>
      <c r="G436" s="30" t="n">
        <f aca="false">Panel!Q428-Panel!Q427</f>
        <v>0.00116581668106086</v>
      </c>
    </row>
    <row r="437" customFormat="false" ht="15" hidden="false" customHeight="false" outlineLevel="0" collapsed="false">
      <c r="C437" s="0" t="n">
        <f aca="false">Panel!Q432-Panel!Q431</f>
        <v>0.000101903912639756</v>
      </c>
      <c r="D437" s="29" t="n">
        <f aca="false">Panel!Q431</f>
        <v>-0.000891511889715702</v>
      </c>
      <c r="E437" s="30" t="n">
        <f aca="false">Panel!Q431-Panel!Q430</f>
        <v>-0.00224857126951505</v>
      </c>
      <c r="F437" s="30" t="n">
        <f aca="false">Panel!Q430-Panel!Q429</f>
        <v>0.00106882541778219</v>
      </c>
      <c r="G437" s="30" t="n">
        <f aca="false">Panel!Q429-Panel!Q428</f>
        <v>-0.000259262839513497</v>
      </c>
    </row>
    <row r="438" customFormat="false" ht="15" hidden="false" customHeight="false" outlineLevel="0" collapsed="false">
      <c r="C438" s="0" t="n">
        <f aca="false">Panel!Q433-Panel!Q432</f>
        <v>-0.000629072672380104</v>
      </c>
      <c r="D438" s="29" t="n">
        <f aca="false">Panel!Q432</f>
        <v>-0.000789607977075946</v>
      </c>
      <c r="E438" s="30" t="n">
        <f aca="false">Panel!Q432-Panel!Q431</f>
        <v>0.000101903912639756</v>
      </c>
      <c r="F438" s="30" t="n">
        <f aca="false">Panel!Q431-Panel!Q430</f>
        <v>-0.00224857126951505</v>
      </c>
      <c r="G438" s="30" t="n">
        <f aca="false">Panel!Q430-Panel!Q429</f>
        <v>0.00106882541778219</v>
      </c>
    </row>
    <row r="439" customFormat="false" ht="15" hidden="false" customHeight="false" outlineLevel="0" collapsed="false">
      <c r="C439" s="0" t="n">
        <f aca="false">Panel!Q434-Panel!Q433</f>
        <v>0.00132559006609156</v>
      </c>
      <c r="D439" s="29" t="n">
        <f aca="false">Panel!Q433</f>
        <v>-0.00141868064945605</v>
      </c>
      <c r="E439" s="30" t="n">
        <f aca="false">Panel!Q433-Panel!Q432</f>
        <v>-0.000629072672380104</v>
      </c>
      <c r="F439" s="30" t="n">
        <f aca="false">Panel!Q432-Panel!Q431</f>
        <v>0.000101903912639756</v>
      </c>
      <c r="G439" s="30" t="n">
        <f aca="false">Panel!Q431-Panel!Q430</f>
        <v>-0.00224857126951505</v>
      </c>
    </row>
    <row r="440" customFormat="false" ht="15" hidden="false" customHeight="false" outlineLevel="0" collapsed="false">
      <c r="C440" s="0" t="n">
        <f aca="false">Panel!Q435-Panel!Q434</f>
        <v>0.000746402920906775</v>
      </c>
      <c r="D440" s="29" t="n">
        <f aca="false">Panel!Q434</f>
        <v>-9.30905833644857E-005</v>
      </c>
      <c r="E440" s="30" t="n">
        <f aca="false">Panel!Q434-Panel!Q433</f>
        <v>0.00132559006609156</v>
      </c>
      <c r="F440" s="30" t="n">
        <f aca="false">Panel!Q433-Panel!Q432</f>
        <v>-0.000629072672380104</v>
      </c>
      <c r="G440" s="30" t="n">
        <f aca="false">Panel!Q432-Panel!Q431</f>
        <v>0.000101903912639756</v>
      </c>
    </row>
    <row r="441" customFormat="false" ht="15" hidden="false" customHeight="false" outlineLevel="0" collapsed="false">
      <c r="C441" s="0" t="n">
        <f aca="false">Panel!Q436-Panel!Q435</f>
        <v>-0.00170174314266092</v>
      </c>
      <c r="D441" s="29" t="n">
        <f aca="false">Panel!Q435</f>
        <v>0.000653312337542289</v>
      </c>
      <c r="E441" s="30" t="n">
        <f aca="false">Panel!Q435-Panel!Q434</f>
        <v>0.000746402920906775</v>
      </c>
      <c r="F441" s="30" t="n">
        <f aca="false">Panel!Q434-Panel!Q433</f>
        <v>0.00132559006609156</v>
      </c>
      <c r="G441" s="30" t="n">
        <f aca="false">Panel!Q433-Panel!Q432</f>
        <v>-0.000629072672380104</v>
      </c>
    </row>
    <row r="442" customFormat="false" ht="15" hidden="false" customHeight="false" outlineLevel="0" collapsed="false">
      <c r="C442" s="0" t="n">
        <f aca="false">Panel!Q437-Panel!Q436</f>
        <v>-0.00417507689680008</v>
      </c>
      <c r="D442" s="29" t="n">
        <f aca="false">Panel!Q436</f>
        <v>-0.00104843080511863</v>
      </c>
      <c r="E442" s="30" t="n">
        <f aca="false">Panel!Q436-Panel!Q435</f>
        <v>-0.00170174314266092</v>
      </c>
      <c r="F442" s="30" t="n">
        <f aca="false">Panel!Q435-Panel!Q434</f>
        <v>0.000746402920906775</v>
      </c>
      <c r="G442" s="30" t="n">
        <f aca="false">Panel!Q434-Panel!Q433</f>
        <v>0.00132559006609156</v>
      </c>
    </row>
    <row r="443" customFormat="false" ht="15" hidden="false" customHeight="false" outlineLevel="0" collapsed="false">
      <c r="C443" s="0" t="n">
        <f aca="false">Panel!Q438-Panel!Q437</f>
        <v>0.00372083638808718</v>
      </c>
      <c r="D443" s="29" t="n">
        <f aca="false">Panel!Q437</f>
        <v>-0.00522350770191871</v>
      </c>
      <c r="E443" s="30" t="n">
        <f aca="false">Panel!Q437-Panel!Q436</f>
        <v>-0.00417507689680008</v>
      </c>
      <c r="F443" s="30" t="n">
        <f aca="false">Panel!Q436-Panel!Q435</f>
        <v>-0.00170174314266092</v>
      </c>
      <c r="G443" s="30" t="n">
        <f aca="false">Panel!Q435-Panel!Q434</f>
        <v>0.000746402920906775</v>
      </c>
    </row>
    <row r="444" customFormat="false" ht="15" hidden="false" customHeight="false" outlineLevel="0" collapsed="false">
      <c r="C444" s="0" t="n">
        <f aca="false">Panel!Q439-Panel!Q438</f>
        <v>-0.00119422927840951</v>
      </c>
      <c r="D444" s="29" t="n">
        <f aca="false">Panel!Q438</f>
        <v>-0.00150267131383153</v>
      </c>
      <c r="E444" s="30" t="n">
        <f aca="false">Panel!Q438-Panel!Q437</f>
        <v>0.00372083638808718</v>
      </c>
      <c r="F444" s="30" t="n">
        <f aca="false">Panel!Q437-Panel!Q436</f>
        <v>-0.00417507689680008</v>
      </c>
      <c r="G444" s="30" t="n">
        <f aca="false">Panel!Q436-Panel!Q435</f>
        <v>-0.00170174314266092</v>
      </c>
    </row>
    <row r="445" customFormat="false" ht="15" hidden="false" customHeight="false" outlineLevel="0" collapsed="false">
      <c r="C445" s="0" t="n">
        <f aca="false">Panel!Q440-Panel!Q439</f>
        <v>-0.00145299470969285</v>
      </c>
      <c r="D445" s="29" t="n">
        <f aca="false">Panel!Q439</f>
        <v>-0.00269690059224104</v>
      </c>
      <c r="E445" s="30" t="n">
        <f aca="false">Panel!Q439-Panel!Q438</f>
        <v>-0.00119422927840951</v>
      </c>
      <c r="F445" s="30" t="n">
        <f aca="false">Panel!Q438-Panel!Q437</f>
        <v>0.00372083638808718</v>
      </c>
      <c r="G445" s="30" t="n">
        <f aca="false">Panel!Q437-Panel!Q436</f>
        <v>-0.00417507689680008</v>
      </c>
    </row>
    <row r="446" customFormat="false" ht="15" hidden="false" customHeight="false" outlineLevel="0" collapsed="false">
      <c r="C446" s="0" t="n">
        <f aca="false">Panel!Q441-Panel!Q440</f>
        <v>0.00824006403633071</v>
      </c>
      <c r="D446" s="29" t="n">
        <f aca="false">Panel!Q440</f>
        <v>-0.00414989530193388</v>
      </c>
      <c r="E446" s="30" t="n">
        <f aca="false">Panel!Q440-Panel!Q439</f>
        <v>-0.00145299470969285</v>
      </c>
      <c r="F446" s="30" t="n">
        <f aca="false">Panel!Q439-Panel!Q438</f>
        <v>-0.00119422927840951</v>
      </c>
      <c r="G446" s="30" t="n">
        <f aca="false">Panel!Q438-Panel!Q437</f>
        <v>0.00372083638808718</v>
      </c>
    </row>
    <row r="447" customFormat="false" ht="15" hidden="false" customHeight="false" outlineLevel="0" collapsed="false">
      <c r="C447" s="0" t="n">
        <f aca="false">Panel!Q442-Panel!Q441</f>
        <v>-0.00134200565243425</v>
      </c>
      <c r="D447" s="29" t="n">
        <f aca="false">Panel!Q441</f>
        <v>0.00409016873439683</v>
      </c>
      <c r="E447" s="30" t="n">
        <f aca="false">Panel!Q441-Panel!Q440</f>
        <v>0.00824006403633071</v>
      </c>
      <c r="F447" s="30" t="n">
        <f aca="false">Panel!Q440-Panel!Q439</f>
        <v>-0.00145299470969285</v>
      </c>
      <c r="G447" s="30" t="n">
        <f aca="false">Panel!Q439-Panel!Q438</f>
        <v>-0.00119422927840951</v>
      </c>
    </row>
    <row r="448" customFormat="false" ht="15" hidden="false" customHeight="false" outlineLevel="0" collapsed="false">
      <c r="C448" s="0" t="n">
        <f aca="false">Panel!Q443-Panel!Q442</f>
        <v>-0.00163610330338138</v>
      </c>
      <c r="D448" s="29" t="n">
        <f aca="false">Panel!Q442</f>
        <v>0.00274816308196257</v>
      </c>
      <c r="E448" s="30" t="n">
        <f aca="false">Panel!Q442-Panel!Q441</f>
        <v>-0.00134200565243425</v>
      </c>
      <c r="F448" s="30" t="n">
        <f aca="false">Panel!Q441-Panel!Q440</f>
        <v>0.00824006403633071</v>
      </c>
      <c r="G448" s="30" t="n">
        <f aca="false">Panel!Q440-Panel!Q439</f>
        <v>-0.00145299470969285</v>
      </c>
    </row>
    <row r="449" customFormat="false" ht="15" hidden="false" customHeight="false" outlineLevel="0" collapsed="false">
      <c r="C449" s="0" t="n">
        <f aca="false">Panel!Q444-Panel!Q443</f>
        <v>0.00111833192283406</v>
      </c>
      <c r="D449" s="29" t="n">
        <f aca="false">Panel!Q443</f>
        <v>0.0011120597785812</v>
      </c>
      <c r="E449" s="30" t="n">
        <f aca="false">Panel!Q443-Panel!Q442</f>
        <v>-0.00163610330338138</v>
      </c>
      <c r="F449" s="30" t="n">
        <f aca="false">Panel!Q442-Panel!Q441</f>
        <v>-0.00134200565243425</v>
      </c>
      <c r="G449" s="30" t="n">
        <f aca="false">Panel!Q441-Panel!Q440</f>
        <v>0.00824006403633071</v>
      </c>
    </row>
    <row r="450" customFormat="false" ht="15" hidden="false" customHeight="false" outlineLevel="0" collapsed="false">
      <c r="C450" s="0" t="n">
        <f aca="false">Panel!Q445-Panel!Q444</f>
        <v>-0.00179055833184805</v>
      </c>
      <c r="D450" s="29" t="n">
        <f aca="false">Panel!Q444</f>
        <v>0.00223039170141526</v>
      </c>
      <c r="E450" s="30" t="n">
        <f aca="false">Panel!Q444-Panel!Q443</f>
        <v>0.00111833192283406</v>
      </c>
      <c r="F450" s="30" t="n">
        <f aca="false">Panel!Q443-Panel!Q442</f>
        <v>-0.00163610330338138</v>
      </c>
      <c r="G450" s="30" t="n">
        <f aca="false">Panel!Q442-Panel!Q441</f>
        <v>-0.00134200565243425</v>
      </c>
    </row>
    <row r="451" customFormat="false" ht="15" hidden="false" customHeight="false" outlineLevel="0" collapsed="false">
      <c r="C451" s="0" t="n">
        <f aca="false">Panel!Q446-Panel!Q445</f>
        <v>0.000269683210122551</v>
      </c>
      <c r="D451" s="29" t="n">
        <f aca="false">Panel!Q445</f>
        <v>0.000439833369567211</v>
      </c>
      <c r="E451" s="30" t="n">
        <f aca="false">Panel!Q445-Panel!Q444</f>
        <v>-0.00179055833184805</v>
      </c>
      <c r="F451" s="30" t="n">
        <f aca="false">Panel!Q444-Panel!Q443</f>
        <v>0.00111833192283406</v>
      </c>
      <c r="G451" s="30" t="n">
        <f aca="false">Panel!Q443-Panel!Q442</f>
        <v>-0.00163610330338138</v>
      </c>
    </row>
    <row r="452" customFormat="false" ht="15" hidden="false" customHeight="false" outlineLevel="0" collapsed="false">
      <c r="C452" s="0" t="n">
        <f aca="false">Panel!Q447-Panel!Q446</f>
        <v>-0.000941311802558076</v>
      </c>
      <c r="D452" s="29" t="n">
        <f aca="false">Panel!Q446</f>
        <v>0.000709516579689762</v>
      </c>
      <c r="E452" s="30" t="n">
        <f aca="false">Panel!Q446-Panel!Q445</f>
        <v>0.000269683210122551</v>
      </c>
      <c r="F452" s="30" t="n">
        <f aca="false">Panel!Q445-Panel!Q444</f>
        <v>-0.00179055833184805</v>
      </c>
      <c r="G452" s="30" t="n">
        <f aca="false">Panel!Q444-Panel!Q443</f>
        <v>0.00111833192283406</v>
      </c>
    </row>
    <row r="453" customFormat="false" ht="15" hidden="false" customHeight="false" outlineLevel="0" collapsed="false">
      <c r="C453" s="0" t="n">
        <f aca="false">Panel!Q448-Panel!Q447</f>
        <v>-7.87845235077356E-005</v>
      </c>
      <c r="D453" s="29" t="n">
        <f aca="false">Panel!Q447</f>
        <v>-0.000231795222868314</v>
      </c>
      <c r="E453" s="30" t="n">
        <f aca="false">Panel!Q447-Panel!Q446</f>
        <v>-0.000941311802558076</v>
      </c>
      <c r="F453" s="30" t="n">
        <f aca="false">Panel!Q446-Panel!Q445</f>
        <v>0.000269683210122551</v>
      </c>
      <c r="G453" s="30" t="n">
        <f aca="false">Panel!Q445-Panel!Q444</f>
        <v>-0.00179055833184805</v>
      </c>
    </row>
    <row r="454" customFormat="false" ht="15" hidden="false" customHeight="false" outlineLevel="0" collapsed="false">
      <c r="C454" s="0" t="n">
        <f aca="false">Panel!Q449-Panel!Q448</f>
        <v>-0.000839598587102586</v>
      </c>
      <c r="D454" s="29" t="n">
        <f aca="false">Panel!Q448</f>
        <v>-0.00031057974637605</v>
      </c>
      <c r="E454" s="30" t="n">
        <f aca="false">Panel!Q448-Panel!Q447</f>
        <v>-7.87845235077356E-005</v>
      </c>
      <c r="F454" s="30" t="n">
        <f aca="false">Panel!Q447-Panel!Q446</f>
        <v>-0.000941311802558076</v>
      </c>
      <c r="G454" s="30" t="n">
        <f aca="false">Panel!Q446-Panel!Q445</f>
        <v>0.000269683210122551</v>
      </c>
    </row>
    <row r="455" customFormat="false" ht="15" hidden="false" customHeight="false" outlineLevel="0" collapsed="false">
      <c r="C455" s="0" t="n">
        <f aca="false">Panel!Q450-Panel!Q449</f>
        <v>0.000660522006279862</v>
      </c>
      <c r="D455" s="29" t="n">
        <f aca="false">Panel!Q449</f>
        <v>-0.00115017833347864</v>
      </c>
      <c r="E455" s="30" t="n">
        <f aca="false">Panel!Q449-Panel!Q448</f>
        <v>-0.000839598587102586</v>
      </c>
      <c r="F455" s="30" t="n">
        <f aca="false">Panel!Q448-Panel!Q447</f>
        <v>-7.87845235077356E-005</v>
      </c>
      <c r="G455" s="30" t="n">
        <f aca="false">Panel!Q447-Panel!Q446</f>
        <v>-0.000941311802558076</v>
      </c>
    </row>
    <row r="456" customFormat="false" ht="15" hidden="false" customHeight="false" outlineLevel="0" collapsed="false">
      <c r="C456" s="0" t="n">
        <f aca="false">Panel!Q451-Panel!Q450</f>
        <v>-0.000138202457296899</v>
      </c>
      <c r="D456" s="29" t="n">
        <f aca="false">Panel!Q450</f>
        <v>-0.000489656327198773</v>
      </c>
      <c r="E456" s="30" t="n">
        <f aca="false">Panel!Q450-Panel!Q449</f>
        <v>0.000660522006279862</v>
      </c>
      <c r="F456" s="30" t="n">
        <f aca="false">Panel!Q449-Panel!Q448</f>
        <v>-0.000839598587102586</v>
      </c>
      <c r="G456" s="30" t="n">
        <f aca="false">Panel!Q448-Panel!Q447</f>
        <v>-7.87845235077356E-005</v>
      </c>
    </row>
    <row r="457" customFormat="false" ht="15" hidden="false" customHeight="false" outlineLevel="0" collapsed="false">
      <c r="C457" s="0" t="n">
        <f aca="false">Panel!Q452-Panel!Q451</f>
        <v>-0.000153353755804275</v>
      </c>
      <c r="D457" s="29" t="n">
        <f aca="false">Panel!Q451</f>
        <v>-0.000627858784495672</v>
      </c>
      <c r="E457" s="30" t="n">
        <f aca="false">Panel!Q451-Panel!Q450</f>
        <v>-0.000138202457296899</v>
      </c>
      <c r="F457" s="30" t="n">
        <f aca="false">Panel!Q450-Panel!Q449</f>
        <v>0.000660522006279862</v>
      </c>
      <c r="G457" s="30" t="n">
        <f aca="false">Panel!Q449-Panel!Q448</f>
        <v>-0.000839598587102586</v>
      </c>
    </row>
    <row r="458" customFormat="false" ht="15" hidden="false" customHeight="false" outlineLevel="0" collapsed="false">
      <c r="C458" s="0" t="n">
        <f aca="false">Panel!Q453-Panel!Q452</f>
        <v>0.00142483048540853</v>
      </c>
      <c r="D458" s="29" t="n">
        <f aca="false">Panel!Q452</f>
        <v>-0.000781212540299947</v>
      </c>
      <c r="E458" s="30" t="n">
        <f aca="false">Panel!Q452-Panel!Q451</f>
        <v>-0.000153353755804275</v>
      </c>
      <c r="F458" s="30" t="n">
        <f aca="false">Panel!Q451-Panel!Q450</f>
        <v>-0.000138202457296899</v>
      </c>
      <c r="G458" s="30" t="n">
        <f aca="false">Panel!Q450-Panel!Q449</f>
        <v>0.000660522006279862</v>
      </c>
    </row>
    <row r="459" customFormat="false" ht="15" hidden="false" customHeight="false" outlineLevel="0" collapsed="false">
      <c r="C459" s="0" t="n">
        <f aca="false">Panel!Q454-Panel!Q453</f>
        <v>-0.00180981884118658</v>
      </c>
      <c r="D459" s="29" t="n">
        <f aca="false">Panel!Q453</f>
        <v>0.000643617945108588</v>
      </c>
      <c r="E459" s="30" t="n">
        <f aca="false">Panel!Q453-Panel!Q452</f>
        <v>0.00142483048540853</v>
      </c>
      <c r="F459" s="30" t="n">
        <f aca="false">Panel!Q452-Panel!Q451</f>
        <v>-0.000153353755804275</v>
      </c>
      <c r="G459" s="30" t="n">
        <f aca="false">Panel!Q451-Panel!Q450</f>
        <v>-0.000138202457296899</v>
      </c>
    </row>
    <row r="460" customFormat="false" ht="15" hidden="false" customHeight="false" outlineLevel="0" collapsed="false">
      <c r="C460" s="0" t="n">
        <f aca="false">Panel!Q455-Panel!Q454</f>
        <v>-0.000698056735057406</v>
      </c>
      <c r="D460" s="29" t="n">
        <f aca="false">Panel!Q454</f>
        <v>-0.001166200896078</v>
      </c>
      <c r="E460" s="30" t="n">
        <f aca="false">Panel!Q454-Panel!Q453</f>
        <v>-0.00180981884118658</v>
      </c>
      <c r="F460" s="30" t="n">
        <f aca="false">Panel!Q453-Panel!Q452</f>
        <v>0.00142483048540853</v>
      </c>
      <c r="G460" s="30" t="n">
        <f aca="false">Panel!Q452-Panel!Q451</f>
        <v>-0.000153353755804275</v>
      </c>
    </row>
    <row r="461" customFormat="false" ht="15" hidden="false" customHeight="false" outlineLevel="0" collapsed="false">
      <c r="C461" s="0" t="n">
        <f aca="false">Panel!Q456-Panel!Q455</f>
        <v>-0.000530202316930684</v>
      </c>
      <c r="D461" s="29" t="n">
        <f aca="false">Panel!Q455</f>
        <v>-0.0018642576311354</v>
      </c>
      <c r="E461" s="30" t="n">
        <f aca="false">Panel!Q455-Panel!Q454</f>
        <v>-0.000698056735057406</v>
      </c>
      <c r="F461" s="30" t="n">
        <f aca="false">Panel!Q454-Panel!Q453</f>
        <v>-0.00180981884118658</v>
      </c>
      <c r="G461" s="30" t="n">
        <f aca="false">Panel!Q453-Panel!Q452</f>
        <v>0.00142483048540853</v>
      </c>
    </row>
    <row r="462" customFormat="false" ht="15" hidden="false" customHeight="false" outlineLevel="0" collapsed="false">
      <c r="C462" s="0" t="n">
        <f aca="false">Panel!Q457-Panel!Q456</f>
        <v>-9.89840415712706E-005</v>
      </c>
      <c r="D462" s="29" t="n">
        <f aca="false">Panel!Q456</f>
        <v>-0.00239445994806609</v>
      </c>
      <c r="E462" s="30" t="n">
        <f aca="false">Panel!Q456-Panel!Q455</f>
        <v>-0.000530202316930684</v>
      </c>
      <c r="F462" s="30" t="n">
        <f aca="false">Panel!Q455-Panel!Q454</f>
        <v>-0.000698056735057406</v>
      </c>
      <c r="G462" s="30" t="n">
        <f aca="false">Panel!Q454-Panel!Q453</f>
        <v>-0.00180981884118658</v>
      </c>
    </row>
    <row r="463" customFormat="false" ht="15" hidden="false" customHeight="false" outlineLevel="0" collapsed="false">
      <c r="C463" s="0" t="n">
        <f aca="false">Panel!Q458-Panel!Q457</f>
        <v>0.00135163231169244</v>
      </c>
      <c r="D463" s="29" t="n">
        <f aca="false">Panel!Q457</f>
        <v>-0.00249344398963736</v>
      </c>
      <c r="E463" s="30" t="n">
        <f aca="false">Panel!Q457-Panel!Q456</f>
        <v>-9.89840415712706E-005</v>
      </c>
      <c r="F463" s="30" t="n">
        <f aca="false">Panel!Q456-Panel!Q455</f>
        <v>-0.000530202316930684</v>
      </c>
      <c r="G463" s="30" t="n">
        <f aca="false">Panel!Q455-Panel!Q454</f>
        <v>-0.000698056735057406</v>
      </c>
    </row>
    <row r="464" customFormat="false" ht="15" hidden="false" customHeight="false" outlineLevel="0" collapsed="false">
      <c r="C464" s="0" t="n">
        <f aca="false">Panel!Q459-Panel!Q458</f>
        <v>-0.000657747751066751</v>
      </c>
      <c r="D464" s="29" t="n">
        <f aca="false">Panel!Q458</f>
        <v>-0.00114181167794492</v>
      </c>
      <c r="E464" s="30" t="n">
        <f aca="false">Panel!Q458-Panel!Q457</f>
        <v>0.00135163231169244</v>
      </c>
      <c r="F464" s="30" t="n">
        <f aca="false">Panel!Q457-Panel!Q456</f>
        <v>-9.89840415712706E-005</v>
      </c>
      <c r="G464" s="30" t="n">
        <f aca="false">Panel!Q456-Panel!Q455</f>
        <v>-0.000530202316930684</v>
      </c>
    </row>
    <row r="465" customFormat="false" ht="15" hidden="false" customHeight="false" outlineLevel="0" collapsed="false">
      <c r="C465" s="0" t="n">
        <f aca="false">Panel!Q460-Panel!Q459</f>
        <v>-0.000722912984500113</v>
      </c>
      <c r="D465" s="29" t="n">
        <f aca="false">Panel!Q459</f>
        <v>-0.00179955942901167</v>
      </c>
      <c r="E465" s="30" t="n">
        <f aca="false">Panel!Q459-Panel!Q458</f>
        <v>-0.000657747751066751</v>
      </c>
      <c r="F465" s="30" t="n">
        <f aca="false">Panel!Q458-Panel!Q457</f>
        <v>0.00135163231169244</v>
      </c>
      <c r="G465" s="30" t="n">
        <f aca="false">Panel!Q457-Panel!Q456</f>
        <v>-9.89840415712706E-005</v>
      </c>
    </row>
    <row r="466" customFormat="false" ht="15" hidden="false" customHeight="false" outlineLevel="0" collapsed="false">
      <c r="C466" s="0" t="n">
        <f aca="false">Panel!Q461-Panel!Q460</f>
        <v>0.00168705638735389</v>
      </c>
      <c r="D466" s="29" t="n">
        <f aca="false">Panel!Q460</f>
        <v>-0.00252247241351178</v>
      </c>
      <c r="E466" s="30" t="n">
        <f aca="false">Panel!Q460-Panel!Q459</f>
        <v>-0.000722912984500113</v>
      </c>
      <c r="F466" s="30" t="n">
        <f aca="false">Panel!Q459-Panel!Q458</f>
        <v>-0.000657747751066751</v>
      </c>
      <c r="G466" s="30" t="n">
        <f aca="false">Panel!Q458-Panel!Q457</f>
        <v>0.00135163231169244</v>
      </c>
    </row>
    <row r="467" customFormat="false" ht="15" hidden="false" customHeight="false" outlineLevel="0" collapsed="false">
      <c r="C467" s="0" t="n">
        <f aca="false">Panel!Q462-Panel!Q461</f>
        <v>0.00298210322209513</v>
      </c>
      <c r="D467" s="29" t="n">
        <f aca="false">Panel!Q461</f>
        <v>-0.000835416026157887</v>
      </c>
      <c r="E467" s="30" t="n">
        <f aca="false">Panel!Q461-Panel!Q460</f>
        <v>0.00168705638735389</v>
      </c>
      <c r="F467" s="30" t="n">
        <f aca="false">Panel!Q460-Panel!Q459</f>
        <v>-0.000722912984500113</v>
      </c>
      <c r="G467" s="30" t="n">
        <f aca="false">Panel!Q459-Panel!Q458</f>
        <v>-0.000657747751066751</v>
      </c>
    </row>
    <row r="468" customFormat="false" ht="15" hidden="false" customHeight="false" outlineLevel="0" collapsed="false">
      <c r="C468" s="0" t="n">
        <f aca="false">Panel!Q463-Panel!Q462</f>
        <v>-0.000114255579836353</v>
      </c>
      <c r="D468" s="29" t="n">
        <f aca="false">Panel!Q462</f>
        <v>0.00214668719593725</v>
      </c>
      <c r="E468" s="30" t="n">
        <f aca="false">Panel!Q462-Panel!Q461</f>
        <v>0.00298210322209513</v>
      </c>
      <c r="F468" s="30" t="n">
        <f aca="false">Panel!Q461-Panel!Q460</f>
        <v>0.00168705638735389</v>
      </c>
      <c r="G468" s="30" t="n">
        <f aca="false">Panel!Q460-Panel!Q459</f>
        <v>-0.000722912984500113</v>
      </c>
    </row>
    <row r="469" customFormat="false" ht="15" hidden="false" customHeight="false" outlineLevel="0" collapsed="false">
      <c r="C469" s="0" t="n">
        <f aca="false">Panel!Q464-Panel!Q463</f>
        <v>-0.00245124586403556</v>
      </c>
      <c r="D469" s="29" t="n">
        <f aca="false">Panel!Q463</f>
        <v>0.00203243161610089</v>
      </c>
      <c r="E469" s="30" t="n">
        <f aca="false">Panel!Q463-Panel!Q462</f>
        <v>-0.000114255579836353</v>
      </c>
      <c r="F469" s="30" t="n">
        <f aca="false">Panel!Q462-Panel!Q461</f>
        <v>0.00298210322209513</v>
      </c>
      <c r="G469" s="30" t="n">
        <f aca="false">Panel!Q461-Panel!Q460</f>
        <v>0.00168705638735389</v>
      </c>
    </row>
    <row r="470" customFormat="false" ht="15" hidden="false" customHeight="false" outlineLevel="0" collapsed="false">
      <c r="C470" s="0" t="n">
        <f aca="false">Panel!Q465-Panel!Q464</f>
        <v>0.00136186944467909</v>
      </c>
      <c r="D470" s="29" t="n">
        <f aca="false">Panel!Q464</f>
        <v>-0.000418814247934662</v>
      </c>
      <c r="E470" s="30" t="n">
        <f aca="false">Panel!Q464-Panel!Q463</f>
        <v>-0.00245124586403556</v>
      </c>
      <c r="F470" s="30" t="n">
        <f aca="false">Panel!Q463-Panel!Q462</f>
        <v>-0.000114255579836353</v>
      </c>
      <c r="G470" s="30" t="n">
        <f aca="false">Panel!Q462-Panel!Q461</f>
        <v>0.00298210322209513</v>
      </c>
    </row>
    <row r="471" customFormat="false" ht="15" hidden="false" customHeight="false" outlineLevel="0" collapsed="false">
      <c r="C471" s="0" t="n">
        <f aca="false">Panel!Q466-Panel!Q465</f>
        <v>0.000613631834680106</v>
      </c>
      <c r="D471" s="29" t="n">
        <f aca="false">Panel!Q465</f>
        <v>0.000943055196744425</v>
      </c>
      <c r="E471" s="30" t="n">
        <f aca="false">Panel!Q465-Panel!Q464</f>
        <v>0.00136186944467909</v>
      </c>
      <c r="F471" s="30" t="n">
        <f aca="false">Panel!Q464-Panel!Q463</f>
        <v>-0.00245124586403556</v>
      </c>
      <c r="G471" s="30" t="n">
        <f aca="false">Panel!Q463-Panel!Q462</f>
        <v>-0.000114255579836353</v>
      </c>
    </row>
    <row r="472" customFormat="false" ht="15" hidden="false" customHeight="false" outlineLevel="0" collapsed="false">
      <c r="C472" s="0" t="n">
        <f aca="false">Panel!Q467-Panel!Q466</f>
        <v>-0.00197222250752915</v>
      </c>
      <c r="D472" s="29" t="n">
        <f aca="false">Panel!Q466</f>
        <v>0.00155668703142453</v>
      </c>
      <c r="E472" s="30" t="n">
        <f aca="false">Panel!Q466-Panel!Q465</f>
        <v>0.000613631834680106</v>
      </c>
      <c r="F472" s="30" t="n">
        <f aca="false">Panel!Q465-Panel!Q464</f>
        <v>0.00136186944467909</v>
      </c>
      <c r="G472" s="30" t="n">
        <f aca="false">Panel!Q464-Panel!Q463</f>
        <v>-0.00245124586403556</v>
      </c>
    </row>
    <row r="473" customFormat="false" ht="15" hidden="false" customHeight="false" outlineLevel="0" collapsed="false">
      <c r="C473" s="0" t="n">
        <f aca="false">Panel!Q468-Panel!Q467</f>
        <v>0.00142108318128287</v>
      </c>
      <c r="D473" s="29" t="n">
        <f aca="false">Panel!Q467</f>
        <v>-0.000415535476104623</v>
      </c>
      <c r="E473" s="30" t="n">
        <f aca="false">Panel!Q467-Panel!Q466</f>
        <v>-0.00197222250752915</v>
      </c>
      <c r="F473" s="30" t="n">
        <f aca="false">Panel!Q466-Panel!Q465</f>
        <v>0.000613631834680106</v>
      </c>
      <c r="G473" s="30" t="n">
        <f aca="false">Panel!Q465-Panel!Q464</f>
        <v>0.00136186944467909</v>
      </c>
    </row>
    <row r="474" customFormat="false" ht="15" hidden="false" customHeight="false" outlineLevel="0" collapsed="false">
      <c r="C474" s="0" t="n">
        <f aca="false">Panel!Q469-Panel!Q468</f>
        <v>0.000371818448856587</v>
      </c>
      <c r="D474" s="29" t="n">
        <f aca="false">Panel!Q468</f>
        <v>0.00100554770517824</v>
      </c>
      <c r="E474" s="30" t="n">
        <f aca="false">Panel!Q468-Panel!Q467</f>
        <v>0.00142108318128287</v>
      </c>
      <c r="F474" s="30" t="n">
        <f aca="false">Panel!Q467-Panel!Q466</f>
        <v>-0.00197222250752915</v>
      </c>
      <c r="G474" s="30" t="n">
        <f aca="false">Panel!Q466-Panel!Q465</f>
        <v>0.000613631834680106</v>
      </c>
    </row>
    <row r="475" customFormat="false" ht="15" hidden="false" customHeight="false" outlineLevel="0" collapsed="false">
      <c r="C475" s="0" t="n">
        <f aca="false">Panel!Q470-Panel!Q469</f>
        <v>-0.00237197603042993</v>
      </c>
      <c r="D475" s="29" t="n">
        <f aca="false">Panel!Q469</f>
        <v>0.00137736615403483</v>
      </c>
      <c r="E475" s="30" t="n">
        <f aca="false">Panel!Q469-Panel!Q468</f>
        <v>0.000371818448856587</v>
      </c>
      <c r="F475" s="30" t="n">
        <f aca="false">Panel!Q468-Panel!Q467</f>
        <v>0.00142108318128287</v>
      </c>
      <c r="G475" s="30" t="n">
        <f aca="false">Panel!Q467-Panel!Q466</f>
        <v>-0.00197222250752915</v>
      </c>
    </row>
    <row r="476" customFormat="false" ht="15" hidden="false" customHeight="false" outlineLevel="0" collapsed="false">
      <c r="C476" s="0" t="n">
        <f aca="false">Panel!Q471-Panel!Q470</f>
        <v>0.00245648228376894</v>
      </c>
      <c r="D476" s="29" t="n">
        <f aca="false">Panel!Q470</f>
        <v>-0.000994609876395103</v>
      </c>
      <c r="E476" s="30" t="n">
        <f aca="false">Panel!Q470-Panel!Q469</f>
        <v>-0.00237197603042993</v>
      </c>
      <c r="F476" s="30" t="n">
        <f aca="false">Panel!Q469-Panel!Q468</f>
        <v>0.000371818448856587</v>
      </c>
      <c r="G476" s="30" t="n">
        <f aca="false">Panel!Q468-Panel!Q467</f>
        <v>0.00142108318128287</v>
      </c>
    </row>
    <row r="477" customFormat="false" ht="15" hidden="false" customHeight="false" outlineLevel="0" collapsed="false">
      <c r="C477" s="0" t="n">
        <f aca="false">Panel!Q472-Panel!Q471</f>
        <v>-0.000943179599797617</v>
      </c>
      <c r="D477" s="29" t="n">
        <f aca="false">Panel!Q471</f>
        <v>0.00146187240737383</v>
      </c>
      <c r="E477" s="30" t="n">
        <f aca="false">Panel!Q471-Panel!Q470</f>
        <v>0.00245648228376894</v>
      </c>
      <c r="F477" s="30" t="n">
        <f aca="false">Panel!Q470-Panel!Q469</f>
        <v>-0.00237197603042993</v>
      </c>
      <c r="G477" s="30" t="n">
        <f aca="false">Panel!Q469-Panel!Q468</f>
        <v>0.000371818448856587</v>
      </c>
    </row>
    <row r="478" customFormat="false" ht="15" hidden="false" customHeight="false" outlineLevel="0" collapsed="false">
      <c r="C478" s="0" t="n">
        <f aca="false">Panel!Q473-Panel!Q472</f>
        <v>-0.00010353297125576</v>
      </c>
      <c r="D478" s="29" t="n">
        <f aca="false">Panel!Q472</f>
        <v>0.000518692807576215</v>
      </c>
      <c r="E478" s="30" t="n">
        <f aca="false">Panel!Q472-Panel!Q471</f>
        <v>-0.000943179599797617</v>
      </c>
      <c r="F478" s="30" t="n">
        <f aca="false">Panel!Q471-Panel!Q470</f>
        <v>0.00245648228376894</v>
      </c>
      <c r="G478" s="30" t="n">
        <f aca="false">Panel!Q470-Panel!Q469</f>
        <v>-0.00237197603042993</v>
      </c>
    </row>
    <row r="479" customFormat="false" ht="15" hidden="false" customHeight="false" outlineLevel="0" collapsed="false">
      <c r="C479" s="0" t="n">
        <f aca="false">Panel!Q474-Panel!Q473</f>
        <v>-0.000243890053699403</v>
      </c>
      <c r="D479" s="29" t="n">
        <f aca="false">Panel!Q473</f>
        <v>0.000415159836320456</v>
      </c>
      <c r="E479" s="30" t="n">
        <f aca="false">Panel!Q473-Panel!Q472</f>
        <v>-0.00010353297125576</v>
      </c>
      <c r="F479" s="30" t="n">
        <f aca="false">Panel!Q472-Panel!Q471</f>
        <v>-0.000943179599797617</v>
      </c>
      <c r="G479" s="30" t="n">
        <f aca="false">Panel!Q471-Panel!Q470</f>
        <v>0.00245648228376894</v>
      </c>
    </row>
    <row r="480" customFormat="false" ht="15" hidden="false" customHeight="false" outlineLevel="0" collapsed="false">
      <c r="C480" s="0" t="n">
        <f aca="false">Panel!Q475-Panel!Q474</f>
        <v>0.000896253502769895</v>
      </c>
      <c r="D480" s="29" t="n">
        <f aca="false">Panel!Q474</f>
        <v>0.000171269782621053</v>
      </c>
      <c r="E480" s="30" t="n">
        <f aca="false">Panel!Q474-Panel!Q473</f>
        <v>-0.000243890053699403</v>
      </c>
      <c r="F480" s="30" t="n">
        <f aca="false">Panel!Q473-Panel!Q472</f>
        <v>-0.00010353297125576</v>
      </c>
      <c r="G480" s="30" t="n">
        <f aca="false">Panel!Q472-Panel!Q471</f>
        <v>-0.000943179599797617</v>
      </c>
    </row>
    <row r="481" customFormat="false" ht="15" hidden="false" customHeight="false" outlineLevel="0" collapsed="false">
      <c r="C481" s="0" t="n">
        <f aca="false">Panel!Q476-Panel!Q475</f>
        <v>-0.000267187457785312</v>
      </c>
      <c r="D481" s="29" t="n">
        <f aca="false">Panel!Q475</f>
        <v>0.00106752328539095</v>
      </c>
      <c r="E481" s="30" t="n">
        <f aca="false">Panel!Q475-Panel!Q474</f>
        <v>0.000896253502769895</v>
      </c>
      <c r="F481" s="30" t="n">
        <f aca="false">Panel!Q474-Panel!Q473</f>
        <v>-0.000243890053699403</v>
      </c>
      <c r="G481" s="30" t="n">
        <f aca="false">Panel!Q473-Panel!Q472</f>
        <v>-0.00010353297125576</v>
      </c>
    </row>
    <row r="482" customFormat="false" ht="15" hidden="false" customHeight="false" outlineLevel="0" collapsed="false">
      <c r="C482" s="0" t="n">
        <f aca="false">Panel!Q477-Panel!Q476</f>
        <v>0.00104739068800797</v>
      </c>
      <c r="D482" s="29" t="n">
        <f aca="false">Panel!Q476</f>
        <v>0.000800335827605636</v>
      </c>
      <c r="E482" s="30" t="n">
        <f aca="false">Panel!Q476-Panel!Q475</f>
        <v>-0.000267187457785312</v>
      </c>
      <c r="F482" s="30" t="n">
        <f aca="false">Panel!Q475-Panel!Q474</f>
        <v>0.000896253502769895</v>
      </c>
      <c r="G482" s="30" t="n">
        <f aca="false">Panel!Q474-Panel!Q473</f>
        <v>-0.000243890053699403</v>
      </c>
    </row>
    <row r="483" customFormat="false" ht="15" hidden="false" customHeight="false" outlineLevel="0" collapsed="false">
      <c r="C483" s="0" t="n">
        <f aca="false">Panel!Q478-Panel!Q477</f>
        <v>-0.00143397247537003</v>
      </c>
      <c r="D483" s="29" t="n">
        <f aca="false">Panel!Q477</f>
        <v>0.0018477265156136</v>
      </c>
      <c r="E483" s="30" t="n">
        <f aca="false">Panel!Q477-Panel!Q476</f>
        <v>0.00104739068800797</v>
      </c>
      <c r="F483" s="30" t="n">
        <f aca="false">Panel!Q476-Panel!Q475</f>
        <v>-0.000267187457785312</v>
      </c>
      <c r="G483" s="30" t="n">
        <f aca="false">Panel!Q475-Panel!Q474</f>
        <v>0.000896253502769895</v>
      </c>
    </row>
    <row r="484" customFormat="false" ht="15" hidden="false" customHeight="false" outlineLevel="0" collapsed="false">
      <c r="C484" s="0" t="n">
        <f aca="false">Panel!Q479-Panel!Q478</f>
        <v>-0.000545458407183119</v>
      </c>
      <c r="D484" s="29" t="n">
        <f aca="false">Panel!Q478</f>
        <v>0.000413754040243575</v>
      </c>
      <c r="E484" s="30" t="n">
        <f aca="false">Panel!Q478-Panel!Q477</f>
        <v>-0.00143397247537003</v>
      </c>
      <c r="F484" s="30" t="n">
        <f aca="false">Panel!Q477-Panel!Q476</f>
        <v>0.00104739068800797</v>
      </c>
      <c r="G484" s="30" t="n">
        <f aca="false">Panel!Q476-Panel!Q475</f>
        <v>-0.000267187457785312</v>
      </c>
    </row>
    <row r="485" customFormat="false" ht="15" hidden="false" customHeight="false" outlineLevel="0" collapsed="false">
      <c r="C485" s="0" t="n">
        <f aca="false">Panel!Q480-Panel!Q479</f>
        <v>0.00530070050142939</v>
      </c>
      <c r="D485" s="29" t="n">
        <f aca="false">Panel!Q479</f>
        <v>-0.000131704366939545</v>
      </c>
      <c r="E485" s="30" t="n">
        <f aca="false">Panel!Q479-Panel!Q478</f>
        <v>-0.000545458407183119</v>
      </c>
      <c r="F485" s="30" t="n">
        <f aca="false">Panel!Q478-Panel!Q477</f>
        <v>-0.00143397247537003</v>
      </c>
      <c r="G485" s="30" t="n">
        <f aca="false">Panel!Q477-Panel!Q476</f>
        <v>0.00104739068800797</v>
      </c>
    </row>
    <row r="486" customFormat="false" ht="15" hidden="false" customHeight="false" outlineLevel="0" collapsed="false">
      <c r="C486" s="0" t="n">
        <f aca="false">Panel!Q481-Panel!Q480</f>
        <v>-0.00069524956292355</v>
      </c>
      <c r="D486" s="29" t="n">
        <f aca="false">Panel!Q480</f>
        <v>0.00516899613448985</v>
      </c>
      <c r="E486" s="30" t="n">
        <f aca="false">Panel!Q480-Panel!Q479</f>
        <v>0.00530070050142939</v>
      </c>
      <c r="F486" s="30" t="n">
        <f aca="false">Panel!Q479-Panel!Q478</f>
        <v>-0.000545458407183119</v>
      </c>
      <c r="G486" s="30" t="n">
        <f aca="false">Panel!Q478-Panel!Q477</f>
        <v>-0.00143397247537003</v>
      </c>
    </row>
    <row r="487" customFormat="false" ht="15" hidden="false" customHeight="false" outlineLevel="0" collapsed="false">
      <c r="C487" s="0" t="n">
        <f aca="false">Panel!Q482-Panel!Q481</f>
        <v>-0.00220395412993035</v>
      </c>
      <c r="D487" s="29" t="n">
        <f aca="false">Panel!Q481</f>
        <v>0.0044737465715663</v>
      </c>
      <c r="E487" s="30" t="n">
        <f aca="false">Panel!Q481-Panel!Q480</f>
        <v>-0.00069524956292355</v>
      </c>
      <c r="F487" s="30" t="n">
        <f aca="false">Panel!Q480-Panel!Q479</f>
        <v>0.00530070050142939</v>
      </c>
      <c r="G487" s="30" t="n">
        <f aca="false">Panel!Q479-Panel!Q478</f>
        <v>-0.000545458407183119</v>
      </c>
    </row>
    <row r="488" customFormat="false" ht="15" hidden="false" customHeight="false" outlineLevel="0" collapsed="false">
      <c r="C488" s="0" t="n">
        <f aca="false">Panel!Q483-Panel!Q482</f>
        <v>-0.00231419915972708</v>
      </c>
      <c r="D488" s="29" t="n">
        <f aca="false">Panel!Q482</f>
        <v>0.00226979244163594</v>
      </c>
      <c r="E488" s="30" t="n">
        <f aca="false">Panel!Q482-Panel!Q481</f>
        <v>-0.00220395412993035</v>
      </c>
      <c r="F488" s="30" t="n">
        <f aca="false">Panel!Q481-Panel!Q480</f>
        <v>-0.00069524956292355</v>
      </c>
      <c r="G488" s="30" t="n">
        <f aca="false">Panel!Q480-Panel!Q479</f>
        <v>0.00530070050142939</v>
      </c>
    </row>
    <row r="489" customFormat="false" ht="15" hidden="false" customHeight="false" outlineLevel="0" collapsed="false">
      <c r="C489" s="0" t="n">
        <f aca="false">Panel!Q484-Panel!Q483</f>
        <v>-0.00375286231288463</v>
      </c>
      <c r="D489" s="29" t="n">
        <f aca="false">Panel!Q483</f>
        <v>-4.44067180911389E-005</v>
      </c>
      <c r="E489" s="30" t="n">
        <f aca="false">Panel!Q483-Panel!Q482</f>
        <v>-0.00231419915972708</v>
      </c>
      <c r="F489" s="30" t="n">
        <f aca="false">Panel!Q482-Panel!Q481</f>
        <v>-0.00220395412993035</v>
      </c>
      <c r="G489" s="30" t="n">
        <f aca="false">Panel!Q481-Panel!Q480</f>
        <v>-0.00069524956292355</v>
      </c>
    </row>
    <row r="490" customFormat="false" ht="15" hidden="false" customHeight="false" outlineLevel="0" collapsed="false">
      <c r="C490" s="0" t="n">
        <f aca="false">Panel!Q485-Panel!Q484</f>
        <v>0.00347050163158791</v>
      </c>
      <c r="D490" s="29" t="n">
        <f aca="false">Panel!Q484</f>
        <v>-0.00379726903097577</v>
      </c>
      <c r="E490" s="30" t="n">
        <f aca="false">Panel!Q484-Panel!Q483</f>
        <v>-0.00375286231288463</v>
      </c>
      <c r="F490" s="30" t="n">
        <f aca="false">Panel!Q483-Panel!Q482</f>
        <v>-0.00231419915972708</v>
      </c>
      <c r="G490" s="30" t="n">
        <f aca="false">Panel!Q482-Panel!Q481</f>
        <v>-0.00220395412993035</v>
      </c>
    </row>
    <row r="491" customFormat="false" ht="15" hidden="false" customHeight="false" outlineLevel="0" collapsed="false">
      <c r="C491" s="0" t="n">
        <f aca="false">Panel!Q486-Panel!Q485</f>
        <v>0.00238068290148341</v>
      </c>
      <c r="D491" s="29" t="n">
        <f aca="false">Panel!Q485</f>
        <v>-0.000326767399387862</v>
      </c>
      <c r="E491" s="30" t="n">
        <f aca="false">Panel!Q485-Panel!Q484</f>
        <v>0.00347050163158791</v>
      </c>
      <c r="F491" s="30" t="n">
        <f aca="false">Panel!Q484-Panel!Q483</f>
        <v>-0.00375286231288463</v>
      </c>
      <c r="G491" s="30" t="n">
        <f aca="false">Panel!Q483-Panel!Q482</f>
        <v>-0.00231419915972708</v>
      </c>
    </row>
    <row r="492" customFormat="false" ht="15" hidden="false" customHeight="false" outlineLevel="0" collapsed="false">
      <c r="C492" s="0" t="n">
        <f aca="false">Panel!Q487-Panel!Q486</f>
        <v>-0.000755601556328145</v>
      </c>
      <c r="D492" s="29" t="n">
        <f aca="false">Panel!Q486</f>
        <v>0.00205391550209555</v>
      </c>
      <c r="E492" s="30" t="n">
        <f aca="false">Panel!Q486-Panel!Q485</f>
        <v>0.00238068290148341</v>
      </c>
      <c r="F492" s="30" t="n">
        <f aca="false">Panel!Q485-Panel!Q484</f>
        <v>0.00347050163158791</v>
      </c>
      <c r="G492" s="30" t="n">
        <f aca="false">Panel!Q484-Panel!Q483</f>
        <v>-0.00375286231288463</v>
      </c>
    </row>
    <row r="493" customFormat="false" ht="15" hidden="false" customHeight="false" outlineLevel="0" collapsed="false">
      <c r="C493" s="0" t="n">
        <f aca="false">Panel!Q488-Panel!Q487</f>
        <v>0.000788755805343655</v>
      </c>
      <c r="D493" s="29" t="n">
        <f aca="false">Panel!Q487</f>
        <v>0.0012983139457674</v>
      </c>
      <c r="E493" s="30" t="n">
        <f aca="false">Panel!Q487-Panel!Q486</f>
        <v>-0.000755601556328145</v>
      </c>
      <c r="F493" s="30" t="n">
        <f aca="false">Panel!Q486-Panel!Q485</f>
        <v>0.00238068290148341</v>
      </c>
      <c r="G493" s="30" t="n">
        <f aca="false">Panel!Q485-Panel!Q484</f>
        <v>0.00347050163158791</v>
      </c>
    </row>
    <row r="494" customFormat="false" ht="15" hidden="false" customHeight="false" outlineLevel="0" collapsed="false">
      <c r="C494" s="0" t="n">
        <f aca="false">Panel!Q489-Panel!Q488</f>
        <v>-0.0015819412082454</v>
      </c>
      <c r="D494" s="29" t="n">
        <f aca="false">Panel!Q488</f>
        <v>0.00208706975111106</v>
      </c>
      <c r="E494" s="30" t="n">
        <f aca="false">Panel!Q488-Panel!Q487</f>
        <v>0.000788755805343655</v>
      </c>
      <c r="F494" s="30" t="n">
        <f aca="false">Panel!Q487-Panel!Q486</f>
        <v>-0.000755601556328145</v>
      </c>
      <c r="G494" s="30" t="n">
        <f aca="false">Panel!Q486-Panel!Q485</f>
        <v>0.00238068290148341</v>
      </c>
    </row>
    <row r="495" customFormat="false" ht="15" hidden="false" customHeight="false" outlineLevel="0" collapsed="false">
      <c r="C495" s="0" t="n">
        <f aca="false">Panel!Q490-Panel!Q489</f>
        <v>0.0022566590250932</v>
      </c>
      <c r="D495" s="29" t="n">
        <f aca="false">Panel!Q489</f>
        <v>0.000505128542865663</v>
      </c>
      <c r="E495" s="30" t="n">
        <f aca="false">Panel!Q489-Panel!Q488</f>
        <v>-0.0015819412082454</v>
      </c>
      <c r="F495" s="30" t="n">
        <f aca="false">Panel!Q488-Panel!Q487</f>
        <v>0.000788755805343655</v>
      </c>
      <c r="G495" s="30" t="n">
        <f aca="false">Panel!Q487-Panel!Q486</f>
        <v>-0.000755601556328145</v>
      </c>
    </row>
    <row r="496" customFormat="false" ht="15" hidden="false" customHeight="false" outlineLevel="0" collapsed="false">
      <c r="C496" s="0" t="n">
        <f aca="false">Panel!Q491-Panel!Q490</f>
        <v>-0.00067928545939111</v>
      </c>
      <c r="D496" s="29" t="n">
        <f aca="false">Panel!Q490</f>
        <v>0.00276178756795886</v>
      </c>
      <c r="E496" s="30" t="n">
        <f aca="false">Panel!Q490-Panel!Q489</f>
        <v>0.0022566590250932</v>
      </c>
      <c r="F496" s="30" t="n">
        <f aca="false">Panel!Q489-Panel!Q488</f>
        <v>-0.0015819412082454</v>
      </c>
      <c r="G496" s="30" t="n">
        <f aca="false">Panel!Q488-Panel!Q487</f>
        <v>0.000788755805343655</v>
      </c>
    </row>
    <row r="497" customFormat="false" ht="15" hidden="false" customHeight="false" outlineLevel="0" collapsed="false">
      <c r="C497" s="0" t="n">
        <f aca="false">Panel!Q492-Panel!Q491</f>
        <v>-0.000147331940956619</v>
      </c>
      <c r="D497" s="29" t="n">
        <f aca="false">Panel!Q491</f>
        <v>0.00208250210856775</v>
      </c>
      <c r="E497" s="30" t="n">
        <f aca="false">Panel!Q491-Panel!Q490</f>
        <v>-0.00067928545939111</v>
      </c>
      <c r="F497" s="30" t="n">
        <f aca="false">Panel!Q490-Panel!Q489</f>
        <v>0.0022566590250932</v>
      </c>
      <c r="G497" s="30" t="n">
        <f aca="false">Panel!Q489-Panel!Q488</f>
        <v>-0.0015819412082454</v>
      </c>
    </row>
    <row r="498" customFormat="false" ht="15" hidden="false" customHeight="false" outlineLevel="0" collapsed="false">
      <c r="C498" s="0" t="n">
        <f aca="false">Panel!Q493-Panel!Q492</f>
        <v>0.000178600340305479</v>
      </c>
      <c r="D498" s="29" t="n">
        <f aca="false">Panel!Q492</f>
        <v>0.00193517016761113</v>
      </c>
      <c r="E498" s="30" t="n">
        <f aca="false">Panel!Q492-Panel!Q491</f>
        <v>-0.000147331940956619</v>
      </c>
      <c r="F498" s="30" t="n">
        <f aca="false">Panel!Q491-Panel!Q490</f>
        <v>-0.00067928545939111</v>
      </c>
      <c r="G498" s="30" t="n">
        <f aca="false">Panel!Q490-Panel!Q489</f>
        <v>0.0022566590250932</v>
      </c>
    </row>
    <row r="499" customFormat="false" ht="15" hidden="false" customHeight="false" outlineLevel="0" collapsed="false">
      <c r="C499" s="0" t="n">
        <f aca="false">Panel!Q494-Panel!Q493</f>
        <v>0.000228574209389265</v>
      </c>
      <c r="D499" s="29" t="n">
        <f aca="false">Panel!Q493</f>
        <v>0.00211377050791661</v>
      </c>
      <c r="E499" s="30" t="n">
        <f aca="false">Panel!Q493-Panel!Q492</f>
        <v>0.000178600340305479</v>
      </c>
      <c r="F499" s="30" t="n">
        <f aca="false">Panel!Q492-Panel!Q491</f>
        <v>-0.000147331940956619</v>
      </c>
      <c r="G499" s="30" t="n">
        <f aca="false">Panel!Q491-Panel!Q490</f>
        <v>-0.00067928545939111</v>
      </c>
    </row>
    <row r="500" customFormat="false" ht="15" hidden="false" customHeight="false" outlineLevel="0" collapsed="false">
      <c r="C500" s="0" t="n">
        <f aca="false">Panel!Q495-Panel!Q494</f>
        <v>-0.000396221051310874</v>
      </c>
      <c r="D500" s="29" t="n">
        <f aca="false">Panel!Q494</f>
        <v>0.00234234471730588</v>
      </c>
      <c r="E500" s="30" t="n">
        <f aca="false">Panel!Q494-Panel!Q493</f>
        <v>0.000228574209389265</v>
      </c>
      <c r="F500" s="30" t="n">
        <f aca="false">Panel!Q493-Panel!Q492</f>
        <v>0.000178600340305479</v>
      </c>
      <c r="G500" s="30" t="n">
        <f aca="false">Panel!Q492-Panel!Q491</f>
        <v>-0.000147331940956619</v>
      </c>
    </row>
    <row r="501" customFormat="false" ht="15" hidden="false" customHeight="false" outlineLevel="0" collapsed="false">
      <c r="C501" s="0" t="n">
        <f aca="false">Panel!Q496-Panel!Q495</f>
        <v>0.00458654679825798</v>
      </c>
      <c r="D501" s="29" t="n">
        <f aca="false">Panel!Q495</f>
        <v>0.001946123665995</v>
      </c>
      <c r="E501" s="30" t="n">
        <f aca="false">Panel!Q495-Panel!Q494</f>
        <v>-0.000396221051310874</v>
      </c>
      <c r="F501" s="30" t="n">
        <f aca="false">Panel!Q494-Panel!Q493</f>
        <v>0.000228574209389265</v>
      </c>
      <c r="G501" s="30" t="n">
        <f aca="false">Panel!Q493-Panel!Q492</f>
        <v>0.000178600340305479</v>
      </c>
    </row>
    <row r="502" customFormat="false" ht="15" hidden="false" customHeight="false" outlineLevel="0" collapsed="false">
      <c r="C502" s="0" t="n">
        <f aca="false">Panel!Q497-Panel!Q496</f>
        <v>0.000318410678280756</v>
      </c>
      <c r="D502" s="29" t="n">
        <f aca="false">Panel!Q496</f>
        <v>0.00653267046425299</v>
      </c>
      <c r="E502" s="30" t="n">
        <f aca="false">Panel!Q496-Panel!Q495</f>
        <v>0.00458654679825798</v>
      </c>
      <c r="F502" s="30" t="n">
        <f aca="false">Panel!Q495-Panel!Q494</f>
        <v>-0.000396221051310874</v>
      </c>
      <c r="G502" s="30" t="n">
        <f aca="false">Panel!Q494-Panel!Q493</f>
        <v>0.000228574209389265</v>
      </c>
    </row>
    <row r="503" customFormat="false" ht="15" hidden="false" customHeight="false" outlineLevel="0" collapsed="false">
      <c r="C503" s="0" t="n">
        <f aca="false">Panel!Q498-Panel!Q497</f>
        <v>-0.000607870073947581</v>
      </c>
      <c r="D503" s="29" t="n">
        <f aca="false">Panel!Q497</f>
        <v>0.00685108114253374</v>
      </c>
      <c r="E503" s="30" t="n">
        <f aca="false">Panel!Q497-Panel!Q496</f>
        <v>0.000318410678280756</v>
      </c>
      <c r="F503" s="30" t="n">
        <f aca="false">Panel!Q496-Panel!Q495</f>
        <v>0.00458654679825798</v>
      </c>
      <c r="G503" s="30" t="n">
        <f aca="false">Panel!Q495-Panel!Q494</f>
        <v>-0.000396221051310874</v>
      </c>
    </row>
    <row r="504" customFormat="false" ht="15" hidden="false" customHeight="false" outlineLevel="0" collapsed="false">
      <c r="C504" s="0" t="n">
        <f aca="false">Panel!Q499-Panel!Q498</f>
        <v>-0.000249711220677185</v>
      </c>
      <c r="D504" s="29" t="n">
        <f aca="false">Panel!Q498</f>
        <v>0.00624321106858616</v>
      </c>
      <c r="E504" s="30" t="n">
        <f aca="false">Panel!Q498-Panel!Q497</f>
        <v>-0.000607870073947581</v>
      </c>
      <c r="F504" s="30" t="n">
        <f aca="false">Panel!Q497-Panel!Q496</f>
        <v>0.000318410678280756</v>
      </c>
      <c r="G504" s="30" t="n">
        <f aca="false">Panel!Q496-Panel!Q495</f>
        <v>0.00458654679825798</v>
      </c>
    </row>
    <row r="505" customFormat="false" ht="15" hidden="false" customHeight="false" outlineLevel="0" collapsed="false">
      <c r="C505" s="0" t="n">
        <f aca="false">Panel!Q500-Panel!Q499</f>
        <v>-0.00137765291487213</v>
      </c>
      <c r="D505" s="29" t="n">
        <f aca="false">Panel!Q499</f>
        <v>0.00599349984790898</v>
      </c>
      <c r="E505" s="30" t="n">
        <f aca="false">Panel!Q499-Panel!Q498</f>
        <v>-0.000249711220677185</v>
      </c>
      <c r="F505" s="30" t="n">
        <f aca="false">Panel!Q498-Panel!Q497</f>
        <v>-0.000607870073947581</v>
      </c>
      <c r="G505" s="30" t="n">
        <f aca="false">Panel!Q497-Panel!Q496</f>
        <v>0.000318410678280756</v>
      </c>
    </row>
    <row r="506" customFormat="false" ht="15" hidden="false" customHeight="false" outlineLevel="0" collapsed="false">
      <c r="C506" s="0" t="n">
        <f aca="false">Panel!Q501-Panel!Q500</f>
        <v>-0.00114074765045125</v>
      </c>
      <c r="D506" s="29" t="n">
        <f aca="false">Panel!Q500</f>
        <v>0.00461584693303685</v>
      </c>
      <c r="E506" s="30" t="n">
        <f aca="false">Panel!Q500-Panel!Q499</f>
        <v>-0.00137765291487213</v>
      </c>
      <c r="F506" s="30" t="n">
        <f aca="false">Panel!Q499-Panel!Q498</f>
        <v>-0.000249711220677185</v>
      </c>
      <c r="G506" s="30" t="n">
        <f aca="false">Panel!Q498-Panel!Q497</f>
        <v>-0.000607870073947581</v>
      </c>
    </row>
    <row r="507" customFormat="false" ht="15" hidden="false" customHeight="false" outlineLevel="0" collapsed="false">
      <c r="C507" s="0" t="n">
        <f aca="false">Panel!Q502-Panel!Q501</f>
        <v>0.000949654044012149</v>
      </c>
      <c r="D507" s="29" t="n">
        <f aca="false">Panel!Q501</f>
        <v>0.0034750992825856</v>
      </c>
      <c r="E507" s="30" t="n">
        <f aca="false">Panel!Q501-Panel!Q500</f>
        <v>-0.00114074765045125</v>
      </c>
      <c r="F507" s="30" t="n">
        <f aca="false">Panel!Q500-Panel!Q499</f>
        <v>-0.00137765291487213</v>
      </c>
      <c r="G507" s="30" t="n">
        <f aca="false">Panel!Q499-Panel!Q498</f>
        <v>-0.000249711220677185</v>
      </c>
    </row>
    <row r="508" customFormat="false" ht="15" hidden="false" customHeight="false" outlineLevel="0" collapsed="false">
      <c r="C508" s="0" t="n">
        <f aca="false">Panel!Q503-Panel!Q502</f>
        <v>-0.000403141095279835</v>
      </c>
      <c r="D508" s="29" t="n">
        <f aca="false">Panel!Q502</f>
        <v>0.00442475332659775</v>
      </c>
      <c r="E508" s="30" t="n">
        <f aca="false">Panel!Q502-Panel!Q501</f>
        <v>0.000949654044012149</v>
      </c>
      <c r="F508" s="30" t="n">
        <f aca="false">Panel!Q501-Panel!Q500</f>
        <v>-0.00114074765045125</v>
      </c>
      <c r="G508" s="30" t="n">
        <f aca="false">Panel!Q500-Panel!Q499</f>
        <v>-0.00137765291487213</v>
      </c>
    </row>
    <row r="509" customFormat="false" ht="15" hidden="false" customHeight="false" outlineLevel="0" collapsed="false">
      <c r="C509" s="0" t="n">
        <f aca="false">Panel!Q504-Panel!Q503</f>
        <v>-0.000808618203556932</v>
      </c>
      <c r="D509" s="29" t="n">
        <f aca="false">Panel!Q503</f>
        <v>0.00402161223131792</v>
      </c>
      <c r="E509" s="30" t="n">
        <f aca="false">Panel!Q503-Panel!Q502</f>
        <v>-0.000403141095279835</v>
      </c>
      <c r="F509" s="30" t="n">
        <f aca="false">Panel!Q502-Panel!Q501</f>
        <v>0.000949654044012149</v>
      </c>
      <c r="G509" s="30" t="n">
        <f aca="false">Panel!Q501-Panel!Q500</f>
        <v>-0.00114074765045125</v>
      </c>
    </row>
    <row r="510" customFormat="false" ht="15" hidden="false" customHeight="false" outlineLevel="0" collapsed="false">
      <c r="C510" s="0" t="n">
        <f aca="false">Panel!Q505-Panel!Q504</f>
        <v>0.000773115434807181</v>
      </c>
      <c r="D510" s="29" t="n">
        <f aca="false">Panel!Q504</f>
        <v>0.00321299402776098</v>
      </c>
      <c r="E510" s="30" t="n">
        <f aca="false">Panel!Q504-Panel!Q503</f>
        <v>-0.000808618203556932</v>
      </c>
      <c r="F510" s="30" t="n">
        <f aca="false">Panel!Q503-Panel!Q502</f>
        <v>-0.000403141095279835</v>
      </c>
      <c r="G510" s="30" t="n">
        <f aca="false">Panel!Q502-Panel!Q501</f>
        <v>0.000949654044012149</v>
      </c>
    </row>
    <row r="511" customFormat="false" ht="15" hidden="false" customHeight="false" outlineLevel="0" collapsed="false">
      <c r="C511" s="0" t="n">
        <f aca="false">Panel!Q506-Panel!Q505</f>
        <v>0.00159377290770735</v>
      </c>
      <c r="D511" s="29" t="n">
        <f aca="false">Panel!Q505</f>
        <v>0.00398610946256817</v>
      </c>
      <c r="E511" s="30" t="n">
        <f aca="false">Panel!Q505-Panel!Q504</f>
        <v>0.000773115434807181</v>
      </c>
      <c r="F511" s="30" t="n">
        <f aca="false">Panel!Q504-Panel!Q503</f>
        <v>-0.000808618203556932</v>
      </c>
      <c r="G511" s="30" t="n">
        <f aca="false">Panel!Q503-Panel!Q502</f>
        <v>-0.000403141095279835</v>
      </c>
    </row>
    <row r="512" customFormat="false" ht="15" hidden="false" customHeight="false" outlineLevel="0" collapsed="false">
      <c r="C512" s="0" t="n">
        <f aca="false">Panel!Q507-Panel!Q506</f>
        <v>-0.00450165956988968</v>
      </c>
      <c r="D512" s="29" t="n">
        <f aca="false">Panel!Q506</f>
        <v>0.00557988237027551</v>
      </c>
      <c r="E512" s="30" t="n">
        <f aca="false">Panel!Q506-Panel!Q505</f>
        <v>0.00159377290770735</v>
      </c>
      <c r="F512" s="30" t="n">
        <f aca="false">Panel!Q505-Panel!Q504</f>
        <v>0.000773115434807181</v>
      </c>
      <c r="G512" s="30" t="n">
        <f aca="false">Panel!Q504-Panel!Q503</f>
        <v>-0.000808618203556932</v>
      </c>
    </row>
    <row r="513" customFormat="false" ht="15" hidden="false" customHeight="false" outlineLevel="0" collapsed="false">
      <c r="C513" s="0" t="n">
        <f aca="false">Panel!Q508-Panel!Q507</f>
        <v>-3.99608868075774E-005</v>
      </c>
      <c r="D513" s="29" t="n">
        <f aca="false">Panel!Q507</f>
        <v>0.00107822280038583</v>
      </c>
      <c r="E513" s="30" t="n">
        <f aca="false">Panel!Q507-Panel!Q506</f>
        <v>-0.00450165956988968</v>
      </c>
      <c r="F513" s="30" t="n">
        <f aca="false">Panel!Q506-Panel!Q505</f>
        <v>0.00159377290770735</v>
      </c>
      <c r="G513" s="30" t="n">
        <f aca="false">Panel!Q505-Panel!Q504</f>
        <v>0.000773115434807181</v>
      </c>
    </row>
    <row r="514" customFormat="false" ht="15" hidden="false" customHeight="false" outlineLevel="0" collapsed="false">
      <c r="C514" s="0" t="n">
        <f aca="false">Panel!Q509-Panel!Q508</f>
        <v>0.00260322226094623</v>
      </c>
      <c r="D514" s="29" t="n">
        <f aca="false">Panel!Q508</f>
        <v>0.00103826191357825</v>
      </c>
      <c r="E514" s="30" t="n">
        <f aca="false">Panel!Q508-Panel!Q507</f>
        <v>-3.99608868075774E-005</v>
      </c>
      <c r="F514" s="30" t="n">
        <f aca="false">Panel!Q507-Panel!Q506</f>
        <v>-0.00450165956988968</v>
      </c>
      <c r="G514" s="30" t="n">
        <f aca="false">Panel!Q506-Panel!Q505</f>
        <v>0.00159377290770735</v>
      </c>
    </row>
    <row r="515" customFormat="false" ht="15" hidden="false" customHeight="false" outlineLevel="0" collapsed="false">
      <c r="C515" s="0" t="n">
        <f aca="false">Panel!Q510-Panel!Q509</f>
        <v>-0.000396574862737253</v>
      </c>
      <c r="D515" s="29" t="n">
        <f aca="false">Panel!Q509</f>
        <v>0.00364148417452448</v>
      </c>
      <c r="E515" s="30" t="n">
        <f aca="false">Panel!Q509-Panel!Q508</f>
        <v>0.00260322226094623</v>
      </c>
      <c r="F515" s="30" t="n">
        <f aca="false">Panel!Q508-Panel!Q507</f>
        <v>-3.99608868075774E-005</v>
      </c>
      <c r="G515" s="30" t="n">
        <f aca="false">Panel!Q507-Panel!Q506</f>
        <v>-0.00450165956988968</v>
      </c>
    </row>
    <row r="516" customFormat="false" ht="15" hidden="false" customHeight="false" outlineLevel="0" collapsed="false">
      <c r="C516" s="0" t="n">
        <f aca="false">Panel!Q511-Panel!Q510</f>
        <v>-0.00291230286410205</v>
      </c>
      <c r="D516" s="29" t="n">
        <f aca="false">Panel!Q510</f>
        <v>0.00324490931178723</v>
      </c>
      <c r="E516" s="30" t="n">
        <f aca="false">Panel!Q510-Panel!Q509</f>
        <v>-0.000396574862737253</v>
      </c>
      <c r="F516" s="30" t="n">
        <f aca="false">Panel!Q509-Panel!Q508</f>
        <v>0.00260322226094623</v>
      </c>
      <c r="G516" s="30" t="n">
        <f aca="false">Panel!Q508-Panel!Q507</f>
        <v>-3.99608868075774E-005</v>
      </c>
    </row>
    <row r="517" customFormat="false" ht="15" hidden="false" customHeight="false" outlineLevel="0" collapsed="false">
      <c r="C517" s="0" t="n">
        <f aca="false">Panel!Q512-Panel!Q511</f>
        <v>0.00142490420896557</v>
      </c>
      <c r="D517" s="29" t="n">
        <f aca="false">Panel!Q511</f>
        <v>0.00033260644768518</v>
      </c>
      <c r="E517" s="30" t="n">
        <f aca="false">Panel!Q511-Panel!Q510</f>
        <v>-0.00291230286410205</v>
      </c>
      <c r="F517" s="30" t="n">
        <f aca="false">Panel!Q510-Panel!Q509</f>
        <v>-0.000396574862737253</v>
      </c>
      <c r="G517" s="30" t="n">
        <f aca="false">Panel!Q509-Panel!Q508</f>
        <v>0.00260322226094623</v>
      </c>
    </row>
    <row r="518" customFormat="false" ht="15" hidden="false" customHeight="false" outlineLevel="0" collapsed="false">
      <c r="C518" s="0" t="n">
        <f aca="false">Panel!Q513-Panel!Q512</f>
        <v>0.00045408207009956</v>
      </c>
      <c r="D518" s="29" t="n">
        <f aca="false">Panel!Q512</f>
        <v>0.00175751065665075</v>
      </c>
      <c r="E518" s="30" t="n">
        <f aca="false">Panel!Q512-Panel!Q511</f>
        <v>0.00142490420896557</v>
      </c>
      <c r="F518" s="30" t="n">
        <f aca="false">Panel!Q511-Panel!Q510</f>
        <v>-0.00291230286410205</v>
      </c>
      <c r="G518" s="30" t="n">
        <f aca="false">Panel!Q510-Panel!Q509</f>
        <v>-0.000396574862737253</v>
      </c>
    </row>
    <row r="519" customFormat="false" ht="15" hidden="false" customHeight="false" outlineLevel="0" collapsed="false">
      <c r="C519" s="0" t="n">
        <f aca="false">Panel!Q514-Panel!Q513</f>
        <v>-0.00156163282917809</v>
      </c>
      <c r="D519" s="29" t="n">
        <f aca="false">Panel!Q513</f>
        <v>0.00221159272675031</v>
      </c>
      <c r="E519" s="30" t="n">
        <f aca="false">Panel!Q513-Panel!Q512</f>
        <v>0.00045408207009956</v>
      </c>
      <c r="F519" s="30" t="n">
        <f aca="false">Panel!Q512-Panel!Q511</f>
        <v>0.00142490420896557</v>
      </c>
      <c r="G519" s="30" t="n">
        <f aca="false">Panel!Q511-Panel!Q510</f>
        <v>-0.00291230286410205</v>
      </c>
    </row>
    <row r="520" customFormat="false" ht="15" hidden="false" customHeight="false" outlineLevel="0" collapsed="false">
      <c r="C520" s="0" t="n">
        <f aca="false">Panel!Q515-Panel!Q514</f>
        <v>0.00144960554722218</v>
      </c>
      <c r="D520" s="29" t="n">
        <f aca="false">Panel!Q514</f>
        <v>0.000649959897572217</v>
      </c>
      <c r="E520" s="30" t="n">
        <f aca="false">Panel!Q514-Panel!Q513</f>
        <v>-0.00156163282917809</v>
      </c>
      <c r="F520" s="30" t="n">
        <f aca="false">Panel!Q513-Panel!Q512</f>
        <v>0.00045408207009956</v>
      </c>
      <c r="G520" s="30" t="n">
        <f aca="false">Panel!Q512-Panel!Q511</f>
        <v>0.00142490420896557</v>
      </c>
    </row>
    <row r="521" customFormat="false" ht="15" hidden="false" customHeight="false" outlineLevel="0" collapsed="false">
      <c r="C521" s="0" t="n">
        <f aca="false">Panel!Q516-Panel!Q515</f>
        <v>0.00104380101770296</v>
      </c>
      <c r="D521" s="29" t="n">
        <f aca="false">Panel!Q515</f>
        <v>0.00209956544479439</v>
      </c>
      <c r="E521" s="30" t="n">
        <f aca="false">Panel!Q515-Panel!Q514</f>
        <v>0.00144960554722218</v>
      </c>
      <c r="F521" s="30" t="n">
        <f aca="false">Panel!Q514-Panel!Q513</f>
        <v>-0.00156163282917809</v>
      </c>
      <c r="G521" s="30" t="n">
        <f aca="false">Panel!Q513-Panel!Q512</f>
        <v>0.00045408207009956</v>
      </c>
    </row>
    <row r="522" customFormat="false" ht="15" hidden="false" customHeight="false" outlineLevel="0" collapsed="false">
      <c r="C522" s="0" t="n">
        <f aca="false">Panel!Q517-Panel!Q516</f>
        <v>-0.00196710554722834</v>
      </c>
      <c r="D522" s="29" t="n">
        <f aca="false">Panel!Q516</f>
        <v>0.00314336646249735</v>
      </c>
      <c r="E522" s="30" t="n">
        <f aca="false">Panel!Q516-Panel!Q515</f>
        <v>0.00104380101770296</v>
      </c>
      <c r="F522" s="30" t="n">
        <f aca="false">Panel!Q515-Panel!Q514</f>
        <v>0.00144960554722218</v>
      </c>
      <c r="G522" s="30" t="n">
        <f aca="false">Panel!Q514-Panel!Q513</f>
        <v>-0.00156163282917809</v>
      </c>
    </row>
    <row r="523" customFormat="false" ht="15" hidden="false" customHeight="false" outlineLevel="0" collapsed="false">
      <c r="C523" s="0" t="n">
        <f aca="false">Panel!Q518-Panel!Q517</f>
        <v>-0.00256503083440407</v>
      </c>
      <c r="D523" s="29" t="n">
        <f aca="false">Panel!Q517</f>
        <v>0.00117626091526901</v>
      </c>
      <c r="E523" s="30" t="n">
        <f aca="false">Panel!Q517-Panel!Q516</f>
        <v>-0.00196710554722834</v>
      </c>
      <c r="F523" s="30" t="n">
        <f aca="false">Panel!Q516-Panel!Q515</f>
        <v>0.00104380101770296</v>
      </c>
      <c r="G523" s="30" t="n">
        <f aca="false">Panel!Q515-Panel!Q514</f>
        <v>0.00144960554722218</v>
      </c>
    </row>
    <row r="524" customFormat="false" ht="15" hidden="false" customHeight="false" outlineLevel="0" collapsed="false">
      <c r="C524" s="0" t="n">
        <f aca="false">Panel!Q519-Panel!Q518</f>
        <v>-0.000984607097448631</v>
      </c>
      <c r="D524" s="29" t="n">
        <f aca="false">Panel!Q518</f>
        <v>-0.00138876991913506</v>
      </c>
      <c r="E524" s="30" t="n">
        <f aca="false">Panel!Q518-Panel!Q517</f>
        <v>-0.00256503083440407</v>
      </c>
      <c r="F524" s="30" t="n">
        <f aca="false">Panel!Q517-Panel!Q516</f>
        <v>-0.00196710554722834</v>
      </c>
      <c r="G524" s="30" t="n">
        <f aca="false">Panel!Q516-Panel!Q515</f>
        <v>0.00104380101770296</v>
      </c>
    </row>
    <row r="525" customFormat="false" ht="15" hidden="false" customHeight="false" outlineLevel="0" collapsed="false">
      <c r="C525" s="0" t="n">
        <f aca="false">Panel!Q520-Panel!Q519</f>
        <v>0.00465914395640787</v>
      </c>
      <c r="D525" s="29" t="n">
        <f aca="false">Panel!Q519</f>
        <v>-0.00237337701658369</v>
      </c>
      <c r="E525" s="30" t="n">
        <f aca="false">Panel!Q519-Panel!Q518</f>
        <v>-0.000984607097448631</v>
      </c>
      <c r="F525" s="30" t="n">
        <f aca="false">Panel!Q518-Panel!Q517</f>
        <v>-0.00256503083440407</v>
      </c>
      <c r="G525" s="30" t="n">
        <f aca="false">Panel!Q517-Panel!Q516</f>
        <v>-0.00196710554722834</v>
      </c>
    </row>
    <row r="526" customFormat="false" ht="15" hidden="false" customHeight="false" outlineLevel="0" collapsed="false">
      <c r="C526" s="0" t="n">
        <f aca="false">Panel!Q521-Panel!Q520</f>
        <v>-0.000548061394425758</v>
      </c>
      <c r="D526" s="29" t="n">
        <f aca="false">Panel!Q520</f>
        <v>0.00228576693982419</v>
      </c>
      <c r="E526" s="30" t="n">
        <f aca="false">Panel!Q520-Panel!Q519</f>
        <v>0.00465914395640787</v>
      </c>
      <c r="F526" s="30" t="n">
        <f aca="false">Panel!Q519-Panel!Q518</f>
        <v>-0.000984607097448631</v>
      </c>
      <c r="G526" s="30" t="n">
        <f aca="false">Panel!Q518-Panel!Q517</f>
        <v>-0.00256503083440407</v>
      </c>
    </row>
    <row r="527" customFormat="false" ht="15" hidden="false" customHeight="false" outlineLevel="0" collapsed="false">
      <c r="C527" s="0" t="n">
        <f aca="false">Panel!Q522-Panel!Q521</f>
        <v>0.000227305109282483</v>
      </c>
      <c r="D527" s="29" t="n">
        <f aca="false">Panel!Q521</f>
        <v>0.00173770554539843</v>
      </c>
      <c r="E527" s="30" t="n">
        <f aca="false">Panel!Q521-Panel!Q520</f>
        <v>-0.000548061394425758</v>
      </c>
      <c r="F527" s="30" t="n">
        <f aca="false">Panel!Q520-Panel!Q519</f>
        <v>0.00465914395640787</v>
      </c>
      <c r="G527" s="30" t="n">
        <f aca="false">Panel!Q519-Panel!Q518</f>
        <v>-0.000984607097448631</v>
      </c>
    </row>
    <row r="528" customFormat="false" ht="15" hidden="false" customHeight="false" outlineLevel="0" collapsed="false">
      <c r="C528" s="0" t="n">
        <f aca="false">Panel!Q523-Panel!Q522</f>
        <v>0.000663188641775392</v>
      </c>
      <c r="D528" s="29" t="n">
        <f aca="false">Panel!Q522</f>
        <v>0.00196501065468091</v>
      </c>
      <c r="E528" s="30" t="n">
        <f aca="false">Panel!Q522-Panel!Q521</f>
        <v>0.000227305109282483</v>
      </c>
      <c r="F528" s="30" t="n">
        <f aca="false">Panel!Q521-Panel!Q520</f>
        <v>-0.000548061394425758</v>
      </c>
      <c r="G528" s="30" t="n">
        <f aca="false">Panel!Q520-Panel!Q519</f>
        <v>0.00465914395640787</v>
      </c>
    </row>
    <row r="529" customFormat="false" ht="15" hidden="false" customHeight="false" outlineLevel="0" collapsed="false">
      <c r="C529" s="0" t="n">
        <f aca="false">Panel!Q524-Panel!Q523</f>
        <v>0.000471742462456959</v>
      </c>
      <c r="D529" s="29" t="n">
        <f aca="false">Panel!Q523</f>
        <v>0.0026281992964563</v>
      </c>
      <c r="E529" s="30" t="n">
        <f aca="false">Panel!Q523-Panel!Q522</f>
        <v>0.000663188641775392</v>
      </c>
      <c r="F529" s="30" t="n">
        <f aca="false">Panel!Q522-Panel!Q521</f>
        <v>0.000227305109282483</v>
      </c>
      <c r="G529" s="30" t="n">
        <f aca="false">Panel!Q521-Panel!Q520</f>
        <v>-0.000548061394425758</v>
      </c>
    </row>
    <row r="530" customFormat="false" ht="15" hidden="false" customHeight="false" outlineLevel="0" collapsed="false">
      <c r="C530" s="0" t="n">
        <f aca="false">Panel!Q525-Panel!Q524</f>
        <v>-0.000177266933436115</v>
      </c>
      <c r="D530" s="29" t="n">
        <f aca="false">Panel!Q524</f>
        <v>0.00309994175891326</v>
      </c>
      <c r="E530" s="30" t="n">
        <f aca="false">Panel!Q524-Panel!Q523</f>
        <v>0.000471742462456959</v>
      </c>
      <c r="F530" s="30" t="n">
        <f aca="false">Panel!Q523-Panel!Q522</f>
        <v>0.000663188641775392</v>
      </c>
      <c r="G530" s="30" t="n">
        <f aca="false">Panel!Q522-Panel!Q521</f>
        <v>0.000227305109282483</v>
      </c>
    </row>
    <row r="531" customFormat="false" ht="15" hidden="false" customHeight="false" outlineLevel="0" collapsed="false">
      <c r="C531" s="0" t="n">
        <f aca="false">Panel!Q526-Panel!Q525</f>
        <v>0.000581146914338859</v>
      </c>
      <c r="D531" s="29" t="n">
        <f aca="false">Panel!Q525</f>
        <v>0.00292267482547715</v>
      </c>
      <c r="E531" s="30" t="n">
        <f aca="false">Panel!Q525-Panel!Q524</f>
        <v>-0.000177266933436115</v>
      </c>
      <c r="F531" s="30" t="n">
        <f aca="false">Panel!Q524-Panel!Q523</f>
        <v>0.000471742462456959</v>
      </c>
      <c r="G531" s="30" t="n">
        <f aca="false">Panel!Q523-Panel!Q522</f>
        <v>0.000663188641775392</v>
      </c>
    </row>
    <row r="532" customFormat="false" ht="15" hidden="false" customHeight="false" outlineLevel="0" collapsed="false">
      <c r="C532" s="0" t="n">
        <f aca="false">Panel!Q527-Panel!Q526</f>
        <v>-0.000952390715536211</v>
      </c>
      <c r="D532" s="29" t="n">
        <f aca="false">Panel!Q526</f>
        <v>0.003503821739816</v>
      </c>
      <c r="E532" s="30" t="n">
        <f aca="false">Panel!Q526-Panel!Q525</f>
        <v>0.000581146914338859</v>
      </c>
      <c r="F532" s="30" t="n">
        <f aca="false">Panel!Q525-Panel!Q524</f>
        <v>-0.000177266933436115</v>
      </c>
      <c r="G532" s="30" t="n">
        <f aca="false">Panel!Q524-Panel!Q523</f>
        <v>0.000471742462456959</v>
      </c>
    </row>
    <row r="533" customFormat="false" ht="15" hidden="false" customHeight="false" outlineLevel="0" collapsed="false">
      <c r="C533" s="0" t="n">
        <f aca="false">Panel!Q528-Panel!Q527</f>
        <v>0.000384429394999941</v>
      </c>
      <c r="D533" s="29" t="n">
        <f aca="false">Panel!Q527</f>
        <v>0.00255143102427979</v>
      </c>
      <c r="E533" s="30" t="n">
        <f aca="false">Panel!Q527-Panel!Q526</f>
        <v>-0.000952390715536211</v>
      </c>
      <c r="F533" s="30" t="n">
        <f aca="false">Panel!Q526-Panel!Q525</f>
        <v>0.000581146914338859</v>
      </c>
      <c r="G533" s="30" t="n">
        <f aca="false">Panel!Q525-Panel!Q524</f>
        <v>-0.000177266933436115</v>
      </c>
    </row>
    <row r="534" customFormat="false" ht="15" hidden="false" customHeight="false" outlineLevel="0" collapsed="false">
      <c r="C534" s="0" t="n">
        <f aca="false">Panel!Q529-Panel!Q528</f>
        <v>-0.00147472991899988</v>
      </c>
      <c r="D534" s="29" t="n">
        <f aca="false">Panel!Q528</f>
        <v>0.00293586041927973</v>
      </c>
      <c r="E534" s="30" t="n">
        <f aca="false">Panel!Q528-Panel!Q527</f>
        <v>0.000384429394999941</v>
      </c>
      <c r="F534" s="30" t="n">
        <f aca="false">Panel!Q527-Panel!Q526</f>
        <v>-0.000952390715536211</v>
      </c>
      <c r="G534" s="30" t="n">
        <f aca="false">Panel!Q526-Panel!Q525</f>
        <v>0.000581146914338859</v>
      </c>
    </row>
    <row r="535" customFormat="false" ht="15" hidden="false" customHeight="false" outlineLevel="0" collapsed="false">
      <c r="C535" s="0" t="n">
        <f aca="false">Panel!Q530-Panel!Q529</f>
        <v>-0.00120233802238978</v>
      </c>
      <c r="D535" s="29" t="n">
        <f aca="false">Panel!Q529</f>
        <v>0.00146113050027985</v>
      </c>
      <c r="E535" s="30" t="n">
        <f aca="false">Panel!Q529-Panel!Q528</f>
        <v>-0.00147472991899988</v>
      </c>
      <c r="F535" s="30" t="n">
        <f aca="false">Panel!Q528-Panel!Q527</f>
        <v>0.000384429394999941</v>
      </c>
      <c r="G535" s="30" t="n">
        <f aca="false">Panel!Q527-Panel!Q526</f>
        <v>-0.000952390715536211</v>
      </c>
    </row>
    <row r="536" customFormat="false" ht="15" hidden="false" customHeight="false" outlineLevel="0" collapsed="false">
      <c r="C536" s="0" t="n">
        <f aca="false">Panel!Q531-Panel!Q530</f>
        <v>0.00279262951520565</v>
      </c>
      <c r="D536" s="29" t="n">
        <f aca="false">Panel!Q530</f>
        <v>0.000258792477890069</v>
      </c>
      <c r="E536" s="30" t="n">
        <f aca="false">Panel!Q530-Panel!Q529</f>
        <v>-0.00120233802238978</v>
      </c>
      <c r="F536" s="30" t="n">
        <f aca="false">Panel!Q529-Panel!Q528</f>
        <v>-0.00147472991899988</v>
      </c>
      <c r="G536" s="30" t="n">
        <f aca="false">Panel!Q528-Panel!Q527</f>
        <v>0.000384429394999941</v>
      </c>
    </row>
    <row r="537" customFormat="false" ht="15" hidden="false" customHeight="false" outlineLevel="0" collapsed="false">
      <c r="C537" s="0" t="n">
        <f aca="false">Panel!Q532-Panel!Q531</f>
        <v>-0.00213663420186094</v>
      </c>
      <c r="D537" s="29" t="n">
        <f aca="false">Panel!Q531</f>
        <v>0.00305142199309572</v>
      </c>
      <c r="E537" s="30" t="n">
        <f aca="false">Panel!Q531-Panel!Q530</f>
        <v>0.00279262951520565</v>
      </c>
      <c r="F537" s="30" t="n">
        <f aca="false">Panel!Q530-Panel!Q529</f>
        <v>-0.00120233802238978</v>
      </c>
      <c r="G537" s="30" t="n">
        <f aca="false">Panel!Q529-Panel!Q528</f>
        <v>-0.00147472991899988</v>
      </c>
    </row>
    <row r="538" customFormat="false" ht="15" hidden="false" customHeight="false" outlineLevel="0" collapsed="false">
      <c r="C538" s="0" t="n">
        <f aca="false">Panel!Q533-Panel!Q532</f>
        <v>-0.000746370426675469</v>
      </c>
      <c r="D538" s="29" t="n">
        <f aca="false">Panel!Q532</f>
        <v>0.000914787791234772</v>
      </c>
      <c r="E538" s="30" t="n">
        <f aca="false">Panel!Q532-Panel!Q531</f>
        <v>-0.00213663420186094</v>
      </c>
      <c r="F538" s="30" t="n">
        <f aca="false">Panel!Q531-Panel!Q530</f>
        <v>0.00279262951520565</v>
      </c>
      <c r="G538" s="30" t="n">
        <f aca="false">Panel!Q530-Panel!Q529</f>
        <v>-0.00120233802238978</v>
      </c>
    </row>
    <row r="539" customFormat="false" ht="15" hidden="false" customHeight="false" outlineLevel="0" collapsed="false">
      <c r="C539" s="0" t="n">
        <f aca="false">Panel!Q534-Panel!Q533</f>
        <v>0.000211203388275294</v>
      </c>
      <c r="D539" s="29" t="n">
        <f aca="false">Panel!Q533</f>
        <v>0.000168417364559303</v>
      </c>
      <c r="E539" s="30" t="n">
        <f aca="false">Panel!Q533-Panel!Q532</f>
        <v>-0.000746370426675469</v>
      </c>
      <c r="F539" s="30" t="n">
        <f aca="false">Panel!Q532-Panel!Q531</f>
        <v>-0.00213663420186094</v>
      </c>
      <c r="G539" s="30" t="n">
        <f aca="false">Panel!Q531-Panel!Q530</f>
        <v>0.00279262951520565</v>
      </c>
    </row>
    <row r="540" customFormat="false" ht="15" hidden="false" customHeight="false" outlineLevel="0" collapsed="false">
      <c r="C540" s="0" t="n">
        <f aca="false">Panel!Q535-Panel!Q534</f>
        <v>-0.000193853354113926</v>
      </c>
      <c r="D540" s="29" t="n">
        <f aca="false">Panel!Q534</f>
        <v>0.000379620752834597</v>
      </c>
      <c r="E540" s="30" t="n">
        <f aca="false">Panel!Q534-Panel!Q533</f>
        <v>0.000211203388275294</v>
      </c>
      <c r="F540" s="30" t="n">
        <f aca="false">Panel!Q533-Panel!Q532</f>
        <v>-0.000746370426675469</v>
      </c>
      <c r="G540" s="30" t="n">
        <f aca="false">Panel!Q532-Panel!Q531</f>
        <v>-0.00213663420186094</v>
      </c>
    </row>
    <row r="541" customFormat="false" ht="15" hidden="false" customHeight="false" outlineLevel="0" collapsed="false">
      <c r="C541" s="0" t="n">
        <f aca="false">Panel!Q536-Panel!Q535</f>
        <v>-0.00230396371467734</v>
      </c>
      <c r="D541" s="29" t="n">
        <f aca="false">Panel!Q535</f>
        <v>0.000185767398720671</v>
      </c>
      <c r="E541" s="30" t="n">
        <f aca="false">Panel!Q535-Panel!Q534</f>
        <v>-0.000193853354113926</v>
      </c>
      <c r="F541" s="30" t="n">
        <f aca="false">Panel!Q534-Panel!Q533</f>
        <v>0.000211203388275294</v>
      </c>
      <c r="G541" s="30" t="n">
        <f aca="false">Panel!Q533-Panel!Q532</f>
        <v>-0.000746370426675469</v>
      </c>
    </row>
    <row r="542" customFormat="false" ht="15" hidden="false" customHeight="false" outlineLevel="0" collapsed="false">
      <c r="C542" s="0" t="n">
        <f aca="false">Panel!Q537-Panel!Q536</f>
        <v>0.000782823160298207</v>
      </c>
      <c r="D542" s="29" t="n">
        <f aca="false">Panel!Q536</f>
        <v>-0.00211819631595667</v>
      </c>
      <c r="E542" s="30" t="n">
        <f aca="false">Panel!Q536-Panel!Q535</f>
        <v>-0.00230396371467734</v>
      </c>
      <c r="F542" s="30" t="n">
        <f aca="false">Panel!Q535-Panel!Q534</f>
        <v>-0.000193853354113926</v>
      </c>
      <c r="G542" s="30" t="n">
        <f aca="false">Panel!Q534-Panel!Q533</f>
        <v>0.000211203388275294</v>
      </c>
    </row>
    <row r="543" customFormat="false" ht="15" hidden="false" customHeight="false" outlineLevel="0" collapsed="false">
      <c r="C543" s="0" t="n">
        <f aca="false">Panel!Q538-Panel!Q537</f>
        <v>0.00116287609849053</v>
      </c>
      <c r="D543" s="29" t="n">
        <f aca="false">Panel!Q537</f>
        <v>-0.00133537315565846</v>
      </c>
      <c r="E543" s="30" t="n">
        <f aca="false">Panel!Q537-Panel!Q536</f>
        <v>0.000782823160298207</v>
      </c>
      <c r="F543" s="30" t="n">
        <f aca="false">Panel!Q536-Panel!Q535</f>
        <v>-0.00230396371467734</v>
      </c>
      <c r="G543" s="30" t="n">
        <f aca="false">Panel!Q535-Panel!Q534</f>
        <v>-0.000193853354113926</v>
      </c>
    </row>
    <row r="544" customFormat="false" ht="15" hidden="false" customHeight="false" outlineLevel="0" collapsed="false">
      <c r="C544" s="0" t="n">
        <f aca="false">Panel!Q539-Panel!Q538</f>
        <v>0.00118988614416438</v>
      </c>
      <c r="D544" s="29" t="n">
        <f aca="false">Panel!Q538</f>
        <v>-0.000172497057167931</v>
      </c>
      <c r="E544" s="30" t="n">
        <f aca="false">Panel!Q538-Panel!Q537</f>
        <v>0.00116287609849053</v>
      </c>
      <c r="F544" s="30" t="n">
        <f aca="false">Panel!Q537-Panel!Q536</f>
        <v>0.000782823160298207</v>
      </c>
      <c r="G544" s="30" t="n">
        <f aca="false">Panel!Q536-Panel!Q535</f>
        <v>-0.00230396371467734</v>
      </c>
    </row>
    <row r="545" customFormat="false" ht="15" hidden="false" customHeight="false" outlineLevel="0" collapsed="false">
      <c r="C545" s="0" t="n">
        <f aca="false">Panel!Q540-Panel!Q539</f>
        <v>0.00313955066170024</v>
      </c>
      <c r="D545" s="29" t="n">
        <f aca="false">Panel!Q539</f>
        <v>0.00101738908699645</v>
      </c>
      <c r="E545" s="30" t="n">
        <f aca="false">Panel!Q539-Panel!Q538</f>
        <v>0.00118988614416438</v>
      </c>
      <c r="F545" s="30" t="n">
        <f aca="false">Panel!Q538-Panel!Q537</f>
        <v>0.00116287609849053</v>
      </c>
      <c r="G545" s="30" t="n">
        <f aca="false">Panel!Q537-Panel!Q536</f>
        <v>0.000782823160298207</v>
      </c>
    </row>
    <row r="546" customFormat="false" ht="15" hidden="false" customHeight="false" outlineLevel="0" collapsed="false">
      <c r="C546" s="0" t="n">
        <f aca="false">Panel!Q541-Panel!Q540</f>
        <v>-0.000857133022094558</v>
      </c>
      <c r="D546" s="29" t="n">
        <f aca="false">Panel!Q540</f>
        <v>0.00415693974869669</v>
      </c>
      <c r="E546" s="30" t="n">
        <f aca="false">Panel!Q540-Panel!Q539</f>
        <v>0.00313955066170024</v>
      </c>
      <c r="F546" s="30" t="n">
        <f aca="false">Panel!Q539-Panel!Q538</f>
        <v>0.00118988614416438</v>
      </c>
      <c r="G546" s="30" t="n">
        <f aca="false">Panel!Q538-Panel!Q537</f>
        <v>0.00116287609849053</v>
      </c>
    </row>
    <row r="547" customFormat="false" ht="15" hidden="false" customHeight="false" outlineLevel="0" collapsed="false">
      <c r="C547" s="0" t="n">
        <f aca="false">Panel!Q542-Panel!Q541</f>
        <v>-0.000526597104336446</v>
      </c>
      <c r="D547" s="29" t="n">
        <f aca="false">Panel!Q541</f>
        <v>0.00329980672660213</v>
      </c>
      <c r="E547" s="30" t="n">
        <f aca="false">Panel!Q541-Panel!Q540</f>
        <v>-0.000857133022094558</v>
      </c>
      <c r="F547" s="30" t="n">
        <f aca="false">Panel!Q540-Panel!Q539</f>
        <v>0.00313955066170024</v>
      </c>
      <c r="G547" s="30" t="n">
        <f aca="false">Panel!Q539-Panel!Q538</f>
        <v>0.00118988614416438</v>
      </c>
    </row>
    <row r="548" customFormat="false" ht="15" hidden="false" customHeight="false" outlineLevel="0" collapsed="false">
      <c r="C548" s="0" t="n">
        <f aca="false">Panel!Q543-Panel!Q542</f>
        <v>-0.000268931797933192</v>
      </c>
      <c r="D548" s="29" t="n">
        <f aca="false">Panel!Q542</f>
        <v>0.00277320962226568</v>
      </c>
      <c r="E548" s="30" t="n">
        <f aca="false">Panel!Q542-Panel!Q541</f>
        <v>-0.000526597104336446</v>
      </c>
      <c r="F548" s="30" t="n">
        <f aca="false">Panel!Q541-Panel!Q540</f>
        <v>-0.000857133022094558</v>
      </c>
      <c r="G548" s="30" t="n">
        <f aca="false">Panel!Q540-Panel!Q539</f>
        <v>0.00313955066170024</v>
      </c>
    </row>
    <row r="549" customFormat="false" ht="15" hidden="false" customHeight="false" outlineLevel="0" collapsed="false">
      <c r="C549" s="0" t="n">
        <f aca="false">Panel!Q544-Panel!Q543</f>
        <v>-0.00109958304339308</v>
      </c>
      <c r="D549" s="29" t="n">
        <f aca="false">Panel!Q543</f>
        <v>0.00250427782433249</v>
      </c>
      <c r="E549" s="30" t="n">
        <f aca="false">Panel!Q543-Panel!Q542</f>
        <v>-0.000268931797933192</v>
      </c>
      <c r="F549" s="30" t="n">
        <f aca="false">Panel!Q542-Panel!Q541</f>
        <v>-0.000526597104336446</v>
      </c>
      <c r="G549" s="30" t="n">
        <f aca="false">Panel!Q541-Panel!Q540</f>
        <v>-0.000857133022094558</v>
      </c>
    </row>
    <row r="550" customFormat="false" ht="15" hidden="false" customHeight="false" outlineLevel="0" collapsed="false">
      <c r="C550" s="0" t="n">
        <f aca="false">Panel!Q545-Panel!Q544</f>
        <v>-0.000542267535209362</v>
      </c>
      <c r="D550" s="29" t="n">
        <f aca="false">Panel!Q544</f>
        <v>0.00140469478093941</v>
      </c>
      <c r="E550" s="30" t="n">
        <f aca="false">Panel!Q544-Panel!Q543</f>
        <v>-0.00109958304339308</v>
      </c>
      <c r="F550" s="30" t="n">
        <f aca="false">Panel!Q543-Panel!Q542</f>
        <v>-0.000268931797933192</v>
      </c>
      <c r="G550" s="30" t="n">
        <f aca="false">Panel!Q542-Panel!Q541</f>
        <v>-0.000526597104336446</v>
      </c>
    </row>
    <row r="551" customFormat="false" ht="15" hidden="false" customHeight="false" outlineLevel="0" collapsed="false">
      <c r="C551" s="0" t="n">
        <f aca="false">Panel!Q546-Panel!Q545</f>
        <v>0.00066957892791919</v>
      </c>
      <c r="D551" s="29" t="n">
        <f aca="false">Panel!Q545</f>
        <v>0.000862427245730046</v>
      </c>
      <c r="E551" s="30" t="n">
        <f aca="false">Panel!Q545-Panel!Q544</f>
        <v>-0.000542267535209362</v>
      </c>
      <c r="F551" s="30" t="n">
        <f aca="false">Panel!Q544-Panel!Q543</f>
        <v>-0.00109958304339308</v>
      </c>
      <c r="G551" s="30" t="n">
        <f aca="false">Panel!Q543-Panel!Q542</f>
        <v>-0.000268931797933192</v>
      </c>
    </row>
    <row r="552" customFormat="false" ht="15" hidden="false" customHeight="false" outlineLevel="0" collapsed="false">
      <c r="C552" s="0" t="n">
        <f aca="false">Panel!Q547-Panel!Q546</f>
        <v>-2.24738257283974E-005</v>
      </c>
      <c r="D552" s="29" t="n">
        <f aca="false">Panel!Q546</f>
        <v>0.00153200617364924</v>
      </c>
      <c r="E552" s="30" t="n">
        <f aca="false">Panel!Q546-Panel!Q545</f>
        <v>0.00066957892791919</v>
      </c>
      <c r="F552" s="30" t="n">
        <f aca="false">Panel!Q545-Panel!Q544</f>
        <v>-0.000542267535209362</v>
      </c>
      <c r="G552" s="30" t="n">
        <f aca="false">Panel!Q544-Panel!Q543</f>
        <v>-0.00109958304339308</v>
      </c>
    </row>
    <row r="553" customFormat="false" ht="15" hidden="false" customHeight="false" outlineLevel="0" collapsed="false">
      <c r="C553" s="0" t="n">
        <f aca="false">Panel!Q548-Panel!Q547</f>
        <v>-0.000840288626513086</v>
      </c>
      <c r="D553" s="29" t="n">
        <f aca="false">Panel!Q547</f>
        <v>0.00150953234792084</v>
      </c>
      <c r="E553" s="30" t="n">
        <f aca="false">Panel!Q547-Panel!Q546</f>
        <v>-2.24738257283974E-005</v>
      </c>
      <c r="F553" s="30" t="n">
        <f aca="false">Panel!Q546-Panel!Q545</f>
        <v>0.00066957892791919</v>
      </c>
      <c r="G553" s="30" t="n">
        <f aca="false">Panel!Q545-Panel!Q544</f>
        <v>-0.000542267535209362</v>
      </c>
    </row>
    <row r="554" customFormat="false" ht="15" hidden="false" customHeight="false" outlineLevel="0" collapsed="false">
      <c r="C554" s="0" t="n">
        <f aca="false">Panel!Q549-Panel!Q548</f>
        <v>-0.000851321431584395</v>
      </c>
      <c r="D554" s="29" t="n">
        <f aca="false">Panel!Q548</f>
        <v>0.000669243721407753</v>
      </c>
      <c r="E554" s="30" t="n">
        <f aca="false">Panel!Q548-Panel!Q547</f>
        <v>-0.000840288626513086</v>
      </c>
      <c r="F554" s="30" t="n">
        <f aca="false">Panel!Q547-Panel!Q546</f>
        <v>-2.24738257283974E-005</v>
      </c>
      <c r="G554" s="30" t="n">
        <f aca="false">Panel!Q546-Panel!Q545</f>
        <v>0.00066957892791919</v>
      </c>
    </row>
    <row r="555" customFormat="false" ht="15" hidden="false" customHeight="false" outlineLevel="0" collapsed="false">
      <c r="C555" s="0" t="n">
        <f aca="false">Panel!Q550-Panel!Q549</f>
        <v>-0.000306375953870841</v>
      </c>
      <c r="D555" s="29" t="n">
        <f aca="false">Panel!Q549</f>
        <v>-0.000182077710176642</v>
      </c>
      <c r="E555" s="30" t="n">
        <f aca="false">Panel!Q549-Panel!Q548</f>
        <v>-0.000851321431584395</v>
      </c>
      <c r="F555" s="30" t="n">
        <f aca="false">Panel!Q548-Panel!Q547</f>
        <v>-0.000840288626513086</v>
      </c>
      <c r="G555" s="30" t="n">
        <f aca="false">Panel!Q547-Panel!Q546</f>
        <v>-2.24738257283974E-005</v>
      </c>
    </row>
    <row r="556" customFormat="false" ht="15" hidden="false" customHeight="false" outlineLevel="0" collapsed="false">
      <c r="C556" s="0" t="n">
        <f aca="false">Panel!Q551-Panel!Q550</f>
        <v>-0.000503416500350795</v>
      </c>
      <c r="D556" s="29" t="n">
        <f aca="false">Panel!Q550</f>
        <v>-0.000488453664047484</v>
      </c>
      <c r="E556" s="30" t="n">
        <f aca="false">Panel!Q550-Panel!Q549</f>
        <v>-0.000306375953870841</v>
      </c>
      <c r="F556" s="30" t="n">
        <f aca="false">Panel!Q549-Panel!Q548</f>
        <v>-0.000851321431584395</v>
      </c>
      <c r="G556" s="30" t="n">
        <f aca="false">Panel!Q548-Panel!Q547</f>
        <v>-0.000840288626513086</v>
      </c>
    </row>
    <row r="557" customFormat="false" ht="15" hidden="false" customHeight="false" outlineLevel="0" collapsed="false">
      <c r="C557" s="0" t="n">
        <f aca="false">Panel!Q552-Panel!Q551</f>
        <v>0.000281012863476704</v>
      </c>
      <c r="D557" s="29" t="n">
        <f aca="false">Panel!Q551</f>
        <v>-0.000991870164398279</v>
      </c>
      <c r="E557" s="30" t="n">
        <f aca="false">Panel!Q551-Panel!Q550</f>
        <v>-0.000503416500350795</v>
      </c>
      <c r="F557" s="30" t="n">
        <f aca="false">Panel!Q550-Panel!Q549</f>
        <v>-0.000306375953870841</v>
      </c>
      <c r="G557" s="30" t="n">
        <f aca="false">Panel!Q549-Panel!Q548</f>
        <v>-0.000851321431584395</v>
      </c>
    </row>
    <row r="558" customFormat="false" ht="15" hidden="false" customHeight="false" outlineLevel="0" collapsed="false">
      <c r="C558" s="0" t="n">
        <f aca="false">Panel!Q553-Panel!Q552</f>
        <v>-0.000154680269531582</v>
      </c>
      <c r="D558" s="29" t="n">
        <f aca="false">Panel!Q552</f>
        <v>-0.000710857300921575</v>
      </c>
      <c r="E558" s="30" t="n">
        <f aca="false">Panel!Q552-Panel!Q551</f>
        <v>0.000281012863476704</v>
      </c>
      <c r="F558" s="30" t="n">
        <f aca="false">Panel!Q551-Panel!Q550</f>
        <v>-0.000503416500350795</v>
      </c>
      <c r="G558" s="30" t="n">
        <f aca="false">Panel!Q550-Panel!Q549</f>
        <v>-0.000306375953870841</v>
      </c>
    </row>
    <row r="559" customFormat="false" ht="15" hidden="false" customHeight="false" outlineLevel="0" collapsed="false">
      <c r="C559" s="0" t="n">
        <f aca="false">Panel!Q554-Panel!Q553</f>
        <v>-0.000237214292088339</v>
      </c>
      <c r="D559" s="29" t="n">
        <f aca="false">Panel!Q553</f>
        <v>-0.000865537570453157</v>
      </c>
      <c r="E559" s="30" t="n">
        <f aca="false">Panel!Q553-Panel!Q552</f>
        <v>-0.000154680269531582</v>
      </c>
      <c r="F559" s="30" t="n">
        <f aca="false">Panel!Q552-Panel!Q551</f>
        <v>0.000281012863476704</v>
      </c>
      <c r="G559" s="30" t="n">
        <f aca="false">Panel!Q551-Panel!Q550</f>
        <v>-0.000503416500350795</v>
      </c>
    </row>
    <row r="560" customFormat="false" ht="15" hidden="false" customHeight="false" outlineLevel="0" collapsed="false">
      <c r="C560" s="0" t="n">
        <f aca="false">Panel!Q555-Panel!Q554</f>
        <v>-0.00107074948119745</v>
      </c>
      <c r="D560" s="29" t="n">
        <f aca="false">Panel!Q554</f>
        <v>-0.0011027518625415</v>
      </c>
      <c r="E560" s="30" t="n">
        <f aca="false">Panel!Q554-Panel!Q553</f>
        <v>-0.000237214292088339</v>
      </c>
      <c r="F560" s="30" t="n">
        <f aca="false">Panel!Q553-Panel!Q552</f>
        <v>-0.000154680269531582</v>
      </c>
      <c r="G560" s="30" t="n">
        <f aca="false">Panel!Q552-Panel!Q551</f>
        <v>0.000281012863476704</v>
      </c>
    </row>
    <row r="561" customFormat="false" ht="15" hidden="false" customHeight="false" outlineLevel="0" collapsed="false">
      <c r="C561" s="0" t="n">
        <f aca="false">Panel!Q556-Panel!Q555</f>
        <v>0.00139199252701161</v>
      </c>
      <c r="D561" s="29" t="n">
        <f aca="false">Panel!Q555</f>
        <v>-0.00217350134373895</v>
      </c>
      <c r="E561" s="30" t="n">
        <f aca="false">Panel!Q555-Panel!Q554</f>
        <v>-0.00107074948119745</v>
      </c>
      <c r="F561" s="30" t="n">
        <f aca="false">Panel!Q554-Panel!Q553</f>
        <v>-0.000237214292088339</v>
      </c>
      <c r="G561" s="30" t="n">
        <f aca="false">Panel!Q553-Panel!Q552</f>
        <v>-0.000154680269531582</v>
      </c>
    </row>
    <row r="562" customFormat="false" ht="15" hidden="false" customHeight="false" outlineLevel="0" collapsed="false">
      <c r="C562" s="0" t="n">
        <f aca="false">Panel!Q557-Panel!Q556</f>
        <v>-0.000357370507732213</v>
      </c>
      <c r="D562" s="29" t="n">
        <f aca="false">Panel!Q556</f>
        <v>-0.000781508816727339</v>
      </c>
      <c r="E562" s="30" t="n">
        <f aca="false">Panel!Q556-Panel!Q555</f>
        <v>0.00139199252701161</v>
      </c>
      <c r="F562" s="30" t="n">
        <f aca="false">Panel!Q555-Panel!Q554</f>
        <v>-0.00107074948119745</v>
      </c>
      <c r="G562" s="30" t="n">
        <f aca="false">Panel!Q554-Panel!Q553</f>
        <v>-0.000237214292088339</v>
      </c>
    </row>
    <row r="563" customFormat="false" ht="15" hidden="false" customHeight="false" outlineLevel="0" collapsed="false">
      <c r="C563" s="0" t="n">
        <f aca="false">Panel!Q558-Panel!Q557</f>
        <v>0.00125002334634949</v>
      </c>
      <c r="D563" s="29" t="n">
        <f aca="false">Panel!Q557</f>
        <v>-0.00113887932445955</v>
      </c>
      <c r="E563" s="30" t="n">
        <f aca="false">Panel!Q557-Panel!Q556</f>
        <v>-0.000357370507732213</v>
      </c>
      <c r="F563" s="30" t="n">
        <f aca="false">Panel!Q556-Panel!Q555</f>
        <v>0.00139199252701161</v>
      </c>
      <c r="G563" s="30" t="n">
        <f aca="false">Panel!Q555-Panel!Q554</f>
        <v>-0.00107074948119745</v>
      </c>
    </row>
    <row r="564" customFormat="false" ht="15" hidden="false" customHeight="false" outlineLevel="0" collapsed="false">
      <c r="C564" s="0" t="n">
        <f aca="false">Panel!Q559-Panel!Q558</f>
        <v>-0.00224256107781251</v>
      </c>
      <c r="D564" s="29" t="n">
        <f aca="false">Panel!Q558</f>
        <v>0.000111144021889942</v>
      </c>
      <c r="E564" s="30" t="n">
        <f aca="false">Panel!Q558-Panel!Q557</f>
        <v>0.00125002334634949</v>
      </c>
      <c r="F564" s="30" t="n">
        <f aca="false">Panel!Q557-Panel!Q556</f>
        <v>-0.000357370507732213</v>
      </c>
      <c r="G564" s="30" t="n">
        <f aca="false">Panel!Q556-Panel!Q555</f>
        <v>0.00139199252701161</v>
      </c>
    </row>
    <row r="565" customFormat="false" ht="15" hidden="false" customHeight="false" outlineLevel="0" collapsed="false">
      <c r="C565" s="0" t="n">
        <f aca="false">Panel!Q560-Panel!Q559</f>
        <v>-0.0013750289709531</v>
      </c>
      <c r="D565" s="29" t="n">
        <f aca="false">Panel!Q559</f>
        <v>-0.00213141705592257</v>
      </c>
      <c r="E565" s="30" t="n">
        <f aca="false">Panel!Q559-Panel!Q558</f>
        <v>-0.00224256107781251</v>
      </c>
      <c r="F565" s="30" t="n">
        <f aca="false">Panel!Q558-Panel!Q557</f>
        <v>0.00125002334634949</v>
      </c>
      <c r="G565" s="30" t="n">
        <f aca="false">Panel!Q557-Panel!Q556</f>
        <v>-0.000357370507732213</v>
      </c>
    </row>
    <row r="566" customFormat="false" ht="15" hidden="false" customHeight="false" outlineLevel="0" collapsed="false">
      <c r="C566" s="0" t="n">
        <f aca="false">Panel!Q561-Panel!Q560</f>
        <v>-0.0011806453181773</v>
      </c>
      <c r="D566" s="29" t="n">
        <f aca="false">Panel!Q560</f>
        <v>-0.00350644602687566</v>
      </c>
      <c r="E566" s="30" t="n">
        <f aca="false">Panel!Q560-Panel!Q559</f>
        <v>-0.0013750289709531</v>
      </c>
      <c r="F566" s="30" t="n">
        <f aca="false">Panel!Q559-Panel!Q558</f>
        <v>-0.00224256107781251</v>
      </c>
      <c r="G566" s="30" t="n">
        <f aca="false">Panel!Q558-Panel!Q557</f>
        <v>0.00125002334634949</v>
      </c>
    </row>
    <row r="567" customFormat="false" ht="15" hidden="false" customHeight="false" outlineLevel="0" collapsed="false">
      <c r="C567" s="0" t="n">
        <f aca="false">Panel!Q562-Panel!Q561</f>
        <v>0.00114170488476617</v>
      </c>
      <c r="D567" s="29" t="n">
        <f aca="false">Panel!Q561</f>
        <v>-0.00468709134505296</v>
      </c>
      <c r="E567" s="30" t="n">
        <f aca="false">Panel!Q561-Panel!Q560</f>
        <v>-0.0011806453181773</v>
      </c>
      <c r="F567" s="30" t="n">
        <f aca="false">Panel!Q560-Panel!Q559</f>
        <v>-0.0013750289709531</v>
      </c>
      <c r="G567" s="30" t="n">
        <f aca="false">Panel!Q559-Panel!Q558</f>
        <v>-0.00224256107781251</v>
      </c>
    </row>
    <row r="568" customFormat="false" ht="15" hidden="false" customHeight="false" outlineLevel="0" collapsed="false">
      <c r="C568" s="0" t="n">
        <f aca="false">Panel!Q563-Panel!Q562</f>
        <v>-0.00017748841401577</v>
      </c>
      <c r="D568" s="29" t="n">
        <f aca="false">Panel!Q562</f>
        <v>-0.00354538646028679</v>
      </c>
      <c r="E568" s="30" t="n">
        <f aca="false">Panel!Q562-Panel!Q561</f>
        <v>0.00114170488476617</v>
      </c>
      <c r="F568" s="30" t="n">
        <f aca="false">Panel!Q561-Panel!Q560</f>
        <v>-0.0011806453181773</v>
      </c>
      <c r="G568" s="30" t="n">
        <f aca="false">Panel!Q560-Panel!Q559</f>
        <v>-0.0013750289709531</v>
      </c>
    </row>
    <row r="569" customFormat="false" ht="15" hidden="false" customHeight="false" outlineLevel="0" collapsed="false">
      <c r="C569" s="0" t="n">
        <f aca="false">Panel!Q564-Panel!Q563</f>
        <v>-0.000463931273632312</v>
      </c>
      <c r="D569" s="29" t="n">
        <f aca="false">Panel!Q563</f>
        <v>-0.00372287487430256</v>
      </c>
      <c r="E569" s="30" t="n">
        <f aca="false">Panel!Q563-Panel!Q562</f>
        <v>-0.00017748841401577</v>
      </c>
      <c r="F569" s="30" t="n">
        <f aca="false">Panel!Q562-Panel!Q561</f>
        <v>0.00114170488476617</v>
      </c>
      <c r="G569" s="30" t="n">
        <f aca="false">Panel!Q561-Panel!Q560</f>
        <v>-0.0011806453181773</v>
      </c>
    </row>
    <row r="570" customFormat="false" ht="15" hidden="false" customHeight="false" outlineLevel="0" collapsed="false">
      <c r="C570" s="0" t="n">
        <f aca="false">Panel!Q565-Panel!Q564</f>
        <v>0.000548075900253409</v>
      </c>
      <c r="D570" s="29" t="n">
        <f aca="false">Panel!Q564</f>
        <v>-0.00418680614793487</v>
      </c>
      <c r="E570" s="30" t="n">
        <f aca="false">Panel!Q564-Panel!Q563</f>
        <v>-0.000463931273632312</v>
      </c>
      <c r="F570" s="30" t="n">
        <f aca="false">Panel!Q563-Panel!Q562</f>
        <v>-0.00017748841401577</v>
      </c>
      <c r="G570" s="30" t="n">
        <f aca="false">Panel!Q562-Panel!Q561</f>
        <v>0.00114170488476617</v>
      </c>
    </row>
    <row r="571" customFormat="false" ht="15" hidden="false" customHeight="false" outlineLevel="0" collapsed="false">
      <c r="C571" s="0" t="n">
        <f aca="false">Panel!Q566-Panel!Q565</f>
        <v>0.00202412972168098</v>
      </c>
      <c r="D571" s="29" t="n">
        <f aca="false">Panel!Q565</f>
        <v>-0.00363873024768147</v>
      </c>
      <c r="E571" s="30" t="n">
        <f aca="false">Panel!Q565-Panel!Q564</f>
        <v>0.000548075900253409</v>
      </c>
      <c r="F571" s="30" t="n">
        <f aca="false">Panel!Q564-Panel!Q563</f>
        <v>-0.000463931273632312</v>
      </c>
      <c r="G571" s="30" t="n">
        <f aca="false">Panel!Q563-Panel!Q562</f>
        <v>-0.00017748841401577</v>
      </c>
    </row>
    <row r="572" customFormat="false" ht="15" hidden="false" customHeight="false" outlineLevel="0" collapsed="false">
      <c r="C572" s="0" t="n">
        <f aca="false">Panel!Q567-Panel!Q566</f>
        <v>-0.000776587780187299</v>
      </c>
      <c r="D572" s="29" t="n">
        <f aca="false">Panel!Q566</f>
        <v>-0.00161460052600049</v>
      </c>
      <c r="E572" s="30" t="n">
        <f aca="false">Panel!Q566-Panel!Q565</f>
        <v>0.00202412972168098</v>
      </c>
      <c r="F572" s="30" t="n">
        <f aca="false">Panel!Q565-Panel!Q564</f>
        <v>0.000548075900253409</v>
      </c>
      <c r="G572" s="30" t="n">
        <f aca="false">Panel!Q564-Panel!Q563</f>
        <v>-0.000463931273632312</v>
      </c>
    </row>
    <row r="573" customFormat="false" ht="15" hidden="false" customHeight="false" outlineLevel="0" collapsed="false">
      <c r="C573" s="0" t="n">
        <f aca="false">Panel!Q568-Panel!Q567</f>
        <v>-0.000206685131034945</v>
      </c>
      <c r="D573" s="29" t="n">
        <f aca="false">Panel!Q567</f>
        <v>-0.00239118830618779</v>
      </c>
      <c r="E573" s="30" t="n">
        <f aca="false">Panel!Q567-Panel!Q566</f>
        <v>-0.000776587780187299</v>
      </c>
      <c r="F573" s="30" t="n">
        <f aca="false">Panel!Q566-Panel!Q565</f>
        <v>0.00202412972168098</v>
      </c>
      <c r="G573" s="30" t="n">
        <f aca="false">Panel!Q565-Panel!Q564</f>
        <v>0.000548075900253409</v>
      </c>
    </row>
    <row r="574" customFormat="false" ht="15" hidden="false" customHeight="false" outlineLevel="0" collapsed="false">
      <c r="C574" s="0" t="n">
        <f aca="false">Panel!Q569-Panel!Q568</f>
        <v>0.0017400147046267</v>
      </c>
      <c r="D574" s="29" t="n">
        <f aca="false">Panel!Q568</f>
        <v>-0.00259787343722273</v>
      </c>
      <c r="E574" s="30" t="n">
        <f aca="false">Panel!Q568-Panel!Q567</f>
        <v>-0.000206685131034945</v>
      </c>
      <c r="F574" s="30" t="n">
        <f aca="false">Panel!Q567-Panel!Q566</f>
        <v>-0.000776587780187299</v>
      </c>
      <c r="G574" s="30" t="n">
        <f aca="false">Panel!Q566-Panel!Q565</f>
        <v>0.00202412972168098</v>
      </c>
    </row>
    <row r="575" customFormat="false" ht="15" hidden="false" customHeight="false" outlineLevel="0" collapsed="false">
      <c r="C575" s="0" t="n">
        <f aca="false">Panel!Q570-Panel!Q569</f>
        <v>-0.00291998811235494</v>
      </c>
      <c r="D575" s="29" t="n">
        <f aca="false">Panel!Q569</f>
        <v>-0.000857858732596029</v>
      </c>
      <c r="E575" s="30" t="n">
        <f aca="false">Panel!Q569-Panel!Q568</f>
        <v>0.0017400147046267</v>
      </c>
      <c r="F575" s="30" t="n">
        <f aca="false">Panel!Q568-Panel!Q567</f>
        <v>-0.000206685131034945</v>
      </c>
      <c r="G575" s="30" t="n">
        <f aca="false">Panel!Q567-Panel!Q566</f>
        <v>-0.000776587780187299</v>
      </c>
    </row>
    <row r="576" customFormat="false" ht="15" hidden="false" customHeight="false" outlineLevel="0" collapsed="false">
      <c r="C576" s="0" t="n">
        <f aca="false">Panel!Q571-Panel!Q570</f>
        <v>0.00203449588626903</v>
      </c>
      <c r="D576" s="29" t="n">
        <f aca="false">Panel!Q570</f>
        <v>-0.00377784684495097</v>
      </c>
      <c r="E576" s="30" t="n">
        <f aca="false">Panel!Q570-Panel!Q569</f>
        <v>-0.00291998811235494</v>
      </c>
      <c r="F576" s="30" t="n">
        <f aca="false">Panel!Q569-Panel!Q568</f>
        <v>0.0017400147046267</v>
      </c>
      <c r="G576" s="30" t="n">
        <f aca="false">Panel!Q568-Panel!Q567</f>
        <v>-0.000206685131034945</v>
      </c>
    </row>
    <row r="577" customFormat="false" ht="15" hidden="false" customHeight="false" outlineLevel="0" collapsed="false">
      <c r="C577" s="0" t="n">
        <f aca="false">Panel!Q572-Panel!Q571</f>
        <v>-0.00135123621059741</v>
      </c>
      <c r="D577" s="29" t="n">
        <f aca="false">Panel!Q571</f>
        <v>-0.00174335095868194</v>
      </c>
      <c r="E577" s="30" t="n">
        <f aca="false">Panel!Q571-Panel!Q570</f>
        <v>0.00203449588626903</v>
      </c>
      <c r="F577" s="30" t="n">
        <f aca="false">Panel!Q570-Panel!Q569</f>
        <v>-0.00291998811235494</v>
      </c>
      <c r="G577" s="30" t="n">
        <f aca="false">Panel!Q569-Panel!Q568</f>
        <v>0.0017400147046267</v>
      </c>
    </row>
    <row r="578" customFormat="false" ht="15" hidden="false" customHeight="false" outlineLevel="0" collapsed="false">
      <c r="C578" s="0" t="n">
        <f aca="false">Panel!Q573-Panel!Q572</f>
        <v>0.00200029840388893</v>
      </c>
      <c r="D578" s="29" t="n">
        <f aca="false">Panel!Q572</f>
        <v>-0.00309458716927935</v>
      </c>
      <c r="E578" s="30" t="n">
        <f aca="false">Panel!Q572-Panel!Q571</f>
        <v>-0.00135123621059741</v>
      </c>
      <c r="F578" s="30" t="n">
        <f aca="false">Panel!Q571-Panel!Q570</f>
        <v>0.00203449588626903</v>
      </c>
      <c r="G578" s="30" t="n">
        <f aca="false">Panel!Q570-Panel!Q569</f>
        <v>-0.00291998811235494</v>
      </c>
    </row>
    <row r="579" customFormat="false" ht="15" hidden="false" customHeight="false" outlineLevel="0" collapsed="false">
      <c r="C579" s="0" t="n">
        <f aca="false">Panel!Q574-Panel!Q573</f>
        <v>-0.00247763636038201</v>
      </c>
      <c r="D579" s="29" t="n">
        <f aca="false">Panel!Q573</f>
        <v>-0.00109428876539042</v>
      </c>
      <c r="E579" s="30" t="n">
        <f aca="false">Panel!Q573-Panel!Q572</f>
        <v>0.00200029840388893</v>
      </c>
      <c r="F579" s="30" t="n">
        <f aca="false">Panel!Q572-Panel!Q571</f>
        <v>-0.00135123621059741</v>
      </c>
      <c r="G579" s="30" t="n">
        <f aca="false">Panel!Q571-Panel!Q570</f>
        <v>0.00203449588626903</v>
      </c>
    </row>
    <row r="580" customFormat="false" ht="15" hidden="false" customHeight="false" outlineLevel="0" collapsed="false">
      <c r="C580" s="0" t="n">
        <f aca="false">Panel!Q575-Panel!Q574</f>
        <v>0.00184184343334692</v>
      </c>
      <c r="D580" s="29" t="n">
        <f aca="false">Panel!Q574</f>
        <v>-0.00357192512577242</v>
      </c>
      <c r="E580" s="30" t="n">
        <f aca="false">Panel!Q574-Panel!Q573</f>
        <v>-0.00247763636038201</v>
      </c>
      <c r="F580" s="30" t="n">
        <f aca="false">Panel!Q573-Panel!Q572</f>
        <v>0.00200029840388893</v>
      </c>
      <c r="G580" s="30" t="n">
        <f aca="false">Panel!Q572-Panel!Q571</f>
        <v>-0.00135123621059741</v>
      </c>
    </row>
    <row r="581" customFormat="false" ht="15" hidden="false" customHeight="false" outlineLevel="0" collapsed="false">
      <c r="C581" s="0" t="n">
        <f aca="false">Panel!Q576-Panel!Q575</f>
        <v>-0.000873633010131769</v>
      </c>
      <c r="D581" s="29" t="n">
        <f aca="false">Panel!Q575</f>
        <v>-0.0017300816924255</v>
      </c>
      <c r="E581" s="30" t="n">
        <f aca="false">Panel!Q575-Panel!Q574</f>
        <v>0.00184184343334692</v>
      </c>
      <c r="F581" s="30" t="n">
        <f aca="false">Panel!Q574-Panel!Q573</f>
        <v>-0.00247763636038201</v>
      </c>
      <c r="G581" s="30" t="n">
        <f aca="false">Panel!Q573-Panel!Q572</f>
        <v>0.00200029840388893</v>
      </c>
    </row>
    <row r="582" customFormat="false" ht="15" hidden="false" customHeight="false" outlineLevel="0" collapsed="false">
      <c r="C582" s="0" t="n">
        <f aca="false">Panel!Q577-Panel!Q576</f>
        <v>9.08905436283192E-005</v>
      </c>
      <c r="D582" s="29" t="n">
        <f aca="false">Panel!Q576</f>
        <v>-0.00260371470255727</v>
      </c>
      <c r="E582" s="30" t="n">
        <f aca="false">Panel!Q576-Panel!Q575</f>
        <v>-0.000873633010131769</v>
      </c>
      <c r="F582" s="30" t="n">
        <f aca="false">Panel!Q575-Panel!Q574</f>
        <v>0.00184184343334692</v>
      </c>
      <c r="G582" s="30" t="n">
        <f aca="false">Panel!Q574-Panel!Q573</f>
        <v>-0.00247763636038201</v>
      </c>
    </row>
    <row r="583" customFormat="false" ht="15" hidden="false" customHeight="false" outlineLevel="0" collapsed="false">
      <c r="C583" s="0" t="n">
        <f aca="false">Panel!Q578-Panel!Q577</f>
        <v>-2.41168086780874E-005</v>
      </c>
      <c r="D583" s="29" t="n">
        <f aca="false">Panel!Q577</f>
        <v>-0.00251282415892895</v>
      </c>
      <c r="E583" s="30" t="n">
        <f aca="false">Panel!Q577-Panel!Q576</f>
        <v>9.08905436283192E-005</v>
      </c>
      <c r="F583" s="30" t="n">
        <f aca="false">Panel!Q576-Panel!Q575</f>
        <v>-0.000873633010131769</v>
      </c>
      <c r="G583" s="30" t="n">
        <f aca="false">Panel!Q575-Panel!Q574</f>
        <v>0.00184184343334692</v>
      </c>
    </row>
    <row r="584" customFormat="false" ht="15" hidden="false" customHeight="false" outlineLevel="0" collapsed="false">
      <c r="C584" s="0" t="n">
        <f aca="false">Panel!Q579-Panel!Q578</f>
        <v>-0.00119236607903339</v>
      </c>
      <c r="D584" s="29" t="n">
        <f aca="false">Panel!Q578</f>
        <v>-0.00253694096760704</v>
      </c>
      <c r="E584" s="30" t="n">
        <f aca="false">Panel!Q578-Panel!Q577</f>
        <v>-2.41168086780874E-005</v>
      </c>
      <c r="F584" s="30" t="n">
        <f aca="false">Panel!Q577-Panel!Q576</f>
        <v>9.08905436283192E-005</v>
      </c>
      <c r="G584" s="30" t="n">
        <f aca="false">Panel!Q576-Panel!Q575</f>
        <v>-0.000873633010131769</v>
      </c>
    </row>
    <row r="585" customFormat="false" ht="15" hidden="false" customHeight="false" outlineLevel="0" collapsed="false">
      <c r="C585" s="0" t="n">
        <f aca="false">Panel!Q580-Panel!Q579</f>
        <v>0.000438244717047454</v>
      </c>
      <c r="D585" s="29" t="n">
        <f aca="false">Panel!Q579</f>
        <v>-0.00372930704664043</v>
      </c>
      <c r="E585" s="30" t="n">
        <f aca="false">Panel!Q579-Panel!Q578</f>
        <v>-0.00119236607903339</v>
      </c>
      <c r="F585" s="30" t="n">
        <f aca="false">Panel!Q578-Panel!Q577</f>
        <v>-2.41168086780874E-005</v>
      </c>
      <c r="G585" s="30" t="n">
        <f aca="false">Panel!Q577-Panel!Q576</f>
        <v>9.08905436283192E-005</v>
      </c>
    </row>
    <row r="586" customFormat="false" ht="15" hidden="false" customHeight="false" outlineLevel="0" collapsed="false">
      <c r="C586" s="0" t="n">
        <f aca="false">Panel!Q581-Panel!Q580</f>
        <v>-0.000878574925378572</v>
      </c>
      <c r="D586" s="29" t="n">
        <f aca="false">Panel!Q580</f>
        <v>-0.00329106232959298</v>
      </c>
      <c r="E586" s="30" t="n">
        <f aca="false">Panel!Q580-Panel!Q579</f>
        <v>0.000438244717047454</v>
      </c>
      <c r="F586" s="30" t="n">
        <f aca="false">Panel!Q579-Panel!Q578</f>
        <v>-0.00119236607903339</v>
      </c>
      <c r="G586" s="30" t="n">
        <f aca="false">Panel!Q578-Panel!Q577</f>
        <v>-2.41168086780874E-005</v>
      </c>
    </row>
    <row r="587" customFormat="false" ht="15" hidden="false" customHeight="false" outlineLevel="0" collapsed="false">
      <c r="C587" s="0" t="n">
        <f aca="false">Panel!Q582-Panel!Q581</f>
        <v>-0.00171019230432456</v>
      </c>
      <c r="D587" s="29" t="n">
        <f aca="false">Panel!Q581</f>
        <v>-0.00416963725497155</v>
      </c>
      <c r="E587" s="30" t="n">
        <f aca="false">Panel!Q581-Panel!Q580</f>
        <v>-0.000878574925378572</v>
      </c>
      <c r="F587" s="30" t="n">
        <f aca="false">Panel!Q580-Panel!Q579</f>
        <v>0.000438244717047454</v>
      </c>
      <c r="G587" s="30" t="n">
        <f aca="false">Panel!Q579-Panel!Q578</f>
        <v>-0.00119236607903339</v>
      </c>
    </row>
    <row r="588" customFormat="false" ht="15" hidden="false" customHeight="false" outlineLevel="0" collapsed="false">
      <c r="C588" s="0" t="n">
        <f aca="false">Panel!Q583-Panel!Q582</f>
        <v>0.00552098689149716</v>
      </c>
      <c r="D588" s="29" t="n">
        <f aca="false">Panel!Q582</f>
        <v>-0.00587982955929611</v>
      </c>
      <c r="E588" s="30" t="n">
        <f aca="false">Panel!Q582-Panel!Q581</f>
        <v>-0.00171019230432456</v>
      </c>
      <c r="F588" s="30" t="n">
        <f aca="false">Panel!Q581-Panel!Q580</f>
        <v>-0.000878574925378572</v>
      </c>
      <c r="G588" s="30" t="n">
        <f aca="false">Panel!Q580-Panel!Q579</f>
        <v>0.000438244717047454</v>
      </c>
    </row>
    <row r="589" customFormat="false" ht="15" hidden="false" customHeight="false" outlineLevel="0" collapsed="false">
      <c r="C589" s="0" t="n">
        <f aca="false">Panel!Q584-Panel!Q583</f>
        <v>0.000832641005644064</v>
      </c>
      <c r="D589" s="29" t="n">
        <f aca="false">Panel!Q583</f>
        <v>-0.000358842667798953</v>
      </c>
      <c r="E589" s="30" t="n">
        <f aca="false">Panel!Q583-Panel!Q582</f>
        <v>0.00552098689149716</v>
      </c>
      <c r="F589" s="30" t="n">
        <f aca="false">Panel!Q582-Panel!Q581</f>
        <v>-0.00171019230432456</v>
      </c>
      <c r="G589" s="30" t="n">
        <f aca="false">Panel!Q581-Panel!Q580</f>
        <v>-0.000878574925378572</v>
      </c>
    </row>
    <row r="590" customFormat="false" ht="15" hidden="false" customHeight="false" outlineLevel="0" collapsed="false">
      <c r="C590" s="0" t="n">
        <f aca="false">Panel!Q585-Panel!Q584</f>
        <v>-0.000876874541946293</v>
      </c>
      <c r="D590" s="29" t="n">
        <f aca="false">Panel!Q584</f>
        <v>0.000473798337845111</v>
      </c>
      <c r="E590" s="30" t="n">
        <f aca="false">Panel!Q584-Panel!Q583</f>
        <v>0.000832641005644064</v>
      </c>
      <c r="F590" s="30" t="n">
        <f aca="false">Panel!Q583-Panel!Q582</f>
        <v>0.00552098689149716</v>
      </c>
      <c r="G590" s="30" t="n">
        <f aca="false">Panel!Q582-Panel!Q581</f>
        <v>-0.00171019230432456</v>
      </c>
    </row>
    <row r="591" customFormat="false" ht="15" hidden="false" customHeight="false" outlineLevel="0" collapsed="false">
      <c r="C591" s="0" t="n">
        <f aca="false">Panel!Q586-Panel!Q585</f>
        <v>0.00113655621528785</v>
      </c>
      <c r="D591" s="29" t="n">
        <f aca="false">Panel!Q585</f>
        <v>-0.000403076204101183</v>
      </c>
      <c r="E591" s="30" t="n">
        <f aca="false">Panel!Q585-Panel!Q584</f>
        <v>-0.000876874541946293</v>
      </c>
      <c r="F591" s="30" t="n">
        <f aca="false">Panel!Q584-Panel!Q583</f>
        <v>0.000832641005644064</v>
      </c>
      <c r="G591" s="30" t="n">
        <f aca="false">Panel!Q583-Panel!Q582</f>
        <v>0.00552098689149716</v>
      </c>
    </row>
    <row r="592" customFormat="false" ht="15" hidden="false" customHeight="false" outlineLevel="0" collapsed="false">
      <c r="C592" s="0" t="n">
        <f aca="false">Panel!Q587-Panel!Q586</f>
        <v>-0.00210017936870344</v>
      </c>
      <c r="D592" s="29" t="n">
        <f aca="false">Panel!Q586</f>
        <v>0.000733480011186671</v>
      </c>
      <c r="E592" s="30" t="n">
        <f aca="false">Panel!Q586-Panel!Q585</f>
        <v>0.00113655621528785</v>
      </c>
      <c r="F592" s="30" t="n">
        <f aca="false">Panel!Q585-Panel!Q584</f>
        <v>-0.000876874541946293</v>
      </c>
      <c r="G592" s="30" t="n">
        <f aca="false">Panel!Q584-Panel!Q583</f>
        <v>0.000832641005644064</v>
      </c>
    </row>
    <row r="593" customFormat="false" ht="15" hidden="false" customHeight="false" outlineLevel="0" collapsed="false">
      <c r="C593" s="0" t="n">
        <f aca="false">Panel!Q588-Panel!Q587</f>
        <v>0.000668292946897964</v>
      </c>
      <c r="D593" s="29" t="n">
        <f aca="false">Panel!Q587</f>
        <v>-0.00136669935751677</v>
      </c>
      <c r="E593" s="30" t="n">
        <f aca="false">Panel!Q587-Panel!Q586</f>
        <v>-0.00210017936870344</v>
      </c>
      <c r="F593" s="30" t="n">
        <f aca="false">Panel!Q586-Panel!Q585</f>
        <v>0.00113655621528785</v>
      </c>
      <c r="G593" s="30" t="n">
        <f aca="false">Panel!Q585-Panel!Q584</f>
        <v>-0.000876874541946293</v>
      </c>
    </row>
    <row r="594" customFormat="false" ht="15" hidden="false" customHeight="false" outlineLevel="0" collapsed="false">
      <c r="C594" s="0" t="n">
        <f aca="false">Panel!Q589-Panel!Q588</f>
        <v>-0.000128610808504348</v>
      </c>
      <c r="D594" s="29" t="n">
        <f aca="false">Panel!Q588</f>
        <v>-0.000698406410618802</v>
      </c>
      <c r="E594" s="30" t="n">
        <f aca="false">Panel!Q588-Panel!Q587</f>
        <v>0.000668292946897964</v>
      </c>
      <c r="F594" s="30" t="n">
        <f aca="false">Panel!Q587-Panel!Q586</f>
        <v>-0.00210017936870344</v>
      </c>
      <c r="G594" s="30" t="n">
        <f aca="false">Panel!Q586-Panel!Q585</f>
        <v>0.00113655621528785</v>
      </c>
    </row>
    <row r="595" customFormat="false" ht="15" hidden="false" customHeight="false" outlineLevel="0" collapsed="false">
      <c r="C595" s="0" t="n">
        <f aca="false">Panel!Q590-Panel!Q589</f>
        <v>0.000665751290329197</v>
      </c>
      <c r="D595" s="29" t="n">
        <f aca="false">Panel!Q589</f>
        <v>-0.00082701721912315</v>
      </c>
      <c r="E595" s="30" t="n">
        <f aca="false">Panel!Q589-Panel!Q588</f>
        <v>-0.000128610808504348</v>
      </c>
      <c r="F595" s="30" t="n">
        <f aca="false">Panel!Q588-Panel!Q587</f>
        <v>0.000668292946897964</v>
      </c>
      <c r="G595" s="30" t="n">
        <f aca="false">Panel!Q587-Panel!Q586</f>
        <v>-0.00210017936870344</v>
      </c>
    </row>
    <row r="596" customFormat="false" ht="15" hidden="false" customHeight="false" outlineLevel="0" collapsed="false">
      <c r="C596" s="0" t="n">
        <f aca="false">Panel!Q591-Panel!Q590</f>
        <v>-0.000103746852232689</v>
      </c>
      <c r="D596" s="29" t="n">
        <f aca="false">Panel!Q590</f>
        <v>-0.000161265928793952</v>
      </c>
      <c r="E596" s="30" t="n">
        <f aca="false">Panel!Q590-Panel!Q589</f>
        <v>0.000665751290329197</v>
      </c>
      <c r="F596" s="30" t="n">
        <f aca="false">Panel!Q589-Panel!Q588</f>
        <v>-0.000128610808504348</v>
      </c>
      <c r="G596" s="30" t="n">
        <f aca="false">Panel!Q588-Panel!Q587</f>
        <v>0.000668292946897964</v>
      </c>
    </row>
    <row r="597" customFormat="false" ht="15" hidden="false" customHeight="false" outlineLevel="0" collapsed="false">
      <c r="C597" s="0" t="n">
        <f aca="false">Panel!Q592-Panel!Q591</f>
        <v>-0.000548362073477193</v>
      </c>
      <c r="D597" s="29" t="n">
        <f aca="false">Panel!Q591</f>
        <v>-0.000265012781026641</v>
      </c>
      <c r="E597" s="30" t="n">
        <f aca="false">Panel!Q591-Panel!Q590</f>
        <v>-0.000103746852232689</v>
      </c>
      <c r="F597" s="30" t="n">
        <f aca="false">Panel!Q590-Panel!Q589</f>
        <v>0.000665751290329197</v>
      </c>
      <c r="G597" s="30" t="n">
        <f aca="false">Panel!Q589-Panel!Q588</f>
        <v>-0.000128610808504348</v>
      </c>
    </row>
    <row r="598" customFormat="false" ht="15" hidden="false" customHeight="false" outlineLevel="0" collapsed="false">
      <c r="C598" s="0" t="n">
        <f aca="false">Panel!Q593-Panel!Q592</f>
        <v>0.00146016978128927</v>
      </c>
      <c r="D598" s="29" t="n">
        <f aca="false">Panel!Q592</f>
        <v>-0.000813374854503834</v>
      </c>
      <c r="E598" s="30" t="n">
        <f aca="false">Panel!Q592-Panel!Q591</f>
        <v>-0.000548362073477193</v>
      </c>
      <c r="F598" s="30" t="n">
        <f aca="false">Panel!Q591-Panel!Q590</f>
        <v>-0.000103746852232689</v>
      </c>
      <c r="G598" s="30" t="n">
        <f aca="false">Panel!Q590-Panel!Q589</f>
        <v>0.000665751290329197</v>
      </c>
    </row>
    <row r="599" customFormat="false" ht="15" hidden="false" customHeight="false" outlineLevel="0" collapsed="false">
      <c r="C599" s="0" t="n">
        <f aca="false">Panel!Q594-Panel!Q593</f>
        <v>-0.00141075906358168</v>
      </c>
      <c r="D599" s="29" t="n">
        <f aca="false">Panel!Q593</f>
        <v>0.000646794926785432</v>
      </c>
      <c r="E599" s="30" t="n">
        <f aca="false">Panel!Q593-Panel!Q592</f>
        <v>0.00146016978128927</v>
      </c>
      <c r="F599" s="30" t="n">
        <f aca="false">Panel!Q592-Panel!Q591</f>
        <v>-0.000548362073477193</v>
      </c>
      <c r="G599" s="30" t="n">
        <f aca="false">Panel!Q591-Panel!Q590</f>
        <v>-0.000103746852232689</v>
      </c>
    </row>
    <row r="600" customFormat="false" ht="15" hidden="false" customHeight="false" outlineLevel="0" collapsed="false">
      <c r="C600" s="0" t="n">
        <f aca="false">Panel!Q595-Panel!Q594</f>
        <v>0.000957173395956801</v>
      </c>
      <c r="D600" s="29" t="n">
        <f aca="false">Panel!Q594</f>
        <v>-0.000763964136796247</v>
      </c>
      <c r="E600" s="30" t="n">
        <f aca="false">Panel!Q594-Panel!Q593</f>
        <v>-0.00141075906358168</v>
      </c>
      <c r="F600" s="30" t="n">
        <f aca="false">Panel!Q593-Panel!Q592</f>
        <v>0.00146016978128927</v>
      </c>
      <c r="G600" s="30" t="n">
        <f aca="false">Panel!Q592-Panel!Q591</f>
        <v>-0.000548362073477193</v>
      </c>
    </row>
    <row r="601" customFormat="false" ht="15" hidden="false" customHeight="false" outlineLevel="0" collapsed="false">
      <c r="C601" s="0" t="n">
        <f aca="false">Panel!Q596-Panel!Q595</f>
        <v>-0.000405922281457194</v>
      </c>
      <c r="D601" s="29" t="n">
        <f aca="false">Panel!Q595</f>
        <v>0.000193209259160554</v>
      </c>
      <c r="E601" s="30" t="n">
        <f aca="false">Panel!Q595-Panel!Q594</f>
        <v>0.000957173395956801</v>
      </c>
      <c r="F601" s="30" t="n">
        <f aca="false">Panel!Q594-Panel!Q593</f>
        <v>-0.00141075906358168</v>
      </c>
      <c r="G601" s="30" t="n">
        <f aca="false">Panel!Q593-Panel!Q592</f>
        <v>0.00146016978128927</v>
      </c>
    </row>
    <row r="602" customFormat="false" ht="15" hidden="false" customHeight="false" outlineLevel="0" collapsed="false">
      <c r="C602" s="0" t="n">
        <f aca="false">Panel!Q597-Panel!Q596</f>
        <v>0.00147929821639714</v>
      </c>
      <c r="D602" s="29" t="n">
        <f aca="false">Panel!Q596</f>
        <v>-0.00021271302229664</v>
      </c>
      <c r="E602" s="30" t="n">
        <f aca="false">Panel!Q596-Panel!Q595</f>
        <v>-0.000405922281457194</v>
      </c>
      <c r="F602" s="30" t="n">
        <f aca="false">Panel!Q595-Panel!Q594</f>
        <v>0.000957173395956801</v>
      </c>
      <c r="G602" s="30" t="n">
        <f aca="false">Panel!Q594-Panel!Q593</f>
        <v>-0.00141075906358168</v>
      </c>
    </row>
    <row r="603" customFormat="false" ht="15" hidden="false" customHeight="false" outlineLevel="0" collapsed="false">
      <c r="C603" s="0" t="n">
        <f aca="false">Panel!Q598-Panel!Q597</f>
        <v>-0.000763724313278757</v>
      </c>
      <c r="D603" s="29" t="n">
        <f aca="false">Panel!Q597</f>
        <v>0.0012665851941005</v>
      </c>
      <c r="E603" s="30" t="n">
        <f aca="false">Panel!Q597-Panel!Q596</f>
        <v>0.00147929821639714</v>
      </c>
      <c r="F603" s="30" t="n">
        <f aca="false">Panel!Q596-Panel!Q595</f>
        <v>-0.000405922281457194</v>
      </c>
      <c r="G603" s="30" t="n">
        <f aca="false">Panel!Q595-Panel!Q594</f>
        <v>0.000957173395956801</v>
      </c>
    </row>
    <row r="604" customFormat="false" ht="15" hidden="false" customHeight="false" outlineLevel="0" collapsed="false">
      <c r="C604" s="0" t="n">
        <f aca="false">Panel!Q599-Panel!Q598</f>
        <v>-0.000874343119505738</v>
      </c>
      <c r="D604" s="29" t="n">
        <f aca="false">Panel!Q598</f>
        <v>0.000502860880821743</v>
      </c>
      <c r="E604" s="30" t="n">
        <f aca="false">Panel!Q598-Panel!Q597</f>
        <v>-0.000763724313278757</v>
      </c>
      <c r="F604" s="30" t="n">
        <f aca="false">Panel!Q597-Panel!Q596</f>
        <v>0.00147929821639714</v>
      </c>
      <c r="G604" s="30" t="n">
        <f aca="false">Panel!Q596-Panel!Q595</f>
        <v>-0.000405922281457194</v>
      </c>
    </row>
    <row r="605" customFormat="false" ht="15" hidden="false" customHeight="false" outlineLevel="0" collapsed="false">
      <c r="C605" s="0" t="n">
        <f aca="false">Panel!Q600-Panel!Q599</f>
        <v>-0.00110106478967786</v>
      </c>
      <c r="D605" s="29" t="n">
        <f aca="false">Panel!Q599</f>
        <v>-0.000371482238683996</v>
      </c>
      <c r="E605" s="30" t="n">
        <f aca="false">Panel!Q599-Panel!Q598</f>
        <v>-0.000874343119505738</v>
      </c>
      <c r="F605" s="30" t="n">
        <f aca="false">Panel!Q598-Panel!Q597</f>
        <v>-0.000763724313278757</v>
      </c>
      <c r="G605" s="30" t="n">
        <f aca="false">Panel!Q597-Panel!Q596</f>
        <v>0.00147929821639714</v>
      </c>
    </row>
    <row r="606" customFormat="false" ht="15" hidden="false" customHeight="false" outlineLevel="0" collapsed="false">
      <c r="C606" s="0" t="n">
        <f aca="false">Panel!Q601-Panel!Q600</f>
        <v>-7.75920077433767E-005</v>
      </c>
      <c r="D606" s="29" t="n">
        <f aca="false">Panel!Q600</f>
        <v>-0.00147254702836186</v>
      </c>
      <c r="E606" s="30" t="n">
        <f aca="false">Panel!Q600-Panel!Q599</f>
        <v>-0.00110106478967786</v>
      </c>
      <c r="F606" s="30" t="n">
        <f aca="false">Panel!Q599-Panel!Q598</f>
        <v>-0.000874343119505738</v>
      </c>
      <c r="G606" s="30" t="n">
        <f aca="false">Panel!Q598-Panel!Q597</f>
        <v>-0.000763724313278757</v>
      </c>
    </row>
    <row r="607" customFormat="false" ht="15" hidden="false" customHeight="false" outlineLevel="0" collapsed="false">
      <c r="C607" s="0" t="n">
        <f aca="false">Panel!Q602-Panel!Q601</f>
        <v>-0.000297639060359955</v>
      </c>
      <c r="D607" s="29" t="n">
        <f aca="false">Panel!Q601</f>
        <v>-0.00155013903610524</v>
      </c>
      <c r="E607" s="30" t="n">
        <f aca="false">Panel!Q601-Panel!Q600</f>
        <v>-7.75920077433767E-005</v>
      </c>
      <c r="F607" s="30" t="n">
        <f aca="false">Panel!Q600-Panel!Q599</f>
        <v>-0.00110106478967786</v>
      </c>
      <c r="G607" s="30" t="n">
        <f aca="false">Panel!Q599-Panel!Q598</f>
        <v>-0.000874343119505738</v>
      </c>
    </row>
    <row r="608" customFormat="false" ht="15" hidden="false" customHeight="false" outlineLevel="0" collapsed="false">
      <c r="C608" s="0" t="n">
        <f aca="false">Panel!Q603-Panel!Q602</f>
        <v>-0.00209573867410917</v>
      </c>
      <c r="D608" s="29" t="n">
        <f aca="false">Panel!Q602</f>
        <v>-0.00184777809646519</v>
      </c>
      <c r="E608" s="30" t="n">
        <f aca="false">Panel!Q602-Panel!Q601</f>
        <v>-0.000297639060359955</v>
      </c>
      <c r="F608" s="30" t="n">
        <f aca="false">Panel!Q601-Panel!Q600</f>
        <v>-7.75920077433767E-005</v>
      </c>
      <c r="G608" s="30" t="n">
        <f aca="false">Panel!Q600-Panel!Q599</f>
        <v>-0.00110106478967786</v>
      </c>
    </row>
    <row r="609" customFormat="false" ht="15" hidden="false" customHeight="false" outlineLevel="0" collapsed="false">
      <c r="C609" s="0" t="n">
        <f aca="false">Panel!Q604-Panel!Q603</f>
        <v>-0.000247598187650411</v>
      </c>
      <c r="D609" s="29" t="n">
        <f aca="false">Panel!Q603</f>
        <v>-0.00394351677057436</v>
      </c>
      <c r="E609" s="30" t="n">
        <f aca="false">Panel!Q603-Panel!Q602</f>
        <v>-0.00209573867410917</v>
      </c>
      <c r="F609" s="30" t="n">
        <f aca="false">Panel!Q602-Panel!Q601</f>
        <v>-0.000297639060359955</v>
      </c>
      <c r="G609" s="30" t="n">
        <f aca="false">Panel!Q601-Panel!Q600</f>
        <v>-7.75920077433767E-005</v>
      </c>
    </row>
    <row r="610" customFormat="false" ht="15" hidden="false" customHeight="false" outlineLevel="0" collapsed="false">
      <c r="C610" s="0" t="n">
        <f aca="false">Panel!Q605-Panel!Q604</f>
        <v>0.000348757230844043</v>
      </c>
      <c r="D610" s="29" t="n">
        <f aca="false">Panel!Q604</f>
        <v>-0.00419111495822477</v>
      </c>
      <c r="E610" s="30" t="n">
        <f aca="false">Panel!Q604-Panel!Q603</f>
        <v>-0.000247598187650411</v>
      </c>
      <c r="F610" s="30" t="n">
        <f aca="false">Panel!Q603-Panel!Q602</f>
        <v>-0.00209573867410917</v>
      </c>
      <c r="G610" s="30" t="n">
        <f aca="false">Panel!Q602-Panel!Q601</f>
        <v>-0.000297639060359955</v>
      </c>
    </row>
    <row r="611" customFormat="false" ht="15" hidden="false" customHeight="false" outlineLevel="0" collapsed="false">
      <c r="C611" s="0" t="n">
        <f aca="false">Panel!Q606-Panel!Q605</f>
        <v>0.00581433846407187</v>
      </c>
      <c r="D611" s="29" t="n">
        <f aca="false">Panel!Q605</f>
        <v>-0.00384235772738073</v>
      </c>
      <c r="E611" s="30" t="n">
        <f aca="false">Panel!Q605-Panel!Q604</f>
        <v>0.000348757230844043</v>
      </c>
      <c r="F611" s="30" t="n">
        <f aca="false">Panel!Q604-Panel!Q603</f>
        <v>-0.000247598187650411</v>
      </c>
      <c r="G611" s="30" t="n">
        <f aca="false">Panel!Q603-Panel!Q602</f>
        <v>-0.00209573867410917</v>
      </c>
    </row>
    <row r="612" customFormat="false" ht="15" hidden="false" customHeight="false" outlineLevel="0" collapsed="false">
      <c r="C612" s="0" t="n">
        <f aca="false">Panel!Q607-Panel!Q606</f>
        <v>-0.00154193652785928</v>
      </c>
      <c r="D612" s="29" t="n">
        <f aca="false">Panel!Q606</f>
        <v>0.00197198073669114</v>
      </c>
      <c r="E612" s="30" t="n">
        <f aca="false">Panel!Q606-Panel!Q605</f>
        <v>0.00581433846407187</v>
      </c>
      <c r="F612" s="30" t="n">
        <f aca="false">Panel!Q605-Panel!Q604</f>
        <v>0.000348757230844043</v>
      </c>
      <c r="G612" s="30" t="n">
        <f aca="false">Panel!Q604-Panel!Q603</f>
        <v>-0.000247598187650411</v>
      </c>
    </row>
    <row r="613" customFormat="false" ht="15" hidden="false" customHeight="false" outlineLevel="0" collapsed="false">
      <c r="C613" s="0" t="n">
        <f aca="false">Panel!Q608-Panel!Q607</f>
        <v>0.0013843479642297</v>
      </c>
      <c r="D613" s="29" t="n">
        <f aca="false">Panel!Q607</f>
        <v>0.000430044208831859</v>
      </c>
      <c r="E613" s="30" t="n">
        <f aca="false">Panel!Q607-Panel!Q606</f>
        <v>-0.00154193652785928</v>
      </c>
      <c r="F613" s="30" t="n">
        <f aca="false">Panel!Q606-Panel!Q605</f>
        <v>0.00581433846407187</v>
      </c>
      <c r="G613" s="30" t="n">
        <f aca="false">Panel!Q605-Panel!Q604</f>
        <v>0.000348757230844043</v>
      </c>
    </row>
    <row r="614" customFormat="false" ht="15" hidden="false" customHeight="false" outlineLevel="0" collapsed="false">
      <c r="C614" s="0" t="n">
        <f aca="false">Panel!Q609-Panel!Q608</f>
        <v>-0.000710704126312578</v>
      </c>
      <c r="D614" s="29" t="n">
        <f aca="false">Panel!Q608</f>
        <v>0.00181439217306156</v>
      </c>
      <c r="E614" s="30" t="n">
        <f aca="false">Panel!Q608-Panel!Q607</f>
        <v>0.0013843479642297</v>
      </c>
      <c r="F614" s="30" t="n">
        <f aca="false">Panel!Q607-Panel!Q606</f>
        <v>-0.00154193652785928</v>
      </c>
      <c r="G614" s="30" t="n">
        <f aca="false">Panel!Q606-Panel!Q605</f>
        <v>0.00581433846407187</v>
      </c>
    </row>
    <row r="615" customFormat="false" ht="15" hidden="false" customHeight="false" outlineLevel="0" collapsed="false">
      <c r="C615" s="0" t="n">
        <f aca="false">Panel!Q610-Panel!Q609</f>
        <v>-0.000406713571209139</v>
      </c>
      <c r="D615" s="29" t="n">
        <f aca="false">Panel!Q609</f>
        <v>0.00110368804674899</v>
      </c>
      <c r="E615" s="30" t="n">
        <f aca="false">Panel!Q609-Panel!Q608</f>
        <v>-0.000710704126312578</v>
      </c>
      <c r="F615" s="30" t="n">
        <f aca="false">Panel!Q608-Panel!Q607</f>
        <v>0.0013843479642297</v>
      </c>
      <c r="G615" s="30" t="n">
        <f aca="false">Panel!Q607-Panel!Q606</f>
        <v>-0.00154193652785928</v>
      </c>
    </row>
    <row r="616" customFormat="false" ht="15" hidden="false" customHeight="false" outlineLevel="0" collapsed="false">
      <c r="C616" s="0" t="n">
        <f aca="false">Panel!Q611-Panel!Q610</f>
        <v>0.000869686268970327</v>
      </c>
      <c r="D616" s="29" t="n">
        <f aca="false">Panel!Q610</f>
        <v>0.000696974475539847</v>
      </c>
      <c r="E616" s="30" t="n">
        <f aca="false">Panel!Q610-Panel!Q609</f>
        <v>-0.000406713571209139</v>
      </c>
      <c r="F616" s="30" t="n">
        <f aca="false">Panel!Q609-Panel!Q608</f>
        <v>-0.000710704126312578</v>
      </c>
      <c r="G616" s="30" t="n">
        <f aca="false">Panel!Q608-Panel!Q607</f>
        <v>0.0013843479642297</v>
      </c>
    </row>
    <row r="617" customFormat="false" ht="15" hidden="false" customHeight="false" outlineLevel="0" collapsed="false">
      <c r="C617" s="0" t="n">
        <f aca="false">Panel!Q612-Panel!Q611</f>
        <v>0.000946460745112177</v>
      </c>
      <c r="D617" s="29" t="n">
        <f aca="false">Panel!Q611</f>
        <v>0.00156666074451017</v>
      </c>
      <c r="E617" s="30" t="n">
        <f aca="false">Panel!Q611-Panel!Q610</f>
        <v>0.000869686268970327</v>
      </c>
      <c r="F617" s="30" t="n">
        <f aca="false">Panel!Q610-Panel!Q609</f>
        <v>-0.000406713571209139</v>
      </c>
      <c r="G617" s="30" t="n">
        <f aca="false">Panel!Q609-Panel!Q608</f>
        <v>-0.000710704126312578</v>
      </c>
    </row>
    <row r="618" customFormat="false" ht="15" hidden="false" customHeight="false" outlineLevel="0" collapsed="false">
      <c r="C618" s="0" t="n">
        <f aca="false">Panel!Q613-Panel!Q612</f>
        <v>-0.00183770691277552</v>
      </c>
      <c r="D618" s="29" t="n">
        <f aca="false">Panel!Q612</f>
        <v>0.00251312148962235</v>
      </c>
      <c r="E618" s="30" t="n">
        <f aca="false">Panel!Q612-Panel!Q611</f>
        <v>0.000946460745112177</v>
      </c>
      <c r="F618" s="30" t="n">
        <f aca="false">Panel!Q611-Panel!Q610</f>
        <v>0.000869686268970327</v>
      </c>
      <c r="G618" s="30" t="n">
        <f aca="false">Panel!Q610-Panel!Q609</f>
        <v>-0.000406713571209139</v>
      </c>
    </row>
    <row r="619" customFormat="false" ht="15" hidden="false" customHeight="false" outlineLevel="0" collapsed="false">
      <c r="C619" s="0" t="n">
        <f aca="false">Panel!Q614-Panel!Q613</f>
        <v>-0.00093771575567736</v>
      </c>
      <c r="D619" s="29" t="n">
        <f aca="false">Panel!Q613</f>
        <v>0.000675414576846833</v>
      </c>
      <c r="E619" s="30" t="n">
        <f aca="false">Panel!Q613-Panel!Q612</f>
        <v>-0.00183770691277552</v>
      </c>
      <c r="F619" s="30" t="n">
        <f aca="false">Panel!Q612-Panel!Q611</f>
        <v>0.000946460745112177</v>
      </c>
      <c r="G619" s="30" t="n">
        <f aca="false">Panel!Q611-Panel!Q610</f>
        <v>0.000869686268970327</v>
      </c>
    </row>
    <row r="620" customFormat="false" ht="15" hidden="false" customHeight="false" outlineLevel="0" collapsed="false">
      <c r="C620" s="0" t="n">
        <f aca="false">Panel!Q615-Panel!Q614</f>
        <v>0.00144325023004299</v>
      </c>
      <c r="D620" s="29" t="n">
        <f aca="false">Panel!Q614</f>
        <v>-0.000262301178830526</v>
      </c>
      <c r="E620" s="30" t="n">
        <f aca="false">Panel!Q614-Panel!Q613</f>
        <v>-0.00093771575567736</v>
      </c>
      <c r="F620" s="30" t="n">
        <f aca="false">Panel!Q613-Panel!Q612</f>
        <v>-0.00183770691277552</v>
      </c>
      <c r="G620" s="30" t="n">
        <f aca="false">Panel!Q612-Panel!Q611</f>
        <v>0.000946460745112177</v>
      </c>
    </row>
    <row r="621" customFormat="false" ht="15" hidden="false" customHeight="false" outlineLevel="0" collapsed="false">
      <c r="C621" s="0" t="n">
        <f aca="false">Panel!Q616-Panel!Q615</f>
        <v>-0.000147307284642295</v>
      </c>
      <c r="D621" s="29" t="n">
        <f aca="false">Panel!Q615</f>
        <v>0.00118094905121247</v>
      </c>
      <c r="E621" s="30" t="n">
        <f aca="false">Panel!Q615-Panel!Q614</f>
        <v>0.00144325023004299</v>
      </c>
      <c r="F621" s="30" t="n">
        <f aca="false">Panel!Q614-Panel!Q613</f>
        <v>-0.00093771575567736</v>
      </c>
      <c r="G621" s="30" t="n">
        <f aca="false">Panel!Q613-Panel!Q612</f>
        <v>-0.00183770691277552</v>
      </c>
    </row>
    <row r="622" customFormat="false" ht="15" hidden="false" customHeight="false" outlineLevel="0" collapsed="false">
      <c r="C622" s="0" t="n">
        <f aca="false">Panel!Q617-Panel!Q616</f>
        <v>-0.00195579676873336</v>
      </c>
      <c r="D622" s="29" t="n">
        <f aca="false">Panel!Q616</f>
        <v>0.00103364176657017</v>
      </c>
      <c r="E622" s="30" t="n">
        <f aca="false">Panel!Q616-Panel!Q615</f>
        <v>-0.000147307284642295</v>
      </c>
      <c r="F622" s="30" t="n">
        <f aca="false">Panel!Q615-Panel!Q614</f>
        <v>0.00144325023004299</v>
      </c>
      <c r="G622" s="30" t="n">
        <f aca="false">Panel!Q614-Panel!Q613</f>
        <v>-0.00093771575567736</v>
      </c>
    </row>
    <row r="623" customFormat="false" ht="15" hidden="false" customHeight="false" outlineLevel="0" collapsed="false">
      <c r="C623" s="0" t="n">
        <f aca="false">Panel!Q618-Panel!Q617</f>
        <v>0.000945412592260553</v>
      </c>
      <c r="D623" s="29" t="n">
        <f aca="false">Panel!Q617</f>
        <v>-0.000922155002163194</v>
      </c>
      <c r="E623" s="30" t="n">
        <f aca="false">Panel!Q617-Panel!Q616</f>
        <v>-0.00195579676873336</v>
      </c>
      <c r="F623" s="30" t="n">
        <f aca="false">Panel!Q616-Panel!Q615</f>
        <v>-0.000147307284642295</v>
      </c>
      <c r="G623" s="30" t="n">
        <f aca="false">Panel!Q615-Panel!Q614</f>
        <v>0.00144325023004299</v>
      </c>
    </row>
    <row r="624" customFormat="false" ht="15" hidden="false" customHeight="false" outlineLevel="0" collapsed="false">
      <c r="C624" s="0" t="n">
        <f aca="false">Panel!Q619-Panel!Q618</f>
        <v>-0.00120516199125653</v>
      </c>
      <c r="D624" s="29" t="n">
        <f aca="false">Panel!Q618</f>
        <v>2.32575900973586E-005</v>
      </c>
      <c r="E624" s="30" t="n">
        <f aca="false">Panel!Q618-Panel!Q617</f>
        <v>0.000945412592260553</v>
      </c>
      <c r="F624" s="30" t="n">
        <f aca="false">Panel!Q617-Panel!Q616</f>
        <v>-0.00195579676873336</v>
      </c>
      <c r="G624" s="30" t="n">
        <f aca="false">Panel!Q616-Panel!Q615</f>
        <v>-0.000147307284642295</v>
      </c>
    </row>
    <row r="625" customFormat="false" ht="15" hidden="false" customHeight="false" outlineLevel="0" collapsed="false">
      <c r="C625" s="0" t="n">
        <f aca="false">Panel!Q620-Panel!Q619</f>
        <v>-5.75627252157318E-005</v>
      </c>
      <c r="D625" s="29" t="n">
        <f aca="false">Panel!Q619</f>
        <v>-0.00118190440115917</v>
      </c>
      <c r="E625" s="30" t="n">
        <f aca="false">Panel!Q619-Panel!Q618</f>
        <v>-0.00120516199125653</v>
      </c>
      <c r="F625" s="30" t="n">
        <f aca="false">Panel!Q618-Panel!Q617</f>
        <v>0.000945412592260553</v>
      </c>
      <c r="G625" s="30" t="n">
        <f aca="false">Panel!Q617-Panel!Q616</f>
        <v>-0.00195579676873336</v>
      </c>
    </row>
    <row r="626" customFormat="false" ht="15" hidden="false" customHeight="false" outlineLevel="0" collapsed="false">
      <c r="C626" s="0" t="n">
        <f aca="false">Panel!Q621-Panel!Q620</f>
        <v>-0.000439684085671743</v>
      </c>
      <c r="D626" s="29" t="n">
        <f aca="false">Panel!Q620</f>
        <v>-0.0012394671263749</v>
      </c>
      <c r="E626" s="30" t="n">
        <f aca="false">Panel!Q620-Panel!Q619</f>
        <v>-5.75627252157318E-005</v>
      </c>
      <c r="F626" s="30" t="n">
        <f aca="false">Panel!Q619-Panel!Q618</f>
        <v>-0.00120516199125653</v>
      </c>
      <c r="G626" s="30" t="n">
        <f aca="false">Panel!Q618-Panel!Q617</f>
        <v>0.000945412592260553</v>
      </c>
    </row>
    <row r="627" customFormat="false" ht="15" hidden="false" customHeight="false" outlineLevel="0" collapsed="false">
      <c r="C627" s="0" t="n">
        <f aca="false">Panel!Q622-Panel!Q621</f>
        <v>0.000776285260188914</v>
      </c>
      <c r="D627" s="29" t="n">
        <f aca="false">Panel!Q621</f>
        <v>-0.00167915121204665</v>
      </c>
      <c r="E627" s="30" t="n">
        <f aca="false">Panel!Q621-Panel!Q620</f>
        <v>-0.000439684085671743</v>
      </c>
      <c r="F627" s="30" t="n">
        <f aca="false">Panel!Q620-Panel!Q619</f>
        <v>-5.75627252157318E-005</v>
      </c>
      <c r="G627" s="30" t="n">
        <f aca="false">Panel!Q619-Panel!Q618</f>
        <v>-0.00120516199125653</v>
      </c>
    </row>
    <row r="628" customFormat="false" ht="15" hidden="false" customHeight="false" outlineLevel="0" collapsed="false">
      <c r="C628" s="0" t="n">
        <f aca="false">Panel!Q623-Panel!Q622</f>
        <v>-0.0026676820636915</v>
      </c>
      <c r="D628" s="29" t="n">
        <f aca="false">Panel!Q622</f>
        <v>-0.000902865951857734</v>
      </c>
      <c r="E628" s="30" t="n">
        <f aca="false">Panel!Q622-Panel!Q621</f>
        <v>0.000776285260188914</v>
      </c>
      <c r="F628" s="30" t="n">
        <f aca="false">Panel!Q621-Panel!Q620</f>
        <v>-0.000439684085671743</v>
      </c>
      <c r="G628" s="30" t="n">
        <f aca="false">Panel!Q620-Panel!Q619</f>
        <v>-5.75627252157318E-005</v>
      </c>
    </row>
    <row r="629" customFormat="false" ht="15" hidden="false" customHeight="false" outlineLevel="0" collapsed="false">
      <c r="C629" s="0" t="n">
        <f aca="false">Panel!Q624-Panel!Q623</f>
        <v>0.00793315787404403</v>
      </c>
      <c r="D629" s="29" t="n">
        <f aca="false">Panel!Q623</f>
        <v>-0.00357054801554924</v>
      </c>
      <c r="E629" s="30" t="n">
        <f aca="false">Panel!Q623-Panel!Q622</f>
        <v>-0.0026676820636915</v>
      </c>
      <c r="F629" s="30" t="n">
        <f aca="false">Panel!Q622-Panel!Q621</f>
        <v>0.000776285260188914</v>
      </c>
      <c r="G629" s="30" t="n">
        <f aca="false">Panel!Q621-Panel!Q620</f>
        <v>-0.000439684085671743</v>
      </c>
    </row>
    <row r="630" customFormat="false" ht="15" hidden="false" customHeight="false" outlineLevel="0" collapsed="false">
      <c r="C630" s="0" t="n">
        <f aca="false">Panel!Q625-Panel!Q624</f>
        <v>-0.00252603475950863</v>
      </c>
      <c r="D630" s="29" t="n">
        <f aca="false">Panel!Q624</f>
        <v>0.00436260985849479</v>
      </c>
      <c r="E630" s="30" t="n">
        <f aca="false">Panel!Q624-Panel!Q623</f>
        <v>0.00793315787404403</v>
      </c>
      <c r="F630" s="30" t="n">
        <f aca="false">Panel!Q623-Panel!Q622</f>
        <v>-0.0026676820636915</v>
      </c>
      <c r="G630" s="30" t="n">
        <f aca="false">Panel!Q622-Panel!Q621</f>
        <v>0.000776285260188914</v>
      </c>
    </row>
    <row r="631" customFormat="false" ht="15" hidden="false" customHeight="false" outlineLevel="0" collapsed="false">
      <c r="C631" s="0" t="n">
        <f aca="false">Panel!Q626-Panel!Q625</f>
        <v>0.000320623947178689</v>
      </c>
      <c r="D631" s="29" t="n">
        <f aca="false">Panel!Q625</f>
        <v>0.00183657509898616</v>
      </c>
      <c r="E631" s="30" t="n">
        <f aca="false">Panel!Q625-Panel!Q624</f>
        <v>-0.00252603475950863</v>
      </c>
      <c r="F631" s="30" t="n">
        <f aca="false">Panel!Q624-Panel!Q623</f>
        <v>0.00793315787404403</v>
      </c>
      <c r="G631" s="30" t="n">
        <f aca="false">Panel!Q623-Panel!Q622</f>
        <v>-0.0026676820636915</v>
      </c>
    </row>
    <row r="632" customFormat="false" ht="15" hidden="false" customHeight="false" outlineLevel="0" collapsed="false">
      <c r="C632" s="0" t="n">
        <f aca="false">Panel!Q627-Panel!Q626</f>
        <v>-0.000401601775537941</v>
      </c>
      <c r="D632" s="29" t="n">
        <f aca="false">Panel!Q626</f>
        <v>0.00215719904616485</v>
      </c>
      <c r="E632" s="30" t="n">
        <f aca="false">Panel!Q626-Panel!Q625</f>
        <v>0.000320623947178689</v>
      </c>
      <c r="F632" s="30" t="n">
        <f aca="false">Panel!Q625-Panel!Q624</f>
        <v>-0.00252603475950863</v>
      </c>
      <c r="G632" s="30" t="n">
        <f aca="false">Panel!Q624-Panel!Q623</f>
        <v>0.00793315787404403</v>
      </c>
    </row>
    <row r="633" customFormat="false" ht="15" hidden="false" customHeight="false" outlineLevel="0" collapsed="false">
      <c r="C633" s="0" t="n">
        <f aca="false">Panel!Q628-Panel!Q627</f>
        <v>-0.00219012106580863</v>
      </c>
      <c r="D633" s="29" t="n">
        <f aca="false">Panel!Q627</f>
        <v>0.00175559727062691</v>
      </c>
      <c r="E633" s="30" t="n">
        <f aca="false">Panel!Q627-Panel!Q626</f>
        <v>-0.000401601775537941</v>
      </c>
      <c r="F633" s="30" t="n">
        <f aca="false">Panel!Q626-Panel!Q625</f>
        <v>0.000320623947178689</v>
      </c>
      <c r="G633" s="30" t="n">
        <f aca="false">Panel!Q625-Panel!Q624</f>
        <v>-0.00252603475950863</v>
      </c>
    </row>
    <row r="634" customFormat="false" ht="15" hidden="false" customHeight="false" outlineLevel="0" collapsed="false">
      <c r="C634" s="0" t="n">
        <f aca="false">Panel!Q629-Panel!Q628</f>
        <v>0.00173707387375899</v>
      </c>
      <c r="D634" s="29" t="n">
        <f aca="false">Panel!Q628</f>
        <v>-0.000434523795181718</v>
      </c>
      <c r="E634" s="30" t="n">
        <f aca="false">Panel!Q628-Panel!Q627</f>
        <v>-0.00219012106580863</v>
      </c>
      <c r="F634" s="30" t="n">
        <f aca="false">Panel!Q627-Panel!Q626</f>
        <v>-0.000401601775537941</v>
      </c>
      <c r="G634" s="30" t="n">
        <f aca="false">Panel!Q626-Panel!Q625</f>
        <v>0.000320623947178689</v>
      </c>
    </row>
    <row r="635" customFormat="false" ht="15" hidden="false" customHeight="false" outlineLevel="0" collapsed="false">
      <c r="C635" s="0" t="n">
        <f aca="false">Panel!Q630-Panel!Q629</f>
        <v>-0.00200522397103775</v>
      </c>
      <c r="D635" s="29" t="n">
        <f aca="false">Panel!Q629</f>
        <v>0.00130255007857727</v>
      </c>
      <c r="E635" s="30" t="n">
        <f aca="false">Panel!Q629-Panel!Q628</f>
        <v>0.00173707387375899</v>
      </c>
      <c r="F635" s="30" t="n">
        <f aca="false">Panel!Q628-Panel!Q627</f>
        <v>-0.00219012106580863</v>
      </c>
      <c r="G635" s="30" t="n">
        <f aca="false">Panel!Q627-Panel!Q626</f>
        <v>-0.000401601775537941</v>
      </c>
    </row>
    <row r="636" customFormat="false" ht="15" hidden="false" customHeight="false" outlineLevel="0" collapsed="false">
      <c r="C636" s="0" t="n">
        <f aca="false">Panel!Q631-Panel!Q630</f>
        <v>-0.000154287942836007</v>
      </c>
      <c r="D636" s="29" t="n">
        <f aca="false">Panel!Q630</f>
        <v>-0.000702673892460481</v>
      </c>
      <c r="E636" s="30" t="n">
        <f aca="false">Panel!Q630-Panel!Q629</f>
        <v>-0.00200522397103775</v>
      </c>
      <c r="F636" s="30" t="n">
        <f aca="false">Panel!Q629-Panel!Q628</f>
        <v>0.00173707387375899</v>
      </c>
      <c r="G636" s="30" t="n">
        <f aca="false">Panel!Q628-Panel!Q627</f>
        <v>-0.00219012106580863</v>
      </c>
    </row>
    <row r="637" customFormat="false" ht="15" hidden="false" customHeight="false" outlineLevel="0" collapsed="false">
      <c r="C637" s="0" t="n">
        <f aca="false">Panel!Q632-Panel!Q631</f>
        <v>0.000890517820529624</v>
      </c>
      <c r="D637" s="29" t="n">
        <f aca="false">Panel!Q631</f>
        <v>-0.000856961835296488</v>
      </c>
      <c r="E637" s="30" t="n">
        <f aca="false">Panel!Q631-Panel!Q630</f>
        <v>-0.000154287942836007</v>
      </c>
      <c r="F637" s="30" t="n">
        <f aca="false">Panel!Q630-Panel!Q629</f>
        <v>-0.00200522397103775</v>
      </c>
      <c r="G637" s="30" t="n">
        <f aca="false">Panel!Q629-Panel!Q628</f>
        <v>0.00173707387375899</v>
      </c>
    </row>
    <row r="638" customFormat="false" ht="15" hidden="false" customHeight="false" outlineLevel="0" collapsed="false">
      <c r="C638" s="0" t="n">
        <f aca="false">Panel!Q633-Panel!Q632</f>
        <v>-7.91436966185444E-005</v>
      </c>
      <c r="D638" s="29" t="n">
        <f aca="false">Panel!Q632</f>
        <v>3.35559852331357E-005</v>
      </c>
      <c r="E638" s="30" t="n">
        <f aca="false">Panel!Q632-Panel!Q631</f>
        <v>0.000890517820529624</v>
      </c>
      <c r="F638" s="30" t="n">
        <f aca="false">Panel!Q631-Panel!Q630</f>
        <v>-0.000154287942836007</v>
      </c>
      <c r="G638" s="30" t="n">
        <f aca="false">Panel!Q630-Panel!Q629</f>
        <v>-0.00200522397103775</v>
      </c>
    </row>
    <row r="639" customFormat="false" ht="15" hidden="false" customHeight="false" outlineLevel="0" collapsed="false">
      <c r="C639" s="0" t="n">
        <f aca="false">Panel!Q634-Panel!Q633</f>
        <v>-0.00158203105398336</v>
      </c>
      <c r="D639" s="29" t="n">
        <f aca="false">Panel!Q633</f>
        <v>-4.55877113854086E-005</v>
      </c>
      <c r="E639" s="30" t="n">
        <f aca="false">Panel!Q633-Panel!Q632</f>
        <v>-7.91436966185444E-005</v>
      </c>
      <c r="F639" s="30" t="n">
        <f aca="false">Panel!Q632-Panel!Q631</f>
        <v>0.000890517820529624</v>
      </c>
      <c r="G639" s="30" t="n">
        <f aca="false">Panel!Q631-Panel!Q630</f>
        <v>-0.000154287942836007</v>
      </c>
    </row>
    <row r="640" customFormat="false" ht="15" hidden="false" customHeight="false" outlineLevel="0" collapsed="false">
      <c r="C640" s="0" t="n">
        <f aca="false">Panel!Q635-Panel!Q634</f>
        <v>0.00054753604173996</v>
      </c>
      <c r="D640" s="29" t="n">
        <f aca="false">Panel!Q634</f>
        <v>-0.00162761876536877</v>
      </c>
      <c r="E640" s="30" t="n">
        <f aca="false">Panel!Q634-Panel!Q633</f>
        <v>-0.00158203105398336</v>
      </c>
      <c r="F640" s="30" t="n">
        <f aca="false">Panel!Q633-Panel!Q632</f>
        <v>-7.91436966185444E-005</v>
      </c>
      <c r="G640" s="30" t="n">
        <f aca="false">Panel!Q632-Panel!Q631</f>
        <v>0.000890517820529624</v>
      </c>
    </row>
    <row r="641" customFormat="false" ht="15" hidden="false" customHeight="false" outlineLevel="0" collapsed="false">
      <c r="C641" s="0" t="n">
        <f aca="false">Panel!Q636-Panel!Q635</f>
        <v>0.000442702411040941</v>
      </c>
      <c r="D641" s="29" t="n">
        <f aca="false">Panel!Q635</f>
        <v>-0.00108008272362881</v>
      </c>
      <c r="E641" s="30" t="n">
        <f aca="false">Panel!Q635-Panel!Q634</f>
        <v>0.00054753604173996</v>
      </c>
      <c r="F641" s="30" t="n">
        <f aca="false">Panel!Q634-Panel!Q633</f>
        <v>-0.00158203105398336</v>
      </c>
      <c r="G641" s="30" t="n">
        <f aca="false">Panel!Q633-Panel!Q632</f>
        <v>-7.91436966185444E-005</v>
      </c>
    </row>
    <row r="642" customFormat="false" ht="15" hidden="false" customHeight="false" outlineLevel="0" collapsed="false">
      <c r="C642" s="0" t="n">
        <f aca="false">Panel!Q637-Panel!Q636</f>
        <v>-0.00131036061034706</v>
      </c>
      <c r="D642" s="29" t="n">
        <f aca="false">Panel!Q636</f>
        <v>-0.000637380312587865</v>
      </c>
      <c r="E642" s="30" t="n">
        <f aca="false">Panel!Q636-Panel!Q635</f>
        <v>0.000442702411040941</v>
      </c>
      <c r="F642" s="30" t="n">
        <f aca="false">Panel!Q635-Panel!Q634</f>
        <v>0.00054753604173996</v>
      </c>
      <c r="G642" s="30" t="n">
        <f aca="false">Panel!Q634-Panel!Q633</f>
        <v>-0.00158203105398336</v>
      </c>
    </row>
    <row r="643" customFormat="false" ht="15" hidden="false" customHeight="false" outlineLevel="0" collapsed="false">
      <c r="C643" s="0" t="n">
        <f aca="false">Panel!Q638-Panel!Q637</f>
        <v>0.000390857598247862</v>
      </c>
      <c r="D643" s="29" t="n">
        <f aca="false">Panel!Q637</f>
        <v>-0.00194774092293493</v>
      </c>
      <c r="E643" s="30" t="n">
        <f aca="false">Panel!Q637-Panel!Q636</f>
        <v>-0.00131036061034706</v>
      </c>
      <c r="F643" s="30" t="n">
        <f aca="false">Panel!Q636-Panel!Q635</f>
        <v>0.000442702411040941</v>
      </c>
      <c r="G643" s="30" t="n">
        <f aca="false">Panel!Q635-Panel!Q634</f>
        <v>0.00054753604173996</v>
      </c>
    </row>
    <row r="644" customFormat="false" ht="15" hidden="false" customHeight="false" outlineLevel="0" collapsed="false">
      <c r="C644" s="0" t="n">
        <f aca="false">Panel!Q639-Panel!Q638</f>
        <v>0.000896783984025262</v>
      </c>
      <c r="D644" s="29" t="n">
        <f aca="false">Panel!Q638</f>
        <v>-0.00155688332468706</v>
      </c>
      <c r="E644" s="30" t="n">
        <f aca="false">Panel!Q638-Panel!Q637</f>
        <v>0.000390857598247862</v>
      </c>
      <c r="F644" s="30" t="n">
        <f aca="false">Panel!Q637-Panel!Q636</f>
        <v>-0.00131036061034706</v>
      </c>
      <c r="G644" s="30" t="n">
        <f aca="false">Panel!Q636-Panel!Q635</f>
        <v>0.000442702411040941</v>
      </c>
    </row>
    <row r="645" customFormat="false" ht="15" hidden="false" customHeight="false" outlineLevel="0" collapsed="false">
      <c r="C645" s="0" t="n">
        <f aca="false">Panel!Q640-Panel!Q639</f>
        <v>-0.000944396252256397</v>
      </c>
      <c r="D645" s="29" t="n">
        <f aca="false">Panel!Q639</f>
        <v>-0.000660099340661802</v>
      </c>
      <c r="E645" s="30" t="n">
        <f aca="false">Panel!Q639-Panel!Q638</f>
        <v>0.000896783984025262</v>
      </c>
      <c r="F645" s="30" t="n">
        <f aca="false">Panel!Q638-Panel!Q637</f>
        <v>0.000390857598247862</v>
      </c>
      <c r="G645" s="30" t="n">
        <f aca="false">Panel!Q637-Panel!Q636</f>
        <v>-0.00131036061034706</v>
      </c>
    </row>
    <row r="646" customFormat="false" ht="15" hidden="false" customHeight="false" outlineLevel="0" collapsed="false">
      <c r="C646" s="0" t="n">
        <f aca="false">Panel!Q641-Panel!Q640</f>
        <v>0.000216329649228797</v>
      </c>
      <c r="D646" s="29" t="n">
        <f aca="false">Panel!Q640</f>
        <v>-0.0016044955929182</v>
      </c>
      <c r="E646" s="30" t="n">
        <f aca="false">Panel!Q640-Panel!Q639</f>
        <v>-0.000944396252256397</v>
      </c>
      <c r="F646" s="30" t="n">
        <f aca="false">Panel!Q639-Panel!Q638</f>
        <v>0.000896783984025262</v>
      </c>
      <c r="G646" s="30" t="n">
        <f aca="false">Panel!Q638-Panel!Q637</f>
        <v>0.000390857598247862</v>
      </c>
    </row>
    <row r="647" customFormat="false" ht="15" hidden="false" customHeight="false" outlineLevel="0" collapsed="false">
      <c r="C647" s="0" t="n">
        <f aca="false">Panel!Q642-Panel!Q641</f>
        <v>-0.00209067138159647</v>
      </c>
      <c r="D647" s="29" t="n">
        <f aca="false">Panel!Q641</f>
        <v>-0.0013881659436894</v>
      </c>
      <c r="E647" s="30" t="n">
        <f aca="false">Panel!Q641-Panel!Q640</f>
        <v>0.000216329649228797</v>
      </c>
      <c r="F647" s="30" t="n">
        <f aca="false">Panel!Q640-Panel!Q639</f>
        <v>-0.000944396252256397</v>
      </c>
      <c r="G647" s="30" t="n">
        <f aca="false">Panel!Q639-Panel!Q638</f>
        <v>0.000896783984025262</v>
      </c>
    </row>
    <row r="648" customFormat="false" ht="15" hidden="false" customHeight="false" outlineLevel="0" collapsed="false">
      <c r="C648" s="0" t="n">
        <f aca="false">Panel!Q643-Panel!Q642</f>
        <v>0.0079959114703847</v>
      </c>
      <c r="D648" s="29" t="n">
        <f aca="false">Panel!Q642</f>
        <v>-0.00347883732528587</v>
      </c>
      <c r="E648" s="30" t="n">
        <f aca="false">Panel!Q642-Panel!Q641</f>
        <v>-0.00209067138159647</v>
      </c>
      <c r="F648" s="30" t="n">
        <f aca="false">Panel!Q641-Panel!Q640</f>
        <v>0.000216329649228797</v>
      </c>
      <c r="G648" s="30" t="n">
        <f aca="false">Panel!Q640-Panel!Q639</f>
        <v>-0.000944396252256397</v>
      </c>
    </row>
    <row r="649" customFormat="false" ht="15" hidden="false" customHeight="false" outlineLevel="0" collapsed="false">
      <c r="C649" s="0" t="n">
        <f aca="false">Panel!Q644-Panel!Q643</f>
        <v>-0.00121204214043225</v>
      </c>
      <c r="D649" s="29" t="n">
        <f aca="false">Panel!Q643</f>
        <v>0.00451707414509883</v>
      </c>
      <c r="E649" s="30" t="n">
        <f aca="false">Panel!Q643-Panel!Q642</f>
        <v>0.0079959114703847</v>
      </c>
      <c r="F649" s="30" t="n">
        <f aca="false">Panel!Q642-Panel!Q641</f>
        <v>-0.00209067138159647</v>
      </c>
      <c r="G649" s="30" t="n">
        <f aca="false">Panel!Q641-Panel!Q640</f>
        <v>0.000216329649228797</v>
      </c>
    </row>
    <row r="650" customFormat="false" ht="15" hidden="false" customHeight="false" outlineLevel="0" collapsed="false">
      <c r="C650" s="0" t="n">
        <f aca="false">Panel!Q645-Panel!Q644</f>
        <v>0.000553511399054685</v>
      </c>
      <c r="D650" s="29" t="n">
        <f aca="false">Panel!Q644</f>
        <v>0.00330503200466659</v>
      </c>
      <c r="E650" s="30" t="n">
        <f aca="false">Panel!Q644-Panel!Q643</f>
        <v>-0.00121204214043225</v>
      </c>
      <c r="F650" s="30" t="n">
        <f aca="false">Panel!Q643-Panel!Q642</f>
        <v>0.0079959114703847</v>
      </c>
      <c r="G650" s="30" t="n">
        <f aca="false">Panel!Q642-Panel!Q641</f>
        <v>-0.00209067138159647</v>
      </c>
    </row>
    <row r="651" customFormat="false" ht="15" hidden="false" customHeight="false" outlineLevel="0" collapsed="false">
      <c r="C651" s="0" t="n">
        <f aca="false">Panel!Q646-Panel!Q645</f>
        <v>-0.00169684190157327</v>
      </c>
      <c r="D651" s="29" t="n">
        <f aca="false">Panel!Q645</f>
        <v>0.00385854340372127</v>
      </c>
      <c r="E651" s="30" t="n">
        <f aca="false">Panel!Q645-Panel!Q644</f>
        <v>0.000553511399054685</v>
      </c>
      <c r="F651" s="30" t="n">
        <f aca="false">Panel!Q644-Panel!Q643</f>
        <v>-0.00121204214043225</v>
      </c>
      <c r="G651" s="30" t="n">
        <f aca="false">Panel!Q643-Panel!Q642</f>
        <v>0.0079959114703847</v>
      </c>
    </row>
    <row r="652" customFormat="false" ht="15" hidden="false" customHeight="false" outlineLevel="0" collapsed="false">
      <c r="C652" s="0" t="n">
        <f aca="false">Panel!Q647-Panel!Q646</f>
        <v>0.000458935220484236</v>
      </c>
      <c r="D652" s="29" t="n">
        <f aca="false">Panel!Q646</f>
        <v>0.00216170150214801</v>
      </c>
      <c r="E652" s="30" t="n">
        <f aca="false">Panel!Q646-Panel!Q645</f>
        <v>-0.00169684190157327</v>
      </c>
      <c r="F652" s="30" t="n">
        <f aca="false">Panel!Q645-Panel!Q644</f>
        <v>0.000553511399054685</v>
      </c>
      <c r="G652" s="30" t="n">
        <f aca="false">Panel!Q644-Panel!Q643</f>
        <v>-0.00121204214043225</v>
      </c>
    </row>
    <row r="653" customFormat="false" ht="15" hidden="false" customHeight="false" outlineLevel="0" collapsed="false">
      <c r="C653" s="0" t="n">
        <f aca="false">Panel!Q648-Panel!Q647</f>
        <v>-0.00016595545094944</v>
      </c>
      <c r="D653" s="29" t="n">
        <f aca="false">Panel!Q647</f>
        <v>0.00262063672263224</v>
      </c>
      <c r="E653" s="30" t="n">
        <f aca="false">Panel!Q647-Panel!Q646</f>
        <v>0.000458935220484236</v>
      </c>
      <c r="F653" s="30" t="n">
        <f aca="false">Panel!Q646-Panel!Q645</f>
        <v>-0.00169684190157327</v>
      </c>
      <c r="G653" s="30" t="n">
        <f aca="false">Panel!Q645-Panel!Q644</f>
        <v>0.000553511399054685</v>
      </c>
    </row>
    <row r="654" customFormat="false" ht="15" hidden="false" customHeight="false" outlineLevel="0" collapsed="false">
      <c r="C654" s="0" t="n">
        <f aca="false">Panel!Q649-Panel!Q648</f>
        <v>0.000547291427258401</v>
      </c>
      <c r="D654" s="29" t="n">
        <f aca="false">Panel!Q648</f>
        <v>0.0024546812716828</v>
      </c>
      <c r="E654" s="30" t="n">
        <f aca="false">Panel!Q648-Panel!Q647</f>
        <v>-0.00016595545094944</v>
      </c>
      <c r="F654" s="30" t="n">
        <f aca="false">Panel!Q647-Panel!Q646</f>
        <v>0.000458935220484236</v>
      </c>
      <c r="G654" s="30" t="n">
        <f aca="false">Panel!Q646-Panel!Q645</f>
        <v>-0.00169684190157327</v>
      </c>
    </row>
    <row r="655" customFormat="false" ht="15" hidden="false" customHeight="false" outlineLevel="0" collapsed="false">
      <c r="C655" s="0" t="n">
        <f aca="false">Panel!Q650-Panel!Q649</f>
        <v>0.000353700125225842</v>
      </c>
      <c r="D655" s="29" t="n">
        <f aca="false">Panel!Q649</f>
        <v>0.0030019726989412</v>
      </c>
      <c r="E655" s="30" t="n">
        <f aca="false">Panel!Q649-Panel!Q648</f>
        <v>0.000547291427258401</v>
      </c>
      <c r="F655" s="30" t="n">
        <f aca="false">Panel!Q648-Panel!Q647</f>
        <v>-0.00016595545094944</v>
      </c>
      <c r="G655" s="30" t="n">
        <f aca="false">Panel!Q647-Panel!Q646</f>
        <v>0.000458935220484236</v>
      </c>
    </row>
    <row r="656" customFormat="false" ht="15" hidden="false" customHeight="false" outlineLevel="0" collapsed="false">
      <c r="C656" s="0" t="n">
        <f aca="false">Panel!Q651-Panel!Q650</f>
        <v>-0.00156844677326795</v>
      </c>
      <c r="D656" s="29" t="n">
        <f aca="false">Panel!Q650</f>
        <v>0.00335567282416704</v>
      </c>
      <c r="E656" s="30" t="n">
        <f aca="false">Panel!Q650-Panel!Q649</f>
        <v>0.000353700125225842</v>
      </c>
      <c r="F656" s="30" t="n">
        <f aca="false">Panel!Q649-Panel!Q648</f>
        <v>0.000547291427258401</v>
      </c>
      <c r="G656" s="30" t="n">
        <f aca="false">Panel!Q648-Panel!Q647</f>
        <v>-0.00016595545094944</v>
      </c>
    </row>
    <row r="657" customFormat="false" ht="15" hidden="false" customHeight="false" outlineLevel="0" collapsed="false">
      <c r="C657" s="0" t="n">
        <f aca="false">Panel!Q652-Panel!Q651</f>
        <v>-0.000556653522714612</v>
      </c>
      <c r="D657" s="29" t="n">
        <f aca="false">Panel!Q651</f>
        <v>0.00178722605089909</v>
      </c>
      <c r="E657" s="30" t="n">
        <f aca="false">Panel!Q651-Panel!Q650</f>
        <v>-0.00156844677326795</v>
      </c>
      <c r="F657" s="30" t="n">
        <f aca="false">Panel!Q650-Panel!Q649</f>
        <v>0.000353700125225842</v>
      </c>
      <c r="G657" s="30" t="n">
        <f aca="false">Panel!Q649-Panel!Q648</f>
        <v>0.000547291427258401</v>
      </c>
    </row>
    <row r="658" customFormat="false" ht="15" hidden="false" customHeight="false" outlineLevel="0" collapsed="false">
      <c r="C658" s="0" t="n">
        <f aca="false">Panel!Q653-Panel!Q652</f>
        <v>-0.00124186235138346</v>
      </c>
      <c r="D658" s="29" t="n">
        <f aca="false">Panel!Q652</f>
        <v>0.00123057252818448</v>
      </c>
      <c r="E658" s="30" t="n">
        <f aca="false">Panel!Q652-Panel!Q651</f>
        <v>-0.000556653522714612</v>
      </c>
      <c r="F658" s="30" t="n">
        <f aca="false">Panel!Q651-Panel!Q650</f>
        <v>-0.00156844677326795</v>
      </c>
      <c r="G658" s="30" t="n">
        <f aca="false">Panel!Q650-Panel!Q649</f>
        <v>0.000353700125225842</v>
      </c>
    </row>
    <row r="659" customFormat="false" ht="15" hidden="false" customHeight="false" outlineLevel="0" collapsed="false">
      <c r="C659" s="0" t="n">
        <f aca="false">Panel!Q654-Panel!Q653</f>
        <v>0.00108331870074352</v>
      </c>
      <c r="D659" s="29" t="n">
        <f aca="false">Panel!Q653</f>
        <v>-1.12898231989789E-005</v>
      </c>
      <c r="E659" s="30" t="n">
        <f aca="false">Panel!Q653-Panel!Q652</f>
        <v>-0.00124186235138346</v>
      </c>
      <c r="F659" s="30" t="n">
        <f aca="false">Panel!Q652-Panel!Q651</f>
        <v>-0.000556653522714612</v>
      </c>
      <c r="G659" s="30" t="n">
        <f aca="false">Panel!Q651-Panel!Q650</f>
        <v>-0.00156844677326795</v>
      </c>
    </row>
    <row r="660" customFormat="false" ht="15" hidden="false" customHeight="false" outlineLevel="0" collapsed="false">
      <c r="C660" s="0" t="n">
        <f aca="false">Panel!Q655-Panel!Q654</f>
        <v>-0.000774923162644825</v>
      </c>
      <c r="D660" s="29" t="n">
        <f aca="false">Panel!Q654</f>
        <v>0.00107202887754454</v>
      </c>
      <c r="E660" s="30" t="n">
        <f aca="false">Panel!Q654-Panel!Q653</f>
        <v>0.00108331870074352</v>
      </c>
      <c r="F660" s="30" t="n">
        <f aca="false">Panel!Q653-Panel!Q652</f>
        <v>-0.00124186235138346</v>
      </c>
      <c r="G660" s="30" t="n">
        <f aca="false">Panel!Q652-Panel!Q651</f>
        <v>-0.000556653522714612</v>
      </c>
    </row>
    <row r="661" customFormat="false" ht="15" hidden="false" customHeight="false" outlineLevel="0" collapsed="false">
      <c r="C661" s="0" t="n">
        <f aca="false">Panel!Q656-Panel!Q655</f>
        <v>-0.000549587043568778</v>
      </c>
      <c r="D661" s="29" t="n">
        <f aca="false">Panel!Q655</f>
        <v>0.000297105714899715</v>
      </c>
      <c r="E661" s="30" t="n">
        <f aca="false">Panel!Q655-Panel!Q654</f>
        <v>-0.000774923162644825</v>
      </c>
      <c r="F661" s="30" t="n">
        <f aca="false">Panel!Q654-Panel!Q653</f>
        <v>0.00108331870074352</v>
      </c>
      <c r="G661" s="30" t="n">
        <f aca="false">Panel!Q653-Panel!Q652</f>
        <v>-0.00124186235138346</v>
      </c>
    </row>
    <row r="662" customFormat="false" ht="15" hidden="false" customHeight="false" outlineLevel="0" collapsed="false">
      <c r="C662" s="0" t="n">
        <f aca="false">Panel!Q657-Panel!Q656</f>
        <v>-0.000150908894443802</v>
      </c>
      <c r="D662" s="29" t="n">
        <f aca="false">Panel!Q656</f>
        <v>-0.000252481328669063</v>
      </c>
      <c r="E662" s="30" t="n">
        <f aca="false">Panel!Q656-Panel!Q655</f>
        <v>-0.000549587043568778</v>
      </c>
      <c r="F662" s="30" t="n">
        <f aca="false">Panel!Q655-Panel!Q654</f>
        <v>-0.000774923162644825</v>
      </c>
      <c r="G662" s="30" t="n">
        <f aca="false">Panel!Q654-Panel!Q653</f>
        <v>0.00108331870074352</v>
      </c>
    </row>
    <row r="663" customFormat="false" ht="15" hidden="false" customHeight="false" outlineLevel="0" collapsed="false">
      <c r="C663" s="0" t="n">
        <f aca="false">Panel!Q658-Panel!Q657</f>
        <v>0.00182849382043671</v>
      </c>
      <c r="D663" s="29" t="n">
        <f aca="false">Panel!Q657</f>
        <v>-0.000403390223112865</v>
      </c>
      <c r="E663" s="30" t="n">
        <f aca="false">Panel!Q657-Panel!Q656</f>
        <v>-0.000150908894443802</v>
      </c>
      <c r="F663" s="30" t="n">
        <f aca="false">Panel!Q656-Panel!Q655</f>
        <v>-0.000549587043568778</v>
      </c>
      <c r="G663" s="30" t="n">
        <f aca="false">Panel!Q655-Panel!Q654</f>
        <v>-0.000774923162644825</v>
      </c>
    </row>
    <row r="664" customFormat="false" ht="15" hidden="false" customHeight="false" outlineLevel="0" collapsed="false">
      <c r="C664" s="0" t="n">
        <f aca="false">Panel!Q659-Panel!Q658</f>
        <v>-0.00135314435910772</v>
      </c>
      <c r="D664" s="29" t="n">
        <f aca="false">Panel!Q658</f>
        <v>0.00142510359732384</v>
      </c>
      <c r="E664" s="30" t="n">
        <f aca="false">Panel!Q658-Panel!Q657</f>
        <v>0.00182849382043671</v>
      </c>
      <c r="F664" s="30" t="n">
        <f aca="false">Panel!Q657-Panel!Q656</f>
        <v>-0.000150908894443802</v>
      </c>
      <c r="G664" s="30" t="n">
        <f aca="false">Panel!Q656-Panel!Q655</f>
        <v>-0.000549587043568778</v>
      </c>
    </row>
    <row r="665" customFormat="false" ht="15" hidden="false" customHeight="false" outlineLevel="0" collapsed="false">
      <c r="C665" s="0" t="n">
        <f aca="false">Panel!Q660-Panel!Q659</f>
        <v>0.000886110527829942</v>
      </c>
      <c r="D665" s="29" t="n">
        <f aca="false">Panel!Q659</f>
        <v>7.19592382161238E-005</v>
      </c>
      <c r="E665" s="30" t="n">
        <f aca="false">Panel!Q659-Panel!Q658</f>
        <v>-0.00135314435910772</v>
      </c>
      <c r="F665" s="30" t="n">
        <f aca="false">Panel!Q658-Panel!Q657</f>
        <v>0.00182849382043671</v>
      </c>
      <c r="G665" s="30" t="n">
        <f aca="false">Panel!Q657-Panel!Q656</f>
        <v>-0.000150908894443802</v>
      </c>
    </row>
    <row r="666" customFormat="false" ht="15" hidden="false" customHeight="false" outlineLevel="0" collapsed="false">
      <c r="C666" s="0" t="n">
        <f aca="false">Panel!Q661-Panel!Q660</f>
        <v>-0.00113086732369716</v>
      </c>
      <c r="D666" s="29" t="n">
        <f aca="false">Panel!Q660</f>
        <v>0.000958069766046066</v>
      </c>
      <c r="E666" s="30" t="n">
        <f aca="false">Panel!Q660-Panel!Q659</f>
        <v>0.000886110527829942</v>
      </c>
      <c r="F666" s="30" t="n">
        <f aca="false">Panel!Q659-Panel!Q658</f>
        <v>-0.00135314435910772</v>
      </c>
      <c r="G666" s="30" t="n">
        <f aca="false">Panel!Q658-Panel!Q657</f>
        <v>0.00182849382043671</v>
      </c>
    </row>
    <row r="667" customFormat="false" ht="15" hidden="false" customHeight="false" outlineLevel="0" collapsed="false">
      <c r="C667" s="0" t="n">
        <f aca="false">Panel!Q662-Panel!Q661</f>
        <v>-7.91109949620505E-005</v>
      </c>
      <c r="D667" s="29" t="n">
        <f aca="false">Panel!Q661</f>
        <v>-0.000172797557651094</v>
      </c>
      <c r="E667" s="30" t="n">
        <f aca="false">Panel!Q661-Panel!Q660</f>
        <v>-0.00113086732369716</v>
      </c>
      <c r="F667" s="30" t="n">
        <f aca="false">Panel!Q660-Panel!Q659</f>
        <v>0.000886110527829942</v>
      </c>
      <c r="G667" s="30" t="n">
        <f aca="false">Panel!Q659-Panel!Q658</f>
        <v>-0.00135314435910772</v>
      </c>
    </row>
    <row r="668" customFormat="false" ht="15" hidden="false" customHeight="false" outlineLevel="0" collapsed="false">
      <c r="C668" s="0" t="n">
        <f aca="false">Panel!Q663-Panel!Q662</f>
        <v>-0.000806370220923114</v>
      </c>
      <c r="D668" s="29" t="n">
        <f aca="false">Panel!Q662</f>
        <v>-0.000251908552613145</v>
      </c>
      <c r="E668" s="30" t="n">
        <f aca="false">Panel!Q662-Panel!Q661</f>
        <v>-7.91109949620505E-005</v>
      </c>
      <c r="F668" s="30" t="n">
        <f aca="false">Panel!Q661-Panel!Q660</f>
        <v>-0.00113086732369716</v>
      </c>
      <c r="G668" s="30" t="n">
        <f aca="false">Panel!Q660-Panel!Q659</f>
        <v>0.000886110527829942</v>
      </c>
    </row>
    <row r="669" customFormat="false" ht="15" hidden="false" customHeight="false" outlineLevel="0" collapsed="false">
      <c r="C669" s="0" t="n">
        <f aca="false">Panel!Q664-Panel!Q663</f>
        <v>-0.00033470559676374</v>
      </c>
      <c r="D669" s="29" t="n">
        <f aca="false">Panel!Q663</f>
        <v>-0.00105827877353626</v>
      </c>
      <c r="E669" s="30" t="n">
        <f aca="false">Panel!Q663-Panel!Q662</f>
        <v>-0.000806370220923114</v>
      </c>
      <c r="F669" s="30" t="n">
        <f aca="false">Panel!Q662-Panel!Q661</f>
        <v>-7.91109949620505E-005</v>
      </c>
      <c r="G669" s="30" t="n">
        <f aca="false">Panel!Q661-Panel!Q660</f>
        <v>-0.00113086732369716</v>
      </c>
    </row>
    <row r="670" customFormat="false" ht="15" hidden="false" customHeight="false" outlineLevel="0" collapsed="false">
      <c r="C670" s="0" t="n">
        <f aca="false">Panel!Q665-Panel!Q664</f>
        <v>-0.000195061061853963</v>
      </c>
      <c r="D670" s="29" t="n">
        <f aca="false">Panel!Q664</f>
        <v>-0.0013929843703</v>
      </c>
      <c r="E670" s="30" t="n">
        <f aca="false">Panel!Q664-Panel!Q663</f>
        <v>-0.00033470559676374</v>
      </c>
      <c r="F670" s="30" t="n">
        <f aca="false">Panel!Q663-Panel!Q662</f>
        <v>-0.000806370220923114</v>
      </c>
      <c r="G670" s="30" t="n">
        <f aca="false">Panel!Q662-Panel!Q661</f>
        <v>-7.91109949620505E-005</v>
      </c>
    </row>
    <row r="671" customFormat="false" ht="15" hidden="false" customHeight="false" outlineLevel="0" collapsed="false">
      <c r="C671" s="0" t="n">
        <f aca="false">Panel!Q666-Panel!Q665</f>
        <v>-0.00113218367178902</v>
      </c>
      <c r="D671" s="29" t="n">
        <f aca="false">Panel!Q665</f>
        <v>-0.00158804543215396</v>
      </c>
      <c r="E671" s="30" t="n">
        <f aca="false">Panel!Q665-Panel!Q664</f>
        <v>-0.000195061061853963</v>
      </c>
      <c r="F671" s="30" t="n">
        <f aca="false">Panel!Q664-Panel!Q663</f>
        <v>-0.00033470559676374</v>
      </c>
      <c r="G671" s="30" t="n">
        <f aca="false">Panel!Q663-Panel!Q662</f>
        <v>-0.000806370220923114</v>
      </c>
    </row>
    <row r="672" customFormat="false" ht="15" hidden="false" customHeight="false" outlineLevel="0" collapsed="false">
      <c r="C672" s="0" t="n">
        <f aca="false">Panel!Q667-Panel!Q666</f>
        <v>0.00789983016070828</v>
      </c>
      <c r="D672" s="29" t="n">
        <f aca="false">Panel!Q666</f>
        <v>-0.00272022910394298</v>
      </c>
      <c r="E672" s="30" t="n">
        <f aca="false">Panel!Q666-Panel!Q665</f>
        <v>-0.00113218367178902</v>
      </c>
      <c r="F672" s="30" t="n">
        <f aca="false">Panel!Q665-Panel!Q664</f>
        <v>-0.000195061061853963</v>
      </c>
      <c r="G672" s="30" t="n">
        <f aca="false">Panel!Q664-Panel!Q663</f>
        <v>-0.00033470559676374</v>
      </c>
    </row>
    <row r="673" customFormat="false" ht="15" hidden="false" customHeight="false" outlineLevel="0" collapsed="false">
      <c r="C673" s="0" t="n">
        <f aca="false">Panel!Q668-Panel!Q667</f>
        <v>-0.000520811727362514</v>
      </c>
      <c r="D673" s="29" t="n">
        <f aca="false">Panel!Q667</f>
        <v>0.00517960105676529</v>
      </c>
      <c r="E673" s="30" t="n">
        <f aca="false">Panel!Q667-Panel!Q666</f>
        <v>0.00789983016070828</v>
      </c>
      <c r="F673" s="30" t="n">
        <f aca="false">Panel!Q666-Panel!Q665</f>
        <v>-0.00113218367178902</v>
      </c>
      <c r="G673" s="30" t="n">
        <f aca="false">Panel!Q665-Panel!Q664</f>
        <v>-0.000195061061853963</v>
      </c>
    </row>
    <row r="674" customFormat="false" ht="15" hidden="false" customHeight="false" outlineLevel="0" collapsed="false">
      <c r="C674" s="0" t="n">
        <f aca="false">Panel!Q669-Panel!Q668</f>
        <v>-0.00108289907444004</v>
      </c>
      <c r="D674" s="29" t="n">
        <f aca="false">Panel!Q668</f>
        <v>0.00465878932940278</v>
      </c>
      <c r="E674" s="30" t="n">
        <f aca="false">Panel!Q668-Panel!Q667</f>
        <v>-0.000520811727362514</v>
      </c>
      <c r="F674" s="30" t="n">
        <f aca="false">Panel!Q667-Panel!Q666</f>
        <v>0.00789983016070828</v>
      </c>
      <c r="G674" s="30" t="n">
        <f aca="false">Panel!Q666-Panel!Q665</f>
        <v>-0.00113218367178902</v>
      </c>
    </row>
    <row r="675" customFormat="false" ht="15" hidden="false" customHeight="false" outlineLevel="0" collapsed="false">
      <c r="C675" s="0" t="n">
        <f aca="false">Panel!Q670-Panel!Q669</f>
        <v>-0.000933808859771901</v>
      </c>
      <c r="D675" s="29" t="n">
        <f aca="false">Panel!Q669</f>
        <v>0.00357589025496274</v>
      </c>
      <c r="E675" s="30" t="n">
        <f aca="false">Panel!Q669-Panel!Q668</f>
        <v>-0.00108289907444004</v>
      </c>
      <c r="F675" s="30" t="n">
        <f aca="false">Panel!Q668-Panel!Q667</f>
        <v>-0.000520811727362514</v>
      </c>
      <c r="G675" s="30" t="n">
        <f aca="false">Panel!Q667-Panel!Q666</f>
        <v>0.00789983016070828</v>
      </c>
    </row>
    <row r="676" customFormat="false" ht="15" hidden="false" customHeight="false" outlineLevel="0" collapsed="false">
      <c r="C676" s="0" t="n">
        <f aca="false">Panel!Q671-Panel!Q670</f>
        <v>-0.000591978588827757</v>
      </c>
      <c r="D676" s="29" t="n">
        <f aca="false">Panel!Q670</f>
        <v>0.00264208139519084</v>
      </c>
      <c r="E676" s="30" t="n">
        <f aca="false">Panel!Q670-Panel!Q669</f>
        <v>-0.000933808859771901</v>
      </c>
      <c r="F676" s="30" t="n">
        <f aca="false">Panel!Q669-Panel!Q668</f>
        <v>-0.00108289907444004</v>
      </c>
      <c r="G676" s="30" t="n">
        <f aca="false">Panel!Q668-Panel!Q667</f>
        <v>-0.000520811727362514</v>
      </c>
    </row>
    <row r="677" customFormat="false" ht="15" hidden="false" customHeight="false" outlineLevel="0" collapsed="false">
      <c r="C677" s="0" t="n">
        <f aca="false">Panel!Q672-Panel!Q671</f>
        <v>-0.000702209805261589</v>
      </c>
      <c r="D677" s="29" t="n">
        <f aca="false">Panel!Q671</f>
        <v>0.00205010280636309</v>
      </c>
      <c r="E677" s="30" t="n">
        <f aca="false">Panel!Q671-Panel!Q670</f>
        <v>-0.000591978588827757</v>
      </c>
      <c r="F677" s="30" t="n">
        <f aca="false">Panel!Q670-Panel!Q669</f>
        <v>-0.000933808859771901</v>
      </c>
      <c r="G677" s="30" t="n">
        <f aca="false">Panel!Q669-Panel!Q668</f>
        <v>-0.00108289907444004</v>
      </c>
    </row>
    <row r="678" customFormat="false" ht="15" hidden="false" customHeight="false" outlineLevel="0" collapsed="false">
      <c r="C678" s="0" t="n">
        <f aca="false">Panel!Q673-Panel!Q672</f>
        <v>-0.00098636765608795</v>
      </c>
      <c r="D678" s="29" t="n">
        <f aca="false">Panel!Q672</f>
        <v>0.0013478930011015</v>
      </c>
      <c r="E678" s="30" t="n">
        <f aca="false">Panel!Q672-Panel!Q671</f>
        <v>-0.000702209805261589</v>
      </c>
      <c r="F678" s="30" t="n">
        <f aca="false">Panel!Q671-Panel!Q670</f>
        <v>-0.000591978588827757</v>
      </c>
      <c r="G678" s="30" t="n">
        <f aca="false">Panel!Q670-Panel!Q669</f>
        <v>-0.000933808859771901</v>
      </c>
    </row>
    <row r="679" customFormat="false" ht="15" hidden="false" customHeight="false" outlineLevel="0" collapsed="false">
      <c r="C679" s="0" t="n">
        <f aca="false">Panel!Q674-Panel!Q673</f>
        <v>0.000557639675745847</v>
      </c>
      <c r="D679" s="29" t="n">
        <f aca="false">Panel!Q673</f>
        <v>0.000361525345013547</v>
      </c>
      <c r="E679" s="30" t="n">
        <f aca="false">Panel!Q673-Panel!Q672</f>
        <v>-0.00098636765608795</v>
      </c>
      <c r="F679" s="30" t="n">
        <f aca="false">Panel!Q672-Panel!Q671</f>
        <v>-0.000702209805261589</v>
      </c>
      <c r="G679" s="30" t="n">
        <f aca="false">Panel!Q671-Panel!Q670</f>
        <v>-0.000591978588827757</v>
      </c>
    </row>
    <row r="680" customFormat="false" ht="15" hidden="false" customHeight="false" outlineLevel="0" collapsed="false">
      <c r="C680" s="0" t="n">
        <f aca="false">Panel!Q675-Panel!Q674</f>
        <v>-0.000419476718136025</v>
      </c>
      <c r="D680" s="29" t="n">
        <f aca="false">Panel!Q674</f>
        <v>0.000919165020759394</v>
      </c>
      <c r="E680" s="30" t="n">
        <f aca="false">Panel!Q674-Panel!Q673</f>
        <v>0.000557639675745847</v>
      </c>
      <c r="F680" s="30" t="n">
        <f aca="false">Panel!Q673-Panel!Q672</f>
        <v>-0.00098636765608795</v>
      </c>
      <c r="G680" s="30" t="n">
        <f aca="false">Panel!Q672-Panel!Q671</f>
        <v>-0.000702209805261589</v>
      </c>
    </row>
    <row r="681" customFormat="false" ht="15" hidden="false" customHeight="false" outlineLevel="0" collapsed="false">
      <c r="C681" s="0" t="n">
        <f aca="false">Panel!Q676-Panel!Q675</f>
        <v>-0.00115102520818056</v>
      </c>
      <c r="D681" s="29" t="n">
        <f aca="false">Panel!Q675</f>
        <v>0.000499688302623369</v>
      </c>
      <c r="E681" s="30" t="n">
        <f aca="false">Panel!Q675-Panel!Q674</f>
        <v>-0.000419476718136025</v>
      </c>
      <c r="F681" s="30" t="n">
        <f aca="false">Panel!Q674-Panel!Q673</f>
        <v>0.000557639675745847</v>
      </c>
      <c r="G681" s="30" t="n">
        <f aca="false">Panel!Q673-Panel!Q672</f>
        <v>-0.00098636765608795</v>
      </c>
    </row>
    <row r="682" customFormat="false" ht="15" hidden="false" customHeight="false" outlineLevel="0" collapsed="false">
      <c r="C682" s="0" t="n">
        <f aca="false">Panel!Q677-Panel!Q676</f>
        <v>-0.00159976307962495</v>
      </c>
      <c r="D682" s="29" t="n">
        <f aca="false">Panel!Q676</f>
        <v>-0.000651336905557187</v>
      </c>
      <c r="E682" s="30" t="n">
        <f aca="false">Panel!Q676-Panel!Q675</f>
        <v>-0.00115102520818056</v>
      </c>
      <c r="F682" s="30" t="n">
        <f aca="false">Panel!Q675-Panel!Q674</f>
        <v>-0.000419476718136025</v>
      </c>
      <c r="G682" s="30" t="n">
        <f aca="false">Panel!Q674-Panel!Q673</f>
        <v>0.000557639675745847</v>
      </c>
    </row>
    <row r="683" customFormat="false" ht="15" hidden="false" customHeight="false" outlineLevel="0" collapsed="false">
      <c r="C683" s="0" t="n">
        <f aca="false">Panel!Q678-Panel!Q677</f>
        <v>0.00169369888820725</v>
      </c>
      <c r="D683" s="29" t="n">
        <f aca="false">Panel!Q677</f>
        <v>-0.00225109998518214</v>
      </c>
      <c r="E683" s="30" t="n">
        <f aca="false">Panel!Q677-Panel!Q676</f>
        <v>-0.00159976307962495</v>
      </c>
      <c r="F683" s="30" t="n">
        <f aca="false">Panel!Q676-Panel!Q675</f>
        <v>-0.00115102520818056</v>
      </c>
      <c r="G683" s="30" t="n">
        <f aca="false">Panel!Q675-Panel!Q674</f>
        <v>-0.000419476718136025</v>
      </c>
    </row>
    <row r="684" customFormat="false" ht="15" hidden="false" customHeight="false" outlineLevel="0" collapsed="false">
      <c r="C684" s="0" t="n">
        <f aca="false">Panel!Q679-Panel!Q678</f>
        <v>-0.00144092712411847</v>
      </c>
      <c r="D684" s="29" t="n">
        <f aca="false">Panel!Q678</f>
        <v>-0.000557401096974886</v>
      </c>
      <c r="E684" s="30" t="n">
        <f aca="false">Panel!Q678-Panel!Q677</f>
        <v>0.00169369888820725</v>
      </c>
      <c r="F684" s="30" t="n">
        <f aca="false">Panel!Q677-Panel!Q676</f>
        <v>-0.00159976307962495</v>
      </c>
      <c r="G684" s="30" t="n">
        <f aca="false">Panel!Q676-Panel!Q675</f>
        <v>-0.00115102520818056</v>
      </c>
    </row>
    <row r="685" customFormat="false" ht="15" hidden="false" customHeight="false" outlineLevel="0" collapsed="false">
      <c r="C685" s="0" t="n">
        <f aca="false">Panel!Q680-Panel!Q679</f>
        <v>-0.00392833620222</v>
      </c>
      <c r="D685" s="29" t="n">
        <f aca="false">Panel!Q679</f>
        <v>-0.00199832822109336</v>
      </c>
      <c r="E685" s="30" t="n">
        <f aca="false">Panel!Q679-Panel!Q678</f>
        <v>-0.00144092712411847</v>
      </c>
      <c r="F685" s="30" t="n">
        <f aca="false">Panel!Q678-Panel!Q677</f>
        <v>0.00169369888820725</v>
      </c>
      <c r="G685" s="30" t="n">
        <f aca="false">Panel!Q677-Panel!Q676</f>
        <v>-0.00159976307962495</v>
      </c>
    </row>
    <row r="686" customFormat="false" ht="15" hidden="false" customHeight="false" outlineLevel="0" collapsed="false">
      <c r="C686" s="0" t="n">
        <f aca="false">Panel!Q681-Panel!Q680</f>
        <v>0.00277768681107737</v>
      </c>
      <c r="D686" s="29" t="n">
        <f aca="false">Panel!Q680</f>
        <v>-0.00592666442331336</v>
      </c>
      <c r="E686" s="30" t="n">
        <f aca="false">Panel!Q680-Panel!Q679</f>
        <v>-0.00392833620222</v>
      </c>
      <c r="F686" s="30" t="n">
        <f aca="false">Panel!Q679-Panel!Q678</f>
        <v>-0.00144092712411847</v>
      </c>
      <c r="G686" s="30" t="n">
        <f aca="false">Panel!Q678-Panel!Q677</f>
        <v>0.00169369888820725</v>
      </c>
    </row>
    <row r="687" customFormat="false" ht="15" hidden="false" customHeight="false" outlineLevel="0" collapsed="false">
      <c r="C687" s="0" t="n">
        <f aca="false">Panel!Q682-Panel!Q681</f>
        <v>0.00212002472759743</v>
      </c>
      <c r="D687" s="29" t="n">
        <f aca="false">Panel!Q681</f>
        <v>-0.00314897761223598</v>
      </c>
      <c r="E687" s="30" t="n">
        <f aca="false">Panel!Q681-Panel!Q680</f>
        <v>0.00277768681107737</v>
      </c>
      <c r="F687" s="30" t="n">
        <f aca="false">Panel!Q680-Panel!Q679</f>
        <v>-0.00392833620222</v>
      </c>
      <c r="G687" s="30" t="n">
        <f aca="false">Panel!Q679-Panel!Q678</f>
        <v>-0.00144092712411847</v>
      </c>
    </row>
    <row r="688" customFormat="false" ht="15" hidden="false" customHeight="false" outlineLevel="0" collapsed="false">
      <c r="C688" s="0" t="n">
        <f aca="false">Panel!Q683-Panel!Q682</f>
        <v>-0.00173901725954551</v>
      </c>
      <c r="D688" s="29" t="n">
        <f aca="false">Panel!Q682</f>
        <v>-0.00102895288463856</v>
      </c>
      <c r="E688" s="30" t="n">
        <f aca="false">Panel!Q682-Panel!Q681</f>
        <v>0.00212002472759743</v>
      </c>
      <c r="F688" s="30" t="n">
        <f aca="false">Panel!Q681-Panel!Q680</f>
        <v>0.00277768681107737</v>
      </c>
      <c r="G688" s="30" t="n">
        <f aca="false">Panel!Q680-Panel!Q679</f>
        <v>-0.00392833620222</v>
      </c>
    </row>
    <row r="689" customFormat="false" ht="15" hidden="false" customHeight="false" outlineLevel="0" collapsed="false">
      <c r="C689" s="0" t="n">
        <f aca="false">Panel!Q684-Panel!Q683</f>
        <v>-0.0028268529149198</v>
      </c>
      <c r="D689" s="29" t="n">
        <f aca="false">Panel!Q683</f>
        <v>-0.00276797014418406</v>
      </c>
      <c r="E689" s="30" t="n">
        <f aca="false">Panel!Q683-Panel!Q682</f>
        <v>-0.00173901725954551</v>
      </c>
      <c r="F689" s="30" t="n">
        <f aca="false">Panel!Q682-Panel!Q681</f>
        <v>0.00212002472759743</v>
      </c>
      <c r="G689" s="30" t="n">
        <f aca="false">Panel!Q681-Panel!Q680</f>
        <v>0.00277768681107737</v>
      </c>
    </row>
    <row r="690" customFormat="false" ht="15" hidden="false" customHeight="false" outlineLevel="0" collapsed="false">
      <c r="C690" s="0" t="n">
        <f aca="false">Panel!Q685-Panel!Q684</f>
        <v>0.00798919290731526</v>
      </c>
      <c r="D690" s="29" t="n">
        <f aca="false">Panel!Q684</f>
        <v>-0.00559482305910386</v>
      </c>
      <c r="E690" s="30" t="n">
        <f aca="false">Panel!Q684-Panel!Q683</f>
        <v>-0.0028268529149198</v>
      </c>
      <c r="F690" s="30" t="n">
        <f aca="false">Panel!Q683-Panel!Q682</f>
        <v>-0.00173901725954551</v>
      </c>
      <c r="G690" s="30" t="n">
        <f aca="false">Panel!Q682-Panel!Q681</f>
        <v>0.00212002472759743</v>
      </c>
    </row>
    <row r="691" customFormat="false" ht="15" hidden="false" customHeight="false" outlineLevel="0" collapsed="false">
      <c r="C691" s="0" t="n">
        <f aca="false">Panel!Q686-Panel!Q685</f>
        <v>0.000892446376022704</v>
      </c>
      <c r="D691" s="29" t="n">
        <f aca="false">Panel!Q685</f>
        <v>0.0023943698482114</v>
      </c>
      <c r="E691" s="30" t="n">
        <f aca="false">Panel!Q685-Panel!Q684</f>
        <v>0.00798919290731526</v>
      </c>
      <c r="F691" s="30" t="n">
        <f aca="false">Panel!Q684-Panel!Q683</f>
        <v>-0.0028268529149198</v>
      </c>
      <c r="G691" s="30" t="n">
        <f aca="false">Panel!Q683-Panel!Q682</f>
        <v>-0.00173901725954551</v>
      </c>
    </row>
    <row r="692" customFormat="false" ht="15" hidden="false" customHeight="false" outlineLevel="0" collapsed="false">
      <c r="C692" s="0" t="n">
        <f aca="false">Panel!Q687-Panel!Q686</f>
        <v>-0.00183982318361409</v>
      </c>
      <c r="D692" s="29" t="n">
        <f aca="false">Panel!Q686</f>
        <v>0.0032868162242341</v>
      </c>
      <c r="E692" s="30" t="n">
        <f aca="false">Panel!Q686-Panel!Q685</f>
        <v>0.000892446376022704</v>
      </c>
      <c r="F692" s="30" t="n">
        <f aca="false">Panel!Q685-Panel!Q684</f>
        <v>0.00798919290731526</v>
      </c>
      <c r="G692" s="30" t="n">
        <f aca="false">Panel!Q684-Panel!Q683</f>
        <v>-0.0028268529149198</v>
      </c>
    </row>
    <row r="693" customFormat="false" ht="15" hidden="false" customHeight="false" outlineLevel="0" collapsed="false">
      <c r="C693" s="0" t="n">
        <f aca="false">Panel!Q688-Panel!Q687</f>
        <v>-0.0094788521769793</v>
      </c>
      <c r="D693" s="29" t="n">
        <f aca="false">Panel!Q687</f>
        <v>0.00144699304062001</v>
      </c>
      <c r="E693" s="30" t="n">
        <f aca="false">Panel!Q687-Panel!Q686</f>
        <v>-0.00183982318361409</v>
      </c>
      <c r="F693" s="30" t="n">
        <f aca="false">Panel!Q686-Panel!Q685</f>
        <v>0.000892446376022704</v>
      </c>
      <c r="G693" s="30" t="n">
        <f aca="false">Panel!Q685-Panel!Q684</f>
        <v>0.00798919290731526</v>
      </c>
    </row>
    <row r="694" customFormat="false" ht="15" hidden="false" customHeight="false" outlineLevel="0" collapsed="false">
      <c r="C694" s="0" t="n">
        <f aca="false">Panel!Q689-Panel!Q688</f>
        <v>0.00653515132177773</v>
      </c>
      <c r="D694" s="29" t="n">
        <f aca="false">Panel!Q688</f>
        <v>-0.00803185913635929</v>
      </c>
      <c r="E694" s="30" t="n">
        <f aca="false">Panel!Q688-Panel!Q687</f>
        <v>-0.0094788521769793</v>
      </c>
      <c r="F694" s="30" t="n">
        <f aca="false">Panel!Q687-Panel!Q686</f>
        <v>-0.00183982318361409</v>
      </c>
      <c r="G694" s="30" t="n">
        <f aca="false">Panel!Q686-Panel!Q685</f>
        <v>0.000892446376022704</v>
      </c>
    </row>
    <row r="695" customFormat="false" ht="15" hidden="false" customHeight="false" outlineLevel="0" collapsed="false">
      <c r="C695" s="0" t="n">
        <f aca="false">Panel!Q690-Panel!Q689</f>
        <v>0.00328176098553179</v>
      </c>
      <c r="D695" s="29" t="n">
        <f aca="false">Panel!Q689</f>
        <v>-0.00149670781458155</v>
      </c>
      <c r="E695" s="30" t="n">
        <f aca="false">Panel!Q689-Panel!Q688</f>
        <v>0.00653515132177773</v>
      </c>
      <c r="F695" s="30" t="n">
        <f aca="false">Panel!Q688-Panel!Q687</f>
        <v>-0.0094788521769793</v>
      </c>
      <c r="G695" s="30" t="n">
        <f aca="false">Panel!Q687-Panel!Q686</f>
        <v>-0.00183982318361409</v>
      </c>
    </row>
    <row r="696" customFormat="false" ht="15" hidden="false" customHeight="false" outlineLevel="0" collapsed="false">
      <c r="C696" s="0" t="n">
        <f aca="false">Panel!Q691-Panel!Q690</f>
        <v>4.33442921110583E-005</v>
      </c>
      <c r="D696" s="29" t="n">
        <f aca="false">Panel!Q690</f>
        <v>0.00178505317095023</v>
      </c>
      <c r="E696" s="30" t="n">
        <f aca="false">Panel!Q690-Panel!Q689</f>
        <v>0.00328176098553179</v>
      </c>
      <c r="F696" s="30" t="n">
        <f aca="false">Panel!Q689-Panel!Q688</f>
        <v>0.00653515132177773</v>
      </c>
      <c r="G696" s="30" t="n">
        <f aca="false">Panel!Q688-Panel!Q687</f>
        <v>-0.0094788521769793</v>
      </c>
    </row>
    <row r="697" customFormat="false" ht="15" hidden="false" customHeight="false" outlineLevel="0" collapsed="false">
      <c r="C697" s="0" t="n">
        <f aca="false">Panel!Q692-Panel!Q691</f>
        <v>-0.00129298195637695</v>
      </c>
      <c r="D697" s="29" t="n">
        <f aca="false">Panel!Q691</f>
        <v>0.00182839746306129</v>
      </c>
      <c r="E697" s="30" t="n">
        <f aca="false">Panel!Q691-Panel!Q690</f>
        <v>4.33442921110583E-005</v>
      </c>
      <c r="F697" s="30" t="n">
        <f aca="false">Panel!Q690-Panel!Q689</f>
        <v>0.00328176098553179</v>
      </c>
      <c r="G697" s="30" t="n">
        <f aca="false">Panel!Q689-Panel!Q688</f>
        <v>0.00653515132177773</v>
      </c>
    </row>
    <row r="698" customFormat="false" ht="15" hidden="false" customHeight="false" outlineLevel="0" collapsed="false">
      <c r="C698" s="0" t="n">
        <f aca="false">Panel!Q693-Panel!Q692</f>
        <v>-0.0009269429356209</v>
      </c>
      <c r="D698" s="29" t="n">
        <f aca="false">Panel!Q692</f>
        <v>0.000535415506684345</v>
      </c>
      <c r="E698" s="30" t="n">
        <f aca="false">Panel!Q692-Panel!Q691</f>
        <v>-0.00129298195637695</v>
      </c>
      <c r="F698" s="30" t="n">
        <f aca="false">Panel!Q691-Panel!Q690</f>
        <v>4.33442921110583E-005</v>
      </c>
      <c r="G698" s="30" t="n">
        <f aca="false">Panel!Q690-Panel!Q689</f>
        <v>0.00328176098553179</v>
      </c>
    </row>
    <row r="699" customFormat="false" ht="15" hidden="false" customHeight="false" outlineLevel="0" collapsed="false">
      <c r="C699" s="0" t="n">
        <f aca="false">Panel!Q694-Panel!Q693</f>
        <v>0.00157730749557139</v>
      </c>
      <c r="D699" s="29" t="n">
        <f aca="false">Panel!Q693</f>
        <v>-0.000391527428936556</v>
      </c>
      <c r="E699" s="30" t="n">
        <f aca="false">Panel!Q693-Panel!Q692</f>
        <v>-0.0009269429356209</v>
      </c>
      <c r="F699" s="30" t="n">
        <f aca="false">Panel!Q692-Panel!Q691</f>
        <v>-0.00129298195637695</v>
      </c>
      <c r="G699" s="30" t="n">
        <f aca="false">Panel!Q691-Panel!Q690</f>
        <v>4.33442921110583E-005</v>
      </c>
    </row>
    <row r="700" customFormat="false" ht="15" hidden="false" customHeight="false" outlineLevel="0" collapsed="false">
      <c r="C700" s="0" t="n">
        <f aca="false">Panel!Q695-Panel!Q694</f>
        <v>-0.000671228933022405</v>
      </c>
      <c r="D700" s="29" t="n">
        <f aca="false">Panel!Q694</f>
        <v>0.00118578006663483</v>
      </c>
      <c r="E700" s="30" t="n">
        <f aca="false">Panel!Q694-Panel!Q693</f>
        <v>0.00157730749557139</v>
      </c>
      <c r="F700" s="30" t="n">
        <f aca="false">Panel!Q693-Panel!Q692</f>
        <v>-0.0009269429356209</v>
      </c>
      <c r="G700" s="30" t="n">
        <f aca="false">Panel!Q692-Panel!Q691</f>
        <v>-0.00129298195637695</v>
      </c>
    </row>
    <row r="701" customFormat="false" ht="15" hidden="false" customHeight="false" outlineLevel="0" collapsed="false">
      <c r="C701" s="0" t="n">
        <f aca="false">Panel!Q696-Panel!Q695</f>
        <v>-0.00119642174357359</v>
      </c>
      <c r="D701" s="29" t="n">
        <f aca="false">Panel!Q695</f>
        <v>0.000514551133612429</v>
      </c>
      <c r="E701" s="30" t="n">
        <f aca="false">Panel!Q695-Panel!Q694</f>
        <v>-0.000671228933022405</v>
      </c>
      <c r="F701" s="30" t="n">
        <f aca="false">Panel!Q694-Panel!Q693</f>
        <v>0.00157730749557139</v>
      </c>
      <c r="G701" s="30" t="n">
        <f aca="false">Panel!Q693-Panel!Q692</f>
        <v>-0.0009269429356209</v>
      </c>
    </row>
    <row r="702" customFormat="false" ht="15" hidden="false" customHeight="false" outlineLevel="0" collapsed="false">
      <c r="C702" s="0" t="n">
        <f aca="false">Panel!Q697-Panel!Q696</f>
        <v>-0.000277359106870989</v>
      </c>
      <c r="D702" s="29" t="n">
        <f aca="false">Panel!Q696</f>
        <v>-0.000681870609961166</v>
      </c>
      <c r="E702" s="30" t="n">
        <f aca="false">Panel!Q696-Panel!Q695</f>
        <v>-0.00119642174357359</v>
      </c>
      <c r="F702" s="30" t="n">
        <f aca="false">Panel!Q695-Panel!Q694</f>
        <v>-0.000671228933022405</v>
      </c>
      <c r="G702" s="30" t="n">
        <f aca="false">Panel!Q694-Panel!Q693</f>
        <v>0.00157730749557139</v>
      </c>
    </row>
    <row r="703" customFormat="false" ht="15" hidden="false" customHeight="false" outlineLevel="0" collapsed="false">
      <c r="C703" s="0" t="n">
        <f aca="false">Panel!Q698-Panel!Q697</f>
        <v>-0.00193153412889835</v>
      </c>
      <c r="D703" s="29" t="n">
        <f aca="false">Panel!Q697</f>
        <v>-0.000959229716832155</v>
      </c>
      <c r="E703" s="30" t="n">
        <f aca="false">Panel!Q697-Panel!Q696</f>
        <v>-0.000277359106870989</v>
      </c>
      <c r="F703" s="30" t="n">
        <f aca="false">Panel!Q696-Panel!Q695</f>
        <v>-0.00119642174357359</v>
      </c>
      <c r="G703" s="30" t="n">
        <f aca="false">Panel!Q695-Panel!Q694</f>
        <v>-0.000671228933022405</v>
      </c>
    </row>
    <row r="704" customFormat="false" ht="15" hidden="false" customHeight="false" outlineLevel="0" collapsed="false">
      <c r="C704" s="0" t="n">
        <f aca="false">Panel!Q699-Panel!Q698</f>
        <v>0.00245253331463324</v>
      </c>
      <c r="D704" s="29" t="n">
        <f aca="false">Panel!Q698</f>
        <v>-0.0028907638457305</v>
      </c>
      <c r="E704" s="30" t="n">
        <f aca="false">Panel!Q698-Panel!Q697</f>
        <v>-0.00193153412889835</v>
      </c>
      <c r="F704" s="30" t="n">
        <f aca="false">Panel!Q697-Panel!Q696</f>
        <v>-0.000277359106870989</v>
      </c>
      <c r="G704" s="30" t="n">
        <f aca="false">Panel!Q696-Panel!Q695</f>
        <v>-0.00119642174357359</v>
      </c>
    </row>
    <row r="705" customFormat="false" ht="15" hidden="false" customHeight="false" outlineLevel="0" collapsed="false">
      <c r="C705" s="0" t="n">
        <f aca="false">Panel!Q700-Panel!Q699</f>
        <v>-0.00236282856316272</v>
      </c>
      <c r="D705" s="29" t="n">
        <f aca="false">Panel!Q699</f>
        <v>-0.000438230531097261</v>
      </c>
      <c r="E705" s="30" t="n">
        <f aca="false">Panel!Q699-Panel!Q698</f>
        <v>0.00245253331463324</v>
      </c>
      <c r="F705" s="30" t="n">
        <f aca="false">Panel!Q698-Panel!Q697</f>
        <v>-0.00193153412889835</v>
      </c>
      <c r="G705" s="30" t="n">
        <f aca="false">Panel!Q697-Panel!Q696</f>
        <v>-0.000277359106870989</v>
      </c>
    </row>
    <row r="706" customFormat="false" ht="15" hidden="false" customHeight="false" outlineLevel="0" collapsed="false">
      <c r="C706" s="0" t="n">
        <f aca="false">Panel!Q701-Panel!Q700</f>
        <v>0.00221390207681083</v>
      </c>
      <c r="D706" s="29" t="n">
        <f aca="false">Panel!Q700</f>
        <v>-0.00280105909425998</v>
      </c>
      <c r="E706" s="30" t="n">
        <f aca="false">Panel!Q700-Panel!Q699</f>
        <v>-0.00236282856316272</v>
      </c>
      <c r="F706" s="30" t="n">
        <f aca="false">Panel!Q699-Panel!Q698</f>
        <v>0.00245253331463324</v>
      </c>
      <c r="G706" s="30" t="n">
        <f aca="false">Panel!Q698-Panel!Q697</f>
        <v>-0.00193153412889835</v>
      </c>
    </row>
    <row r="707" customFormat="false" ht="15" hidden="false" customHeight="false" outlineLevel="0" collapsed="false">
      <c r="C707" s="0" t="n">
        <f aca="false">Panel!Q702-Panel!Q701</f>
        <v>-0.00254504106390918</v>
      </c>
      <c r="D707" s="29" t="n">
        <f aca="false">Panel!Q701</f>
        <v>-0.000587157017449158</v>
      </c>
      <c r="E707" s="30" t="n">
        <f aca="false">Panel!Q701-Panel!Q700</f>
        <v>0.00221390207681083</v>
      </c>
      <c r="F707" s="30" t="n">
        <f aca="false">Panel!Q700-Panel!Q699</f>
        <v>-0.00236282856316272</v>
      </c>
      <c r="G707" s="30" t="n">
        <f aca="false">Panel!Q699-Panel!Q698</f>
        <v>0.00245253331463324</v>
      </c>
    </row>
    <row r="708" customFormat="false" ht="15" hidden="false" customHeight="false" outlineLevel="0" collapsed="false">
      <c r="C708" s="0" t="n">
        <f aca="false">Panel!Q703-Panel!Q702</f>
        <v>0.00325311532071915</v>
      </c>
      <c r="D708" s="29" t="n">
        <f aca="false">Panel!Q702</f>
        <v>-0.00313219808135834</v>
      </c>
      <c r="E708" s="30" t="n">
        <f aca="false">Panel!Q702-Panel!Q701</f>
        <v>-0.00254504106390918</v>
      </c>
      <c r="F708" s="30" t="n">
        <f aca="false">Panel!Q701-Panel!Q700</f>
        <v>0.00221390207681083</v>
      </c>
      <c r="G708" s="30" t="n">
        <f aca="false">Panel!Q700-Panel!Q699</f>
        <v>-0.00236282856316272</v>
      </c>
    </row>
    <row r="709" customFormat="false" ht="15" hidden="false" customHeight="false" outlineLevel="0" collapsed="false">
      <c r="C709" s="0" t="n">
        <f aca="false">Panel!Q704-Panel!Q703</f>
        <v>0.000296304221055976</v>
      </c>
      <c r="D709" s="29" t="n">
        <f aca="false">Panel!Q703</f>
        <v>0.000120917239360807</v>
      </c>
      <c r="E709" s="30" t="n">
        <f aca="false">Panel!Q703-Panel!Q702</f>
        <v>0.00325311532071915</v>
      </c>
      <c r="F709" s="30" t="n">
        <f aca="false">Panel!Q702-Panel!Q701</f>
        <v>-0.00254504106390918</v>
      </c>
      <c r="G709" s="30" t="n">
        <f aca="false">Panel!Q701-Panel!Q700</f>
        <v>0.00221390207681083</v>
      </c>
    </row>
    <row r="710" customFormat="false" ht="15" hidden="false" customHeight="false" outlineLevel="0" collapsed="false">
      <c r="C710" s="0" t="n">
        <f aca="false">Panel!Q705-Panel!Q704</f>
        <v>-0.00254130927171836</v>
      </c>
      <c r="D710" s="29" t="n">
        <f aca="false">Panel!Q704</f>
        <v>0.000417221460416783</v>
      </c>
      <c r="E710" s="30" t="n">
        <f aca="false">Panel!Q704-Panel!Q703</f>
        <v>0.000296304221055976</v>
      </c>
      <c r="F710" s="30" t="n">
        <f aca="false">Panel!Q703-Panel!Q702</f>
        <v>0.00325311532071915</v>
      </c>
      <c r="G710" s="30" t="n">
        <f aca="false">Panel!Q702-Panel!Q701</f>
        <v>-0.00254504106390918</v>
      </c>
    </row>
    <row r="711" customFormat="false" ht="15" hidden="false" customHeight="false" outlineLevel="0" collapsed="false">
      <c r="C711" s="0" t="n">
        <f aca="false">Panel!Q706-Panel!Q705</f>
        <v>0.0058958144795227</v>
      </c>
      <c r="D711" s="29" t="n">
        <f aca="false">Panel!Q705</f>
        <v>-0.00212408781130158</v>
      </c>
      <c r="E711" s="30" t="n">
        <f aca="false">Panel!Q705-Panel!Q704</f>
        <v>-0.00254130927171836</v>
      </c>
      <c r="F711" s="30" t="n">
        <f aca="false">Panel!Q704-Panel!Q703</f>
        <v>0.000296304221055976</v>
      </c>
      <c r="G711" s="30" t="n">
        <f aca="false">Panel!Q703-Panel!Q702</f>
        <v>0.00325311532071915</v>
      </c>
    </row>
    <row r="712" customFormat="false" ht="15" hidden="false" customHeight="false" outlineLevel="0" collapsed="false">
      <c r="C712" s="0" t="n">
        <f aca="false">Panel!Q707-Panel!Q706</f>
        <v>0.000235070217128097</v>
      </c>
      <c r="D712" s="29" t="n">
        <f aca="false">Panel!Q706</f>
        <v>0.00377172666822112</v>
      </c>
      <c r="E712" s="30" t="n">
        <f aca="false">Panel!Q706-Panel!Q705</f>
        <v>0.0058958144795227</v>
      </c>
      <c r="F712" s="30" t="n">
        <f aca="false">Panel!Q705-Panel!Q704</f>
        <v>-0.00254130927171836</v>
      </c>
      <c r="G712" s="30" t="n">
        <f aca="false">Panel!Q704-Panel!Q703</f>
        <v>0.000296304221055976</v>
      </c>
    </row>
    <row r="713" customFormat="false" ht="15" hidden="false" customHeight="false" outlineLevel="0" collapsed="false">
      <c r="C713" s="0" t="n">
        <f aca="false">Panel!Q708-Panel!Q707</f>
        <v>-0.00240739876406693</v>
      </c>
      <c r="D713" s="29" t="n">
        <f aca="false">Panel!Q707</f>
        <v>0.00400679688534922</v>
      </c>
      <c r="E713" s="30" t="n">
        <f aca="false">Panel!Q707-Panel!Q706</f>
        <v>0.000235070217128097</v>
      </c>
      <c r="F713" s="30" t="n">
        <f aca="false">Panel!Q706-Panel!Q705</f>
        <v>0.0058958144795227</v>
      </c>
      <c r="G713" s="30" t="n">
        <f aca="false">Panel!Q705-Panel!Q704</f>
        <v>-0.00254130927171836</v>
      </c>
    </row>
    <row r="714" customFormat="false" ht="15" hidden="false" customHeight="false" outlineLevel="0" collapsed="false">
      <c r="C714" s="0" t="n">
        <f aca="false">Panel!Q709-Panel!Q708</f>
        <v>0.000171538044323682</v>
      </c>
      <c r="D714" s="29" t="n">
        <f aca="false">Panel!Q708</f>
        <v>0.00159939812128229</v>
      </c>
      <c r="E714" s="30" t="n">
        <f aca="false">Panel!Q708-Panel!Q707</f>
        <v>-0.00240739876406693</v>
      </c>
      <c r="F714" s="30" t="n">
        <f aca="false">Panel!Q707-Panel!Q706</f>
        <v>0.000235070217128097</v>
      </c>
      <c r="G714" s="30" t="n">
        <f aca="false">Panel!Q706-Panel!Q705</f>
        <v>0.0058958144795227</v>
      </c>
    </row>
    <row r="715" customFormat="false" ht="15" hidden="false" customHeight="false" outlineLevel="0" collapsed="false">
      <c r="C715" s="0" t="n">
        <f aca="false">Panel!Q710-Panel!Q709</f>
        <v>-0.00116772954537048</v>
      </c>
      <c r="D715" s="29" t="n">
        <f aca="false">Panel!Q709</f>
        <v>0.00177093616560597</v>
      </c>
      <c r="E715" s="30" t="n">
        <f aca="false">Panel!Q709-Panel!Q708</f>
        <v>0.000171538044323682</v>
      </c>
      <c r="F715" s="30" t="n">
        <f aca="false">Panel!Q708-Panel!Q707</f>
        <v>-0.00240739876406693</v>
      </c>
      <c r="G715" s="30" t="n">
        <f aca="false">Panel!Q707-Panel!Q706</f>
        <v>0.000235070217128097</v>
      </c>
    </row>
    <row r="716" customFormat="false" ht="15" hidden="false" customHeight="false" outlineLevel="0" collapsed="false">
      <c r="C716" s="0" t="n">
        <f aca="false">Panel!Q711-Panel!Q710</f>
        <v>0.0006629795037707</v>
      </c>
      <c r="D716" s="29" t="n">
        <f aca="false">Panel!Q710</f>
        <v>0.000603206620235497</v>
      </c>
      <c r="E716" s="30" t="n">
        <f aca="false">Panel!Q710-Panel!Q709</f>
        <v>-0.00116772954537048</v>
      </c>
      <c r="F716" s="30" t="n">
        <f aca="false">Panel!Q709-Panel!Q708</f>
        <v>0.000171538044323682</v>
      </c>
      <c r="G716" s="30" t="n">
        <f aca="false">Panel!Q708-Panel!Q707</f>
        <v>-0.00240739876406693</v>
      </c>
    </row>
    <row r="717" customFormat="false" ht="15" hidden="false" customHeight="false" outlineLevel="0" collapsed="false">
      <c r="C717" s="0" t="n">
        <f aca="false">Panel!Q712-Panel!Q711</f>
        <v>-0.00310324778017268</v>
      </c>
      <c r="D717" s="29" t="n">
        <f aca="false">Panel!Q711</f>
        <v>0.0012661861240062</v>
      </c>
      <c r="E717" s="30" t="n">
        <f aca="false">Panel!Q711-Panel!Q710</f>
        <v>0.0006629795037707</v>
      </c>
      <c r="F717" s="30" t="n">
        <f aca="false">Panel!Q710-Panel!Q709</f>
        <v>-0.00116772954537048</v>
      </c>
      <c r="G717" s="30" t="n">
        <f aca="false">Panel!Q709-Panel!Q708</f>
        <v>0.000171538044323682</v>
      </c>
    </row>
    <row r="718" customFormat="false" ht="15" hidden="false" customHeight="false" outlineLevel="0" collapsed="false">
      <c r="C718" s="0" t="n">
        <f aca="false">Panel!Q713-Panel!Q712</f>
        <v>0.000704994576089746</v>
      </c>
      <c r="D718" s="29" t="n">
        <f aca="false">Panel!Q712</f>
        <v>-0.00183706165616648</v>
      </c>
      <c r="E718" s="30" t="n">
        <f aca="false">Panel!Q712-Panel!Q711</f>
        <v>-0.00310324778017268</v>
      </c>
      <c r="F718" s="30" t="n">
        <f aca="false">Panel!Q711-Panel!Q710</f>
        <v>0.0006629795037707</v>
      </c>
      <c r="G718" s="30" t="n">
        <f aca="false">Panel!Q710-Panel!Q709</f>
        <v>-0.00116772954537048</v>
      </c>
    </row>
    <row r="719" customFormat="false" ht="15" hidden="false" customHeight="false" outlineLevel="0" collapsed="false">
      <c r="C719" s="0" t="n">
        <f aca="false">Panel!Q714-Panel!Q713</f>
        <v>0.0034968554766408</v>
      </c>
      <c r="D719" s="29" t="n">
        <f aca="false">Panel!Q713</f>
        <v>-0.00113206708007674</v>
      </c>
      <c r="E719" s="30" t="n">
        <f aca="false">Panel!Q713-Panel!Q712</f>
        <v>0.000704994576089746</v>
      </c>
      <c r="F719" s="30" t="n">
        <f aca="false">Panel!Q712-Panel!Q711</f>
        <v>-0.00310324778017268</v>
      </c>
      <c r="G719" s="30" t="n">
        <f aca="false">Panel!Q711-Panel!Q710</f>
        <v>0.0006629795037707</v>
      </c>
    </row>
    <row r="720" customFormat="false" ht="15" hidden="false" customHeight="false" outlineLevel="0" collapsed="false">
      <c r="C720" s="0" t="n">
        <f aca="false">Panel!Q715-Panel!Q714</f>
        <v>-0.00228497858382681</v>
      </c>
      <c r="D720" s="29" t="n">
        <f aca="false">Panel!Q714</f>
        <v>0.00236478839656407</v>
      </c>
      <c r="E720" s="30" t="n">
        <f aca="false">Panel!Q714-Panel!Q713</f>
        <v>0.0034968554766408</v>
      </c>
      <c r="F720" s="30" t="n">
        <f aca="false">Panel!Q713-Panel!Q712</f>
        <v>0.000704994576089746</v>
      </c>
      <c r="G720" s="30" t="n">
        <f aca="false">Panel!Q712-Panel!Q711</f>
        <v>-0.00310324778017268</v>
      </c>
    </row>
    <row r="721" customFormat="false" ht="15" hidden="false" customHeight="false" outlineLevel="0" collapsed="false">
      <c r="C721" s="0" t="n">
        <f aca="false">Panel!Q716-Panel!Q715</f>
        <v>0.000644675056880928</v>
      </c>
      <c r="D721" s="29" t="n">
        <f aca="false">Panel!Q715</f>
        <v>7.98098127372526E-005</v>
      </c>
      <c r="E721" s="30" t="n">
        <f aca="false">Panel!Q715-Panel!Q714</f>
        <v>-0.00228497858382681</v>
      </c>
      <c r="F721" s="30" t="n">
        <f aca="false">Panel!Q714-Panel!Q713</f>
        <v>0.0034968554766408</v>
      </c>
      <c r="G721" s="30" t="n">
        <f aca="false">Panel!Q713-Panel!Q712</f>
        <v>0.000704994576089746</v>
      </c>
    </row>
    <row r="722" customFormat="false" ht="15" hidden="false" customHeight="false" outlineLevel="0" collapsed="false">
      <c r="C722" s="0" t="n">
        <f aca="false">Panel!Q717-Panel!Q716</f>
        <v>-0.00600245692165125</v>
      </c>
      <c r="D722" s="29" t="n">
        <f aca="false">Panel!Q716</f>
        <v>0.000724484869618181</v>
      </c>
      <c r="E722" s="30" t="n">
        <f aca="false">Panel!Q716-Panel!Q715</f>
        <v>0.000644675056880928</v>
      </c>
      <c r="F722" s="30" t="n">
        <f aca="false">Panel!Q715-Panel!Q714</f>
        <v>-0.00228497858382681</v>
      </c>
      <c r="G722" s="30" t="n">
        <f aca="false">Panel!Q714-Panel!Q713</f>
        <v>0.0034968554766408</v>
      </c>
    </row>
    <row r="723" customFormat="false" ht="15" hidden="false" customHeight="false" outlineLevel="0" collapsed="false">
      <c r="C723" s="0" t="n">
        <f aca="false">Panel!Q718-Panel!Q717</f>
        <v>0.00339258205544546</v>
      </c>
      <c r="D723" s="29" t="n">
        <f aca="false">Panel!Q717</f>
        <v>-0.00527797205203306</v>
      </c>
      <c r="E723" s="30" t="n">
        <f aca="false">Panel!Q717-Panel!Q716</f>
        <v>-0.00600245692165125</v>
      </c>
      <c r="F723" s="30" t="n">
        <f aca="false">Panel!Q716-Panel!Q715</f>
        <v>0.000644675056880928</v>
      </c>
      <c r="G723" s="30" t="n">
        <f aca="false">Panel!Q715-Panel!Q714</f>
        <v>-0.00228497858382681</v>
      </c>
    </row>
    <row r="724" customFormat="false" ht="15" hidden="false" customHeight="false" outlineLevel="0" collapsed="false">
      <c r="C724" s="0" t="n">
        <f aca="false">Panel!Q719-Panel!Q718</f>
        <v>0.00127474823564455</v>
      </c>
      <c r="D724" s="29" t="n">
        <f aca="false">Panel!Q718</f>
        <v>-0.00188538999658761</v>
      </c>
      <c r="E724" s="30" t="n">
        <f aca="false">Panel!Q718-Panel!Q717</f>
        <v>0.00339258205544546</v>
      </c>
      <c r="F724" s="30" t="n">
        <f aca="false">Panel!Q717-Panel!Q716</f>
        <v>-0.00600245692165125</v>
      </c>
      <c r="G724" s="30" t="n">
        <f aca="false">Panel!Q716-Panel!Q715</f>
        <v>0.000644675056880928</v>
      </c>
    </row>
    <row r="725" customFormat="false" ht="15" hidden="false" customHeight="false" outlineLevel="0" collapsed="false">
      <c r="C725" s="0" t="n">
        <f aca="false">Panel!Q720-Panel!Q719</f>
        <v>-0.000203187742013</v>
      </c>
      <c r="D725" s="29" t="n">
        <f aca="false">Panel!Q719</f>
        <v>-0.000610641760943054</v>
      </c>
      <c r="E725" s="30" t="n">
        <f aca="false">Panel!Q719-Panel!Q718</f>
        <v>0.00127474823564455</v>
      </c>
      <c r="F725" s="30" t="n">
        <f aca="false">Panel!Q718-Panel!Q717</f>
        <v>0.00339258205544546</v>
      </c>
      <c r="G725" s="30" t="n">
        <f aca="false">Panel!Q717-Panel!Q716</f>
        <v>-0.00600245692165125</v>
      </c>
    </row>
    <row r="726" customFormat="false" ht="15" hidden="false" customHeight="false" outlineLevel="0" collapsed="false">
      <c r="C726" s="0" t="n">
        <f aca="false">Panel!Q721-Panel!Q720</f>
        <v>-0.002505132396184</v>
      </c>
      <c r="D726" s="29" t="n">
        <f aca="false">Panel!Q720</f>
        <v>-0.000813829502956054</v>
      </c>
      <c r="E726" s="30" t="n">
        <f aca="false">Panel!Q720-Panel!Q719</f>
        <v>-0.000203187742013</v>
      </c>
      <c r="F726" s="30" t="n">
        <f aca="false">Panel!Q719-Panel!Q718</f>
        <v>0.00127474823564455</v>
      </c>
      <c r="G726" s="30" t="n">
        <f aca="false">Panel!Q718-Panel!Q717</f>
        <v>0.00339258205544546</v>
      </c>
    </row>
    <row r="727" customFormat="false" ht="15" hidden="false" customHeight="false" outlineLevel="0" collapsed="false">
      <c r="C727" s="0" t="n">
        <f aca="false">Panel!Q722-Panel!Q721</f>
        <v>0.000409463996742687</v>
      </c>
      <c r="D727" s="29" t="n">
        <f aca="false">Panel!Q721</f>
        <v>-0.00331896189914005</v>
      </c>
      <c r="E727" s="30" t="n">
        <f aca="false">Panel!Q721-Panel!Q720</f>
        <v>-0.002505132396184</v>
      </c>
      <c r="F727" s="30" t="n">
        <f aca="false">Panel!Q720-Panel!Q719</f>
        <v>-0.000203187742013</v>
      </c>
      <c r="G727" s="30" t="n">
        <f aca="false">Panel!Q719-Panel!Q718</f>
        <v>0.00127474823564455</v>
      </c>
    </row>
    <row r="728" customFormat="false" ht="15" hidden="false" customHeight="false" outlineLevel="0" collapsed="false">
      <c r="C728" s="0" t="n">
        <f aca="false">Panel!Q723-Panel!Q722</f>
        <v>-0.00248965477018892</v>
      </c>
      <c r="D728" s="29" t="n">
        <f aca="false">Panel!Q722</f>
        <v>-0.00290949790239736</v>
      </c>
      <c r="E728" s="30" t="n">
        <f aca="false">Panel!Q722-Panel!Q721</f>
        <v>0.000409463996742687</v>
      </c>
      <c r="F728" s="30" t="n">
        <f aca="false">Panel!Q721-Panel!Q720</f>
        <v>-0.002505132396184</v>
      </c>
      <c r="G728" s="30" t="n">
        <f aca="false">Panel!Q720-Panel!Q719</f>
        <v>-0.000203187742013</v>
      </c>
    </row>
    <row r="729" customFormat="false" ht="15" hidden="false" customHeight="false" outlineLevel="0" collapsed="false">
      <c r="C729" s="0" t="n">
        <f aca="false">Panel!Q724-Panel!Q723</f>
        <v>-0.000826954896924192</v>
      </c>
      <c r="D729" s="29" t="n">
        <f aca="false">Panel!Q723</f>
        <v>-0.00539915267258628</v>
      </c>
      <c r="E729" s="30" t="n">
        <f aca="false">Panel!Q723-Panel!Q722</f>
        <v>-0.00248965477018892</v>
      </c>
      <c r="F729" s="30" t="n">
        <f aca="false">Panel!Q722-Panel!Q721</f>
        <v>0.000409463996742687</v>
      </c>
      <c r="G729" s="30" t="n">
        <f aca="false">Panel!Q721-Panel!Q720</f>
        <v>-0.002505132396184</v>
      </c>
    </row>
    <row r="730" customFormat="false" ht="15" hidden="false" customHeight="false" outlineLevel="0" collapsed="false">
      <c r="C730" s="0" t="n">
        <f aca="false">Panel!Q725-Panel!Q724</f>
        <v>0.00517521562263212</v>
      </c>
      <c r="D730" s="29" t="n">
        <f aca="false">Panel!Q724</f>
        <v>-0.00622610756951048</v>
      </c>
      <c r="E730" s="30" t="n">
        <f aca="false">Panel!Q724-Panel!Q723</f>
        <v>-0.000826954896924192</v>
      </c>
      <c r="F730" s="30" t="n">
        <f aca="false">Panel!Q723-Panel!Q722</f>
        <v>-0.00248965477018892</v>
      </c>
      <c r="G730" s="30" t="n">
        <f aca="false">Panel!Q722-Panel!Q721</f>
        <v>0.000409463996742687</v>
      </c>
    </row>
    <row r="731" customFormat="false" ht="15" hidden="false" customHeight="false" outlineLevel="0" collapsed="false">
      <c r="C731" s="0" t="n">
        <f aca="false">Panel!Q726-Panel!Q725</f>
        <v>-0.00488449456311457</v>
      </c>
      <c r="D731" s="29" t="n">
        <f aca="false">Panel!Q725</f>
        <v>-0.00105089194687835</v>
      </c>
      <c r="E731" s="30" t="n">
        <f aca="false">Panel!Q725-Panel!Q724</f>
        <v>0.00517521562263212</v>
      </c>
      <c r="F731" s="30" t="n">
        <f aca="false">Panel!Q724-Panel!Q723</f>
        <v>-0.000826954896924192</v>
      </c>
      <c r="G731" s="30" t="n">
        <f aca="false">Panel!Q723-Panel!Q722</f>
        <v>-0.00248965477018892</v>
      </c>
    </row>
    <row r="732" customFormat="false" ht="15" hidden="false" customHeight="false" outlineLevel="0" collapsed="false">
      <c r="C732" s="0" t="n">
        <f aca="false">Panel!Q727-Panel!Q726</f>
        <v>-0.00462706785394929</v>
      </c>
      <c r="D732" s="29" t="n">
        <f aca="false">Panel!Q726</f>
        <v>-0.00593538650999292</v>
      </c>
      <c r="E732" s="30" t="n">
        <f aca="false">Panel!Q726-Panel!Q725</f>
        <v>-0.00488449456311457</v>
      </c>
      <c r="F732" s="30" t="n">
        <f aca="false">Panel!Q725-Panel!Q724</f>
        <v>0.00517521562263212</v>
      </c>
      <c r="G732" s="30" t="n">
        <f aca="false">Panel!Q724-Panel!Q723</f>
        <v>-0.000826954896924192</v>
      </c>
    </row>
    <row r="733" customFormat="false" ht="15" hidden="false" customHeight="false" outlineLevel="0" collapsed="false">
      <c r="C733" s="0" t="n">
        <f aca="false">Panel!Q728-Panel!Q727</f>
        <v>0.0114957642523432</v>
      </c>
      <c r="D733" s="29" t="n">
        <f aca="false">Panel!Q727</f>
        <v>-0.0105624543639422</v>
      </c>
      <c r="E733" s="30" t="n">
        <f aca="false">Panel!Q727-Panel!Q726</f>
        <v>-0.00462706785394929</v>
      </c>
      <c r="F733" s="30" t="n">
        <f aca="false">Panel!Q726-Panel!Q725</f>
        <v>-0.00488449456311457</v>
      </c>
      <c r="G733" s="30" t="n">
        <f aca="false">Panel!Q725-Panel!Q724</f>
        <v>0.00517521562263212</v>
      </c>
    </row>
    <row r="734" customFormat="false" ht="15" hidden="false" customHeight="false" outlineLevel="0" collapsed="false">
      <c r="C734" s="0" t="n">
        <f aca="false">Panel!Q729-Panel!Q728</f>
        <v>-0.00188085662734316</v>
      </c>
      <c r="D734" s="29" t="n">
        <f aca="false">Panel!Q728</f>
        <v>0.000933309888401013</v>
      </c>
      <c r="E734" s="30" t="n">
        <f aca="false">Panel!Q728-Panel!Q727</f>
        <v>0.0114957642523432</v>
      </c>
      <c r="F734" s="30" t="n">
        <f aca="false">Panel!Q727-Panel!Q726</f>
        <v>-0.00462706785394929</v>
      </c>
      <c r="G734" s="30" t="n">
        <f aca="false">Panel!Q726-Panel!Q725</f>
        <v>-0.00488449456311457</v>
      </c>
    </row>
    <row r="735" customFormat="false" ht="15" hidden="false" customHeight="false" outlineLevel="0" collapsed="false">
      <c r="C735" s="0" t="n">
        <f aca="false">Panel!Q730-Panel!Q729</f>
        <v>0.00315341656788348</v>
      </c>
      <c r="D735" s="29" t="n">
        <f aca="false">Panel!Q729</f>
        <v>-0.000947546738942151</v>
      </c>
      <c r="E735" s="30" t="n">
        <f aca="false">Panel!Q729-Panel!Q728</f>
        <v>-0.00188085662734316</v>
      </c>
      <c r="F735" s="30" t="n">
        <f aca="false">Panel!Q728-Panel!Q727</f>
        <v>0.0114957642523432</v>
      </c>
      <c r="G735" s="30" t="n">
        <f aca="false">Panel!Q727-Panel!Q726</f>
        <v>-0.00462706785394929</v>
      </c>
    </row>
    <row r="736" customFormat="false" ht="15" hidden="false" customHeight="false" outlineLevel="0" collapsed="false">
      <c r="C736" s="0" t="n">
        <f aca="false">Panel!Q731-Panel!Q730</f>
        <v>-0.000489219853454515</v>
      </c>
      <c r="D736" s="29" t="n">
        <f aca="false">Panel!Q730</f>
        <v>0.00220586982894133</v>
      </c>
      <c r="E736" s="30" t="n">
        <f aca="false">Panel!Q730-Panel!Q729</f>
        <v>0.00315341656788348</v>
      </c>
      <c r="F736" s="30" t="n">
        <f aca="false">Panel!Q729-Panel!Q728</f>
        <v>-0.00188085662734316</v>
      </c>
      <c r="G736" s="30" t="n">
        <f aca="false">Panel!Q728-Panel!Q727</f>
        <v>0.0114957642523432</v>
      </c>
    </row>
    <row r="737" customFormat="false" ht="15" hidden="false" customHeight="false" outlineLevel="0" collapsed="false">
      <c r="C737" s="0" t="n">
        <f aca="false">Panel!Q732-Panel!Q731</f>
        <v>0.000313433346219583</v>
      </c>
      <c r="D737" s="29" t="n">
        <f aca="false">Panel!Q731</f>
        <v>0.00171664997548682</v>
      </c>
      <c r="E737" s="30" t="n">
        <f aca="false">Panel!Q731-Panel!Q730</f>
        <v>-0.000489219853454515</v>
      </c>
      <c r="F737" s="30" t="n">
        <f aca="false">Panel!Q730-Panel!Q729</f>
        <v>0.00315341656788348</v>
      </c>
      <c r="G737" s="30" t="n">
        <f aca="false">Panel!Q729-Panel!Q728</f>
        <v>-0.00188085662734316</v>
      </c>
    </row>
    <row r="738" customFormat="false" ht="15" hidden="false" customHeight="false" outlineLevel="0" collapsed="false">
      <c r="C738" s="0" t="n">
        <f aca="false">Panel!Q733-Panel!Q732</f>
        <v>-0.000898873152401336</v>
      </c>
      <c r="D738" s="29" t="n">
        <f aca="false">Panel!Q732</f>
        <v>0.0020300833217064</v>
      </c>
      <c r="E738" s="30" t="n">
        <f aca="false">Panel!Q732-Panel!Q731</f>
        <v>0.000313433346219583</v>
      </c>
      <c r="F738" s="30" t="n">
        <f aca="false">Panel!Q731-Panel!Q730</f>
        <v>-0.000489219853454515</v>
      </c>
      <c r="G738" s="30" t="n">
        <f aca="false">Panel!Q730-Panel!Q729</f>
        <v>0.00315341656788348</v>
      </c>
    </row>
    <row r="739" customFormat="false" ht="15" hidden="false" customHeight="false" outlineLevel="0" collapsed="false">
      <c r="C739" s="0" t="n">
        <f aca="false">Panel!Q734-Panel!Q733</f>
        <v>0.00128225875030452</v>
      </c>
      <c r="D739" s="29" t="n">
        <f aca="false">Panel!Q733</f>
        <v>0.00113121016930506</v>
      </c>
      <c r="E739" s="30" t="n">
        <f aca="false">Panel!Q733-Panel!Q732</f>
        <v>-0.000898873152401336</v>
      </c>
      <c r="F739" s="30" t="n">
        <f aca="false">Panel!Q732-Panel!Q731</f>
        <v>0.000313433346219583</v>
      </c>
      <c r="G739" s="30" t="n">
        <f aca="false">Panel!Q731-Panel!Q730</f>
        <v>-0.000489219853454515</v>
      </c>
    </row>
    <row r="740" customFormat="false" ht="15" hidden="false" customHeight="false" outlineLevel="0" collapsed="false">
      <c r="C740" s="0" t="n">
        <f aca="false">Panel!Q735-Panel!Q734</f>
        <v>-0.000292512454706184</v>
      </c>
      <c r="D740" s="29" t="n">
        <f aca="false">Panel!Q734</f>
        <v>0.00241346891960959</v>
      </c>
      <c r="E740" s="30" t="n">
        <f aca="false">Panel!Q734-Panel!Q733</f>
        <v>0.00128225875030452</v>
      </c>
      <c r="F740" s="30" t="n">
        <f aca="false">Panel!Q733-Panel!Q732</f>
        <v>-0.000898873152401336</v>
      </c>
      <c r="G740" s="30" t="n">
        <f aca="false">Panel!Q732-Panel!Q731</f>
        <v>0.000313433346219583</v>
      </c>
    </row>
    <row r="741" customFormat="false" ht="15" hidden="false" customHeight="false" outlineLevel="0" collapsed="false">
      <c r="C741" s="0" t="n">
        <f aca="false">Panel!Q736-Panel!Q735</f>
        <v>-0.0003635602098786</v>
      </c>
      <c r="D741" s="29" t="n">
        <f aca="false">Panel!Q735</f>
        <v>0.0021209564649034</v>
      </c>
      <c r="E741" s="30" t="n">
        <f aca="false">Panel!Q735-Panel!Q734</f>
        <v>-0.000292512454706184</v>
      </c>
      <c r="F741" s="30" t="n">
        <f aca="false">Panel!Q734-Panel!Q733</f>
        <v>0.00128225875030452</v>
      </c>
      <c r="G741" s="30" t="n">
        <f aca="false">Panel!Q733-Panel!Q732</f>
        <v>-0.000898873152401336</v>
      </c>
    </row>
    <row r="742" customFormat="false" ht="15" hidden="false" customHeight="false" outlineLevel="0" collapsed="false">
      <c r="C742" s="0" t="n">
        <f aca="false">Panel!Q737-Panel!Q736</f>
        <v>-0.00197181195951757</v>
      </c>
      <c r="D742" s="29" t="n">
        <f aca="false">Panel!Q736</f>
        <v>0.0017573962550248</v>
      </c>
      <c r="E742" s="30" t="n">
        <f aca="false">Panel!Q736-Panel!Q735</f>
        <v>-0.0003635602098786</v>
      </c>
      <c r="F742" s="30" t="n">
        <f aca="false">Panel!Q735-Panel!Q734</f>
        <v>-0.000292512454706184</v>
      </c>
      <c r="G742" s="30" t="n">
        <f aca="false">Panel!Q734-Panel!Q733</f>
        <v>0.00128225875030452</v>
      </c>
    </row>
    <row r="743" customFormat="false" ht="15" hidden="false" customHeight="false" outlineLevel="0" collapsed="false">
      <c r="C743" s="0" t="n">
        <f aca="false">Panel!Q738-Panel!Q737</f>
        <v>0.00050683535699747</v>
      </c>
      <c r="D743" s="29" t="n">
        <f aca="false">Panel!Q737</f>
        <v>-0.000214415704492765</v>
      </c>
      <c r="E743" s="30" t="n">
        <f aca="false">Panel!Q737-Panel!Q736</f>
        <v>-0.00197181195951757</v>
      </c>
      <c r="F743" s="30" t="n">
        <f aca="false">Panel!Q736-Panel!Q735</f>
        <v>-0.0003635602098786</v>
      </c>
      <c r="G743" s="30" t="n">
        <f aca="false">Panel!Q735-Panel!Q734</f>
        <v>-0.000292512454706184</v>
      </c>
    </row>
    <row r="744" customFormat="false" ht="15" hidden="false" customHeight="false" outlineLevel="0" collapsed="false">
      <c r="C744" s="0" t="n">
        <f aca="false">Panel!Q739-Panel!Q738</f>
        <v>0.000823141038136299</v>
      </c>
      <c r="D744" s="29" t="n">
        <f aca="false">Panel!Q738</f>
        <v>0.000292419652504705</v>
      </c>
      <c r="E744" s="30" t="n">
        <f aca="false">Panel!Q738-Panel!Q737</f>
        <v>0.00050683535699747</v>
      </c>
      <c r="F744" s="30" t="n">
        <f aca="false">Panel!Q737-Panel!Q736</f>
        <v>-0.00197181195951757</v>
      </c>
      <c r="G744" s="30" t="n">
        <f aca="false">Panel!Q736-Panel!Q735</f>
        <v>-0.0003635602098786</v>
      </c>
    </row>
    <row r="745" customFormat="false" ht="15" hidden="false" customHeight="false" outlineLevel="0" collapsed="false">
      <c r="C745" s="0" t="n">
        <f aca="false">Panel!Q740-Panel!Q739</f>
        <v>0.00151121025093914</v>
      </c>
      <c r="D745" s="29" t="n">
        <f aca="false">Panel!Q739</f>
        <v>0.001115560690641</v>
      </c>
      <c r="E745" s="30" t="n">
        <f aca="false">Panel!Q739-Panel!Q738</f>
        <v>0.000823141038136299</v>
      </c>
      <c r="F745" s="30" t="n">
        <f aca="false">Panel!Q738-Panel!Q737</f>
        <v>0.00050683535699747</v>
      </c>
      <c r="G745" s="30" t="n">
        <f aca="false">Panel!Q737-Panel!Q736</f>
        <v>-0.00197181195951757</v>
      </c>
    </row>
    <row r="746" customFormat="false" ht="15" hidden="false" customHeight="false" outlineLevel="0" collapsed="false">
      <c r="C746" s="0" t="n">
        <f aca="false">Panel!Q741-Panel!Q740</f>
        <v>-0.00146496959130005</v>
      </c>
      <c r="D746" s="29" t="n">
        <f aca="false">Panel!Q740</f>
        <v>0.00262677094158015</v>
      </c>
      <c r="E746" s="30" t="n">
        <f aca="false">Panel!Q740-Panel!Q739</f>
        <v>0.00151121025093914</v>
      </c>
      <c r="F746" s="30" t="n">
        <f aca="false">Panel!Q739-Panel!Q738</f>
        <v>0.000823141038136299</v>
      </c>
      <c r="G746" s="30" t="n">
        <f aca="false">Panel!Q738-Panel!Q737</f>
        <v>0.00050683535699747</v>
      </c>
    </row>
    <row r="747" customFormat="false" ht="15" hidden="false" customHeight="false" outlineLevel="0" collapsed="false">
      <c r="C747" s="0" t="n">
        <f aca="false">Panel!Q742-Panel!Q741</f>
        <v>-0.00193749013411981</v>
      </c>
      <c r="D747" s="29" t="n">
        <f aca="false">Panel!Q741</f>
        <v>0.0011618013502801</v>
      </c>
      <c r="E747" s="30" t="n">
        <f aca="false">Panel!Q741-Panel!Q740</f>
        <v>-0.00146496959130005</v>
      </c>
      <c r="F747" s="30" t="n">
        <f aca="false">Panel!Q740-Panel!Q739</f>
        <v>0.00151121025093914</v>
      </c>
      <c r="G747" s="30" t="n">
        <f aca="false">Panel!Q739-Panel!Q738</f>
        <v>0.000823141038136299</v>
      </c>
    </row>
    <row r="748" customFormat="false" ht="15" hidden="false" customHeight="false" outlineLevel="0" collapsed="false">
      <c r="C748" s="0" t="n">
        <f aca="false">Panel!Q743-Panel!Q742</f>
        <v>-0.000770940637742967</v>
      </c>
      <c r="D748" s="29" t="n">
        <f aca="false">Panel!Q742</f>
        <v>-0.000775688783839712</v>
      </c>
      <c r="E748" s="30" t="n">
        <f aca="false">Panel!Q742-Panel!Q741</f>
        <v>-0.00193749013411981</v>
      </c>
      <c r="F748" s="30" t="n">
        <f aca="false">Panel!Q741-Panel!Q740</f>
        <v>-0.00146496959130005</v>
      </c>
      <c r="G748" s="30" t="n">
        <f aca="false">Panel!Q740-Panel!Q739</f>
        <v>0.00151121025093914</v>
      </c>
    </row>
    <row r="749" customFormat="false" ht="15" hidden="false" customHeight="false" outlineLevel="0" collapsed="false">
      <c r="C749" s="0" t="n">
        <f aca="false">Panel!Q744-Panel!Q743</f>
        <v>0.00331029993061094</v>
      </c>
      <c r="D749" s="29" t="n">
        <f aca="false">Panel!Q743</f>
        <v>-0.00154662942158268</v>
      </c>
      <c r="E749" s="30" t="n">
        <f aca="false">Panel!Q743-Panel!Q742</f>
        <v>-0.000770940637742967</v>
      </c>
      <c r="F749" s="30" t="n">
        <f aca="false">Panel!Q742-Panel!Q741</f>
        <v>-0.00193749013411981</v>
      </c>
      <c r="G749" s="30" t="n">
        <f aca="false">Panel!Q741-Panel!Q740</f>
        <v>-0.00146496959130005</v>
      </c>
    </row>
    <row r="750" customFormat="false" ht="15" hidden="false" customHeight="false" outlineLevel="0" collapsed="false">
      <c r="C750" s="0" t="n">
        <f aca="false">Panel!Q745-Panel!Q744</f>
        <v>-0.00223409785535011</v>
      </c>
      <c r="D750" s="29" t="n">
        <f aca="false">Panel!Q744</f>
        <v>0.00176367050902826</v>
      </c>
      <c r="E750" s="30" t="n">
        <f aca="false">Panel!Q744-Panel!Q743</f>
        <v>0.00331029993061094</v>
      </c>
      <c r="F750" s="30" t="n">
        <f aca="false">Panel!Q743-Panel!Q742</f>
        <v>-0.000770940637742967</v>
      </c>
      <c r="G750" s="30" t="n">
        <f aca="false">Panel!Q742-Panel!Q741</f>
        <v>-0.00193749013411981</v>
      </c>
    </row>
    <row r="751" customFormat="false" ht="15" hidden="false" customHeight="false" outlineLevel="0" collapsed="false">
      <c r="C751" s="0" t="n">
        <f aca="false">Panel!Q746-Panel!Q745</f>
        <v>0.00551909302441977</v>
      </c>
      <c r="D751" s="29" t="n">
        <f aca="false">Panel!Q745</f>
        <v>-0.000470427346321856</v>
      </c>
      <c r="E751" s="30" t="n">
        <f aca="false">Panel!Q745-Panel!Q744</f>
        <v>-0.00223409785535011</v>
      </c>
      <c r="F751" s="30" t="n">
        <f aca="false">Panel!Q744-Panel!Q743</f>
        <v>0.00331029993061094</v>
      </c>
      <c r="G751" s="30" t="n">
        <f aca="false">Panel!Q743-Panel!Q742</f>
        <v>-0.000770940637742967</v>
      </c>
    </row>
    <row r="752" customFormat="false" ht="15" hidden="false" customHeight="false" outlineLevel="0" collapsed="false">
      <c r="C752" s="0" t="n">
        <f aca="false">Panel!Q747-Panel!Q746</f>
        <v>-0.00242623689038979</v>
      </c>
      <c r="D752" s="29" t="n">
        <f aca="false">Panel!Q746</f>
        <v>0.00504866567809792</v>
      </c>
      <c r="E752" s="30" t="n">
        <f aca="false">Panel!Q746-Panel!Q745</f>
        <v>0.00551909302441977</v>
      </c>
      <c r="F752" s="30" t="n">
        <f aca="false">Panel!Q745-Panel!Q744</f>
        <v>-0.00223409785535011</v>
      </c>
      <c r="G752" s="30" t="n">
        <f aca="false">Panel!Q744-Panel!Q743</f>
        <v>0.00331029993061094</v>
      </c>
    </row>
    <row r="753" customFormat="false" ht="15" hidden="false" customHeight="false" outlineLevel="0" collapsed="false">
      <c r="C753" s="0" t="n">
        <f aca="false">Panel!Q748-Panel!Q747</f>
        <v>5.12332455979703E-005</v>
      </c>
      <c r="D753" s="29" t="n">
        <f aca="false">Panel!Q747</f>
        <v>0.00262242878770813</v>
      </c>
      <c r="E753" s="30" t="n">
        <f aca="false">Panel!Q747-Panel!Q746</f>
        <v>-0.00242623689038979</v>
      </c>
      <c r="F753" s="30" t="n">
        <f aca="false">Panel!Q746-Panel!Q745</f>
        <v>0.00551909302441977</v>
      </c>
      <c r="G753" s="30" t="n">
        <f aca="false">Panel!Q745-Panel!Q744</f>
        <v>-0.00223409785535011</v>
      </c>
    </row>
    <row r="754" customFormat="false" ht="15" hidden="false" customHeight="false" outlineLevel="0" collapsed="false">
      <c r="C754" s="0" t="n">
        <f aca="false">Panel!Q749-Panel!Q748</f>
        <v>0.00013094422341986</v>
      </c>
      <c r="D754" s="29" t="n">
        <f aca="false">Panel!Q748</f>
        <v>0.0026736620333061</v>
      </c>
      <c r="E754" s="30" t="n">
        <f aca="false">Panel!Q748-Panel!Q747</f>
        <v>5.12332455979703E-005</v>
      </c>
      <c r="F754" s="30" t="n">
        <f aca="false">Panel!Q747-Panel!Q746</f>
        <v>-0.00242623689038979</v>
      </c>
      <c r="G754" s="30" t="n">
        <f aca="false">Panel!Q746-Panel!Q745</f>
        <v>0.00551909302441977</v>
      </c>
    </row>
    <row r="755" customFormat="false" ht="15" hidden="false" customHeight="false" outlineLevel="0" collapsed="false">
      <c r="C755" s="0" t="n">
        <f aca="false">Panel!Q750-Panel!Q749</f>
        <v>0.00171282805401063</v>
      </c>
      <c r="D755" s="29" t="n">
        <f aca="false">Panel!Q749</f>
        <v>0.00280460625672596</v>
      </c>
      <c r="E755" s="30" t="n">
        <f aca="false">Panel!Q749-Panel!Q748</f>
        <v>0.00013094422341986</v>
      </c>
      <c r="F755" s="30" t="n">
        <f aca="false">Panel!Q748-Panel!Q747</f>
        <v>5.12332455979703E-005</v>
      </c>
      <c r="G755" s="30" t="n">
        <f aca="false">Panel!Q747-Panel!Q746</f>
        <v>-0.00242623689038979</v>
      </c>
    </row>
    <row r="756" customFormat="false" ht="15" hidden="false" customHeight="false" outlineLevel="0" collapsed="false">
      <c r="C756" s="0" t="n">
        <f aca="false">Panel!Q751-Panel!Q750</f>
        <v>-0.000856432203931945</v>
      </c>
      <c r="D756" s="29" t="n">
        <f aca="false">Panel!Q750</f>
        <v>0.00451743431073659</v>
      </c>
      <c r="E756" s="30" t="n">
        <f aca="false">Panel!Q750-Panel!Q749</f>
        <v>0.00171282805401063</v>
      </c>
      <c r="F756" s="30" t="n">
        <f aca="false">Panel!Q749-Panel!Q748</f>
        <v>0.00013094422341986</v>
      </c>
      <c r="G756" s="30" t="n">
        <f aca="false">Panel!Q748-Panel!Q747</f>
        <v>5.12332455979703E-005</v>
      </c>
    </row>
    <row r="757" customFormat="false" ht="15" hidden="false" customHeight="false" outlineLevel="0" collapsed="false">
      <c r="C757" s="0" t="n">
        <f aca="false">Panel!Q752-Panel!Q751</f>
        <v>-0.00212418410481341</v>
      </c>
      <c r="D757" s="29" t="n">
        <f aca="false">Panel!Q751</f>
        <v>0.00366100210680465</v>
      </c>
      <c r="E757" s="30" t="n">
        <f aca="false">Panel!Q751-Panel!Q750</f>
        <v>-0.000856432203931945</v>
      </c>
      <c r="F757" s="30" t="n">
        <f aca="false">Panel!Q750-Panel!Q749</f>
        <v>0.00171282805401063</v>
      </c>
      <c r="G757" s="30" t="n">
        <f aca="false">Panel!Q749-Panel!Q748</f>
        <v>0.00013094422341986</v>
      </c>
    </row>
    <row r="758" customFormat="false" ht="15" hidden="false" customHeight="false" outlineLevel="0" collapsed="false">
      <c r="C758" s="0" t="n">
        <f aca="false">Panel!Q753-Panel!Q752</f>
        <v>-0.00099713409517932</v>
      </c>
      <c r="D758" s="29" t="n">
        <f aca="false">Panel!Q752</f>
        <v>0.00153681800199124</v>
      </c>
      <c r="E758" s="30" t="n">
        <f aca="false">Panel!Q752-Panel!Q751</f>
        <v>-0.00212418410481341</v>
      </c>
      <c r="F758" s="30" t="n">
        <f aca="false">Panel!Q751-Panel!Q750</f>
        <v>-0.000856432203931945</v>
      </c>
      <c r="G758" s="30" t="n">
        <f aca="false">Panel!Q750-Panel!Q749</f>
        <v>0.00171282805401063</v>
      </c>
    </row>
    <row r="759" customFormat="false" ht="15" hidden="false" customHeight="false" outlineLevel="0" collapsed="false">
      <c r="C759" s="0" t="n">
        <f aca="false">Panel!Q754-Panel!Q753</f>
        <v>0.000577240898941511</v>
      </c>
      <c r="D759" s="29" t="n">
        <f aca="false">Panel!Q753</f>
        <v>0.000539683906811916</v>
      </c>
      <c r="E759" s="30" t="n">
        <f aca="false">Panel!Q753-Panel!Q752</f>
        <v>-0.00099713409517932</v>
      </c>
      <c r="F759" s="30" t="n">
        <f aca="false">Panel!Q752-Panel!Q751</f>
        <v>-0.00212418410481341</v>
      </c>
      <c r="G759" s="30" t="n">
        <f aca="false">Panel!Q751-Panel!Q750</f>
        <v>-0.000856432203931945</v>
      </c>
    </row>
    <row r="760" customFormat="false" ht="15" hidden="false" customHeight="false" outlineLevel="0" collapsed="false">
      <c r="C760" s="0" t="n">
        <f aca="false">Panel!Q755-Panel!Q754</f>
        <v>0.000175642620806826</v>
      </c>
      <c r="D760" s="29" t="n">
        <f aca="false">Panel!Q754</f>
        <v>0.00111692480575343</v>
      </c>
      <c r="E760" s="30" t="n">
        <f aca="false">Panel!Q754-Panel!Q753</f>
        <v>0.000577240898941511</v>
      </c>
      <c r="F760" s="30" t="n">
        <f aca="false">Panel!Q753-Panel!Q752</f>
        <v>-0.00099713409517932</v>
      </c>
      <c r="G760" s="30" t="n">
        <f aca="false">Panel!Q752-Panel!Q751</f>
        <v>-0.00212418410481341</v>
      </c>
    </row>
    <row r="761" customFormat="false" ht="15" hidden="false" customHeight="false" outlineLevel="0" collapsed="false">
      <c r="C761" s="0" t="n">
        <f aca="false">Panel!Q756-Panel!Q755</f>
        <v>0.000332494121607851</v>
      </c>
      <c r="D761" s="29" t="n">
        <f aca="false">Panel!Q755</f>
        <v>0.00129256742656025</v>
      </c>
      <c r="E761" s="30" t="n">
        <f aca="false">Panel!Q755-Panel!Q754</f>
        <v>0.000175642620806826</v>
      </c>
      <c r="F761" s="30" t="n">
        <f aca="false">Panel!Q754-Panel!Q753</f>
        <v>0.000577240898941511</v>
      </c>
      <c r="G761" s="30" t="n">
        <f aca="false">Panel!Q753-Panel!Q752</f>
        <v>-0.00099713409517932</v>
      </c>
    </row>
    <row r="762" customFormat="false" ht="15" hidden="false" customHeight="false" outlineLevel="0" collapsed="false">
      <c r="C762" s="0" t="n">
        <f aca="false">Panel!Q757-Panel!Q756</f>
        <v>-0.00117962230474156</v>
      </c>
      <c r="D762" s="29" t="n">
        <f aca="false">Panel!Q756</f>
        <v>0.00162506154816811</v>
      </c>
      <c r="E762" s="30" t="n">
        <f aca="false">Panel!Q756-Panel!Q755</f>
        <v>0.000332494121607851</v>
      </c>
      <c r="F762" s="30" t="n">
        <f aca="false">Panel!Q755-Panel!Q754</f>
        <v>0.000175642620806826</v>
      </c>
      <c r="G762" s="30" t="n">
        <f aca="false">Panel!Q754-Panel!Q753</f>
        <v>0.000577240898941511</v>
      </c>
    </row>
    <row r="763" customFormat="false" ht="15" hidden="false" customHeight="false" outlineLevel="0" collapsed="false">
      <c r="C763" s="0" t="n">
        <f aca="false">Panel!Q758-Panel!Q757</f>
        <v>0.000757328933543633</v>
      </c>
      <c r="D763" s="29" t="n">
        <f aca="false">Panel!Q757</f>
        <v>0.000445439243426549</v>
      </c>
      <c r="E763" s="30" t="n">
        <f aca="false">Panel!Q757-Panel!Q756</f>
        <v>-0.00117962230474156</v>
      </c>
      <c r="F763" s="30" t="n">
        <f aca="false">Panel!Q756-Panel!Q755</f>
        <v>0.000332494121607851</v>
      </c>
      <c r="G763" s="30" t="n">
        <f aca="false">Panel!Q755-Panel!Q754</f>
        <v>0.000175642620806826</v>
      </c>
    </row>
    <row r="764" customFormat="false" ht="15" hidden="false" customHeight="false" outlineLevel="0" collapsed="false">
      <c r="C764" s="0" t="n">
        <f aca="false">Panel!Q759-Panel!Q758</f>
        <v>-0.00261245980514602</v>
      </c>
      <c r="D764" s="29" t="n">
        <f aca="false">Panel!Q758</f>
        <v>0.00120276817697018</v>
      </c>
      <c r="E764" s="30" t="n">
        <f aca="false">Panel!Q758-Panel!Q757</f>
        <v>0.000757328933543633</v>
      </c>
      <c r="F764" s="30" t="n">
        <f aca="false">Panel!Q757-Panel!Q756</f>
        <v>-0.00117962230474156</v>
      </c>
      <c r="G764" s="30" t="n">
        <f aca="false">Panel!Q756-Panel!Q755</f>
        <v>0.000332494121607851</v>
      </c>
    </row>
    <row r="765" customFormat="false" ht="15" hidden="false" customHeight="false" outlineLevel="0" collapsed="false">
      <c r="C765" s="0" t="n">
        <f aca="false">Panel!Q760-Panel!Q759</f>
        <v>0.00236241628409317</v>
      </c>
      <c r="D765" s="29" t="n">
        <f aca="false">Panel!Q759</f>
        <v>-0.00140969162817584</v>
      </c>
      <c r="E765" s="30" t="n">
        <f aca="false">Panel!Q759-Panel!Q758</f>
        <v>-0.00261245980514602</v>
      </c>
      <c r="F765" s="30" t="n">
        <f aca="false">Panel!Q758-Panel!Q757</f>
        <v>0.000757328933543633</v>
      </c>
      <c r="G765" s="30" t="n">
        <f aca="false">Panel!Q757-Panel!Q756</f>
        <v>-0.00117962230474156</v>
      </c>
    </row>
    <row r="766" customFormat="false" ht="15" hidden="false" customHeight="false" outlineLevel="0" collapsed="false">
      <c r="C766" s="0" t="n">
        <f aca="false">Panel!Q761-Panel!Q760</f>
        <v>-0.00204429066958234</v>
      </c>
      <c r="D766" s="29" t="n">
        <f aca="false">Panel!Q760</f>
        <v>0.000952724655917336</v>
      </c>
      <c r="E766" s="30" t="n">
        <f aca="false">Panel!Q760-Panel!Q759</f>
        <v>0.00236241628409317</v>
      </c>
      <c r="F766" s="30" t="n">
        <f aca="false">Panel!Q759-Panel!Q758</f>
        <v>-0.00261245980514602</v>
      </c>
      <c r="G766" s="30" t="n">
        <f aca="false">Panel!Q758-Panel!Q757</f>
        <v>0.000757328933543633</v>
      </c>
    </row>
    <row r="767" customFormat="false" ht="15" hidden="false" customHeight="false" outlineLevel="0" collapsed="false">
      <c r="C767" s="0" t="n">
        <f aca="false">Panel!Q762-Panel!Q761</f>
        <v>0.000894219386287531</v>
      </c>
      <c r="D767" s="29" t="n">
        <f aca="false">Panel!Q761</f>
        <v>-0.001091566013665</v>
      </c>
      <c r="E767" s="30" t="n">
        <f aca="false">Panel!Q761-Panel!Q760</f>
        <v>-0.00204429066958234</v>
      </c>
      <c r="F767" s="30" t="n">
        <f aca="false">Panel!Q760-Panel!Q759</f>
        <v>0.00236241628409317</v>
      </c>
      <c r="G767" s="30" t="n">
        <f aca="false">Panel!Q759-Panel!Q758</f>
        <v>-0.00261245980514602</v>
      </c>
    </row>
    <row r="768" customFormat="false" ht="15" hidden="false" customHeight="false" outlineLevel="0" collapsed="false">
      <c r="C768" s="0" t="n">
        <f aca="false">Panel!Q763-Panel!Q762</f>
        <v>0.00299741613547155</v>
      </c>
      <c r="D768" s="29" t="n">
        <f aca="false">Panel!Q762</f>
        <v>-0.00019734662737747</v>
      </c>
      <c r="E768" s="30" t="n">
        <f aca="false">Panel!Q762-Panel!Q761</f>
        <v>0.000894219386287531</v>
      </c>
      <c r="F768" s="30" t="n">
        <f aca="false">Panel!Q761-Panel!Q760</f>
        <v>-0.00204429066958234</v>
      </c>
      <c r="G768" s="30" t="n">
        <f aca="false">Panel!Q760-Panel!Q759</f>
        <v>0.00236241628409317</v>
      </c>
    </row>
    <row r="769" customFormat="false" ht="15" hidden="false" customHeight="false" outlineLevel="0" collapsed="false">
      <c r="C769" s="0" t="n">
        <f aca="false">Panel!Q764-Panel!Q763</f>
        <v>-0.00319657683985675</v>
      </c>
      <c r="D769" s="29" t="n">
        <f aca="false">Panel!Q763</f>
        <v>0.00280006950809408</v>
      </c>
      <c r="E769" s="30" t="n">
        <f aca="false">Panel!Q763-Panel!Q762</f>
        <v>0.00299741613547155</v>
      </c>
      <c r="F769" s="30" t="n">
        <f aca="false">Panel!Q762-Panel!Q761</f>
        <v>0.000894219386287531</v>
      </c>
      <c r="G769" s="30" t="n">
        <f aca="false">Panel!Q761-Panel!Q760</f>
        <v>-0.00204429066958234</v>
      </c>
    </row>
    <row r="770" customFormat="false" ht="15" hidden="false" customHeight="false" outlineLevel="0" collapsed="false">
      <c r="C770" s="0" t="n">
        <f aca="false">Panel!Q765-Panel!Q764</f>
        <v>0.0036463517322165</v>
      </c>
      <c r="D770" s="29" t="n">
        <f aca="false">Panel!Q764</f>
        <v>-0.000396507331762663</v>
      </c>
      <c r="E770" s="30" t="n">
        <f aca="false">Panel!Q764-Panel!Q763</f>
        <v>-0.00319657683985675</v>
      </c>
      <c r="F770" s="30" t="n">
        <f aca="false">Panel!Q763-Panel!Q762</f>
        <v>0.00299741613547155</v>
      </c>
      <c r="G770" s="30" t="n">
        <f aca="false">Panel!Q762-Panel!Q761</f>
        <v>0.000894219386287531</v>
      </c>
    </row>
    <row r="771" customFormat="false" ht="15" hidden="false" customHeight="false" outlineLevel="0" collapsed="false">
      <c r="C771" s="0" t="n">
        <f aca="false">Panel!Q766-Panel!Q765</f>
        <v>-0.000130731796959438</v>
      </c>
      <c r="D771" s="29" t="n">
        <f aca="false">Panel!Q765</f>
        <v>0.00324984440045384</v>
      </c>
      <c r="E771" s="30" t="n">
        <f aca="false">Panel!Q765-Panel!Q764</f>
        <v>0.0036463517322165</v>
      </c>
      <c r="F771" s="30" t="n">
        <f aca="false">Panel!Q764-Panel!Q763</f>
        <v>-0.00319657683985675</v>
      </c>
      <c r="G771" s="30" t="n">
        <f aca="false">Panel!Q763-Panel!Q762</f>
        <v>0.00299741613547155</v>
      </c>
    </row>
    <row r="772" customFormat="false" ht="15" hidden="false" customHeight="false" outlineLevel="0" collapsed="false">
      <c r="C772" s="0" t="n">
        <f aca="false">Panel!Q767-Panel!Q766</f>
        <v>-0.00361165663748686</v>
      </c>
      <c r="D772" s="29" t="n">
        <f aca="false">Panel!Q766</f>
        <v>0.0031191126034944</v>
      </c>
      <c r="E772" s="30" t="n">
        <f aca="false">Panel!Q766-Panel!Q765</f>
        <v>-0.000130731796959438</v>
      </c>
      <c r="F772" s="30" t="n">
        <f aca="false">Panel!Q765-Panel!Q764</f>
        <v>0.0036463517322165</v>
      </c>
      <c r="G772" s="30" t="n">
        <f aca="false">Panel!Q764-Panel!Q763</f>
        <v>-0.00319657683985675</v>
      </c>
    </row>
    <row r="773" customFormat="false" ht="15" hidden="false" customHeight="false" outlineLevel="0" collapsed="false">
      <c r="C773" s="0" t="n">
        <f aca="false">Panel!Q768-Panel!Q767</f>
        <v>0.00493385352282871</v>
      </c>
      <c r="D773" s="29" t="n">
        <f aca="false">Panel!Q767</f>
        <v>-0.000492544033992459</v>
      </c>
      <c r="E773" s="30" t="n">
        <f aca="false">Panel!Q767-Panel!Q766</f>
        <v>-0.00361165663748686</v>
      </c>
      <c r="F773" s="30" t="n">
        <f aca="false">Panel!Q766-Panel!Q765</f>
        <v>-0.000130731796959438</v>
      </c>
      <c r="G773" s="30" t="n">
        <f aca="false">Panel!Q765-Panel!Q764</f>
        <v>0.0036463517322165</v>
      </c>
    </row>
    <row r="774" customFormat="false" ht="15" hidden="false" customHeight="false" outlineLevel="0" collapsed="false">
      <c r="C774" s="0" t="n">
        <f aca="false">Panel!Q769-Panel!Q768</f>
        <v>-0.000951743399145499</v>
      </c>
      <c r="D774" s="29" t="n">
        <f aca="false">Panel!Q768</f>
        <v>0.00444130948883625</v>
      </c>
      <c r="E774" s="30" t="n">
        <f aca="false">Panel!Q768-Panel!Q767</f>
        <v>0.00493385352282871</v>
      </c>
      <c r="F774" s="30" t="n">
        <f aca="false">Panel!Q767-Panel!Q766</f>
        <v>-0.00361165663748686</v>
      </c>
      <c r="G774" s="30" t="n">
        <f aca="false">Panel!Q766-Panel!Q765</f>
        <v>-0.000130731796959438</v>
      </c>
    </row>
    <row r="775" customFormat="false" ht="15" hidden="false" customHeight="false" outlineLevel="0" collapsed="false">
      <c r="C775" s="0" t="n">
        <f aca="false">Panel!Q770-Panel!Q769</f>
        <v>-0.000691319463809847</v>
      </c>
      <c r="D775" s="29" t="n">
        <f aca="false">Panel!Q769</f>
        <v>0.00348956608969075</v>
      </c>
      <c r="E775" s="30" t="n">
        <f aca="false">Panel!Q769-Panel!Q768</f>
        <v>-0.000951743399145499</v>
      </c>
      <c r="F775" s="30" t="n">
        <f aca="false">Panel!Q768-Panel!Q767</f>
        <v>0.00493385352282871</v>
      </c>
      <c r="G775" s="30" t="n">
        <f aca="false">Panel!Q767-Panel!Q766</f>
        <v>-0.00361165663748686</v>
      </c>
    </row>
    <row r="776" customFormat="false" ht="15" hidden="false" customHeight="false" outlineLevel="0" collapsed="false">
      <c r="C776" s="0" t="n">
        <f aca="false">Panel!Q771-Panel!Q770</f>
        <v>-0.0024593587136561</v>
      </c>
      <c r="D776" s="29" t="n">
        <f aca="false">Panel!Q770</f>
        <v>0.00279824662588091</v>
      </c>
      <c r="E776" s="30" t="n">
        <f aca="false">Panel!Q770-Panel!Q769</f>
        <v>-0.000691319463809847</v>
      </c>
      <c r="F776" s="30" t="n">
        <f aca="false">Panel!Q769-Panel!Q768</f>
        <v>-0.000951743399145499</v>
      </c>
      <c r="G776" s="30" t="n">
        <f aca="false">Panel!Q768-Panel!Q767</f>
        <v>0.00493385352282871</v>
      </c>
    </row>
    <row r="777" customFormat="false" ht="15" hidden="false" customHeight="false" outlineLevel="0" collapsed="false">
      <c r="C777" s="0" t="n">
        <f aca="false">Panel!Q772-Panel!Q771</f>
        <v>-0.000714252757902045</v>
      </c>
      <c r="D777" s="29" t="n">
        <f aca="false">Panel!Q771</f>
        <v>0.000338887912224806</v>
      </c>
      <c r="E777" s="30" t="n">
        <f aca="false">Panel!Q771-Panel!Q770</f>
        <v>-0.0024593587136561</v>
      </c>
      <c r="F777" s="30" t="n">
        <f aca="false">Panel!Q770-Panel!Q769</f>
        <v>-0.000691319463809847</v>
      </c>
      <c r="G777" s="30" t="n">
        <f aca="false">Panel!Q769-Panel!Q768</f>
        <v>-0.000951743399145499</v>
      </c>
    </row>
    <row r="778" customFormat="false" ht="15" hidden="false" customHeight="false" outlineLevel="0" collapsed="false">
      <c r="C778" s="0" t="n">
        <f aca="false">Panel!Q773-Panel!Q772</f>
        <v>0.00266384400782549</v>
      </c>
      <c r="D778" s="29" t="n">
        <f aca="false">Panel!Q772</f>
        <v>-0.00037536484567724</v>
      </c>
      <c r="E778" s="30" t="n">
        <f aca="false">Panel!Q772-Panel!Q771</f>
        <v>-0.000714252757902045</v>
      </c>
      <c r="F778" s="30" t="n">
        <f aca="false">Panel!Q771-Panel!Q770</f>
        <v>-0.0024593587136561</v>
      </c>
      <c r="G778" s="30" t="n">
        <f aca="false">Panel!Q770-Panel!Q769</f>
        <v>-0.000691319463809847</v>
      </c>
    </row>
    <row r="779" customFormat="false" ht="15" hidden="false" customHeight="false" outlineLevel="0" collapsed="false">
      <c r="C779" s="0" t="n">
        <f aca="false">Panel!Q774-Panel!Q773</f>
        <v>-0.000937914559507647</v>
      </c>
      <c r="D779" s="29" t="n">
        <f aca="false">Panel!Q773</f>
        <v>0.00228847916214825</v>
      </c>
      <c r="E779" s="30" t="n">
        <f aca="false">Panel!Q773-Panel!Q772</f>
        <v>0.00266384400782549</v>
      </c>
      <c r="F779" s="30" t="n">
        <f aca="false">Panel!Q772-Panel!Q771</f>
        <v>-0.000714252757902045</v>
      </c>
      <c r="G779" s="30" t="n">
        <f aca="false">Panel!Q771-Panel!Q770</f>
        <v>-0.0024593587136561</v>
      </c>
    </row>
    <row r="780" customFormat="false" ht="15" hidden="false" customHeight="false" outlineLevel="0" collapsed="false">
      <c r="C780" s="0" t="n">
        <f aca="false">Panel!Q775-Panel!Q774</f>
        <v>0.00011326291411784</v>
      </c>
      <c r="D780" s="29" t="n">
        <f aca="false">Panel!Q774</f>
        <v>0.0013505646026406</v>
      </c>
      <c r="E780" s="30" t="n">
        <f aca="false">Panel!Q774-Panel!Q773</f>
        <v>-0.000937914559507647</v>
      </c>
      <c r="F780" s="30" t="n">
        <f aca="false">Panel!Q773-Panel!Q772</f>
        <v>0.00266384400782549</v>
      </c>
      <c r="G780" s="30" t="n">
        <f aca="false">Panel!Q772-Panel!Q771</f>
        <v>-0.000714252757902045</v>
      </c>
    </row>
    <row r="781" customFormat="false" ht="15" hidden="false" customHeight="false" outlineLevel="0" collapsed="false">
      <c r="C781" s="0" t="n">
        <f aca="false">Panel!Q776-Panel!Q775</f>
        <v>0.00141904884395849</v>
      </c>
      <c r="D781" s="29" t="n">
        <f aca="false">Panel!Q775</f>
        <v>0.00146382751675844</v>
      </c>
      <c r="E781" s="30" t="n">
        <f aca="false">Panel!Q775-Panel!Q774</f>
        <v>0.00011326291411784</v>
      </c>
      <c r="F781" s="30" t="n">
        <f aca="false">Panel!Q774-Panel!Q773</f>
        <v>-0.000937914559507647</v>
      </c>
      <c r="G781" s="30" t="n">
        <f aca="false">Panel!Q773-Panel!Q772</f>
        <v>0.00266384400782549</v>
      </c>
    </row>
    <row r="782" customFormat="false" ht="15" hidden="false" customHeight="false" outlineLevel="0" collapsed="false">
      <c r="C782" s="0" t="n">
        <f aca="false">Panel!Q777-Panel!Q776</f>
        <v>-0.000547614905700655</v>
      </c>
      <c r="D782" s="29" t="n">
        <f aca="false">Panel!Q776</f>
        <v>0.00288287636071694</v>
      </c>
      <c r="E782" s="30" t="n">
        <f aca="false">Panel!Q776-Panel!Q775</f>
        <v>0.00141904884395849</v>
      </c>
      <c r="F782" s="30" t="n">
        <f aca="false">Panel!Q775-Panel!Q774</f>
        <v>0.00011326291411784</v>
      </c>
      <c r="G782" s="30" t="n">
        <f aca="false">Panel!Q774-Panel!Q773</f>
        <v>-0.000937914559507647</v>
      </c>
    </row>
    <row r="783" customFormat="false" ht="15" hidden="false" customHeight="false" outlineLevel="0" collapsed="false">
      <c r="C783" s="0" t="n">
        <f aca="false">Panel!Q778-Panel!Q777</f>
        <v>-0.00027187765203962</v>
      </c>
      <c r="D783" s="29" t="n">
        <f aca="false">Panel!Q777</f>
        <v>0.00233526145501628</v>
      </c>
      <c r="E783" s="30" t="n">
        <f aca="false">Panel!Q777-Panel!Q776</f>
        <v>-0.000547614905700655</v>
      </c>
      <c r="F783" s="30" t="n">
        <f aca="false">Panel!Q776-Panel!Q775</f>
        <v>0.00141904884395849</v>
      </c>
      <c r="G783" s="30" t="n">
        <f aca="false">Panel!Q775-Panel!Q774</f>
        <v>0.00011326291411784</v>
      </c>
    </row>
    <row r="784" customFormat="false" ht="15" hidden="false" customHeight="false" outlineLevel="0" collapsed="false">
      <c r="C784" s="0" t="n">
        <f aca="false">Panel!Q779-Panel!Q778</f>
        <v>-0.0014134588345005</v>
      </c>
      <c r="D784" s="29" t="n">
        <f aca="false">Panel!Q778</f>
        <v>0.00206338380297666</v>
      </c>
      <c r="E784" s="30" t="n">
        <f aca="false">Panel!Q778-Panel!Q777</f>
        <v>-0.00027187765203962</v>
      </c>
      <c r="F784" s="30" t="n">
        <f aca="false">Panel!Q777-Panel!Q776</f>
        <v>-0.000547614905700655</v>
      </c>
      <c r="G784" s="30" t="n">
        <f aca="false">Panel!Q776-Panel!Q775</f>
        <v>0.00141904884395849</v>
      </c>
    </row>
    <row r="785" customFormat="false" ht="15" hidden="false" customHeight="false" outlineLevel="0" collapsed="false">
      <c r="C785" s="0" t="n">
        <f aca="false">Panel!Q780-Panel!Q779</f>
        <v>0.000843778263909911</v>
      </c>
      <c r="D785" s="29" t="n">
        <f aca="false">Panel!Q779</f>
        <v>0.000649924968476157</v>
      </c>
      <c r="E785" s="30" t="n">
        <f aca="false">Panel!Q779-Panel!Q778</f>
        <v>-0.0014134588345005</v>
      </c>
      <c r="F785" s="30" t="n">
        <f aca="false">Panel!Q778-Panel!Q777</f>
        <v>-0.00027187765203962</v>
      </c>
      <c r="G785" s="30" t="n">
        <f aca="false">Panel!Q777-Panel!Q776</f>
        <v>-0.000547614905700655</v>
      </c>
    </row>
    <row r="786" customFormat="false" ht="15" hidden="false" customHeight="false" outlineLevel="0" collapsed="false">
      <c r="C786" s="0" t="n">
        <f aca="false">Panel!Q781-Panel!Q780</f>
        <v>-0.0019466831004884</v>
      </c>
      <c r="D786" s="29" t="n">
        <f aca="false">Panel!Q780</f>
        <v>0.00149370323238607</v>
      </c>
      <c r="E786" s="30" t="n">
        <f aca="false">Panel!Q780-Panel!Q779</f>
        <v>0.000843778263909911</v>
      </c>
      <c r="F786" s="30" t="n">
        <f aca="false">Panel!Q779-Panel!Q778</f>
        <v>-0.0014134588345005</v>
      </c>
      <c r="G786" s="30" t="n">
        <f aca="false">Panel!Q778-Panel!Q777</f>
        <v>-0.00027187765203962</v>
      </c>
    </row>
    <row r="787" customFormat="false" ht="15" hidden="false" customHeight="false" outlineLevel="0" collapsed="false">
      <c r="C787" s="0" t="n">
        <f aca="false">Panel!Q782-Panel!Q781</f>
        <v>0.000105690297601768</v>
      </c>
      <c r="D787" s="29" t="n">
        <f aca="false">Panel!Q781</f>
        <v>-0.000452979868102332</v>
      </c>
      <c r="E787" s="30" t="n">
        <f aca="false">Panel!Q781-Panel!Q780</f>
        <v>-0.0019466831004884</v>
      </c>
      <c r="F787" s="30" t="n">
        <f aca="false">Panel!Q780-Panel!Q779</f>
        <v>0.000843778263909911</v>
      </c>
      <c r="G787" s="30" t="n">
        <f aca="false">Panel!Q779-Panel!Q778</f>
        <v>-0.0014134588345005</v>
      </c>
    </row>
    <row r="788" customFormat="false" ht="15" hidden="false" customHeight="false" outlineLevel="0" collapsed="false">
      <c r="C788" s="0" t="n">
        <f aca="false">Panel!Q783-Panel!Q782</f>
        <v>-0.0014488194905713</v>
      </c>
      <c r="D788" s="29" t="n">
        <f aca="false">Panel!Q782</f>
        <v>-0.000347289570500564</v>
      </c>
      <c r="E788" s="30" t="n">
        <f aca="false">Panel!Q782-Panel!Q781</f>
        <v>0.000105690297601768</v>
      </c>
      <c r="F788" s="30" t="n">
        <f aca="false">Panel!Q781-Panel!Q780</f>
        <v>-0.0019466831004884</v>
      </c>
      <c r="G788" s="30" t="n">
        <f aca="false">Panel!Q780-Panel!Q779</f>
        <v>0.000843778263909911</v>
      </c>
    </row>
    <row r="789" customFormat="false" ht="15" hidden="false" customHeight="false" outlineLevel="0" collapsed="false">
      <c r="C789" s="0" t="n">
        <f aca="false">Panel!Q784-Panel!Q783</f>
        <v>0.00215836594541941</v>
      </c>
      <c r="D789" s="29" t="n">
        <f aca="false">Panel!Q783</f>
        <v>-0.00179610906107186</v>
      </c>
      <c r="E789" s="30" t="n">
        <f aca="false">Panel!Q783-Panel!Q782</f>
        <v>-0.0014488194905713</v>
      </c>
      <c r="F789" s="30" t="n">
        <f aca="false">Panel!Q782-Panel!Q781</f>
        <v>0.000105690297601768</v>
      </c>
      <c r="G789" s="30" t="n">
        <f aca="false">Panel!Q781-Panel!Q780</f>
        <v>-0.0019466831004884</v>
      </c>
    </row>
    <row r="790" customFormat="false" ht="15" hidden="false" customHeight="false" outlineLevel="0" collapsed="false">
      <c r="C790" s="0" t="n">
        <f aca="false">Panel!Q785-Panel!Q784</f>
        <v>-0.000822659731612774</v>
      </c>
      <c r="D790" s="29" t="n">
        <f aca="false">Panel!Q784</f>
        <v>0.000362256884347545</v>
      </c>
      <c r="E790" s="30" t="n">
        <f aca="false">Panel!Q784-Panel!Q783</f>
        <v>0.00215836594541941</v>
      </c>
      <c r="F790" s="30" t="n">
        <f aca="false">Panel!Q783-Panel!Q782</f>
        <v>-0.0014488194905713</v>
      </c>
      <c r="G790" s="30" t="n">
        <f aca="false">Panel!Q782-Panel!Q781</f>
        <v>0.000105690297601768</v>
      </c>
    </row>
    <row r="791" customFormat="false" ht="15" hidden="false" customHeight="false" outlineLevel="0" collapsed="false">
      <c r="C791" s="0" t="n">
        <f aca="false">Panel!Q786-Panel!Q785</f>
        <v>-0.00115890054861367</v>
      </c>
      <c r="D791" s="29" t="n">
        <f aca="false">Panel!Q785</f>
        <v>-0.000460402847265229</v>
      </c>
      <c r="E791" s="30" t="n">
        <f aca="false">Panel!Q785-Panel!Q784</f>
        <v>-0.000822659731612774</v>
      </c>
      <c r="F791" s="30" t="n">
        <f aca="false">Panel!Q784-Panel!Q783</f>
        <v>0.00215836594541941</v>
      </c>
      <c r="G791" s="30" t="n">
        <f aca="false">Panel!Q783-Panel!Q782</f>
        <v>-0.0014488194905713</v>
      </c>
    </row>
    <row r="792" customFormat="false" ht="15" hidden="false" customHeight="false" outlineLevel="0" collapsed="false">
      <c r="C792" s="0" t="n">
        <f aca="false">Panel!Q787-Panel!Q786</f>
        <v>-0.004696623455823</v>
      </c>
      <c r="D792" s="29" t="n">
        <f aca="false">Panel!Q786</f>
        <v>-0.0016193033958789</v>
      </c>
      <c r="E792" s="30" t="n">
        <f aca="false">Panel!Q786-Panel!Q785</f>
        <v>-0.00115890054861367</v>
      </c>
      <c r="F792" s="30" t="n">
        <f aca="false">Panel!Q785-Panel!Q784</f>
        <v>-0.000822659731612774</v>
      </c>
      <c r="G792" s="30" t="n">
        <f aca="false">Panel!Q784-Panel!Q783</f>
        <v>0.00215836594541941</v>
      </c>
    </row>
    <row r="793" customFormat="false" ht="15" hidden="false" customHeight="false" outlineLevel="0" collapsed="false">
      <c r="C793" s="0" t="n">
        <f aca="false">Panel!Q788-Panel!Q787</f>
        <v>0.00767320575232944</v>
      </c>
      <c r="D793" s="29" t="n">
        <f aca="false">Panel!Q787</f>
        <v>-0.0063159268517019</v>
      </c>
      <c r="E793" s="30" t="n">
        <f aca="false">Panel!Q787-Panel!Q786</f>
        <v>-0.004696623455823</v>
      </c>
      <c r="F793" s="30" t="n">
        <f aca="false">Panel!Q786-Panel!Q785</f>
        <v>-0.00115890054861367</v>
      </c>
      <c r="G793" s="30" t="n">
        <f aca="false">Panel!Q785-Panel!Q784</f>
        <v>-0.000822659731612774</v>
      </c>
    </row>
    <row r="794" customFormat="false" ht="15" hidden="false" customHeight="false" outlineLevel="0" collapsed="false">
      <c r="C794" s="0" t="n">
        <f aca="false">Panel!Q789-Panel!Q788</f>
        <v>0.00243348563443213</v>
      </c>
      <c r="D794" s="29" t="n">
        <f aca="false">Panel!Q788</f>
        <v>0.00135727890062753</v>
      </c>
      <c r="E794" s="30" t="n">
        <f aca="false">Panel!Q788-Panel!Q787</f>
        <v>0.00767320575232944</v>
      </c>
      <c r="F794" s="30" t="n">
        <f aca="false">Panel!Q787-Panel!Q786</f>
        <v>-0.004696623455823</v>
      </c>
      <c r="G794" s="30" t="n">
        <f aca="false">Panel!Q786-Panel!Q785</f>
        <v>-0.00115890054861367</v>
      </c>
    </row>
    <row r="795" customFormat="false" ht="15" hidden="false" customHeight="false" outlineLevel="0" collapsed="false">
      <c r="C795" s="0" t="n">
        <f aca="false">Panel!Q790-Panel!Q789</f>
        <v>-0.00258164171342123</v>
      </c>
      <c r="D795" s="29" t="n">
        <f aca="false">Panel!Q789</f>
        <v>0.00379076453505967</v>
      </c>
      <c r="E795" s="30" t="n">
        <f aca="false">Panel!Q789-Panel!Q788</f>
        <v>0.00243348563443213</v>
      </c>
      <c r="F795" s="30" t="n">
        <f aca="false">Panel!Q788-Panel!Q787</f>
        <v>0.00767320575232944</v>
      </c>
      <c r="G795" s="30" t="n">
        <f aca="false">Panel!Q787-Panel!Q786</f>
        <v>-0.004696623455823</v>
      </c>
    </row>
    <row r="796" customFormat="false" ht="15" hidden="false" customHeight="false" outlineLevel="0" collapsed="false">
      <c r="C796" s="0" t="n">
        <f aca="false">Panel!Q791-Panel!Q790</f>
        <v>-8.02804947905855E-005</v>
      </c>
      <c r="D796" s="29" t="n">
        <f aca="false">Panel!Q790</f>
        <v>0.00120912282163843</v>
      </c>
      <c r="E796" s="30" t="n">
        <f aca="false">Panel!Q790-Panel!Q789</f>
        <v>-0.00258164171342123</v>
      </c>
      <c r="F796" s="30" t="n">
        <f aca="false">Panel!Q789-Panel!Q788</f>
        <v>0.00243348563443213</v>
      </c>
      <c r="G796" s="30" t="n">
        <f aca="false">Panel!Q788-Panel!Q787</f>
        <v>0.00767320575232944</v>
      </c>
    </row>
    <row r="797" customFormat="false" ht="15" hidden="false" customHeight="false" outlineLevel="0" collapsed="false">
      <c r="C797" s="0" t="n">
        <f aca="false">Panel!Q792-Panel!Q791</f>
        <v>-0.000296049305974933</v>
      </c>
      <c r="D797" s="29" t="n">
        <f aca="false">Panel!Q791</f>
        <v>0.00112884232684785</v>
      </c>
      <c r="E797" s="30" t="n">
        <f aca="false">Panel!Q791-Panel!Q790</f>
        <v>-8.02804947905855E-005</v>
      </c>
      <c r="F797" s="30" t="n">
        <f aca="false">Panel!Q790-Panel!Q789</f>
        <v>-0.00258164171342123</v>
      </c>
      <c r="G797" s="30" t="n">
        <f aca="false">Panel!Q789-Panel!Q788</f>
        <v>0.00243348563443213</v>
      </c>
    </row>
    <row r="798" customFormat="false" ht="15" hidden="false" customHeight="false" outlineLevel="0" collapsed="false">
      <c r="C798" s="0" t="n">
        <f aca="false">Panel!Q793-Panel!Q792</f>
        <v>-0.00301892222259781</v>
      </c>
      <c r="D798" s="29" t="n">
        <f aca="false">Panel!Q792</f>
        <v>0.000832793020872913</v>
      </c>
      <c r="E798" s="30" t="n">
        <f aca="false">Panel!Q792-Panel!Q791</f>
        <v>-0.000296049305974933</v>
      </c>
      <c r="F798" s="30" t="n">
        <f aca="false">Panel!Q791-Panel!Q790</f>
        <v>-8.02804947905855E-005</v>
      </c>
      <c r="G798" s="30" t="n">
        <f aca="false">Panel!Q790-Panel!Q789</f>
        <v>-0.00258164171342123</v>
      </c>
    </row>
    <row r="799" customFormat="false" ht="15" hidden="false" customHeight="false" outlineLevel="0" collapsed="false">
      <c r="C799" s="0" t="n">
        <f aca="false">Panel!Q794-Panel!Q793</f>
        <v>0.00016208227615877</v>
      </c>
      <c r="D799" s="29" t="n">
        <f aca="false">Panel!Q793</f>
        <v>-0.0021861292017249</v>
      </c>
      <c r="E799" s="30" t="n">
        <f aca="false">Panel!Q793-Panel!Q792</f>
        <v>-0.00301892222259781</v>
      </c>
      <c r="F799" s="30" t="n">
        <f aca="false">Panel!Q792-Panel!Q791</f>
        <v>-0.000296049305974933</v>
      </c>
      <c r="G799" s="30" t="n">
        <f aca="false">Panel!Q791-Panel!Q790</f>
        <v>-8.02804947905855E-005</v>
      </c>
    </row>
    <row r="800" customFormat="false" ht="15" hidden="false" customHeight="false" outlineLevel="0" collapsed="false">
      <c r="C800" s="0" t="n">
        <f aca="false">Panel!Q795-Panel!Q794</f>
        <v>0.00168469148789185</v>
      </c>
      <c r="D800" s="29" t="n">
        <f aca="false">Panel!Q794</f>
        <v>-0.00202404692556613</v>
      </c>
      <c r="E800" s="30" t="n">
        <f aca="false">Panel!Q794-Panel!Q793</f>
        <v>0.00016208227615877</v>
      </c>
      <c r="F800" s="30" t="n">
        <f aca="false">Panel!Q793-Panel!Q792</f>
        <v>-0.00301892222259781</v>
      </c>
      <c r="G800" s="30" t="n">
        <f aca="false">Panel!Q792-Panel!Q791</f>
        <v>-0.000296049305974933</v>
      </c>
    </row>
    <row r="801" customFormat="false" ht="15" hidden="false" customHeight="false" outlineLevel="0" collapsed="false">
      <c r="C801" s="0" t="n">
        <f aca="false">Panel!Q796-Panel!Q795</f>
        <v>0.000473717816049657</v>
      </c>
      <c r="D801" s="29" t="n">
        <f aca="false">Panel!Q795</f>
        <v>-0.000339355437674271</v>
      </c>
      <c r="E801" s="30" t="n">
        <f aca="false">Panel!Q795-Panel!Q794</f>
        <v>0.00168469148789185</v>
      </c>
      <c r="F801" s="30" t="n">
        <f aca="false">Panel!Q794-Panel!Q793</f>
        <v>0.00016208227615877</v>
      </c>
      <c r="G801" s="30" t="n">
        <f aca="false">Panel!Q793-Panel!Q792</f>
        <v>-0.00301892222259781</v>
      </c>
    </row>
    <row r="802" customFormat="false" ht="15" hidden="false" customHeight="false" outlineLevel="0" collapsed="false">
      <c r="C802" s="0" t="n">
        <f aca="false">Panel!Q797-Panel!Q796</f>
        <v>-0.00314030146061128</v>
      </c>
      <c r="D802" s="29" t="n">
        <f aca="false">Panel!Q796</f>
        <v>0.000134362378375386</v>
      </c>
      <c r="E802" s="30" t="n">
        <f aca="false">Panel!Q796-Panel!Q795</f>
        <v>0.000473717816049657</v>
      </c>
      <c r="F802" s="30" t="n">
        <f aca="false">Panel!Q795-Panel!Q794</f>
        <v>0.00168469148789185</v>
      </c>
      <c r="G802" s="30" t="n">
        <f aca="false">Panel!Q794-Panel!Q793</f>
        <v>0.00016208227615877</v>
      </c>
    </row>
    <row r="803" customFormat="false" ht="15" hidden="false" customHeight="false" outlineLevel="0" collapsed="false">
      <c r="C803" s="0" t="n">
        <f aca="false">Panel!Q798-Panel!Q797</f>
        <v>0.00133775296661831</v>
      </c>
      <c r="D803" s="29" t="n">
        <f aca="false">Panel!Q797</f>
        <v>-0.0030059390822359</v>
      </c>
      <c r="E803" s="30" t="n">
        <f aca="false">Panel!Q797-Panel!Q796</f>
        <v>-0.00314030146061128</v>
      </c>
      <c r="F803" s="30" t="n">
        <f aca="false">Panel!Q796-Panel!Q795</f>
        <v>0.000473717816049657</v>
      </c>
      <c r="G803" s="30" t="n">
        <f aca="false">Panel!Q795-Panel!Q794</f>
        <v>0.00168469148789185</v>
      </c>
    </row>
    <row r="804" customFormat="false" ht="15" hidden="false" customHeight="false" outlineLevel="0" collapsed="false">
      <c r="C804" s="0" t="n">
        <f aca="false">Panel!Q799-Panel!Q798</f>
        <v>-0.00066408676130969</v>
      </c>
      <c r="D804" s="29" t="n">
        <f aca="false">Panel!Q798</f>
        <v>-0.00166818611561759</v>
      </c>
      <c r="E804" s="30" t="n">
        <f aca="false">Panel!Q798-Panel!Q797</f>
        <v>0.00133775296661831</v>
      </c>
      <c r="F804" s="30" t="n">
        <f aca="false">Panel!Q797-Panel!Q796</f>
        <v>-0.00314030146061128</v>
      </c>
      <c r="G804" s="30" t="n">
        <f aca="false">Panel!Q796-Panel!Q795</f>
        <v>0.000473717816049657</v>
      </c>
    </row>
    <row r="805" customFormat="false" ht="15" hidden="false" customHeight="false" outlineLevel="0" collapsed="false">
      <c r="C805" s="0" t="n">
        <f aca="false">Panel!Q800-Panel!Q799</f>
        <v>0.00135753799773219</v>
      </c>
      <c r="D805" s="29" t="n">
        <f aca="false">Panel!Q799</f>
        <v>-0.00233227287692728</v>
      </c>
      <c r="E805" s="30" t="n">
        <f aca="false">Panel!Q799-Panel!Q798</f>
        <v>-0.00066408676130969</v>
      </c>
      <c r="F805" s="30" t="n">
        <f aca="false">Panel!Q798-Panel!Q797</f>
        <v>0.00133775296661831</v>
      </c>
      <c r="G805" s="30" t="n">
        <f aca="false">Panel!Q797-Panel!Q796</f>
        <v>-0.00314030146061128</v>
      </c>
    </row>
    <row r="806" customFormat="false" ht="15" hidden="false" customHeight="false" outlineLevel="0" collapsed="false">
      <c r="C806" s="0" t="n">
        <f aca="false">Panel!Q801-Panel!Q800</f>
        <v>0.000244719021292639</v>
      </c>
      <c r="D806" s="29" t="n">
        <f aca="false">Panel!Q800</f>
        <v>-0.000974734879195083</v>
      </c>
      <c r="E806" s="30" t="n">
        <f aca="false">Panel!Q800-Panel!Q799</f>
        <v>0.00135753799773219</v>
      </c>
      <c r="F806" s="30" t="n">
        <f aca="false">Panel!Q799-Panel!Q798</f>
        <v>-0.00066408676130969</v>
      </c>
      <c r="G806" s="30" t="n">
        <f aca="false">Panel!Q798-Panel!Q797</f>
        <v>0.00133775296661831</v>
      </c>
    </row>
    <row r="807" customFormat="false" ht="15" hidden="false" customHeight="false" outlineLevel="0" collapsed="false">
      <c r="C807" s="0" t="n">
        <f aca="false">Panel!Q802-Panel!Q801</f>
        <v>-0.00157627442784047</v>
      </c>
      <c r="D807" s="29" t="n">
        <f aca="false">Panel!Q801</f>
        <v>-0.000730015857902444</v>
      </c>
      <c r="E807" s="30" t="n">
        <f aca="false">Panel!Q801-Panel!Q800</f>
        <v>0.000244719021292639</v>
      </c>
      <c r="F807" s="30" t="n">
        <f aca="false">Panel!Q800-Panel!Q799</f>
        <v>0.00135753799773219</v>
      </c>
      <c r="G807" s="30" t="n">
        <f aca="false">Panel!Q799-Panel!Q798</f>
        <v>-0.00066408676130969</v>
      </c>
    </row>
    <row r="808" customFormat="false" ht="15" hidden="false" customHeight="false" outlineLevel="0" collapsed="false">
      <c r="C808" s="0" t="n">
        <f aca="false">Panel!Q803-Panel!Q802</f>
        <v>-0.00201010518783207</v>
      </c>
      <c r="D808" s="29" t="n">
        <f aca="false">Panel!Q802</f>
        <v>-0.00230629028574292</v>
      </c>
      <c r="E808" s="30" t="n">
        <f aca="false">Panel!Q802-Panel!Q801</f>
        <v>-0.00157627442784047</v>
      </c>
      <c r="F808" s="30" t="n">
        <f aca="false">Panel!Q801-Panel!Q800</f>
        <v>0.000244719021292639</v>
      </c>
      <c r="G808" s="30" t="n">
        <f aca="false">Panel!Q800-Panel!Q799</f>
        <v>0.00135753799773219</v>
      </c>
    </row>
    <row r="809" customFormat="false" ht="15" hidden="false" customHeight="false" outlineLevel="0" collapsed="false">
      <c r="C809" s="0" t="n">
        <f aca="false">Panel!Q804-Panel!Q803</f>
        <v>0.000551839498804441</v>
      </c>
      <c r="D809" s="29" t="n">
        <f aca="false">Panel!Q803</f>
        <v>-0.00431639547357499</v>
      </c>
      <c r="E809" s="30" t="n">
        <f aca="false">Panel!Q803-Panel!Q802</f>
        <v>-0.00201010518783207</v>
      </c>
      <c r="F809" s="30" t="n">
        <f aca="false">Panel!Q802-Panel!Q801</f>
        <v>-0.00157627442784047</v>
      </c>
      <c r="G809" s="30" t="n">
        <f aca="false">Panel!Q801-Panel!Q800</f>
        <v>0.000244719021292639</v>
      </c>
    </row>
    <row r="810" customFormat="false" ht="15" hidden="false" customHeight="false" outlineLevel="0" collapsed="false">
      <c r="C810" s="0" t="n">
        <f aca="false">Panel!Q805-Panel!Q804</f>
        <v>0.000339438700921235</v>
      </c>
      <c r="D810" s="29" t="n">
        <f aca="false">Panel!Q804</f>
        <v>-0.00376455597477055</v>
      </c>
      <c r="E810" s="30" t="n">
        <f aca="false">Panel!Q804-Panel!Q803</f>
        <v>0.000551839498804441</v>
      </c>
      <c r="F810" s="30" t="n">
        <f aca="false">Panel!Q803-Panel!Q802</f>
        <v>-0.00201010518783207</v>
      </c>
      <c r="G810" s="30" t="n">
        <f aca="false">Panel!Q802-Panel!Q801</f>
        <v>-0.00157627442784047</v>
      </c>
    </row>
    <row r="811" customFormat="false" ht="15" hidden="false" customHeight="false" outlineLevel="0" collapsed="false">
      <c r="C811" s="0" t="n">
        <f aca="false">Panel!Q806-Panel!Q805</f>
        <v>0.000640718800644535</v>
      </c>
      <c r="D811" s="29" t="n">
        <f aca="false">Panel!Q805</f>
        <v>-0.00342511727384931</v>
      </c>
      <c r="E811" s="30" t="n">
        <f aca="false">Panel!Q805-Panel!Q804</f>
        <v>0.000339438700921235</v>
      </c>
      <c r="F811" s="30" t="n">
        <f aca="false">Panel!Q804-Panel!Q803</f>
        <v>0.000551839498804441</v>
      </c>
      <c r="G811" s="30" t="n">
        <f aca="false">Panel!Q803-Panel!Q802</f>
        <v>-0.00201010518783207</v>
      </c>
    </row>
    <row r="812" customFormat="false" ht="15" hidden="false" customHeight="false" outlineLevel="0" collapsed="false">
      <c r="C812" s="0" t="n">
        <f aca="false">Panel!Q807-Panel!Q806</f>
        <v>-0.00270039766749797</v>
      </c>
      <c r="D812" s="29" t="n">
        <f aca="false">Panel!Q806</f>
        <v>-0.00278439847320477</v>
      </c>
      <c r="E812" s="30" t="n">
        <f aca="false">Panel!Q806-Panel!Q805</f>
        <v>0.000640718800644535</v>
      </c>
      <c r="F812" s="30" t="n">
        <f aca="false">Panel!Q805-Panel!Q804</f>
        <v>0.000339438700921235</v>
      </c>
      <c r="G812" s="30" t="n">
        <f aca="false">Panel!Q804-Panel!Q803</f>
        <v>0.000551839498804441</v>
      </c>
    </row>
    <row r="813" customFormat="false" ht="15" hidden="false" customHeight="false" outlineLevel="0" collapsed="false">
      <c r="C813" s="0" t="n">
        <f aca="false">Panel!Q808-Panel!Q807</f>
        <v>0.0068112454494802</v>
      </c>
      <c r="D813" s="29" t="n">
        <f aca="false">Panel!Q807</f>
        <v>-0.00548479614070274</v>
      </c>
      <c r="E813" s="30" t="n">
        <f aca="false">Panel!Q807-Panel!Q806</f>
        <v>-0.00270039766749797</v>
      </c>
      <c r="F813" s="30" t="n">
        <f aca="false">Panel!Q806-Panel!Q805</f>
        <v>0.000640718800644535</v>
      </c>
      <c r="G813" s="30" t="n">
        <f aca="false">Panel!Q805-Panel!Q804</f>
        <v>0.000339438700921235</v>
      </c>
    </row>
    <row r="814" customFormat="false" ht="15" hidden="false" customHeight="false" outlineLevel="0" collapsed="false">
      <c r="C814" s="0" t="n">
        <f aca="false">Panel!Q809-Panel!Q808</f>
        <v>-0.000809831096674429</v>
      </c>
      <c r="D814" s="29" t="n">
        <f aca="false">Panel!Q808</f>
        <v>0.00132644930877746</v>
      </c>
      <c r="E814" s="30" t="n">
        <f aca="false">Panel!Q808-Panel!Q807</f>
        <v>0.0068112454494802</v>
      </c>
      <c r="F814" s="30" t="n">
        <f aca="false">Panel!Q807-Panel!Q806</f>
        <v>-0.00270039766749797</v>
      </c>
      <c r="G814" s="30" t="n">
        <f aca="false">Panel!Q806-Panel!Q805</f>
        <v>0.000640718800644535</v>
      </c>
    </row>
    <row r="815" customFormat="false" ht="15" hidden="false" customHeight="false" outlineLevel="0" collapsed="false">
      <c r="C815" s="0" t="n">
        <f aca="false">Panel!Q810-Panel!Q809</f>
        <v>-0.000215208435335512</v>
      </c>
      <c r="D815" s="29" t="n">
        <f aca="false">Panel!Q809</f>
        <v>0.000516618212103026</v>
      </c>
      <c r="E815" s="30" t="n">
        <f aca="false">Panel!Q809-Panel!Q808</f>
        <v>-0.000809831096674429</v>
      </c>
      <c r="F815" s="30" t="n">
        <f aca="false">Panel!Q808-Panel!Q807</f>
        <v>0.0068112454494802</v>
      </c>
      <c r="G815" s="30" t="n">
        <f aca="false">Panel!Q807-Panel!Q806</f>
        <v>-0.00270039766749797</v>
      </c>
    </row>
    <row r="816" customFormat="false" ht="15" hidden="false" customHeight="false" outlineLevel="0" collapsed="false">
      <c r="C816" s="0" t="n">
        <f aca="false">Panel!Q811-Panel!Q810</f>
        <v>-0.000597272308635155</v>
      </c>
      <c r="D816" s="29" t="n">
        <f aca="false">Panel!Q810</f>
        <v>0.000301409776767514</v>
      </c>
      <c r="E816" s="30" t="n">
        <f aca="false">Panel!Q810-Panel!Q809</f>
        <v>-0.000215208435335512</v>
      </c>
      <c r="F816" s="30" t="n">
        <f aca="false">Panel!Q809-Panel!Q808</f>
        <v>-0.000809831096674429</v>
      </c>
      <c r="G816" s="30" t="n">
        <f aca="false">Panel!Q808-Panel!Q807</f>
        <v>0.0068112454494802</v>
      </c>
    </row>
    <row r="817" customFormat="false" ht="15" hidden="false" customHeight="false" outlineLevel="0" collapsed="false">
      <c r="C817" s="0" t="n">
        <f aca="false">Panel!Q812-Panel!Q811</f>
        <v>0.00103998874441125</v>
      </c>
      <c r="D817" s="29" t="n">
        <f aca="false">Panel!Q811</f>
        <v>-0.000295862531867641</v>
      </c>
      <c r="E817" s="30" t="n">
        <f aca="false">Panel!Q811-Panel!Q810</f>
        <v>-0.000597272308635155</v>
      </c>
      <c r="F817" s="30" t="n">
        <f aca="false">Panel!Q810-Panel!Q809</f>
        <v>-0.000215208435335512</v>
      </c>
      <c r="G817" s="30" t="n">
        <f aca="false">Panel!Q809-Panel!Q808</f>
        <v>-0.000809831096674429</v>
      </c>
    </row>
    <row r="818" customFormat="false" ht="15" hidden="false" customHeight="false" outlineLevel="0" collapsed="false">
      <c r="C818" s="0" t="n">
        <f aca="false">Panel!Q813-Panel!Q812</f>
        <v>-0.000823451824858879</v>
      </c>
      <c r="D818" s="29" t="n">
        <f aca="false">Panel!Q812</f>
        <v>0.000744126212543605</v>
      </c>
      <c r="E818" s="30" t="n">
        <f aca="false">Panel!Q812-Panel!Q811</f>
        <v>0.00103998874441125</v>
      </c>
      <c r="F818" s="30" t="n">
        <f aca="false">Panel!Q811-Panel!Q810</f>
        <v>-0.000597272308635155</v>
      </c>
      <c r="G818" s="30" t="n">
        <f aca="false">Panel!Q810-Panel!Q809</f>
        <v>-0.000215208435335512</v>
      </c>
    </row>
    <row r="819" customFormat="false" ht="15" hidden="false" customHeight="false" outlineLevel="0" collapsed="false">
      <c r="C819" s="0" t="n">
        <f aca="false">Panel!Q814-Panel!Q813</f>
        <v>0.00211276222087875</v>
      </c>
      <c r="D819" s="29" t="n">
        <f aca="false">Panel!Q813</f>
        <v>-7.9325612315273E-005</v>
      </c>
      <c r="E819" s="30" t="n">
        <f aca="false">Panel!Q813-Panel!Q812</f>
        <v>-0.000823451824858879</v>
      </c>
      <c r="F819" s="30" t="n">
        <f aca="false">Panel!Q812-Panel!Q811</f>
        <v>0.00103998874441125</v>
      </c>
      <c r="G819" s="30" t="n">
        <f aca="false">Panel!Q811-Panel!Q810</f>
        <v>-0.000597272308635155</v>
      </c>
    </row>
    <row r="820" customFormat="false" ht="15" hidden="false" customHeight="false" outlineLevel="0" collapsed="false">
      <c r="C820" s="0" t="n">
        <f aca="false">Panel!Q815-Panel!Q814</f>
        <v>-0.000722938737059309</v>
      </c>
      <c r="D820" s="29" t="n">
        <f aca="false">Panel!Q814</f>
        <v>0.00203343660856348</v>
      </c>
      <c r="E820" s="30" t="n">
        <f aca="false">Panel!Q814-Panel!Q813</f>
        <v>0.00211276222087875</v>
      </c>
      <c r="F820" s="30" t="n">
        <f aca="false">Panel!Q813-Panel!Q812</f>
        <v>-0.000823451824858879</v>
      </c>
      <c r="G820" s="30" t="n">
        <f aca="false">Panel!Q812-Panel!Q811</f>
        <v>0.00103998874441125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255</v>
      </c>
    </row>
    <row r="2" customFormat="false" ht="15" hidden="false" customHeight="false" outlineLevel="0" collapsed="false">
      <c r="A2" s="2" t="s">
        <v>256</v>
      </c>
    </row>
    <row r="5" customFormat="false" ht="15" hidden="false" customHeight="false" outlineLevel="0" collapsed="false">
      <c r="A5" s="33" t="s">
        <v>257</v>
      </c>
      <c r="B5" s="41" t="n">
        <f aca="false">INDEX(LINEST(Panel!I6:I815,Panel!Q5:Q814,TRUE(),TRUE()),1,1)</f>
        <v>-0.483201839041744</v>
      </c>
      <c r="C5" s="2" t="s">
        <v>258</v>
      </c>
    </row>
    <row r="6" customFormat="false" ht="15" hidden="false" customHeight="false" outlineLevel="0" collapsed="false">
      <c r="A6" s="22" t="s">
        <v>259</v>
      </c>
      <c r="B6" s="13" t="n">
        <f aca="false">INDEX(LINEST(Panel!I6:I815,Panel!Q5:Q814,TRUE(),TRUE()),2,1)</f>
        <v>0.101909579621645</v>
      </c>
    </row>
    <row r="7" customFormat="false" ht="15" hidden="false" customHeight="false" outlineLevel="0" collapsed="false">
      <c r="A7" s="22" t="s">
        <v>260</v>
      </c>
      <c r="B7" s="6" t="n">
        <f aca="false">B5/B6</f>
        <v>-4.74147612850241</v>
      </c>
      <c r="C7" s="2" t="s">
        <v>261</v>
      </c>
    </row>
    <row r="8" customFormat="false" ht="15" hidden="false" customHeight="false" outlineLevel="0" collapsed="false">
      <c r="A8" s="33" t="s">
        <v>262</v>
      </c>
      <c r="B8" s="42" t="n">
        <f aca="false">LN(2)/-B5</f>
        <v>1.4344878776425</v>
      </c>
      <c r="C8" s="2" t="s">
        <v>263</v>
      </c>
    </row>
    <row r="9" customFormat="false" ht="15" hidden="false" customHeight="false" outlineLevel="0" collapsed="false">
      <c r="A9" s="22" t="s">
        <v>264</v>
      </c>
      <c r="B9" s="17" t="n">
        <f aca="false">LN(0.5)/LN(1+B5)</f>
        <v>1.05005931086135</v>
      </c>
      <c r="C9" s="2" t="s">
        <v>265</v>
      </c>
    </row>
    <row r="11" customFormat="false" ht="15" hidden="false" customHeight="false" outlineLevel="0" collapsed="false">
      <c r="A11" s="2" t="s">
        <v>266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5" customFormat="false" ht="15" hidden="false" customHeight="false" outlineLevel="0" collapsed="false">
      <c r="A5" s="33" t="s">
        <v>269</v>
      </c>
      <c r="B5" s="43" t="n">
        <f aca="false">SUM(Panel!$AA$5:$AA$815)</f>
        <v>29</v>
      </c>
      <c r="C5" s="2" t="s">
        <v>270</v>
      </c>
    </row>
    <row r="6" customFormat="false" ht="15" hidden="false" customHeight="false" outlineLevel="0" collapsed="false">
      <c r="A6" s="33" t="s">
        <v>271</v>
      </c>
      <c r="B6" s="44" t="n">
        <f aca="false">AVERAGE(Panel!$AI$5:$AI$815)*Inputs!$B$16</f>
        <v>0.00514701985485613</v>
      </c>
      <c r="C6" s="2" t="s">
        <v>272</v>
      </c>
    </row>
    <row r="7" customFormat="false" ht="15" hidden="false" customHeight="false" outlineLevel="0" collapsed="false">
      <c r="A7" s="22" t="s">
        <v>273</v>
      </c>
      <c r="B7" s="21" t="n">
        <f aca="false">STDEV(Panel!$AI$5:$AI$815)*SQRT(Inputs!$B$16)</f>
        <v>0.0132838796770434</v>
      </c>
      <c r="C7" s="2" t="s">
        <v>274</v>
      </c>
    </row>
    <row r="8" customFormat="false" ht="15" hidden="false" customHeight="false" outlineLevel="0" collapsed="false">
      <c r="A8" s="33" t="s">
        <v>275</v>
      </c>
      <c r="B8" s="42" t="n">
        <f aca="false">AVERAGE(Panel!$AI$5:$AI$815)/STDEV(Panel!$AI$5:$AI$815)*SQRT(Inputs!$B$16)</f>
        <v>0.387463600995347</v>
      </c>
      <c r="C8" s="2" t="s">
        <v>276</v>
      </c>
    </row>
    <row r="9" customFormat="false" ht="15" hidden="false" customHeight="false" outlineLevel="0" collapsed="false">
      <c r="A9" s="22" t="s">
        <v>277</v>
      </c>
      <c r="B9" s="21" t="n">
        <f aca="false">MIN(Panel!$BC$5:$BC$815)</f>
        <v>-0.0127963935902262</v>
      </c>
      <c r="C9" s="2" t="s">
        <v>278</v>
      </c>
    </row>
    <row r="10" customFormat="false" ht="15" hidden="false" customHeight="false" outlineLevel="0" collapsed="false">
      <c r="A10" s="22" t="s">
        <v>279</v>
      </c>
      <c r="B10" s="38" t="n">
        <f aca="false">COUNTIF(Panel!$AB$5:$AB$815,"&lt;&gt;0")/COUNT(Panel!$AB$5:$AB$815)</f>
        <v>0.210850801479655</v>
      </c>
      <c r="C10" s="2" t="s">
        <v>280</v>
      </c>
    </row>
    <row r="11" customFormat="false" ht="15" hidden="false" customHeight="false" outlineLevel="0" collapsed="false">
      <c r="A11" s="22" t="s">
        <v>281</v>
      </c>
      <c r="B11" s="21" t="n">
        <f aca="false">SUM(Panel!$AH$5:$AH$815)</f>
        <v>0.0350336177976412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8" min="6" style="0" width="11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23.85" hidden="false" customHeight="false" outlineLevel="0" collapsed="false">
      <c r="A4" s="3" t="s">
        <v>116</v>
      </c>
      <c r="B4" s="3" t="s">
        <v>284</v>
      </c>
      <c r="C4" s="3" t="s">
        <v>285</v>
      </c>
      <c r="D4" s="3" t="s">
        <v>286</v>
      </c>
      <c r="E4" s="3" t="s">
        <v>287</v>
      </c>
      <c r="F4" s="3" t="s">
        <v>288</v>
      </c>
      <c r="G4" s="3" t="s">
        <v>128</v>
      </c>
      <c r="H4" s="3" t="s">
        <v>125</v>
      </c>
      <c r="I4" s="3" t="s">
        <v>129</v>
      </c>
      <c r="J4" s="3" t="s">
        <v>289</v>
      </c>
      <c r="K4" s="3" t="s">
        <v>290</v>
      </c>
      <c r="L4" s="3" t="s">
        <v>291</v>
      </c>
    </row>
    <row r="5" customFormat="false" ht="15" hidden="false" customHeight="false" outlineLevel="0" collapsed="false">
      <c r="A5" s="45" t="n">
        <f aca="false">Panel!A63</f>
        <v>45131</v>
      </c>
      <c r="B5" s="6" t="str">
        <f aca="false">Panel!W63</f>
        <v/>
      </c>
      <c r="C5" s="19" t="n">
        <f aca="false">Panel!AA63</f>
        <v>0</v>
      </c>
      <c r="D5" s="19" t="n">
        <f aca="false">Panel!Y63</f>
        <v>0</v>
      </c>
      <c r="E5" s="19" t="n">
        <f aca="false">Panel!AB63</f>
        <v>0</v>
      </c>
      <c r="F5" s="13" t="n">
        <f aca="false">Panel!AD63</f>
        <v>0</v>
      </c>
      <c r="G5" s="46" t="n">
        <f aca="false">Panel!M63</f>
        <v>-0.00630309782800786</v>
      </c>
      <c r="H5" s="46" t="n">
        <f aca="false">Panel!J63</f>
        <v>-0.00455791401626193</v>
      </c>
      <c r="I5" s="15" t="n">
        <f aca="false">Panel!N63</f>
        <v>0.065</v>
      </c>
      <c r="J5" s="21" t="n">
        <f aca="false">Panel!AH63</f>
        <v>0</v>
      </c>
      <c r="K5" s="46" t="n">
        <f aca="false">Panel!AI63</f>
        <v>0</v>
      </c>
      <c r="L5" s="46" t="n">
        <f aca="false">K5</f>
        <v>0</v>
      </c>
    </row>
    <row r="6" customFormat="false" ht="15" hidden="false" customHeight="false" outlineLevel="0" collapsed="false">
      <c r="A6" s="45" t="n">
        <f aca="false">Panel!A64</f>
        <v>45132</v>
      </c>
      <c r="B6" s="6" t="str">
        <f aca="false">Panel!W64</f>
        <v/>
      </c>
      <c r="C6" s="19" t="n">
        <f aca="false">Panel!AA64</f>
        <v>0</v>
      </c>
      <c r="D6" s="19" t="n">
        <f aca="false">Panel!Y64</f>
        <v>0</v>
      </c>
      <c r="E6" s="19" t="n">
        <f aca="false">Panel!AB64</f>
        <v>0</v>
      </c>
      <c r="F6" s="13" t="n">
        <f aca="false">Panel!AD64</f>
        <v>0</v>
      </c>
      <c r="G6" s="46" t="n">
        <f aca="false">Panel!M64</f>
        <v>0.000655203174508401</v>
      </c>
      <c r="H6" s="46" t="n">
        <f aca="false">Panel!J64</f>
        <v>0.000138424270609505</v>
      </c>
      <c r="I6" s="15" t="n">
        <f aca="false">Panel!N64</f>
        <v>0.065</v>
      </c>
      <c r="J6" s="21" t="n">
        <f aca="false">Panel!AH64</f>
        <v>0</v>
      </c>
      <c r="K6" s="46" t="n">
        <f aca="false">Panel!AI64</f>
        <v>0</v>
      </c>
      <c r="L6" s="46" t="n">
        <f aca="false">L5+K6</f>
        <v>0</v>
      </c>
    </row>
    <row r="7" customFormat="false" ht="15" hidden="false" customHeight="false" outlineLevel="0" collapsed="false">
      <c r="A7" s="45" t="n">
        <f aca="false">Panel!A65</f>
        <v>45133</v>
      </c>
      <c r="B7" s="6" t="n">
        <f aca="false">Panel!W65</f>
        <v>-2.39079290000445</v>
      </c>
      <c r="C7" s="19" t="n">
        <f aca="false">Panel!AA65</f>
        <v>1</v>
      </c>
      <c r="D7" s="19" t="n">
        <f aca="false">Panel!Y65</f>
        <v>0</v>
      </c>
      <c r="E7" s="19" t="n">
        <f aca="false">Panel!AB65</f>
        <v>1</v>
      </c>
      <c r="F7" s="13" t="n">
        <f aca="false">Panel!AD65</f>
        <v>1.05589959506959</v>
      </c>
      <c r="G7" s="46" t="n">
        <f aca="false">Panel!M65</f>
        <v>0.00390199902184385</v>
      </c>
      <c r="H7" s="46" t="n">
        <f aca="false">Panel!J65</f>
        <v>0.0048787320040109</v>
      </c>
      <c r="I7" s="15" t="n">
        <f aca="false">Panel!N65</f>
        <v>0.065</v>
      </c>
      <c r="J7" s="21" t="n">
        <f aca="false">Panel!AH65</f>
        <v>0.000376738914964614</v>
      </c>
      <c r="K7" s="46" t="n">
        <f aca="false">Panel!AI65</f>
        <v>-0.000376738914964614</v>
      </c>
      <c r="L7" s="46" t="n">
        <f aca="false">L6+K7</f>
        <v>-0.000376738914964614</v>
      </c>
    </row>
    <row r="8" customFormat="false" ht="15" hidden="false" customHeight="false" outlineLevel="0" collapsed="false">
      <c r="A8" s="45" t="n">
        <f aca="false">Panel!A66</f>
        <v>45134</v>
      </c>
      <c r="B8" s="6" t="n">
        <f aca="false">Panel!W66</f>
        <v>-3.30791028616766</v>
      </c>
      <c r="C8" s="19" t="n">
        <f aca="false">Panel!AA66</f>
        <v>0</v>
      </c>
      <c r="D8" s="19" t="n">
        <f aca="false">Panel!Y66</f>
        <v>0</v>
      </c>
      <c r="E8" s="19" t="n">
        <f aca="false">Panel!AB66</f>
        <v>1</v>
      </c>
      <c r="F8" s="13" t="n">
        <f aca="false">Panel!AD66</f>
        <v>1.05589959506959</v>
      </c>
      <c r="G8" s="46" t="n">
        <f aca="false">Panel!M66</f>
        <v>-0.00577224137705734</v>
      </c>
      <c r="H8" s="46" t="n">
        <f aca="false">Panel!J66</f>
        <v>-0.00358769530679837</v>
      </c>
      <c r="I8" s="15" t="n">
        <f aca="false">Panel!N66</f>
        <v>0.065</v>
      </c>
      <c r="J8" s="21" t="n">
        <f aca="false">Panel!AH66</f>
        <v>0.000415</v>
      </c>
      <c r="K8" s="46" t="n">
        <f aca="false">Panel!AI66</f>
        <v>-0.00212664030109206</v>
      </c>
      <c r="L8" s="46" t="n">
        <f aca="false">L7+K8</f>
        <v>-0.00250337921605667</v>
      </c>
    </row>
    <row r="9" customFormat="false" ht="15" hidden="false" customHeight="false" outlineLevel="0" collapsed="false">
      <c r="A9" s="45" t="n">
        <f aca="false">Panel!A67</f>
        <v>45135</v>
      </c>
      <c r="B9" s="6" t="n">
        <f aca="false">Panel!W67</f>
        <v>1.4531479324906</v>
      </c>
      <c r="C9" s="19" t="n">
        <f aca="false">Panel!AA67</f>
        <v>0</v>
      </c>
      <c r="D9" s="19" t="n">
        <f aca="false">Panel!Y67</f>
        <v>0</v>
      </c>
      <c r="E9" s="19" t="n">
        <f aca="false">Panel!AB67</f>
        <v>1</v>
      </c>
      <c r="F9" s="13" t="n">
        <f aca="false">Panel!AD67</f>
        <v>1.05589959506959</v>
      </c>
      <c r="G9" s="46" t="n">
        <f aca="false">Panel!M67</f>
        <v>-0.0033515067028892</v>
      </c>
      <c r="H9" s="46" t="n">
        <f aca="false">Panel!J67</f>
        <v>-0.00309204852116807</v>
      </c>
      <c r="I9" s="15" t="n">
        <f aca="false">Panel!N67</f>
        <v>0.065</v>
      </c>
      <c r="J9" s="21" t="n">
        <f aca="false">Panel!AH67</f>
        <v>0</v>
      </c>
      <c r="K9" s="46" t="n">
        <f aca="false">Panel!AI67</f>
        <v>0.000185741132831507</v>
      </c>
      <c r="L9" s="46" t="n">
        <f aca="false">L8+K9</f>
        <v>-0.00231763808322517</v>
      </c>
    </row>
    <row r="10" customFormat="false" ht="15" hidden="false" customHeight="false" outlineLevel="0" collapsed="false">
      <c r="A10" s="45" t="n">
        <f aca="false">Panel!A68</f>
        <v>45138</v>
      </c>
      <c r="B10" s="6" t="n">
        <f aca="false">Panel!W68</f>
        <v>1.10134278227738</v>
      </c>
      <c r="C10" s="19" t="n">
        <f aca="false">Panel!AA68</f>
        <v>0</v>
      </c>
      <c r="D10" s="19" t="n">
        <f aca="false">Panel!Y68</f>
        <v>0</v>
      </c>
      <c r="E10" s="19" t="n">
        <f aca="false">Panel!AB68</f>
        <v>1</v>
      </c>
      <c r="F10" s="13" t="n">
        <f aca="false">Panel!AD68</f>
        <v>1.05589959506959</v>
      </c>
      <c r="G10" s="46" t="n">
        <f aca="false">Panel!M68</f>
        <v>0.00521359036373781</v>
      </c>
      <c r="H10" s="46" t="n">
        <f aca="false">Panel!J68</f>
        <v>0.0055312424957954</v>
      </c>
      <c r="I10" s="15" t="n">
        <f aca="false">Panel!N68</f>
        <v>0.065</v>
      </c>
      <c r="J10" s="21" t="n">
        <f aca="false">Panel!AH68</f>
        <v>0</v>
      </c>
      <c r="K10" s="46" t="n">
        <f aca="false">Panel!AI68</f>
        <v>-0.000354491293520432</v>
      </c>
      <c r="L10" s="46" t="n">
        <f aca="false">L9+K10</f>
        <v>-0.0026721293767456</v>
      </c>
    </row>
    <row r="11" customFormat="false" ht="15" hidden="false" customHeight="false" outlineLevel="0" collapsed="false">
      <c r="A11" s="45" t="n">
        <f aca="false">Panel!A69</f>
        <v>45139</v>
      </c>
      <c r="B11" s="6" t="n">
        <f aca="false">Panel!W69</f>
        <v>1.15533491298187</v>
      </c>
      <c r="C11" s="19" t="n">
        <f aca="false">Panel!AA69</f>
        <v>0</v>
      </c>
      <c r="D11" s="19" t="n">
        <f aca="false">Panel!Y69</f>
        <v>0</v>
      </c>
      <c r="E11" s="19" t="n">
        <f aca="false">Panel!AB69</f>
        <v>1</v>
      </c>
      <c r="F11" s="13" t="n">
        <f aca="false">Panel!AD69</f>
        <v>1.05589959506959</v>
      </c>
      <c r="G11" s="46" t="n">
        <f aca="false">Panel!M69</f>
        <v>-0.00118539008165364</v>
      </c>
      <c r="H11" s="46" t="n">
        <f aca="false">Panel!J69</f>
        <v>-0.00114982190430535</v>
      </c>
      <c r="I11" s="15" t="n">
        <f aca="false">Panel!N69</f>
        <v>0.065</v>
      </c>
      <c r="J11" s="21" t="n">
        <f aca="false">Panel!AH69</f>
        <v>0</v>
      </c>
      <c r="K11" s="46" t="n">
        <f aca="false">Panel!AI69</f>
        <v>0.000301061455788347</v>
      </c>
      <c r="L11" s="46" t="n">
        <f aca="false">L10+K11</f>
        <v>-0.00237106792095725</v>
      </c>
    </row>
    <row r="12" customFormat="false" ht="15" hidden="false" customHeight="false" outlineLevel="0" collapsed="false">
      <c r="A12" s="45" t="n">
        <f aca="false">Panel!A70</f>
        <v>45140</v>
      </c>
      <c r="B12" s="6" t="n">
        <f aca="false">Panel!W70</f>
        <v>0.397529614407009</v>
      </c>
      <c r="C12" s="19" t="n">
        <f aca="false">Panel!AA70</f>
        <v>0</v>
      </c>
      <c r="D12" s="19" t="n">
        <f aca="false">Panel!Y70</f>
        <v>1</v>
      </c>
      <c r="E12" s="19" t="n">
        <f aca="false">Panel!AB70</f>
        <v>0</v>
      </c>
      <c r="F12" s="13" t="n">
        <f aca="false">Panel!AD70</f>
        <v>0</v>
      </c>
      <c r="G12" s="46" t="n">
        <f aca="false">Panel!M70</f>
        <v>-0.011507974876837</v>
      </c>
      <c r="H12" s="46" t="n">
        <f aca="false">Panel!J70</f>
        <v>-0.00971105897475422</v>
      </c>
      <c r="I12" s="15" t="n">
        <f aca="false">Panel!N70</f>
        <v>0.065</v>
      </c>
      <c r="J12" s="21" t="n">
        <f aca="false">Panel!AH70</f>
        <v>0.000629564858274356</v>
      </c>
      <c r="K12" s="46" t="n">
        <f aca="false">Panel!AI70</f>
        <v>-0.00161128144168763</v>
      </c>
      <c r="L12" s="46" t="n">
        <f aca="false">L11+K12</f>
        <v>-0.00398234936264488</v>
      </c>
    </row>
    <row r="13" customFormat="false" ht="15" hidden="false" customHeight="false" outlineLevel="0" collapsed="false">
      <c r="A13" s="45" t="n">
        <f aca="false">Panel!A71</f>
        <v>45141</v>
      </c>
      <c r="B13" s="6" t="n">
        <f aca="false">Panel!W71</f>
        <v>1.23483449492547</v>
      </c>
      <c r="C13" s="19" t="n">
        <f aca="false">Panel!AA71</f>
        <v>0</v>
      </c>
      <c r="D13" s="19" t="n">
        <f aca="false">Panel!Y71</f>
        <v>0</v>
      </c>
      <c r="E13" s="19" t="n">
        <f aca="false">Panel!AB71</f>
        <v>0</v>
      </c>
      <c r="F13" s="13" t="n">
        <f aca="false">Panel!AD71</f>
        <v>0</v>
      </c>
      <c r="G13" s="46" t="n">
        <f aca="false">Panel!M71</f>
        <v>-0.00600433243970855</v>
      </c>
      <c r="H13" s="46" t="n">
        <f aca="false">Panel!J71</f>
        <v>-0.00699466596252751</v>
      </c>
      <c r="I13" s="15" t="n">
        <f aca="false">Panel!N71</f>
        <v>0.065</v>
      </c>
      <c r="J13" s="21" t="n">
        <f aca="false">Panel!AH71</f>
        <v>0</v>
      </c>
      <c r="K13" s="46" t="n">
        <f aca="false">Panel!AI71</f>
        <v>0</v>
      </c>
      <c r="L13" s="46" t="n">
        <f aca="false">L12+K13</f>
        <v>-0.00398234936264488</v>
      </c>
    </row>
    <row r="14" customFormat="false" ht="15" hidden="false" customHeight="false" outlineLevel="0" collapsed="false">
      <c r="A14" s="45" t="n">
        <f aca="false">Panel!A72</f>
        <v>45142</v>
      </c>
      <c r="B14" s="6" t="n">
        <f aca="false">Panel!W72</f>
        <v>0.369962077397655</v>
      </c>
      <c r="C14" s="19" t="n">
        <f aca="false">Panel!AA72</f>
        <v>0</v>
      </c>
      <c r="D14" s="19" t="n">
        <f aca="false">Panel!Y72</f>
        <v>0</v>
      </c>
      <c r="E14" s="19" t="n">
        <f aca="false">Panel!AB72</f>
        <v>0</v>
      </c>
      <c r="F14" s="13" t="n">
        <f aca="false">Panel!AD72</f>
        <v>0</v>
      </c>
      <c r="G14" s="46" t="n">
        <f aca="false">Panel!M72</f>
        <v>0.00533782662907534</v>
      </c>
      <c r="H14" s="46" t="n">
        <f aca="false">Panel!J72</f>
        <v>0.00639039420778875</v>
      </c>
      <c r="I14" s="15" t="n">
        <f aca="false">Panel!N72</f>
        <v>0.065</v>
      </c>
      <c r="J14" s="21" t="n">
        <f aca="false">Panel!AH72</f>
        <v>0</v>
      </c>
      <c r="K14" s="46" t="n">
        <f aca="false">Panel!AI72</f>
        <v>0</v>
      </c>
      <c r="L14" s="46" t="n">
        <f aca="false">L13+K14</f>
        <v>-0.00398234936264488</v>
      </c>
    </row>
    <row r="15" customFormat="false" ht="15" hidden="false" customHeight="false" outlineLevel="0" collapsed="false">
      <c r="A15" s="45" t="n">
        <f aca="false">Panel!A73</f>
        <v>45145</v>
      </c>
      <c r="B15" s="6" t="n">
        <f aca="false">Panel!W73</f>
        <v>0.610759253370506</v>
      </c>
      <c r="C15" s="19" t="n">
        <f aca="false">Panel!AA73</f>
        <v>0</v>
      </c>
      <c r="D15" s="19" t="n">
        <f aca="false">Panel!Y73</f>
        <v>0</v>
      </c>
      <c r="E15" s="19" t="n">
        <f aca="false">Panel!AB73</f>
        <v>0</v>
      </c>
      <c r="F15" s="13" t="n">
        <f aca="false">Panel!AD73</f>
        <v>0</v>
      </c>
      <c r="G15" s="46" t="n">
        <f aca="false">Panel!M73</f>
        <v>0.00462826919783055</v>
      </c>
      <c r="H15" s="46" t="n">
        <f aca="false">Panel!J73</f>
        <v>0.00417595261643022</v>
      </c>
      <c r="I15" s="15" t="n">
        <f aca="false">Panel!N73</f>
        <v>0.065</v>
      </c>
      <c r="J15" s="21" t="n">
        <f aca="false">Panel!AH73</f>
        <v>0</v>
      </c>
      <c r="K15" s="46" t="n">
        <f aca="false">Panel!AI73</f>
        <v>0</v>
      </c>
      <c r="L15" s="46" t="n">
        <f aca="false">L14+K15</f>
        <v>-0.00398234936264488</v>
      </c>
    </row>
    <row r="17" customFormat="false" ht="15" hidden="false" customHeight="false" outlineLevel="0" collapsed="false">
      <c r="A17" s="2" t="s">
        <v>292</v>
      </c>
    </row>
    <row r="19" customFormat="false" ht="15" hidden="false" customHeight="false" outlineLevel="0" collapsed="false">
      <c r="A19" s="33" t="s">
        <v>293</v>
      </c>
    </row>
    <row r="20" customFormat="false" ht="15" hidden="false" customHeight="false" outlineLevel="0" collapsed="false">
      <c r="A20" s="22" t="s">
        <v>294</v>
      </c>
      <c r="B20" s="19" t="n">
        <f aca="false">Inputs!$B$11</f>
        <v>65</v>
      </c>
    </row>
    <row r="21" customFormat="false" ht="15" hidden="false" customHeight="false" outlineLevel="0" collapsed="false">
      <c r="A21" s="22" t="s">
        <v>295</v>
      </c>
      <c r="B21" s="47" t="n">
        <f aca="false">Panel!B65</f>
        <v>19772</v>
      </c>
    </row>
    <row r="22" customFormat="false" ht="15" hidden="false" customHeight="false" outlineLevel="0" collapsed="false">
      <c r="A22" s="22" t="s">
        <v>296</v>
      </c>
      <c r="B22" s="47" t="n">
        <f aca="false">Panel!C65</f>
        <v>217.8</v>
      </c>
    </row>
    <row r="23" customFormat="false" ht="15" hidden="false" customHeight="false" outlineLevel="0" collapsed="false">
      <c r="A23" s="22" t="s">
        <v>297</v>
      </c>
      <c r="B23" s="13" t="n">
        <f aca="false">Panel!AD65</f>
        <v>1.05589959506959</v>
      </c>
    </row>
    <row r="24" customFormat="false" ht="15" hidden="false" customHeight="false" outlineLevel="0" collapsed="false">
      <c r="A24" s="22" t="s">
        <v>298</v>
      </c>
      <c r="B24" s="48" t="n">
        <f aca="false">B20*B21</f>
        <v>1285180</v>
      </c>
    </row>
    <row r="25" customFormat="false" ht="15" hidden="false" customHeight="false" outlineLevel="0" collapsed="false">
      <c r="A25" s="22" t="s">
        <v>299</v>
      </c>
      <c r="B25" s="48" t="n">
        <f aca="false">B23*B24</f>
        <v>1357021.04159153</v>
      </c>
    </row>
    <row r="26" customFormat="false" ht="15" hidden="false" customHeight="false" outlineLevel="0" collapsed="false">
      <c r="A26" s="33" t="s">
        <v>300</v>
      </c>
      <c r="B26" s="49" t="n">
        <f aca="false">ROUND(B25/B22,0)</f>
        <v>6231</v>
      </c>
      <c r="C26" s="2" t="s">
        <v>301</v>
      </c>
    </row>
    <row r="27" customFormat="false" ht="15" hidden="false" customHeight="false" outlineLevel="0" collapsed="false">
      <c r="A27" s="22" t="s">
        <v>302</v>
      </c>
      <c r="B27" s="46" t="n">
        <f aca="false">ABS(B26*B22-B25)/B24</f>
        <v>7.0619219460041E-005</v>
      </c>
    </row>
    <row r="28" customFormat="false" ht="15" hidden="false" customHeight="false" outlineLevel="0" collapsed="false">
      <c r="A28" s="2" t="s">
        <v>303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4" customFormat="false" ht="15" hidden="false" customHeight="false" outlineLevel="0" collapsed="false">
      <c r="A4" s="22" t="s">
        <v>306</v>
      </c>
      <c r="B4" s="48" t="n">
        <f aca="false">Inputs!$B$11*Panel!B815</f>
        <v>1602620.5</v>
      </c>
    </row>
    <row r="5" customFormat="false" ht="15" hidden="false" customHeight="false" outlineLevel="0" collapsed="false">
      <c r="A5" s="22" t="s">
        <v>307</v>
      </c>
      <c r="B5" s="6" t="n">
        <f aca="false">COUNT(Panel!$B$5:$B$815)/Inputs!$B$16</f>
        <v>3.21825396825397</v>
      </c>
    </row>
    <row r="7" customFormat="false" ht="15" hidden="false" customHeight="false" outlineLevel="0" collapsed="false">
      <c r="A7" s="3"/>
      <c r="B7" s="3" t="s">
        <v>308</v>
      </c>
      <c r="C7" s="3" t="s">
        <v>309</v>
      </c>
      <c r="D7" s="3" t="s">
        <v>310</v>
      </c>
      <c r="E7" s="3" t="s">
        <v>311</v>
      </c>
      <c r="F7" s="3" t="s">
        <v>312</v>
      </c>
    </row>
    <row r="8" customFormat="false" ht="15" hidden="false" customHeight="false" outlineLevel="0" collapsed="false">
      <c r="A8" s="22" t="s">
        <v>313</v>
      </c>
      <c r="B8" s="50" t="n">
        <f aca="false">SUM(Panel!$AW$5:$AW$815)</f>
        <v>0.00688715843757039</v>
      </c>
      <c r="C8" s="50" t="n">
        <f aca="false">SUM(Panel!$AX$5:$AX$815)</f>
        <v>-0.0201519330281009</v>
      </c>
      <c r="D8" s="50" t="n">
        <f aca="false">SUM(Panel!$AZ$5:$AZ$815)</f>
        <v>-0.0962000540695027</v>
      </c>
      <c r="E8" s="50" t="n">
        <f aca="false">SUM(Panel!$AK$5:$AK$815)</f>
        <v>0.0258508719286067</v>
      </c>
    </row>
    <row r="9" customFormat="false" ht="15" hidden="false" customHeight="false" outlineLevel="0" collapsed="false">
      <c r="A9" s="22" t="s">
        <v>314</v>
      </c>
      <c r="B9" s="51" t="n">
        <f aca="false">B8/$B$5*$B$4</f>
        <v>3429.65515079799</v>
      </c>
      <c r="C9" s="51" t="n">
        <f aca="false">C8/$B$5*$B$4</f>
        <v>-10035.2244739042</v>
      </c>
      <c r="D9" s="51" t="n">
        <f aca="false">D8/$B$5*$B$4</f>
        <v>-47905.5351981864</v>
      </c>
      <c r="E9" s="51" t="n">
        <f aca="false">E8/$B$5*$B$4</f>
        <v>12873.172131327</v>
      </c>
    </row>
    <row r="10" customFormat="false" ht="15" hidden="false" customHeight="false" outlineLevel="0" collapsed="false">
      <c r="A10" s="22" t="s">
        <v>315</v>
      </c>
      <c r="B10" s="51" t="n">
        <f aca="false">(1+Inputs!$B$12)*$B$4</f>
        <v>1810961.165</v>
      </c>
      <c r="C10" s="51" t="n">
        <f aca="false">(0.25+Inputs!$B$12)*$B$4</f>
        <v>608995.79</v>
      </c>
      <c r="D10" s="51" t="n">
        <f aca="false">(0.5*Inputs!$B$12)*$B$4</f>
        <v>104170.3325</v>
      </c>
      <c r="E10" s="51" t="n">
        <f aca="false">(Inputs!$B$12*(1-Inputs!$B$15))*$B$4</f>
        <v>62502.1995</v>
      </c>
    </row>
    <row r="11" customFormat="false" ht="15" hidden="false" customHeight="false" outlineLevel="0" collapsed="false">
      <c r="A11" s="33" t="s">
        <v>316</v>
      </c>
      <c r="B11" s="52" t="n">
        <f aca="false">B9/B10</f>
        <v>0.00189383141785814</v>
      </c>
      <c r="C11" s="52" t="n">
        <f aca="false">C9/C10</f>
        <v>-0.0164783150207068</v>
      </c>
      <c r="D11" s="52" t="n">
        <f aca="false">D9/D10</f>
        <v>-0.459876953912827</v>
      </c>
      <c r="E11" s="52" t="n">
        <f aca="false">E9/E10</f>
        <v>0.205963505833535</v>
      </c>
    </row>
    <row r="12" customFormat="false" ht="15" hidden="false" customHeight="false" outlineLevel="0" collapsed="false">
      <c r="B12" s="2" t="s">
        <v>317</v>
      </c>
      <c r="C12" s="2" t="s">
        <v>318</v>
      </c>
      <c r="D12" s="2" t="s">
        <v>319</v>
      </c>
      <c r="E12" s="2" t="s">
        <v>320</v>
      </c>
    </row>
    <row r="14" customFormat="false" ht="15" hidden="false" customHeight="false" outlineLevel="0" collapsed="false">
      <c r="A14" s="2" t="s">
        <v>321</v>
      </c>
    </row>
    <row r="15" customFormat="false" ht="15" hidden="false" customHeight="false" outlineLevel="0" collapsed="false">
      <c r="A15" s="2" t="s">
        <v>322</v>
      </c>
    </row>
    <row r="16" customFormat="false" ht="15" hidden="false" customHeight="false" outlineLevel="0" collapsed="false">
      <c r="A16" s="2" t="s">
        <v>323</v>
      </c>
    </row>
    <row r="17" customFormat="false" ht="15" hidden="false" customHeight="false" outlineLevel="0" collapsed="false">
      <c r="A17" s="2" t="s">
        <v>324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17"/>
    <col collapsed="false" customWidth="true" hidden="false" outlineLevel="0" max="4" min="4" style="0" width="6"/>
    <col collapsed="false" customWidth="true" hidden="false" outlineLevel="0" max="7" min="5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4" min="14" style="0" width="17"/>
    <col collapsed="false" customWidth="true" hidden="false" outlineLevel="0" max="15" min="15" style="0" width="6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7"/>
    <col collapsed="false" customWidth="true" hidden="false" outlineLevel="0" max="19" min="19" style="0" width="6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2" min="22" style="0" width="7"/>
    <col collapsed="false" customWidth="true" hidden="false" outlineLevel="0" max="26" min="23" style="0" width="10"/>
    <col collapsed="false" customWidth="true" hidden="false" outlineLevel="0" max="28" min="27" style="0" width="11"/>
    <col collapsed="false" customWidth="true" hidden="false" outlineLevel="0" max="29" min="29" style="0" width="10"/>
  </cols>
  <sheetData>
    <row r="1" customFormat="false" ht="16.1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23.85" hidden="false" customHeight="false" outlineLevel="0" collapsed="false">
      <c r="A4" s="3" t="s">
        <v>327</v>
      </c>
      <c r="B4" s="3" t="s">
        <v>328</v>
      </c>
      <c r="C4" s="3" t="s">
        <v>329</v>
      </c>
      <c r="D4" s="3" t="s">
        <v>330</v>
      </c>
      <c r="E4" s="3" t="s">
        <v>119</v>
      </c>
      <c r="F4" s="3" t="s">
        <v>120</v>
      </c>
      <c r="G4" s="3" t="s">
        <v>247</v>
      </c>
      <c r="H4" s="3" t="s">
        <v>243</v>
      </c>
      <c r="I4" s="3" t="s">
        <v>331</v>
      </c>
      <c r="J4" s="3" t="s">
        <v>332</v>
      </c>
      <c r="K4" s="3" t="s">
        <v>138</v>
      </c>
      <c r="L4" s="3" t="s">
        <v>333</v>
      </c>
      <c r="M4" s="3" t="s">
        <v>334</v>
      </c>
      <c r="N4" s="3" t="s">
        <v>335</v>
      </c>
      <c r="O4" s="3" t="s">
        <v>336</v>
      </c>
      <c r="P4" s="3" t="s">
        <v>337</v>
      </c>
      <c r="Q4" s="3" t="s">
        <v>338</v>
      </c>
      <c r="R4" s="3" t="s">
        <v>339</v>
      </c>
      <c r="S4" s="3" t="s">
        <v>340</v>
      </c>
      <c r="T4" s="3" t="s">
        <v>341</v>
      </c>
      <c r="U4" s="3" t="s">
        <v>342</v>
      </c>
      <c r="V4" s="3" t="s">
        <v>286</v>
      </c>
      <c r="W4" s="3" t="s">
        <v>343</v>
      </c>
      <c r="X4" s="3" t="s">
        <v>344</v>
      </c>
      <c r="Y4" s="3" t="s">
        <v>345</v>
      </c>
      <c r="Z4" s="3" t="s">
        <v>346</v>
      </c>
      <c r="AA4" s="3" t="s">
        <v>347</v>
      </c>
      <c r="AB4" s="3" t="s">
        <v>348</v>
      </c>
      <c r="AC4" s="3" t="s">
        <v>5</v>
      </c>
    </row>
    <row r="5" customFormat="false" ht="15" hidden="false" customHeight="false" outlineLevel="0" collapsed="false">
      <c r="A5" s="0" t="s">
        <v>349</v>
      </c>
      <c r="B5" s="0" t="n">
        <v>1</v>
      </c>
      <c r="C5" s="0" t="s">
        <v>350</v>
      </c>
      <c r="D5" s="0" t="n">
        <v>60</v>
      </c>
      <c r="E5" s="29" t="n">
        <v>9.89340943851904</v>
      </c>
      <c r="F5" s="29" t="n">
        <v>5.38481611216465</v>
      </c>
      <c r="G5" s="53" t="n">
        <f aca="false">INDEX(Panel!$U$5:$U$815,D5+1)</f>
        <v>4.22252179954258</v>
      </c>
      <c r="H5" s="53" t="n">
        <f aca="false">INDEX(Panel!$T$5:$T$815,D5+1)</f>
        <v>1.05589959506959</v>
      </c>
      <c r="I5" s="54" t="n">
        <f aca="false">INDEX(Panel!$S$5:$S$815,D5+1)</f>
        <v>-0.00019031047626256</v>
      </c>
      <c r="J5" s="53" t="n">
        <f aca="false">INDEX(Panel!$V$5:$V$815,D5+1)</f>
        <v>0.00150497900992816</v>
      </c>
      <c r="K5" s="55" t="n">
        <f aca="false">(E5-G5-H5*F5-I5*D5)/J5</f>
        <v>-2.33816204972324</v>
      </c>
      <c r="L5" s="0" t="n">
        <v>2</v>
      </c>
      <c r="M5" s="0" t="str">
        <f aca="false">IF(ABS(K5)&gt;L5,"Yes","No")</f>
        <v>Yes</v>
      </c>
      <c r="N5" s="30" t="s">
        <v>351</v>
      </c>
      <c r="O5" s="0" t="n">
        <v>60</v>
      </c>
      <c r="P5" s="0" t="n">
        <v>19825.65</v>
      </c>
      <c r="Q5" s="0" t="n">
        <v>218.36</v>
      </c>
      <c r="R5" s="30" t="s">
        <v>352</v>
      </c>
      <c r="S5" s="0" t="n">
        <v>61</v>
      </c>
      <c r="T5" s="0" t="n">
        <v>19658.2</v>
      </c>
      <c r="U5" s="0" t="n">
        <v>217.02</v>
      </c>
      <c r="V5" s="30" t="s">
        <v>353</v>
      </c>
      <c r="W5" s="56" t="n">
        <f aca="false">B5*((LN(T5)-LN(P5))-(LN(U5)-LN(Q5)))</f>
        <v>-0.00232643807952826</v>
      </c>
      <c r="X5" s="56" t="n">
        <f aca="false">IF(INDEX(Panel!$A$5:$A$815,O5+1)&lt;=DATE(2024,9,30),0.000625,IF(INDEX(Panel!$A$5:$A$815,O5+1)&lt;=DATE(2026,3,31),0.001,0.0015))*(0.3989*Inputs!$B$28*SQRT(MAX(INDEX(Panel!$G$5:$G$815,O5+1),0)/365))+2*Inputs!$B$29+Inputs!$B$19+0.00003*(0.3989*Inputs!$B$28*SQRT(MAX(INDEX(Panel!$G$5:$G$815,O5+1),0)/365))+IF(B5&lt;0,(Inputs!$B$20+Inputs!$B$22+Inputs!$B$23),(Inputs!$B$21+Inputs!$B$22+Inputs!$B$23))</f>
        <v>0.000316914639170954</v>
      </c>
      <c r="Y5" s="56" t="n">
        <f aca="false">IF(V5="expiry",IF(INDEX(Panel!$A$5:$A$815,S5+1)&lt;=DATE(2026,3,31),0.00125,0.0015)*IF(B5&lt;0,MAX(P5-T5,0),MAX(T5-P5,0))/T5,IF(INDEX(Panel!$A$5:$A$815,S5+1)&lt;=DATE(2024,9,30),0.000625,IF(INDEX(Panel!$A$5:$A$815,S5+1)&lt;=DATE(2026,3,31),0.001,0.0015))*(0.3989*Inputs!$B$28*SQRT(MAX(INDEX(Panel!$G$5:$G$815,S5+1),0)/365))+2*Inputs!$B$29+Inputs!$B$19)+IF(B5&lt;0,(Inputs!$B$21+Inputs!$B$22+Inputs!$B$23),(Inputs!$B$20+Inputs!$B$22+Inputs!$B$23))</f>
        <v>0.00035</v>
      </c>
      <c r="Z5" s="56" t="n">
        <f aca="false">B5*SUMPRODUCT((Panel!$F$5:$F$815&gt;=O5)*(Panel!$F$5:$F$815&lt;S5)*Panel!$N$5:$N$815*Panel!$BD$5:$BD$815)/365</f>
        <v>0.000178082191780822</v>
      </c>
      <c r="AA5" s="56" t="n">
        <f aca="false">W5-X5-Y5+Z5</f>
        <v>-0.00281527052691839</v>
      </c>
      <c r="AB5" s="57" t="n">
        <v>-0.0028152705269183</v>
      </c>
      <c r="AC5" s="58" t="n">
        <f aca="false">AA5-AB5</f>
        <v>-9.06393016197882E-017</v>
      </c>
    </row>
    <row r="6" customFormat="false" ht="15" hidden="false" customHeight="false" outlineLevel="0" collapsed="false">
      <c r="A6" s="0" t="s">
        <v>349</v>
      </c>
      <c r="B6" s="0" t="n">
        <v>-1</v>
      </c>
      <c r="C6" s="0" t="s">
        <v>354</v>
      </c>
      <c r="D6" s="0" t="n">
        <v>62</v>
      </c>
      <c r="E6" s="29" t="n">
        <v>9.88999949630542</v>
      </c>
      <c r="F6" s="29" t="n">
        <v>5.37588007849583</v>
      </c>
      <c r="G6" s="53" t="n">
        <f aca="false">INDEX(Panel!$U$5:$U$815,D6+1)</f>
        <v>4.23384140595892</v>
      </c>
      <c r="H6" s="53" t="n">
        <f aca="false">INDEX(Panel!$T$5:$T$815,D6+1)</f>
        <v>1.05380751766663</v>
      </c>
      <c r="I6" s="54" t="n">
        <f aca="false">INDEX(Panel!$S$5:$S$815,D6+1)</f>
        <v>-0.000200513290480534</v>
      </c>
      <c r="J6" s="53" t="n">
        <f aca="false">INDEX(Panel!$V$5:$V$815,D6+1)</f>
        <v>0.00167793581732784</v>
      </c>
      <c r="K6" s="55" t="n">
        <f aca="false">(E6-G6-H6*F6-I6*D6)/J6</f>
        <v>2.05435364542513</v>
      </c>
      <c r="L6" s="0" t="n">
        <v>2</v>
      </c>
      <c r="M6" s="0" t="str">
        <f aca="false">IF(ABS(K6)&gt;L6,"Yes","No")</f>
        <v>Yes</v>
      </c>
      <c r="N6" s="30" t="s">
        <v>355</v>
      </c>
      <c r="O6" s="0" t="n">
        <v>62</v>
      </c>
      <c r="P6" s="0" t="n">
        <v>19748</v>
      </c>
      <c r="Q6" s="0" t="n">
        <v>216.35</v>
      </c>
      <c r="R6" s="30" t="s">
        <v>356</v>
      </c>
      <c r="S6" s="0" t="n">
        <v>85</v>
      </c>
      <c r="T6" s="0" t="n">
        <v>19254</v>
      </c>
      <c r="U6" s="0" t="n">
        <v>213.2</v>
      </c>
      <c r="V6" s="30" t="s">
        <v>353</v>
      </c>
      <c r="W6" s="56" t="n">
        <f aca="false">B6*((LN(T6)-LN(P6))-(LN(U6)-LN(Q6)))</f>
        <v>0.0106666146616377</v>
      </c>
      <c r="X6" s="56" t="n">
        <f aca="false">IF(INDEX(Panel!$A$5:$A$815,O6+1)&lt;=DATE(2024,9,30),0.000625,IF(INDEX(Panel!$A$5:$A$815,O6+1)&lt;=DATE(2026,3,31),0.001,0.0015))*(0.3989*Inputs!$B$28*SQRT(MAX(INDEX(Panel!$G$5:$G$815,O6+1),0)/365))+2*Inputs!$B$29+Inputs!$B$19+0.00003*(0.3989*Inputs!$B$28*SQRT(MAX(INDEX(Panel!$G$5:$G$815,O6+1),0)/365))+IF(B6&lt;0,(Inputs!$B$20+Inputs!$B$22+Inputs!$B$23),(Inputs!$B$21+Inputs!$B$22+Inputs!$B$23))</f>
        <v>0.000466164168901818</v>
      </c>
      <c r="Y6" s="56" t="n">
        <f aca="false">IF(V6="expiry",IF(INDEX(Panel!$A$5:$A$815,S6+1)&lt;=DATE(2026,3,31),0.00125,0.0015)*IF(B6&lt;0,MAX(P6-T6,0),MAX(T6-P6,0))/T6,IF(INDEX(Panel!$A$5:$A$815,S6+1)&lt;=DATE(2024,9,30),0.000625,IF(INDEX(Panel!$A$5:$A$815,S6+1)&lt;=DATE(2026,3,31),0.001,0.0015))*(0.3989*Inputs!$B$28*SQRT(MAX(INDEX(Panel!$G$5:$G$815,S6+1),0)/365))+2*Inputs!$B$29+Inputs!$B$19)+IF(B6&lt;0,(Inputs!$B$21+Inputs!$B$22+Inputs!$B$23),(Inputs!$B$20+Inputs!$B$22+Inputs!$B$23))</f>
        <v>0.000242071257920432</v>
      </c>
      <c r="Z6" s="56" t="n">
        <f aca="false">B6*SUMPRODUCT((Panel!$F$5:$F$815&gt;=O6)*(Panel!$F$5:$F$815&lt;S6)*Panel!$N$5:$N$815*Panel!$BD$5:$BD$815)/365</f>
        <v>-0.00605479452054795</v>
      </c>
      <c r="AA6" s="56" t="n">
        <f aca="false">W6-X6-Y6+Z6</f>
        <v>0.00390358471426746</v>
      </c>
      <c r="AB6" s="57" t="n">
        <v>0.0039035847142674</v>
      </c>
      <c r="AC6" s="58" t="n">
        <f aca="false">AA6-AB6</f>
        <v>5.76795555762288E-017</v>
      </c>
    </row>
    <row r="7" customFormat="false" ht="15" hidden="false" customHeight="false" outlineLevel="0" collapsed="false">
      <c r="A7" s="0" t="s">
        <v>349</v>
      </c>
      <c r="B7" s="0" t="n">
        <v>-1</v>
      </c>
      <c r="C7" s="0" t="s">
        <v>357</v>
      </c>
      <c r="D7" s="0" t="n">
        <v>86</v>
      </c>
      <c r="E7" s="29" t="n">
        <v>9.87246117393101</v>
      </c>
      <c r="F7" s="29" t="n">
        <v>5.36091650830456</v>
      </c>
      <c r="G7" s="53" t="n">
        <f aca="false">INDEX(Panel!$U$5:$U$815,D7+1)</f>
        <v>4.22528505288014</v>
      </c>
      <c r="H7" s="53" t="n">
        <f aca="false">INDEX(Panel!$T$5:$T$815,D7+1)</f>
        <v>1.05538281345578</v>
      </c>
      <c r="I7" s="54" t="n">
        <f aca="false">INDEX(Panel!$S$5:$S$815,D7+1)</f>
        <v>-0.000190510496440933</v>
      </c>
      <c r="J7" s="53" t="n">
        <f aca="false">INDEX(Panel!$V$5:$V$815,D7+1)</f>
        <v>0.00176949520371741</v>
      </c>
      <c r="K7" s="55" t="n">
        <f aca="false">(E7-G7-H7*F7-I7*D7)/J7</f>
        <v>3.24435833265458</v>
      </c>
      <c r="L7" s="0" t="n">
        <v>2</v>
      </c>
      <c r="M7" s="0" t="str">
        <f aca="false">IF(ABS(K7)&gt;L7,"Yes","No")</f>
        <v>Yes</v>
      </c>
      <c r="N7" s="30" t="s">
        <v>358</v>
      </c>
      <c r="O7" s="0" t="n">
        <v>86</v>
      </c>
      <c r="P7" s="0" t="n">
        <v>19409</v>
      </c>
      <c r="Q7" s="0" t="n">
        <v>213.19</v>
      </c>
      <c r="R7" s="30" t="s">
        <v>359</v>
      </c>
      <c r="S7" s="0" t="n">
        <v>104</v>
      </c>
      <c r="T7" s="0" t="n">
        <v>19525</v>
      </c>
      <c r="U7" s="0" t="n">
        <v>216.14</v>
      </c>
      <c r="V7" s="30" t="s">
        <v>353</v>
      </c>
      <c r="W7" s="56" t="n">
        <f aca="false">B7*((LN(T7)-LN(P7))-(LN(U7)-LN(Q7)))</f>
        <v>0.00778373929141019</v>
      </c>
      <c r="X7" s="56" t="n">
        <f aca="false">IF(INDEX(Panel!$A$5:$A$815,O7+1)&lt;=DATE(2024,9,30),0.000625,IF(INDEX(Panel!$A$5:$A$815,O7+1)&lt;=DATE(2026,3,31),0.001,0.0015))*(0.3989*Inputs!$B$28*SQRT(MAX(INDEX(Panel!$G$5:$G$815,O7+1),0)/365))+2*Inputs!$B$29+Inputs!$B$19+0.00003*(0.3989*Inputs!$B$28*SQRT(MAX(INDEX(Panel!$G$5:$G$815,O7+1),0)/365))+IF(B7&lt;0,(Inputs!$B$20+Inputs!$B$22+Inputs!$B$23),(Inputs!$B$21+Inputs!$B$22+Inputs!$B$23))</f>
        <v>0.00046494875696676</v>
      </c>
      <c r="Y7" s="56" t="n">
        <f aca="false">IF(V7="expiry",IF(INDEX(Panel!$A$5:$A$815,S7+1)&lt;=DATE(2026,3,31),0.00125,0.0015)*IF(B7&lt;0,MAX(P7-T7,0),MAX(T7-P7,0))/T7,IF(INDEX(Panel!$A$5:$A$815,S7+1)&lt;=DATE(2024,9,30),0.000625,IF(INDEX(Panel!$A$5:$A$815,S7+1)&lt;=DATE(2026,3,31),0.001,0.0015))*(0.3989*Inputs!$B$28*SQRT(MAX(INDEX(Panel!$G$5:$G$815,S7+1),0)/365))+2*Inputs!$B$29+Inputs!$B$19)+IF(B7&lt;0,(Inputs!$B$21+Inputs!$B$22+Inputs!$B$23),(Inputs!$B$20+Inputs!$B$22+Inputs!$B$23))</f>
        <v>0.00021</v>
      </c>
      <c r="Z7" s="56" t="n">
        <f aca="false">B7*SUMPRODUCT((Panel!$F$5:$F$815&gt;=O7)*(Panel!$F$5:$F$815&lt;S7)*Panel!$N$5:$N$815*Panel!$BD$5:$BD$815)/365</f>
        <v>-0.00480821917808219</v>
      </c>
      <c r="AA7" s="56" t="n">
        <f aca="false">W7-X7-Y7+Z7</f>
        <v>0.00230057135636123</v>
      </c>
      <c r="AB7" s="57" t="n">
        <v>0.0023005713563612</v>
      </c>
      <c r="AC7" s="58" t="n">
        <f aca="false">AA7-AB7</f>
        <v>3.33934269125535E-017</v>
      </c>
    </row>
    <row r="8" customFormat="false" ht="15" hidden="false" customHeight="false" outlineLevel="0" collapsed="false">
      <c r="A8" s="0" t="s">
        <v>349</v>
      </c>
      <c r="B8" s="0" t="n">
        <v>-1</v>
      </c>
      <c r="C8" s="0" t="s">
        <v>360</v>
      </c>
      <c r="D8" s="0" t="n">
        <v>105</v>
      </c>
      <c r="E8" s="29" t="n">
        <v>9.88681432356125</v>
      </c>
      <c r="F8" s="29" t="n">
        <v>5.37601887421189</v>
      </c>
      <c r="G8" s="53" t="n">
        <f aca="false">INDEX(Panel!$U$5:$U$815,D8+1)</f>
        <v>4.34238949257213</v>
      </c>
      <c r="H8" s="53" t="n">
        <f aca="false">INDEX(Panel!$T$5:$T$815,D8+1)</f>
        <v>1.03308042866385</v>
      </c>
      <c r="I8" s="54" t="n">
        <f aca="false">INDEX(Panel!$S$5:$S$815,D8+1)</f>
        <v>-0.000133680282395583</v>
      </c>
      <c r="J8" s="53" t="n">
        <f aca="false">INDEX(Panel!$V$5:$V$815,D8+1)</f>
        <v>0.00204197930157553</v>
      </c>
      <c r="K8" s="55" t="n">
        <f aca="false">(E8-G8-H8*F8-I8*D8)/J8</f>
        <v>2.25339089449511</v>
      </c>
      <c r="L8" s="0" t="n">
        <v>2</v>
      </c>
      <c r="M8" s="0" t="str">
        <f aca="false">IF(ABS(K8)&gt;L8,"Yes","No")</f>
        <v>Yes</v>
      </c>
      <c r="N8" s="30" t="s">
        <v>361</v>
      </c>
      <c r="O8" s="0" t="n">
        <v>105</v>
      </c>
      <c r="P8" s="0" t="n">
        <v>19668.7</v>
      </c>
      <c r="Q8" s="0" t="n">
        <v>216.37</v>
      </c>
      <c r="R8" s="30" t="s">
        <v>362</v>
      </c>
      <c r="S8" s="0" t="n">
        <v>122</v>
      </c>
      <c r="T8" s="0" t="n">
        <v>18859</v>
      </c>
      <c r="U8" s="0" t="n">
        <v>208.8</v>
      </c>
      <c r="V8" s="30" t="s">
        <v>353</v>
      </c>
      <c r="W8" s="56" t="n">
        <f aca="false">B8*((LN(T8)-LN(P8))-(LN(U8)-LN(Q8)))</f>
        <v>0.00642523700267628</v>
      </c>
      <c r="X8" s="56" t="n">
        <f aca="false">IF(INDEX(Panel!$A$5:$A$815,O8+1)&lt;=DATE(2024,9,30),0.000625,IF(INDEX(Panel!$A$5:$A$815,O8+1)&lt;=DATE(2026,3,31),0.001,0.0015))*(0.3989*Inputs!$B$28*SQRT(MAX(INDEX(Panel!$G$5:$G$815,O8+1),0)/365))+2*Inputs!$B$29+Inputs!$B$19+0.00003*(0.3989*Inputs!$B$28*SQRT(MAX(INDEX(Panel!$G$5:$G$815,O8+1),0)/365))+IF(B8&lt;0,(Inputs!$B$20+Inputs!$B$22+Inputs!$B$23),(Inputs!$B$21+Inputs!$B$22+Inputs!$B$23))</f>
        <v>0.00046494875696676</v>
      </c>
      <c r="Y8" s="56" t="n">
        <f aca="false">IF(V8="expiry",IF(INDEX(Panel!$A$5:$A$815,S8+1)&lt;=DATE(2026,3,31),0.00125,0.0015)*IF(B8&lt;0,MAX(P8-T8,0),MAX(T8-P8,0))/T8,IF(INDEX(Panel!$A$5:$A$815,S8+1)&lt;=DATE(2024,9,30),0.000625,IF(INDEX(Panel!$A$5:$A$815,S8+1)&lt;=DATE(2026,3,31),0.001,0.0015))*(0.3989*Inputs!$B$28*SQRT(MAX(INDEX(Panel!$G$5:$G$815,S8+1),0)/365))+2*Inputs!$B$29+Inputs!$B$19)+IF(B8&lt;0,(Inputs!$B$21+Inputs!$B$22+Inputs!$B$23),(Inputs!$B$20+Inputs!$B$22+Inputs!$B$23))</f>
        <v>0.000263668009968715</v>
      </c>
      <c r="Z8" s="56" t="n">
        <f aca="false">B8*SUMPRODUCT((Panel!$F$5:$F$815&gt;=O8)*(Panel!$F$5:$F$815&lt;S8)*Panel!$N$5:$N$815*Panel!$BD$5:$BD$815)/365</f>
        <v>-0.00480821917808219</v>
      </c>
      <c r="AA8" s="56" t="n">
        <f aca="false">W8-X8-Y8+Z8</f>
        <v>0.000888401057658609</v>
      </c>
      <c r="AB8" s="57" t="n">
        <v>0.0008884010576586</v>
      </c>
      <c r="AC8" s="58" t="n">
        <f aca="false">AA8-AB8</f>
        <v>9.21571846612679E-018</v>
      </c>
    </row>
    <row r="9" customFormat="false" ht="15" hidden="false" customHeight="false" outlineLevel="0" collapsed="false">
      <c r="A9" s="0" t="s">
        <v>349</v>
      </c>
      <c r="B9" s="0" t="n">
        <v>-1</v>
      </c>
      <c r="C9" s="0" t="s">
        <v>363</v>
      </c>
      <c r="D9" s="0" t="n">
        <v>123</v>
      </c>
      <c r="E9" s="29" t="n">
        <v>9.85466488783856</v>
      </c>
      <c r="F9" s="29" t="n">
        <v>5.34605936253346</v>
      </c>
      <c r="G9" s="53" t="n">
        <f aca="false">INDEX(Panel!$U$5:$U$815,D9+1)</f>
        <v>4.38315456032406</v>
      </c>
      <c r="H9" s="53" t="n">
        <f aca="false">INDEX(Panel!$T$5:$T$815,D9+1)</f>
        <v>1.02534697626981</v>
      </c>
      <c r="I9" s="54" t="n">
        <f aca="false">INDEX(Panel!$S$5:$S$815,D9+1)</f>
        <v>-0.000120001421667994</v>
      </c>
      <c r="J9" s="53" t="n">
        <f aca="false">INDEX(Panel!$V$5:$V$815,D9+1)</f>
        <v>0.0020221092896917</v>
      </c>
      <c r="K9" s="55" t="n">
        <f aca="false">(E9-G9-H9*F9-I9*D9)/J9</f>
        <v>2.32662995569529</v>
      </c>
      <c r="L9" s="0" t="n">
        <v>2</v>
      </c>
      <c r="M9" s="0" t="str">
        <f aca="false">IF(ABS(K9)&gt;L9,"Yes","No")</f>
        <v>Yes</v>
      </c>
      <c r="N9" s="30" t="s">
        <v>364</v>
      </c>
      <c r="O9" s="0" t="n">
        <v>123</v>
      </c>
      <c r="P9" s="0" t="n">
        <v>19066.4</v>
      </c>
      <c r="Q9" s="0" t="n">
        <v>209.98</v>
      </c>
      <c r="R9" s="30" t="s">
        <v>365</v>
      </c>
      <c r="S9" s="0" t="n">
        <v>145</v>
      </c>
      <c r="T9" s="0" t="n">
        <v>20134</v>
      </c>
      <c r="U9" s="0" t="n">
        <v>222.23</v>
      </c>
      <c r="V9" s="30" t="s">
        <v>353</v>
      </c>
      <c r="W9" s="56" t="n">
        <f aca="false">B9*((LN(T9)-LN(P9))-(LN(U9)-LN(Q9)))</f>
        <v>0.00221828880520203</v>
      </c>
      <c r="X9" s="56" t="n">
        <f aca="false">IF(INDEX(Panel!$A$5:$A$815,O9+1)&lt;=DATE(2024,9,30),0.000625,IF(INDEX(Panel!$A$5:$A$815,O9+1)&lt;=DATE(2026,3,31),0.001,0.0015))*(0.3989*Inputs!$B$28*SQRT(MAX(INDEX(Panel!$G$5:$G$815,O9+1),0)/365))+2*Inputs!$B$29+Inputs!$B$19+0.00003*(0.3989*Inputs!$B$28*SQRT(MAX(INDEX(Panel!$G$5:$G$815,O9+1),0)/365))+IF(B9&lt;0,(Inputs!$B$20+Inputs!$B$22+Inputs!$B$23),(Inputs!$B$21+Inputs!$B$22+Inputs!$B$23))</f>
        <v>0.000466164168901818</v>
      </c>
      <c r="Y9" s="56" t="n">
        <f aca="false">IF(V9="expiry",IF(INDEX(Panel!$A$5:$A$815,S9+1)&lt;=DATE(2026,3,31),0.00125,0.0015)*IF(B9&lt;0,MAX(P9-T9,0),MAX(T9-P9,0))/T9,IF(INDEX(Panel!$A$5:$A$815,S9+1)&lt;=DATE(2024,9,30),0.000625,IF(INDEX(Panel!$A$5:$A$815,S9+1)&lt;=DATE(2026,3,31),0.001,0.0015))*(0.3989*Inputs!$B$28*SQRT(MAX(INDEX(Panel!$G$5:$G$815,S9+1),0)/365))+2*Inputs!$B$29+Inputs!$B$19)+IF(B9&lt;0,(Inputs!$B$21+Inputs!$B$22+Inputs!$B$23),(Inputs!$B$20+Inputs!$B$22+Inputs!$B$23))</f>
        <v>0.00021</v>
      </c>
      <c r="Z9" s="56" t="n">
        <f aca="false">B9*SUMPRODUCT((Panel!$F$5:$F$815&gt;=O9)*(Panel!$F$5:$F$815&lt;S9)*Panel!$N$5:$N$815*Panel!$BD$5:$BD$815)/365</f>
        <v>-0.00605479452054795</v>
      </c>
      <c r="AA9" s="56" t="n">
        <f aca="false">W9-X9-Y9+Z9</f>
        <v>-0.00451266988424773</v>
      </c>
      <c r="AB9" s="57" t="n">
        <v>-0.0045126698842477</v>
      </c>
      <c r="AC9" s="58" t="n">
        <f aca="false">AA9-AB9</f>
        <v>-3.46944695195361E-017</v>
      </c>
    </row>
    <row r="10" customFormat="false" ht="15" hidden="false" customHeight="false" outlineLevel="0" collapsed="false">
      <c r="A10" s="0" t="s">
        <v>349</v>
      </c>
      <c r="B10" s="0" t="n">
        <v>-1</v>
      </c>
      <c r="C10" s="0" t="s">
        <v>366</v>
      </c>
      <c r="D10" s="0" t="n">
        <v>146</v>
      </c>
      <c r="E10" s="29" t="n">
        <v>9.92122677797233</v>
      </c>
      <c r="F10" s="29" t="n">
        <v>5.40762010143849</v>
      </c>
      <c r="G10" s="53" t="n">
        <f aca="false">INDEX(Panel!$U$5:$U$815,D10+1)</f>
        <v>4.60180344289308</v>
      </c>
      <c r="H10" s="53" t="n">
        <f aca="false">INDEX(Panel!$T$5:$T$815,D10+1)</f>
        <v>0.983956748676894</v>
      </c>
      <c r="I10" s="54" t="n">
        <f aca="false">INDEX(Panel!$S$5:$S$815,D10+1)</f>
        <v>-6.58322037433943E-005</v>
      </c>
      <c r="J10" s="53" t="n">
        <f aca="false">INDEX(Panel!$V$5:$V$815,D10+1)</f>
        <v>0.00231565970379552</v>
      </c>
      <c r="K10" s="55" t="n">
        <f aca="false">(E10-G10-H10*F10-I10*D10)/J10</f>
        <v>3.52838706013873</v>
      </c>
      <c r="L10" s="0" t="n">
        <v>2</v>
      </c>
      <c r="M10" s="0" t="str">
        <f aca="false">IF(ABS(K10)&gt;L10,"Yes","No")</f>
        <v>Yes</v>
      </c>
      <c r="N10" s="30" t="s">
        <v>367</v>
      </c>
      <c r="O10" s="0" t="n">
        <v>146</v>
      </c>
      <c r="P10" s="0" t="n">
        <v>20346.6</v>
      </c>
      <c r="Q10" s="0" t="n">
        <v>223</v>
      </c>
      <c r="R10" s="30" t="s">
        <v>368</v>
      </c>
      <c r="S10" s="0" t="n">
        <v>164</v>
      </c>
      <c r="T10" s="0" t="n">
        <v>21780.75</v>
      </c>
      <c r="U10" s="0" t="n">
        <v>240.24</v>
      </c>
      <c r="V10" s="30" t="s">
        <v>353</v>
      </c>
      <c r="W10" s="56" t="n">
        <f aca="false">B10*((LN(T10)-LN(P10))-(LN(U10)-LN(Q10)))</f>
        <v>0.00635392180406225</v>
      </c>
      <c r="X10" s="56" t="n">
        <f aca="false">IF(INDEX(Panel!$A$5:$A$815,O10+1)&lt;=DATE(2024,9,30),0.000625,IF(INDEX(Panel!$A$5:$A$815,O10+1)&lt;=DATE(2026,3,31),0.001,0.0015))*(0.3989*Inputs!$B$28*SQRT(MAX(INDEX(Panel!$G$5:$G$815,O10+1),0)/365))+2*Inputs!$B$29+Inputs!$B$19+0.00003*(0.3989*Inputs!$B$28*SQRT(MAX(INDEX(Panel!$G$5:$G$815,O10+1),0)/365))+IF(B10&lt;0,(Inputs!$B$20+Inputs!$B$22+Inputs!$B$23),(Inputs!$B$21+Inputs!$B$22+Inputs!$B$23))</f>
        <v>0.00046494875696676</v>
      </c>
      <c r="Y10" s="56" t="n">
        <f aca="false">IF(V10="expiry",IF(INDEX(Panel!$A$5:$A$815,S10+1)&lt;=DATE(2026,3,31),0.00125,0.0015)*IF(B10&lt;0,MAX(P10-T10,0),MAX(T10-P10,0))/T10,IF(INDEX(Panel!$A$5:$A$815,S10+1)&lt;=DATE(2024,9,30),0.000625,IF(INDEX(Panel!$A$5:$A$815,S10+1)&lt;=DATE(2026,3,31),0.001,0.0015))*(0.3989*Inputs!$B$28*SQRT(MAX(INDEX(Panel!$G$5:$G$815,S10+1),0)/365))+2*Inputs!$B$29+Inputs!$B$19)+IF(B10&lt;0,(Inputs!$B$21+Inputs!$B$22+Inputs!$B$23),(Inputs!$B$20+Inputs!$B$22+Inputs!$B$23))</f>
        <v>0.00021</v>
      </c>
      <c r="Z10" s="56" t="n">
        <f aca="false">B10*SUMPRODUCT((Panel!$F$5:$F$815&gt;=O10)*(Panel!$F$5:$F$815&lt;S10)*Panel!$N$5:$N$815*Panel!$BD$5:$BD$815)/365</f>
        <v>-0.00480821917808219</v>
      </c>
      <c r="AA10" s="56" t="n">
        <f aca="false">W10-X10-Y10+Z10</f>
        <v>0.000870753869013294</v>
      </c>
      <c r="AB10" s="57" t="n">
        <v>0.0008707538690132</v>
      </c>
      <c r="AC10" s="58" t="n">
        <f aca="false">AA10-AB10</f>
        <v>9.37834879199961E-017</v>
      </c>
    </row>
    <row r="11" customFormat="false" ht="15" hidden="false" customHeight="false" outlineLevel="0" collapsed="false">
      <c r="A11" s="0" t="s">
        <v>349</v>
      </c>
      <c r="B11" s="0" t="n">
        <v>-1</v>
      </c>
      <c r="C11" s="0" t="s">
        <v>369</v>
      </c>
      <c r="D11" s="0" t="n">
        <v>165</v>
      </c>
      <c r="E11" s="29" t="n">
        <v>9.99474179084625</v>
      </c>
      <c r="F11" s="29" t="n">
        <v>5.48022216984565</v>
      </c>
      <c r="G11" s="53" t="n">
        <f aca="false">INDEX(Panel!$U$5:$U$815,D11+1)</f>
        <v>4.39286337796013</v>
      </c>
      <c r="H11" s="53" t="n">
        <f aca="false">INDEX(Panel!$T$5:$T$815,D11+1)</f>
        <v>1.02312434161324</v>
      </c>
      <c r="I11" s="54" t="n">
        <f aca="false">INDEX(Panel!$S$5:$S$815,D11+1)</f>
        <v>-7.29783753886715E-005</v>
      </c>
      <c r="J11" s="53" t="n">
        <f aca="false">INDEX(Panel!$V$5:$V$815,D11+1)</f>
        <v>0.00267598898951643</v>
      </c>
      <c r="K11" s="55" t="n">
        <f aca="false">(E11-G11-H11*F11-I11*D11)/J11</f>
        <v>2.60507253018326</v>
      </c>
      <c r="L11" s="0" t="n">
        <v>2</v>
      </c>
      <c r="M11" s="0" t="str">
        <f aca="false">IF(ABS(K11)&gt;L11,"Yes","No")</f>
        <v>Yes</v>
      </c>
      <c r="N11" s="30" t="s">
        <v>370</v>
      </c>
      <c r="O11" s="0" t="n">
        <v>165</v>
      </c>
      <c r="P11" s="0" t="n">
        <v>21895.85</v>
      </c>
      <c r="Q11" s="0" t="n">
        <v>239.89</v>
      </c>
      <c r="R11" s="30" t="s">
        <v>371</v>
      </c>
      <c r="S11" s="0" t="n">
        <v>184</v>
      </c>
      <c r="T11" s="0" t="n">
        <v>21351</v>
      </c>
      <c r="U11" s="0" t="n">
        <v>236.7</v>
      </c>
      <c r="V11" s="30" t="s">
        <v>353</v>
      </c>
      <c r="W11" s="56" t="n">
        <f aca="false">B11*((LN(T11)-LN(P11))-(LN(U11)-LN(Q11)))</f>
        <v>0.0118115757414614</v>
      </c>
      <c r="X11" s="56" t="n">
        <f aca="false">IF(INDEX(Panel!$A$5:$A$815,O11+1)&lt;=DATE(2024,9,30),0.000625,IF(INDEX(Panel!$A$5:$A$815,O11+1)&lt;=DATE(2026,3,31),0.001,0.0015))*(0.3989*Inputs!$B$28*SQRT(MAX(INDEX(Panel!$G$5:$G$815,O11+1),0)/365))+2*Inputs!$B$29+Inputs!$B$19+0.00003*(0.3989*Inputs!$B$28*SQRT(MAX(INDEX(Panel!$G$5:$G$815,O11+1),0)/365))+IF(B11&lt;0,(Inputs!$B$20+Inputs!$B$22+Inputs!$B$23),(Inputs!$B$21+Inputs!$B$22+Inputs!$B$23))</f>
        <v>0.00046494875696676</v>
      </c>
      <c r="Y11" s="56" t="n">
        <f aca="false">IF(V11="expiry",IF(INDEX(Panel!$A$5:$A$815,S11+1)&lt;=DATE(2026,3,31),0.00125,0.0015)*IF(B11&lt;0,MAX(P11-T11,0),MAX(T11-P11,0))/T11,IF(INDEX(Panel!$A$5:$A$815,S11+1)&lt;=DATE(2024,9,30),0.000625,IF(INDEX(Panel!$A$5:$A$815,S11+1)&lt;=DATE(2026,3,31),0.001,0.0015))*(0.3989*Inputs!$B$28*SQRT(MAX(INDEX(Panel!$G$5:$G$815,S11+1),0)/365))+2*Inputs!$B$29+Inputs!$B$19)+IF(B11&lt;0,(Inputs!$B$21+Inputs!$B$22+Inputs!$B$23),(Inputs!$B$20+Inputs!$B$22+Inputs!$B$23))</f>
        <v>0.000241898388834247</v>
      </c>
      <c r="Z11" s="56" t="n">
        <f aca="false">B11*SUMPRODUCT((Panel!$F$5:$F$815&gt;=O11)*(Panel!$F$5:$F$815&lt;S11)*Panel!$N$5:$N$815*Panel!$BD$5:$BD$815)/365</f>
        <v>-0.00480821917808219</v>
      </c>
      <c r="AA11" s="56" t="n">
        <f aca="false">W11-X11-Y11+Z11</f>
        <v>0.00629650941757821</v>
      </c>
      <c r="AB11" s="57" t="n">
        <v>0.0062965094175782</v>
      </c>
      <c r="AC11" s="58" t="n">
        <f aca="false">AA11-AB11</f>
        <v>0</v>
      </c>
    </row>
    <row r="12" customFormat="false" ht="15" hidden="false" customHeight="false" outlineLevel="0" collapsed="false">
      <c r="A12" s="0" t="s">
        <v>349</v>
      </c>
      <c r="B12" s="0" t="n">
        <v>-1</v>
      </c>
      <c r="C12" s="0" t="s">
        <v>372</v>
      </c>
      <c r="D12" s="0" t="n">
        <v>185</v>
      </c>
      <c r="E12" s="29" t="n">
        <v>9.98509979707279</v>
      </c>
      <c r="F12" s="29" t="n">
        <v>5.47348841931315</v>
      </c>
      <c r="G12" s="53" t="n">
        <f aca="false">INDEX(Panel!$U$5:$U$815,D12+1)</f>
        <v>4.36259450276646</v>
      </c>
      <c r="H12" s="53" t="n">
        <f aca="false">INDEX(Panel!$T$5:$T$815,D12+1)</f>
        <v>1.02882516021374</v>
      </c>
      <c r="I12" s="54" t="n">
        <f aca="false">INDEX(Panel!$S$5:$S$815,D12+1)</f>
        <v>-7.66407072827763E-005</v>
      </c>
      <c r="J12" s="53" t="n">
        <f aca="false">INDEX(Panel!$V$5:$V$815,D12+1)</f>
        <v>0.0026490064748682</v>
      </c>
      <c r="K12" s="55" t="n">
        <f aca="false">(E12-G12-H12*F12-I12*D12)/J12</f>
        <v>2.04651263679328</v>
      </c>
      <c r="L12" s="0" t="n">
        <v>2</v>
      </c>
      <c r="M12" s="0" t="str">
        <f aca="false">IF(ABS(K12)&gt;L12,"Yes","No")</f>
        <v>Yes</v>
      </c>
      <c r="N12" s="30" t="s">
        <v>373</v>
      </c>
      <c r="O12" s="0" t="n">
        <v>185</v>
      </c>
      <c r="P12" s="0" t="n">
        <v>21692.6</v>
      </c>
      <c r="Q12" s="0" t="n">
        <v>238.39</v>
      </c>
      <c r="R12" s="30" t="s">
        <v>374</v>
      </c>
      <c r="S12" s="0" t="n">
        <v>208</v>
      </c>
      <c r="T12" s="0" t="n">
        <v>21985.7</v>
      </c>
      <c r="U12" s="0" t="n">
        <v>243.9</v>
      </c>
      <c r="V12" s="30" t="s">
        <v>353</v>
      </c>
      <c r="W12" s="56" t="n">
        <f aca="false">B12*((LN(T12)-LN(P12))-(LN(U12)-LN(Q12)))</f>
        <v>0.00942926376553821</v>
      </c>
      <c r="X12" s="56" t="n">
        <f aca="false">IF(INDEX(Panel!$A$5:$A$815,O12+1)&lt;=DATE(2024,9,30),0.000625,IF(INDEX(Panel!$A$5:$A$815,O12+1)&lt;=DATE(2026,3,31),0.001,0.0015))*(0.3989*Inputs!$B$28*SQRT(MAX(INDEX(Panel!$G$5:$G$815,O12+1),0)/365))+2*Inputs!$B$29+Inputs!$B$19+0.00003*(0.3989*Inputs!$B$28*SQRT(MAX(INDEX(Panel!$G$5:$G$815,O12+1),0)/365))+IF(B12&lt;0,(Inputs!$B$20+Inputs!$B$22+Inputs!$B$23),(Inputs!$B$21+Inputs!$B$22+Inputs!$B$23))</f>
        <v>0.000465660259743715</v>
      </c>
      <c r="Y12" s="56" t="n">
        <f aca="false">IF(V12="expiry",IF(INDEX(Panel!$A$5:$A$815,S12+1)&lt;=DATE(2026,3,31),0.00125,0.0015)*IF(B12&lt;0,MAX(P12-T12,0),MAX(T12-P12,0))/T12,IF(INDEX(Panel!$A$5:$A$815,S12+1)&lt;=DATE(2024,9,30),0.000625,IF(INDEX(Panel!$A$5:$A$815,S12+1)&lt;=DATE(2026,3,31),0.001,0.0015))*(0.3989*Inputs!$B$28*SQRT(MAX(INDEX(Panel!$G$5:$G$815,S12+1),0)/365))+2*Inputs!$B$29+Inputs!$B$19)+IF(B12&lt;0,(Inputs!$B$21+Inputs!$B$22+Inputs!$B$23),(Inputs!$B$20+Inputs!$B$22+Inputs!$B$23))</f>
        <v>0.00021</v>
      </c>
      <c r="Z12" s="56" t="n">
        <f aca="false">B12*SUMPRODUCT((Panel!$F$5:$F$815&gt;=O12)*(Panel!$F$5:$F$815&lt;S12)*Panel!$N$5:$N$815*Panel!$BD$5:$BD$815)/365</f>
        <v>-0.00552054794520548</v>
      </c>
      <c r="AA12" s="56" t="n">
        <f aca="false">W12-X12-Y12+Z12</f>
        <v>0.00323305556058902</v>
      </c>
      <c r="AB12" s="57" t="n">
        <v>0.003233055560589</v>
      </c>
      <c r="AC12" s="58" t="n">
        <f aca="false">AA12-AB12</f>
        <v>1.56125112837913E-017</v>
      </c>
    </row>
    <row r="13" customFormat="false" ht="15" hidden="false" customHeight="false" outlineLevel="0" collapsed="false">
      <c r="A13" s="0" t="s">
        <v>349</v>
      </c>
      <c r="B13" s="0" t="n">
        <v>-1</v>
      </c>
      <c r="C13" s="0" t="s">
        <v>375</v>
      </c>
      <c r="D13" s="0" t="n">
        <v>209</v>
      </c>
      <c r="E13" s="29" t="n">
        <v>10.0149350051483</v>
      </c>
      <c r="F13" s="29" t="n">
        <v>5.50411127952713</v>
      </c>
      <c r="G13" s="53" t="n">
        <f aca="false">INDEX(Panel!$U$5:$U$815,D13+1)</f>
        <v>4.35399231260958</v>
      </c>
      <c r="H13" s="53" t="n">
        <f aca="false">INDEX(Panel!$T$5:$T$815,D13+1)</f>
        <v>1.03043287222494</v>
      </c>
      <c r="I13" s="54" t="n">
        <f aca="false">INDEX(Panel!$S$5:$S$815,D13+1)</f>
        <v>-7.65181337309266E-005</v>
      </c>
      <c r="J13" s="53" t="n">
        <f aca="false">INDEX(Panel!$V$5:$V$815,D13+1)</f>
        <v>0.00261739718352043</v>
      </c>
      <c r="K13" s="55" t="n">
        <f aca="false">(E13-G13-H13*F13-I13*D13)/J13</f>
        <v>2.03170833725164</v>
      </c>
      <c r="L13" s="0" t="n">
        <v>2</v>
      </c>
      <c r="M13" s="0" t="str">
        <f aca="false">IF(ABS(K13)&gt;L13,"Yes","No")</f>
        <v>Yes</v>
      </c>
      <c r="N13" s="30" t="s">
        <v>376</v>
      </c>
      <c r="O13" s="0" t="n">
        <v>209</v>
      </c>
      <c r="P13" s="0" t="n">
        <v>22392</v>
      </c>
      <c r="Q13" s="0" t="n">
        <v>246.12</v>
      </c>
      <c r="R13" s="30" t="s">
        <v>377</v>
      </c>
      <c r="S13" s="0" t="n">
        <v>227</v>
      </c>
      <c r="T13" s="0" t="n">
        <v>22328.5</v>
      </c>
      <c r="U13" s="0" t="n">
        <v>247.1</v>
      </c>
      <c r="V13" s="30" t="s">
        <v>353</v>
      </c>
      <c r="W13" s="56" t="n">
        <f aca="false">B13*((LN(T13)-LN(P13))-(LN(U13)-LN(Q13)))</f>
        <v>0.00681375394475303</v>
      </c>
      <c r="X13" s="56" t="n">
        <f aca="false">IF(INDEX(Panel!$A$5:$A$815,O13+1)&lt;=DATE(2024,9,30),0.000625,IF(INDEX(Panel!$A$5:$A$815,O13+1)&lt;=DATE(2026,3,31),0.001,0.0015))*(0.3989*Inputs!$B$28*SQRT(MAX(INDEX(Panel!$G$5:$G$815,O13+1),0)/365))+2*Inputs!$B$29+Inputs!$B$19+0.00003*(0.3989*Inputs!$B$28*SQRT(MAX(INDEX(Panel!$G$5:$G$815,O13+1),0)/365))+IF(B13&lt;0,(Inputs!$B$20+Inputs!$B$22+Inputs!$B$23),(Inputs!$B$21+Inputs!$B$22+Inputs!$B$23))</f>
        <v>0.00046494875696676</v>
      </c>
      <c r="Y13" s="56" t="n">
        <f aca="false">IF(V13="expiry",IF(INDEX(Panel!$A$5:$A$815,S13+1)&lt;=DATE(2026,3,31),0.00125,0.0015)*IF(B13&lt;0,MAX(P13-T13,0),MAX(T13-P13,0))/T13,IF(INDEX(Panel!$A$5:$A$815,S13+1)&lt;=DATE(2024,9,30),0.000625,IF(INDEX(Panel!$A$5:$A$815,S13+1)&lt;=DATE(2026,3,31),0.001,0.0015))*(0.3989*Inputs!$B$28*SQRT(MAX(INDEX(Panel!$G$5:$G$815,S13+1),0)/365))+2*Inputs!$B$29+Inputs!$B$19)+IF(B13&lt;0,(Inputs!$B$21+Inputs!$B$22+Inputs!$B$23),(Inputs!$B$20+Inputs!$B$22+Inputs!$B$23))</f>
        <v>0.000213554873815975</v>
      </c>
      <c r="Z13" s="56" t="n">
        <f aca="false">B13*SUMPRODUCT((Panel!$F$5:$F$815&gt;=O13)*(Panel!$F$5:$F$815&lt;S13)*Panel!$N$5:$N$815*Panel!$BD$5:$BD$815)/365</f>
        <v>-0.00480821917808219</v>
      </c>
      <c r="AA13" s="56" t="n">
        <f aca="false">W13-X13-Y13+Z13</f>
        <v>0.0013270311358881</v>
      </c>
      <c r="AB13" s="57" t="n">
        <v>0.0013270311358881</v>
      </c>
      <c r="AC13" s="58" t="n">
        <f aca="false">AA13-AB13</f>
        <v>4.77048955893622E-018</v>
      </c>
    </row>
    <row r="14" customFormat="false" ht="15" hidden="false" customHeight="false" outlineLevel="0" collapsed="false">
      <c r="A14" s="0" t="s">
        <v>349</v>
      </c>
      <c r="B14" s="0" t="n">
        <v>-1</v>
      </c>
      <c r="C14" s="0" t="s">
        <v>378</v>
      </c>
      <c r="D14" s="0" t="n">
        <v>228</v>
      </c>
      <c r="E14" s="29" t="n">
        <v>10.0262360177952</v>
      </c>
      <c r="F14" s="29" t="n">
        <v>5.51552332519549</v>
      </c>
      <c r="G14" s="53" t="n">
        <f aca="false">INDEX(Panel!$U$5:$U$815,D14+1)</f>
        <v>4.34318781341509</v>
      </c>
      <c r="H14" s="53" t="n">
        <f aca="false">INDEX(Panel!$T$5:$T$815,D14+1)</f>
        <v>1.03240511382569</v>
      </c>
      <c r="I14" s="54" t="n">
        <f aca="false">INDEX(Panel!$S$5:$S$815,D14+1)</f>
        <v>-7.33052926297535E-005</v>
      </c>
      <c r="J14" s="53" t="n">
        <f aca="false">INDEX(Panel!$V$5:$V$815,D14+1)</f>
        <v>0.0026109863426601</v>
      </c>
      <c r="K14" s="55" t="n">
        <f aca="false">(E14-G14-H14*F14-I14*D14)/J14</f>
        <v>2.10928898898954</v>
      </c>
      <c r="L14" s="0" t="n">
        <v>2</v>
      </c>
      <c r="M14" s="0" t="str">
        <f aca="false">IF(ABS(K14)&gt;L14,"Yes","No")</f>
        <v>Yes</v>
      </c>
      <c r="N14" s="30" t="s">
        <v>379</v>
      </c>
      <c r="O14" s="0" t="n">
        <v>228</v>
      </c>
      <c r="P14" s="0" t="n">
        <v>22596.95</v>
      </c>
      <c r="Q14" s="0" t="n">
        <v>248.36</v>
      </c>
      <c r="R14" s="30" t="s">
        <v>380</v>
      </c>
      <c r="S14" s="0" t="n">
        <v>244</v>
      </c>
      <c r="T14" s="0" t="n">
        <v>22574.7</v>
      </c>
      <c r="U14" s="0" t="n">
        <v>249.38</v>
      </c>
      <c r="V14" s="30" t="s">
        <v>353</v>
      </c>
      <c r="W14" s="56" t="n">
        <f aca="false">B14*((LN(T14)-LN(P14))-(LN(U14)-LN(Q14)))</f>
        <v>0.00508366231222457</v>
      </c>
      <c r="X14" s="56" t="n">
        <f aca="false">IF(INDEX(Panel!$A$5:$A$815,O14+1)&lt;=DATE(2024,9,30),0.000625,IF(INDEX(Panel!$A$5:$A$815,O14+1)&lt;=DATE(2026,3,31),0.001,0.0015))*(0.3989*Inputs!$B$28*SQRT(MAX(INDEX(Panel!$G$5:$G$815,O14+1),0)/365))+2*Inputs!$B$29+Inputs!$B$19+0.00003*(0.3989*Inputs!$B$28*SQRT(MAX(INDEX(Panel!$G$5:$G$815,O14+1),0)/365))+IF(B14&lt;0,(Inputs!$B$20+Inputs!$B$22+Inputs!$B$23),(Inputs!$B$21+Inputs!$B$22+Inputs!$B$23))</f>
        <v>0.000464379778020764</v>
      </c>
      <c r="Y14" s="56" t="n">
        <f aca="false">IF(V14="expiry",IF(INDEX(Panel!$A$5:$A$815,S14+1)&lt;=DATE(2026,3,31),0.00125,0.0015)*IF(B14&lt;0,MAX(P14-T14,0),MAX(T14-P14,0))/T14,IF(INDEX(Panel!$A$5:$A$815,S14+1)&lt;=DATE(2024,9,30),0.000625,IF(INDEX(Panel!$A$5:$A$815,S14+1)&lt;=DATE(2026,3,31),0.001,0.0015))*(0.3989*Inputs!$B$28*SQRT(MAX(INDEX(Panel!$G$5:$G$815,S14+1),0)/365))+2*Inputs!$B$29+Inputs!$B$19)+IF(B14&lt;0,(Inputs!$B$21+Inputs!$B$22+Inputs!$B$23),(Inputs!$B$20+Inputs!$B$22+Inputs!$B$23))</f>
        <v>0.000211232020802048</v>
      </c>
      <c r="Z14" s="56" t="n">
        <f aca="false">B14*SUMPRODUCT((Panel!$F$5:$F$815&gt;=O14)*(Panel!$F$5:$F$815&lt;S14)*Panel!$N$5:$N$815*Panel!$BD$5:$BD$815)/365</f>
        <v>-0.00427397260273973</v>
      </c>
      <c r="AA14" s="56" t="n">
        <f aca="false">W14-X14-Y14+Z14</f>
        <v>0.00013407791066203</v>
      </c>
      <c r="AB14" s="57" t="n">
        <v>0.000134077910662</v>
      </c>
      <c r="AC14" s="58" t="n">
        <f aca="false">AA14-AB14</f>
        <v>2.99781900692242E-017</v>
      </c>
    </row>
    <row r="15" customFormat="false" ht="15" hidden="false" customHeight="false" outlineLevel="0" collapsed="false">
      <c r="A15" s="0" t="s">
        <v>349</v>
      </c>
      <c r="B15" s="0" t="n">
        <v>-1</v>
      </c>
      <c r="C15" s="0" t="s">
        <v>381</v>
      </c>
      <c r="D15" s="0" t="n">
        <v>245</v>
      </c>
      <c r="E15" s="29" t="n">
        <v>10.0274757407953</v>
      </c>
      <c r="F15" s="29" t="n">
        <v>5.51805512472741</v>
      </c>
      <c r="G15" s="53" t="n">
        <f aca="false">INDEX(Panel!$U$5:$U$815,D15+1)</f>
        <v>4.33182737513808</v>
      </c>
      <c r="H15" s="53" t="n">
        <f aca="false">INDEX(Panel!$T$5:$T$815,D15+1)</f>
        <v>1.03453131975023</v>
      </c>
      <c r="I15" s="54" t="n">
        <f aca="false">INDEX(Panel!$S$5:$S$815,D15+1)</f>
        <v>-7.39345501436765E-005</v>
      </c>
      <c r="J15" s="53" t="n">
        <f aca="false">INDEX(Panel!$V$5:$V$815,D15+1)</f>
        <v>0.00258062147396052</v>
      </c>
      <c r="K15" s="55" t="n">
        <f aca="false">(E15-G15-H15*F15-I15*D15)/J15</f>
        <v>2.00009178242692</v>
      </c>
      <c r="L15" s="0" t="n">
        <v>2</v>
      </c>
      <c r="M15" s="0" t="str">
        <f aca="false">IF(ABS(K15)&gt;L15,"Yes","No")</f>
        <v>Yes</v>
      </c>
      <c r="N15" s="30" t="s">
        <v>382</v>
      </c>
      <c r="O15" s="0" t="n">
        <v>245</v>
      </c>
      <c r="P15" s="0" t="n">
        <v>22649</v>
      </c>
      <c r="Q15" s="0" t="n">
        <v>249.35</v>
      </c>
      <c r="R15" s="30" t="s">
        <v>383</v>
      </c>
      <c r="S15" s="0" t="n">
        <v>268</v>
      </c>
      <c r="T15" s="0" t="n">
        <v>22487.75</v>
      </c>
      <c r="U15" s="0" t="n">
        <v>251</v>
      </c>
      <c r="V15" s="30" t="s">
        <v>353</v>
      </c>
      <c r="W15" s="56" t="n">
        <f aca="false">B15*((LN(T15)-LN(P15))-(LN(U15)-LN(Q15)))</f>
        <v>0.0137403914814369</v>
      </c>
      <c r="X15" s="56" t="n">
        <f aca="false">IF(INDEX(Panel!$A$5:$A$815,O15+1)&lt;=DATE(2024,9,30),0.000625,IF(INDEX(Panel!$A$5:$A$815,O15+1)&lt;=DATE(2026,3,31),0.001,0.0015))*(0.3989*Inputs!$B$28*SQRT(MAX(INDEX(Panel!$G$5:$G$815,O15+1),0)/365))+2*Inputs!$B$29+Inputs!$B$19+0.00003*(0.3989*Inputs!$B$28*SQRT(MAX(INDEX(Panel!$G$5:$G$815,O15+1),0)/365))+IF(B15&lt;0,(Inputs!$B$20+Inputs!$B$22+Inputs!$B$23),(Inputs!$B$21+Inputs!$B$22+Inputs!$B$23))</f>
        <v>0.000466164168901818</v>
      </c>
      <c r="Y15" s="56" t="n">
        <f aca="false">IF(V15="expiry",IF(INDEX(Panel!$A$5:$A$815,S15+1)&lt;=DATE(2026,3,31),0.00125,0.0015)*IF(B15&lt;0,MAX(P15-T15,0),MAX(T15-P15,0))/T15,IF(INDEX(Panel!$A$5:$A$815,S15+1)&lt;=DATE(2024,9,30),0.000625,IF(INDEX(Panel!$A$5:$A$815,S15+1)&lt;=DATE(2026,3,31),0.001,0.0015))*(0.3989*Inputs!$B$28*SQRT(MAX(INDEX(Panel!$G$5:$G$815,S15+1),0)/365))+2*Inputs!$B$29+Inputs!$B$19)+IF(B15&lt;0,(Inputs!$B$21+Inputs!$B$22+Inputs!$B$23),(Inputs!$B$20+Inputs!$B$22+Inputs!$B$23))</f>
        <v>0.000218963213305022</v>
      </c>
      <c r="Z15" s="56" t="n">
        <f aca="false">B15*SUMPRODUCT((Panel!$F$5:$F$815&gt;=O15)*(Panel!$F$5:$F$815&lt;S15)*Panel!$N$5:$N$815*Panel!$BD$5:$BD$815)/365</f>
        <v>-0.00605479452054795</v>
      </c>
      <c r="AA15" s="56" t="n">
        <f aca="false">W15-X15-Y15+Z15</f>
        <v>0.00700046957868212</v>
      </c>
      <c r="AB15" s="57" t="n">
        <v>0.0070004695786821</v>
      </c>
      <c r="AC15" s="58" t="n">
        <f aca="false">AA15-AB15</f>
        <v>0</v>
      </c>
    </row>
    <row r="16" customFormat="false" ht="15" hidden="false" customHeight="false" outlineLevel="0" collapsed="false">
      <c r="A16" s="0" t="s">
        <v>349</v>
      </c>
      <c r="B16" s="0" t="n">
        <v>1</v>
      </c>
      <c r="C16" s="0" t="s">
        <v>384</v>
      </c>
      <c r="D16" s="0" t="n">
        <v>271</v>
      </c>
      <c r="E16" s="29" t="n">
        <v>10.0170483537593</v>
      </c>
      <c r="F16" s="29" t="n">
        <v>5.51941883422802</v>
      </c>
      <c r="G16" s="53" t="n">
        <f aca="false">INDEX(Panel!$U$5:$U$815,D16+1)</f>
        <v>4.32717962536743</v>
      </c>
      <c r="H16" s="53" t="n">
        <f aca="false">INDEX(Panel!$T$5:$T$815,D16+1)</f>
        <v>1.0351848445274</v>
      </c>
      <c r="I16" s="54" t="n">
        <f aca="false">INDEX(Panel!$S$5:$S$815,D16+1)</f>
        <v>-6.6531627457629E-005</v>
      </c>
      <c r="J16" s="53" t="n">
        <f aca="false">INDEX(Panel!$V$5:$V$815,D16+1)</f>
        <v>0.00255845474222947</v>
      </c>
      <c r="K16" s="55" t="n">
        <f aca="false">(E16-G16-H16*F16-I16*D16)/J16</f>
        <v>-2.23569651814455</v>
      </c>
      <c r="L16" s="0" t="n">
        <v>2</v>
      </c>
      <c r="M16" s="0" t="str">
        <f aca="false">IF(ABS(K16)&gt;L16,"Yes","No")</f>
        <v>Yes</v>
      </c>
      <c r="N16" s="30" t="s">
        <v>385</v>
      </c>
      <c r="O16" s="0" t="n">
        <v>271</v>
      </c>
      <c r="P16" s="0" t="n">
        <v>22162.7</v>
      </c>
      <c r="Q16" s="0" t="n">
        <v>249.06</v>
      </c>
      <c r="R16" s="30" t="s">
        <v>386</v>
      </c>
      <c r="S16" s="0" t="n">
        <v>287</v>
      </c>
      <c r="T16" s="0" t="n">
        <v>24047.1</v>
      </c>
      <c r="U16" s="0" t="n">
        <v>266.95</v>
      </c>
      <c r="V16" s="30" t="s">
        <v>353</v>
      </c>
      <c r="W16" s="56" t="n">
        <f aca="false">B16*((LN(T16)-LN(P16))-(LN(U16)-LN(Q16)))</f>
        <v>0.0122361678951011</v>
      </c>
      <c r="X16" s="56" t="n">
        <f aca="false">IF(INDEX(Panel!$A$5:$A$815,O16+1)&lt;=DATE(2024,9,30),0.000625,IF(INDEX(Panel!$A$5:$A$815,O16+1)&lt;=DATE(2026,3,31),0.001,0.0015))*(0.3989*Inputs!$B$28*SQRT(MAX(INDEX(Panel!$G$5:$G$815,O16+1),0)/365))+2*Inputs!$B$29+Inputs!$B$19+0.00003*(0.3989*Inputs!$B$28*SQRT(MAX(INDEX(Panel!$G$5:$G$815,O16+1),0)/365))+IF(B16&lt;0,(Inputs!$B$20+Inputs!$B$22+Inputs!$B$23),(Inputs!$B$21+Inputs!$B$22+Inputs!$B$23))</f>
        <v>0.000324182286891829</v>
      </c>
      <c r="Y16" s="56" t="n">
        <f aca="false">IF(V16="expiry",IF(INDEX(Panel!$A$5:$A$815,S16+1)&lt;=DATE(2026,3,31),0.00125,0.0015)*IF(B16&lt;0,MAX(P16-T16,0),MAX(T16-P16,0))/T16,IF(INDEX(Panel!$A$5:$A$815,S16+1)&lt;=DATE(2024,9,30),0.000625,IF(INDEX(Panel!$A$5:$A$815,S16+1)&lt;=DATE(2026,3,31),0.001,0.0015))*(0.3989*Inputs!$B$28*SQRT(MAX(INDEX(Panel!$G$5:$G$815,S16+1),0)/365))+2*Inputs!$B$29+Inputs!$B$19)+IF(B16&lt;0,(Inputs!$B$21+Inputs!$B$22+Inputs!$B$23),(Inputs!$B$20+Inputs!$B$22+Inputs!$B$23))</f>
        <v>0.000447953599394521</v>
      </c>
      <c r="Z16" s="56" t="n">
        <f aca="false">B16*SUMPRODUCT((Panel!$F$5:$F$815&gt;=O16)*(Panel!$F$5:$F$815&lt;S16)*Panel!$N$5:$N$815*Panel!$BD$5:$BD$815)/365</f>
        <v>0.0040958904109589</v>
      </c>
      <c r="AA16" s="56" t="n">
        <f aca="false">W16-X16-Y16+Z16</f>
        <v>0.0155599224197736</v>
      </c>
      <c r="AB16" s="57" t="n">
        <v>0.0155599224197736</v>
      </c>
      <c r="AC16" s="58" t="n">
        <f aca="false">AA16-AB16</f>
        <v>0</v>
      </c>
    </row>
    <row r="17" customFormat="false" ht="15" hidden="false" customHeight="false" outlineLevel="0" collapsed="false">
      <c r="A17" s="0" t="s">
        <v>349</v>
      </c>
      <c r="B17" s="0" t="n">
        <v>1</v>
      </c>
      <c r="C17" s="0" t="s">
        <v>387</v>
      </c>
      <c r="D17" s="0" t="n">
        <v>304</v>
      </c>
      <c r="E17" s="29" t="n">
        <v>10.0982316293286</v>
      </c>
      <c r="F17" s="29" t="n">
        <v>5.60315149781738</v>
      </c>
      <c r="G17" s="53" t="n">
        <f aca="false">INDEX(Panel!$U$5:$U$815,D17+1)</f>
        <v>4.39945964202329</v>
      </c>
      <c r="H17" s="53" t="n">
        <f aca="false">INDEX(Panel!$T$5:$T$815,D17+1)</f>
        <v>1.02151610233606</v>
      </c>
      <c r="I17" s="54" t="n">
        <f aca="false">INDEX(Panel!$S$5:$S$815,D17+1)</f>
        <v>-5.82132581983295E-005</v>
      </c>
      <c r="J17" s="53" t="n">
        <f aca="false">INDEX(Panel!$V$5:$V$815,D17+1)</f>
        <v>0.00344562306314017</v>
      </c>
      <c r="K17" s="55" t="n">
        <f aca="false">(E17-G17-H17*F17-I17*D17)/J17</f>
        <v>-2.101408342863</v>
      </c>
      <c r="L17" s="0" t="n">
        <v>2</v>
      </c>
      <c r="M17" s="0" t="str">
        <f aca="false">IF(ABS(K17)&gt;L17,"Yes","No")</f>
        <v>Yes</v>
      </c>
      <c r="N17" s="30" t="s">
        <v>388</v>
      </c>
      <c r="O17" s="0" t="n">
        <v>304</v>
      </c>
      <c r="P17" s="0" t="n">
        <v>24322</v>
      </c>
      <c r="Q17" s="0" t="n">
        <v>271.29</v>
      </c>
      <c r="R17" s="30" t="s">
        <v>389</v>
      </c>
      <c r="S17" s="0" t="n">
        <v>306</v>
      </c>
      <c r="T17" s="0" t="n">
        <v>24408</v>
      </c>
      <c r="U17" s="0" t="n">
        <v>272.1</v>
      </c>
      <c r="V17" s="30" t="s">
        <v>353</v>
      </c>
      <c r="W17" s="56" t="n">
        <f aca="false">B17*((LN(T17)-LN(P17))-(LN(U17)-LN(Q17)))</f>
        <v>0.000548370486859184</v>
      </c>
      <c r="X17" s="56" t="n">
        <f aca="false">IF(INDEX(Panel!$A$5:$A$815,O17+1)&lt;=DATE(2024,9,30),0.000625,IF(INDEX(Panel!$A$5:$A$815,O17+1)&lt;=DATE(2026,3,31),0.001,0.0015))*(0.3989*Inputs!$B$28*SQRT(MAX(INDEX(Panel!$G$5:$G$815,O17+1),0)/365))+2*Inputs!$B$29+Inputs!$B$19+0.00003*(0.3989*Inputs!$B$28*SQRT(MAX(INDEX(Panel!$G$5:$G$815,O17+1),0)/365))+IF(B17&lt;0,(Inputs!$B$20+Inputs!$B$22+Inputs!$B$23),(Inputs!$B$21+Inputs!$B$22+Inputs!$B$23))</f>
        <v>0.000317707708682614</v>
      </c>
      <c r="Y17" s="56" t="n">
        <f aca="false">IF(V17="expiry",IF(INDEX(Panel!$A$5:$A$815,S17+1)&lt;=DATE(2026,3,31),0.00125,0.0015)*IF(B17&lt;0,MAX(P17-T17,0),MAX(T17-P17,0))/T17,IF(INDEX(Panel!$A$5:$A$815,S17+1)&lt;=DATE(2024,9,30),0.000625,IF(INDEX(Panel!$A$5:$A$815,S17+1)&lt;=DATE(2026,3,31),0.001,0.0015))*(0.3989*Inputs!$B$28*SQRT(MAX(INDEX(Panel!$G$5:$G$815,S17+1),0)/365))+2*Inputs!$B$29+Inputs!$B$19)+IF(B17&lt;0,(Inputs!$B$21+Inputs!$B$22+Inputs!$B$23),(Inputs!$B$20+Inputs!$B$22+Inputs!$B$23))</f>
        <v>0.000354404293674205</v>
      </c>
      <c r="Z17" s="56" t="n">
        <f aca="false">B17*SUMPRODUCT((Panel!$F$5:$F$815&gt;=O17)*(Panel!$F$5:$F$815&lt;S17)*Panel!$N$5:$N$815*Panel!$BD$5:$BD$815)/365</f>
        <v>0.000356164383561644</v>
      </c>
      <c r="AA17" s="56" t="n">
        <f aca="false">W17-X17-Y17+Z17</f>
        <v>0.000232422868064009</v>
      </c>
      <c r="AB17" s="57" t="n">
        <v>0.000232422868064</v>
      </c>
      <c r="AC17" s="58" t="n">
        <f aca="false">AA17-AB17</f>
        <v>9.48676900924816E-018</v>
      </c>
    </row>
    <row r="18" customFormat="false" ht="15" hidden="false" customHeight="false" outlineLevel="0" collapsed="false">
      <c r="A18" s="0" t="s">
        <v>349</v>
      </c>
      <c r="B18" s="0" t="n">
        <v>1</v>
      </c>
      <c r="C18" s="0" t="s">
        <v>390</v>
      </c>
      <c r="D18" s="0" t="n">
        <v>313</v>
      </c>
      <c r="E18" s="29" t="n">
        <v>10.0966418889946</v>
      </c>
      <c r="F18" s="29" t="n">
        <v>5.60285655606624</v>
      </c>
      <c r="G18" s="53" t="n">
        <f aca="false">INDEX(Panel!$U$5:$U$815,D18+1)</f>
        <v>4.40434075883909</v>
      </c>
      <c r="H18" s="53" t="n">
        <f aca="false">INDEX(Panel!$T$5:$T$815,D18+1)</f>
        <v>1.02073518800597</v>
      </c>
      <c r="I18" s="54" t="n">
        <f aca="false">INDEX(Panel!$S$5:$S$815,D18+1)</f>
        <v>-6.19235083671197E-005</v>
      </c>
      <c r="J18" s="53" t="n">
        <f aca="false">INDEX(Panel!$V$5:$V$815,D18+1)</f>
        <v>0.00350341258294621</v>
      </c>
      <c r="K18" s="55" t="n">
        <f aca="false">(E18-G18-H18*F18-I18*D18)/J18</f>
        <v>-2.09785507084358</v>
      </c>
      <c r="L18" s="0" t="n">
        <v>2</v>
      </c>
      <c r="M18" s="0" t="str">
        <f aca="false">IF(ABS(K18)&gt;L18,"Yes","No")</f>
        <v>Yes</v>
      </c>
      <c r="N18" s="30" t="s">
        <v>391</v>
      </c>
      <c r="O18" s="0" t="n">
        <v>313</v>
      </c>
      <c r="P18" s="0" t="n">
        <v>24308.05</v>
      </c>
      <c r="Q18" s="0" t="n">
        <v>270.76</v>
      </c>
      <c r="R18" s="30" t="s">
        <v>392</v>
      </c>
      <c r="S18" s="0" t="n">
        <v>330</v>
      </c>
      <c r="T18" s="0" t="n">
        <v>25155.65</v>
      </c>
      <c r="U18" s="0" t="n">
        <v>280</v>
      </c>
      <c r="V18" s="30" t="s">
        <v>353</v>
      </c>
      <c r="W18" s="56" t="n">
        <f aca="false">B18*((LN(T18)-LN(P18))-(LN(U18)-LN(Q18)))</f>
        <v>0.000718168666898222</v>
      </c>
      <c r="X18" s="56" t="n">
        <f aca="false">IF(INDEX(Panel!$A$5:$A$815,O18+1)&lt;=DATE(2024,9,30),0.000625,IF(INDEX(Panel!$A$5:$A$815,O18+1)&lt;=DATE(2026,3,31),0.001,0.0015))*(0.3989*Inputs!$B$28*SQRT(MAX(INDEX(Panel!$G$5:$G$815,O18+1),0)/365))+2*Inputs!$B$29+Inputs!$B$19+0.00003*(0.3989*Inputs!$B$28*SQRT(MAX(INDEX(Panel!$G$5:$G$815,O18+1),0)/365))+IF(B18&lt;0,(Inputs!$B$20+Inputs!$B$22+Inputs!$B$23),(Inputs!$B$21+Inputs!$B$22+Inputs!$B$23))</f>
        <v>0.000324379778020764</v>
      </c>
      <c r="Y18" s="56" t="n">
        <f aca="false">IF(V18="expiry",IF(INDEX(Panel!$A$5:$A$815,S18+1)&lt;=DATE(2026,3,31),0.00125,0.0015)*IF(B18&lt;0,MAX(P18-T18,0),MAX(T18-P18,0))/T18,IF(INDEX(Panel!$A$5:$A$815,S18+1)&lt;=DATE(2024,9,30),0.000625,IF(INDEX(Panel!$A$5:$A$815,S18+1)&lt;=DATE(2026,3,31),0.001,0.0015))*(0.3989*Inputs!$B$28*SQRT(MAX(INDEX(Panel!$G$5:$G$815,S18+1),0)/365))+2*Inputs!$B$29+Inputs!$B$19)+IF(B18&lt;0,(Inputs!$B$21+Inputs!$B$22+Inputs!$B$23),(Inputs!$B$20+Inputs!$B$22+Inputs!$B$23))</f>
        <v>0.000392117774734503</v>
      </c>
      <c r="Z18" s="56" t="n">
        <f aca="false">B18*SUMPRODUCT((Panel!$F$5:$F$815&gt;=O18)*(Panel!$F$5:$F$815&lt;S18)*Panel!$N$5:$N$815*Panel!$BD$5:$BD$815)/365</f>
        <v>0.00427397260273973</v>
      </c>
      <c r="AA18" s="56" t="n">
        <f aca="false">W18-X18-Y18+Z18</f>
        <v>0.00427564371688268</v>
      </c>
      <c r="AB18" s="57" t="n">
        <v>0.0042756437168826</v>
      </c>
      <c r="AC18" s="58" t="n">
        <f aca="false">AA18-AB18</f>
        <v>8.15320033709099E-017</v>
      </c>
    </row>
    <row r="19" customFormat="false" ht="15" hidden="false" customHeight="false" outlineLevel="0" collapsed="false">
      <c r="A19" s="0" t="s">
        <v>349</v>
      </c>
      <c r="B19" s="0" t="n">
        <v>-1</v>
      </c>
      <c r="C19" s="0" t="s">
        <v>393</v>
      </c>
      <c r="D19" s="0" t="n">
        <v>392</v>
      </c>
      <c r="E19" s="29" t="n">
        <v>10.0970478013087</v>
      </c>
      <c r="F19" s="29" t="n">
        <v>5.59675390189768</v>
      </c>
      <c r="G19" s="53" t="n">
        <f aca="false">INDEX(Panel!$U$5:$U$815,D19+1)</f>
        <v>4.48480253868044</v>
      </c>
      <c r="H19" s="53" t="n">
        <f aca="false">INDEX(Panel!$T$5:$T$815,D19+1)</f>
        <v>1.00666852629566</v>
      </c>
      <c r="I19" s="54" t="n">
        <f aca="false">INDEX(Panel!$S$5:$S$815,D19+1)</f>
        <v>-7.27604686284141E-005</v>
      </c>
      <c r="J19" s="53" t="n">
        <f aca="false">INDEX(Panel!$V$5:$V$815,D19+1)</f>
        <v>0.0032379386496934</v>
      </c>
      <c r="K19" s="55" t="n">
        <f aca="false">(E19-G19-H19*F19-I19*D19)/J19</f>
        <v>2.06655054084421</v>
      </c>
      <c r="L19" s="0" t="n">
        <v>2</v>
      </c>
      <c r="M19" s="0" t="str">
        <f aca="false">IF(ABS(K19)&gt;L19,"Yes","No")</f>
        <v>Yes</v>
      </c>
      <c r="N19" s="30" t="s">
        <v>394</v>
      </c>
      <c r="O19" s="0" t="n">
        <v>392</v>
      </c>
      <c r="P19" s="0" t="n">
        <v>24281.45</v>
      </c>
      <c r="Q19" s="0" t="n">
        <v>269.8</v>
      </c>
      <c r="R19" s="30" t="s">
        <v>395</v>
      </c>
      <c r="S19" s="0" t="n">
        <v>410</v>
      </c>
      <c r="T19" s="0" t="n">
        <v>23748.75</v>
      </c>
      <c r="U19" s="0" t="n">
        <v>265.82</v>
      </c>
      <c r="V19" s="30" t="s">
        <v>353</v>
      </c>
      <c r="W19" s="56" t="n">
        <f aca="false">B19*((LN(T19)-LN(P19))-(LN(U19)-LN(Q19)))</f>
        <v>0.00732123104515559</v>
      </c>
      <c r="X19" s="56" t="n">
        <f aca="false">IF(INDEX(Panel!$A$5:$A$815,O19+1)&lt;=DATE(2024,9,30),0.000625,IF(INDEX(Panel!$A$5:$A$815,O19+1)&lt;=DATE(2026,3,31),0.001,0.0015))*(0.3989*Inputs!$B$28*SQRT(MAX(INDEX(Panel!$G$5:$G$815,O19+1),0)/365))+2*Inputs!$B$29+Inputs!$B$19+0.00003*(0.3989*Inputs!$B$28*SQRT(MAX(INDEX(Panel!$G$5:$G$815,O19+1),0)/365))+IF(B19&lt;0,(Inputs!$B$20+Inputs!$B$22+Inputs!$B$23),(Inputs!$B$21+Inputs!$B$22+Inputs!$B$23))</f>
        <v>0.000470644610192005</v>
      </c>
      <c r="Y19" s="56" t="n">
        <f aca="false">IF(V19="expiry",IF(INDEX(Panel!$A$5:$A$815,S19+1)&lt;=DATE(2026,3,31),0.00125,0.0015)*IF(B19&lt;0,MAX(P19-T19,0),MAX(T19-P19,0))/T19,IF(INDEX(Panel!$A$5:$A$815,S19+1)&lt;=DATE(2024,9,30),0.000625,IF(INDEX(Panel!$A$5:$A$815,S19+1)&lt;=DATE(2026,3,31),0.001,0.0015))*(0.3989*Inputs!$B$28*SQRT(MAX(INDEX(Panel!$G$5:$G$815,S19+1),0)/365))+2*Inputs!$B$29+Inputs!$B$19)+IF(B19&lt;0,(Inputs!$B$21+Inputs!$B$22+Inputs!$B$23),(Inputs!$B$20+Inputs!$B$22+Inputs!$B$23))</f>
        <v>0.0002380383178062</v>
      </c>
      <c r="Z19" s="56" t="n">
        <f aca="false">B19*SUMPRODUCT((Panel!$F$5:$F$815&gt;=O19)*(Panel!$F$5:$F$815&lt;S19)*Panel!$N$5:$N$815*Panel!$BD$5:$BD$815)/365</f>
        <v>-0.00480821917808219</v>
      </c>
      <c r="AA19" s="56" t="n">
        <f aca="false">W19-X19-Y19+Z19</f>
        <v>0.00180432893907519</v>
      </c>
      <c r="AB19" s="57" t="n">
        <v>0.0018043289390751</v>
      </c>
      <c r="AC19" s="58" t="n">
        <f aca="false">AA19-AB19</f>
        <v>8.82540568403201E-017</v>
      </c>
    </row>
    <row r="20" customFormat="false" ht="15" hidden="false" customHeight="false" outlineLevel="0" collapsed="false">
      <c r="A20" s="0" t="s">
        <v>349</v>
      </c>
      <c r="B20" s="0" t="n">
        <v>-1</v>
      </c>
      <c r="C20" s="0" t="s">
        <v>396</v>
      </c>
      <c r="D20" s="0" t="n">
        <v>411</v>
      </c>
      <c r="E20" s="29" t="n">
        <v>10.086642095634</v>
      </c>
      <c r="F20" s="29" t="n">
        <v>5.58593693704661</v>
      </c>
      <c r="G20" s="53" t="n">
        <f aca="false">INDEX(Panel!$U$5:$U$815,D20+1)</f>
        <v>4.54234121785232</v>
      </c>
      <c r="H20" s="53" t="n">
        <f aca="false">INDEX(Panel!$T$5:$T$815,D20+1)</f>
        <v>0.995625667491999</v>
      </c>
      <c r="I20" s="54" t="n">
        <f aca="false">INDEX(Panel!$S$5:$S$815,D20+1)</f>
        <v>-5.83377248405004E-005</v>
      </c>
      <c r="J20" s="53" t="n">
        <f aca="false">INDEX(Panel!$V$5:$V$815,D20+1)</f>
        <v>0.00336165580761289</v>
      </c>
      <c r="K20" s="55" t="n">
        <f aca="false">(E20-G20-H20*F20-I20*D20)/J20</f>
        <v>2.01552198191152</v>
      </c>
      <c r="L20" s="0" t="n">
        <v>2</v>
      </c>
      <c r="M20" s="0" t="str">
        <f aca="false">IF(ABS(K20)&gt;L20,"Yes","No")</f>
        <v>Yes</v>
      </c>
      <c r="N20" s="30" t="s">
        <v>397</v>
      </c>
      <c r="O20" s="0" t="n">
        <v>411</v>
      </c>
      <c r="P20" s="0" t="n">
        <v>24097</v>
      </c>
      <c r="Q20" s="0" t="n">
        <v>267.24</v>
      </c>
      <c r="R20" s="30" t="s">
        <v>398</v>
      </c>
      <c r="S20" s="0" t="n">
        <v>435</v>
      </c>
      <c r="T20" s="0" t="n">
        <v>23249</v>
      </c>
      <c r="U20" s="0" t="n">
        <v>260.7</v>
      </c>
      <c r="V20" s="30" t="s">
        <v>353</v>
      </c>
      <c r="W20" s="56" t="n">
        <f aca="false">B20*((LN(T20)-LN(P20))-(LN(U20)-LN(Q20)))</f>
        <v>0.0110484209468575</v>
      </c>
      <c r="X20" s="56" t="n">
        <f aca="false">IF(INDEX(Panel!$A$5:$A$815,O20+1)&lt;=DATE(2024,9,30),0.000625,IF(INDEX(Panel!$A$5:$A$815,O20+1)&lt;=DATE(2026,3,31),0.001,0.0015))*(0.3989*Inputs!$B$28*SQRT(MAX(INDEX(Panel!$G$5:$G$815,O20+1),0)/365))+2*Inputs!$B$29+Inputs!$B$19+0.00003*(0.3989*Inputs!$B$28*SQRT(MAX(INDEX(Panel!$G$5:$G$815,O20+1),0)/365))+IF(B20&lt;0,(Inputs!$B$20+Inputs!$B$22+Inputs!$B$23),(Inputs!$B$21+Inputs!$B$22+Inputs!$B$23))</f>
        <v>0.000472555868654767</v>
      </c>
      <c r="Y20" s="56" t="n">
        <f aca="false">IF(V20="expiry",IF(INDEX(Panel!$A$5:$A$815,S20+1)&lt;=DATE(2026,3,31),0.00125,0.0015)*IF(B20&lt;0,MAX(P20-T20,0),MAX(T20-P20,0))/T20,IF(INDEX(Panel!$A$5:$A$815,S20+1)&lt;=DATE(2024,9,30),0.000625,IF(INDEX(Panel!$A$5:$A$815,S20+1)&lt;=DATE(2026,3,31),0.001,0.0015))*(0.3989*Inputs!$B$28*SQRT(MAX(INDEX(Panel!$G$5:$G$815,S20+1),0)/365))+2*Inputs!$B$29+Inputs!$B$19)+IF(B20&lt;0,(Inputs!$B$21+Inputs!$B$22+Inputs!$B$23),(Inputs!$B$20+Inputs!$B$22+Inputs!$B$23))</f>
        <v>0.000255593358854144</v>
      </c>
      <c r="Z20" s="56" t="n">
        <f aca="false">B20*SUMPRODUCT((Panel!$F$5:$F$815&gt;=O20)*(Panel!$F$5:$F$815&lt;S20)*Panel!$N$5:$N$815*Panel!$BD$5:$BD$815)/365</f>
        <v>-0.00605479452054795</v>
      </c>
      <c r="AA20" s="56" t="n">
        <f aca="false">W20-X20-Y20+Z20</f>
        <v>0.00426547719880068</v>
      </c>
      <c r="AB20" s="57" t="n">
        <v>0.0042654771988006</v>
      </c>
      <c r="AC20" s="58" t="n">
        <f aca="false">AA20-AB20</f>
        <v>8.23993651088983E-017</v>
      </c>
    </row>
    <row r="21" customFormat="false" ht="15" hidden="false" customHeight="false" outlineLevel="0" collapsed="false">
      <c r="A21" s="0" t="s">
        <v>349</v>
      </c>
      <c r="B21" s="0" t="n">
        <v>-1</v>
      </c>
      <c r="C21" s="0" t="s">
        <v>399</v>
      </c>
      <c r="D21" s="0" t="n">
        <v>475</v>
      </c>
      <c r="E21" s="29" t="n">
        <v>10.0735024419954</v>
      </c>
      <c r="F21" s="29" t="n">
        <v>5.57405336798142</v>
      </c>
      <c r="G21" s="53" t="n">
        <f aca="false">INDEX(Panel!$U$5:$U$815,D21+1)</f>
        <v>4.60043889894697</v>
      </c>
      <c r="H21" s="53" t="n">
        <f aca="false">INDEX(Panel!$T$5:$T$815,D21+1)</f>
        <v>0.984573155367049</v>
      </c>
      <c r="I21" s="54" t="n">
        <f aca="false">INDEX(Panel!$S$5:$S$815,D21+1)</f>
        <v>-4.63696002595064E-005</v>
      </c>
      <c r="J21" s="53" t="n">
        <f aca="false">INDEX(Panel!$V$5:$V$815,D21+1)</f>
        <v>0.00331784607911847</v>
      </c>
      <c r="K21" s="55" t="n">
        <f aca="false">(E21-G21-H21*F21-I21*D21)/J21</f>
        <v>2.11757577244735</v>
      </c>
      <c r="L21" s="0" t="n">
        <v>2</v>
      </c>
      <c r="M21" s="0" t="str">
        <f aca="false">IF(ABS(K21)&gt;L21,"Yes","No")</f>
        <v>Yes</v>
      </c>
      <c r="N21" s="30" t="s">
        <v>400</v>
      </c>
      <c r="O21" s="0" t="n">
        <v>475</v>
      </c>
      <c r="P21" s="0" t="n">
        <v>23662.4</v>
      </c>
      <c r="Q21" s="0" t="n">
        <v>263.25</v>
      </c>
      <c r="R21" s="30" t="s">
        <v>401</v>
      </c>
      <c r="S21" s="0" t="n">
        <v>490</v>
      </c>
      <c r="T21" s="0" t="n">
        <v>24248</v>
      </c>
      <c r="U21" s="0" t="n">
        <v>270.95</v>
      </c>
      <c r="V21" s="30" t="s">
        <v>353</v>
      </c>
      <c r="W21" s="56" t="n">
        <f aca="false">B21*((LN(T21)-LN(P21))-(LN(U21)-LN(Q21)))</f>
        <v>0.00438330167290424</v>
      </c>
      <c r="X21" s="56" t="n">
        <f aca="false">IF(INDEX(Panel!$A$5:$A$815,O21+1)&lt;=DATE(2024,9,30),0.000625,IF(INDEX(Panel!$A$5:$A$815,O21+1)&lt;=DATE(2026,3,31),0.001,0.0015))*(0.3989*Inputs!$B$28*SQRT(MAX(INDEX(Panel!$G$5:$G$815,O21+1),0)/365))+2*Inputs!$B$29+Inputs!$B$19+0.00003*(0.3989*Inputs!$B$28*SQRT(MAX(INDEX(Panel!$G$5:$G$815,O21+1),0)/365))+IF(B21&lt;0,(Inputs!$B$20+Inputs!$B$22+Inputs!$B$23),(Inputs!$B$21+Inputs!$B$22+Inputs!$B$23))</f>
        <v>0.000470644610192005</v>
      </c>
      <c r="Y21" s="56" t="n">
        <f aca="false">IF(V21="expiry",IF(INDEX(Panel!$A$5:$A$815,S21+1)&lt;=DATE(2026,3,31),0.00125,0.0015)*IF(B21&lt;0,MAX(P21-T21,0),MAX(T21-P21,0))/T21,IF(INDEX(Panel!$A$5:$A$815,S21+1)&lt;=DATE(2024,9,30),0.000625,IF(INDEX(Panel!$A$5:$A$815,S21+1)&lt;=DATE(2026,3,31),0.001,0.0015))*(0.3989*Inputs!$B$28*SQRT(MAX(INDEX(Panel!$G$5:$G$815,S21+1),0)/365))+2*Inputs!$B$29+Inputs!$B$19)+IF(B21&lt;0,(Inputs!$B$21+Inputs!$B$22+Inputs!$B$23),(Inputs!$B$20+Inputs!$B$22+Inputs!$B$23))</f>
        <v>0.00021</v>
      </c>
      <c r="Z21" s="56" t="n">
        <f aca="false">B21*SUMPRODUCT((Panel!$F$5:$F$815&gt;=O21)*(Panel!$F$5:$F$815&lt;S21)*Panel!$N$5:$N$815*Panel!$BD$5:$BD$815)/365</f>
        <v>-0.00452054794520548</v>
      </c>
      <c r="AA21" s="56" t="n">
        <f aca="false">W21-X21-Y21+Z21</f>
        <v>-0.000817890882493246</v>
      </c>
      <c r="AB21" s="57" t="n">
        <v>-0.0008178908824932</v>
      </c>
      <c r="AC21" s="58" t="n">
        <f aca="false">AA21-AB21</f>
        <v>-4.59701721133854E-017</v>
      </c>
    </row>
    <row r="22" customFormat="false" ht="15" hidden="false" customHeight="false" outlineLevel="0" collapsed="false">
      <c r="A22" s="0" t="s">
        <v>349</v>
      </c>
      <c r="B22" s="0" t="n">
        <v>-1</v>
      </c>
      <c r="C22" s="0" t="s">
        <v>402</v>
      </c>
      <c r="D22" s="0" t="n">
        <v>491</v>
      </c>
      <c r="E22" s="29" t="n">
        <v>10.1041973381433</v>
      </c>
      <c r="F22" s="29" t="n">
        <v>5.60525044359193</v>
      </c>
      <c r="G22" s="53" t="n">
        <f aca="false">INDEX(Panel!$U$5:$U$815,D22+1)</f>
        <v>4.58266655100228</v>
      </c>
      <c r="H22" s="53" t="n">
        <f aca="false">INDEX(Panel!$T$5:$T$815,D22+1)</f>
        <v>0.987409733110895</v>
      </c>
      <c r="I22" s="54" t="n">
        <f aca="false">INDEX(Panel!$S$5:$S$815,D22+1)</f>
        <v>-4.0937355438221E-005</v>
      </c>
      <c r="J22" s="53" t="n">
        <f aca="false">INDEX(Panel!$V$5:$V$815,D22+1)</f>
        <v>0.00330940703199096</v>
      </c>
      <c r="K22" s="55" t="n">
        <f aca="false">(E22-G22-H22*F22-I22*D22)/J22</f>
        <v>2.10073407930408</v>
      </c>
      <c r="L22" s="0" t="n">
        <v>2</v>
      </c>
      <c r="M22" s="0" t="str">
        <f aca="false">IF(ABS(K22)&gt;L22,"Yes","No")</f>
        <v>Yes</v>
      </c>
      <c r="N22" s="30" t="s">
        <v>403</v>
      </c>
      <c r="O22" s="0" t="n">
        <v>491</v>
      </c>
      <c r="P22" s="0" t="n">
        <v>24341</v>
      </c>
      <c r="Q22" s="0" t="n">
        <v>270.82</v>
      </c>
      <c r="R22" s="30" t="s">
        <v>404</v>
      </c>
      <c r="S22" s="0" t="n">
        <v>514</v>
      </c>
      <c r="T22" s="0" t="n">
        <v>24831.8</v>
      </c>
      <c r="U22" s="0" t="n">
        <v>279</v>
      </c>
      <c r="V22" s="30" t="s">
        <v>353</v>
      </c>
      <c r="W22" s="56" t="n">
        <f aca="false">B22*((LN(T22)-LN(P22))-(LN(U22)-LN(Q22)))</f>
        <v>0.00979446977180221</v>
      </c>
      <c r="X22" s="56" t="n">
        <f aca="false">IF(INDEX(Panel!$A$5:$A$815,O22+1)&lt;=DATE(2024,9,30),0.000625,IF(INDEX(Panel!$A$5:$A$815,O22+1)&lt;=DATE(2026,3,31),0.001,0.0015))*(0.3989*Inputs!$B$28*SQRT(MAX(INDEX(Panel!$G$5:$G$815,O22+1),0)/365))+2*Inputs!$B$29+Inputs!$B$19+0.00003*(0.3989*Inputs!$B$28*SQRT(MAX(INDEX(Panel!$G$5:$G$815,O22+1),0)/365))+IF(B22&lt;0,(Inputs!$B$20+Inputs!$B$22+Inputs!$B$23),(Inputs!$B$21+Inputs!$B$22+Inputs!$B$23))</f>
        <v>0.000472555868654767</v>
      </c>
      <c r="Y22" s="56" t="n">
        <f aca="false">IF(V22="expiry",IF(INDEX(Panel!$A$5:$A$815,S22+1)&lt;=DATE(2026,3,31),0.00125,0.0015)*IF(B22&lt;0,MAX(P22-T22,0),MAX(T22-P22,0))/T22,IF(INDEX(Panel!$A$5:$A$815,S22+1)&lt;=DATE(2024,9,30),0.000625,IF(INDEX(Panel!$A$5:$A$815,S22+1)&lt;=DATE(2026,3,31),0.001,0.0015))*(0.3989*Inputs!$B$28*SQRT(MAX(INDEX(Panel!$G$5:$G$815,S22+1),0)/365))+2*Inputs!$B$29+Inputs!$B$19)+IF(B22&lt;0,(Inputs!$B$21+Inputs!$B$22+Inputs!$B$23),(Inputs!$B$20+Inputs!$B$22+Inputs!$B$23))</f>
        <v>0.00021</v>
      </c>
      <c r="Z22" s="56" t="n">
        <f aca="false">B22*SUMPRODUCT((Panel!$F$5:$F$815&gt;=O22)*(Panel!$F$5:$F$815&lt;S22)*Panel!$N$5:$N$815*Panel!$BD$5:$BD$815)/365</f>
        <v>-0.00558904109589041</v>
      </c>
      <c r="AA22" s="56" t="n">
        <f aca="false">W22-X22-Y22+Z22</f>
        <v>0.00352287280725703</v>
      </c>
      <c r="AB22" s="57" t="n">
        <v>0.003522872807257</v>
      </c>
      <c r="AC22" s="58" t="n">
        <f aca="false">AA22-AB22</f>
        <v>2.64545330086463E-017</v>
      </c>
    </row>
    <row r="23" customFormat="false" ht="15" hidden="false" customHeight="false" outlineLevel="0" collapsed="false">
      <c r="A23" s="0" t="s">
        <v>349</v>
      </c>
      <c r="B23" s="0" t="n">
        <v>1</v>
      </c>
      <c r="C23" s="0" t="s">
        <v>405</v>
      </c>
      <c r="D23" s="0" t="n">
        <v>531</v>
      </c>
      <c r="E23" s="29" t="n">
        <v>10.126351064643</v>
      </c>
      <c r="F23" s="29" t="n">
        <v>5.63821231044675</v>
      </c>
      <c r="G23" s="53" t="n">
        <f aca="false">INDEX(Panel!$U$5:$U$815,D23+1)</f>
        <v>4.44229783524196</v>
      </c>
      <c r="H23" s="53" t="n">
        <f aca="false">INDEX(Panel!$T$5:$T$815,D23+1)</f>
        <v>1.01143975124956</v>
      </c>
      <c r="I23" s="54" t="n">
        <f aca="false">INDEX(Panel!$S$5:$S$815,D23+1)</f>
        <v>-2.56701166405068E-005</v>
      </c>
      <c r="J23" s="53" t="n">
        <f aca="false">INDEX(Panel!$V$5:$V$815,D23+1)</f>
        <v>0.00226061937247035</v>
      </c>
      <c r="K23" s="55" t="n">
        <f aca="false">(E23-G23-H23*F23-I23*D23)/J23</f>
        <v>-2.22416718820832</v>
      </c>
      <c r="L23" s="0" t="n">
        <v>2</v>
      </c>
      <c r="M23" s="0" t="str">
        <f aca="false">IF(ABS(K23)&gt;L23,"Yes","No")</f>
        <v>Yes</v>
      </c>
      <c r="N23" s="30" t="s">
        <v>406</v>
      </c>
      <c r="O23" s="0" t="n">
        <v>532</v>
      </c>
      <c r="P23" s="0" t="n">
        <v>25218.5</v>
      </c>
      <c r="Q23" s="0" t="n">
        <v>283</v>
      </c>
      <c r="R23" s="30" t="s">
        <v>407</v>
      </c>
      <c r="S23" s="0" t="n">
        <v>534</v>
      </c>
      <c r="T23" s="0" t="n">
        <v>25552</v>
      </c>
      <c r="U23" s="0" t="n">
        <v>286.4</v>
      </c>
      <c r="V23" s="30" t="s">
        <v>353</v>
      </c>
      <c r="W23" s="56" t="n">
        <f aca="false">B23*((LN(T23)-LN(P23))-(LN(U23)-LN(Q23)))</f>
        <v>0.0011952018673016</v>
      </c>
      <c r="X23" s="56" t="n">
        <f aca="false">IF(INDEX(Panel!$A$5:$A$815,O23+1)&lt;=DATE(2024,9,30),0.000625,IF(INDEX(Panel!$A$5:$A$815,O23+1)&lt;=DATE(2026,3,31),0.001,0.0015))*(0.3989*Inputs!$B$28*SQRT(MAX(INDEX(Panel!$G$5:$G$815,O23+1),0)/365))+2*Inputs!$B$29+Inputs!$B$19+0.00003*(0.3989*Inputs!$B$28*SQRT(MAX(INDEX(Panel!$G$5:$G$815,O23+1),0)/365))+IF(B23&lt;0,(Inputs!$B$20+Inputs!$B$22+Inputs!$B$23),(Inputs!$B$21+Inputs!$B$22+Inputs!$B$23))</f>
        <v>0.00031925792357724</v>
      </c>
      <c r="Y23" s="56" t="n">
        <f aca="false">IF(V23="expiry",IF(INDEX(Panel!$A$5:$A$815,S23+1)&lt;=DATE(2026,3,31),0.00125,0.0015)*IF(B23&lt;0,MAX(P23-T23,0),MAX(T23-P23,0))/T23,IF(INDEX(Panel!$A$5:$A$815,S23+1)&lt;=DATE(2024,9,30),0.000625,IF(INDEX(Panel!$A$5:$A$815,S23+1)&lt;=DATE(2026,3,31),0.001,0.0015))*(0.3989*Inputs!$B$28*SQRT(MAX(INDEX(Panel!$G$5:$G$815,S23+1),0)/365))+2*Inputs!$B$29+Inputs!$B$19)+IF(B23&lt;0,(Inputs!$B$21+Inputs!$B$22+Inputs!$B$23),(Inputs!$B$20+Inputs!$B$22+Inputs!$B$23))</f>
        <v>0.000366314769881027</v>
      </c>
      <c r="Z23" s="56" t="n">
        <f aca="false">B23*SUMPRODUCT((Panel!$F$5:$F$815&gt;=O23)*(Panel!$F$5:$F$815&lt;S23)*Panel!$N$5:$N$815*Panel!$BD$5:$BD$815)/365</f>
        <v>0.000301369863013699</v>
      </c>
      <c r="AA23" s="56" t="n">
        <f aca="false">W23-X23-Y23+Z23</f>
        <v>0.000810999036857031</v>
      </c>
      <c r="AB23" s="57" t="n">
        <v>0.000810999036857</v>
      </c>
      <c r="AC23" s="58" t="n">
        <f aca="false">AA23-AB23</f>
        <v>3.06829214813398E-017</v>
      </c>
    </row>
    <row r="24" customFormat="false" ht="15" hidden="false" customHeight="false" outlineLevel="0" collapsed="false">
      <c r="A24" s="0" t="s">
        <v>349</v>
      </c>
      <c r="B24" s="0" t="n">
        <v>1</v>
      </c>
      <c r="C24" s="0" t="s">
        <v>408</v>
      </c>
      <c r="D24" s="0" t="n">
        <v>550</v>
      </c>
      <c r="E24" s="29" t="n">
        <v>10.1258828239588</v>
      </c>
      <c r="F24" s="29" t="n">
        <v>5.63874605180837</v>
      </c>
      <c r="G24" s="53" t="n">
        <f aca="false">INDEX(Panel!$U$5:$U$815,D24+1)</f>
        <v>4.47559573174195</v>
      </c>
      <c r="H24" s="53" t="n">
        <f aca="false">INDEX(Panel!$T$5:$T$815,D24+1)</f>
        <v>1.00551411614156</v>
      </c>
      <c r="I24" s="54" t="n">
        <f aca="false">INDEX(Panel!$S$5:$S$815,D24+1)</f>
        <v>-2.6727618241813E-005</v>
      </c>
      <c r="J24" s="53" t="n">
        <f aca="false">INDEX(Panel!$V$5:$V$815,D24+1)</f>
        <v>0.00230530661140883</v>
      </c>
      <c r="K24" s="55" t="n">
        <f aca="false">(E24-G24-H24*F24-I24*D24)/J24</f>
        <v>-2.10447935948789</v>
      </c>
      <c r="L24" s="0" t="n">
        <v>2</v>
      </c>
      <c r="M24" s="0" t="str">
        <f aca="false">IF(ABS(K24)&gt;L24,"Yes","No")</f>
        <v>Yes</v>
      </c>
      <c r="N24" s="30" t="s">
        <v>409</v>
      </c>
      <c r="O24" s="0" t="n">
        <v>550</v>
      </c>
      <c r="P24" s="0" t="n">
        <v>25014.6</v>
      </c>
      <c r="Q24" s="0" t="n">
        <v>281.4</v>
      </c>
      <c r="R24" s="30" t="s">
        <v>410</v>
      </c>
      <c r="S24" s="0" t="n">
        <v>559</v>
      </c>
      <c r="T24" s="0" t="n">
        <v>24766.8</v>
      </c>
      <c r="U24" s="0" t="n">
        <v>279.34</v>
      </c>
      <c r="V24" s="30" t="s">
        <v>353</v>
      </c>
      <c r="W24" s="56" t="n">
        <f aca="false">B24*((LN(T24)-LN(P24))-(LN(U24)-LN(Q24)))</f>
        <v>-0.00260814098270679</v>
      </c>
      <c r="X24" s="56" t="n">
        <f aca="false">IF(INDEX(Panel!$A$5:$A$815,O24+1)&lt;=DATE(2024,9,30),0.000625,IF(INDEX(Panel!$A$5:$A$815,O24+1)&lt;=DATE(2026,3,31),0.001,0.0015))*(0.3989*Inputs!$B$28*SQRT(MAX(INDEX(Panel!$G$5:$G$815,O24+1),0)/365))+2*Inputs!$B$29+Inputs!$B$19+0.00003*(0.3989*Inputs!$B$28*SQRT(MAX(INDEX(Panel!$G$5:$G$815,O24+1),0)/365))+IF(B24&lt;0,(Inputs!$B$20+Inputs!$B$22+Inputs!$B$23),(Inputs!$B$21+Inputs!$B$22+Inputs!$B$23))</f>
        <v>0.000325855617703866</v>
      </c>
      <c r="Y24" s="56" t="n">
        <f aca="false">IF(V24="expiry",IF(INDEX(Panel!$A$5:$A$815,S24+1)&lt;=DATE(2026,3,31),0.00125,0.0015)*IF(B24&lt;0,MAX(P24-T24,0),MAX(T24-P24,0))/T24,IF(INDEX(Panel!$A$5:$A$815,S24+1)&lt;=DATE(2024,9,30),0.000625,IF(INDEX(Panel!$A$5:$A$815,S24+1)&lt;=DATE(2026,3,31),0.001,0.0015))*(0.3989*Inputs!$B$28*SQRT(MAX(INDEX(Panel!$G$5:$G$815,S24+1),0)/365))+2*Inputs!$B$29+Inputs!$B$19)+IF(B24&lt;0,(Inputs!$B$21+Inputs!$B$22+Inputs!$B$23),(Inputs!$B$20+Inputs!$B$22+Inputs!$B$23))</f>
        <v>0.00035</v>
      </c>
      <c r="Z24" s="56" t="n">
        <f aca="false">B24*SUMPRODUCT((Panel!$F$5:$F$815&gt;=O24)*(Panel!$F$5:$F$815&lt;S24)*Panel!$N$5:$N$815*Panel!$BD$5:$BD$815)/365</f>
        <v>0.00195890410958904</v>
      </c>
      <c r="AA24" s="56" t="n">
        <f aca="false">W24-X24-Y24+Z24</f>
        <v>-0.00132509249082161</v>
      </c>
      <c r="AB24" s="57" t="n">
        <v>-0.0013250924908216</v>
      </c>
      <c r="AC24" s="58" t="n">
        <f aca="false">AA24-AB24</f>
        <v>-1.06251812903579E-017</v>
      </c>
    </row>
    <row r="25" customFormat="false" ht="15" hidden="false" customHeight="false" outlineLevel="0" collapsed="false">
      <c r="A25" s="0" t="s">
        <v>349</v>
      </c>
      <c r="B25" s="0" t="n">
        <v>1</v>
      </c>
      <c r="C25" s="0" t="s">
        <v>411</v>
      </c>
      <c r="D25" s="0" t="n">
        <v>560</v>
      </c>
      <c r="E25" s="29" t="n">
        <v>10.1110300376217</v>
      </c>
      <c r="F25" s="29" t="n">
        <v>5.62567677865258</v>
      </c>
      <c r="G25" s="53" t="n">
        <f aca="false">INDEX(Panel!$U$5:$U$815,D25+1)</f>
        <v>4.50755328488564</v>
      </c>
      <c r="H25" s="53" t="n">
        <f aca="false">INDEX(Panel!$T$5:$T$815,D25+1)</f>
        <v>1.00010587497572</v>
      </c>
      <c r="I25" s="54" t="n">
        <f aca="false">INDEX(Panel!$S$5:$S$815,D25+1)</f>
        <v>-3.10633988470545E-005</v>
      </c>
      <c r="J25" s="53" t="n">
        <f aca="false">INDEX(Panel!$V$5:$V$815,D25+1)</f>
        <v>0.00247464779030735</v>
      </c>
      <c r="K25" s="55" t="n">
        <f aca="false">(E25-G25-H25*F25-I25*D25)/J25</f>
        <v>-2.18218567333226</v>
      </c>
      <c r="L25" s="0" t="n">
        <v>2</v>
      </c>
      <c r="M25" s="0" t="str">
        <f aca="false">IF(ABS(K25)&gt;L25,"Yes","No")</f>
        <v>Yes</v>
      </c>
      <c r="N25" s="30" t="s">
        <v>412</v>
      </c>
      <c r="O25" s="0" t="n">
        <v>561</v>
      </c>
      <c r="P25" s="0" t="n">
        <v>24737</v>
      </c>
      <c r="Q25" s="0" t="n">
        <v>278</v>
      </c>
      <c r="R25" s="30" t="s">
        <v>413</v>
      </c>
      <c r="S25" s="0" t="n">
        <v>577</v>
      </c>
      <c r="T25" s="0" t="n">
        <v>24503</v>
      </c>
      <c r="U25" s="0" t="n">
        <v>277.05</v>
      </c>
      <c r="V25" s="30" t="s">
        <v>353</v>
      </c>
      <c r="W25" s="56" t="n">
        <f aca="false">B25*((LN(T25)-LN(P25))-(LN(U25)-LN(Q25)))</f>
        <v>-0.00608142108472887</v>
      </c>
      <c r="X25" s="56" t="n">
        <f aca="false">IF(INDEX(Panel!$A$5:$A$815,O25+1)&lt;=DATE(2024,9,30),0.000625,IF(INDEX(Panel!$A$5:$A$815,O25+1)&lt;=DATE(2026,3,31),0.001,0.0015))*(0.3989*Inputs!$B$28*SQRT(MAX(INDEX(Panel!$G$5:$G$815,O25+1),0)/365))+2*Inputs!$B$29+Inputs!$B$19+0.00003*(0.3989*Inputs!$B$28*SQRT(MAX(INDEX(Panel!$G$5:$G$815,O25+1),0)/365))+IF(B25&lt;0,(Inputs!$B$20+Inputs!$B$22+Inputs!$B$23),(Inputs!$B$21+Inputs!$B$22+Inputs!$B$23))</f>
        <v>0.000329749879941049</v>
      </c>
      <c r="Y25" s="56" t="n">
        <f aca="false">IF(V25="expiry",IF(INDEX(Panel!$A$5:$A$815,S25+1)&lt;=DATE(2026,3,31),0.00125,0.0015)*IF(B25&lt;0,MAX(P25-T25,0),MAX(T25-P25,0))/T25,IF(INDEX(Panel!$A$5:$A$815,S25+1)&lt;=DATE(2024,9,30),0.000625,IF(INDEX(Panel!$A$5:$A$815,S25+1)&lt;=DATE(2026,3,31),0.001,0.0015))*(0.3989*Inputs!$B$28*SQRT(MAX(INDEX(Panel!$G$5:$G$815,S25+1),0)/365))+2*Inputs!$B$29+Inputs!$B$19)+IF(B25&lt;0,(Inputs!$B$21+Inputs!$B$22+Inputs!$B$23),(Inputs!$B$20+Inputs!$B$22+Inputs!$B$23))</f>
        <v>0.00035</v>
      </c>
      <c r="Z25" s="56" t="n">
        <f aca="false">B25*SUMPRODUCT((Panel!$F$5:$F$815&gt;=O25)*(Panel!$F$5:$F$815&lt;S25)*Panel!$N$5:$N$815*Panel!$BD$5:$BD$815)/365</f>
        <v>0.00361643835616438</v>
      </c>
      <c r="AA25" s="56" t="n">
        <f aca="false">W25-X25-Y25+Z25</f>
        <v>-0.00314473260850553</v>
      </c>
      <c r="AB25" s="57" t="n">
        <v>-0.0031447326085055</v>
      </c>
      <c r="AC25" s="58" t="n">
        <f aca="false">AA25-AB25</f>
        <v>-3.12250225675825E-017</v>
      </c>
    </row>
    <row r="26" customFormat="false" ht="15" hidden="false" customHeight="false" outlineLevel="0" collapsed="false">
      <c r="A26" s="0" t="s">
        <v>349</v>
      </c>
      <c r="B26" s="0" t="n">
        <v>-1</v>
      </c>
      <c r="C26" s="0" t="s">
        <v>414</v>
      </c>
      <c r="D26" s="0" t="n">
        <v>638</v>
      </c>
      <c r="E26" s="29" t="n">
        <v>10.1768297993831</v>
      </c>
      <c r="F26" s="29" t="n">
        <v>5.68697535633982</v>
      </c>
      <c r="G26" s="53" t="n">
        <f aca="false">INDEX(Panel!$U$5:$U$815,D26+1)</f>
        <v>4.47312448761523</v>
      </c>
      <c r="H26" s="53" t="n">
        <f aca="false">INDEX(Panel!$T$5:$T$815,D26+1)</f>
        <v>1.00835980732837</v>
      </c>
      <c r="I26" s="54" t="n">
        <f aca="false">INDEX(Panel!$S$5:$S$815,D26+1)</f>
        <v>-5.6006319801104E-005</v>
      </c>
      <c r="J26" s="53" t="n">
        <f aca="false">INDEX(Panel!$V$5:$V$815,D26+1)</f>
        <v>0.00239844867584106</v>
      </c>
      <c r="K26" s="55" t="n">
        <f aca="false">(E26-G26-H26*F26-I26*D26)/J26</f>
        <v>2.05131310522825</v>
      </c>
      <c r="L26" s="0" t="n">
        <v>2</v>
      </c>
      <c r="M26" s="0" t="str">
        <f aca="false">IF(ABS(K26)&gt;L26,"Yes","No")</f>
        <v>Yes</v>
      </c>
      <c r="N26" s="30" t="s">
        <v>415</v>
      </c>
      <c r="O26" s="0" t="n">
        <v>638</v>
      </c>
      <c r="P26" s="0" t="n">
        <v>26282.9</v>
      </c>
      <c r="Q26" s="0" t="n">
        <v>294.95</v>
      </c>
      <c r="R26" s="30" t="s">
        <v>416</v>
      </c>
      <c r="S26" s="0" t="n">
        <v>661</v>
      </c>
      <c r="T26" s="0" t="n">
        <v>25937.4</v>
      </c>
      <c r="U26" s="0" t="n">
        <v>293.5</v>
      </c>
      <c r="V26" s="30" t="s">
        <v>353</v>
      </c>
      <c r="W26" s="56" t="n">
        <f aca="false">B26*((LN(T26)-LN(P26))-(LN(U26)-LN(Q26)))</f>
        <v>0.00830438386166055</v>
      </c>
      <c r="X26" s="56" t="n">
        <f aca="false">IF(INDEX(Panel!$A$5:$A$815,O26+1)&lt;=DATE(2024,9,30),0.000625,IF(INDEX(Panel!$A$5:$A$815,O26+1)&lt;=DATE(2026,3,31),0.001,0.0015))*(0.3989*Inputs!$B$28*SQRT(MAX(INDEX(Panel!$G$5:$G$815,O26+1),0)/365))+2*Inputs!$B$29+Inputs!$B$19+0.00003*(0.3989*Inputs!$B$28*SQRT(MAX(INDEX(Panel!$G$5:$G$815,O26+1),0)/365))+IF(B26&lt;0,(Inputs!$B$20+Inputs!$B$22+Inputs!$B$23),(Inputs!$B$21+Inputs!$B$22+Inputs!$B$23))</f>
        <v>0.000472555868654767</v>
      </c>
      <c r="Y26" s="56" t="n">
        <f aca="false">IF(V26="expiry",IF(INDEX(Panel!$A$5:$A$815,S26+1)&lt;=DATE(2026,3,31),0.00125,0.0015)*IF(B26&lt;0,MAX(P26-T26,0),MAX(T26-P26,0))/T26,IF(INDEX(Panel!$A$5:$A$815,S26+1)&lt;=DATE(2024,9,30),0.000625,IF(INDEX(Panel!$A$5:$A$815,S26+1)&lt;=DATE(2026,3,31),0.001,0.0015))*(0.3989*Inputs!$B$28*SQRT(MAX(INDEX(Panel!$G$5:$G$815,S26+1),0)/365))+2*Inputs!$B$29+Inputs!$B$19)+IF(B26&lt;0,(Inputs!$B$21+Inputs!$B$22+Inputs!$B$23),(Inputs!$B$20+Inputs!$B$22+Inputs!$B$23))</f>
        <v>0.00022665066660498</v>
      </c>
      <c r="Z26" s="56" t="n">
        <f aca="false">B26*SUMPRODUCT((Panel!$F$5:$F$815&gt;=O26)*(Panel!$F$5:$F$815&lt;S26)*Panel!$N$5:$N$815*Panel!$BD$5:$BD$815)/365</f>
        <v>-0.00495205479452055</v>
      </c>
      <c r="AA26" s="56" t="n">
        <f aca="false">W26-X26-Y26+Z26</f>
        <v>0.00265312253188025</v>
      </c>
      <c r="AB26" s="57" t="n">
        <v>0.0026531225318802</v>
      </c>
      <c r="AC26" s="58" t="n">
        <f aca="false">AA26-AB26</f>
        <v>5.24753851482984E-017</v>
      </c>
    </row>
    <row r="27" customFormat="false" ht="15" hidden="false" customHeight="false" outlineLevel="0" collapsed="false">
      <c r="A27" s="0" t="s">
        <v>349</v>
      </c>
      <c r="B27" s="0" t="n">
        <v>-1</v>
      </c>
      <c r="C27" s="0" t="s">
        <v>417</v>
      </c>
      <c r="D27" s="0" t="n">
        <v>662</v>
      </c>
      <c r="E27" s="29" t="n">
        <v>10.1726364416067</v>
      </c>
      <c r="F27" s="29" t="n">
        <v>5.68354575315476</v>
      </c>
      <c r="G27" s="53" t="n">
        <f aca="false">INDEX(Panel!$U$5:$U$815,D27+1)</f>
        <v>4.38406572356269</v>
      </c>
      <c r="H27" s="53" t="n">
        <f aca="false">INDEX(Panel!$T$5:$T$815,D27+1)</f>
        <v>1.02530673257918</v>
      </c>
      <c r="I27" s="54" t="n">
        <f aca="false">INDEX(Panel!$S$5:$S$815,D27+1)</f>
        <v>-6.69933936231152E-005</v>
      </c>
      <c r="J27" s="53" t="n">
        <f aca="false">INDEX(Panel!$V$5:$V$815,D27+1)</f>
        <v>0.00218900253623979</v>
      </c>
      <c r="K27" s="55" t="n">
        <f aca="false">(E27-G27-H27*F27-I27*D27)/J27</f>
        <v>2.53202949718064</v>
      </c>
      <c r="L27" s="0" t="n">
        <v>2</v>
      </c>
      <c r="M27" s="0" t="str">
        <f aca="false">IF(ABS(K27)&gt;L27,"Yes","No")</f>
        <v>Yes</v>
      </c>
      <c r="N27" s="30" t="s">
        <v>418</v>
      </c>
      <c r="O27" s="0" t="n">
        <v>662</v>
      </c>
      <c r="P27" s="0" t="n">
        <v>26138</v>
      </c>
      <c r="Q27" s="0" t="n">
        <v>293.69</v>
      </c>
      <c r="R27" s="30" t="s">
        <v>419</v>
      </c>
      <c r="S27" s="0" t="n">
        <v>679</v>
      </c>
      <c r="T27" s="0" t="n">
        <v>25174</v>
      </c>
      <c r="U27" s="0" t="n">
        <v>285.89</v>
      </c>
      <c r="V27" s="30" t="s">
        <v>353</v>
      </c>
      <c r="W27" s="56" t="n">
        <f aca="false">B27*((LN(T27)-LN(P27))-(LN(U27)-LN(Q27)))</f>
        <v>0.0106608104810384</v>
      </c>
      <c r="X27" s="56" t="n">
        <f aca="false">IF(INDEX(Panel!$A$5:$A$815,O27+1)&lt;=DATE(2024,9,30),0.000625,IF(INDEX(Panel!$A$5:$A$815,O27+1)&lt;=DATE(2026,3,31),0.001,0.0015))*(0.3989*Inputs!$B$28*SQRT(MAX(INDEX(Panel!$G$5:$G$815,O27+1),0)/365))+2*Inputs!$B$29+Inputs!$B$19+0.00003*(0.3989*Inputs!$B$28*SQRT(MAX(INDEX(Panel!$G$5:$G$815,O27+1),0)/365))+IF(B27&lt;0,(Inputs!$B$20+Inputs!$B$22+Inputs!$B$23),(Inputs!$B$21+Inputs!$B$22+Inputs!$B$23))</f>
        <v>0.000470644610192005</v>
      </c>
      <c r="Y27" s="56" t="n">
        <f aca="false">IF(V27="expiry",IF(INDEX(Panel!$A$5:$A$815,S27+1)&lt;=DATE(2026,3,31),0.00125,0.0015)*IF(B27&lt;0,MAX(P27-T27,0),MAX(T27-P27,0))/T27,IF(INDEX(Panel!$A$5:$A$815,S27+1)&lt;=DATE(2024,9,30),0.000625,IF(INDEX(Panel!$A$5:$A$815,S27+1)&lt;=DATE(2026,3,31),0.001,0.0015))*(0.3989*Inputs!$B$28*SQRT(MAX(INDEX(Panel!$G$5:$G$815,S27+1),0)/365))+2*Inputs!$B$29+Inputs!$B$19)+IF(B27&lt;0,(Inputs!$B$21+Inputs!$B$22+Inputs!$B$23),(Inputs!$B$20+Inputs!$B$22+Inputs!$B$23))</f>
        <v>0.000257866846746643</v>
      </c>
      <c r="Z27" s="56" t="n">
        <f aca="false">B27*SUMPRODUCT((Panel!$F$5:$F$815&gt;=O27)*(Panel!$F$5:$F$815&lt;S27)*Panel!$N$5:$N$815*Panel!$BD$5:$BD$815)/365</f>
        <v>-0.00388356164383562</v>
      </c>
      <c r="AA27" s="56" t="n">
        <f aca="false">W27-X27-Y27+Z27</f>
        <v>0.00604873738026413</v>
      </c>
      <c r="AB27" s="57" t="n">
        <v>0.0060487373802641</v>
      </c>
      <c r="AC27" s="58" t="n">
        <f aca="false">AA27-AB27</f>
        <v>3.20923843055709E-017</v>
      </c>
    </row>
    <row r="28" customFormat="false" ht="15" hidden="false" customHeight="false" outlineLevel="0" collapsed="false">
      <c r="A28" s="0" t="s">
        <v>349</v>
      </c>
      <c r="B28" s="0" t="n">
        <v>-1</v>
      </c>
      <c r="C28" s="0" t="s">
        <v>420</v>
      </c>
      <c r="D28" s="0" t="n">
        <v>680</v>
      </c>
      <c r="E28" s="29" t="n">
        <v>10.1455980879764</v>
      </c>
      <c r="F28" s="29" t="n">
        <v>5.65854100641051</v>
      </c>
      <c r="G28" s="53" t="n">
        <f aca="false">INDEX(Panel!$U$5:$U$815,D28+1)</f>
        <v>4.36250805169018</v>
      </c>
      <c r="H28" s="53" t="n">
        <f aca="false">INDEX(Panel!$T$5:$T$815,D28+1)</f>
        <v>1.02940234208399</v>
      </c>
      <c r="I28" s="54" t="n">
        <f aca="false">INDEX(Panel!$S$5:$S$815,D28+1)</f>
        <v>-6.94509868994231E-005</v>
      </c>
      <c r="J28" s="53" t="n">
        <f aca="false">INDEX(Panel!$V$5:$V$815,D28+1)</f>
        <v>0.00225868623483478</v>
      </c>
      <c r="K28" s="55" t="n">
        <f aca="false">(E28-G28-H28*F28-I28*D28)/J28</f>
        <v>2.39136473105877</v>
      </c>
      <c r="L28" s="0" t="n">
        <v>2</v>
      </c>
      <c r="M28" s="0" t="str">
        <f aca="false">IF(ABS(K28)&gt;L28,"Yes","No")</f>
        <v>Yes</v>
      </c>
      <c r="N28" s="30" t="s">
        <v>421</v>
      </c>
      <c r="O28" s="0" t="n">
        <v>680</v>
      </c>
      <c r="P28" s="0" t="n">
        <v>25419.1</v>
      </c>
      <c r="Q28" s="0" t="n">
        <v>286.18</v>
      </c>
      <c r="R28" s="30" t="s">
        <v>422</v>
      </c>
      <c r="S28" s="0" t="n">
        <v>700</v>
      </c>
      <c r="T28" s="0" t="n">
        <v>25423.4</v>
      </c>
      <c r="U28" s="0" t="n">
        <v>288</v>
      </c>
      <c r="V28" s="30" t="s">
        <v>353</v>
      </c>
      <c r="W28" s="56" t="n">
        <f aca="false">B28*((LN(T28)-LN(P28))-(LN(U28)-LN(Q28)))</f>
        <v>0.00617034683151196</v>
      </c>
      <c r="X28" s="56" t="n">
        <f aca="false">IF(INDEX(Panel!$A$5:$A$815,O28+1)&lt;=DATE(2024,9,30),0.000625,IF(INDEX(Panel!$A$5:$A$815,O28+1)&lt;=DATE(2026,3,31),0.001,0.0015))*(0.3989*Inputs!$B$28*SQRT(MAX(INDEX(Panel!$G$5:$G$815,O28+1),0)/365))+2*Inputs!$B$29+Inputs!$B$19+0.00003*(0.3989*Inputs!$B$28*SQRT(MAX(INDEX(Panel!$G$5:$G$815,O28+1),0)/365))+IF(B28&lt;0,(Inputs!$B$20+Inputs!$B$22+Inputs!$B$23),(Inputs!$B$21+Inputs!$B$22+Inputs!$B$23))</f>
        <v>0.000470644610192005</v>
      </c>
      <c r="Y28" s="56" t="n">
        <f aca="false">IF(V28="expiry",IF(INDEX(Panel!$A$5:$A$815,S28+1)&lt;=DATE(2026,3,31),0.00125,0.0015)*IF(B28&lt;0,MAX(P28-T28,0),MAX(T28-P28,0))/T28,IF(INDEX(Panel!$A$5:$A$815,S28+1)&lt;=DATE(2024,9,30),0.000625,IF(INDEX(Panel!$A$5:$A$815,S28+1)&lt;=DATE(2026,3,31),0.001,0.0015))*(0.3989*Inputs!$B$28*SQRT(MAX(INDEX(Panel!$G$5:$G$815,S28+1),0)/365))+2*Inputs!$B$29+Inputs!$B$19)+IF(B28&lt;0,(Inputs!$B$21+Inputs!$B$22+Inputs!$B$23),(Inputs!$B$20+Inputs!$B$22+Inputs!$B$23))</f>
        <v>0.00021</v>
      </c>
      <c r="Z28" s="56" t="n">
        <f aca="false">B28*SUMPRODUCT((Panel!$F$5:$F$815&gt;=O28)*(Panel!$F$5:$F$815&lt;S28)*Panel!$N$5:$N$815*Panel!$BD$5:$BD$815)/365</f>
        <v>-0.00388356164383562</v>
      </c>
      <c r="AA28" s="56" t="n">
        <f aca="false">W28-X28-Y28+Z28</f>
        <v>0.00160614057748434</v>
      </c>
      <c r="AB28" s="57" t="n">
        <v>0.0016061405774843</v>
      </c>
      <c r="AC28" s="58" t="n">
        <f aca="false">AA28-AB28</f>
        <v>4.22838847269347E-017</v>
      </c>
    </row>
    <row r="29" customFormat="false" ht="15" hidden="false" customHeight="false" outlineLevel="0" collapsed="false">
      <c r="A29" s="0" t="s">
        <v>349</v>
      </c>
      <c r="B29" s="0" t="n">
        <v>-1</v>
      </c>
      <c r="C29" s="0" t="s">
        <v>423</v>
      </c>
      <c r="D29" s="0" t="n">
        <v>701</v>
      </c>
      <c r="E29" s="29" t="n">
        <v>10.1561704884276</v>
      </c>
      <c r="F29" s="29" t="n">
        <v>5.66801711820946</v>
      </c>
      <c r="G29" s="53" t="n">
        <f aca="false">INDEX(Panel!$U$5:$U$815,D29+1)</f>
        <v>4.39581763888251</v>
      </c>
      <c r="H29" s="53" t="n">
        <f aca="false">INDEX(Panel!$T$5:$T$815,D29+1)</f>
        <v>1.0232593132565</v>
      </c>
      <c r="I29" s="54" t="n">
        <f aca="false">INDEX(Panel!$S$5:$S$815,D29+1)</f>
        <v>-6.67856989980723E-005</v>
      </c>
      <c r="J29" s="53" t="n">
        <f aca="false">INDEX(Panel!$V$5:$V$815,D29+1)</f>
        <v>0.00226905116822374</v>
      </c>
      <c r="K29" s="55" t="n">
        <f aca="false">(E29-G29-H29*F29-I29*D29)/J29</f>
        <v>3.22527792241329</v>
      </c>
      <c r="L29" s="0" t="n">
        <v>2</v>
      </c>
      <c r="M29" s="0" t="str">
        <f aca="false">IF(ABS(K29)&gt;L29,"Yes","No")</f>
        <v>Yes</v>
      </c>
      <c r="N29" s="30" t="s">
        <v>424</v>
      </c>
      <c r="O29" s="0" t="n">
        <v>701</v>
      </c>
      <c r="P29" s="0" t="n">
        <v>25720</v>
      </c>
      <c r="Q29" s="0" t="n">
        <v>289.32</v>
      </c>
      <c r="R29" s="30" t="s">
        <v>425</v>
      </c>
      <c r="S29" s="0" t="n">
        <v>722</v>
      </c>
      <c r="T29" s="0" t="n">
        <v>22330</v>
      </c>
      <c r="U29" s="0" t="n">
        <v>255.26</v>
      </c>
      <c r="V29" s="30" t="s">
        <v>353</v>
      </c>
      <c r="W29" s="56" t="n">
        <f aca="false">B29*((LN(T29)-LN(P29))-(LN(U29)-LN(Q29)))</f>
        <v>0.0160871250908166</v>
      </c>
      <c r="X29" s="56" t="n">
        <f aca="false">IF(INDEX(Panel!$A$5:$A$815,O29+1)&lt;=DATE(2024,9,30),0.000625,IF(INDEX(Panel!$A$5:$A$815,O29+1)&lt;=DATE(2026,3,31),0.001,0.0015))*(0.3989*Inputs!$B$28*SQRT(MAX(INDEX(Panel!$G$5:$G$815,O29+1),0)/365))+2*Inputs!$B$29+Inputs!$B$19+0.00003*(0.3989*Inputs!$B$28*SQRT(MAX(INDEX(Panel!$G$5:$G$815,O29+1),0)/365))+IF(B29&lt;0,(Inputs!$B$20+Inputs!$B$22+Inputs!$B$23),(Inputs!$B$21+Inputs!$B$22+Inputs!$B$23))</f>
        <v>0.00047229576733275</v>
      </c>
      <c r="Y29" s="56" t="n">
        <f aca="false">IF(V29="expiry",IF(INDEX(Panel!$A$5:$A$815,S29+1)&lt;=DATE(2026,3,31),0.00125,0.0015)*IF(B29&lt;0,MAX(P29-T29,0),MAX(T29-P29,0))/T29,IF(INDEX(Panel!$A$5:$A$815,S29+1)&lt;=DATE(2024,9,30),0.000625,IF(INDEX(Panel!$A$5:$A$815,S29+1)&lt;=DATE(2026,3,31),0.001,0.0015))*(0.3989*Inputs!$B$28*SQRT(MAX(INDEX(Panel!$G$5:$G$815,S29+1),0)/365))+2*Inputs!$B$29+Inputs!$B$19)+IF(B29&lt;0,(Inputs!$B$21+Inputs!$B$22+Inputs!$B$23),(Inputs!$B$20+Inputs!$B$22+Inputs!$B$23))</f>
        <v>0.000399767129422302</v>
      </c>
      <c r="Z29" s="56" t="n">
        <f aca="false">B29*SUMPRODUCT((Panel!$F$5:$F$815&gt;=O29)*(Panel!$F$5:$F$815&lt;S29)*Panel!$N$5:$N$815*Panel!$BD$5:$BD$815)/365</f>
        <v>-0.00474657534246575</v>
      </c>
      <c r="AA29" s="56" t="n">
        <f aca="false">W29-X29-Y29+Z29</f>
        <v>0.0104684868515958</v>
      </c>
      <c r="AB29" s="57" t="n">
        <v>0.0104684868515957</v>
      </c>
      <c r="AC29" s="58" t="n">
        <f aca="false">AA29-AB29</f>
        <v>5.20417042793042E-017</v>
      </c>
    </row>
    <row r="30" customFormat="false" ht="15" hidden="false" customHeight="false" outlineLevel="0" collapsed="false">
      <c r="A30" s="0" t="s">
        <v>349</v>
      </c>
      <c r="B30" s="0" t="n">
        <v>-1</v>
      </c>
      <c r="C30" s="0" t="s">
        <v>426</v>
      </c>
      <c r="D30" s="0" t="n">
        <v>723</v>
      </c>
      <c r="E30" s="29" t="n">
        <v>10.0423839030034</v>
      </c>
      <c r="F30" s="29" t="n">
        <v>5.55910346328676</v>
      </c>
      <c r="G30" s="53" t="n">
        <f aca="false">INDEX(Panel!$U$5:$U$815,D30+1)</f>
        <v>4.42806619966684</v>
      </c>
      <c r="H30" s="53" t="n">
        <f aca="false">INDEX(Panel!$T$5:$T$815,D30+1)</f>
        <v>1.01699766217553</v>
      </c>
      <c r="I30" s="54" t="n">
        <f aca="false">INDEX(Panel!$S$5:$S$815,D30+1)</f>
        <v>-6.12856907190518E-005</v>
      </c>
      <c r="J30" s="53" t="n">
        <f aca="false">INDEX(Panel!$V$5:$V$815,D30+1)</f>
        <v>0.00241724523338892</v>
      </c>
      <c r="K30" s="55" t="n">
        <f aca="false">(E30-G30-H30*F30-I30*D30)/J30</f>
        <v>2.08172166496133</v>
      </c>
      <c r="L30" s="0" t="n">
        <v>2</v>
      </c>
      <c r="M30" s="0" t="str">
        <f aca="false">IF(ABS(K30)&gt;L30,"Yes","No")</f>
        <v>Yes</v>
      </c>
      <c r="N30" s="30" t="s">
        <v>427</v>
      </c>
      <c r="O30" s="0" t="n">
        <v>723</v>
      </c>
      <c r="P30" s="0" t="n">
        <v>22964</v>
      </c>
      <c r="Q30" s="0" t="n">
        <v>259.33</v>
      </c>
      <c r="R30" s="30" t="s">
        <v>428</v>
      </c>
      <c r="S30" s="0" t="n">
        <v>740</v>
      </c>
      <c r="T30" s="0" t="n">
        <v>23994.1</v>
      </c>
      <c r="U30" s="0" t="n">
        <v>271.8</v>
      </c>
      <c r="V30" s="30" t="s">
        <v>353</v>
      </c>
      <c r="W30" s="56" t="n">
        <f aca="false">B30*((LN(T30)-LN(P30))-(LN(U30)-LN(Q30)))</f>
        <v>0.00308492527255133</v>
      </c>
      <c r="X30" s="56" t="n">
        <f aca="false">IF(INDEX(Panel!$A$5:$A$815,O30+1)&lt;=DATE(2024,9,30),0.000625,IF(INDEX(Panel!$A$5:$A$815,O30+1)&lt;=DATE(2026,3,31),0.001,0.0015))*(0.3989*Inputs!$B$28*SQRT(MAX(INDEX(Panel!$G$5:$G$815,O30+1),0)/365))+2*Inputs!$B$29+Inputs!$B$19+0.00003*(0.3989*Inputs!$B$28*SQRT(MAX(INDEX(Panel!$G$5:$G$815,O30+1),0)/365))+IF(B30&lt;0,(Inputs!$B$20+Inputs!$B$22+Inputs!$B$23),(Inputs!$B$21+Inputs!$B$22+Inputs!$B$23))</f>
        <v>0.000478239081158997</v>
      </c>
      <c r="Y30" s="56" t="n">
        <f aca="false">IF(V30="expiry",IF(INDEX(Panel!$A$5:$A$815,S30+1)&lt;=DATE(2026,3,31),0.00125,0.0015)*IF(B30&lt;0,MAX(P30-T30,0),MAX(T30-P30,0))/T30,IF(INDEX(Panel!$A$5:$A$815,S30+1)&lt;=DATE(2024,9,30),0.000625,IF(INDEX(Panel!$A$5:$A$815,S30+1)&lt;=DATE(2026,3,31),0.001,0.0015))*(0.3989*Inputs!$B$28*SQRT(MAX(INDEX(Panel!$G$5:$G$815,S30+1),0)/365))+2*Inputs!$B$29+Inputs!$B$19)+IF(B30&lt;0,(Inputs!$B$21+Inputs!$B$22+Inputs!$B$23),(Inputs!$B$20+Inputs!$B$22+Inputs!$B$23))</f>
        <v>0.00021</v>
      </c>
      <c r="Z30" s="56" t="n">
        <f aca="false">B30*SUMPRODUCT((Panel!$F$5:$F$815&gt;=O30)*(Panel!$F$5:$F$815&lt;S30)*Panel!$N$5:$N$815*Panel!$BD$5:$BD$815)/365</f>
        <v>-0.00388356164383562</v>
      </c>
      <c r="AA30" s="56" t="n">
        <f aca="false">W30-X30-Y30+Z30</f>
        <v>-0.00148687545244328</v>
      </c>
      <c r="AB30" s="57" t="n">
        <v>-0.0014868754524432</v>
      </c>
      <c r="AC30" s="58" t="n">
        <f aca="false">AA30-AB30</f>
        <v>-8.28330459778925E-017</v>
      </c>
    </row>
    <row r="31" customFormat="false" ht="15" hidden="false" customHeight="false" outlineLevel="0" collapsed="false">
      <c r="A31" s="0" t="s">
        <v>349</v>
      </c>
      <c r="B31" s="0" t="n">
        <v>-1</v>
      </c>
      <c r="C31" s="0" t="s">
        <v>429</v>
      </c>
      <c r="D31" s="0" t="n">
        <v>741</v>
      </c>
      <c r="E31" s="29" t="n">
        <v>10.0941079121448</v>
      </c>
      <c r="F31" s="29" t="n">
        <v>5.60815224364095</v>
      </c>
      <c r="G31" s="53" t="n">
        <f aca="false">INDEX(Panel!$U$5:$U$815,D31+1)</f>
        <v>4.4692643607368</v>
      </c>
      <c r="H31" s="53" t="n">
        <f aca="false">INDEX(Panel!$T$5:$T$815,D31+1)</f>
        <v>1.00883837346067</v>
      </c>
      <c r="I31" s="54" t="n">
        <f aca="false">INDEX(Panel!$S$5:$S$815,D31+1)</f>
        <v>-5.3053487106118E-005</v>
      </c>
      <c r="J31" s="53" t="n">
        <f aca="false">INDEX(Panel!$V$5:$V$815,D31+1)</f>
        <v>0.00250905605721469</v>
      </c>
      <c r="K31" s="55" t="n">
        <f aca="false">(E31-G31-H31*F31-I31*D31)/J31</f>
        <v>2.56550575686468</v>
      </c>
      <c r="L31" s="0" t="n">
        <v>2</v>
      </c>
      <c r="M31" s="0" t="str">
        <f aca="false">IF(ABS(K31)&gt;L31,"Yes","No")</f>
        <v>Yes</v>
      </c>
      <c r="N31" s="30" t="s">
        <v>430</v>
      </c>
      <c r="O31" s="0" t="n">
        <v>741</v>
      </c>
      <c r="P31" s="0" t="n">
        <v>24229.2</v>
      </c>
      <c r="Q31" s="0" t="n">
        <v>272.86</v>
      </c>
      <c r="R31" s="30" t="s">
        <v>431</v>
      </c>
      <c r="S31" s="0" t="n">
        <v>759</v>
      </c>
      <c r="T31" s="0" t="n">
        <v>23911.2</v>
      </c>
      <c r="U31" s="0" t="n">
        <v>271.07</v>
      </c>
      <c r="V31" s="30" t="s">
        <v>353</v>
      </c>
      <c r="W31" s="56" t="n">
        <f aca="false">B31*((LN(T31)-LN(P31))-(LN(U31)-LN(Q31)))</f>
        <v>0.00662979591920188</v>
      </c>
      <c r="X31" s="56" t="n">
        <f aca="false">IF(INDEX(Panel!$A$5:$A$815,O31+1)&lt;=DATE(2024,9,30),0.000625,IF(INDEX(Panel!$A$5:$A$815,O31+1)&lt;=DATE(2026,3,31),0.001,0.0015))*(0.3989*Inputs!$B$28*SQRT(MAX(INDEX(Panel!$G$5:$G$815,O31+1),0)/365))+2*Inputs!$B$29+Inputs!$B$19+0.00003*(0.3989*Inputs!$B$28*SQRT(MAX(INDEX(Panel!$G$5:$G$815,O31+1),0)/365))+IF(B31&lt;0,(Inputs!$B$20+Inputs!$B$22+Inputs!$B$23),(Inputs!$B$21+Inputs!$B$22+Inputs!$B$23))</f>
        <v>0.000478239081158997</v>
      </c>
      <c r="Y31" s="56" t="n">
        <f aca="false">IF(V31="expiry",IF(INDEX(Panel!$A$5:$A$815,S31+1)&lt;=DATE(2026,3,31),0.00125,0.0015)*IF(B31&lt;0,MAX(P31-T31,0),MAX(T31-P31,0))/T31,IF(INDEX(Panel!$A$5:$A$815,S31+1)&lt;=DATE(2024,9,30),0.000625,IF(INDEX(Panel!$A$5:$A$815,S31+1)&lt;=DATE(2026,3,31),0.001,0.0015))*(0.3989*Inputs!$B$28*SQRT(MAX(INDEX(Panel!$G$5:$G$815,S31+1),0)/365))+2*Inputs!$B$29+Inputs!$B$19)+IF(B31&lt;0,(Inputs!$B$21+Inputs!$B$22+Inputs!$B$23),(Inputs!$B$20+Inputs!$B$22+Inputs!$B$23))</f>
        <v>0.000229948810599217</v>
      </c>
      <c r="Z31" s="56" t="n">
        <f aca="false">B31*SUMPRODUCT((Panel!$F$5:$F$815&gt;=O31)*(Panel!$F$5:$F$815&lt;S31)*Panel!$N$5:$N$815*Panel!$BD$5:$BD$815)/365</f>
        <v>-0.00388356164383562</v>
      </c>
      <c r="AA31" s="56" t="n">
        <f aca="false">W31-X31-Y31+Z31</f>
        <v>0.00203804638360804</v>
      </c>
      <c r="AB31" s="57" t="n">
        <v>0.002038046383608</v>
      </c>
      <c r="AC31" s="58" t="n">
        <f aca="false">AA31-AB31</f>
        <v>4.46691295064028E-017</v>
      </c>
    </row>
    <row r="32" customFormat="false" ht="15" hidden="false" customHeight="false" outlineLevel="0" collapsed="false">
      <c r="A32" s="0" t="s">
        <v>349</v>
      </c>
      <c r="B32" s="0" t="n">
        <v>-1</v>
      </c>
      <c r="C32" s="0" t="s">
        <v>432</v>
      </c>
      <c r="D32" s="0" t="n">
        <v>761</v>
      </c>
      <c r="E32" s="29" t="n">
        <v>10.0751356837736</v>
      </c>
      <c r="F32" s="29" t="n">
        <v>5.59050178819724</v>
      </c>
      <c r="G32" s="53" t="n">
        <f aca="false">INDEX(Panel!$U$5:$U$815,D32+1)</f>
        <v>4.4314048633064</v>
      </c>
      <c r="H32" s="53" t="n">
        <f aca="false">INDEX(Panel!$T$5:$T$815,D32+1)</f>
        <v>1.01414965096163</v>
      </c>
      <c r="I32" s="54" t="n">
        <f aca="false">INDEX(Panel!$S$5:$S$815,D32+1)</f>
        <v>-4.06042848467235E-005</v>
      </c>
      <c r="J32" s="53" t="n">
        <f aca="false">INDEX(Panel!$V$5:$V$815,D32+1)</f>
        <v>0.00235910010923291</v>
      </c>
      <c r="K32" s="55" t="n">
        <f aca="false">(E32-G32-H32*F32-I32*D32)/J32</f>
        <v>2.13015294064522</v>
      </c>
      <c r="L32" s="0" t="n">
        <v>2</v>
      </c>
      <c r="M32" s="0" t="str">
        <f aca="false">IF(ABS(K32)&gt;L32,"Yes","No")</f>
        <v>Yes</v>
      </c>
      <c r="N32" s="30" t="s">
        <v>433</v>
      </c>
      <c r="O32" s="0" t="n">
        <v>761</v>
      </c>
      <c r="P32" s="0" t="n">
        <v>23744.4</v>
      </c>
      <c r="Q32" s="0" t="n">
        <v>268.25</v>
      </c>
      <c r="R32" s="30" t="s">
        <v>434</v>
      </c>
      <c r="S32" s="0" t="n">
        <v>782</v>
      </c>
      <c r="T32" s="0" t="n">
        <v>23864.3</v>
      </c>
      <c r="U32" s="0" t="n">
        <v>272.43</v>
      </c>
      <c r="V32" s="30" t="s">
        <v>353</v>
      </c>
      <c r="W32" s="56" t="n">
        <f aca="false">B32*((LN(T32)-LN(P32))-(LN(U32)-LN(Q32)))</f>
        <v>0.0104254136928583</v>
      </c>
      <c r="X32" s="56" t="n">
        <f aca="false">IF(INDEX(Panel!$A$5:$A$815,O32+1)&lt;=DATE(2024,9,30),0.000625,IF(INDEX(Panel!$A$5:$A$815,O32+1)&lt;=DATE(2026,3,31),0.001,0.0015))*(0.3989*Inputs!$B$28*SQRT(MAX(INDEX(Panel!$G$5:$G$815,O32+1),0)/365))+2*Inputs!$B$29+Inputs!$B$19+0.00003*(0.3989*Inputs!$B$28*SQRT(MAX(INDEX(Panel!$G$5:$G$815,O32+1),0)/365))+IF(B32&lt;0,(Inputs!$B$20+Inputs!$B$22+Inputs!$B$23),(Inputs!$B$21+Inputs!$B$22+Inputs!$B$23))</f>
        <v>0.000480299507080298</v>
      </c>
      <c r="Y32" s="56" t="n">
        <f aca="false">IF(V32="expiry",IF(INDEX(Panel!$A$5:$A$815,S32+1)&lt;=DATE(2026,3,31),0.00125,0.0015)*IF(B32&lt;0,MAX(P32-T32,0),MAX(T32-P32,0))/T32,IF(INDEX(Panel!$A$5:$A$815,S32+1)&lt;=DATE(2024,9,30),0.000625,IF(INDEX(Panel!$A$5:$A$815,S32+1)&lt;=DATE(2026,3,31),0.001,0.0015))*(0.3989*Inputs!$B$28*SQRT(MAX(INDEX(Panel!$G$5:$G$815,S32+1),0)/365))+2*Inputs!$B$29+Inputs!$B$19)+IF(B32&lt;0,(Inputs!$B$21+Inputs!$B$22+Inputs!$B$23),(Inputs!$B$20+Inputs!$B$22+Inputs!$B$23))</f>
        <v>0.00021</v>
      </c>
      <c r="Z32" s="56" t="n">
        <f aca="false">B32*SUMPRODUCT((Panel!$F$5:$F$815&gt;=O32)*(Panel!$F$5:$F$815&lt;S32)*Panel!$N$5:$N$815*Panel!$BD$5:$BD$815)/365</f>
        <v>-0.0046027397260274</v>
      </c>
      <c r="AA32" s="56" t="n">
        <f aca="false">W32-X32-Y32+Z32</f>
        <v>0.00513237445975063</v>
      </c>
      <c r="AB32" s="57" t="n">
        <v>0.0051323744597506</v>
      </c>
      <c r="AC32" s="58" t="n">
        <f aca="false">AA32-AB32</f>
        <v>2.60208521396521E-017</v>
      </c>
    </row>
    <row r="33" customFormat="false" ht="15" hidden="false" customHeight="false" outlineLevel="0" collapsed="false">
      <c r="A33" s="0" t="s">
        <v>349</v>
      </c>
      <c r="B33" s="0" t="n">
        <v>1</v>
      </c>
      <c r="C33" s="0" t="s">
        <v>435</v>
      </c>
      <c r="D33" s="0" t="n">
        <v>796</v>
      </c>
      <c r="E33" s="29" t="n">
        <v>10.093194271762</v>
      </c>
      <c r="F33" s="29" t="n">
        <v>5.61818827481468</v>
      </c>
      <c r="G33" s="53" t="n">
        <f aca="false">INDEX(Panel!$U$5:$U$815,D33+1)</f>
        <v>4.39118875383048</v>
      </c>
      <c r="H33" s="53" t="n">
        <f aca="false">INDEX(Panel!$T$5:$T$815,D33+1)</f>
        <v>1.02003557464388</v>
      </c>
      <c r="I33" s="54" t="n">
        <f aca="false">INDEX(Panel!$S$5:$S$815,D33+1)</f>
        <v>-3.0401226628109E-005</v>
      </c>
      <c r="J33" s="53" t="n">
        <f aca="false">INDEX(Panel!$V$5:$V$815,D33+1)</f>
        <v>0.00223807833436191</v>
      </c>
      <c r="K33" s="55" t="n">
        <f aca="false">(E33-G33-H33*F33-I33*D33)/J33</f>
        <v>-2.03165857102651</v>
      </c>
      <c r="L33" s="0" t="n">
        <v>2</v>
      </c>
      <c r="M33" s="0" t="str">
        <f aca="false">IF(ABS(K33)&gt;L33,"Yes","No")</f>
        <v>Yes</v>
      </c>
      <c r="N33" s="30" t="s">
        <v>436</v>
      </c>
      <c r="O33" s="0" t="n">
        <v>796</v>
      </c>
      <c r="P33" s="0" t="n">
        <v>24190</v>
      </c>
      <c r="Q33" s="0" t="n">
        <v>275.6</v>
      </c>
      <c r="R33" s="30" t="s">
        <v>437</v>
      </c>
      <c r="S33" s="0" t="n">
        <v>802</v>
      </c>
      <c r="T33" s="0" t="n">
        <v>23983.2</v>
      </c>
      <c r="U33" s="0" t="n">
        <v>273.81</v>
      </c>
      <c r="V33" s="30" t="s">
        <v>353</v>
      </c>
      <c r="W33" s="56" t="n">
        <f aca="false">B33*((LN(T33)-LN(P33))-(LN(U33)-LN(Q33)))</f>
        <v>-0.00206963544577565</v>
      </c>
      <c r="X33" s="56" t="n">
        <f aca="false">IF(INDEX(Panel!$A$5:$A$815,O33+1)&lt;=DATE(2024,9,30),0.000625,IF(INDEX(Panel!$A$5:$A$815,O33+1)&lt;=DATE(2026,3,31),0.001,0.0015))*(0.3989*Inputs!$B$28*SQRT(MAX(INDEX(Panel!$G$5:$G$815,O33+1),0)/365))+2*Inputs!$B$29+Inputs!$B$19+0.00003*(0.3989*Inputs!$B$28*SQRT(MAX(INDEX(Panel!$G$5:$G$815,O33+1),0)/365))+IF(B33&lt;0,(Inputs!$B$20+Inputs!$B$22+Inputs!$B$23),(Inputs!$B$21+Inputs!$B$22+Inputs!$B$23))</f>
        <v>0.000327649753540149</v>
      </c>
      <c r="Y33" s="56" t="n">
        <f aca="false">IF(V33="expiry",IF(INDEX(Panel!$A$5:$A$815,S33+1)&lt;=DATE(2026,3,31),0.00125,0.0015)*IF(B33&lt;0,MAX(P33-T33,0),MAX(T33-P33,0))/T33,IF(INDEX(Panel!$A$5:$A$815,S33+1)&lt;=DATE(2024,9,30),0.000625,IF(INDEX(Panel!$A$5:$A$815,S33+1)&lt;=DATE(2026,3,31),0.001,0.0015))*(0.3989*Inputs!$B$28*SQRT(MAX(INDEX(Panel!$G$5:$G$815,S33+1),0)/365))+2*Inputs!$B$29+Inputs!$B$19)+IF(B33&lt;0,(Inputs!$B$21+Inputs!$B$22+Inputs!$B$23),(Inputs!$B$20+Inputs!$B$22+Inputs!$B$23))</f>
        <v>0.00035</v>
      </c>
      <c r="Z33" s="56" t="n">
        <f aca="false">B33*SUMPRODUCT((Panel!$F$5:$F$815&gt;=O33)*(Panel!$F$5:$F$815&lt;S33)*Panel!$N$5:$N$815*Panel!$BD$5:$BD$815)/365</f>
        <v>0.00115068493150685</v>
      </c>
      <c r="AA33" s="56" t="n">
        <f aca="false">W33-X33-Y33+Z33</f>
        <v>-0.00159660026780895</v>
      </c>
      <c r="AB33" s="57" t="n">
        <v>-0.0015966002678089</v>
      </c>
      <c r="AC33" s="58" t="n">
        <f aca="false">AA33-AB33</f>
        <v>-5.24753851482984E-017</v>
      </c>
    </row>
    <row r="34" customFormat="false" ht="15" hidden="false" customHeight="false" outlineLevel="0" collapsed="false">
      <c r="A34" s="0" t="s">
        <v>438</v>
      </c>
      <c r="B34" s="0" t="n">
        <v>-1</v>
      </c>
      <c r="C34" s="0" t="s">
        <v>354</v>
      </c>
      <c r="D34" s="0" t="n">
        <v>62</v>
      </c>
      <c r="E34" s="29" t="n">
        <v>9.88999949630542</v>
      </c>
      <c r="F34" s="29" t="n">
        <v>5.37588007849583</v>
      </c>
      <c r="G34" s="53" t="n">
        <f aca="false">INDEX(Panel!$U$5:$U$815,D34+1)</f>
        <v>4.23384140595892</v>
      </c>
      <c r="H34" s="53" t="n">
        <f aca="false">INDEX(Panel!$T$5:$T$815,D34+1)</f>
        <v>1.05380751766663</v>
      </c>
      <c r="I34" s="54" t="n">
        <f aca="false">INDEX(Panel!$S$5:$S$815,D34+1)</f>
        <v>-0.000200513290480534</v>
      </c>
      <c r="J34" s="53" t="n">
        <f aca="false">INDEX(Panel!$V$5:$V$815,D34+1)</f>
        <v>0.00167793581732784</v>
      </c>
      <c r="K34" s="55" t="n">
        <f aca="false">(E34-G34-H34*F34-I34*D34)/J34</f>
        <v>2.05435364542513</v>
      </c>
      <c r="L34" s="0" t="n">
        <v>1.5</v>
      </c>
      <c r="M34" s="0" t="str">
        <f aca="false">IF(ABS(K34)&gt;L34,"Yes","No")</f>
        <v>Yes</v>
      </c>
      <c r="N34" s="30" t="s">
        <v>355</v>
      </c>
      <c r="O34" s="0" t="n">
        <v>62</v>
      </c>
      <c r="P34" s="0" t="n">
        <v>19748</v>
      </c>
      <c r="Q34" s="0" t="n">
        <v>216.35</v>
      </c>
      <c r="R34" s="30" t="s">
        <v>356</v>
      </c>
      <c r="S34" s="0" t="n">
        <v>85</v>
      </c>
      <c r="T34" s="0" t="n">
        <v>19254</v>
      </c>
      <c r="U34" s="0" t="n">
        <v>213.2</v>
      </c>
      <c r="V34" s="30" t="s">
        <v>353</v>
      </c>
      <c r="W34" s="56" t="n">
        <f aca="false">B34*((LN(T34)-LN(P34))-(LN(U34)-LN(Q34)))</f>
        <v>0.0106666146616377</v>
      </c>
      <c r="X34" s="56" t="n">
        <f aca="false">IF(INDEX(Panel!$A$5:$A$815,O34+1)&lt;=DATE(2024,9,30),0.000625,IF(INDEX(Panel!$A$5:$A$815,O34+1)&lt;=DATE(2026,3,31),0.001,0.0015))*(0.3989*Inputs!$B$28*SQRT(MAX(INDEX(Panel!$G$5:$G$815,O34+1),0)/365))+2*Inputs!$B$29+Inputs!$B$19+0.00003*(0.3989*Inputs!$B$28*SQRT(MAX(INDEX(Panel!$G$5:$G$815,O34+1),0)/365))+IF(B34&lt;0,(Inputs!$B$20+Inputs!$B$22+Inputs!$B$23),(Inputs!$B$21+Inputs!$B$22+Inputs!$B$23))</f>
        <v>0.000466164168901818</v>
      </c>
      <c r="Y34" s="56" t="n">
        <f aca="false">IF(V34="expiry",IF(INDEX(Panel!$A$5:$A$815,S34+1)&lt;=DATE(2026,3,31),0.00125,0.0015)*IF(B34&lt;0,MAX(P34-T34,0),MAX(T34-P34,0))/T34,IF(INDEX(Panel!$A$5:$A$815,S34+1)&lt;=DATE(2024,9,30),0.000625,IF(INDEX(Panel!$A$5:$A$815,S34+1)&lt;=DATE(2026,3,31),0.001,0.0015))*(0.3989*Inputs!$B$28*SQRT(MAX(INDEX(Panel!$G$5:$G$815,S34+1),0)/365))+2*Inputs!$B$29+Inputs!$B$19)+IF(B34&lt;0,(Inputs!$B$21+Inputs!$B$22+Inputs!$B$23),(Inputs!$B$20+Inputs!$B$22+Inputs!$B$23))</f>
        <v>0.000242071257920432</v>
      </c>
      <c r="Z34" s="56" t="n">
        <f aca="false">-SUMPRODUCT((Panel!$F$5:$F$815&gt;=O34)*(Panel!$F$5:$F$815&lt;S34)*Panel!$N$5:$N$815*Panel!$BD$5:$BD$815)/365</f>
        <v>-0.00605479452054795</v>
      </c>
      <c r="AA34" s="56" t="n">
        <f aca="false">W34-X34-Y34+Z34</f>
        <v>0.00390358471426746</v>
      </c>
      <c r="AB34" s="57" t="n">
        <v>0.0039035847142674</v>
      </c>
      <c r="AC34" s="58" t="n">
        <f aca="false">AA34-AB34</f>
        <v>5.76795555762288E-017</v>
      </c>
    </row>
    <row r="35" customFormat="false" ht="15" hidden="false" customHeight="false" outlineLevel="0" collapsed="false">
      <c r="A35" s="0" t="s">
        <v>438</v>
      </c>
      <c r="B35" s="0" t="n">
        <v>-1</v>
      </c>
      <c r="C35" s="0" t="s">
        <v>357</v>
      </c>
      <c r="D35" s="0" t="n">
        <v>86</v>
      </c>
      <c r="E35" s="29" t="n">
        <v>9.87246117393101</v>
      </c>
      <c r="F35" s="29" t="n">
        <v>5.36091650830456</v>
      </c>
      <c r="G35" s="53" t="n">
        <f aca="false">INDEX(Panel!$U$5:$U$815,D35+1)</f>
        <v>4.22528505288014</v>
      </c>
      <c r="H35" s="53" t="n">
        <f aca="false">INDEX(Panel!$T$5:$T$815,D35+1)</f>
        <v>1.05538281345578</v>
      </c>
      <c r="I35" s="54" t="n">
        <f aca="false">INDEX(Panel!$S$5:$S$815,D35+1)</f>
        <v>-0.000190510496440933</v>
      </c>
      <c r="J35" s="53" t="n">
        <f aca="false">INDEX(Panel!$V$5:$V$815,D35+1)</f>
        <v>0.00176949520371741</v>
      </c>
      <c r="K35" s="55" t="n">
        <f aca="false">(E35-G35-H35*F35-I35*D35)/J35</f>
        <v>3.24435833265458</v>
      </c>
      <c r="L35" s="0" t="n">
        <v>1.5</v>
      </c>
      <c r="M35" s="0" t="str">
        <f aca="false">IF(ABS(K35)&gt;L35,"Yes","No")</f>
        <v>Yes</v>
      </c>
      <c r="N35" s="30" t="s">
        <v>358</v>
      </c>
      <c r="O35" s="0" t="n">
        <v>86</v>
      </c>
      <c r="P35" s="0" t="n">
        <v>19409</v>
      </c>
      <c r="Q35" s="0" t="n">
        <v>213.19</v>
      </c>
      <c r="R35" s="30" t="s">
        <v>359</v>
      </c>
      <c r="S35" s="0" t="n">
        <v>104</v>
      </c>
      <c r="T35" s="0" t="n">
        <v>19525</v>
      </c>
      <c r="U35" s="0" t="n">
        <v>216.14</v>
      </c>
      <c r="V35" s="30" t="s">
        <v>353</v>
      </c>
      <c r="W35" s="56" t="n">
        <f aca="false">B35*((LN(T35)-LN(P35))-(LN(U35)-LN(Q35)))</f>
        <v>0.00778373929141019</v>
      </c>
      <c r="X35" s="56" t="n">
        <f aca="false">IF(INDEX(Panel!$A$5:$A$815,O35+1)&lt;=DATE(2024,9,30),0.000625,IF(INDEX(Panel!$A$5:$A$815,O35+1)&lt;=DATE(2026,3,31),0.001,0.0015))*(0.3989*Inputs!$B$28*SQRT(MAX(INDEX(Panel!$G$5:$G$815,O35+1),0)/365))+2*Inputs!$B$29+Inputs!$B$19+0.00003*(0.3989*Inputs!$B$28*SQRT(MAX(INDEX(Panel!$G$5:$G$815,O35+1),0)/365))+IF(B35&lt;0,(Inputs!$B$20+Inputs!$B$22+Inputs!$B$23),(Inputs!$B$21+Inputs!$B$22+Inputs!$B$23))</f>
        <v>0.00046494875696676</v>
      </c>
      <c r="Y35" s="56" t="n">
        <f aca="false">IF(V35="expiry",IF(INDEX(Panel!$A$5:$A$815,S35+1)&lt;=DATE(2026,3,31),0.00125,0.0015)*IF(B35&lt;0,MAX(P35-T35,0),MAX(T35-P35,0))/T35,IF(INDEX(Panel!$A$5:$A$815,S35+1)&lt;=DATE(2024,9,30),0.000625,IF(INDEX(Panel!$A$5:$A$815,S35+1)&lt;=DATE(2026,3,31),0.001,0.0015))*(0.3989*Inputs!$B$28*SQRT(MAX(INDEX(Panel!$G$5:$G$815,S35+1),0)/365))+2*Inputs!$B$29+Inputs!$B$19)+IF(B35&lt;0,(Inputs!$B$21+Inputs!$B$22+Inputs!$B$23),(Inputs!$B$20+Inputs!$B$22+Inputs!$B$23))</f>
        <v>0.00021</v>
      </c>
      <c r="Z35" s="56" t="n">
        <f aca="false">-SUMPRODUCT((Panel!$F$5:$F$815&gt;=O35)*(Panel!$F$5:$F$815&lt;S35)*Panel!$N$5:$N$815*Panel!$BD$5:$BD$815)/365</f>
        <v>-0.00480821917808219</v>
      </c>
      <c r="AA35" s="56" t="n">
        <f aca="false">W35-X35-Y35+Z35</f>
        <v>0.00230057135636123</v>
      </c>
      <c r="AB35" s="57" t="n">
        <v>0.0023005713563612</v>
      </c>
      <c r="AC35" s="58" t="n">
        <f aca="false">AA35-AB35</f>
        <v>3.33934269125535E-017</v>
      </c>
    </row>
    <row r="36" customFormat="false" ht="15" hidden="false" customHeight="false" outlineLevel="0" collapsed="false">
      <c r="A36" s="0" t="s">
        <v>438</v>
      </c>
      <c r="B36" s="0" t="n">
        <v>-1</v>
      </c>
      <c r="C36" s="0" t="s">
        <v>439</v>
      </c>
      <c r="D36" s="0" t="n">
        <v>105</v>
      </c>
      <c r="E36" s="29" t="n">
        <v>9.88598527739998</v>
      </c>
      <c r="F36" s="29" t="n">
        <v>5.37597261111364</v>
      </c>
      <c r="G36" s="53" t="n">
        <f aca="false">INDEX(Panel!$U$5:$U$815,D36+1)</f>
        <v>4.34238949257213</v>
      </c>
      <c r="H36" s="53" t="n">
        <f aca="false">INDEX(Panel!$T$5:$T$815,D36+1)</f>
        <v>1.03308042866385</v>
      </c>
      <c r="I36" s="54" t="n">
        <f aca="false">INDEX(Panel!$S$5:$S$815,D36+1)</f>
        <v>-0.000133680282395583</v>
      </c>
      <c r="J36" s="53" t="n">
        <f aca="false">INDEX(Panel!$V$5:$V$815,D36+1)</f>
        <v>0.00204197930157553</v>
      </c>
      <c r="K36" s="55" t="n">
        <f aca="false">(E36-G36-H36*F36-I36*D36)/J36</f>
        <v>1.87079511632096</v>
      </c>
      <c r="L36" s="0" t="n">
        <v>1.5</v>
      </c>
      <c r="M36" s="0" t="str">
        <f aca="false">IF(ABS(K36)&gt;L36,"Yes","No")</f>
        <v>Yes</v>
      </c>
      <c r="N36" s="30" t="s">
        <v>360</v>
      </c>
      <c r="O36" s="0" t="n">
        <v>105</v>
      </c>
      <c r="P36" s="0" t="n">
        <v>19669.3</v>
      </c>
      <c r="Q36" s="0" t="n">
        <v>216.16</v>
      </c>
      <c r="R36" s="30" t="s">
        <v>362</v>
      </c>
      <c r="S36" s="0" t="n">
        <v>122</v>
      </c>
      <c r="T36" s="0" t="n">
        <v>18859</v>
      </c>
      <c r="U36" s="0" t="n">
        <v>208.8</v>
      </c>
      <c r="V36" s="30" t="s">
        <v>353</v>
      </c>
      <c r="W36" s="56" t="n">
        <f aca="false">B36*((LN(T36)-LN(P36))-(LN(U36)-LN(Q36)))</f>
        <v>0.00742677284548421</v>
      </c>
      <c r="X36" s="56" t="n">
        <f aca="false">IF(INDEX(Panel!$A$5:$A$815,O36+1)&lt;=DATE(2024,9,30),0.000625,IF(INDEX(Panel!$A$5:$A$815,O36+1)&lt;=DATE(2026,3,31),0.001,0.0015))*(0.3989*Inputs!$B$28*SQRT(MAX(INDEX(Panel!$G$5:$G$815,O36+1),0)/365))+2*Inputs!$B$29+Inputs!$B$19+0.00003*(0.3989*Inputs!$B$28*SQRT(MAX(INDEX(Panel!$G$5:$G$815,O36+1),0)/365))+IF(B36&lt;0,(Inputs!$B$20+Inputs!$B$22+Inputs!$B$23),(Inputs!$B$21+Inputs!$B$22+Inputs!$B$23))</f>
        <v>0.00046494875696676</v>
      </c>
      <c r="Y36" s="56" t="n">
        <f aca="false">IF(V36="expiry",IF(INDEX(Panel!$A$5:$A$815,S36+1)&lt;=DATE(2026,3,31),0.00125,0.0015)*IF(B36&lt;0,MAX(P36-T36,0),MAX(T36-P36,0))/T36,IF(INDEX(Panel!$A$5:$A$815,S36+1)&lt;=DATE(2024,9,30),0.000625,IF(INDEX(Panel!$A$5:$A$815,S36+1)&lt;=DATE(2026,3,31),0.001,0.0015))*(0.3989*Inputs!$B$28*SQRT(MAX(INDEX(Panel!$G$5:$G$815,S36+1),0)/365))+2*Inputs!$B$29+Inputs!$B$19)+IF(B36&lt;0,(Inputs!$B$21+Inputs!$B$22+Inputs!$B$23),(Inputs!$B$20+Inputs!$B$22+Inputs!$B$23))</f>
        <v>0.000263707778779363</v>
      </c>
      <c r="Z36" s="56" t="n">
        <f aca="false">-SUMPRODUCT((Panel!$F$5:$F$815&gt;=O36)*(Panel!$F$5:$F$815&lt;S36)*Panel!$N$5:$N$815*Panel!$BD$5:$BD$815)/365</f>
        <v>-0.00480821917808219</v>
      </c>
      <c r="AA36" s="56" t="n">
        <f aca="false">W36-X36-Y36+Z36</f>
        <v>0.00188989713165589</v>
      </c>
      <c r="AB36" s="57" t="n">
        <v>0.0018898971316558</v>
      </c>
      <c r="AC36" s="58" t="n">
        <f aca="false">AA36-AB36</f>
        <v>9.43255890062389E-017</v>
      </c>
    </row>
    <row r="37" customFormat="false" ht="15" hidden="false" customHeight="false" outlineLevel="0" collapsed="false">
      <c r="A37" s="0" t="s">
        <v>438</v>
      </c>
      <c r="B37" s="0" t="n">
        <v>-1</v>
      </c>
      <c r="C37" s="0" t="s">
        <v>363</v>
      </c>
      <c r="D37" s="0" t="n">
        <v>123</v>
      </c>
      <c r="E37" s="29" t="n">
        <v>9.85466488783856</v>
      </c>
      <c r="F37" s="29" t="n">
        <v>5.34605936253346</v>
      </c>
      <c r="G37" s="53" t="n">
        <f aca="false">INDEX(Panel!$U$5:$U$815,D37+1)</f>
        <v>4.38315456032406</v>
      </c>
      <c r="H37" s="53" t="n">
        <f aca="false">INDEX(Panel!$T$5:$T$815,D37+1)</f>
        <v>1.02534697626981</v>
      </c>
      <c r="I37" s="54" t="n">
        <f aca="false">INDEX(Panel!$S$5:$S$815,D37+1)</f>
        <v>-0.000120001421667994</v>
      </c>
      <c r="J37" s="53" t="n">
        <f aca="false">INDEX(Panel!$V$5:$V$815,D37+1)</f>
        <v>0.0020221092896917</v>
      </c>
      <c r="K37" s="55" t="n">
        <f aca="false">(E37-G37-H37*F37-I37*D37)/J37</f>
        <v>2.32662995569529</v>
      </c>
      <c r="L37" s="0" t="n">
        <v>1.5</v>
      </c>
      <c r="M37" s="0" t="str">
        <f aca="false">IF(ABS(K37)&gt;L37,"Yes","No")</f>
        <v>Yes</v>
      </c>
      <c r="N37" s="30" t="s">
        <v>364</v>
      </c>
      <c r="O37" s="0" t="n">
        <v>123</v>
      </c>
      <c r="P37" s="0" t="n">
        <v>19066.4</v>
      </c>
      <c r="Q37" s="0" t="n">
        <v>209.98</v>
      </c>
      <c r="R37" s="30" t="s">
        <v>365</v>
      </c>
      <c r="S37" s="0" t="n">
        <v>145</v>
      </c>
      <c r="T37" s="0" t="n">
        <v>20134</v>
      </c>
      <c r="U37" s="0" t="n">
        <v>222.23</v>
      </c>
      <c r="V37" s="30" t="s">
        <v>353</v>
      </c>
      <c r="W37" s="56" t="n">
        <f aca="false">B37*((LN(T37)-LN(P37))-(LN(U37)-LN(Q37)))</f>
        <v>0.00221828880520203</v>
      </c>
      <c r="X37" s="56" t="n">
        <f aca="false">IF(INDEX(Panel!$A$5:$A$815,O37+1)&lt;=DATE(2024,9,30),0.000625,IF(INDEX(Panel!$A$5:$A$815,O37+1)&lt;=DATE(2026,3,31),0.001,0.0015))*(0.3989*Inputs!$B$28*SQRT(MAX(INDEX(Panel!$G$5:$G$815,O37+1),0)/365))+2*Inputs!$B$29+Inputs!$B$19+0.00003*(0.3989*Inputs!$B$28*SQRT(MAX(INDEX(Panel!$G$5:$G$815,O37+1),0)/365))+IF(B37&lt;0,(Inputs!$B$20+Inputs!$B$22+Inputs!$B$23),(Inputs!$B$21+Inputs!$B$22+Inputs!$B$23))</f>
        <v>0.000466164168901818</v>
      </c>
      <c r="Y37" s="56" t="n">
        <f aca="false">IF(V37="expiry",IF(INDEX(Panel!$A$5:$A$815,S37+1)&lt;=DATE(2026,3,31),0.00125,0.0015)*IF(B37&lt;0,MAX(P37-T37,0),MAX(T37-P37,0))/T37,IF(INDEX(Panel!$A$5:$A$815,S37+1)&lt;=DATE(2024,9,30),0.000625,IF(INDEX(Panel!$A$5:$A$815,S37+1)&lt;=DATE(2026,3,31),0.001,0.0015))*(0.3989*Inputs!$B$28*SQRT(MAX(INDEX(Panel!$G$5:$G$815,S37+1),0)/365))+2*Inputs!$B$29+Inputs!$B$19)+IF(B37&lt;0,(Inputs!$B$21+Inputs!$B$22+Inputs!$B$23),(Inputs!$B$20+Inputs!$B$22+Inputs!$B$23))</f>
        <v>0.00021</v>
      </c>
      <c r="Z37" s="56" t="n">
        <f aca="false">-SUMPRODUCT((Panel!$F$5:$F$815&gt;=O37)*(Panel!$F$5:$F$815&lt;S37)*Panel!$N$5:$N$815*Panel!$BD$5:$BD$815)/365</f>
        <v>-0.00605479452054795</v>
      </c>
      <c r="AA37" s="56" t="n">
        <f aca="false">W37-X37-Y37+Z37</f>
        <v>-0.00451266988424773</v>
      </c>
      <c r="AB37" s="57" t="n">
        <v>-0.0045126698842477</v>
      </c>
      <c r="AC37" s="58" t="n">
        <f aca="false">AA37-AB37</f>
        <v>-3.46944695195361E-017</v>
      </c>
    </row>
    <row r="38" customFormat="false" ht="15" hidden="false" customHeight="false" outlineLevel="0" collapsed="false">
      <c r="A38" s="0" t="s">
        <v>438</v>
      </c>
      <c r="B38" s="0" t="n">
        <v>-1</v>
      </c>
      <c r="C38" s="0" t="s">
        <v>366</v>
      </c>
      <c r="D38" s="0" t="n">
        <v>146</v>
      </c>
      <c r="E38" s="29" t="n">
        <v>9.92122677797233</v>
      </c>
      <c r="F38" s="29" t="n">
        <v>5.40762010143849</v>
      </c>
      <c r="G38" s="53" t="n">
        <f aca="false">INDEX(Panel!$U$5:$U$815,D38+1)</f>
        <v>4.60180344289308</v>
      </c>
      <c r="H38" s="53" t="n">
        <f aca="false">INDEX(Panel!$T$5:$T$815,D38+1)</f>
        <v>0.983956748676894</v>
      </c>
      <c r="I38" s="54" t="n">
        <f aca="false">INDEX(Panel!$S$5:$S$815,D38+1)</f>
        <v>-6.58322037433943E-005</v>
      </c>
      <c r="J38" s="53" t="n">
        <f aca="false">INDEX(Panel!$V$5:$V$815,D38+1)</f>
        <v>0.00231565970379552</v>
      </c>
      <c r="K38" s="55" t="n">
        <f aca="false">(E38-G38-H38*F38-I38*D38)/J38</f>
        <v>3.52838706013873</v>
      </c>
      <c r="L38" s="0" t="n">
        <v>1.5</v>
      </c>
      <c r="M38" s="0" t="str">
        <f aca="false">IF(ABS(K38)&gt;L38,"Yes","No")</f>
        <v>Yes</v>
      </c>
      <c r="N38" s="30" t="s">
        <v>367</v>
      </c>
      <c r="O38" s="0" t="n">
        <v>146</v>
      </c>
      <c r="P38" s="0" t="n">
        <v>20346.6</v>
      </c>
      <c r="Q38" s="0" t="n">
        <v>223</v>
      </c>
      <c r="R38" s="30" t="s">
        <v>368</v>
      </c>
      <c r="S38" s="0" t="n">
        <v>164</v>
      </c>
      <c r="T38" s="0" t="n">
        <v>21780.75</v>
      </c>
      <c r="U38" s="0" t="n">
        <v>240.24</v>
      </c>
      <c r="V38" s="30" t="s">
        <v>353</v>
      </c>
      <c r="W38" s="56" t="n">
        <f aca="false">B38*((LN(T38)-LN(P38))-(LN(U38)-LN(Q38)))</f>
        <v>0.00635392180406225</v>
      </c>
      <c r="X38" s="56" t="n">
        <f aca="false">IF(INDEX(Panel!$A$5:$A$815,O38+1)&lt;=DATE(2024,9,30),0.000625,IF(INDEX(Panel!$A$5:$A$815,O38+1)&lt;=DATE(2026,3,31),0.001,0.0015))*(0.3989*Inputs!$B$28*SQRT(MAX(INDEX(Panel!$G$5:$G$815,O38+1),0)/365))+2*Inputs!$B$29+Inputs!$B$19+0.00003*(0.3989*Inputs!$B$28*SQRT(MAX(INDEX(Panel!$G$5:$G$815,O38+1),0)/365))+IF(B38&lt;0,(Inputs!$B$20+Inputs!$B$22+Inputs!$B$23),(Inputs!$B$21+Inputs!$B$22+Inputs!$B$23))</f>
        <v>0.00046494875696676</v>
      </c>
      <c r="Y38" s="56" t="n">
        <f aca="false">IF(V38="expiry",IF(INDEX(Panel!$A$5:$A$815,S38+1)&lt;=DATE(2026,3,31),0.00125,0.0015)*IF(B38&lt;0,MAX(P38-T38,0),MAX(T38-P38,0))/T38,IF(INDEX(Panel!$A$5:$A$815,S38+1)&lt;=DATE(2024,9,30),0.000625,IF(INDEX(Panel!$A$5:$A$815,S38+1)&lt;=DATE(2026,3,31),0.001,0.0015))*(0.3989*Inputs!$B$28*SQRT(MAX(INDEX(Panel!$G$5:$G$815,S38+1),0)/365))+2*Inputs!$B$29+Inputs!$B$19)+IF(B38&lt;0,(Inputs!$B$21+Inputs!$B$22+Inputs!$B$23),(Inputs!$B$20+Inputs!$B$22+Inputs!$B$23))</f>
        <v>0.00021</v>
      </c>
      <c r="Z38" s="56" t="n">
        <f aca="false">-SUMPRODUCT((Panel!$F$5:$F$815&gt;=O38)*(Panel!$F$5:$F$815&lt;S38)*Panel!$N$5:$N$815*Panel!$BD$5:$BD$815)/365</f>
        <v>-0.00480821917808219</v>
      </c>
      <c r="AA38" s="56" t="n">
        <f aca="false">W38-X38-Y38+Z38</f>
        <v>0.000870753869013294</v>
      </c>
      <c r="AB38" s="57" t="n">
        <v>0.0008707538690132</v>
      </c>
      <c r="AC38" s="58" t="n">
        <f aca="false">AA38-AB38</f>
        <v>9.37834879199961E-017</v>
      </c>
    </row>
    <row r="39" customFormat="false" ht="15" hidden="false" customHeight="false" outlineLevel="0" collapsed="false">
      <c r="A39" s="0" t="s">
        <v>438</v>
      </c>
      <c r="B39" s="0" t="n">
        <v>-1</v>
      </c>
      <c r="C39" s="0" t="s">
        <v>369</v>
      </c>
      <c r="D39" s="0" t="n">
        <v>165</v>
      </c>
      <c r="E39" s="29" t="n">
        <v>9.99474179084625</v>
      </c>
      <c r="F39" s="29" t="n">
        <v>5.48022216984565</v>
      </c>
      <c r="G39" s="53" t="n">
        <f aca="false">INDEX(Panel!$U$5:$U$815,D39+1)</f>
        <v>4.39286337796013</v>
      </c>
      <c r="H39" s="53" t="n">
        <f aca="false">INDEX(Panel!$T$5:$T$815,D39+1)</f>
        <v>1.02312434161324</v>
      </c>
      <c r="I39" s="54" t="n">
        <f aca="false">INDEX(Panel!$S$5:$S$815,D39+1)</f>
        <v>-7.29783753886715E-005</v>
      </c>
      <c r="J39" s="53" t="n">
        <f aca="false">INDEX(Panel!$V$5:$V$815,D39+1)</f>
        <v>0.00267598898951643</v>
      </c>
      <c r="K39" s="55" t="n">
        <f aca="false">(E39-G39-H39*F39-I39*D39)/J39</f>
        <v>2.60507253018326</v>
      </c>
      <c r="L39" s="0" t="n">
        <v>1.5</v>
      </c>
      <c r="M39" s="0" t="str">
        <f aca="false">IF(ABS(K39)&gt;L39,"Yes","No")</f>
        <v>Yes</v>
      </c>
      <c r="N39" s="30" t="s">
        <v>370</v>
      </c>
      <c r="O39" s="0" t="n">
        <v>165</v>
      </c>
      <c r="P39" s="0" t="n">
        <v>21895.85</v>
      </c>
      <c r="Q39" s="0" t="n">
        <v>239.89</v>
      </c>
      <c r="R39" s="30" t="s">
        <v>371</v>
      </c>
      <c r="S39" s="0" t="n">
        <v>184</v>
      </c>
      <c r="T39" s="0" t="n">
        <v>21351</v>
      </c>
      <c r="U39" s="0" t="n">
        <v>236.7</v>
      </c>
      <c r="V39" s="30" t="s">
        <v>353</v>
      </c>
      <c r="W39" s="56" t="n">
        <f aca="false">B39*((LN(T39)-LN(P39))-(LN(U39)-LN(Q39)))</f>
        <v>0.0118115757414614</v>
      </c>
      <c r="X39" s="56" t="n">
        <f aca="false">IF(INDEX(Panel!$A$5:$A$815,O39+1)&lt;=DATE(2024,9,30),0.000625,IF(INDEX(Panel!$A$5:$A$815,O39+1)&lt;=DATE(2026,3,31),0.001,0.0015))*(0.3989*Inputs!$B$28*SQRT(MAX(INDEX(Panel!$G$5:$G$815,O39+1),0)/365))+2*Inputs!$B$29+Inputs!$B$19+0.00003*(0.3989*Inputs!$B$28*SQRT(MAX(INDEX(Panel!$G$5:$G$815,O39+1),0)/365))+IF(B39&lt;0,(Inputs!$B$20+Inputs!$B$22+Inputs!$B$23),(Inputs!$B$21+Inputs!$B$22+Inputs!$B$23))</f>
        <v>0.00046494875696676</v>
      </c>
      <c r="Y39" s="56" t="n">
        <f aca="false">IF(V39="expiry",IF(INDEX(Panel!$A$5:$A$815,S39+1)&lt;=DATE(2026,3,31),0.00125,0.0015)*IF(B39&lt;0,MAX(P39-T39,0),MAX(T39-P39,0))/T39,IF(INDEX(Panel!$A$5:$A$815,S39+1)&lt;=DATE(2024,9,30),0.000625,IF(INDEX(Panel!$A$5:$A$815,S39+1)&lt;=DATE(2026,3,31),0.001,0.0015))*(0.3989*Inputs!$B$28*SQRT(MAX(INDEX(Panel!$G$5:$G$815,S39+1),0)/365))+2*Inputs!$B$29+Inputs!$B$19)+IF(B39&lt;0,(Inputs!$B$21+Inputs!$B$22+Inputs!$B$23),(Inputs!$B$20+Inputs!$B$22+Inputs!$B$23))</f>
        <v>0.000241898388834247</v>
      </c>
      <c r="Z39" s="56" t="n">
        <f aca="false">-SUMPRODUCT((Panel!$F$5:$F$815&gt;=O39)*(Panel!$F$5:$F$815&lt;S39)*Panel!$N$5:$N$815*Panel!$BD$5:$BD$815)/365</f>
        <v>-0.00480821917808219</v>
      </c>
      <c r="AA39" s="56" t="n">
        <f aca="false">W39-X39-Y39+Z39</f>
        <v>0.00629650941757821</v>
      </c>
      <c r="AB39" s="57" t="n">
        <v>0.0062965094175782</v>
      </c>
      <c r="AC39" s="58" t="n">
        <f aca="false">AA39-AB39</f>
        <v>0</v>
      </c>
    </row>
    <row r="40" customFormat="false" ht="15" hidden="false" customHeight="false" outlineLevel="0" collapsed="false">
      <c r="A40" s="0" t="s">
        <v>438</v>
      </c>
      <c r="B40" s="0" t="n">
        <v>-1</v>
      </c>
      <c r="C40" s="0" t="s">
        <v>372</v>
      </c>
      <c r="D40" s="0" t="n">
        <v>185</v>
      </c>
      <c r="E40" s="29" t="n">
        <v>9.98509979707279</v>
      </c>
      <c r="F40" s="29" t="n">
        <v>5.47348841931315</v>
      </c>
      <c r="G40" s="53" t="n">
        <f aca="false">INDEX(Panel!$U$5:$U$815,D40+1)</f>
        <v>4.36259450276646</v>
      </c>
      <c r="H40" s="53" t="n">
        <f aca="false">INDEX(Panel!$T$5:$T$815,D40+1)</f>
        <v>1.02882516021374</v>
      </c>
      <c r="I40" s="54" t="n">
        <f aca="false">INDEX(Panel!$S$5:$S$815,D40+1)</f>
        <v>-7.66407072827763E-005</v>
      </c>
      <c r="J40" s="53" t="n">
        <f aca="false">INDEX(Panel!$V$5:$V$815,D40+1)</f>
        <v>0.0026490064748682</v>
      </c>
      <c r="K40" s="55" t="n">
        <f aca="false">(E40-G40-H40*F40-I40*D40)/J40</f>
        <v>2.04651263679328</v>
      </c>
      <c r="L40" s="0" t="n">
        <v>1.5</v>
      </c>
      <c r="M40" s="0" t="str">
        <f aca="false">IF(ABS(K40)&gt;L40,"Yes","No")</f>
        <v>Yes</v>
      </c>
      <c r="N40" s="30" t="s">
        <v>373</v>
      </c>
      <c r="O40" s="0" t="n">
        <v>185</v>
      </c>
      <c r="P40" s="0" t="n">
        <v>21692.6</v>
      </c>
      <c r="Q40" s="0" t="n">
        <v>238.39</v>
      </c>
      <c r="R40" s="30" t="s">
        <v>374</v>
      </c>
      <c r="S40" s="0" t="n">
        <v>208</v>
      </c>
      <c r="T40" s="0" t="n">
        <v>21985.7</v>
      </c>
      <c r="U40" s="0" t="n">
        <v>243.9</v>
      </c>
      <c r="V40" s="30" t="s">
        <v>353</v>
      </c>
      <c r="W40" s="56" t="n">
        <f aca="false">B40*((LN(T40)-LN(P40))-(LN(U40)-LN(Q40)))</f>
        <v>0.00942926376553821</v>
      </c>
      <c r="X40" s="56" t="n">
        <f aca="false">IF(INDEX(Panel!$A$5:$A$815,O40+1)&lt;=DATE(2024,9,30),0.000625,IF(INDEX(Panel!$A$5:$A$815,O40+1)&lt;=DATE(2026,3,31),0.001,0.0015))*(0.3989*Inputs!$B$28*SQRT(MAX(INDEX(Panel!$G$5:$G$815,O40+1),0)/365))+2*Inputs!$B$29+Inputs!$B$19+0.00003*(0.3989*Inputs!$B$28*SQRT(MAX(INDEX(Panel!$G$5:$G$815,O40+1),0)/365))+IF(B40&lt;0,(Inputs!$B$20+Inputs!$B$22+Inputs!$B$23),(Inputs!$B$21+Inputs!$B$22+Inputs!$B$23))</f>
        <v>0.000465660259743715</v>
      </c>
      <c r="Y40" s="56" t="n">
        <f aca="false">IF(V40="expiry",IF(INDEX(Panel!$A$5:$A$815,S40+1)&lt;=DATE(2026,3,31),0.00125,0.0015)*IF(B40&lt;0,MAX(P40-T40,0),MAX(T40-P40,0))/T40,IF(INDEX(Panel!$A$5:$A$815,S40+1)&lt;=DATE(2024,9,30),0.000625,IF(INDEX(Panel!$A$5:$A$815,S40+1)&lt;=DATE(2026,3,31),0.001,0.0015))*(0.3989*Inputs!$B$28*SQRT(MAX(INDEX(Panel!$G$5:$G$815,S40+1),0)/365))+2*Inputs!$B$29+Inputs!$B$19)+IF(B40&lt;0,(Inputs!$B$21+Inputs!$B$22+Inputs!$B$23),(Inputs!$B$20+Inputs!$B$22+Inputs!$B$23))</f>
        <v>0.00021</v>
      </c>
      <c r="Z40" s="56" t="n">
        <f aca="false">-SUMPRODUCT((Panel!$F$5:$F$815&gt;=O40)*(Panel!$F$5:$F$815&lt;S40)*Panel!$N$5:$N$815*Panel!$BD$5:$BD$815)/365</f>
        <v>-0.00552054794520548</v>
      </c>
      <c r="AA40" s="56" t="n">
        <f aca="false">W40-X40-Y40+Z40</f>
        <v>0.00323305556058902</v>
      </c>
      <c r="AB40" s="57" t="n">
        <v>0.003233055560589</v>
      </c>
      <c r="AC40" s="58" t="n">
        <f aca="false">AA40-AB40</f>
        <v>1.56125112837913E-017</v>
      </c>
    </row>
    <row r="41" customFormat="false" ht="15" hidden="false" customHeight="false" outlineLevel="0" collapsed="false">
      <c r="A41" s="0" t="s">
        <v>438</v>
      </c>
      <c r="B41" s="0" t="n">
        <v>-1</v>
      </c>
      <c r="C41" s="0" t="s">
        <v>440</v>
      </c>
      <c r="D41" s="0" t="n">
        <v>209</v>
      </c>
      <c r="E41" s="29" t="n">
        <v>10.0099062581135</v>
      </c>
      <c r="F41" s="29" t="n">
        <v>5.49950156650782</v>
      </c>
      <c r="G41" s="53" t="n">
        <f aca="false">INDEX(Panel!$U$5:$U$815,D41+1)</f>
        <v>4.35399231260958</v>
      </c>
      <c r="H41" s="53" t="n">
        <f aca="false">INDEX(Panel!$T$5:$T$815,D41+1)</f>
        <v>1.03043287222494</v>
      </c>
      <c r="I41" s="54" t="n">
        <f aca="false">INDEX(Panel!$S$5:$S$815,D41+1)</f>
        <v>-7.65181337309266E-005</v>
      </c>
      <c r="J41" s="53" t="n">
        <f aca="false">INDEX(Panel!$V$5:$V$815,D41+1)</f>
        <v>0.00261739718352043</v>
      </c>
      <c r="K41" s="55" t="n">
        <f aca="false">(E41-G41-H41*F41-I41*D41)/J41</f>
        <v>1.92521047366363</v>
      </c>
      <c r="L41" s="0" t="n">
        <v>1.5</v>
      </c>
      <c r="M41" s="0" t="str">
        <f aca="false">IF(ABS(K41)&gt;L41,"Yes","No")</f>
        <v>Yes</v>
      </c>
      <c r="N41" s="30" t="s">
        <v>441</v>
      </c>
      <c r="O41" s="0" t="n">
        <v>209</v>
      </c>
      <c r="P41" s="0" t="n">
        <v>22275.15</v>
      </c>
      <c r="Q41" s="0" t="n">
        <v>244.98</v>
      </c>
      <c r="R41" s="30" t="s">
        <v>377</v>
      </c>
      <c r="S41" s="0" t="n">
        <v>227</v>
      </c>
      <c r="T41" s="0" t="n">
        <v>22328.5</v>
      </c>
      <c r="U41" s="0" t="n">
        <v>247.1</v>
      </c>
      <c r="V41" s="30" t="s">
        <v>353</v>
      </c>
      <c r="W41" s="56" t="n">
        <f aca="false">B41*((LN(T41)-LN(P41))-(LN(U41)-LN(Q41)))</f>
        <v>0.00622435638528351</v>
      </c>
      <c r="X41" s="56" t="n">
        <f aca="false">IF(INDEX(Panel!$A$5:$A$815,O41+1)&lt;=DATE(2024,9,30),0.000625,IF(INDEX(Panel!$A$5:$A$815,O41+1)&lt;=DATE(2026,3,31),0.001,0.0015))*(0.3989*Inputs!$B$28*SQRT(MAX(INDEX(Panel!$G$5:$G$815,O41+1),0)/365))+2*Inputs!$B$29+Inputs!$B$19+0.00003*(0.3989*Inputs!$B$28*SQRT(MAX(INDEX(Panel!$G$5:$G$815,O41+1),0)/365))+IF(B41&lt;0,(Inputs!$B$20+Inputs!$B$22+Inputs!$B$23),(Inputs!$B$21+Inputs!$B$22+Inputs!$B$23))</f>
        <v>0.00046494875696676</v>
      </c>
      <c r="Y41" s="56" t="n">
        <f aca="false">IF(V41="expiry",IF(INDEX(Panel!$A$5:$A$815,S41+1)&lt;=DATE(2026,3,31),0.00125,0.0015)*IF(B41&lt;0,MAX(P41-T41,0),MAX(T41-P41,0))/T41,IF(INDEX(Panel!$A$5:$A$815,S41+1)&lt;=DATE(2024,9,30),0.000625,IF(INDEX(Panel!$A$5:$A$815,S41+1)&lt;=DATE(2026,3,31),0.001,0.0015))*(0.3989*Inputs!$B$28*SQRT(MAX(INDEX(Panel!$G$5:$G$815,S41+1),0)/365))+2*Inputs!$B$29+Inputs!$B$19)+IF(B41&lt;0,(Inputs!$B$21+Inputs!$B$22+Inputs!$B$23),(Inputs!$B$20+Inputs!$B$22+Inputs!$B$23))</f>
        <v>0.00021</v>
      </c>
      <c r="Z41" s="56" t="n">
        <f aca="false">-SUMPRODUCT((Panel!$F$5:$F$815&gt;=O41)*(Panel!$F$5:$F$815&lt;S41)*Panel!$N$5:$N$815*Panel!$BD$5:$BD$815)/365</f>
        <v>-0.00480821917808219</v>
      </c>
      <c r="AA41" s="56" t="n">
        <f aca="false">W41-X41-Y41+Z41</f>
        <v>0.000741188450234562</v>
      </c>
      <c r="AB41" s="57" t="n">
        <v>0.0007411884502345</v>
      </c>
      <c r="AC41" s="58" t="n">
        <f aca="false">AA41-AB41</f>
        <v>6.16911036144252E-017</v>
      </c>
    </row>
    <row r="42" customFormat="false" ht="15" hidden="false" customHeight="false" outlineLevel="0" collapsed="false">
      <c r="A42" s="0" t="s">
        <v>438</v>
      </c>
      <c r="B42" s="0" t="n">
        <v>-1</v>
      </c>
      <c r="C42" s="0" t="s">
        <v>442</v>
      </c>
      <c r="D42" s="0" t="n">
        <v>228</v>
      </c>
      <c r="E42" s="29" t="n">
        <v>10.0257781914449</v>
      </c>
      <c r="F42" s="29" t="n">
        <v>5.51576472531737</v>
      </c>
      <c r="G42" s="53" t="n">
        <f aca="false">INDEX(Panel!$U$5:$U$815,D42+1)</f>
        <v>4.34318781341509</v>
      </c>
      <c r="H42" s="53" t="n">
        <f aca="false">INDEX(Panel!$T$5:$T$815,D42+1)</f>
        <v>1.03240511382569</v>
      </c>
      <c r="I42" s="54" t="n">
        <f aca="false">INDEX(Panel!$S$5:$S$815,D42+1)</f>
        <v>-7.33052926297535E-005</v>
      </c>
      <c r="J42" s="53" t="n">
        <f aca="false">INDEX(Panel!$V$5:$V$815,D42+1)</f>
        <v>0.0026109863426601</v>
      </c>
      <c r="K42" s="55" t="n">
        <f aca="false">(E42-G42-H42*F42-I42*D42)/J42</f>
        <v>1.83849129885722</v>
      </c>
      <c r="L42" s="0" t="n">
        <v>1.5</v>
      </c>
      <c r="M42" s="0" t="str">
        <f aca="false">IF(ABS(K42)&gt;L42,"Yes","No")</f>
        <v>Yes</v>
      </c>
      <c r="N42" s="30" t="s">
        <v>443</v>
      </c>
      <c r="O42" s="0" t="n">
        <v>228</v>
      </c>
      <c r="P42" s="0" t="n">
        <v>22603.15</v>
      </c>
      <c r="Q42" s="0" t="n">
        <v>248.7</v>
      </c>
      <c r="R42" s="30" t="s">
        <v>380</v>
      </c>
      <c r="S42" s="0" t="n">
        <v>244</v>
      </c>
      <c r="T42" s="0" t="n">
        <v>22574.7</v>
      </c>
      <c r="U42" s="0" t="n">
        <v>249.38</v>
      </c>
      <c r="V42" s="30" t="s">
        <v>353</v>
      </c>
      <c r="W42" s="56" t="n">
        <f aca="false">B42*((LN(T42)-LN(P42))-(LN(U42)-LN(Q42)))</f>
        <v>0.00398995367752697</v>
      </c>
      <c r="X42" s="56" t="n">
        <f aca="false">IF(INDEX(Panel!$A$5:$A$815,O42+1)&lt;=DATE(2024,9,30),0.000625,IF(INDEX(Panel!$A$5:$A$815,O42+1)&lt;=DATE(2026,3,31),0.001,0.0015))*(0.3989*Inputs!$B$28*SQRT(MAX(INDEX(Panel!$G$5:$G$815,O42+1),0)/365))+2*Inputs!$B$29+Inputs!$B$19+0.00003*(0.3989*Inputs!$B$28*SQRT(MAX(INDEX(Panel!$G$5:$G$815,O42+1),0)/365))+IF(B42&lt;0,(Inputs!$B$20+Inputs!$B$22+Inputs!$B$23),(Inputs!$B$21+Inputs!$B$22+Inputs!$B$23))</f>
        <v>0.000464379778020764</v>
      </c>
      <c r="Y42" s="56" t="n">
        <f aca="false">IF(V42="expiry",IF(INDEX(Panel!$A$5:$A$815,S42+1)&lt;=DATE(2026,3,31),0.00125,0.0015)*IF(B42&lt;0,MAX(P42-T42,0),MAX(T42-P42,0))/T42,IF(INDEX(Panel!$A$5:$A$815,S42+1)&lt;=DATE(2024,9,30),0.000625,IF(INDEX(Panel!$A$5:$A$815,S42+1)&lt;=DATE(2026,3,31),0.001,0.0015))*(0.3989*Inputs!$B$28*SQRT(MAX(INDEX(Panel!$G$5:$G$815,S42+1),0)/365))+2*Inputs!$B$29+Inputs!$B$19)+IF(B42&lt;0,(Inputs!$B$21+Inputs!$B$22+Inputs!$B$23),(Inputs!$B$20+Inputs!$B$22+Inputs!$B$23))</f>
        <v>0.000211575325474979</v>
      </c>
      <c r="Z42" s="56" t="n">
        <f aca="false">-SUMPRODUCT((Panel!$F$5:$F$815&gt;=O42)*(Panel!$F$5:$F$815&lt;S42)*Panel!$N$5:$N$815*Panel!$BD$5:$BD$815)/365</f>
        <v>-0.00427397260273973</v>
      </c>
      <c r="AA42" s="56" t="n">
        <f aca="false">W42-X42-Y42+Z42</f>
        <v>-0.0009599740287085</v>
      </c>
      <c r="AB42" s="57" t="n">
        <v>-0.0009599740287084</v>
      </c>
      <c r="AC42" s="58" t="n">
        <f aca="false">AA42-AB42</f>
        <v>-9.97465998686664E-017</v>
      </c>
    </row>
    <row r="43" customFormat="false" ht="15" hidden="false" customHeight="false" outlineLevel="0" collapsed="false">
      <c r="A43" s="0" t="s">
        <v>438</v>
      </c>
      <c r="B43" s="0" t="n">
        <v>-1</v>
      </c>
      <c r="C43" s="0" t="s">
        <v>444</v>
      </c>
      <c r="D43" s="0" t="n">
        <v>245</v>
      </c>
      <c r="E43" s="29" t="n">
        <v>10.0296950029524</v>
      </c>
      <c r="F43" s="29" t="n">
        <v>5.52034029019354</v>
      </c>
      <c r="G43" s="53" t="n">
        <f aca="false">INDEX(Panel!$U$5:$U$815,D43+1)</f>
        <v>4.33182737513808</v>
      </c>
      <c r="H43" s="53" t="n">
        <f aca="false">INDEX(Panel!$T$5:$T$815,D43+1)</f>
        <v>1.03453131975023</v>
      </c>
      <c r="I43" s="54" t="n">
        <f aca="false">INDEX(Panel!$S$5:$S$815,D43+1)</f>
        <v>-7.39345501436765E-005</v>
      </c>
      <c r="J43" s="53" t="n">
        <f aca="false">INDEX(Panel!$V$5:$V$815,D43+1)</f>
        <v>0.00258062147396052</v>
      </c>
      <c r="K43" s="55" t="n">
        <f aca="false">(E43-G43-H43*F43-I43*D43)/J43</f>
        <v>1.94397619561042</v>
      </c>
      <c r="L43" s="0" t="n">
        <v>1.5</v>
      </c>
      <c r="M43" s="0" t="str">
        <f aca="false">IF(ABS(K43)&gt;L43,"Yes","No")</f>
        <v>Yes</v>
      </c>
      <c r="N43" s="30" t="s">
        <v>445</v>
      </c>
      <c r="O43" s="0" t="n">
        <v>245</v>
      </c>
      <c r="P43" s="0" t="n">
        <v>22689</v>
      </c>
      <c r="Q43" s="0" t="n">
        <v>249.77</v>
      </c>
      <c r="R43" s="30" t="s">
        <v>383</v>
      </c>
      <c r="S43" s="0" t="n">
        <v>268</v>
      </c>
      <c r="T43" s="0" t="n">
        <v>22487.75</v>
      </c>
      <c r="U43" s="0" t="n">
        <v>251</v>
      </c>
      <c r="V43" s="30" t="s">
        <v>353</v>
      </c>
      <c r="W43" s="56" t="n">
        <f aca="false">B43*((LN(T43)-LN(P43))-(LN(U43)-LN(Q43)))</f>
        <v>0.0138219537690434</v>
      </c>
      <c r="X43" s="56" t="n">
        <f aca="false">IF(INDEX(Panel!$A$5:$A$815,O43+1)&lt;=DATE(2024,9,30),0.000625,IF(INDEX(Panel!$A$5:$A$815,O43+1)&lt;=DATE(2026,3,31),0.001,0.0015))*(0.3989*Inputs!$B$28*SQRT(MAX(INDEX(Panel!$G$5:$G$815,O43+1),0)/365))+2*Inputs!$B$29+Inputs!$B$19+0.00003*(0.3989*Inputs!$B$28*SQRT(MAX(INDEX(Panel!$G$5:$G$815,O43+1),0)/365))+IF(B43&lt;0,(Inputs!$B$20+Inputs!$B$22+Inputs!$B$23),(Inputs!$B$21+Inputs!$B$22+Inputs!$B$23))</f>
        <v>0.000466164168901818</v>
      </c>
      <c r="Y43" s="56" t="n">
        <f aca="false">IF(V43="expiry",IF(INDEX(Panel!$A$5:$A$815,S43+1)&lt;=DATE(2026,3,31),0.00125,0.0015)*IF(B43&lt;0,MAX(P43-T43,0),MAX(T43-P43,0))/T43,IF(INDEX(Panel!$A$5:$A$815,S43+1)&lt;=DATE(2024,9,30),0.000625,IF(INDEX(Panel!$A$5:$A$815,S43+1)&lt;=DATE(2026,3,31),0.001,0.0015))*(0.3989*Inputs!$B$28*SQRT(MAX(INDEX(Panel!$G$5:$G$815,S43+1),0)/365))+2*Inputs!$B$29+Inputs!$B$19)+IF(B43&lt;0,(Inputs!$B$21+Inputs!$B$22+Inputs!$B$23),(Inputs!$B$20+Inputs!$B$22+Inputs!$B$23))</f>
        <v>0.000221186646062856</v>
      </c>
      <c r="Z43" s="56" t="n">
        <f aca="false">-SUMPRODUCT((Panel!$F$5:$F$815&gt;=O43)*(Panel!$F$5:$F$815&lt;S43)*Panel!$N$5:$N$815*Panel!$BD$5:$BD$815)/365</f>
        <v>-0.00605479452054795</v>
      </c>
      <c r="AA43" s="56" t="n">
        <f aca="false">W43-X43-Y43+Z43</f>
        <v>0.00707980843353076</v>
      </c>
      <c r="AB43" s="57" t="n">
        <v>0.0070798084335307</v>
      </c>
      <c r="AC43" s="58" t="n">
        <f aca="false">AA43-AB43</f>
        <v>6.33174068731535E-017</v>
      </c>
    </row>
    <row r="44" customFormat="false" ht="15" hidden="false" customHeight="false" outlineLevel="0" collapsed="false">
      <c r="A44" s="0" t="s">
        <v>438</v>
      </c>
      <c r="B44" s="0" t="n">
        <v>-1</v>
      </c>
      <c r="C44" s="0" t="s">
        <v>446</v>
      </c>
      <c r="D44" s="0" t="n">
        <v>270</v>
      </c>
      <c r="E44" s="29" t="n">
        <v>10.0626257738744</v>
      </c>
      <c r="F44" s="29" t="n">
        <v>5.5541217001018</v>
      </c>
      <c r="G44" s="53" t="n">
        <f aca="false">INDEX(Panel!$U$5:$U$815,D44+1)</f>
        <v>4.32888252034225</v>
      </c>
      <c r="H44" s="53" t="n">
        <f aca="false">INDEX(Panel!$T$5:$T$815,D44+1)</f>
        <v>1.03488245543344</v>
      </c>
      <c r="I44" s="54" t="n">
        <f aca="false">INDEX(Panel!$S$5:$S$815,D44+1)</f>
        <v>-6.69654287295886E-005</v>
      </c>
      <c r="J44" s="53" t="n">
        <f aca="false">INDEX(Panel!$V$5:$V$815,D44+1)</f>
        <v>0.00255565080469849</v>
      </c>
      <c r="K44" s="55" t="n">
        <f aca="false">(E44-G44-H44*F44-I44*D44)/J44</f>
        <v>1.54982695772405</v>
      </c>
      <c r="L44" s="0" t="n">
        <v>1.5</v>
      </c>
      <c r="M44" s="0" t="str">
        <f aca="false">IF(ABS(K44)&gt;L44,"Yes","No")</f>
        <v>Yes</v>
      </c>
      <c r="N44" s="30" t="s">
        <v>447</v>
      </c>
      <c r="O44" s="0" t="n">
        <v>271</v>
      </c>
      <c r="P44" s="0" t="n">
        <v>22607.5</v>
      </c>
      <c r="Q44" s="0" t="n">
        <v>250.27</v>
      </c>
      <c r="R44" s="30" t="s">
        <v>386</v>
      </c>
      <c r="S44" s="0" t="n">
        <v>287</v>
      </c>
      <c r="T44" s="0" t="n">
        <v>24047.1</v>
      </c>
      <c r="U44" s="0" t="n">
        <v>266.95</v>
      </c>
      <c r="V44" s="30" t="s">
        <v>353</v>
      </c>
      <c r="W44" s="56" t="n">
        <f aca="false">B44*((LN(T44)-LN(P44))-(LN(U44)-LN(Q44)))</f>
        <v>0.00278834233630221</v>
      </c>
      <c r="X44" s="56" t="n">
        <f aca="false">IF(INDEX(Panel!$A$5:$A$815,O44+1)&lt;=DATE(2024,9,30),0.000625,IF(INDEX(Panel!$A$5:$A$815,O44+1)&lt;=DATE(2026,3,31),0.001,0.0015))*(0.3989*Inputs!$B$28*SQRT(MAX(INDEX(Panel!$G$5:$G$815,O44+1),0)/365))+2*Inputs!$B$29+Inputs!$B$19+0.00003*(0.3989*Inputs!$B$28*SQRT(MAX(INDEX(Panel!$G$5:$G$815,O44+1),0)/365))+IF(B44&lt;0,(Inputs!$B$20+Inputs!$B$22+Inputs!$B$23),(Inputs!$B$21+Inputs!$B$22+Inputs!$B$23))</f>
        <v>0.000464182286891829</v>
      </c>
      <c r="Y44" s="56" t="n">
        <f aca="false">IF(V44="expiry",IF(INDEX(Panel!$A$5:$A$815,S44+1)&lt;=DATE(2026,3,31),0.00125,0.0015)*IF(B44&lt;0,MAX(P44-T44,0),MAX(T44-P44,0))/T44,IF(INDEX(Panel!$A$5:$A$815,S44+1)&lt;=DATE(2024,9,30),0.000625,IF(INDEX(Panel!$A$5:$A$815,S44+1)&lt;=DATE(2026,3,31),0.001,0.0015))*(0.3989*Inputs!$B$28*SQRT(MAX(INDEX(Panel!$G$5:$G$815,S44+1),0)/365))+2*Inputs!$B$29+Inputs!$B$19)+IF(B44&lt;0,(Inputs!$B$21+Inputs!$B$22+Inputs!$B$23),(Inputs!$B$20+Inputs!$B$22+Inputs!$B$23))</f>
        <v>0.00021</v>
      </c>
      <c r="Z44" s="56" t="n">
        <f aca="false">-SUMPRODUCT((Panel!$F$5:$F$815&gt;=O44)*(Panel!$F$5:$F$815&lt;S44)*Panel!$N$5:$N$815*Panel!$BD$5:$BD$815)/365</f>
        <v>-0.0040958904109589</v>
      </c>
      <c r="AA44" s="56" t="n">
        <f aca="false">W44-X44-Y44+Z44</f>
        <v>-0.00198173036154853</v>
      </c>
      <c r="AB44" s="57" t="n">
        <v>-0.0019817303615485</v>
      </c>
      <c r="AC44" s="58" t="n">
        <f aca="false">AA44-AB44</f>
        <v>-2.64545330086463E-017</v>
      </c>
    </row>
    <row r="45" customFormat="false" ht="15" hidden="false" customHeight="false" outlineLevel="0" collapsed="false">
      <c r="A45" s="0" t="s">
        <v>438</v>
      </c>
      <c r="B45" s="0" t="n">
        <v>-1</v>
      </c>
      <c r="C45" s="0" t="s">
        <v>448</v>
      </c>
      <c r="D45" s="0" t="n">
        <v>354</v>
      </c>
      <c r="E45" s="29" t="n">
        <v>10.1459237972308</v>
      </c>
      <c r="F45" s="29" t="n">
        <v>5.6436785505865</v>
      </c>
      <c r="G45" s="53" t="n">
        <f aca="false">INDEX(Panel!$U$5:$U$815,D45+1)</f>
        <v>4.32733114645438</v>
      </c>
      <c r="H45" s="53" t="n">
        <f aca="false">INDEX(Panel!$T$5:$T$815,D45+1)</f>
        <v>1.0360568958661</v>
      </c>
      <c r="I45" s="54" t="n">
        <f aca="false">INDEX(Panel!$S$5:$S$815,D45+1)</f>
        <v>-9.58264396019138E-005</v>
      </c>
      <c r="J45" s="53" t="n">
        <f aca="false">INDEX(Panel!$V$5:$V$815,D45+1)</f>
        <v>0.00347445913382392</v>
      </c>
      <c r="K45" s="55" t="n">
        <f aca="false">(E45-G45-H45*F45-I45*D45)/J45</f>
        <v>1.53783072499121</v>
      </c>
      <c r="L45" s="0" t="n">
        <v>1.5</v>
      </c>
      <c r="M45" s="0" t="str">
        <f aca="false">IF(ABS(K45)&gt;L45,"Yes","No")</f>
        <v>Yes</v>
      </c>
      <c r="N45" s="30" t="s">
        <v>449</v>
      </c>
      <c r="O45" s="0" t="n">
        <v>354</v>
      </c>
      <c r="P45" s="0" t="n">
        <v>25460.95</v>
      </c>
      <c r="Q45" s="0" t="n">
        <v>282.6</v>
      </c>
      <c r="R45" s="30" t="s">
        <v>450</v>
      </c>
      <c r="S45" s="0" t="n">
        <v>374</v>
      </c>
      <c r="T45" s="0" t="n">
        <v>24203.95</v>
      </c>
      <c r="U45" s="0" t="n">
        <v>270.9</v>
      </c>
      <c r="V45" s="30" t="s">
        <v>353</v>
      </c>
      <c r="W45" s="56" t="n">
        <f aca="false">B45*((LN(T45)-LN(P45))-(LN(U45)-LN(Q45)))</f>
        <v>0.00834734172289942</v>
      </c>
      <c r="X45" s="56" t="n">
        <f aca="false">IF(INDEX(Panel!$A$5:$A$815,O45+1)&lt;=DATE(2024,9,30),0.000625,IF(INDEX(Panel!$A$5:$A$815,O45+1)&lt;=DATE(2026,3,31),0.001,0.0015))*(0.3989*Inputs!$B$28*SQRT(MAX(INDEX(Panel!$G$5:$G$815,O45+1),0)/365))+2*Inputs!$B$29+Inputs!$B$19+0.00003*(0.3989*Inputs!$B$28*SQRT(MAX(INDEX(Panel!$G$5:$G$815,O45+1),0)/365))+IF(B45&lt;0,(Inputs!$B$20+Inputs!$B$22+Inputs!$B$23),(Inputs!$B$21+Inputs!$B$22+Inputs!$B$23))</f>
        <v>0.000470931691205098</v>
      </c>
      <c r="Y45" s="56" t="n">
        <f aca="false">IF(V45="expiry",IF(INDEX(Panel!$A$5:$A$815,S45+1)&lt;=DATE(2026,3,31),0.00125,0.0015)*IF(B45&lt;0,MAX(P45-T45,0),MAX(T45-P45,0))/T45,IF(INDEX(Panel!$A$5:$A$815,S45+1)&lt;=DATE(2024,9,30),0.000625,IF(INDEX(Panel!$A$5:$A$815,S45+1)&lt;=DATE(2026,3,31),0.001,0.0015))*(0.3989*Inputs!$B$28*SQRT(MAX(INDEX(Panel!$G$5:$G$815,S45+1),0)/365))+2*Inputs!$B$29+Inputs!$B$19)+IF(B45&lt;0,(Inputs!$B$21+Inputs!$B$22+Inputs!$B$23),(Inputs!$B$20+Inputs!$B$22+Inputs!$B$23))</f>
        <v>0.000274917089979115</v>
      </c>
      <c r="Z45" s="56" t="n">
        <f aca="false">-SUMPRODUCT((Panel!$F$5:$F$815&gt;=O45)*(Panel!$F$5:$F$815&lt;S45)*Panel!$N$5:$N$815*Panel!$BD$5:$BD$815)/365</f>
        <v>-0.00498630136986301</v>
      </c>
      <c r="AA45" s="56" t="n">
        <f aca="false">W45-X45-Y45+Z45</f>
        <v>0.00261519157185219</v>
      </c>
      <c r="AB45" s="57" t="n">
        <v>0.0026151915718521</v>
      </c>
      <c r="AC45" s="58" t="n">
        <f aca="false">AA45-AB45</f>
        <v>8.89045781438114E-017</v>
      </c>
    </row>
    <row r="46" customFormat="false" ht="15" hidden="false" customHeight="false" outlineLevel="0" collapsed="false">
      <c r="A46" s="0" t="s">
        <v>438</v>
      </c>
      <c r="B46" s="0" t="n">
        <v>-1</v>
      </c>
      <c r="C46" s="0" t="s">
        <v>451</v>
      </c>
      <c r="D46" s="0" t="n">
        <v>376</v>
      </c>
      <c r="E46" s="29" t="n">
        <v>10.0914597808389</v>
      </c>
      <c r="F46" s="29" t="n">
        <v>5.59247840509753</v>
      </c>
      <c r="G46" s="53" t="n">
        <f aca="false">INDEX(Panel!$U$5:$U$815,D46+1)</f>
        <v>4.42298090663118</v>
      </c>
      <c r="H46" s="53" t="n">
        <f aca="false">INDEX(Panel!$T$5:$T$815,D46+1)</f>
        <v>1.01825096238505</v>
      </c>
      <c r="I46" s="54" t="n">
        <f aca="false">INDEX(Panel!$S$5:$S$815,D46+1)</f>
        <v>-8.24630189255128E-005</v>
      </c>
      <c r="J46" s="53" t="n">
        <f aca="false">INDEX(Panel!$V$5:$V$815,D46+1)</f>
        <v>0.00323731869899829</v>
      </c>
      <c r="K46" s="55" t="n">
        <f aca="false">(E46-G46-H46*F46-I46*D46)/J46</f>
        <v>1.52547576395604</v>
      </c>
      <c r="L46" s="0" t="n">
        <v>1.5</v>
      </c>
      <c r="M46" s="0" t="str">
        <f aca="false">IF(ABS(K46)&gt;L46,"Yes","No")</f>
        <v>Yes</v>
      </c>
      <c r="N46" s="30" t="s">
        <v>452</v>
      </c>
      <c r="O46" s="0" t="n">
        <v>376</v>
      </c>
      <c r="P46" s="0" t="n">
        <v>24102.7</v>
      </c>
      <c r="Q46" s="0" t="n">
        <v>268.23</v>
      </c>
      <c r="R46" s="30" t="s">
        <v>453</v>
      </c>
      <c r="S46" s="0" t="n">
        <v>391</v>
      </c>
      <c r="T46" s="0" t="n">
        <v>23912.55</v>
      </c>
      <c r="U46" s="0" t="n">
        <v>268.4</v>
      </c>
      <c r="V46" s="30" t="s">
        <v>353</v>
      </c>
      <c r="W46" s="56" t="n">
        <f aca="false">B46*((LN(T46)-LN(P46))-(LN(U46)-LN(Q46)))</f>
        <v>0.00855402537777206</v>
      </c>
      <c r="X46" s="56" t="n">
        <f aca="false">IF(INDEX(Panel!$A$5:$A$815,O46+1)&lt;=DATE(2024,9,30),0.000625,IF(INDEX(Panel!$A$5:$A$815,O46+1)&lt;=DATE(2026,3,31),0.001,0.0015))*(0.3989*Inputs!$B$28*SQRT(MAX(INDEX(Panel!$G$5:$G$815,O46+1),0)/365))+2*Inputs!$B$29+Inputs!$B$19+0.00003*(0.3989*Inputs!$B$28*SQRT(MAX(INDEX(Panel!$G$5:$G$815,O46+1),0)/365))+IF(B46&lt;0,(Inputs!$B$20+Inputs!$B$22+Inputs!$B$23),(Inputs!$B$21+Inputs!$B$22+Inputs!$B$23))</f>
        <v>0.000469439321371884</v>
      </c>
      <c r="Y46" s="56" t="n">
        <f aca="false">IF(V46="expiry",IF(INDEX(Panel!$A$5:$A$815,S46+1)&lt;=DATE(2026,3,31),0.00125,0.0015)*IF(B46&lt;0,MAX(P46-T46,0),MAX(T46-P46,0))/T46,IF(INDEX(Panel!$A$5:$A$815,S46+1)&lt;=DATE(2024,9,30),0.000625,IF(INDEX(Panel!$A$5:$A$815,S46+1)&lt;=DATE(2026,3,31),0.001,0.0015))*(0.3989*Inputs!$B$28*SQRT(MAX(INDEX(Panel!$G$5:$G$815,S46+1),0)/365))+2*Inputs!$B$29+Inputs!$B$19)+IF(B46&lt;0,(Inputs!$B$21+Inputs!$B$22+Inputs!$B$23),(Inputs!$B$20+Inputs!$B$22+Inputs!$B$23))</f>
        <v>0.000219939864213562</v>
      </c>
      <c r="Z46" s="56" t="n">
        <f aca="false">-SUMPRODUCT((Panel!$F$5:$F$815&gt;=O46)*(Panel!$F$5:$F$815&lt;S46)*Panel!$N$5:$N$815*Panel!$BD$5:$BD$815)/365</f>
        <v>-0.0040958904109589</v>
      </c>
      <c r="AA46" s="56" t="n">
        <f aca="false">W46-X46-Y46+Z46</f>
        <v>0.00376875578122771</v>
      </c>
      <c r="AB46" s="57" t="n">
        <v>0.0037687557812277</v>
      </c>
      <c r="AC46" s="58" t="n">
        <f aca="false">AA46-AB46</f>
        <v>0</v>
      </c>
    </row>
    <row r="47" customFormat="false" ht="15" hidden="false" customHeight="false" outlineLevel="0" collapsed="false">
      <c r="A47" s="0" t="s">
        <v>438</v>
      </c>
      <c r="B47" s="0" t="n">
        <v>-1</v>
      </c>
      <c r="C47" s="0" t="s">
        <v>454</v>
      </c>
      <c r="D47" s="0" t="n">
        <v>392</v>
      </c>
      <c r="E47" s="29" t="n">
        <v>10.0936946036041</v>
      </c>
      <c r="F47" s="29" t="n">
        <v>5.59396760864899</v>
      </c>
      <c r="G47" s="53" t="n">
        <f aca="false">INDEX(Panel!$U$5:$U$815,D47+1)</f>
        <v>4.48480253868044</v>
      </c>
      <c r="H47" s="53" t="n">
        <f aca="false">INDEX(Panel!$T$5:$T$815,D47+1)</f>
        <v>1.00666852629566</v>
      </c>
      <c r="I47" s="54" t="n">
        <f aca="false">INDEX(Panel!$S$5:$S$815,D47+1)</f>
        <v>-7.27604686284141E-005</v>
      </c>
      <c r="J47" s="53" t="n">
        <f aca="false">INDEX(Panel!$V$5:$V$815,D47+1)</f>
        <v>0.0032379386496934</v>
      </c>
      <c r="K47" s="55" t="n">
        <f aca="false">(E47-G47-H47*F47-I47*D47)/J47</f>
        <v>1.89720700304676</v>
      </c>
      <c r="L47" s="0" t="n">
        <v>1.5</v>
      </c>
      <c r="M47" s="0" t="str">
        <f aca="false">IF(ABS(K47)&gt;L47,"Yes","No")</f>
        <v>Yes</v>
      </c>
      <c r="N47" s="30" t="s">
        <v>455</v>
      </c>
      <c r="O47" s="0" t="n">
        <v>392</v>
      </c>
      <c r="P47" s="0" t="n">
        <v>24160.25</v>
      </c>
      <c r="Q47" s="0" t="n">
        <v>268.64</v>
      </c>
      <c r="R47" s="30" t="s">
        <v>395</v>
      </c>
      <c r="S47" s="0" t="n">
        <v>410</v>
      </c>
      <c r="T47" s="0" t="n">
        <v>23748.75</v>
      </c>
      <c r="U47" s="0" t="n">
        <v>265.82</v>
      </c>
      <c r="V47" s="30" t="s">
        <v>353</v>
      </c>
      <c r="W47" s="56" t="n">
        <f aca="false">B47*((LN(T47)-LN(P47))-(LN(U47)-LN(Q47)))</f>
        <v>0.00662601784254058</v>
      </c>
      <c r="X47" s="56" t="n">
        <f aca="false">IF(INDEX(Panel!$A$5:$A$815,O47+1)&lt;=DATE(2024,9,30),0.000625,IF(INDEX(Panel!$A$5:$A$815,O47+1)&lt;=DATE(2026,3,31),0.001,0.0015))*(0.3989*Inputs!$B$28*SQRT(MAX(INDEX(Panel!$G$5:$G$815,O47+1),0)/365))+2*Inputs!$B$29+Inputs!$B$19+0.00003*(0.3989*Inputs!$B$28*SQRT(MAX(INDEX(Panel!$G$5:$G$815,O47+1),0)/365))+IF(B47&lt;0,(Inputs!$B$20+Inputs!$B$22+Inputs!$B$23),(Inputs!$B$21+Inputs!$B$22+Inputs!$B$23))</f>
        <v>0.000470644610192005</v>
      </c>
      <c r="Y47" s="56" t="n">
        <f aca="false">IF(V47="expiry",IF(INDEX(Panel!$A$5:$A$815,S47+1)&lt;=DATE(2026,3,31),0.00125,0.0015)*IF(B47&lt;0,MAX(P47-T47,0),MAX(T47-P47,0))/T47,IF(INDEX(Panel!$A$5:$A$815,S47+1)&lt;=DATE(2024,9,30),0.000625,IF(INDEX(Panel!$A$5:$A$815,S47+1)&lt;=DATE(2026,3,31),0.001,0.0015))*(0.3989*Inputs!$B$28*SQRT(MAX(INDEX(Panel!$G$5:$G$815,S47+1),0)/365))+2*Inputs!$B$29+Inputs!$B$19)+IF(B47&lt;0,(Inputs!$B$21+Inputs!$B$22+Inputs!$B$23),(Inputs!$B$20+Inputs!$B$22+Inputs!$B$23))</f>
        <v>0.000231659034686036</v>
      </c>
      <c r="Z47" s="56" t="n">
        <f aca="false">-SUMPRODUCT((Panel!$F$5:$F$815&gt;=O47)*(Panel!$F$5:$F$815&lt;S47)*Panel!$N$5:$N$815*Panel!$BD$5:$BD$815)/365</f>
        <v>-0.00480821917808219</v>
      </c>
      <c r="AA47" s="56" t="n">
        <f aca="false">W47-X47-Y47+Z47</f>
        <v>0.00111549501958034</v>
      </c>
      <c r="AB47" s="57" t="n">
        <v>0.0011154950195803</v>
      </c>
      <c r="AC47" s="58" t="n">
        <f aca="false">AA47-AB47</f>
        <v>4.44522890719057E-017</v>
      </c>
    </row>
    <row r="48" customFormat="false" ht="15" hidden="false" customHeight="false" outlineLevel="0" collapsed="false">
      <c r="A48" s="0" t="s">
        <v>438</v>
      </c>
      <c r="B48" s="0" t="n">
        <v>-1</v>
      </c>
      <c r="C48" s="0" t="s">
        <v>456</v>
      </c>
      <c r="D48" s="0" t="n">
        <v>411</v>
      </c>
      <c r="E48" s="29" t="n">
        <v>10.086102816194</v>
      </c>
      <c r="F48" s="29" t="n">
        <v>5.58574940774461</v>
      </c>
      <c r="G48" s="53" t="n">
        <f aca="false">INDEX(Panel!$U$5:$U$815,D48+1)</f>
        <v>4.54234121785232</v>
      </c>
      <c r="H48" s="53" t="n">
        <f aca="false">INDEX(Panel!$T$5:$T$815,D48+1)</f>
        <v>0.995625667491999</v>
      </c>
      <c r="I48" s="54" t="n">
        <f aca="false">INDEX(Panel!$S$5:$S$815,D48+1)</f>
        <v>-5.83377248405004E-005</v>
      </c>
      <c r="J48" s="53" t="n">
        <f aca="false">INDEX(Panel!$V$5:$V$815,D48+1)</f>
        <v>0.00336165580761289</v>
      </c>
      <c r="K48" s="55" t="n">
        <f aca="false">(E48-G48-H48*F48-I48*D48)/J48</f>
        <v>1.91064198417307</v>
      </c>
      <c r="L48" s="0" t="n">
        <v>1.5</v>
      </c>
      <c r="M48" s="0" t="str">
        <f aca="false">IF(ABS(K48)&gt;L48,"Yes","No")</f>
        <v>Yes</v>
      </c>
      <c r="N48" s="30" t="s">
        <v>396</v>
      </c>
      <c r="O48" s="0" t="n">
        <v>411</v>
      </c>
      <c r="P48" s="0" t="n">
        <v>24020</v>
      </c>
      <c r="Q48" s="0" t="n">
        <v>266.65</v>
      </c>
      <c r="R48" s="30" t="s">
        <v>398</v>
      </c>
      <c r="S48" s="0" t="n">
        <v>435</v>
      </c>
      <c r="T48" s="0" t="n">
        <v>23249</v>
      </c>
      <c r="U48" s="0" t="n">
        <v>260.7</v>
      </c>
      <c r="V48" s="30" t="s">
        <v>353</v>
      </c>
      <c r="W48" s="56" t="n">
        <f aca="false">B48*((LN(T48)-LN(P48))-(LN(U48)-LN(Q48)))</f>
        <v>0.0100580801889949</v>
      </c>
      <c r="X48" s="56" t="n">
        <f aca="false">IF(INDEX(Panel!$A$5:$A$815,O48+1)&lt;=DATE(2024,9,30),0.000625,IF(INDEX(Panel!$A$5:$A$815,O48+1)&lt;=DATE(2026,3,31),0.001,0.0015))*(0.3989*Inputs!$B$28*SQRT(MAX(INDEX(Panel!$G$5:$G$815,O48+1),0)/365))+2*Inputs!$B$29+Inputs!$B$19+0.00003*(0.3989*Inputs!$B$28*SQRT(MAX(INDEX(Panel!$G$5:$G$815,O48+1),0)/365))+IF(B48&lt;0,(Inputs!$B$20+Inputs!$B$22+Inputs!$B$23),(Inputs!$B$21+Inputs!$B$22+Inputs!$B$23))</f>
        <v>0.000472555868654767</v>
      </c>
      <c r="Y48" s="56" t="n">
        <f aca="false">IF(V48="expiry",IF(INDEX(Panel!$A$5:$A$815,S48+1)&lt;=DATE(2026,3,31),0.00125,0.0015)*IF(B48&lt;0,MAX(P48-T48,0),MAX(T48-P48,0))/T48,IF(INDEX(Panel!$A$5:$A$815,S48+1)&lt;=DATE(2024,9,30),0.000625,IF(INDEX(Panel!$A$5:$A$815,S48+1)&lt;=DATE(2026,3,31),0.001,0.0015))*(0.3989*Inputs!$B$28*SQRT(MAX(INDEX(Panel!$G$5:$G$815,S48+1),0)/365))+2*Inputs!$B$29+Inputs!$B$19)+IF(B48&lt;0,(Inputs!$B$21+Inputs!$B$22+Inputs!$B$23),(Inputs!$B$20+Inputs!$B$22+Inputs!$B$23))</f>
        <v>0.000251453395844983</v>
      </c>
      <c r="Z48" s="56" t="n">
        <f aca="false">-SUMPRODUCT((Panel!$F$5:$F$815&gt;=O48)*(Panel!$F$5:$F$815&lt;S48)*Panel!$N$5:$N$815*Panel!$BD$5:$BD$815)/365</f>
        <v>-0.00605479452054795</v>
      </c>
      <c r="AA48" s="56" t="n">
        <f aca="false">W48-X48-Y48+Z48</f>
        <v>0.00327927640394721</v>
      </c>
      <c r="AB48" s="57" t="n">
        <v>0.0032792764039472</v>
      </c>
      <c r="AC48" s="58" t="n">
        <f aca="false">AA48-AB48</f>
        <v>0</v>
      </c>
    </row>
    <row r="49" customFormat="false" ht="15" hidden="false" customHeight="false" outlineLevel="0" collapsed="false">
      <c r="A49" s="0" t="s">
        <v>438</v>
      </c>
      <c r="B49" s="0" t="n">
        <v>-1</v>
      </c>
      <c r="C49" s="0" t="s">
        <v>457</v>
      </c>
      <c r="D49" s="0" t="n">
        <v>436</v>
      </c>
      <c r="E49" s="29" t="n">
        <v>10.063753070007</v>
      </c>
      <c r="F49" s="29" t="n">
        <v>5.56471195985656</v>
      </c>
      <c r="G49" s="53" t="n">
        <f aca="false">INDEX(Panel!$U$5:$U$815,D49+1)</f>
        <v>4.59181594039402</v>
      </c>
      <c r="H49" s="53" t="n">
        <f aca="false">INDEX(Panel!$T$5:$T$815,D49+1)</f>
        <v>0.986398922287039</v>
      </c>
      <c r="I49" s="54" t="n">
        <f aca="false">INDEX(Panel!$S$5:$S$815,D49+1)</f>
        <v>-5.12090425187862E-005</v>
      </c>
      <c r="J49" s="53" t="n">
        <f aca="false">INDEX(Panel!$V$5:$V$815,D49+1)</f>
        <v>0.00337147642035042</v>
      </c>
      <c r="K49" s="55" t="n">
        <f aca="false">(E49-G49-H49*F49-I49*D49)/J49</f>
        <v>1.55373832048268</v>
      </c>
      <c r="L49" s="0" t="n">
        <v>1.5</v>
      </c>
      <c r="M49" s="0" t="str">
        <f aca="false">IF(ABS(K49)&gt;L49,"Yes","No")</f>
        <v>Yes</v>
      </c>
      <c r="N49" s="30" t="s">
        <v>458</v>
      </c>
      <c r="O49" s="0" t="n">
        <v>436</v>
      </c>
      <c r="P49" s="0" t="n">
        <v>23496.15</v>
      </c>
      <c r="Q49" s="0" t="n">
        <v>261.47</v>
      </c>
      <c r="R49" s="30" t="s">
        <v>459</v>
      </c>
      <c r="S49" s="0" t="n">
        <v>455</v>
      </c>
      <c r="T49" s="0" t="n">
        <v>22543.45</v>
      </c>
      <c r="U49" s="0" t="n">
        <v>252.58</v>
      </c>
      <c r="V49" s="30" t="s">
        <v>353</v>
      </c>
      <c r="W49" s="56" t="n">
        <f aca="false">B49*((LN(T49)-LN(P49))-(LN(U49)-LN(Q49)))</f>
        <v>0.00680049586541909</v>
      </c>
      <c r="X49" s="56" t="n">
        <f aca="false">IF(INDEX(Panel!$A$5:$A$815,O49+1)&lt;=DATE(2024,9,30),0.000625,IF(INDEX(Panel!$A$5:$A$815,O49+1)&lt;=DATE(2026,3,31),0.001,0.0015))*(0.3989*Inputs!$B$28*SQRT(MAX(INDEX(Panel!$G$5:$G$815,O49+1),0)/365))+2*Inputs!$B$29+Inputs!$B$19+0.00003*(0.3989*Inputs!$B$28*SQRT(MAX(INDEX(Panel!$G$5:$G$815,O49+1),0)/365))+IF(B49&lt;0,(Inputs!$B$20+Inputs!$B$22+Inputs!$B$23),(Inputs!$B$21+Inputs!$B$22+Inputs!$B$23))</f>
        <v>0.000470644610192005</v>
      </c>
      <c r="Y49" s="56" t="n">
        <f aca="false">IF(V49="expiry",IF(INDEX(Panel!$A$5:$A$815,S49+1)&lt;=DATE(2026,3,31),0.00125,0.0015)*IF(B49&lt;0,MAX(P49-T49,0),MAX(T49-P49,0))/T49,IF(INDEX(Panel!$A$5:$A$815,S49+1)&lt;=DATE(2024,9,30),0.000625,IF(INDEX(Panel!$A$5:$A$815,S49+1)&lt;=DATE(2026,3,31),0.001,0.0015))*(0.3989*Inputs!$B$28*SQRT(MAX(INDEX(Panel!$G$5:$G$815,S49+1),0)/365))+2*Inputs!$B$29+Inputs!$B$19)+IF(B49&lt;0,(Inputs!$B$21+Inputs!$B$22+Inputs!$B$23),(Inputs!$B$20+Inputs!$B$22+Inputs!$B$23))</f>
        <v>0.000262825765355347</v>
      </c>
      <c r="Z49" s="56" t="n">
        <f aca="false">-SUMPRODUCT((Panel!$F$5:$F$815&gt;=O49)*(Panel!$F$5:$F$815&lt;S49)*Panel!$N$5:$N$815*Panel!$BD$5:$BD$815)/365</f>
        <v>-0.00467123287671233</v>
      </c>
      <c r="AA49" s="56" t="n">
        <f aca="false">W49-X49-Y49+Z49</f>
        <v>0.00139579261315941</v>
      </c>
      <c r="AB49" s="57" t="n">
        <v>0.0013957926131594</v>
      </c>
      <c r="AC49" s="58" t="n">
        <f aca="false">AA49-AB49</f>
        <v>6.72205346941013E-018</v>
      </c>
    </row>
    <row r="50" customFormat="false" ht="15" hidden="false" customHeight="false" outlineLevel="0" collapsed="false">
      <c r="A50" s="0" t="s">
        <v>438</v>
      </c>
      <c r="B50" s="0" t="n">
        <v>-1</v>
      </c>
      <c r="C50" s="0" t="s">
        <v>399</v>
      </c>
      <c r="D50" s="0" t="n">
        <v>475</v>
      </c>
      <c r="E50" s="29" t="n">
        <v>10.0735024419954</v>
      </c>
      <c r="F50" s="29" t="n">
        <v>5.57405336798142</v>
      </c>
      <c r="G50" s="53" t="n">
        <f aca="false">INDEX(Panel!$U$5:$U$815,D50+1)</f>
        <v>4.60043889894697</v>
      </c>
      <c r="H50" s="53" t="n">
        <f aca="false">INDEX(Panel!$T$5:$T$815,D50+1)</f>
        <v>0.984573155367049</v>
      </c>
      <c r="I50" s="54" t="n">
        <f aca="false">INDEX(Panel!$S$5:$S$815,D50+1)</f>
        <v>-4.63696002595064E-005</v>
      </c>
      <c r="J50" s="53" t="n">
        <f aca="false">INDEX(Panel!$V$5:$V$815,D50+1)</f>
        <v>0.00331784607911847</v>
      </c>
      <c r="K50" s="55" t="n">
        <f aca="false">(E50-G50-H50*F50-I50*D50)/J50</f>
        <v>2.11757577244735</v>
      </c>
      <c r="L50" s="0" t="n">
        <v>1.5</v>
      </c>
      <c r="M50" s="0" t="str">
        <f aca="false">IF(ABS(K50)&gt;L50,"Yes","No")</f>
        <v>Yes</v>
      </c>
      <c r="N50" s="30" t="s">
        <v>400</v>
      </c>
      <c r="O50" s="0" t="n">
        <v>475</v>
      </c>
      <c r="P50" s="0" t="n">
        <v>23662.4</v>
      </c>
      <c r="Q50" s="0" t="n">
        <v>263.25</v>
      </c>
      <c r="R50" s="30" t="s">
        <v>401</v>
      </c>
      <c r="S50" s="0" t="n">
        <v>490</v>
      </c>
      <c r="T50" s="0" t="n">
        <v>24248</v>
      </c>
      <c r="U50" s="0" t="n">
        <v>270.95</v>
      </c>
      <c r="V50" s="30" t="s">
        <v>353</v>
      </c>
      <c r="W50" s="56" t="n">
        <f aca="false">B50*((LN(T50)-LN(P50))-(LN(U50)-LN(Q50)))</f>
        <v>0.00438330167290424</v>
      </c>
      <c r="X50" s="56" t="n">
        <f aca="false">IF(INDEX(Panel!$A$5:$A$815,O50+1)&lt;=DATE(2024,9,30),0.000625,IF(INDEX(Panel!$A$5:$A$815,O50+1)&lt;=DATE(2026,3,31),0.001,0.0015))*(0.3989*Inputs!$B$28*SQRT(MAX(INDEX(Panel!$G$5:$G$815,O50+1),0)/365))+2*Inputs!$B$29+Inputs!$B$19+0.00003*(0.3989*Inputs!$B$28*SQRT(MAX(INDEX(Panel!$G$5:$G$815,O50+1),0)/365))+IF(B50&lt;0,(Inputs!$B$20+Inputs!$B$22+Inputs!$B$23),(Inputs!$B$21+Inputs!$B$22+Inputs!$B$23))</f>
        <v>0.000470644610192005</v>
      </c>
      <c r="Y50" s="56" t="n">
        <f aca="false">IF(V50="expiry",IF(INDEX(Panel!$A$5:$A$815,S50+1)&lt;=DATE(2026,3,31),0.00125,0.0015)*IF(B50&lt;0,MAX(P50-T50,0),MAX(T50-P50,0))/T50,IF(INDEX(Panel!$A$5:$A$815,S50+1)&lt;=DATE(2024,9,30),0.000625,IF(INDEX(Panel!$A$5:$A$815,S50+1)&lt;=DATE(2026,3,31),0.001,0.0015))*(0.3989*Inputs!$B$28*SQRT(MAX(INDEX(Panel!$G$5:$G$815,S50+1),0)/365))+2*Inputs!$B$29+Inputs!$B$19)+IF(B50&lt;0,(Inputs!$B$21+Inputs!$B$22+Inputs!$B$23),(Inputs!$B$20+Inputs!$B$22+Inputs!$B$23))</f>
        <v>0.00021</v>
      </c>
      <c r="Z50" s="56" t="n">
        <f aca="false">-SUMPRODUCT((Panel!$F$5:$F$815&gt;=O50)*(Panel!$F$5:$F$815&lt;S50)*Panel!$N$5:$N$815*Panel!$BD$5:$BD$815)/365</f>
        <v>-0.00452054794520548</v>
      </c>
      <c r="AA50" s="56" t="n">
        <f aca="false">W50-X50-Y50+Z50</f>
        <v>-0.000817890882493246</v>
      </c>
      <c r="AB50" s="57" t="n">
        <v>-0.0008178908824932</v>
      </c>
      <c r="AC50" s="58" t="n">
        <f aca="false">AA50-AB50</f>
        <v>-4.59701721133854E-017</v>
      </c>
    </row>
    <row r="51" customFormat="false" ht="15" hidden="false" customHeight="false" outlineLevel="0" collapsed="false">
      <c r="A51" s="0" t="s">
        <v>438</v>
      </c>
      <c r="B51" s="0" t="n">
        <v>-1</v>
      </c>
      <c r="C51" s="0" t="s">
        <v>402</v>
      </c>
      <c r="D51" s="0" t="n">
        <v>491</v>
      </c>
      <c r="E51" s="29" t="n">
        <v>10.1041973381433</v>
      </c>
      <c r="F51" s="29" t="n">
        <v>5.60525044359193</v>
      </c>
      <c r="G51" s="53" t="n">
        <f aca="false">INDEX(Panel!$U$5:$U$815,D51+1)</f>
        <v>4.58266655100228</v>
      </c>
      <c r="H51" s="53" t="n">
        <f aca="false">INDEX(Panel!$T$5:$T$815,D51+1)</f>
        <v>0.987409733110895</v>
      </c>
      <c r="I51" s="54" t="n">
        <f aca="false">INDEX(Panel!$S$5:$S$815,D51+1)</f>
        <v>-4.0937355438221E-005</v>
      </c>
      <c r="J51" s="53" t="n">
        <f aca="false">INDEX(Panel!$V$5:$V$815,D51+1)</f>
        <v>0.00330940703199096</v>
      </c>
      <c r="K51" s="55" t="n">
        <f aca="false">(E51-G51-H51*F51-I51*D51)/J51</f>
        <v>2.10073407930408</v>
      </c>
      <c r="L51" s="0" t="n">
        <v>1.5</v>
      </c>
      <c r="M51" s="0" t="str">
        <f aca="false">IF(ABS(K51)&gt;L51,"Yes","No")</f>
        <v>Yes</v>
      </c>
      <c r="N51" s="30" t="s">
        <v>403</v>
      </c>
      <c r="O51" s="0" t="n">
        <v>491</v>
      </c>
      <c r="P51" s="0" t="n">
        <v>24341</v>
      </c>
      <c r="Q51" s="0" t="n">
        <v>270.82</v>
      </c>
      <c r="R51" s="30" t="s">
        <v>404</v>
      </c>
      <c r="S51" s="0" t="n">
        <v>514</v>
      </c>
      <c r="T51" s="0" t="n">
        <v>24831.8</v>
      </c>
      <c r="U51" s="0" t="n">
        <v>279</v>
      </c>
      <c r="V51" s="30" t="s">
        <v>353</v>
      </c>
      <c r="W51" s="56" t="n">
        <f aca="false">B51*((LN(T51)-LN(P51))-(LN(U51)-LN(Q51)))</f>
        <v>0.00979446977180221</v>
      </c>
      <c r="X51" s="56" t="n">
        <f aca="false">IF(INDEX(Panel!$A$5:$A$815,O51+1)&lt;=DATE(2024,9,30),0.000625,IF(INDEX(Panel!$A$5:$A$815,O51+1)&lt;=DATE(2026,3,31),0.001,0.0015))*(0.3989*Inputs!$B$28*SQRT(MAX(INDEX(Panel!$G$5:$G$815,O51+1),0)/365))+2*Inputs!$B$29+Inputs!$B$19+0.00003*(0.3989*Inputs!$B$28*SQRT(MAX(INDEX(Panel!$G$5:$G$815,O51+1),0)/365))+IF(B51&lt;0,(Inputs!$B$20+Inputs!$B$22+Inputs!$B$23),(Inputs!$B$21+Inputs!$B$22+Inputs!$B$23))</f>
        <v>0.000472555868654767</v>
      </c>
      <c r="Y51" s="56" t="n">
        <f aca="false">IF(V51="expiry",IF(INDEX(Panel!$A$5:$A$815,S51+1)&lt;=DATE(2026,3,31),0.00125,0.0015)*IF(B51&lt;0,MAX(P51-T51,0),MAX(T51-P51,0))/T51,IF(INDEX(Panel!$A$5:$A$815,S51+1)&lt;=DATE(2024,9,30),0.000625,IF(INDEX(Panel!$A$5:$A$815,S51+1)&lt;=DATE(2026,3,31),0.001,0.0015))*(0.3989*Inputs!$B$28*SQRT(MAX(INDEX(Panel!$G$5:$G$815,S51+1),0)/365))+2*Inputs!$B$29+Inputs!$B$19)+IF(B51&lt;0,(Inputs!$B$21+Inputs!$B$22+Inputs!$B$23),(Inputs!$B$20+Inputs!$B$22+Inputs!$B$23))</f>
        <v>0.00021</v>
      </c>
      <c r="Z51" s="56" t="n">
        <f aca="false">-SUMPRODUCT((Panel!$F$5:$F$815&gt;=O51)*(Panel!$F$5:$F$815&lt;S51)*Panel!$N$5:$N$815*Panel!$BD$5:$BD$815)/365</f>
        <v>-0.00558904109589041</v>
      </c>
      <c r="AA51" s="56" t="n">
        <f aca="false">W51-X51-Y51+Z51</f>
        <v>0.00352287280725703</v>
      </c>
      <c r="AB51" s="57" t="n">
        <v>0.003522872807257</v>
      </c>
      <c r="AC51" s="58" t="n">
        <f aca="false">AA51-AB51</f>
        <v>2.64545330086463E-017</v>
      </c>
    </row>
    <row r="52" customFormat="false" ht="15" hidden="false" customHeight="false" outlineLevel="0" collapsed="false">
      <c r="A52" s="0" t="s">
        <v>438</v>
      </c>
      <c r="B52" s="0" t="n">
        <v>-1</v>
      </c>
      <c r="C52" s="0" t="s">
        <v>460</v>
      </c>
      <c r="D52" s="0" t="n">
        <v>619</v>
      </c>
      <c r="E52" s="29" t="n">
        <v>10.1761828826796</v>
      </c>
      <c r="F52" s="29" t="n">
        <v>5.68622931540861</v>
      </c>
      <c r="G52" s="53" t="n">
        <f aca="false">INDEX(Panel!$U$5:$U$815,D52+1)</f>
        <v>4.52200286080004</v>
      </c>
      <c r="H52" s="53" t="n">
        <f aca="false">INDEX(Panel!$T$5:$T$815,D52+1)</f>
        <v>0.998742878463153</v>
      </c>
      <c r="I52" s="54" t="n">
        <f aca="false">INDEX(Panel!$S$5:$S$815,D52+1)</f>
        <v>-4.63838955131537E-005</v>
      </c>
      <c r="J52" s="53" t="n">
        <f aca="false">INDEX(Panel!$V$5:$V$815,D52+1)</f>
        <v>0.00253899919082343</v>
      </c>
      <c r="K52" s="55" t="n">
        <f aca="false">(E52-G52-H52*F52-I52*D52)/J52</f>
        <v>1.50083510983188</v>
      </c>
      <c r="L52" s="0" t="n">
        <v>1.5</v>
      </c>
      <c r="M52" s="0" t="str">
        <f aca="false">IF(ABS(K52)&gt;L52,"Yes","No")</f>
        <v>Yes</v>
      </c>
      <c r="N52" s="30" t="s">
        <v>461</v>
      </c>
      <c r="O52" s="0" t="n">
        <v>619</v>
      </c>
      <c r="P52" s="0" t="n">
        <v>26259.1</v>
      </c>
      <c r="Q52" s="0" t="n">
        <v>294.6</v>
      </c>
      <c r="R52" s="30" t="s">
        <v>462</v>
      </c>
      <c r="S52" s="0" t="n">
        <v>637</v>
      </c>
      <c r="T52" s="0" t="n">
        <v>25884</v>
      </c>
      <c r="U52" s="0" t="n">
        <v>292.8</v>
      </c>
      <c r="V52" s="30" t="s">
        <v>353</v>
      </c>
      <c r="W52" s="56" t="n">
        <f aca="false">B52*((LN(T52)-LN(P52))-(LN(U52)-LN(Q52)))</f>
        <v>0.00825885649290026</v>
      </c>
      <c r="X52" s="56" t="n">
        <f aca="false">IF(INDEX(Panel!$A$5:$A$815,O52+1)&lt;=DATE(2024,9,30),0.000625,IF(INDEX(Panel!$A$5:$A$815,O52+1)&lt;=DATE(2026,3,31),0.001,0.0015))*(0.3989*Inputs!$B$28*SQRT(MAX(INDEX(Panel!$G$5:$G$815,O52+1),0)/365))+2*Inputs!$B$29+Inputs!$B$19+0.00003*(0.3989*Inputs!$B$28*SQRT(MAX(INDEX(Panel!$G$5:$G$815,O52+1),0)/365))+IF(B52&lt;0,(Inputs!$B$20+Inputs!$B$22+Inputs!$B$23),(Inputs!$B$21+Inputs!$B$22+Inputs!$B$23))</f>
        <v>0.000470644610192005</v>
      </c>
      <c r="Y52" s="56" t="n">
        <f aca="false">IF(V52="expiry",IF(INDEX(Panel!$A$5:$A$815,S52+1)&lt;=DATE(2026,3,31),0.00125,0.0015)*IF(B52&lt;0,MAX(P52-T52,0),MAX(T52-P52,0))/T52,IF(INDEX(Panel!$A$5:$A$815,S52+1)&lt;=DATE(2024,9,30),0.000625,IF(INDEX(Panel!$A$5:$A$815,S52+1)&lt;=DATE(2026,3,31),0.001,0.0015))*(0.3989*Inputs!$B$28*SQRT(MAX(INDEX(Panel!$G$5:$G$815,S52+1),0)/365))+2*Inputs!$B$29+Inputs!$B$19)+IF(B52&lt;0,(Inputs!$B$21+Inputs!$B$22+Inputs!$B$23),(Inputs!$B$20+Inputs!$B$22+Inputs!$B$23))</f>
        <v>0.000228114472260856</v>
      </c>
      <c r="Z52" s="56" t="n">
        <f aca="false">-SUMPRODUCT((Panel!$F$5:$F$815&gt;=O52)*(Panel!$F$5:$F$815&lt;S52)*Panel!$N$5:$N$815*Panel!$BD$5:$BD$815)/365</f>
        <v>-0.00406849315068493</v>
      </c>
      <c r="AA52" s="56" t="n">
        <f aca="false">W52-X52-Y52+Z52</f>
        <v>0.00349160425976246</v>
      </c>
      <c r="AB52" s="57" t="n">
        <v>0.0034916042597624</v>
      </c>
      <c r="AC52" s="58" t="n">
        <f aca="false">AA52-AB52</f>
        <v>6.46184494801361E-017</v>
      </c>
    </row>
    <row r="53" customFormat="false" ht="15" hidden="false" customHeight="false" outlineLevel="0" collapsed="false">
      <c r="A53" s="0" t="s">
        <v>438</v>
      </c>
      <c r="B53" s="0" t="n">
        <v>-1</v>
      </c>
      <c r="C53" s="0" t="s">
        <v>463</v>
      </c>
      <c r="D53" s="0" t="n">
        <v>638</v>
      </c>
      <c r="E53" s="29" t="n">
        <v>10.1725256511934</v>
      </c>
      <c r="F53" s="29" t="n">
        <v>5.68300136880598</v>
      </c>
      <c r="G53" s="53" t="n">
        <f aca="false">INDEX(Panel!$U$5:$U$815,D53+1)</f>
        <v>4.47312448761523</v>
      </c>
      <c r="H53" s="53" t="n">
        <f aca="false">INDEX(Panel!$T$5:$T$815,D53+1)</f>
        <v>1.00835980732837</v>
      </c>
      <c r="I53" s="54" t="n">
        <f aca="false">INDEX(Panel!$S$5:$S$815,D53+1)</f>
        <v>-5.6006319801104E-005</v>
      </c>
      <c r="J53" s="53" t="n">
        <f aca="false">INDEX(Panel!$V$5:$V$815,D53+1)</f>
        <v>0.00239844867584106</v>
      </c>
      <c r="K53" s="55" t="n">
        <f aca="false">(E53-G53-H53*F53-I53*D53)/J53</f>
        <v>1.92750854410476</v>
      </c>
      <c r="L53" s="0" t="n">
        <v>1.5</v>
      </c>
      <c r="M53" s="0" t="str">
        <f aca="false">IF(ABS(K53)&gt;L53,"Yes","No")</f>
        <v>Yes</v>
      </c>
      <c r="N53" s="30" t="s">
        <v>464</v>
      </c>
      <c r="O53" s="0" t="n">
        <v>638</v>
      </c>
      <c r="P53" s="0" t="n">
        <v>26220</v>
      </c>
      <c r="Q53" s="0" t="n">
        <v>294.3</v>
      </c>
      <c r="R53" s="30" t="s">
        <v>416</v>
      </c>
      <c r="S53" s="0" t="n">
        <v>661</v>
      </c>
      <c r="T53" s="0" t="n">
        <v>25937.4</v>
      </c>
      <c r="U53" s="0" t="n">
        <v>293.5</v>
      </c>
      <c r="V53" s="30" t="s">
        <v>353</v>
      </c>
      <c r="W53" s="56" t="n">
        <f aca="false">B53*((LN(T53)-LN(P53))-(LN(U53)-LN(Q53)))</f>
        <v>0.00811451980247924</v>
      </c>
      <c r="X53" s="56" t="n">
        <f aca="false">IF(INDEX(Panel!$A$5:$A$815,O53+1)&lt;=DATE(2024,9,30),0.000625,IF(INDEX(Panel!$A$5:$A$815,O53+1)&lt;=DATE(2026,3,31),0.001,0.0015))*(0.3989*Inputs!$B$28*SQRT(MAX(INDEX(Panel!$G$5:$G$815,O53+1),0)/365))+2*Inputs!$B$29+Inputs!$B$19+0.00003*(0.3989*Inputs!$B$28*SQRT(MAX(INDEX(Panel!$G$5:$G$815,O53+1),0)/365))+IF(B53&lt;0,(Inputs!$B$20+Inputs!$B$22+Inputs!$B$23),(Inputs!$B$21+Inputs!$B$22+Inputs!$B$23))</f>
        <v>0.000472555868654767</v>
      </c>
      <c r="Y53" s="56" t="n">
        <f aca="false">IF(V53="expiry",IF(INDEX(Panel!$A$5:$A$815,S53+1)&lt;=DATE(2026,3,31),0.00125,0.0015)*IF(B53&lt;0,MAX(P53-T53,0),MAX(T53-P53,0))/T53,IF(INDEX(Panel!$A$5:$A$815,S53+1)&lt;=DATE(2024,9,30),0.000625,IF(INDEX(Panel!$A$5:$A$815,S53+1)&lt;=DATE(2026,3,31),0.001,0.0015))*(0.3989*Inputs!$B$28*SQRT(MAX(INDEX(Panel!$G$5:$G$815,S53+1),0)/365))+2*Inputs!$B$29+Inputs!$B$19)+IF(B53&lt;0,(Inputs!$B$21+Inputs!$B$22+Inputs!$B$23),(Inputs!$B$20+Inputs!$B$22+Inputs!$B$23))</f>
        <v>0.000223619329616692</v>
      </c>
      <c r="Z53" s="56" t="n">
        <f aca="false">-SUMPRODUCT((Panel!$F$5:$F$815&gt;=O53)*(Panel!$F$5:$F$815&lt;S53)*Panel!$N$5:$N$815*Panel!$BD$5:$BD$815)/365</f>
        <v>-0.00495205479452055</v>
      </c>
      <c r="AA53" s="56" t="n">
        <f aca="false">W53-X53-Y53+Z53</f>
        <v>0.00246628980968723</v>
      </c>
      <c r="AB53" s="57" t="n">
        <v>0.0024662898096872</v>
      </c>
      <c r="AC53" s="58" t="n">
        <f aca="false">AA53-AB53</f>
        <v>3.03576608295941E-017</v>
      </c>
    </row>
    <row r="54" customFormat="false" ht="15" hidden="false" customHeight="false" outlineLevel="0" collapsed="false">
      <c r="A54" s="0" t="s">
        <v>438</v>
      </c>
      <c r="B54" s="0" t="n">
        <v>-1</v>
      </c>
      <c r="C54" s="0" t="s">
        <v>417</v>
      </c>
      <c r="D54" s="0" t="n">
        <v>662</v>
      </c>
      <c r="E54" s="29" t="n">
        <v>10.1726364416067</v>
      </c>
      <c r="F54" s="29" t="n">
        <v>5.68354575315476</v>
      </c>
      <c r="G54" s="53" t="n">
        <f aca="false">INDEX(Panel!$U$5:$U$815,D54+1)</f>
        <v>4.38406572356269</v>
      </c>
      <c r="H54" s="53" t="n">
        <f aca="false">INDEX(Panel!$T$5:$T$815,D54+1)</f>
        <v>1.02530673257918</v>
      </c>
      <c r="I54" s="54" t="n">
        <f aca="false">INDEX(Panel!$S$5:$S$815,D54+1)</f>
        <v>-6.69933936231152E-005</v>
      </c>
      <c r="J54" s="53" t="n">
        <f aca="false">INDEX(Panel!$V$5:$V$815,D54+1)</f>
        <v>0.00218900253623979</v>
      </c>
      <c r="K54" s="55" t="n">
        <f aca="false">(E54-G54-H54*F54-I54*D54)/J54</f>
        <v>2.53202949718064</v>
      </c>
      <c r="L54" s="0" t="n">
        <v>1.5</v>
      </c>
      <c r="M54" s="0" t="str">
        <f aca="false">IF(ABS(K54)&gt;L54,"Yes","No")</f>
        <v>Yes</v>
      </c>
      <c r="N54" s="30" t="s">
        <v>418</v>
      </c>
      <c r="O54" s="0" t="n">
        <v>662</v>
      </c>
      <c r="P54" s="0" t="n">
        <v>26138</v>
      </c>
      <c r="Q54" s="0" t="n">
        <v>293.69</v>
      </c>
      <c r="R54" s="30" t="s">
        <v>419</v>
      </c>
      <c r="S54" s="0" t="n">
        <v>679</v>
      </c>
      <c r="T54" s="0" t="n">
        <v>25174</v>
      </c>
      <c r="U54" s="0" t="n">
        <v>285.89</v>
      </c>
      <c r="V54" s="30" t="s">
        <v>353</v>
      </c>
      <c r="W54" s="56" t="n">
        <f aca="false">B54*((LN(T54)-LN(P54))-(LN(U54)-LN(Q54)))</f>
        <v>0.0106608104810384</v>
      </c>
      <c r="X54" s="56" t="n">
        <f aca="false">IF(INDEX(Panel!$A$5:$A$815,O54+1)&lt;=DATE(2024,9,30),0.000625,IF(INDEX(Panel!$A$5:$A$815,O54+1)&lt;=DATE(2026,3,31),0.001,0.0015))*(0.3989*Inputs!$B$28*SQRT(MAX(INDEX(Panel!$G$5:$G$815,O54+1),0)/365))+2*Inputs!$B$29+Inputs!$B$19+0.00003*(0.3989*Inputs!$B$28*SQRT(MAX(INDEX(Panel!$G$5:$G$815,O54+1),0)/365))+IF(B54&lt;0,(Inputs!$B$20+Inputs!$B$22+Inputs!$B$23),(Inputs!$B$21+Inputs!$B$22+Inputs!$B$23))</f>
        <v>0.000470644610192005</v>
      </c>
      <c r="Y54" s="56" t="n">
        <f aca="false">IF(V54="expiry",IF(INDEX(Panel!$A$5:$A$815,S54+1)&lt;=DATE(2026,3,31),0.00125,0.0015)*IF(B54&lt;0,MAX(P54-T54,0),MAX(T54-P54,0))/T54,IF(INDEX(Panel!$A$5:$A$815,S54+1)&lt;=DATE(2024,9,30),0.000625,IF(INDEX(Panel!$A$5:$A$815,S54+1)&lt;=DATE(2026,3,31),0.001,0.0015))*(0.3989*Inputs!$B$28*SQRT(MAX(INDEX(Panel!$G$5:$G$815,S54+1),0)/365))+2*Inputs!$B$29+Inputs!$B$19)+IF(B54&lt;0,(Inputs!$B$21+Inputs!$B$22+Inputs!$B$23),(Inputs!$B$20+Inputs!$B$22+Inputs!$B$23))</f>
        <v>0.000257866846746643</v>
      </c>
      <c r="Z54" s="56" t="n">
        <f aca="false">-SUMPRODUCT((Panel!$F$5:$F$815&gt;=O54)*(Panel!$F$5:$F$815&lt;S54)*Panel!$N$5:$N$815*Panel!$BD$5:$BD$815)/365</f>
        <v>-0.00388356164383562</v>
      </c>
      <c r="AA54" s="56" t="n">
        <f aca="false">W54-X54-Y54+Z54</f>
        <v>0.00604873738026413</v>
      </c>
      <c r="AB54" s="57" t="n">
        <v>0.0060487373802641</v>
      </c>
      <c r="AC54" s="58" t="n">
        <f aca="false">AA54-AB54</f>
        <v>3.20923843055709E-017</v>
      </c>
    </row>
    <row r="55" customFormat="false" ht="15" hidden="false" customHeight="false" outlineLevel="0" collapsed="false">
      <c r="A55" s="0" t="s">
        <v>438</v>
      </c>
      <c r="B55" s="0" t="n">
        <v>-1</v>
      </c>
      <c r="C55" s="0" t="s">
        <v>420</v>
      </c>
      <c r="D55" s="0" t="n">
        <v>680</v>
      </c>
      <c r="E55" s="29" t="n">
        <v>10.1455980879764</v>
      </c>
      <c r="F55" s="29" t="n">
        <v>5.65854100641051</v>
      </c>
      <c r="G55" s="53" t="n">
        <f aca="false">INDEX(Panel!$U$5:$U$815,D55+1)</f>
        <v>4.36250805169018</v>
      </c>
      <c r="H55" s="53" t="n">
        <f aca="false">INDEX(Panel!$T$5:$T$815,D55+1)</f>
        <v>1.02940234208399</v>
      </c>
      <c r="I55" s="54" t="n">
        <f aca="false">INDEX(Panel!$S$5:$S$815,D55+1)</f>
        <v>-6.94509868994231E-005</v>
      </c>
      <c r="J55" s="53" t="n">
        <f aca="false">INDEX(Panel!$V$5:$V$815,D55+1)</f>
        <v>0.00225868623483478</v>
      </c>
      <c r="K55" s="55" t="n">
        <f aca="false">(E55-G55-H55*F55-I55*D55)/J55</f>
        <v>2.39136473105877</v>
      </c>
      <c r="L55" s="0" t="n">
        <v>1.5</v>
      </c>
      <c r="M55" s="0" t="str">
        <f aca="false">IF(ABS(K55)&gt;L55,"Yes","No")</f>
        <v>Yes</v>
      </c>
      <c r="N55" s="30" t="s">
        <v>421</v>
      </c>
      <c r="O55" s="0" t="n">
        <v>680</v>
      </c>
      <c r="P55" s="0" t="n">
        <v>25419.1</v>
      </c>
      <c r="Q55" s="0" t="n">
        <v>286.18</v>
      </c>
      <c r="R55" s="30" t="s">
        <v>422</v>
      </c>
      <c r="S55" s="0" t="n">
        <v>700</v>
      </c>
      <c r="T55" s="0" t="n">
        <v>25423.4</v>
      </c>
      <c r="U55" s="0" t="n">
        <v>288</v>
      </c>
      <c r="V55" s="30" t="s">
        <v>353</v>
      </c>
      <c r="W55" s="56" t="n">
        <f aca="false">B55*((LN(T55)-LN(P55))-(LN(U55)-LN(Q55)))</f>
        <v>0.00617034683151196</v>
      </c>
      <c r="X55" s="56" t="n">
        <f aca="false">IF(INDEX(Panel!$A$5:$A$815,O55+1)&lt;=DATE(2024,9,30),0.000625,IF(INDEX(Panel!$A$5:$A$815,O55+1)&lt;=DATE(2026,3,31),0.001,0.0015))*(0.3989*Inputs!$B$28*SQRT(MAX(INDEX(Panel!$G$5:$G$815,O55+1),0)/365))+2*Inputs!$B$29+Inputs!$B$19+0.00003*(0.3989*Inputs!$B$28*SQRT(MAX(INDEX(Panel!$G$5:$G$815,O55+1),0)/365))+IF(B55&lt;0,(Inputs!$B$20+Inputs!$B$22+Inputs!$B$23),(Inputs!$B$21+Inputs!$B$22+Inputs!$B$23))</f>
        <v>0.000470644610192005</v>
      </c>
      <c r="Y55" s="56" t="n">
        <f aca="false">IF(V55="expiry",IF(INDEX(Panel!$A$5:$A$815,S55+1)&lt;=DATE(2026,3,31),0.00125,0.0015)*IF(B55&lt;0,MAX(P55-T55,0),MAX(T55-P55,0))/T55,IF(INDEX(Panel!$A$5:$A$815,S55+1)&lt;=DATE(2024,9,30),0.000625,IF(INDEX(Panel!$A$5:$A$815,S55+1)&lt;=DATE(2026,3,31),0.001,0.0015))*(0.3989*Inputs!$B$28*SQRT(MAX(INDEX(Panel!$G$5:$G$815,S55+1),0)/365))+2*Inputs!$B$29+Inputs!$B$19)+IF(B55&lt;0,(Inputs!$B$21+Inputs!$B$22+Inputs!$B$23),(Inputs!$B$20+Inputs!$B$22+Inputs!$B$23))</f>
        <v>0.00021</v>
      </c>
      <c r="Z55" s="56" t="n">
        <f aca="false">-SUMPRODUCT((Panel!$F$5:$F$815&gt;=O55)*(Panel!$F$5:$F$815&lt;S55)*Panel!$N$5:$N$815*Panel!$BD$5:$BD$815)/365</f>
        <v>-0.00388356164383562</v>
      </c>
      <c r="AA55" s="56" t="n">
        <f aca="false">W55-X55-Y55+Z55</f>
        <v>0.00160614057748434</v>
      </c>
      <c r="AB55" s="57" t="n">
        <v>0.0016061405774843</v>
      </c>
      <c r="AC55" s="58" t="n">
        <f aca="false">AA55-AB55</f>
        <v>4.22838847269347E-017</v>
      </c>
    </row>
    <row r="56" customFormat="false" ht="15" hidden="false" customHeight="false" outlineLevel="0" collapsed="false">
      <c r="A56" s="0" t="s">
        <v>438</v>
      </c>
      <c r="B56" s="0" t="n">
        <v>-1</v>
      </c>
      <c r="C56" s="0" t="s">
        <v>423</v>
      </c>
      <c r="D56" s="0" t="n">
        <v>701</v>
      </c>
      <c r="E56" s="29" t="n">
        <v>10.1561704884276</v>
      </c>
      <c r="F56" s="29" t="n">
        <v>5.66801711820946</v>
      </c>
      <c r="G56" s="53" t="n">
        <f aca="false">INDEX(Panel!$U$5:$U$815,D56+1)</f>
        <v>4.39581763888251</v>
      </c>
      <c r="H56" s="53" t="n">
        <f aca="false">INDEX(Panel!$T$5:$T$815,D56+1)</f>
        <v>1.0232593132565</v>
      </c>
      <c r="I56" s="54" t="n">
        <f aca="false">INDEX(Panel!$S$5:$S$815,D56+1)</f>
        <v>-6.67856989980723E-005</v>
      </c>
      <c r="J56" s="53" t="n">
        <f aca="false">INDEX(Panel!$V$5:$V$815,D56+1)</f>
        <v>0.00226905116822374</v>
      </c>
      <c r="K56" s="55" t="n">
        <f aca="false">(E56-G56-H56*F56-I56*D56)/J56</f>
        <v>3.22527792241329</v>
      </c>
      <c r="L56" s="0" t="n">
        <v>1.5</v>
      </c>
      <c r="M56" s="0" t="str">
        <f aca="false">IF(ABS(K56)&gt;L56,"Yes","No")</f>
        <v>Yes</v>
      </c>
      <c r="N56" s="30" t="s">
        <v>424</v>
      </c>
      <c r="O56" s="0" t="n">
        <v>701</v>
      </c>
      <c r="P56" s="0" t="n">
        <v>25720</v>
      </c>
      <c r="Q56" s="0" t="n">
        <v>289.32</v>
      </c>
      <c r="R56" s="30" t="s">
        <v>425</v>
      </c>
      <c r="S56" s="0" t="n">
        <v>722</v>
      </c>
      <c r="T56" s="0" t="n">
        <v>22330</v>
      </c>
      <c r="U56" s="0" t="n">
        <v>255.26</v>
      </c>
      <c r="V56" s="30" t="s">
        <v>353</v>
      </c>
      <c r="W56" s="56" t="n">
        <f aca="false">B56*((LN(T56)-LN(P56))-(LN(U56)-LN(Q56)))</f>
        <v>0.0160871250908166</v>
      </c>
      <c r="X56" s="56" t="n">
        <f aca="false">IF(INDEX(Panel!$A$5:$A$815,O56+1)&lt;=DATE(2024,9,30),0.000625,IF(INDEX(Panel!$A$5:$A$815,O56+1)&lt;=DATE(2026,3,31),0.001,0.0015))*(0.3989*Inputs!$B$28*SQRT(MAX(INDEX(Panel!$G$5:$G$815,O56+1),0)/365))+2*Inputs!$B$29+Inputs!$B$19+0.00003*(0.3989*Inputs!$B$28*SQRT(MAX(INDEX(Panel!$G$5:$G$815,O56+1),0)/365))+IF(B56&lt;0,(Inputs!$B$20+Inputs!$B$22+Inputs!$B$23),(Inputs!$B$21+Inputs!$B$22+Inputs!$B$23))</f>
        <v>0.00047229576733275</v>
      </c>
      <c r="Y56" s="56" t="n">
        <f aca="false">IF(V56="expiry",IF(INDEX(Panel!$A$5:$A$815,S56+1)&lt;=DATE(2026,3,31),0.00125,0.0015)*IF(B56&lt;0,MAX(P56-T56,0),MAX(T56-P56,0))/T56,IF(INDEX(Panel!$A$5:$A$815,S56+1)&lt;=DATE(2024,9,30),0.000625,IF(INDEX(Panel!$A$5:$A$815,S56+1)&lt;=DATE(2026,3,31),0.001,0.0015))*(0.3989*Inputs!$B$28*SQRT(MAX(INDEX(Panel!$G$5:$G$815,S56+1),0)/365))+2*Inputs!$B$29+Inputs!$B$19)+IF(B56&lt;0,(Inputs!$B$21+Inputs!$B$22+Inputs!$B$23),(Inputs!$B$20+Inputs!$B$22+Inputs!$B$23))</f>
        <v>0.000399767129422302</v>
      </c>
      <c r="Z56" s="56" t="n">
        <f aca="false">-SUMPRODUCT((Panel!$F$5:$F$815&gt;=O56)*(Panel!$F$5:$F$815&lt;S56)*Panel!$N$5:$N$815*Panel!$BD$5:$BD$815)/365</f>
        <v>-0.00474657534246575</v>
      </c>
      <c r="AA56" s="56" t="n">
        <f aca="false">W56-X56-Y56+Z56</f>
        <v>0.0104684868515958</v>
      </c>
      <c r="AB56" s="57" t="n">
        <v>0.0104684868515957</v>
      </c>
      <c r="AC56" s="58" t="n">
        <f aca="false">AA56-AB56</f>
        <v>5.20417042793042E-017</v>
      </c>
    </row>
    <row r="57" customFormat="false" ht="15" hidden="false" customHeight="false" outlineLevel="0" collapsed="false">
      <c r="A57" s="0" t="s">
        <v>438</v>
      </c>
      <c r="B57" s="0" t="n">
        <v>-1</v>
      </c>
      <c r="C57" s="0" t="s">
        <v>465</v>
      </c>
      <c r="D57" s="0" t="n">
        <v>723</v>
      </c>
      <c r="E57" s="29" t="n">
        <v>10.0431668828034</v>
      </c>
      <c r="F57" s="29" t="n">
        <v>5.5606431687374</v>
      </c>
      <c r="G57" s="53" t="n">
        <f aca="false">INDEX(Panel!$U$5:$U$815,D57+1)</f>
        <v>4.42806619966684</v>
      </c>
      <c r="H57" s="53" t="n">
        <f aca="false">INDEX(Panel!$T$5:$T$815,D57+1)</f>
        <v>1.01699766217553</v>
      </c>
      <c r="I57" s="54" t="n">
        <f aca="false">INDEX(Panel!$S$5:$S$815,D57+1)</f>
        <v>-6.12856907190518E-005</v>
      </c>
      <c r="J57" s="53" t="n">
        <f aca="false">INDEX(Panel!$V$5:$V$815,D57+1)</f>
        <v>0.00241724523338892</v>
      </c>
      <c r="K57" s="55" t="n">
        <f aca="false">(E57-G57-H57*F57-I57*D57)/J57</f>
        <v>1.7578418066203</v>
      </c>
      <c r="L57" s="0" t="n">
        <v>1.5</v>
      </c>
      <c r="M57" s="0" t="str">
        <f aca="false">IF(ABS(K57)&gt;L57,"Yes","No")</f>
        <v>Yes</v>
      </c>
      <c r="N57" s="30" t="s">
        <v>466</v>
      </c>
      <c r="O57" s="0" t="n">
        <v>723</v>
      </c>
      <c r="P57" s="0" t="n">
        <v>22935</v>
      </c>
      <c r="Q57" s="0" t="n">
        <v>259.29</v>
      </c>
      <c r="R57" s="30" t="s">
        <v>428</v>
      </c>
      <c r="S57" s="0" t="n">
        <v>740</v>
      </c>
      <c r="T57" s="0" t="n">
        <v>23994.1</v>
      </c>
      <c r="U57" s="0" t="n">
        <v>271.8</v>
      </c>
      <c r="V57" s="30" t="s">
        <v>353</v>
      </c>
      <c r="W57" s="56" t="n">
        <f aca="false">B57*((LN(T57)-LN(P57))-(LN(U57)-LN(Q57)))</f>
        <v>0.00197553654087734</v>
      </c>
      <c r="X57" s="56" t="n">
        <f aca="false">IF(INDEX(Panel!$A$5:$A$815,O57+1)&lt;=DATE(2024,9,30),0.000625,IF(INDEX(Panel!$A$5:$A$815,O57+1)&lt;=DATE(2026,3,31),0.001,0.0015))*(0.3989*Inputs!$B$28*SQRT(MAX(INDEX(Panel!$G$5:$G$815,O57+1),0)/365))+2*Inputs!$B$29+Inputs!$B$19+0.00003*(0.3989*Inputs!$B$28*SQRT(MAX(INDEX(Panel!$G$5:$G$815,O57+1),0)/365))+IF(B57&lt;0,(Inputs!$B$20+Inputs!$B$22+Inputs!$B$23),(Inputs!$B$21+Inputs!$B$22+Inputs!$B$23))</f>
        <v>0.000478239081158997</v>
      </c>
      <c r="Y57" s="56" t="n">
        <f aca="false">IF(V57="expiry",IF(INDEX(Panel!$A$5:$A$815,S57+1)&lt;=DATE(2026,3,31),0.00125,0.0015)*IF(B57&lt;0,MAX(P57-T57,0),MAX(T57-P57,0))/T57,IF(INDEX(Panel!$A$5:$A$815,S57+1)&lt;=DATE(2024,9,30),0.000625,IF(INDEX(Panel!$A$5:$A$815,S57+1)&lt;=DATE(2026,3,31),0.001,0.0015))*(0.3989*Inputs!$B$28*SQRT(MAX(INDEX(Panel!$G$5:$G$815,S57+1),0)/365))+2*Inputs!$B$29+Inputs!$B$19)+IF(B57&lt;0,(Inputs!$B$21+Inputs!$B$22+Inputs!$B$23),(Inputs!$B$20+Inputs!$B$22+Inputs!$B$23))</f>
        <v>0.00021</v>
      </c>
      <c r="Z57" s="56" t="n">
        <f aca="false">-SUMPRODUCT((Panel!$F$5:$F$815&gt;=O57)*(Panel!$F$5:$F$815&lt;S57)*Panel!$N$5:$N$815*Panel!$BD$5:$BD$815)/365</f>
        <v>-0.00388356164383562</v>
      </c>
      <c r="AA57" s="56" t="n">
        <f aca="false">W57-X57-Y57+Z57</f>
        <v>-0.00259626418411727</v>
      </c>
      <c r="AB57" s="57" t="n">
        <v>-0.0025962641841172</v>
      </c>
      <c r="AC57" s="58" t="n">
        <f aca="false">AA57-AB57</f>
        <v>-7.11236625150491E-017</v>
      </c>
    </row>
    <row r="58" customFormat="false" ht="15" hidden="false" customHeight="false" outlineLevel="0" collapsed="false">
      <c r="A58" s="0" t="s">
        <v>438</v>
      </c>
      <c r="B58" s="0" t="n">
        <v>-1</v>
      </c>
      <c r="C58" s="0" t="s">
        <v>429</v>
      </c>
      <c r="D58" s="0" t="n">
        <v>741</v>
      </c>
      <c r="E58" s="29" t="n">
        <v>10.0941079121448</v>
      </c>
      <c r="F58" s="29" t="n">
        <v>5.60815224364095</v>
      </c>
      <c r="G58" s="53" t="n">
        <f aca="false">INDEX(Panel!$U$5:$U$815,D58+1)</f>
        <v>4.4692643607368</v>
      </c>
      <c r="H58" s="53" t="n">
        <f aca="false">INDEX(Panel!$T$5:$T$815,D58+1)</f>
        <v>1.00883837346067</v>
      </c>
      <c r="I58" s="54" t="n">
        <f aca="false">INDEX(Panel!$S$5:$S$815,D58+1)</f>
        <v>-5.3053487106118E-005</v>
      </c>
      <c r="J58" s="53" t="n">
        <f aca="false">INDEX(Panel!$V$5:$V$815,D58+1)</f>
        <v>0.00250905605721469</v>
      </c>
      <c r="K58" s="55" t="n">
        <f aca="false">(E58-G58-H58*F58-I58*D58)/J58</f>
        <v>2.56550575686468</v>
      </c>
      <c r="L58" s="0" t="n">
        <v>1.5</v>
      </c>
      <c r="M58" s="0" t="str">
        <f aca="false">IF(ABS(K58)&gt;L58,"Yes","No")</f>
        <v>Yes</v>
      </c>
      <c r="N58" s="30" t="s">
        <v>430</v>
      </c>
      <c r="O58" s="0" t="n">
        <v>741</v>
      </c>
      <c r="P58" s="0" t="n">
        <v>24229.2</v>
      </c>
      <c r="Q58" s="0" t="n">
        <v>272.86</v>
      </c>
      <c r="R58" s="30" t="s">
        <v>431</v>
      </c>
      <c r="S58" s="0" t="n">
        <v>759</v>
      </c>
      <c r="T58" s="0" t="n">
        <v>23911.2</v>
      </c>
      <c r="U58" s="0" t="n">
        <v>271.07</v>
      </c>
      <c r="V58" s="30" t="s">
        <v>353</v>
      </c>
      <c r="W58" s="56" t="n">
        <f aca="false">B58*((LN(T58)-LN(P58))-(LN(U58)-LN(Q58)))</f>
        <v>0.00662979591920188</v>
      </c>
      <c r="X58" s="56" t="n">
        <f aca="false">IF(INDEX(Panel!$A$5:$A$815,O58+1)&lt;=DATE(2024,9,30),0.000625,IF(INDEX(Panel!$A$5:$A$815,O58+1)&lt;=DATE(2026,3,31),0.001,0.0015))*(0.3989*Inputs!$B$28*SQRT(MAX(INDEX(Panel!$G$5:$G$815,O58+1),0)/365))+2*Inputs!$B$29+Inputs!$B$19+0.00003*(0.3989*Inputs!$B$28*SQRT(MAX(INDEX(Panel!$G$5:$G$815,O58+1),0)/365))+IF(B58&lt;0,(Inputs!$B$20+Inputs!$B$22+Inputs!$B$23),(Inputs!$B$21+Inputs!$B$22+Inputs!$B$23))</f>
        <v>0.000478239081158997</v>
      </c>
      <c r="Y58" s="56" t="n">
        <f aca="false">IF(V58="expiry",IF(INDEX(Panel!$A$5:$A$815,S58+1)&lt;=DATE(2026,3,31),0.00125,0.0015)*IF(B58&lt;0,MAX(P58-T58,0),MAX(T58-P58,0))/T58,IF(INDEX(Panel!$A$5:$A$815,S58+1)&lt;=DATE(2024,9,30),0.000625,IF(INDEX(Panel!$A$5:$A$815,S58+1)&lt;=DATE(2026,3,31),0.001,0.0015))*(0.3989*Inputs!$B$28*SQRT(MAX(INDEX(Panel!$G$5:$G$815,S58+1),0)/365))+2*Inputs!$B$29+Inputs!$B$19)+IF(B58&lt;0,(Inputs!$B$21+Inputs!$B$22+Inputs!$B$23),(Inputs!$B$20+Inputs!$B$22+Inputs!$B$23))</f>
        <v>0.000229948810599217</v>
      </c>
      <c r="Z58" s="56" t="n">
        <f aca="false">-SUMPRODUCT((Panel!$F$5:$F$815&gt;=O58)*(Panel!$F$5:$F$815&lt;S58)*Panel!$N$5:$N$815*Panel!$BD$5:$BD$815)/365</f>
        <v>-0.00388356164383562</v>
      </c>
      <c r="AA58" s="56" t="n">
        <f aca="false">W58-X58-Y58+Z58</f>
        <v>0.00203804638360804</v>
      </c>
      <c r="AB58" s="57" t="n">
        <v>0.002038046383608</v>
      </c>
      <c r="AC58" s="58" t="n">
        <f aca="false">AA58-AB58</f>
        <v>4.46691295064028E-017</v>
      </c>
    </row>
    <row r="59" customFormat="false" ht="15" hidden="false" customHeight="false" outlineLevel="0" collapsed="false">
      <c r="A59" s="0" t="s">
        <v>438</v>
      </c>
      <c r="B59" s="0" t="n">
        <v>-1</v>
      </c>
      <c r="C59" s="0" t="s">
        <v>467</v>
      </c>
      <c r="D59" s="0" t="n">
        <v>760</v>
      </c>
      <c r="E59" s="29" t="n">
        <v>10.0862256892153</v>
      </c>
      <c r="F59" s="29" t="n">
        <v>5.60259841065519</v>
      </c>
      <c r="G59" s="53" t="n">
        <f aca="false">INDEX(Panel!$U$5:$U$815,D59+1)</f>
        <v>4.43179808317975</v>
      </c>
      <c r="H59" s="53" t="n">
        <f aca="false">INDEX(Panel!$T$5:$T$815,D59+1)</f>
        <v>1.01414972952526</v>
      </c>
      <c r="I59" s="54" t="n">
        <f aca="false">INDEX(Panel!$S$5:$S$815,D59+1)</f>
        <v>-4.12279855331662E-005</v>
      </c>
      <c r="J59" s="53" t="n">
        <f aca="false">INDEX(Panel!$V$5:$V$815,D59+1)</f>
        <v>0.00235577139891708</v>
      </c>
      <c r="K59" s="55" t="n">
        <f aca="false">(E59-G59-H59*F59-I59*D59)/J59</f>
        <v>1.65008041015783</v>
      </c>
      <c r="L59" s="0" t="n">
        <v>1.5</v>
      </c>
      <c r="M59" s="0" t="str">
        <f aca="false">IF(ABS(K59)&gt;L59,"Yes","No")</f>
        <v>Yes</v>
      </c>
      <c r="N59" s="30" t="s">
        <v>468</v>
      </c>
      <c r="O59" s="0" t="n">
        <v>760</v>
      </c>
      <c r="P59" s="0" t="n">
        <v>24027</v>
      </c>
      <c r="Q59" s="0" t="n">
        <v>271.3</v>
      </c>
      <c r="R59" s="30" t="s">
        <v>434</v>
      </c>
      <c r="S59" s="0" t="n">
        <v>782</v>
      </c>
      <c r="T59" s="0" t="n">
        <v>23864.3</v>
      </c>
      <c r="U59" s="0" t="n">
        <v>272.43</v>
      </c>
      <c r="V59" s="30" t="s">
        <v>353</v>
      </c>
      <c r="W59" s="56" t="n">
        <f aca="false">B59*((LN(T59)-LN(P59))-(LN(U59)-LN(Q59)))</f>
        <v>0.0109510603441763</v>
      </c>
      <c r="X59" s="56" t="n">
        <f aca="false">IF(INDEX(Panel!$A$5:$A$815,O59+1)&lt;=DATE(2024,9,30),0.000625,IF(INDEX(Panel!$A$5:$A$815,O59+1)&lt;=DATE(2026,3,31),0.001,0.0015))*(0.3989*Inputs!$B$28*SQRT(MAX(INDEX(Panel!$G$5:$G$815,O59+1),0)/365))+2*Inputs!$B$29+Inputs!$B$19+0.00003*(0.3989*Inputs!$B$28*SQRT(MAX(INDEX(Panel!$G$5:$G$815,O59+1),0)/365))+IF(B59&lt;0,(Inputs!$B$20+Inputs!$B$22+Inputs!$B$23),(Inputs!$B$21+Inputs!$B$22+Inputs!$B$23))</f>
        <v>0.000481078134992032</v>
      </c>
      <c r="Y59" s="56" t="n">
        <f aca="false">IF(V59="expiry",IF(INDEX(Panel!$A$5:$A$815,S59+1)&lt;=DATE(2026,3,31),0.00125,0.0015)*IF(B59&lt;0,MAX(P59-T59,0),MAX(T59-P59,0))/T59,IF(INDEX(Panel!$A$5:$A$815,S59+1)&lt;=DATE(2024,9,30),0.000625,IF(INDEX(Panel!$A$5:$A$815,S59+1)&lt;=DATE(2026,3,31),0.001,0.0015))*(0.3989*Inputs!$B$28*SQRT(MAX(INDEX(Panel!$G$5:$G$815,S59+1),0)/365))+2*Inputs!$B$29+Inputs!$B$19)+IF(B59&lt;0,(Inputs!$B$21+Inputs!$B$22+Inputs!$B$23),(Inputs!$B$20+Inputs!$B$22+Inputs!$B$23))</f>
        <v>0.000220226572746739</v>
      </c>
      <c r="Z59" s="56" t="n">
        <f aca="false">-SUMPRODUCT((Panel!$F$5:$F$815&gt;=O59)*(Panel!$F$5:$F$815&lt;S59)*Panel!$N$5:$N$815*Panel!$BD$5:$BD$815)/365</f>
        <v>-0.00489041095890411</v>
      </c>
      <c r="AA59" s="56" t="n">
        <f aca="false">W59-X59-Y59+Z59</f>
        <v>0.00535934467753337</v>
      </c>
      <c r="AB59" s="57" t="n">
        <v>0.0053593446775333</v>
      </c>
      <c r="AC59" s="58" t="n">
        <f aca="false">AA59-AB59</f>
        <v>7.45931094670027E-017</v>
      </c>
    </row>
    <row r="60" customFormat="false" ht="15" hidden="false" customHeight="false" outlineLevel="0" collapsed="false">
      <c r="A60" s="0" t="s">
        <v>469</v>
      </c>
      <c r="B60" s="0" t="n">
        <v>-1</v>
      </c>
      <c r="C60" s="0" t="s">
        <v>470</v>
      </c>
      <c r="D60" s="0" t="n">
        <v>62</v>
      </c>
      <c r="E60" s="29" t="n">
        <v>9.88898286633325</v>
      </c>
      <c r="F60" s="29" t="n">
        <v>5.37412032996354</v>
      </c>
      <c r="G60" s="53" t="n">
        <f aca="false">INDEX(Panel!$U$5:$U$815,D60+1)</f>
        <v>4.23384140595892</v>
      </c>
      <c r="H60" s="53" t="n">
        <f aca="false">INDEX(Panel!$T$5:$T$815,D60+1)</f>
        <v>1.05380751766663</v>
      </c>
      <c r="I60" s="54" t="n">
        <f aca="false">INDEX(Panel!$S$5:$S$815,D60+1)</f>
        <v>-0.000200513290480534</v>
      </c>
      <c r="J60" s="53" t="n">
        <f aca="false">INDEX(Panel!$V$5:$V$815,D60+1)</f>
        <v>0.00167793581732784</v>
      </c>
      <c r="K60" s="55" t="n">
        <f aca="false">(E60-G60-H60*F60-I60*D60)/J60</f>
        <v>2.55366133747607</v>
      </c>
      <c r="L60" s="0" t="n">
        <v>2.5</v>
      </c>
      <c r="M60" s="0" t="str">
        <f aca="false">IF(ABS(K60)&gt;L60,"Yes","No")</f>
        <v>Yes</v>
      </c>
      <c r="N60" s="30" t="s">
        <v>471</v>
      </c>
      <c r="O60" s="0" t="n">
        <v>62</v>
      </c>
      <c r="P60" s="0" t="n">
        <v>19702.2</v>
      </c>
      <c r="Q60" s="0" t="n">
        <v>215.69</v>
      </c>
      <c r="R60" s="30" t="s">
        <v>472</v>
      </c>
      <c r="S60" s="0" t="n">
        <v>64</v>
      </c>
      <c r="T60" s="0" t="n">
        <v>19824</v>
      </c>
      <c r="U60" s="0" t="n">
        <v>217.5</v>
      </c>
      <c r="V60" s="30" t="s">
        <v>473</v>
      </c>
      <c r="W60" s="56" t="n">
        <f aca="false">B60*((LN(T60)-LN(P60))-(LN(U60)-LN(Q60)))</f>
        <v>0.00219363864331434</v>
      </c>
      <c r="X60" s="56" t="n">
        <f aca="false">IF(INDEX(Panel!$A$5:$A$815,O60+1)&lt;=DATE(2024,9,30),0.000625,IF(INDEX(Panel!$A$5:$A$815,O60+1)&lt;=DATE(2026,3,31),0.001,0.0015))*(0.3989*Inputs!$B$28*SQRT(MAX(INDEX(Panel!$G$5:$G$815,O60+1),0)/365))+2*Inputs!$B$29+Inputs!$B$19+0.00003*(0.3989*Inputs!$B$28*SQRT(MAX(INDEX(Panel!$G$5:$G$815,O60+1),0)/365))+IF(B60&lt;0,(Inputs!$B$20+Inputs!$B$22+Inputs!$B$23),(Inputs!$B$21+Inputs!$B$22+Inputs!$B$23))</f>
        <v>0.000466164168901818</v>
      </c>
      <c r="Y60" s="56" t="n">
        <f aca="false">IF(V60="expiry",IF(INDEX(Panel!$A$5:$A$815,S60+1)&lt;=DATE(2026,3,31),0.00125,0.0015)*IF(B60&lt;0,MAX(P60-T60,0),MAX(T60-P60,0))/T60,IF(INDEX(Panel!$A$5:$A$815,S60+1)&lt;=DATE(2024,9,30),0.000625,IF(INDEX(Panel!$A$5:$A$815,S60+1)&lt;=DATE(2026,3,31),0.001,0.0015))*(0.3989*Inputs!$B$28*SQRT(MAX(INDEX(Panel!$G$5:$G$815,S60+1),0)/365))+2*Inputs!$B$29+Inputs!$B$19)+IF(B60&lt;0,(Inputs!$B$21+Inputs!$B$22+Inputs!$B$23),(Inputs!$B$20+Inputs!$B$22+Inputs!$B$23))</f>
        <v>0.000325006594116549</v>
      </c>
      <c r="Z60" s="56" t="n">
        <f aca="false">-SUMPRODUCT((Panel!$F$5:$F$815&gt;=O60)*(Panel!$F$5:$F$815&lt;S60)*(Panel!$N$5:$N$815+0.75*(Inputs!$B$13-Panel!$N$5:$N$815))*Panel!$BD$5:$BD$815)/365</f>
        <v>-0.00132876712328767</v>
      </c>
      <c r="AA60" s="56" t="n">
        <f aca="false">W60-X60-Y60+Z60</f>
        <v>7.3700757008306E-005</v>
      </c>
      <c r="AB60" s="57" t="n">
        <v>7.37007570083058E-005</v>
      </c>
      <c r="AC60" s="58" t="n">
        <f aca="false">AA60-AB60</f>
        <v>0</v>
      </c>
    </row>
    <row r="61" customFormat="false" ht="15" hidden="false" customHeight="false" outlineLevel="0" collapsed="false">
      <c r="A61" s="0" t="s">
        <v>469</v>
      </c>
      <c r="B61" s="0" t="n">
        <v>-1</v>
      </c>
      <c r="C61" s="0" t="s">
        <v>357</v>
      </c>
      <c r="D61" s="0" t="n">
        <v>86</v>
      </c>
      <c r="E61" s="29" t="n">
        <v>9.87246117393101</v>
      </c>
      <c r="F61" s="29" t="n">
        <v>5.36091650830456</v>
      </c>
      <c r="G61" s="53" t="n">
        <f aca="false">INDEX(Panel!$U$5:$U$815,D61+1)</f>
        <v>4.22528505288014</v>
      </c>
      <c r="H61" s="53" t="n">
        <f aca="false">INDEX(Panel!$T$5:$T$815,D61+1)</f>
        <v>1.05538281345578</v>
      </c>
      <c r="I61" s="54" t="n">
        <f aca="false">INDEX(Panel!$S$5:$S$815,D61+1)</f>
        <v>-0.000190510496440933</v>
      </c>
      <c r="J61" s="53" t="n">
        <f aca="false">INDEX(Panel!$V$5:$V$815,D61+1)</f>
        <v>0.00176949520371741</v>
      </c>
      <c r="K61" s="55" t="n">
        <f aca="false">(E61-G61-H61*F61-I61*D61)/J61</f>
        <v>3.24435833265458</v>
      </c>
      <c r="L61" s="0" t="n">
        <v>2.5</v>
      </c>
      <c r="M61" s="0" t="str">
        <f aca="false">IF(ABS(K61)&gt;L61,"Yes","No")</f>
        <v>Yes</v>
      </c>
      <c r="N61" s="30" t="s">
        <v>358</v>
      </c>
      <c r="O61" s="0" t="n">
        <v>86</v>
      </c>
      <c r="P61" s="0" t="n">
        <v>19409</v>
      </c>
      <c r="Q61" s="0" t="n">
        <v>213.19</v>
      </c>
      <c r="R61" s="30" t="s">
        <v>474</v>
      </c>
      <c r="S61" s="0" t="n">
        <v>95</v>
      </c>
      <c r="T61" s="0" t="n">
        <v>20129.85</v>
      </c>
      <c r="U61" s="0" t="n">
        <v>221.68</v>
      </c>
      <c r="V61" s="30" t="s">
        <v>473</v>
      </c>
      <c r="W61" s="56" t="n">
        <f aca="false">B61*((LN(T61)-LN(P61))-(LN(U61)-LN(Q61)))</f>
        <v>0.0025842016377533</v>
      </c>
      <c r="X61" s="56" t="n">
        <f aca="false">IF(INDEX(Panel!$A$5:$A$815,O61+1)&lt;=DATE(2024,9,30),0.000625,IF(INDEX(Panel!$A$5:$A$815,O61+1)&lt;=DATE(2026,3,31),0.001,0.0015))*(0.3989*Inputs!$B$28*SQRT(MAX(INDEX(Panel!$G$5:$G$815,O61+1),0)/365))+2*Inputs!$B$29+Inputs!$B$19+0.00003*(0.3989*Inputs!$B$28*SQRT(MAX(INDEX(Panel!$G$5:$G$815,O61+1),0)/365))+IF(B61&lt;0,(Inputs!$B$20+Inputs!$B$22+Inputs!$B$23),(Inputs!$B$21+Inputs!$B$22+Inputs!$B$23))</f>
        <v>0.00046494875696676</v>
      </c>
      <c r="Y61" s="56" t="n">
        <f aca="false">IF(V61="expiry",IF(INDEX(Panel!$A$5:$A$815,S61+1)&lt;=DATE(2026,3,31),0.00125,0.0015)*IF(B61&lt;0,MAX(P61-T61,0),MAX(T61-P61,0))/T61,IF(INDEX(Panel!$A$5:$A$815,S61+1)&lt;=DATE(2024,9,30),0.000625,IF(INDEX(Panel!$A$5:$A$815,S61+1)&lt;=DATE(2026,3,31),0.001,0.0015))*(0.3989*Inputs!$B$28*SQRT(MAX(INDEX(Panel!$G$5:$G$815,S61+1),0)/365))+2*Inputs!$B$29+Inputs!$B$19)+IF(B61&lt;0,(Inputs!$B$21+Inputs!$B$22+Inputs!$B$23),(Inputs!$B$20+Inputs!$B$22+Inputs!$B$23))</f>
        <v>0.000321835805149815</v>
      </c>
      <c r="Z61" s="56" t="n">
        <f aca="false">-SUMPRODUCT((Panel!$F$5:$F$815&gt;=O61)*(Panel!$F$5:$F$815&lt;S61)*(Panel!$N$5:$N$815+0.75*(Inputs!$B$13-Panel!$N$5:$N$815))*Panel!$BD$5:$BD$815)/365</f>
        <v>-0.00431849315068493</v>
      </c>
      <c r="AA61" s="56" t="n">
        <f aca="false">W61-X61-Y61+Z61</f>
        <v>-0.0025210760750482</v>
      </c>
      <c r="AB61" s="57" t="n">
        <v>-0.0025210760750482</v>
      </c>
      <c r="AC61" s="58" t="n">
        <f aca="false">AA61-AB61</f>
        <v>0</v>
      </c>
    </row>
    <row r="62" customFormat="false" ht="15" hidden="false" customHeight="false" outlineLevel="0" collapsed="false">
      <c r="A62" s="0" t="s">
        <v>469</v>
      </c>
      <c r="B62" s="0" t="n">
        <v>-1</v>
      </c>
      <c r="C62" s="0" t="s">
        <v>475</v>
      </c>
      <c r="D62" s="0" t="n">
        <v>105</v>
      </c>
      <c r="E62" s="29" t="n">
        <v>9.89106318878587</v>
      </c>
      <c r="F62" s="29" t="n">
        <v>5.37920587028138</v>
      </c>
      <c r="G62" s="53" t="n">
        <f aca="false">INDEX(Panel!$U$5:$U$815,D62+1)</f>
        <v>4.34238949257213</v>
      </c>
      <c r="H62" s="53" t="n">
        <f aca="false">INDEX(Panel!$T$5:$T$815,D62+1)</f>
        <v>1.03308042866385</v>
      </c>
      <c r="I62" s="54" t="n">
        <f aca="false">INDEX(Panel!$S$5:$S$815,D62+1)</f>
        <v>-0.000133680282395583</v>
      </c>
      <c r="J62" s="53" t="n">
        <f aca="false">INDEX(Panel!$V$5:$V$815,D62+1)</f>
        <v>0.00204197930157553</v>
      </c>
      <c r="K62" s="55" t="n">
        <f aca="false">(E62-G62-H62*F62-I62*D62)/J62</f>
        <v>2.721780538927</v>
      </c>
      <c r="L62" s="0" t="n">
        <v>2.5</v>
      </c>
      <c r="M62" s="0" t="str">
        <f aca="false">IF(ABS(K62)&gt;L62,"Yes","No")</f>
        <v>Yes</v>
      </c>
      <c r="N62" s="30" t="s">
        <v>476</v>
      </c>
      <c r="O62" s="0" t="n">
        <v>105</v>
      </c>
      <c r="P62" s="0" t="n">
        <v>19775.25</v>
      </c>
      <c r="Q62" s="0" t="n">
        <v>216.97</v>
      </c>
      <c r="R62" s="30" t="s">
        <v>477</v>
      </c>
      <c r="S62" s="0" t="n">
        <v>106</v>
      </c>
      <c r="T62" s="0" t="n">
        <v>19594.75</v>
      </c>
      <c r="U62" s="0" t="n">
        <v>215.51</v>
      </c>
      <c r="V62" s="30" t="s">
        <v>473</v>
      </c>
      <c r="W62" s="56" t="n">
        <f aca="false">B62*((LN(T62)-LN(P62))-(LN(U62)-LN(Q62)))</f>
        <v>0.00241769962955551</v>
      </c>
      <c r="X62" s="56" t="n">
        <f aca="false">IF(INDEX(Panel!$A$5:$A$815,O62+1)&lt;=DATE(2024,9,30),0.000625,IF(INDEX(Panel!$A$5:$A$815,O62+1)&lt;=DATE(2026,3,31),0.001,0.0015))*(0.3989*Inputs!$B$28*SQRT(MAX(INDEX(Panel!$G$5:$G$815,O62+1),0)/365))+2*Inputs!$B$29+Inputs!$B$19+0.00003*(0.3989*Inputs!$B$28*SQRT(MAX(INDEX(Panel!$G$5:$G$815,O62+1),0)/365))+IF(B62&lt;0,(Inputs!$B$20+Inputs!$B$22+Inputs!$B$23),(Inputs!$B$21+Inputs!$B$22+Inputs!$B$23))</f>
        <v>0.00046494875696676</v>
      </c>
      <c r="Y62" s="56" t="n">
        <f aca="false">IF(V62="expiry",IF(INDEX(Panel!$A$5:$A$815,S62+1)&lt;=DATE(2026,3,31),0.00125,0.0015)*IF(B62&lt;0,MAX(P62-T62,0),MAX(T62-P62,0))/T62,IF(INDEX(Panel!$A$5:$A$815,S62+1)&lt;=DATE(2024,9,30),0.000625,IF(INDEX(Panel!$A$5:$A$815,S62+1)&lt;=DATE(2026,3,31),0.001,0.0015))*(0.3989*Inputs!$B$28*SQRT(MAX(INDEX(Panel!$G$5:$G$815,S62+1),0)/365))+2*Inputs!$B$29+Inputs!$B$19)+IF(B62&lt;0,(Inputs!$B$21+Inputs!$B$22+Inputs!$B$23),(Inputs!$B$20+Inputs!$B$22+Inputs!$B$23))</f>
        <v>0.000323761724133425</v>
      </c>
      <c r="Z62" s="56" t="n">
        <f aca="false">-SUMPRODUCT((Panel!$F$5:$F$815&gt;=O62)*(Panel!$F$5:$F$815&lt;S62)*(Panel!$N$5:$N$815+0.75*(Inputs!$B$13-Panel!$N$5:$N$815))*Panel!$BD$5:$BD$815)/365</f>
        <v>-0.00132876712328767</v>
      </c>
      <c r="AA62" s="56" t="n">
        <f aca="false">W62-X62-Y62+Z62</f>
        <v>0.000300222025167658</v>
      </c>
      <c r="AB62" s="57" t="n">
        <v>0.0003002220251676</v>
      </c>
      <c r="AC62" s="58" t="n">
        <f aca="false">AA62-AB62</f>
        <v>5.78421859021017E-017</v>
      </c>
    </row>
    <row r="63" customFormat="false" ht="15" hidden="false" customHeight="false" outlineLevel="0" collapsed="false">
      <c r="A63" s="0" t="s">
        <v>469</v>
      </c>
      <c r="B63" s="0" t="n">
        <v>-1</v>
      </c>
      <c r="C63" s="0" t="s">
        <v>478</v>
      </c>
      <c r="D63" s="0" t="n">
        <v>123</v>
      </c>
      <c r="E63" s="29" t="n">
        <v>9.85665272544855</v>
      </c>
      <c r="F63" s="29" t="n">
        <v>5.34653593881851</v>
      </c>
      <c r="G63" s="53" t="n">
        <f aca="false">INDEX(Panel!$U$5:$U$815,D63+1)</f>
        <v>4.38315456032406</v>
      </c>
      <c r="H63" s="53" t="n">
        <f aca="false">INDEX(Panel!$T$5:$T$815,D63+1)</f>
        <v>1.02534697626981</v>
      </c>
      <c r="I63" s="54" t="n">
        <f aca="false">INDEX(Panel!$S$5:$S$815,D63+1)</f>
        <v>-0.000120001421667994</v>
      </c>
      <c r="J63" s="53" t="n">
        <f aca="false">INDEX(Panel!$V$5:$V$815,D63+1)</f>
        <v>0.0020221092896917</v>
      </c>
      <c r="K63" s="55" t="n">
        <f aca="false">(E63-G63-H63*F63-I63*D63)/J63</f>
        <v>3.06802487672628</v>
      </c>
      <c r="L63" s="0" t="n">
        <v>2.5</v>
      </c>
      <c r="M63" s="0" t="str">
        <f aca="false">IF(ABS(K63)&gt;L63,"Yes","No")</f>
        <v>Yes</v>
      </c>
      <c r="N63" s="30" t="s">
        <v>479</v>
      </c>
      <c r="O63" s="0" t="n">
        <v>123</v>
      </c>
      <c r="P63" s="0" t="n">
        <v>19075.35</v>
      </c>
      <c r="Q63" s="0" t="n">
        <v>209.91</v>
      </c>
      <c r="R63" s="30" t="s">
        <v>480</v>
      </c>
      <c r="S63" s="0" t="n">
        <v>145</v>
      </c>
      <c r="T63" s="0" t="n">
        <v>20037.2</v>
      </c>
      <c r="U63" s="0" t="n">
        <v>221.29</v>
      </c>
      <c r="V63" s="30" t="s">
        <v>473</v>
      </c>
      <c r="W63" s="56" t="n">
        <f aca="false">B63*((LN(T63)-LN(P63))-(LN(U63)-LN(Q63)))</f>
        <v>0.00360157081194501</v>
      </c>
      <c r="X63" s="56" t="n">
        <f aca="false">IF(INDEX(Panel!$A$5:$A$815,O63+1)&lt;=DATE(2024,9,30),0.000625,IF(INDEX(Panel!$A$5:$A$815,O63+1)&lt;=DATE(2026,3,31),0.001,0.0015))*(0.3989*Inputs!$B$28*SQRT(MAX(INDEX(Panel!$G$5:$G$815,O63+1),0)/365))+2*Inputs!$B$29+Inputs!$B$19+0.00003*(0.3989*Inputs!$B$28*SQRT(MAX(INDEX(Panel!$G$5:$G$815,O63+1),0)/365))+IF(B63&lt;0,(Inputs!$B$20+Inputs!$B$22+Inputs!$B$23),(Inputs!$B$21+Inputs!$B$22+Inputs!$B$23))</f>
        <v>0.000466164168901818</v>
      </c>
      <c r="Y63" s="56" t="n">
        <f aca="false">IF(V63="expiry",IF(INDEX(Panel!$A$5:$A$815,S63+1)&lt;=DATE(2026,3,31),0.00125,0.0015)*IF(B63&lt;0,MAX(P63-T63,0),MAX(T63-P63,0))/T63,IF(INDEX(Panel!$A$5:$A$815,S63+1)&lt;=DATE(2024,9,30),0.000625,IF(INDEX(Panel!$A$5:$A$815,S63+1)&lt;=DATE(2026,3,31),0.001,0.0015))*(0.3989*Inputs!$B$28*SQRT(MAX(INDEX(Panel!$G$5:$G$815,S63+1),0)/365))+2*Inputs!$B$29+Inputs!$B$19)+IF(B63&lt;0,(Inputs!$B$21+Inputs!$B$22+Inputs!$B$23),(Inputs!$B$20+Inputs!$B$22+Inputs!$B$23))</f>
        <v>0.000315</v>
      </c>
      <c r="Z63" s="56" t="n">
        <f aca="false">-SUMPRODUCT((Panel!$F$5:$F$815&gt;=O63)*(Panel!$F$5:$F$815&lt;S63)*(Panel!$N$5:$N$815+0.75*(Inputs!$B$13-Panel!$N$5:$N$815))*Panel!$BD$5:$BD$815)/365</f>
        <v>-0.0112945205479452</v>
      </c>
      <c r="AA63" s="56" t="n">
        <f aca="false">W63-X63-Y63+Z63</f>
        <v>-0.00847411390490202</v>
      </c>
      <c r="AB63" s="57" t="n">
        <v>-0.008474113904902</v>
      </c>
      <c r="AC63" s="58" t="n">
        <f aca="false">AA63-AB63</f>
        <v>0</v>
      </c>
    </row>
    <row r="64" customFormat="false" ht="15" hidden="false" customHeight="false" outlineLevel="0" collapsed="false">
      <c r="A64" s="0" t="s">
        <v>469</v>
      </c>
      <c r="B64" s="0" t="n">
        <v>-1</v>
      </c>
      <c r="C64" s="0" t="s">
        <v>366</v>
      </c>
      <c r="D64" s="0" t="n">
        <v>146</v>
      </c>
      <c r="E64" s="29" t="n">
        <v>9.92122677797233</v>
      </c>
      <c r="F64" s="29" t="n">
        <v>5.40762010143849</v>
      </c>
      <c r="G64" s="53" t="n">
        <f aca="false">INDEX(Panel!$U$5:$U$815,D64+1)</f>
        <v>4.60180344289308</v>
      </c>
      <c r="H64" s="53" t="n">
        <f aca="false">INDEX(Panel!$T$5:$T$815,D64+1)</f>
        <v>0.983956748676894</v>
      </c>
      <c r="I64" s="54" t="n">
        <f aca="false">INDEX(Panel!$S$5:$S$815,D64+1)</f>
        <v>-6.58322037433943E-005</v>
      </c>
      <c r="J64" s="53" t="n">
        <f aca="false">INDEX(Panel!$V$5:$V$815,D64+1)</f>
        <v>0.00231565970379552</v>
      </c>
      <c r="K64" s="55" t="n">
        <f aca="false">(E64-G64-H64*F64-I64*D64)/J64</f>
        <v>3.52838706013873</v>
      </c>
      <c r="L64" s="0" t="n">
        <v>2.5</v>
      </c>
      <c r="M64" s="0" t="str">
        <f aca="false">IF(ABS(K64)&gt;L64,"Yes","No")</f>
        <v>Yes</v>
      </c>
      <c r="N64" s="30" t="s">
        <v>367</v>
      </c>
      <c r="O64" s="0" t="n">
        <v>146</v>
      </c>
      <c r="P64" s="0" t="n">
        <v>20346.6</v>
      </c>
      <c r="Q64" s="0" t="n">
        <v>223</v>
      </c>
      <c r="R64" s="30" t="s">
        <v>481</v>
      </c>
      <c r="S64" s="0" t="n">
        <v>158</v>
      </c>
      <c r="T64" s="0" t="n">
        <v>21502.55</v>
      </c>
      <c r="U64" s="0" t="n">
        <v>236.46</v>
      </c>
      <c r="V64" s="30" t="s">
        <v>473</v>
      </c>
      <c r="W64" s="56" t="n">
        <f aca="false">B64*((LN(T64)-LN(P64))-(LN(U64)-LN(Q64)))</f>
        <v>0.0033495779857935</v>
      </c>
      <c r="X64" s="56" t="n">
        <f aca="false">IF(INDEX(Panel!$A$5:$A$815,O64+1)&lt;=DATE(2024,9,30),0.000625,IF(INDEX(Panel!$A$5:$A$815,O64+1)&lt;=DATE(2026,3,31),0.001,0.0015))*(0.3989*Inputs!$B$28*SQRT(MAX(INDEX(Panel!$G$5:$G$815,O64+1),0)/365))+2*Inputs!$B$29+Inputs!$B$19+0.00003*(0.3989*Inputs!$B$28*SQRT(MAX(INDEX(Panel!$G$5:$G$815,O64+1),0)/365))+IF(B64&lt;0,(Inputs!$B$20+Inputs!$B$22+Inputs!$B$23),(Inputs!$B$21+Inputs!$B$22+Inputs!$B$23))</f>
        <v>0.00046494875696676</v>
      </c>
      <c r="Y64" s="56" t="n">
        <f aca="false">IF(V64="expiry",IF(INDEX(Panel!$A$5:$A$815,S64+1)&lt;=DATE(2026,3,31),0.00125,0.0015)*IF(B64&lt;0,MAX(P64-T64,0),MAX(T64-P64,0))/T64,IF(INDEX(Panel!$A$5:$A$815,S64+1)&lt;=DATE(2024,9,30),0.000625,IF(INDEX(Panel!$A$5:$A$815,S64+1)&lt;=DATE(2026,3,31),0.001,0.0015))*(0.3989*Inputs!$B$28*SQRT(MAX(INDEX(Panel!$G$5:$G$815,S64+1),0)/365))+2*Inputs!$B$29+Inputs!$B$19)+IF(B64&lt;0,(Inputs!$B$21+Inputs!$B$22+Inputs!$B$23),(Inputs!$B$20+Inputs!$B$22+Inputs!$B$23))</f>
        <v>0.000320480837321432</v>
      </c>
      <c r="Z64" s="56" t="n">
        <f aca="false">-SUMPRODUCT((Panel!$F$5:$F$815&gt;=O64)*(Panel!$F$5:$F$815&lt;S64)*(Panel!$N$5:$N$815+0.75*(Inputs!$B$13-Panel!$N$5:$N$815))*Panel!$BD$5:$BD$815)/365</f>
        <v>-0.00597945205479452</v>
      </c>
      <c r="AA64" s="56" t="n">
        <f aca="false">W64-X64-Y64+Z64</f>
        <v>-0.00341530366328922</v>
      </c>
      <c r="AB64" s="57" t="n">
        <v>-0.0034153036632892</v>
      </c>
      <c r="AC64" s="58" t="n">
        <f aca="false">AA64-AB64</f>
        <v>-1.86482773667507E-017</v>
      </c>
    </row>
    <row r="65" customFormat="false" ht="15" hidden="false" customHeight="false" outlineLevel="0" collapsed="false">
      <c r="A65" s="0" t="s">
        <v>469</v>
      </c>
      <c r="B65" s="0" t="n">
        <v>-1</v>
      </c>
      <c r="C65" s="0" t="s">
        <v>369</v>
      </c>
      <c r="D65" s="0" t="n">
        <v>165</v>
      </c>
      <c r="E65" s="29" t="n">
        <v>9.99474179084625</v>
      </c>
      <c r="F65" s="29" t="n">
        <v>5.48022216984565</v>
      </c>
      <c r="G65" s="53" t="n">
        <f aca="false">INDEX(Panel!$U$5:$U$815,D65+1)</f>
        <v>4.39286337796013</v>
      </c>
      <c r="H65" s="53" t="n">
        <f aca="false">INDEX(Panel!$T$5:$T$815,D65+1)</f>
        <v>1.02312434161324</v>
      </c>
      <c r="I65" s="54" t="n">
        <f aca="false">INDEX(Panel!$S$5:$S$815,D65+1)</f>
        <v>-7.29783753886715E-005</v>
      </c>
      <c r="J65" s="53" t="n">
        <f aca="false">INDEX(Panel!$V$5:$V$815,D65+1)</f>
        <v>0.00267598898951643</v>
      </c>
      <c r="K65" s="55" t="n">
        <f aca="false">(E65-G65-H65*F65-I65*D65)/J65</f>
        <v>2.60507253018326</v>
      </c>
      <c r="L65" s="0" t="n">
        <v>2.5</v>
      </c>
      <c r="M65" s="0" t="str">
        <f aca="false">IF(ABS(K65)&gt;L65,"Yes","No")</f>
        <v>Yes</v>
      </c>
      <c r="N65" s="30" t="s">
        <v>370</v>
      </c>
      <c r="O65" s="0" t="n">
        <v>165</v>
      </c>
      <c r="P65" s="0" t="n">
        <v>21895.85</v>
      </c>
      <c r="Q65" s="0" t="n">
        <v>239.89</v>
      </c>
      <c r="R65" s="30" t="s">
        <v>482</v>
      </c>
      <c r="S65" s="0" t="n">
        <v>170</v>
      </c>
      <c r="T65" s="0" t="n">
        <v>21772.1</v>
      </c>
      <c r="U65" s="0" t="n">
        <v>239.5</v>
      </c>
      <c r="V65" s="30" t="s">
        <v>473</v>
      </c>
      <c r="W65" s="56" t="n">
        <f aca="false">B65*((LN(T65)-LN(P65))-(LN(U65)-LN(Q65)))</f>
        <v>0.0040407194410319</v>
      </c>
      <c r="X65" s="56" t="n">
        <f aca="false">IF(INDEX(Panel!$A$5:$A$815,O65+1)&lt;=DATE(2024,9,30),0.000625,IF(INDEX(Panel!$A$5:$A$815,O65+1)&lt;=DATE(2026,3,31),0.001,0.0015))*(0.3989*Inputs!$B$28*SQRT(MAX(INDEX(Panel!$G$5:$G$815,O65+1),0)/365))+2*Inputs!$B$29+Inputs!$B$19+0.00003*(0.3989*Inputs!$B$28*SQRT(MAX(INDEX(Panel!$G$5:$G$815,O65+1),0)/365))+IF(B65&lt;0,(Inputs!$B$20+Inputs!$B$22+Inputs!$B$23),(Inputs!$B$21+Inputs!$B$22+Inputs!$B$23))</f>
        <v>0.00046494875696676</v>
      </c>
      <c r="Y65" s="56" t="n">
        <f aca="false">IF(V65="expiry",IF(INDEX(Panel!$A$5:$A$815,S65+1)&lt;=DATE(2026,3,31),0.00125,0.0015)*IF(B65&lt;0,MAX(P65-T65,0),MAX(T65-P65,0))/T65,IF(INDEX(Panel!$A$5:$A$815,S65+1)&lt;=DATE(2024,9,30),0.000625,IF(INDEX(Panel!$A$5:$A$815,S65+1)&lt;=DATE(2026,3,31),0.001,0.0015))*(0.3989*Inputs!$B$28*SQRT(MAX(INDEX(Panel!$G$5:$G$815,S65+1),0)/365))+2*Inputs!$B$29+Inputs!$B$19)+IF(B65&lt;0,(Inputs!$B$21+Inputs!$B$22+Inputs!$B$23),(Inputs!$B$20+Inputs!$B$22+Inputs!$B$23))</f>
        <v>0.000323170349882894</v>
      </c>
      <c r="Z65" s="56" t="n">
        <f aca="false">-SUMPRODUCT((Panel!$F$5:$F$815&gt;=O65)*(Panel!$F$5:$F$815&lt;S65)*(Panel!$N$5:$N$815+0.75*(Inputs!$B$13-Panel!$N$5:$N$815))*Panel!$BD$5:$BD$815)/365</f>
        <v>-0.00232534246575343</v>
      </c>
      <c r="AA65" s="56" t="n">
        <f aca="false">W65-X65-Y65+Z65</f>
        <v>0.000927257868428824</v>
      </c>
      <c r="AB65" s="57" t="n">
        <v>0.0009272578684288</v>
      </c>
      <c r="AC65" s="58" t="n">
        <f aca="false">AA65-AB65</f>
        <v>2.43945488809239E-017</v>
      </c>
    </row>
    <row r="66" customFormat="false" ht="15" hidden="false" customHeight="false" outlineLevel="0" collapsed="false">
      <c r="A66" s="0" t="s">
        <v>469</v>
      </c>
      <c r="B66" s="0" t="n">
        <v>-1</v>
      </c>
      <c r="C66" s="0" t="s">
        <v>417</v>
      </c>
      <c r="D66" s="0" t="n">
        <v>662</v>
      </c>
      <c r="E66" s="29" t="n">
        <v>10.1726364416067</v>
      </c>
      <c r="F66" s="29" t="n">
        <v>5.68354575315476</v>
      </c>
      <c r="G66" s="53" t="n">
        <f aca="false">INDEX(Panel!$U$5:$U$815,D66+1)</f>
        <v>4.38406572356269</v>
      </c>
      <c r="H66" s="53" t="n">
        <f aca="false">INDEX(Panel!$T$5:$T$815,D66+1)</f>
        <v>1.02530673257918</v>
      </c>
      <c r="I66" s="54" t="n">
        <f aca="false">INDEX(Panel!$S$5:$S$815,D66+1)</f>
        <v>-6.69933936231152E-005</v>
      </c>
      <c r="J66" s="53" t="n">
        <f aca="false">INDEX(Panel!$V$5:$V$815,D66+1)</f>
        <v>0.00218900253623979</v>
      </c>
      <c r="K66" s="55" t="n">
        <f aca="false">(E66-G66-H66*F66-I66*D66)/J66</f>
        <v>2.53202949718064</v>
      </c>
      <c r="L66" s="0" t="n">
        <v>2.5</v>
      </c>
      <c r="M66" s="0" t="str">
        <f aca="false">IF(ABS(K66)&gt;L66,"Yes","No")</f>
        <v>Yes</v>
      </c>
      <c r="N66" s="30" t="s">
        <v>418</v>
      </c>
      <c r="O66" s="0" t="n">
        <v>662</v>
      </c>
      <c r="P66" s="0" t="n">
        <v>26138</v>
      </c>
      <c r="Q66" s="0" t="n">
        <v>293.69</v>
      </c>
      <c r="R66" s="30" t="s">
        <v>483</v>
      </c>
      <c r="S66" s="0" t="n">
        <v>669</v>
      </c>
      <c r="T66" s="0" t="n">
        <v>25961.5</v>
      </c>
      <c r="U66" s="0" t="n">
        <v>292.55</v>
      </c>
      <c r="V66" s="30" t="s">
        <v>473</v>
      </c>
      <c r="W66" s="56" t="n">
        <f aca="false">B66*((LN(T66)-LN(P66))-(LN(U66)-LN(Q66)))</f>
        <v>0.00288632576435965</v>
      </c>
      <c r="X66" s="56" t="n">
        <f aca="false">IF(INDEX(Panel!$A$5:$A$815,O66+1)&lt;=DATE(2024,9,30),0.000625,IF(INDEX(Panel!$A$5:$A$815,O66+1)&lt;=DATE(2026,3,31),0.001,0.0015))*(0.3989*Inputs!$B$28*SQRT(MAX(INDEX(Panel!$G$5:$G$815,O66+1),0)/365))+2*Inputs!$B$29+Inputs!$B$19+0.00003*(0.3989*Inputs!$B$28*SQRT(MAX(INDEX(Panel!$G$5:$G$815,O66+1),0)/365))+IF(B66&lt;0,(Inputs!$B$20+Inputs!$B$22+Inputs!$B$23),(Inputs!$B$21+Inputs!$B$22+Inputs!$B$23))</f>
        <v>0.000470644610192005</v>
      </c>
      <c r="Y66" s="56" t="n">
        <f aca="false">IF(V66="expiry",IF(INDEX(Panel!$A$5:$A$815,S66+1)&lt;=DATE(2026,3,31),0.00125,0.0015)*IF(B66&lt;0,MAX(P66-T66,0),MAX(T66-P66,0))/T66,IF(INDEX(Panel!$A$5:$A$815,S66+1)&lt;=DATE(2024,9,30),0.000625,IF(INDEX(Panel!$A$5:$A$815,S66+1)&lt;=DATE(2026,3,31),0.001,0.0015))*(0.3989*Inputs!$B$28*SQRT(MAX(INDEX(Panel!$G$5:$G$815,S66+1),0)/365))+2*Inputs!$B$29+Inputs!$B$19)+IF(B66&lt;0,(Inputs!$B$21+Inputs!$B$22+Inputs!$B$23),(Inputs!$B$20+Inputs!$B$22+Inputs!$B$23))</f>
        <v>0.000327401719157009</v>
      </c>
      <c r="Z66" s="56" t="n">
        <f aca="false">-SUMPRODUCT((Panel!$F$5:$F$815&gt;=O66)*(Panel!$F$5:$F$815&lt;S66)*(Panel!$N$5:$N$815+0.75*(Inputs!$B$13-Panel!$N$5:$N$815))*Panel!$BD$5:$BD$815)/365</f>
        <v>-0.00291267123287671</v>
      </c>
      <c r="AA66" s="56" t="n">
        <f aca="false">W66-X66-Y66+Z66</f>
        <v>-0.000824391797866072</v>
      </c>
      <c r="AB66" s="57" t="n">
        <v>-0.000824391797866</v>
      </c>
      <c r="AC66" s="58" t="n">
        <f aca="false">AA66-AB66</f>
        <v>-7.2099444470286E-017</v>
      </c>
    </row>
    <row r="67" customFormat="false" ht="15" hidden="false" customHeight="false" outlineLevel="0" collapsed="false">
      <c r="A67" s="0" t="s">
        <v>469</v>
      </c>
      <c r="B67" s="0" t="n">
        <v>-1</v>
      </c>
      <c r="C67" s="0" t="s">
        <v>484</v>
      </c>
      <c r="D67" s="0" t="n">
        <v>681</v>
      </c>
      <c r="E67" s="29" t="n">
        <v>10.1392708841968</v>
      </c>
      <c r="F67" s="29" t="n">
        <v>5.65185740179128</v>
      </c>
      <c r="G67" s="53" t="n">
        <f aca="false">INDEX(Panel!$U$5:$U$815,D67+1)</f>
        <v>4.37016148725796</v>
      </c>
      <c r="H67" s="53" t="n">
        <f aca="false">INDEX(Panel!$T$5:$T$815,D67+1)</f>
        <v>1.02792375584962</v>
      </c>
      <c r="I67" s="54" t="n">
        <f aca="false">INDEX(Panel!$S$5:$S$815,D67+1)</f>
        <v>-6.82144768409378E-005</v>
      </c>
      <c r="J67" s="53" t="n">
        <f aca="false">INDEX(Panel!$V$5:$V$815,D67+1)</f>
        <v>0.0022741127805138</v>
      </c>
      <c r="K67" s="55" t="n">
        <f aca="false">(E67-G67-H67*F67-I67*D67)/J67</f>
        <v>2.58780819585711</v>
      </c>
      <c r="L67" s="0" t="n">
        <v>2.5</v>
      </c>
      <c r="M67" s="0" t="str">
        <f aca="false">IF(ABS(K67)&gt;L67,"Yes","No")</f>
        <v>Yes</v>
      </c>
      <c r="N67" s="30" t="s">
        <v>485</v>
      </c>
      <c r="O67" s="0" t="n">
        <v>681</v>
      </c>
      <c r="P67" s="0" t="n">
        <v>25292.5</v>
      </c>
      <c r="Q67" s="0" t="n">
        <v>284.6</v>
      </c>
      <c r="R67" s="30" t="s">
        <v>486</v>
      </c>
      <c r="S67" s="0" t="n">
        <v>683</v>
      </c>
      <c r="T67" s="0" t="n">
        <v>25403.3</v>
      </c>
      <c r="U67" s="0" t="n">
        <v>287.06</v>
      </c>
      <c r="V67" s="30" t="s">
        <v>473</v>
      </c>
      <c r="W67" s="56" t="n">
        <f aca="false">B67*((LN(T67)-LN(P67))-(LN(U67)-LN(Q67)))</f>
        <v>0.00423538974009308</v>
      </c>
      <c r="X67" s="56" t="n">
        <f aca="false">IF(INDEX(Panel!$A$5:$A$815,O67+1)&lt;=DATE(2024,9,30),0.000625,IF(INDEX(Panel!$A$5:$A$815,O67+1)&lt;=DATE(2026,3,31),0.001,0.0015))*(0.3989*Inputs!$B$28*SQRT(MAX(INDEX(Panel!$G$5:$G$815,O67+1),0)/365))+2*Inputs!$B$29+Inputs!$B$19+0.00003*(0.3989*Inputs!$B$28*SQRT(MAX(INDEX(Panel!$G$5:$G$815,O67+1),0)/365))+IF(B67&lt;0,(Inputs!$B$20+Inputs!$B$22+Inputs!$B$23),(Inputs!$B$21+Inputs!$B$22+Inputs!$B$23))</f>
        <v>0.000470352161784745</v>
      </c>
      <c r="Y67" s="56" t="n">
        <f aca="false">IF(V67="expiry",IF(INDEX(Panel!$A$5:$A$815,S67+1)&lt;=DATE(2026,3,31),0.00125,0.0015)*IF(B67&lt;0,MAX(P67-T67,0),MAX(T67-P67,0))/T67,IF(INDEX(Panel!$A$5:$A$815,S67+1)&lt;=DATE(2024,9,30),0.000625,IF(INDEX(Panel!$A$5:$A$815,S67+1)&lt;=DATE(2026,3,31),0.001,0.0015))*(0.3989*Inputs!$B$28*SQRT(MAX(INDEX(Panel!$G$5:$G$815,S67+1),0)/365))+2*Inputs!$B$29+Inputs!$B$19)+IF(B67&lt;0,(Inputs!$B$21+Inputs!$B$22+Inputs!$B$23),(Inputs!$B$20+Inputs!$B$22+Inputs!$B$23))</f>
        <v>0.00032901875861348</v>
      </c>
      <c r="Z67" s="56" t="n">
        <f aca="false">-SUMPRODUCT((Panel!$F$5:$F$815&gt;=O67)*(Panel!$F$5:$F$815&lt;S67)*(Panel!$N$5:$N$815+0.75*(Inputs!$B$13-Panel!$N$5:$N$815))*Panel!$BD$5:$BD$815)/365</f>
        <v>-0.000970890410958904</v>
      </c>
      <c r="AA67" s="56" t="n">
        <f aca="false">W67-X67-Y67+Z67</f>
        <v>0.00246512840873595</v>
      </c>
      <c r="AB67" s="57" t="n">
        <v>0.0024651284087359</v>
      </c>
      <c r="AC67" s="58" t="n">
        <f aca="false">AA67-AB67</f>
        <v>4.7271214720368E-017</v>
      </c>
    </row>
    <row r="68" customFormat="false" ht="15" hidden="false" customHeight="false" outlineLevel="0" collapsed="false">
      <c r="A68" s="0" t="s">
        <v>469</v>
      </c>
      <c r="B68" s="0" t="n">
        <v>-1</v>
      </c>
      <c r="C68" s="0" t="s">
        <v>423</v>
      </c>
      <c r="D68" s="0" t="n">
        <v>701</v>
      </c>
      <c r="E68" s="29" t="n">
        <v>10.1561704884276</v>
      </c>
      <c r="F68" s="29" t="n">
        <v>5.66801711820946</v>
      </c>
      <c r="G68" s="53" t="n">
        <f aca="false">INDEX(Panel!$U$5:$U$815,D68+1)</f>
        <v>4.39581763888251</v>
      </c>
      <c r="H68" s="53" t="n">
        <f aca="false">INDEX(Panel!$T$5:$T$815,D68+1)</f>
        <v>1.0232593132565</v>
      </c>
      <c r="I68" s="54" t="n">
        <f aca="false">INDEX(Panel!$S$5:$S$815,D68+1)</f>
        <v>-6.67856989980723E-005</v>
      </c>
      <c r="J68" s="53" t="n">
        <f aca="false">INDEX(Panel!$V$5:$V$815,D68+1)</f>
        <v>0.00226905116822374</v>
      </c>
      <c r="K68" s="55" t="n">
        <f aca="false">(E68-G68-H68*F68-I68*D68)/J68</f>
        <v>3.22527792241329</v>
      </c>
      <c r="L68" s="0" t="n">
        <v>2.5</v>
      </c>
      <c r="M68" s="0" t="str">
        <f aca="false">IF(ABS(K68)&gt;L68,"Yes","No")</f>
        <v>Yes</v>
      </c>
      <c r="N68" s="30" t="s">
        <v>424</v>
      </c>
      <c r="O68" s="0" t="n">
        <v>701</v>
      </c>
      <c r="P68" s="0" t="n">
        <v>25720</v>
      </c>
      <c r="Q68" s="0" t="n">
        <v>289.32</v>
      </c>
      <c r="R68" s="30" t="s">
        <v>487</v>
      </c>
      <c r="S68" s="0" t="n">
        <v>708</v>
      </c>
      <c r="T68" s="0" t="n">
        <v>23832.8</v>
      </c>
      <c r="U68" s="0" t="n">
        <v>269.33</v>
      </c>
      <c r="V68" s="30" t="s">
        <v>473</v>
      </c>
      <c r="W68" s="56" t="n">
        <f aca="false">B68*((LN(T68)-LN(P68))-(LN(U68)-LN(Q68)))</f>
        <v>0.00461016776802214</v>
      </c>
      <c r="X68" s="56" t="n">
        <f aca="false">IF(INDEX(Panel!$A$5:$A$815,O68+1)&lt;=DATE(2024,9,30),0.000625,IF(INDEX(Panel!$A$5:$A$815,O68+1)&lt;=DATE(2026,3,31),0.001,0.0015))*(0.3989*Inputs!$B$28*SQRT(MAX(INDEX(Panel!$G$5:$G$815,O68+1),0)/365))+2*Inputs!$B$29+Inputs!$B$19+0.00003*(0.3989*Inputs!$B$28*SQRT(MAX(INDEX(Panel!$G$5:$G$815,O68+1),0)/365))+IF(B68&lt;0,(Inputs!$B$20+Inputs!$B$22+Inputs!$B$23),(Inputs!$B$21+Inputs!$B$22+Inputs!$B$23))</f>
        <v>0.00047229576733275</v>
      </c>
      <c r="Y68" s="56" t="n">
        <f aca="false">IF(V68="expiry",IF(INDEX(Panel!$A$5:$A$815,S68+1)&lt;=DATE(2026,3,31),0.00125,0.0015)*IF(B68&lt;0,MAX(P68-T68,0),MAX(T68-P68,0))/T68,IF(INDEX(Panel!$A$5:$A$815,S68+1)&lt;=DATE(2024,9,30),0.000625,IF(INDEX(Panel!$A$5:$A$815,S68+1)&lt;=DATE(2026,3,31),0.001,0.0015))*(0.3989*Inputs!$B$28*SQRT(MAX(INDEX(Panel!$G$5:$G$815,S68+1),0)/365))+2*Inputs!$B$29+Inputs!$B$19)+IF(B68&lt;0,(Inputs!$B$21+Inputs!$B$22+Inputs!$B$23),(Inputs!$B$20+Inputs!$B$22+Inputs!$B$23))</f>
        <v>0.000328395387678508</v>
      </c>
      <c r="Z68" s="56" t="n">
        <f aca="false">-SUMPRODUCT((Panel!$F$5:$F$815&gt;=O68)*(Panel!$F$5:$F$815&lt;S68)*(Panel!$N$5:$N$815+0.75*(Inputs!$B$13-Panel!$N$5:$N$815))*Panel!$BD$5:$BD$815)/365</f>
        <v>-0.00388356164383562</v>
      </c>
      <c r="AA68" s="56" t="n">
        <f aca="false">W68-X68-Y68+Z68</f>
        <v>-7.40850308247301E-005</v>
      </c>
      <c r="AB68" s="57" t="n">
        <v>-7.4085030824731E-005</v>
      </c>
      <c r="AC68" s="58" t="n">
        <f aca="false">AA68-AB68</f>
        <v>8.67361737988404E-019</v>
      </c>
    </row>
    <row r="69" customFormat="false" ht="15" hidden="false" customHeight="false" outlineLevel="0" collapsed="false">
      <c r="A69" s="0" t="s">
        <v>469</v>
      </c>
      <c r="B69" s="0" t="n">
        <v>-1</v>
      </c>
      <c r="C69" s="0" t="s">
        <v>488</v>
      </c>
      <c r="D69" s="0" t="n">
        <v>723</v>
      </c>
      <c r="E69" s="29" t="n">
        <v>10.0392676648942</v>
      </c>
      <c r="F69" s="29" t="n">
        <v>5.55485700848068</v>
      </c>
      <c r="G69" s="53" t="n">
        <f aca="false">INDEX(Panel!$U$5:$U$815,D69+1)</f>
        <v>4.42806619966684</v>
      </c>
      <c r="H69" s="53" t="n">
        <f aca="false">INDEX(Panel!$T$5:$T$815,D69+1)</f>
        <v>1.01699766217553</v>
      </c>
      <c r="I69" s="54" t="n">
        <f aca="false">INDEX(Panel!$S$5:$S$815,D69+1)</f>
        <v>-6.12856907190518E-005</v>
      </c>
      <c r="J69" s="53" t="n">
        <f aca="false">INDEX(Panel!$V$5:$V$815,D69+1)</f>
        <v>0.00241724523338892</v>
      </c>
      <c r="K69" s="55" t="n">
        <f aca="false">(E69-G69-H69*F69-I69*D69)/J69</f>
        <v>2.5791459579127</v>
      </c>
      <c r="L69" s="0" t="n">
        <v>2.5</v>
      </c>
      <c r="M69" s="0" t="str">
        <f aca="false">IF(ABS(K69)&gt;L69,"Yes","No")</f>
        <v>Yes</v>
      </c>
      <c r="N69" s="30" t="s">
        <v>489</v>
      </c>
      <c r="O69" s="0" t="n">
        <v>723</v>
      </c>
      <c r="P69" s="0" t="n">
        <v>22884.9</v>
      </c>
      <c r="Q69" s="0" t="n">
        <v>258.29</v>
      </c>
      <c r="R69" s="30" t="s">
        <v>490</v>
      </c>
      <c r="S69" s="0" t="n">
        <v>723</v>
      </c>
      <c r="T69" s="0" t="n">
        <v>22780</v>
      </c>
      <c r="U69" s="0" t="n">
        <v>258.2</v>
      </c>
      <c r="V69" s="30" t="s">
        <v>473</v>
      </c>
      <c r="W69" s="56" t="n">
        <f aca="false">B69*((LN(T69)-LN(P69))-(LN(U69)-LN(Q69)))</f>
        <v>0.0042458401356047</v>
      </c>
      <c r="X69" s="56" t="n">
        <f aca="false">IF(INDEX(Panel!$A$5:$A$815,O69+1)&lt;=DATE(2024,9,30),0.000625,IF(INDEX(Panel!$A$5:$A$815,O69+1)&lt;=DATE(2026,3,31),0.001,0.0015))*(0.3989*Inputs!$B$28*SQRT(MAX(INDEX(Panel!$G$5:$G$815,O69+1),0)/365))+2*Inputs!$B$29+Inputs!$B$19+0.00003*(0.3989*Inputs!$B$28*SQRT(MAX(INDEX(Panel!$G$5:$G$815,O69+1),0)/365))+IF(B69&lt;0,(Inputs!$B$20+Inputs!$B$22+Inputs!$B$23),(Inputs!$B$21+Inputs!$B$22+Inputs!$B$23))</f>
        <v>0.000478239081158997</v>
      </c>
      <c r="Y69" s="56" t="n">
        <f aca="false">IF(V69="expiry",IF(INDEX(Panel!$A$5:$A$815,S69+1)&lt;=DATE(2026,3,31),0.00125,0.0015)*IF(B69&lt;0,MAX(P69-T69,0),MAX(T69-P69,0))/T69,IF(INDEX(Panel!$A$5:$A$815,S69+1)&lt;=DATE(2024,9,30),0.000625,IF(INDEX(Panel!$A$5:$A$815,S69+1)&lt;=DATE(2026,3,31),0.001,0.0015))*(0.3989*Inputs!$B$28*SQRT(MAX(INDEX(Panel!$G$5:$G$815,S69+1),0)/365))+2*Inputs!$B$29+Inputs!$B$19)+IF(B69&lt;0,(Inputs!$B$21+Inputs!$B$22+Inputs!$B$23),(Inputs!$B$20+Inputs!$B$22+Inputs!$B$23))</f>
        <v>0.000337783412900978</v>
      </c>
      <c r="Z69" s="56" t="n">
        <f aca="false">-SUMPRODUCT((Panel!$F$5:$F$815&gt;=O69)*(Panel!$F$5:$F$815&lt;S69)*(Panel!$N$5:$N$815+0.75*(Inputs!$B$13-Panel!$N$5:$N$815))*Panel!$BD$5:$BD$815)/365</f>
        <v>-0</v>
      </c>
      <c r="AA69" s="56" t="n">
        <f aca="false">W69-X69-Y69+Z69</f>
        <v>0.00342981764154472</v>
      </c>
      <c r="AB69" s="57" t="n">
        <v>0.0034298176415447</v>
      </c>
      <c r="AC69" s="58" t="n">
        <f aca="false">AA69-AB69</f>
        <v>1.99493199737333E-017</v>
      </c>
    </row>
    <row r="70" customFormat="false" ht="15" hidden="false" customHeight="false" outlineLevel="0" collapsed="false">
      <c r="A70" s="0" t="s">
        <v>469</v>
      </c>
      <c r="B70" s="0" t="n">
        <v>-1</v>
      </c>
      <c r="C70" s="0" t="s">
        <v>491</v>
      </c>
      <c r="D70" s="0" t="n">
        <v>723</v>
      </c>
      <c r="E70" s="29" t="n">
        <v>10.0344719543316</v>
      </c>
      <c r="F70" s="29" t="n">
        <v>5.54989287185648</v>
      </c>
      <c r="G70" s="53" t="n">
        <f aca="false">INDEX(Panel!$U$5:$U$815,D70+1)</f>
        <v>4.42806619966684</v>
      </c>
      <c r="H70" s="53" t="n">
        <f aca="false">INDEX(Panel!$T$5:$T$815,D70+1)</f>
        <v>1.01699766217553</v>
      </c>
      <c r="I70" s="54" t="n">
        <f aca="false">INDEX(Panel!$S$5:$S$815,D70+1)</f>
        <v>-6.12856907190518E-005</v>
      </c>
      <c r="J70" s="53" t="n">
        <f aca="false">INDEX(Panel!$V$5:$V$815,D70+1)</f>
        <v>0.00241724523338892</v>
      </c>
      <c r="K70" s="55" t="n">
        <f aca="false">(E70-G70-H70*F70-I70*D70)/J70</f>
        <v>2.68372979385294</v>
      </c>
      <c r="L70" s="0" t="n">
        <v>2.5</v>
      </c>
      <c r="M70" s="0" t="str">
        <f aca="false">IF(ABS(K70)&gt;L70,"Yes","No")</f>
        <v>Yes</v>
      </c>
      <c r="N70" s="30" t="s">
        <v>492</v>
      </c>
      <c r="O70" s="0" t="n">
        <v>723</v>
      </c>
      <c r="P70" s="0" t="n">
        <v>22828</v>
      </c>
      <c r="Q70" s="0" t="n">
        <v>257.99</v>
      </c>
      <c r="R70" s="30" t="s">
        <v>493</v>
      </c>
      <c r="S70" s="0" t="n">
        <v>732</v>
      </c>
      <c r="T70" s="0" t="n">
        <v>24171</v>
      </c>
      <c r="U70" s="0" t="n">
        <v>273.52</v>
      </c>
      <c r="V70" s="30" t="s">
        <v>473</v>
      </c>
      <c r="W70" s="56" t="n">
        <f aca="false">B70*((LN(T70)-LN(P70))-(LN(U70)-LN(Q70)))</f>
        <v>0.0012882060618189</v>
      </c>
      <c r="X70" s="56" t="n">
        <f aca="false">IF(INDEX(Panel!$A$5:$A$815,O70+1)&lt;=DATE(2024,9,30),0.000625,IF(INDEX(Panel!$A$5:$A$815,O70+1)&lt;=DATE(2026,3,31),0.001,0.0015))*(0.3989*Inputs!$B$28*SQRT(MAX(INDEX(Panel!$G$5:$G$815,O70+1),0)/365))+2*Inputs!$B$29+Inputs!$B$19+0.00003*(0.3989*Inputs!$B$28*SQRT(MAX(INDEX(Panel!$G$5:$G$815,O70+1),0)/365))+IF(B70&lt;0,(Inputs!$B$20+Inputs!$B$22+Inputs!$B$23),(Inputs!$B$21+Inputs!$B$22+Inputs!$B$23))</f>
        <v>0.000478239081158997</v>
      </c>
      <c r="Y70" s="56" t="n">
        <f aca="false">IF(V70="expiry",IF(INDEX(Panel!$A$5:$A$815,S70+1)&lt;=DATE(2026,3,31),0.00125,0.0015)*IF(B70&lt;0,MAX(P70-T70,0),MAX(T70-P70,0))/T70,IF(INDEX(Panel!$A$5:$A$815,S70+1)&lt;=DATE(2024,9,30),0.000625,IF(INDEX(Panel!$A$5:$A$815,S70+1)&lt;=DATE(2026,3,31),0.001,0.0015))*(0.3989*Inputs!$B$28*SQRT(MAX(INDEX(Panel!$G$5:$G$815,S70+1),0)/365))+2*Inputs!$B$29+Inputs!$B$19)+IF(B70&lt;0,(Inputs!$B$21+Inputs!$B$22+Inputs!$B$23),(Inputs!$B$20+Inputs!$B$22+Inputs!$B$23))</f>
        <v>0.000330188941933985</v>
      </c>
      <c r="Z70" s="56" t="n">
        <f aca="false">-SUMPRODUCT((Panel!$F$5:$F$815&gt;=O70)*(Panel!$F$5:$F$815&lt;S70)*(Panel!$N$5:$N$815+0.75*(Inputs!$B$13-Panel!$N$5:$N$815))*Panel!$BD$5:$BD$815)/365</f>
        <v>-0.00485445205479452</v>
      </c>
      <c r="AA70" s="56" t="n">
        <f aca="false">W70-X70-Y70+Z70</f>
        <v>-0.00437467401606861</v>
      </c>
      <c r="AB70" s="57" t="n">
        <v>-0.0043746740160686</v>
      </c>
      <c r="AC70" s="58" t="n">
        <f aca="false">AA70-AB70</f>
        <v>0</v>
      </c>
    </row>
    <row r="71" customFormat="false" ht="15" hidden="false" customHeight="false" outlineLevel="0" collapsed="false">
      <c r="A71" s="0" t="s">
        <v>469</v>
      </c>
      <c r="B71" s="0" t="n">
        <v>-1</v>
      </c>
      <c r="C71" s="0" t="s">
        <v>429</v>
      </c>
      <c r="D71" s="0" t="n">
        <v>741</v>
      </c>
      <c r="E71" s="29" t="n">
        <v>10.0941079121448</v>
      </c>
      <c r="F71" s="29" t="n">
        <v>5.60815224364095</v>
      </c>
      <c r="G71" s="53" t="n">
        <f aca="false">INDEX(Panel!$U$5:$U$815,D71+1)</f>
        <v>4.4692643607368</v>
      </c>
      <c r="H71" s="53" t="n">
        <f aca="false">INDEX(Panel!$T$5:$T$815,D71+1)</f>
        <v>1.00883837346067</v>
      </c>
      <c r="I71" s="54" t="n">
        <f aca="false">INDEX(Panel!$S$5:$S$815,D71+1)</f>
        <v>-5.3053487106118E-005</v>
      </c>
      <c r="J71" s="53" t="n">
        <f aca="false">INDEX(Panel!$V$5:$V$815,D71+1)</f>
        <v>0.00250905605721469</v>
      </c>
      <c r="K71" s="55" t="n">
        <f aca="false">(E71-G71-H71*F71-I71*D71)/J71</f>
        <v>2.56550575686468</v>
      </c>
      <c r="L71" s="0" t="n">
        <v>2.5</v>
      </c>
      <c r="M71" s="0" t="str">
        <f aca="false">IF(ABS(K71)&gt;L71,"Yes","No")</f>
        <v>Yes</v>
      </c>
      <c r="N71" s="30" t="s">
        <v>430</v>
      </c>
      <c r="O71" s="0" t="n">
        <v>741</v>
      </c>
      <c r="P71" s="0" t="n">
        <v>24229.2</v>
      </c>
      <c r="Q71" s="0" t="n">
        <v>272.86</v>
      </c>
      <c r="R71" s="30" t="s">
        <v>494</v>
      </c>
      <c r="S71" s="0" t="n">
        <v>748</v>
      </c>
      <c r="T71" s="0" t="n">
        <v>23905</v>
      </c>
      <c r="U71" s="0" t="n">
        <v>270.68</v>
      </c>
      <c r="V71" s="30" t="s">
        <v>473</v>
      </c>
      <c r="W71" s="56" t="n">
        <f aca="false">B71*((LN(T71)-LN(P71))-(LN(U71)-LN(Q71)))</f>
        <v>0.00544934351342086</v>
      </c>
      <c r="X71" s="56" t="n">
        <f aca="false">IF(INDEX(Panel!$A$5:$A$815,O71+1)&lt;=DATE(2024,9,30),0.000625,IF(INDEX(Panel!$A$5:$A$815,O71+1)&lt;=DATE(2026,3,31),0.001,0.0015))*(0.3989*Inputs!$B$28*SQRT(MAX(INDEX(Panel!$G$5:$G$815,O71+1),0)/365))+2*Inputs!$B$29+Inputs!$B$19+0.00003*(0.3989*Inputs!$B$28*SQRT(MAX(INDEX(Panel!$G$5:$G$815,O71+1),0)/365))+IF(B71&lt;0,(Inputs!$B$20+Inputs!$B$22+Inputs!$B$23),(Inputs!$B$21+Inputs!$B$22+Inputs!$B$23))</f>
        <v>0.000478239081158997</v>
      </c>
      <c r="Y71" s="56" t="n">
        <f aca="false">IF(V71="expiry",IF(INDEX(Panel!$A$5:$A$815,S71+1)&lt;=DATE(2026,3,31),0.00125,0.0015)*IF(B71&lt;0,MAX(P71-T71,0),MAX(T71-P71,0))/T71,IF(INDEX(Panel!$A$5:$A$815,S71+1)&lt;=DATE(2024,9,30),0.000625,IF(INDEX(Panel!$A$5:$A$815,S71+1)&lt;=DATE(2026,3,31),0.001,0.0015))*(0.3989*Inputs!$B$28*SQRT(MAX(INDEX(Panel!$G$5:$G$815,S71+1),0)/365))+2*Inputs!$B$29+Inputs!$B$19)+IF(B71&lt;0,(Inputs!$B$21+Inputs!$B$22+Inputs!$B$23),(Inputs!$B$20+Inputs!$B$22+Inputs!$B$23))</f>
        <v>0.000331981753335344</v>
      </c>
      <c r="Z71" s="56" t="n">
        <f aca="false">-SUMPRODUCT((Panel!$F$5:$F$815&gt;=O71)*(Panel!$F$5:$F$815&lt;S71)*(Panel!$N$5:$N$815+0.75*(Inputs!$B$13-Panel!$N$5:$N$815))*Panel!$BD$5:$BD$815)/365</f>
        <v>-0.00388356164383562</v>
      </c>
      <c r="AA71" s="56" t="n">
        <f aca="false">W71-X71-Y71+Z71</f>
        <v>0.000755561035090899</v>
      </c>
      <c r="AB71" s="57" t="n">
        <v>0.0007555610350908</v>
      </c>
      <c r="AC71" s="58" t="n">
        <f aca="false">AA71-AB71</f>
        <v>9.89876583479266E-017</v>
      </c>
    </row>
    <row r="72" customFormat="false" ht="15" hidden="false" customHeight="false" outlineLevel="0" collapsed="false">
      <c r="A72" s="0" t="s">
        <v>495</v>
      </c>
      <c r="B72" s="0" t="n">
        <v>-1</v>
      </c>
      <c r="C72" s="0" t="s">
        <v>470</v>
      </c>
      <c r="D72" s="0" t="n">
        <v>62</v>
      </c>
      <c r="E72" s="29" t="n">
        <v>9.88898286633325</v>
      </c>
      <c r="F72" s="29" t="n">
        <v>5.37412032996354</v>
      </c>
      <c r="G72" s="53" t="n">
        <f aca="false">INDEX(Panel!$U$5:$U$815,D72+1)</f>
        <v>4.23384140595892</v>
      </c>
      <c r="H72" s="53" t="n">
        <f aca="false">INDEX(Panel!$T$5:$T$815,D72+1)</f>
        <v>1.05380751766663</v>
      </c>
      <c r="I72" s="54" t="n">
        <f aca="false">INDEX(Panel!$S$5:$S$815,D72+1)</f>
        <v>-0.000200513290480534</v>
      </c>
      <c r="J72" s="53" t="n">
        <f aca="false">INDEX(Panel!$V$5:$V$815,D72+1)</f>
        <v>0.00167793581732784</v>
      </c>
      <c r="K72" s="55" t="n">
        <f aca="false">(E72-G72-H72*F72-I72*D72)/J72</f>
        <v>2.55366133747607</v>
      </c>
      <c r="L72" s="0" t="n">
        <v>2.5</v>
      </c>
      <c r="M72" s="0" t="str">
        <f aca="false">IF(ABS(K72)&gt;L72,"Yes","No")</f>
        <v>Yes</v>
      </c>
      <c r="N72" s="30" t="s">
        <v>471</v>
      </c>
      <c r="O72" s="0" t="n">
        <v>62</v>
      </c>
      <c r="P72" s="0" t="n">
        <v>19702.2</v>
      </c>
      <c r="Q72" s="0" t="n">
        <v>215.69</v>
      </c>
      <c r="R72" s="30" t="s">
        <v>356</v>
      </c>
      <c r="S72" s="0" t="n">
        <v>85</v>
      </c>
      <c r="T72" s="0" t="n">
        <v>19254</v>
      </c>
      <c r="U72" s="0" t="n">
        <v>213.2</v>
      </c>
      <c r="V72" s="30" t="s">
        <v>353</v>
      </c>
      <c r="W72" s="56" t="n">
        <f aca="false">B72*(LN(T72)-LN(P72))</f>
        <v>0.023011473279869</v>
      </c>
      <c r="X72" s="56" t="n">
        <f aca="false">IF(INDEX(Panel!$A$5:$A$815,O72+1)&lt;=DATE(2024,9,30),0.000625,IF(INDEX(Panel!$A$5:$A$815,O72+1)&lt;=DATE(2026,3,31),0.001,0.0015))*(0.3989*Inputs!$B$28*SQRT(MAX(INDEX(Panel!$G$5:$G$815,O72+1),0)/365))+2*Inputs!$B$29+Inputs!$B$19+0.00003*(0.3989*Inputs!$B$28*SQRT(MAX(INDEX(Panel!$G$5:$G$815,O72+1),0)/365))+0</f>
        <v>0.000116164168901818</v>
      </c>
      <c r="Y72" s="56" t="n">
        <f aca="false">IF(V72="expiry",IF(INDEX(Panel!$A$5:$A$815,S72+1)&lt;=DATE(2026,3,31),0.00125,0.0015)*IF(B72&lt;0,MAX(P72-T72,0),MAX(T72-P72,0))/T72,IF(INDEX(Panel!$A$5:$A$815,S72+1)&lt;=DATE(2024,9,30),0.000625,IF(INDEX(Panel!$A$5:$A$815,S72+1)&lt;=DATE(2026,3,31),0.001,0.0015))*(0.3989*Inputs!$B$28*SQRT(MAX(INDEX(Panel!$G$5:$G$815,S72+1),0)/365))+2*Inputs!$B$29+Inputs!$B$19)+0</f>
        <v>2.90978497974447E-005</v>
      </c>
      <c r="Z72" s="56" t="n">
        <f aca="false">0</f>
        <v>0</v>
      </c>
      <c r="AA72" s="56" t="n">
        <f aca="false">W72-X72-Y72+Z72</f>
        <v>0.0228662112611697</v>
      </c>
      <c r="AB72" s="57" t="n">
        <v>0.0228662112611697</v>
      </c>
      <c r="AC72" s="58" t="n">
        <f aca="false">AA72-AB72</f>
        <v>0</v>
      </c>
    </row>
    <row r="73" customFormat="false" ht="15" hidden="false" customHeight="false" outlineLevel="0" collapsed="false">
      <c r="A73" s="0" t="s">
        <v>495</v>
      </c>
      <c r="B73" s="0" t="n">
        <v>-1</v>
      </c>
      <c r="C73" s="0" t="s">
        <v>357</v>
      </c>
      <c r="D73" s="0" t="n">
        <v>86</v>
      </c>
      <c r="E73" s="29" t="n">
        <v>9.87246117393101</v>
      </c>
      <c r="F73" s="29" t="n">
        <v>5.36091650830456</v>
      </c>
      <c r="G73" s="53" t="n">
        <f aca="false">INDEX(Panel!$U$5:$U$815,D73+1)</f>
        <v>4.22528505288014</v>
      </c>
      <c r="H73" s="53" t="n">
        <f aca="false">INDEX(Panel!$T$5:$T$815,D73+1)</f>
        <v>1.05538281345578</v>
      </c>
      <c r="I73" s="54" t="n">
        <f aca="false">INDEX(Panel!$S$5:$S$815,D73+1)</f>
        <v>-0.000190510496440933</v>
      </c>
      <c r="J73" s="53" t="n">
        <f aca="false">INDEX(Panel!$V$5:$V$815,D73+1)</f>
        <v>0.00176949520371741</v>
      </c>
      <c r="K73" s="55" t="n">
        <f aca="false">(E73-G73-H73*F73-I73*D73)/J73</f>
        <v>3.24435833265458</v>
      </c>
      <c r="L73" s="0" t="n">
        <v>2.5</v>
      </c>
      <c r="M73" s="0" t="str">
        <f aca="false">IF(ABS(K73)&gt;L73,"Yes","No")</f>
        <v>Yes</v>
      </c>
      <c r="N73" s="30" t="s">
        <v>358</v>
      </c>
      <c r="O73" s="0" t="n">
        <v>86</v>
      </c>
      <c r="P73" s="0" t="n">
        <v>19409</v>
      </c>
      <c r="Q73" s="0" t="n">
        <v>213.19</v>
      </c>
      <c r="R73" s="30" t="s">
        <v>359</v>
      </c>
      <c r="S73" s="0" t="n">
        <v>104</v>
      </c>
      <c r="T73" s="0" t="n">
        <v>19525</v>
      </c>
      <c r="U73" s="0" t="n">
        <v>216.14</v>
      </c>
      <c r="V73" s="30" t="s">
        <v>353</v>
      </c>
      <c r="W73" s="56" t="n">
        <f aca="false">B73*(LN(T73)-LN(P73))</f>
        <v>-0.00595881970715872</v>
      </c>
      <c r="X73" s="56" t="n">
        <f aca="false">IF(INDEX(Panel!$A$5:$A$815,O73+1)&lt;=DATE(2024,9,30),0.000625,IF(INDEX(Panel!$A$5:$A$815,O73+1)&lt;=DATE(2026,3,31),0.001,0.0015))*(0.3989*Inputs!$B$28*SQRT(MAX(INDEX(Panel!$G$5:$G$815,O73+1),0)/365))+2*Inputs!$B$29+Inputs!$B$19+0.00003*(0.3989*Inputs!$B$28*SQRT(MAX(INDEX(Panel!$G$5:$G$815,O73+1),0)/365))+0</f>
        <v>0.00011494875696676</v>
      </c>
      <c r="Y73" s="56" t="n">
        <f aca="false">IF(V73="expiry",IF(INDEX(Panel!$A$5:$A$815,S73+1)&lt;=DATE(2026,3,31),0.00125,0.0015)*IF(B73&lt;0,MAX(P73-T73,0),MAX(T73-P73,0))/T73,IF(INDEX(Panel!$A$5:$A$815,S73+1)&lt;=DATE(2024,9,30),0.000625,IF(INDEX(Panel!$A$5:$A$815,S73+1)&lt;=DATE(2026,3,31),0.001,0.0015))*(0.3989*Inputs!$B$28*SQRT(MAX(INDEX(Panel!$G$5:$G$815,S73+1),0)/365))+2*Inputs!$B$29+Inputs!$B$19)+0</f>
        <v>0</v>
      </c>
      <c r="Z73" s="56" t="n">
        <f aca="false">0</f>
        <v>0</v>
      </c>
      <c r="AA73" s="56" t="n">
        <f aca="false">W73-X73-Y73+Z73</f>
        <v>-0.00607376846412549</v>
      </c>
      <c r="AB73" s="57" t="n">
        <v>-0.0060737684641254</v>
      </c>
      <c r="AC73" s="58" t="n">
        <f aca="false">AA73-AB73</f>
        <v>-8.50014503228636E-017</v>
      </c>
    </row>
    <row r="74" customFormat="false" ht="15" hidden="false" customHeight="false" outlineLevel="0" collapsed="false">
      <c r="A74" s="0" t="s">
        <v>495</v>
      </c>
      <c r="B74" s="0" t="n">
        <v>-1</v>
      </c>
      <c r="C74" s="0" t="s">
        <v>475</v>
      </c>
      <c r="D74" s="0" t="n">
        <v>105</v>
      </c>
      <c r="E74" s="29" t="n">
        <v>9.89106318878587</v>
      </c>
      <c r="F74" s="29" t="n">
        <v>5.37920587028138</v>
      </c>
      <c r="G74" s="53" t="n">
        <f aca="false">INDEX(Panel!$U$5:$U$815,D74+1)</f>
        <v>4.34238949257213</v>
      </c>
      <c r="H74" s="53" t="n">
        <f aca="false">INDEX(Panel!$T$5:$T$815,D74+1)</f>
        <v>1.03308042866385</v>
      </c>
      <c r="I74" s="54" t="n">
        <f aca="false">INDEX(Panel!$S$5:$S$815,D74+1)</f>
        <v>-0.000133680282395583</v>
      </c>
      <c r="J74" s="53" t="n">
        <f aca="false">INDEX(Panel!$V$5:$V$815,D74+1)</f>
        <v>0.00204197930157553</v>
      </c>
      <c r="K74" s="55" t="n">
        <f aca="false">(E74-G74-H74*F74-I74*D74)/J74</f>
        <v>2.721780538927</v>
      </c>
      <c r="L74" s="0" t="n">
        <v>2.5</v>
      </c>
      <c r="M74" s="0" t="str">
        <f aca="false">IF(ABS(K74)&gt;L74,"Yes","No")</f>
        <v>Yes</v>
      </c>
      <c r="N74" s="30" t="s">
        <v>476</v>
      </c>
      <c r="O74" s="0" t="n">
        <v>105</v>
      </c>
      <c r="P74" s="0" t="n">
        <v>19775.25</v>
      </c>
      <c r="Q74" s="0" t="n">
        <v>216.97</v>
      </c>
      <c r="R74" s="30" t="s">
        <v>362</v>
      </c>
      <c r="S74" s="0" t="n">
        <v>122</v>
      </c>
      <c r="T74" s="0" t="n">
        <v>18859</v>
      </c>
      <c r="U74" s="0" t="n">
        <v>208.8</v>
      </c>
      <c r="V74" s="30" t="s">
        <v>353</v>
      </c>
      <c r="W74" s="56" t="n">
        <f aca="false">B74*(LN(T74)-LN(P74))</f>
        <v>0.04744090226861</v>
      </c>
      <c r="X74" s="56" t="n">
        <f aca="false">IF(INDEX(Panel!$A$5:$A$815,O74+1)&lt;=DATE(2024,9,30),0.000625,IF(INDEX(Panel!$A$5:$A$815,O74+1)&lt;=DATE(2026,3,31),0.001,0.0015))*(0.3989*Inputs!$B$28*SQRT(MAX(INDEX(Panel!$G$5:$G$815,O74+1),0)/365))+2*Inputs!$B$29+Inputs!$B$19+0.00003*(0.3989*Inputs!$B$28*SQRT(MAX(INDEX(Panel!$G$5:$G$815,O74+1),0)/365))+0</f>
        <v>0.00011494875696676</v>
      </c>
      <c r="Y74" s="56" t="n">
        <f aca="false">IF(V74="expiry",IF(INDEX(Panel!$A$5:$A$815,S74+1)&lt;=DATE(2026,3,31),0.00125,0.0015)*IF(B74&lt;0,MAX(P74-T74,0),MAX(T74-P74,0))/T74,IF(INDEX(Panel!$A$5:$A$815,S74+1)&lt;=DATE(2024,9,30),0.000625,IF(INDEX(Panel!$A$5:$A$815,S74+1)&lt;=DATE(2026,3,31),0.001,0.0015))*(0.3989*Inputs!$B$28*SQRT(MAX(INDEX(Panel!$G$5:$G$815,S74+1),0)/365))+2*Inputs!$B$29+Inputs!$B$19)+0</f>
        <v>6.07302879261891E-005</v>
      </c>
      <c r="Z74" s="56" t="n">
        <f aca="false">0</f>
        <v>0</v>
      </c>
      <c r="AA74" s="56" t="n">
        <f aca="false">W74-X74-Y74+Z74</f>
        <v>0.047265223223717</v>
      </c>
      <c r="AB74" s="57" t="n">
        <v>0.047265223223717</v>
      </c>
      <c r="AC74" s="58" t="n">
        <f aca="false">AA74-AB74</f>
        <v>0</v>
      </c>
    </row>
    <row r="75" customFormat="false" ht="15" hidden="false" customHeight="false" outlineLevel="0" collapsed="false">
      <c r="A75" s="0" t="s">
        <v>495</v>
      </c>
      <c r="B75" s="0" t="n">
        <v>-1</v>
      </c>
      <c r="C75" s="0" t="s">
        <v>478</v>
      </c>
      <c r="D75" s="0" t="n">
        <v>123</v>
      </c>
      <c r="E75" s="29" t="n">
        <v>9.85665272544855</v>
      </c>
      <c r="F75" s="29" t="n">
        <v>5.34653593881851</v>
      </c>
      <c r="G75" s="53" t="n">
        <f aca="false">INDEX(Panel!$U$5:$U$815,D75+1)</f>
        <v>4.38315456032406</v>
      </c>
      <c r="H75" s="53" t="n">
        <f aca="false">INDEX(Panel!$T$5:$T$815,D75+1)</f>
        <v>1.02534697626981</v>
      </c>
      <c r="I75" s="54" t="n">
        <f aca="false">INDEX(Panel!$S$5:$S$815,D75+1)</f>
        <v>-0.000120001421667994</v>
      </c>
      <c r="J75" s="53" t="n">
        <f aca="false">INDEX(Panel!$V$5:$V$815,D75+1)</f>
        <v>0.0020221092896917</v>
      </c>
      <c r="K75" s="55" t="n">
        <f aca="false">(E75-G75-H75*F75-I75*D75)/J75</f>
        <v>3.06802487672628</v>
      </c>
      <c r="L75" s="0" t="n">
        <v>2.5</v>
      </c>
      <c r="M75" s="0" t="str">
        <f aca="false">IF(ABS(K75)&gt;L75,"Yes","No")</f>
        <v>Yes</v>
      </c>
      <c r="N75" s="30" t="s">
        <v>479</v>
      </c>
      <c r="O75" s="0" t="n">
        <v>123</v>
      </c>
      <c r="P75" s="0" t="n">
        <v>19075.35</v>
      </c>
      <c r="Q75" s="0" t="n">
        <v>209.91</v>
      </c>
      <c r="R75" s="30" t="s">
        <v>365</v>
      </c>
      <c r="S75" s="0" t="n">
        <v>145</v>
      </c>
      <c r="T75" s="0" t="n">
        <v>20134</v>
      </c>
      <c r="U75" s="0" t="n">
        <v>222.23</v>
      </c>
      <c r="V75" s="30" t="s">
        <v>353</v>
      </c>
      <c r="W75" s="56" t="n">
        <f aca="false">B75*(LN(T75)-LN(P75))</f>
        <v>-0.0540130026811916</v>
      </c>
      <c r="X75" s="56" t="n">
        <f aca="false">IF(INDEX(Panel!$A$5:$A$815,O75+1)&lt;=DATE(2024,9,30),0.000625,IF(INDEX(Panel!$A$5:$A$815,O75+1)&lt;=DATE(2026,3,31),0.001,0.0015))*(0.3989*Inputs!$B$28*SQRT(MAX(INDEX(Panel!$G$5:$G$815,O75+1),0)/365))+2*Inputs!$B$29+Inputs!$B$19+0.00003*(0.3989*Inputs!$B$28*SQRT(MAX(INDEX(Panel!$G$5:$G$815,O75+1),0)/365))+0</f>
        <v>0.000116164168901818</v>
      </c>
      <c r="Y75" s="56" t="n">
        <f aca="false">IF(V75="expiry",IF(INDEX(Panel!$A$5:$A$815,S75+1)&lt;=DATE(2026,3,31),0.00125,0.0015)*IF(B75&lt;0,MAX(P75-T75,0),MAX(T75-P75,0))/T75,IF(INDEX(Panel!$A$5:$A$815,S75+1)&lt;=DATE(2024,9,30),0.000625,IF(INDEX(Panel!$A$5:$A$815,S75+1)&lt;=DATE(2026,3,31),0.001,0.0015))*(0.3989*Inputs!$B$28*SQRT(MAX(INDEX(Panel!$G$5:$G$815,S75+1),0)/365))+2*Inputs!$B$29+Inputs!$B$19)+0</f>
        <v>0</v>
      </c>
      <c r="Z75" s="56" t="n">
        <f aca="false">0</f>
        <v>0</v>
      </c>
      <c r="AA75" s="56" t="n">
        <f aca="false">W75-X75-Y75+Z75</f>
        <v>-0.0541291668500934</v>
      </c>
      <c r="AB75" s="57" t="n">
        <v>-0.0541291668500934</v>
      </c>
      <c r="AC75" s="58" t="n">
        <f aca="false">AA75-AB75</f>
        <v>0</v>
      </c>
    </row>
    <row r="76" customFormat="false" ht="15" hidden="false" customHeight="false" outlineLevel="0" collapsed="false">
      <c r="A76" s="0" t="s">
        <v>495</v>
      </c>
      <c r="B76" s="0" t="n">
        <v>-1</v>
      </c>
      <c r="C76" s="0" t="s">
        <v>366</v>
      </c>
      <c r="D76" s="0" t="n">
        <v>146</v>
      </c>
      <c r="E76" s="29" t="n">
        <v>9.92122677797233</v>
      </c>
      <c r="F76" s="29" t="n">
        <v>5.40762010143849</v>
      </c>
      <c r="G76" s="53" t="n">
        <f aca="false">INDEX(Panel!$U$5:$U$815,D76+1)</f>
        <v>4.60180344289308</v>
      </c>
      <c r="H76" s="53" t="n">
        <f aca="false">INDEX(Panel!$T$5:$T$815,D76+1)</f>
        <v>0.983956748676894</v>
      </c>
      <c r="I76" s="54" t="n">
        <f aca="false">INDEX(Panel!$S$5:$S$815,D76+1)</f>
        <v>-6.58322037433943E-005</v>
      </c>
      <c r="J76" s="53" t="n">
        <f aca="false">INDEX(Panel!$V$5:$V$815,D76+1)</f>
        <v>0.00231565970379552</v>
      </c>
      <c r="K76" s="55" t="n">
        <f aca="false">(E76-G76-H76*F76-I76*D76)/J76</f>
        <v>3.52838706013873</v>
      </c>
      <c r="L76" s="0" t="n">
        <v>2.5</v>
      </c>
      <c r="M76" s="0" t="str">
        <f aca="false">IF(ABS(K76)&gt;L76,"Yes","No")</f>
        <v>Yes</v>
      </c>
      <c r="N76" s="30" t="s">
        <v>367</v>
      </c>
      <c r="O76" s="0" t="n">
        <v>146</v>
      </c>
      <c r="P76" s="0" t="n">
        <v>20346.6</v>
      </c>
      <c r="Q76" s="0" t="n">
        <v>223</v>
      </c>
      <c r="R76" s="30" t="s">
        <v>368</v>
      </c>
      <c r="S76" s="0" t="n">
        <v>164</v>
      </c>
      <c r="T76" s="0" t="n">
        <v>21780.75</v>
      </c>
      <c r="U76" s="0" t="n">
        <v>240.24</v>
      </c>
      <c r="V76" s="30" t="s">
        <v>353</v>
      </c>
      <c r="W76" s="56" t="n">
        <f aca="false">B76*(LN(T76)-LN(P76))</f>
        <v>-0.0681127304108937</v>
      </c>
      <c r="X76" s="56" t="n">
        <f aca="false">IF(INDEX(Panel!$A$5:$A$815,O76+1)&lt;=DATE(2024,9,30),0.000625,IF(INDEX(Panel!$A$5:$A$815,O76+1)&lt;=DATE(2026,3,31),0.001,0.0015))*(0.3989*Inputs!$B$28*SQRT(MAX(INDEX(Panel!$G$5:$G$815,O76+1),0)/365))+2*Inputs!$B$29+Inputs!$B$19+0.00003*(0.3989*Inputs!$B$28*SQRT(MAX(INDEX(Panel!$G$5:$G$815,O76+1),0)/365))+0</f>
        <v>0.00011494875696676</v>
      </c>
      <c r="Y76" s="56" t="n">
        <f aca="false">IF(V76="expiry",IF(INDEX(Panel!$A$5:$A$815,S76+1)&lt;=DATE(2026,3,31),0.00125,0.0015)*IF(B76&lt;0,MAX(P76-T76,0),MAX(T76-P76,0))/T76,IF(INDEX(Panel!$A$5:$A$815,S76+1)&lt;=DATE(2024,9,30),0.000625,IF(INDEX(Panel!$A$5:$A$815,S76+1)&lt;=DATE(2026,3,31),0.001,0.0015))*(0.3989*Inputs!$B$28*SQRT(MAX(INDEX(Panel!$G$5:$G$815,S76+1),0)/365))+2*Inputs!$B$29+Inputs!$B$19)+0</f>
        <v>0</v>
      </c>
      <c r="Z76" s="56" t="n">
        <f aca="false">0</f>
        <v>0</v>
      </c>
      <c r="AA76" s="56" t="n">
        <f aca="false">W76-X76-Y76+Z76</f>
        <v>-0.0682276791678605</v>
      </c>
      <c r="AB76" s="57" t="n">
        <v>-0.0682276791678604</v>
      </c>
      <c r="AC76" s="58" t="n">
        <f aca="false">AA76-AB76</f>
        <v>0</v>
      </c>
    </row>
    <row r="77" customFormat="false" ht="15" hidden="false" customHeight="false" outlineLevel="0" collapsed="false">
      <c r="A77" s="0" t="s">
        <v>495</v>
      </c>
      <c r="B77" s="0" t="n">
        <v>-1</v>
      </c>
      <c r="C77" s="0" t="s">
        <v>369</v>
      </c>
      <c r="D77" s="0" t="n">
        <v>165</v>
      </c>
      <c r="E77" s="29" t="n">
        <v>9.99474179084625</v>
      </c>
      <c r="F77" s="29" t="n">
        <v>5.48022216984565</v>
      </c>
      <c r="G77" s="53" t="n">
        <f aca="false">INDEX(Panel!$U$5:$U$815,D77+1)</f>
        <v>4.39286337796013</v>
      </c>
      <c r="H77" s="53" t="n">
        <f aca="false">INDEX(Panel!$T$5:$T$815,D77+1)</f>
        <v>1.02312434161324</v>
      </c>
      <c r="I77" s="54" t="n">
        <f aca="false">INDEX(Panel!$S$5:$S$815,D77+1)</f>
        <v>-7.29783753886715E-005</v>
      </c>
      <c r="J77" s="53" t="n">
        <f aca="false">INDEX(Panel!$V$5:$V$815,D77+1)</f>
        <v>0.00267598898951643</v>
      </c>
      <c r="K77" s="55" t="n">
        <f aca="false">(E77-G77-H77*F77-I77*D77)/J77</f>
        <v>2.60507253018326</v>
      </c>
      <c r="L77" s="0" t="n">
        <v>2.5</v>
      </c>
      <c r="M77" s="0" t="str">
        <f aca="false">IF(ABS(K77)&gt;L77,"Yes","No")</f>
        <v>Yes</v>
      </c>
      <c r="N77" s="30" t="s">
        <v>370</v>
      </c>
      <c r="O77" s="0" t="n">
        <v>165</v>
      </c>
      <c r="P77" s="0" t="n">
        <v>21895.85</v>
      </c>
      <c r="Q77" s="0" t="n">
        <v>239.89</v>
      </c>
      <c r="R77" s="30" t="s">
        <v>371</v>
      </c>
      <c r="S77" s="0" t="n">
        <v>184</v>
      </c>
      <c r="T77" s="0" t="n">
        <v>21351</v>
      </c>
      <c r="U77" s="0" t="n">
        <v>236.7</v>
      </c>
      <c r="V77" s="30" t="s">
        <v>353</v>
      </c>
      <c r="W77" s="56" t="n">
        <f aca="false">B77*(LN(T77)-LN(P77))</f>
        <v>0.025198544163354</v>
      </c>
      <c r="X77" s="56" t="n">
        <f aca="false">IF(INDEX(Panel!$A$5:$A$815,O77+1)&lt;=DATE(2024,9,30),0.000625,IF(INDEX(Panel!$A$5:$A$815,O77+1)&lt;=DATE(2026,3,31),0.001,0.0015))*(0.3989*Inputs!$B$28*SQRT(MAX(INDEX(Panel!$G$5:$G$815,O77+1),0)/365))+2*Inputs!$B$29+Inputs!$B$19+0.00003*(0.3989*Inputs!$B$28*SQRT(MAX(INDEX(Panel!$G$5:$G$815,O77+1),0)/365))+0</f>
        <v>0.00011494875696676</v>
      </c>
      <c r="Y77" s="56" t="n">
        <f aca="false">IF(V77="expiry",IF(INDEX(Panel!$A$5:$A$815,S77+1)&lt;=DATE(2026,3,31),0.00125,0.0015)*IF(B77&lt;0,MAX(P77-T77,0),MAX(T77-P77,0))/T77,IF(INDEX(Panel!$A$5:$A$815,S77+1)&lt;=DATE(2024,9,30),0.000625,IF(INDEX(Panel!$A$5:$A$815,S77+1)&lt;=DATE(2026,3,31),0.001,0.0015))*(0.3989*Inputs!$B$28*SQRT(MAX(INDEX(Panel!$G$5:$G$815,S77+1),0)/365))+2*Inputs!$B$29+Inputs!$B$19)+0</f>
        <v>3.18983888342466E-005</v>
      </c>
      <c r="Z77" s="56" t="n">
        <f aca="false">0</f>
        <v>0</v>
      </c>
      <c r="AA77" s="56" t="n">
        <f aca="false">W77-X77-Y77+Z77</f>
        <v>0.025051697017553</v>
      </c>
      <c r="AB77" s="57" t="n">
        <v>0.0250516970175529</v>
      </c>
      <c r="AC77" s="58" t="n">
        <f aca="false">AA77-AB77</f>
        <v>0</v>
      </c>
    </row>
    <row r="78" customFormat="false" ht="15" hidden="false" customHeight="false" outlineLevel="0" collapsed="false">
      <c r="A78" s="0" t="s">
        <v>495</v>
      </c>
      <c r="B78" s="0" t="n">
        <v>-1</v>
      </c>
      <c r="C78" s="0" t="s">
        <v>417</v>
      </c>
      <c r="D78" s="0" t="n">
        <v>662</v>
      </c>
      <c r="E78" s="29" t="n">
        <v>10.1726364416067</v>
      </c>
      <c r="F78" s="29" t="n">
        <v>5.68354575315476</v>
      </c>
      <c r="G78" s="53" t="n">
        <f aca="false">INDEX(Panel!$U$5:$U$815,D78+1)</f>
        <v>4.38406572356269</v>
      </c>
      <c r="H78" s="53" t="n">
        <f aca="false">INDEX(Panel!$T$5:$T$815,D78+1)</f>
        <v>1.02530673257918</v>
      </c>
      <c r="I78" s="54" t="n">
        <f aca="false">INDEX(Panel!$S$5:$S$815,D78+1)</f>
        <v>-6.69933936231152E-005</v>
      </c>
      <c r="J78" s="53" t="n">
        <f aca="false">INDEX(Panel!$V$5:$V$815,D78+1)</f>
        <v>0.00218900253623979</v>
      </c>
      <c r="K78" s="55" t="n">
        <f aca="false">(E78-G78-H78*F78-I78*D78)/J78</f>
        <v>2.53202949718064</v>
      </c>
      <c r="L78" s="0" t="n">
        <v>2.5</v>
      </c>
      <c r="M78" s="0" t="str">
        <f aca="false">IF(ABS(K78)&gt;L78,"Yes","No")</f>
        <v>Yes</v>
      </c>
      <c r="N78" s="30" t="s">
        <v>418</v>
      </c>
      <c r="O78" s="0" t="n">
        <v>662</v>
      </c>
      <c r="P78" s="0" t="n">
        <v>26138</v>
      </c>
      <c r="Q78" s="0" t="n">
        <v>293.69</v>
      </c>
      <c r="R78" s="30" t="s">
        <v>419</v>
      </c>
      <c r="S78" s="0" t="n">
        <v>679</v>
      </c>
      <c r="T78" s="0" t="n">
        <v>25174</v>
      </c>
      <c r="U78" s="0" t="n">
        <v>285.89</v>
      </c>
      <c r="V78" s="30" t="s">
        <v>353</v>
      </c>
      <c r="W78" s="56" t="n">
        <f aca="false">B78*(LN(T78)-LN(P78))</f>
        <v>0.0375784783055302</v>
      </c>
      <c r="X78" s="56" t="n">
        <f aca="false">IF(INDEX(Panel!$A$5:$A$815,O78+1)&lt;=DATE(2024,9,30),0.000625,IF(INDEX(Panel!$A$5:$A$815,O78+1)&lt;=DATE(2026,3,31),0.001,0.0015))*(0.3989*Inputs!$B$28*SQRT(MAX(INDEX(Panel!$G$5:$G$815,O78+1),0)/365))+2*Inputs!$B$29+Inputs!$B$19+0.00003*(0.3989*Inputs!$B$28*SQRT(MAX(INDEX(Panel!$G$5:$G$815,O78+1),0)/365))+0</f>
        <v>0.000120644610192005</v>
      </c>
      <c r="Y78" s="56" t="n">
        <f aca="false">IF(V78="expiry",IF(INDEX(Panel!$A$5:$A$815,S78+1)&lt;=DATE(2026,3,31),0.00125,0.0015)*IF(B78&lt;0,MAX(P78-T78,0),MAX(T78-P78,0))/T78,IF(INDEX(Panel!$A$5:$A$815,S78+1)&lt;=DATE(2024,9,30),0.000625,IF(INDEX(Panel!$A$5:$A$815,S78+1)&lt;=DATE(2026,3,31),0.001,0.0015))*(0.3989*Inputs!$B$28*SQRT(MAX(INDEX(Panel!$G$5:$G$815,S78+1),0)/365))+2*Inputs!$B$29+Inputs!$B$19)+0</f>
        <v>4.78668467466434E-005</v>
      </c>
      <c r="Z78" s="56" t="n">
        <f aca="false">0</f>
        <v>0</v>
      </c>
      <c r="AA78" s="56" t="n">
        <f aca="false">W78-X78-Y78+Z78</f>
        <v>0.0374099668485915</v>
      </c>
      <c r="AB78" s="57" t="n">
        <v>0.0374099668485915</v>
      </c>
      <c r="AC78" s="58" t="n">
        <f aca="false">AA78-AB78</f>
        <v>0</v>
      </c>
    </row>
    <row r="79" customFormat="false" ht="15" hidden="false" customHeight="false" outlineLevel="0" collapsed="false">
      <c r="A79" s="0" t="s">
        <v>495</v>
      </c>
      <c r="B79" s="0" t="n">
        <v>-1</v>
      </c>
      <c r="C79" s="0" t="s">
        <v>484</v>
      </c>
      <c r="D79" s="0" t="n">
        <v>681</v>
      </c>
      <c r="E79" s="29" t="n">
        <v>10.1392708841968</v>
      </c>
      <c r="F79" s="29" t="n">
        <v>5.65185740179128</v>
      </c>
      <c r="G79" s="53" t="n">
        <f aca="false">INDEX(Panel!$U$5:$U$815,D79+1)</f>
        <v>4.37016148725796</v>
      </c>
      <c r="H79" s="53" t="n">
        <f aca="false">INDEX(Panel!$T$5:$T$815,D79+1)</f>
        <v>1.02792375584962</v>
      </c>
      <c r="I79" s="54" t="n">
        <f aca="false">INDEX(Panel!$S$5:$S$815,D79+1)</f>
        <v>-6.82144768409378E-005</v>
      </c>
      <c r="J79" s="53" t="n">
        <f aca="false">INDEX(Panel!$V$5:$V$815,D79+1)</f>
        <v>0.0022741127805138</v>
      </c>
      <c r="K79" s="55" t="n">
        <f aca="false">(E79-G79-H79*F79-I79*D79)/J79</f>
        <v>2.58780819585711</v>
      </c>
      <c r="L79" s="0" t="n">
        <v>2.5</v>
      </c>
      <c r="M79" s="0" t="str">
        <f aca="false">IF(ABS(K79)&gt;L79,"Yes","No")</f>
        <v>Yes</v>
      </c>
      <c r="N79" s="30" t="s">
        <v>485</v>
      </c>
      <c r="O79" s="0" t="n">
        <v>681</v>
      </c>
      <c r="P79" s="0" t="n">
        <v>25292.5</v>
      </c>
      <c r="Q79" s="0" t="n">
        <v>284.6</v>
      </c>
      <c r="R79" s="30" t="s">
        <v>422</v>
      </c>
      <c r="S79" s="0" t="n">
        <v>700</v>
      </c>
      <c r="T79" s="0" t="n">
        <v>25423.4</v>
      </c>
      <c r="U79" s="0" t="n">
        <v>288</v>
      </c>
      <c r="V79" s="30" t="s">
        <v>353</v>
      </c>
      <c r="W79" s="56" t="n">
        <f aca="false">B79*(LN(T79)-LN(P79))</f>
        <v>-0.00516210066970402</v>
      </c>
      <c r="X79" s="56" t="n">
        <f aca="false">IF(INDEX(Panel!$A$5:$A$815,O79+1)&lt;=DATE(2024,9,30),0.000625,IF(INDEX(Panel!$A$5:$A$815,O79+1)&lt;=DATE(2026,3,31),0.001,0.0015))*(0.3989*Inputs!$B$28*SQRT(MAX(INDEX(Panel!$G$5:$G$815,O79+1),0)/365))+2*Inputs!$B$29+Inputs!$B$19+0.00003*(0.3989*Inputs!$B$28*SQRT(MAX(INDEX(Panel!$G$5:$G$815,O79+1),0)/365))+0</f>
        <v>0.000120352161784745</v>
      </c>
      <c r="Y79" s="56" t="n">
        <f aca="false">IF(V79="expiry",IF(INDEX(Panel!$A$5:$A$815,S79+1)&lt;=DATE(2026,3,31),0.00125,0.0015)*IF(B79&lt;0,MAX(P79-T79,0),MAX(T79-P79,0))/T79,IF(INDEX(Panel!$A$5:$A$815,S79+1)&lt;=DATE(2024,9,30),0.000625,IF(INDEX(Panel!$A$5:$A$815,S79+1)&lt;=DATE(2026,3,31),0.001,0.0015))*(0.3989*Inputs!$B$28*SQRT(MAX(INDEX(Panel!$G$5:$G$815,S79+1),0)/365))+2*Inputs!$B$29+Inputs!$B$19)+0</f>
        <v>0</v>
      </c>
      <c r="Z79" s="56" t="n">
        <f aca="false">0</f>
        <v>0</v>
      </c>
      <c r="AA79" s="56" t="n">
        <f aca="false">W79-X79-Y79+Z79</f>
        <v>-0.00528245283148876</v>
      </c>
      <c r="AB79" s="57" t="n">
        <v>-0.0052824528314887</v>
      </c>
      <c r="AC79" s="58" t="n">
        <f aca="false">AA79-AB79</f>
        <v>-6.15826833971767E-017</v>
      </c>
    </row>
    <row r="80" customFormat="false" ht="15" hidden="false" customHeight="false" outlineLevel="0" collapsed="false">
      <c r="A80" s="0" t="s">
        <v>495</v>
      </c>
      <c r="B80" s="0" t="n">
        <v>-1</v>
      </c>
      <c r="C80" s="0" t="s">
        <v>423</v>
      </c>
      <c r="D80" s="0" t="n">
        <v>701</v>
      </c>
      <c r="E80" s="29" t="n">
        <v>10.1561704884276</v>
      </c>
      <c r="F80" s="29" t="n">
        <v>5.66801711820946</v>
      </c>
      <c r="G80" s="53" t="n">
        <f aca="false">INDEX(Panel!$U$5:$U$815,D80+1)</f>
        <v>4.39581763888251</v>
      </c>
      <c r="H80" s="53" t="n">
        <f aca="false">INDEX(Panel!$T$5:$T$815,D80+1)</f>
        <v>1.0232593132565</v>
      </c>
      <c r="I80" s="54" t="n">
        <f aca="false">INDEX(Panel!$S$5:$S$815,D80+1)</f>
        <v>-6.67856989980723E-005</v>
      </c>
      <c r="J80" s="53" t="n">
        <f aca="false">INDEX(Panel!$V$5:$V$815,D80+1)</f>
        <v>0.00226905116822374</v>
      </c>
      <c r="K80" s="55" t="n">
        <f aca="false">(E80-G80-H80*F80-I80*D80)/J80</f>
        <v>3.22527792241329</v>
      </c>
      <c r="L80" s="0" t="n">
        <v>2.5</v>
      </c>
      <c r="M80" s="0" t="str">
        <f aca="false">IF(ABS(K80)&gt;L80,"Yes","No")</f>
        <v>Yes</v>
      </c>
      <c r="N80" s="30" t="s">
        <v>424</v>
      </c>
      <c r="O80" s="0" t="n">
        <v>701</v>
      </c>
      <c r="P80" s="0" t="n">
        <v>25720</v>
      </c>
      <c r="Q80" s="0" t="n">
        <v>289.32</v>
      </c>
      <c r="R80" s="30" t="s">
        <v>425</v>
      </c>
      <c r="S80" s="0" t="n">
        <v>722</v>
      </c>
      <c r="T80" s="0" t="n">
        <v>22330</v>
      </c>
      <c r="U80" s="0" t="n">
        <v>255.26</v>
      </c>
      <c r="V80" s="30" t="s">
        <v>353</v>
      </c>
      <c r="W80" s="56" t="n">
        <f aca="false">B80*(LN(T80)-LN(P80))</f>
        <v>0.141337833517351</v>
      </c>
      <c r="X80" s="56" t="n">
        <f aca="false">IF(INDEX(Panel!$A$5:$A$815,O80+1)&lt;=DATE(2024,9,30),0.000625,IF(INDEX(Panel!$A$5:$A$815,O80+1)&lt;=DATE(2026,3,31),0.001,0.0015))*(0.3989*Inputs!$B$28*SQRT(MAX(INDEX(Panel!$G$5:$G$815,O80+1),0)/365))+2*Inputs!$B$29+Inputs!$B$19+0.00003*(0.3989*Inputs!$B$28*SQRT(MAX(INDEX(Panel!$G$5:$G$815,O80+1),0)/365))+0</f>
        <v>0.00012229576733275</v>
      </c>
      <c r="Y80" s="56" t="n">
        <f aca="false">IF(V80="expiry",IF(INDEX(Panel!$A$5:$A$815,S80+1)&lt;=DATE(2026,3,31),0.00125,0.0015)*IF(B80&lt;0,MAX(P80-T80,0),MAX(T80-P80,0))/T80,IF(INDEX(Panel!$A$5:$A$815,S80+1)&lt;=DATE(2024,9,30),0.000625,IF(INDEX(Panel!$A$5:$A$815,S80+1)&lt;=DATE(2026,3,31),0.001,0.0015))*(0.3989*Inputs!$B$28*SQRT(MAX(INDEX(Panel!$G$5:$G$815,S80+1),0)/365))+2*Inputs!$B$29+Inputs!$B$19)+0</f>
        <v>0.000189767129422302</v>
      </c>
      <c r="Z80" s="56" t="n">
        <f aca="false">0</f>
        <v>0</v>
      </c>
      <c r="AA80" s="56" t="n">
        <f aca="false">W80-X80-Y80+Z80</f>
        <v>0.141025770620596</v>
      </c>
      <c r="AB80" s="57" t="n">
        <v>0.141025770620596</v>
      </c>
      <c r="AC80" s="58" t="n">
        <f aca="false">AA80-AB80</f>
        <v>0</v>
      </c>
    </row>
    <row r="81" customFormat="false" ht="15" hidden="false" customHeight="false" outlineLevel="0" collapsed="false">
      <c r="A81" s="0" t="s">
        <v>495</v>
      </c>
      <c r="B81" s="0" t="n">
        <v>-1</v>
      </c>
      <c r="C81" s="0" t="s">
        <v>488</v>
      </c>
      <c r="D81" s="0" t="n">
        <v>723</v>
      </c>
      <c r="E81" s="29" t="n">
        <v>10.0392676648942</v>
      </c>
      <c r="F81" s="29" t="n">
        <v>5.55485700848068</v>
      </c>
      <c r="G81" s="53" t="n">
        <f aca="false">INDEX(Panel!$U$5:$U$815,D81+1)</f>
        <v>4.42806619966684</v>
      </c>
      <c r="H81" s="53" t="n">
        <f aca="false">INDEX(Panel!$T$5:$T$815,D81+1)</f>
        <v>1.01699766217553</v>
      </c>
      <c r="I81" s="54" t="n">
        <f aca="false">INDEX(Panel!$S$5:$S$815,D81+1)</f>
        <v>-6.12856907190518E-005</v>
      </c>
      <c r="J81" s="53" t="n">
        <f aca="false">INDEX(Panel!$V$5:$V$815,D81+1)</f>
        <v>0.00241724523338892</v>
      </c>
      <c r="K81" s="55" t="n">
        <f aca="false">(E81-G81-H81*F81-I81*D81)/J81</f>
        <v>2.5791459579127</v>
      </c>
      <c r="L81" s="0" t="n">
        <v>2.5</v>
      </c>
      <c r="M81" s="0" t="str">
        <f aca="false">IF(ABS(K81)&gt;L81,"Yes","No")</f>
        <v>Yes</v>
      </c>
      <c r="N81" s="30" t="s">
        <v>489</v>
      </c>
      <c r="O81" s="0" t="n">
        <v>723</v>
      </c>
      <c r="P81" s="0" t="n">
        <v>22884.9</v>
      </c>
      <c r="Q81" s="0" t="n">
        <v>258.29</v>
      </c>
      <c r="R81" s="30" t="s">
        <v>428</v>
      </c>
      <c r="S81" s="0" t="n">
        <v>740</v>
      </c>
      <c r="T81" s="0" t="n">
        <v>23994.1</v>
      </c>
      <c r="U81" s="0" t="n">
        <v>271.8</v>
      </c>
      <c r="V81" s="30" t="s">
        <v>353</v>
      </c>
      <c r="W81" s="56" t="n">
        <f aca="false">B81*(LN(T81)-LN(P81))</f>
        <v>-0.0473306623710457</v>
      </c>
      <c r="X81" s="56" t="n">
        <f aca="false">IF(INDEX(Panel!$A$5:$A$815,O81+1)&lt;=DATE(2024,9,30),0.000625,IF(INDEX(Panel!$A$5:$A$815,O81+1)&lt;=DATE(2026,3,31),0.001,0.0015))*(0.3989*Inputs!$B$28*SQRT(MAX(INDEX(Panel!$G$5:$G$815,O81+1),0)/365))+2*Inputs!$B$29+Inputs!$B$19+0.00003*(0.3989*Inputs!$B$28*SQRT(MAX(INDEX(Panel!$G$5:$G$815,O81+1),0)/365))+0</f>
        <v>0.000128239081158997</v>
      </c>
      <c r="Y81" s="56" t="n">
        <f aca="false">IF(V81="expiry",IF(INDEX(Panel!$A$5:$A$815,S81+1)&lt;=DATE(2026,3,31),0.00125,0.0015)*IF(B81&lt;0,MAX(P81-T81,0),MAX(T81-P81,0))/T81,IF(INDEX(Panel!$A$5:$A$815,S81+1)&lt;=DATE(2024,9,30),0.000625,IF(INDEX(Panel!$A$5:$A$815,S81+1)&lt;=DATE(2026,3,31),0.001,0.0015))*(0.3989*Inputs!$B$28*SQRT(MAX(INDEX(Panel!$G$5:$G$815,S81+1),0)/365))+2*Inputs!$B$29+Inputs!$B$19)+0</f>
        <v>0</v>
      </c>
      <c r="Z81" s="56" t="n">
        <f aca="false">0</f>
        <v>0</v>
      </c>
      <c r="AA81" s="56" t="n">
        <f aca="false">W81-X81-Y81+Z81</f>
        <v>-0.0474589014522047</v>
      </c>
      <c r="AB81" s="57" t="n">
        <v>-0.0474589014522046</v>
      </c>
      <c r="AC81" s="58" t="n">
        <f aca="false">AA81-AB81</f>
        <v>0</v>
      </c>
    </row>
    <row r="82" customFormat="false" ht="15" hidden="false" customHeight="false" outlineLevel="0" collapsed="false">
      <c r="A82" s="0" t="s">
        <v>495</v>
      </c>
      <c r="B82" s="0" t="n">
        <v>-1</v>
      </c>
      <c r="C82" s="0" t="s">
        <v>429</v>
      </c>
      <c r="D82" s="0" t="n">
        <v>741</v>
      </c>
      <c r="E82" s="29" t="n">
        <v>10.0941079121448</v>
      </c>
      <c r="F82" s="29" t="n">
        <v>5.60815224364095</v>
      </c>
      <c r="G82" s="53" t="n">
        <f aca="false">INDEX(Panel!$U$5:$U$815,D82+1)</f>
        <v>4.4692643607368</v>
      </c>
      <c r="H82" s="53" t="n">
        <f aca="false">INDEX(Panel!$T$5:$T$815,D82+1)</f>
        <v>1.00883837346067</v>
      </c>
      <c r="I82" s="54" t="n">
        <f aca="false">INDEX(Panel!$S$5:$S$815,D82+1)</f>
        <v>-5.3053487106118E-005</v>
      </c>
      <c r="J82" s="53" t="n">
        <f aca="false">INDEX(Panel!$V$5:$V$815,D82+1)</f>
        <v>0.00250905605721469</v>
      </c>
      <c r="K82" s="55" t="n">
        <f aca="false">(E82-G82-H82*F82-I82*D82)/J82</f>
        <v>2.56550575686468</v>
      </c>
      <c r="L82" s="0" t="n">
        <v>2.5</v>
      </c>
      <c r="M82" s="0" t="str">
        <f aca="false">IF(ABS(K82)&gt;L82,"Yes","No")</f>
        <v>Yes</v>
      </c>
      <c r="N82" s="30" t="s">
        <v>430</v>
      </c>
      <c r="O82" s="0" t="n">
        <v>741</v>
      </c>
      <c r="P82" s="0" t="n">
        <v>24229.2</v>
      </c>
      <c r="Q82" s="0" t="n">
        <v>272.86</v>
      </c>
      <c r="R82" s="30" t="s">
        <v>431</v>
      </c>
      <c r="S82" s="0" t="n">
        <v>759</v>
      </c>
      <c r="T82" s="0" t="n">
        <v>23911.2</v>
      </c>
      <c r="U82" s="0" t="n">
        <v>271.07</v>
      </c>
      <c r="V82" s="30" t="s">
        <v>353</v>
      </c>
      <c r="W82" s="56" t="n">
        <f aca="false">B82*(LN(T82)-LN(P82))</f>
        <v>0.0132115489455718</v>
      </c>
      <c r="X82" s="56" t="n">
        <f aca="false">IF(INDEX(Panel!$A$5:$A$815,O82+1)&lt;=DATE(2024,9,30),0.000625,IF(INDEX(Panel!$A$5:$A$815,O82+1)&lt;=DATE(2026,3,31),0.001,0.0015))*(0.3989*Inputs!$B$28*SQRT(MAX(INDEX(Panel!$G$5:$G$815,O82+1),0)/365))+2*Inputs!$B$29+Inputs!$B$19+0.00003*(0.3989*Inputs!$B$28*SQRT(MAX(INDEX(Panel!$G$5:$G$815,O82+1),0)/365))+0</f>
        <v>0.000128239081158997</v>
      </c>
      <c r="Y82" s="56" t="n">
        <f aca="false">IF(V82="expiry",IF(INDEX(Panel!$A$5:$A$815,S82+1)&lt;=DATE(2026,3,31),0.00125,0.0015)*IF(B82&lt;0,MAX(P82-T82,0),MAX(T82-P82,0))/T82,IF(INDEX(Panel!$A$5:$A$815,S82+1)&lt;=DATE(2024,9,30),0.000625,IF(INDEX(Panel!$A$5:$A$815,S82+1)&lt;=DATE(2026,3,31),0.001,0.0015))*(0.3989*Inputs!$B$28*SQRT(MAX(INDEX(Panel!$G$5:$G$815,S82+1),0)/365))+2*Inputs!$B$29+Inputs!$B$19)+0</f>
        <v>1.99488105992171E-005</v>
      </c>
      <c r="Z82" s="56" t="n">
        <f aca="false">0</f>
        <v>0</v>
      </c>
      <c r="AA82" s="56" t="n">
        <f aca="false">W82-X82-Y82+Z82</f>
        <v>0.0130633610538135</v>
      </c>
      <c r="AB82" s="57" t="n">
        <v>0.0130633610538135</v>
      </c>
      <c r="AC82" s="58" t="n">
        <f aca="false">AA82-AB82</f>
        <v>0</v>
      </c>
    </row>
    <row r="83" customFormat="false" ht="15" hidden="false" customHeight="false" outlineLevel="0" collapsed="false">
      <c r="A83" s="0" t="s">
        <v>496</v>
      </c>
      <c r="B83" s="0" t="n">
        <v>-1</v>
      </c>
      <c r="C83" s="0" t="s">
        <v>470</v>
      </c>
      <c r="D83" s="0" t="n">
        <v>62</v>
      </c>
      <c r="E83" s="29" t="n">
        <v>9.88898286633325</v>
      </c>
      <c r="F83" s="29" t="n">
        <v>5.37412032996354</v>
      </c>
      <c r="G83" s="53" t="n">
        <f aca="false">INDEX(Panel!$U$5:$U$815,D83+1)</f>
        <v>4.23384140595892</v>
      </c>
      <c r="H83" s="53" t="n">
        <f aca="false">INDEX(Panel!$T$5:$T$815,D83+1)</f>
        <v>1.05380751766663</v>
      </c>
      <c r="I83" s="54" t="n">
        <f aca="false">INDEX(Panel!$S$5:$S$815,D83+1)</f>
        <v>-0.000200513290480534</v>
      </c>
      <c r="J83" s="53" t="n">
        <f aca="false">INDEX(Panel!$V$5:$V$815,D83+1)</f>
        <v>0.00167793581732784</v>
      </c>
      <c r="K83" s="55" t="n">
        <f aca="false">(E83-G83-H83*F83-I83*D83)/J83</f>
        <v>2.55366133747607</v>
      </c>
      <c r="L83" s="0" t="n">
        <v>2.5</v>
      </c>
      <c r="M83" s="0" t="str">
        <f aca="false">IF(ABS(K83)&gt;L83,"Yes","No")</f>
        <v>Yes</v>
      </c>
      <c r="N83" s="30" t="s">
        <v>471</v>
      </c>
      <c r="O83" s="0" t="n">
        <v>62</v>
      </c>
      <c r="P83" s="0" t="n">
        <v>19702.2</v>
      </c>
      <c r="Q83" s="0" t="n">
        <v>215.69</v>
      </c>
      <c r="R83" s="30" t="s">
        <v>356</v>
      </c>
      <c r="S83" s="0" t="n">
        <v>85</v>
      </c>
      <c r="T83" s="0" t="n">
        <v>19254</v>
      </c>
      <c r="U83" s="0" t="n">
        <v>213.2</v>
      </c>
      <c r="V83" s="30" t="s">
        <v>353</v>
      </c>
      <c r="W83" s="56" t="n">
        <f aca="false">B83*((LN(T83)-LN(P83))-(LN(U83)-LN(Q83)))</f>
        <v>0.0113999739372757</v>
      </c>
      <c r="X83" s="56" t="n">
        <f aca="false">IF(INDEX(Panel!$A$5:$A$815,O83+1)&lt;=DATE(2024,9,30),0.000625,IF(INDEX(Panel!$A$5:$A$815,O83+1)&lt;=DATE(2026,3,31),0.001,0.0015))*(0.3989*Inputs!$B$28*SQRT(MAX(INDEX(Panel!$G$5:$G$815,O83+1),0)/365))+2*Inputs!$B$30+Inputs!$B$25+0.00003*(0.3989*Inputs!$B$28*SQRT(MAX(INDEX(Panel!$G$5:$G$815,O83+1),0)/365))+IF(B83&lt;0,(Inputs!$B$20+Inputs!$B$26+Inputs!$B$27),(Inputs!$B$21+Inputs!$B$26+Inputs!$B$27))</f>
        <v>0.000318164168901818</v>
      </c>
      <c r="Y83" s="56" t="n">
        <f aca="false">IF(V83="expiry",IF(INDEX(Panel!$A$5:$A$815,S83+1)&lt;=DATE(2026,3,31),0.00125,0.0015)*IF(B83&lt;0,MAX(P83-T83,0),MAX(T83-P83,0))/T83,IF(INDEX(Panel!$A$5:$A$815,S83+1)&lt;=DATE(2024,9,30),0.000625,IF(INDEX(Panel!$A$5:$A$815,S83+1)&lt;=DATE(2026,3,31),0.001,0.0015))*(0.3989*Inputs!$B$28*SQRT(MAX(INDEX(Panel!$G$5:$G$815,S83+1),0)/365))+2*Inputs!$B$30+Inputs!$B$25)+IF(B83&lt;0,(Inputs!$B$21+Inputs!$B$26+Inputs!$B$27),(Inputs!$B$20+Inputs!$B$26+Inputs!$B$27))</f>
        <v>0.000144097849797445</v>
      </c>
      <c r="Z83" s="56" t="n">
        <f aca="false">B83*SUMPRODUCT((Panel!$F$5:$F$815&gt;=O83)*(Panel!$F$5:$F$815&lt;S83)*(Panel!$N$5:$N$815+Inputs!$B$14)*Panel!$BD$5:$BD$815)/365</f>
        <v>-0.00675342465753425</v>
      </c>
      <c r="AA83" s="56" t="n">
        <f aca="false">W83-X83-Y83+Z83</f>
        <v>0.00418428726104214</v>
      </c>
      <c r="AB83" s="57" t="n">
        <v>0.0041842872610421</v>
      </c>
      <c r="AC83" s="58" t="n">
        <f aca="false">AA83-AB83</f>
        <v>4.33680868994202E-017</v>
      </c>
    </row>
    <row r="84" customFormat="false" ht="15" hidden="false" customHeight="false" outlineLevel="0" collapsed="false">
      <c r="A84" s="0" t="s">
        <v>496</v>
      </c>
      <c r="B84" s="0" t="n">
        <v>-1</v>
      </c>
      <c r="C84" s="0" t="s">
        <v>357</v>
      </c>
      <c r="D84" s="0" t="n">
        <v>86</v>
      </c>
      <c r="E84" s="29" t="n">
        <v>9.87246117393101</v>
      </c>
      <c r="F84" s="29" t="n">
        <v>5.36091650830456</v>
      </c>
      <c r="G84" s="53" t="n">
        <f aca="false">INDEX(Panel!$U$5:$U$815,D84+1)</f>
        <v>4.22528505288014</v>
      </c>
      <c r="H84" s="53" t="n">
        <f aca="false">INDEX(Panel!$T$5:$T$815,D84+1)</f>
        <v>1.05538281345578</v>
      </c>
      <c r="I84" s="54" t="n">
        <f aca="false">INDEX(Panel!$S$5:$S$815,D84+1)</f>
        <v>-0.000190510496440933</v>
      </c>
      <c r="J84" s="53" t="n">
        <f aca="false">INDEX(Panel!$V$5:$V$815,D84+1)</f>
        <v>0.00176949520371741</v>
      </c>
      <c r="K84" s="55" t="n">
        <f aca="false">(E84-G84-H84*F84-I84*D84)/J84</f>
        <v>3.24435833265458</v>
      </c>
      <c r="L84" s="0" t="n">
        <v>2.5</v>
      </c>
      <c r="M84" s="0" t="str">
        <f aca="false">IF(ABS(K84)&gt;L84,"Yes","No")</f>
        <v>Yes</v>
      </c>
      <c r="N84" s="30" t="s">
        <v>358</v>
      </c>
      <c r="O84" s="0" t="n">
        <v>86</v>
      </c>
      <c r="P84" s="0" t="n">
        <v>19409</v>
      </c>
      <c r="Q84" s="0" t="n">
        <v>213.19</v>
      </c>
      <c r="R84" s="30" t="s">
        <v>359</v>
      </c>
      <c r="S84" s="0" t="n">
        <v>104</v>
      </c>
      <c r="T84" s="0" t="n">
        <v>19525</v>
      </c>
      <c r="U84" s="0" t="n">
        <v>216.14</v>
      </c>
      <c r="V84" s="30" t="s">
        <v>353</v>
      </c>
      <c r="W84" s="56" t="n">
        <f aca="false">B84*((LN(T84)-LN(P84))-(LN(U84)-LN(Q84)))</f>
        <v>0.00778373929141019</v>
      </c>
      <c r="X84" s="56" t="n">
        <f aca="false">IF(INDEX(Panel!$A$5:$A$815,O84+1)&lt;=DATE(2024,9,30),0.000625,IF(INDEX(Panel!$A$5:$A$815,O84+1)&lt;=DATE(2026,3,31),0.001,0.0015))*(0.3989*Inputs!$B$28*SQRT(MAX(INDEX(Panel!$G$5:$G$815,O84+1),0)/365))+2*Inputs!$B$30+Inputs!$B$25+0.00003*(0.3989*Inputs!$B$28*SQRT(MAX(INDEX(Panel!$G$5:$G$815,O84+1),0)/365))+IF(B84&lt;0,(Inputs!$B$20+Inputs!$B$26+Inputs!$B$27),(Inputs!$B$21+Inputs!$B$26+Inputs!$B$27))</f>
        <v>0.00031694875696676</v>
      </c>
      <c r="Y84" s="56" t="n">
        <f aca="false">IF(V84="expiry",IF(INDEX(Panel!$A$5:$A$815,S84+1)&lt;=DATE(2026,3,31),0.00125,0.0015)*IF(B84&lt;0,MAX(P84-T84,0),MAX(T84-P84,0))/T84,IF(INDEX(Panel!$A$5:$A$815,S84+1)&lt;=DATE(2024,9,30),0.000625,IF(INDEX(Panel!$A$5:$A$815,S84+1)&lt;=DATE(2026,3,31),0.001,0.0015))*(0.3989*Inputs!$B$28*SQRT(MAX(INDEX(Panel!$G$5:$G$815,S84+1),0)/365))+2*Inputs!$B$30+Inputs!$B$25)+IF(B84&lt;0,(Inputs!$B$21+Inputs!$B$26+Inputs!$B$27),(Inputs!$B$20+Inputs!$B$26+Inputs!$B$27))</f>
        <v>0.000115</v>
      </c>
      <c r="Z84" s="56" t="n">
        <f aca="false">B84*SUMPRODUCT((Panel!$F$5:$F$815&gt;=O84)*(Panel!$F$5:$F$815&lt;S84)*(Panel!$N$5:$N$815+Inputs!$B$14)*Panel!$BD$5:$BD$815)/365</f>
        <v>-0.00536301369863014</v>
      </c>
      <c r="AA84" s="56" t="n">
        <f aca="false">W84-X84-Y84+Z84</f>
        <v>0.00198877683581329</v>
      </c>
      <c r="AB84" s="57" t="n">
        <v>0.0019887768358132</v>
      </c>
      <c r="AC84" s="58" t="n">
        <f aca="false">AA84-AB84</f>
        <v>8.76035355368288E-017</v>
      </c>
    </row>
    <row r="85" customFormat="false" ht="15" hidden="false" customHeight="false" outlineLevel="0" collapsed="false">
      <c r="A85" s="0" t="s">
        <v>496</v>
      </c>
      <c r="B85" s="0" t="n">
        <v>-1</v>
      </c>
      <c r="C85" s="0" t="s">
        <v>475</v>
      </c>
      <c r="D85" s="0" t="n">
        <v>105</v>
      </c>
      <c r="E85" s="29" t="n">
        <v>9.89106318878587</v>
      </c>
      <c r="F85" s="29" t="n">
        <v>5.37920587028138</v>
      </c>
      <c r="G85" s="53" t="n">
        <f aca="false">INDEX(Panel!$U$5:$U$815,D85+1)</f>
        <v>4.34238949257213</v>
      </c>
      <c r="H85" s="53" t="n">
        <f aca="false">INDEX(Panel!$T$5:$T$815,D85+1)</f>
        <v>1.03308042866385</v>
      </c>
      <c r="I85" s="54" t="n">
        <f aca="false">INDEX(Panel!$S$5:$S$815,D85+1)</f>
        <v>-0.000133680282395583</v>
      </c>
      <c r="J85" s="53" t="n">
        <f aca="false">INDEX(Panel!$V$5:$V$815,D85+1)</f>
        <v>0.00204197930157553</v>
      </c>
      <c r="K85" s="55" t="n">
        <f aca="false">(E85-G85-H85*F85-I85*D85)/J85</f>
        <v>2.721780538927</v>
      </c>
      <c r="L85" s="0" t="n">
        <v>2.5</v>
      </c>
      <c r="M85" s="0" t="str">
        <f aca="false">IF(ABS(K85)&gt;L85,"Yes","No")</f>
        <v>Yes</v>
      </c>
      <c r="N85" s="30" t="s">
        <v>476</v>
      </c>
      <c r="O85" s="0" t="n">
        <v>105</v>
      </c>
      <c r="P85" s="0" t="n">
        <v>19775.25</v>
      </c>
      <c r="Q85" s="0" t="n">
        <v>216.97</v>
      </c>
      <c r="R85" s="30" t="s">
        <v>362</v>
      </c>
      <c r="S85" s="0" t="n">
        <v>122</v>
      </c>
      <c r="T85" s="0" t="n">
        <v>18859</v>
      </c>
      <c r="U85" s="0" t="n">
        <v>208.8</v>
      </c>
      <c r="V85" s="30" t="s">
        <v>353</v>
      </c>
      <c r="W85" s="56" t="n">
        <f aca="false">B85*((LN(T85)-LN(P85))-(LN(U85)-LN(Q85)))</f>
        <v>0.00905866314181392</v>
      </c>
      <c r="X85" s="56" t="n">
        <f aca="false">IF(INDEX(Panel!$A$5:$A$815,O85+1)&lt;=DATE(2024,9,30),0.000625,IF(INDEX(Panel!$A$5:$A$815,O85+1)&lt;=DATE(2026,3,31),0.001,0.0015))*(0.3989*Inputs!$B$28*SQRT(MAX(INDEX(Panel!$G$5:$G$815,O85+1),0)/365))+2*Inputs!$B$30+Inputs!$B$25+0.00003*(0.3989*Inputs!$B$28*SQRT(MAX(INDEX(Panel!$G$5:$G$815,O85+1),0)/365))+IF(B85&lt;0,(Inputs!$B$20+Inputs!$B$26+Inputs!$B$27),(Inputs!$B$21+Inputs!$B$26+Inputs!$B$27))</f>
        <v>0.00031694875696676</v>
      </c>
      <c r="Y85" s="56" t="n">
        <f aca="false">IF(V85="expiry",IF(INDEX(Panel!$A$5:$A$815,S85+1)&lt;=DATE(2026,3,31),0.00125,0.0015)*IF(B85&lt;0,MAX(P85-T85,0),MAX(T85-P85,0))/T85,IF(INDEX(Panel!$A$5:$A$815,S85+1)&lt;=DATE(2024,9,30),0.000625,IF(INDEX(Panel!$A$5:$A$815,S85+1)&lt;=DATE(2026,3,31),0.001,0.0015))*(0.3989*Inputs!$B$28*SQRT(MAX(INDEX(Panel!$G$5:$G$815,S85+1),0)/365))+2*Inputs!$B$30+Inputs!$B$25)+IF(B85&lt;0,(Inputs!$B$21+Inputs!$B$26+Inputs!$B$27),(Inputs!$B$20+Inputs!$B$26+Inputs!$B$27))</f>
        <v>0.000175730287926189</v>
      </c>
      <c r="Z85" s="56" t="n">
        <f aca="false">B85*SUMPRODUCT((Panel!$F$5:$F$815&gt;=O85)*(Panel!$F$5:$F$815&lt;S85)*(Panel!$N$5:$N$815+Inputs!$B$14)*Panel!$BD$5:$BD$815)/365</f>
        <v>-0.00536301369863014</v>
      </c>
      <c r="AA85" s="56" t="n">
        <f aca="false">W85-X85-Y85+Z85</f>
        <v>0.00320297039829083</v>
      </c>
      <c r="AB85" s="57" t="n">
        <v>0.0032029703982908</v>
      </c>
      <c r="AC85" s="58" t="n">
        <f aca="false">AA85-AB85</f>
        <v>2.86229373536173E-017</v>
      </c>
    </row>
    <row r="86" customFormat="false" ht="15" hidden="false" customHeight="false" outlineLevel="0" collapsed="false">
      <c r="A86" s="0" t="s">
        <v>496</v>
      </c>
      <c r="B86" s="0" t="n">
        <v>-1</v>
      </c>
      <c r="C86" s="0" t="s">
        <v>478</v>
      </c>
      <c r="D86" s="0" t="n">
        <v>123</v>
      </c>
      <c r="E86" s="29" t="n">
        <v>9.85665272544855</v>
      </c>
      <c r="F86" s="29" t="n">
        <v>5.34653593881851</v>
      </c>
      <c r="G86" s="53" t="n">
        <f aca="false">INDEX(Panel!$U$5:$U$815,D86+1)</f>
        <v>4.38315456032406</v>
      </c>
      <c r="H86" s="53" t="n">
        <f aca="false">INDEX(Panel!$T$5:$T$815,D86+1)</f>
        <v>1.02534697626981</v>
      </c>
      <c r="I86" s="54" t="n">
        <f aca="false">INDEX(Panel!$S$5:$S$815,D86+1)</f>
        <v>-0.000120001421667994</v>
      </c>
      <c r="J86" s="53" t="n">
        <f aca="false">INDEX(Panel!$V$5:$V$815,D86+1)</f>
        <v>0.0020221092896917</v>
      </c>
      <c r="K86" s="55" t="n">
        <f aca="false">(E86-G86-H86*F86-I86*D86)/J86</f>
        <v>3.06802487672628</v>
      </c>
      <c r="L86" s="0" t="n">
        <v>2.5</v>
      </c>
      <c r="M86" s="0" t="str">
        <f aca="false">IF(ABS(K86)&gt;L86,"Yes","No")</f>
        <v>Yes</v>
      </c>
      <c r="N86" s="30" t="s">
        <v>479</v>
      </c>
      <c r="O86" s="0" t="n">
        <v>123</v>
      </c>
      <c r="P86" s="0" t="n">
        <v>19075.35</v>
      </c>
      <c r="Q86" s="0" t="n">
        <v>209.91</v>
      </c>
      <c r="R86" s="30" t="s">
        <v>365</v>
      </c>
      <c r="S86" s="0" t="n">
        <v>145</v>
      </c>
      <c r="T86" s="0" t="n">
        <v>20134</v>
      </c>
      <c r="U86" s="0" t="n">
        <v>222.23</v>
      </c>
      <c r="V86" s="30" t="s">
        <v>353</v>
      </c>
      <c r="W86" s="56" t="n">
        <f aca="false">B86*((LN(T86)-LN(P86))-(LN(U86)-LN(Q86)))</f>
        <v>0.00302101148627099</v>
      </c>
      <c r="X86" s="56" t="n">
        <f aca="false">IF(INDEX(Panel!$A$5:$A$815,O86+1)&lt;=DATE(2024,9,30),0.000625,IF(INDEX(Panel!$A$5:$A$815,O86+1)&lt;=DATE(2026,3,31),0.001,0.0015))*(0.3989*Inputs!$B$28*SQRT(MAX(INDEX(Panel!$G$5:$G$815,O86+1),0)/365))+2*Inputs!$B$30+Inputs!$B$25+0.00003*(0.3989*Inputs!$B$28*SQRT(MAX(INDEX(Panel!$G$5:$G$815,O86+1),0)/365))+IF(B86&lt;0,(Inputs!$B$20+Inputs!$B$26+Inputs!$B$27),(Inputs!$B$21+Inputs!$B$26+Inputs!$B$27))</f>
        <v>0.000318164168901818</v>
      </c>
      <c r="Y86" s="56" t="n">
        <f aca="false">IF(V86="expiry",IF(INDEX(Panel!$A$5:$A$815,S86+1)&lt;=DATE(2026,3,31),0.00125,0.0015)*IF(B86&lt;0,MAX(P86-T86,0),MAX(T86-P86,0))/T86,IF(INDEX(Panel!$A$5:$A$815,S86+1)&lt;=DATE(2024,9,30),0.000625,IF(INDEX(Panel!$A$5:$A$815,S86+1)&lt;=DATE(2026,3,31),0.001,0.0015))*(0.3989*Inputs!$B$28*SQRT(MAX(INDEX(Panel!$G$5:$G$815,S86+1),0)/365))+2*Inputs!$B$30+Inputs!$B$25)+IF(B86&lt;0,(Inputs!$B$21+Inputs!$B$26+Inputs!$B$27),(Inputs!$B$20+Inputs!$B$26+Inputs!$B$27))</f>
        <v>0.000115</v>
      </c>
      <c r="Z86" s="56" t="n">
        <f aca="false">B86*SUMPRODUCT((Panel!$F$5:$F$815&gt;=O86)*(Panel!$F$5:$F$815&lt;S86)*(Panel!$N$5:$N$815+Inputs!$B$14)*Panel!$BD$5:$BD$815)/365</f>
        <v>-0.00675342465753425</v>
      </c>
      <c r="AA86" s="56" t="n">
        <f aca="false">W86-X86-Y86+Z86</f>
        <v>-0.00416557734016508</v>
      </c>
      <c r="AB86" s="57" t="n">
        <v>-0.004165577340165</v>
      </c>
      <c r="AC86" s="58" t="n">
        <f aca="false">AA86-AB86</f>
        <v>-7.97972798949331E-017</v>
      </c>
    </row>
    <row r="87" customFormat="false" ht="15" hidden="false" customHeight="false" outlineLevel="0" collapsed="false">
      <c r="A87" s="0" t="s">
        <v>496</v>
      </c>
      <c r="B87" s="0" t="n">
        <v>-1</v>
      </c>
      <c r="C87" s="0" t="s">
        <v>366</v>
      </c>
      <c r="D87" s="0" t="n">
        <v>146</v>
      </c>
      <c r="E87" s="29" t="n">
        <v>9.92122677797233</v>
      </c>
      <c r="F87" s="29" t="n">
        <v>5.40762010143849</v>
      </c>
      <c r="G87" s="53" t="n">
        <f aca="false">INDEX(Panel!$U$5:$U$815,D87+1)</f>
        <v>4.60180344289308</v>
      </c>
      <c r="H87" s="53" t="n">
        <f aca="false">INDEX(Panel!$T$5:$T$815,D87+1)</f>
        <v>0.983956748676894</v>
      </c>
      <c r="I87" s="54" t="n">
        <f aca="false">INDEX(Panel!$S$5:$S$815,D87+1)</f>
        <v>-6.58322037433943E-005</v>
      </c>
      <c r="J87" s="53" t="n">
        <f aca="false">INDEX(Panel!$V$5:$V$815,D87+1)</f>
        <v>0.00231565970379552</v>
      </c>
      <c r="K87" s="55" t="n">
        <f aca="false">(E87-G87-H87*F87-I87*D87)/J87</f>
        <v>3.52838706013873</v>
      </c>
      <c r="L87" s="0" t="n">
        <v>2.5</v>
      </c>
      <c r="M87" s="0" t="str">
        <f aca="false">IF(ABS(K87)&gt;L87,"Yes","No")</f>
        <v>Yes</v>
      </c>
      <c r="N87" s="30" t="s">
        <v>367</v>
      </c>
      <c r="O87" s="0" t="n">
        <v>146</v>
      </c>
      <c r="P87" s="0" t="n">
        <v>20346.6</v>
      </c>
      <c r="Q87" s="0" t="n">
        <v>223</v>
      </c>
      <c r="R87" s="30" t="s">
        <v>368</v>
      </c>
      <c r="S87" s="0" t="n">
        <v>164</v>
      </c>
      <c r="T87" s="0" t="n">
        <v>21780.75</v>
      </c>
      <c r="U87" s="0" t="n">
        <v>240.24</v>
      </c>
      <c r="V87" s="30" t="s">
        <v>353</v>
      </c>
      <c r="W87" s="56" t="n">
        <f aca="false">B87*((LN(T87)-LN(P87))-(LN(U87)-LN(Q87)))</f>
        <v>0.00635392180406225</v>
      </c>
      <c r="X87" s="56" t="n">
        <f aca="false">IF(INDEX(Panel!$A$5:$A$815,O87+1)&lt;=DATE(2024,9,30),0.000625,IF(INDEX(Panel!$A$5:$A$815,O87+1)&lt;=DATE(2026,3,31),0.001,0.0015))*(0.3989*Inputs!$B$28*SQRT(MAX(INDEX(Panel!$G$5:$G$815,O87+1),0)/365))+2*Inputs!$B$30+Inputs!$B$25+0.00003*(0.3989*Inputs!$B$28*SQRT(MAX(INDEX(Panel!$G$5:$G$815,O87+1),0)/365))+IF(B87&lt;0,(Inputs!$B$20+Inputs!$B$26+Inputs!$B$27),(Inputs!$B$21+Inputs!$B$26+Inputs!$B$27))</f>
        <v>0.00031694875696676</v>
      </c>
      <c r="Y87" s="56" t="n">
        <f aca="false">IF(V87="expiry",IF(INDEX(Panel!$A$5:$A$815,S87+1)&lt;=DATE(2026,3,31),0.00125,0.0015)*IF(B87&lt;0,MAX(P87-T87,0),MAX(T87-P87,0))/T87,IF(INDEX(Panel!$A$5:$A$815,S87+1)&lt;=DATE(2024,9,30),0.000625,IF(INDEX(Panel!$A$5:$A$815,S87+1)&lt;=DATE(2026,3,31),0.001,0.0015))*(0.3989*Inputs!$B$28*SQRT(MAX(INDEX(Panel!$G$5:$G$815,S87+1),0)/365))+2*Inputs!$B$30+Inputs!$B$25)+IF(B87&lt;0,(Inputs!$B$21+Inputs!$B$26+Inputs!$B$27),(Inputs!$B$20+Inputs!$B$26+Inputs!$B$27))</f>
        <v>0.000115</v>
      </c>
      <c r="Z87" s="56" t="n">
        <f aca="false">B87*SUMPRODUCT((Panel!$F$5:$F$815&gt;=O87)*(Panel!$F$5:$F$815&lt;S87)*(Panel!$N$5:$N$815+Inputs!$B$14)*Panel!$BD$5:$BD$815)/365</f>
        <v>-0.00536301369863014</v>
      </c>
      <c r="AA87" s="56" t="n">
        <f aca="false">W87-X87-Y87+Z87</f>
        <v>0.000558959348465348</v>
      </c>
      <c r="AB87" s="57" t="n">
        <v>0.0005589593484653</v>
      </c>
      <c r="AC87" s="58" t="n">
        <f aca="false">AA87-AB87</f>
        <v>4.81385764583564E-017</v>
      </c>
    </row>
    <row r="88" customFormat="false" ht="15" hidden="false" customHeight="false" outlineLevel="0" collapsed="false">
      <c r="A88" s="0" t="s">
        <v>496</v>
      </c>
      <c r="B88" s="0" t="n">
        <v>-1</v>
      </c>
      <c r="C88" s="0" t="s">
        <v>369</v>
      </c>
      <c r="D88" s="0" t="n">
        <v>165</v>
      </c>
      <c r="E88" s="29" t="n">
        <v>9.99474179084625</v>
      </c>
      <c r="F88" s="29" t="n">
        <v>5.48022216984565</v>
      </c>
      <c r="G88" s="53" t="n">
        <f aca="false">INDEX(Panel!$U$5:$U$815,D88+1)</f>
        <v>4.39286337796013</v>
      </c>
      <c r="H88" s="53" t="n">
        <f aca="false">INDEX(Panel!$T$5:$T$815,D88+1)</f>
        <v>1.02312434161324</v>
      </c>
      <c r="I88" s="54" t="n">
        <f aca="false">INDEX(Panel!$S$5:$S$815,D88+1)</f>
        <v>-7.29783753886715E-005</v>
      </c>
      <c r="J88" s="53" t="n">
        <f aca="false">INDEX(Panel!$V$5:$V$815,D88+1)</f>
        <v>0.00267598898951643</v>
      </c>
      <c r="K88" s="55" t="n">
        <f aca="false">(E88-G88-H88*F88-I88*D88)/J88</f>
        <v>2.60507253018326</v>
      </c>
      <c r="L88" s="0" t="n">
        <v>2.5</v>
      </c>
      <c r="M88" s="0" t="str">
        <f aca="false">IF(ABS(K88)&gt;L88,"Yes","No")</f>
        <v>Yes</v>
      </c>
      <c r="N88" s="30" t="s">
        <v>370</v>
      </c>
      <c r="O88" s="0" t="n">
        <v>165</v>
      </c>
      <c r="P88" s="0" t="n">
        <v>21895.85</v>
      </c>
      <c r="Q88" s="0" t="n">
        <v>239.89</v>
      </c>
      <c r="R88" s="30" t="s">
        <v>371</v>
      </c>
      <c r="S88" s="0" t="n">
        <v>184</v>
      </c>
      <c r="T88" s="0" t="n">
        <v>21351</v>
      </c>
      <c r="U88" s="0" t="n">
        <v>236.7</v>
      </c>
      <c r="V88" s="30" t="s">
        <v>353</v>
      </c>
      <c r="W88" s="56" t="n">
        <f aca="false">B88*((LN(T88)-LN(P88))-(LN(U88)-LN(Q88)))</f>
        <v>0.0118115757414614</v>
      </c>
      <c r="X88" s="56" t="n">
        <f aca="false">IF(INDEX(Panel!$A$5:$A$815,O88+1)&lt;=DATE(2024,9,30),0.000625,IF(INDEX(Panel!$A$5:$A$815,O88+1)&lt;=DATE(2026,3,31),0.001,0.0015))*(0.3989*Inputs!$B$28*SQRT(MAX(INDEX(Panel!$G$5:$G$815,O88+1),0)/365))+2*Inputs!$B$30+Inputs!$B$25+0.00003*(0.3989*Inputs!$B$28*SQRT(MAX(INDEX(Panel!$G$5:$G$815,O88+1),0)/365))+IF(B88&lt;0,(Inputs!$B$20+Inputs!$B$26+Inputs!$B$27),(Inputs!$B$21+Inputs!$B$26+Inputs!$B$27))</f>
        <v>0.00031694875696676</v>
      </c>
      <c r="Y88" s="56" t="n">
        <f aca="false">IF(V88="expiry",IF(INDEX(Panel!$A$5:$A$815,S88+1)&lt;=DATE(2026,3,31),0.00125,0.0015)*IF(B88&lt;0,MAX(P88-T88,0),MAX(T88-P88,0))/T88,IF(INDEX(Panel!$A$5:$A$815,S88+1)&lt;=DATE(2024,9,30),0.000625,IF(INDEX(Panel!$A$5:$A$815,S88+1)&lt;=DATE(2026,3,31),0.001,0.0015))*(0.3989*Inputs!$B$28*SQRT(MAX(INDEX(Panel!$G$5:$G$815,S88+1),0)/365))+2*Inputs!$B$30+Inputs!$B$25)+IF(B88&lt;0,(Inputs!$B$21+Inputs!$B$26+Inputs!$B$27),(Inputs!$B$20+Inputs!$B$26+Inputs!$B$27))</f>
        <v>0.000146898388834247</v>
      </c>
      <c r="Z88" s="56" t="n">
        <f aca="false">B88*SUMPRODUCT((Panel!$F$5:$F$815&gt;=O88)*(Panel!$F$5:$F$815&lt;S88)*(Panel!$N$5:$N$815+Inputs!$B$14)*Panel!$BD$5:$BD$815)/365</f>
        <v>-0.00536301369863014</v>
      </c>
      <c r="AA88" s="56" t="n">
        <f aca="false">W88-X88-Y88+Z88</f>
        <v>0.00598471489703027</v>
      </c>
      <c r="AB88" s="57" t="n">
        <v>0.0059847148970302</v>
      </c>
      <c r="AC88" s="58" t="n">
        <f aca="false">AA88-AB88</f>
        <v>6.50521303491303E-017</v>
      </c>
    </row>
    <row r="89" customFormat="false" ht="15" hidden="false" customHeight="false" outlineLevel="0" collapsed="false">
      <c r="A89" s="0" t="s">
        <v>496</v>
      </c>
      <c r="B89" s="0" t="n">
        <v>1</v>
      </c>
      <c r="C89" s="0" t="s">
        <v>385</v>
      </c>
      <c r="D89" s="0" t="n">
        <v>271</v>
      </c>
      <c r="E89" s="29" t="n">
        <v>10.0061659745944</v>
      </c>
      <c r="F89" s="29" t="n">
        <v>5.517693831293</v>
      </c>
      <c r="G89" s="53" t="n">
        <f aca="false">INDEX(Panel!$U$5:$U$815,D89+1)</f>
        <v>4.32717962536743</v>
      </c>
      <c r="H89" s="53" t="n">
        <f aca="false">INDEX(Panel!$T$5:$T$815,D89+1)</f>
        <v>1.0351848445274</v>
      </c>
      <c r="I89" s="54" t="n">
        <f aca="false">INDEX(Panel!$S$5:$S$815,D89+1)</f>
        <v>-6.6531627457629E-005</v>
      </c>
      <c r="J89" s="53" t="n">
        <f aca="false">INDEX(Panel!$V$5:$V$815,D89+1)</f>
        <v>0.00255845474222947</v>
      </c>
      <c r="K89" s="55" t="n">
        <f aca="false">(E89-G89-H89*F89-I89*D89)/J89</f>
        <v>-5.7912342103395</v>
      </c>
      <c r="L89" s="0" t="n">
        <v>2.5</v>
      </c>
      <c r="M89" s="0" t="str">
        <f aca="false">IF(ABS(K89)&gt;L89,"Yes","No")</f>
        <v>Yes</v>
      </c>
      <c r="N89" s="30" t="s">
        <v>497</v>
      </c>
      <c r="O89" s="0" t="n">
        <v>271</v>
      </c>
      <c r="P89" s="0" t="n">
        <v>22323.65</v>
      </c>
      <c r="Q89" s="0" t="n">
        <v>251</v>
      </c>
      <c r="R89" s="30" t="s">
        <v>386</v>
      </c>
      <c r="S89" s="0" t="n">
        <v>287</v>
      </c>
      <c r="T89" s="0" t="n">
        <v>24047.1</v>
      </c>
      <c r="U89" s="0" t="n">
        <v>266.95</v>
      </c>
      <c r="V89" s="30" t="s">
        <v>353</v>
      </c>
      <c r="W89" s="56" t="n">
        <f aca="false">B89*((LN(T89)-LN(P89))-(LN(U89)-LN(Q89)))</f>
        <v>0.0127593167367586</v>
      </c>
      <c r="X89" s="56" t="n">
        <f aca="false">IF(INDEX(Panel!$A$5:$A$815,O89+1)&lt;=DATE(2024,9,30),0.000625,IF(INDEX(Panel!$A$5:$A$815,O89+1)&lt;=DATE(2026,3,31),0.001,0.0015))*(0.3989*Inputs!$B$28*SQRT(MAX(INDEX(Panel!$G$5:$G$815,O89+1),0)/365))+2*Inputs!$B$30+Inputs!$B$25+0.00003*(0.3989*Inputs!$B$28*SQRT(MAX(INDEX(Panel!$G$5:$G$815,O89+1),0)/365))+IF(B89&lt;0,(Inputs!$B$20+Inputs!$B$26+Inputs!$B$27),(Inputs!$B$21+Inputs!$B$26+Inputs!$B$27))</f>
        <v>0.000176182286891829</v>
      </c>
      <c r="Y89" s="56" t="n">
        <f aca="false">IF(V89="expiry",IF(INDEX(Panel!$A$5:$A$815,S89+1)&lt;=DATE(2026,3,31),0.00125,0.0015)*IF(B89&lt;0,MAX(P89-T89,0),MAX(T89-P89,0))/T89,IF(INDEX(Panel!$A$5:$A$815,S89+1)&lt;=DATE(2024,9,30),0.000625,IF(INDEX(Panel!$A$5:$A$815,S89+1)&lt;=DATE(2026,3,31),0.001,0.0015))*(0.3989*Inputs!$B$28*SQRT(MAX(INDEX(Panel!$G$5:$G$815,S89+1),0)/365))+2*Inputs!$B$30+Inputs!$B$25)+IF(B89&lt;0,(Inputs!$B$21+Inputs!$B$26+Inputs!$B$27),(Inputs!$B$20+Inputs!$B$26+Inputs!$B$27))</f>
        <v>0.000344587205941673</v>
      </c>
      <c r="Z89" s="56" t="n">
        <f aca="false">B89*SUMPRODUCT((Panel!$F$5:$F$815&gt;=O89)*(Panel!$F$5:$F$815&lt;S89)*(Panel!$N$5:$N$815+Inputs!$B$14)*Panel!$BD$5:$BD$815)/365</f>
        <v>0.00456849315068493</v>
      </c>
      <c r="AA89" s="56" t="n">
        <f aca="false">W89-X89-Y89+Z89</f>
        <v>0.01680704039461</v>
      </c>
      <c r="AB89" s="57" t="n">
        <v>0.01680704039461</v>
      </c>
      <c r="AC89" s="58" t="n">
        <f aca="false">AA89-AB89</f>
        <v>0</v>
      </c>
    </row>
    <row r="90" customFormat="false" ht="15" hidden="false" customHeight="false" outlineLevel="0" collapsed="false">
      <c r="A90" s="0" t="s">
        <v>496</v>
      </c>
      <c r="B90" s="0" t="n">
        <v>1</v>
      </c>
      <c r="C90" s="0" t="s">
        <v>498</v>
      </c>
      <c r="D90" s="0" t="n">
        <v>313</v>
      </c>
      <c r="E90" s="29" t="n">
        <v>10.0882852079329</v>
      </c>
      <c r="F90" s="29" t="n">
        <v>5.59734730769338</v>
      </c>
      <c r="G90" s="53" t="n">
        <f aca="false">INDEX(Panel!$U$5:$U$815,D90+1)</f>
        <v>4.40434075883909</v>
      </c>
      <c r="H90" s="53" t="n">
        <f aca="false">INDEX(Panel!$T$5:$T$815,D90+1)</f>
        <v>1.02073518800597</v>
      </c>
      <c r="I90" s="54" t="n">
        <f aca="false">INDEX(Panel!$S$5:$S$815,D90+1)</f>
        <v>-6.19235083671197E-005</v>
      </c>
      <c r="J90" s="53" t="n">
        <f aca="false">INDEX(Panel!$V$5:$V$815,D90+1)</f>
        <v>0.00350341258294621</v>
      </c>
      <c r="K90" s="55" t="n">
        <f aca="false">(E90-G90-H90*F90-I90*D90)/J90</f>
        <v>-2.87800794275491</v>
      </c>
      <c r="L90" s="0" t="n">
        <v>2.5</v>
      </c>
      <c r="M90" s="0" t="str">
        <f aca="false">IF(ABS(K90)&gt;L90,"Yes","No")</f>
        <v>Yes</v>
      </c>
      <c r="N90" s="30" t="s">
        <v>499</v>
      </c>
      <c r="O90" s="0" t="n">
        <v>313</v>
      </c>
      <c r="P90" s="0" t="n">
        <v>24103.75</v>
      </c>
      <c r="Q90" s="0" t="n">
        <v>269.8</v>
      </c>
      <c r="R90" s="30" t="s">
        <v>392</v>
      </c>
      <c r="S90" s="0" t="n">
        <v>330</v>
      </c>
      <c r="T90" s="0" t="n">
        <v>25155.65</v>
      </c>
      <c r="U90" s="0" t="n">
        <v>280</v>
      </c>
      <c r="V90" s="30" t="s">
        <v>353</v>
      </c>
      <c r="W90" s="56" t="n">
        <f aca="false">B90*((LN(T90)-LN(P90))-(LN(U90)-LN(Q90)))</f>
        <v>0.00560643395545135</v>
      </c>
      <c r="X90" s="56" t="n">
        <f aca="false">IF(INDEX(Panel!$A$5:$A$815,O90+1)&lt;=DATE(2024,9,30),0.000625,IF(INDEX(Panel!$A$5:$A$815,O90+1)&lt;=DATE(2026,3,31),0.001,0.0015))*(0.3989*Inputs!$B$28*SQRT(MAX(INDEX(Panel!$G$5:$G$815,O90+1),0)/365))+2*Inputs!$B$30+Inputs!$B$25+0.00003*(0.3989*Inputs!$B$28*SQRT(MAX(INDEX(Panel!$G$5:$G$815,O90+1),0)/365))+IF(B90&lt;0,(Inputs!$B$20+Inputs!$B$26+Inputs!$B$27),(Inputs!$B$21+Inputs!$B$26+Inputs!$B$27))</f>
        <v>0.000176379778020764</v>
      </c>
      <c r="Y90" s="56" t="n">
        <f aca="false">IF(V90="expiry",IF(INDEX(Panel!$A$5:$A$815,S90+1)&lt;=DATE(2026,3,31),0.00125,0.0015)*IF(B90&lt;0,MAX(P90-T90,0),MAX(T90-P90,0))/T90,IF(INDEX(Panel!$A$5:$A$815,S90+1)&lt;=DATE(2024,9,30),0.000625,IF(INDEX(Panel!$A$5:$A$815,S90+1)&lt;=DATE(2026,3,31),0.001,0.0015))*(0.3989*Inputs!$B$28*SQRT(MAX(INDEX(Panel!$G$5:$G$815,S90+1),0)/365))+2*Inputs!$B$30+Inputs!$B$25)+IF(B90&lt;0,(Inputs!$B$21+Inputs!$B$26+Inputs!$B$27),(Inputs!$B$20+Inputs!$B$26+Inputs!$B$27))</f>
        <v>0.000307269569659301</v>
      </c>
      <c r="Z90" s="56" t="n">
        <f aca="false">B90*SUMPRODUCT((Panel!$F$5:$F$815&gt;=O90)*(Panel!$F$5:$F$815&lt;S90)*(Panel!$N$5:$N$815+Inputs!$B$14)*Panel!$BD$5:$BD$815)/365</f>
        <v>0.00476712328767123</v>
      </c>
      <c r="AA90" s="56" t="n">
        <f aca="false">W90-X90-Y90+Z90</f>
        <v>0.00988990789544252</v>
      </c>
      <c r="AB90" s="57" t="n">
        <v>0.0098899078954425</v>
      </c>
      <c r="AC90" s="58" t="n">
        <f aca="false">AA90-AB90</f>
        <v>0</v>
      </c>
    </row>
    <row r="91" customFormat="false" ht="15" hidden="false" customHeight="false" outlineLevel="0" collapsed="false">
      <c r="A91" s="0" t="s">
        <v>496</v>
      </c>
      <c r="B91" s="0" t="n">
        <v>1</v>
      </c>
      <c r="C91" s="0" t="s">
        <v>500</v>
      </c>
      <c r="D91" s="0" t="n">
        <v>480</v>
      </c>
      <c r="E91" s="29" t="n">
        <v>10.0060441408612</v>
      </c>
      <c r="F91" s="29" t="n">
        <v>5.52126089785958</v>
      </c>
      <c r="G91" s="53" t="n">
        <f aca="false">INDEX(Panel!$U$5:$U$815,D91+1)</f>
        <v>4.59407606401496</v>
      </c>
      <c r="H91" s="53" t="n">
        <f aca="false">INDEX(Panel!$T$5:$T$815,D91+1)</f>
        <v>0.985591166319632</v>
      </c>
      <c r="I91" s="54" t="n">
        <f aca="false">INDEX(Panel!$S$5:$S$815,D91+1)</f>
        <v>-4.44534326772427E-005</v>
      </c>
      <c r="J91" s="53" t="n">
        <f aca="false">INDEX(Panel!$V$5:$V$815,D91+1)</f>
        <v>0.00333007955678103</v>
      </c>
      <c r="K91" s="55" t="n">
        <f aca="false">(E91-G91-H91*F91-I91*D91)/J91</f>
        <v>-2.52253533341465</v>
      </c>
      <c r="L91" s="0" t="n">
        <v>2.5</v>
      </c>
      <c r="M91" s="0" t="str">
        <f aca="false">IF(ABS(K91)&gt;L91,"Yes","No")</f>
        <v>Yes</v>
      </c>
      <c r="N91" s="30" t="s">
        <v>501</v>
      </c>
      <c r="O91" s="0" t="n">
        <v>480</v>
      </c>
      <c r="P91" s="0" t="n">
        <v>22112.75</v>
      </c>
      <c r="Q91" s="0" t="n">
        <v>247.83</v>
      </c>
      <c r="R91" s="30" t="s">
        <v>401</v>
      </c>
      <c r="S91" s="0" t="n">
        <v>490</v>
      </c>
      <c r="T91" s="0" t="n">
        <v>24248</v>
      </c>
      <c r="U91" s="0" t="n">
        <v>270.95</v>
      </c>
      <c r="V91" s="30" t="s">
        <v>353</v>
      </c>
      <c r="W91" s="56" t="n">
        <f aca="false">B91*((LN(T91)-LN(P91))-(LN(U91)-LN(Q91)))</f>
        <v>0.00298849974141024</v>
      </c>
      <c r="X91" s="56" t="n">
        <f aca="false">IF(INDEX(Panel!$A$5:$A$815,O91+1)&lt;=DATE(2024,9,30),0.000625,IF(INDEX(Panel!$A$5:$A$815,O91+1)&lt;=DATE(2026,3,31),0.001,0.0015))*(0.3989*Inputs!$B$28*SQRT(MAX(INDEX(Panel!$G$5:$G$815,O91+1),0)/365))+2*Inputs!$B$30+Inputs!$B$25+0.00003*(0.3989*Inputs!$B$28*SQRT(MAX(INDEX(Panel!$G$5:$G$815,O91+1),0)/365))+IF(B91&lt;0,(Inputs!$B$20+Inputs!$B$26+Inputs!$B$27),(Inputs!$B$21+Inputs!$B$26+Inputs!$B$27))</f>
        <v>0.000179413873775406</v>
      </c>
      <c r="Y91" s="56" t="n">
        <f aca="false">IF(V91="expiry",IF(INDEX(Panel!$A$5:$A$815,S91+1)&lt;=DATE(2026,3,31),0.00125,0.0015)*IF(B91&lt;0,MAX(P91-T91,0),MAX(T91-P91,0))/T91,IF(INDEX(Panel!$A$5:$A$815,S91+1)&lt;=DATE(2024,9,30),0.000625,IF(INDEX(Panel!$A$5:$A$815,S91+1)&lt;=DATE(2026,3,31),0.001,0.0015))*(0.3989*Inputs!$B$28*SQRT(MAX(INDEX(Panel!$G$5:$G$815,S91+1),0)/365))+2*Inputs!$B$30+Inputs!$B$25)+IF(B91&lt;0,(Inputs!$B$21+Inputs!$B$26+Inputs!$B$27),(Inputs!$B$20+Inputs!$B$26+Inputs!$B$27))</f>
        <v>0.00036507351121742</v>
      </c>
      <c r="Z91" s="56" t="n">
        <f aca="false">B91*SUMPRODUCT((Panel!$F$5:$F$815&gt;=O91)*(Panel!$F$5:$F$815&lt;S91)*(Panel!$N$5:$N$815+Inputs!$B$14)*Panel!$BD$5:$BD$815)/365</f>
        <v>0.00315753424657534</v>
      </c>
      <c r="AA91" s="56" t="n">
        <f aca="false">W91-X91-Y91+Z91</f>
        <v>0.00560154660299276</v>
      </c>
      <c r="AB91" s="57" t="n">
        <v>0.0056015466029927</v>
      </c>
      <c r="AC91" s="58" t="n">
        <f aca="false">AA91-AB91</f>
        <v>6.07153216591883E-017</v>
      </c>
    </row>
    <row r="92" customFormat="false" ht="15" hidden="false" customHeight="false" outlineLevel="0" collapsed="false">
      <c r="A92" s="0" t="s">
        <v>496</v>
      </c>
      <c r="B92" s="0" t="n">
        <v>1</v>
      </c>
      <c r="C92" s="0" t="s">
        <v>502</v>
      </c>
      <c r="D92" s="0" t="n">
        <v>555</v>
      </c>
      <c r="E92" s="29" t="n">
        <v>10.1205848621139</v>
      </c>
      <c r="F92" s="29" t="n">
        <v>5.63507527664641</v>
      </c>
      <c r="G92" s="53" t="n">
        <f aca="false">INDEX(Panel!$U$5:$U$815,D92+1)</f>
        <v>4.48982439183721</v>
      </c>
      <c r="H92" s="53" t="n">
        <f aca="false">INDEX(Panel!$T$5:$T$815,D92+1)</f>
        <v>1.00309230501917</v>
      </c>
      <c r="I92" s="54" t="n">
        <f aca="false">INDEX(Panel!$S$5:$S$815,D92+1)</f>
        <v>-2.84566522151096E-005</v>
      </c>
      <c r="J92" s="53" t="n">
        <f aca="false">INDEX(Panel!$V$5:$V$815,D92+1)</f>
        <v>0.00235734450285747</v>
      </c>
      <c r="K92" s="55" t="n">
        <f aca="false">(E92-G92-H92*F92-I92*D92)/J92</f>
        <v>-2.52264187287216</v>
      </c>
      <c r="L92" s="0" t="n">
        <v>2.5</v>
      </c>
      <c r="M92" s="0" t="str">
        <f aca="false">IF(ABS(K92)&gt;L92,"Yes","No")</f>
        <v>Yes</v>
      </c>
      <c r="N92" s="30" t="s">
        <v>503</v>
      </c>
      <c r="O92" s="0" t="n">
        <v>555</v>
      </c>
      <c r="P92" s="0" t="n">
        <v>24874.8</v>
      </c>
      <c r="Q92" s="0" t="n">
        <v>280.33</v>
      </c>
      <c r="R92" s="30" t="s">
        <v>410</v>
      </c>
      <c r="S92" s="0" t="n">
        <v>559</v>
      </c>
      <c r="T92" s="0" t="n">
        <v>24766.8</v>
      </c>
      <c r="U92" s="0" t="n">
        <v>279.34</v>
      </c>
      <c r="V92" s="30" t="s">
        <v>353</v>
      </c>
      <c r="W92" s="56" t="n">
        <f aca="false">B92*((LN(T92)-LN(P92))-(LN(U92)-LN(Q92)))</f>
        <v>-0.000813393440037835</v>
      </c>
      <c r="X92" s="56" t="n">
        <f aca="false">IF(INDEX(Panel!$A$5:$A$815,O92+1)&lt;=DATE(2024,9,30),0.000625,IF(INDEX(Panel!$A$5:$A$815,O92+1)&lt;=DATE(2026,3,31),0.001,0.0015))*(0.3989*Inputs!$B$28*SQRT(MAX(INDEX(Panel!$G$5:$G$815,O92+1),0)/365))+2*Inputs!$B$30+Inputs!$B$25+0.00003*(0.3989*Inputs!$B$28*SQRT(MAX(INDEX(Panel!$G$5:$G$815,O92+1),0)/365))+IF(B92&lt;0,(Inputs!$B$20+Inputs!$B$26+Inputs!$B$27),(Inputs!$B$21+Inputs!$B$26+Inputs!$B$27))</f>
        <v>0.000174374939970524</v>
      </c>
      <c r="Y92" s="56" t="n">
        <f aca="false">IF(V92="expiry",IF(INDEX(Panel!$A$5:$A$815,S92+1)&lt;=DATE(2026,3,31),0.00125,0.0015)*IF(B92&lt;0,MAX(P92-T92,0),MAX(T92-P92,0))/T92,IF(INDEX(Panel!$A$5:$A$815,S92+1)&lt;=DATE(2024,9,30),0.000625,IF(INDEX(Panel!$A$5:$A$815,S92+1)&lt;=DATE(2026,3,31),0.001,0.0015))*(0.3989*Inputs!$B$28*SQRT(MAX(INDEX(Panel!$G$5:$G$815,S92+1),0)/365))+2*Inputs!$B$30+Inputs!$B$25)+IF(B92&lt;0,(Inputs!$B$21+Inputs!$B$26+Inputs!$B$27),(Inputs!$B$20+Inputs!$B$26+Inputs!$B$27))</f>
        <v>0.000255</v>
      </c>
      <c r="Z92" s="56" t="n">
        <f aca="false">B92*SUMPRODUCT((Panel!$F$5:$F$815&gt;=O92)*(Panel!$F$5:$F$815&lt;S92)*(Panel!$N$5:$N$815+Inputs!$B$14)*Panel!$BD$5:$BD$815)/365</f>
        <v>0.00102739726027397</v>
      </c>
      <c r="AA92" s="56" t="n">
        <f aca="false">W92-X92-Y92+Z92</f>
        <v>-0.000215371119734387</v>
      </c>
      <c r="AB92" s="57" t="n">
        <v>-0.0002153711197343</v>
      </c>
      <c r="AC92" s="58" t="n">
        <f aca="false">AA92-AB92</f>
        <v>-8.71156445592103E-017</v>
      </c>
    </row>
    <row r="93" customFormat="false" ht="15" hidden="false" customHeight="false" outlineLevel="0" collapsed="false">
      <c r="A93" s="0" t="s">
        <v>496</v>
      </c>
      <c r="B93" s="0" t="n">
        <v>-1</v>
      </c>
      <c r="C93" s="0" t="s">
        <v>417</v>
      </c>
      <c r="D93" s="0" t="n">
        <v>662</v>
      </c>
      <c r="E93" s="29" t="n">
        <v>10.1726364416067</v>
      </c>
      <c r="F93" s="29" t="n">
        <v>5.68354575315476</v>
      </c>
      <c r="G93" s="53" t="n">
        <f aca="false">INDEX(Panel!$U$5:$U$815,D93+1)</f>
        <v>4.38406572356269</v>
      </c>
      <c r="H93" s="53" t="n">
        <f aca="false">INDEX(Panel!$T$5:$T$815,D93+1)</f>
        <v>1.02530673257918</v>
      </c>
      <c r="I93" s="54" t="n">
        <f aca="false">INDEX(Panel!$S$5:$S$815,D93+1)</f>
        <v>-6.69933936231152E-005</v>
      </c>
      <c r="J93" s="53" t="n">
        <f aca="false">INDEX(Panel!$V$5:$V$815,D93+1)</f>
        <v>0.00218900253623979</v>
      </c>
      <c r="K93" s="55" t="n">
        <f aca="false">(E93-G93-H93*F93-I93*D93)/J93</f>
        <v>2.53202949718064</v>
      </c>
      <c r="L93" s="0" t="n">
        <v>2.5</v>
      </c>
      <c r="M93" s="0" t="str">
        <f aca="false">IF(ABS(K93)&gt;L93,"Yes","No")</f>
        <v>Yes</v>
      </c>
      <c r="N93" s="30" t="s">
        <v>418</v>
      </c>
      <c r="O93" s="0" t="n">
        <v>662</v>
      </c>
      <c r="P93" s="0" t="n">
        <v>26138</v>
      </c>
      <c r="Q93" s="0" t="n">
        <v>293.69</v>
      </c>
      <c r="R93" s="30" t="s">
        <v>419</v>
      </c>
      <c r="S93" s="0" t="n">
        <v>679</v>
      </c>
      <c r="T93" s="0" t="n">
        <v>25174</v>
      </c>
      <c r="U93" s="0" t="n">
        <v>285.89</v>
      </c>
      <c r="V93" s="30" t="s">
        <v>353</v>
      </c>
      <c r="W93" s="56" t="n">
        <f aca="false">B93*((LN(T93)-LN(P93))-(LN(U93)-LN(Q93)))</f>
        <v>0.0106608104810384</v>
      </c>
      <c r="X93" s="56" t="n">
        <f aca="false">IF(INDEX(Panel!$A$5:$A$815,O93+1)&lt;=DATE(2024,9,30),0.000625,IF(INDEX(Panel!$A$5:$A$815,O93+1)&lt;=DATE(2026,3,31),0.001,0.0015))*(0.3989*Inputs!$B$28*SQRT(MAX(INDEX(Panel!$G$5:$G$815,O93+1),0)/365))+2*Inputs!$B$30+Inputs!$B$25+0.00003*(0.3989*Inputs!$B$28*SQRT(MAX(INDEX(Panel!$G$5:$G$815,O93+1),0)/365))+IF(B93&lt;0,(Inputs!$B$20+Inputs!$B$26+Inputs!$B$27),(Inputs!$B$21+Inputs!$B$26+Inputs!$B$27))</f>
        <v>0.000322644610192005</v>
      </c>
      <c r="Y93" s="56" t="n">
        <f aca="false">IF(V93="expiry",IF(INDEX(Panel!$A$5:$A$815,S93+1)&lt;=DATE(2026,3,31),0.00125,0.0015)*IF(B93&lt;0,MAX(P93-T93,0),MAX(T93-P93,0))/T93,IF(INDEX(Panel!$A$5:$A$815,S93+1)&lt;=DATE(2024,9,30),0.000625,IF(INDEX(Panel!$A$5:$A$815,S93+1)&lt;=DATE(2026,3,31),0.001,0.0015))*(0.3989*Inputs!$B$28*SQRT(MAX(INDEX(Panel!$G$5:$G$815,S93+1),0)/365))+2*Inputs!$B$30+Inputs!$B$25)+IF(B93&lt;0,(Inputs!$B$21+Inputs!$B$26+Inputs!$B$27),(Inputs!$B$20+Inputs!$B$26+Inputs!$B$27))</f>
        <v>0.000162866846746643</v>
      </c>
      <c r="Z93" s="56" t="n">
        <f aca="false">B93*SUMPRODUCT((Panel!$F$5:$F$815&gt;=O93)*(Panel!$F$5:$F$815&lt;S93)*(Panel!$N$5:$N$815+Inputs!$B$14)*Panel!$BD$5:$BD$815)/365</f>
        <v>-0.00443835616438356</v>
      </c>
      <c r="AA93" s="56" t="n">
        <f aca="false">W93-X93-Y93+Z93</f>
        <v>0.00573694285971619</v>
      </c>
      <c r="AB93" s="57" t="n">
        <v>0.0057369428597161</v>
      </c>
      <c r="AC93" s="58" t="n">
        <f aca="false">AA93-AB93</f>
        <v>8.76035355368288E-017</v>
      </c>
    </row>
    <row r="94" customFormat="false" ht="15" hidden="false" customHeight="false" outlineLevel="0" collapsed="false">
      <c r="A94" s="0" t="s">
        <v>496</v>
      </c>
      <c r="B94" s="0" t="n">
        <v>-1</v>
      </c>
      <c r="C94" s="0" t="s">
        <v>484</v>
      </c>
      <c r="D94" s="0" t="n">
        <v>681</v>
      </c>
      <c r="E94" s="29" t="n">
        <v>10.1392708841968</v>
      </c>
      <c r="F94" s="29" t="n">
        <v>5.65185740179128</v>
      </c>
      <c r="G94" s="53" t="n">
        <f aca="false">INDEX(Panel!$U$5:$U$815,D94+1)</f>
        <v>4.37016148725796</v>
      </c>
      <c r="H94" s="53" t="n">
        <f aca="false">INDEX(Panel!$T$5:$T$815,D94+1)</f>
        <v>1.02792375584962</v>
      </c>
      <c r="I94" s="54" t="n">
        <f aca="false">INDEX(Panel!$S$5:$S$815,D94+1)</f>
        <v>-6.82144768409378E-005</v>
      </c>
      <c r="J94" s="53" t="n">
        <f aca="false">INDEX(Panel!$V$5:$V$815,D94+1)</f>
        <v>0.0022741127805138</v>
      </c>
      <c r="K94" s="55" t="n">
        <f aca="false">(E94-G94-H94*F94-I94*D94)/J94</f>
        <v>2.58780819585711</v>
      </c>
      <c r="L94" s="0" t="n">
        <v>2.5</v>
      </c>
      <c r="M94" s="0" t="str">
        <f aca="false">IF(ABS(K94)&gt;L94,"Yes","No")</f>
        <v>Yes</v>
      </c>
      <c r="N94" s="30" t="s">
        <v>485</v>
      </c>
      <c r="O94" s="0" t="n">
        <v>681</v>
      </c>
      <c r="P94" s="0" t="n">
        <v>25292.5</v>
      </c>
      <c r="Q94" s="0" t="n">
        <v>284.6</v>
      </c>
      <c r="R94" s="30" t="s">
        <v>422</v>
      </c>
      <c r="S94" s="0" t="n">
        <v>700</v>
      </c>
      <c r="T94" s="0" t="n">
        <v>25423.4</v>
      </c>
      <c r="U94" s="0" t="n">
        <v>288</v>
      </c>
      <c r="V94" s="30" t="s">
        <v>353</v>
      </c>
      <c r="W94" s="56" t="n">
        <f aca="false">B94*((LN(T94)-LN(P94))-(LN(U94)-LN(Q94)))</f>
        <v>0.00671369381049036</v>
      </c>
      <c r="X94" s="56" t="n">
        <f aca="false">IF(INDEX(Panel!$A$5:$A$815,O94+1)&lt;=DATE(2024,9,30),0.000625,IF(INDEX(Panel!$A$5:$A$815,O94+1)&lt;=DATE(2026,3,31),0.001,0.0015))*(0.3989*Inputs!$B$28*SQRT(MAX(INDEX(Panel!$G$5:$G$815,O94+1),0)/365))+2*Inputs!$B$30+Inputs!$B$25+0.00003*(0.3989*Inputs!$B$28*SQRT(MAX(INDEX(Panel!$G$5:$G$815,O94+1),0)/365))+IF(B94&lt;0,(Inputs!$B$20+Inputs!$B$26+Inputs!$B$27),(Inputs!$B$21+Inputs!$B$26+Inputs!$B$27))</f>
        <v>0.000322352161784745</v>
      </c>
      <c r="Y94" s="56" t="n">
        <f aca="false">IF(V94="expiry",IF(INDEX(Panel!$A$5:$A$815,S94+1)&lt;=DATE(2026,3,31),0.00125,0.0015)*IF(B94&lt;0,MAX(P94-T94,0),MAX(T94-P94,0))/T94,IF(INDEX(Panel!$A$5:$A$815,S94+1)&lt;=DATE(2024,9,30),0.000625,IF(INDEX(Panel!$A$5:$A$815,S94+1)&lt;=DATE(2026,3,31),0.001,0.0015))*(0.3989*Inputs!$B$28*SQRT(MAX(INDEX(Panel!$G$5:$G$815,S94+1),0)/365))+2*Inputs!$B$30+Inputs!$B$25)+IF(B94&lt;0,(Inputs!$B$21+Inputs!$B$26+Inputs!$B$27),(Inputs!$B$20+Inputs!$B$26+Inputs!$B$27))</f>
        <v>0.000115</v>
      </c>
      <c r="Z94" s="56" t="n">
        <f aca="false">B94*SUMPRODUCT((Panel!$F$5:$F$815&gt;=O94)*(Panel!$F$5:$F$815&lt;S94)*(Panel!$N$5:$N$815+Inputs!$B$14)*Panel!$BD$5:$BD$815)/365</f>
        <v>-0.00427397260273973</v>
      </c>
      <c r="AA94" s="56" t="n">
        <f aca="false">W94-X94-Y94+Z94</f>
        <v>0.00200236904596589</v>
      </c>
      <c r="AB94" s="57" t="n">
        <v>0.0020023690459658</v>
      </c>
      <c r="AC94" s="58" t="n">
        <f aca="false">AA94-AB94</f>
        <v>9.19403442267708E-017</v>
      </c>
    </row>
    <row r="95" customFormat="false" ht="15" hidden="false" customHeight="false" outlineLevel="0" collapsed="false">
      <c r="A95" s="0" t="s">
        <v>496</v>
      </c>
      <c r="B95" s="0" t="n">
        <v>-1</v>
      </c>
      <c r="C95" s="0" t="s">
        <v>423</v>
      </c>
      <c r="D95" s="0" t="n">
        <v>701</v>
      </c>
      <c r="E95" s="29" t="n">
        <v>10.1561704884276</v>
      </c>
      <c r="F95" s="29" t="n">
        <v>5.66801711820946</v>
      </c>
      <c r="G95" s="53" t="n">
        <f aca="false">INDEX(Panel!$U$5:$U$815,D95+1)</f>
        <v>4.39581763888251</v>
      </c>
      <c r="H95" s="53" t="n">
        <f aca="false">INDEX(Panel!$T$5:$T$815,D95+1)</f>
        <v>1.0232593132565</v>
      </c>
      <c r="I95" s="54" t="n">
        <f aca="false">INDEX(Panel!$S$5:$S$815,D95+1)</f>
        <v>-6.67856989980723E-005</v>
      </c>
      <c r="J95" s="53" t="n">
        <f aca="false">INDEX(Panel!$V$5:$V$815,D95+1)</f>
        <v>0.00226905116822374</v>
      </c>
      <c r="K95" s="55" t="n">
        <f aca="false">(E95-G95-H95*F95-I95*D95)/J95</f>
        <v>3.22527792241329</v>
      </c>
      <c r="L95" s="0" t="n">
        <v>2.5</v>
      </c>
      <c r="M95" s="0" t="str">
        <f aca="false">IF(ABS(K95)&gt;L95,"Yes","No")</f>
        <v>Yes</v>
      </c>
      <c r="N95" s="30" t="s">
        <v>424</v>
      </c>
      <c r="O95" s="0" t="n">
        <v>701</v>
      </c>
      <c r="P95" s="0" t="n">
        <v>25720</v>
      </c>
      <c r="Q95" s="0" t="n">
        <v>289.32</v>
      </c>
      <c r="R95" s="30" t="s">
        <v>425</v>
      </c>
      <c r="S95" s="0" t="n">
        <v>722</v>
      </c>
      <c r="T95" s="0" t="n">
        <v>22330</v>
      </c>
      <c r="U95" s="0" t="n">
        <v>255.26</v>
      </c>
      <c r="V95" s="30" t="s">
        <v>353</v>
      </c>
      <c r="W95" s="56" t="n">
        <f aca="false">B95*((LN(T95)-LN(P95))-(LN(U95)-LN(Q95)))</f>
        <v>0.0160871250908166</v>
      </c>
      <c r="X95" s="56" t="n">
        <f aca="false">IF(INDEX(Panel!$A$5:$A$815,O95+1)&lt;=DATE(2024,9,30),0.000625,IF(INDEX(Panel!$A$5:$A$815,O95+1)&lt;=DATE(2026,3,31),0.001,0.0015))*(0.3989*Inputs!$B$28*SQRT(MAX(INDEX(Panel!$G$5:$G$815,O95+1),0)/365))+2*Inputs!$B$30+Inputs!$B$25+0.00003*(0.3989*Inputs!$B$28*SQRT(MAX(INDEX(Panel!$G$5:$G$815,O95+1),0)/365))+IF(B95&lt;0,(Inputs!$B$20+Inputs!$B$26+Inputs!$B$27),(Inputs!$B$21+Inputs!$B$26+Inputs!$B$27))</f>
        <v>0.00032429576733275</v>
      </c>
      <c r="Y95" s="56" t="n">
        <f aca="false">IF(V95="expiry",IF(INDEX(Panel!$A$5:$A$815,S95+1)&lt;=DATE(2026,3,31),0.00125,0.0015)*IF(B95&lt;0,MAX(P95-T95,0),MAX(T95-P95,0))/T95,IF(INDEX(Panel!$A$5:$A$815,S95+1)&lt;=DATE(2024,9,30),0.000625,IF(INDEX(Panel!$A$5:$A$815,S95+1)&lt;=DATE(2026,3,31),0.001,0.0015))*(0.3989*Inputs!$B$28*SQRT(MAX(INDEX(Panel!$G$5:$G$815,S95+1),0)/365))+2*Inputs!$B$30+Inputs!$B$25)+IF(B95&lt;0,(Inputs!$B$21+Inputs!$B$26+Inputs!$B$27),(Inputs!$B$20+Inputs!$B$26+Inputs!$B$27))</f>
        <v>0.000304767129422302</v>
      </c>
      <c r="Z95" s="56" t="n">
        <f aca="false">B95*SUMPRODUCT((Panel!$F$5:$F$815&gt;=O95)*(Panel!$F$5:$F$815&lt;S95)*(Panel!$N$5:$N$815+Inputs!$B$14)*Panel!$BD$5:$BD$815)/365</f>
        <v>-0.00542465753424658</v>
      </c>
      <c r="AA95" s="56" t="n">
        <f aca="false">W95-X95-Y95+Z95</f>
        <v>0.0100334046598149</v>
      </c>
      <c r="AB95" s="57" t="n">
        <v>0.0100334046598149</v>
      </c>
      <c r="AC95" s="58" t="n">
        <f aca="false">AA95-AB95</f>
        <v>0</v>
      </c>
    </row>
    <row r="96" customFormat="false" ht="15" hidden="false" customHeight="false" outlineLevel="0" collapsed="false">
      <c r="A96" s="0" t="s">
        <v>496</v>
      </c>
      <c r="B96" s="0" t="n">
        <v>-1</v>
      </c>
      <c r="C96" s="0" t="s">
        <v>488</v>
      </c>
      <c r="D96" s="0" t="n">
        <v>723</v>
      </c>
      <c r="E96" s="29" t="n">
        <v>10.0392676648942</v>
      </c>
      <c r="F96" s="29" t="n">
        <v>5.55485700848068</v>
      </c>
      <c r="G96" s="53" t="n">
        <f aca="false">INDEX(Panel!$U$5:$U$815,D96+1)</f>
        <v>4.42806619966684</v>
      </c>
      <c r="H96" s="53" t="n">
        <f aca="false">INDEX(Panel!$T$5:$T$815,D96+1)</f>
        <v>1.01699766217553</v>
      </c>
      <c r="I96" s="54" t="n">
        <f aca="false">INDEX(Panel!$S$5:$S$815,D96+1)</f>
        <v>-6.12856907190518E-005</v>
      </c>
      <c r="J96" s="53" t="n">
        <f aca="false">INDEX(Panel!$V$5:$V$815,D96+1)</f>
        <v>0.00241724523338892</v>
      </c>
      <c r="K96" s="55" t="n">
        <f aca="false">(E96-G96-H96*F96-I96*D96)/J96</f>
        <v>2.5791459579127</v>
      </c>
      <c r="L96" s="0" t="n">
        <v>2.5</v>
      </c>
      <c r="M96" s="0" t="str">
        <f aca="false">IF(ABS(K96)&gt;L96,"Yes","No")</f>
        <v>Yes</v>
      </c>
      <c r="N96" s="30" t="s">
        <v>489</v>
      </c>
      <c r="O96" s="0" t="n">
        <v>723</v>
      </c>
      <c r="P96" s="0" t="n">
        <v>22884.9</v>
      </c>
      <c r="Q96" s="0" t="n">
        <v>258.29</v>
      </c>
      <c r="R96" s="30" t="s">
        <v>428</v>
      </c>
      <c r="S96" s="0" t="n">
        <v>740</v>
      </c>
      <c r="T96" s="0" t="n">
        <v>23994.1</v>
      </c>
      <c r="U96" s="0" t="n">
        <v>271.8</v>
      </c>
      <c r="V96" s="30" t="s">
        <v>353</v>
      </c>
      <c r="W96" s="56" t="n">
        <f aca="false">B96*((LN(T96)-LN(P96))-(LN(U96)-LN(Q96)))</f>
        <v>0.00365285466649645</v>
      </c>
      <c r="X96" s="56" t="n">
        <f aca="false">IF(INDEX(Panel!$A$5:$A$815,O96+1)&lt;=DATE(2024,9,30),0.000625,IF(INDEX(Panel!$A$5:$A$815,O96+1)&lt;=DATE(2026,3,31),0.001,0.0015))*(0.3989*Inputs!$B$28*SQRT(MAX(INDEX(Panel!$G$5:$G$815,O96+1),0)/365))+2*Inputs!$B$30+Inputs!$B$25+0.00003*(0.3989*Inputs!$B$28*SQRT(MAX(INDEX(Panel!$G$5:$G$815,O96+1),0)/365))+IF(B96&lt;0,(Inputs!$B$20+Inputs!$B$26+Inputs!$B$27),(Inputs!$B$21+Inputs!$B$26+Inputs!$B$27))</f>
        <v>0.000330239081158997</v>
      </c>
      <c r="Y96" s="56" t="n">
        <f aca="false">IF(V96="expiry",IF(INDEX(Panel!$A$5:$A$815,S96+1)&lt;=DATE(2026,3,31),0.00125,0.0015)*IF(B96&lt;0,MAX(P96-T96,0),MAX(T96-P96,0))/T96,IF(INDEX(Panel!$A$5:$A$815,S96+1)&lt;=DATE(2024,9,30),0.000625,IF(INDEX(Panel!$A$5:$A$815,S96+1)&lt;=DATE(2026,3,31),0.001,0.0015))*(0.3989*Inputs!$B$28*SQRT(MAX(INDEX(Panel!$G$5:$G$815,S96+1),0)/365))+2*Inputs!$B$30+Inputs!$B$25)+IF(B96&lt;0,(Inputs!$B$21+Inputs!$B$26+Inputs!$B$27),(Inputs!$B$20+Inputs!$B$26+Inputs!$B$27))</f>
        <v>0.000115</v>
      </c>
      <c r="Z96" s="56" t="n">
        <f aca="false">B96*SUMPRODUCT((Panel!$F$5:$F$815&gt;=O96)*(Panel!$F$5:$F$815&lt;S96)*(Panel!$N$5:$N$815+Inputs!$B$14)*Panel!$BD$5:$BD$815)/365</f>
        <v>-0.00443835616438356</v>
      </c>
      <c r="AA96" s="56" t="n">
        <f aca="false">W96-X96-Y96+Z96</f>
        <v>-0.00123074057904611</v>
      </c>
      <c r="AB96" s="57" t="n">
        <v>-0.0012307405790461</v>
      </c>
      <c r="AC96" s="58" t="n">
        <f aca="false">AA96-AB96</f>
        <v>-6.72205346941013E-018</v>
      </c>
    </row>
    <row r="97" customFormat="false" ht="15" hidden="false" customHeight="false" outlineLevel="0" collapsed="false">
      <c r="A97" s="0" t="s">
        <v>496</v>
      </c>
      <c r="B97" s="0" t="n">
        <v>-1</v>
      </c>
      <c r="C97" s="0" t="s">
        <v>429</v>
      </c>
      <c r="D97" s="0" t="n">
        <v>741</v>
      </c>
      <c r="E97" s="29" t="n">
        <v>10.0941079121448</v>
      </c>
      <c r="F97" s="29" t="n">
        <v>5.60815224364095</v>
      </c>
      <c r="G97" s="53" t="n">
        <f aca="false">INDEX(Panel!$U$5:$U$815,D97+1)</f>
        <v>4.4692643607368</v>
      </c>
      <c r="H97" s="53" t="n">
        <f aca="false">INDEX(Panel!$T$5:$T$815,D97+1)</f>
        <v>1.00883837346067</v>
      </c>
      <c r="I97" s="54" t="n">
        <f aca="false">INDEX(Panel!$S$5:$S$815,D97+1)</f>
        <v>-5.3053487106118E-005</v>
      </c>
      <c r="J97" s="53" t="n">
        <f aca="false">INDEX(Panel!$V$5:$V$815,D97+1)</f>
        <v>0.00250905605721469</v>
      </c>
      <c r="K97" s="55" t="n">
        <f aca="false">(E97-G97-H97*F97-I97*D97)/J97</f>
        <v>2.56550575686468</v>
      </c>
      <c r="L97" s="0" t="n">
        <v>2.5</v>
      </c>
      <c r="M97" s="0" t="str">
        <f aca="false">IF(ABS(K97)&gt;L97,"Yes","No")</f>
        <v>Yes</v>
      </c>
      <c r="N97" s="30" t="s">
        <v>430</v>
      </c>
      <c r="O97" s="0" t="n">
        <v>741</v>
      </c>
      <c r="P97" s="0" t="n">
        <v>24229.2</v>
      </c>
      <c r="Q97" s="0" t="n">
        <v>272.86</v>
      </c>
      <c r="R97" s="30" t="s">
        <v>431</v>
      </c>
      <c r="S97" s="0" t="n">
        <v>759</v>
      </c>
      <c r="T97" s="0" t="n">
        <v>23911.2</v>
      </c>
      <c r="U97" s="0" t="n">
        <v>271.07</v>
      </c>
      <c r="V97" s="30" t="s">
        <v>353</v>
      </c>
      <c r="W97" s="56" t="n">
        <f aca="false">B97*((LN(T97)-LN(P97))-(LN(U97)-LN(Q97)))</f>
        <v>0.00662979591920188</v>
      </c>
      <c r="X97" s="56" t="n">
        <f aca="false">IF(INDEX(Panel!$A$5:$A$815,O97+1)&lt;=DATE(2024,9,30),0.000625,IF(INDEX(Panel!$A$5:$A$815,O97+1)&lt;=DATE(2026,3,31),0.001,0.0015))*(0.3989*Inputs!$B$28*SQRT(MAX(INDEX(Panel!$G$5:$G$815,O97+1),0)/365))+2*Inputs!$B$30+Inputs!$B$25+0.00003*(0.3989*Inputs!$B$28*SQRT(MAX(INDEX(Panel!$G$5:$G$815,O97+1),0)/365))+IF(B97&lt;0,(Inputs!$B$20+Inputs!$B$26+Inputs!$B$27),(Inputs!$B$21+Inputs!$B$26+Inputs!$B$27))</f>
        <v>0.000330239081158997</v>
      </c>
      <c r="Y97" s="56" t="n">
        <f aca="false">IF(V97="expiry",IF(INDEX(Panel!$A$5:$A$815,S97+1)&lt;=DATE(2026,3,31),0.00125,0.0015)*IF(B97&lt;0,MAX(P97-T97,0),MAX(T97-P97,0))/T97,IF(INDEX(Panel!$A$5:$A$815,S97+1)&lt;=DATE(2024,9,30),0.000625,IF(INDEX(Panel!$A$5:$A$815,S97+1)&lt;=DATE(2026,3,31),0.001,0.0015))*(0.3989*Inputs!$B$28*SQRT(MAX(INDEX(Panel!$G$5:$G$815,S97+1),0)/365))+2*Inputs!$B$30+Inputs!$B$25)+IF(B97&lt;0,(Inputs!$B$21+Inputs!$B$26+Inputs!$B$27),(Inputs!$B$20+Inputs!$B$26+Inputs!$B$27))</f>
        <v>0.000134948810599217</v>
      </c>
      <c r="Z97" s="56" t="n">
        <f aca="false">B97*SUMPRODUCT((Panel!$F$5:$F$815&gt;=O97)*(Panel!$F$5:$F$815&lt;S97)*(Panel!$N$5:$N$815+Inputs!$B$14)*Panel!$BD$5:$BD$815)/365</f>
        <v>-0.00443835616438356</v>
      </c>
      <c r="AA97" s="56" t="n">
        <f aca="false">W97-X97-Y97+Z97</f>
        <v>0.0017262518630601</v>
      </c>
      <c r="AB97" s="57" t="n">
        <v>0.00172625186306</v>
      </c>
      <c r="AC97" s="58" t="n">
        <f aca="false">AA97-AB97</f>
        <v>9.8879238130678E-017</v>
      </c>
    </row>
    <row r="100" customFormat="false" ht="15" hidden="false" customHeight="false" outlineLevel="0" collapsed="false">
      <c r="A100" s="33" t="s">
        <v>504</v>
      </c>
    </row>
    <row r="101" customFormat="false" ht="35.05" hidden="false" customHeight="false" outlineLevel="0" collapsed="false">
      <c r="A101" s="3" t="s">
        <v>327</v>
      </c>
      <c r="B101" s="3" t="s">
        <v>505</v>
      </c>
      <c r="C101" s="3" t="s">
        <v>506</v>
      </c>
      <c r="D101" s="3" t="s">
        <v>507</v>
      </c>
      <c r="E101" s="3" t="s">
        <v>508</v>
      </c>
      <c r="F101" s="3" t="s">
        <v>509</v>
      </c>
    </row>
    <row r="102" customFormat="false" ht="15" hidden="false" customHeight="false" outlineLevel="0" collapsed="false">
      <c r="A102" s="0" t="s">
        <v>349</v>
      </c>
      <c r="B102" s="0" t="n">
        <f aca="false">COUNTIF($A$5:$A$97,A102)</f>
        <v>29</v>
      </c>
      <c r="C102" s="56" t="n">
        <f aca="false">SUMIF($A$5:$A$97,A102,$AA$5:$AA$97)</f>
        <v>0.0686738976587547</v>
      </c>
      <c r="D102" s="59" t="n">
        <f aca="false">C102/'8 Four people'!$B$5*'8 Four people'!$B$4</f>
        <v>34198.1078213455</v>
      </c>
      <c r="E102" s="59" t="n">
        <f aca="false">1*'8 Four people'!$B$4</f>
        <v>1602620.5</v>
      </c>
      <c r="F102" s="60" t="n">
        <f aca="false">D102/E102</f>
        <v>0.0213388683230656</v>
      </c>
    </row>
    <row r="103" customFormat="false" ht="15" hidden="false" customHeight="false" outlineLevel="0" collapsed="false">
      <c r="A103" s="0" t="s">
        <v>438</v>
      </c>
      <c r="B103" s="0" t="n">
        <f aca="false">COUNTIF($A$5:$A$97,A103)</f>
        <v>26</v>
      </c>
      <c r="C103" s="56" t="n">
        <f aca="false">SUMIF($A$5:$A$97,A103,$AA$5:$AA$97)</f>
        <v>0.0626228737290744</v>
      </c>
      <c r="D103" s="59" t="n">
        <f aca="false">C103/'8 Four people'!$B$5*'8 Four people'!$B$4</f>
        <v>31184.8294749639</v>
      </c>
      <c r="E103" s="59" t="n">
        <f aca="false">(1+Inputs!$B$12)*'8 Four people'!$B$4</f>
        <v>1810961.165</v>
      </c>
      <c r="F103" s="60" t="n">
        <f aca="false">D103/E103</f>
        <v>0.0172200431890343</v>
      </c>
    </row>
    <row r="104" customFormat="false" ht="15" hidden="false" customHeight="false" outlineLevel="0" collapsed="false">
      <c r="A104" s="0" t="s">
        <v>469</v>
      </c>
      <c r="B104" s="0" t="n">
        <f aca="false">COUNTIF($A$5:$A$97,A104)</f>
        <v>12</v>
      </c>
      <c r="C104" s="56" t="n">
        <f aca="false">SUMIF($A$5:$A$97,A104,$AA$5:$AA$97)</f>
        <v>-0.0117319567520225</v>
      </c>
      <c r="D104" s="59" t="n">
        <f aca="false">C104/'8 Four people'!$B$5*'8 Four people'!$B$4</f>
        <v>-5842.25936839454</v>
      </c>
      <c r="E104" s="59" t="n">
        <f aca="false">(0.25+Inputs!$B$12)*'8 Four people'!$B$4</f>
        <v>608995.79</v>
      </c>
      <c r="F104" s="60" t="n">
        <f aca="false">D104/E104</f>
        <v>-0.00959326725131309</v>
      </c>
    </row>
    <row r="105" customFormat="false" ht="15" hidden="false" customHeight="false" outlineLevel="0" collapsed="false">
      <c r="A105" s="0" t="s">
        <v>495</v>
      </c>
      <c r="B105" s="0" t="n">
        <f aca="false">COUNTIF($A$5:$A$97,A105)</f>
        <v>11</v>
      </c>
      <c r="C105" s="56" t="n">
        <f aca="false">SUMIF($A$5:$A$97,A105,$AA$5:$AA$97)</f>
        <v>0.105510261259668</v>
      </c>
      <c r="D105" s="59" t="n">
        <f aca="false">C105/'8 Four people'!$B$5*'8 Four people'!$B$4</f>
        <v>52541.8159421519</v>
      </c>
      <c r="E105" s="59" t="n">
        <f aca="false">(0.5*Inputs!$B$12)*'8 Four people'!$B$4</f>
        <v>104170.3325</v>
      </c>
      <c r="F105" s="60" t="n">
        <f aca="false">D105/E105</f>
        <v>0.504383682774094</v>
      </c>
    </row>
    <row r="106" customFormat="false" ht="15" hidden="false" customHeight="false" outlineLevel="0" collapsed="false">
      <c r="A106" s="0" t="s">
        <v>496</v>
      </c>
      <c r="B106" s="0" t="n">
        <f aca="false">COUNTIF($A$5:$A$97,A106)</f>
        <v>15</v>
      </c>
      <c r="C106" s="56" t="n">
        <f aca="false">SUMIF($A$5:$A$97,A106,$AA$5:$AA$97)</f>
        <v>0.0621054830232987</v>
      </c>
      <c r="D106" s="59" t="n">
        <f aca="false">C106/'8 Four people'!$B$5*'8 Four people'!$B$4</f>
        <v>30927.1801533862</v>
      </c>
      <c r="E106" s="59" t="n">
        <f aca="false">(Inputs!$B$12*(1-Inputs!$B$15))*'8 Four people'!$B$4</f>
        <v>62502.1995</v>
      </c>
      <c r="F106" s="60" t="n">
        <f aca="false">D106/E106</f>
        <v>0.494817468837816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510</v>
      </c>
    </row>
    <row r="2" customFormat="false" ht="15" hidden="false" customHeight="false" outlineLevel="0" collapsed="false">
      <c r="A2" s="2" t="s">
        <v>511</v>
      </c>
    </row>
    <row r="4" customFormat="false" ht="15" hidden="false" customHeight="false" outlineLevel="0" collapsed="false">
      <c r="A4" s="22" t="s">
        <v>512</v>
      </c>
      <c r="B4" s="19" t="n">
        <f aca="false">COUNT('9 Trades 15-min'!$AA$5:$AA$33)</f>
        <v>29</v>
      </c>
    </row>
    <row r="5" customFormat="false" ht="15" hidden="false" customHeight="false" outlineLevel="0" collapsed="false">
      <c r="A5" s="22" t="s">
        <v>513</v>
      </c>
      <c r="B5" s="17" t="n">
        <f aca="false">AVERAGE('9 Trades 15-min'!$AA$5:$AA$33)*10000</f>
        <v>23.6806543650878</v>
      </c>
    </row>
    <row r="6" customFormat="false" ht="15" hidden="false" customHeight="false" outlineLevel="0" collapsed="false">
      <c r="A6" s="22" t="s">
        <v>514</v>
      </c>
      <c r="B6" s="17" t="n">
        <f aca="false">STDEV('9 Trades 15-min'!$AA$5:$AA$33)*10000</f>
        <v>41.7028917852531</v>
      </c>
    </row>
    <row r="7" customFormat="false" ht="15" hidden="false" customHeight="false" outlineLevel="0" collapsed="false">
      <c r="A7" s="33" t="s">
        <v>515</v>
      </c>
      <c r="B7" s="42" t="n">
        <f aca="false">B5/(B6/SQRT(B4))</f>
        <v>3.05792286907744</v>
      </c>
      <c r="C7" s="2" t="s">
        <v>516</v>
      </c>
    </row>
    <row r="8" customFormat="false" ht="15" hidden="false" customHeight="false" outlineLevel="0" collapsed="false">
      <c r="A8" s="22" t="s">
        <v>517</v>
      </c>
      <c r="B8" s="13" t="n">
        <f aca="false">TDIST(ABS(B7),B4-1,2)</f>
        <v>0.00486500212347853</v>
      </c>
      <c r="C8" s="2" t="s">
        <v>518</v>
      </c>
    </row>
    <row r="9" customFormat="false" ht="15" hidden="false" customHeight="false" outlineLevel="0" collapsed="false">
      <c r="A9" s="22" t="s">
        <v>519</v>
      </c>
      <c r="B9" s="17" t="n">
        <f aca="false">B5-TINV(0.05,B4-1)*B6/SQRT(B4)</f>
        <v>7.81772269524319</v>
      </c>
    </row>
    <row r="10" customFormat="false" ht="15" hidden="false" customHeight="false" outlineLevel="0" collapsed="false">
      <c r="A10" s="22" t="s">
        <v>520</v>
      </c>
      <c r="B10" s="17" t="n">
        <f aca="false">B5+TINV(0.05,B4-1)*B6/SQRT(B4)</f>
        <v>39.5435860349325</v>
      </c>
    </row>
    <row r="11" customFormat="false" ht="15" hidden="false" customHeight="false" outlineLevel="0" collapsed="false">
      <c r="A11" s="22" t="s">
        <v>521</v>
      </c>
      <c r="B11" s="19" t="n">
        <f aca="false">COUNTIF('9 Trades 15-min'!$AA$5:$AA$33,"&gt;0")</f>
        <v>22</v>
      </c>
    </row>
    <row r="12" customFormat="false" ht="15" hidden="false" customHeight="false" outlineLevel="0" collapsed="false">
      <c r="A12" s="33" t="s">
        <v>522</v>
      </c>
      <c r="B12" s="42" t="n">
        <f aca="false">(B11/B4-0.5)/SQRT(0.25/B4)</f>
        <v>2.78543007265578</v>
      </c>
      <c r="C12" s="2" t="s">
        <v>523</v>
      </c>
    </row>
    <row r="13" customFormat="false" ht="15" hidden="false" customHeight="false" outlineLevel="0" collapsed="false">
      <c r="A13" s="22" t="s">
        <v>524</v>
      </c>
      <c r="B13" s="13" t="n">
        <f aca="false">1-NORMSDIST(B12)</f>
        <v>0.00267283843632715</v>
      </c>
    </row>
    <row r="14" customFormat="false" ht="15" hidden="false" customHeight="false" outlineLevel="0" collapsed="false">
      <c r="A14" s="22" t="s">
        <v>525</v>
      </c>
      <c r="B14" s="19" t="n">
        <f aca="false">COUNTIF('9 Trades 15-min'!$O$5:$O$33,"&lt;405")</f>
        <v>15</v>
      </c>
    </row>
    <row r="15" customFormat="false" ht="15" hidden="false" customHeight="false" outlineLevel="0" collapsed="false">
      <c r="A15" s="33" t="s">
        <v>526</v>
      </c>
      <c r="B15" s="41" t="n">
        <f aca="true">TTEST(OFFSET('9 Trades 15-min'!$AA$5,0,0,B14,1),OFFSET('9 Trades 15-min'!$AA$5,B14,0,B4-B14,1),2,3)</f>
        <v>0.663015794896552</v>
      </c>
      <c r="C15" s="2" t="s">
        <v>527</v>
      </c>
    </row>
    <row r="16" customFormat="false" ht="15" hidden="false" customHeight="false" outlineLevel="0" collapsed="false">
      <c r="A16" s="33" t="s">
        <v>528</v>
      </c>
      <c r="B16" s="41" t="n">
        <f aca="true">FTEST(OFFSET('9 Trades 15-min'!$AA$5,0,0,B14,1),OFFSET('9 Trades 15-min'!$AA$5,B14,0,B4-B14,1))</f>
        <v>0.407390805703867</v>
      </c>
      <c r="C16" s="2" t="s">
        <v>529</v>
      </c>
    </row>
    <row r="18" customFormat="false" ht="15" hidden="false" customHeight="false" outlineLevel="0" collapsed="false">
      <c r="A18" s="33" t="s">
        <v>530</v>
      </c>
    </row>
    <row r="19" customFormat="false" ht="15" hidden="false" customHeight="false" outlineLevel="0" collapsed="false">
      <c r="A19" s="3"/>
      <c r="B19" s="3" t="s">
        <v>531</v>
      </c>
      <c r="C19" s="3" t="s">
        <v>532</v>
      </c>
    </row>
    <row r="20" customFormat="false" ht="15" hidden="false" customHeight="false" outlineLevel="0" collapsed="false">
      <c r="A20" s="0" t="s">
        <v>533</v>
      </c>
      <c r="B20" s="0" t="n">
        <f aca="false">COUNTIFS('9 Trades 15-min'!$B$5:$B$33,"&gt;0",'9 Trades 15-min'!$AA$5:$AA$33,"&lt;=0")</f>
        <v>4</v>
      </c>
      <c r="C20" s="0" t="n">
        <f aca="false">COUNTIFS('9 Trades 15-min'!$B$5:$B$33,"&gt;0",'9 Trades 15-min'!$AA$5:$AA$33,"&gt;0")</f>
        <v>4</v>
      </c>
    </row>
    <row r="21" customFormat="false" ht="15" hidden="false" customHeight="false" outlineLevel="0" collapsed="false">
      <c r="A21" s="0" t="s">
        <v>534</v>
      </c>
      <c r="B21" s="0" t="n">
        <f aca="false">COUNTIFS('9 Trades 15-min'!$B$5:$B$33,"&lt;0",'9 Trades 15-min'!$AA$5:$AA$33,"&lt;=0")</f>
        <v>3</v>
      </c>
      <c r="C21" s="0" t="n">
        <f aca="false">COUNTIFS('9 Trades 15-min'!$B$5:$B$33,"&lt;0",'9 Trades 15-min'!$AA$5:$AA$33,"&gt;0")</f>
        <v>18</v>
      </c>
    </row>
    <row r="23" customFormat="false" ht="15" hidden="false" customHeight="false" outlineLevel="0" collapsed="false">
      <c r="A23" s="22" t="s">
        <v>535</v>
      </c>
      <c r="B23" s="6" t="n">
        <f aca="false">((ABS(B20-SUM(B20:C20)*SUM(B20:B21)/SUM(B20:C21))-0.5)^2/(SUM(B20:C20)*SUM(B20:B21)/SUM(B20:C21))+(ABS(C20-SUM(B20:C20)*SUM(C20:C21)/SUM(B20:C21))-0.5)^2/(SUM(B20:C20)*SUM(C20:C21)/SUM(B20:C21))+(ABS(B21-SUM(B21:C21)*SUM(B20:B21)/SUM(B20:C21))-0.5)^2/(SUM(B21:C21)*SUM(B20:B21)/SUM(B20:C21))+(ABS(C21-SUM(B21:C21)*SUM(C20:C21)/SUM(B20:C21))-0.5)^2/(SUM(B21:C21)*SUM(C20:C21)/SUM(B20:C21)))</f>
        <v>2.32054924242424</v>
      </c>
      <c r="C23" s="2" t="s">
        <v>536</v>
      </c>
    </row>
    <row r="24" customFormat="false" ht="15" hidden="false" customHeight="false" outlineLevel="0" collapsed="false">
      <c r="A24" s="33" t="s">
        <v>537</v>
      </c>
      <c r="B24" s="41" t="n">
        <f aca="false">CHIDIST(B23,1)</f>
        <v>0.127674937896864</v>
      </c>
      <c r="C24" s="2" t="s">
        <v>538</v>
      </c>
    </row>
    <row r="26" customFormat="false" ht="15" hidden="false" customHeight="false" outlineLevel="0" collapsed="false">
      <c r="A26" s="2" t="s">
        <v>539</v>
      </c>
    </row>
  </sheetData>
  <printOptions headings="true" gridLines="tru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2026-10-02T05:45:55Z</dcterms:created>
  <dc:creator>openpyxl</dc:creator>
  <dc:description/>
  <dc:language>en-US</dc:language>
  <cp:lastModifiedBy/>
  <dcterms:modified xsi:type="dcterms:W3CDTF">2026-10-02T05:45:55Z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